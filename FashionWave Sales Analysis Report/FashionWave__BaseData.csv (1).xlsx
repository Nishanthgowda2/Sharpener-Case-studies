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9e242b75272e33c/Documents/"/>
    </mc:Choice>
  </mc:AlternateContent>
  <xr:revisionPtr revIDLastSave="1" documentId="8_{33BECECA-6657-41A7-B074-D2DA92D34B37}" xr6:coauthVersionLast="47" xr6:coauthVersionMax="47" xr10:uidLastSave="{F4A29626-8A83-48CD-A6AF-B1B832E809DA}"/>
  <bookViews>
    <workbookView xWindow="-103" yWindow="-103" windowWidth="22149" windowHeight="11949" xr2:uid="{5A79396E-C618-4A9F-8F28-683D6A0E7DDF}"/>
  </bookViews>
  <sheets>
    <sheet name="FashionWave_BaseData" sheetId="1" r:id="rId1"/>
    <sheet name=" " sheetId="4" r:id="rId2"/>
    <sheet name="Store_Performance" sheetId="7" r:id="rId3"/>
    <sheet name="Monthly_Trend" sheetId="8" r:id="rId4"/>
    <sheet name="Customer_Analysis" sheetId="9" r:id="rId5"/>
    <sheet name=" Weekend vs Weekday _Analysis" sheetId="3" r:id="rId6"/>
    <sheet name="Category_Analysis" sheetId="5" r:id="rId7"/>
    <sheet name="Discount_Impact" sheetId="6" r:id="rId8"/>
  </sheets>
  <definedNames>
    <definedName name="_xlnm._FilterDatabase" localSheetId="0" hidden="1">FashionWave_BaseData!$A$1:$L$2001</definedName>
  </definedNames>
  <calcPr calcId="0"/>
  <pivotCaches>
    <pivotCache cacheId="20" r:id="rId9"/>
    <pivotCache cacheId="26" r:id="rId10"/>
  </pivotCaches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N20" i="1" s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N52" i="1" s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N84" i="1" s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N116" i="1" s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N148" i="1" s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N180" i="1" s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N212" i="1" s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N244" i="1" s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N276" i="1" s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N308" i="1" s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N340" i="1" s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N372" i="1" s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N404" i="1" s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N436" i="1" s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N468" i="1" s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N500" i="1" s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N532" i="1" s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N548" i="1" s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N564" i="1" s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N596" i="1" s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N612" i="1" s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N628" i="1" s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N660" i="1" s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N676" i="1" s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N692" i="1" s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N724" i="1" s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N740" i="1" s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N756" i="1" s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N788" i="1" s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N804" i="1" s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N820" i="1" s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N932" i="1" s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N948" i="1" s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N1076" i="1" s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N1092" i="1" s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N1188" i="1" s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N1204" i="1" s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N1284" i="1" s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N1348" i="1" s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N1412" i="1" s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N1508" i="1" s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N1524" i="1" s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N26" i="1"/>
  <c r="N36" i="1"/>
  <c r="N42" i="1"/>
  <c r="N58" i="1"/>
  <c r="N68" i="1"/>
  <c r="N74" i="1"/>
  <c r="N90" i="1"/>
  <c r="N100" i="1"/>
  <c r="N106" i="1"/>
  <c r="N122" i="1"/>
  <c r="N132" i="1"/>
  <c r="N138" i="1"/>
  <c r="N154" i="1"/>
  <c r="N164" i="1"/>
  <c r="N170" i="1"/>
  <c r="N186" i="1"/>
  <c r="N196" i="1"/>
  <c r="N202" i="1"/>
  <c r="N218" i="1"/>
  <c r="N228" i="1"/>
  <c r="N234" i="1"/>
  <c r="N250" i="1"/>
  <c r="N260" i="1"/>
  <c r="N266" i="1"/>
  <c r="N282" i="1"/>
  <c r="N292" i="1"/>
  <c r="N298" i="1"/>
  <c r="N314" i="1"/>
  <c r="N324" i="1"/>
  <c r="N330" i="1"/>
  <c r="N346" i="1"/>
  <c r="N356" i="1"/>
  <c r="N362" i="1"/>
  <c r="N378" i="1"/>
  <c r="N388" i="1"/>
  <c r="N394" i="1"/>
  <c r="N410" i="1"/>
  <c r="N420" i="1"/>
  <c r="N426" i="1"/>
  <c r="N442" i="1"/>
  <c r="N452" i="1"/>
  <c r="N458" i="1"/>
  <c r="N474" i="1"/>
  <c r="N484" i="1"/>
  <c r="N490" i="1"/>
  <c r="N506" i="1"/>
  <c r="N516" i="1"/>
  <c r="N580" i="1"/>
  <c r="N644" i="1"/>
  <c r="N708" i="1"/>
  <c r="N772" i="1"/>
  <c r="N836" i="1"/>
  <c r="N874" i="1"/>
  <c r="N890" i="1"/>
  <c r="N895" i="1"/>
  <c r="N911" i="1"/>
  <c r="N922" i="1"/>
  <c r="N964" i="1"/>
  <c r="N1002" i="1"/>
  <c r="N1018" i="1"/>
  <c r="N1039" i="1"/>
  <c r="N1060" i="1"/>
  <c r="N1130" i="1"/>
  <c r="N1146" i="1"/>
  <c r="N1167" i="1"/>
  <c r="N1220" i="1"/>
  <c r="N1258" i="1"/>
  <c r="N1263" i="1"/>
  <c r="N1322" i="1"/>
  <c r="N1327" i="1"/>
  <c r="N1386" i="1"/>
  <c r="N1391" i="1"/>
  <c r="N1450" i="1"/>
  <c r="N1455" i="1"/>
  <c r="N1476" i="1"/>
  <c r="N1530" i="1"/>
  <c r="N1535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" i="1"/>
  <c r="N837" i="1"/>
  <c r="N865" i="1"/>
  <c r="N893" i="1"/>
  <c r="N968" i="1"/>
  <c r="N990" i="1"/>
  <c r="N1032" i="1"/>
  <c r="N1054" i="1"/>
  <c r="N1096" i="1"/>
  <c r="N1118" i="1"/>
  <c r="N1160" i="1"/>
  <c r="N1182" i="1"/>
  <c r="N1224" i="1"/>
  <c r="N1244" i="1"/>
  <c r="N1260" i="1"/>
  <c r="N1276" i="1"/>
  <c r="N1292" i="1"/>
  <c r="N1308" i="1"/>
  <c r="N1324" i="1"/>
  <c r="N1340" i="1"/>
  <c r="N1356" i="1"/>
  <c r="N1372" i="1"/>
  <c r="N1388" i="1"/>
  <c r="N1404" i="1"/>
  <c r="N1420" i="1"/>
  <c r="N1436" i="1"/>
  <c r="N1452" i="1"/>
  <c r="N1468" i="1"/>
  <c r="N1484" i="1"/>
  <c r="N1500" i="1"/>
  <c r="N1516" i="1"/>
  <c r="N1529" i="1"/>
  <c r="N1533" i="1"/>
  <c r="N1537" i="1"/>
  <c r="N1541" i="1"/>
  <c r="N1545" i="1"/>
  <c r="N1549" i="1"/>
  <c r="N1553" i="1"/>
  <c r="N1557" i="1"/>
  <c r="N1561" i="1"/>
  <c r="N1565" i="1"/>
  <c r="N1569" i="1"/>
  <c r="N1573" i="1"/>
  <c r="N1577" i="1"/>
  <c r="N1581" i="1"/>
  <c r="N1585" i="1"/>
  <c r="N1589" i="1"/>
  <c r="N1593" i="1"/>
  <c r="N1597" i="1"/>
  <c r="N1601" i="1"/>
  <c r="N1605" i="1"/>
  <c r="N1609" i="1"/>
  <c r="N1613" i="1"/>
  <c r="N1617" i="1"/>
  <c r="N1621" i="1"/>
  <c r="N1625" i="1"/>
  <c r="N1629" i="1"/>
  <c r="N1633" i="1"/>
  <c r="N1637" i="1"/>
  <c r="N1641" i="1"/>
  <c r="N1645" i="1"/>
  <c r="N1649" i="1"/>
  <c r="N1653" i="1"/>
  <c r="N1657" i="1"/>
  <c r="N1661" i="1"/>
  <c r="N1665" i="1"/>
  <c r="N1669" i="1"/>
  <c r="N1673" i="1"/>
  <c r="N1677" i="1"/>
  <c r="N1681" i="1"/>
  <c r="N1685" i="1"/>
  <c r="N1689" i="1"/>
  <c r="N1693" i="1"/>
  <c r="N1697" i="1"/>
  <c r="N1701" i="1"/>
  <c r="N1705" i="1"/>
  <c r="N1709" i="1"/>
  <c r="N1713" i="1"/>
  <c r="N1717" i="1"/>
  <c r="N1721" i="1"/>
  <c r="N1725" i="1"/>
  <c r="N1729" i="1"/>
  <c r="N1733" i="1"/>
  <c r="N1737" i="1"/>
  <c r="N1741" i="1"/>
  <c r="N1745" i="1"/>
  <c r="N1749" i="1"/>
  <c r="N1753" i="1"/>
  <c r="N1757" i="1"/>
  <c r="N1761" i="1"/>
  <c r="N1765" i="1"/>
  <c r="N1769" i="1"/>
  <c r="N1773" i="1"/>
  <c r="N1777" i="1"/>
  <c r="N1781" i="1"/>
  <c r="N1785" i="1"/>
  <c r="N1789" i="1"/>
  <c r="N1793" i="1"/>
  <c r="N1797" i="1"/>
  <c r="N1801" i="1"/>
  <c r="N1805" i="1"/>
  <c r="N1809" i="1"/>
  <c r="N1813" i="1"/>
  <c r="N1817" i="1"/>
  <c r="N1821" i="1"/>
  <c r="N1825" i="1"/>
  <c r="N1829" i="1"/>
  <c r="N1833" i="1"/>
  <c r="N1837" i="1"/>
  <c r="N1841" i="1"/>
  <c r="N1845" i="1"/>
  <c r="N1849" i="1"/>
  <c r="N1853" i="1"/>
  <c r="N1857" i="1"/>
  <c r="N1861" i="1"/>
  <c r="N1865" i="1"/>
  <c r="N1869" i="1"/>
  <c r="N1873" i="1"/>
  <c r="N1877" i="1"/>
  <c r="N1881" i="1"/>
  <c r="N1885" i="1"/>
  <c r="N1889" i="1"/>
  <c r="N1893" i="1"/>
  <c r="N1897" i="1"/>
  <c r="N1901" i="1"/>
  <c r="N1905" i="1"/>
  <c r="N1909" i="1"/>
  <c r="N1913" i="1"/>
  <c r="N1917" i="1"/>
  <c r="N1921" i="1"/>
  <c r="N1925" i="1"/>
  <c r="N1929" i="1"/>
  <c r="N1933" i="1"/>
  <c r="N1937" i="1"/>
  <c r="N1941" i="1"/>
  <c r="N1945" i="1"/>
  <c r="N1949" i="1"/>
  <c r="N1953" i="1"/>
  <c r="N1957" i="1"/>
  <c r="N1961" i="1"/>
  <c r="N1965" i="1"/>
  <c r="N1969" i="1"/>
  <c r="N1973" i="1"/>
  <c r="N1977" i="1"/>
  <c r="N1981" i="1"/>
  <c r="N1985" i="1"/>
  <c r="N1989" i="1"/>
  <c r="N1993" i="1"/>
  <c r="N1997" i="1"/>
  <c r="N2001" i="1"/>
  <c r="N19" i="1"/>
  <c r="N21" i="1"/>
  <c r="N22" i="1"/>
  <c r="N23" i="1"/>
  <c r="N24" i="1"/>
  <c r="N25" i="1"/>
  <c r="N27" i="1"/>
  <c r="N28" i="1"/>
  <c r="N29" i="1"/>
  <c r="N30" i="1"/>
  <c r="N31" i="1"/>
  <c r="N32" i="1"/>
  <c r="N33" i="1"/>
  <c r="N34" i="1"/>
  <c r="N35" i="1"/>
  <c r="N37" i="1"/>
  <c r="N38" i="1"/>
  <c r="N39" i="1"/>
  <c r="N40" i="1"/>
  <c r="N41" i="1"/>
  <c r="N43" i="1"/>
  <c r="N44" i="1"/>
  <c r="N45" i="1"/>
  <c r="N46" i="1"/>
  <c r="N47" i="1"/>
  <c r="N48" i="1"/>
  <c r="N49" i="1"/>
  <c r="N50" i="1"/>
  <c r="N51" i="1"/>
  <c r="N53" i="1"/>
  <c r="N54" i="1"/>
  <c r="N55" i="1"/>
  <c r="N56" i="1"/>
  <c r="N57" i="1"/>
  <c r="N59" i="1"/>
  <c r="N60" i="1"/>
  <c r="N61" i="1"/>
  <c r="N62" i="1"/>
  <c r="N63" i="1"/>
  <c r="N64" i="1"/>
  <c r="N65" i="1"/>
  <c r="N66" i="1"/>
  <c r="N67" i="1"/>
  <c r="N69" i="1"/>
  <c r="N70" i="1"/>
  <c r="N71" i="1"/>
  <c r="N72" i="1"/>
  <c r="N73" i="1"/>
  <c r="N75" i="1"/>
  <c r="N76" i="1"/>
  <c r="N77" i="1"/>
  <c r="N78" i="1"/>
  <c r="N79" i="1"/>
  <c r="N80" i="1"/>
  <c r="N81" i="1"/>
  <c r="N82" i="1"/>
  <c r="N83" i="1"/>
  <c r="N85" i="1"/>
  <c r="N86" i="1"/>
  <c r="N87" i="1"/>
  <c r="N88" i="1"/>
  <c r="N89" i="1"/>
  <c r="N91" i="1"/>
  <c r="N92" i="1"/>
  <c r="N93" i="1"/>
  <c r="N94" i="1"/>
  <c r="N95" i="1"/>
  <c r="N96" i="1"/>
  <c r="N97" i="1"/>
  <c r="N98" i="1"/>
  <c r="N99" i="1"/>
  <c r="N101" i="1"/>
  <c r="N102" i="1"/>
  <c r="N103" i="1"/>
  <c r="N104" i="1"/>
  <c r="N105" i="1"/>
  <c r="N107" i="1"/>
  <c r="N108" i="1"/>
  <c r="N109" i="1"/>
  <c r="N110" i="1"/>
  <c r="N111" i="1"/>
  <c r="N112" i="1"/>
  <c r="N113" i="1"/>
  <c r="N114" i="1"/>
  <c r="N115" i="1"/>
  <c r="N117" i="1"/>
  <c r="N118" i="1"/>
  <c r="N119" i="1"/>
  <c r="N120" i="1"/>
  <c r="N121" i="1"/>
  <c r="N123" i="1"/>
  <c r="N124" i="1"/>
  <c r="N125" i="1"/>
  <c r="N126" i="1"/>
  <c r="N127" i="1"/>
  <c r="N128" i="1"/>
  <c r="N129" i="1"/>
  <c r="N130" i="1"/>
  <c r="N131" i="1"/>
  <c r="N133" i="1"/>
  <c r="N134" i="1"/>
  <c r="N135" i="1"/>
  <c r="N136" i="1"/>
  <c r="N137" i="1"/>
  <c r="N139" i="1"/>
  <c r="N140" i="1"/>
  <c r="N141" i="1"/>
  <c r="N142" i="1"/>
  <c r="N143" i="1"/>
  <c r="N144" i="1"/>
  <c r="N145" i="1"/>
  <c r="N146" i="1"/>
  <c r="N147" i="1"/>
  <c r="N149" i="1"/>
  <c r="N150" i="1"/>
  <c r="N151" i="1"/>
  <c r="N152" i="1"/>
  <c r="N153" i="1"/>
  <c r="N155" i="1"/>
  <c r="N156" i="1"/>
  <c r="N157" i="1"/>
  <c r="N158" i="1"/>
  <c r="N159" i="1"/>
  <c r="N160" i="1"/>
  <c r="N161" i="1"/>
  <c r="N162" i="1"/>
  <c r="N163" i="1"/>
  <c r="N165" i="1"/>
  <c r="N166" i="1"/>
  <c r="N167" i="1"/>
  <c r="N168" i="1"/>
  <c r="N169" i="1"/>
  <c r="N171" i="1"/>
  <c r="N172" i="1"/>
  <c r="N173" i="1"/>
  <c r="N174" i="1"/>
  <c r="N175" i="1"/>
  <c r="N176" i="1"/>
  <c r="N177" i="1"/>
  <c r="N178" i="1"/>
  <c r="N179" i="1"/>
  <c r="N181" i="1"/>
  <c r="N182" i="1"/>
  <c r="N183" i="1"/>
  <c r="N184" i="1"/>
  <c r="N185" i="1"/>
  <c r="N187" i="1"/>
  <c r="N188" i="1"/>
  <c r="N189" i="1"/>
  <c r="N190" i="1"/>
  <c r="N191" i="1"/>
  <c r="N192" i="1"/>
  <c r="N193" i="1"/>
  <c r="N194" i="1"/>
  <c r="N195" i="1"/>
  <c r="N197" i="1"/>
  <c r="N198" i="1"/>
  <c r="N199" i="1"/>
  <c r="N200" i="1"/>
  <c r="N201" i="1"/>
  <c r="N203" i="1"/>
  <c r="N204" i="1"/>
  <c r="N205" i="1"/>
  <c r="N206" i="1"/>
  <c r="N207" i="1"/>
  <c r="N208" i="1"/>
  <c r="N209" i="1"/>
  <c r="N210" i="1"/>
  <c r="N211" i="1"/>
  <c r="N213" i="1"/>
  <c r="N214" i="1"/>
  <c r="N215" i="1"/>
  <c r="N216" i="1"/>
  <c r="N217" i="1"/>
  <c r="N219" i="1"/>
  <c r="N220" i="1"/>
  <c r="N221" i="1"/>
  <c r="N222" i="1"/>
  <c r="N223" i="1"/>
  <c r="N224" i="1"/>
  <c r="N225" i="1"/>
  <c r="N226" i="1"/>
  <c r="N227" i="1"/>
  <c r="N229" i="1"/>
  <c r="N230" i="1"/>
  <c r="N231" i="1"/>
  <c r="N232" i="1"/>
  <c r="N233" i="1"/>
  <c r="N235" i="1"/>
  <c r="N236" i="1"/>
  <c r="N237" i="1"/>
  <c r="N238" i="1"/>
  <c r="N239" i="1"/>
  <c r="N240" i="1"/>
  <c r="N241" i="1"/>
  <c r="N242" i="1"/>
  <c r="N243" i="1"/>
  <c r="N245" i="1"/>
  <c r="N246" i="1"/>
  <c r="N247" i="1"/>
  <c r="N248" i="1"/>
  <c r="N249" i="1"/>
  <c r="N251" i="1"/>
  <c r="N252" i="1"/>
  <c r="N253" i="1"/>
  <c r="N254" i="1"/>
  <c r="N255" i="1"/>
  <c r="N256" i="1"/>
  <c r="N257" i="1"/>
  <c r="N258" i="1"/>
  <c r="N259" i="1"/>
  <c r="N261" i="1"/>
  <c r="N262" i="1"/>
  <c r="N263" i="1"/>
  <c r="N264" i="1"/>
  <c r="N265" i="1"/>
  <c r="N267" i="1"/>
  <c r="N268" i="1"/>
  <c r="N269" i="1"/>
  <c r="N270" i="1"/>
  <c r="N271" i="1"/>
  <c r="N272" i="1"/>
  <c r="N273" i="1"/>
  <c r="N274" i="1"/>
  <c r="N275" i="1"/>
  <c r="N277" i="1"/>
  <c r="N278" i="1"/>
  <c r="N279" i="1"/>
  <c r="N280" i="1"/>
  <c r="N281" i="1"/>
  <c r="N283" i="1"/>
  <c r="N284" i="1"/>
  <c r="N285" i="1"/>
  <c r="N286" i="1"/>
  <c r="N287" i="1"/>
  <c r="N288" i="1"/>
  <c r="N289" i="1"/>
  <c r="N290" i="1"/>
  <c r="N291" i="1"/>
  <c r="N293" i="1"/>
  <c r="N294" i="1"/>
  <c r="N295" i="1"/>
  <c r="N296" i="1"/>
  <c r="N297" i="1"/>
  <c r="N299" i="1"/>
  <c r="N300" i="1"/>
  <c r="N301" i="1"/>
  <c r="N302" i="1"/>
  <c r="N303" i="1"/>
  <c r="N304" i="1"/>
  <c r="N305" i="1"/>
  <c r="N306" i="1"/>
  <c r="N307" i="1"/>
  <c r="N309" i="1"/>
  <c r="N310" i="1"/>
  <c r="N311" i="1"/>
  <c r="N312" i="1"/>
  <c r="N313" i="1"/>
  <c r="N315" i="1"/>
  <c r="N316" i="1"/>
  <c r="N317" i="1"/>
  <c r="N318" i="1"/>
  <c r="N319" i="1"/>
  <c r="N320" i="1"/>
  <c r="N321" i="1"/>
  <c r="N322" i="1"/>
  <c r="N323" i="1"/>
  <c r="N325" i="1"/>
  <c r="N326" i="1"/>
  <c r="N327" i="1"/>
  <c r="N328" i="1"/>
  <c r="N329" i="1"/>
  <c r="N331" i="1"/>
  <c r="N332" i="1"/>
  <c r="N333" i="1"/>
  <c r="N334" i="1"/>
  <c r="N335" i="1"/>
  <c r="N336" i="1"/>
  <c r="N337" i="1"/>
  <c r="N338" i="1"/>
  <c r="N339" i="1"/>
  <c r="N341" i="1"/>
  <c r="N342" i="1"/>
  <c r="N343" i="1"/>
  <c r="N344" i="1"/>
  <c r="N345" i="1"/>
  <c r="N347" i="1"/>
  <c r="N348" i="1"/>
  <c r="N349" i="1"/>
  <c r="N350" i="1"/>
  <c r="N351" i="1"/>
  <c r="N352" i="1"/>
  <c r="N353" i="1"/>
  <c r="N354" i="1"/>
  <c r="N355" i="1"/>
  <c r="N357" i="1"/>
  <c r="N358" i="1"/>
  <c r="N359" i="1"/>
  <c r="N360" i="1"/>
  <c r="N361" i="1"/>
  <c r="N363" i="1"/>
  <c r="N364" i="1"/>
  <c r="N365" i="1"/>
  <c r="N366" i="1"/>
  <c r="N367" i="1"/>
  <c r="N368" i="1"/>
  <c r="N369" i="1"/>
  <c r="N370" i="1"/>
  <c r="N371" i="1"/>
  <c r="N373" i="1"/>
  <c r="N374" i="1"/>
  <c r="N375" i="1"/>
  <c r="N376" i="1"/>
  <c r="N377" i="1"/>
  <c r="N379" i="1"/>
  <c r="N380" i="1"/>
  <c r="N381" i="1"/>
  <c r="N382" i="1"/>
  <c r="N383" i="1"/>
  <c r="N384" i="1"/>
  <c r="N385" i="1"/>
  <c r="N386" i="1"/>
  <c r="N387" i="1"/>
  <c r="N389" i="1"/>
  <c r="N390" i="1"/>
  <c r="N391" i="1"/>
  <c r="N392" i="1"/>
  <c r="N393" i="1"/>
  <c r="N395" i="1"/>
  <c r="N396" i="1"/>
  <c r="N397" i="1"/>
  <c r="N398" i="1"/>
  <c r="N399" i="1"/>
  <c r="N400" i="1"/>
  <c r="N401" i="1"/>
  <c r="N402" i="1"/>
  <c r="N403" i="1"/>
  <c r="N405" i="1"/>
  <c r="N406" i="1"/>
  <c r="N407" i="1"/>
  <c r="N408" i="1"/>
  <c r="N409" i="1"/>
  <c r="N411" i="1"/>
  <c r="N412" i="1"/>
  <c r="N413" i="1"/>
  <c r="N414" i="1"/>
  <c r="N415" i="1"/>
  <c r="N416" i="1"/>
  <c r="N417" i="1"/>
  <c r="N418" i="1"/>
  <c r="N419" i="1"/>
  <c r="N421" i="1"/>
  <c r="N422" i="1"/>
  <c r="N423" i="1"/>
  <c r="N424" i="1"/>
  <c r="N425" i="1"/>
  <c r="N427" i="1"/>
  <c r="N428" i="1"/>
  <c r="N429" i="1"/>
  <c r="N430" i="1"/>
  <c r="N431" i="1"/>
  <c r="N432" i="1"/>
  <c r="N433" i="1"/>
  <c r="N434" i="1"/>
  <c r="N435" i="1"/>
  <c r="N437" i="1"/>
  <c r="N438" i="1"/>
  <c r="N439" i="1"/>
  <c r="N440" i="1"/>
  <c r="N441" i="1"/>
  <c r="N443" i="1"/>
  <c r="N444" i="1"/>
  <c r="N445" i="1"/>
  <c r="N446" i="1"/>
  <c r="N447" i="1"/>
  <c r="N448" i="1"/>
  <c r="N449" i="1"/>
  <c r="N450" i="1"/>
  <c r="N451" i="1"/>
  <c r="N453" i="1"/>
  <c r="N454" i="1"/>
  <c r="N455" i="1"/>
  <c r="N456" i="1"/>
  <c r="N457" i="1"/>
  <c r="N459" i="1"/>
  <c r="N460" i="1"/>
  <c r="N461" i="1"/>
  <c r="N462" i="1"/>
  <c r="N463" i="1"/>
  <c r="N464" i="1"/>
  <c r="N465" i="1"/>
  <c r="N466" i="1"/>
  <c r="N467" i="1"/>
  <c r="N469" i="1"/>
  <c r="N470" i="1"/>
  <c r="N471" i="1"/>
  <c r="N472" i="1"/>
  <c r="N473" i="1"/>
  <c r="N475" i="1"/>
  <c r="N476" i="1"/>
  <c r="N477" i="1"/>
  <c r="N478" i="1"/>
  <c r="N479" i="1"/>
  <c r="N480" i="1"/>
  <c r="N481" i="1"/>
  <c r="N482" i="1"/>
  <c r="N483" i="1"/>
  <c r="N485" i="1"/>
  <c r="N486" i="1"/>
  <c r="N487" i="1"/>
  <c r="N488" i="1"/>
  <c r="N489" i="1"/>
  <c r="N491" i="1"/>
  <c r="N492" i="1"/>
  <c r="N493" i="1"/>
  <c r="N494" i="1"/>
  <c r="N495" i="1"/>
  <c r="N496" i="1"/>
  <c r="N497" i="1"/>
  <c r="N498" i="1"/>
  <c r="N499" i="1"/>
  <c r="N501" i="1"/>
  <c r="N502" i="1"/>
  <c r="N503" i="1"/>
  <c r="N504" i="1"/>
  <c r="N505" i="1"/>
  <c r="N507" i="1"/>
  <c r="N508" i="1"/>
  <c r="N509" i="1"/>
  <c r="N510" i="1"/>
  <c r="N511" i="1"/>
  <c r="N512" i="1"/>
  <c r="N513" i="1"/>
  <c r="N514" i="1"/>
  <c r="N515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6" i="1"/>
  <c r="N867" i="1"/>
  <c r="N868" i="1"/>
  <c r="N869" i="1"/>
  <c r="N870" i="1"/>
  <c r="N871" i="1"/>
  <c r="N872" i="1"/>
  <c r="N873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1" i="1"/>
  <c r="N892" i="1"/>
  <c r="N894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2" i="1"/>
  <c r="N913" i="1"/>
  <c r="N914" i="1"/>
  <c r="N915" i="1"/>
  <c r="N916" i="1"/>
  <c r="N917" i="1"/>
  <c r="N918" i="1"/>
  <c r="N919" i="1"/>
  <c r="N920" i="1"/>
  <c r="N921" i="1"/>
  <c r="N923" i="1"/>
  <c r="N924" i="1"/>
  <c r="N925" i="1"/>
  <c r="N926" i="1"/>
  <c r="N927" i="1"/>
  <c r="N928" i="1"/>
  <c r="N929" i="1"/>
  <c r="N930" i="1"/>
  <c r="N931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5" i="1"/>
  <c r="N966" i="1"/>
  <c r="N967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1" i="1"/>
  <c r="N992" i="1"/>
  <c r="N993" i="1"/>
  <c r="N994" i="1"/>
  <c r="N995" i="1"/>
  <c r="N996" i="1"/>
  <c r="N997" i="1"/>
  <c r="N998" i="1"/>
  <c r="N999" i="1"/>
  <c r="N1000" i="1"/>
  <c r="N1001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3" i="1"/>
  <c r="N1034" i="1"/>
  <c r="N1035" i="1"/>
  <c r="N1036" i="1"/>
  <c r="N1037" i="1"/>
  <c r="N1038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5" i="1"/>
  <c r="N1056" i="1"/>
  <c r="N1057" i="1"/>
  <c r="N1058" i="1"/>
  <c r="N1059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3" i="1"/>
  <c r="N1094" i="1"/>
  <c r="N1095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9" i="1"/>
  <c r="N1120" i="1"/>
  <c r="N1121" i="1"/>
  <c r="N1122" i="1"/>
  <c r="N1123" i="1"/>
  <c r="N1124" i="1"/>
  <c r="N1125" i="1"/>
  <c r="N1126" i="1"/>
  <c r="N1127" i="1"/>
  <c r="N1128" i="1"/>
  <c r="N1129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1" i="1"/>
  <c r="N1162" i="1"/>
  <c r="N1163" i="1"/>
  <c r="N1164" i="1"/>
  <c r="N1165" i="1"/>
  <c r="N1166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3" i="1"/>
  <c r="N1184" i="1"/>
  <c r="N1185" i="1"/>
  <c r="N1186" i="1"/>
  <c r="N1187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1" i="1"/>
  <c r="N1222" i="1"/>
  <c r="N1223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9" i="1"/>
  <c r="N1261" i="1"/>
  <c r="N1262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7" i="1"/>
  <c r="N1278" i="1"/>
  <c r="N1279" i="1"/>
  <c r="N1280" i="1"/>
  <c r="N1281" i="1"/>
  <c r="N1282" i="1"/>
  <c r="N1283" i="1"/>
  <c r="N1285" i="1"/>
  <c r="N1286" i="1"/>
  <c r="N1287" i="1"/>
  <c r="N1288" i="1"/>
  <c r="N1289" i="1"/>
  <c r="N1290" i="1"/>
  <c r="N1291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3" i="1"/>
  <c r="N1325" i="1"/>
  <c r="N1326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1" i="1"/>
  <c r="N1342" i="1"/>
  <c r="N1343" i="1"/>
  <c r="N1344" i="1"/>
  <c r="N1345" i="1"/>
  <c r="N1346" i="1"/>
  <c r="N1347" i="1"/>
  <c r="N1349" i="1"/>
  <c r="N1350" i="1"/>
  <c r="N1351" i="1"/>
  <c r="N1352" i="1"/>
  <c r="N1353" i="1"/>
  <c r="N1354" i="1"/>
  <c r="N1355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7" i="1"/>
  <c r="N1389" i="1"/>
  <c r="N1390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5" i="1"/>
  <c r="N1406" i="1"/>
  <c r="N1407" i="1"/>
  <c r="N1408" i="1"/>
  <c r="N1409" i="1"/>
  <c r="N1410" i="1"/>
  <c r="N1411" i="1"/>
  <c r="N1413" i="1"/>
  <c r="N1414" i="1"/>
  <c r="N1415" i="1"/>
  <c r="N1416" i="1"/>
  <c r="N1417" i="1"/>
  <c r="N1418" i="1"/>
  <c r="N1419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1" i="1"/>
  <c r="N1453" i="1"/>
  <c r="N1454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9" i="1"/>
  <c r="N1470" i="1"/>
  <c r="N1471" i="1"/>
  <c r="N1472" i="1"/>
  <c r="N1473" i="1"/>
  <c r="N1474" i="1"/>
  <c r="N1475" i="1"/>
  <c r="N1477" i="1"/>
  <c r="N1478" i="1"/>
  <c r="N1479" i="1"/>
  <c r="N1480" i="1"/>
  <c r="N1481" i="1"/>
  <c r="N1482" i="1"/>
  <c r="N1483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1" i="1"/>
  <c r="N1502" i="1"/>
  <c r="N1503" i="1"/>
  <c r="N1504" i="1"/>
  <c r="N1505" i="1"/>
  <c r="N1506" i="1"/>
  <c r="N1507" i="1"/>
  <c r="N1509" i="1"/>
  <c r="N1510" i="1"/>
  <c r="N1511" i="1"/>
  <c r="N1512" i="1"/>
  <c r="N1513" i="1"/>
  <c r="N1514" i="1"/>
  <c r="N1515" i="1"/>
  <c r="N1517" i="1"/>
  <c r="N1518" i="1"/>
  <c r="N1519" i="1"/>
  <c r="N1520" i="1"/>
  <c r="N1521" i="1"/>
  <c r="N1522" i="1"/>
  <c r="N1523" i="1"/>
  <c r="N1525" i="1"/>
  <c r="N1526" i="1"/>
  <c r="N1527" i="1"/>
  <c r="N1528" i="1"/>
  <c r="N1531" i="1"/>
  <c r="N1532" i="1"/>
  <c r="N1534" i="1"/>
  <c r="N1536" i="1"/>
  <c r="N1538" i="1"/>
  <c r="N1539" i="1"/>
  <c r="N1540" i="1"/>
  <c r="N1542" i="1"/>
  <c r="N1543" i="1"/>
  <c r="N1544" i="1"/>
  <c r="N1546" i="1"/>
  <c r="N1547" i="1"/>
  <c r="N1548" i="1"/>
  <c r="N1550" i="1"/>
  <c r="N1551" i="1"/>
  <c r="N1552" i="1"/>
  <c r="N1554" i="1"/>
  <c r="N1555" i="1"/>
  <c r="N1556" i="1"/>
  <c r="N1558" i="1"/>
  <c r="N1559" i="1"/>
  <c r="N1560" i="1"/>
  <c r="N1562" i="1"/>
  <c r="N1563" i="1"/>
  <c r="N1564" i="1"/>
  <c r="N1566" i="1"/>
  <c r="N1567" i="1"/>
  <c r="N1568" i="1"/>
  <c r="N1570" i="1"/>
  <c r="N1571" i="1"/>
  <c r="N1572" i="1"/>
  <c r="N1574" i="1"/>
  <c r="N1575" i="1"/>
  <c r="N1576" i="1"/>
  <c r="N1578" i="1"/>
  <c r="N1579" i="1"/>
  <c r="N1580" i="1"/>
  <c r="N1582" i="1"/>
  <c r="N1583" i="1"/>
  <c r="N1584" i="1"/>
  <c r="N1586" i="1"/>
  <c r="N1587" i="1"/>
  <c r="N1588" i="1"/>
  <c r="N1590" i="1"/>
  <c r="N1591" i="1"/>
  <c r="N1592" i="1"/>
  <c r="N1594" i="1"/>
  <c r="N1595" i="1"/>
  <c r="N1596" i="1"/>
  <c r="N1598" i="1"/>
  <c r="N1599" i="1"/>
  <c r="N1600" i="1"/>
  <c r="N1602" i="1"/>
  <c r="N1603" i="1"/>
  <c r="N1604" i="1"/>
  <c r="N1606" i="1"/>
  <c r="N1607" i="1"/>
  <c r="N1608" i="1"/>
  <c r="N1610" i="1"/>
  <c r="N1611" i="1"/>
  <c r="N1612" i="1"/>
  <c r="N1614" i="1"/>
  <c r="N1615" i="1"/>
  <c r="N1616" i="1"/>
  <c r="N1618" i="1"/>
  <c r="N1619" i="1"/>
  <c r="N1620" i="1"/>
  <c r="N1622" i="1"/>
  <c r="N1623" i="1"/>
  <c r="N1624" i="1"/>
  <c r="N1626" i="1"/>
  <c r="N1627" i="1"/>
  <c r="N1628" i="1"/>
  <c r="N1630" i="1"/>
  <c r="N1631" i="1"/>
  <c r="N1632" i="1"/>
  <c r="N1634" i="1"/>
  <c r="N1635" i="1"/>
  <c r="N1636" i="1"/>
  <c r="N1638" i="1"/>
  <c r="N1639" i="1"/>
  <c r="N1640" i="1"/>
  <c r="N1642" i="1"/>
  <c r="N1643" i="1"/>
  <c r="N1644" i="1"/>
  <c r="N1646" i="1"/>
  <c r="N1647" i="1"/>
  <c r="N1648" i="1"/>
  <c r="N1650" i="1"/>
  <c r="N1651" i="1"/>
  <c r="N1652" i="1"/>
  <c r="N1654" i="1"/>
  <c r="N1655" i="1"/>
  <c r="N1656" i="1"/>
  <c r="N1658" i="1"/>
  <c r="N1659" i="1"/>
  <c r="N1660" i="1"/>
  <c r="N1662" i="1"/>
  <c r="N1663" i="1"/>
  <c r="N1664" i="1"/>
  <c r="N1666" i="1"/>
  <c r="N1667" i="1"/>
  <c r="N1668" i="1"/>
  <c r="N1670" i="1"/>
  <c r="N1671" i="1"/>
  <c r="N1672" i="1"/>
  <c r="N1674" i="1"/>
  <c r="N1675" i="1"/>
  <c r="N1676" i="1"/>
  <c r="N1678" i="1"/>
  <c r="N1679" i="1"/>
  <c r="N1680" i="1"/>
  <c r="N1682" i="1"/>
  <c r="N1683" i="1"/>
  <c r="N1684" i="1"/>
  <c r="N1686" i="1"/>
  <c r="N1687" i="1"/>
  <c r="N1688" i="1"/>
  <c r="N1690" i="1"/>
  <c r="N1691" i="1"/>
  <c r="N1692" i="1"/>
  <c r="N1694" i="1"/>
  <c r="N1695" i="1"/>
  <c r="N1696" i="1"/>
  <c r="N1698" i="1"/>
  <c r="N1699" i="1"/>
  <c r="N1700" i="1"/>
  <c r="N1702" i="1"/>
  <c r="N1703" i="1"/>
  <c r="N1704" i="1"/>
  <c r="N1706" i="1"/>
  <c r="N1707" i="1"/>
  <c r="N1708" i="1"/>
  <c r="N1710" i="1"/>
  <c r="N1711" i="1"/>
  <c r="N1712" i="1"/>
  <c r="N1714" i="1"/>
  <c r="N1715" i="1"/>
  <c r="N1716" i="1"/>
  <c r="N1718" i="1"/>
  <c r="N1719" i="1"/>
  <c r="N1720" i="1"/>
  <c r="N1722" i="1"/>
  <c r="N1723" i="1"/>
  <c r="N1724" i="1"/>
  <c r="N1726" i="1"/>
  <c r="N1727" i="1"/>
  <c r="N1728" i="1"/>
  <c r="N1730" i="1"/>
  <c r="N1731" i="1"/>
  <c r="N1732" i="1"/>
  <c r="N1734" i="1"/>
  <c r="N1735" i="1"/>
  <c r="N1736" i="1"/>
  <c r="N1738" i="1"/>
  <c r="N1739" i="1"/>
  <c r="N1740" i="1"/>
  <c r="N1742" i="1"/>
  <c r="N1743" i="1"/>
  <c r="N1744" i="1"/>
  <c r="N1746" i="1"/>
  <c r="N1747" i="1"/>
  <c r="N1748" i="1"/>
  <c r="N1750" i="1"/>
  <c r="N1751" i="1"/>
  <c r="N1752" i="1"/>
  <c r="N1754" i="1"/>
  <c r="N1755" i="1"/>
  <c r="N1756" i="1"/>
  <c r="N1758" i="1"/>
  <c r="N1759" i="1"/>
  <c r="N1760" i="1"/>
  <c r="N1762" i="1"/>
  <c r="N1763" i="1"/>
  <c r="N1764" i="1"/>
  <c r="N1766" i="1"/>
  <c r="N1767" i="1"/>
  <c r="N1768" i="1"/>
  <c r="N1770" i="1"/>
  <c r="N1771" i="1"/>
  <c r="N1772" i="1"/>
  <c r="N1774" i="1"/>
  <c r="N1775" i="1"/>
  <c r="N1776" i="1"/>
  <c r="N1778" i="1"/>
  <c r="N1779" i="1"/>
  <c r="N1780" i="1"/>
  <c r="N1782" i="1"/>
  <c r="N1783" i="1"/>
  <c r="N1784" i="1"/>
  <c r="N1786" i="1"/>
  <c r="N1787" i="1"/>
  <c r="N1788" i="1"/>
  <c r="N1790" i="1"/>
  <c r="N1791" i="1"/>
  <c r="N1792" i="1"/>
  <c r="N1794" i="1"/>
  <c r="N1795" i="1"/>
  <c r="N1796" i="1"/>
  <c r="N1798" i="1"/>
  <c r="N1799" i="1"/>
  <c r="N1800" i="1"/>
  <c r="N1802" i="1"/>
  <c r="N1803" i="1"/>
  <c r="N1804" i="1"/>
  <c r="N1806" i="1"/>
  <c r="N1807" i="1"/>
  <c r="N1808" i="1"/>
  <c r="N1810" i="1"/>
  <c r="N1811" i="1"/>
  <c r="N1812" i="1"/>
  <c r="N1814" i="1"/>
  <c r="N1815" i="1"/>
  <c r="N1816" i="1"/>
  <c r="N1818" i="1"/>
  <c r="N1819" i="1"/>
  <c r="N1820" i="1"/>
  <c r="N1822" i="1"/>
  <c r="N1823" i="1"/>
  <c r="N1824" i="1"/>
  <c r="N1826" i="1"/>
  <c r="N1827" i="1"/>
  <c r="N1828" i="1"/>
  <c r="N1830" i="1"/>
  <c r="N1831" i="1"/>
  <c r="N1832" i="1"/>
  <c r="N1834" i="1"/>
  <c r="N1835" i="1"/>
  <c r="N1836" i="1"/>
  <c r="N1838" i="1"/>
  <c r="N1839" i="1"/>
  <c r="N1840" i="1"/>
  <c r="N1842" i="1"/>
  <c r="N1843" i="1"/>
  <c r="N1844" i="1"/>
  <c r="N1846" i="1"/>
  <c r="N1847" i="1"/>
  <c r="N1848" i="1"/>
  <c r="N1850" i="1"/>
  <c r="N1851" i="1"/>
  <c r="N1852" i="1"/>
  <c r="N1854" i="1"/>
  <c r="N1855" i="1"/>
  <c r="N1856" i="1"/>
  <c r="N1858" i="1"/>
  <c r="N1859" i="1"/>
  <c r="N1860" i="1"/>
  <c r="N1862" i="1"/>
  <c r="N1863" i="1"/>
  <c r="N1864" i="1"/>
  <c r="N1866" i="1"/>
  <c r="N1867" i="1"/>
  <c r="N1868" i="1"/>
  <c r="N1870" i="1"/>
  <c r="N1871" i="1"/>
  <c r="N1872" i="1"/>
  <c r="N1874" i="1"/>
  <c r="N1875" i="1"/>
  <c r="N1876" i="1"/>
  <c r="N1878" i="1"/>
  <c r="N1879" i="1"/>
  <c r="N1880" i="1"/>
  <c r="N1882" i="1"/>
  <c r="N1883" i="1"/>
  <c r="N1884" i="1"/>
  <c r="N1886" i="1"/>
  <c r="N1887" i="1"/>
  <c r="N1888" i="1"/>
  <c r="N1890" i="1"/>
  <c r="N1891" i="1"/>
  <c r="N1892" i="1"/>
  <c r="N1894" i="1"/>
  <c r="N1895" i="1"/>
  <c r="N1896" i="1"/>
  <c r="N1898" i="1"/>
  <c r="N1899" i="1"/>
  <c r="N1900" i="1"/>
  <c r="N1902" i="1"/>
  <c r="N1903" i="1"/>
  <c r="N1904" i="1"/>
  <c r="N1906" i="1"/>
  <c r="N1907" i="1"/>
  <c r="N1908" i="1"/>
  <c r="N1910" i="1"/>
  <c r="N1911" i="1"/>
  <c r="N1912" i="1"/>
  <c r="N1914" i="1"/>
  <c r="N1915" i="1"/>
  <c r="N1916" i="1"/>
  <c r="N1918" i="1"/>
  <c r="N1919" i="1"/>
  <c r="N1920" i="1"/>
  <c r="N1922" i="1"/>
  <c r="N1923" i="1"/>
  <c r="N1924" i="1"/>
  <c r="N1926" i="1"/>
  <c r="N1927" i="1"/>
  <c r="N1928" i="1"/>
  <c r="N1930" i="1"/>
  <c r="N1931" i="1"/>
  <c r="N1932" i="1"/>
  <c r="N1934" i="1"/>
  <c r="N1935" i="1"/>
  <c r="N1936" i="1"/>
  <c r="N1938" i="1"/>
  <c r="N1939" i="1"/>
  <c r="N1940" i="1"/>
  <c r="N1942" i="1"/>
  <c r="N1943" i="1"/>
  <c r="N1944" i="1"/>
  <c r="N1946" i="1"/>
  <c r="N1947" i="1"/>
  <c r="N1948" i="1"/>
  <c r="N1950" i="1"/>
  <c r="N1951" i="1"/>
  <c r="N1952" i="1"/>
  <c r="N1954" i="1"/>
  <c r="N1955" i="1"/>
  <c r="N1956" i="1"/>
  <c r="N1958" i="1"/>
  <c r="N1959" i="1"/>
  <c r="N1960" i="1"/>
  <c r="N1962" i="1"/>
  <c r="N1963" i="1"/>
  <c r="N1964" i="1"/>
  <c r="N1966" i="1"/>
  <c r="N1967" i="1"/>
  <c r="N1968" i="1"/>
  <c r="N1970" i="1"/>
  <c r="N1971" i="1"/>
  <c r="N1972" i="1"/>
  <c r="N1974" i="1"/>
  <c r="N1975" i="1"/>
  <c r="N1976" i="1"/>
  <c r="N1978" i="1"/>
  <c r="N1979" i="1"/>
  <c r="N1980" i="1"/>
  <c r="N1982" i="1"/>
  <c r="N1983" i="1"/>
  <c r="N1984" i="1"/>
  <c r="N1986" i="1"/>
  <c r="N1987" i="1"/>
  <c r="N1988" i="1"/>
  <c r="N1990" i="1"/>
  <c r="N1991" i="1"/>
  <c r="N1992" i="1"/>
  <c r="N1994" i="1"/>
  <c r="N1995" i="1"/>
  <c r="N1996" i="1"/>
  <c r="N1998" i="1"/>
  <c r="N1999" i="1"/>
  <c r="N2000" i="1"/>
  <c r="M3" i="1"/>
  <c r="N3" i="1" s="1"/>
  <c r="M4" i="1"/>
  <c r="N4" i="1" s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M2" i="1"/>
  <c r="N2" i="1" s="1"/>
</calcChain>
</file>

<file path=xl/sharedStrings.xml><?xml version="1.0" encoding="utf-8"?>
<sst xmlns="http://schemas.openxmlformats.org/spreadsheetml/2006/main" count="14114" uniqueCount="2413">
  <si>
    <t>InvoiceNo</t>
  </si>
  <si>
    <t>Date</t>
  </si>
  <si>
    <t>StoreID</t>
  </si>
  <si>
    <t>Region</t>
  </si>
  <si>
    <t>ProductID</t>
  </si>
  <si>
    <t>Category</t>
  </si>
  <si>
    <t>Quantity</t>
  </si>
  <si>
    <t>UnitPrice</t>
  </si>
  <si>
    <t>Discount</t>
  </si>
  <si>
    <t>CostPerUnit</t>
  </si>
  <si>
    <t>CustomerType</t>
  </si>
  <si>
    <t>PaymentMode</t>
  </si>
  <si>
    <t>NV1000</t>
  </si>
  <si>
    <t>ST10</t>
  </si>
  <si>
    <t>West</t>
  </si>
  <si>
    <t>P126</t>
  </si>
  <si>
    <t>Shoes</t>
  </si>
  <si>
    <t>Returning</t>
  </si>
  <si>
    <t>Cash</t>
  </si>
  <si>
    <t>NV1001</t>
  </si>
  <si>
    <t>ST38</t>
  </si>
  <si>
    <t>East</t>
  </si>
  <si>
    <t>P276</t>
  </si>
  <si>
    <t>Accessories</t>
  </si>
  <si>
    <t>New</t>
  </si>
  <si>
    <t>NV1002</t>
  </si>
  <si>
    <t>ST42</t>
  </si>
  <si>
    <t>P119</t>
  </si>
  <si>
    <t>Clothing</t>
  </si>
  <si>
    <t>NV1003</t>
  </si>
  <si>
    <t>ST2</t>
  </si>
  <si>
    <t>North</t>
  </si>
  <si>
    <t>P78</t>
  </si>
  <si>
    <t>Card</t>
  </si>
  <si>
    <t>NV1004</t>
  </si>
  <si>
    <t>ST22</t>
  </si>
  <si>
    <t>P123</t>
  </si>
  <si>
    <t>Digital</t>
  </si>
  <si>
    <t>NV1005</t>
  </si>
  <si>
    <t>ST28</t>
  </si>
  <si>
    <t>P120</t>
  </si>
  <si>
    <t>NV1006</t>
  </si>
  <si>
    <t>ST39</t>
  </si>
  <si>
    <t>P204</t>
  </si>
  <si>
    <t>NV1007</t>
  </si>
  <si>
    <t>ST5</t>
  </si>
  <si>
    <t>South</t>
  </si>
  <si>
    <t>P211</t>
  </si>
  <si>
    <t>NV1008</t>
  </si>
  <si>
    <t>P41</t>
  </si>
  <si>
    <t>NV1009</t>
  </si>
  <si>
    <t>ST6</t>
  </si>
  <si>
    <t>P141</t>
  </si>
  <si>
    <t>NV1010</t>
  </si>
  <si>
    <t>ST41</t>
  </si>
  <si>
    <t>P284</t>
  </si>
  <si>
    <t>NV1011</t>
  </si>
  <si>
    <t>P170</t>
  </si>
  <si>
    <t>NV1012</t>
  </si>
  <si>
    <t>ST13</t>
  </si>
  <si>
    <t>P220</t>
  </si>
  <si>
    <t>NV1013</t>
  </si>
  <si>
    <t>ST16</t>
  </si>
  <si>
    <t>P167</t>
  </si>
  <si>
    <t>NV1014</t>
  </si>
  <si>
    <t>ST43</t>
  </si>
  <si>
    <t>P110</t>
  </si>
  <si>
    <t>NV1015</t>
  </si>
  <si>
    <t>ST26</t>
  </si>
  <si>
    <t>P174</t>
  </si>
  <si>
    <t>NV1016</t>
  </si>
  <si>
    <t>ST34</t>
  </si>
  <si>
    <t>P59</t>
  </si>
  <si>
    <t>NV1017</t>
  </si>
  <si>
    <t>ST23</t>
  </si>
  <si>
    <t>P150</t>
  </si>
  <si>
    <t>NV1018</t>
  </si>
  <si>
    <t>ST27</t>
  </si>
  <si>
    <t>P23</t>
  </si>
  <si>
    <t>NV1019</t>
  </si>
  <si>
    <t>P145</t>
  </si>
  <si>
    <t>NV1020</t>
  </si>
  <si>
    <t>P87</t>
  </si>
  <si>
    <t>NV1021</t>
  </si>
  <si>
    <t>ST12</t>
  </si>
  <si>
    <t>NV1022</t>
  </si>
  <si>
    <t>ST51</t>
  </si>
  <si>
    <t>P132</t>
  </si>
  <si>
    <t>NV1023</t>
  </si>
  <si>
    <t>ST49</t>
  </si>
  <si>
    <t>P109</t>
  </si>
  <si>
    <t>NV1024</t>
  </si>
  <si>
    <t>ST15</t>
  </si>
  <si>
    <t>P106</t>
  </si>
  <si>
    <t>NV1025</t>
  </si>
  <si>
    <t>ST44</t>
  </si>
  <si>
    <t>P236</t>
  </si>
  <si>
    <t>NV1026</t>
  </si>
  <si>
    <t>ST57</t>
  </si>
  <si>
    <t>NV1027</t>
  </si>
  <si>
    <t>ST1</t>
  </si>
  <si>
    <t>P55</t>
  </si>
  <si>
    <t>NV1028</t>
  </si>
  <si>
    <t>P95</t>
  </si>
  <si>
    <t>NV1029</t>
  </si>
  <si>
    <t>P166</t>
  </si>
  <si>
    <t>NV1030</t>
  </si>
  <si>
    <t>P60</t>
  </si>
  <si>
    <t>NV1031</t>
  </si>
  <si>
    <t>ST35</t>
  </si>
  <si>
    <t>P285</t>
  </si>
  <si>
    <t>NV1032</t>
  </si>
  <si>
    <t>P122</t>
  </si>
  <si>
    <t>NV1033</t>
  </si>
  <si>
    <t>ST48</t>
  </si>
  <si>
    <t>P27</t>
  </si>
  <si>
    <t>NV1034</t>
  </si>
  <si>
    <t>P261</t>
  </si>
  <si>
    <t>NV1035</t>
  </si>
  <si>
    <t>ST17</t>
  </si>
  <si>
    <t>P154</t>
  </si>
  <si>
    <t>NV1036</t>
  </si>
  <si>
    <t>ST7</t>
  </si>
  <si>
    <t>P242</t>
  </si>
  <si>
    <t>NV1037</t>
  </si>
  <si>
    <t>ST36</t>
  </si>
  <si>
    <t>P197</t>
  </si>
  <si>
    <t>NV1038</t>
  </si>
  <si>
    <t>ST30</t>
  </si>
  <si>
    <t>P43</t>
  </si>
  <si>
    <t>NV1039</t>
  </si>
  <si>
    <t>NV1040</t>
  </si>
  <si>
    <t>P187</t>
  </si>
  <si>
    <t>NV1041</t>
  </si>
  <si>
    <t>P68</t>
  </si>
  <si>
    <t>NV1042</t>
  </si>
  <si>
    <t>NV1043</t>
  </si>
  <si>
    <t>P151</t>
  </si>
  <si>
    <t>NV1044</t>
  </si>
  <si>
    <t>ST11</t>
  </si>
  <si>
    <t>P295</t>
  </si>
  <si>
    <t>NV1045</t>
  </si>
  <si>
    <t>P214</t>
  </si>
  <si>
    <t>NV1046</t>
  </si>
  <si>
    <t>ST37</t>
  </si>
  <si>
    <t>NV1047</t>
  </si>
  <si>
    <t>ST29</t>
  </si>
  <si>
    <t>P12</t>
  </si>
  <si>
    <t>NV1048</t>
  </si>
  <si>
    <t>ST4</t>
  </si>
  <si>
    <t>P13</t>
  </si>
  <si>
    <t>NV1049</t>
  </si>
  <si>
    <t>ST33</t>
  </si>
  <si>
    <t>P62</t>
  </si>
  <si>
    <t>NV1050</t>
  </si>
  <si>
    <t>P11</t>
  </si>
  <si>
    <t>NV1051</t>
  </si>
  <si>
    <t>P81</t>
  </si>
  <si>
    <t>NV1052</t>
  </si>
  <si>
    <t>ST8</t>
  </si>
  <si>
    <t>P299</t>
  </si>
  <si>
    <t>NV1053</t>
  </si>
  <si>
    <t>P8</t>
  </si>
  <si>
    <t>NV1054</t>
  </si>
  <si>
    <t>P157</t>
  </si>
  <si>
    <t>NV1055</t>
  </si>
  <si>
    <t>NV1056</t>
  </si>
  <si>
    <t>P64</t>
  </si>
  <si>
    <t>NV1057</t>
  </si>
  <si>
    <t>P202</t>
  </si>
  <si>
    <t>NV1058</t>
  </si>
  <si>
    <t>ST19</t>
  </si>
  <si>
    <t>P158</t>
  </si>
  <si>
    <t>NV1059</t>
  </si>
  <si>
    <t>ST32</t>
  </si>
  <si>
    <t>P182</t>
  </si>
  <si>
    <t>NV1060</t>
  </si>
  <si>
    <t>P253</t>
  </si>
  <si>
    <t>NV1061</t>
  </si>
  <si>
    <t>ST25</t>
  </si>
  <si>
    <t>P270</t>
  </si>
  <si>
    <t>NV1062</t>
  </si>
  <si>
    <t>ST53</t>
  </si>
  <si>
    <t>P195</t>
  </si>
  <si>
    <t>NV1063</t>
  </si>
  <si>
    <t>ST24</t>
  </si>
  <si>
    <t>P76</t>
  </si>
  <si>
    <t>NV1064</t>
  </si>
  <si>
    <t>P114</t>
  </si>
  <si>
    <t>NV1065</t>
  </si>
  <si>
    <t>ST31</t>
  </si>
  <si>
    <t>P209</t>
  </si>
  <si>
    <t>NV1066</t>
  </si>
  <si>
    <t>ST47</t>
  </si>
  <si>
    <t>P75</t>
  </si>
  <si>
    <t>NV1067</t>
  </si>
  <si>
    <t>P99</t>
  </si>
  <si>
    <t>NV1068</t>
  </si>
  <si>
    <t>P85</t>
  </si>
  <si>
    <t>NV1069</t>
  </si>
  <si>
    <t>P246</t>
  </si>
  <si>
    <t>NV1070</t>
  </si>
  <si>
    <t>P232</t>
  </si>
  <si>
    <t>NV1071</t>
  </si>
  <si>
    <t>NV1072</t>
  </si>
  <si>
    <t>ST52</t>
  </si>
  <si>
    <t>P1</t>
  </si>
  <si>
    <t>NV1073</t>
  </si>
  <si>
    <t>P218</t>
  </si>
  <si>
    <t>NV1074</t>
  </si>
  <si>
    <t>P3</t>
  </si>
  <si>
    <t>NV1075</t>
  </si>
  <si>
    <t>P57</t>
  </si>
  <si>
    <t>NV1076</t>
  </si>
  <si>
    <t>P77</t>
  </si>
  <si>
    <t>NV1077</t>
  </si>
  <si>
    <t>P224</t>
  </si>
  <si>
    <t>NV1078</t>
  </si>
  <si>
    <t>P156</t>
  </si>
  <si>
    <t>NV1079</t>
  </si>
  <si>
    <t>P73</t>
  </si>
  <si>
    <t>NV1080</t>
  </si>
  <si>
    <t>P208</t>
  </si>
  <si>
    <t>NV1081</t>
  </si>
  <si>
    <t>ST58</t>
  </si>
  <si>
    <t>NV1082</t>
  </si>
  <si>
    <t>ST3</t>
  </si>
  <si>
    <t>P88</t>
  </si>
  <si>
    <t>NV1083</t>
  </si>
  <si>
    <t>P31</t>
  </si>
  <si>
    <t>NV1084</t>
  </si>
  <si>
    <t>P245</t>
  </si>
  <si>
    <t>NV1085</t>
  </si>
  <si>
    <t>P33</t>
  </si>
  <si>
    <t>NV1086</t>
  </si>
  <si>
    <t>P16</t>
  </si>
  <si>
    <t>NV1087</t>
  </si>
  <si>
    <t>NV1088</t>
  </si>
  <si>
    <t>P260</t>
  </si>
  <si>
    <t>NV1089</t>
  </si>
  <si>
    <t>NV1090</t>
  </si>
  <si>
    <t>ST54</t>
  </si>
  <si>
    <t>NV1091</t>
  </si>
  <si>
    <t>P226</t>
  </si>
  <si>
    <t>NV1092</t>
  </si>
  <si>
    <t>NV1093</t>
  </si>
  <si>
    <t>P223</t>
  </si>
  <si>
    <t>NV1094</t>
  </si>
  <si>
    <t>NV1095</t>
  </si>
  <si>
    <t>P244</t>
  </si>
  <si>
    <t>NV1096</t>
  </si>
  <si>
    <t>ST40</t>
  </si>
  <si>
    <t>NV1097</t>
  </si>
  <si>
    <t>ST56</t>
  </si>
  <si>
    <t>P227</t>
  </si>
  <si>
    <t>NV1098</t>
  </si>
  <si>
    <t>P19</t>
  </si>
  <si>
    <t>NV1099</t>
  </si>
  <si>
    <t>P71</t>
  </si>
  <si>
    <t>NV1100</t>
  </si>
  <si>
    <t>P213</t>
  </si>
  <si>
    <t>NV1101</t>
  </si>
  <si>
    <t>P54</t>
  </si>
  <si>
    <t>NV1102</t>
  </si>
  <si>
    <t>NV1103</t>
  </si>
  <si>
    <t>P142</t>
  </si>
  <si>
    <t>NV1104</t>
  </si>
  <si>
    <t>ST59</t>
  </si>
  <si>
    <t>NV1105</t>
  </si>
  <si>
    <t>ST45</t>
  </si>
  <si>
    <t>P56</t>
  </si>
  <si>
    <t>NV1106</t>
  </si>
  <si>
    <t>NV1107</t>
  </si>
  <si>
    <t>ST18</t>
  </si>
  <si>
    <t>P203</t>
  </si>
  <si>
    <t>NV1108</t>
  </si>
  <si>
    <t>P80</t>
  </si>
  <si>
    <t>NV1109</t>
  </si>
  <si>
    <t>ST20</t>
  </si>
  <si>
    <t>NV1110</t>
  </si>
  <si>
    <t>P235</t>
  </si>
  <si>
    <t>NV1111</t>
  </si>
  <si>
    <t>P24</t>
  </si>
  <si>
    <t>NV1112</t>
  </si>
  <si>
    <t>P21</t>
  </si>
  <si>
    <t>NV1113</t>
  </si>
  <si>
    <t>ST21</t>
  </si>
  <si>
    <t>P118</t>
  </si>
  <si>
    <t>NV1114</t>
  </si>
  <si>
    <t>P48</t>
  </si>
  <si>
    <t>NV1115</t>
  </si>
  <si>
    <t>P58</t>
  </si>
  <si>
    <t>NV1116</t>
  </si>
  <si>
    <t>NV1117</t>
  </si>
  <si>
    <t>P155</t>
  </si>
  <si>
    <t>NV1118</t>
  </si>
  <si>
    <t>ST60</t>
  </si>
  <si>
    <t>NV1119</t>
  </si>
  <si>
    <t>NV1120</t>
  </si>
  <si>
    <t>P200</t>
  </si>
  <si>
    <t>NV1121</t>
  </si>
  <si>
    <t>NV1122</t>
  </si>
  <si>
    <t>ST9</t>
  </si>
  <si>
    <t>P116</t>
  </si>
  <si>
    <t>NV1123</t>
  </si>
  <si>
    <t>P206</t>
  </si>
  <si>
    <t>NV1124</t>
  </si>
  <si>
    <t>P49</t>
  </si>
  <si>
    <t>NV1125</t>
  </si>
  <si>
    <t>ST14</t>
  </si>
  <si>
    <t>NV1126</t>
  </si>
  <si>
    <t>P193</t>
  </si>
  <si>
    <t>NV1127</t>
  </si>
  <si>
    <t>P171</t>
  </si>
  <si>
    <t>NV1128</t>
  </si>
  <si>
    <t>P271</t>
  </si>
  <si>
    <t>NV1129</t>
  </si>
  <si>
    <t>P63</t>
  </si>
  <si>
    <t>NV1130</t>
  </si>
  <si>
    <t>NV1131</t>
  </si>
  <si>
    <t>NV1132</t>
  </si>
  <si>
    <t>NV1133</t>
  </si>
  <si>
    <t>P257</t>
  </si>
  <si>
    <t>NV1134</t>
  </si>
  <si>
    <t>P282</t>
  </si>
  <si>
    <t>NV1135</t>
  </si>
  <si>
    <t>P173</t>
  </si>
  <si>
    <t>NV1136</t>
  </si>
  <si>
    <t>P258</t>
  </si>
  <si>
    <t>NV1137</t>
  </si>
  <si>
    <t>P108</t>
  </si>
  <si>
    <t>NV1138</t>
  </si>
  <si>
    <t>P38</t>
  </si>
  <si>
    <t>NV1139</t>
  </si>
  <si>
    <t>P297</t>
  </si>
  <si>
    <t>NV1140</t>
  </si>
  <si>
    <t>P84</t>
  </si>
  <si>
    <t>NV1141</t>
  </si>
  <si>
    <t>P5</t>
  </si>
  <si>
    <t>NV1142</t>
  </si>
  <si>
    <t>P256</t>
  </si>
  <si>
    <t>NV1143</t>
  </si>
  <si>
    <t>NV1144</t>
  </si>
  <si>
    <t>P192</t>
  </si>
  <si>
    <t>NV1145</t>
  </si>
  <si>
    <t>NV1146</t>
  </si>
  <si>
    <t>P201</t>
  </si>
  <si>
    <t>NV1147</t>
  </si>
  <si>
    <t>P111</t>
  </si>
  <si>
    <t>NV1148</t>
  </si>
  <si>
    <t>NV1149</t>
  </si>
  <si>
    <t>NV1150</t>
  </si>
  <si>
    <t>P188</t>
  </si>
  <si>
    <t>NV1151</t>
  </si>
  <si>
    <t>P272</t>
  </si>
  <si>
    <t>NV1152</t>
  </si>
  <si>
    <t>NV1153</t>
  </si>
  <si>
    <t>P240</t>
  </si>
  <si>
    <t>NV1154</t>
  </si>
  <si>
    <t>NV1155</t>
  </si>
  <si>
    <t>NV1156</t>
  </si>
  <si>
    <t>P264</t>
  </si>
  <si>
    <t>NV1157</t>
  </si>
  <si>
    <t>NV1158</t>
  </si>
  <si>
    <t>P25</t>
  </si>
  <si>
    <t>NV1159</t>
  </si>
  <si>
    <t>NV1160</t>
  </si>
  <si>
    <t>NV1161</t>
  </si>
  <si>
    <t>NV1162</t>
  </si>
  <si>
    <t>P217</t>
  </si>
  <si>
    <t>NV1163</t>
  </si>
  <si>
    <t>P268</t>
  </si>
  <si>
    <t>NV1164</t>
  </si>
  <si>
    <t>NV1165</t>
  </si>
  <si>
    <t>NV1166</t>
  </si>
  <si>
    <t>ST55</t>
  </si>
  <si>
    <t>NV1167</t>
  </si>
  <si>
    <t>P28</t>
  </si>
  <si>
    <t>NV1168</t>
  </si>
  <si>
    <t>P36</t>
  </si>
  <si>
    <t>NV1169</t>
  </si>
  <si>
    <t>P121</t>
  </si>
  <si>
    <t>NV1170</t>
  </si>
  <si>
    <t>NV1171</t>
  </si>
  <si>
    <t>P255</t>
  </si>
  <si>
    <t>NV1172</t>
  </si>
  <si>
    <t>NV1173</t>
  </si>
  <si>
    <t>P163</t>
  </si>
  <si>
    <t>NV1174</t>
  </si>
  <si>
    <t>NV1175</t>
  </si>
  <si>
    <t>P169</t>
  </si>
  <si>
    <t>NV1176</t>
  </si>
  <si>
    <t>P143</t>
  </si>
  <si>
    <t>NV1177</t>
  </si>
  <si>
    <t>P181</t>
  </si>
  <si>
    <t>NV1178</t>
  </si>
  <si>
    <t>NV1179</t>
  </si>
  <si>
    <t>NV1180</t>
  </si>
  <si>
    <t>P210</t>
  </si>
  <si>
    <t>NV1181</t>
  </si>
  <si>
    <t>NV1182</t>
  </si>
  <si>
    <t>P247</t>
  </si>
  <si>
    <t>NV1183</t>
  </si>
  <si>
    <t>NV1184</t>
  </si>
  <si>
    <t>NV1185</t>
  </si>
  <si>
    <t>NV1186</t>
  </si>
  <si>
    <t>P234</t>
  </si>
  <si>
    <t>NV1187</t>
  </si>
  <si>
    <t>NV1188</t>
  </si>
  <si>
    <t>P254</t>
  </si>
  <si>
    <t>NV1189</t>
  </si>
  <si>
    <t>P6</t>
  </si>
  <si>
    <t>NV1190</t>
  </si>
  <si>
    <t>NV1191</t>
  </si>
  <si>
    <t>P185</t>
  </si>
  <si>
    <t>NV1192</t>
  </si>
  <si>
    <t>NV1193</t>
  </si>
  <si>
    <t>NV1194</t>
  </si>
  <si>
    <t>NV1195</t>
  </si>
  <si>
    <t>P207</t>
  </si>
  <si>
    <t>NV1196</t>
  </si>
  <si>
    <t>NV1197</t>
  </si>
  <si>
    <t>NV1198</t>
  </si>
  <si>
    <t>NV1199</t>
  </si>
  <si>
    <t>NV1200</t>
  </si>
  <si>
    <t>P32</t>
  </si>
  <si>
    <t>NV1201</t>
  </si>
  <si>
    <t>NV1202</t>
  </si>
  <si>
    <t>P293</t>
  </si>
  <si>
    <t>NV1203</t>
  </si>
  <si>
    <t>P94</t>
  </si>
  <si>
    <t>NV1204</t>
  </si>
  <si>
    <t>P231</t>
  </si>
  <si>
    <t>NV1205</t>
  </si>
  <si>
    <t>NV1206</t>
  </si>
  <si>
    <t>P130</t>
  </si>
  <si>
    <t>NV1207</t>
  </si>
  <si>
    <t>NV1208</t>
  </si>
  <si>
    <t>P124</t>
  </si>
  <si>
    <t>NV1209</t>
  </si>
  <si>
    <t>NV1210</t>
  </si>
  <si>
    <t>NV1211</t>
  </si>
  <si>
    <t>P287</t>
  </si>
  <si>
    <t>NV1212</t>
  </si>
  <si>
    <t>P184</t>
  </si>
  <si>
    <t>NV1213</t>
  </si>
  <si>
    <t>NV1214</t>
  </si>
  <si>
    <t>P189</t>
  </si>
  <si>
    <t>NV1215</t>
  </si>
  <si>
    <t>NV1216</t>
  </si>
  <si>
    <t>P300</t>
  </si>
  <si>
    <t>NV1217</t>
  </si>
  <si>
    <t>P134</t>
  </si>
  <si>
    <t>NV1218</t>
  </si>
  <si>
    <t>P66</t>
  </si>
  <si>
    <t>NV1219</t>
  </si>
  <si>
    <t>NV1220</t>
  </si>
  <si>
    <t>ST50</t>
  </si>
  <si>
    <t>P175</t>
  </si>
  <si>
    <t>NV1221</t>
  </si>
  <si>
    <t>NV1222</t>
  </si>
  <si>
    <t>P50</t>
  </si>
  <si>
    <t>NV1223</t>
  </si>
  <si>
    <t>ST46</t>
  </si>
  <si>
    <t>P191</t>
  </si>
  <si>
    <t>NV1224</t>
  </si>
  <si>
    <t>NV1225</t>
  </si>
  <si>
    <t>P222</t>
  </si>
  <si>
    <t>NV1226</t>
  </si>
  <si>
    <t>P91</t>
  </si>
  <si>
    <t>NV1227</t>
  </si>
  <si>
    <t>NV1228</t>
  </si>
  <si>
    <t>NV1229</t>
  </si>
  <si>
    <t>NV1230</t>
  </si>
  <si>
    <t>NV1231</t>
  </si>
  <si>
    <t>P39</t>
  </si>
  <si>
    <t>NV1232</t>
  </si>
  <si>
    <t>P230</t>
  </si>
  <si>
    <t>NV1233</t>
  </si>
  <si>
    <t>NV1234</t>
  </si>
  <si>
    <t>NV1235</t>
  </si>
  <si>
    <t>P125</t>
  </si>
  <si>
    <t>NV1236</t>
  </si>
  <si>
    <t>NV1237</t>
  </si>
  <si>
    <t>NV1238</t>
  </si>
  <si>
    <t>NV1239</t>
  </si>
  <si>
    <t>NV1240</t>
  </si>
  <si>
    <t>NV1241</t>
  </si>
  <si>
    <t>P162</t>
  </si>
  <si>
    <t>NV1242</t>
  </si>
  <si>
    <t>NV1243</t>
  </si>
  <si>
    <t>P138</t>
  </si>
  <si>
    <t>NV1244</t>
  </si>
  <si>
    <t>P172</t>
  </si>
  <si>
    <t>NV1245</t>
  </si>
  <si>
    <t>NV1246</t>
  </si>
  <si>
    <t>P229</t>
  </si>
  <si>
    <t>NV1247</t>
  </si>
  <si>
    <t>P289</t>
  </si>
  <si>
    <t>NV1248</t>
  </si>
  <si>
    <t>NV1249</t>
  </si>
  <si>
    <t>NV1250</t>
  </si>
  <si>
    <t>NV1251</t>
  </si>
  <si>
    <t>NV1252</t>
  </si>
  <si>
    <t>NV1253</t>
  </si>
  <si>
    <t>NV1254</t>
  </si>
  <si>
    <t>NV1255</t>
  </si>
  <si>
    <t>P133</t>
  </si>
  <si>
    <t>NV1256</t>
  </si>
  <si>
    <t>NV1257</t>
  </si>
  <si>
    <t>P178</t>
  </si>
  <si>
    <t>NV1258</t>
  </si>
  <si>
    <t>P237</t>
  </si>
  <si>
    <t>NV1259</t>
  </si>
  <si>
    <t>NV1260</t>
  </si>
  <si>
    <t>NV1261</t>
  </si>
  <si>
    <t>P17</t>
  </si>
  <si>
    <t>NV1262</t>
  </si>
  <si>
    <t>NV1263</t>
  </si>
  <si>
    <t>P239</t>
  </si>
  <si>
    <t>NV1264</t>
  </si>
  <si>
    <t>P265</t>
  </si>
  <si>
    <t>NV1265</t>
  </si>
  <si>
    <t>NV1266</t>
  </si>
  <si>
    <t>NV1267</t>
  </si>
  <si>
    <t>NV1268</t>
  </si>
  <si>
    <t>NV1269</t>
  </si>
  <si>
    <t>NV1270</t>
  </si>
  <si>
    <t>P196</t>
  </si>
  <si>
    <t>NV1271</t>
  </si>
  <si>
    <t>NV1272</t>
  </si>
  <si>
    <t>NV1273</t>
  </si>
  <si>
    <t>P83</t>
  </si>
  <si>
    <t>NV1274</t>
  </si>
  <si>
    <t>P296</t>
  </si>
  <si>
    <t>NV1275</t>
  </si>
  <si>
    <t>NV1276</t>
  </si>
  <si>
    <t>P135</t>
  </si>
  <si>
    <t>NV1277</t>
  </si>
  <si>
    <t>NV1278</t>
  </si>
  <si>
    <t>NV1279</t>
  </si>
  <si>
    <t>NV1280</t>
  </si>
  <si>
    <t>P140</t>
  </si>
  <si>
    <t>NV1281</t>
  </si>
  <si>
    <t>P152</t>
  </si>
  <si>
    <t>NV1282</t>
  </si>
  <si>
    <t>P104</t>
  </si>
  <si>
    <t>NV1283</t>
  </si>
  <si>
    <t>NV1284</t>
  </si>
  <si>
    <t>NV1285</t>
  </si>
  <si>
    <t>NV1286</t>
  </si>
  <si>
    <t>P199</t>
  </si>
  <si>
    <t>NV1287</t>
  </si>
  <si>
    <t>NV1288</t>
  </si>
  <si>
    <t>NV1289</t>
  </si>
  <si>
    <t>NV1290</t>
  </si>
  <si>
    <t>NV1291</t>
  </si>
  <si>
    <t>P212</t>
  </si>
  <si>
    <t>NV1292</t>
  </si>
  <si>
    <t>P148</t>
  </si>
  <si>
    <t>NV1293</t>
  </si>
  <si>
    <t>P7</t>
  </si>
  <si>
    <t>NV1294</t>
  </si>
  <si>
    <t>P177</t>
  </si>
  <si>
    <t>NV1295</t>
  </si>
  <si>
    <t>NV1296</t>
  </si>
  <si>
    <t>NV1297</t>
  </si>
  <si>
    <t>NV1298</t>
  </si>
  <si>
    <t>NV1299</t>
  </si>
  <si>
    <t>P93</t>
  </si>
  <si>
    <t>NV1300</t>
  </si>
  <si>
    <t>NV1301</t>
  </si>
  <si>
    <t>NV1302</t>
  </si>
  <si>
    <t>NV1303</t>
  </si>
  <si>
    <t>P79</t>
  </si>
  <si>
    <t>NV1304</t>
  </si>
  <si>
    <t>NV1305</t>
  </si>
  <si>
    <t>P69</t>
  </si>
  <si>
    <t>NV1306</t>
  </si>
  <si>
    <t>P15</t>
  </si>
  <si>
    <t>NV1307</t>
  </si>
  <si>
    <t>NV1308</t>
  </si>
  <si>
    <t>P280</t>
  </si>
  <si>
    <t>NV1309</t>
  </si>
  <si>
    <t>NV1310</t>
  </si>
  <si>
    <t>NV1311</t>
  </si>
  <si>
    <t>NV1312</t>
  </si>
  <si>
    <t>P259</t>
  </si>
  <si>
    <t>NV1313</t>
  </si>
  <si>
    <t>P278</t>
  </si>
  <si>
    <t>NV1314</t>
  </si>
  <si>
    <t>P266</t>
  </si>
  <si>
    <t>NV1315</t>
  </si>
  <si>
    <t>NV1316</t>
  </si>
  <si>
    <t>NV1317</t>
  </si>
  <si>
    <t>NV1318</t>
  </si>
  <si>
    <t>P263</t>
  </si>
  <si>
    <t>NV1319</t>
  </si>
  <si>
    <t>NV1320</t>
  </si>
  <si>
    <t>P113</t>
  </si>
  <si>
    <t>NV1321</t>
  </si>
  <si>
    <t>NV1322</t>
  </si>
  <si>
    <t>NV1323</t>
  </si>
  <si>
    <t>P86</t>
  </si>
  <si>
    <t>NV1324</t>
  </si>
  <si>
    <t>NV1325</t>
  </si>
  <si>
    <t>NV1326</t>
  </si>
  <si>
    <t>NV1327</t>
  </si>
  <si>
    <t>NV1328</t>
  </si>
  <si>
    <t>NV1329</t>
  </si>
  <si>
    <t>NV1330</t>
  </si>
  <si>
    <t>P70</t>
  </si>
  <si>
    <t>NV1331</t>
  </si>
  <si>
    <t>P267</t>
  </si>
  <si>
    <t>NV1332</t>
  </si>
  <si>
    <t>NV1333</t>
  </si>
  <si>
    <t>NV1334</t>
  </si>
  <si>
    <t>NV1335</t>
  </si>
  <si>
    <t>NV1336</t>
  </si>
  <si>
    <t>NV1337</t>
  </si>
  <si>
    <t>NV1338</t>
  </si>
  <si>
    <t>P225</t>
  </si>
  <si>
    <t>NV1339</t>
  </si>
  <si>
    <t>NV1340</t>
  </si>
  <si>
    <t>NV1341</t>
  </si>
  <si>
    <t>P107</t>
  </si>
  <si>
    <t>NV1342</t>
  </si>
  <si>
    <t>P9</t>
  </si>
  <si>
    <t>NV1343</t>
  </si>
  <si>
    <t>P281</t>
  </si>
  <si>
    <t>NV1344</t>
  </si>
  <si>
    <t>NV1345</t>
  </si>
  <si>
    <t>NV1346</t>
  </si>
  <si>
    <t>NV1347</t>
  </si>
  <si>
    <t>P153</t>
  </si>
  <si>
    <t>NV1348</t>
  </si>
  <si>
    <t>NV1349</t>
  </si>
  <si>
    <t>P275</t>
  </si>
  <si>
    <t>NV1350</t>
  </si>
  <si>
    <t>NV1351</t>
  </si>
  <si>
    <t>NV1352</t>
  </si>
  <si>
    <t>NV1353</t>
  </si>
  <si>
    <t>NV1354</t>
  </si>
  <si>
    <t>NV1355</t>
  </si>
  <si>
    <t>NV1356</t>
  </si>
  <si>
    <t>NV1357</t>
  </si>
  <si>
    <t>NV1358</t>
  </si>
  <si>
    <t>NV1359</t>
  </si>
  <si>
    <t>NV1360</t>
  </si>
  <si>
    <t>NV1361</t>
  </si>
  <si>
    <t>NV1362</t>
  </si>
  <si>
    <t>NV1363</t>
  </si>
  <si>
    <t>P160</t>
  </si>
  <si>
    <t>NV1364</t>
  </si>
  <si>
    <t>NV1365</t>
  </si>
  <si>
    <t>P2</t>
  </si>
  <si>
    <t>NV1366</t>
  </si>
  <si>
    <t>NV1367</t>
  </si>
  <si>
    <t>P291</t>
  </si>
  <si>
    <t>NV1368</t>
  </si>
  <si>
    <t>NV1369</t>
  </si>
  <si>
    <t>NV1370</t>
  </si>
  <si>
    <t>P249</t>
  </si>
  <si>
    <t>NV1371</t>
  </si>
  <si>
    <t>NV1372</t>
  </si>
  <si>
    <t>P82</t>
  </si>
  <si>
    <t>NV1373</t>
  </si>
  <si>
    <t>P290</t>
  </si>
  <si>
    <t>NV1374</t>
  </si>
  <si>
    <t>NV1375</t>
  </si>
  <si>
    <t>P34</t>
  </si>
  <si>
    <t>NV1376</t>
  </si>
  <si>
    <t>NV1377</t>
  </si>
  <si>
    <t>P10</t>
  </si>
  <si>
    <t>NV1378</t>
  </si>
  <si>
    <t>NV1379</t>
  </si>
  <si>
    <t>NV1380</t>
  </si>
  <si>
    <t>NV1381</t>
  </si>
  <si>
    <t>NV1382</t>
  </si>
  <si>
    <t>NV1383</t>
  </si>
  <si>
    <t>P67</t>
  </si>
  <si>
    <t>NV1384</t>
  </si>
  <si>
    <t>NV1385</t>
  </si>
  <si>
    <t>NV1386</t>
  </si>
  <si>
    <t>NV1387</t>
  </si>
  <si>
    <t>NV1388</t>
  </si>
  <si>
    <t>P103</t>
  </si>
  <si>
    <t>NV1389</t>
  </si>
  <si>
    <t>NV1390</t>
  </si>
  <si>
    <t>NV1391</t>
  </si>
  <si>
    <t>P251</t>
  </si>
  <si>
    <t>NV1392</t>
  </si>
  <si>
    <t>NV1393</t>
  </si>
  <si>
    <t>P205</t>
  </si>
  <si>
    <t>NV1394</t>
  </si>
  <si>
    <t>NV1395</t>
  </si>
  <si>
    <t>NV1396</t>
  </si>
  <si>
    <t>NV1397</t>
  </si>
  <si>
    <t>NV1398</t>
  </si>
  <si>
    <t>NV1399</t>
  </si>
  <si>
    <t>NV1400</t>
  </si>
  <si>
    <t>NV1401</t>
  </si>
  <si>
    <t>NV1402</t>
  </si>
  <si>
    <t>P61</t>
  </si>
  <si>
    <t>NV1403</t>
  </si>
  <si>
    <t>NV1404</t>
  </si>
  <si>
    <t>NV1405</t>
  </si>
  <si>
    <t>NV1406</t>
  </si>
  <si>
    <t>NV1407</t>
  </si>
  <si>
    <t>NV1408</t>
  </si>
  <si>
    <t>NV1409</t>
  </si>
  <si>
    <t>NV1410</t>
  </si>
  <si>
    <t>NV1411</t>
  </si>
  <si>
    <t>NV1412</t>
  </si>
  <si>
    <t>NV1413</t>
  </si>
  <si>
    <t>NV1414</t>
  </si>
  <si>
    <t>NV1415</t>
  </si>
  <si>
    <t>NV1416</t>
  </si>
  <si>
    <t>NV1417</t>
  </si>
  <si>
    <t>NV1418</t>
  </si>
  <si>
    <t>NV1419</t>
  </si>
  <si>
    <t>NV1420</t>
  </si>
  <si>
    <t>NV1421</t>
  </si>
  <si>
    <t>NV1422</t>
  </si>
  <si>
    <t>NV1423</t>
  </si>
  <si>
    <t>NV1424</t>
  </si>
  <si>
    <t>NV1425</t>
  </si>
  <si>
    <t>NV1426</t>
  </si>
  <si>
    <t>NV1427</t>
  </si>
  <si>
    <t>NV1428</t>
  </si>
  <si>
    <t>P136</t>
  </si>
  <si>
    <t>NV1429</t>
  </si>
  <si>
    <t>P273</t>
  </si>
  <si>
    <t>NV1430</t>
  </si>
  <si>
    <t>NV1431</t>
  </si>
  <si>
    <t>NV1432</t>
  </si>
  <si>
    <t>NV1433</t>
  </si>
  <si>
    <t>NV1434</t>
  </si>
  <si>
    <t>NV1435</t>
  </si>
  <si>
    <t>NV1436</t>
  </si>
  <si>
    <t>NV1437</t>
  </si>
  <si>
    <t>P100</t>
  </si>
  <si>
    <t>NV1438</t>
  </si>
  <si>
    <t>NV1439</t>
  </si>
  <si>
    <t>NV1440</t>
  </si>
  <si>
    <t>NV1441</t>
  </si>
  <si>
    <t>NV1442</t>
  </si>
  <si>
    <t>NV1443</t>
  </si>
  <si>
    <t>P14</t>
  </si>
  <si>
    <t>NV1444</t>
  </si>
  <si>
    <t>NV1445</t>
  </si>
  <si>
    <t>NV1446</t>
  </si>
  <si>
    <t>NV1447</t>
  </si>
  <si>
    <t>P52</t>
  </si>
  <si>
    <t>NV1448</t>
  </si>
  <si>
    <t>NV1449</t>
  </si>
  <si>
    <t>NV1450</t>
  </si>
  <si>
    <t>P165</t>
  </si>
  <si>
    <t>NV1451</t>
  </si>
  <si>
    <t>NV1452</t>
  </si>
  <si>
    <t>P139</t>
  </si>
  <si>
    <t>NV1453</t>
  </si>
  <si>
    <t>NV1454</t>
  </si>
  <si>
    <t>P72</t>
  </si>
  <si>
    <t>NV1455</t>
  </si>
  <si>
    <t>NV1456</t>
  </si>
  <si>
    <t>P37</t>
  </si>
  <si>
    <t>NV1457</t>
  </si>
  <si>
    <t>P252</t>
  </si>
  <si>
    <t>NV1458</t>
  </si>
  <si>
    <t>NV1459</t>
  </si>
  <si>
    <t>NV1460</t>
  </si>
  <si>
    <t>NV1461</t>
  </si>
  <si>
    <t>NV1462</t>
  </si>
  <si>
    <t>NV1463</t>
  </si>
  <si>
    <t>NV1464</t>
  </si>
  <si>
    <t>NV1465</t>
  </si>
  <si>
    <t>NV1466</t>
  </si>
  <si>
    <t>NV1467</t>
  </si>
  <si>
    <t>NV1468</t>
  </si>
  <si>
    <t>P250</t>
  </si>
  <si>
    <t>NV1469</t>
  </si>
  <si>
    <t>NV1470</t>
  </si>
  <si>
    <t>NV1471</t>
  </si>
  <si>
    <t>NV1472</t>
  </si>
  <si>
    <t>NV1473</t>
  </si>
  <si>
    <t>NV1474</t>
  </si>
  <si>
    <t>NV1475</t>
  </si>
  <si>
    <t>NV1476</t>
  </si>
  <si>
    <t>NV1477</t>
  </si>
  <si>
    <t>NV1478</t>
  </si>
  <si>
    <t>NV1479</t>
  </si>
  <si>
    <t>P183</t>
  </si>
  <si>
    <t>NV1480</t>
  </si>
  <si>
    <t>NV1481</t>
  </si>
  <si>
    <t>NV1482</t>
  </si>
  <si>
    <t>P65</t>
  </si>
  <si>
    <t>NV1483</t>
  </si>
  <si>
    <t>NV1484</t>
  </si>
  <si>
    <t>P4</t>
  </si>
  <si>
    <t>NV1485</t>
  </si>
  <si>
    <t>NV1486</t>
  </si>
  <si>
    <t>NV1487</t>
  </si>
  <si>
    <t>NV1488</t>
  </si>
  <si>
    <t>NV1489</t>
  </si>
  <si>
    <t>NV1490</t>
  </si>
  <si>
    <t>NV1491</t>
  </si>
  <si>
    <t>P161</t>
  </si>
  <si>
    <t>NV1492</t>
  </si>
  <si>
    <t>NV1493</t>
  </si>
  <si>
    <t>NV1494</t>
  </si>
  <si>
    <t>NV1495</t>
  </si>
  <si>
    <t>NV1496</t>
  </si>
  <si>
    <t>P46</t>
  </si>
  <si>
    <t>NV1497</t>
  </si>
  <si>
    <t>NV1498</t>
  </si>
  <si>
    <t>NV1499</t>
  </si>
  <si>
    <t>NV1500</t>
  </si>
  <si>
    <t>NV1501</t>
  </si>
  <si>
    <t>NV1502</t>
  </si>
  <si>
    <t>NV1503</t>
  </si>
  <si>
    <t>NV1504</t>
  </si>
  <si>
    <t>NV1505</t>
  </si>
  <si>
    <t>NV1506</t>
  </si>
  <si>
    <t>NV1507</t>
  </si>
  <si>
    <t>NV1508</t>
  </si>
  <si>
    <t>NV1509</t>
  </si>
  <si>
    <t>NV1510</t>
  </si>
  <si>
    <t>NV1511</t>
  </si>
  <si>
    <t>NV1512</t>
  </si>
  <si>
    <t>NV1513</t>
  </si>
  <si>
    <t>NV1514</t>
  </si>
  <si>
    <t>NV1515</t>
  </si>
  <si>
    <t>NV1516</t>
  </si>
  <si>
    <t>NV1517</t>
  </si>
  <si>
    <t>NV1518</t>
  </si>
  <si>
    <t>NV1519</t>
  </si>
  <si>
    <t>P53</t>
  </si>
  <si>
    <t>NV1520</t>
  </si>
  <si>
    <t>NV1521</t>
  </si>
  <si>
    <t>NV1522</t>
  </si>
  <si>
    <t>P96</t>
  </si>
  <si>
    <t>NV1523</t>
  </si>
  <si>
    <t>P238</t>
  </si>
  <si>
    <t>NV1524</t>
  </si>
  <si>
    <t>NV1525</t>
  </si>
  <si>
    <t>P128</t>
  </si>
  <si>
    <t>NV1526</t>
  </si>
  <si>
    <t>NV1527</t>
  </si>
  <si>
    <t>NV1528</t>
  </si>
  <si>
    <t>P105</t>
  </si>
  <si>
    <t>NV1529</t>
  </si>
  <si>
    <t>NV1530</t>
  </si>
  <si>
    <t>P35</t>
  </si>
  <si>
    <t>NV1531</t>
  </si>
  <si>
    <t>P42</t>
  </si>
  <si>
    <t>NV1532</t>
  </si>
  <si>
    <t>NV1533</t>
  </si>
  <si>
    <t>P216</t>
  </si>
  <si>
    <t>NV1534</t>
  </si>
  <si>
    <t>NV1535</t>
  </si>
  <si>
    <t>NV1536</t>
  </si>
  <si>
    <t>NV1537</t>
  </si>
  <si>
    <t>NV1538</t>
  </si>
  <si>
    <t>NV1539</t>
  </si>
  <si>
    <t>NV1540</t>
  </si>
  <si>
    <t>NV1541</t>
  </si>
  <si>
    <t>NV1542</t>
  </si>
  <si>
    <t>NV1543</t>
  </si>
  <si>
    <t>NV1544</t>
  </si>
  <si>
    <t>NV1545</t>
  </si>
  <si>
    <t>NV1546</t>
  </si>
  <si>
    <t>NV1547</t>
  </si>
  <si>
    <t>NV1548</t>
  </si>
  <si>
    <t>P74</t>
  </si>
  <si>
    <t>NV1549</t>
  </si>
  <si>
    <t>NV1550</t>
  </si>
  <si>
    <t>NV1551</t>
  </si>
  <si>
    <t>NV1552</t>
  </si>
  <si>
    <t>NV1553</t>
  </si>
  <si>
    <t>NV1554</t>
  </si>
  <si>
    <t>NV1555</t>
  </si>
  <si>
    <t>NV1556</t>
  </si>
  <si>
    <t>NV1557</t>
  </si>
  <si>
    <t>NV1558</t>
  </si>
  <si>
    <t>NV1559</t>
  </si>
  <si>
    <t>NV1560</t>
  </si>
  <si>
    <t>NV1561</t>
  </si>
  <si>
    <t>NV1562</t>
  </si>
  <si>
    <t>NV1563</t>
  </si>
  <si>
    <t>NV1564</t>
  </si>
  <si>
    <t>P45</t>
  </si>
  <si>
    <t>NV1565</t>
  </si>
  <si>
    <t>NV1566</t>
  </si>
  <si>
    <t>NV1567</t>
  </si>
  <si>
    <t>NV1568</t>
  </si>
  <si>
    <t>NV1569</t>
  </si>
  <si>
    <t>NV1570</t>
  </si>
  <si>
    <t>NV1571</t>
  </si>
  <si>
    <t>NV1572</t>
  </si>
  <si>
    <t>P241</t>
  </si>
  <si>
    <t>NV1573</t>
  </si>
  <si>
    <t>NV1574</t>
  </si>
  <si>
    <t>NV1575</t>
  </si>
  <si>
    <t>NV1576</t>
  </si>
  <si>
    <t>NV1577</t>
  </si>
  <si>
    <t>NV1578</t>
  </si>
  <si>
    <t>NV1579</t>
  </si>
  <si>
    <t>NV1580</t>
  </si>
  <si>
    <t>NV1581</t>
  </si>
  <si>
    <t>NV1582</t>
  </si>
  <si>
    <t>P277</t>
  </si>
  <si>
    <t>NV1583</t>
  </si>
  <si>
    <t>NV1584</t>
  </si>
  <si>
    <t>NV1585</t>
  </si>
  <si>
    <t>NV1586</t>
  </si>
  <si>
    <t>P97</t>
  </si>
  <si>
    <t>NV1587</t>
  </si>
  <si>
    <t>NV1588</t>
  </si>
  <si>
    <t>NV1589</t>
  </si>
  <si>
    <t>NV1590</t>
  </si>
  <si>
    <t>NV1591</t>
  </si>
  <si>
    <t>NV1592</t>
  </si>
  <si>
    <t>NV1593</t>
  </si>
  <si>
    <t>NV1594</t>
  </si>
  <si>
    <t>NV1595</t>
  </si>
  <si>
    <t>NV1596</t>
  </si>
  <si>
    <t>NV1597</t>
  </si>
  <si>
    <t>NV1598</t>
  </si>
  <si>
    <t>NV1599</t>
  </si>
  <si>
    <t>NV1600</t>
  </si>
  <si>
    <t>NV1601</t>
  </si>
  <si>
    <t>NV1602</t>
  </si>
  <si>
    <t>NV1603</t>
  </si>
  <si>
    <t>NV1604</t>
  </si>
  <si>
    <t>NV1605</t>
  </si>
  <si>
    <t>P144</t>
  </si>
  <si>
    <t>NV1606</t>
  </si>
  <si>
    <t>P262</t>
  </si>
  <si>
    <t>NV1607</t>
  </si>
  <si>
    <t>NV1608</t>
  </si>
  <si>
    <t>NV1609</t>
  </si>
  <si>
    <t>NV1610</t>
  </si>
  <si>
    <t>NV1611</t>
  </si>
  <si>
    <t>NV1612</t>
  </si>
  <si>
    <t>P233</t>
  </si>
  <si>
    <t>NV1613</t>
  </si>
  <si>
    <t>NV1614</t>
  </si>
  <si>
    <t>P190</t>
  </si>
  <si>
    <t>NV1615</t>
  </si>
  <si>
    <t>NV1616</t>
  </si>
  <si>
    <t>NV1617</t>
  </si>
  <si>
    <t>NV1618</t>
  </si>
  <si>
    <t>NV1619</t>
  </si>
  <si>
    <t>NV1620</t>
  </si>
  <si>
    <t>P29</t>
  </si>
  <si>
    <t>NV1621</t>
  </si>
  <si>
    <t>NV1622</t>
  </si>
  <si>
    <t>P102</t>
  </si>
  <si>
    <t>NV1623</t>
  </si>
  <si>
    <t>NV1624</t>
  </si>
  <si>
    <t>NV1625</t>
  </si>
  <si>
    <t>NV1626</t>
  </si>
  <si>
    <t>NV1627</t>
  </si>
  <si>
    <t>NV1628</t>
  </si>
  <si>
    <t>P274</t>
  </si>
  <si>
    <t>NV1629</t>
  </si>
  <si>
    <t>NV1630</t>
  </si>
  <si>
    <t>NV1631</t>
  </si>
  <si>
    <t>NV1632</t>
  </si>
  <si>
    <t>NV1633</t>
  </si>
  <si>
    <t>NV1634</t>
  </si>
  <si>
    <t>NV1635</t>
  </si>
  <si>
    <t>P298</t>
  </si>
  <si>
    <t>NV1636</t>
  </si>
  <si>
    <t>NV1637</t>
  </si>
  <si>
    <t>NV1638</t>
  </si>
  <si>
    <t>P90</t>
  </si>
  <si>
    <t>NV1639</t>
  </si>
  <si>
    <t>NV1640</t>
  </si>
  <si>
    <t>NV1641</t>
  </si>
  <si>
    <t>NV1642</t>
  </si>
  <si>
    <t>NV1643</t>
  </si>
  <si>
    <t>NV1644</t>
  </si>
  <si>
    <t>NV1645</t>
  </si>
  <si>
    <t>NV1646</t>
  </si>
  <si>
    <t>NV1647</t>
  </si>
  <si>
    <t>NV1648</t>
  </si>
  <si>
    <t>NV1649</t>
  </si>
  <si>
    <t>NV1650</t>
  </si>
  <si>
    <t>NV1651</t>
  </si>
  <si>
    <t>NV1652</t>
  </si>
  <si>
    <t>NV1653</t>
  </si>
  <si>
    <t>NV1654</t>
  </si>
  <si>
    <t>NV1655</t>
  </si>
  <si>
    <t>NV1656</t>
  </si>
  <si>
    <t>P159</t>
  </si>
  <si>
    <t>NV1657</t>
  </si>
  <si>
    <t>NV1658</t>
  </si>
  <si>
    <t>NV1659</t>
  </si>
  <si>
    <t>NV1660</t>
  </si>
  <si>
    <t>NV1661</t>
  </si>
  <si>
    <t>NV1662</t>
  </si>
  <si>
    <t>NV1663</t>
  </si>
  <si>
    <t>NV1664</t>
  </si>
  <si>
    <t>NV1665</t>
  </si>
  <si>
    <t>NV1666</t>
  </si>
  <si>
    <t>NV1667</t>
  </si>
  <si>
    <t>P228</t>
  </si>
  <si>
    <t>NV1668</t>
  </si>
  <si>
    <t>NV1669</t>
  </si>
  <si>
    <t>NV1670</t>
  </si>
  <si>
    <t>NV1671</t>
  </si>
  <si>
    <t>NV1672</t>
  </si>
  <si>
    <t>NV1673</t>
  </si>
  <si>
    <t>NV1674</t>
  </si>
  <si>
    <t>P194</t>
  </si>
  <si>
    <t>NV1675</t>
  </si>
  <si>
    <t>NV1676</t>
  </si>
  <si>
    <t>P47</t>
  </si>
  <si>
    <t>NV1677</t>
  </si>
  <si>
    <t>NV1678</t>
  </si>
  <si>
    <t>NV1679</t>
  </si>
  <si>
    <t>NV1680</t>
  </si>
  <si>
    <t>NV1681</t>
  </si>
  <si>
    <t>NV1682</t>
  </si>
  <si>
    <t>NV1683</t>
  </si>
  <si>
    <t>NV1684</t>
  </si>
  <si>
    <t>NV1685</t>
  </si>
  <si>
    <t>NV1686</t>
  </si>
  <si>
    <t>NV1687</t>
  </si>
  <si>
    <t>NV1688</t>
  </si>
  <si>
    <t>NV1689</t>
  </si>
  <si>
    <t>NV1690</t>
  </si>
  <si>
    <t>NV1691</t>
  </si>
  <si>
    <t>NV1692</t>
  </si>
  <si>
    <t>NV1693</t>
  </si>
  <si>
    <t>P92</t>
  </si>
  <si>
    <t>NV1694</t>
  </si>
  <si>
    <t>NV1695</t>
  </si>
  <si>
    <t>NV1696</t>
  </si>
  <si>
    <t>P292</t>
  </si>
  <si>
    <t>NV1697</t>
  </si>
  <si>
    <t>NV1698</t>
  </si>
  <si>
    <t>NV1699</t>
  </si>
  <si>
    <t>NV1700</t>
  </si>
  <si>
    <t>NV1701</t>
  </si>
  <si>
    <t>NV1702</t>
  </si>
  <si>
    <t>NV1703</t>
  </si>
  <si>
    <t>NV1704</t>
  </si>
  <si>
    <t>NV1705</t>
  </si>
  <si>
    <t>NV1706</t>
  </si>
  <si>
    <t>NV1707</t>
  </si>
  <si>
    <t>NV1708</t>
  </si>
  <si>
    <t>NV1709</t>
  </si>
  <si>
    <t>P137</t>
  </si>
  <si>
    <t>NV1710</t>
  </si>
  <si>
    <t>P146</t>
  </si>
  <si>
    <t>NV1711</t>
  </si>
  <si>
    <t>NV1712</t>
  </si>
  <si>
    <t>NV1713</t>
  </si>
  <si>
    <t>NV1714</t>
  </si>
  <si>
    <t>P283</t>
  </si>
  <si>
    <t>NV1715</t>
  </si>
  <si>
    <t>NV1716</t>
  </si>
  <si>
    <t>P18</t>
  </si>
  <si>
    <t>NV1717</t>
  </si>
  <si>
    <t>NV1718</t>
  </si>
  <si>
    <t>NV1719</t>
  </si>
  <si>
    <t>NV1720</t>
  </si>
  <si>
    <t>NV1721</t>
  </si>
  <si>
    <t>NV1722</t>
  </si>
  <si>
    <t>NV1723</t>
  </si>
  <si>
    <t>NV1724</t>
  </si>
  <si>
    <t>P22</t>
  </si>
  <si>
    <t>NV1725</t>
  </si>
  <si>
    <t>NV1726</t>
  </si>
  <si>
    <t>NV1727</t>
  </si>
  <si>
    <t>NV1728</t>
  </si>
  <si>
    <t>NV1729</t>
  </si>
  <si>
    <t>NV1730</t>
  </si>
  <si>
    <t>NV1731</t>
  </si>
  <si>
    <t>NV1732</t>
  </si>
  <si>
    <t>NV1733</t>
  </si>
  <si>
    <t>NV1734</t>
  </si>
  <si>
    <t>NV1735</t>
  </si>
  <si>
    <t>NV1736</t>
  </si>
  <si>
    <t>NV1737</t>
  </si>
  <si>
    <t>NV1738</t>
  </si>
  <si>
    <t>NV1739</t>
  </si>
  <si>
    <t>NV1740</t>
  </si>
  <si>
    <t>NV1741</t>
  </si>
  <si>
    <t>NV1742</t>
  </si>
  <si>
    <t>NV1743</t>
  </si>
  <si>
    <t>NV1744</t>
  </si>
  <si>
    <t>NV1745</t>
  </si>
  <si>
    <t>NV1746</t>
  </si>
  <si>
    <t>P89</t>
  </si>
  <si>
    <t>NV1747</t>
  </si>
  <si>
    <t>NV1748</t>
  </si>
  <si>
    <t>NV1749</t>
  </si>
  <si>
    <t>NV1750</t>
  </si>
  <si>
    <t>P147</t>
  </si>
  <si>
    <t>NV1751</t>
  </si>
  <si>
    <t>NV1752</t>
  </si>
  <si>
    <t>NV1753</t>
  </si>
  <si>
    <t>NV1754</t>
  </si>
  <si>
    <t>P40</t>
  </si>
  <si>
    <t>NV1755</t>
  </si>
  <si>
    <t>NV1756</t>
  </si>
  <si>
    <t>NV1757</t>
  </si>
  <si>
    <t>NV1758</t>
  </si>
  <si>
    <t>NV1759</t>
  </si>
  <si>
    <t>NV1760</t>
  </si>
  <si>
    <t>NV1761</t>
  </si>
  <si>
    <t>NV1762</t>
  </si>
  <si>
    <t>NV1763</t>
  </si>
  <si>
    <t>NV1764</t>
  </si>
  <si>
    <t>P294</t>
  </si>
  <si>
    <t>NV1765</t>
  </si>
  <si>
    <t>NV1766</t>
  </si>
  <si>
    <t>NV1767</t>
  </si>
  <si>
    <t>NV1768</t>
  </si>
  <si>
    <t>NV1769</t>
  </si>
  <si>
    <t>NV1770</t>
  </si>
  <si>
    <t>NV1771</t>
  </si>
  <si>
    <t>NV1772</t>
  </si>
  <si>
    <t>NV1773</t>
  </si>
  <si>
    <t>NV1774</t>
  </si>
  <si>
    <t>P176</t>
  </si>
  <si>
    <t>NV1775</t>
  </si>
  <si>
    <t>NV1776</t>
  </si>
  <si>
    <t>NV1777</t>
  </si>
  <si>
    <t>NV1778</t>
  </si>
  <si>
    <t>P180</t>
  </si>
  <si>
    <t>NV1779</t>
  </si>
  <si>
    <t>P219</t>
  </si>
  <si>
    <t>NV1780</t>
  </si>
  <si>
    <t>NV1781</t>
  </si>
  <si>
    <t>NV1782</t>
  </si>
  <si>
    <t>NV1783</t>
  </si>
  <si>
    <t>NV1784</t>
  </si>
  <si>
    <t>NV1785</t>
  </si>
  <si>
    <t>NV1786</t>
  </si>
  <si>
    <t>NV1787</t>
  </si>
  <si>
    <t>NV1788</t>
  </si>
  <si>
    <t>NV1789</t>
  </si>
  <si>
    <t>NV1790</t>
  </si>
  <si>
    <t>NV1791</t>
  </si>
  <si>
    <t>NV1792</t>
  </si>
  <si>
    <t>NV1793</t>
  </si>
  <si>
    <t>NV1794</t>
  </si>
  <si>
    <t>NV1795</t>
  </si>
  <si>
    <t>NV1796</t>
  </si>
  <si>
    <t>P164</t>
  </si>
  <si>
    <t>NV1797</t>
  </si>
  <si>
    <t>NV1798</t>
  </si>
  <si>
    <t>NV1799</t>
  </si>
  <si>
    <t>NV1800</t>
  </si>
  <si>
    <t>NV1801</t>
  </si>
  <si>
    <t>P44</t>
  </si>
  <si>
    <t>NV1802</t>
  </si>
  <si>
    <t>NV1803</t>
  </si>
  <si>
    <t>NV1804</t>
  </si>
  <si>
    <t>P288</t>
  </si>
  <si>
    <t>NV1805</t>
  </si>
  <si>
    <t>NV1806</t>
  </si>
  <si>
    <t>NV1807</t>
  </si>
  <si>
    <t>NV1808</t>
  </si>
  <si>
    <t>NV1809</t>
  </si>
  <si>
    <t>P115</t>
  </si>
  <si>
    <t>NV1810</t>
  </si>
  <si>
    <t>NV1811</t>
  </si>
  <si>
    <t>NV1812</t>
  </si>
  <si>
    <t>NV1813</t>
  </si>
  <si>
    <t>P279</t>
  </si>
  <si>
    <t>NV1814</t>
  </si>
  <si>
    <t>NV1815</t>
  </si>
  <si>
    <t>NV1816</t>
  </si>
  <si>
    <t>NV1817</t>
  </si>
  <si>
    <t>NV1818</t>
  </si>
  <si>
    <t>NV1819</t>
  </si>
  <si>
    <t>P221</t>
  </si>
  <si>
    <t>NV1820</t>
  </si>
  <si>
    <t>NV1821</t>
  </si>
  <si>
    <t>NV1822</t>
  </si>
  <si>
    <t>NV1823</t>
  </si>
  <si>
    <t>NV1824</t>
  </si>
  <si>
    <t>NV1825</t>
  </si>
  <si>
    <t>NV1826</t>
  </si>
  <si>
    <t>NV1827</t>
  </si>
  <si>
    <t>NV1828</t>
  </si>
  <si>
    <t>NV1829</t>
  </si>
  <si>
    <t>NV1830</t>
  </si>
  <si>
    <t>NV1831</t>
  </si>
  <si>
    <t>P243</t>
  </si>
  <si>
    <t>NV1832</t>
  </si>
  <si>
    <t>NV1833</t>
  </si>
  <si>
    <t>NV1834</t>
  </si>
  <si>
    <t>NV1835</t>
  </si>
  <si>
    <t>NV1836</t>
  </si>
  <si>
    <t>NV1837</t>
  </si>
  <si>
    <t>NV1838</t>
  </si>
  <si>
    <t>NV1839</t>
  </si>
  <si>
    <t>NV1840</t>
  </si>
  <si>
    <t>NV1841</t>
  </si>
  <si>
    <t>NV1842</t>
  </si>
  <si>
    <t>NV1843</t>
  </si>
  <si>
    <t>NV1844</t>
  </si>
  <si>
    <t>NV1845</t>
  </si>
  <si>
    <t>NV1846</t>
  </si>
  <si>
    <t>NV1847</t>
  </si>
  <si>
    <t>NV1848</t>
  </si>
  <si>
    <t>NV1849</t>
  </si>
  <si>
    <t>P248</t>
  </si>
  <si>
    <t>NV1850</t>
  </si>
  <si>
    <t>NV1851</t>
  </si>
  <si>
    <t>NV1852</t>
  </si>
  <si>
    <t>NV1853</t>
  </si>
  <si>
    <t>NV1854</t>
  </si>
  <si>
    <t>NV1855</t>
  </si>
  <si>
    <t>NV1856</t>
  </si>
  <si>
    <t>NV1857</t>
  </si>
  <si>
    <t>NV1858</t>
  </si>
  <si>
    <t>NV1859</t>
  </si>
  <si>
    <t>NV1860</t>
  </si>
  <si>
    <t>NV1861</t>
  </si>
  <si>
    <t>NV1862</t>
  </si>
  <si>
    <t>NV1863</t>
  </si>
  <si>
    <t>NV1864</t>
  </si>
  <si>
    <t>NV1865</t>
  </si>
  <si>
    <t>NV1866</t>
  </si>
  <si>
    <t>NV1867</t>
  </si>
  <si>
    <t>NV1868</t>
  </si>
  <si>
    <t>NV1869</t>
  </si>
  <si>
    <t>P286</t>
  </si>
  <si>
    <t>NV1870</t>
  </si>
  <si>
    <t>NV1871</t>
  </si>
  <si>
    <t>NV1872</t>
  </si>
  <si>
    <t>NV1873</t>
  </si>
  <si>
    <t>P179</t>
  </si>
  <si>
    <t>NV1874</t>
  </si>
  <si>
    <t>NV1875</t>
  </si>
  <si>
    <t>NV1876</t>
  </si>
  <si>
    <t>NV1877</t>
  </si>
  <si>
    <t>NV1878</t>
  </si>
  <si>
    <t>NV1879</t>
  </si>
  <si>
    <t>NV1880</t>
  </si>
  <si>
    <t>P186</t>
  </si>
  <si>
    <t>NV1881</t>
  </si>
  <si>
    <t>P269</t>
  </si>
  <si>
    <t>NV1882</t>
  </si>
  <si>
    <t>NV1883</t>
  </si>
  <si>
    <t>NV1884</t>
  </si>
  <si>
    <t>P168</t>
  </si>
  <si>
    <t>NV1885</t>
  </si>
  <si>
    <t>NV1886</t>
  </si>
  <si>
    <t>NV1887</t>
  </si>
  <si>
    <t>NV1888</t>
  </si>
  <si>
    <t>NV1889</t>
  </si>
  <si>
    <t>NV1890</t>
  </si>
  <si>
    <t>NV1891</t>
  </si>
  <si>
    <t>NV1892</t>
  </si>
  <si>
    <t>NV1893</t>
  </si>
  <si>
    <t>P112</t>
  </si>
  <si>
    <t>NV1894</t>
  </si>
  <si>
    <t>NV1895</t>
  </si>
  <si>
    <t>NV1896</t>
  </si>
  <si>
    <t>NV1897</t>
  </si>
  <si>
    <t>NV1898</t>
  </si>
  <si>
    <t>NV1899</t>
  </si>
  <si>
    <t>NV1900</t>
  </si>
  <si>
    <t>NV1901</t>
  </si>
  <si>
    <t>P117</t>
  </si>
  <si>
    <t>NV1902</t>
  </si>
  <si>
    <t>NV1903</t>
  </si>
  <si>
    <t>NV1904</t>
  </si>
  <si>
    <t>NV1905</t>
  </si>
  <si>
    <t>NV1906</t>
  </si>
  <si>
    <t>NV1907</t>
  </si>
  <si>
    <t>NV1908</t>
  </si>
  <si>
    <t>NV1909</t>
  </si>
  <si>
    <t>NV1910</t>
  </si>
  <si>
    <t>NV1911</t>
  </si>
  <si>
    <t>P131</t>
  </si>
  <si>
    <t>NV1912</t>
  </si>
  <si>
    <t>NV1913</t>
  </si>
  <si>
    <t>NV1914</t>
  </si>
  <si>
    <t>NV1915</t>
  </si>
  <si>
    <t>NV1916</t>
  </si>
  <si>
    <t>NV1917</t>
  </si>
  <si>
    <t>P98</t>
  </si>
  <si>
    <t>NV1918</t>
  </si>
  <si>
    <t>NV1919</t>
  </si>
  <si>
    <t>NV1920</t>
  </si>
  <si>
    <t>NV1921</t>
  </si>
  <si>
    <t>NV1922</t>
  </si>
  <si>
    <t>NV1923</t>
  </si>
  <si>
    <t>NV1924</t>
  </si>
  <si>
    <t>NV1925</t>
  </si>
  <si>
    <t>NV1926</t>
  </si>
  <si>
    <t>NV1927</t>
  </si>
  <si>
    <t>NV1928</t>
  </si>
  <si>
    <t>NV1929</t>
  </si>
  <si>
    <t>NV1930</t>
  </si>
  <si>
    <t>NV1931</t>
  </si>
  <si>
    <t>NV1932</t>
  </si>
  <si>
    <t>NV1933</t>
  </si>
  <si>
    <t>NV1934</t>
  </si>
  <si>
    <t>NV1935</t>
  </si>
  <si>
    <t>NV1936</t>
  </si>
  <si>
    <t>NV1937</t>
  </si>
  <si>
    <t>NV1938</t>
  </si>
  <si>
    <t>NV1939</t>
  </si>
  <si>
    <t>NV1940</t>
  </si>
  <si>
    <t>NV1941</t>
  </si>
  <si>
    <t>NV1942</t>
  </si>
  <si>
    <t>NV1943</t>
  </si>
  <si>
    <t>NV1944</t>
  </si>
  <si>
    <t>NV1945</t>
  </si>
  <si>
    <t>NV1946</t>
  </si>
  <si>
    <t>NV1947</t>
  </si>
  <si>
    <t>NV1948</t>
  </si>
  <si>
    <t>NV1949</t>
  </si>
  <si>
    <t>NV1950</t>
  </si>
  <si>
    <t>NV1951</t>
  </si>
  <si>
    <t>NV1952</t>
  </si>
  <si>
    <t>NV1953</t>
  </si>
  <si>
    <t>NV1954</t>
  </si>
  <si>
    <t>NV1955</t>
  </si>
  <si>
    <t>NV1956</t>
  </si>
  <si>
    <t>NV1957</t>
  </si>
  <si>
    <t>NV1958</t>
  </si>
  <si>
    <t>NV1959</t>
  </si>
  <si>
    <t>NV1960</t>
  </si>
  <si>
    <t>NV1961</t>
  </si>
  <si>
    <t>NV1962</t>
  </si>
  <si>
    <t>NV1963</t>
  </si>
  <si>
    <t>NV1964</t>
  </si>
  <si>
    <t>NV1965</t>
  </si>
  <si>
    <t>NV1966</t>
  </si>
  <si>
    <t>NV1967</t>
  </si>
  <si>
    <t>NV1968</t>
  </si>
  <si>
    <t>NV1969</t>
  </si>
  <si>
    <t>NV1970</t>
  </si>
  <si>
    <t>NV1971</t>
  </si>
  <si>
    <t>NV1972</t>
  </si>
  <si>
    <t>NV1973</t>
  </si>
  <si>
    <t>NV1974</t>
  </si>
  <si>
    <t>NV1975</t>
  </si>
  <si>
    <t>NV1976</t>
  </si>
  <si>
    <t>NV1977</t>
  </si>
  <si>
    <t>NV1978</t>
  </si>
  <si>
    <t>NV1979</t>
  </si>
  <si>
    <t>NV1980</t>
  </si>
  <si>
    <t>NV1981</t>
  </si>
  <si>
    <t>NV1982</t>
  </si>
  <si>
    <t>NV1983</t>
  </si>
  <si>
    <t>NV1984</t>
  </si>
  <si>
    <t>NV1985</t>
  </si>
  <si>
    <t>NV1986</t>
  </si>
  <si>
    <t>NV1987</t>
  </si>
  <si>
    <t>NV1988</t>
  </si>
  <si>
    <t>NV1989</t>
  </si>
  <si>
    <t>P26</t>
  </si>
  <si>
    <t>NV1990</t>
  </si>
  <si>
    <t>NV1991</t>
  </si>
  <si>
    <t>NV1992</t>
  </si>
  <si>
    <t>NV1993</t>
  </si>
  <si>
    <t>NV1994</t>
  </si>
  <si>
    <t>NV1995</t>
  </si>
  <si>
    <t>NV1996</t>
  </si>
  <si>
    <t>NV1997</t>
  </si>
  <si>
    <t>NV1998</t>
  </si>
  <si>
    <t>NV1999</t>
  </si>
  <si>
    <t>NV2000</t>
  </si>
  <si>
    <t>NV2001</t>
  </si>
  <si>
    <t>NV2002</t>
  </si>
  <si>
    <t>NV2003</t>
  </si>
  <si>
    <t>NV2004</t>
  </si>
  <si>
    <t>NV2005</t>
  </si>
  <si>
    <t>NV2006</t>
  </si>
  <si>
    <t>NV2007</t>
  </si>
  <si>
    <t>P215</t>
  </si>
  <si>
    <t>NV2008</t>
  </si>
  <si>
    <t>NV2009</t>
  </si>
  <si>
    <t>NV2010</t>
  </si>
  <si>
    <t>NV2011</t>
  </si>
  <si>
    <t>NV2012</t>
  </si>
  <si>
    <t>NV2013</t>
  </si>
  <si>
    <t>NV2014</t>
  </si>
  <si>
    <t>NV2015</t>
  </si>
  <si>
    <t>NV2016</t>
  </si>
  <si>
    <t>NV2017</t>
  </si>
  <si>
    <t>NV2018</t>
  </si>
  <si>
    <t>NV2019</t>
  </si>
  <si>
    <t>NV2020</t>
  </si>
  <si>
    <t>P149</t>
  </si>
  <si>
    <t>NV2021</t>
  </si>
  <si>
    <t>NV2022</t>
  </si>
  <si>
    <t>NV2023</t>
  </si>
  <si>
    <t>NV2024</t>
  </si>
  <si>
    <t>NV2025</t>
  </si>
  <si>
    <t>NV2026</t>
  </si>
  <si>
    <t>NV2027</t>
  </si>
  <si>
    <t>NV2028</t>
  </si>
  <si>
    <t>NV2029</t>
  </si>
  <si>
    <t>NV2030</t>
  </si>
  <si>
    <t>NV2031</t>
  </si>
  <si>
    <t>NV2032</t>
  </si>
  <si>
    <t>NV2033</t>
  </si>
  <si>
    <t>NV2034</t>
  </si>
  <si>
    <t>NV2035</t>
  </si>
  <si>
    <t>NV2036</t>
  </si>
  <si>
    <t>NV2037</t>
  </si>
  <si>
    <t>NV2038</t>
  </si>
  <si>
    <t>NV2039</t>
  </si>
  <si>
    <t>NV2040</t>
  </si>
  <si>
    <t>NV2041</t>
  </si>
  <si>
    <t>NV2042</t>
  </si>
  <si>
    <t>NV2043</t>
  </si>
  <si>
    <t>NV2044</t>
  </si>
  <si>
    <t>NV2045</t>
  </si>
  <si>
    <t>NV2046</t>
  </si>
  <si>
    <t>NV2047</t>
  </si>
  <si>
    <t>NV2048</t>
  </si>
  <si>
    <t>NV2049</t>
  </si>
  <si>
    <t>NV2050</t>
  </si>
  <si>
    <t>NV2051</t>
  </si>
  <si>
    <t>NV2052</t>
  </si>
  <si>
    <t>NV2053</t>
  </si>
  <si>
    <t>NV2054</t>
  </si>
  <si>
    <t>NV2055</t>
  </si>
  <si>
    <t>NV2056</t>
  </si>
  <si>
    <t>NV2057</t>
  </si>
  <si>
    <t>NV2058</t>
  </si>
  <si>
    <t>NV2059</t>
  </si>
  <si>
    <t>NV2060</t>
  </si>
  <si>
    <t>NV2061</t>
  </si>
  <si>
    <t>NV2062</t>
  </si>
  <si>
    <t>NV2063</t>
  </si>
  <si>
    <t>NV2064</t>
  </si>
  <si>
    <t>NV2065</t>
  </si>
  <si>
    <t>NV2066</t>
  </si>
  <si>
    <t>NV2067</t>
  </si>
  <si>
    <t>NV2068</t>
  </si>
  <si>
    <t>NV2069</t>
  </si>
  <si>
    <t>NV2070</t>
  </si>
  <si>
    <t>NV2071</t>
  </si>
  <si>
    <t>NV2072</t>
  </si>
  <si>
    <t>NV2073</t>
  </si>
  <si>
    <t>NV2074</t>
  </si>
  <si>
    <t>NV2075</t>
  </si>
  <si>
    <t>NV2076</t>
  </si>
  <si>
    <t>NV2077</t>
  </si>
  <si>
    <t>NV2078</t>
  </si>
  <si>
    <t>NV2079</t>
  </si>
  <si>
    <t>NV2080</t>
  </si>
  <si>
    <t>NV2081</t>
  </si>
  <si>
    <t>NV2082</t>
  </si>
  <si>
    <t>NV2083</t>
  </si>
  <si>
    <t>NV2084</t>
  </si>
  <si>
    <t>NV2085</t>
  </si>
  <si>
    <t>NV2086</t>
  </si>
  <si>
    <t>NV2087</t>
  </si>
  <si>
    <t>NV2088</t>
  </si>
  <si>
    <t>NV2089</t>
  </si>
  <si>
    <t>NV2090</t>
  </si>
  <si>
    <t>NV2091</t>
  </si>
  <si>
    <t>NV2092</t>
  </si>
  <si>
    <t>NV2093</t>
  </si>
  <si>
    <t>NV2094</t>
  </si>
  <si>
    <t>NV2095</t>
  </si>
  <si>
    <t>NV2096</t>
  </si>
  <si>
    <t>NV2097</t>
  </si>
  <si>
    <t>NV2098</t>
  </si>
  <si>
    <t>NV2099</t>
  </si>
  <si>
    <t>NV2100</t>
  </si>
  <si>
    <t>NV2101</t>
  </si>
  <si>
    <t>NV2102</t>
  </si>
  <si>
    <t>NV2103</t>
  </si>
  <si>
    <t>NV2104</t>
  </si>
  <si>
    <t>NV2105</t>
  </si>
  <si>
    <t>NV2106</t>
  </si>
  <si>
    <t>NV2107</t>
  </si>
  <si>
    <t>NV2108</t>
  </si>
  <si>
    <t>NV2109</t>
  </si>
  <si>
    <t>NV2110</t>
  </si>
  <si>
    <t>NV2111</t>
  </si>
  <si>
    <t>NV2112</t>
  </si>
  <si>
    <t>NV2113</t>
  </si>
  <si>
    <t>NV2114</t>
  </si>
  <si>
    <t>NV2115</t>
  </si>
  <si>
    <t>P20</t>
  </si>
  <si>
    <t>NV2116</t>
  </si>
  <si>
    <t>NV2117</t>
  </si>
  <si>
    <t>NV2118</t>
  </si>
  <si>
    <t>NV2119</t>
  </si>
  <si>
    <t>NV2120</t>
  </si>
  <si>
    <t>NV2121</t>
  </si>
  <si>
    <t>NV2122</t>
  </si>
  <si>
    <t>NV2123</t>
  </si>
  <si>
    <t>NV2124</t>
  </si>
  <si>
    <t>NV2125</t>
  </si>
  <si>
    <t>NV2126</t>
  </si>
  <si>
    <t>NV2127</t>
  </si>
  <si>
    <t>NV2128</t>
  </si>
  <si>
    <t>NV2129</t>
  </si>
  <si>
    <t>NV2130</t>
  </si>
  <si>
    <t>P127</t>
  </si>
  <si>
    <t>NV2131</t>
  </si>
  <si>
    <t>NV2132</t>
  </si>
  <si>
    <t>NV2133</t>
  </si>
  <si>
    <t>NV2134</t>
  </si>
  <si>
    <t>NV2135</t>
  </si>
  <si>
    <t>NV2136</t>
  </si>
  <si>
    <t>NV2137</t>
  </si>
  <si>
    <t>NV2138</t>
  </si>
  <si>
    <t>NV2139</t>
  </si>
  <si>
    <t>NV2140</t>
  </si>
  <si>
    <t>P198</t>
  </si>
  <si>
    <t>NV2141</t>
  </si>
  <si>
    <t>NV2142</t>
  </si>
  <si>
    <t>NV2143</t>
  </si>
  <si>
    <t>NV2144</t>
  </si>
  <si>
    <t>NV2145</t>
  </si>
  <si>
    <t>P129</t>
  </si>
  <si>
    <t>NV2146</t>
  </si>
  <si>
    <t>NV2147</t>
  </si>
  <si>
    <t>NV2148</t>
  </si>
  <si>
    <t>NV2149</t>
  </si>
  <si>
    <t>NV2150</t>
  </si>
  <si>
    <t>NV2151</t>
  </si>
  <si>
    <t>NV2152</t>
  </si>
  <si>
    <t>NV2153</t>
  </si>
  <si>
    <t>NV2154</t>
  </si>
  <si>
    <t>NV2155</t>
  </si>
  <si>
    <t>NV2156</t>
  </si>
  <si>
    <t>NV2157</t>
  </si>
  <si>
    <t>NV2158</t>
  </si>
  <si>
    <t>NV2159</t>
  </si>
  <si>
    <t>NV2160</t>
  </si>
  <si>
    <t>NV2161</t>
  </si>
  <si>
    <t>NV2162</t>
  </si>
  <si>
    <t>NV2163</t>
  </si>
  <si>
    <t>NV2164</t>
  </si>
  <si>
    <t>NV2165</t>
  </si>
  <si>
    <t>NV2166</t>
  </si>
  <si>
    <t>NV2167</t>
  </si>
  <si>
    <t>NV2168</t>
  </si>
  <si>
    <t>NV2169</t>
  </si>
  <si>
    <t>NV2170</t>
  </si>
  <si>
    <t>NV2171</t>
  </si>
  <si>
    <t>NV2172</t>
  </si>
  <si>
    <t>NV2173</t>
  </si>
  <si>
    <t>NV2174</t>
  </si>
  <si>
    <t>NV2175</t>
  </si>
  <si>
    <t>NV2176</t>
  </si>
  <si>
    <t>NV2177</t>
  </si>
  <si>
    <t>NV2178</t>
  </si>
  <si>
    <t>NV2179</t>
  </si>
  <si>
    <t>NV2180</t>
  </si>
  <si>
    <t>NV2181</t>
  </si>
  <si>
    <t>NV2182</t>
  </si>
  <si>
    <t>NV2183</t>
  </si>
  <si>
    <t>NV2184</t>
  </si>
  <si>
    <t>NV2185</t>
  </si>
  <si>
    <t>NV2186</t>
  </si>
  <si>
    <t>NV2187</t>
  </si>
  <si>
    <t>NV2188</t>
  </si>
  <si>
    <t>NV2189</t>
  </si>
  <si>
    <t>NV2190</t>
  </si>
  <si>
    <t>NV2191</t>
  </si>
  <si>
    <t>NV2192</t>
  </si>
  <si>
    <t>NV2193</t>
  </si>
  <si>
    <t>NV2194</t>
  </si>
  <si>
    <t>NV2195</t>
  </si>
  <si>
    <t>NV2196</t>
  </si>
  <si>
    <t>NV2197</t>
  </si>
  <si>
    <t>NV2198</t>
  </si>
  <si>
    <t>NV2199</t>
  </si>
  <si>
    <t>NV2200</t>
  </si>
  <si>
    <t>NV2201</t>
  </si>
  <si>
    <t>NV2202</t>
  </si>
  <si>
    <t>NV2203</t>
  </si>
  <si>
    <t>NV2204</t>
  </si>
  <si>
    <t>NV2205</t>
  </si>
  <si>
    <t>NV2206</t>
  </si>
  <si>
    <t>NV2207</t>
  </si>
  <si>
    <t>NV2208</t>
  </si>
  <si>
    <t>NV2209</t>
  </si>
  <si>
    <t>NV2210</t>
  </si>
  <si>
    <t>NV2211</t>
  </si>
  <si>
    <t>NV2212</t>
  </si>
  <si>
    <t>NV2213</t>
  </si>
  <si>
    <t>NV2214</t>
  </si>
  <si>
    <t>NV2215</t>
  </si>
  <si>
    <t>NV2216</t>
  </si>
  <si>
    <t>NV2217</t>
  </si>
  <si>
    <t>NV2218</t>
  </si>
  <si>
    <t>NV2219</t>
  </si>
  <si>
    <t>NV2220</t>
  </si>
  <si>
    <t>NV2221</t>
  </si>
  <si>
    <t>NV2222</t>
  </si>
  <si>
    <t>NV2223</t>
  </si>
  <si>
    <t>NV2224</t>
  </si>
  <si>
    <t>NV2225</t>
  </si>
  <si>
    <t>NV2226</t>
  </si>
  <si>
    <t>NV2227</t>
  </si>
  <si>
    <t>NV2228</t>
  </si>
  <si>
    <t>NV2229</t>
  </si>
  <si>
    <t>NV2230</t>
  </si>
  <si>
    <t>NV2231</t>
  </si>
  <si>
    <t>NV2232</t>
  </si>
  <si>
    <t>P101</t>
  </si>
  <si>
    <t>NV2233</t>
  </si>
  <si>
    <t>NV2234</t>
  </si>
  <si>
    <t>NV2235</t>
  </si>
  <si>
    <t>NV2236</t>
  </si>
  <si>
    <t>NV2237</t>
  </si>
  <si>
    <t>NV2238</t>
  </si>
  <si>
    <t>NV2239</t>
  </si>
  <si>
    <t>NV2240</t>
  </si>
  <si>
    <t>NV2241</t>
  </si>
  <si>
    <t>NV2242</t>
  </si>
  <si>
    <t>NV2243</t>
  </si>
  <si>
    <t>NV2244</t>
  </si>
  <si>
    <t>NV2245</t>
  </si>
  <si>
    <t>NV2246</t>
  </si>
  <si>
    <t>NV2247</t>
  </si>
  <si>
    <t>NV2248</t>
  </si>
  <si>
    <t>NV2249</t>
  </si>
  <si>
    <t>NV2250</t>
  </si>
  <si>
    <t>NV2251</t>
  </si>
  <si>
    <t>NV2252</t>
  </si>
  <si>
    <t>NV2253</t>
  </si>
  <si>
    <t>NV2254</t>
  </si>
  <si>
    <t>NV2255</t>
  </si>
  <si>
    <t>NV2256</t>
  </si>
  <si>
    <t>NV2257</t>
  </si>
  <si>
    <t>NV2258</t>
  </si>
  <si>
    <t>NV2259</t>
  </si>
  <si>
    <t>NV2260</t>
  </si>
  <si>
    <t>NV2261</t>
  </si>
  <si>
    <t>NV2262</t>
  </si>
  <si>
    <t>NV2263</t>
  </si>
  <si>
    <t>NV2264</t>
  </si>
  <si>
    <t>NV2265</t>
  </si>
  <si>
    <t>NV2266</t>
  </si>
  <si>
    <t>NV2267</t>
  </si>
  <si>
    <t>NV2268</t>
  </si>
  <si>
    <t>NV2269</t>
  </si>
  <si>
    <t>NV2270</t>
  </si>
  <si>
    <t>NV2271</t>
  </si>
  <si>
    <t>NV2272</t>
  </si>
  <si>
    <t>NV2273</t>
  </si>
  <si>
    <t>NV2274</t>
  </si>
  <si>
    <t>NV2275</t>
  </si>
  <si>
    <t>NV2276</t>
  </si>
  <si>
    <t>NV2277</t>
  </si>
  <si>
    <t>NV2278</t>
  </si>
  <si>
    <t>NV2279</t>
  </si>
  <si>
    <t>NV2280</t>
  </si>
  <si>
    <t>NV2281</t>
  </si>
  <si>
    <t>NV2282</t>
  </si>
  <si>
    <t>NV2283</t>
  </si>
  <si>
    <t>NV2284</t>
  </si>
  <si>
    <t>NV2285</t>
  </si>
  <si>
    <t>NV2286</t>
  </si>
  <si>
    <t>NV2287</t>
  </si>
  <si>
    <t>NV2288</t>
  </si>
  <si>
    <t>NV2289</t>
  </si>
  <si>
    <t>NV2290</t>
  </si>
  <si>
    <t>NV2291</t>
  </si>
  <si>
    <t>NV2292</t>
  </si>
  <si>
    <t>NV2293</t>
  </si>
  <si>
    <t>NV2294</t>
  </si>
  <si>
    <t>NV2295</t>
  </si>
  <si>
    <t>NV2296</t>
  </si>
  <si>
    <t>NV2297</t>
  </si>
  <si>
    <t>NV2298</t>
  </si>
  <si>
    <t>NV2299</t>
  </si>
  <si>
    <t>NV2300</t>
  </si>
  <si>
    <t>NV2301</t>
  </si>
  <si>
    <t>NV2302</t>
  </si>
  <si>
    <t>NV2303</t>
  </si>
  <si>
    <t>NV2304</t>
  </si>
  <si>
    <t>NV2305</t>
  </si>
  <si>
    <t>NV2306</t>
  </si>
  <si>
    <t>NV2307</t>
  </si>
  <si>
    <t>NV2308</t>
  </si>
  <si>
    <t>NV2309</t>
  </si>
  <si>
    <t>NV2310</t>
  </si>
  <si>
    <t>NV2311</t>
  </si>
  <si>
    <t>NV2312</t>
  </si>
  <si>
    <t>NV2313</t>
  </si>
  <si>
    <t>NV2314</t>
  </si>
  <si>
    <t>NV2315</t>
  </si>
  <si>
    <t>NV2316</t>
  </si>
  <si>
    <t>NV2317</t>
  </si>
  <si>
    <t>NV2318</t>
  </si>
  <si>
    <t>NV2319</t>
  </si>
  <si>
    <t>NV2320</t>
  </si>
  <si>
    <t>NV2321</t>
  </si>
  <si>
    <t>NV2322</t>
  </si>
  <si>
    <t>NV2323</t>
  </si>
  <si>
    <t>NV2324</t>
  </si>
  <si>
    <t>NV2325</t>
  </si>
  <si>
    <t>NV2326</t>
  </si>
  <si>
    <t>NV2327</t>
  </si>
  <si>
    <t>NV2328</t>
  </si>
  <si>
    <t>NV2329</t>
  </si>
  <si>
    <t>NV2330</t>
  </si>
  <si>
    <t>NV2331</t>
  </si>
  <si>
    <t>NV2332</t>
  </si>
  <si>
    <t>NV2333</t>
  </si>
  <si>
    <t>NV2334</t>
  </si>
  <si>
    <t>NV2335</t>
  </si>
  <si>
    <t>NV2336</t>
  </si>
  <si>
    <t>NV2337</t>
  </si>
  <si>
    <t>NV2338</t>
  </si>
  <si>
    <t>NV2339</t>
  </si>
  <si>
    <t>NV2340</t>
  </si>
  <si>
    <t>NV2341</t>
  </si>
  <si>
    <t>NV2342</t>
  </si>
  <si>
    <t>NV2343</t>
  </si>
  <si>
    <t>NV2344</t>
  </si>
  <si>
    <t>NV2345</t>
  </si>
  <si>
    <t>NV2346</t>
  </si>
  <si>
    <t>NV2347</t>
  </si>
  <si>
    <t>NV2348</t>
  </si>
  <si>
    <t>NV2349</t>
  </si>
  <si>
    <t>NV2350</t>
  </si>
  <si>
    <t>NV2351</t>
  </si>
  <si>
    <t>NV2352</t>
  </si>
  <si>
    <t>NV2353</t>
  </si>
  <si>
    <t>NV2354</t>
  </si>
  <si>
    <t>NV2355</t>
  </si>
  <si>
    <t>NV2356</t>
  </si>
  <si>
    <t>NV2357</t>
  </si>
  <si>
    <t>NV2358</t>
  </si>
  <si>
    <t>NV2359</t>
  </si>
  <si>
    <t>NV2360</t>
  </si>
  <si>
    <t>NV2361</t>
  </si>
  <si>
    <t>NV2362</t>
  </si>
  <si>
    <t>NV2363</t>
  </si>
  <si>
    <t>NV2364</t>
  </si>
  <si>
    <t>NV2365</t>
  </si>
  <si>
    <t>NV2366</t>
  </si>
  <si>
    <t>NV2367</t>
  </si>
  <si>
    <t>NV2368</t>
  </si>
  <si>
    <t>NV2369</t>
  </si>
  <si>
    <t>NV2370</t>
  </si>
  <si>
    <t>NV2371</t>
  </si>
  <si>
    <t>NV2372</t>
  </si>
  <si>
    <t>NV2373</t>
  </si>
  <si>
    <t>NV2374</t>
  </si>
  <si>
    <t>NV2375</t>
  </si>
  <si>
    <t>NV2376</t>
  </si>
  <si>
    <t>NV2377</t>
  </si>
  <si>
    <t>NV2378</t>
  </si>
  <si>
    <t>NV2379</t>
  </si>
  <si>
    <t>NV2380</t>
  </si>
  <si>
    <t>NV2381</t>
  </si>
  <si>
    <t>NV2382</t>
  </si>
  <si>
    <t>NV2383</t>
  </si>
  <si>
    <t>NV2384</t>
  </si>
  <si>
    <t>NV2385</t>
  </si>
  <si>
    <t>NV2386</t>
  </si>
  <si>
    <t>NV2387</t>
  </si>
  <si>
    <t>NV2388</t>
  </si>
  <si>
    <t>NV2389</t>
  </si>
  <si>
    <t>NV2390</t>
  </si>
  <si>
    <t>NV2391</t>
  </si>
  <si>
    <t>NV2392</t>
  </si>
  <si>
    <t>NV2393</t>
  </si>
  <si>
    <t>NV2394</t>
  </si>
  <si>
    <t>NV2395</t>
  </si>
  <si>
    <t>NV2396</t>
  </si>
  <si>
    <t>NV2397</t>
  </si>
  <si>
    <t>NV2398</t>
  </si>
  <si>
    <t>NV2399</t>
  </si>
  <si>
    <t>NV2400</t>
  </si>
  <si>
    <t>NV2401</t>
  </si>
  <si>
    <t>NV2402</t>
  </si>
  <si>
    <t>P51</t>
  </si>
  <si>
    <t>NV2403</t>
  </si>
  <si>
    <t>NV2404</t>
  </si>
  <si>
    <t>NV2405</t>
  </si>
  <si>
    <t>NV2406</t>
  </si>
  <si>
    <t>NV2407</t>
  </si>
  <si>
    <t>NV2408</t>
  </si>
  <si>
    <t>NV2409</t>
  </si>
  <si>
    <t>NV2410</t>
  </si>
  <si>
    <t>NV2411</t>
  </si>
  <si>
    <t>NV2412</t>
  </si>
  <si>
    <t>NV2413</t>
  </si>
  <si>
    <t>NV2414</t>
  </si>
  <si>
    <t>NV2415</t>
  </si>
  <si>
    <t>NV2416</t>
  </si>
  <si>
    <t>NV2417</t>
  </si>
  <si>
    <t>NV2418</t>
  </si>
  <si>
    <t>NV2419</t>
  </si>
  <si>
    <t>NV2420</t>
  </si>
  <si>
    <t>NV2421</t>
  </si>
  <si>
    <t>NV2422</t>
  </si>
  <si>
    <t>NV2423</t>
  </si>
  <si>
    <t>NV2424</t>
  </si>
  <si>
    <t>NV2425</t>
  </si>
  <si>
    <t>NV2426</t>
  </si>
  <si>
    <t>NV2427</t>
  </si>
  <si>
    <t>NV2428</t>
  </si>
  <si>
    <t>NV2429</t>
  </si>
  <si>
    <t>NV2430</t>
  </si>
  <si>
    <t>NV2431</t>
  </si>
  <si>
    <t>NV2432</t>
  </si>
  <si>
    <t>NV2433</t>
  </si>
  <si>
    <t>NV2434</t>
  </si>
  <si>
    <t>NV2435</t>
  </si>
  <si>
    <t>NV2436</t>
  </si>
  <si>
    <t>NV2437</t>
  </si>
  <si>
    <t>NV2438</t>
  </si>
  <si>
    <t>NV2439</t>
  </si>
  <si>
    <t>NV2440</t>
  </si>
  <si>
    <t>NV2441</t>
  </si>
  <si>
    <t>NV2442</t>
  </si>
  <si>
    <t>NV2443</t>
  </si>
  <si>
    <t>NV2444</t>
  </si>
  <si>
    <t>NV2445</t>
  </si>
  <si>
    <t>NV2446</t>
  </si>
  <si>
    <t>NV2447</t>
  </si>
  <si>
    <t>NV2448</t>
  </si>
  <si>
    <t>NV2449</t>
  </si>
  <si>
    <t>NV2450</t>
  </si>
  <si>
    <t>NV2451</t>
  </si>
  <si>
    <t>NV2452</t>
  </si>
  <si>
    <t>NV2453</t>
  </si>
  <si>
    <t>NV2454</t>
  </si>
  <si>
    <t>NV2455</t>
  </si>
  <si>
    <t>NV2456</t>
  </si>
  <si>
    <t>NV2457</t>
  </si>
  <si>
    <t>NV2458</t>
  </si>
  <si>
    <t>NV2459</t>
  </si>
  <si>
    <t>NV2460</t>
  </si>
  <si>
    <t>NV2461</t>
  </si>
  <si>
    <t>NV2462</t>
  </si>
  <si>
    <t>NV2463</t>
  </si>
  <si>
    <t>NV2464</t>
  </si>
  <si>
    <t>NV2465</t>
  </si>
  <si>
    <t>NV2466</t>
  </si>
  <si>
    <t>NV2467</t>
  </si>
  <si>
    <t>NV2468</t>
  </si>
  <si>
    <t>NV2469</t>
  </si>
  <si>
    <t>NV2470</t>
  </si>
  <si>
    <t>NV2471</t>
  </si>
  <si>
    <t>NV2472</t>
  </si>
  <si>
    <t>NV2473</t>
  </si>
  <si>
    <t>NV2474</t>
  </si>
  <si>
    <t>NV2475</t>
  </si>
  <si>
    <t>NV2476</t>
  </si>
  <si>
    <t>NV2477</t>
  </si>
  <si>
    <t>NV2478</t>
  </si>
  <si>
    <t>NV2479</t>
  </si>
  <si>
    <t>NV2480</t>
  </si>
  <si>
    <t>NV2481</t>
  </si>
  <si>
    <t>NV2482</t>
  </si>
  <si>
    <t>NV2483</t>
  </si>
  <si>
    <t>NV2484</t>
  </si>
  <si>
    <t>NV2485</t>
  </si>
  <si>
    <t>NV2486</t>
  </si>
  <si>
    <t>NV2487</t>
  </si>
  <si>
    <t>NV2488</t>
  </si>
  <si>
    <t>NV2489</t>
  </si>
  <si>
    <t>NV2490</t>
  </si>
  <si>
    <t>NV2491</t>
  </si>
  <si>
    <t>NV2492</t>
  </si>
  <si>
    <t>NV2493</t>
  </si>
  <si>
    <t>NV2494</t>
  </si>
  <si>
    <t>NV2495</t>
  </si>
  <si>
    <t>NV2496</t>
  </si>
  <si>
    <t>NV2497</t>
  </si>
  <si>
    <t>NV2498</t>
  </si>
  <si>
    <t>NV2499</t>
  </si>
  <si>
    <t>NV2500</t>
  </si>
  <si>
    <t>NV2501</t>
  </si>
  <si>
    <t>NV2502</t>
  </si>
  <si>
    <t>NV2503</t>
  </si>
  <si>
    <t>NV2504</t>
  </si>
  <si>
    <t>NV2505</t>
  </si>
  <si>
    <t>NV2506</t>
  </si>
  <si>
    <t>NV2507</t>
  </si>
  <si>
    <t>NV2508</t>
  </si>
  <si>
    <t>NV2509</t>
  </si>
  <si>
    <t>NV2510</t>
  </si>
  <si>
    <t>NV2511</t>
  </si>
  <si>
    <t>NV2512</t>
  </si>
  <si>
    <t>NV2513</t>
  </si>
  <si>
    <t>NV2514</t>
  </si>
  <si>
    <t>NV2515</t>
  </si>
  <si>
    <t>NV2516</t>
  </si>
  <si>
    <t>NV2517</t>
  </si>
  <si>
    <t>NV2518</t>
  </si>
  <si>
    <t>NV2519</t>
  </si>
  <si>
    <t>NV2520</t>
  </si>
  <si>
    <t>NV2521</t>
  </si>
  <si>
    <t>NV2522</t>
  </si>
  <si>
    <t>NV2523</t>
  </si>
  <si>
    <t>NV2524</t>
  </si>
  <si>
    <t>NV2525</t>
  </si>
  <si>
    <t>NV2526</t>
  </si>
  <si>
    <t>NV2527</t>
  </si>
  <si>
    <t>NV2528</t>
  </si>
  <si>
    <t>NV2529</t>
  </si>
  <si>
    <t>NV2530</t>
  </si>
  <si>
    <t>NV2531</t>
  </si>
  <si>
    <t>NV2532</t>
  </si>
  <si>
    <t>NV2533</t>
  </si>
  <si>
    <t>NV2534</t>
  </si>
  <si>
    <t>NV2535</t>
  </si>
  <si>
    <t>NV2536</t>
  </si>
  <si>
    <t>NV2537</t>
  </si>
  <si>
    <t>NV2538</t>
  </si>
  <si>
    <t>NV2539</t>
  </si>
  <si>
    <t>NV2540</t>
  </si>
  <si>
    <t>NV2541</t>
  </si>
  <si>
    <t>NV2542</t>
  </si>
  <si>
    <t>NV2543</t>
  </si>
  <si>
    <t>NV2544</t>
  </si>
  <si>
    <t>NV2545</t>
  </si>
  <si>
    <t>NV2546</t>
  </si>
  <si>
    <t>NV2547</t>
  </si>
  <si>
    <t>NV2548</t>
  </si>
  <si>
    <t>NV2549</t>
  </si>
  <si>
    <t>NV2550</t>
  </si>
  <si>
    <t>NV2551</t>
  </si>
  <si>
    <t>NV2552</t>
  </si>
  <si>
    <t>NV2553</t>
  </si>
  <si>
    <t>NV2554</t>
  </si>
  <si>
    <t>NV2555</t>
  </si>
  <si>
    <t>NV2556</t>
  </si>
  <si>
    <t>NV2557</t>
  </si>
  <si>
    <t>NV2558</t>
  </si>
  <si>
    <t>NV2559</t>
  </si>
  <si>
    <t>NV2560</t>
  </si>
  <si>
    <t>NV2561</t>
  </si>
  <si>
    <t>NV2562</t>
  </si>
  <si>
    <t>NV2563</t>
  </si>
  <si>
    <t>NV2564</t>
  </si>
  <si>
    <t>NV2565</t>
  </si>
  <si>
    <t>NV2566</t>
  </si>
  <si>
    <t>NV2567</t>
  </si>
  <si>
    <t>NV2568</t>
  </si>
  <si>
    <t>NV2569</t>
  </si>
  <si>
    <t>NV2570</t>
  </si>
  <si>
    <t>NV2571</t>
  </si>
  <si>
    <t>NV2572</t>
  </si>
  <si>
    <t>NV2573</t>
  </si>
  <si>
    <t>NV2574</t>
  </si>
  <si>
    <t>NV2575</t>
  </si>
  <si>
    <t>NV2576</t>
  </si>
  <si>
    <t>NV2577</t>
  </si>
  <si>
    <t>NV2578</t>
  </si>
  <si>
    <t>NV2579</t>
  </si>
  <si>
    <t>NV2580</t>
  </si>
  <si>
    <t>NV2581</t>
  </si>
  <si>
    <t>NV2582</t>
  </si>
  <si>
    <t>NV2583</t>
  </si>
  <si>
    <t>NV2584</t>
  </si>
  <si>
    <t>NV2585</t>
  </si>
  <si>
    <t>NV2586</t>
  </si>
  <si>
    <t>NV2587</t>
  </si>
  <si>
    <t>NV2588</t>
  </si>
  <si>
    <t>NV2589</t>
  </si>
  <si>
    <t>NV2590</t>
  </si>
  <si>
    <t>NV2591</t>
  </si>
  <si>
    <t>NV2592</t>
  </si>
  <si>
    <t>NV2593</t>
  </si>
  <si>
    <t>NV2594</t>
  </si>
  <si>
    <t>NV2595</t>
  </si>
  <si>
    <t>NV2596</t>
  </si>
  <si>
    <t>NV2597</t>
  </si>
  <si>
    <t>NV2598</t>
  </si>
  <si>
    <t>NV2599</t>
  </si>
  <si>
    <t>NV2600</t>
  </si>
  <si>
    <t>NV2601</t>
  </si>
  <si>
    <t>NV2602</t>
  </si>
  <si>
    <t>NV2603</t>
  </si>
  <si>
    <t>NV2604</t>
  </si>
  <si>
    <t>NV2605</t>
  </si>
  <si>
    <t>NV2606</t>
  </si>
  <si>
    <t>NV2607</t>
  </si>
  <si>
    <t>NV2608</t>
  </si>
  <si>
    <t>NV2609</t>
  </si>
  <si>
    <t>NV2610</t>
  </si>
  <si>
    <t>NV2611</t>
  </si>
  <si>
    <t>NV2612</t>
  </si>
  <si>
    <t>NV2613</t>
  </si>
  <si>
    <t>NV2614</t>
  </si>
  <si>
    <t>NV2615</t>
  </si>
  <si>
    <t>NV2616</t>
  </si>
  <si>
    <t>NV2617</t>
  </si>
  <si>
    <t>NV2618</t>
  </si>
  <si>
    <t>NV2619</t>
  </si>
  <si>
    <t>NV2620</t>
  </si>
  <si>
    <t>NV2621</t>
  </si>
  <si>
    <t>NV2622</t>
  </si>
  <si>
    <t>NV2623</t>
  </si>
  <si>
    <t>NV2624</t>
  </si>
  <si>
    <t>NV2625</t>
  </si>
  <si>
    <t>NV2626</t>
  </si>
  <si>
    <t>NV2627</t>
  </si>
  <si>
    <t>NV2628</t>
  </si>
  <si>
    <t>NV2629</t>
  </si>
  <si>
    <t>NV2630</t>
  </si>
  <si>
    <t>NV2631</t>
  </si>
  <si>
    <t>NV2632</t>
  </si>
  <si>
    <t>NV2633</t>
  </si>
  <si>
    <t>NV2634</t>
  </si>
  <si>
    <t>NV2635</t>
  </si>
  <si>
    <t>NV2636</t>
  </si>
  <si>
    <t>NV2637</t>
  </si>
  <si>
    <t>NV2638</t>
  </si>
  <si>
    <t>NV2639</t>
  </si>
  <si>
    <t>NV2640</t>
  </si>
  <si>
    <t>NV2641</t>
  </si>
  <si>
    <t>NV2642</t>
  </si>
  <si>
    <t>NV2643</t>
  </si>
  <si>
    <t>NV2644</t>
  </si>
  <si>
    <t>NV2645</t>
  </si>
  <si>
    <t>NV2646</t>
  </si>
  <si>
    <t>NV2647</t>
  </si>
  <si>
    <t>NV2648</t>
  </si>
  <si>
    <t>NV2649</t>
  </si>
  <si>
    <t>NV2650</t>
  </si>
  <si>
    <t>NV2651</t>
  </si>
  <si>
    <t>NV2652</t>
  </si>
  <si>
    <t>NV2653</t>
  </si>
  <si>
    <t>NV2654</t>
  </si>
  <si>
    <t>NV2655</t>
  </si>
  <si>
    <t>NV2656</t>
  </si>
  <si>
    <t>NV2657</t>
  </si>
  <si>
    <t>NV2658</t>
  </si>
  <si>
    <t>NV2659</t>
  </si>
  <si>
    <t>NV2660</t>
  </si>
  <si>
    <t>NV2661</t>
  </si>
  <si>
    <t>NV2662</t>
  </si>
  <si>
    <t>NV2663</t>
  </si>
  <si>
    <t>NV2664</t>
  </si>
  <si>
    <t>NV2665</t>
  </si>
  <si>
    <t>NV2666</t>
  </si>
  <si>
    <t>NV2667</t>
  </si>
  <si>
    <t>NV2668</t>
  </si>
  <si>
    <t>NV2669</t>
  </si>
  <si>
    <t>NV2670</t>
  </si>
  <si>
    <t>NV2671</t>
  </si>
  <si>
    <t>NV2672</t>
  </si>
  <si>
    <t>NV2673</t>
  </si>
  <si>
    <t>NV2674</t>
  </si>
  <si>
    <t>NV2675</t>
  </si>
  <si>
    <t>NV2676</t>
  </si>
  <si>
    <t>NV2677</t>
  </si>
  <si>
    <t>NV2678</t>
  </si>
  <si>
    <t>NV2679</t>
  </si>
  <si>
    <t>NV2680</t>
  </si>
  <si>
    <t>NV2681</t>
  </si>
  <si>
    <t>NV2682</t>
  </si>
  <si>
    <t>NV2683</t>
  </si>
  <si>
    <t>NV2684</t>
  </si>
  <si>
    <t>NV2685</t>
  </si>
  <si>
    <t>NV2686</t>
  </si>
  <si>
    <t>NV2687</t>
  </si>
  <si>
    <t>NV2688</t>
  </si>
  <si>
    <t>NV2689</t>
  </si>
  <si>
    <t>NV2690</t>
  </si>
  <si>
    <t>NV2691</t>
  </si>
  <si>
    <t>NV2692</t>
  </si>
  <si>
    <t>NV2693</t>
  </si>
  <si>
    <t>NV2694</t>
  </si>
  <si>
    <t>NV2695</t>
  </si>
  <si>
    <t>NV2696</t>
  </si>
  <si>
    <t>NV2697</t>
  </si>
  <si>
    <t>NV2698</t>
  </si>
  <si>
    <t>NV2699</t>
  </si>
  <si>
    <t>NV2700</t>
  </si>
  <si>
    <t>NV2701</t>
  </si>
  <si>
    <t>NV2702</t>
  </si>
  <si>
    <t>NV2703</t>
  </si>
  <si>
    <t>NV2704</t>
  </si>
  <si>
    <t>NV2705</t>
  </si>
  <si>
    <t>NV2706</t>
  </si>
  <si>
    <t>NV2707</t>
  </si>
  <si>
    <t>NV2708</t>
  </si>
  <si>
    <t>NV2709</t>
  </si>
  <si>
    <t>NV2710</t>
  </si>
  <si>
    <t>NV2711</t>
  </si>
  <si>
    <t>NV2712</t>
  </si>
  <si>
    <t>NV2713</t>
  </si>
  <si>
    <t>NV2714</t>
  </si>
  <si>
    <t>NV2715</t>
  </si>
  <si>
    <t>NV2716</t>
  </si>
  <si>
    <t>NV2717</t>
  </si>
  <si>
    <t>NV2718</t>
  </si>
  <si>
    <t>NV2719</t>
  </si>
  <si>
    <t>NV2720</t>
  </si>
  <si>
    <t>NV2721</t>
  </si>
  <si>
    <t>NV2722</t>
  </si>
  <si>
    <t>NV2723</t>
  </si>
  <si>
    <t>NV2724</t>
  </si>
  <si>
    <t>NV2725</t>
  </si>
  <si>
    <t>NV2726</t>
  </si>
  <si>
    <t>NV2727</t>
  </si>
  <si>
    <t>NV2728</t>
  </si>
  <si>
    <t>NV2729</t>
  </si>
  <si>
    <t>NV2730</t>
  </si>
  <si>
    <t>NV2731</t>
  </si>
  <si>
    <t>NV2732</t>
  </si>
  <si>
    <t>NV2733</t>
  </si>
  <si>
    <t>NV2734</t>
  </si>
  <si>
    <t>NV2735</t>
  </si>
  <si>
    <t>NV2736</t>
  </si>
  <si>
    <t>NV2737</t>
  </si>
  <si>
    <t>NV2738</t>
  </si>
  <si>
    <t>NV2739</t>
  </si>
  <si>
    <t>NV2740</t>
  </si>
  <si>
    <t>NV2741</t>
  </si>
  <si>
    <t>NV2742</t>
  </si>
  <si>
    <t>NV2743</t>
  </si>
  <si>
    <t>NV2744</t>
  </si>
  <si>
    <t>NV2745</t>
  </si>
  <si>
    <t>NV2746</t>
  </si>
  <si>
    <t>NV2747</t>
  </si>
  <si>
    <t>NV2748</t>
  </si>
  <si>
    <t>NV2749</t>
  </si>
  <si>
    <t>NV2750</t>
  </si>
  <si>
    <t>NV2751</t>
  </si>
  <si>
    <t>NV2752</t>
  </si>
  <si>
    <t>NV2753</t>
  </si>
  <si>
    <t>NV2754</t>
  </si>
  <si>
    <t>NV2755</t>
  </si>
  <si>
    <t>NV2756</t>
  </si>
  <si>
    <t>NV2757</t>
  </si>
  <si>
    <t>NV2758</t>
  </si>
  <si>
    <t>NV2759</t>
  </si>
  <si>
    <t>NV2760</t>
  </si>
  <si>
    <t>NV2761</t>
  </si>
  <si>
    <t>NV2762</t>
  </si>
  <si>
    <t>NV2763</t>
  </si>
  <si>
    <t>NV2764</t>
  </si>
  <si>
    <t>NV2765</t>
  </si>
  <si>
    <t>NV2766</t>
  </si>
  <si>
    <t>NV2767</t>
  </si>
  <si>
    <t>NV2768</t>
  </si>
  <si>
    <t>NV2769</t>
  </si>
  <si>
    <t>NV2770</t>
  </si>
  <si>
    <t>NV2771</t>
  </si>
  <si>
    <t>NV2772</t>
  </si>
  <si>
    <t>NV2773</t>
  </si>
  <si>
    <t>NV2774</t>
  </si>
  <si>
    <t>NV2775</t>
  </si>
  <si>
    <t>NV2776</t>
  </si>
  <si>
    <t>NV2777</t>
  </si>
  <si>
    <t>NV2778</t>
  </si>
  <si>
    <t>NV2779</t>
  </si>
  <si>
    <t>NV2780</t>
  </si>
  <si>
    <t>NV2781</t>
  </si>
  <si>
    <t>NV2782</t>
  </si>
  <si>
    <t>NV2783</t>
  </si>
  <si>
    <t>NV2784</t>
  </si>
  <si>
    <t>NV2785</t>
  </si>
  <si>
    <t>NV2786</t>
  </si>
  <si>
    <t>NV2787</t>
  </si>
  <si>
    <t>NV2788</t>
  </si>
  <si>
    <t>NV2789</t>
  </si>
  <si>
    <t>NV2790</t>
  </si>
  <si>
    <t>NV2791</t>
  </si>
  <si>
    <t>NV2792</t>
  </si>
  <si>
    <t>NV2793</t>
  </si>
  <si>
    <t>NV2794</t>
  </si>
  <si>
    <t>NV2795</t>
  </si>
  <si>
    <t>NV2796</t>
  </si>
  <si>
    <t>NV2797</t>
  </si>
  <si>
    <t>NV2798</t>
  </si>
  <si>
    <t>NV2799</t>
  </si>
  <si>
    <t>NV2800</t>
  </si>
  <si>
    <t>NV2801</t>
  </si>
  <si>
    <t>NV2802</t>
  </si>
  <si>
    <t>NV2803</t>
  </si>
  <si>
    <t>NV2804</t>
  </si>
  <si>
    <t>NV2805</t>
  </si>
  <si>
    <t>NV2806</t>
  </si>
  <si>
    <t>NV2807</t>
  </si>
  <si>
    <t>NV2808</t>
  </si>
  <si>
    <t>NV2809</t>
  </si>
  <si>
    <t>NV2810</t>
  </si>
  <si>
    <t>NV2811</t>
  </si>
  <si>
    <t>NV2812</t>
  </si>
  <si>
    <t>NV2813</t>
  </si>
  <si>
    <t>NV2814</t>
  </si>
  <si>
    <t>NV2815</t>
  </si>
  <si>
    <t>NV2816</t>
  </si>
  <si>
    <t>NV2817</t>
  </si>
  <si>
    <t>NV2818</t>
  </si>
  <si>
    <t>NV2819</t>
  </si>
  <si>
    <t>NV2820</t>
  </si>
  <si>
    <t>NV2821</t>
  </si>
  <si>
    <t>NV2822</t>
  </si>
  <si>
    <t>NV2823</t>
  </si>
  <si>
    <t>NV2824</t>
  </si>
  <si>
    <t>NV2825</t>
  </si>
  <si>
    <t>NV2826</t>
  </si>
  <si>
    <t>NV2827</t>
  </si>
  <si>
    <t>NV2828</t>
  </si>
  <si>
    <t>NV2829</t>
  </si>
  <si>
    <t>NV2830</t>
  </si>
  <si>
    <t>NV2831</t>
  </si>
  <si>
    <t>NV2832</t>
  </si>
  <si>
    <t>NV2833</t>
  </si>
  <si>
    <t>NV2834</t>
  </si>
  <si>
    <t>NV2835</t>
  </si>
  <si>
    <t>NV2836</t>
  </si>
  <si>
    <t>NV2837</t>
  </si>
  <si>
    <t>NV2838</t>
  </si>
  <si>
    <t>NV2839</t>
  </si>
  <si>
    <t>NV2840</t>
  </si>
  <si>
    <t>NV2841</t>
  </si>
  <si>
    <t>NV2842</t>
  </si>
  <si>
    <t>NV2843</t>
  </si>
  <si>
    <t>NV2844</t>
  </si>
  <si>
    <t>NV2845</t>
  </si>
  <si>
    <t>NV2846</t>
  </si>
  <si>
    <t>NV2847</t>
  </si>
  <si>
    <t>NV2848</t>
  </si>
  <si>
    <t>NV2849</t>
  </si>
  <si>
    <t>NV2850</t>
  </si>
  <si>
    <t>NV2851</t>
  </si>
  <si>
    <t>NV2852</t>
  </si>
  <si>
    <t>NV2853</t>
  </si>
  <si>
    <t>NV2854</t>
  </si>
  <si>
    <t>NV2855</t>
  </si>
  <si>
    <t>NV2856</t>
  </si>
  <si>
    <t>NV2857</t>
  </si>
  <si>
    <t>NV2858</t>
  </si>
  <si>
    <t>NV2859</t>
  </si>
  <si>
    <t>NV2860</t>
  </si>
  <si>
    <t>NV2861</t>
  </si>
  <si>
    <t>NV2862</t>
  </si>
  <si>
    <t>NV2863</t>
  </si>
  <si>
    <t>NV2864</t>
  </si>
  <si>
    <t>NV2865</t>
  </si>
  <si>
    <t>NV2866</t>
  </si>
  <si>
    <t>NV2867</t>
  </si>
  <si>
    <t>NV2868</t>
  </si>
  <si>
    <t>NV2869</t>
  </si>
  <si>
    <t>NV2870</t>
  </si>
  <si>
    <t>NV2871</t>
  </si>
  <si>
    <t>NV2872</t>
  </si>
  <si>
    <t>NV2873</t>
  </si>
  <si>
    <t>NV2874</t>
  </si>
  <si>
    <t>NV2875</t>
  </si>
  <si>
    <t>NV2876</t>
  </si>
  <si>
    <t>NV2877</t>
  </si>
  <si>
    <t>NV2878</t>
  </si>
  <si>
    <t>NV2879</t>
  </si>
  <si>
    <t>NV2880</t>
  </si>
  <si>
    <t>NV2881</t>
  </si>
  <si>
    <t>NV2882</t>
  </si>
  <si>
    <t>NV2883</t>
  </si>
  <si>
    <t>NV2884</t>
  </si>
  <si>
    <t>NV2885</t>
  </si>
  <si>
    <t>NV2886</t>
  </si>
  <si>
    <t>NV2887</t>
  </si>
  <si>
    <t>NV2888</t>
  </si>
  <si>
    <t>NV2889</t>
  </si>
  <si>
    <t>NV2890</t>
  </si>
  <si>
    <t>NV2891</t>
  </si>
  <si>
    <t>NV2892</t>
  </si>
  <si>
    <t>NV2893</t>
  </si>
  <si>
    <t>NV2894</t>
  </si>
  <si>
    <t>NV2895</t>
  </si>
  <si>
    <t>NV2896</t>
  </si>
  <si>
    <t>NV2897</t>
  </si>
  <si>
    <t>NV2898</t>
  </si>
  <si>
    <t>NV2899</t>
  </si>
  <si>
    <t>NV2900</t>
  </si>
  <si>
    <t>NV2901</t>
  </si>
  <si>
    <t>NV2902</t>
  </si>
  <si>
    <t>NV2903</t>
  </si>
  <si>
    <t>NV2904</t>
  </si>
  <si>
    <t>NV2905</t>
  </si>
  <si>
    <t>NV2906</t>
  </si>
  <si>
    <t>NV2907</t>
  </si>
  <si>
    <t>NV2908</t>
  </si>
  <si>
    <t>NV2909</t>
  </si>
  <si>
    <t>NV2910</t>
  </si>
  <si>
    <t>NV2911</t>
  </si>
  <si>
    <t>NV2912</t>
  </si>
  <si>
    <t>NV2913</t>
  </si>
  <si>
    <t>NV2914</t>
  </si>
  <si>
    <t>NV2915</t>
  </si>
  <si>
    <t>NV2916</t>
  </si>
  <si>
    <t>NV2917</t>
  </si>
  <si>
    <t>NV2918</t>
  </si>
  <si>
    <t>NV2919</t>
  </si>
  <si>
    <t>NV2920</t>
  </si>
  <si>
    <t>NV2921</t>
  </si>
  <si>
    <t>NV2922</t>
  </si>
  <si>
    <t>NV2923</t>
  </si>
  <si>
    <t>NV2924</t>
  </si>
  <si>
    <t>NV2925</t>
  </si>
  <si>
    <t>NV2926</t>
  </si>
  <si>
    <t>NV2927</t>
  </si>
  <si>
    <t>NV2928</t>
  </si>
  <si>
    <t>NV2929</t>
  </si>
  <si>
    <t>NV2930</t>
  </si>
  <si>
    <t>NV2931</t>
  </si>
  <si>
    <t>NV2932</t>
  </si>
  <si>
    <t>NV2933</t>
  </si>
  <si>
    <t>NV2934</t>
  </si>
  <si>
    <t>NV2935</t>
  </si>
  <si>
    <t>NV2936</t>
  </si>
  <si>
    <t>NV2937</t>
  </si>
  <si>
    <t>NV2938</t>
  </si>
  <si>
    <t>NV2939</t>
  </si>
  <si>
    <t>NV2940</t>
  </si>
  <si>
    <t>NV2941</t>
  </si>
  <si>
    <t>NV2942</t>
  </si>
  <si>
    <t>NV2943</t>
  </si>
  <si>
    <t>NV2944</t>
  </si>
  <si>
    <t>NV2945</t>
  </si>
  <si>
    <t>NV2946</t>
  </si>
  <si>
    <t>NV2947</t>
  </si>
  <si>
    <t>NV2948</t>
  </si>
  <si>
    <t>NV2949</t>
  </si>
  <si>
    <t>NV2950</t>
  </si>
  <si>
    <t>NV2951</t>
  </si>
  <si>
    <t>NV2952</t>
  </si>
  <si>
    <t>NV2953</t>
  </si>
  <si>
    <t>NV2954</t>
  </si>
  <si>
    <t>NV2955</t>
  </si>
  <si>
    <t>NV2956</t>
  </si>
  <si>
    <t>NV2957</t>
  </si>
  <si>
    <t>NV2958</t>
  </si>
  <si>
    <t>NV2959</t>
  </si>
  <si>
    <t>NV2960</t>
  </si>
  <si>
    <t>NV2961</t>
  </si>
  <si>
    <t>NV2962</t>
  </si>
  <si>
    <t>NV2963</t>
  </si>
  <si>
    <t>NV2964</t>
  </si>
  <si>
    <t>NV2965</t>
  </si>
  <si>
    <t>NV2966</t>
  </si>
  <si>
    <t>NV2967</t>
  </si>
  <si>
    <t>NV2968</t>
  </si>
  <si>
    <t>NV2969</t>
  </si>
  <si>
    <t>NV2970</t>
  </si>
  <si>
    <t>NV2971</t>
  </si>
  <si>
    <t>NV2972</t>
  </si>
  <si>
    <t>NV2973</t>
  </si>
  <si>
    <t>NV2974</t>
  </si>
  <si>
    <t>NV2975</t>
  </si>
  <si>
    <t>NV2976</t>
  </si>
  <si>
    <t>NV2977</t>
  </si>
  <si>
    <t>NV2978</t>
  </si>
  <si>
    <t>NV2979</t>
  </si>
  <si>
    <t>NV2980</t>
  </si>
  <si>
    <t>NV2981</t>
  </si>
  <si>
    <t>NV2982</t>
  </si>
  <si>
    <t>NV2983</t>
  </si>
  <si>
    <t>NV2984</t>
  </si>
  <si>
    <t>NV2985</t>
  </si>
  <si>
    <t>NV2986</t>
  </si>
  <si>
    <t>NV2987</t>
  </si>
  <si>
    <t>NV2988</t>
  </si>
  <si>
    <t>NV2989</t>
  </si>
  <si>
    <t>NV2990</t>
  </si>
  <si>
    <t>NV2991</t>
  </si>
  <si>
    <t>NV2992</t>
  </si>
  <si>
    <t>NV2993</t>
  </si>
  <si>
    <t>NV2994</t>
  </si>
  <si>
    <t>NV2995</t>
  </si>
  <si>
    <t>NV2996</t>
  </si>
  <si>
    <t>NV2997</t>
  </si>
  <si>
    <t>NV2998</t>
  </si>
  <si>
    <t>NV2999</t>
  </si>
  <si>
    <t>Revenue</t>
  </si>
  <si>
    <t>Profit</t>
  </si>
  <si>
    <t>DayOfWeek</t>
  </si>
  <si>
    <t>IsWeekend</t>
  </si>
  <si>
    <t>Sum of Revenue</t>
  </si>
  <si>
    <t>Grand Total</t>
  </si>
  <si>
    <t>FALSE</t>
  </si>
  <si>
    <t>TRUE</t>
  </si>
  <si>
    <t>sWeekend</t>
  </si>
  <si>
    <t xml:space="preserve"> Profit</t>
  </si>
  <si>
    <t xml:space="preserve"> Revenue</t>
  </si>
  <si>
    <t xml:space="preserve">  Profit</t>
  </si>
  <si>
    <t xml:space="preserve">    Revenue</t>
  </si>
  <si>
    <t>Monthly_Trend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</si>
  <si>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</si>
  <si>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</si>
  <si>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</si>
  <si>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</si>
  <si>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</si>
  <si>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</si>
  <si>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</si>
  <si>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</si>
  <si>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</si>
  <si>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</si>
  <si>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</si>
  <si>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</si>
  <si>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Months</t>
  </si>
  <si>
    <t xml:space="preserve">   Revenue</t>
  </si>
  <si>
    <t>Customer_Type</t>
  </si>
  <si>
    <t xml:space="preserve">Revenue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</si>
</sst>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[FashionWave__BaseData.csv.xlsx]Store_Performance!PivotTable8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/>
              <a:t>Store-wise Revenue and Profit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30293330918609918"/>
          <c:y val="4.95210616485324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Store_Performance!$B$3</c:f>
              <c:strCache>
                <c:ptCount val="1"/>
                <c:pt idx="0">
                  <c:v>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Store_Performance!$A$4:$A$64</c:f>
              <c:strCache>
                <c:ptCount val="60"/>
                <c:pt idx="0">
                  <c:v>ST1</c:v>
                </c:pt>
                <c:pt idx="1">
                  <c:v>ST10</c:v>
                </c:pt>
                <c:pt idx="2">
                  <c:v>ST11</c:v>
                </c:pt>
                <c:pt idx="3">
                  <c:v>ST12</c:v>
                </c:pt>
                <c:pt idx="4">
                  <c:v>ST13</c:v>
                </c:pt>
                <c:pt idx="5">
                  <c:v>ST14</c:v>
                </c:pt>
                <c:pt idx="6">
                  <c:v>ST15</c:v>
                </c:pt>
                <c:pt idx="7">
                  <c:v>ST16</c:v>
                </c:pt>
                <c:pt idx="8">
                  <c:v>ST17</c:v>
                </c:pt>
                <c:pt idx="9">
                  <c:v>ST18</c:v>
                </c:pt>
                <c:pt idx="10">
                  <c:v>ST19</c:v>
                </c:pt>
                <c:pt idx="11">
                  <c:v>ST2</c:v>
                </c:pt>
                <c:pt idx="12">
                  <c:v>ST20</c:v>
                </c:pt>
                <c:pt idx="13">
                  <c:v>ST21</c:v>
                </c:pt>
                <c:pt idx="14">
                  <c:v>ST22</c:v>
                </c:pt>
                <c:pt idx="15">
                  <c:v>ST23</c:v>
                </c:pt>
                <c:pt idx="16">
                  <c:v>ST24</c:v>
                </c:pt>
                <c:pt idx="17">
                  <c:v>ST25</c:v>
                </c:pt>
                <c:pt idx="18">
                  <c:v>ST26</c:v>
                </c:pt>
                <c:pt idx="19">
                  <c:v>ST27</c:v>
                </c:pt>
                <c:pt idx="20">
                  <c:v>ST28</c:v>
                </c:pt>
                <c:pt idx="21">
                  <c:v>ST29</c:v>
                </c:pt>
                <c:pt idx="22">
                  <c:v>ST3</c:v>
                </c:pt>
                <c:pt idx="23">
                  <c:v>ST30</c:v>
                </c:pt>
                <c:pt idx="24">
                  <c:v>ST31</c:v>
                </c:pt>
                <c:pt idx="25">
                  <c:v>ST32</c:v>
                </c:pt>
                <c:pt idx="26">
                  <c:v>ST33</c:v>
                </c:pt>
                <c:pt idx="27">
                  <c:v>ST34</c:v>
                </c:pt>
                <c:pt idx="28">
                  <c:v>ST35</c:v>
                </c:pt>
                <c:pt idx="29">
                  <c:v>ST36</c:v>
                </c:pt>
                <c:pt idx="30">
                  <c:v>ST37</c:v>
                </c:pt>
                <c:pt idx="31">
                  <c:v>ST38</c:v>
                </c:pt>
                <c:pt idx="32">
                  <c:v>ST39</c:v>
                </c:pt>
                <c:pt idx="33">
                  <c:v>ST4</c:v>
                </c:pt>
                <c:pt idx="34">
                  <c:v>ST40</c:v>
                </c:pt>
                <c:pt idx="35">
                  <c:v>ST41</c:v>
                </c:pt>
                <c:pt idx="36">
                  <c:v>ST42</c:v>
                </c:pt>
                <c:pt idx="37">
                  <c:v>ST43</c:v>
                </c:pt>
                <c:pt idx="38">
                  <c:v>ST44</c:v>
                </c:pt>
                <c:pt idx="39">
                  <c:v>ST45</c:v>
                </c:pt>
                <c:pt idx="40">
                  <c:v>ST46</c:v>
                </c:pt>
                <c:pt idx="41">
                  <c:v>ST47</c:v>
                </c:pt>
                <c:pt idx="42">
                  <c:v>ST48</c:v>
                </c:pt>
                <c:pt idx="43">
                  <c:v>ST49</c:v>
                </c:pt>
                <c:pt idx="44">
                  <c:v>ST5</c:v>
                </c:pt>
                <c:pt idx="45">
                  <c:v>ST50</c:v>
                </c:pt>
                <c:pt idx="46">
                  <c:v>ST51</c:v>
                </c:pt>
                <c:pt idx="47">
                  <c:v>ST52</c:v>
                </c:pt>
                <c:pt idx="48">
                  <c:v>ST53</c:v>
                </c:pt>
                <c:pt idx="49">
                  <c:v>ST54</c:v>
                </c:pt>
                <c:pt idx="50">
                  <c:v>ST55</c:v>
                </c:pt>
                <c:pt idx="51">
                  <c:v>ST56</c:v>
                </c:pt>
                <c:pt idx="52">
                  <c:v>ST57</c:v>
                </c:pt>
                <c:pt idx="53">
                  <c:v>ST58</c:v>
                </c:pt>
                <c:pt idx="54">
                  <c:v>ST59</c:v>
                </c:pt>
                <c:pt idx="55">
                  <c:v>ST6</c:v>
                </c:pt>
                <c:pt idx="56">
                  <c:v>ST60</c:v>
                </c:pt>
                <c:pt idx="57">
                  <c:v>ST7</c:v>
                </c:pt>
                <c:pt idx="58">
                  <c:v>ST8</c:v>
                </c:pt>
                <c:pt idx="59">
                  <c:v>ST9</c:v>
                </c:pt>
              </c:strCache>
            </c:strRef>
          </c:cat>
          <c:val>
            <c:numRef>
              <c:f>Store_Performance!$B$4:$B$64</c:f>
              <c:numCache>
                <c:formatCode>0</c:formatCode>
                <c:ptCount val="60"/>
                <c:pt idx="0">
                  <c:v>113334.26600000002</c:v>
                </c:pt>
                <c:pt idx="1">
                  <c:v>145983.4485</c:v>
                </c:pt>
                <c:pt idx="2">
                  <c:v>145633.77799999999</c:v>
                </c:pt>
                <c:pt idx="3">
                  <c:v>152410.44149999999</c:v>
                </c:pt>
                <c:pt idx="4">
                  <c:v>100869.2905</c:v>
                </c:pt>
                <c:pt idx="5">
                  <c:v>188721.44750000001</c:v>
                </c:pt>
                <c:pt idx="6">
                  <c:v>152404.90650000001</c:v>
                </c:pt>
                <c:pt idx="7">
                  <c:v>135265.28899999996</c:v>
                </c:pt>
                <c:pt idx="8">
                  <c:v>156138.78450000001</c:v>
                </c:pt>
                <c:pt idx="9">
                  <c:v>201207.04050000003</c:v>
                </c:pt>
                <c:pt idx="10">
                  <c:v>148483.8915</c:v>
                </c:pt>
                <c:pt idx="11">
                  <c:v>134200.848</c:v>
                </c:pt>
                <c:pt idx="12">
                  <c:v>206676.32600000009</c:v>
                </c:pt>
                <c:pt idx="13">
                  <c:v>184611.39499999996</c:v>
                </c:pt>
                <c:pt idx="14">
                  <c:v>160446.77550000002</c:v>
                </c:pt>
                <c:pt idx="15">
                  <c:v>143247.70250000001</c:v>
                </c:pt>
                <c:pt idx="16">
                  <c:v>154841.18600000005</c:v>
                </c:pt>
                <c:pt idx="17">
                  <c:v>161419.66900000002</c:v>
                </c:pt>
                <c:pt idx="18">
                  <c:v>164031.66300000003</c:v>
                </c:pt>
                <c:pt idx="19">
                  <c:v>156981.348</c:v>
                </c:pt>
                <c:pt idx="20">
                  <c:v>151072.63099999999</c:v>
                </c:pt>
                <c:pt idx="21">
                  <c:v>169344.54200000002</c:v>
                </c:pt>
                <c:pt idx="22">
                  <c:v>108588.39149999998</c:v>
                </c:pt>
                <c:pt idx="23">
                  <c:v>188091.24599999996</c:v>
                </c:pt>
                <c:pt idx="24">
                  <c:v>102823.60700000005</c:v>
                </c:pt>
                <c:pt idx="25">
                  <c:v>132681.50099999999</c:v>
                </c:pt>
                <c:pt idx="26">
                  <c:v>138076.87400000001</c:v>
                </c:pt>
                <c:pt idx="27">
                  <c:v>138811.505</c:v>
                </c:pt>
                <c:pt idx="28">
                  <c:v>190833.74450000003</c:v>
                </c:pt>
                <c:pt idx="29">
                  <c:v>151758.87950000001</c:v>
                </c:pt>
                <c:pt idx="30">
                  <c:v>172416.421</c:v>
                </c:pt>
                <c:pt idx="31">
                  <c:v>133349.94349999996</c:v>
                </c:pt>
                <c:pt idx="32">
                  <c:v>126578.76</c:v>
                </c:pt>
                <c:pt idx="33">
                  <c:v>122289.90049999996</c:v>
                </c:pt>
                <c:pt idx="34">
                  <c:v>154865.27099999998</c:v>
                </c:pt>
                <c:pt idx="35">
                  <c:v>151463.74649999995</c:v>
                </c:pt>
                <c:pt idx="36">
                  <c:v>143522.51850000001</c:v>
                </c:pt>
                <c:pt idx="37">
                  <c:v>98417.197499999995</c:v>
                </c:pt>
                <c:pt idx="38">
                  <c:v>187246.08299999998</c:v>
                </c:pt>
                <c:pt idx="39">
                  <c:v>99786.459499999983</c:v>
                </c:pt>
                <c:pt idx="40">
                  <c:v>98362.961500000019</c:v>
                </c:pt>
                <c:pt idx="41">
                  <c:v>212121.25099999999</c:v>
                </c:pt>
                <c:pt idx="42">
                  <c:v>182268.35150000002</c:v>
                </c:pt>
                <c:pt idx="43">
                  <c:v>162395.07700000002</c:v>
                </c:pt>
                <c:pt idx="44">
                  <c:v>137152.7775</c:v>
                </c:pt>
                <c:pt idx="45">
                  <c:v>91397.109499999991</c:v>
                </c:pt>
                <c:pt idx="46">
                  <c:v>194617.38049999994</c:v>
                </c:pt>
                <c:pt idx="47">
                  <c:v>129232.49699999999</c:v>
                </c:pt>
                <c:pt idx="48">
                  <c:v>140190.00249999997</c:v>
                </c:pt>
                <c:pt idx="49">
                  <c:v>144094.93649999998</c:v>
                </c:pt>
                <c:pt idx="50">
                  <c:v>93635.597500000018</c:v>
                </c:pt>
                <c:pt idx="51">
                  <c:v>139892.11649999997</c:v>
                </c:pt>
                <c:pt idx="52">
                  <c:v>120870.36700000001</c:v>
                </c:pt>
                <c:pt idx="53">
                  <c:v>153872.22900000002</c:v>
                </c:pt>
                <c:pt idx="54">
                  <c:v>91242.324000000008</c:v>
                </c:pt>
                <c:pt idx="55">
                  <c:v>143588.29199999999</c:v>
                </c:pt>
                <c:pt idx="56">
                  <c:v>120661.55849999998</c:v>
                </c:pt>
                <c:pt idx="57">
                  <c:v>112300.49</c:v>
                </c:pt>
                <c:pt idx="58">
                  <c:v>171209.03600000005</c:v>
                </c:pt>
                <c:pt idx="59">
                  <c:v>118814.47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2D-499E-BBFD-2E55828BE8DB}"/>
            </c:ext>
          </c:extLst>
        </c:ser>
        <c:ser>
          <c:idx val="1"/>
          <c:order val="1"/>
          <c:tx>
            <c:strRef>
              <c:f>Store_Performance!$C$3</c:f>
              <c:strCache>
                <c:ptCount val="1"/>
                <c:pt idx="0">
                  <c:v> 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Store_Performance!$A$4:$A$64</c:f>
              <c:strCache>
                <c:ptCount val="60"/>
                <c:pt idx="0">
                  <c:v>ST1</c:v>
                </c:pt>
                <c:pt idx="1">
                  <c:v>ST10</c:v>
                </c:pt>
                <c:pt idx="2">
                  <c:v>ST11</c:v>
                </c:pt>
                <c:pt idx="3">
                  <c:v>ST12</c:v>
                </c:pt>
                <c:pt idx="4">
                  <c:v>ST13</c:v>
                </c:pt>
                <c:pt idx="5">
                  <c:v>ST14</c:v>
                </c:pt>
                <c:pt idx="6">
                  <c:v>ST15</c:v>
                </c:pt>
                <c:pt idx="7">
                  <c:v>ST16</c:v>
                </c:pt>
                <c:pt idx="8">
                  <c:v>ST17</c:v>
                </c:pt>
                <c:pt idx="9">
                  <c:v>ST18</c:v>
                </c:pt>
                <c:pt idx="10">
                  <c:v>ST19</c:v>
                </c:pt>
                <c:pt idx="11">
                  <c:v>ST2</c:v>
                </c:pt>
                <c:pt idx="12">
                  <c:v>ST20</c:v>
                </c:pt>
                <c:pt idx="13">
                  <c:v>ST21</c:v>
                </c:pt>
                <c:pt idx="14">
                  <c:v>ST22</c:v>
                </c:pt>
                <c:pt idx="15">
                  <c:v>ST23</c:v>
                </c:pt>
                <c:pt idx="16">
                  <c:v>ST24</c:v>
                </c:pt>
                <c:pt idx="17">
                  <c:v>ST25</c:v>
                </c:pt>
                <c:pt idx="18">
                  <c:v>ST26</c:v>
                </c:pt>
                <c:pt idx="19">
                  <c:v>ST27</c:v>
                </c:pt>
                <c:pt idx="20">
                  <c:v>ST28</c:v>
                </c:pt>
                <c:pt idx="21">
                  <c:v>ST29</c:v>
                </c:pt>
                <c:pt idx="22">
                  <c:v>ST3</c:v>
                </c:pt>
                <c:pt idx="23">
                  <c:v>ST30</c:v>
                </c:pt>
                <c:pt idx="24">
                  <c:v>ST31</c:v>
                </c:pt>
                <c:pt idx="25">
                  <c:v>ST32</c:v>
                </c:pt>
                <c:pt idx="26">
                  <c:v>ST33</c:v>
                </c:pt>
                <c:pt idx="27">
                  <c:v>ST34</c:v>
                </c:pt>
                <c:pt idx="28">
                  <c:v>ST35</c:v>
                </c:pt>
                <c:pt idx="29">
                  <c:v>ST36</c:v>
                </c:pt>
                <c:pt idx="30">
                  <c:v>ST37</c:v>
                </c:pt>
                <c:pt idx="31">
                  <c:v>ST38</c:v>
                </c:pt>
                <c:pt idx="32">
                  <c:v>ST39</c:v>
                </c:pt>
                <c:pt idx="33">
                  <c:v>ST4</c:v>
                </c:pt>
                <c:pt idx="34">
                  <c:v>ST40</c:v>
                </c:pt>
                <c:pt idx="35">
                  <c:v>ST41</c:v>
                </c:pt>
                <c:pt idx="36">
                  <c:v>ST42</c:v>
                </c:pt>
                <c:pt idx="37">
                  <c:v>ST43</c:v>
                </c:pt>
                <c:pt idx="38">
                  <c:v>ST44</c:v>
                </c:pt>
                <c:pt idx="39">
                  <c:v>ST45</c:v>
                </c:pt>
                <c:pt idx="40">
                  <c:v>ST46</c:v>
                </c:pt>
                <c:pt idx="41">
                  <c:v>ST47</c:v>
                </c:pt>
                <c:pt idx="42">
                  <c:v>ST48</c:v>
                </c:pt>
                <c:pt idx="43">
                  <c:v>ST49</c:v>
                </c:pt>
                <c:pt idx="44">
                  <c:v>ST5</c:v>
                </c:pt>
                <c:pt idx="45">
                  <c:v>ST50</c:v>
                </c:pt>
                <c:pt idx="46">
                  <c:v>ST51</c:v>
                </c:pt>
                <c:pt idx="47">
                  <c:v>ST52</c:v>
                </c:pt>
                <c:pt idx="48">
                  <c:v>ST53</c:v>
                </c:pt>
                <c:pt idx="49">
                  <c:v>ST54</c:v>
                </c:pt>
                <c:pt idx="50">
                  <c:v>ST55</c:v>
                </c:pt>
                <c:pt idx="51">
                  <c:v>ST56</c:v>
                </c:pt>
                <c:pt idx="52">
                  <c:v>ST57</c:v>
                </c:pt>
                <c:pt idx="53">
                  <c:v>ST58</c:v>
                </c:pt>
                <c:pt idx="54">
                  <c:v>ST59</c:v>
                </c:pt>
                <c:pt idx="55">
                  <c:v>ST6</c:v>
                </c:pt>
                <c:pt idx="56">
                  <c:v>ST60</c:v>
                </c:pt>
                <c:pt idx="57">
                  <c:v>ST7</c:v>
                </c:pt>
                <c:pt idx="58">
                  <c:v>ST8</c:v>
                </c:pt>
                <c:pt idx="59">
                  <c:v>ST9</c:v>
                </c:pt>
              </c:strCache>
            </c:strRef>
          </c:cat>
          <c:val>
            <c:numRef>
              <c:f>Store_Performance!$C$4:$C$64</c:f>
              <c:numCache>
                <c:formatCode>0</c:formatCode>
                <c:ptCount val="60"/>
                <c:pt idx="0">
                  <c:v>41673.856</c:v>
                </c:pt>
                <c:pt idx="1">
                  <c:v>56194.608500000002</c:v>
                </c:pt>
                <c:pt idx="2">
                  <c:v>54906.317999999999</c:v>
                </c:pt>
                <c:pt idx="3">
                  <c:v>45635.571499999991</c:v>
                </c:pt>
                <c:pt idx="4">
                  <c:v>37039.6005</c:v>
                </c:pt>
                <c:pt idx="5">
                  <c:v>75581.827499999999</c:v>
                </c:pt>
                <c:pt idx="6">
                  <c:v>54195.336500000005</c:v>
                </c:pt>
                <c:pt idx="7">
                  <c:v>47428.828999999991</c:v>
                </c:pt>
                <c:pt idx="8">
                  <c:v>50800.314500000015</c:v>
                </c:pt>
                <c:pt idx="9">
                  <c:v>72227.890499999994</c:v>
                </c:pt>
                <c:pt idx="10">
                  <c:v>55106.251500000006</c:v>
                </c:pt>
                <c:pt idx="11">
                  <c:v>54243.327999999994</c:v>
                </c:pt>
                <c:pt idx="12">
                  <c:v>79900.356</c:v>
                </c:pt>
                <c:pt idx="13">
                  <c:v>71303.734999999986</c:v>
                </c:pt>
                <c:pt idx="14">
                  <c:v>60905.525500000003</c:v>
                </c:pt>
                <c:pt idx="15">
                  <c:v>52938.982500000006</c:v>
                </c:pt>
                <c:pt idx="16">
                  <c:v>55816.80599999999</c:v>
                </c:pt>
                <c:pt idx="17">
                  <c:v>57903.148999999976</c:v>
                </c:pt>
                <c:pt idx="18">
                  <c:v>53737.223000000013</c:v>
                </c:pt>
                <c:pt idx="19">
                  <c:v>56748.188000000009</c:v>
                </c:pt>
                <c:pt idx="20">
                  <c:v>54054.411000000007</c:v>
                </c:pt>
                <c:pt idx="21">
                  <c:v>64249.242000000006</c:v>
                </c:pt>
                <c:pt idx="22">
                  <c:v>30842.391499999991</c:v>
                </c:pt>
                <c:pt idx="23">
                  <c:v>68823.665999999997</c:v>
                </c:pt>
                <c:pt idx="24">
                  <c:v>39803.736999999994</c:v>
                </c:pt>
                <c:pt idx="25">
                  <c:v>47413.60100000001</c:v>
                </c:pt>
                <c:pt idx="26">
                  <c:v>48151.433999999994</c:v>
                </c:pt>
                <c:pt idx="27">
                  <c:v>54707.704999999994</c:v>
                </c:pt>
                <c:pt idx="28">
                  <c:v>64699.694499999998</c:v>
                </c:pt>
                <c:pt idx="29">
                  <c:v>49571.889499999997</c:v>
                </c:pt>
                <c:pt idx="30">
                  <c:v>49240.910999999986</c:v>
                </c:pt>
                <c:pt idx="31">
                  <c:v>49682.403500000008</c:v>
                </c:pt>
                <c:pt idx="32">
                  <c:v>42939.82</c:v>
                </c:pt>
                <c:pt idx="33">
                  <c:v>46036.780500000001</c:v>
                </c:pt>
                <c:pt idx="34">
                  <c:v>52346.530999999995</c:v>
                </c:pt>
                <c:pt idx="35">
                  <c:v>53936.556499999977</c:v>
                </c:pt>
                <c:pt idx="36">
                  <c:v>54293.018499999984</c:v>
                </c:pt>
                <c:pt idx="37">
                  <c:v>31363.517499999998</c:v>
                </c:pt>
                <c:pt idx="38">
                  <c:v>69882.772999999986</c:v>
                </c:pt>
                <c:pt idx="39">
                  <c:v>38791.9395</c:v>
                </c:pt>
                <c:pt idx="40">
                  <c:v>35794.541499999992</c:v>
                </c:pt>
                <c:pt idx="41">
                  <c:v>75066.85100000001</c:v>
                </c:pt>
                <c:pt idx="42">
                  <c:v>67001.641500000012</c:v>
                </c:pt>
                <c:pt idx="43">
                  <c:v>61349.936999999998</c:v>
                </c:pt>
                <c:pt idx="44">
                  <c:v>47461.38749999999</c:v>
                </c:pt>
                <c:pt idx="45">
                  <c:v>33571.849499999997</c:v>
                </c:pt>
                <c:pt idx="46">
                  <c:v>79604.410499999998</c:v>
                </c:pt>
                <c:pt idx="47">
                  <c:v>47145.226999999984</c:v>
                </c:pt>
                <c:pt idx="48">
                  <c:v>52003.462499999994</c:v>
                </c:pt>
                <c:pt idx="49">
                  <c:v>52596.33649999999</c:v>
                </c:pt>
                <c:pt idx="50">
                  <c:v>32749.917500000003</c:v>
                </c:pt>
                <c:pt idx="51">
                  <c:v>44748.936499999996</c:v>
                </c:pt>
                <c:pt idx="52">
                  <c:v>38141.296999999999</c:v>
                </c:pt>
                <c:pt idx="53">
                  <c:v>56569.478999999999</c:v>
                </c:pt>
                <c:pt idx="54">
                  <c:v>31520.263999999992</c:v>
                </c:pt>
                <c:pt idx="55">
                  <c:v>48192.251999999993</c:v>
                </c:pt>
                <c:pt idx="56">
                  <c:v>39203.688499999989</c:v>
                </c:pt>
                <c:pt idx="57">
                  <c:v>35907.039999999994</c:v>
                </c:pt>
                <c:pt idx="58">
                  <c:v>61861.756000000001</c:v>
                </c:pt>
                <c:pt idx="59">
                  <c:v>43902.849999999991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2D-499E-BBFD-2E55828BE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336608"/>
        <c:axId val="142339968"/>
      </c:barChart>
      <c:catAx>
        <c:axId val="14233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39968"/>
        <c:crosses val="autoZero"/>
        <c:auto val="1"/>
        <c:lblAlgn val="ctr"/>
        <c:lblOffset val="100"/>
        <c:noMultiLvlLbl val="0"/>
      </c:catAx>
      <c:valAx>
        <c:axId val="14233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36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[FashionWave__BaseData.csv.xlsx]Monthly_Trend!PivotTable9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Monthly Revenue Trend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Monthly_Trend!$B$3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Monthly_Trend!$A$4:$A$16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Monthly_Trend!$B$4:$B$16</c:f>
              <c:numCache>
                <c:formatCode>General</c:formatCode>
                <c:ptCount val="12"/>
                <c:pt idx="0">
                  <c:v>869926.18849999981</c:v>
                </c:pt>
                <c:pt idx="1">
                  <c:v>699460.62549999973</c:v>
                </c:pt>
                <c:pt idx="2">
                  <c:v>768330.87150000001</c:v>
                </c:pt>
                <c:pt idx="3">
                  <c:v>658383.27599999984</c:v>
                </c:pt>
                <c:pt idx="4">
                  <c:v>770446.52499999991</c:v>
                </c:pt>
                <c:pt idx="5">
                  <c:v>708895.93300000019</c:v>
                </c:pt>
                <c:pt idx="6">
                  <c:v>779134.42150000017</c:v>
                </c:pt>
                <c:pt idx="7">
                  <c:v>756280.3889999995</c:v>
                </c:pt>
                <c:pt idx="8">
                  <c:v>720473.63649999991</c:v>
                </c:pt>
                <c:pt idx="9">
                  <c:v>887535.86150000058</c:v>
                </c:pt>
                <c:pt idx="10">
                  <c:v>762179.60400000028</c:v>
                </c:pt>
                <c:pt idx="11">
                  <c:v>345800.21250000008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BB-4297-AA5B-86A885A15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339008"/>
        <c:axId val="142328928"/>
      </c:lineChart>
      <c:catAx>
        <c:axId val="14233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28928"/>
        <c:crosses val="autoZero"/>
        <c:auto val="1"/>
        <c:lblAlgn val="ctr"/>
        <c:lblOffset val="100"/>
        <c:noMultiLvlLbl val="0"/>
      </c:catAx>
      <c:valAx>
        <c:axId val="14232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39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[FashionWave__BaseData.csv.xlsx]Customer_Analysis!PivotTable10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Customer Type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32859523344112096"/>
          <c:y val="7.30533683289588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Customer_Analysis!$B$3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Customer_Analysis!$A$4:$A$6</c:f>
              <c:strCache>
                <c:ptCount val="2"/>
                <c:pt idx="0">
                  <c:v>New</c:v>
                </c:pt>
                <c:pt idx="1">
                  <c:v>Returning</c:v>
                </c:pt>
              </c:strCache>
            </c:strRef>
          </c:cat>
          <c:val>
            <c:numRef>
              <c:f>Customer_Analysis!$B$4:$B$6</c:f>
              <c:numCache>
                <c:formatCode>#,##0</c:formatCode>
                <c:ptCount val="2"/>
                <c:pt idx="0">
                  <c:v>4360282.7354999958</c:v>
                </c:pt>
                <c:pt idx="1">
                  <c:v>4366564.8090000041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77-4665-861B-7CEBA2FD0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2373568"/>
        <c:axId val="142379808"/>
      </c:barChart>
      <c:catAx>
        <c:axId val="142373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79808"/>
        <c:crosses val="autoZero"/>
        <c:auto val="1"/>
        <c:lblAlgn val="ctr"/>
        <c:lblOffset val="100"/>
        <c:noMultiLvlLbl val="0"/>
      </c:catAx>
      <c:valAx>
        <c:axId val="14237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7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[FashionWave__BaseData.csv.xlsx] Weekend vs Weekday _Analysis!PivotTable4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cap="all" baseline="0"/>
              <a:t>Weekend vs Weekday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 Weekend vs Weekday _Analysis'!$B$3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 Weekend vs Weekday _Analysis'!$A$4:$A$5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' Weekend vs Weekday _Analysis'!$B$4:$B$5</c:f>
              <c:numCache>
                <c:formatCode>General</c:formatCode>
                <c:ptCount val="2"/>
                <c:pt idx="0">
                  <c:v>6324941.5719999988</c:v>
                </c:pt>
                <c:pt idx="1">
                  <c:v>2401905.9724999992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E7-417E-81B4-E6E3C5681EE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[FashionWave__BaseData.csv.xlsx]Category_Analysis!PivotTable6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Revenue</a:t>
            </a:r>
            <a:r>
              <a:rPr lang="en-IN" baseline="0"/>
              <a:t> By </a:t>
            </a:r>
            <a:r>
              <a:rPr lang="en-IN"/>
              <a:t>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Category_Analysis!$B$3</c:f>
              <c:strCache>
                <c:ptCount val="1"/>
                <c:pt idx="0">
                  <c:v>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Category_Analysis!$A$4:$A$6</c:f>
              <c:strCache>
                <c:ptCount val="3"/>
                <c:pt idx="0">
                  <c:v>Accessories</c:v>
                </c:pt>
                <c:pt idx="1">
                  <c:v>Clothing</c:v>
                </c:pt>
                <c:pt idx="2">
                  <c:v>Shoes</c:v>
                </c:pt>
              </c:strCache>
            </c:strRef>
          </c:cat>
          <c:val>
            <c:numRef>
              <c:f>Category_Analysis!$B$4:$B$6</c:f>
              <c:numCache>
                <c:formatCode>0</c:formatCode>
                <c:ptCount val="3"/>
                <c:pt idx="0">
                  <c:v>2945005.0355000021</c:v>
                </c:pt>
                <c:pt idx="1">
                  <c:v>2899359.455000001</c:v>
                </c:pt>
                <c:pt idx="2">
                  <c:v>2882483.0539999986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AA-434F-8521-D5ABE94F3F31}"/>
            </c:ext>
          </c:extLst>
        </c:ser>
        <c:ser>
          <c:idx val="1"/>
          <c:order val="1"/>
          <c:tx>
            <c:strRef>
              <c:f>Category_Analysis!$C$3</c:f>
              <c:strCache>
                <c:ptCount val="1"/>
                <c:pt idx="0">
                  <c:v>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Category_Analysis!$A$4:$A$6</c:f>
              <c:strCache>
                <c:ptCount val="3"/>
                <c:pt idx="0">
                  <c:v>Accessories</c:v>
                </c:pt>
                <c:pt idx="1">
                  <c:v>Clothing</c:v>
                </c:pt>
                <c:pt idx="2">
                  <c:v>Shoes</c:v>
                </c:pt>
              </c:strCache>
            </c:strRef>
          </c:cat>
          <c:val>
            <c:numRef>
              <c:f>Category_Analysis!$C$4:$C$6</c:f>
              <c:numCache>
                <c:formatCode>0</c:formatCode>
                <c:ptCount val="3"/>
                <c:pt idx="0">
                  <c:v>1036070.8454999998</c:v>
                </c:pt>
                <c:pt idx="1">
                  <c:v>1048356.325</c:v>
                </c:pt>
                <c:pt idx="2">
                  <c:v>1045085.6740000002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AA-434F-8521-D5ABE94F3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315008"/>
        <c:axId val="142311168"/>
      </c:barChart>
      <c:catAx>
        <c:axId val="14231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11168"/>
        <c:crosses val="autoZero"/>
        <c:auto val="1"/>
        <c:lblAlgn val="ctr"/>
        <c:lblOffset val="100"/>
        <c:noMultiLvlLbl val="0"/>
      </c:catAx>
      <c:valAx>
        <c:axId val="14231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1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[FashionWave__BaseData.csv.xlsx]Discount_Impact!PivotTable7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baseline="0">
                <a:solidFill>
                  <a:sysClr val="windowText" lastClr="000000"/>
                </a:solidFill>
              </a:rPr>
              <a:t>Discount Impact on Profit Margin and Revenue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IN"/>
          </a:p>
        </c:rich>
      </c:tx>
      <c:layout>
        <c:manualLayout>
          <c:xMode val="edge"/>
          <c:yMode val="edge"/>
          <c:x val="0.18681518595863544"/>
          <c:y val="9.41977145127494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Discount_Impact!$B$3</c:f>
              <c:strCache>
                <c:ptCount val="1"/>
                <c:pt idx="0">
                  <c:v> 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Discount_Impact!$A$4:$A$10</c:f>
              <c:strCach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strCache>
            </c:strRef>
          </c:cat>
          <c:val>
            <c:numRef>
              <c:f>Discount_Impact!$B$4:$B$10</c:f>
              <c:numCache>
                <c:formatCode>0</c:formatCode>
                <c:ptCount val="7"/>
                <c:pt idx="0">
                  <c:v>684034.74999999977</c:v>
                </c:pt>
                <c:pt idx="1">
                  <c:v>621774.46600000036</c:v>
                </c:pt>
                <c:pt idx="2">
                  <c:v>569916.06199999992</c:v>
                </c:pt>
                <c:pt idx="3">
                  <c:v>439352.8280000001</c:v>
                </c:pt>
                <c:pt idx="4">
                  <c:v>344018.20400000003</c:v>
                </c:pt>
                <c:pt idx="5">
                  <c:v>258111.61749999996</c:v>
                </c:pt>
                <c:pt idx="6">
                  <c:v>212304.91699999987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81-411A-8B04-F617F5DBF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329408"/>
        <c:axId val="142332768"/>
      </c:barChart>
      <c:lineChart>
        <c:grouping val="standard"/>
        <c:varyColors val="0"/>
        <c:ser>
          <c:idx val="1"/>
          <c:order val="1"/>
          <c:tx>
            <c:strRef>
              <c:f>Discount_Impact!$C$3</c:f>
              <c:strCache>
                <c:ptCount val="1"/>
                <c:pt idx="0">
                  <c:v>    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Discount_Impact!$A$4:$A$10</c:f>
              <c:strCach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strCache>
            </c:strRef>
          </c:cat>
          <c:val>
            <c:numRef>
              <c:f>Discount_Impact!$C$4:$C$10</c:f>
              <c:numCache>
                <c:formatCode>0</c:formatCode>
                <c:ptCount val="7"/>
                <c:pt idx="0">
                  <c:v>1517858.6600000006</c:v>
                </c:pt>
                <c:pt idx="1">
                  <c:v>1431774.1459999995</c:v>
                </c:pt>
                <c:pt idx="2">
                  <c:v>1436903.1719999998</c:v>
                </c:pt>
                <c:pt idx="3">
                  <c:v>1244255.9080000001</c:v>
                </c:pt>
                <c:pt idx="4">
                  <c:v>1118271.024</c:v>
                </c:pt>
                <c:pt idx="5">
                  <c:v>980353.29750000045</c:v>
                </c:pt>
                <c:pt idx="6">
                  <c:v>997431.33699999948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81-411A-8B04-F617F5DBF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329408"/>
        <c:axId val="142332768"/>
      </c:lineChart>
      <c:catAx>
        <c:axId val="14232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32768"/>
        <c:crosses val="autoZero"/>
        <c:auto val="1"/>
        <c:lblAlgn val="ctr"/>
        <c:lblOffset val="100"/>
        <c:noMultiLvlLbl val="0"/>
      </c:catAx>
      <c:valAx>
        <c:axId val="14233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2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457197</xdr:colOff>
      <xdr:row>1</xdr:row>
      <xdr:rowOff>92529</xdr:rowOff>
    </xdr:from>
    <xdr:to>
      <xdr:col>15</xdr:col>
      <xdr:colOff>511629</xdr:colOff>
      <xdr:row>23</xdr:row>
      <xdr:rowOff>68035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CF96CF-3FD1-5F28-C150-4CF28B0F6B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261256</xdr:colOff>
      <xdr:row>1</xdr:row>
      <xdr:rowOff>149679</xdr:rowOff>
    </xdr:from>
    <xdr:to>
      <xdr:col>12</xdr:col>
      <xdr:colOff>642257</xdr:colOff>
      <xdr:row>16</xdr:row>
      <xdr:rowOff>117022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C713CA-89BC-2FAE-77A4-6A72FD7BC5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468084</xdr:colOff>
      <xdr:row>3</xdr:row>
      <xdr:rowOff>89807</xdr:rowOff>
    </xdr:from>
    <xdr:to>
      <xdr:col>12</xdr:col>
      <xdr:colOff>293913</xdr:colOff>
      <xdr:row>18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45AE1F-F51D-B106-FDAA-00F8272E9B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3</xdr:row>
      <xdr:rowOff>95249</xdr:rowOff>
    </xdr:from>
    <xdr:to>
      <xdr:col>10</xdr:col>
      <xdr:colOff>152400</xdr:colOff>
      <xdr:row>21</xdr:row>
      <xdr:rowOff>10885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F57625-4BF5-E2A1-D4F8-8654F34B63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653142</xdr:colOff>
      <xdr:row>3</xdr:row>
      <xdr:rowOff>95250</xdr:rowOff>
    </xdr:from>
    <xdr:to>
      <xdr:col>11</xdr:col>
      <xdr:colOff>653142</xdr:colOff>
      <xdr:row>18</xdr:row>
      <xdr:rowOff>62592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CCB287-93B1-1E02-011D-B2776DF9CF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506185</xdr:colOff>
      <xdr:row>2</xdr:row>
      <xdr:rowOff>62593</xdr:rowOff>
    </xdr:from>
    <xdr:to>
      <xdr:col>13</xdr:col>
      <xdr:colOff>168728</xdr:colOff>
      <xdr:row>23</xdr:row>
      <xdr:rowOff>130629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859FD1-4915-C63F-581D-85053BAA43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MIT YADUVANSHI" refreshedDate="45970.550110648146" createdVersion="8" refreshedVersion="8" minRefreshableVersion="3" recordCount="2000" xr:uid="{EF9981C1-19A1-49CB-84A3-45B88E4C3D90}">
  <cacheSource type="worksheet">
    <worksheetSource ref="A1:P2001" sheet="FashionWave_BaseData"/>
  </cacheSource>
  <cacheFields count="16">
    <cacheField name="InvoiceNo" numFmtId="0">
      <sharedItems/>
    </cacheField>
    <cacheField name="Date" numFmtId="14">
      <sharedItems containsSemiMixedTypes="0" containsNonDate="0" containsDate="1" containsString="0" minDate="2024-01-01T00:00:00" maxDate="2025-12-02T00:00:00"/>
    </cacheField>
    <cacheField name="StoreID" numFmtId="0">
      <sharedItems count="60">
        <s v="ST10"/>
        <s v="ST38"/>
        <s v="ST42"/>
        <s v="ST2"/>
        <s v="ST22"/>
        <s v="ST28"/>
        <s v="ST39"/>
        <s v="ST5"/>
        <s v="ST6"/>
        <s v="ST41"/>
        <s v="ST13"/>
        <s v="ST16"/>
        <s v="ST43"/>
        <s v="ST26"/>
        <s v="ST34"/>
        <s v="ST23"/>
        <s v="ST27"/>
        <s v="ST12"/>
        <s v="ST51"/>
        <s v="ST49"/>
        <s v="ST15"/>
        <s v="ST44"/>
        <s v="ST57"/>
        <s v="ST1"/>
        <s v="ST35"/>
        <s v="ST48"/>
        <s v="ST17"/>
        <s v="ST7"/>
        <s v="ST36"/>
        <s v="ST30"/>
        <s v="ST11"/>
        <s v="ST37"/>
        <s v="ST29"/>
        <s v="ST4"/>
        <s v="ST33"/>
        <s v="ST8"/>
        <s v="ST19"/>
        <s v="ST32"/>
        <s v="ST25"/>
        <s v="ST53"/>
        <s v="ST24"/>
        <s v="ST31"/>
        <s v="ST47"/>
        <s v="ST52"/>
        <s v="ST58"/>
        <s v="ST3"/>
        <s v="ST54"/>
        <s v="ST40"/>
        <s v="ST56"/>
        <s v="ST59"/>
        <s v="ST45"/>
        <s v="ST18"/>
        <s v="ST20"/>
        <s v="ST21"/>
        <s v="ST60"/>
        <s v="ST9"/>
        <s v="ST14"/>
        <s v="ST55"/>
        <s v="ST50"/>
        <s v="ST46"/>
      </sharedItems>
    </cacheField>
    <cacheField name="Region" numFmtId="0">
      <sharedItems count="4">
        <s v="West"/>
        <s v="East"/>
        <s v="North"/>
        <s v="South"/>
      </sharedItems>
    </cacheField>
    <cacheField name="ProductID" numFmtId="0">
      <sharedItems/>
    </cacheField>
    <cacheField name="Category" numFmtId="0">
      <sharedItems count="3">
        <s v="Shoes"/>
        <s v="Accessories"/>
        <s v="Clothing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304.8" maxValue="2999.07"/>
    </cacheField>
    <cacheField name="Discount" numFmtId="0">
      <sharedItems containsSemiMixedTypes="0" containsString="0" containsNumber="1" containsInteger="1" minValue="0" maxValue="30" count="7">
        <n v="30"/>
        <n v="20"/>
        <n v="5"/>
        <n v="10"/>
        <n v="15"/>
        <n v="25"/>
        <n v="0"/>
      </sharedItems>
    </cacheField>
    <cacheField name="CostPerUnit" numFmtId="0">
      <sharedItems containsSemiMixedTypes="0" containsString="0" containsNumber="1" minValue="129.12" maxValue="2069.79"/>
    </cacheField>
    <cacheField name="CustomerType" numFmtId="0">
      <sharedItems/>
    </cacheField>
    <cacheField name="PaymentMode" numFmtId="0">
      <sharedItems/>
    </cacheField>
    <cacheField name="Revenue" numFmtId="0">
      <sharedItems containsSemiMixedTypes="0" containsString="0" containsNumber="1" minValue="253.69600000000003" maxValue="14877.6"/>
    </cacheField>
    <cacheField name="Profit" numFmtId="0">
      <sharedItems containsSemiMixedTypes="0" containsString="0" containsNumber="1" minValue="14.195999999999913" maxValue="8412.0500000000011"/>
    </cacheField>
    <cacheField name="DayOfWeek" numFmtId="0">
      <sharedItems/>
    </cacheField>
    <cacheField name="IsWeekend" numFmtId="0">
      <sharedItems count="2">
        <b v="0"/>
        <b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MIT YADUVANSHI" refreshedDate="45970.736635185189" createdVersion="8" refreshedVersion="8" minRefreshableVersion="3" recordCount="2000" xr:uid="{07DB00CE-BC65-4757-B598-624FE6648F4A}">
  <cacheSource type="worksheet">
    <worksheetSource ref="A1:Q2001" sheet="FashionWave_BaseData"/>
  </cacheSource>
  <cacheFields count="17">
    <cacheField name="InvoiceNo" numFmtId="0">
      <sharedItems/>
    </cacheField>
    <cacheField name="Date" numFmtId="14">
      <sharedItems containsSemiMixedTypes="0" containsNonDate="0" containsDate="1" containsString="0" minDate="2024-01-01T00:00:00" maxDate="2025-12-02T00:00:00"/>
    </cacheField>
    <cacheField name="StoreID" numFmtId="0">
      <sharedItems/>
    </cacheField>
    <cacheField name="Region" numFmtId="0">
      <sharedItems/>
    </cacheField>
    <cacheField name="ProductID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304.8" maxValue="2999.07"/>
    </cacheField>
    <cacheField name="Discount" numFmtId="0">
      <sharedItems containsSemiMixedTypes="0" containsString="0" containsNumber="1" containsInteger="1" minValue="0" maxValue="30"/>
    </cacheField>
    <cacheField name="CostPerUnit" numFmtId="0">
      <sharedItems containsSemiMixedTypes="0" containsString="0" containsNumber="1" minValue="129.12" maxValue="2069.79"/>
    </cacheField>
    <cacheField name="CustomerType" numFmtId="0">
      <sharedItems count="2">
        <s v="Returning"/>
        <s v="New"/>
      </sharedItems>
    </cacheField>
    <cacheField name="PaymentMode" numFmtId="0">
      <sharedItems/>
    </cacheField>
    <cacheField name="Revenue" numFmtId="0">
      <sharedItems containsSemiMixedTypes="0" containsString="0" containsNumber="1" minValue="253.69600000000003" maxValue="14877.6"/>
    </cacheField>
    <cacheField name="Profit" numFmtId="0">
      <sharedItems containsSemiMixedTypes="0" containsString="0" containsNumber="1" minValue="14.195999999999913" maxValue="8412.0500000000011"/>
    </cacheField>
    <cacheField name="DayOfWeek" numFmtId="0">
      <sharedItems/>
    </cacheField>
    <cacheField name="IsWeekend" numFmtId="0">
      <sharedItems/>
    </cacheField>
    <cacheField name="Monthly_Trend" numFmtId="0">
      <sharedItems count="12">
        <s v="June"/>
        <s v="November"/>
        <s v="October"/>
        <s v="February"/>
        <s v="July"/>
        <s v="August"/>
        <s v="September"/>
        <s v="March"/>
        <s v="April"/>
        <s v="May"/>
        <s v="January"/>
        <s v="Decem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NV1000"/>
    <d v="2024-06-06T00:00:00"/>
    <x v="0"/>
    <x v="0"/>
    <s v="P126"/>
    <x v="0"/>
    <n v="3"/>
    <n v="2345.19"/>
    <x v="0"/>
    <n v="1197.98"/>
    <s v="Returning"/>
    <s v="Cash"/>
    <n v="4924.8989999999994"/>
    <n v="1330.9589999999994"/>
    <s v="Thursday"/>
    <x v="0"/>
  </r>
  <r>
    <s v="NV1001"/>
    <d v="2024-11-13T00:00:00"/>
    <x v="1"/>
    <x v="1"/>
    <s v="P276"/>
    <x v="1"/>
    <n v="2"/>
    <n v="1397.45"/>
    <x v="1"/>
    <n v="714.69"/>
    <s v="New"/>
    <s v="Cash"/>
    <n v="2235.92"/>
    <n v="806.54"/>
    <s v="Wednesday"/>
    <x v="0"/>
  </r>
  <r>
    <s v="NV1002"/>
    <d v="2024-10-30T00:00:00"/>
    <x v="2"/>
    <x v="1"/>
    <s v="P119"/>
    <x v="2"/>
    <n v="5"/>
    <n v="2460.81"/>
    <x v="2"/>
    <n v="1073.5999999999999"/>
    <s v="Returning"/>
    <s v="Cash"/>
    <n v="11688.847499999998"/>
    <n v="6320.847499999998"/>
    <s v="Wednesday"/>
    <x v="0"/>
  </r>
  <r>
    <s v="NV1003"/>
    <d v="2024-06-16T00:00:00"/>
    <x v="3"/>
    <x v="2"/>
    <s v="P78"/>
    <x v="2"/>
    <n v="5"/>
    <n v="331.84"/>
    <x v="0"/>
    <n v="196.54"/>
    <s v="Returning"/>
    <s v="Card"/>
    <n v="1161.4399999999998"/>
    <n v="178.7399999999999"/>
    <s v="Sunday"/>
    <x v="1"/>
  </r>
  <r>
    <s v="NV1004"/>
    <d v="2024-06-07T00:00:00"/>
    <x v="4"/>
    <x v="2"/>
    <s v="P123"/>
    <x v="0"/>
    <n v="3"/>
    <n v="2248.9499999999998"/>
    <x v="3"/>
    <n v="1224.6500000000001"/>
    <s v="Returning"/>
    <s v="Digital"/>
    <n v="6072.165"/>
    <n v="2398.2149999999997"/>
    <s v="Friday"/>
    <x v="0"/>
  </r>
  <r>
    <s v="NV1005"/>
    <d v="2025-02-08T00:00:00"/>
    <x v="5"/>
    <x v="0"/>
    <s v="P120"/>
    <x v="1"/>
    <n v="5"/>
    <n v="2328.6"/>
    <x v="0"/>
    <n v="976.15"/>
    <s v="Returning"/>
    <s v="Digital"/>
    <n v="8150.0999999999995"/>
    <n v="3269.3499999999995"/>
    <s v="Saturday"/>
    <x v="1"/>
  </r>
  <r>
    <s v="NV1006"/>
    <d v="2024-10-17T00:00:00"/>
    <x v="6"/>
    <x v="2"/>
    <s v="P204"/>
    <x v="1"/>
    <n v="2"/>
    <n v="2310.58"/>
    <x v="4"/>
    <n v="1523.42"/>
    <s v="New"/>
    <s v="Card"/>
    <n v="3927.9859999999999"/>
    <n v="881.14599999999973"/>
    <s v="Thursday"/>
    <x v="0"/>
  </r>
  <r>
    <s v="NV1007"/>
    <d v="2025-07-24T00:00:00"/>
    <x v="7"/>
    <x v="3"/>
    <s v="P211"/>
    <x v="1"/>
    <n v="1"/>
    <n v="1150.3599999999999"/>
    <x v="4"/>
    <n v="550.09"/>
    <s v="Returning"/>
    <s v="Card"/>
    <n v="977.80599999999993"/>
    <n v="427.71599999999989"/>
    <s v="Thursday"/>
    <x v="0"/>
  </r>
  <r>
    <s v="NV1008"/>
    <d v="2025-06-12T00:00:00"/>
    <x v="2"/>
    <x v="2"/>
    <s v="P41"/>
    <x v="1"/>
    <n v="3"/>
    <n v="2405.5"/>
    <x v="3"/>
    <n v="1387.78"/>
    <s v="Returning"/>
    <s v="Card"/>
    <n v="6494.85"/>
    <n v="2331.5100000000002"/>
    <s v="Thursday"/>
    <x v="0"/>
  </r>
  <r>
    <s v="NV1009"/>
    <d v="2025-10-20T00:00:00"/>
    <x v="8"/>
    <x v="1"/>
    <s v="P141"/>
    <x v="1"/>
    <n v="1"/>
    <n v="1426.53"/>
    <x v="5"/>
    <n v="863.43"/>
    <s v="Returning"/>
    <s v="Digital"/>
    <n v="1069.8975"/>
    <n v="206.46750000000009"/>
    <s v="Monday"/>
    <x v="0"/>
  </r>
  <r>
    <s v="NV1010"/>
    <d v="2024-06-11T00:00:00"/>
    <x v="9"/>
    <x v="2"/>
    <s v="P284"/>
    <x v="0"/>
    <n v="1"/>
    <n v="349.26"/>
    <x v="4"/>
    <n v="150.21"/>
    <s v="New"/>
    <s v="Card"/>
    <n v="296.87099999999998"/>
    <n v="146.66099999999997"/>
    <s v="Tuesday"/>
    <x v="0"/>
  </r>
  <r>
    <s v="NV1011"/>
    <d v="2025-08-02T00:00:00"/>
    <x v="5"/>
    <x v="1"/>
    <s v="P170"/>
    <x v="0"/>
    <n v="2"/>
    <n v="744.92"/>
    <x v="6"/>
    <n v="416.81"/>
    <s v="Returning"/>
    <s v="Cash"/>
    <n v="1489.84"/>
    <n v="656.21999999999991"/>
    <s v="Saturday"/>
    <x v="1"/>
  </r>
  <r>
    <s v="NV1012"/>
    <d v="2024-08-08T00:00:00"/>
    <x v="10"/>
    <x v="2"/>
    <s v="P220"/>
    <x v="1"/>
    <n v="4"/>
    <n v="350.75"/>
    <x v="1"/>
    <n v="237.38"/>
    <s v="Returning"/>
    <s v="Digital"/>
    <n v="1122.4000000000001"/>
    <n v="172.88000000000011"/>
    <s v="Thursday"/>
    <x v="0"/>
  </r>
  <r>
    <s v="NV1013"/>
    <d v="2024-09-24T00:00:00"/>
    <x v="11"/>
    <x v="3"/>
    <s v="P167"/>
    <x v="2"/>
    <n v="4"/>
    <n v="641.65"/>
    <x v="5"/>
    <n v="430.19"/>
    <s v="Returning"/>
    <s v="Card"/>
    <n v="1924.9499999999998"/>
    <n v="204.18999999999983"/>
    <s v="Tuesday"/>
    <x v="0"/>
  </r>
  <r>
    <s v="NV1014"/>
    <d v="2025-06-11T00:00:00"/>
    <x v="12"/>
    <x v="3"/>
    <s v="P110"/>
    <x v="1"/>
    <n v="4"/>
    <n v="2938.67"/>
    <x v="6"/>
    <n v="1329.18"/>
    <s v="Returning"/>
    <s v="Digital"/>
    <n v="11754.68"/>
    <n v="6437.96"/>
    <s v="Wednesday"/>
    <x v="0"/>
  </r>
  <r>
    <s v="NV1015"/>
    <d v="2025-08-16T00:00:00"/>
    <x v="13"/>
    <x v="0"/>
    <s v="P174"/>
    <x v="2"/>
    <n v="1"/>
    <n v="689.93"/>
    <x v="5"/>
    <n v="355"/>
    <s v="New"/>
    <s v="Cash"/>
    <n v="517.44749999999999"/>
    <n v="162.44749999999999"/>
    <s v="Saturday"/>
    <x v="1"/>
  </r>
  <r>
    <s v="NV1016"/>
    <d v="2024-08-24T00:00:00"/>
    <x v="14"/>
    <x v="0"/>
    <s v="P59"/>
    <x v="2"/>
    <n v="5"/>
    <n v="2793.78"/>
    <x v="1"/>
    <n v="1808.77"/>
    <s v="Returning"/>
    <s v="Cash"/>
    <n v="11175.120000000003"/>
    <n v="2131.2700000000023"/>
    <s v="Saturday"/>
    <x v="1"/>
  </r>
  <r>
    <s v="NV1017"/>
    <d v="2024-02-14T00:00:00"/>
    <x v="15"/>
    <x v="1"/>
    <s v="P150"/>
    <x v="0"/>
    <n v="1"/>
    <n v="2067.4499999999998"/>
    <x v="4"/>
    <n v="1226.54"/>
    <s v="New"/>
    <s v="Cash"/>
    <n v="1757.3324999999998"/>
    <n v="530.79249999999979"/>
    <s v="Wednesday"/>
    <x v="0"/>
  </r>
  <r>
    <s v="NV1018"/>
    <d v="2025-03-21T00:00:00"/>
    <x v="16"/>
    <x v="3"/>
    <s v="P23"/>
    <x v="0"/>
    <n v="1"/>
    <n v="1434.93"/>
    <x v="4"/>
    <n v="739.97"/>
    <s v="Returning"/>
    <s v="Cash"/>
    <n v="1219.6904999999999"/>
    <n v="479.7204999999999"/>
    <s v="Friday"/>
    <x v="0"/>
  </r>
  <r>
    <s v="NV1019"/>
    <d v="2024-10-25T00:00:00"/>
    <x v="16"/>
    <x v="3"/>
    <s v="P145"/>
    <x v="0"/>
    <n v="2"/>
    <n v="595.11"/>
    <x v="0"/>
    <n v="319.2"/>
    <s v="New"/>
    <s v="Card"/>
    <n v="833.154"/>
    <n v="194.75400000000002"/>
    <s v="Friday"/>
    <x v="0"/>
  </r>
  <r>
    <s v="NV1020"/>
    <d v="2025-07-04T00:00:00"/>
    <x v="4"/>
    <x v="0"/>
    <s v="P87"/>
    <x v="2"/>
    <n v="5"/>
    <n v="1019.28"/>
    <x v="5"/>
    <n v="442.2"/>
    <s v="New"/>
    <s v="Cash"/>
    <n v="3822.2999999999997"/>
    <n v="1611.2999999999997"/>
    <s v="Friday"/>
    <x v="0"/>
  </r>
  <r>
    <s v="NV1021"/>
    <d v="2025-07-22T00:00:00"/>
    <x v="17"/>
    <x v="3"/>
    <s v="P167"/>
    <x v="2"/>
    <n v="1"/>
    <n v="2649.47"/>
    <x v="1"/>
    <n v="1390.12"/>
    <s v="Returning"/>
    <s v="Cash"/>
    <n v="2119.576"/>
    <n v="729.45600000000013"/>
    <s v="Tuesday"/>
    <x v="0"/>
  </r>
  <r>
    <s v="NV1022"/>
    <d v="2025-02-14T00:00:00"/>
    <x v="18"/>
    <x v="2"/>
    <s v="P132"/>
    <x v="1"/>
    <n v="5"/>
    <n v="2062.7199999999998"/>
    <x v="1"/>
    <n v="1059.3499999999999"/>
    <s v="Returning"/>
    <s v="Cash"/>
    <n v="8250.8799999999992"/>
    <n v="2954.1299999999992"/>
    <s v="Friday"/>
    <x v="0"/>
  </r>
  <r>
    <s v="NV1023"/>
    <d v="2024-10-27T00:00:00"/>
    <x v="19"/>
    <x v="1"/>
    <s v="P109"/>
    <x v="1"/>
    <n v="4"/>
    <n v="413.65"/>
    <x v="3"/>
    <n v="166.63"/>
    <s v="Returning"/>
    <s v="Digital"/>
    <n v="1489.1399999999999"/>
    <n v="822.61999999999989"/>
    <s v="Sunday"/>
    <x v="1"/>
  </r>
  <r>
    <s v="NV1024"/>
    <d v="2024-08-25T00:00:00"/>
    <x v="20"/>
    <x v="0"/>
    <s v="P106"/>
    <x v="2"/>
    <n v="5"/>
    <n v="1099.75"/>
    <x v="6"/>
    <n v="546.54999999999995"/>
    <s v="New"/>
    <s v="Cash"/>
    <n v="5498.75"/>
    <n v="2766"/>
    <s v="Sunday"/>
    <x v="1"/>
  </r>
  <r>
    <s v="NV1025"/>
    <d v="2025-06-09T00:00:00"/>
    <x v="21"/>
    <x v="1"/>
    <s v="P236"/>
    <x v="1"/>
    <n v="1"/>
    <n v="2567.17"/>
    <x v="1"/>
    <n v="1037.44"/>
    <s v="Returning"/>
    <s v="Cash"/>
    <n v="2053.7360000000003"/>
    <n v="1016.2960000000003"/>
    <s v="Monday"/>
    <x v="0"/>
  </r>
  <r>
    <s v="NV1026"/>
    <d v="2024-10-13T00:00:00"/>
    <x v="22"/>
    <x v="1"/>
    <s v="P145"/>
    <x v="1"/>
    <n v="3"/>
    <n v="2671.47"/>
    <x v="5"/>
    <n v="1342.7"/>
    <s v="New"/>
    <s v="Cash"/>
    <n v="6010.8074999999999"/>
    <n v="1982.7074999999995"/>
    <s v="Sunday"/>
    <x v="1"/>
  </r>
  <r>
    <s v="NV1027"/>
    <d v="2024-10-26T00:00:00"/>
    <x v="23"/>
    <x v="2"/>
    <s v="P55"/>
    <x v="1"/>
    <n v="2"/>
    <n v="1335.44"/>
    <x v="3"/>
    <n v="576.03"/>
    <s v="Returning"/>
    <s v="Card"/>
    <n v="2403.7920000000004"/>
    <n v="1251.7320000000004"/>
    <s v="Saturday"/>
    <x v="1"/>
  </r>
  <r>
    <s v="NV1028"/>
    <d v="2025-04-05T00:00:00"/>
    <x v="0"/>
    <x v="1"/>
    <s v="P95"/>
    <x v="0"/>
    <n v="1"/>
    <n v="2886.18"/>
    <x v="5"/>
    <n v="1469.23"/>
    <s v="New"/>
    <s v="Cash"/>
    <n v="2164.6349999999998"/>
    <n v="695.40499999999975"/>
    <s v="Saturday"/>
    <x v="1"/>
  </r>
  <r>
    <s v="NV1029"/>
    <d v="2024-10-11T00:00:00"/>
    <x v="21"/>
    <x v="1"/>
    <s v="P166"/>
    <x v="1"/>
    <n v="3"/>
    <n v="2201.08"/>
    <x v="1"/>
    <n v="1361.08"/>
    <s v="Returning"/>
    <s v="Digital"/>
    <n v="5282.5920000000006"/>
    <n v="1199.3520000000008"/>
    <s v="Friday"/>
    <x v="0"/>
  </r>
  <r>
    <s v="NV1030"/>
    <d v="2024-10-01T00:00:00"/>
    <x v="13"/>
    <x v="1"/>
    <s v="P60"/>
    <x v="1"/>
    <n v="2"/>
    <n v="2961.78"/>
    <x v="0"/>
    <n v="1398.95"/>
    <s v="Returning"/>
    <s v="Cash"/>
    <n v="4146.4920000000002"/>
    <n v="1348.5920000000001"/>
    <s v="Tuesday"/>
    <x v="0"/>
  </r>
  <r>
    <s v="NV1031"/>
    <d v="2024-05-23T00:00:00"/>
    <x v="24"/>
    <x v="2"/>
    <s v="P285"/>
    <x v="0"/>
    <n v="3"/>
    <n v="2961.48"/>
    <x v="5"/>
    <n v="1358.15"/>
    <s v="New"/>
    <s v="Cash"/>
    <n v="6663.33"/>
    <n v="2588.8799999999997"/>
    <s v="Thursday"/>
    <x v="0"/>
  </r>
  <r>
    <s v="NV1032"/>
    <d v="2025-11-24T00:00:00"/>
    <x v="15"/>
    <x v="3"/>
    <s v="P122"/>
    <x v="2"/>
    <n v="4"/>
    <n v="2225.71"/>
    <x v="2"/>
    <n v="1035"/>
    <s v="Returning"/>
    <s v="Cash"/>
    <n v="8457.6980000000003"/>
    <n v="4317.6980000000003"/>
    <s v="Monday"/>
    <x v="0"/>
  </r>
  <r>
    <s v="NV1033"/>
    <d v="2025-01-18T00:00:00"/>
    <x v="25"/>
    <x v="3"/>
    <s v="P27"/>
    <x v="2"/>
    <n v="5"/>
    <n v="1127.08"/>
    <x v="2"/>
    <n v="465.71"/>
    <s v="New"/>
    <s v="Digital"/>
    <n v="5353.6299999999992"/>
    <n v="3025.0799999999995"/>
    <s v="Saturday"/>
    <x v="1"/>
  </r>
  <r>
    <s v="NV1034"/>
    <d v="2025-03-01T00:00:00"/>
    <x v="18"/>
    <x v="0"/>
    <s v="P261"/>
    <x v="0"/>
    <n v="3"/>
    <n v="2052.5300000000002"/>
    <x v="5"/>
    <n v="922.53"/>
    <s v="Returning"/>
    <s v="Cash"/>
    <n v="4618.1925000000001"/>
    <n v="1850.6025"/>
    <s v="Saturday"/>
    <x v="1"/>
  </r>
  <r>
    <s v="NV1035"/>
    <d v="2025-07-04T00:00:00"/>
    <x v="26"/>
    <x v="2"/>
    <s v="P154"/>
    <x v="2"/>
    <n v="5"/>
    <n v="1411.76"/>
    <x v="1"/>
    <n v="718.32"/>
    <s v="New"/>
    <s v="Card"/>
    <n v="5647.0400000000009"/>
    <n v="2055.4400000000005"/>
    <s v="Friday"/>
    <x v="0"/>
  </r>
  <r>
    <s v="NV1036"/>
    <d v="2025-09-05T00:00:00"/>
    <x v="27"/>
    <x v="2"/>
    <s v="P242"/>
    <x v="1"/>
    <n v="2"/>
    <n v="1748.13"/>
    <x v="4"/>
    <n v="862.42"/>
    <s v="Returning"/>
    <s v="Card"/>
    <n v="2971.8209999999999"/>
    <n v="1246.981"/>
    <s v="Friday"/>
    <x v="0"/>
  </r>
  <r>
    <s v="NV1037"/>
    <d v="2025-02-02T00:00:00"/>
    <x v="28"/>
    <x v="0"/>
    <s v="P197"/>
    <x v="0"/>
    <n v="2"/>
    <n v="705.5"/>
    <x v="1"/>
    <n v="293.02999999999997"/>
    <s v="Returning"/>
    <s v="Digital"/>
    <n v="1128.8"/>
    <n v="542.74"/>
    <s v="Sunday"/>
    <x v="1"/>
  </r>
  <r>
    <s v="NV1038"/>
    <d v="2024-01-06T00:00:00"/>
    <x v="29"/>
    <x v="3"/>
    <s v="P43"/>
    <x v="1"/>
    <n v="2"/>
    <n v="1646.75"/>
    <x v="2"/>
    <n v="962.41"/>
    <s v="Returning"/>
    <s v="Cash"/>
    <n v="3128.8249999999998"/>
    <n v="1204.0049999999999"/>
    <s v="Saturday"/>
    <x v="1"/>
  </r>
  <r>
    <s v="NV1039"/>
    <d v="2025-02-02T00:00:00"/>
    <x v="24"/>
    <x v="2"/>
    <s v="P43"/>
    <x v="0"/>
    <n v="1"/>
    <n v="1114.46"/>
    <x v="1"/>
    <n v="542.96"/>
    <s v="New"/>
    <s v="Card"/>
    <n v="891.5680000000001"/>
    <n v="348.60800000000006"/>
    <s v="Sunday"/>
    <x v="1"/>
  </r>
  <r>
    <s v="NV1040"/>
    <d v="2024-07-03T00:00:00"/>
    <x v="25"/>
    <x v="2"/>
    <s v="P187"/>
    <x v="1"/>
    <n v="3"/>
    <n v="1278.4100000000001"/>
    <x v="4"/>
    <n v="828.73"/>
    <s v="Returning"/>
    <s v="Cash"/>
    <n v="3259.9455000000003"/>
    <n v="773.75550000000021"/>
    <s v="Wednesday"/>
    <x v="0"/>
  </r>
  <r>
    <s v="NV1041"/>
    <d v="2025-06-17T00:00:00"/>
    <x v="2"/>
    <x v="1"/>
    <s v="P68"/>
    <x v="0"/>
    <n v="3"/>
    <n v="1867.16"/>
    <x v="6"/>
    <n v="813.77"/>
    <s v="Returning"/>
    <s v="Cash"/>
    <n v="5601.4800000000005"/>
    <n v="3160.1700000000005"/>
    <s v="Tuesday"/>
    <x v="0"/>
  </r>
  <r>
    <s v="NV1042"/>
    <d v="2024-05-03T00:00:00"/>
    <x v="1"/>
    <x v="0"/>
    <s v="P119"/>
    <x v="2"/>
    <n v="4"/>
    <n v="2991.66"/>
    <x v="4"/>
    <n v="1274.01"/>
    <s v="New"/>
    <s v="Card"/>
    <n v="10171.643999999998"/>
    <n v="5075.6039999999985"/>
    <s v="Friday"/>
    <x v="0"/>
  </r>
  <r>
    <s v="NV1043"/>
    <d v="2025-06-21T00:00:00"/>
    <x v="27"/>
    <x v="0"/>
    <s v="P151"/>
    <x v="0"/>
    <n v="1"/>
    <n v="2316.62"/>
    <x v="6"/>
    <n v="1145.03"/>
    <s v="New"/>
    <s v="Digital"/>
    <n v="2316.62"/>
    <n v="1171.5899999999999"/>
    <s v="Saturday"/>
    <x v="1"/>
  </r>
  <r>
    <s v="NV1044"/>
    <d v="2025-04-13T00:00:00"/>
    <x v="30"/>
    <x v="2"/>
    <s v="P295"/>
    <x v="0"/>
    <n v="2"/>
    <n v="2823.24"/>
    <x v="0"/>
    <n v="1483.21"/>
    <s v="Returning"/>
    <s v="Digital"/>
    <n v="3952.5359999999996"/>
    <n v="986.11599999999953"/>
    <s v="Sunday"/>
    <x v="1"/>
  </r>
  <r>
    <s v="NV1045"/>
    <d v="2024-07-27T00:00:00"/>
    <x v="25"/>
    <x v="0"/>
    <s v="P214"/>
    <x v="1"/>
    <n v="4"/>
    <n v="868.87"/>
    <x v="1"/>
    <n v="443.61"/>
    <s v="New"/>
    <s v="Card"/>
    <n v="2780.384"/>
    <n v="1005.944"/>
    <s v="Saturday"/>
    <x v="1"/>
  </r>
  <r>
    <s v="NV1046"/>
    <d v="2025-11-07T00:00:00"/>
    <x v="31"/>
    <x v="2"/>
    <s v="P119"/>
    <x v="1"/>
    <n v="3"/>
    <n v="2624.58"/>
    <x v="5"/>
    <n v="1236.45"/>
    <s v="Returning"/>
    <s v="Digital"/>
    <n v="5905.3050000000003"/>
    <n v="2195.9549999999999"/>
    <s v="Friday"/>
    <x v="0"/>
  </r>
  <r>
    <s v="NV1047"/>
    <d v="2024-06-04T00:00:00"/>
    <x v="32"/>
    <x v="1"/>
    <s v="P12"/>
    <x v="0"/>
    <n v="4"/>
    <n v="2976.06"/>
    <x v="3"/>
    <n v="1746.71"/>
    <s v="New"/>
    <s v="Digital"/>
    <n v="10713.816000000001"/>
    <n v="3726.9760000000006"/>
    <s v="Tuesday"/>
    <x v="0"/>
  </r>
  <r>
    <s v="NV1048"/>
    <d v="2024-02-22T00:00:00"/>
    <x v="33"/>
    <x v="1"/>
    <s v="P13"/>
    <x v="2"/>
    <n v="3"/>
    <n v="1870.32"/>
    <x v="0"/>
    <n v="1211"/>
    <s v="New"/>
    <s v="Digital"/>
    <n v="3927.6719999999996"/>
    <n v="294.67199999999957"/>
    <s v="Thursday"/>
    <x v="0"/>
  </r>
  <r>
    <s v="NV1049"/>
    <d v="2024-11-08T00:00:00"/>
    <x v="34"/>
    <x v="0"/>
    <s v="P62"/>
    <x v="0"/>
    <n v="3"/>
    <n v="678.8"/>
    <x v="1"/>
    <n v="306.85000000000002"/>
    <s v="Returning"/>
    <s v="Digital"/>
    <n v="1629.12"/>
    <n v="708.56999999999982"/>
    <s v="Friday"/>
    <x v="0"/>
  </r>
  <r>
    <s v="NV1050"/>
    <d v="2024-02-03T00:00:00"/>
    <x v="25"/>
    <x v="1"/>
    <s v="P11"/>
    <x v="1"/>
    <n v="2"/>
    <n v="660.76"/>
    <x v="1"/>
    <n v="277.81"/>
    <s v="New"/>
    <s v="Cash"/>
    <n v="1057.2160000000001"/>
    <n v="501.59600000000012"/>
    <s v="Saturday"/>
    <x v="1"/>
  </r>
  <r>
    <s v="NV1051"/>
    <d v="2024-06-01T00:00:00"/>
    <x v="9"/>
    <x v="0"/>
    <s v="P81"/>
    <x v="0"/>
    <n v="5"/>
    <n v="1299.05"/>
    <x v="5"/>
    <n v="695.12"/>
    <s v="New"/>
    <s v="Cash"/>
    <n v="4871.4375"/>
    <n v="1395.8375000000001"/>
    <s v="Saturday"/>
    <x v="1"/>
  </r>
  <r>
    <s v="NV1052"/>
    <d v="2024-04-23T00:00:00"/>
    <x v="35"/>
    <x v="3"/>
    <s v="P299"/>
    <x v="1"/>
    <n v="5"/>
    <n v="1793.2"/>
    <x v="0"/>
    <n v="743.11"/>
    <s v="Returning"/>
    <s v="Cash"/>
    <n v="6276.2"/>
    <n v="2560.6499999999996"/>
    <s v="Tuesday"/>
    <x v="0"/>
  </r>
  <r>
    <s v="NV1053"/>
    <d v="2024-04-06T00:00:00"/>
    <x v="9"/>
    <x v="3"/>
    <s v="P8"/>
    <x v="2"/>
    <n v="3"/>
    <n v="2613.54"/>
    <x v="5"/>
    <n v="1485.05"/>
    <s v="Returning"/>
    <s v="Cash"/>
    <n v="5880.4650000000001"/>
    <n v="1425.3150000000005"/>
    <s v="Saturday"/>
    <x v="1"/>
  </r>
  <r>
    <s v="NV1054"/>
    <d v="2025-10-01T00:00:00"/>
    <x v="31"/>
    <x v="1"/>
    <s v="P157"/>
    <x v="0"/>
    <n v="2"/>
    <n v="491.52"/>
    <x v="2"/>
    <n v="218.83"/>
    <s v="Returning"/>
    <s v="Digital"/>
    <n v="933.88799999999992"/>
    <n v="496.22799999999989"/>
    <s v="Wednesday"/>
    <x v="0"/>
  </r>
  <r>
    <s v="NV1055"/>
    <d v="2024-06-16T00:00:00"/>
    <x v="10"/>
    <x v="0"/>
    <s v="P126"/>
    <x v="1"/>
    <n v="5"/>
    <n v="2863.81"/>
    <x v="5"/>
    <n v="1193.6099999999999"/>
    <s v="New"/>
    <s v="Digital"/>
    <n v="10739.287499999999"/>
    <n v="4771.2374999999993"/>
    <s v="Sunday"/>
    <x v="1"/>
  </r>
  <r>
    <s v="NV1056"/>
    <d v="2024-09-05T00:00:00"/>
    <x v="20"/>
    <x v="0"/>
    <s v="P64"/>
    <x v="0"/>
    <n v="1"/>
    <n v="1969.19"/>
    <x v="4"/>
    <n v="1353.17"/>
    <s v="Returning"/>
    <s v="Digital"/>
    <n v="1673.8115"/>
    <n v="320.64149999999995"/>
    <s v="Thursday"/>
    <x v="0"/>
  </r>
  <r>
    <s v="NV1057"/>
    <d v="2024-07-11T00:00:00"/>
    <x v="27"/>
    <x v="3"/>
    <s v="P202"/>
    <x v="1"/>
    <n v="3"/>
    <n v="1462.51"/>
    <x v="5"/>
    <n v="712.12"/>
    <s v="New"/>
    <s v="Digital"/>
    <n v="3290.6475"/>
    <n v="1154.2874999999999"/>
    <s v="Thursday"/>
    <x v="0"/>
  </r>
  <r>
    <s v="NV1058"/>
    <d v="2024-11-12T00:00:00"/>
    <x v="36"/>
    <x v="1"/>
    <s v="P158"/>
    <x v="0"/>
    <n v="4"/>
    <n v="2177.25"/>
    <x v="0"/>
    <n v="884.94"/>
    <s v="Returning"/>
    <s v="Cash"/>
    <n v="6096.2999999999993"/>
    <n v="2556.5399999999991"/>
    <s v="Tuesday"/>
    <x v="0"/>
  </r>
  <r>
    <s v="NV1059"/>
    <d v="2024-08-01T00:00:00"/>
    <x v="37"/>
    <x v="0"/>
    <s v="P182"/>
    <x v="1"/>
    <n v="3"/>
    <n v="482.46"/>
    <x v="1"/>
    <n v="266.37"/>
    <s v="Returning"/>
    <s v="Digital"/>
    <n v="1157.904"/>
    <n v="358.79399999999998"/>
    <s v="Thursday"/>
    <x v="0"/>
  </r>
  <r>
    <s v="NV1060"/>
    <d v="2024-04-27T00:00:00"/>
    <x v="14"/>
    <x v="1"/>
    <s v="P253"/>
    <x v="0"/>
    <n v="3"/>
    <n v="1251.3"/>
    <x v="0"/>
    <n v="704.24"/>
    <s v="New"/>
    <s v="Digital"/>
    <n v="2627.7299999999996"/>
    <n v="515.00999999999931"/>
    <s v="Saturday"/>
    <x v="1"/>
  </r>
  <r>
    <s v="NV1061"/>
    <d v="2025-02-14T00:00:00"/>
    <x v="38"/>
    <x v="2"/>
    <s v="P270"/>
    <x v="0"/>
    <n v="3"/>
    <n v="1099.93"/>
    <x v="1"/>
    <n v="625.34"/>
    <s v="Returning"/>
    <s v="Card"/>
    <n v="2639.8320000000003"/>
    <n v="763.81200000000035"/>
    <s v="Friday"/>
    <x v="0"/>
  </r>
  <r>
    <s v="NV1062"/>
    <d v="2024-04-24T00:00:00"/>
    <x v="39"/>
    <x v="2"/>
    <s v="P195"/>
    <x v="0"/>
    <n v="3"/>
    <n v="626.9"/>
    <x v="6"/>
    <n v="398.37"/>
    <s v="New"/>
    <s v="Digital"/>
    <n v="1880.6999999999998"/>
    <n v="685.58999999999969"/>
    <s v="Wednesday"/>
    <x v="0"/>
  </r>
  <r>
    <s v="NV1063"/>
    <d v="2025-06-02T00:00:00"/>
    <x v="40"/>
    <x v="1"/>
    <s v="P76"/>
    <x v="1"/>
    <n v="3"/>
    <n v="1479.58"/>
    <x v="5"/>
    <n v="700.58"/>
    <s v="New"/>
    <s v="Cash"/>
    <n v="3329.0549999999998"/>
    <n v="1227.3149999999996"/>
    <s v="Monday"/>
    <x v="0"/>
  </r>
  <r>
    <s v="NV1064"/>
    <d v="2025-04-15T00:00:00"/>
    <x v="29"/>
    <x v="3"/>
    <s v="P114"/>
    <x v="1"/>
    <n v="2"/>
    <n v="776.93"/>
    <x v="4"/>
    <n v="382.95"/>
    <s v="Returning"/>
    <s v="Digital"/>
    <n v="1320.7809999999999"/>
    <n v="554.88099999999997"/>
    <s v="Tuesday"/>
    <x v="0"/>
  </r>
  <r>
    <s v="NV1065"/>
    <d v="2025-09-10T00:00:00"/>
    <x v="41"/>
    <x v="3"/>
    <s v="P209"/>
    <x v="0"/>
    <n v="2"/>
    <n v="950.36"/>
    <x v="1"/>
    <n v="430.38"/>
    <s v="Returning"/>
    <s v="Digital"/>
    <n v="1520.576"/>
    <n v="659.81600000000003"/>
    <s v="Wednesday"/>
    <x v="0"/>
  </r>
  <r>
    <s v="NV1066"/>
    <d v="2025-01-16T00:00:00"/>
    <x v="42"/>
    <x v="0"/>
    <s v="P75"/>
    <x v="2"/>
    <n v="2"/>
    <n v="2210.2399999999998"/>
    <x v="2"/>
    <n v="1196.27"/>
    <s v="New"/>
    <s v="Cash"/>
    <n v="4199.4559999999992"/>
    <n v="1806.9159999999993"/>
    <s v="Thursday"/>
    <x v="0"/>
  </r>
  <r>
    <s v="NV1067"/>
    <d v="2025-05-06T00:00:00"/>
    <x v="6"/>
    <x v="3"/>
    <s v="P99"/>
    <x v="1"/>
    <n v="1"/>
    <n v="848.32"/>
    <x v="1"/>
    <n v="566.14"/>
    <s v="Returning"/>
    <s v="Card"/>
    <n v="678.65600000000006"/>
    <n v="112.51600000000008"/>
    <s v="Tuesday"/>
    <x v="0"/>
  </r>
  <r>
    <s v="NV1068"/>
    <d v="2025-03-29T00:00:00"/>
    <x v="18"/>
    <x v="1"/>
    <s v="P85"/>
    <x v="0"/>
    <n v="4"/>
    <n v="1047.29"/>
    <x v="1"/>
    <n v="535.01"/>
    <s v="New"/>
    <s v="Digital"/>
    <n v="3351.328"/>
    <n v="1211.288"/>
    <s v="Saturday"/>
    <x v="1"/>
  </r>
  <r>
    <s v="NV1069"/>
    <d v="2025-07-08T00:00:00"/>
    <x v="2"/>
    <x v="0"/>
    <s v="P246"/>
    <x v="1"/>
    <n v="1"/>
    <n v="2876.49"/>
    <x v="2"/>
    <n v="1387.84"/>
    <s v="New"/>
    <s v="Digital"/>
    <n v="2732.6654999999996"/>
    <n v="1344.8254999999997"/>
    <s v="Tuesday"/>
    <x v="0"/>
  </r>
  <r>
    <s v="NV1070"/>
    <d v="2024-05-30T00:00:00"/>
    <x v="29"/>
    <x v="1"/>
    <s v="P232"/>
    <x v="0"/>
    <n v="5"/>
    <n v="2424.1"/>
    <x v="6"/>
    <n v="1277.3800000000001"/>
    <s v="Returning"/>
    <s v="Card"/>
    <n v="12120.5"/>
    <n v="5733.5999999999995"/>
    <s v="Thursday"/>
    <x v="0"/>
  </r>
  <r>
    <s v="NV1071"/>
    <d v="2025-03-05T00:00:00"/>
    <x v="21"/>
    <x v="2"/>
    <s v="P204"/>
    <x v="2"/>
    <n v="4"/>
    <n v="1781.86"/>
    <x v="6"/>
    <n v="960.74"/>
    <s v="Returning"/>
    <s v="Card"/>
    <n v="7127.44"/>
    <n v="3284.4799999999996"/>
    <s v="Wednesday"/>
    <x v="0"/>
  </r>
  <r>
    <s v="NV1072"/>
    <d v="2024-05-01T00:00:00"/>
    <x v="43"/>
    <x v="2"/>
    <s v="P1"/>
    <x v="2"/>
    <n v="3"/>
    <n v="408.8"/>
    <x v="1"/>
    <n v="225.99"/>
    <s v="New"/>
    <s v="Cash"/>
    <n v="981.12000000000012"/>
    <n v="303.15000000000009"/>
    <s v="Wednesday"/>
    <x v="0"/>
  </r>
  <r>
    <s v="NV1073"/>
    <d v="2024-10-23T00:00:00"/>
    <x v="42"/>
    <x v="2"/>
    <s v="P218"/>
    <x v="0"/>
    <n v="2"/>
    <n v="2567.9"/>
    <x v="2"/>
    <n v="1075.68"/>
    <s v="New"/>
    <s v="Card"/>
    <n v="4879.01"/>
    <n v="2727.65"/>
    <s v="Wednesday"/>
    <x v="0"/>
  </r>
  <r>
    <s v="NV1074"/>
    <d v="2024-08-05T00:00:00"/>
    <x v="43"/>
    <x v="0"/>
    <s v="P3"/>
    <x v="2"/>
    <n v="2"/>
    <n v="968.87"/>
    <x v="5"/>
    <n v="498.58"/>
    <s v="New"/>
    <s v="Cash"/>
    <n v="1453.3050000000001"/>
    <n v="456.1450000000001"/>
    <s v="Monday"/>
    <x v="0"/>
  </r>
  <r>
    <s v="NV1075"/>
    <d v="2025-01-22T00:00:00"/>
    <x v="42"/>
    <x v="0"/>
    <s v="P57"/>
    <x v="2"/>
    <n v="1"/>
    <n v="1566.14"/>
    <x v="1"/>
    <n v="1090.77"/>
    <s v="Returning"/>
    <s v="Digital"/>
    <n v="1252.9120000000003"/>
    <n v="162.14200000000028"/>
    <s v="Wednesday"/>
    <x v="0"/>
  </r>
  <r>
    <s v="NV1076"/>
    <d v="2025-10-10T00:00:00"/>
    <x v="33"/>
    <x v="2"/>
    <s v="P77"/>
    <x v="1"/>
    <n v="1"/>
    <n v="557.03"/>
    <x v="4"/>
    <n v="323.89999999999998"/>
    <s v="New"/>
    <s v="Card"/>
    <n v="473.47549999999995"/>
    <n v="149.57549999999998"/>
    <s v="Friday"/>
    <x v="0"/>
  </r>
  <r>
    <s v="NV1077"/>
    <d v="2024-04-28T00:00:00"/>
    <x v="22"/>
    <x v="3"/>
    <s v="P224"/>
    <x v="0"/>
    <n v="3"/>
    <n v="1037.49"/>
    <x v="3"/>
    <n v="472.09"/>
    <s v="Returning"/>
    <s v="Card"/>
    <n v="2801.2230000000004"/>
    <n v="1384.9530000000004"/>
    <s v="Sunday"/>
    <x v="1"/>
  </r>
  <r>
    <s v="NV1078"/>
    <d v="2024-11-10T00:00:00"/>
    <x v="28"/>
    <x v="2"/>
    <s v="P156"/>
    <x v="2"/>
    <n v="5"/>
    <n v="2665.38"/>
    <x v="6"/>
    <n v="1646.66"/>
    <s v="New"/>
    <s v="Digital"/>
    <n v="13326.900000000001"/>
    <n v="5093.6000000000004"/>
    <s v="Sunday"/>
    <x v="1"/>
  </r>
  <r>
    <s v="NV1079"/>
    <d v="2025-10-31T00:00:00"/>
    <x v="1"/>
    <x v="3"/>
    <s v="P73"/>
    <x v="2"/>
    <n v="5"/>
    <n v="801.47"/>
    <x v="0"/>
    <n v="515.75"/>
    <s v="Returning"/>
    <s v="Digital"/>
    <n v="2805.145"/>
    <n v="226.39499999999998"/>
    <s v="Friday"/>
    <x v="0"/>
  </r>
  <r>
    <s v="NV1080"/>
    <d v="2025-02-26T00:00:00"/>
    <x v="39"/>
    <x v="0"/>
    <s v="P208"/>
    <x v="1"/>
    <n v="3"/>
    <n v="1944.1"/>
    <x v="3"/>
    <n v="952.58"/>
    <s v="New"/>
    <s v="Cash"/>
    <n v="5249.07"/>
    <n v="2391.3299999999995"/>
    <s v="Wednesday"/>
    <x v="0"/>
  </r>
  <r>
    <s v="NV1081"/>
    <d v="2024-08-23T00:00:00"/>
    <x v="44"/>
    <x v="3"/>
    <s v="P77"/>
    <x v="1"/>
    <n v="5"/>
    <n v="2269.36"/>
    <x v="4"/>
    <n v="1533.21"/>
    <s v="New"/>
    <s v="Card"/>
    <n v="9644.7800000000007"/>
    <n v="1978.7300000000005"/>
    <s v="Friday"/>
    <x v="0"/>
  </r>
  <r>
    <s v="NV1082"/>
    <d v="2024-02-04T00:00:00"/>
    <x v="45"/>
    <x v="1"/>
    <s v="P88"/>
    <x v="2"/>
    <n v="4"/>
    <n v="1541.29"/>
    <x v="5"/>
    <n v="625.97"/>
    <s v="New"/>
    <s v="Digital"/>
    <n v="4623.87"/>
    <n v="2119.9899999999998"/>
    <s v="Sunday"/>
    <x v="1"/>
  </r>
  <r>
    <s v="NV1083"/>
    <d v="2024-07-15T00:00:00"/>
    <x v="8"/>
    <x v="0"/>
    <s v="P31"/>
    <x v="2"/>
    <n v="3"/>
    <n v="2571.4299999999998"/>
    <x v="2"/>
    <n v="1349.83"/>
    <s v="New"/>
    <s v="Cash"/>
    <n v="7328.575499999999"/>
    <n v="3279.0854999999992"/>
    <s v="Monday"/>
    <x v="0"/>
  </r>
  <r>
    <s v="NV1084"/>
    <d v="2025-02-11T00:00:00"/>
    <x v="11"/>
    <x v="2"/>
    <s v="P245"/>
    <x v="2"/>
    <n v="5"/>
    <n v="357.76"/>
    <x v="5"/>
    <n v="214.79"/>
    <s v="New"/>
    <s v="Digital"/>
    <n v="1341.6"/>
    <n v="267.64999999999986"/>
    <s v="Tuesday"/>
    <x v="0"/>
  </r>
  <r>
    <s v="NV1085"/>
    <d v="2024-03-01T00:00:00"/>
    <x v="6"/>
    <x v="0"/>
    <s v="P33"/>
    <x v="1"/>
    <n v="1"/>
    <n v="2331.4499999999998"/>
    <x v="0"/>
    <n v="1159.3699999999999"/>
    <s v="New"/>
    <s v="Digital"/>
    <n v="1632.0149999999999"/>
    <n v="472.64499999999998"/>
    <s v="Friday"/>
    <x v="0"/>
  </r>
  <r>
    <s v="NV1086"/>
    <d v="2025-01-07T00:00:00"/>
    <x v="16"/>
    <x v="3"/>
    <s v="P16"/>
    <x v="1"/>
    <n v="1"/>
    <n v="563.24"/>
    <x v="0"/>
    <n v="338.46"/>
    <s v="Returning"/>
    <s v="Digital"/>
    <n v="394.26799999999997"/>
    <n v="55.807999999999993"/>
    <s v="Tuesday"/>
    <x v="0"/>
  </r>
  <r>
    <s v="NV1087"/>
    <d v="2025-05-15T00:00:00"/>
    <x v="34"/>
    <x v="0"/>
    <s v="P11"/>
    <x v="2"/>
    <n v="2"/>
    <n v="2097.27"/>
    <x v="2"/>
    <n v="1208.68"/>
    <s v="New"/>
    <s v="Digital"/>
    <n v="3984.8129999999996"/>
    <n v="1567.4529999999995"/>
    <s v="Thursday"/>
    <x v="0"/>
  </r>
  <r>
    <s v="NV1088"/>
    <d v="2025-03-24T00:00:00"/>
    <x v="21"/>
    <x v="2"/>
    <s v="P260"/>
    <x v="0"/>
    <n v="1"/>
    <n v="1179.8699999999999"/>
    <x v="3"/>
    <n v="790.38"/>
    <s v="Returning"/>
    <s v="Card"/>
    <n v="1061.883"/>
    <n v="271.50300000000004"/>
    <s v="Monday"/>
    <x v="0"/>
  </r>
  <r>
    <s v="NV1089"/>
    <d v="2024-11-17T00:00:00"/>
    <x v="42"/>
    <x v="1"/>
    <s v="P166"/>
    <x v="1"/>
    <n v="5"/>
    <n v="326.57"/>
    <x v="2"/>
    <n v="190.76"/>
    <s v="Returning"/>
    <s v="Cash"/>
    <n v="1551.2074999999998"/>
    <n v="597.4074999999998"/>
    <s v="Sunday"/>
    <x v="1"/>
  </r>
  <r>
    <s v="NV1090"/>
    <d v="2025-03-29T00:00:00"/>
    <x v="46"/>
    <x v="1"/>
    <s v="P3"/>
    <x v="2"/>
    <n v="4"/>
    <n v="2127.39"/>
    <x v="4"/>
    <n v="1158.8699999999999"/>
    <s v="Returning"/>
    <s v="Cash"/>
    <n v="7233.1259999999993"/>
    <n v="2597.6459999999997"/>
    <s v="Saturday"/>
    <x v="1"/>
  </r>
  <r>
    <s v="NV1091"/>
    <d v="2024-04-10T00:00:00"/>
    <x v="20"/>
    <x v="3"/>
    <s v="P226"/>
    <x v="2"/>
    <n v="5"/>
    <n v="2133.9899999999998"/>
    <x v="3"/>
    <n v="1158.81"/>
    <s v="New"/>
    <s v="Digital"/>
    <n v="9602.9549999999999"/>
    <n v="3808.9050000000007"/>
    <s v="Wednesday"/>
    <x v="0"/>
  </r>
  <r>
    <s v="NV1092"/>
    <d v="2024-07-13T00:00:00"/>
    <x v="4"/>
    <x v="1"/>
    <s v="P57"/>
    <x v="1"/>
    <n v="3"/>
    <n v="2951.71"/>
    <x v="6"/>
    <n v="1524.17"/>
    <s v="Returning"/>
    <s v="Cash"/>
    <n v="8855.130000000001"/>
    <n v="4282.6200000000008"/>
    <s v="Saturday"/>
    <x v="1"/>
  </r>
  <r>
    <s v="NV1093"/>
    <d v="2025-05-15T00:00:00"/>
    <x v="23"/>
    <x v="0"/>
    <s v="P223"/>
    <x v="1"/>
    <n v="3"/>
    <n v="756.75"/>
    <x v="6"/>
    <n v="427.87"/>
    <s v="Returning"/>
    <s v="Card"/>
    <n v="2270.25"/>
    <n v="986.63999999999987"/>
    <s v="Thursday"/>
    <x v="0"/>
  </r>
  <r>
    <s v="NV1094"/>
    <d v="2025-07-02T00:00:00"/>
    <x v="3"/>
    <x v="0"/>
    <s v="P276"/>
    <x v="0"/>
    <n v="4"/>
    <n v="2022"/>
    <x v="3"/>
    <n v="845.55"/>
    <s v="Returning"/>
    <s v="Cash"/>
    <n v="7279.2"/>
    <n v="3897"/>
    <s v="Wednesday"/>
    <x v="0"/>
  </r>
  <r>
    <s v="NV1095"/>
    <d v="2025-05-28T00:00:00"/>
    <x v="31"/>
    <x v="1"/>
    <s v="P244"/>
    <x v="2"/>
    <n v="1"/>
    <n v="1960.63"/>
    <x v="2"/>
    <n v="1282.7"/>
    <s v="New"/>
    <s v="Card"/>
    <n v="1862.5985000000001"/>
    <n v="579.89850000000001"/>
    <s v="Wednesday"/>
    <x v="0"/>
  </r>
  <r>
    <s v="NV1096"/>
    <d v="2025-08-31T00:00:00"/>
    <x v="47"/>
    <x v="0"/>
    <s v="P154"/>
    <x v="0"/>
    <n v="3"/>
    <n v="2638.5"/>
    <x v="1"/>
    <n v="1693.79"/>
    <s v="Returning"/>
    <s v="Cash"/>
    <n v="6332.4000000000005"/>
    <n v="1251.0300000000007"/>
    <s v="Sunday"/>
    <x v="1"/>
  </r>
  <r>
    <s v="NV1097"/>
    <d v="2025-10-20T00:00:00"/>
    <x v="48"/>
    <x v="2"/>
    <s v="P227"/>
    <x v="0"/>
    <n v="1"/>
    <n v="2828.09"/>
    <x v="5"/>
    <n v="1951.94"/>
    <s v="Returning"/>
    <s v="Cash"/>
    <n v="2121.0675000000001"/>
    <n v="169.12750000000005"/>
    <s v="Monday"/>
    <x v="0"/>
  </r>
  <r>
    <s v="NV1098"/>
    <d v="2024-06-19T00:00:00"/>
    <x v="36"/>
    <x v="1"/>
    <s v="P19"/>
    <x v="0"/>
    <n v="4"/>
    <n v="2211.65"/>
    <x v="6"/>
    <n v="1350.7"/>
    <s v="New"/>
    <s v="Digital"/>
    <n v="8846.6"/>
    <n v="3443.8"/>
    <s v="Wednesday"/>
    <x v="0"/>
  </r>
  <r>
    <s v="NV1099"/>
    <d v="2024-08-30T00:00:00"/>
    <x v="7"/>
    <x v="0"/>
    <s v="P71"/>
    <x v="2"/>
    <n v="1"/>
    <n v="815.17"/>
    <x v="2"/>
    <n v="418.67"/>
    <s v="Returning"/>
    <s v="Card"/>
    <n v="774.41149999999993"/>
    <n v="355.74149999999992"/>
    <s v="Friday"/>
    <x v="0"/>
  </r>
  <r>
    <s v="NV1100"/>
    <d v="2024-12-04T00:00:00"/>
    <x v="28"/>
    <x v="3"/>
    <s v="P213"/>
    <x v="1"/>
    <n v="5"/>
    <n v="1971.94"/>
    <x v="4"/>
    <n v="1310.08"/>
    <s v="Returning"/>
    <s v="Digital"/>
    <n v="8380.7450000000008"/>
    <n v="1830.3450000000012"/>
    <s v="Wednesday"/>
    <x v="0"/>
  </r>
  <r>
    <s v="NV1101"/>
    <d v="2024-09-23T00:00:00"/>
    <x v="32"/>
    <x v="3"/>
    <s v="P54"/>
    <x v="2"/>
    <n v="2"/>
    <n v="1304.26"/>
    <x v="2"/>
    <n v="616.77"/>
    <s v="Returning"/>
    <s v="Card"/>
    <n v="2478.0940000000001"/>
    <n v="1244.5540000000001"/>
    <s v="Monday"/>
    <x v="0"/>
  </r>
  <r>
    <s v="NV1102"/>
    <d v="2024-10-04T00:00:00"/>
    <x v="13"/>
    <x v="2"/>
    <s v="P119"/>
    <x v="1"/>
    <n v="3"/>
    <n v="2821.41"/>
    <x v="2"/>
    <n v="1852.16"/>
    <s v="Returning"/>
    <s v="Card"/>
    <n v="8041.0184999999992"/>
    <n v="2484.5384999999987"/>
    <s v="Friday"/>
    <x v="0"/>
  </r>
  <r>
    <s v="NV1103"/>
    <d v="2024-02-05T00:00:00"/>
    <x v="11"/>
    <x v="2"/>
    <s v="P142"/>
    <x v="0"/>
    <n v="5"/>
    <n v="598.08000000000004"/>
    <x v="4"/>
    <n v="323.16000000000003"/>
    <s v="Returning"/>
    <s v="Cash"/>
    <n v="2541.84"/>
    <n v="926.04"/>
    <s v="Monday"/>
    <x v="0"/>
  </r>
  <r>
    <s v="NV1104"/>
    <d v="2024-01-30T00:00:00"/>
    <x v="49"/>
    <x v="3"/>
    <s v="P68"/>
    <x v="1"/>
    <n v="3"/>
    <n v="1425.22"/>
    <x v="1"/>
    <n v="758.23"/>
    <s v="New"/>
    <s v="Digital"/>
    <n v="3420.5280000000002"/>
    <n v="1145.8380000000002"/>
    <s v="Tuesday"/>
    <x v="0"/>
  </r>
  <r>
    <s v="NV1105"/>
    <d v="2024-05-19T00:00:00"/>
    <x v="50"/>
    <x v="3"/>
    <s v="P56"/>
    <x v="1"/>
    <n v="3"/>
    <n v="2874.19"/>
    <x v="6"/>
    <n v="1945.05"/>
    <s v="Returning"/>
    <s v="Card"/>
    <n v="8622.57"/>
    <n v="2787.42"/>
    <s v="Sunday"/>
    <x v="1"/>
  </r>
  <r>
    <s v="NV1106"/>
    <d v="2025-09-20T00:00:00"/>
    <x v="17"/>
    <x v="0"/>
    <s v="P76"/>
    <x v="1"/>
    <n v="5"/>
    <n v="669.7"/>
    <x v="5"/>
    <n v="307"/>
    <s v="New"/>
    <s v="Digital"/>
    <n v="2511.375"/>
    <n v="976.375"/>
    <s v="Saturday"/>
    <x v="1"/>
  </r>
  <r>
    <s v="NV1107"/>
    <d v="2024-07-08T00:00:00"/>
    <x v="51"/>
    <x v="2"/>
    <s v="P203"/>
    <x v="1"/>
    <n v="5"/>
    <n v="1827.55"/>
    <x v="5"/>
    <n v="1142.23"/>
    <s v="Returning"/>
    <s v="Cash"/>
    <n v="6853.3125"/>
    <n v="1142.1625000000004"/>
    <s v="Monday"/>
    <x v="0"/>
  </r>
  <r>
    <s v="NV1108"/>
    <d v="2025-01-16T00:00:00"/>
    <x v="32"/>
    <x v="1"/>
    <s v="P80"/>
    <x v="0"/>
    <n v="2"/>
    <n v="2853.51"/>
    <x v="5"/>
    <n v="1555.03"/>
    <s v="Returning"/>
    <s v="Card"/>
    <n v="4280.2650000000003"/>
    <n v="1170.2050000000004"/>
    <s v="Thursday"/>
    <x v="0"/>
  </r>
  <r>
    <s v="NV1109"/>
    <d v="2024-10-13T00:00:00"/>
    <x v="52"/>
    <x v="2"/>
    <s v="P62"/>
    <x v="2"/>
    <n v="4"/>
    <n v="437.46"/>
    <x v="2"/>
    <n v="289.92"/>
    <s v="Returning"/>
    <s v="Cash"/>
    <n v="1662.348"/>
    <n v="502.66799999999989"/>
    <s v="Sunday"/>
    <x v="1"/>
  </r>
  <r>
    <s v="NV1110"/>
    <d v="2025-03-03T00:00:00"/>
    <x v="8"/>
    <x v="2"/>
    <s v="P235"/>
    <x v="1"/>
    <n v="2"/>
    <n v="1542.62"/>
    <x v="2"/>
    <n v="864.42"/>
    <s v="Returning"/>
    <s v="Cash"/>
    <n v="2930.9779999999996"/>
    <n v="1202.1379999999997"/>
    <s v="Monday"/>
    <x v="0"/>
  </r>
  <r>
    <s v="NV1111"/>
    <d v="2024-09-09T00:00:00"/>
    <x v="9"/>
    <x v="3"/>
    <s v="P24"/>
    <x v="1"/>
    <n v="4"/>
    <n v="1134.8699999999999"/>
    <x v="1"/>
    <n v="478.54"/>
    <s v="New"/>
    <s v="Digital"/>
    <n v="3631.5839999999998"/>
    <n v="1717.4239999999998"/>
    <s v="Monday"/>
    <x v="0"/>
  </r>
  <r>
    <s v="NV1112"/>
    <d v="2025-10-18T00:00:00"/>
    <x v="29"/>
    <x v="3"/>
    <s v="P21"/>
    <x v="0"/>
    <n v="1"/>
    <n v="830.51"/>
    <x v="0"/>
    <n v="507.11"/>
    <s v="Returning"/>
    <s v="Digital"/>
    <n v="581.35699999999997"/>
    <n v="74.246999999999957"/>
    <s v="Saturday"/>
    <x v="1"/>
  </r>
  <r>
    <s v="NV1113"/>
    <d v="2025-04-30T00:00:00"/>
    <x v="53"/>
    <x v="2"/>
    <s v="P118"/>
    <x v="2"/>
    <n v="1"/>
    <n v="1614.68"/>
    <x v="0"/>
    <n v="1081.96"/>
    <s v="New"/>
    <s v="Cash"/>
    <n v="1130.2760000000001"/>
    <n v="48.316000000000031"/>
    <s v="Wednesday"/>
    <x v="0"/>
  </r>
  <r>
    <s v="NV1114"/>
    <d v="2024-07-23T00:00:00"/>
    <x v="18"/>
    <x v="1"/>
    <s v="P48"/>
    <x v="0"/>
    <n v="1"/>
    <n v="1225.0999999999999"/>
    <x v="1"/>
    <n v="747.62"/>
    <s v="Returning"/>
    <s v="Digital"/>
    <n v="980.07999999999993"/>
    <n v="232.45999999999992"/>
    <s v="Tuesday"/>
    <x v="0"/>
  </r>
  <r>
    <s v="NV1115"/>
    <d v="2025-09-17T00:00:00"/>
    <x v="22"/>
    <x v="1"/>
    <s v="P58"/>
    <x v="2"/>
    <n v="4"/>
    <n v="490.48"/>
    <x v="2"/>
    <n v="283.13"/>
    <s v="Returning"/>
    <s v="Digital"/>
    <n v="1863.8240000000001"/>
    <n v="731.30400000000009"/>
    <s v="Wednesday"/>
    <x v="0"/>
  </r>
  <r>
    <s v="NV1116"/>
    <d v="2024-04-19T00:00:00"/>
    <x v="6"/>
    <x v="1"/>
    <s v="P73"/>
    <x v="0"/>
    <n v="2"/>
    <n v="2252.79"/>
    <x v="2"/>
    <n v="1018.64"/>
    <s v="Returning"/>
    <s v="Card"/>
    <n v="4280.3009999999995"/>
    <n v="2243.0209999999997"/>
    <s v="Friday"/>
    <x v="0"/>
  </r>
  <r>
    <s v="NV1117"/>
    <d v="2025-11-01T00:00:00"/>
    <x v="31"/>
    <x v="1"/>
    <s v="P155"/>
    <x v="2"/>
    <n v="2"/>
    <n v="1748.17"/>
    <x v="4"/>
    <n v="1106.75"/>
    <s v="New"/>
    <s v="Digital"/>
    <n v="2971.8890000000001"/>
    <n v="758.38900000000012"/>
    <s v="Saturday"/>
    <x v="1"/>
  </r>
  <r>
    <s v="NV1118"/>
    <d v="2024-12-24T00:00:00"/>
    <x v="54"/>
    <x v="2"/>
    <s v="P157"/>
    <x v="1"/>
    <n v="5"/>
    <n v="1359.37"/>
    <x v="4"/>
    <n v="681.67"/>
    <s v="New"/>
    <s v="Digital"/>
    <n v="5777.3224999999993"/>
    <n v="2368.9724999999994"/>
    <s v="Tuesday"/>
    <x v="0"/>
  </r>
  <r>
    <s v="NV1119"/>
    <d v="2024-01-20T00:00:00"/>
    <x v="53"/>
    <x v="1"/>
    <s v="P24"/>
    <x v="2"/>
    <n v="4"/>
    <n v="1254.32"/>
    <x v="5"/>
    <n v="836.71"/>
    <s v="New"/>
    <s v="Card"/>
    <n v="3762.96"/>
    <n v="416.11999999999989"/>
    <s v="Saturday"/>
    <x v="1"/>
  </r>
  <r>
    <s v="NV1120"/>
    <d v="2024-08-14T00:00:00"/>
    <x v="8"/>
    <x v="0"/>
    <s v="P200"/>
    <x v="0"/>
    <n v="4"/>
    <n v="2604.25"/>
    <x v="2"/>
    <n v="1752.79"/>
    <s v="Returning"/>
    <s v="Card"/>
    <n v="9896.15"/>
    <n v="2884.99"/>
    <s v="Wednesday"/>
    <x v="0"/>
  </r>
  <r>
    <s v="NV1121"/>
    <d v="2025-09-22T00:00:00"/>
    <x v="29"/>
    <x v="3"/>
    <s v="P174"/>
    <x v="2"/>
    <n v="5"/>
    <n v="1482.51"/>
    <x v="6"/>
    <n v="741.97"/>
    <s v="Returning"/>
    <s v="Digital"/>
    <n v="7412.55"/>
    <n v="3702.7"/>
    <s v="Monday"/>
    <x v="0"/>
  </r>
  <r>
    <s v="NV1122"/>
    <d v="2024-10-02T00:00:00"/>
    <x v="55"/>
    <x v="3"/>
    <s v="P116"/>
    <x v="1"/>
    <n v="3"/>
    <n v="540.78"/>
    <x v="3"/>
    <n v="332.38"/>
    <s v="Returning"/>
    <s v="Card"/>
    <n v="1460.106"/>
    <n v="462.96600000000001"/>
    <s v="Wednesday"/>
    <x v="0"/>
  </r>
  <r>
    <s v="NV1123"/>
    <d v="2024-07-29T00:00:00"/>
    <x v="16"/>
    <x v="1"/>
    <s v="P206"/>
    <x v="1"/>
    <n v="3"/>
    <n v="2271.23"/>
    <x v="4"/>
    <n v="1160.82"/>
    <s v="Returning"/>
    <s v="Card"/>
    <n v="5791.6365000000005"/>
    <n v="2309.1765000000005"/>
    <s v="Monday"/>
    <x v="0"/>
  </r>
  <r>
    <s v="NV1124"/>
    <d v="2024-08-12T00:00:00"/>
    <x v="38"/>
    <x v="1"/>
    <s v="P49"/>
    <x v="0"/>
    <n v="2"/>
    <n v="1968.77"/>
    <x v="2"/>
    <n v="1137.81"/>
    <s v="Returning"/>
    <s v="Card"/>
    <n v="3740.663"/>
    <n v="1465.0430000000001"/>
    <s v="Monday"/>
    <x v="0"/>
  </r>
  <r>
    <s v="NV1125"/>
    <d v="2024-01-24T00:00:00"/>
    <x v="56"/>
    <x v="1"/>
    <s v="P200"/>
    <x v="2"/>
    <n v="5"/>
    <n v="2797.2"/>
    <x v="3"/>
    <n v="1539.61"/>
    <s v="Returning"/>
    <s v="Digital"/>
    <n v="12587.4"/>
    <n v="4889.3500000000004"/>
    <s v="Wednesday"/>
    <x v="0"/>
  </r>
  <r>
    <s v="NV1126"/>
    <d v="2024-01-11T00:00:00"/>
    <x v="18"/>
    <x v="0"/>
    <s v="P193"/>
    <x v="1"/>
    <n v="4"/>
    <n v="1439.27"/>
    <x v="3"/>
    <n v="647.4"/>
    <s v="Returning"/>
    <s v="Digital"/>
    <n v="5181.3720000000003"/>
    <n v="2591.7720000000004"/>
    <s v="Thursday"/>
    <x v="0"/>
  </r>
  <r>
    <s v="NV1127"/>
    <d v="2024-12-29T00:00:00"/>
    <x v="1"/>
    <x v="0"/>
    <s v="P171"/>
    <x v="1"/>
    <n v="2"/>
    <n v="1494.81"/>
    <x v="2"/>
    <n v="610.74"/>
    <s v="Returning"/>
    <s v="Card"/>
    <n v="2840.1389999999997"/>
    <n v="1618.6589999999997"/>
    <s v="Sunday"/>
    <x v="1"/>
  </r>
  <r>
    <s v="NV1128"/>
    <d v="2024-11-08T00:00:00"/>
    <x v="9"/>
    <x v="1"/>
    <s v="P271"/>
    <x v="2"/>
    <n v="5"/>
    <n v="607.29999999999995"/>
    <x v="6"/>
    <n v="352.79"/>
    <s v="New"/>
    <s v="Card"/>
    <n v="3036.5"/>
    <n v="1272.55"/>
    <s v="Friday"/>
    <x v="0"/>
  </r>
  <r>
    <s v="NV1129"/>
    <d v="2024-04-28T00:00:00"/>
    <x v="52"/>
    <x v="3"/>
    <s v="P63"/>
    <x v="2"/>
    <n v="2"/>
    <n v="1238.99"/>
    <x v="4"/>
    <n v="863.07"/>
    <s v="New"/>
    <s v="Digital"/>
    <n v="2106.2829999999999"/>
    <n v="380.1429999999998"/>
    <s v="Sunday"/>
    <x v="1"/>
  </r>
  <r>
    <s v="NV1130"/>
    <d v="2025-01-04T00:00:00"/>
    <x v="5"/>
    <x v="1"/>
    <s v="P157"/>
    <x v="0"/>
    <n v="4"/>
    <n v="408.53"/>
    <x v="4"/>
    <n v="224.35"/>
    <s v="Returning"/>
    <s v="Cash"/>
    <n v="1389.002"/>
    <n v="491.60199999999998"/>
    <s v="Saturday"/>
    <x v="1"/>
  </r>
  <r>
    <s v="NV1131"/>
    <d v="2025-10-05T00:00:00"/>
    <x v="34"/>
    <x v="1"/>
    <s v="P141"/>
    <x v="1"/>
    <n v="4"/>
    <n v="1946.77"/>
    <x v="2"/>
    <n v="842.69"/>
    <s v="Returning"/>
    <s v="Card"/>
    <n v="7397.7259999999997"/>
    <n v="4026.9659999999994"/>
    <s v="Sunday"/>
    <x v="1"/>
  </r>
  <r>
    <s v="NV1132"/>
    <d v="2025-10-30T00:00:00"/>
    <x v="30"/>
    <x v="1"/>
    <s v="P49"/>
    <x v="0"/>
    <n v="2"/>
    <n v="1317.78"/>
    <x v="1"/>
    <n v="741.99"/>
    <s v="Returning"/>
    <s v="Cash"/>
    <n v="2108.4479999999999"/>
    <n v="624.46799999999985"/>
    <s v="Thursday"/>
    <x v="0"/>
  </r>
  <r>
    <s v="NV1133"/>
    <d v="2025-06-07T00:00:00"/>
    <x v="27"/>
    <x v="0"/>
    <s v="P257"/>
    <x v="1"/>
    <n v="1"/>
    <n v="736.08"/>
    <x v="1"/>
    <n v="419.94"/>
    <s v="New"/>
    <s v="Digital"/>
    <n v="588.86400000000003"/>
    <n v="168.92400000000004"/>
    <s v="Saturday"/>
    <x v="1"/>
  </r>
  <r>
    <s v="NV1134"/>
    <d v="2025-08-14T00:00:00"/>
    <x v="16"/>
    <x v="3"/>
    <s v="P282"/>
    <x v="2"/>
    <n v="4"/>
    <n v="1467.1"/>
    <x v="4"/>
    <n v="887.54"/>
    <s v="Returning"/>
    <s v="Card"/>
    <n v="4988.1399999999994"/>
    <n v="1437.9799999999996"/>
    <s v="Thursday"/>
    <x v="0"/>
  </r>
  <r>
    <s v="NV1135"/>
    <d v="2025-11-24T00:00:00"/>
    <x v="40"/>
    <x v="2"/>
    <s v="P173"/>
    <x v="0"/>
    <n v="2"/>
    <n v="2776.74"/>
    <x v="6"/>
    <n v="1172.31"/>
    <s v="Returning"/>
    <s v="Card"/>
    <n v="5553.48"/>
    <n v="3208.8599999999997"/>
    <s v="Monday"/>
    <x v="0"/>
  </r>
  <r>
    <s v="NV1136"/>
    <d v="2024-07-22T00:00:00"/>
    <x v="30"/>
    <x v="0"/>
    <s v="P258"/>
    <x v="2"/>
    <n v="2"/>
    <n v="1489.83"/>
    <x v="3"/>
    <n v="711.67"/>
    <s v="New"/>
    <s v="Cash"/>
    <n v="2681.694"/>
    <n v="1258.354"/>
    <s v="Monday"/>
    <x v="0"/>
  </r>
  <r>
    <s v="NV1137"/>
    <d v="2025-10-27T00:00:00"/>
    <x v="38"/>
    <x v="1"/>
    <s v="P108"/>
    <x v="1"/>
    <n v="1"/>
    <n v="1915.7"/>
    <x v="5"/>
    <n v="953.78"/>
    <s v="New"/>
    <s v="Digital"/>
    <n v="1436.7750000000001"/>
    <n v="482.99500000000012"/>
    <s v="Monday"/>
    <x v="0"/>
  </r>
  <r>
    <s v="NV1138"/>
    <d v="2024-11-04T00:00:00"/>
    <x v="51"/>
    <x v="3"/>
    <s v="P38"/>
    <x v="0"/>
    <n v="4"/>
    <n v="1866.5"/>
    <x v="6"/>
    <n v="924.8"/>
    <s v="Returning"/>
    <s v="Digital"/>
    <n v="7466"/>
    <n v="3766.8"/>
    <s v="Monday"/>
    <x v="0"/>
  </r>
  <r>
    <s v="NV1139"/>
    <d v="2025-03-31T00:00:00"/>
    <x v="51"/>
    <x v="1"/>
    <s v="P297"/>
    <x v="2"/>
    <n v="4"/>
    <n v="2195.58"/>
    <x v="3"/>
    <n v="986.91"/>
    <s v="Returning"/>
    <s v="Digital"/>
    <n v="7904.0879999999997"/>
    <n v="3956.4479999999999"/>
    <s v="Monday"/>
    <x v="0"/>
  </r>
  <r>
    <s v="NV1140"/>
    <d v="2024-01-05T00:00:00"/>
    <x v="22"/>
    <x v="1"/>
    <s v="P84"/>
    <x v="1"/>
    <n v="4"/>
    <n v="815.65"/>
    <x v="0"/>
    <n v="445.28"/>
    <s v="Returning"/>
    <s v="Digital"/>
    <n v="2283.8199999999997"/>
    <n v="502.69999999999982"/>
    <s v="Friday"/>
    <x v="0"/>
  </r>
  <r>
    <s v="NV1141"/>
    <d v="2025-04-11T00:00:00"/>
    <x v="26"/>
    <x v="0"/>
    <s v="P5"/>
    <x v="1"/>
    <n v="5"/>
    <n v="308.27999999999997"/>
    <x v="0"/>
    <n v="186.92"/>
    <s v="New"/>
    <s v="Cash"/>
    <n v="1078.9799999999998"/>
    <n v="144.37999999999988"/>
    <s v="Friday"/>
    <x v="0"/>
  </r>
  <r>
    <s v="NV1142"/>
    <d v="2025-11-20T00:00:00"/>
    <x v="20"/>
    <x v="2"/>
    <s v="P256"/>
    <x v="0"/>
    <n v="5"/>
    <n v="1194.3900000000001"/>
    <x v="6"/>
    <n v="513.41"/>
    <s v="New"/>
    <s v="Cash"/>
    <n v="5971.9500000000007"/>
    <n v="3404.900000000001"/>
    <s v="Thursday"/>
    <x v="0"/>
  </r>
  <r>
    <s v="NV1143"/>
    <d v="2025-07-18T00:00:00"/>
    <x v="17"/>
    <x v="2"/>
    <s v="P150"/>
    <x v="0"/>
    <n v="1"/>
    <n v="2259.21"/>
    <x v="1"/>
    <n v="1547.93"/>
    <s v="Returning"/>
    <s v="Card"/>
    <n v="1807.3680000000002"/>
    <n v="259.4380000000001"/>
    <s v="Friday"/>
    <x v="0"/>
  </r>
  <r>
    <s v="NV1144"/>
    <d v="2025-10-20T00:00:00"/>
    <x v="1"/>
    <x v="1"/>
    <s v="P192"/>
    <x v="2"/>
    <n v="2"/>
    <n v="459.06"/>
    <x v="4"/>
    <n v="265.02999999999997"/>
    <s v="New"/>
    <s v="Card"/>
    <n v="780.40199999999993"/>
    <n v="250.34199999999998"/>
    <s v="Monday"/>
    <x v="0"/>
  </r>
  <r>
    <s v="NV1145"/>
    <d v="2025-02-28T00:00:00"/>
    <x v="16"/>
    <x v="3"/>
    <s v="P123"/>
    <x v="0"/>
    <n v="1"/>
    <n v="2088.35"/>
    <x v="3"/>
    <n v="902.76"/>
    <s v="New"/>
    <s v="Cash"/>
    <n v="1879.5149999999999"/>
    <n v="976.75499999999988"/>
    <s v="Friday"/>
    <x v="0"/>
  </r>
  <r>
    <s v="NV1146"/>
    <d v="2025-10-18T00:00:00"/>
    <x v="32"/>
    <x v="2"/>
    <s v="P201"/>
    <x v="0"/>
    <n v="4"/>
    <n v="630.37"/>
    <x v="1"/>
    <n v="325.08"/>
    <s v="New"/>
    <s v="Digital"/>
    <n v="2017.1840000000002"/>
    <n v="716.86400000000026"/>
    <s v="Saturday"/>
    <x v="1"/>
  </r>
  <r>
    <s v="NV1147"/>
    <d v="2025-04-22T00:00:00"/>
    <x v="26"/>
    <x v="3"/>
    <s v="P111"/>
    <x v="0"/>
    <n v="5"/>
    <n v="2151.19"/>
    <x v="2"/>
    <n v="1302.8"/>
    <s v="Returning"/>
    <s v="Digital"/>
    <n v="10218.1525"/>
    <n v="3704.1525000000001"/>
    <s v="Tuesday"/>
    <x v="0"/>
  </r>
  <r>
    <s v="NV1148"/>
    <d v="2024-10-02T00:00:00"/>
    <x v="48"/>
    <x v="1"/>
    <s v="P208"/>
    <x v="1"/>
    <n v="5"/>
    <n v="2069.6999999999998"/>
    <x v="3"/>
    <n v="1437.92"/>
    <s v="New"/>
    <s v="Cash"/>
    <n v="9313.65"/>
    <n v="2124.0499999999993"/>
    <s v="Wednesday"/>
    <x v="0"/>
  </r>
  <r>
    <s v="NV1149"/>
    <d v="2025-01-30T00:00:00"/>
    <x v="10"/>
    <x v="1"/>
    <s v="P200"/>
    <x v="2"/>
    <n v="4"/>
    <n v="938.93"/>
    <x v="4"/>
    <n v="503.81"/>
    <s v="Returning"/>
    <s v="Digital"/>
    <n v="3192.3619999999996"/>
    <n v="1177.1219999999996"/>
    <s v="Thursday"/>
    <x v="0"/>
  </r>
  <r>
    <s v="NV1150"/>
    <d v="2024-07-24T00:00:00"/>
    <x v="3"/>
    <x v="3"/>
    <s v="P188"/>
    <x v="1"/>
    <n v="2"/>
    <n v="1342.71"/>
    <x v="2"/>
    <n v="865.89"/>
    <s v="Returning"/>
    <s v="Card"/>
    <n v="2551.1489999999999"/>
    <n v="819.36899999999991"/>
    <s v="Wednesday"/>
    <x v="0"/>
  </r>
  <r>
    <s v="NV1151"/>
    <d v="2024-11-20T00:00:00"/>
    <x v="41"/>
    <x v="0"/>
    <s v="P272"/>
    <x v="1"/>
    <n v="4"/>
    <n v="1331.55"/>
    <x v="6"/>
    <n v="546.16"/>
    <s v="Returning"/>
    <s v="Card"/>
    <n v="5326.2"/>
    <n v="3141.56"/>
    <s v="Wednesday"/>
    <x v="0"/>
  </r>
  <r>
    <s v="NV1152"/>
    <d v="2024-01-02T00:00:00"/>
    <x v="55"/>
    <x v="1"/>
    <s v="P244"/>
    <x v="1"/>
    <n v="3"/>
    <n v="2293.23"/>
    <x v="0"/>
    <n v="1197.82"/>
    <s v="Returning"/>
    <s v="Digital"/>
    <n v="4815.7830000000004"/>
    <n v="1222.3230000000003"/>
    <s v="Tuesday"/>
    <x v="0"/>
  </r>
  <r>
    <s v="NV1153"/>
    <d v="2024-05-21T00:00:00"/>
    <x v="24"/>
    <x v="1"/>
    <s v="P240"/>
    <x v="2"/>
    <n v="2"/>
    <n v="2830.44"/>
    <x v="0"/>
    <n v="1257.1300000000001"/>
    <s v="New"/>
    <s v="Cash"/>
    <n v="3962.616"/>
    <n v="1448.3559999999998"/>
    <s v="Tuesday"/>
    <x v="0"/>
  </r>
  <r>
    <s v="NV1154"/>
    <d v="2024-06-15T00:00:00"/>
    <x v="3"/>
    <x v="0"/>
    <s v="P173"/>
    <x v="2"/>
    <n v="4"/>
    <n v="1965.17"/>
    <x v="4"/>
    <n v="1241.5"/>
    <s v="New"/>
    <s v="Digital"/>
    <n v="6681.5780000000004"/>
    <n v="1715.5780000000004"/>
    <s v="Saturday"/>
    <x v="1"/>
  </r>
  <r>
    <s v="NV1155"/>
    <d v="2024-12-10T00:00:00"/>
    <x v="46"/>
    <x v="0"/>
    <s v="P284"/>
    <x v="1"/>
    <n v="1"/>
    <n v="2083.12"/>
    <x v="3"/>
    <n v="1185.4100000000001"/>
    <s v="New"/>
    <s v="Digital"/>
    <n v="1874.808"/>
    <n v="689.39799999999991"/>
    <s v="Tuesday"/>
    <x v="0"/>
  </r>
  <r>
    <s v="NV1156"/>
    <d v="2025-05-20T00:00:00"/>
    <x v="25"/>
    <x v="2"/>
    <s v="P264"/>
    <x v="2"/>
    <n v="3"/>
    <n v="882.39"/>
    <x v="3"/>
    <n v="568.86"/>
    <s v="New"/>
    <s v="Cash"/>
    <n v="2382.453"/>
    <n v="675.87300000000005"/>
    <s v="Tuesday"/>
    <x v="0"/>
  </r>
  <r>
    <s v="NV1157"/>
    <d v="2025-06-06T00:00:00"/>
    <x v="32"/>
    <x v="1"/>
    <s v="P192"/>
    <x v="1"/>
    <n v="5"/>
    <n v="2622.17"/>
    <x v="5"/>
    <n v="1297.28"/>
    <s v="New"/>
    <s v="Card"/>
    <n v="9833.1375000000007"/>
    <n v="3346.7375000000011"/>
    <s v="Friday"/>
    <x v="0"/>
  </r>
  <r>
    <s v="NV1158"/>
    <d v="2025-11-13T00:00:00"/>
    <x v="8"/>
    <x v="3"/>
    <s v="P25"/>
    <x v="0"/>
    <n v="2"/>
    <n v="2819.92"/>
    <x v="1"/>
    <n v="1335.27"/>
    <s v="New"/>
    <s v="Digital"/>
    <n v="4511.8720000000003"/>
    <n v="1841.3320000000003"/>
    <s v="Thursday"/>
    <x v="0"/>
  </r>
  <r>
    <s v="NV1159"/>
    <d v="2024-05-14T00:00:00"/>
    <x v="7"/>
    <x v="0"/>
    <s v="P151"/>
    <x v="2"/>
    <n v="3"/>
    <n v="2651.64"/>
    <x v="1"/>
    <n v="1165.58"/>
    <s v="Returning"/>
    <s v="Card"/>
    <n v="6363.9360000000006"/>
    <n v="2867.1960000000008"/>
    <s v="Tuesday"/>
    <x v="0"/>
  </r>
  <r>
    <s v="NV1160"/>
    <d v="2024-11-08T00:00:00"/>
    <x v="47"/>
    <x v="3"/>
    <s v="P157"/>
    <x v="1"/>
    <n v="2"/>
    <n v="2731.84"/>
    <x v="2"/>
    <n v="1742.73"/>
    <s v="New"/>
    <s v="Cash"/>
    <n v="5190.4960000000001"/>
    <n v="1705.0360000000001"/>
    <s v="Friday"/>
    <x v="0"/>
  </r>
  <r>
    <s v="NV1161"/>
    <d v="2024-04-05T00:00:00"/>
    <x v="12"/>
    <x v="1"/>
    <s v="P204"/>
    <x v="1"/>
    <n v="4"/>
    <n v="446.51"/>
    <x v="1"/>
    <n v="297.10000000000002"/>
    <s v="Returning"/>
    <s v="Cash"/>
    <n v="1428.8320000000001"/>
    <n v="240.43200000000002"/>
    <s v="Friday"/>
    <x v="0"/>
  </r>
  <r>
    <s v="NV1162"/>
    <d v="2024-04-26T00:00:00"/>
    <x v="51"/>
    <x v="3"/>
    <s v="P217"/>
    <x v="0"/>
    <n v="4"/>
    <n v="555.80999999999995"/>
    <x v="1"/>
    <n v="315.06"/>
    <s v="Returning"/>
    <s v="Card"/>
    <n v="1778.5919999999999"/>
    <n v="518.35199999999986"/>
    <s v="Friday"/>
    <x v="0"/>
  </r>
  <r>
    <s v="NV1163"/>
    <d v="2025-01-31T00:00:00"/>
    <x v="51"/>
    <x v="3"/>
    <s v="P268"/>
    <x v="1"/>
    <n v="5"/>
    <n v="2588.44"/>
    <x v="6"/>
    <n v="1226.5"/>
    <s v="New"/>
    <s v="Card"/>
    <n v="12942.2"/>
    <n v="6809.7000000000007"/>
    <s v="Friday"/>
    <x v="0"/>
  </r>
  <r>
    <s v="NV1164"/>
    <d v="2025-03-21T00:00:00"/>
    <x v="36"/>
    <x v="1"/>
    <s v="P76"/>
    <x v="2"/>
    <n v="2"/>
    <n v="1685.48"/>
    <x v="4"/>
    <n v="976.51"/>
    <s v="Returning"/>
    <s v="Cash"/>
    <n v="2865.3159999999998"/>
    <n v="912.29599999999982"/>
    <s v="Friday"/>
    <x v="0"/>
  </r>
  <r>
    <s v="NV1165"/>
    <d v="2025-11-25T00:00:00"/>
    <x v="7"/>
    <x v="2"/>
    <s v="P99"/>
    <x v="0"/>
    <n v="2"/>
    <n v="1395.35"/>
    <x v="0"/>
    <n v="876.12"/>
    <s v="New"/>
    <s v="Cash"/>
    <n v="1953.4899999999998"/>
    <n v="201.24999999999977"/>
    <s v="Tuesday"/>
    <x v="0"/>
  </r>
  <r>
    <s v="NV1166"/>
    <d v="2024-03-27T00:00:00"/>
    <x v="57"/>
    <x v="0"/>
    <s v="P141"/>
    <x v="0"/>
    <n v="3"/>
    <n v="2941.6"/>
    <x v="3"/>
    <n v="1839.72"/>
    <s v="Returning"/>
    <s v="Digital"/>
    <n v="7942.32"/>
    <n v="2423.16"/>
    <s v="Wednesday"/>
    <x v="0"/>
  </r>
  <r>
    <s v="NV1167"/>
    <d v="2024-06-03T00:00:00"/>
    <x v="17"/>
    <x v="0"/>
    <s v="P28"/>
    <x v="0"/>
    <n v="3"/>
    <n v="1744.31"/>
    <x v="5"/>
    <n v="1098.71"/>
    <s v="Returning"/>
    <s v="Cash"/>
    <n v="3924.6975000000002"/>
    <n v="628.56750000000011"/>
    <s v="Monday"/>
    <x v="0"/>
  </r>
  <r>
    <s v="NV1168"/>
    <d v="2024-07-06T00:00:00"/>
    <x v="19"/>
    <x v="0"/>
    <s v="P36"/>
    <x v="1"/>
    <n v="3"/>
    <n v="653.61"/>
    <x v="2"/>
    <n v="265.98"/>
    <s v="Returning"/>
    <s v="Cash"/>
    <n v="1862.7884999999999"/>
    <n v="1064.8484999999998"/>
    <s v="Saturday"/>
    <x v="1"/>
  </r>
  <r>
    <s v="NV1169"/>
    <d v="2025-10-19T00:00:00"/>
    <x v="2"/>
    <x v="0"/>
    <s v="P121"/>
    <x v="1"/>
    <n v="4"/>
    <n v="1816.2"/>
    <x v="3"/>
    <n v="1242.56"/>
    <s v="New"/>
    <s v="Card"/>
    <n v="6538.3200000000006"/>
    <n v="1568.0800000000008"/>
    <s v="Sunday"/>
    <x v="1"/>
  </r>
  <r>
    <s v="NV1170"/>
    <d v="2024-03-17T00:00:00"/>
    <x v="26"/>
    <x v="0"/>
    <s v="P202"/>
    <x v="1"/>
    <n v="5"/>
    <n v="2335.25"/>
    <x v="1"/>
    <n v="1508.18"/>
    <s v="New"/>
    <s v="Card"/>
    <n v="9341"/>
    <n v="1800.0999999999995"/>
    <s v="Sunday"/>
    <x v="1"/>
  </r>
  <r>
    <s v="NV1171"/>
    <d v="2024-09-27T00:00:00"/>
    <x v="34"/>
    <x v="3"/>
    <s v="P255"/>
    <x v="2"/>
    <n v="3"/>
    <n v="1731.05"/>
    <x v="3"/>
    <n v="994.43"/>
    <s v="Returning"/>
    <s v="Digital"/>
    <n v="4673.835"/>
    <n v="1690.5450000000001"/>
    <s v="Friday"/>
    <x v="0"/>
  </r>
  <r>
    <s v="NV1172"/>
    <d v="2024-07-03T00:00:00"/>
    <x v="26"/>
    <x v="1"/>
    <s v="P77"/>
    <x v="1"/>
    <n v="1"/>
    <n v="2105.5700000000002"/>
    <x v="3"/>
    <n v="1315.94"/>
    <s v="New"/>
    <s v="Cash"/>
    <n v="1895.0130000000001"/>
    <n v="579.07300000000009"/>
    <s v="Wednesday"/>
    <x v="0"/>
  </r>
  <r>
    <s v="NV1173"/>
    <d v="2024-10-24T00:00:00"/>
    <x v="19"/>
    <x v="0"/>
    <s v="P163"/>
    <x v="1"/>
    <n v="1"/>
    <n v="459.86"/>
    <x v="2"/>
    <n v="295.64"/>
    <s v="New"/>
    <s v="Cash"/>
    <n v="436.86700000000002"/>
    <n v="141.22700000000003"/>
    <s v="Thursday"/>
    <x v="0"/>
  </r>
  <r>
    <s v="NV1174"/>
    <d v="2024-04-13T00:00:00"/>
    <x v="38"/>
    <x v="3"/>
    <s v="P261"/>
    <x v="2"/>
    <n v="4"/>
    <n v="590.41999999999996"/>
    <x v="1"/>
    <n v="240.58"/>
    <s v="Returning"/>
    <s v="Card"/>
    <n v="1889.3440000000001"/>
    <n v="927.024"/>
    <s v="Saturday"/>
    <x v="1"/>
  </r>
  <r>
    <s v="NV1175"/>
    <d v="2024-11-22T00:00:00"/>
    <x v="51"/>
    <x v="3"/>
    <s v="P169"/>
    <x v="0"/>
    <n v="2"/>
    <n v="2854.07"/>
    <x v="1"/>
    <n v="1762.31"/>
    <s v="New"/>
    <s v="Cash"/>
    <n v="4566.5120000000006"/>
    <n v="1041.8920000000007"/>
    <s v="Friday"/>
    <x v="0"/>
  </r>
  <r>
    <s v="NV1176"/>
    <d v="2024-05-10T00:00:00"/>
    <x v="8"/>
    <x v="1"/>
    <s v="P143"/>
    <x v="0"/>
    <n v="4"/>
    <n v="2490.1999999999998"/>
    <x v="4"/>
    <n v="1601.13"/>
    <s v="New"/>
    <s v="Digital"/>
    <n v="8466.6799999999985"/>
    <n v="2062.159999999998"/>
    <s v="Friday"/>
    <x v="0"/>
  </r>
  <r>
    <s v="NV1177"/>
    <d v="2024-01-14T00:00:00"/>
    <x v="19"/>
    <x v="0"/>
    <s v="P181"/>
    <x v="1"/>
    <n v="5"/>
    <n v="1176.07"/>
    <x v="4"/>
    <n v="497.78"/>
    <s v="New"/>
    <s v="Digital"/>
    <n v="4998.2974999999997"/>
    <n v="2509.3975"/>
    <s v="Sunday"/>
    <x v="1"/>
  </r>
  <r>
    <s v="NV1178"/>
    <d v="2025-10-09T00:00:00"/>
    <x v="1"/>
    <x v="3"/>
    <s v="P285"/>
    <x v="2"/>
    <n v="4"/>
    <n v="2200.2199999999998"/>
    <x v="1"/>
    <n v="1245.55"/>
    <s v="New"/>
    <s v="Cash"/>
    <n v="7040.7039999999997"/>
    <n v="2058.5039999999999"/>
    <s v="Thursday"/>
    <x v="0"/>
  </r>
  <r>
    <s v="NV1179"/>
    <d v="2025-03-31T00:00:00"/>
    <x v="46"/>
    <x v="3"/>
    <s v="P38"/>
    <x v="2"/>
    <n v="2"/>
    <n v="455.96"/>
    <x v="5"/>
    <n v="231.71"/>
    <s v="Returning"/>
    <s v="Card"/>
    <n v="683.93999999999994"/>
    <n v="220.51999999999992"/>
    <s v="Monday"/>
    <x v="0"/>
  </r>
  <r>
    <s v="NV1180"/>
    <d v="2025-05-07T00:00:00"/>
    <x v="20"/>
    <x v="2"/>
    <s v="P210"/>
    <x v="0"/>
    <n v="4"/>
    <n v="2291.4299999999998"/>
    <x v="4"/>
    <n v="1454.93"/>
    <s v="Returning"/>
    <s v="Digital"/>
    <n v="7790.8619999999992"/>
    <n v="1971.1419999999989"/>
    <s v="Wednesday"/>
    <x v="0"/>
  </r>
  <r>
    <s v="NV1181"/>
    <d v="2025-03-05T00:00:00"/>
    <x v="39"/>
    <x v="1"/>
    <s v="P297"/>
    <x v="2"/>
    <n v="4"/>
    <n v="2717.33"/>
    <x v="4"/>
    <n v="1544.13"/>
    <s v="Returning"/>
    <s v="Card"/>
    <n v="9238.9219999999987"/>
    <n v="3062.4019999999982"/>
    <s v="Wednesday"/>
    <x v="0"/>
  </r>
  <r>
    <s v="NV1182"/>
    <d v="2025-08-17T00:00:00"/>
    <x v="22"/>
    <x v="3"/>
    <s v="P247"/>
    <x v="2"/>
    <n v="3"/>
    <n v="1546.83"/>
    <x v="4"/>
    <n v="991.57"/>
    <s v="New"/>
    <s v="Digital"/>
    <n v="3944.4164999999998"/>
    <n v="969.70649999999978"/>
    <s v="Sunday"/>
    <x v="1"/>
  </r>
  <r>
    <s v="NV1183"/>
    <d v="2024-02-20T00:00:00"/>
    <x v="38"/>
    <x v="2"/>
    <s v="P64"/>
    <x v="0"/>
    <n v="3"/>
    <n v="2465.19"/>
    <x v="5"/>
    <n v="1675.38"/>
    <s v="Returning"/>
    <s v="Digital"/>
    <n v="5546.6774999999998"/>
    <n v="520.53749999999945"/>
    <s v="Tuesday"/>
    <x v="0"/>
  </r>
  <r>
    <s v="NV1184"/>
    <d v="2025-05-14T00:00:00"/>
    <x v="2"/>
    <x v="1"/>
    <s v="P174"/>
    <x v="0"/>
    <n v="3"/>
    <n v="2063.6799999999998"/>
    <x v="6"/>
    <n v="1353.54"/>
    <s v="New"/>
    <s v="Digital"/>
    <n v="6191.0399999999991"/>
    <n v="2130.4199999999992"/>
    <s v="Wednesday"/>
    <x v="0"/>
  </r>
  <r>
    <s v="NV1185"/>
    <d v="2025-06-25T00:00:00"/>
    <x v="32"/>
    <x v="0"/>
    <s v="P62"/>
    <x v="2"/>
    <n v="1"/>
    <n v="2885.24"/>
    <x v="2"/>
    <n v="1800.79"/>
    <s v="New"/>
    <s v="Digital"/>
    <n v="2740.9779999999996"/>
    <n v="940.18799999999965"/>
    <s v="Wednesday"/>
    <x v="0"/>
  </r>
  <r>
    <s v="NV1186"/>
    <d v="2024-06-06T00:00:00"/>
    <x v="40"/>
    <x v="0"/>
    <s v="P234"/>
    <x v="1"/>
    <n v="5"/>
    <n v="540.30999999999995"/>
    <x v="4"/>
    <n v="231.65"/>
    <s v="Returning"/>
    <s v="Card"/>
    <n v="2296.3174999999997"/>
    <n v="1138.0674999999997"/>
    <s v="Thursday"/>
    <x v="0"/>
  </r>
  <r>
    <s v="NV1187"/>
    <d v="2025-01-16T00:00:00"/>
    <x v="23"/>
    <x v="0"/>
    <s v="P211"/>
    <x v="1"/>
    <n v="2"/>
    <n v="1102.6600000000001"/>
    <x v="3"/>
    <n v="583.23"/>
    <s v="Returning"/>
    <s v="Digital"/>
    <n v="1984.7880000000002"/>
    <n v="818.3280000000002"/>
    <s v="Thursday"/>
    <x v="0"/>
  </r>
  <r>
    <s v="NV1188"/>
    <d v="2025-01-08T00:00:00"/>
    <x v="5"/>
    <x v="0"/>
    <s v="P254"/>
    <x v="2"/>
    <n v="4"/>
    <n v="2499.9899999999998"/>
    <x v="4"/>
    <n v="1413.44"/>
    <s v="Returning"/>
    <s v="Card"/>
    <n v="8499.9659999999985"/>
    <n v="2846.2059999999983"/>
    <s v="Wednesday"/>
    <x v="0"/>
  </r>
  <r>
    <s v="NV1189"/>
    <d v="2025-10-17T00:00:00"/>
    <x v="5"/>
    <x v="3"/>
    <s v="P6"/>
    <x v="0"/>
    <n v="2"/>
    <n v="1801.96"/>
    <x v="0"/>
    <n v="775.98"/>
    <s v="Returning"/>
    <s v="Digital"/>
    <n v="2522.7439999999997"/>
    <n v="970.78399999999965"/>
    <s v="Friday"/>
    <x v="0"/>
  </r>
  <r>
    <s v="NV1190"/>
    <d v="2024-05-02T00:00:00"/>
    <x v="17"/>
    <x v="2"/>
    <s v="P109"/>
    <x v="0"/>
    <n v="3"/>
    <n v="1818.35"/>
    <x v="6"/>
    <n v="889.64"/>
    <s v="Returning"/>
    <s v="Card"/>
    <n v="5455.0499999999993"/>
    <n v="2786.1299999999992"/>
    <s v="Thursday"/>
    <x v="0"/>
  </r>
  <r>
    <s v="NV1191"/>
    <d v="2025-11-24T00:00:00"/>
    <x v="0"/>
    <x v="3"/>
    <s v="P185"/>
    <x v="2"/>
    <n v="2"/>
    <n v="2809.17"/>
    <x v="3"/>
    <n v="1766.34"/>
    <s v="Returning"/>
    <s v="Card"/>
    <n v="5056.5060000000003"/>
    <n v="1523.8260000000005"/>
    <s v="Monday"/>
    <x v="0"/>
  </r>
  <r>
    <s v="NV1192"/>
    <d v="2025-01-29T00:00:00"/>
    <x v="44"/>
    <x v="1"/>
    <s v="P41"/>
    <x v="1"/>
    <n v="3"/>
    <n v="467.66"/>
    <x v="4"/>
    <n v="255.98"/>
    <s v="New"/>
    <s v="Cash"/>
    <n v="1192.5329999999999"/>
    <n v="424.59299999999996"/>
    <s v="Wednesday"/>
    <x v="0"/>
  </r>
  <r>
    <s v="NV1193"/>
    <d v="2024-02-20T00:00:00"/>
    <x v="47"/>
    <x v="1"/>
    <s v="P48"/>
    <x v="1"/>
    <n v="4"/>
    <n v="2979.88"/>
    <x v="0"/>
    <n v="1979.62"/>
    <s v="Returning"/>
    <s v="Card"/>
    <n v="8343.6640000000007"/>
    <n v="425.18400000000111"/>
    <s v="Tuesday"/>
    <x v="0"/>
  </r>
  <r>
    <s v="NV1194"/>
    <d v="2024-08-20T00:00:00"/>
    <x v="37"/>
    <x v="2"/>
    <s v="P213"/>
    <x v="2"/>
    <n v="1"/>
    <n v="1085.6199999999999"/>
    <x v="3"/>
    <n v="502.91"/>
    <s v="New"/>
    <s v="Digital"/>
    <n v="977.05799999999988"/>
    <n v="474.14799999999985"/>
    <s v="Tuesday"/>
    <x v="0"/>
  </r>
  <r>
    <s v="NV1195"/>
    <d v="2025-05-19T00:00:00"/>
    <x v="51"/>
    <x v="1"/>
    <s v="P207"/>
    <x v="2"/>
    <n v="2"/>
    <n v="2976.64"/>
    <x v="6"/>
    <n v="1984.59"/>
    <s v="New"/>
    <s v="Digital"/>
    <n v="5953.28"/>
    <n v="1984.1"/>
    <s v="Monday"/>
    <x v="0"/>
  </r>
  <r>
    <s v="NV1196"/>
    <d v="2024-05-11T00:00:00"/>
    <x v="33"/>
    <x v="0"/>
    <s v="P111"/>
    <x v="2"/>
    <n v="2"/>
    <n v="1407.71"/>
    <x v="2"/>
    <n v="774.92"/>
    <s v="Returning"/>
    <s v="Digital"/>
    <n v="2674.6489999999999"/>
    <n v="1124.809"/>
    <s v="Saturday"/>
    <x v="1"/>
  </r>
  <r>
    <s v="NV1197"/>
    <d v="2025-08-02T00:00:00"/>
    <x v="30"/>
    <x v="2"/>
    <s v="P6"/>
    <x v="1"/>
    <n v="3"/>
    <n v="2419.36"/>
    <x v="2"/>
    <n v="1483.59"/>
    <s v="Returning"/>
    <s v="Card"/>
    <n v="6895.1759999999995"/>
    <n v="2444.4059999999999"/>
    <s v="Saturday"/>
    <x v="1"/>
  </r>
  <r>
    <s v="NV1198"/>
    <d v="2025-06-04T00:00:00"/>
    <x v="22"/>
    <x v="2"/>
    <s v="P192"/>
    <x v="1"/>
    <n v="5"/>
    <n v="2216.0100000000002"/>
    <x v="3"/>
    <n v="1377.33"/>
    <s v="Returning"/>
    <s v="Digital"/>
    <n v="9972.0450000000019"/>
    <n v="3085.3950000000023"/>
    <s v="Wednesday"/>
    <x v="0"/>
  </r>
  <r>
    <s v="NV1199"/>
    <d v="2024-08-11T00:00:00"/>
    <x v="29"/>
    <x v="3"/>
    <s v="P188"/>
    <x v="2"/>
    <n v="3"/>
    <n v="2677.98"/>
    <x v="5"/>
    <n v="1608.99"/>
    <s v="New"/>
    <s v="Card"/>
    <n v="6025.4549999999999"/>
    <n v="1198.4849999999997"/>
    <s v="Sunday"/>
    <x v="1"/>
  </r>
  <r>
    <s v="NV1200"/>
    <d v="2024-05-20T00:00:00"/>
    <x v="25"/>
    <x v="2"/>
    <s v="P32"/>
    <x v="2"/>
    <n v="2"/>
    <n v="993.02"/>
    <x v="6"/>
    <n v="645.99"/>
    <s v="New"/>
    <s v="Digital"/>
    <n v="1986.04"/>
    <n v="694.06"/>
    <s v="Monday"/>
    <x v="0"/>
  </r>
  <r>
    <s v="NV1201"/>
    <d v="2024-01-09T00:00:00"/>
    <x v="57"/>
    <x v="3"/>
    <s v="P95"/>
    <x v="2"/>
    <n v="2"/>
    <n v="567.94000000000005"/>
    <x v="5"/>
    <n v="264.81"/>
    <s v="Returning"/>
    <s v="Cash"/>
    <n v="851.91000000000008"/>
    <n v="322.29000000000008"/>
    <s v="Tuesday"/>
    <x v="0"/>
  </r>
  <r>
    <s v="NV1202"/>
    <d v="2025-05-22T00:00:00"/>
    <x v="18"/>
    <x v="2"/>
    <s v="P293"/>
    <x v="2"/>
    <n v="5"/>
    <n v="1141.73"/>
    <x v="6"/>
    <n v="749.54"/>
    <s v="New"/>
    <s v="Cash"/>
    <n v="5708.65"/>
    <n v="1960.9499999999998"/>
    <s v="Thursday"/>
    <x v="0"/>
  </r>
  <r>
    <s v="NV1203"/>
    <d v="2024-01-20T00:00:00"/>
    <x v="30"/>
    <x v="1"/>
    <s v="P94"/>
    <x v="2"/>
    <n v="4"/>
    <n v="2692.92"/>
    <x v="3"/>
    <n v="1657.42"/>
    <s v="New"/>
    <s v="Cash"/>
    <n v="9694.5120000000006"/>
    <n v="3064.8320000000003"/>
    <s v="Saturday"/>
    <x v="1"/>
  </r>
  <r>
    <s v="NV1204"/>
    <d v="2024-06-20T00:00:00"/>
    <x v="12"/>
    <x v="1"/>
    <s v="P231"/>
    <x v="2"/>
    <n v="1"/>
    <n v="1322.95"/>
    <x v="5"/>
    <n v="783.24"/>
    <s v="New"/>
    <s v="Cash"/>
    <n v="992.21250000000009"/>
    <n v="208.97250000000008"/>
    <s v="Thursday"/>
    <x v="0"/>
  </r>
  <r>
    <s v="NV1205"/>
    <d v="2024-05-21T00:00:00"/>
    <x v="33"/>
    <x v="0"/>
    <s v="P27"/>
    <x v="1"/>
    <n v="3"/>
    <n v="465.03"/>
    <x v="2"/>
    <n v="249.25"/>
    <s v="New"/>
    <s v="Digital"/>
    <n v="1325.3354999999999"/>
    <n v="577.58549999999991"/>
    <s v="Tuesday"/>
    <x v="0"/>
  </r>
  <r>
    <s v="NV1206"/>
    <d v="2025-09-29T00:00:00"/>
    <x v="43"/>
    <x v="3"/>
    <s v="P130"/>
    <x v="2"/>
    <n v="4"/>
    <n v="2311.08"/>
    <x v="2"/>
    <n v="1111.29"/>
    <s v="New"/>
    <s v="Card"/>
    <n v="8782.1039999999994"/>
    <n v="4336.9439999999995"/>
    <s v="Monday"/>
    <x v="0"/>
  </r>
  <r>
    <s v="NV1207"/>
    <d v="2024-02-27T00:00:00"/>
    <x v="56"/>
    <x v="3"/>
    <s v="P226"/>
    <x v="0"/>
    <n v="2"/>
    <n v="2379.5100000000002"/>
    <x v="2"/>
    <n v="1093.79"/>
    <s v="New"/>
    <s v="Digital"/>
    <n v="4521.0690000000004"/>
    <n v="2333.4890000000005"/>
    <s v="Tuesday"/>
    <x v="0"/>
  </r>
  <r>
    <s v="NV1208"/>
    <d v="2025-04-28T00:00:00"/>
    <x v="19"/>
    <x v="3"/>
    <s v="P124"/>
    <x v="2"/>
    <n v="1"/>
    <n v="2747.03"/>
    <x v="3"/>
    <n v="1282.28"/>
    <s v="New"/>
    <s v="Cash"/>
    <n v="2472.3270000000002"/>
    <n v="1190.0470000000003"/>
    <s v="Monday"/>
    <x v="0"/>
  </r>
  <r>
    <s v="NV1209"/>
    <d v="2024-03-05T00:00:00"/>
    <x v="28"/>
    <x v="1"/>
    <s v="P284"/>
    <x v="0"/>
    <n v="4"/>
    <n v="1929.28"/>
    <x v="1"/>
    <n v="1268.08"/>
    <s v="Returning"/>
    <s v="Digital"/>
    <n v="6173.6959999999999"/>
    <n v="1101.3760000000002"/>
    <s v="Tuesday"/>
    <x v="0"/>
  </r>
  <r>
    <s v="NV1210"/>
    <d v="2024-03-07T00:00:00"/>
    <x v="12"/>
    <x v="1"/>
    <s v="P264"/>
    <x v="2"/>
    <n v="5"/>
    <n v="792.64"/>
    <x v="6"/>
    <n v="531.16999999999996"/>
    <s v="Returning"/>
    <s v="Digital"/>
    <n v="3963.2"/>
    <n v="1307.3499999999999"/>
    <s v="Thursday"/>
    <x v="0"/>
  </r>
  <r>
    <s v="NV1211"/>
    <d v="2025-07-20T00:00:00"/>
    <x v="6"/>
    <x v="3"/>
    <s v="P287"/>
    <x v="0"/>
    <n v="2"/>
    <n v="1527.16"/>
    <x v="4"/>
    <n v="700.74"/>
    <s v="New"/>
    <s v="Digital"/>
    <n v="2596.172"/>
    <n v="1194.692"/>
    <s v="Sunday"/>
    <x v="1"/>
  </r>
  <r>
    <s v="NV1212"/>
    <d v="2025-04-10T00:00:00"/>
    <x v="46"/>
    <x v="3"/>
    <s v="P184"/>
    <x v="0"/>
    <n v="3"/>
    <n v="2759.71"/>
    <x v="1"/>
    <n v="1662.4"/>
    <s v="Returning"/>
    <s v="Card"/>
    <n v="6623.304000000001"/>
    <n v="1636.1040000000003"/>
    <s v="Thursday"/>
    <x v="0"/>
  </r>
  <r>
    <s v="NV1213"/>
    <d v="2025-08-12T00:00:00"/>
    <x v="41"/>
    <x v="2"/>
    <s v="P287"/>
    <x v="1"/>
    <n v="3"/>
    <n v="2222.1999999999998"/>
    <x v="2"/>
    <n v="1492.15"/>
    <s v="New"/>
    <s v="Digital"/>
    <n v="6333.2699999999995"/>
    <n v="1856.8199999999988"/>
    <s v="Tuesday"/>
    <x v="0"/>
  </r>
  <r>
    <s v="NV1214"/>
    <d v="2025-06-12T00:00:00"/>
    <x v="24"/>
    <x v="3"/>
    <s v="P189"/>
    <x v="0"/>
    <n v="1"/>
    <n v="1792.32"/>
    <x v="5"/>
    <n v="773.51"/>
    <s v="Returning"/>
    <s v="Digital"/>
    <n v="1344.24"/>
    <n v="570.73"/>
    <s v="Thursday"/>
    <x v="0"/>
  </r>
  <r>
    <s v="NV1215"/>
    <d v="2024-10-02T00:00:00"/>
    <x v="45"/>
    <x v="2"/>
    <s v="P261"/>
    <x v="1"/>
    <n v="3"/>
    <n v="2114.35"/>
    <x v="5"/>
    <n v="1479.91"/>
    <s v="Returning"/>
    <s v="Digital"/>
    <n v="4757.2874999999995"/>
    <n v="317.55749999999898"/>
    <s v="Wednesday"/>
    <x v="0"/>
  </r>
  <r>
    <s v="NV1216"/>
    <d v="2024-02-22T00:00:00"/>
    <x v="17"/>
    <x v="2"/>
    <s v="P300"/>
    <x v="2"/>
    <n v="2"/>
    <n v="2397.87"/>
    <x v="6"/>
    <n v="1134.1099999999999"/>
    <s v="Returning"/>
    <s v="Card"/>
    <n v="4795.74"/>
    <n v="2527.52"/>
    <s v="Thursday"/>
    <x v="0"/>
  </r>
  <r>
    <s v="NV1217"/>
    <d v="2024-03-29T00:00:00"/>
    <x v="27"/>
    <x v="2"/>
    <s v="P134"/>
    <x v="0"/>
    <n v="1"/>
    <n v="901.28"/>
    <x v="2"/>
    <n v="601.17999999999995"/>
    <s v="Returning"/>
    <s v="Cash"/>
    <n v="856.21599999999989"/>
    <n v="255.03599999999994"/>
    <s v="Friday"/>
    <x v="0"/>
  </r>
  <r>
    <s v="NV1218"/>
    <d v="2024-11-18T00:00:00"/>
    <x v="40"/>
    <x v="2"/>
    <s v="P66"/>
    <x v="1"/>
    <n v="5"/>
    <n v="2841.39"/>
    <x v="3"/>
    <n v="1564.13"/>
    <s v="Returning"/>
    <s v="Cash"/>
    <n v="12786.254999999999"/>
    <n v="4965.6049999999987"/>
    <s v="Monday"/>
    <x v="0"/>
  </r>
  <r>
    <s v="NV1219"/>
    <d v="2025-05-08T00:00:00"/>
    <x v="25"/>
    <x v="1"/>
    <s v="P84"/>
    <x v="2"/>
    <n v="5"/>
    <n v="1441.93"/>
    <x v="0"/>
    <n v="897.26"/>
    <s v="New"/>
    <s v="Cash"/>
    <n v="5046.7550000000001"/>
    <n v="560.45499999999993"/>
    <s v="Thursday"/>
    <x v="0"/>
  </r>
  <r>
    <s v="NV1220"/>
    <d v="2024-01-26T00:00:00"/>
    <x v="58"/>
    <x v="2"/>
    <s v="P175"/>
    <x v="2"/>
    <n v="2"/>
    <n v="377.33"/>
    <x v="3"/>
    <n v="214.66"/>
    <s v="Returning"/>
    <s v="Digital"/>
    <n v="679.19399999999996"/>
    <n v="249.87399999999997"/>
    <s v="Friday"/>
    <x v="0"/>
  </r>
  <r>
    <s v="NV1221"/>
    <d v="2024-07-12T00:00:00"/>
    <x v="6"/>
    <x v="3"/>
    <s v="P126"/>
    <x v="1"/>
    <n v="2"/>
    <n v="582.14"/>
    <x v="4"/>
    <n v="273.29000000000002"/>
    <s v="Returning"/>
    <s v="Digital"/>
    <n v="989.63799999999992"/>
    <n v="443.05799999999988"/>
    <s v="Friday"/>
    <x v="0"/>
  </r>
  <r>
    <s v="NV1222"/>
    <d v="2024-06-06T00:00:00"/>
    <x v="0"/>
    <x v="2"/>
    <s v="P50"/>
    <x v="2"/>
    <n v="1"/>
    <n v="1334.52"/>
    <x v="6"/>
    <n v="897.45"/>
    <s v="Returning"/>
    <s v="Cash"/>
    <n v="1334.52"/>
    <n v="437.06999999999994"/>
    <s v="Thursday"/>
    <x v="0"/>
  </r>
  <r>
    <s v="NV1223"/>
    <d v="2025-06-18T00:00:00"/>
    <x v="59"/>
    <x v="3"/>
    <s v="P191"/>
    <x v="0"/>
    <n v="4"/>
    <n v="941.1"/>
    <x v="2"/>
    <n v="520.75"/>
    <s v="Returning"/>
    <s v="Digital"/>
    <n v="3576.18"/>
    <n v="1493.1799999999998"/>
    <s v="Wednesday"/>
    <x v="0"/>
  </r>
  <r>
    <s v="NV1224"/>
    <d v="2024-12-23T00:00:00"/>
    <x v="37"/>
    <x v="3"/>
    <s v="P11"/>
    <x v="1"/>
    <n v="5"/>
    <n v="608.79999999999995"/>
    <x v="4"/>
    <n v="321.31"/>
    <s v="Returning"/>
    <s v="Digital"/>
    <n v="2587.4"/>
    <n v="980.85000000000014"/>
    <s v="Monday"/>
    <x v="0"/>
  </r>
  <r>
    <s v="NV1225"/>
    <d v="2024-08-27T00:00:00"/>
    <x v="51"/>
    <x v="2"/>
    <s v="P222"/>
    <x v="2"/>
    <n v="4"/>
    <n v="376.15"/>
    <x v="6"/>
    <n v="229.02"/>
    <s v="Returning"/>
    <s v="Cash"/>
    <n v="1504.6"/>
    <n v="588.51999999999987"/>
    <s v="Tuesday"/>
    <x v="0"/>
  </r>
  <r>
    <s v="NV1226"/>
    <d v="2024-08-15T00:00:00"/>
    <x v="44"/>
    <x v="0"/>
    <s v="P91"/>
    <x v="2"/>
    <n v="1"/>
    <n v="2493.62"/>
    <x v="6"/>
    <n v="1223.56"/>
    <s v="New"/>
    <s v="Card"/>
    <n v="2493.62"/>
    <n v="1270.06"/>
    <s v="Thursday"/>
    <x v="0"/>
  </r>
  <r>
    <s v="NV1227"/>
    <d v="2024-06-26T00:00:00"/>
    <x v="21"/>
    <x v="1"/>
    <s v="P43"/>
    <x v="2"/>
    <n v="4"/>
    <n v="924.65"/>
    <x v="4"/>
    <n v="522.26"/>
    <s v="Returning"/>
    <s v="Cash"/>
    <n v="3143.81"/>
    <n v="1054.77"/>
    <s v="Wednesday"/>
    <x v="0"/>
  </r>
  <r>
    <s v="NV1228"/>
    <d v="2024-12-03T00:00:00"/>
    <x v="28"/>
    <x v="2"/>
    <s v="P276"/>
    <x v="2"/>
    <n v="2"/>
    <n v="495.99"/>
    <x v="4"/>
    <n v="259.33999999999997"/>
    <s v="New"/>
    <s v="Digital"/>
    <n v="843.18299999999999"/>
    <n v="324.50300000000004"/>
    <s v="Tuesday"/>
    <x v="0"/>
  </r>
  <r>
    <s v="NV1229"/>
    <d v="2024-08-31T00:00:00"/>
    <x v="18"/>
    <x v="3"/>
    <s v="P73"/>
    <x v="0"/>
    <n v="2"/>
    <n v="316.06"/>
    <x v="4"/>
    <n v="149.79"/>
    <s v="Returning"/>
    <s v="Cash"/>
    <n v="537.30200000000002"/>
    <n v="237.72200000000004"/>
    <s v="Saturday"/>
    <x v="1"/>
  </r>
  <r>
    <s v="NV1230"/>
    <d v="2025-05-18T00:00:00"/>
    <x v="48"/>
    <x v="1"/>
    <s v="P110"/>
    <x v="2"/>
    <n v="2"/>
    <n v="2693.5"/>
    <x v="0"/>
    <n v="1583.84"/>
    <s v="New"/>
    <s v="Cash"/>
    <n v="3770.8999999999996"/>
    <n v="603.2199999999998"/>
    <s v="Sunday"/>
    <x v="1"/>
  </r>
  <r>
    <s v="NV1231"/>
    <d v="2024-03-20T00:00:00"/>
    <x v="13"/>
    <x v="3"/>
    <s v="P39"/>
    <x v="1"/>
    <n v="2"/>
    <n v="696.85"/>
    <x v="5"/>
    <n v="380.48"/>
    <s v="New"/>
    <s v="Card"/>
    <n v="1045.2750000000001"/>
    <n v="284.31500000000005"/>
    <s v="Wednesday"/>
    <x v="0"/>
  </r>
  <r>
    <s v="NV1232"/>
    <d v="2025-09-23T00:00:00"/>
    <x v="8"/>
    <x v="1"/>
    <s v="P230"/>
    <x v="1"/>
    <n v="4"/>
    <n v="1098.0999999999999"/>
    <x v="3"/>
    <n v="732.04"/>
    <s v="New"/>
    <s v="Digital"/>
    <n v="3953.16"/>
    <n v="1025"/>
    <s v="Tuesday"/>
    <x v="0"/>
  </r>
  <r>
    <s v="NV1233"/>
    <d v="2024-01-26T00:00:00"/>
    <x v="9"/>
    <x v="3"/>
    <s v="P8"/>
    <x v="0"/>
    <n v="4"/>
    <n v="605.27"/>
    <x v="3"/>
    <n v="257.48"/>
    <s v="New"/>
    <s v="Cash"/>
    <n v="2178.9720000000002"/>
    <n v="1149.0520000000001"/>
    <s v="Friday"/>
    <x v="0"/>
  </r>
  <r>
    <s v="NV1234"/>
    <d v="2025-09-15T00:00:00"/>
    <x v="58"/>
    <x v="0"/>
    <s v="P25"/>
    <x v="1"/>
    <n v="3"/>
    <n v="1318.08"/>
    <x v="6"/>
    <n v="676.13"/>
    <s v="Returning"/>
    <s v="Digital"/>
    <n v="3954.24"/>
    <n v="1925.85"/>
    <s v="Monday"/>
    <x v="0"/>
  </r>
  <r>
    <s v="NV1235"/>
    <d v="2025-03-04T00:00:00"/>
    <x v="25"/>
    <x v="1"/>
    <s v="P125"/>
    <x v="2"/>
    <n v="1"/>
    <n v="1783.77"/>
    <x v="6"/>
    <n v="749.04"/>
    <s v="New"/>
    <s v="Card"/>
    <n v="1783.77"/>
    <n v="1034.73"/>
    <s v="Tuesday"/>
    <x v="0"/>
  </r>
  <r>
    <s v="NV1236"/>
    <d v="2025-01-17T00:00:00"/>
    <x v="29"/>
    <x v="0"/>
    <s v="P157"/>
    <x v="1"/>
    <n v="3"/>
    <n v="2135.59"/>
    <x v="4"/>
    <n v="1438.28"/>
    <s v="Returning"/>
    <s v="Digital"/>
    <n v="5445.7545"/>
    <n v="1130.9144999999999"/>
    <s v="Friday"/>
    <x v="0"/>
  </r>
  <r>
    <s v="NV1237"/>
    <d v="2025-04-05T00:00:00"/>
    <x v="26"/>
    <x v="0"/>
    <s v="P58"/>
    <x v="1"/>
    <n v="2"/>
    <n v="2538.94"/>
    <x v="5"/>
    <n v="1690.69"/>
    <s v="Returning"/>
    <s v="Digital"/>
    <n v="3808.41"/>
    <n v="427.02999999999975"/>
    <s v="Saturday"/>
    <x v="1"/>
  </r>
  <r>
    <s v="NV1238"/>
    <d v="2024-01-23T00:00:00"/>
    <x v="25"/>
    <x v="0"/>
    <s v="P28"/>
    <x v="0"/>
    <n v="2"/>
    <n v="549.76"/>
    <x v="6"/>
    <n v="283.7"/>
    <s v="New"/>
    <s v="Cash"/>
    <n v="1099.52"/>
    <n v="532.12"/>
    <s v="Tuesday"/>
    <x v="0"/>
  </r>
  <r>
    <s v="NV1239"/>
    <d v="2024-03-10T00:00:00"/>
    <x v="21"/>
    <x v="1"/>
    <s v="P114"/>
    <x v="0"/>
    <n v="4"/>
    <n v="1034.53"/>
    <x v="2"/>
    <n v="421.45"/>
    <s v="Returning"/>
    <s v="Digital"/>
    <n v="3931.2139999999995"/>
    <n v="2245.4139999999998"/>
    <s v="Sunday"/>
    <x v="1"/>
  </r>
  <r>
    <s v="NV1240"/>
    <d v="2024-11-15T00:00:00"/>
    <x v="42"/>
    <x v="3"/>
    <s v="P60"/>
    <x v="2"/>
    <n v="5"/>
    <n v="2271.61"/>
    <x v="3"/>
    <n v="1155.2"/>
    <s v="New"/>
    <s v="Digital"/>
    <n v="10222.245000000001"/>
    <n v="4446.2450000000008"/>
    <s v="Friday"/>
    <x v="0"/>
  </r>
  <r>
    <s v="NV1241"/>
    <d v="2024-07-21T00:00:00"/>
    <x v="36"/>
    <x v="1"/>
    <s v="P162"/>
    <x v="2"/>
    <n v="3"/>
    <n v="1023.25"/>
    <x v="0"/>
    <n v="680.58"/>
    <s v="New"/>
    <s v="Card"/>
    <n v="2148.8249999999998"/>
    <n v="107.08499999999958"/>
    <s v="Sunday"/>
    <x v="1"/>
  </r>
  <r>
    <s v="NV1242"/>
    <d v="2024-01-10T00:00:00"/>
    <x v="57"/>
    <x v="0"/>
    <s v="P19"/>
    <x v="2"/>
    <n v="4"/>
    <n v="972.53"/>
    <x v="5"/>
    <n v="577.48"/>
    <s v="New"/>
    <s v="Cash"/>
    <n v="2917.59"/>
    <n v="607.67000000000007"/>
    <s v="Wednesday"/>
    <x v="0"/>
  </r>
  <r>
    <s v="NV1243"/>
    <d v="2024-09-24T00:00:00"/>
    <x v="36"/>
    <x v="3"/>
    <s v="P138"/>
    <x v="0"/>
    <n v="4"/>
    <n v="2573.2600000000002"/>
    <x v="1"/>
    <n v="1403.18"/>
    <s v="New"/>
    <s v="Card"/>
    <n v="8234.4320000000007"/>
    <n v="2621.7120000000004"/>
    <s v="Tuesday"/>
    <x v="0"/>
  </r>
  <r>
    <s v="NV1244"/>
    <d v="2025-07-02T00:00:00"/>
    <x v="48"/>
    <x v="0"/>
    <s v="P172"/>
    <x v="1"/>
    <n v="4"/>
    <n v="616.36"/>
    <x v="0"/>
    <n v="367.43"/>
    <s v="New"/>
    <s v="Cash"/>
    <n v="1725.808"/>
    <n v="256.08799999999997"/>
    <s v="Wednesday"/>
    <x v="0"/>
  </r>
  <r>
    <s v="NV1245"/>
    <d v="2025-09-03T00:00:00"/>
    <x v="7"/>
    <x v="3"/>
    <s v="P170"/>
    <x v="2"/>
    <n v="1"/>
    <n v="1432.79"/>
    <x v="4"/>
    <n v="665.44"/>
    <s v="New"/>
    <s v="Cash"/>
    <n v="1217.8715"/>
    <n v="552.43149999999991"/>
    <s v="Wednesday"/>
    <x v="0"/>
  </r>
  <r>
    <s v="NV1246"/>
    <d v="2025-09-16T00:00:00"/>
    <x v="36"/>
    <x v="0"/>
    <s v="P229"/>
    <x v="0"/>
    <n v="1"/>
    <n v="681.54"/>
    <x v="2"/>
    <n v="419.13"/>
    <s v="Returning"/>
    <s v="Digital"/>
    <n v="647.46299999999997"/>
    <n v="228.33299999999997"/>
    <s v="Tuesday"/>
    <x v="0"/>
  </r>
  <r>
    <s v="NV1247"/>
    <d v="2024-11-10T00:00:00"/>
    <x v="24"/>
    <x v="3"/>
    <s v="P289"/>
    <x v="0"/>
    <n v="4"/>
    <n v="2098.31"/>
    <x v="0"/>
    <n v="872.01"/>
    <s v="New"/>
    <s v="Cash"/>
    <n v="5875.2679999999991"/>
    <n v="2387.2279999999992"/>
    <s v="Sunday"/>
    <x v="1"/>
  </r>
  <r>
    <s v="NV1248"/>
    <d v="2024-05-03T00:00:00"/>
    <x v="5"/>
    <x v="0"/>
    <s v="P3"/>
    <x v="0"/>
    <n v="1"/>
    <n v="2555.63"/>
    <x v="6"/>
    <n v="1508.85"/>
    <s v="Returning"/>
    <s v="Digital"/>
    <n v="2555.63"/>
    <n v="1046.7800000000002"/>
    <s v="Friday"/>
    <x v="0"/>
  </r>
  <r>
    <s v="NV1249"/>
    <d v="2024-09-28T00:00:00"/>
    <x v="10"/>
    <x v="0"/>
    <s v="P142"/>
    <x v="2"/>
    <n v="2"/>
    <n v="1141.28"/>
    <x v="6"/>
    <n v="560.75"/>
    <s v="Returning"/>
    <s v="Card"/>
    <n v="2282.56"/>
    <n v="1161.06"/>
    <s v="Saturday"/>
    <x v="1"/>
  </r>
  <r>
    <s v="NV1250"/>
    <d v="2025-02-23T00:00:00"/>
    <x v="40"/>
    <x v="2"/>
    <s v="P213"/>
    <x v="2"/>
    <n v="5"/>
    <n v="2071.4"/>
    <x v="4"/>
    <n v="1216.1300000000001"/>
    <s v="Returning"/>
    <s v="Card"/>
    <n v="8803.4499999999989"/>
    <n v="2722.7999999999984"/>
    <s v="Sunday"/>
    <x v="1"/>
  </r>
  <r>
    <s v="NV1251"/>
    <d v="2025-11-28T00:00:00"/>
    <x v="1"/>
    <x v="1"/>
    <s v="P56"/>
    <x v="0"/>
    <n v="1"/>
    <n v="895.72"/>
    <x v="2"/>
    <n v="478.92"/>
    <s v="New"/>
    <s v="Digital"/>
    <n v="850.93399999999997"/>
    <n v="372.01399999999995"/>
    <s v="Friday"/>
    <x v="0"/>
  </r>
  <r>
    <s v="NV1252"/>
    <d v="2024-07-17T00:00:00"/>
    <x v="0"/>
    <x v="0"/>
    <s v="P226"/>
    <x v="0"/>
    <n v="1"/>
    <n v="1851.02"/>
    <x v="6"/>
    <n v="1124.33"/>
    <s v="New"/>
    <s v="Card"/>
    <n v="1851.02"/>
    <n v="726.69"/>
    <s v="Wednesday"/>
    <x v="0"/>
  </r>
  <r>
    <s v="NV1253"/>
    <d v="2025-04-22T00:00:00"/>
    <x v="49"/>
    <x v="3"/>
    <s v="P197"/>
    <x v="0"/>
    <n v="4"/>
    <n v="2588.44"/>
    <x v="1"/>
    <n v="1537.43"/>
    <s v="New"/>
    <s v="Card"/>
    <n v="8283.0079999999998"/>
    <n v="2133.2879999999996"/>
    <s v="Tuesday"/>
    <x v="0"/>
  </r>
  <r>
    <s v="NV1254"/>
    <d v="2025-05-03T00:00:00"/>
    <x v="27"/>
    <x v="0"/>
    <s v="P257"/>
    <x v="0"/>
    <n v="4"/>
    <n v="2020.28"/>
    <x v="0"/>
    <n v="893.34"/>
    <s v="New"/>
    <s v="Cash"/>
    <n v="5656.7839999999997"/>
    <n v="2083.4239999999995"/>
    <s v="Saturday"/>
    <x v="1"/>
  </r>
  <r>
    <s v="NV1255"/>
    <d v="2025-07-21T00:00:00"/>
    <x v="15"/>
    <x v="2"/>
    <s v="P133"/>
    <x v="1"/>
    <n v="4"/>
    <n v="1622.01"/>
    <x v="5"/>
    <n v="908.65"/>
    <s v="Returning"/>
    <s v="Digital"/>
    <n v="4866.03"/>
    <n v="1231.4299999999998"/>
    <s v="Monday"/>
    <x v="0"/>
  </r>
  <r>
    <s v="NV1256"/>
    <d v="2024-08-11T00:00:00"/>
    <x v="15"/>
    <x v="2"/>
    <s v="P19"/>
    <x v="0"/>
    <n v="5"/>
    <n v="1561.87"/>
    <x v="1"/>
    <n v="855.13"/>
    <s v="Returning"/>
    <s v="Cash"/>
    <n v="6247.48"/>
    <n v="1971.83"/>
    <s v="Sunday"/>
    <x v="1"/>
  </r>
  <r>
    <s v="NV1257"/>
    <d v="2025-06-26T00:00:00"/>
    <x v="5"/>
    <x v="0"/>
    <s v="P178"/>
    <x v="2"/>
    <n v="4"/>
    <n v="2541.1999999999998"/>
    <x v="6"/>
    <n v="1333.5"/>
    <s v="New"/>
    <s v="Cash"/>
    <n v="10164.799999999999"/>
    <n v="4830.7999999999993"/>
    <s v="Thursday"/>
    <x v="0"/>
  </r>
  <r>
    <s v="NV1258"/>
    <d v="2025-07-14T00:00:00"/>
    <x v="33"/>
    <x v="0"/>
    <s v="P237"/>
    <x v="1"/>
    <n v="1"/>
    <n v="1306.79"/>
    <x v="2"/>
    <n v="662.75"/>
    <s v="New"/>
    <s v="Cash"/>
    <n v="1241.4504999999999"/>
    <n v="578.70049999999992"/>
    <s v="Monday"/>
    <x v="0"/>
  </r>
  <r>
    <s v="NV1259"/>
    <d v="2024-04-01T00:00:00"/>
    <x v="10"/>
    <x v="1"/>
    <s v="P163"/>
    <x v="2"/>
    <n v="2"/>
    <n v="2967.59"/>
    <x v="4"/>
    <n v="1951.29"/>
    <s v="Returning"/>
    <s v="Card"/>
    <n v="5044.9030000000002"/>
    <n v="1142.3230000000003"/>
    <s v="Monday"/>
    <x v="0"/>
  </r>
  <r>
    <s v="NV1260"/>
    <d v="2025-05-20T00:00:00"/>
    <x v="59"/>
    <x v="1"/>
    <s v="P264"/>
    <x v="1"/>
    <n v="4"/>
    <n v="2850.56"/>
    <x v="1"/>
    <n v="1404.16"/>
    <s v="New"/>
    <s v="Cash"/>
    <n v="9121.7919999999995"/>
    <n v="3505.1519999999991"/>
    <s v="Tuesday"/>
    <x v="0"/>
  </r>
  <r>
    <s v="NV1261"/>
    <d v="2024-07-13T00:00:00"/>
    <x v="51"/>
    <x v="0"/>
    <s v="P17"/>
    <x v="0"/>
    <n v="4"/>
    <n v="475.26"/>
    <x v="5"/>
    <n v="207.4"/>
    <s v="New"/>
    <s v="Digital"/>
    <n v="1425.78"/>
    <n v="596.17999999999995"/>
    <s v="Saturday"/>
    <x v="1"/>
  </r>
  <r>
    <s v="NV1262"/>
    <d v="2025-04-29T00:00:00"/>
    <x v="14"/>
    <x v="1"/>
    <s v="P123"/>
    <x v="1"/>
    <n v="3"/>
    <n v="642.24"/>
    <x v="0"/>
    <n v="281.02"/>
    <s v="Returning"/>
    <s v="Cash"/>
    <n v="1348.704"/>
    <n v="505.64400000000001"/>
    <s v="Tuesday"/>
    <x v="0"/>
  </r>
  <r>
    <s v="NV1263"/>
    <d v="2025-03-02T00:00:00"/>
    <x v="5"/>
    <x v="1"/>
    <s v="P239"/>
    <x v="1"/>
    <n v="4"/>
    <n v="374.93"/>
    <x v="6"/>
    <n v="154.49"/>
    <s v="New"/>
    <s v="Cash"/>
    <n v="1499.72"/>
    <n v="881.76"/>
    <s v="Sunday"/>
    <x v="1"/>
  </r>
  <r>
    <s v="NV1264"/>
    <d v="2025-02-26T00:00:00"/>
    <x v="13"/>
    <x v="0"/>
    <s v="P265"/>
    <x v="1"/>
    <n v="5"/>
    <n v="673.32"/>
    <x v="4"/>
    <n v="274.8"/>
    <s v="Returning"/>
    <s v="Cash"/>
    <n v="2861.61"/>
    <n v="1487.6100000000001"/>
    <s v="Wednesday"/>
    <x v="0"/>
  </r>
  <r>
    <s v="NV1265"/>
    <d v="2024-12-31T00:00:00"/>
    <x v="31"/>
    <x v="0"/>
    <s v="P110"/>
    <x v="1"/>
    <n v="4"/>
    <n v="2173.91"/>
    <x v="5"/>
    <n v="1408.64"/>
    <s v="New"/>
    <s v="Card"/>
    <n v="6521.73"/>
    <n v="887.16999999999916"/>
    <s v="Tuesday"/>
    <x v="0"/>
  </r>
  <r>
    <s v="NV1266"/>
    <d v="2025-05-31T00:00:00"/>
    <x v="24"/>
    <x v="0"/>
    <s v="P130"/>
    <x v="2"/>
    <n v="4"/>
    <n v="788.37"/>
    <x v="2"/>
    <n v="374.13"/>
    <s v="Returning"/>
    <s v="Cash"/>
    <n v="2995.806"/>
    <n v="1499.2860000000001"/>
    <s v="Saturday"/>
    <x v="1"/>
  </r>
  <r>
    <s v="NV1267"/>
    <d v="2025-07-23T00:00:00"/>
    <x v="31"/>
    <x v="3"/>
    <s v="P36"/>
    <x v="2"/>
    <n v="1"/>
    <n v="806.81"/>
    <x v="2"/>
    <n v="417.37"/>
    <s v="New"/>
    <s v="Cash"/>
    <n v="766.46949999999993"/>
    <n v="349.09949999999992"/>
    <s v="Wednesday"/>
    <x v="0"/>
  </r>
  <r>
    <s v="NV1268"/>
    <d v="2025-05-23T00:00:00"/>
    <x v="39"/>
    <x v="2"/>
    <s v="P24"/>
    <x v="2"/>
    <n v="3"/>
    <n v="602.9"/>
    <x v="0"/>
    <n v="284.89999999999998"/>
    <s v="New"/>
    <s v="Cash"/>
    <n v="1266.0899999999997"/>
    <n v="411.38999999999976"/>
    <s v="Friday"/>
    <x v="0"/>
  </r>
  <r>
    <s v="NV1269"/>
    <d v="2025-01-14T00:00:00"/>
    <x v="36"/>
    <x v="2"/>
    <s v="P59"/>
    <x v="0"/>
    <n v="4"/>
    <n v="2705.89"/>
    <x v="5"/>
    <n v="1658.13"/>
    <s v="Returning"/>
    <s v="Card"/>
    <n v="8117.67"/>
    <n v="1485.1499999999996"/>
    <s v="Tuesday"/>
    <x v="0"/>
  </r>
  <r>
    <s v="NV1270"/>
    <d v="2025-10-09T00:00:00"/>
    <x v="27"/>
    <x v="3"/>
    <s v="P196"/>
    <x v="2"/>
    <n v="2"/>
    <n v="621.59"/>
    <x v="1"/>
    <n v="256.2"/>
    <s v="New"/>
    <s v="Card"/>
    <n v="994.5440000000001"/>
    <n v="482.14400000000012"/>
    <s v="Thursday"/>
    <x v="0"/>
  </r>
  <r>
    <s v="NV1271"/>
    <d v="2024-08-01T00:00:00"/>
    <x v="3"/>
    <x v="3"/>
    <s v="P213"/>
    <x v="1"/>
    <n v="5"/>
    <n v="2372.96"/>
    <x v="4"/>
    <n v="1488.6"/>
    <s v="New"/>
    <s v="Card"/>
    <n v="10085.08"/>
    <n v="2642.08"/>
    <s v="Thursday"/>
    <x v="0"/>
  </r>
  <r>
    <s v="NV1272"/>
    <d v="2024-07-06T00:00:00"/>
    <x v="32"/>
    <x v="0"/>
    <s v="P33"/>
    <x v="1"/>
    <n v="1"/>
    <n v="2589.29"/>
    <x v="3"/>
    <n v="1262.25"/>
    <s v="Returning"/>
    <s v="Cash"/>
    <n v="2330.3609999999999"/>
    <n v="1068.1109999999999"/>
    <s v="Saturday"/>
    <x v="1"/>
  </r>
  <r>
    <s v="NV1273"/>
    <d v="2025-09-29T00:00:00"/>
    <x v="27"/>
    <x v="0"/>
    <s v="P83"/>
    <x v="1"/>
    <n v="5"/>
    <n v="2093.5300000000002"/>
    <x v="0"/>
    <n v="871.35"/>
    <s v="New"/>
    <s v="Digital"/>
    <n v="7327.3550000000005"/>
    <n v="2970.6050000000005"/>
    <s v="Monday"/>
    <x v="0"/>
  </r>
  <r>
    <s v="NV1274"/>
    <d v="2024-07-25T00:00:00"/>
    <x v="35"/>
    <x v="3"/>
    <s v="P296"/>
    <x v="2"/>
    <n v="5"/>
    <n v="1061.44"/>
    <x v="6"/>
    <n v="562.61"/>
    <s v="New"/>
    <s v="Card"/>
    <n v="5307.2000000000007"/>
    <n v="2494.1500000000005"/>
    <s v="Thursday"/>
    <x v="0"/>
  </r>
  <r>
    <s v="NV1275"/>
    <d v="2024-12-31T00:00:00"/>
    <x v="22"/>
    <x v="3"/>
    <s v="P246"/>
    <x v="2"/>
    <n v="4"/>
    <n v="1637.56"/>
    <x v="0"/>
    <n v="886.43"/>
    <s v="New"/>
    <s v="Digital"/>
    <n v="4585.1679999999997"/>
    <n v="1039.4479999999999"/>
    <s v="Tuesday"/>
    <x v="0"/>
  </r>
  <r>
    <s v="NV1276"/>
    <d v="2025-10-21T00:00:00"/>
    <x v="42"/>
    <x v="0"/>
    <s v="P135"/>
    <x v="2"/>
    <n v="5"/>
    <n v="2920.25"/>
    <x v="6"/>
    <n v="1836.66"/>
    <s v="Returning"/>
    <s v="Digital"/>
    <n v="14601.25"/>
    <n v="5417.9499999999989"/>
    <s v="Tuesday"/>
    <x v="0"/>
  </r>
  <r>
    <s v="NV1277"/>
    <d v="2024-09-22T00:00:00"/>
    <x v="51"/>
    <x v="2"/>
    <s v="P181"/>
    <x v="1"/>
    <n v="1"/>
    <n v="854.37"/>
    <x v="4"/>
    <n v="481.81"/>
    <s v="New"/>
    <s v="Digital"/>
    <n v="726.21449999999993"/>
    <n v="244.40449999999993"/>
    <s v="Sunday"/>
    <x v="1"/>
  </r>
  <r>
    <s v="NV1278"/>
    <d v="2025-09-04T00:00:00"/>
    <x v="59"/>
    <x v="3"/>
    <s v="P114"/>
    <x v="0"/>
    <n v="2"/>
    <n v="1320.38"/>
    <x v="2"/>
    <n v="805.81"/>
    <s v="Returning"/>
    <s v="Cash"/>
    <n v="2508.7220000000002"/>
    <n v="897.10200000000032"/>
    <s v="Thursday"/>
    <x v="0"/>
  </r>
  <r>
    <s v="NV1279"/>
    <d v="2024-09-17T00:00:00"/>
    <x v="33"/>
    <x v="0"/>
    <s v="P1"/>
    <x v="2"/>
    <n v="1"/>
    <n v="2479.2199999999998"/>
    <x v="5"/>
    <n v="1624.05"/>
    <s v="Returning"/>
    <s v="Cash"/>
    <n v="1859.415"/>
    <n v="235.36500000000001"/>
    <s v="Tuesday"/>
    <x v="0"/>
  </r>
  <r>
    <s v="NV1280"/>
    <d v="2025-09-16T00:00:00"/>
    <x v="34"/>
    <x v="0"/>
    <s v="P140"/>
    <x v="0"/>
    <n v="1"/>
    <n v="2735.76"/>
    <x v="3"/>
    <n v="1207.1500000000001"/>
    <s v="Returning"/>
    <s v="Digital"/>
    <n v="2462.1840000000002"/>
    <n v="1255.0340000000001"/>
    <s v="Tuesday"/>
    <x v="0"/>
  </r>
  <r>
    <s v="NV1281"/>
    <d v="2025-06-01T00:00:00"/>
    <x v="18"/>
    <x v="2"/>
    <s v="P152"/>
    <x v="2"/>
    <n v="5"/>
    <n v="2662.3"/>
    <x v="4"/>
    <n v="1547.94"/>
    <s v="Returning"/>
    <s v="Digital"/>
    <n v="11314.775"/>
    <n v="3575.0749999999989"/>
    <s v="Sunday"/>
    <x v="1"/>
  </r>
  <r>
    <s v="NV1282"/>
    <d v="2024-01-20T00:00:00"/>
    <x v="2"/>
    <x v="0"/>
    <s v="P104"/>
    <x v="2"/>
    <n v="3"/>
    <n v="381.72"/>
    <x v="3"/>
    <n v="212.96"/>
    <s v="New"/>
    <s v="Cash"/>
    <n v="1030.644"/>
    <n v="391.76400000000001"/>
    <s v="Saturday"/>
    <x v="1"/>
  </r>
  <r>
    <s v="NV1283"/>
    <d v="2024-09-02T00:00:00"/>
    <x v="48"/>
    <x v="3"/>
    <s v="P272"/>
    <x v="1"/>
    <n v="2"/>
    <n v="1751.63"/>
    <x v="0"/>
    <n v="997.86"/>
    <s v="New"/>
    <s v="Card"/>
    <n v="2452.2820000000002"/>
    <n v="456.56200000000013"/>
    <s v="Monday"/>
    <x v="0"/>
  </r>
  <r>
    <s v="NV1284"/>
    <d v="2024-12-02T00:00:00"/>
    <x v="27"/>
    <x v="0"/>
    <s v="P282"/>
    <x v="0"/>
    <n v="4"/>
    <n v="1163.3399999999999"/>
    <x v="6"/>
    <n v="653.46"/>
    <s v="New"/>
    <s v="Card"/>
    <n v="4653.3599999999997"/>
    <n v="2039.5199999999995"/>
    <s v="Monday"/>
    <x v="0"/>
  </r>
  <r>
    <s v="NV1285"/>
    <d v="2025-06-17T00:00:00"/>
    <x v="17"/>
    <x v="2"/>
    <s v="P122"/>
    <x v="1"/>
    <n v="2"/>
    <n v="1841.14"/>
    <x v="1"/>
    <n v="1168.3599999999999"/>
    <s v="New"/>
    <s v="Cash"/>
    <n v="2945.8240000000005"/>
    <n v="609.10400000000072"/>
    <s v="Tuesday"/>
    <x v="0"/>
  </r>
  <r>
    <s v="NV1286"/>
    <d v="2025-10-25T00:00:00"/>
    <x v="4"/>
    <x v="1"/>
    <s v="P199"/>
    <x v="0"/>
    <n v="5"/>
    <n v="969.41"/>
    <x v="3"/>
    <n v="608.33000000000004"/>
    <s v="Returning"/>
    <s v="Digital"/>
    <n v="4362.3450000000003"/>
    <n v="1320.6950000000002"/>
    <s v="Saturday"/>
    <x v="1"/>
  </r>
  <r>
    <s v="NV1287"/>
    <d v="2024-08-17T00:00:00"/>
    <x v="27"/>
    <x v="2"/>
    <s v="P253"/>
    <x v="1"/>
    <n v="5"/>
    <n v="1611.85"/>
    <x v="6"/>
    <n v="1121.5"/>
    <s v="Returning"/>
    <s v="Digital"/>
    <n v="8059.25"/>
    <n v="2451.75"/>
    <s v="Saturday"/>
    <x v="1"/>
  </r>
  <r>
    <s v="NV1288"/>
    <d v="2025-05-04T00:00:00"/>
    <x v="0"/>
    <x v="3"/>
    <s v="P185"/>
    <x v="1"/>
    <n v="1"/>
    <n v="406.63"/>
    <x v="1"/>
    <n v="223.3"/>
    <s v="Returning"/>
    <s v="Digital"/>
    <n v="325.30400000000003"/>
    <n v="102.00400000000002"/>
    <s v="Sunday"/>
    <x v="1"/>
  </r>
  <r>
    <s v="NV1289"/>
    <d v="2024-03-03T00:00:00"/>
    <x v="29"/>
    <x v="1"/>
    <s v="P142"/>
    <x v="2"/>
    <n v="1"/>
    <n v="1807.63"/>
    <x v="6"/>
    <n v="946.17"/>
    <s v="New"/>
    <s v="Card"/>
    <n v="1807.63"/>
    <n v="861.46000000000015"/>
    <s v="Sunday"/>
    <x v="1"/>
  </r>
  <r>
    <s v="NV1290"/>
    <d v="2025-09-23T00:00:00"/>
    <x v="7"/>
    <x v="3"/>
    <s v="P244"/>
    <x v="0"/>
    <n v="2"/>
    <n v="1576.53"/>
    <x v="4"/>
    <n v="717.66"/>
    <s v="New"/>
    <s v="Card"/>
    <n v="2680.1009999999997"/>
    <n v="1244.7809999999997"/>
    <s v="Tuesday"/>
    <x v="0"/>
  </r>
  <r>
    <s v="NV1291"/>
    <d v="2025-04-03T00:00:00"/>
    <x v="53"/>
    <x v="1"/>
    <s v="P212"/>
    <x v="1"/>
    <n v="5"/>
    <n v="2378.3000000000002"/>
    <x v="6"/>
    <n v="1434.7"/>
    <s v="New"/>
    <s v="Cash"/>
    <n v="11891.5"/>
    <n v="4718"/>
    <s v="Thursday"/>
    <x v="0"/>
  </r>
  <r>
    <s v="NV1292"/>
    <d v="2025-10-04T00:00:00"/>
    <x v="20"/>
    <x v="0"/>
    <s v="P148"/>
    <x v="2"/>
    <n v="2"/>
    <n v="2904.4"/>
    <x v="0"/>
    <n v="1794.54"/>
    <s v="New"/>
    <s v="Digital"/>
    <n v="4066.16"/>
    <n v="477.07999999999993"/>
    <s v="Saturday"/>
    <x v="1"/>
  </r>
  <r>
    <s v="NV1293"/>
    <d v="2025-04-10T00:00:00"/>
    <x v="59"/>
    <x v="1"/>
    <s v="P7"/>
    <x v="0"/>
    <n v="2"/>
    <n v="921.14"/>
    <x v="5"/>
    <n v="400.36"/>
    <s v="New"/>
    <s v="Cash"/>
    <n v="1381.71"/>
    <n v="580.99"/>
    <s v="Thursday"/>
    <x v="0"/>
  </r>
  <r>
    <s v="NV1294"/>
    <d v="2025-01-23T00:00:00"/>
    <x v="14"/>
    <x v="2"/>
    <s v="P177"/>
    <x v="1"/>
    <n v="3"/>
    <n v="1490.8"/>
    <x v="6"/>
    <n v="689.37"/>
    <s v="Returning"/>
    <s v="Cash"/>
    <n v="4472.3999999999996"/>
    <n v="2404.2899999999995"/>
    <s v="Thursday"/>
    <x v="0"/>
  </r>
  <r>
    <s v="NV1295"/>
    <d v="2024-10-18T00:00:00"/>
    <x v="17"/>
    <x v="3"/>
    <s v="P24"/>
    <x v="1"/>
    <n v="1"/>
    <n v="2521.21"/>
    <x v="2"/>
    <n v="1066.0999999999999"/>
    <s v="Returning"/>
    <s v="Digital"/>
    <n v="2395.1495"/>
    <n v="1329.0495000000001"/>
    <s v="Friday"/>
    <x v="0"/>
  </r>
  <r>
    <s v="NV1296"/>
    <d v="2024-07-20T00:00:00"/>
    <x v="7"/>
    <x v="1"/>
    <s v="P254"/>
    <x v="1"/>
    <n v="1"/>
    <n v="1986.86"/>
    <x v="4"/>
    <n v="1012.73"/>
    <s v="Returning"/>
    <s v="Cash"/>
    <n v="1688.8309999999999"/>
    <n v="676.10099999999989"/>
    <s v="Saturday"/>
    <x v="1"/>
  </r>
  <r>
    <s v="NV1297"/>
    <d v="2024-01-06T00:00:00"/>
    <x v="38"/>
    <x v="2"/>
    <s v="P237"/>
    <x v="2"/>
    <n v="5"/>
    <n v="1577.47"/>
    <x v="4"/>
    <n v="862.58"/>
    <s v="New"/>
    <s v="Digital"/>
    <n v="6704.2475000000004"/>
    <n v="2391.3474999999999"/>
    <s v="Saturday"/>
    <x v="1"/>
  </r>
  <r>
    <s v="NV1298"/>
    <d v="2025-11-20T00:00:00"/>
    <x v="7"/>
    <x v="2"/>
    <s v="P75"/>
    <x v="2"/>
    <n v="1"/>
    <n v="1056.1500000000001"/>
    <x v="3"/>
    <n v="664.42"/>
    <s v="Returning"/>
    <s v="Cash"/>
    <n v="950.53500000000008"/>
    <n v="286.11500000000012"/>
    <s v="Thursday"/>
    <x v="0"/>
  </r>
  <r>
    <s v="NV1299"/>
    <d v="2024-04-21T00:00:00"/>
    <x v="54"/>
    <x v="1"/>
    <s v="P93"/>
    <x v="0"/>
    <n v="1"/>
    <n v="1614.45"/>
    <x v="3"/>
    <n v="973.58"/>
    <s v="Returning"/>
    <s v="Digital"/>
    <n v="1453.0050000000001"/>
    <n v="479.42500000000007"/>
    <s v="Sunday"/>
    <x v="1"/>
  </r>
  <r>
    <s v="NV1300"/>
    <d v="2025-08-02T00:00:00"/>
    <x v="58"/>
    <x v="2"/>
    <s v="P123"/>
    <x v="0"/>
    <n v="3"/>
    <n v="846.81"/>
    <x v="5"/>
    <n v="536.77"/>
    <s v="New"/>
    <s v="Digital"/>
    <n v="1905.3224999999998"/>
    <n v="295.01249999999982"/>
    <s v="Saturday"/>
    <x v="1"/>
  </r>
  <r>
    <s v="NV1301"/>
    <d v="2025-09-30T00:00:00"/>
    <x v="27"/>
    <x v="3"/>
    <s v="P199"/>
    <x v="0"/>
    <n v="5"/>
    <n v="776.25"/>
    <x v="3"/>
    <n v="427.61"/>
    <s v="Returning"/>
    <s v="Digital"/>
    <n v="3493.125"/>
    <n v="1355.0749999999998"/>
    <s v="Tuesday"/>
    <x v="0"/>
  </r>
  <r>
    <s v="NV1302"/>
    <d v="2024-07-18T00:00:00"/>
    <x v="54"/>
    <x v="2"/>
    <s v="P260"/>
    <x v="0"/>
    <n v="5"/>
    <n v="2626.93"/>
    <x v="1"/>
    <n v="1731.38"/>
    <s v="Returning"/>
    <s v="Card"/>
    <n v="10507.720000000001"/>
    <n v="1850.8199999999997"/>
    <s v="Thursday"/>
    <x v="0"/>
  </r>
  <r>
    <s v="NV1303"/>
    <d v="2024-05-13T00:00:00"/>
    <x v="53"/>
    <x v="1"/>
    <s v="P79"/>
    <x v="0"/>
    <n v="5"/>
    <n v="1002.58"/>
    <x v="2"/>
    <n v="657.12"/>
    <s v="New"/>
    <s v="Digital"/>
    <n v="4762.2550000000001"/>
    <n v="1476.6550000000002"/>
    <s v="Monday"/>
    <x v="0"/>
  </r>
  <r>
    <s v="NV1304"/>
    <d v="2025-09-20T00:00:00"/>
    <x v="48"/>
    <x v="0"/>
    <s v="P182"/>
    <x v="2"/>
    <n v="4"/>
    <n v="1330.95"/>
    <x v="6"/>
    <n v="839.03"/>
    <s v="New"/>
    <s v="Digital"/>
    <n v="5323.8"/>
    <n v="1967.6800000000003"/>
    <s v="Saturday"/>
    <x v="1"/>
  </r>
  <r>
    <s v="NV1305"/>
    <d v="2024-03-24T00:00:00"/>
    <x v="52"/>
    <x v="3"/>
    <s v="P69"/>
    <x v="1"/>
    <n v="3"/>
    <n v="2381.81"/>
    <x v="2"/>
    <n v="1394.5"/>
    <s v="New"/>
    <s v="Cash"/>
    <n v="6788.1584999999995"/>
    <n v="2604.6584999999995"/>
    <s v="Sunday"/>
    <x v="1"/>
  </r>
  <r>
    <s v="NV1306"/>
    <d v="2024-07-23T00:00:00"/>
    <x v="47"/>
    <x v="0"/>
    <s v="P15"/>
    <x v="2"/>
    <n v="3"/>
    <n v="2269"/>
    <x v="6"/>
    <n v="910.16"/>
    <s v="New"/>
    <s v="Digital"/>
    <n v="6807"/>
    <n v="4076.52"/>
    <s v="Tuesday"/>
    <x v="0"/>
  </r>
  <r>
    <s v="NV1307"/>
    <d v="2024-09-22T00:00:00"/>
    <x v="56"/>
    <x v="3"/>
    <s v="P289"/>
    <x v="1"/>
    <n v="2"/>
    <n v="2145.73"/>
    <x v="6"/>
    <n v="1415.41"/>
    <s v="Returning"/>
    <s v="Cash"/>
    <n v="4291.46"/>
    <n v="1460.6399999999999"/>
    <s v="Sunday"/>
    <x v="1"/>
  </r>
  <r>
    <s v="NV1308"/>
    <d v="2025-10-19T00:00:00"/>
    <x v="7"/>
    <x v="1"/>
    <s v="P280"/>
    <x v="2"/>
    <n v="2"/>
    <n v="1840.49"/>
    <x v="4"/>
    <n v="1275.57"/>
    <s v="New"/>
    <s v="Card"/>
    <n v="3128.8330000000001"/>
    <n v="577.69300000000021"/>
    <s v="Sunday"/>
    <x v="1"/>
  </r>
  <r>
    <s v="NV1309"/>
    <d v="2024-11-14T00:00:00"/>
    <x v="28"/>
    <x v="3"/>
    <s v="P60"/>
    <x v="2"/>
    <n v="1"/>
    <n v="1404.88"/>
    <x v="2"/>
    <n v="912.68"/>
    <s v="New"/>
    <s v="Cash"/>
    <n v="1334.636"/>
    <n v="421.95600000000002"/>
    <s v="Thursday"/>
    <x v="0"/>
  </r>
  <r>
    <s v="NV1310"/>
    <d v="2024-01-17T00:00:00"/>
    <x v="17"/>
    <x v="2"/>
    <s v="P276"/>
    <x v="1"/>
    <n v="2"/>
    <n v="645.69000000000005"/>
    <x v="3"/>
    <n v="416.17"/>
    <s v="New"/>
    <s v="Card"/>
    <n v="1162.2420000000002"/>
    <n v="329.90200000000016"/>
    <s v="Wednesday"/>
    <x v="0"/>
  </r>
  <r>
    <s v="NV1311"/>
    <d v="2024-03-26T00:00:00"/>
    <x v="8"/>
    <x v="0"/>
    <s v="P226"/>
    <x v="1"/>
    <n v="2"/>
    <n v="2391.9699999999998"/>
    <x v="6"/>
    <n v="1156.4100000000001"/>
    <s v="New"/>
    <s v="Digital"/>
    <n v="4783.9399999999996"/>
    <n v="2471.1199999999994"/>
    <s v="Tuesday"/>
    <x v="0"/>
  </r>
  <r>
    <s v="NV1312"/>
    <d v="2024-08-25T00:00:00"/>
    <x v="5"/>
    <x v="3"/>
    <s v="P259"/>
    <x v="2"/>
    <n v="2"/>
    <n v="781.36"/>
    <x v="2"/>
    <n v="404.62"/>
    <s v="New"/>
    <s v="Card"/>
    <n v="1484.5840000000001"/>
    <n v="675.34400000000005"/>
    <s v="Sunday"/>
    <x v="1"/>
  </r>
  <r>
    <s v="NV1313"/>
    <d v="2025-09-03T00:00:00"/>
    <x v="18"/>
    <x v="1"/>
    <s v="P278"/>
    <x v="0"/>
    <n v="1"/>
    <n v="773.02"/>
    <x v="5"/>
    <n v="510.01"/>
    <s v="Returning"/>
    <s v="Cash"/>
    <n v="579.76499999999999"/>
    <n v="69.754999999999995"/>
    <s v="Wednesday"/>
    <x v="0"/>
  </r>
  <r>
    <s v="NV1314"/>
    <d v="2025-01-28T00:00:00"/>
    <x v="24"/>
    <x v="3"/>
    <s v="P266"/>
    <x v="0"/>
    <n v="4"/>
    <n v="2363.8200000000002"/>
    <x v="0"/>
    <n v="1558.34"/>
    <s v="Returning"/>
    <s v="Digital"/>
    <n v="6618.6959999999999"/>
    <n v="385.33600000000024"/>
    <s v="Tuesday"/>
    <x v="0"/>
  </r>
  <r>
    <s v="NV1315"/>
    <d v="2025-06-27T00:00:00"/>
    <x v="31"/>
    <x v="0"/>
    <s v="P287"/>
    <x v="0"/>
    <n v="4"/>
    <n v="715.55"/>
    <x v="3"/>
    <n v="354.18"/>
    <s v="New"/>
    <s v="Cash"/>
    <n v="2575.98"/>
    <n v="1159.26"/>
    <s v="Friday"/>
    <x v="0"/>
  </r>
  <r>
    <s v="NV1316"/>
    <d v="2025-01-22T00:00:00"/>
    <x v="57"/>
    <x v="3"/>
    <s v="P206"/>
    <x v="1"/>
    <n v="3"/>
    <n v="1381.95"/>
    <x v="0"/>
    <n v="611.78"/>
    <s v="New"/>
    <s v="Cash"/>
    <n v="2902.0950000000003"/>
    <n v="1066.7550000000003"/>
    <s v="Wednesday"/>
    <x v="0"/>
  </r>
  <r>
    <s v="NV1317"/>
    <d v="2025-10-23T00:00:00"/>
    <x v="50"/>
    <x v="1"/>
    <s v="P201"/>
    <x v="1"/>
    <n v="3"/>
    <n v="2269.41"/>
    <x v="6"/>
    <n v="1399.69"/>
    <s v="Returning"/>
    <s v="Card"/>
    <n v="6808.23"/>
    <n v="2609.16"/>
    <s v="Thursday"/>
    <x v="0"/>
  </r>
  <r>
    <s v="NV1318"/>
    <d v="2024-11-12T00:00:00"/>
    <x v="34"/>
    <x v="0"/>
    <s v="P263"/>
    <x v="1"/>
    <n v="4"/>
    <n v="1454.51"/>
    <x v="6"/>
    <n v="747.19"/>
    <s v="Returning"/>
    <s v="Cash"/>
    <n v="5818.04"/>
    <n v="2829.2799999999997"/>
    <s v="Tuesday"/>
    <x v="0"/>
  </r>
  <r>
    <s v="NV1319"/>
    <d v="2025-07-07T00:00:00"/>
    <x v="17"/>
    <x v="0"/>
    <s v="P244"/>
    <x v="1"/>
    <n v="4"/>
    <n v="2910.25"/>
    <x v="1"/>
    <n v="1505.73"/>
    <s v="Returning"/>
    <s v="Digital"/>
    <n v="9312.8000000000011"/>
    <n v="3289.880000000001"/>
    <s v="Monday"/>
    <x v="0"/>
  </r>
  <r>
    <s v="NV1320"/>
    <d v="2025-10-04T00:00:00"/>
    <x v="39"/>
    <x v="0"/>
    <s v="P113"/>
    <x v="0"/>
    <n v="5"/>
    <n v="1099.1500000000001"/>
    <x v="5"/>
    <n v="661.51"/>
    <s v="New"/>
    <s v="Digital"/>
    <n v="4121.8125"/>
    <n v="814.26249999999982"/>
    <s v="Saturday"/>
    <x v="1"/>
  </r>
  <r>
    <s v="NV1321"/>
    <d v="2025-03-25T00:00:00"/>
    <x v="14"/>
    <x v="2"/>
    <s v="P125"/>
    <x v="1"/>
    <n v="1"/>
    <n v="2803.28"/>
    <x v="3"/>
    <n v="1193.54"/>
    <s v="New"/>
    <s v="Cash"/>
    <n v="2522.9520000000002"/>
    <n v="1329.4120000000003"/>
    <s v="Tuesday"/>
    <x v="0"/>
  </r>
  <r>
    <s v="NV1322"/>
    <d v="2024-03-01T00:00:00"/>
    <x v="30"/>
    <x v="1"/>
    <s v="P62"/>
    <x v="0"/>
    <n v="5"/>
    <n v="2283.21"/>
    <x v="0"/>
    <n v="980.6"/>
    <s v="Returning"/>
    <s v="Digital"/>
    <n v="7991.2349999999988"/>
    <n v="3088.2349999999988"/>
    <s v="Friday"/>
    <x v="0"/>
  </r>
  <r>
    <s v="NV1323"/>
    <d v="2024-03-03T00:00:00"/>
    <x v="45"/>
    <x v="2"/>
    <s v="P86"/>
    <x v="0"/>
    <n v="3"/>
    <n v="2197.67"/>
    <x v="6"/>
    <n v="1046.3499999999999"/>
    <s v="New"/>
    <s v="Card"/>
    <n v="6593.01"/>
    <n v="3453.9600000000005"/>
    <s v="Sunday"/>
    <x v="1"/>
  </r>
  <r>
    <s v="NV1324"/>
    <d v="2024-05-11T00:00:00"/>
    <x v="49"/>
    <x v="3"/>
    <s v="P236"/>
    <x v="0"/>
    <n v="2"/>
    <n v="1972.52"/>
    <x v="2"/>
    <n v="1284.8499999999999"/>
    <s v="New"/>
    <s v="Cash"/>
    <n v="3747.788"/>
    <n v="1178.0880000000002"/>
    <s v="Saturday"/>
    <x v="1"/>
  </r>
  <r>
    <s v="NV1325"/>
    <d v="2024-01-16T00:00:00"/>
    <x v="37"/>
    <x v="0"/>
    <s v="P210"/>
    <x v="1"/>
    <n v="3"/>
    <n v="785.75"/>
    <x v="5"/>
    <n v="345.3"/>
    <s v="Returning"/>
    <s v="Card"/>
    <n v="1767.9375"/>
    <n v="732.03749999999991"/>
    <s v="Tuesday"/>
    <x v="0"/>
  </r>
  <r>
    <s v="NV1326"/>
    <d v="2025-09-17T00:00:00"/>
    <x v="16"/>
    <x v="3"/>
    <s v="P154"/>
    <x v="1"/>
    <n v="3"/>
    <n v="1540.62"/>
    <x v="0"/>
    <n v="784.46"/>
    <s v="Returning"/>
    <s v="Card"/>
    <n v="3235.3019999999997"/>
    <n v="881.92199999999957"/>
    <s v="Wednesday"/>
    <x v="0"/>
  </r>
  <r>
    <s v="NV1327"/>
    <d v="2024-07-03T00:00:00"/>
    <x v="3"/>
    <x v="2"/>
    <s v="P151"/>
    <x v="2"/>
    <n v="2"/>
    <n v="2146.48"/>
    <x v="6"/>
    <n v="1156.4000000000001"/>
    <s v="Returning"/>
    <s v="Card"/>
    <n v="4292.96"/>
    <n v="1980.1599999999999"/>
    <s v="Wednesday"/>
    <x v="0"/>
  </r>
  <r>
    <s v="NV1328"/>
    <d v="2024-10-24T00:00:00"/>
    <x v="4"/>
    <x v="1"/>
    <s v="P13"/>
    <x v="0"/>
    <n v="2"/>
    <n v="1281.1500000000001"/>
    <x v="5"/>
    <n v="664.77"/>
    <s v="Returning"/>
    <s v="Card"/>
    <n v="1921.7250000000001"/>
    <n v="592.18500000000017"/>
    <s v="Thursday"/>
    <x v="0"/>
  </r>
  <r>
    <s v="NV1329"/>
    <d v="2024-08-17T00:00:00"/>
    <x v="53"/>
    <x v="1"/>
    <s v="P91"/>
    <x v="2"/>
    <n v="3"/>
    <n v="1416.04"/>
    <x v="3"/>
    <n v="590.84"/>
    <s v="New"/>
    <s v="Digital"/>
    <n v="3823.308"/>
    <n v="2050.788"/>
    <s v="Saturday"/>
    <x v="1"/>
  </r>
  <r>
    <s v="NV1330"/>
    <d v="2024-04-14T00:00:00"/>
    <x v="54"/>
    <x v="0"/>
    <s v="P70"/>
    <x v="1"/>
    <n v="4"/>
    <n v="1428.44"/>
    <x v="0"/>
    <n v="931.8"/>
    <s v="New"/>
    <s v="Digital"/>
    <n v="3999.6320000000001"/>
    <n v="272.43200000000024"/>
    <s v="Sunday"/>
    <x v="1"/>
  </r>
  <r>
    <s v="NV1331"/>
    <d v="2024-12-13T00:00:00"/>
    <x v="42"/>
    <x v="0"/>
    <s v="P267"/>
    <x v="2"/>
    <n v="2"/>
    <n v="2951.9"/>
    <x v="1"/>
    <n v="1229.0999999999999"/>
    <s v="Returning"/>
    <s v="Digital"/>
    <n v="4723.04"/>
    <n v="2264.84"/>
    <s v="Friday"/>
    <x v="0"/>
  </r>
  <r>
    <s v="NV1332"/>
    <d v="2024-05-06T00:00:00"/>
    <x v="15"/>
    <x v="0"/>
    <s v="P188"/>
    <x v="1"/>
    <n v="1"/>
    <n v="2426.1999999999998"/>
    <x v="6"/>
    <n v="1258.8399999999999"/>
    <s v="New"/>
    <s v="Card"/>
    <n v="2426.1999999999998"/>
    <n v="1167.3599999999999"/>
    <s v="Monday"/>
    <x v="0"/>
  </r>
  <r>
    <s v="NV1333"/>
    <d v="2024-06-17T00:00:00"/>
    <x v="58"/>
    <x v="1"/>
    <s v="P54"/>
    <x v="2"/>
    <n v="1"/>
    <n v="669.45"/>
    <x v="6"/>
    <n v="276.76"/>
    <s v="Returning"/>
    <s v="Digital"/>
    <n v="669.45"/>
    <n v="392.69000000000005"/>
    <s v="Monday"/>
    <x v="0"/>
  </r>
  <r>
    <s v="NV1334"/>
    <d v="2025-11-29T00:00:00"/>
    <x v="16"/>
    <x v="3"/>
    <s v="P224"/>
    <x v="2"/>
    <n v="5"/>
    <n v="2138.66"/>
    <x v="5"/>
    <n v="1488.03"/>
    <s v="New"/>
    <s v="Card"/>
    <n v="8019.9749999999995"/>
    <n v="579.82499999999982"/>
    <s v="Saturday"/>
    <x v="1"/>
  </r>
  <r>
    <s v="NV1335"/>
    <d v="2024-09-10T00:00:00"/>
    <x v="44"/>
    <x v="1"/>
    <s v="P116"/>
    <x v="2"/>
    <n v="4"/>
    <n v="2426.62"/>
    <x v="0"/>
    <n v="1471.12"/>
    <s v="Returning"/>
    <s v="Card"/>
    <n v="6794.5359999999991"/>
    <n v="910.05599999999959"/>
    <s v="Tuesday"/>
    <x v="0"/>
  </r>
  <r>
    <s v="NV1336"/>
    <d v="2025-03-30T00:00:00"/>
    <x v="55"/>
    <x v="0"/>
    <s v="P123"/>
    <x v="1"/>
    <n v="3"/>
    <n v="1060.58"/>
    <x v="4"/>
    <n v="586.27"/>
    <s v="Returning"/>
    <s v="Cash"/>
    <n v="2704.4789999999998"/>
    <n v="945.66899999999987"/>
    <s v="Sunday"/>
    <x v="1"/>
  </r>
  <r>
    <s v="NV1337"/>
    <d v="2025-10-10T00:00:00"/>
    <x v="16"/>
    <x v="3"/>
    <s v="P121"/>
    <x v="1"/>
    <n v="4"/>
    <n v="2816.79"/>
    <x v="5"/>
    <n v="1648.95"/>
    <s v="Returning"/>
    <s v="Card"/>
    <n v="8450.369999999999"/>
    <n v="1854.5699999999988"/>
    <s v="Friday"/>
    <x v="0"/>
  </r>
  <r>
    <s v="NV1338"/>
    <d v="2025-02-17T00:00:00"/>
    <x v="43"/>
    <x v="2"/>
    <s v="P225"/>
    <x v="2"/>
    <n v="4"/>
    <n v="785.65"/>
    <x v="1"/>
    <n v="495.13"/>
    <s v="Returning"/>
    <s v="Digital"/>
    <n v="2514.08"/>
    <n v="533.55999999999995"/>
    <s v="Monday"/>
    <x v="0"/>
  </r>
  <r>
    <s v="NV1339"/>
    <d v="2024-06-23T00:00:00"/>
    <x v="59"/>
    <x v="1"/>
    <s v="P49"/>
    <x v="2"/>
    <n v="4"/>
    <n v="2924.72"/>
    <x v="4"/>
    <n v="1577.58"/>
    <s v="Returning"/>
    <s v="Digital"/>
    <n v="9944.0479999999989"/>
    <n v="3633.7279999999992"/>
    <s v="Sunday"/>
    <x v="1"/>
  </r>
  <r>
    <s v="NV1340"/>
    <d v="2025-11-23T00:00:00"/>
    <x v="19"/>
    <x v="2"/>
    <s v="P78"/>
    <x v="1"/>
    <n v="5"/>
    <n v="647.66"/>
    <x v="5"/>
    <n v="409.83"/>
    <s v="Returning"/>
    <s v="Digital"/>
    <n v="2428.7249999999999"/>
    <n v="379.57499999999982"/>
    <s v="Sunday"/>
    <x v="1"/>
  </r>
  <r>
    <s v="NV1341"/>
    <d v="2024-05-08T00:00:00"/>
    <x v="20"/>
    <x v="1"/>
    <s v="P107"/>
    <x v="2"/>
    <n v="3"/>
    <n v="2706.52"/>
    <x v="1"/>
    <n v="1673.78"/>
    <s v="New"/>
    <s v="Card"/>
    <n v="6495.6480000000001"/>
    <n v="1474.308"/>
    <s v="Wednesday"/>
    <x v="0"/>
  </r>
  <r>
    <s v="NV1342"/>
    <d v="2024-12-17T00:00:00"/>
    <x v="34"/>
    <x v="0"/>
    <s v="P9"/>
    <x v="2"/>
    <n v="5"/>
    <n v="1558.82"/>
    <x v="0"/>
    <n v="832.77"/>
    <s v="Returning"/>
    <s v="Card"/>
    <n v="5455.869999999999"/>
    <n v="1292.0199999999986"/>
    <s v="Tuesday"/>
    <x v="0"/>
  </r>
  <r>
    <s v="NV1343"/>
    <d v="2025-09-26T00:00:00"/>
    <x v="56"/>
    <x v="2"/>
    <s v="P281"/>
    <x v="0"/>
    <n v="1"/>
    <n v="2413.3200000000002"/>
    <x v="1"/>
    <n v="1511.75"/>
    <s v="Returning"/>
    <s v="Card"/>
    <n v="1930.6560000000002"/>
    <n v="418.90600000000018"/>
    <s v="Friday"/>
    <x v="0"/>
  </r>
  <r>
    <s v="NV1344"/>
    <d v="2025-03-19T00:00:00"/>
    <x v="28"/>
    <x v="3"/>
    <s v="P264"/>
    <x v="0"/>
    <n v="3"/>
    <n v="1188.6300000000001"/>
    <x v="4"/>
    <n v="774.05"/>
    <s v="Returning"/>
    <s v="Cash"/>
    <n v="3031.0065000000004"/>
    <n v="708.85650000000078"/>
    <s v="Wednesday"/>
    <x v="0"/>
  </r>
  <r>
    <s v="NV1345"/>
    <d v="2024-12-03T00:00:00"/>
    <x v="28"/>
    <x v="0"/>
    <s v="P214"/>
    <x v="0"/>
    <n v="5"/>
    <n v="516.09"/>
    <x v="3"/>
    <n v="239.85"/>
    <s v="Returning"/>
    <s v="Cash"/>
    <n v="2322.4050000000002"/>
    <n v="1123.1550000000002"/>
    <s v="Tuesday"/>
    <x v="0"/>
  </r>
  <r>
    <s v="NV1346"/>
    <d v="2025-04-28T00:00:00"/>
    <x v="31"/>
    <x v="1"/>
    <s v="P217"/>
    <x v="1"/>
    <n v="1"/>
    <n v="1980.75"/>
    <x v="6"/>
    <n v="991.77"/>
    <s v="New"/>
    <s v="Card"/>
    <n v="1980.75"/>
    <n v="988.98"/>
    <s v="Monday"/>
    <x v="0"/>
  </r>
  <r>
    <s v="NV1347"/>
    <d v="2025-11-20T00:00:00"/>
    <x v="31"/>
    <x v="2"/>
    <s v="P153"/>
    <x v="1"/>
    <n v="5"/>
    <n v="442.57"/>
    <x v="4"/>
    <n v="262.76"/>
    <s v="New"/>
    <s v="Digital"/>
    <n v="1880.9224999999999"/>
    <n v="567.12249999999995"/>
    <s v="Thursday"/>
    <x v="0"/>
  </r>
  <r>
    <s v="NV1348"/>
    <d v="2025-10-23T00:00:00"/>
    <x v="14"/>
    <x v="0"/>
    <s v="P23"/>
    <x v="2"/>
    <n v="5"/>
    <n v="2308.16"/>
    <x v="3"/>
    <n v="1097.32"/>
    <s v="New"/>
    <s v="Cash"/>
    <n v="10386.719999999999"/>
    <n v="4900.12"/>
    <s v="Thursday"/>
    <x v="0"/>
  </r>
  <r>
    <s v="NV1349"/>
    <d v="2025-11-19T00:00:00"/>
    <x v="5"/>
    <x v="3"/>
    <s v="P275"/>
    <x v="2"/>
    <n v="3"/>
    <n v="2004.72"/>
    <x v="0"/>
    <n v="885.86"/>
    <s v="New"/>
    <s v="Card"/>
    <n v="4209.9119999999994"/>
    <n v="1552.3319999999994"/>
    <s v="Wednesday"/>
    <x v="0"/>
  </r>
  <r>
    <s v="NV1350"/>
    <d v="2025-05-06T00:00:00"/>
    <x v="28"/>
    <x v="1"/>
    <s v="P86"/>
    <x v="0"/>
    <n v="4"/>
    <n v="1293.99"/>
    <x v="2"/>
    <n v="732.22"/>
    <s v="New"/>
    <s v="Cash"/>
    <n v="4917.1619999999994"/>
    <n v="1988.2819999999992"/>
    <s v="Tuesday"/>
    <x v="0"/>
  </r>
  <r>
    <s v="NV1351"/>
    <d v="2025-07-03T00:00:00"/>
    <x v="28"/>
    <x v="0"/>
    <s v="P123"/>
    <x v="0"/>
    <n v="3"/>
    <n v="2958.96"/>
    <x v="3"/>
    <n v="1391.26"/>
    <s v="New"/>
    <s v="Card"/>
    <n v="7989.1920000000009"/>
    <n v="3815.4120000000012"/>
    <s v="Thursday"/>
    <x v="0"/>
  </r>
  <r>
    <s v="NV1352"/>
    <d v="2024-07-26T00:00:00"/>
    <x v="32"/>
    <x v="1"/>
    <s v="P3"/>
    <x v="0"/>
    <n v="3"/>
    <n v="1348.35"/>
    <x v="1"/>
    <n v="601.89"/>
    <s v="New"/>
    <s v="Digital"/>
    <n v="3236.04"/>
    <n v="1430.37"/>
    <s v="Friday"/>
    <x v="0"/>
  </r>
  <r>
    <s v="NV1353"/>
    <d v="2025-10-29T00:00:00"/>
    <x v="46"/>
    <x v="2"/>
    <s v="P55"/>
    <x v="2"/>
    <n v="2"/>
    <n v="2161.88"/>
    <x v="2"/>
    <n v="1502.93"/>
    <s v="Returning"/>
    <s v="Cash"/>
    <n v="4107.5720000000001"/>
    <n v="1101.712"/>
    <s v="Wednesday"/>
    <x v="0"/>
  </r>
  <r>
    <s v="NV1354"/>
    <d v="2025-03-27T00:00:00"/>
    <x v="0"/>
    <x v="0"/>
    <s v="P121"/>
    <x v="1"/>
    <n v="4"/>
    <n v="2135.7800000000002"/>
    <x v="2"/>
    <n v="1106.04"/>
    <s v="Returning"/>
    <s v="Cash"/>
    <n v="8115.9639999999999"/>
    <n v="3691.8040000000001"/>
    <s v="Thursday"/>
    <x v="0"/>
  </r>
  <r>
    <s v="NV1355"/>
    <d v="2025-09-21T00:00:00"/>
    <x v="25"/>
    <x v="1"/>
    <s v="P212"/>
    <x v="0"/>
    <n v="2"/>
    <n v="2452.9"/>
    <x v="2"/>
    <n v="1526.95"/>
    <s v="New"/>
    <s v="Digital"/>
    <n v="4660.51"/>
    <n v="1606.6100000000001"/>
    <s v="Sunday"/>
    <x v="1"/>
  </r>
  <r>
    <s v="NV1356"/>
    <d v="2025-10-05T00:00:00"/>
    <x v="7"/>
    <x v="2"/>
    <s v="P123"/>
    <x v="2"/>
    <n v="5"/>
    <n v="328.75"/>
    <x v="1"/>
    <n v="210.34"/>
    <s v="Returning"/>
    <s v="Cash"/>
    <n v="1315"/>
    <n v="263.29999999999995"/>
    <s v="Sunday"/>
    <x v="1"/>
  </r>
  <r>
    <s v="NV1357"/>
    <d v="2025-07-16T00:00:00"/>
    <x v="26"/>
    <x v="0"/>
    <s v="P231"/>
    <x v="1"/>
    <n v="3"/>
    <n v="1369.16"/>
    <x v="1"/>
    <n v="581.66"/>
    <s v="New"/>
    <s v="Digital"/>
    <n v="3285.9840000000004"/>
    <n v="1541.0040000000004"/>
    <s v="Wednesday"/>
    <x v="0"/>
  </r>
  <r>
    <s v="NV1358"/>
    <d v="2024-11-01T00:00:00"/>
    <x v="40"/>
    <x v="3"/>
    <s v="P50"/>
    <x v="1"/>
    <n v="2"/>
    <n v="1059.23"/>
    <x v="3"/>
    <n v="447.09"/>
    <s v="New"/>
    <s v="Card"/>
    <n v="1906.614"/>
    <n v="1012.4340000000001"/>
    <s v="Friday"/>
    <x v="0"/>
  </r>
  <r>
    <s v="NV1359"/>
    <d v="2025-05-06T00:00:00"/>
    <x v="3"/>
    <x v="2"/>
    <s v="P116"/>
    <x v="0"/>
    <n v="4"/>
    <n v="2609.1799999999998"/>
    <x v="4"/>
    <n v="1211.27"/>
    <s v="Returning"/>
    <s v="Cash"/>
    <n v="8871.2119999999995"/>
    <n v="4026.1319999999996"/>
    <s v="Tuesday"/>
    <x v="0"/>
  </r>
  <r>
    <s v="NV1360"/>
    <d v="2024-12-15T00:00:00"/>
    <x v="43"/>
    <x v="1"/>
    <s v="P49"/>
    <x v="0"/>
    <n v="3"/>
    <n v="2420.87"/>
    <x v="0"/>
    <n v="1573.33"/>
    <s v="Returning"/>
    <s v="Cash"/>
    <n v="5083.8269999999993"/>
    <n v="363.83699999999953"/>
    <s v="Sunday"/>
    <x v="1"/>
  </r>
  <r>
    <s v="NV1361"/>
    <d v="2025-08-14T00:00:00"/>
    <x v="46"/>
    <x v="0"/>
    <s v="P138"/>
    <x v="2"/>
    <n v="1"/>
    <n v="1333.79"/>
    <x v="1"/>
    <n v="770.85"/>
    <s v="Returning"/>
    <s v="Cash"/>
    <n v="1067.0319999999999"/>
    <n v="296.1819999999999"/>
    <s v="Thursday"/>
    <x v="0"/>
  </r>
  <r>
    <s v="NV1362"/>
    <d v="2024-10-22T00:00:00"/>
    <x v="37"/>
    <x v="2"/>
    <s v="P17"/>
    <x v="2"/>
    <n v="4"/>
    <n v="2386.64"/>
    <x v="5"/>
    <n v="1221.8599999999999"/>
    <s v="Returning"/>
    <s v="Cash"/>
    <n v="7159.92"/>
    <n v="2272.4800000000005"/>
    <s v="Tuesday"/>
    <x v="0"/>
  </r>
  <r>
    <s v="NV1363"/>
    <d v="2024-10-31T00:00:00"/>
    <x v="23"/>
    <x v="0"/>
    <s v="P160"/>
    <x v="0"/>
    <n v="5"/>
    <n v="2490.77"/>
    <x v="6"/>
    <n v="1195.1400000000001"/>
    <s v="Returning"/>
    <s v="Cash"/>
    <n v="12453.85"/>
    <n v="6478.15"/>
    <s v="Thursday"/>
    <x v="0"/>
  </r>
  <r>
    <s v="NV1364"/>
    <d v="2025-05-13T00:00:00"/>
    <x v="16"/>
    <x v="0"/>
    <s v="P119"/>
    <x v="0"/>
    <n v="5"/>
    <n v="1111.45"/>
    <x v="0"/>
    <n v="517.03"/>
    <s v="Returning"/>
    <s v="Cash"/>
    <n v="3890.0749999999998"/>
    <n v="1304.9250000000002"/>
    <s v="Tuesday"/>
    <x v="0"/>
  </r>
  <r>
    <s v="NV1365"/>
    <d v="2025-01-03T00:00:00"/>
    <x v="39"/>
    <x v="3"/>
    <s v="P2"/>
    <x v="2"/>
    <n v="1"/>
    <n v="559.35"/>
    <x v="0"/>
    <n v="267.02"/>
    <s v="Returning"/>
    <s v="Digital"/>
    <n v="391.54500000000002"/>
    <n v="124.52500000000003"/>
    <s v="Friday"/>
    <x v="0"/>
  </r>
  <r>
    <s v="NV1366"/>
    <d v="2024-12-12T00:00:00"/>
    <x v="33"/>
    <x v="3"/>
    <s v="P226"/>
    <x v="1"/>
    <n v="1"/>
    <n v="1240.1600000000001"/>
    <x v="5"/>
    <n v="637.77"/>
    <s v="New"/>
    <s v="Cash"/>
    <n v="930.12000000000012"/>
    <n v="292.35000000000014"/>
    <s v="Thursday"/>
    <x v="0"/>
  </r>
  <r>
    <s v="NV1367"/>
    <d v="2024-01-12T00:00:00"/>
    <x v="32"/>
    <x v="3"/>
    <s v="P291"/>
    <x v="2"/>
    <n v="5"/>
    <n v="2289.9699999999998"/>
    <x v="5"/>
    <n v="1065.5899999999999"/>
    <s v="New"/>
    <s v="Digital"/>
    <n v="8587.3874999999989"/>
    <n v="3259.4374999999991"/>
    <s v="Friday"/>
    <x v="0"/>
  </r>
  <r>
    <s v="NV1368"/>
    <d v="2025-04-18T00:00:00"/>
    <x v="21"/>
    <x v="2"/>
    <s v="P247"/>
    <x v="0"/>
    <n v="3"/>
    <n v="2027.1"/>
    <x v="0"/>
    <n v="1127.57"/>
    <s v="Returning"/>
    <s v="Digital"/>
    <n v="4256.9099999999989"/>
    <n v="874.19999999999891"/>
    <s v="Friday"/>
    <x v="0"/>
  </r>
  <r>
    <s v="NV1369"/>
    <d v="2025-07-22T00:00:00"/>
    <x v="57"/>
    <x v="0"/>
    <s v="P148"/>
    <x v="1"/>
    <n v="5"/>
    <n v="672.19"/>
    <x v="5"/>
    <n v="463.98"/>
    <s v="New"/>
    <s v="Digital"/>
    <n v="2520.7125000000001"/>
    <n v="200.8125"/>
    <s v="Tuesday"/>
    <x v="0"/>
  </r>
  <r>
    <s v="NV1370"/>
    <d v="2024-12-01T00:00:00"/>
    <x v="17"/>
    <x v="1"/>
    <s v="P249"/>
    <x v="2"/>
    <n v="2"/>
    <n v="2442.0300000000002"/>
    <x v="3"/>
    <n v="1622.6"/>
    <s v="Returning"/>
    <s v="Cash"/>
    <n v="4395.6540000000005"/>
    <n v="1150.4540000000006"/>
    <s v="Sunday"/>
    <x v="1"/>
  </r>
  <r>
    <s v="NV1371"/>
    <d v="2025-01-08T00:00:00"/>
    <x v="52"/>
    <x v="3"/>
    <s v="P85"/>
    <x v="2"/>
    <n v="2"/>
    <n v="2089.06"/>
    <x v="3"/>
    <n v="1263.0999999999999"/>
    <s v="New"/>
    <s v="Digital"/>
    <n v="3760.308"/>
    <n v="1234.1080000000002"/>
    <s v="Wednesday"/>
    <x v="0"/>
  </r>
  <r>
    <s v="NV1372"/>
    <d v="2025-07-30T00:00:00"/>
    <x v="55"/>
    <x v="2"/>
    <s v="P82"/>
    <x v="0"/>
    <n v="1"/>
    <n v="1180.97"/>
    <x v="3"/>
    <n v="634.26"/>
    <s v="New"/>
    <s v="Digital"/>
    <n v="1062.873"/>
    <n v="428.61300000000006"/>
    <s v="Wednesday"/>
    <x v="0"/>
  </r>
  <r>
    <s v="NV1373"/>
    <d v="2024-09-04T00:00:00"/>
    <x v="33"/>
    <x v="0"/>
    <s v="P290"/>
    <x v="2"/>
    <n v="3"/>
    <n v="2112.1999999999998"/>
    <x v="5"/>
    <n v="1062.03"/>
    <s v="Returning"/>
    <s v="Cash"/>
    <n v="4752.45"/>
    <n v="1566.3599999999997"/>
    <s v="Wednesday"/>
    <x v="0"/>
  </r>
  <r>
    <s v="NV1374"/>
    <d v="2024-04-18T00:00:00"/>
    <x v="8"/>
    <x v="3"/>
    <s v="P272"/>
    <x v="1"/>
    <n v="5"/>
    <n v="2297.54"/>
    <x v="4"/>
    <n v="1364.81"/>
    <s v="Returning"/>
    <s v="Cash"/>
    <n v="9764.5450000000001"/>
    <n v="2940.4950000000008"/>
    <s v="Thursday"/>
    <x v="0"/>
  </r>
  <r>
    <s v="NV1375"/>
    <d v="2025-07-13T00:00:00"/>
    <x v="12"/>
    <x v="1"/>
    <s v="P34"/>
    <x v="1"/>
    <n v="4"/>
    <n v="1467.82"/>
    <x v="3"/>
    <n v="964.22"/>
    <s v="Returning"/>
    <s v="Cash"/>
    <n v="5284.152"/>
    <n v="1427.2719999999999"/>
    <s v="Sunday"/>
    <x v="1"/>
  </r>
  <r>
    <s v="NV1376"/>
    <d v="2025-08-15T00:00:00"/>
    <x v="37"/>
    <x v="3"/>
    <s v="P207"/>
    <x v="0"/>
    <n v="1"/>
    <n v="2378.5100000000002"/>
    <x v="5"/>
    <n v="1136.07"/>
    <s v="New"/>
    <s v="Card"/>
    <n v="1783.8825000000002"/>
    <n v="647.81250000000023"/>
    <s v="Friday"/>
    <x v="0"/>
  </r>
  <r>
    <s v="NV1377"/>
    <d v="2024-09-16T00:00:00"/>
    <x v="4"/>
    <x v="0"/>
    <s v="P10"/>
    <x v="2"/>
    <n v="4"/>
    <n v="2300.81"/>
    <x v="0"/>
    <n v="1264.74"/>
    <s v="New"/>
    <s v="Digital"/>
    <n v="6442.2679999999991"/>
    <n v="1383.3079999999991"/>
    <s v="Monday"/>
    <x v="0"/>
  </r>
  <r>
    <s v="NV1378"/>
    <d v="2025-06-14T00:00:00"/>
    <x v="7"/>
    <x v="0"/>
    <s v="P265"/>
    <x v="0"/>
    <n v="3"/>
    <n v="970.63"/>
    <x v="0"/>
    <n v="645.28"/>
    <s v="New"/>
    <s v="Cash"/>
    <n v="2038.3229999999999"/>
    <n v="102.48299999999995"/>
    <s v="Saturday"/>
    <x v="1"/>
  </r>
  <r>
    <s v="NV1379"/>
    <d v="2025-08-25T00:00:00"/>
    <x v="24"/>
    <x v="1"/>
    <s v="P266"/>
    <x v="1"/>
    <n v="2"/>
    <n v="1885.8"/>
    <x v="0"/>
    <n v="990.74"/>
    <s v="Returning"/>
    <s v="Cash"/>
    <n v="2640.12"/>
    <n v="658.63999999999987"/>
    <s v="Monday"/>
    <x v="0"/>
  </r>
  <r>
    <s v="NV1380"/>
    <d v="2024-03-06T00:00:00"/>
    <x v="11"/>
    <x v="3"/>
    <s v="P257"/>
    <x v="1"/>
    <n v="4"/>
    <n v="768.22"/>
    <x v="1"/>
    <n v="374.17"/>
    <s v="New"/>
    <s v="Cash"/>
    <n v="2458.3040000000001"/>
    <n v="961.62400000000002"/>
    <s v="Wednesday"/>
    <x v="0"/>
  </r>
  <r>
    <s v="NV1381"/>
    <d v="2025-06-22T00:00:00"/>
    <x v="41"/>
    <x v="1"/>
    <s v="P84"/>
    <x v="2"/>
    <n v="2"/>
    <n v="2614.9899999999998"/>
    <x v="5"/>
    <n v="1223.5899999999999"/>
    <s v="New"/>
    <s v="Card"/>
    <n v="3922.4849999999997"/>
    <n v="1475.3049999999998"/>
    <s v="Sunday"/>
    <x v="1"/>
  </r>
  <r>
    <s v="NV1382"/>
    <d v="2025-11-25T00:00:00"/>
    <x v="42"/>
    <x v="1"/>
    <s v="P229"/>
    <x v="0"/>
    <n v="2"/>
    <n v="716.34"/>
    <x v="3"/>
    <n v="359.33"/>
    <s v="New"/>
    <s v="Digital"/>
    <n v="1289.412"/>
    <n v="570.75200000000007"/>
    <s v="Tuesday"/>
    <x v="0"/>
  </r>
  <r>
    <s v="NV1383"/>
    <d v="2024-04-04T00:00:00"/>
    <x v="52"/>
    <x v="1"/>
    <s v="P67"/>
    <x v="1"/>
    <n v="5"/>
    <n v="583.41"/>
    <x v="0"/>
    <n v="274.47000000000003"/>
    <s v="New"/>
    <s v="Cash"/>
    <n v="2041.9349999999997"/>
    <n v="669.58499999999958"/>
    <s v="Thursday"/>
    <x v="0"/>
  </r>
  <r>
    <s v="NV1384"/>
    <d v="2024-04-12T00:00:00"/>
    <x v="48"/>
    <x v="0"/>
    <s v="P227"/>
    <x v="1"/>
    <n v="4"/>
    <n v="435.28"/>
    <x v="0"/>
    <n v="179.33"/>
    <s v="New"/>
    <s v="Digital"/>
    <n v="1218.7839999999999"/>
    <n v="501.46399999999983"/>
    <s v="Friday"/>
    <x v="0"/>
  </r>
  <r>
    <s v="NV1385"/>
    <d v="2024-01-11T00:00:00"/>
    <x v="49"/>
    <x v="2"/>
    <s v="P182"/>
    <x v="0"/>
    <n v="3"/>
    <n v="780.61"/>
    <x v="0"/>
    <n v="482.22"/>
    <s v="Returning"/>
    <s v="Digital"/>
    <n v="1639.2809999999999"/>
    <n v="192.62099999999987"/>
    <s v="Thursday"/>
    <x v="0"/>
  </r>
  <r>
    <s v="NV1386"/>
    <d v="2025-01-26T00:00:00"/>
    <x v="8"/>
    <x v="2"/>
    <s v="P290"/>
    <x v="1"/>
    <n v="4"/>
    <n v="1919.57"/>
    <x v="6"/>
    <n v="1017.06"/>
    <s v="New"/>
    <s v="Digital"/>
    <n v="7678.28"/>
    <n v="3610.04"/>
    <s v="Sunday"/>
    <x v="1"/>
  </r>
  <r>
    <s v="NV1387"/>
    <d v="2024-03-08T00:00:00"/>
    <x v="53"/>
    <x v="0"/>
    <s v="P196"/>
    <x v="0"/>
    <n v="5"/>
    <n v="2297.9899999999998"/>
    <x v="4"/>
    <n v="1426.91"/>
    <s v="Returning"/>
    <s v="Card"/>
    <n v="9766.4574999999986"/>
    <n v="2631.9074999999984"/>
    <s v="Friday"/>
    <x v="0"/>
  </r>
  <r>
    <s v="NV1388"/>
    <d v="2024-09-19T00:00:00"/>
    <x v="9"/>
    <x v="3"/>
    <s v="P103"/>
    <x v="0"/>
    <n v="1"/>
    <n v="2347.5100000000002"/>
    <x v="6"/>
    <n v="1327.92"/>
    <s v="Returning"/>
    <s v="Card"/>
    <n v="2347.5100000000002"/>
    <n v="1019.5900000000001"/>
    <s v="Thursday"/>
    <x v="0"/>
  </r>
  <r>
    <s v="NV1389"/>
    <d v="2025-06-18T00:00:00"/>
    <x v="43"/>
    <x v="1"/>
    <s v="P59"/>
    <x v="2"/>
    <n v="2"/>
    <n v="534.84"/>
    <x v="4"/>
    <n v="230.64"/>
    <s v="New"/>
    <s v="Digital"/>
    <n v="909.22800000000007"/>
    <n v="447.94800000000009"/>
    <s v="Wednesday"/>
    <x v="0"/>
  </r>
  <r>
    <s v="NV1390"/>
    <d v="2025-07-11T00:00:00"/>
    <x v="42"/>
    <x v="2"/>
    <s v="P169"/>
    <x v="2"/>
    <n v="4"/>
    <n v="1735"/>
    <x v="5"/>
    <n v="1169.6600000000001"/>
    <s v="Returning"/>
    <s v="Digital"/>
    <n v="5205"/>
    <n v="526.35999999999967"/>
    <s v="Friday"/>
    <x v="0"/>
  </r>
  <r>
    <s v="NV1391"/>
    <d v="2024-04-06T00:00:00"/>
    <x v="1"/>
    <x v="2"/>
    <s v="P251"/>
    <x v="1"/>
    <n v="1"/>
    <n v="906.02"/>
    <x v="0"/>
    <n v="535.19000000000005"/>
    <s v="Returning"/>
    <s v="Card"/>
    <n v="634.21399999999994"/>
    <n v="99.023999999999887"/>
    <s v="Saturday"/>
    <x v="1"/>
  </r>
  <r>
    <s v="NV1392"/>
    <d v="2025-06-04T00:00:00"/>
    <x v="35"/>
    <x v="2"/>
    <s v="P23"/>
    <x v="0"/>
    <n v="1"/>
    <n v="1084.47"/>
    <x v="3"/>
    <n v="436.24"/>
    <s v="New"/>
    <s v="Card"/>
    <n v="976.02300000000002"/>
    <n v="539.78300000000002"/>
    <s v="Wednesday"/>
    <x v="0"/>
  </r>
  <r>
    <s v="NV1393"/>
    <d v="2025-07-09T00:00:00"/>
    <x v="5"/>
    <x v="2"/>
    <s v="P205"/>
    <x v="2"/>
    <n v="3"/>
    <n v="1977.7"/>
    <x v="0"/>
    <n v="978.33"/>
    <s v="Returning"/>
    <s v="Cash"/>
    <n v="4153.17"/>
    <n v="1218.1799999999998"/>
    <s v="Wednesday"/>
    <x v="0"/>
  </r>
  <r>
    <s v="NV1394"/>
    <d v="2024-02-05T00:00:00"/>
    <x v="51"/>
    <x v="2"/>
    <s v="P155"/>
    <x v="2"/>
    <n v="1"/>
    <n v="662.84"/>
    <x v="5"/>
    <n v="423.14"/>
    <s v="New"/>
    <s v="Card"/>
    <n v="497.13"/>
    <n v="73.990000000000009"/>
    <s v="Monday"/>
    <x v="0"/>
  </r>
  <r>
    <s v="NV1395"/>
    <d v="2024-04-25T00:00:00"/>
    <x v="58"/>
    <x v="0"/>
    <s v="P166"/>
    <x v="0"/>
    <n v="1"/>
    <n v="1198.6400000000001"/>
    <x v="6"/>
    <n v="795.47"/>
    <s v="New"/>
    <s v="Card"/>
    <n v="1198.6400000000001"/>
    <n v="403.17000000000007"/>
    <s v="Thursday"/>
    <x v="0"/>
  </r>
  <r>
    <s v="NV1396"/>
    <d v="2024-10-21T00:00:00"/>
    <x v="43"/>
    <x v="2"/>
    <s v="P36"/>
    <x v="1"/>
    <n v="4"/>
    <n v="887.43"/>
    <x v="6"/>
    <n v="434.1"/>
    <s v="Returning"/>
    <s v="Card"/>
    <n v="3549.72"/>
    <n v="1813.3199999999997"/>
    <s v="Monday"/>
    <x v="0"/>
  </r>
  <r>
    <s v="NV1397"/>
    <d v="2024-09-11T00:00:00"/>
    <x v="51"/>
    <x v="2"/>
    <s v="P28"/>
    <x v="2"/>
    <n v="5"/>
    <n v="2782.27"/>
    <x v="3"/>
    <n v="1470.83"/>
    <s v="New"/>
    <s v="Cash"/>
    <n v="12520.215"/>
    <n v="5166.0650000000005"/>
    <s v="Wednesday"/>
    <x v="0"/>
  </r>
  <r>
    <s v="NV1398"/>
    <d v="2025-10-15T00:00:00"/>
    <x v="26"/>
    <x v="2"/>
    <s v="P275"/>
    <x v="2"/>
    <n v="5"/>
    <n v="437.13"/>
    <x v="3"/>
    <n v="284.56"/>
    <s v="Returning"/>
    <s v="Cash"/>
    <n v="1967.085"/>
    <n v="544.28500000000008"/>
    <s v="Wednesday"/>
    <x v="0"/>
  </r>
  <r>
    <s v="NV1399"/>
    <d v="2025-02-24T00:00:00"/>
    <x v="9"/>
    <x v="0"/>
    <s v="P123"/>
    <x v="1"/>
    <n v="2"/>
    <n v="1592.43"/>
    <x v="5"/>
    <n v="698.47"/>
    <s v="New"/>
    <s v="Cash"/>
    <n v="2388.645"/>
    <n v="991.70499999999993"/>
    <s v="Monday"/>
    <x v="0"/>
  </r>
  <r>
    <s v="NV1400"/>
    <d v="2025-07-22T00:00:00"/>
    <x v="37"/>
    <x v="3"/>
    <s v="P199"/>
    <x v="1"/>
    <n v="4"/>
    <n v="781.37"/>
    <x v="3"/>
    <n v="407.24"/>
    <s v="Returning"/>
    <s v="Digital"/>
    <n v="2812.9320000000002"/>
    <n v="1183.9720000000002"/>
    <s v="Tuesday"/>
    <x v="0"/>
  </r>
  <r>
    <s v="NV1401"/>
    <d v="2024-11-11T00:00:00"/>
    <x v="5"/>
    <x v="0"/>
    <s v="P177"/>
    <x v="1"/>
    <n v="3"/>
    <n v="2332.34"/>
    <x v="2"/>
    <n v="970.43"/>
    <s v="Returning"/>
    <s v="Digital"/>
    <n v="6647.1689999999999"/>
    <n v="3735.8789999999999"/>
    <s v="Monday"/>
    <x v="0"/>
  </r>
  <r>
    <s v="NV1402"/>
    <d v="2024-05-13T00:00:00"/>
    <x v="52"/>
    <x v="0"/>
    <s v="P61"/>
    <x v="1"/>
    <n v="2"/>
    <n v="2932.09"/>
    <x v="5"/>
    <n v="1670.74"/>
    <s v="Returning"/>
    <s v="Card"/>
    <n v="4398.1350000000002"/>
    <n v="1056.6550000000002"/>
    <s v="Monday"/>
    <x v="0"/>
  </r>
  <r>
    <s v="NV1403"/>
    <d v="2025-11-04T00:00:00"/>
    <x v="54"/>
    <x v="2"/>
    <s v="P210"/>
    <x v="1"/>
    <n v="5"/>
    <n v="1844.05"/>
    <x v="2"/>
    <n v="825.24"/>
    <s v="Returning"/>
    <s v="Card"/>
    <n v="8759.2374999999993"/>
    <n v="4633.0374999999995"/>
    <s v="Tuesday"/>
    <x v="0"/>
  </r>
  <r>
    <s v="NV1404"/>
    <d v="2024-08-18T00:00:00"/>
    <x v="4"/>
    <x v="3"/>
    <s v="P225"/>
    <x v="2"/>
    <n v="1"/>
    <n v="587.04999999999995"/>
    <x v="4"/>
    <n v="371.38"/>
    <s v="Returning"/>
    <s v="Digital"/>
    <n v="498.99249999999995"/>
    <n v="127.61249999999995"/>
    <s v="Sunday"/>
    <x v="1"/>
  </r>
  <r>
    <s v="NV1405"/>
    <d v="2025-02-05T00:00:00"/>
    <x v="1"/>
    <x v="1"/>
    <s v="P91"/>
    <x v="1"/>
    <n v="4"/>
    <n v="2065.52"/>
    <x v="5"/>
    <n v="915.05"/>
    <s v="New"/>
    <s v="Card"/>
    <n v="6196.5599999999995"/>
    <n v="2536.3599999999997"/>
    <s v="Wednesday"/>
    <x v="0"/>
  </r>
  <r>
    <s v="NV1406"/>
    <d v="2024-07-12T00:00:00"/>
    <x v="41"/>
    <x v="3"/>
    <s v="P5"/>
    <x v="1"/>
    <n v="1"/>
    <n v="2998.32"/>
    <x v="0"/>
    <n v="1631.19"/>
    <s v="New"/>
    <s v="Card"/>
    <n v="2098.8240000000001"/>
    <n v="467.63400000000001"/>
    <s v="Friday"/>
    <x v="0"/>
  </r>
  <r>
    <s v="NV1407"/>
    <d v="2024-11-04T00:00:00"/>
    <x v="50"/>
    <x v="0"/>
    <s v="P285"/>
    <x v="2"/>
    <n v="1"/>
    <n v="2427.9299999999998"/>
    <x v="4"/>
    <n v="1235.6099999999999"/>
    <s v="Returning"/>
    <s v="Digital"/>
    <n v="2063.7404999999999"/>
    <n v="828.13049999999998"/>
    <s v="Monday"/>
    <x v="0"/>
  </r>
  <r>
    <s v="NV1408"/>
    <d v="2024-10-02T00:00:00"/>
    <x v="52"/>
    <x v="2"/>
    <s v="P293"/>
    <x v="0"/>
    <n v="1"/>
    <n v="2529.8200000000002"/>
    <x v="6"/>
    <n v="1249.07"/>
    <s v="New"/>
    <s v="Digital"/>
    <n v="2529.8200000000002"/>
    <n v="1280.7500000000002"/>
    <s v="Wednesday"/>
    <x v="0"/>
  </r>
  <r>
    <s v="NV1409"/>
    <d v="2025-05-01T00:00:00"/>
    <x v="32"/>
    <x v="0"/>
    <s v="P217"/>
    <x v="1"/>
    <n v="5"/>
    <n v="1348.05"/>
    <x v="0"/>
    <n v="579.46"/>
    <s v="New"/>
    <s v="Digital"/>
    <n v="4718.1749999999993"/>
    <n v="1820.8749999999991"/>
    <s v="Thursday"/>
    <x v="0"/>
  </r>
  <r>
    <s v="NV1410"/>
    <d v="2024-05-17T00:00:00"/>
    <x v="6"/>
    <x v="2"/>
    <s v="P251"/>
    <x v="1"/>
    <n v="3"/>
    <n v="979.52"/>
    <x v="5"/>
    <n v="398.73"/>
    <s v="Returning"/>
    <s v="Card"/>
    <n v="2203.92"/>
    <n v="1007.73"/>
    <s v="Friday"/>
    <x v="0"/>
  </r>
  <r>
    <s v="NV1411"/>
    <d v="2025-07-22T00:00:00"/>
    <x v="11"/>
    <x v="2"/>
    <s v="P237"/>
    <x v="2"/>
    <n v="5"/>
    <n v="1152.4100000000001"/>
    <x v="1"/>
    <n v="667.54"/>
    <s v="Returning"/>
    <s v="Cash"/>
    <n v="4609.6400000000003"/>
    <n v="1271.9400000000005"/>
    <s v="Tuesday"/>
    <x v="0"/>
  </r>
  <r>
    <s v="NV1412"/>
    <d v="2024-06-19T00:00:00"/>
    <x v="30"/>
    <x v="2"/>
    <s v="P73"/>
    <x v="0"/>
    <n v="5"/>
    <n v="1488.53"/>
    <x v="4"/>
    <n v="749.6"/>
    <s v="New"/>
    <s v="Card"/>
    <n v="6326.2524999999996"/>
    <n v="2578.2524999999996"/>
    <s v="Wednesday"/>
    <x v="0"/>
  </r>
  <r>
    <s v="NV1413"/>
    <d v="2025-01-11T00:00:00"/>
    <x v="49"/>
    <x v="1"/>
    <s v="P289"/>
    <x v="1"/>
    <n v="5"/>
    <n v="454.28"/>
    <x v="2"/>
    <n v="213.91"/>
    <s v="New"/>
    <s v="Digital"/>
    <n v="2157.8299999999995"/>
    <n v="1088.2799999999995"/>
    <s v="Saturday"/>
    <x v="1"/>
  </r>
  <r>
    <s v="NV1414"/>
    <d v="2024-10-04T00:00:00"/>
    <x v="47"/>
    <x v="2"/>
    <s v="P244"/>
    <x v="1"/>
    <n v="3"/>
    <n v="2385.96"/>
    <x v="6"/>
    <n v="1569.33"/>
    <s v="Returning"/>
    <s v="Cash"/>
    <n v="7157.88"/>
    <n v="2449.8900000000003"/>
    <s v="Friday"/>
    <x v="0"/>
  </r>
  <r>
    <s v="NV1415"/>
    <d v="2024-12-16T00:00:00"/>
    <x v="27"/>
    <x v="0"/>
    <s v="P249"/>
    <x v="1"/>
    <n v="2"/>
    <n v="2113.71"/>
    <x v="1"/>
    <n v="1344.54"/>
    <s v="Returning"/>
    <s v="Cash"/>
    <n v="3381.9360000000001"/>
    <n v="692.85600000000022"/>
    <s v="Monday"/>
    <x v="0"/>
  </r>
  <r>
    <s v="NV1416"/>
    <d v="2025-03-08T00:00:00"/>
    <x v="6"/>
    <x v="2"/>
    <s v="P73"/>
    <x v="1"/>
    <n v="5"/>
    <n v="733.31"/>
    <x v="6"/>
    <n v="480.82"/>
    <s v="Returning"/>
    <s v="Cash"/>
    <n v="3666.5499999999997"/>
    <n v="1262.4499999999998"/>
    <s v="Saturday"/>
    <x v="1"/>
  </r>
  <r>
    <s v="NV1417"/>
    <d v="2025-01-14T00:00:00"/>
    <x v="51"/>
    <x v="0"/>
    <s v="P80"/>
    <x v="2"/>
    <n v="1"/>
    <n v="818.67"/>
    <x v="4"/>
    <n v="380.81"/>
    <s v="New"/>
    <s v="Cash"/>
    <n v="695.8694999999999"/>
    <n v="315.0594999999999"/>
    <s v="Tuesday"/>
    <x v="0"/>
  </r>
  <r>
    <s v="NV1418"/>
    <d v="2024-09-24T00:00:00"/>
    <x v="33"/>
    <x v="1"/>
    <s v="P275"/>
    <x v="2"/>
    <n v="1"/>
    <n v="2542.56"/>
    <x v="4"/>
    <n v="1078.8699999999999"/>
    <s v="Returning"/>
    <s v="Card"/>
    <n v="2161.1759999999999"/>
    <n v="1082.306"/>
    <s v="Tuesday"/>
    <x v="0"/>
  </r>
  <r>
    <s v="NV1419"/>
    <d v="2024-04-13T00:00:00"/>
    <x v="38"/>
    <x v="2"/>
    <s v="P257"/>
    <x v="1"/>
    <n v="3"/>
    <n v="2994.37"/>
    <x v="0"/>
    <n v="1216.97"/>
    <s v="New"/>
    <s v="Cash"/>
    <n v="6288.1769999999997"/>
    <n v="2637.2669999999998"/>
    <s v="Saturday"/>
    <x v="1"/>
  </r>
  <r>
    <s v="NV1420"/>
    <d v="2025-03-15T00:00:00"/>
    <x v="50"/>
    <x v="0"/>
    <s v="P280"/>
    <x v="1"/>
    <n v="3"/>
    <n v="1950.04"/>
    <x v="3"/>
    <n v="1348.45"/>
    <s v="New"/>
    <s v="Digital"/>
    <n v="5265.1080000000002"/>
    <n v="1219.7579999999998"/>
    <s v="Saturday"/>
    <x v="1"/>
  </r>
  <r>
    <s v="NV1421"/>
    <d v="2024-08-05T00:00:00"/>
    <x v="7"/>
    <x v="0"/>
    <s v="P196"/>
    <x v="2"/>
    <n v="3"/>
    <n v="2639.8"/>
    <x v="5"/>
    <n v="1133.46"/>
    <s v="New"/>
    <s v="Card"/>
    <n v="5939.55"/>
    <n v="2539.17"/>
    <s v="Monday"/>
    <x v="0"/>
  </r>
  <r>
    <s v="NV1422"/>
    <d v="2024-10-02T00:00:00"/>
    <x v="12"/>
    <x v="3"/>
    <s v="P212"/>
    <x v="0"/>
    <n v="5"/>
    <n v="304.8"/>
    <x v="1"/>
    <n v="170.84"/>
    <s v="Returning"/>
    <s v="Digital"/>
    <n v="1219.2"/>
    <n v="365"/>
    <s v="Wednesday"/>
    <x v="0"/>
  </r>
  <r>
    <s v="NV1423"/>
    <d v="2025-05-09T00:00:00"/>
    <x v="12"/>
    <x v="1"/>
    <s v="P259"/>
    <x v="0"/>
    <n v="4"/>
    <n v="406.96"/>
    <x v="4"/>
    <n v="217.29"/>
    <s v="Returning"/>
    <s v="Cash"/>
    <n v="1383.664"/>
    <n v="514.50400000000002"/>
    <s v="Friday"/>
    <x v="0"/>
  </r>
  <r>
    <s v="NV1424"/>
    <d v="2024-11-23T00:00:00"/>
    <x v="59"/>
    <x v="0"/>
    <s v="P284"/>
    <x v="0"/>
    <n v="3"/>
    <n v="1728.95"/>
    <x v="6"/>
    <n v="726.34"/>
    <s v="New"/>
    <s v="Card"/>
    <n v="5186.8500000000004"/>
    <n v="3007.8300000000004"/>
    <s v="Saturday"/>
    <x v="1"/>
  </r>
  <r>
    <s v="NV1425"/>
    <d v="2025-03-18T00:00:00"/>
    <x v="55"/>
    <x v="1"/>
    <s v="P237"/>
    <x v="1"/>
    <n v="4"/>
    <n v="779.56"/>
    <x v="5"/>
    <n v="321.52999999999997"/>
    <s v="Returning"/>
    <s v="Cash"/>
    <n v="2338.6799999999998"/>
    <n v="1052.56"/>
    <s v="Tuesday"/>
    <x v="0"/>
  </r>
  <r>
    <s v="NV1426"/>
    <d v="2024-09-13T00:00:00"/>
    <x v="15"/>
    <x v="0"/>
    <s v="P270"/>
    <x v="0"/>
    <n v="3"/>
    <n v="855.76"/>
    <x v="5"/>
    <n v="554.76"/>
    <s v="New"/>
    <s v="Digital"/>
    <n v="1925.4599999999998"/>
    <n v="261.17999999999984"/>
    <s v="Friday"/>
    <x v="0"/>
  </r>
  <r>
    <s v="NV1427"/>
    <d v="2024-08-30T00:00:00"/>
    <x v="56"/>
    <x v="3"/>
    <s v="P138"/>
    <x v="0"/>
    <n v="2"/>
    <n v="1825.17"/>
    <x v="4"/>
    <n v="1065.1400000000001"/>
    <s v="Returning"/>
    <s v="Cash"/>
    <n v="3102.7890000000002"/>
    <n v="972.50900000000001"/>
    <s v="Friday"/>
    <x v="0"/>
  </r>
  <r>
    <s v="NV1428"/>
    <d v="2025-04-17T00:00:00"/>
    <x v="47"/>
    <x v="0"/>
    <s v="P136"/>
    <x v="0"/>
    <n v="3"/>
    <n v="1684.02"/>
    <x v="5"/>
    <n v="812.45"/>
    <s v="New"/>
    <s v="Digital"/>
    <n v="3789.0449999999996"/>
    <n v="1351.6949999999993"/>
    <s v="Thursday"/>
    <x v="0"/>
  </r>
  <r>
    <s v="NV1429"/>
    <d v="2024-12-19T00:00:00"/>
    <x v="4"/>
    <x v="1"/>
    <s v="P273"/>
    <x v="2"/>
    <n v="1"/>
    <n v="2010.59"/>
    <x v="4"/>
    <n v="1388.21"/>
    <s v="New"/>
    <s v="Card"/>
    <n v="1709.0014999999999"/>
    <n v="320.79149999999981"/>
    <s v="Thursday"/>
    <x v="0"/>
  </r>
  <r>
    <s v="NV1430"/>
    <d v="2024-10-04T00:00:00"/>
    <x v="20"/>
    <x v="0"/>
    <s v="P71"/>
    <x v="1"/>
    <n v="5"/>
    <n v="1946.72"/>
    <x v="4"/>
    <n v="1002.78"/>
    <s v="Returning"/>
    <s v="Card"/>
    <n v="8273.56"/>
    <n v="3259.66"/>
    <s v="Friday"/>
    <x v="0"/>
  </r>
  <r>
    <s v="NV1431"/>
    <d v="2024-08-08T00:00:00"/>
    <x v="50"/>
    <x v="3"/>
    <s v="P123"/>
    <x v="0"/>
    <n v="3"/>
    <n v="2308.75"/>
    <x v="1"/>
    <n v="1375.08"/>
    <s v="New"/>
    <s v="Digital"/>
    <n v="5541"/>
    <n v="1415.7600000000002"/>
    <s v="Thursday"/>
    <x v="0"/>
  </r>
  <r>
    <s v="NV1432"/>
    <d v="2025-10-12T00:00:00"/>
    <x v="12"/>
    <x v="0"/>
    <s v="P130"/>
    <x v="2"/>
    <n v="1"/>
    <n v="1717.08"/>
    <x v="6"/>
    <n v="1000.05"/>
    <s v="New"/>
    <s v="Digital"/>
    <n v="1717.08"/>
    <n v="717.03"/>
    <s v="Sunday"/>
    <x v="1"/>
  </r>
  <r>
    <s v="NV1433"/>
    <d v="2024-04-06T00:00:00"/>
    <x v="20"/>
    <x v="3"/>
    <s v="P224"/>
    <x v="1"/>
    <n v="4"/>
    <n v="1894.68"/>
    <x v="0"/>
    <n v="852.3"/>
    <s v="New"/>
    <s v="Cash"/>
    <n v="5305.1040000000003"/>
    <n v="1895.9040000000005"/>
    <s v="Saturday"/>
    <x v="1"/>
  </r>
  <r>
    <s v="NV1434"/>
    <d v="2025-09-14T00:00:00"/>
    <x v="48"/>
    <x v="2"/>
    <s v="P191"/>
    <x v="2"/>
    <n v="1"/>
    <n v="2297.5100000000002"/>
    <x v="1"/>
    <n v="1120.69"/>
    <s v="Returning"/>
    <s v="Cash"/>
    <n v="1838.0080000000003"/>
    <n v="717.31800000000021"/>
    <s v="Sunday"/>
    <x v="1"/>
  </r>
  <r>
    <s v="NV1435"/>
    <d v="2025-03-30T00:00:00"/>
    <x v="29"/>
    <x v="3"/>
    <s v="P104"/>
    <x v="1"/>
    <n v="5"/>
    <n v="1599.85"/>
    <x v="0"/>
    <n v="686.39"/>
    <s v="Returning"/>
    <s v="Digital"/>
    <n v="5599.4749999999995"/>
    <n v="2167.5249999999996"/>
    <s v="Sunday"/>
    <x v="1"/>
  </r>
  <r>
    <s v="NV1436"/>
    <d v="2024-06-27T00:00:00"/>
    <x v="19"/>
    <x v="1"/>
    <s v="P142"/>
    <x v="0"/>
    <n v="2"/>
    <n v="731.15"/>
    <x v="4"/>
    <n v="398.16"/>
    <s v="Returning"/>
    <s v="Card"/>
    <n v="1242.9549999999999"/>
    <n v="446.63499999999988"/>
    <s v="Thursday"/>
    <x v="0"/>
  </r>
  <r>
    <s v="NV1437"/>
    <d v="2024-02-19T00:00:00"/>
    <x v="48"/>
    <x v="3"/>
    <s v="P100"/>
    <x v="0"/>
    <n v="5"/>
    <n v="1579.22"/>
    <x v="4"/>
    <n v="997.62"/>
    <s v="New"/>
    <s v="Cash"/>
    <n v="6711.6850000000004"/>
    <n v="1723.585"/>
    <s v="Monday"/>
    <x v="0"/>
  </r>
  <r>
    <s v="NV1438"/>
    <d v="2024-02-10T00:00:00"/>
    <x v="1"/>
    <x v="2"/>
    <s v="P99"/>
    <x v="2"/>
    <n v="1"/>
    <n v="2095.1999999999998"/>
    <x v="1"/>
    <n v="936.56"/>
    <s v="Returning"/>
    <s v="Cash"/>
    <n v="1676.1599999999999"/>
    <n v="739.59999999999991"/>
    <s v="Saturday"/>
    <x v="1"/>
  </r>
  <r>
    <s v="NV1439"/>
    <d v="2024-09-12T00:00:00"/>
    <x v="53"/>
    <x v="2"/>
    <s v="P207"/>
    <x v="1"/>
    <n v="2"/>
    <n v="2872.06"/>
    <x v="3"/>
    <n v="1716.8"/>
    <s v="New"/>
    <s v="Card"/>
    <n v="5169.7079999999996"/>
    <n v="1736.1079999999997"/>
    <s v="Thursday"/>
    <x v="0"/>
  </r>
  <r>
    <s v="NV1440"/>
    <d v="2025-07-27T00:00:00"/>
    <x v="52"/>
    <x v="3"/>
    <s v="P152"/>
    <x v="0"/>
    <n v="4"/>
    <n v="2614.85"/>
    <x v="2"/>
    <n v="1674.18"/>
    <s v="Returning"/>
    <s v="Digital"/>
    <n v="9936.4299999999985"/>
    <n v="3239.7099999999982"/>
    <s v="Sunday"/>
    <x v="1"/>
  </r>
  <r>
    <s v="NV1441"/>
    <d v="2025-05-09T00:00:00"/>
    <x v="31"/>
    <x v="0"/>
    <s v="P240"/>
    <x v="0"/>
    <n v="5"/>
    <n v="477"/>
    <x v="2"/>
    <n v="310.94"/>
    <s v="New"/>
    <s v="Digital"/>
    <n v="2265.75"/>
    <n v="711.05"/>
    <s v="Friday"/>
    <x v="0"/>
  </r>
  <r>
    <s v="NV1442"/>
    <d v="2025-08-01T00:00:00"/>
    <x v="59"/>
    <x v="0"/>
    <s v="P273"/>
    <x v="1"/>
    <n v="1"/>
    <n v="2814.31"/>
    <x v="3"/>
    <n v="1862.64"/>
    <s v="New"/>
    <s v="Digital"/>
    <n v="2532.8789999999999"/>
    <n v="670.23899999999981"/>
    <s v="Friday"/>
    <x v="0"/>
  </r>
  <r>
    <s v="NV1443"/>
    <d v="2025-09-21T00:00:00"/>
    <x v="35"/>
    <x v="0"/>
    <s v="P14"/>
    <x v="0"/>
    <n v="4"/>
    <n v="1586.43"/>
    <x v="3"/>
    <n v="694.23"/>
    <s v="New"/>
    <s v="Digital"/>
    <n v="5711.1480000000001"/>
    <n v="2934.2280000000001"/>
    <s v="Sunday"/>
    <x v="1"/>
  </r>
  <r>
    <s v="NV1444"/>
    <d v="2025-10-08T00:00:00"/>
    <x v="28"/>
    <x v="2"/>
    <s v="P83"/>
    <x v="2"/>
    <n v="5"/>
    <n v="2611.29"/>
    <x v="4"/>
    <n v="1686.2"/>
    <s v="New"/>
    <s v="Cash"/>
    <n v="11097.9825"/>
    <n v="2666.9825000000001"/>
    <s v="Wednesday"/>
    <x v="0"/>
  </r>
  <r>
    <s v="NV1445"/>
    <d v="2025-11-17T00:00:00"/>
    <x v="47"/>
    <x v="1"/>
    <s v="P272"/>
    <x v="2"/>
    <n v="1"/>
    <n v="1440.46"/>
    <x v="0"/>
    <n v="973.76"/>
    <s v="Returning"/>
    <s v="Digital"/>
    <n v="1008.322"/>
    <n v="34.562000000000012"/>
    <s v="Monday"/>
    <x v="0"/>
  </r>
  <r>
    <s v="NV1446"/>
    <d v="2024-08-15T00:00:00"/>
    <x v="10"/>
    <x v="3"/>
    <s v="P9"/>
    <x v="2"/>
    <n v="4"/>
    <n v="744.79"/>
    <x v="3"/>
    <n v="509.37"/>
    <s v="New"/>
    <s v="Card"/>
    <n v="2681.2440000000001"/>
    <n v="643.76400000000012"/>
    <s v="Thursday"/>
    <x v="0"/>
  </r>
  <r>
    <s v="NV1447"/>
    <d v="2025-01-06T00:00:00"/>
    <x v="17"/>
    <x v="2"/>
    <s v="P52"/>
    <x v="1"/>
    <n v="4"/>
    <n v="1427.28"/>
    <x v="1"/>
    <n v="669.67"/>
    <s v="Returning"/>
    <s v="Cash"/>
    <n v="4567.2960000000003"/>
    <n v="1888.6160000000004"/>
    <s v="Monday"/>
    <x v="0"/>
  </r>
  <r>
    <s v="NV1448"/>
    <d v="2025-09-30T00:00:00"/>
    <x v="17"/>
    <x v="3"/>
    <s v="P257"/>
    <x v="0"/>
    <n v="2"/>
    <n v="1329.73"/>
    <x v="5"/>
    <n v="891.48"/>
    <s v="New"/>
    <s v="Card"/>
    <n v="1994.595"/>
    <n v="211.63499999999999"/>
    <s v="Tuesday"/>
    <x v="0"/>
  </r>
  <r>
    <s v="NV1449"/>
    <d v="2025-05-23T00:00:00"/>
    <x v="3"/>
    <x v="0"/>
    <s v="P130"/>
    <x v="1"/>
    <n v="5"/>
    <n v="1476.04"/>
    <x v="6"/>
    <n v="767.77"/>
    <s v="Returning"/>
    <s v="Digital"/>
    <n v="7380.2"/>
    <n v="3541.35"/>
    <s v="Friday"/>
    <x v="0"/>
  </r>
  <r>
    <s v="NV1450"/>
    <d v="2024-04-21T00:00:00"/>
    <x v="36"/>
    <x v="2"/>
    <s v="P165"/>
    <x v="0"/>
    <n v="2"/>
    <n v="1073.92"/>
    <x v="2"/>
    <n v="745.41"/>
    <s v="New"/>
    <s v="Cash"/>
    <n v="2040.4480000000001"/>
    <n v="549.62800000000016"/>
    <s v="Sunday"/>
    <x v="1"/>
  </r>
  <r>
    <s v="NV1451"/>
    <d v="2024-01-29T00:00:00"/>
    <x v="7"/>
    <x v="1"/>
    <s v="P220"/>
    <x v="0"/>
    <n v="4"/>
    <n v="1881.31"/>
    <x v="2"/>
    <n v="811.13"/>
    <s v="Returning"/>
    <s v="Digital"/>
    <n v="7148.9779999999992"/>
    <n v="3904.4579999999992"/>
    <s v="Monday"/>
    <x v="0"/>
  </r>
  <r>
    <s v="NV1452"/>
    <d v="2025-04-23T00:00:00"/>
    <x v="48"/>
    <x v="3"/>
    <s v="P139"/>
    <x v="1"/>
    <n v="5"/>
    <n v="2767.69"/>
    <x v="1"/>
    <n v="1380.14"/>
    <s v="New"/>
    <s v="Card"/>
    <n v="11070.760000000002"/>
    <n v="4170.0600000000013"/>
    <s v="Wednesday"/>
    <x v="0"/>
  </r>
  <r>
    <s v="NV1453"/>
    <d v="2025-09-13T00:00:00"/>
    <x v="22"/>
    <x v="3"/>
    <s v="P222"/>
    <x v="1"/>
    <n v="2"/>
    <n v="500.56"/>
    <x v="5"/>
    <n v="264.52999999999997"/>
    <s v="New"/>
    <s v="Digital"/>
    <n v="750.84"/>
    <n v="221.78000000000009"/>
    <s v="Saturday"/>
    <x v="1"/>
  </r>
  <r>
    <s v="NV1454"/>
    <d v="2024-01-05T00:00:00"/>
    <x v="40"/>
    <x v="0"/>
    <s v="P72"/>
    <x v="2"/>
    <n v="3"/>
    <n v="1534.59"/>
    <x v="2"/>
    <n v="993.82"/>
    <s v="New"/>
    <s v="Card"/>
    <n v="4373.5814999999993"/>
    <n v="1392.1214999999993"/>
    <s v="Friday"/>
    <x v="0"/>
  </r>
  <r>
    <s v="NV1455"/>
    <d v="2025-07-13T00:00:00"/>
    <x v="45"/>
    <x v="1"/>
    <s v="P61"/>
    <x v="0"/>
    <n v="2"/>
    <n v="2642.54"/>
    <x v="2"/>
    <n v="1810.07"/>
    <s v="Returning"/>
    <s v="Digital"/>
    <n v="5020.826"/>
    <n v="1400.6860000000001"/>
    <s v="Sunday"/>
    <x v="1"/>
  </r>
  <r>
    <s v="NV1456"/>
    <d v="2024-02-08T00:00:00"/>
    <x v="43"/>
    <x v="1"/>
    <s v="P37"/>
    <x v="1"/>
    <n v="1"/>
    <n v="958.66"/>
    <x v="5"/>
    <n v="559.89"/>
    <s v="New"/>
    <s v="Digital"/>
    <n v="718.995"/>
    <n v="159.10500000000002"/>
    <s v="Thursday"/>
    <x v="0"/>
  </r>
  <r>
    <s v="NV1457"/>
    <d v="2024-10-25T00:00:00"/>
    <x v="48"/>
    <x v="3"/>
    <s v="P252"/>
    <x v="1"/>
    <n v="1"/>
    <n v="2740.36"/>
    <x v="6"/>
    <n v="1500.71"/>
    <s v="New"/>
    <s v="Card"/>
    <n v="2740.36"/>
    <n v="1239.6500000000001"/>
    <s v="Friday"/>
    <x v="0"/>
  </r>
  <r>
    <s v="NV1458"/>
    <d v="2025-03-03T00:00:00"/>
    <x v="9"/>
    <x v="3"/>
    <s v="P290"/>
    <x v="1"/>
    <n v="1"/>
    <n v="2880.49"/>
    <x v="3"/>
    <n v="1489.41"/>
    <s v="New"/>
    <s v="Digital"/>
    <n v="2592.4409999999998"/>
    <n v="1103.0309999999997"/>
    <s v="Monday"/>
    <x v="0"/>
  </r>
  <r>
    <s v="NV1459"/>
    <d v="2024-06-06T00:00:00"/>
    <x v="47"/>
    <x v="2"/>
    <s v="P80"/>
    <x v="0"/>
    <n v="4"/>
    <n v="2655.9"/>
    <x v="1"/>
    <n v="1164.93"/>
    <s v="New"/>
    <s v="Cash"/>
    <n v="8498.880000000001"/>
    <n v="3839.1600000000008"/>
    <s v="Thursday"/>
    <x v="0"/>
  </r>
  <r>
    <s v="NV1460"/>
    <d v="2025-09-29T00:00:00"/>
    <x v="23"/>
    <x v="3"/>
    <s v="P71"/>
    <x v="1"/>
    <n v="1"/>
    <n v="2590.71"/>
    <x v="3"/>
    <n v="1745.49"/>
    <s v="New"/>
    <s v="Card"/>
    <n v="2331.6390000000001"/>
    <n v="586.14900000000011"/>
    <s v="Monday"/>
    <x v="0"/>
  </r>
  <r>
    <s v="NV1461"/>
    <d v="2025-03-22T00:00:00"/>
    <x v="14"/>
    <x v="3"/>
    <s v="P188"/>
    <x v="0"/>
    <n v="4"/>
    <n v="1824.21"/>
    <x v="1"/>
    <n v="774.85"/>
    <s v="New"/>
    <s v="Card"/>
    <n v="5837.4720000000007"/>
    <n v="2738.0720000000006"/>
    <s v="Saturday"/>
    <x v="1"/>
  </r>
  <r>
    <s v="NV1462"/>
    <d v="2025-08-31T00:00:00"/>
    <x v="6"/>
    <x v="2"/>
    <s v="P207"/>
    <x v="1"/>
    <n v="5"/>
    <n v="2527.9899999999998"/>
    <x v="2"/>
    <n v="1265.75"/>
    <s v="Returning"/>
    <s v="Card"/>
    <n v="12007.952499999998"/>
    <n v="5679.2024999999976"/>
    <s v="Sunday"/>
    <x v="1"/>
  </r>
  <r>
    <s v="NV1463"/>
    <d v="2024-05-24T00:00:00"/>
    <x v="46"/>
    <x v="2"/>
    <s v="P166"/>
    <x v="0"/>
    <n v="5"/>
    <n v="2796.55"/>
    <x v="4"/>
    <n v="1475.04"/>
    <s v="New"/>
    <s v="Digital"/>
    <n v="11885.3375"/>
    <n v="4510.1374999999998"/>
    <s v="Friday"/>
    <x v="0"/>
  </r>
  <r>
    <s v="NV1464"/>
    <d v="2024-12-06T00:00:00"/>
    <x v="21"/>
    <x v="2"/>
    <s v="P83"/>
    <x v="0"/>
    <n v="4"/>
    <n v="312.45"/>
    <x v="5"/>
    <n v="203.25"/>
    <s v="Returning"/>
    <s v="Cash"/>
    <n v="937.34999999999991"/>
    <n v="124.34999999999991"/>
    <s v="Friday"/>
    <x v="0"/>
  </r>
  <r>
    <s v="NV1465"/>
    <d v="2024-01-27T00:00:00"/>
    <x v="17"/>
    <x v="1"/>
    <s v="P32"/>
    <x v="0"/>
    <n v="3"/>
    <n v="2889.39"/>
    <x v="0"/>
    <n v="1507.61"/>
    <s v="Returning"/>
    <s v="Card"/>
    <n v="6067.7190000000001"/>
    <n v="1544.8890000000001"/>
    <s v="Saturday"/>
    <x v="1"/>
  </r>
  <r>
    <s v="NV1466"/>
    <d v="2025-08-13T00:00:00"/>
    <x v="39"/>
    <x v="1"/>
    <s v="P224"/>
    <x v="2"/>
    <n v="3"/>
    <n v="937.14"/>
    <x v="1"/>
    <n v="580.30999999999995"/>
    <s v="Returning"/>
    <s v="Card"/>
    <n v="2249.136"/>
    <n v="508.20600000000013"/>
    <s v="Wednesday"/>
    <x v="0"/>
  </r>
  <r>
    <s v="NV1467"/>
    <d v="2024-03-17T00:00:00"/>
    <x v="42"/>
    <x v="1"/>
    <s v="P111"/>
    <x v="0"/>
    <n v="3"/>
    <n v="1211.07"/>
    <x v="5"/>
    <n v="810.39"/>
    <s v="New"/>
    <s v="Cash"/>
    <n v="2724.9075000000003"/>
    <n v="293.73750000000018"/>
    <s v="Sunday"/>
    <x v="1"/>
  </r>
  <r>
    <s v="NV1468"/>
    <d v="2024-05-04T00:00:00"/>
    <x v="26"/>
    <x v="0"/>
    <s v="P250"/>
    <x v="0"/>
    <n v="5"/>
    <n v="2462.46"/>
    <x v="6"/>
    <n v="1052.52"/>
    <s v="New"/>
    <s v="Cash"/>
    <n v="12312.3"/>
    <n v="7049.6999999999989"/>
    <s v="Saturday"/>
    <x v="1"/>
  </r>
  <r>
    <s v="NV1469"/>
    <d v="2024-10-29T00:00:00"/>
    <x v="55"/>
    <x v="1"/>
    <s v="P76"/>
    <x v="1"/>
    <n v="2"/>
    <n v="364.39"/>
    <x v="4"/>
    <n v="247.85"/>
    <s v="Returning"/>
    <s v="Cash"/>
    <n v="619.46299999999997"/>
    <n v="123.76299999999998"/>
    <s v="Tuesday"/>
    <x v="0"/>
  </r>
  <r>
    <s v="NV1470"/>
    <d v="2024-10-10T00:00:00"/>
    <x v="16"/>
    <x v="3"/>
    <s v="P37"/>
    <x v="1"/>
    <n v="2"/>
    <n v="1191.28"/>
    <x v="3"/>
    <n v="666.14"/>
    <s v="New"/>
    <s v="Cash"/>
    <n v="2144.3040000000001"/>
    <n v="812.02400000000011"/>
    <s v="Thursday"/>
    <x v="0"/>
  </r>
  <r>
    <s v="NV1471"/>
    <d v="2024-12-13T00:00:00"/>
    <x v="47"/>
    <x v="2"/>
    <s v="P143"/>
    <x v="2"/>
    <n v="2"/>
    <n v="1275.73"/>
    <x v="2"/>
    <n v="877.29"/>
    <s v="Returning"/>
    <s v="Cash"/>
    <n v="2423.8869999999997"/>
    <n v="669.30699999999979"/>
    <s v="Friday"/>
    <x v="0"/>
  </r>
  <r>
    <s v="NV1472"/>
    <d v="2024-01-05T00:00:00"/>
    <x v="25"/>
    <x v="3"/>
    <s v="P84"/>
    <x v="1"/>
    <n v="4"/>
    <n v="1641.07"/>
    <x v="3"/>
    <n v="1131.06"/>
    <s v="Returning"/>
    <s v="Digital"/>
    <n v="5907.8519999999999"/>
    <n v="1383.6120000000001"/>
    <s v="Friday"/>
    <x v="0"/>
  </r>
  <r>
    <s v="NV1473"/>
    <d v="2025-10-28T00:00:00"/>
    <x v="57"/>
    <x v="0"/>
    <s v="P130"/>
    <x v="2"/>
    <n v="3"/>
    <n v="1840.87"/>
    <x v="3"/>
    <n v="1042.17"/>
    <s v="New"/>
    <s v="Cash"/>
    <n v="4970.3490000000002"/>
    <n v="1843.8389999999999"/>
    <s v="Tuesday"/>
    <x v="0"/>
  </r>
  <r>
    <s v="NV1474"/>
    <d v="2025-07-10T00:00:00"/>
    <x v="35"/>
    <x v="0"/>
    <s v="P62"/>
    <x v="1"/>
    <n v="3"/>
    <n v="2696.74"/>
    <x v="0"/>
    <n v="1377.25"/>
    <s v="Returning"/>
    <s v="Cash"/>
    <n v="5663.1539999999995"/>
    <n v="1531.4039999999995"/>
    <s v="Thursday"/>
    <x v="0"/>
  </r>
  <r>
    <s v="NV1475"/>
    <d v="2025-02-10T00:00:00"/>
    <x v="26"/>
    <x v="3"/>
    <s v="P111"/>
    <x v="0"/>
    <n v="1"/>
    <n v="683.52"/>
    <x v="3"/>
    <n v="362.72"/>
    <s v="New"/>
    <s v="Cash"/>
    <n v="615.16800000000001"/>
    <n v="252.44799999999998"/>
    <s v="Monday"/>
    <x v="0"/>
  </r>
  <r>
    <s v="NV1476"/>
    <d v="2024-04-05T00:00:00"/>
    <x v="35"/>
    <x v="3"/>
    <s v="P235"/>
    <x v="0"/>
    <n v="3"/>
    <n v="2972.02"/>
    <x v="5"/>
    <n v="1760.72"/>
    <s v="Returning"/>
    <s v="Digital"/>
    <n v="6687.0450000000001"/>
    <n v="1404.8850000000002"/>
    <s v="Friday"/>
    <x v="0"/>
  </r>
  <r>
    <s v="NV1477"/>
    <d v="2025-07-15T00:00:00"/>
    <x v="42"/>
    <x v="0"/>
    <s v="P111"/>
    <x v="2"/>
    <n v="2"/>
    <n v="2980.6"/>
    <x v="0"/>
    <n v="1891.23"/>
    <s v="New"/>
    <s v="Card"/>
    <n v="4172.8399999999992"/>
    <n v="390.3799999999992"/>
    <s v="Tuesday"/>
    <x v="0"/>
  </r>
  <r>
    <s v="NV1478"/>
    <d v="2025-03-23T00:00:00"/>
    <x v="40"/>
    <x v="1"/>
    <s v="P24"/>
    <x v="2"/>
    <n v="1"/>
    <n v="1191.81"/>
    <x v="1"/>
    <n v="727.59"/>
    <s v="Returning"/>
    <s v="Card"/>
    <n v="953.44799999999998"/>
    <n v="225.85799999999995"/>
    <s v="Sunday"/>
    <x v="1"/>
  </r>
  <r>
    <s v="NV1479"/>
    <d v="2024-07-05T00:00:00"/>
    <x v="7"/>
    <x v="1"/>
    <s v="P183"/>
    <x v="1"/>
    <n v="3"/>
    <n v="2759.9"/>
    <x v="1"/>
    <n v="1709.54"/>
    <s v="New"/>
    <s v="Card"/>
    <n v="6623.7600000000011"/>
    <n v="1495.1400000000012"/>
    <s v="Friday"/>
    <x v="0"/>
  </r>
  <r>
    <s v="NV1480"/>
    <d v="2024-09-21T00:00:00"/>
    <x v="10"/>
    <x v="3"/>
    <s v="P37"/>
    <x v="0"/>
    <n v="1"/>
    <n v="1845.32"/>
    <x v="4"/>
    <n v="1088.6300000000001"/>
    <s v="Returning"/>
    <s v="Cash"/>
    <n v="1568.5219999999999"/>
    <n v="479.89199999999983"/>
    <s v="Saturday"/>
    <x v="1"/>
  </r>
  <r>
    <s v="NV1481"/>
    <d v="2024-06-13T00:00:00"/>
    <x v="48"/>
    <x v="3"/>
    <s v="P183"/>
    <x v="0"/>
    <n v="3"/>
    <n v="755.33"/>
    <x v="0"/>
    <n v="345.01"/>
    <s v="Returning"/>
    <s v="Cash"/>
    <n v="1586.193"/>
    <n v="551.16300000000001"/>
    <s v="Thursday"/>
    <x v="0"/>
  </r>
  <r>
    <s v="NV1482"/>
    <d v="2025-03-24T00:00:00"/>
    <x v="24"/>
    <x v="3"/>
    <s v="P65"/>
    <x v="1"/>
    <n v="5"/>
    <n v="2887.53"/>
    <x v="5"/>
    <n v="1908.67"/>
    <s v="Returning"/>
    <s v="Cash"/>
    <n v="10828.237500000001"/>
    <n v="1284.8875000000007"/>
    <s v="Monday"/>
    <x v="0"/>
  </r>
  <r>
    <s v="NV1483"/>
    <d v="2024-01-27T00:00:00"/>
    <x v="31"/>
    <x v="0"/>
    <s v="P103"/>
    <x v="1"/>
    <n v="5"/>
    <n v="1301.98"/>
    <x v="0"/>
    <n v="877.39"/>
    <s v="Returning"/>
    <s v="Cash"/>
    <n v="4556.9299999999994"/>
    <n v="169.97999999999956"/>
    <s v="Saturday"/>
    <x v="1"/>
  </r>
  <r>
    <s v="NV1484"/>
    <d v="2024-02-17T00:00:00"/>
    <x v="20"/>
    <x v="2"/>
    <s v="P4"/>
    <x v="2"/>
    <n v="5"/>
    <n v="1196.6300000000001"/>
    <x v="2"/>
    <n v="783.17"/>
    <s v="New"/>
    <s v="Digital"/>
    <n v="5683.9925000000003"/>
    <n v="1768.1425000000004"/>
    <s v="Saturday"/>
    <x v="1"/>
  </r>
  <r>
    <s v="NV1485"/>
    <d v="2025-04-22T00:00:00"/>
    <x v="18"/>
    <x v="0"/>
    <s v="P208"/>
    <x v="2"/>
    <n v="4"/>
    <n v="1987.17"/>
    <x v="5"/>
    <n v="1125.67"/>
    <s v="Returning"/>
    <s v="Card"/>
    <n v="5961.51"/>
    <n v="1458.83"/>
    <s v="Tuesday"/>
    <x v="0"/>
  </r>
  <r>
    <s v="NV1486"/>
    <d v="2024-09-04T00:00:00"/>
    <x v="48"/>
    <x v="2"/>
    <s v="P84"/>
    <x v="2"/>
    <n v="3"/>
    <n v="1320.37"/>
    <x v="0"/>
    <n v="587.46"/>
    <s v="New"/>
    <s v="Cash"/>
    <n v="2772.7769999999996"/>
    <n v="1010.3969999999995"/>
    <s v="Wednesday"/>
    <x v="0"/>
  </r>
  <r>
    <s v="NV1487"/>
    <d v="2025-09-10T00:00:00"/>
    <x v="42"/>
    <x v="0"/>
    <s v="P296"/>
    <x v="1"/>
    <n v="1"/>
    <n v="2396.09"/>
    <x v="5"/>
    <n v="1655.51"/>
    <s v="Returning"/>
    <s v="Cash"/>
    <n v="1797.0675000000001"/>
    <n v="141.55750000000012"/>
    <s v="Wednesday"/>
    <x v="0"/>
  </r>
  <r>
    <s v="NV1488"/>
    <d v="2024-12-15T00:00:00"/>
    <x v="5"/>
    <x v="1"/>
    <s v="P63"/>
    <x v="2"/>
    <n v="4"/>
    <n v="713.91"/>
    <x v="6"/>
    <n v="381.57"/>
    <s v="Returning"/>
    <s v="Cash"/>
    <n v="2855.64"/>
    <n v="1329.36"/>
    <s v="Sunday"/>
    <x v="1"/>
  </r>
  <r>
    <s v="NV1489"/>
    <d v="2025-08-13T00:00:00"/>
    <x v="37"/>
    <x v="3"/>
    <s v="P142"/>
    <x v="1"/>
    <n v="5"/>
    <n v="1704.53"/>
    <x v="3"/>
    <n v="1012.26"/>
    <s v="Returning"/>
    <s v="Cash"/>
    <n v="7670.3850000000002"/>
    <n v="2609.085"/>
    <s v="Wednesday"/>
    <x v="0"/>
  </r>
  <r>
    <s v="NV1490"/>
    <d v="2025-02-22T00:00:00"/>
    <x v="55"/>
    <x v="3"/>
    <s v="P136"/>
    <x v="2"/>
    <n v="2"/>
    <n v="2254.6"/>
    <x v="2"/>
    <n v="903.52"/>
    <s v="Returning"/>
    <s v="Digital"/>
    <n v="4283.74"/>
    <n v="2476.6999999999998"/>
    <s v="Saturday"/>
    <x v="1"/>
  </r>
  <r>
    <s v="NV1491"/>
    <d v="2024-04-19T00:00:00"/>
    <x v="12"/>
    <x v="3"/>
    <s v="P161"/>
    <x v="0"/>
    <n v="2"/>
    <n v="1415.28"/>
    <x v="0"/>
    <n v="977.52"/>
    <s v="Returning"/>
    <s v="Cash"/>
    <n v="1981.3919999999998"/>
    <n v="26.351999999999862"/>
    <s v="Friday"/>
    <x v="0"/>
  </r>
  <r>
    <s v="NV1492"/>
    <d v="2024-07-25T00:00:00"/>
    <x v="55"/>
    <x v="0"/>
    <s v="P113"/>
    <x v="1"/>
    <n v="1"/>
    <n v="1031.78"/>
    <x v="1"/>
    <n v="627.1"/>
    <s v="Returning"/>
    <s v="Cash"/>
    <n v="825.42399999999998"/>
    <n v="198.32399999999996"/>
    <s v="Thursday"/>
    <x v="0"/>
  </r>
  <r>
    <s v="NV1493"/>
    <d v="2024-09-16T00:00:00"/>
    <x v="15"/>
    <x v="1"/>
    <s v="P71"/>
    <x v="2"/>
    <n v="1"/>
    <n v="2839.94"/>
    <x v="5"/>
    <n v="1666.89"/>
    <s v="New"/>
    <s v="Card"/>
    <n v="2129.9549999999999"/>
    <n v="463.06499999999983"/>
    <s v="Monday"/>
    <x v="0"/>
  </r>
  <r>
    <s v="NV1494"/>
    <d v="2024-02-25T00:00:00"/>
    <x v="20"/>
    <x v="3"/>
    <s v="P197"/>
    <x v="0"/>
    <n v="1"/>
    <n v="2240.52"/>
    <x v="5"/>
    <n v="1356.99"/>
    <s v="Returning"/>
    <s v="Digital"/>
    <n v="1680.3899999999999"/>
    <n v="323.39999999999986"/>
    <s v="Sunday"/>
    <x v="1"/>
  </r>
  <r>
    <s v="NV1495"/>
    <d v="2025-05-18T00:00:00"/>
    <x v="9"/>
    <x v="0"/>
    <s v="P119"/>
    <x v="1"/>
    <n v="5"/>
    <n v="1855.14"/>
    <x v="0"/>
    <n v="1230.96"/>
    <s v="New"/>
    <s v="Card"/>
    <n v="6492.99"/>
    <n v="338.1899999999996"/>
    <s v="Sunday"/>
    <x v="1"/>
  </r>
  <r>
    <s v="NV1496"/>
    <d v="2025-09-04T00:00:00"/>
    <x v="34"/>
    <x v="1"/>
    <s v="P46"/>
    <x v="2"/>
    <n v="4"/>
    <n v="749.71"/>
    <x v="3"/>
    <n v="475.28"/>
    <s v="Returning"/>
    <s v="Digital"/>
    <n v="2698.9560000000001"/>
    <n v="797.83600000000024"/>
    <s v="Thursday"/>
    <x v="0"/>
  </r>
  <r>
    <s v="NV1497"/>
    <d v="2024-06-01T00:00:00"/>
    <x v="23"/>
    <x v="0"/>
    <s v="P138"/>
    <x v="1"/>
    <n v="5"/>
    <n v="1357.68"/>
    <x v="3"/>
    <n v="761.24"/>
    <s v="New"/>
    <s v="Digital"/>
    <n v="6109.56"/>
    <n v="2303.3600000000006"/>
    <s v="Saturday"/>
    <x v="1"/>
  </r>
  <r>
    <s v="NV1498"/>
    <d v="2024-07-23T00:00:00"/>
    <x v="54"/>
    <x v="2"/>
    <s v="P7"/>
    <x v="1"/>
    <n v="1"/>
    <n v="1437.62"/>
    <x v="2"/>
    <n v="937.93"/>
    <s v="Returning"/>
    <s v="Card"/>
    <n v="1365.7389999999998"/>
    <n v="427.80899999999986"/>
    <s v="Tuesday"/>
    <x v="0"/>
  </r>
  <r>
    <s v="NV1499"/>
    <d v="2024-10-29T00:00:00"/>
    <x v="54"/>
    <x v="3"/>
    <s v="P62"/>
    <x v="1"/>
    <n v="2"/>
    <n v="1906"/>
    <x v="2"/>
    <n v="1050.32"/>
    <s v="Returning"/>
    <s v="Digital"/>
    <n v="3621.3999999999996"/>
    <n v="1520.7599999999998"/>
    <s v="Tuesday"/>
    <x v="0"/>
  </r>
  <r>
    <s v="NV1500"/>
    <d v="2024-07-23T00:00:00"/>
    <x v="57"/>
    <x v="2"/>
    <s v="P80"/>
    <x v="1"/>
    <n v="5"/>
    <n v="472.27"/>
    <x v="5"/>
    <n v="275.66000000000003"/>
    <s v="Returning"/>
    <s v="Card"/>
    <n v="1771.0124999999998"/>
    <n v="392.71249999999964"/>
    <s v="Tuesday"/>
    <x v="0"/>
  </r>
  <r>
    <s v="NV1501"/>
    <d v="2025-03-12T00:00:00"/>
    <x v="5"/>
    <x v="0"/>
    <s v="P150"/>
    <x v="1"/>
    <n v="2"/>
    <n v="2061.7199999999998"/>
    <x v="4"/>
    <n v="1129.28"/>
    <s v="New"/>
    <s v="Card"/>
    <n v="3504.9239999999995"/>
    <n v="1246.3639999999996"/>
    <s v="Wednesday"/>
    <x v="0"/>
  </r>
  <r>
    <s v="NV1502"/>
    <d v="2025-03-10T00:00:00"/>
    <x v="17"/>
    <x v="0"/>
    <s v="P213"/>
    <x v="1"/>
    <n v="2"/>
    <n v="2132.39"/>
    <x v="6"/>
    <n v="997.81"/>
    <s v="New"/>
    <s v="Digital"/>
    <n v="4264.78"/>
    <n v="2269.16"/>
    <s v="Monday"/>
    <x v="0"/>
  </r>
  <r>
    <s v="NV1503"/>
    <d v="2024-10-01T00:00:00"/>
    <x v="30"/>
    <x v="3"/>
    <s v="P123"/>
    <x v="1"/>
    <n v="3"/>
    <n v="960.45"/>
    <x v="6"/>
    <n v="565.41"/>
    <s v="New"/>
    <s v="Cash"/>
    <n v="2881.3500000000004"/>
    <n v="1185.1200000000003"/>
    <s v="Tuesday"/>
    <x v="0"/>
  </r>
  <r>
    <s v="NV1504"/>
    <d v="2024-05-13T00:00:00"/>
    <x v="43"/>
    <x v="2"/>
    <s v="P83"/>
    <x v="0"/>
    <n v="3"/>
    <n v="1708"/>
    <x v="0"/>
    <n v="928.83"/>
    <s v="New"/>
    <s v="Card"/>
    <n v="3586.7999999999997"/>
    <n v="800.30999999999949"/>
    <s v="Monday"/>
    <x v="0"/>
  </r>
  <r>
    <s v="NV1505"/>
    <d v="2024-11-25T00:00:00"/>
    <x v="0"/>
    <x v="0"/>
    <s v="P235"/>
    <x v="0"/>
    <n v="3"/>
    <n v="308.14"/>
    <x v="4"/>
    <n v="176.06"/>
    <s v="New"/>
    <s v="Card"/>
    <n v="785.75699999999995"/>
    <n v="257.57699999999988"/>
    <s v="Monday"/>
    <x v="0"/>
  </r>
  <r>
    <s v="NV1506"/>
    <d v="2025-03-03T00:00:00"/>
    <x v="43"/>
    <x v="2"/>
    <s v="P95"/>
    <x v="0"/>
    <n v="3"/>
    <n v="2675.13"/>
    <x v="6"/>
    <n v="1529.11"/>
    <s v="New"/>
    <s v="Card"/>
    <n v="8025.39"/>
    <n v="3438.0600000000004"/>
    <s v="Monday"/>
    <x v="0"/>
  </r>
  <r>
    <s v="NV1507"/>
    <d v="2025-12-01T00:00:00"/>
    <x v="20"/>
    <x v="2"/>
    <s v="P132"/>
    <x v="2"/>
    <n v="5"/>
    <n v="2294.92"/>
    <x v="6"/>
    <n v="1576.55"/>
    <s v="Returning"/>
    <s v="Digital"/>
    <n v="11474.6"/>
    <n v="3591.8500000000004"/>
    <s v="Monday"/>
    <x v="0"/>
  </r>
  <r>
    <s v="NV1508"/>
    <d v="2024-03-03T00:00:00"/>
    <x v="0"/>
    <x v="2"/>
    <s v="P265"/>
    <x v="0"/>
    <n v="1"/>
    <n v="2033.34"/>
    <x v="4"/>
    <n v="1161.68"/>
    <s v="New"/>
    <s v="Cash"/>
    <n v="1728.3389999999999"/>
    <n v="566.65899999999988"/>
    <s v="Sunday"/>
    <x v="1"/>
  </r>
  <r>
    <s v="NV1509"/>
    <d v="2024-04-14T00:00:00"/>
    <x v="38"/>
    <x v="3"/>
    <s v="P187"/>
    <x v="2"/>
    <n v="1"/>
    <n v="1790.69"/>
    <x v="0"/>
    <n v="872.71"/>
    <s v="New"/>
    <s v="Card"/>
    <n v="1253.4829999999999"/>
    <n v="380.77299999999991"/>
    <s v="Sunday"/>
    <x v="1"/>
  </r>
  <r>
    <s v="NV1510"/>
    <d v="2024-10-25T00:00:00"/>
    <x v="30"/>
    <x v="3"/>
    <s v="P27"/>
    <x v="2"/>
    <n v="5"/>
    <n v="2642.06"/>
    <x v="4"/>
    <n v="1643.03"/>
    <s v="Returning"/>
    <s v="Digital"/>
    <n v="11228.754999999999"/>
    <n v="3013.6049999999996"/>
    <s v="Friday"/>
    <x v="0"/>
  </r>
  <r>
    <s v="NV1511"/>
    <d v="2025-11-08T00:00:00"/>
    <x v="13"/>
    <x v="0"/>
    <s v="P161"/>
    <x v="0"/>
    <n v="3"/>
    <n v="2720.53"/>
    <x v="5"/>
    <n v="1414.58"/>
    <s v="New"/>
    <s v="Card"/>
    <n v="6121.1925000000001"/>
    <n v="1877.4525000000003"/>
    <s v="Saturday"/>
    <x v="1"/>
  </r>
  <r>
    <s v="NV1512"/>
    <d v="2024-12-15T00:00:00"/>
    <x v="6"/>
    <x v="3"/>
    <s v="P7"/>
    <x v="2"/>
    <n v="4"/>
    <n v="1983.25"/>
    <x v="4"/>
    <n v="886.5"/>
    <s v="New"/>
    <s v="Digital"/>
    <n v="6743.05"/>
    <n v="3197.05"/>
    <s v="Sunday"/>
    <x v="1"/>
  </r>
  <r>
    <s v="NV1513"/>
    <d v="2025-08-13T00:00:00"/>
    <x v="37"/>
    <x v="2"/>
    <s v="P284"/>
    <x v="1"/>
    <n v="1"/>
    <n v="2275.9"/>
    <x v="3"/>
    <n v="1214.58"/>
    <s v="Returning"/>
    <s v="Card"/>
    <n v="2048.31"/>
    <n v="833.73"/>
    <s v="Wednesday"/>
    <x v="0"/>
  </r>
  <r>
    <s v="NV1514"/>
    <d v="2025-10-03T00:00:00"/>
    <x v="27"/>
    <x v="1"/>
    <s v="P258"/>
    <x v="1"/>
    <n v="3"/>
    <n v="1535.91"/>
    <x v="5"/>
    <n v="823.12"/>
    <s v="New"/>
    <s v="Card"/>
    <n v="3455.7975000000006"/>
    <n v="986.43750000000045"/>
    <s v="Friday"/>
    <x v="0"/>
  </r>
  <r>
    <s v="NV1515"/>
    <d v="2025-05-04T00:00:00"/>
    <x v="47"/>
    <x v="2"/>
    <s v="P148"/>
    <x v="2"/>
    <n v="2"/>
    <n v="2761.29"/>
    <x v="3"/>
    <n v="1495.58"/>
    <s v="New"/>
    <s v="Card"/>
    <n v="4970.3220000000001"/>
    <n v="1979.1620000000003"/>
    <s v="Sunday"/>
    <x v="1"/>
  </r>
  <r>
    <s v="NV1516"/>
    <d v="2025-11-11T00:00:00"/>
    <x v="37"/>
    <x v="0"/>
    <s v="P263"/>
    <x v="2"/>
    <n v="5"/>
    <n v="1231.1600000000001"/>
    <x v="5"/>
    <n v="756.35"/>
    <s v="Returning"/>
    <s v="Card"/>
    <n v="4616.8500000000004"/>
    <n v="835.10000000000036"/>
    <s v="Tuesday"/>
    <x v="0"/>
  </r>
  <r>
    <s v="NV1517"/>
    <d v="2025-05-08T00:00:00"/>
    <x v="7"/>
    <x v="2"/>
    <s v="P106"/>
    <x v="2"/>
    <n v="1"/>
    <n v="739.89"/>
    <x v="3"/>
    <n v="357.9"/>
    <s v="New"/>
    <s v="Card"/>
    <n v="665.90099999999995"/>
    <n v="308.00099999999998"/>
    <s v="Thursday"/>
    <x v="0"/>
  </r>
  <r>
    <s v="NV1518"/>
    <d v="2025-06-27T00:00:00"/>
    <x v="31"/>
    <x v="1"/>
    <s v="P88"/>
    <x v="2"/>
    <n v="4"/>
    <n v="2671.98"/>
    <x v="0"/>
    <n v="1477.75"/>
    <s v="New"/>
    <s v="Card"/>
    <n v="7481.5439999999999"/>
    <n v="1570.5439999999999"/>
    <s v="Friday"/>
    <x v="0"/>
  </r>
  <r>
    <s v="NV1519"/>
    <d v="2025-09-23T00:00:00"/>
    <x v="34"/>
    <x v="0"/>
    <s v="P53"/>
    <x v="0"/>
    <n v="5"/>
    <n v="2513.27"/>
    <x v="3"/>
    <n v="1373.33"/>
    <s v="Returning"/>
    <s v="Digital"/>
    <n v="11309.715"/>
    <n v="4443.0650000000005"/>
    <s v="Tuesday"/>
    <x v="0"/>
  </r>
  <r>
    <s v="NV1520"/>
    <d v="2024-03-06T00:00:00"/>
    <x v="28"/>
    <x v="0"/>
    <s v="P56"/>
    <x v="1"/>
    <n v="5"/>
    <n v="1771.35"/>
    <x v="1"/>
    <n v="1004.01"/>
    <s v="Returning"/>
    <s v="Cash"/>
    <n v="7085.4000000000005"/>
    <n v="2065.3500000000004"/>
    <s v="Wednesday"/>
    <x v="0"/>
  </r>
  <r>
    <s v="NV1521"/>
    <d v="2025-05-12T00:00:00"/>
    <x v="1"/>
    <x v="3"/>
    <s v="P229"/>
    <x v="0"/>
    <n v="5"/>
    <n v="2311.29"/>
    <x v="3"/>
    <n v="1087.26"/>
    <s v="Returning"/>
    <s v="Digital"/>
    <n v="10400.805"/>
    <n v="4964.5050000000001"/>
    <s v="Monday"/>
    <x v="0"/>
  </r>
  <r>
    <s v="NV1522"/>
    <d v="2024-07-16T00:00:00"/>
    <x v="58"/>
    <x v="1"/>
    <s v="P96"/>
    <x v="2"/>
    <n v="5"/>
    <n v="2173.36"/>
    <x v="0"/>
    <n v="959.83"/>
    <s v="New"/>
    <s v="Digital"/>
    <n v="7606.76"/>
    <n v="2807.6099999999997"/>
    <s v="Tuesday"/>
    <x v="0"/>
  </r>
  <r>
    <s v="NV1523"/>
    <d v="2025-09-04T00:00:00"/>
    <x v="54"/>
    <x v="2"/>
    <s v="P238"/>
    <x v="0"/>
    <n v="2"/>
    <n v="1040.53"/>
    <x v="4"/>
    <n v="692.76"/>
    <s v="Returning"/>
    <s v="Digital"/>
    <n v="1768.9009999999998"/>
    <n v="383.38099999999986"/>
    <s v="Thursday"/>
    <x v="0"/>
  </r>
  <r>
    <s v="NV1524"/>
    <d v="2025-03-06T00:00:00"/>
    <x v="57"/>
    <x v="3"/>
    <s v="P177"/>
    <x v="2"/>
    <n v="5"/>
    <n v="1314.3"/>
    <x v="6"/>
    <n v="723.99"/>
    <s v="New"/>
    <s v="Cash"/>
    <n v="6571.5"/>
    <n v="2951.55"/>
    <s v="Thursday"/>
    <x v="0"/>
  </r>
  <r>
    <s v="NV1525"/>
    <d v="2025-11-01T00:00:00"/>
    <x v="29"/>
    <x v="1"/>
    <s v="P128"/>
    <x v="2"/>
    <n v="5"/>
    <n v="2436.84"/>
    <x v="5"/>
    <n v="1505.83"/>
    <s v="New"/>
    <s v="Card"/>
    <n v="9138.1500000000015"/>
    <n v="1609.0000000000018"/>
    <s v="Saturday"/>
    <x v="1"/>
  </r>
  <r>
    <s v="NV1526"/>
    <d v="2024-11-18T00:00:00"/>
    <x v="35"/>
    <x v="0"/>
    <s v="P217"/>
    <x v="2"/>
    <n v="4"/>
    <n v="1706.16"/>
    <x v="3"/>
    <n v="880.51"/>
    <s v="New"/>
    <s v="Digital"/>
    <n v="6142.1760000000004"/>
    <n v="2620.1360000000004"/>
    <s v="Monday"/>
    <x v="0"/>
  </r>
  <r>
    <s v="NV1527"/>
    <d v="2024-03-20T00:00:00"/>
    <x v="23"/>
    <x v="2"/>
    <s v="P33"/>
    <x v="0"/>
    <n v="4"/>
    <n v="344.37"/>
    <x v="2"/>
    <n v="157.69999999999999"/>
    <s v="New"/>
    <s v="Digital"/>
    <n v="1308.606"/>
    <n v="677.80600000000004"/>
    <s v="Wednesday"/>
    <x v="0"/>
  </r>
  <r>
    <s v="NV1528"/>
    <d v="2024-01-09T00:00:00"/>
    <x v="51"/>
    <x v="1"/>
    <s v="P105"/>
    <x v="0"/>
    <n v="4"/>
    <n v="2258.81"/>
    <x v="2"/>
    <n v="1079.08"/>
    <s v="Returning"/>
    <s v="Cash"/>
    <n v="8583.4779999999992"/>
    <n v="4267.1579999999994"/>
    <s v="Tuesday"/>
    <x v="0"/>
  </r>
  <r>
    <s v="NV1529"/>
    <d v="2024-04-17T00:00:00"/>
    <x v="39"/>
    <x v="2"/>
    <s v="P257"/>
    <x v="1"/>
    <n v="2"/>
    <n v="2570.1799999999998"/>
    <x v="2"/>
    <n v="1066.45"/>
    <s v="Returning"/>
    <s v="Card"/>
    <n v="4883.3419999999996"/>
    <n v="2750.4419999999996"/>
    <s v="Wednesday"/>
    <x v="0"/>
  </r>
  <r>
    <s v="NV1530"/>
    <d v="2025-05-08T00:00:00"/>
    <x v="29"/>
    <x v="3"/>
    <s v="P35"/>
    <x v="2"/>
    <n v="5"/>
    <n v="1979.16"/>
    <x v="3"/>
    <n v="1000.1"/>
    <s v="New"/>
    <s v="Card"/>
    <n v="8906.2200000000012"/>
    <n v="3905.7200000000012"/>
    <s v="Thursday"/>
    <x v="0"/>
  </r>
  <r>
    <s v="NV1531"/>
    <d v="2025-05-30T00:00:00"/>
    <x v="13"/>
    <x v="3"/>
    <s v="P42"/>
    <x v="2"/>
    <n v="4"/>
    <n v="944.47"/>
    <x v="0"/>
    <n v="576.46"/>
    <s v="New"/>
    <s v="Digital"/>
    <n v="2644.5160000000001"/>
    <n v="338.67599999999993"/>
    <s v="Friday"/>
    <x v="0"/>
  </r>
  <r>
    <s v="NV1532"/>
    <d v="2025-08-19T00:00:00"/>
    <x v="40"/>
    <x v="0"/>
    <s v="P256"/>
    <x v="2"/>
    <n v="1"/>
    <n v="717.32"/>
    <x v="3"/>
    <n v="384.22"/>
    <s v="New"/>
    <s v="Card"/>
    <n v="645.58800000000008"/>
    <n v="261.36800000000005"/>
    <s v="Tuesday"/>
    <x v="0"/>
  </r>
  <r>
    <s v="NV1533"/>
    <d v="2024-02-18T00:00:00"/>
    <x v="31"/>
    <x v="1"/>
    <s v="P216"/>
    <x v="0"/>
    <n v="5"/>
    <n v="1957.3"/>
    <x v="3"/>
    <n v="834.41"/>
    <s v="New"/>
    <s v="Cash"/>
    <n v="8807.85"/>
    <n v="4635.8"/>
    <s v="Sunday"/>
    <x v="1"/>
  </r>
  <r>
    <s v="NV1534"/>
    <d v="2024-05-21T00:00:00"/>
    <x v="7"/>
    <x v="1"/>
    <s v="P253"/>
    <x v="1"/>
    <n v="1"/>
    <n v="2562.61"/>
    <x v="0"/>
    <n v="1494.27"/>
    <s v="Returning"/>
    <s v="Card"/>
    <n v="1793.827"/>
    <n v="299.55700000000002"/>
    <s v="Tuesday"/>
    <x v="0"/>
  </r>
  <r>
    <s v="NV1535"/>
    <d v="2024-04-11T00:00:00"/>
    <x v="6"/>
    <x v="1"/>
    <s v="P70"/>
    <x v="1"/>
    <n v="2"/>
    <n v="1117.79"/>
    <x v="4"/>
    <n v="629.19000000000005"/>
    <s v="New"/>
    <s v="Card"/>
    <n v="1900.2429999999999"/>
    <n v="641.86299999999983"/>
    <s v="Thursday"/>
    <x v="0"/>
  </r>
  <r>
    <s v="NV1536"/>
    <d v="2025-06-01T00:00:00"/>
    <x v="0"/>
    <x v="2"/>
    <s v="P203"/>
    <x v="1"/>
    <n v="5"/>
    <n v="1080.46"/>
    <x v="6"/>
    <n v="705.89"/>
    <s v="Returning"/>
    <s v="Cash"/>
    <n v="5402.3"/>
    <n v="1872.8500000000004"/>
    <s v="Sunday"/>
    <x v="1"/>
  </r>
  <r>
    <s v="NV1537"/>
    <d v="2025-10-03T00:00:00"/>
    <x v="17"/>
    <x v="0"/>
    <s v="P167"/>
    <x v="0"/>
    <n v="4"/>
    <n v="1312.72"/>
    <x v="4"/>
    <n v="857.2"/>
    <s v="Returning"/>
    <s v="Digital"/>
    <n v="4463.2479999999996"/>
    <n v="1034.4479999999994"/>
    <s v="Friday"/>
    <x v="0"/>
  </r>
  <r>
    <s v="NV1538"/>
    <d v="2024-05-04T00:00:00"/>
    <x v="18"/>
    <x v="2"/>
    <s v="P187"/>
    <x v="2"/>
    <n v="3"/>
    <n v="2057.2800000000002"/>
    <x v="6"/>
    <n v="1234.02"/>
    <s v="New"/>
    <s v="Digital"/>
    <n v="6171.84"/>
    <n v="2469.7800000000002"/>
    <s v="Saturday"/>
    <x v="1"/>
  </r>
  <r>
    <s v="NV1539"/>
    <d v="2025-07-27T00:00:00"/>
    <x v="12"/>
    <x v="3"/>
    <s v="P42"/>
    <x v="2"/>
    <n v="3"/>
    <n v="2096.91"/>
    <x v="1"/>
    <n v="1200.5999999999999"/>
    <s v="New"/>
    <s v="Cash"/>
    <n v="5032.5839999999998"/>
    <n v="1430.7840000000001"/>
    <s v="Sunday"/>
    <x v="1"/>
  </r>
  <r>
    <s v="NV1540"/>
    <d v="2024-09-30T00:00:00"/>
    <x v="46"/>
    <x v="2"/>
    <s v="P239"/>
    <x v="1"/>
    <n v="3"/>
    <n v="1690.24"/>
    <x v="1"/>
    <n v="782.75"/>
    <s v="New"/>
    <s v="Cash"/>
    <n v="4056.5760000000005"/>
    <n v="1708.3260000000005"/>
    <s v="Monday"/>
    <x v="0"/>
  </r>
  <r>
    <s v="NV1541"/>
    <d v="2024-06-19T00:00:00"/>
    <x v="55"/>
    <x v="2"/>
    <s v="P238"/>
    <x v="1"/>
    <n v="2"/>
    <n v="2401.4899999999998"/>
    <x v="5"/>
    <n v="1285.48"/>
    <s v="New"/>
    <s v="Card"/>
    <n v="3602.2349999999997"/>
    <n v="1031.2749999999996"/>
    <s v="Wednesday"/>
    <x v="0"/>
  </r>
  <r>
    <s v="NV1542"/>
    <d v="2025-07-10T00:00:00"/>
    <x v="53"/>
    <x v="3"/>
    <s v="P126"/>
    <x v="2"/>
    <n v="2"/>
    <n v="1693.36"/>
    <x v="6"/>
    <n v="977.1"/>
    <s v="New"/>
    <s v="Digital"/>
    <n v="3386.72"/>
    <n v="1432.5199999999998"/>
    <s v="Thursday"/>
    <x v="0"/>
  </r>
  <r>
    <s v="NV1543"/>
    <d v="2025-02-26T00:00:00"/>
    <x v="54"/>
    <x v="3"/>
    <s v="P17"/>
    <x v="1"/>
    <n v="5"/>
    <n v="2424.12"/>
    <x v="5"/>
    <n v="1572.34"/>
    <s v="New"/>
    <s v="Cash"/>
    <n v="9090.4499999999989"/>
    <n v="1228.7499999999991"/>
    <s v="Wednesday"/>
    <x v="0"/>
  </r>
  <r>
    <s v="NV1544"/>
    <d v="2025-04-06T00:00:00"/>
    <x v="52"/>
    <x v="2"/>
    <s v="P266"/>
    <x v="0"/>
    <n v="1"/>
    <n v="2833.27"/>
    <x v="4"/>
    <n v="1812.97"/>
    <s v="New"/>
    <s v="Digital"/>
    <n v="2408.2795000000001"/>
    <n v="595.30950000000007"/>
    <s v="Sunday"/>
    <x v="1"/>
  </r>
  <r>
    <s v="NV1545"/>
    <d v="2024-10-20T00:00:00"/>
    <x v="42"/>
    <x v="3"/>
    <s v="P235"/>
    <x v="1"/>
    <n v="5"/>
    <n v="1559.5"/>
    <x v="3"/>
    <n v="719.84"/>
    <s v="Returning"/>
    <s v="Digital"/>
    <n v="7017.75"/>
    <n v="3418.5499999999997"/>
    <s v="Sunday"/>
    <x v="1"/>
  </r>
  <r>
    <s v="NV1546"/>
    <d v="2024-02-16T00:00:00"/>
    <x v="16"/>
    <x v="2"/>
    <s v="P227"/>
    <x v="0"/>
    <n v="5"/>
    <n v="2068.4499999999998"/>
    <x v="2"/>
    <n v="864.62"/>
    <s v="Returning"/>
    <s v="Card"/>
    <n v="9825.1374999999989"/>
    <n v="5502.0374999999985"/>
    <s v="Friday"/>
    <x v="0"/>
  </r>
  <r>
    <s v="NV1547"/>
    <d v="2024-08-27T00:00:00"/>
    <x v="38"/>
    <x v="3"/>
    <s v="P181"/>
    <x v="2"/>
    <n v="1"/>
    <n v="1728.13"/>
    <x v="2"/>
    <n v="1087.83"/>
    <s v="New"/>
    <s v="Digital"/>
    <n v="1641.7235000000001"/>
    <n v="553.89350000000013"/>
    <s v="Tuesday"/>
    <x v="0"/>
  </r>
  <r>
    <s v="NV1548"/>
    <d v="2024-03-18T00:00:00"/>
    <x v="31"/>
    <x v="2"/>
    <s v="P74"/>
    <x v="0"/>
    <n v="4"/>
    <n v="319.68"/>
    <x v="2"/>
    <n v="142.94999999999999"/>
    <s v="New"/>
    <s v="Digital"/>
    <n v="1214.7839999999999"/>
    <n v="642.98399999999992"/>
    <s v="Monday"/>
    <x v="0"/>
  </r>
  <r>
    <s v="NV1549"/>
    <d v="2024-04-07T00:00:00"/>
    <x v="10"/>
    <x v="3"/>
    <s v="P43"/>
    <x v="1"/>
    <n v="2"/>
    <n v="2543.44"/>
    <x v="1"/>
    <n v="1220.22"/>
    <s v="Returning"/>
    <s v="Card"/>
    <n v="4069.5040000000004"/>
    <n v="1629.0640000000003"/>
    <s v="Sunday"/>
    <x v="1"/>
  </r>
  <r>
    <s v="NV1550"/>
    <d v="2025-09-01T00:00:00"/>
    <x v="21"/>
    <x v="3"/>
    <s v="P230"/>
    <x v="0"/>
    <n v="1"/>
    <n v="1962.06"/>
    <x v="4"/>
    <n v="1042.46"/>
    <s v="New"/>
    <s v="Cash"/>
    <n v="1667.751"/>
    <n v="625.29099999999994"/>
    <s v="Monday"/>
    <x v="0"/>
  </r>
  <r>
    <s v="NV1551"/>
    <d v="2024-06-10T00:00:00"/>
    <x v="37"/>
    <x v="3"/>
    <s v="P61"/>
    <x v="2"/>
    <n v="3"/>
    <n v="2634.14"/>
    <x v="4"/>
    <n v="1778.17"/>
    <s v="New"/>
    <s v="Cash"/>
    <n v="6717.0569999999998"/>
    <n v="1382.5469999999996"/>
    <s v="Monday"/>
    <x v="0"/>
  </r>
  <r>
    <s v="NV1552"/>
    <d v="2025-11-03T00:00:00"/>
    <x v="49"/>
    <x v="2"/>
    <s v="P264"/>
    <x v="2"/>
    <n v="4"/>
    <n v="1588.42"/>
    <x v="2"/>
    <n v="762.35"/>
    <s v="Returning"/>
    <s v="Cash"/>
    <n v="6035.9960000000001"/>
    <n v="2986.596"/>
    <s v="Monday"/>
    <x v="0"/>
  </r>
  <r>
    <s v="NV1553"/>
    <d v="2024-03-16T00:00:00"/>
    <x v="38"/>
    <x v="0"/>
    <s v="P113"/>
    <x v="0"/>
    <n v="2"/>
    <n v="1365.66"/>
    <x v="0"/>
    <n v="879.13"/>
    <s v="Returning"/>
    <s v="Card"/>
    <n v="1911.924"/>
    <n v="153.66399999999999"/>
    <s v="Saturday"/>
    <x v="1"/>
  </r>
  <r>
    <s v="NV1554"/>
    <d v="2025-10-19T00:00:00"/>
    <x v="51"/>
    <x v="0"/>
    <s v="P209"/>
    <x v="1"/>
    <n v="5"/>
    <n v="2806.46"/>
    <x v="3"/>
    <n v="1662.49"/>
    <s v="New"/>
    <s v="Card"/>
    <n v="12629.07"/>
    <n v="4316.619999999999"/>
    <s v="Sunday"/>
    <x v="1"/>
  </r>
  <r>
    <s v="NV1555"/>
    <d v="2024-08-09T00:00:00"/>
    <x v="40"/>
    <x v="3"/>
    <s v="P67"/>
    <x v="1"/>
    <n v="1"/>
    <n v="2023.05"/>
    <x v="6"/>
    <n v="874.89"/>
    <s v="Returning"/>
    <s v="Card"/>
    <n v="2023.05"/>
    <n v="1148.1599999999999"/>
    <s v="Friday"/>
    <x v="0"/>
  </r>
  <r>
    <s v="NV1556"/>
    <d v="2025-07-04T00:00:00"/>
    <x v="11"/>
    <x v="1"/>
    <s v="P209"/>
    <x v="0"/>
    <n v="2"/>
    <n v="970.76"/>
    <x v="5"/>
    <n v="585.92999999999995"/>
    <s v="Returning"/>
    <s v="Cash"/>
    <n v="1456.1399999999999"/>
    <n v="284.27999999999997"/>
    <s v="Friday"/>
    <x v="0"/>
  </r>
  <r>
    <s v="NV1557"/>
    <d v="2025-08-17T00:00:00"/>
    <x v="37"/>
    <x v="0"/>
    <s v="P108"/>
    <x v="0"/>
    <n v="5"/>
    <n v="2822.14"/>
    <x v="4"/>
    <n v="1603.15"/>
    <s v="New"/>
    <s v="Card"/>
    <n v="11994.094999999999"/>
    <n v="3978.3449999999993"/>
    <s v="Sunday"/>
    <x v="1"/>
  </r>
  <r>
    <s v="NV1558"/>
    <d v="2024-04-20T00:00:00"/>
    <x v="7"/>
    <x v="3"/>
    <s v="P150"/>
    <x v="0"/>
    <n v="2"/>
    <n v="641.94000000000005"/>
    <x v="2"/>
    <n v="292.68"/>
    <s v="Returning"/>
    <s v="Digital"/>
    <n v="1219.6860000000001"/>
    <n v="634.32600000000014"/>
    <s v="Saturday"/>
    <x v="1"/>
  </r>
  <r>
    <s v="NV1559"/>
    <d v="2024-11-06T00:00:00"/>
    <x v="19"/>
    <x v="1"/>
    <s v="P258"/>
    <x v="0"/>
    <n v="4"/>
    <n v="2480.2800000000002"/>
    <x v="1"/>
    <n v="1374.82"/>
    <s v="New"/>
    <s v="Cash"/>
    <n v="7936.8960000000006"/>
    <n v="2437.6160000000009"/>
    <s v="Wednesday"/>
    <x v="0"/>
  </r>
  <r>
    <s v="NV1560"/>
    <d v="2025-03-31T00:00:00"/>
    <x v="34"/>
    <x v="2"/>
    <s v="P143"/>
    <x v="0"/>
    <n v="5"/>
    <n v="1872.19"/>
    <x v="0"/>
    <n v="882.28"/>
    <s v="New"/>
    <s v="Cash"/>
    <n v="6552.665"/>
    <n v="2141.2650000000003"/>
    <s v="Monday"/>
    <x v="0"/>
  </r>
  <r>
    <s v="NV1561"/>
    <d v="2024-05-08T00:00:00"/>
    <x v="43"/>
    <x v="2"/>
    <s v="P111"/>
    <x v="1"/>
    <n v="1"/>
    <n v="984.11"/>
    <x v="1"/>
    <n v="585.39"/>
    <s v="New"/>
    <s v="Digital"/>
    <n v="787.28800000000001"/>
    <n v="201.89800000000002"/>
    <s v="Wednesday"/>
    <x v="0"/>
  </r>
  <r>
    <s v="NV1562"/>
    <d v="2025-07-30T00:00:00"/>
    <x v="19"/>
    <x v="2"/>
    <s v="P46"/>
    <x v="1"/>
    <n v="2"/>
    <n v="2745.92"/>
    <x v="5"/>
    <n v="1840.65"/>
    <s v="New"/>
    <s v="Cash"/>
    <n v="4118.88"/>
    <n v="437.57999999999993"/>
    <s v="Wednesday"/>
    <x v="0"/>
  </r>
  <r>
    <s v="NV1563"/>
    <d v="2024-11-20T00:00:00"/>
    <x v="15"/>
    <x v="3"/>
    <s v="P75"/>
    <x v="2"/>
    <n v="1"/>
    <n v="1463.04"/>
    <x v="2"/>
    <n v="1017.53"/>
    <s v="Returning"/>
    <s v="Digital"/>
    <n v="1389.8879999999999"/>
    <n v="372.35799999999995"/>
    <s v="Wednesday"/>
    <x v="0"/>
  </r>
  <r>
    <s v="NV1564"/>
    <d v="2025-06-09T00:00:00"/>
    <x v="53"/>
    <x v="0"/>
    <s v="P45"/>
    <x v="1"/>
    <n v="3"/>
    <n v="318.55"/>
    <x v="6"/>
    <n v="136.04"/>
    <s v="New"/>
    <s v="Cash"/>
    <n v="955.65000000000009"/>
    <n v="547.53000000000009"/>
    <s v="Monday"/>
    <x v="0"/>
  </r>
  <r>
    <s v="NV1565"/>
    <d v="2025-03-25T00:00:00"/>
    <x v="53"/>
    <x v="3"/>
    <s v="P209"/>
    <x v="1"/>
    <n v="5"/>
    <n v="2985.54"/>
    <x v="3"/>
    <n v="1422.3"/>
    <s v="New"/>
    <s v="Cash"/>
    <n v="13434.93"/>
    <n v="6323.43"/>
    <s v="Tuesday"/>
    <x v="0"/>
  </r>
  <r>
    <s v="NV1566"/>
    <d v="2024-09-06T00:00:00"/>
    <x v="24"/>
    <x v="0"/>
    <s v="P189"/>
    <x v="0"/>
    <n v="3"/>
    <n v="822.98"/>
    <x v="2"/>
    <n v="362.14"/>
    <s v="Returning"/>
    <s v="Cash"/>
    <n v="2345.4929999999999"/>
    <n v="1259.0729999999999"/>
    <s v="Friday"/>
    <x v="0"/>
  </r>
  <r>
    <s v="NV1567"/>
    <d v="2024-12-28T00:00:00"/>
    <x v="0"/>
    <x v="2"/>
    <s v="P142"/>
    <x v="1"/>
    <n v="4"/>
    <n v="707.16"/>
    <x v="0"/>
    <n v="468.15"/>
    <s v="New"/>
    <s v="Cash"/>
    <n v="1980.0479999999998"/>
    <n v="107.44799999999987"/>
    <s v="Saturday"/>
    <x v="1"/>
  </r>
  <r>
    <s v="NV1568"/>
    <d v="2025-06-20T00:00:00"/>
    <x v="22"/>
    <x v="2"/>
    <s v="P166"/>
    <x v="0"/>
    <n v="5"/>
    <n v="970.13"/>
    <x v="5"/>
    <n v="436.46"/>
    <s v="Returning"/>
    <s v="Digital"/>
    <n v="3637.9874999999997"/>
    <n v="1455.6875"/>
    <s v="Friday"/>
    <x v="0"/>
  </r>
  <r>
    <s v="NV1569"/>
    <d v="2025-01-22T00:00:00"/>
    <x v="55"/>
    <x v="3"/>
    <s v="P126"/>
    <x v="2"/>
    <n v="3"/>
    <n v="2507.4899999999998"/>
    <x v="2"/>
    <n v="1526.49"/>
    <s v="Returning"/>
    <s v="Cash"/>
    <n v="7146.3464999999987"/>
    <n v="2566.8764999999985"/>
    <s v="Wednesday"/>
    <x v="0"/>
  </r>
  <r>
    <s v="NV1570"/>
    <d v="2025-07-19T00:00:00"/>
    <x v="44"/>
    <x v="3"/>
    <s v="P37"/>
    <x v="0"/>
    <n v="5"/>
    <n v="2846.88"/>
    <x v="0"/>
    <n v="1267.3900000000001"/>
    <s v="New"/>
    <s v="Card"/>
    <n v="9964.08"/>
    <n v="3627.1299999999992"/>
    <s v="Saturday"/>
    <x v="1"/>
  </r>
  <r>
    <s v="NV1571"/>
    <d v="2024-01-19T00:00:00"/>
    <x v="51"/>
    <x v="1"/>
    <s v="P208"/>
    <x v="1"/>
    <n v="4"/>
    <n v="2127.34"/>
    <x v="5"/>
    <n v="1409"/>
    <s v="Returning"/>
    <s v="Card"/>
    <n v="6382.02"/>
    <n v="746.02000000000044"/>
    <s v="Friday"/>
    <x v="0"/>
  </r>
  <r>
    <s v="NV1572"/>
    <d v="2025-03-21T00:00:00"/>
    <x v="36"/>
    <x v="2"/>
    <s v="P241"/>
    <x v="2"/>
    <n v="4"/>
    <n v="849.08"/>
    <x v="4"/>
    <n v="487.83"/>
    <s v="New"/>
    <s v="Digital"/>
    <n v="2886.8719999999998"/>
    <n v="935.55199999999991"/>
    <s v="Friday"/>
    <x v="0"/>
  </r>
  <r>
    <s v="NV1573"/>
    <d v="2024-10-13T00:00:00"/>
    <x v="36"/>
    <x v="3"/>
    <s v="P6"/>
    <x v="1"/>
    <n v="3"/>
    <n v="1353.9"/>
    <x v="4"/>
    <n v="603.21"/>
    <s v="Returning"/>
    <s v="Digital"/>
    <n v="3452.4450000000002"/>
    <n v="1642.8150000000001"/>
    <s v="Sunday"/>
    <x v="1"/>
  </r>
  <r>
    <s v="NV1574"/>
    <d v="2025-01-09T00:00:00"/>
    <x v="46"/>
    <x v="0"/>
    <s v="P276"/>
    <x v="2"/>
    <n v="4"/>
    <n v="1927.5"/>
    <x v="2"/>
    <n v="1003.4"/>
    <s v="Returning"/>
    <s v="Cash"/>
    <n v="7324.5"/>
    <n v="3310.9"/>
    <s v="Thursday"/>
    <x v="0"/>
  </r>
  <r>
    <s v="NV1575"/>
    <d v="2025-10-25T00:00:00"/>
    <x v="37"/>
    <x v="1"/>
    <s v="P257"/>
    <x v="0"/>
    <n v="5"/>
    <n v="533.30999999999995"/>
    <x v="3"/>
    <n v="250.4"/>
    <s v="New"/>
    <s v="Digital"/>
    <n v="2399.895"/>
    <n v="1147.895"/>
    <s v="Saturday"/>
    <x v="1"/>
  </r>
  <r>
    <s v="NV1576"/>
    <d v="2025-04-20T00:00:00"/>
    <x v="17"/>
    <x v="2"/>
    <s v="P270"/>
    <x v="2"/>
    <n v="5"/>
    <n v="348.07"/>
    <x v="2"/>
    <n v="225.07"/>
    <s v="Returning"/>
    <s v="Digital"/>
    <n v="1653.3324999999998"/>
    <n v="527.98249999999985"/>
    <s v="Sunday"/>
    <x v="1"/>
  </r>
  <r>
    <s v="NV1577"/>
    <d v="2024-04-14T00:00:00"/>
    <x v="9"/>
    <x v="1"/>
    <s v="P285"/>
    <x v="0"/>
    <n v="5"/>
    <n v="830.91"/>
    <x v="3"/>
    <n v="453.2"/>
    <s v="Returning"/>
    <s v="Digital"/>
    <n v="3739.0950000000003"/>
    <n v="1473.0950000000003"/>
    <s v="Sunday"/>
    <x v="1"/>
  </r>
  <r>
    <s v="NV1578"/>
    <d v="2024-05-07T00:00:00"/>
    <x v="11"/>
    <x v="0"/>
    <s v="P21"/>
    <x v="1"/>
    <n v="1"/>
    <n v="2079.37"/>
    <x v="4"/>
    <n v="1093.98"/>
    <s v="Returning"/>
    <s v="Card"/>
    <n v="1767.4644999999998"/>
    <n v="673.4844999999998"/>
    <s v="Tuesday"/>
    <x v="0"/>
  </r>
  <r>
    <s v="NV1579"/>
    <d v="2025-06-17T00:00:00"/>
    <x v="19"/>
    <x v="2"/>
    <s v="P56"/>
    <x v="1"/>
    <n v="1"/>
    <n v="2137.9499999999998"/>
    <x v="2"/>
    <n v="953.81"/>
    <s v="Returning"/>
    <s v="Card"/>
    <n v="2031.0524999999998"/>
    <n v="1077.2424999999998"/>
    <s v="Tuesday"/>
    <x v="0"/>
  </r>
  <r>
    <s v="NV1580"/>
    <d v="2024-09-16T00:00:00"/>
    <x v="17"/>
    <x v="1"/>
    <s v="P31"/>
    <x v="1"/>
    <n v="3"/>
    <n v="2092.54"/>
    <x v="5"/>
    <n v="1284.98"/>
    <s v="Returning"/>
    <s v="Cash"/>
    <n v="4708.2150000000001"/>
    <n v="853.27500000000009"/>
    <s v="Monday"/>
    <x v="0"/>
  </r>
  <r>
    <s v="NV1581"/>
    <d v="2025-11-20T00:00:00"/>
    <x v="6"/>
    <x v="1"/>
    <s v="P55"/>
    <x v="1"/>
    <n v="4"/>
    <n v="2366.02"/>
    <x v="3"/>
    <n v="1007.79"/>
    <s v="New"/>
    <s v="Card"/>
    <n v="8517.6720000000005"/>
    <n v="4486.5120000000006"/>
    <s v="Thursday"/>
    <x v="0"/>
  </r>
  <r>
    <s v="NV1582"/>
    <d v="2024-08-01T00:00:00"/>
    <x v="3"/>
    <x v="1"/>
    <s v="P277"/>
    <x v="0"/>
    <n v="5"/>
    <n v="2332.66"/>
    <x v="4"/>
    <n v="1021.85"/>
    <s v="New"/>
    <s v="Digital"/>
    <n v="9913.8049999999985"/>
    <n v="4804.5549999999985"/>
    <s v="Thursday"/>
    <x v="0"/>
  </r>
  <r>
    <s v="NV1583"/>
    <d v="2024-01-03T00:00:00"/>
    <x v="18"/>
    <x v="3"/>
    <s v="P136"/>
    <x v="1"/>
    <n v="2"/>
    <n v="1795.57"/>
    <x v="6"/>
    <n v="866.87"/>
    <s v="New"/>
    <s v="Cash"/>
    <n v="3591.14"/>
    <n v="1857.3999999999999"/>
    <s v="Wednesday"/>
    <x v="0"/>
  </r>
  <r>
    <s v="NV1584"/>
    <d v="2024-03-11T00:00:00"/>
    <x v="18"/>
    <x v="0"/>
    <s v="P226"/>
    <x v="1"/>
    <n v="5"/>
    <n v="986.27"/>
    <x v="2"/>
    <n v="402.6"/>
    <s v="Returning"/>
    <s v="Cash"/>
    <n v="4684.7825000000003"/>
    <n v="2671.7825000000003"/>
    <s v="Monday"/>
    <x v="0"/>
  </r>
  <r>
    <s v="NV1585"/>
    <d v="2024-03-29T00:00:00"/>
    <x v="50"/>
    <x v="0"/>
    <s v="P66"/>
    <x v="2"/>
    <n v="1"/>
    <n v="1843.85"/>
    <x v="4"/>
    <n v="1248.97"/>
    <s v="Returning"/>
    <s v="Digital"/>
    <n v="1567.2724999999998"/>
    <n v="318.30249999999978"/>
    <s v="Friday"/>
    <x v="0"/>
  </r>
  <r>
    <s v="NV1586"/>
    <d v="2024-09-25T00:00:00"/>
    <x v="52"/>
    <x v="0"/>
    <s v="P97"/>
    <x v="0"/>
    <n v="5"/>
    <n v="2390.67"/>
    <x v="6"/>
    <n v="1326.87"/>
    <s v="New"/>
    <s v="Cash"/>
    <n v="11953.35"/>
    <n v="5319.0000000000009"/>
    <s v="Wednesday"/>
    <x v="0"/>
  </r>
  <r>
    <s v="NV1587"/>
    <d v="2024-10-09T00:00:00"/>
    <x v="10"/>
    <x v="0"/>
    <s v="P142"/>
    <x v="0"/>
    <n v="5"/>
    <n v="735.78"/>
    <x v="6"/>
    <n v="387.8"/>
    <s v="Returning"/>
    <s v="Cash"/>
    <n v="3678.8999999999996"/>
    <n v="1739.8999999999996"/>
    <s v="Wednesday"/>
    <x v="0"/>
  </r>
  <r>
    <s v="NV1588"/>
    <d v="2024-07-25T00:00:00"/>
    <x v="21"/>
    <x v="1"/>
    <s v="P93"/>
    <x v="1"/>
    <n v="1"/>
    <n v="1038.95"/>
    <x v="3"/>
    <n v="682.07"/>
    <s v="New"/>
    <s v="Card"/>
    <n v="935.05500000000006"/>
    <n v="252.98500000000001"/>
    <s v="Thursday"/>
    <x v="0"/>
  </r>
  <r>
    <s v="NV1589"/>
    <d v="2025-11-05T00:00:00"/>
    <x v="11"/>
    <x v="1"/>
    <s v="P85"/>
    <x v="1"/>
    <n v="4"/>
    <n v="1166.23"/>
    <x v="3"/>
    <n v="652.49"/>
    <s v="Returning"/>
    <s v="Card"/>
    <n v="4198.4279999999999"/>
    <n v="1588.4679999999998"/>
    <s v="Wednesday"/>
    <x v="0"/>
  </r>
  <r>
    <s v="NV1590"/>
    <d v="2024-10-06T00:00:00"/>
    <x v="34"/>
    <x v="3"/>
    <s v="P178"/>
    <x v="1"/>
    <n v="5"/>
    <n v="2208.2199999999998"/>
    <x v="5"/>
    <n v="1376.6"/>
    <s v="New"/>
    <s v="Digital"/>
    <n v="8280.8249999999989"/>
    <n v="1397.8249999999989"/>
    <s v="Sunday"/>
    <x v="1"/>
  </r>
  <r>
    <s v="NV1591"/>
    <d v="2025-04-12T00:00:00"/>
    <x v="44"/>
    <x v="2"/>
    <s v="P52"/>
    <x v="2"/>
    <n v="4"/>
    <n v="2980.34"/>
    <x v="2"/>
    <n v="1758.68"/>
    <s v="New"/>
    <s v="Cash"/>
    <n v="11325.291999999999"/>
    <n v="4290.5719999999992"/>
    <s v="Saturday"/>
    <x v="1"/>
  </r>
  <r>
    <s v="NV1592"/>
    <d v="2024-06-18T00:00:00"/>
    <x v="4"/>
    <x v="2"/>
    <s v="P75"/>
    <x v="1"/>
    <n v="3"/>
    <n v="1183.52"/>
    <x v="3"/>
    <n v="696.42"/>
    <s v="New"/>
    <s v="Card"/>
    <n v="3195.5039999999999"/>
    <n v="1106.2440000000001"/>
    <s v="Tuesday"/>
    <x v="0"/>
  </r>
  <r>
    <s v="NV1593"/>
    <d v="2024-10-05T00:00:00"/>
    <x v="36"/>
    <x v="3"/>
    <s v="P212"/>
    <x v="0"/>
    <n v="3"/>
    <n v="1219.07"/>
    <x v="3"/>
    <n v="824.6"/>
    <s v="New"/>
    <s v="Digital"/>
    <n v="3291.489"/>
    <n v="817.68899999999985"/>
    <s v="Saturday"/>
    <x v="1"/>
  </r>
  <r>
    <s v="NV1594"/>
    <d v="2025-08-07T00:00:00"/>
    <x v="56"/>
    <x v="2"/>
    <s v="P232"/>
    <x v="2"/>
    <n v="5"/>
    <n v="468.04"/>
    <x v="6"/>
    <n v="225.6"/>
    <s v="Returning"/>
    <s v="Digital"/>
    <n v="2340.2000000000003"/>
    <n v="1212.2000000000003"/>
    <s v="Thursday"/>
    <x v="0"/>
  </r>
  <r>
    <s v="NV1595"/>
    <d v="2025-10-19T00:00:00"/>
    <x v="20"/>
    <x v="2"/>
    <s v="P235"/>
    <x v="1"/>
    <n v="3"/>
    <n v="520.78"/>
    <x v="5"/>
    <n v="307.12"/>
    <s v="Returning"/>
    <s v="Cash"/>
    <n v="1171.7549999999999"/>
    <n v="250.39499999999987"/>
    <s v="Sunday"/>
    <x v="1"/>
  </r>
  <r>
    <s v="NV1596"/>
    <d v="2025-05-08T00:00:00"/>
    <x v="39"/>
    <x v="1"/>
    <s v="P93"/>
    <x v="0"/>
    <n v="3"/>
    <n v="1491.55"/>
    <x v="1"/>
    <n v="1003.33"/>
    <s v="Returning"/>
    <s v="Card"/>
    <n v="3579.72"/>
    <n v="569.72999999999956"/>
    <s v="Thursday"/>
    <x v="0"/>
  </r>
  <r>
    <s v="NV1597"/>
    <d v="2024-12-31T00:00:00"/>
    <x v="19"/>
    <x v="3"/>
    <s v="P212"/>
    <x v="1"/>
    <n v="2"/>
    <n v="491.46"/>
    <x v="5"/>
    <n v="198.75"/>
    <s v="Returning"/>
    <s v="Cash"/>
    <n v="737.18999999999994"/>
    <n v="339.68999999999994"/>
    <s v="Tuesday"/>
    <x v="0"/>
  </r>
  <r>
    <s v="NV1598"/>
    <d v="2024-03-26T00:00:00"/>
    <x v="16"/>
    <x v="3"/>
    <s v="P158"/>
    <x v="0"/>
    <n v="1"/>
    <n v="517.77"/>
    <x v="3"/>
    <n v="321.95"/>
    <s v="New"/>
    <s v="Cash"/>
    <n v="465.99299999999999"/>
    <n v="144.04300000000001"/>
    <s v="Tuesday"/>
    <x v="0"/>
  </r>
  <r>
    <s v="NV1599"/>
    <d v="2025-06-05T00:00:00"/>
    <x v="40"/>
    <x v="1"/>
    <s v="P4"/>
    <x v="0"/>
    <n v="2"/>
    <n v="849.85"/>
    <x v="3"/>
    <n v="382.97"/>
    <s v="Returning"/>
    <s v="Card"/>
    <n v="1529.73"/>
    <n v="763.79"/>
    <s v="Thursday"/>
    <x v="0"/>
  </r>
  <r>
    <s v="NV1600"/>
    <d v="2024-10-14T00:00:00"/>
    <x v="29"/>
    <x v="1"/>
    <s v="P143"/>
    <x v="1"/>
    <n v="4"/>
    <n v="2934.88"/>
    <x v="4"/>
    <n v="1578.13"/>
    <s v="Returning"/>
    <s v="Digital"/>
    <n v="9978.5920000000006"/>
    <n v="3666.0720000000001"/>
    <s v="Monday"/>
    <x v="0"/>
  </r>
  <r>
    <s v="NV1601"/>
    <d v="2024-08-21T00:00:00"/>
    <x v="37"/>
    <x v="2"/>
    <s v="P157"/>
    <x v="0"/>
    <n v="4"/>
    <n v="2611.73"/>
    <x v="3"/>
    <n v="1364.01"/>
    <s v="New"/>
    <s v="Card"/>
    <n v="9402.228000000001"/>
    <n v="3946.188000000001"/>
    <s v="Wednesday"/>
    <x v="0"/>
  </r>
  <r>
    <s v="NV1602"/>
    <d v="2025-04-11T00:00:00"/>
    <x v="37"/>
    <x v="1"/>
    <s v="P253"/>
    <x v="0"/>
    <n v="1"/>
    <n v="1239.2"/>
    <x v="6"/>
    <n v="829.37"/>
    <s v="New"/>
    <s v="Cash"/>
    <n v="1239.2"/>
    <n v="409.83000000000004"/>
    <s v="Friday"/>
    <x v="0"/>
  </r>
  <r>
    <s v="NV1603"/>
    <d v="2025-01-21T00:00:00"/>
    <x v="46"/>
    <x v="1"/>
    <s v="P251"/>
    <x v="2"/>
    <n v="4"/>
    <n v="1249.55"/>
    <x v="6"/>
    <n v="685.15"/>
    <s v="New"/>
    <s v="Digital"/>
    <n v="4998.2"/>
    <n v="2257.6"/>
    <s v="Tuesday"/>
    <x v="0"/>
  </r>
  <r>
    <s v="NV1604"/>
    <d v="2025-07-20T00:00:00"/>
    <x v="17"/>
    <x v="0"/>
    <s v="P88"/>
    <x v="1"/>
    <n v="4"/>
    <n v="592.66"/>
    <x v="2"/>
    <n v="326.89999999999998"/>
    <s v="New"/>
    <s v="Digital"/>
    <n v="2252.1079999999997"/>
    <n v="944.50799999999981"/>
    <s v="Sunday"/>
    <x v="1"/>
  </r>
  <r>
    <s v="NV1605"/>
    <d v="2024-10-17T00:00:00"/>
    <x v="19"/>
    <x v="1"/>
    <s v="P144"/>
    <x v="0"/>
    <n v="3"/>
    <n v="1468.53"/>
    <x v="2"/>
    <n v="990.98"/>
    <s v="New"/>
    <s v="Cash"/>
    <n v="4185.3104999999996"/>
    <n v="1212.3704999999995"/>
    <s v="Thursday"/>
    <x v="0"/>
  </r>
  <r>
    <s v="NV1606"/>
    <d v="2025-06-15T00:00:00"/>
    <x v="34"/>
    <x v="1"/>
    <s v="P262"/>
    <x v="0"/>
    <n v="1"/>
    <n v="1856.6"/>
    <x v="0"/>
    <n v="1240.78"/>
    <s v="New"/>
    <s v="Card"/>
    <n v="1299.6199999999999"/>
    <n v="58.839999999999918"/>
    <s v="Sunday"/>
    <x v="1"/>
  </r>
  <r>
    <s v="NV1607"/>
    <d v="2025-09-02T00:00:00"/>
    <x v="29"/>
    <x v="2"/>
    <s v="P153"/>
    <x v="0"/>
    <n v="1"/>
    <n v="1854.98"/>
    <x v="5"/>
    <n v="1162.73"/>
    <s v="New"/>
    <s v="Card"/>
    <n v="1391.2350000000001"/>
    <n v="228.50500000000011"/>
    <s v="Tuesday"/>
    <x v="0"/>
  </r>
  <r>
    <s v="NV1608"/>
    <d v="2024-06-25T00:00:00"/>
    <x v="7"/>
    <x v="2"/>
    <s v="P203"/>
    <x v="0"/>
    <n v="2"/>
    <n v="1069.5999999999999"/>
    <x v="3"/>
    <n v="725.64"/>
    <s v="Returning"/>
    <s v="Card"/>
    <n v="1925.28"/>
    <n v="474"/>
    <s v="Tuesday"/>
    <x v="0"/>
  </r>
  <r>
    <s v="NV1609"/>
    <d v="2025-07-03T00:00:00"/>
    <x v="17"/>
    <x v="3"/>
    <s v="P121"/>
    <x v="2"/>
    <n v="3"/>
    <n v="549.86"/>
    <x v="2"/>
    <n v="290.33999999999997"/>
    <s v="New"/>
    <s v="Cash"/>
    <n v="1567.1009999999999"/>
    <n v="696.0809999999999"/>
    <s v="Thursday"/>
    <x v="0"/>
  </r>
  <r>
    <s v="NV1610"/>
    <d v="2025-09-23T00:00:00"/>
    <x v="12"/>
    <x v="3"/>
    <s v="P151"/>
    <x v="0"/>
    <n v="5"/>
    <n v="2639.82"/>
    <x v="0"/>
    <n v="1741.31"/>
    <s v="Returning"/>
    <s v="Cash"/>
    <n v="9239.369999999999"/>
    <n v="532.81999999999971"/>
    <s v="Tuesday"/>
    <x v="0"/>
  </r>
  <r>
    <s v="NV1611"/>
    <d v="2024-01-31T00:00:00"/>
    <x v="40"/>
    <x v="1"/>
    <s v="P36"/>
    <x v="0"/>
    <n v="4"/>
    <n v="2678.17"/>
    <x v="2"/>
    <n v="1371.4"/>
    <s v="New"/>
    <s v="Digital"/>
    <n v="10177.046"/>
    <n v="4691.4459999999999"/>
    <s v="Wednesday"/>
    <x v="0"/>
  </r>
  <r>
    <s v="NV1612"/>
    <d v="2024-04-26T00:00:00"/>
    <x v="28"/>
    <x v="1"/>
    <s v="P233"/>
    <x v="0"/>
    <n v="1"/>
    <n v="2617.7600000000002"/>
    <x v="4"/>
    <n v="1261.1400000000001"/>
    <s v="New"/>
    <s v="Card"/>
    <n v="2225.096"/>
    <n v="963.9559999999999"/>
    <s v="Friday"/>
    <x v="0"/>
  </r>
  <r>
    <s v="NV1613"/>
    <d v="2024-08-22T00:00:00"/>
    <x v="21"/>
    <x v="2"/>
    <s v="P54"/>
    <x v="2"/>
    <n v="3"/>
    <n v="2712.83"/>
    <x v="0"/>
    <n v="1243.46"/>
    <s v="Returning"/>
    <s v="Digital"/>
    <n v="5696.9429999999993"/>
    <n v="1966.5629999999992"/>
    <s v="Thursday"/>
    <x v="0"/>
  </r>
  <r>
    <s v="NV1614"/>
    <d v="2024-01-30T00:00:00"/>
    <x v="11"/>
    <x v="3"/>
    <s v="P190"/>
    <x v="0"/>
    <n v="3"/>
    <n v="1108.24"/>
    <x v="3"/>
    <n v="773.44"/>
    <s v="New"/>
    <s v="Card"/>
    <n v="2992.2480000000005"/>
    <n v="671.92800000000034"/>
    <s v="Tuesday"/>
    <x v="0"/>
  </r>
  <r>
    <s v="NV1615"/>
    <d v="2024-02-10T00:00:00"/>
    <x v="18"/>
    <x v="2"/>
    <s v="P84"/>
    <x v="0"/>
    <n v="1"/>
    <n v="1739.81"/>
    <x v="2"/>
    <n v="869.53"/>
    <s v="Returning"/>
    <s v="Digital"/>
    <n v="1652.8194999999998"/>
    <n v="783.28949999999986"/>
    <s v="Saturday"/>
    <x v="1"/>
  </r>
  <r>
    <s v="NV1616"/>
    <d v="2025-09-12T00:00:00"/>
    <x v="26"/>
    <x v="3"/>
    <s v="P27"/>
    <x v="1"/>
    <n v="3"/>
    <n v="632.25"/>
    <x v="5"/>
    <n v="368.17"/>
    <s v="New"/>
    <s v="Digital"/>
    <n v="1422.5625"/>
    <n v="318.05250000000001"/>
    <s v="Friday"/>
    <x v="0"/>
  </r>
  <r>
    <s v="NV1617"/>
    <d v="2025-08-21T00:00:00"/>
    <x v="21"/>
    <x v="1"/>
    <s v="P145"/>
    <x v="1"/>
    <n v="1"/>
    <n v="2394.11"/>
    <x v="3"/>
    <n v="1250.5899999999999"/>
    <s v="New"/>
    <s v="Card"/>
    <n v="2154.6990000000001"/>
    <n v="904.10900000000015"/>
    <s v="Thursday"/>
    <x v="0"/>
  </r>
  <r>
    <s v="NV1618"/>
    <d v="2024-07-14T00:00:00"/>
    <x v="11"/>
    <x v="2"/>
    <s v="P241"/>
    <x v="1"/>
    <n v="1"/>
    <n v="523.6"/>
    <x v="1"/>
    <n v="354.13"/>
    <s v="Returning"/>
    <s v="Digital"/>
    <n v="418.88000000000005"/>
    <n v="64.750000000000057"/>
    <s v="Sunday"/>
    <x v="1"/>
  </r>
  <r>
    <s v="NV1619"/>
    <d v="2024-05-11T00:00:00"/>
    <x v="2"/>
    <x v="0"/>
    <s v="P177"/>
    <x v="1"/>
    <n v="1"/>
    <n v="532"/>
    <x v="3"/>
    <n v="315.33999999999997"/>
    <s v="New"/>
    <s v="Cash"/>
    <n v="478.8"/>
    <n v="163.46000000000004"/>
    <s v="Saturday"/>
    <x v="1"/>
  </r>
  <r>
    <s v="NV1620"/>
    <d v="2025-01-15T00:00:00"/>
    <x v="9"/>
    <x v="1"/>
    <s v="P29"/>
    <x v="1"/>
    <n v="5"/>
    <n v="572.07000000000005"/>
    <x v="6"/>
    <n v="291.77999999999997"/>
    <s v="Returning"/>
    <s v="Digital"/>
    <n v="2860.3500000000004"/>
    <n v="1401.4500000000005"/>
    <s v="Wednesday"/>
    <x v="0"/>
  </r>
  <r>
    <s v="NV1621"/>
    <d v="2024-04-29T00:00:00"/>
    <x v="38"/>
    <x v="0"/>
    <s v="P103"/>
    <x v="1"/>
    <n v="2"/>
    <n v="1789.26"/>
    <x v="4"/>
    <n v="950.54"/>
    <s v="New"/>
    <s v="Digital"/>
    <n v="3041.7419999999997"/>
    <n v="1140.6619999999998"/>
    <s v="Monday"/>
    <x v="0"/>
  </r>
  <r>
    <s v="NV1622"/>
    <d v="2025-08-16T00:00:00"/>
    <x v="32"/>
    <x v="0"/>
    <s v="P102"/>
    <x v="0"/>
    <n v="5"/>
    <n v="846.46"/>
    <x v="5"/>
    <n v="437.44"/>
    <s v="Returning"/>
    <s v="Card"/>
    <n v="3174.2250000000004"/>
    <n v="987.02500000000055"/>
    <s v="Saturday"/>
    <x v="1"/>
  </r>
  <r>
    <s v="NV1623"/>
    <d v="2025-07-12T00:00:00"/>
    <x v="40"/>
    <x v="1"/>
    <s v="P256"/>
    <x v="2"/>
    <n v="3"/>
    <n v="950.36"/>
    <x v="5"/>
    <n v="384.38"/>
    <s v="New"/>
    <s v="Cash"/>
    <n v="2138.31"/>
    <n v="985.17000000000007"/>
    <s v="Saturday"/>
    <x v="1"/>
  </r>
  <r>
    <s v="NV1624"/>
    <d v="2025-10-09T00:00:00"/>
    <x v="0"/>
    <x v="2"/>
    <s v="P57"/>
    <x v="2"/>
    <n v="5"/>
    <n v="2963.29"/>
    <x v="0"/>
    <n v="1365.8"/>
    <s v="New"/>
    <s v="Cash"/>
    <n v="10371.514999999999"/>
    <n v="3542.5149999999994"/>
    <s v="Thursday"/>
    <x v="0"/>
  </r>
  <r>
    <s v="NV1625"/>
    <d v="2025-10-22T00:00:00"/>
    <x v="16"/>
    <x v="3"/>
    <s v="P155"/>
    <x v="0"/>
    <n v="4"/>
    <n v="2665.06"/>
    <x v="3"/>
    <n v="1667.37"/>
    <s v="New"/>
    <s v="Digital"/>
    <n v="9594.2160000000003"/>
    <n v="2924.7360000000008"/>
    <s v="Wednesday"/>
    <x v="0"/>
  </r>
  <r>
    <s v="NV1626"/>
    <d v="2025-10-13T00:00:00"/>
    <x v="0"/>
    <x v="1"/>
    <s v="P247"/>
    <x v="1"/>
    <n v="4"/>
    <n v="2337.9699999999998"/>
    <x v="6"/>
    <n v="1311.5"/>
    <s v="New"/>
    <s v="Cash"/>
    <n v="9351.8799999999992"/>
    <n v="4105.8799999999992"/>
    <s v="Monday"/>
    <x v="0"/>
  </r>
  <r>
    <s v="NV1627"/>
    <d v="2025-03-16T00:00:00"/>
    <x v="7"/>
    <x v="0"/>
    <s v="P204"/>
    <x v="2"/>
    <n v="1"/>
    <n v="828.83"/>
    <x v="2"/>
    <n v="488.49"/>
    <s v="Returning"/>
    <s v="Cash"/>
    <n v="787.38850000000002"/>
    <n v="298.89850000000001"/>
    <s v="Sunday"/>
    <x v="1"/>
  </r>
  <r>
    <s v="NV1628"/>
    <d v="2024-03-30T00:00:00"/>
    <x v="43"/>
    <x v="2"/>
    <s v="P274"/>
    <x v="1"/>
    <n v="3"/>
    <n v="1600.56"/>
    <x v="1"/>
    <n v="860.47"/>
    <s v="Returning"/>
    <s v="Card"/>
    <n v="3841.3440000000005"/>
    <n v="1259.9340000000007"/>
    <s v="Saturday"/>
    <x v="1"/>
  </r>
  <r>
    <s v="NV1629"/>
    <d v="2024-06-01T00:00:00"/>
    <x v="45"/>
    <x v="2"/>
    <s v="P150"/>
    <x v="0"/>
    <n v="2"/>
    <n v="2205.04"/>
    <x v="3"/>
    <n v="1354.93"/>
    <s v="New"/>
    <s v="Cash"/>
    <n v="3969.0720000000001"/>
    <n v="1259.212"/>
    <s v="Saturday"/>
    <x v="1"/>
  </r>
  <r>
    <s v="NV1630"/>
    <d v="2025-10-19T00:00:00"/>
    <x v="28"/>
    <x v="0"/>
    <s v="P284"/>
    <x v="1"/>
    <n v="3"/>
    <n v="653.74"/>
    <x v="4"/>
    <n v="374.86"/>
    <s v="Returning"/>
    <s v="Cash"/>
    <n v="1667.037"/>
    <n v="542.45700000000011"/>
    <s v="Sunday"/>
    <x v="1"/>
  </r>
  <r>
    <s v="NV1631"/>
    <d v="2025-09-23T00:00:00"/>
    <x v="43"/>
    <x v="1"/>
    <s v="P193"/>
    <x v="2"/>
    <n v="2"/>
    <n v="1788.27"/>
    <x v="3"/>
    <n v="1051.6300000000001"/>
    <s v="New"/>
    <s v="Card"/>
    <n v="3218.886"/>
    <n v="1115.6259999999997"/>
    <s v="Tuesday"/>
    <x v="0"/>
  </r>
  <r>
    <s v="NV1632"/>
    <d v="2024-12-12T00:00:00"/>
    <x v="56"/>
    <x v="2"/>
    <s v="P113"/>
    <x v="0"/>
    <n v="1"/>
    <n v="764.44"/>
    <x v="6"/>
    <n v="474.48"/>
    <s v="Returning"/>
    <s v="Cash"/>
    <n v="764.44"/>
    <n v="289.96000000000004"/>
    <s v="Thursday"/>
    <x v="0"/>
  </r>
  <r>
    <s v="NV1633"/>
    <d v="2024-07-15T00:00:00"/>
    <x v="32"/>
    <x v="2"/>
    <s v="P222"/>
    <x v="0"/>
    <n v="1"/>
    <n v="2692.05"/>
    <x v="1"/>
    <n v="1303.1199999999999"/>
    <s v="Returning"/>
    <s v="Card"/>
    <n v="2153.6400000000003"/>
    <n v="850.52000000000044"/>
    <s v="Monday"/>
    <x v="0"/>
  </r>
  <r>
    <s v="NV1634"/>
    <d v="2025-01-12T00:00:00"/>
    <x v="44"/>
    <x v="2"/>
    <s v="P230"/>
    <x v="2"/>
    <n v="5"/>
    <n v="2234.2600000000002"/>
    <x v="6"/>
    <n v="1297.77"/>
    <s v="Returning"/>
    <s v="Card"/>
    <n v="11171.300000000001"/>
    <n v="4682.4500000000007"/>
    <s v="Sunday"/>
    <x v="1"/>
  </r>
  <r>
    <s v="NV1635"/>
    <d v="2024-08-18T00:00:00"/>
    <x v="18"/>
    <x v="1"/>
    <s v="P298"/>
    <x v="0"/>
    <n v="4"/>
    <n v="2258.63"/>
    <x v="2"/>
    <n v="982.68"/>
    <s v="New"/>
    <s v="Digital"/>
    <n v="8582.7939999999999"/>
    <n v="4652.0740000000005"/>
    <s v="Sunday"/>
    <x v="1"/>
  </r>
  <r>
    <s v="NV1636"/>
    <d v="2024-09-16T00:00:00"/>
    <x v="36"/>
    <x v="3"/>
    <s v="P124"/>
    <x v="0"/>
    <n v="2"/>
    <n v="2909.34"/>
    <x v="3"/>
    <n v="1320.28"/>
    <s v="New"/>
    <s v="Cash"/>
    <n v="5236.8120000000008"/>
    <n v="2596.2520000000009"/>
    <s v="Monday"/>
    <x v="0"/>
  </r>
  <r>
    <s v="NV1637"/>
    <d v="2024-07-07T00:00:00"/>
    <x v="46"/>
    <x v="2"/>
    <s v="P152"/>
    <x v="1"/>
    <n v="3"/>
    <n v="850.86"/>
    <x v="4"/>
    <n v="439.78"/>
    <s v="Returning"/>
    <s v="Card"/>
    <n v="2169.6929999999998"/>
    <n v="850.35299999999984"/>
    <s v="Sunday"/>
    <x v="1"/>
  </r>
  <r>
    <s v="NV1638"/>
    <d v="2024-12-31T00:00:00"/>
    <x v="10"/>
    <x v="2"/>
    <s v="P90"/>
    <x v="1"/>
    <n v="3"/>
    <n v="879.01"/>
    <x v="2"/>
    <n v="557.6"/>
    <s v="Returning"/>
    <s v="Cash"/>
    <n v="2505.1784999999995"/>
    <n v="832.37849999999935"/>
    <s v="Tuesday"/>
    <x v="0"/>
  </r>
  <r>
    <s v="NV1639"/>
    <d v="2024-01-03T00:00:00"/>
    <x v="18"/>
    <x v="1"/>
    <s v="P145"/>
    <x v="0"/>
    <n v="1"/>
    <n v="1987.73"/>
    <x v="2"/>
    <n v="1020.45"/>
    <s v="New"/>
    <s v="Card"/>
    <n v="1888.3434999999999"/>
    <n v="867.8934999999999"/>
    <s v="Wednesday"/>
    <x v="0"/>
  </r>
  <r>
    <s v="NV1640"/>
    <d v="2025-11-06T00:00:00"/>
    <x v="37"/>
    <x v="2"/>
    <s v="P239"/>
    <x v="0"/>
    <n v="3"/>
    <n v="451.47"/>
    <x v="6"/>
    <n v="269.05"/>
    <s v="New"/>
    <s v="Card"/>
    <n v="1354.41"/>
    <n v="547.26"/>
    <s v="Thursday"/>
    <x v="0"/>
  </r>
  <r>
    <s v="NV1641"/>
    <d v="2025-06-09T00:00:00"/>
    <x v="16"/>
    <x v="0"/>
    <s v="P49"/>
    <x v="2"/>
    <n v="4"/>
    <n v="2390.67"/>
    <x v="0"/>
    <n v="1176.79"/>
    <s v="New"/>
    <s v="Cash"/>
    <n v="6693.8760000000002"/>
    <n v="1986.7160000000003"/>
    <s v="Monday"/>
    <x v="0"/>
  </r>
  <r>
    <s v="NV1642"/>
    <d v="2024-02-17T00:00:00"/>
    <x v="41"/>
    <x v="0"/>
    <s v="P259"/>
    <x v="1"/>
    <n v="3"/>
    <n v="2897.51"/>
    <x v="3"/>
    <n v="1500.67"/>
    <s v="Returning"/>
    <s v="Digital"/>
    <n v="7823.277000000001"/>
    <n v="3321.2670000000007"/>
    <s v="Saturday"/>
    <x v="1"/>
  </r>
  <r>
    <s v="NV1643"/>
    <d v="2025-09-28T00:00:00"/>
    <x v="24"/>
    <x v="2"/>
    <s v="P214"/>
    <x v="2"/>
    <n v="3"/>
    <n v="1950.39"/>
    <x v="0"/>
    <n v="786.05"/>
    <s v="Returning"/>
    <s v="Cash"/>
    <n v="4095.819"/>
    <n v="1737.6690000000003"/>
    <s v="Sunday"/>
    <x v="1"/>
  </r>
  <r>
    <s v="NV1644"/>
    <d v="2025-06-02T00:00:00"/>
    <x v="50"/>
    <x v="2"/>
    <s v="P239"/>
    <x v="0"/>
    <n v="4"/>
    <n v="1216.8499999999999"/>
    <x v="0"/>
    <n v="638.41"/>
    <s v="Returning"/>
    <s v="Digital"/>
    <n v="3407.1799999999994"/>
    <n v="853.53999999999951"/>
    <s v="Monday"/>
    <x v="0"/>
  </r>
  <r>
    <s v="NV1645"/>
    <d v="2025-06-27T00:00:00"/>
    <x v="18"/>
    <x v="2"/>
    <s v="P139"/>
    <x v="2"/>
    <n v="4"/>
    <n v="2712.19"/>
    <x v="2"/>
    <n v="1298.52"/>
    <s v="Returning"/>
    <s v="Card"/>
    <n v="10306.322"/>
    <n v="5112.2420000000002"/>
    <s v="Friday"/>
    <x v="0"/>
  </r>
  <r>
    <s v="NV1646"/>
    <d v="2024-02-29T00:00:00"/>
    <x v="8"/>
    <x v="1"/>
    <s v="P249"/>
    <x v="0"/>
    <n v="4"/>
    <n v="2729.07"/>
    <x v="3"/>
    <n v="1227.26"/>
    <s v="Returning"/>
    <s v="Cash"/>
    <n v="9824.652"/>
    <n v="4915.6120000000001"/>
    <s v="Thursday"/>
    <x v="0"/>
  </r>
  <r>
    <s v="NV1647"/>
    <d v="2024-10-21T00:00:00"/>
    <x v="23"/>
    <x v="0"/>
    <s v="P152"/>
    <x v="0"/>
    <n v="3"/>
    <n v="928.71"/>
    <x v="3"/>
    <n v="537.66"/>
    <s v="New"/>
    <s v="Digital"/>
    <n v="2507.5170000000003"/>
    <n v="894.53700000000026"/>
    <s v="Monday"/>
    <x v="0"/>
  </r>
  <r>
    <s v="NV1648"/>
    <d v="2025-06-07T00:00:00"/>
    <x v="56"/>
    <x v="2"/>
    <s v="P41"/>
    <x v="0"/>
    <n v="5"/>
    <n v="861.77"/>
    <x v="5"/>
    <n v="357.68"/>
    <s v="Returning"/>
    <s v="Card"/>
    <n v="3231.6375000000003"/>
    <n v="1443.2375000000002"/>
    <s v="Saturday"/>
    <x v="1"/>
  </r>
  <r>
    <s v="NV1649"/>
    <d v="2025-06-13T00:00:00"/>
    <x v="29"/>
    <x v="3"/>
    <s v="P12"/>
    <x v="1"/>
    <n v="3"/>
    <n v="1646.9"/>
    <x v="5"/>
    <n v="1080.5899999999999"/>
    <s v="Returning"/>
    <s v="Cash"/>
    <n v="3705.5250000000005"/>
    <n v="463.75500000000102"/>
    <s v="Friday"/>
    <x v="0"/>
  </r>
  <r>
    <s v="NV1650"/>
    <d v="2024-07-02T00:00:00"/>
    <x v="46"/>
    <x v="2"/>
    <s v="P216"/>
    <x v="2"/>
    <n v="5"/>
    <n v="2971.91"/>
    <x v="5"/>
    <n v="2069.79"/>
    <s v="New"/>
    <s v="Card"/>
    <n v="11144.662499999999"/>
    <n v="795.71249999999782"/>
    <s v="Tuesday"/>
    <x v="0"/>
  </r>
  <r>
    <s v="NV1651"/>
    <d v="2024-05-12T00:00:00"/>
    <x v="3"/>
    <x v="2"/>
    <s v="P200"/>
    <x v="0"/>
    <n v="2"/>
    <n v="2119.1999999999998"/>
    <x v="2"/>
    <n v="1025.97"/>
    <s v="New"/>
    <s v="Card"/>
    <n v="4026.4799999999996"/>
    <n v="1974.5399999999995"/>
    <s v="Sunday"/>
    <x v="1"/>
  </r>
  <r>
    <s v="NV1652"/>
    <d v="2025-01-14T00:00:00"/>
    <x v="17"/>
    <x v="2"/>
    <s v="P226"/>
    <x v="0"/>
    <n v="1"/>
    <n v="2627.39"/>
    <x v="4"/>
    <n v="1273.27"/>
    <s v="New"/>
    <s v="Digital"/>
    <n v="2233.2815000000001"/>
    <n v="960.01150000000007"/>
    <s v="Tuesday"/>
    <x v="0"/>
  </r>
  <r>
    <s v="NV1653"/>
    <d v="2024-09-06T00:00:00"/>
    <x v="59"/>
    <x v="2"/>
    <s v="P187"/>
    <x v="1"/>
    <n v="5"/>
    <n v="773.23"/>
    <x v="4"/>
    <n v="411.12"/>
    <s v="Returning"/>
    <s v="Cash"/>
    <n v="3286.2275"/>
    <n v="1230.6275000000001"/>
    <s v="Friday"/>
    <x v="0"/>
  </r>
  <r>
    <s v="NV1654"/>
    <d v="2025-05-29T00:00:00"/>
    <x v="41"/>
    <x v="2"/>
    <s v="P185"/>
    <x v="1"/>
    <n v="5"/>
    <n v="2848.42"/>
    <x v="3"/>
    <n v="1528.25"/>
    <s v="Returning"/>
    <s v="Digital"/>
    <n v="12817.890000000001"/>
    <n v="5176.6400000000012"/>
    <s v="Thursday"/>
    <x v="0"/>
  </r>
  <r>
    <s v="NV1655"/>
    <d v="2024-04-30T00:00:00"/>
    <x v="48"/>
    <x v="2"/>
    <s v="P28"/>
    <x v="1"/>
    <n v="1"/>
    <n v="1422.9"/>
    <x v="4"/>
    <n v="863.75"/>
    <s v="Returning"/>
    <s v="Digital"/>
    <n v="1209.4650000000001"/>
    <n v="345.71500000000015"/>
    <s v="Tuesday"/>
    <x v="0"/>
  </r>
  <r>
    <s v="NV1656"/>
    <d v="2025-02-17T00:00:00"/>
    <x v="51"/>
    <x v="1"/>
    <s v="P159"/>
    <x v="2"/>
    <n v="1"/>
    <n v="1835.7"/>
    <x v="2"/>
    <n v="947.4"/>
    <s v="Returning"/>
    <s v="Digital"/>
    <n v="1743.915"/>
    <n v="796.51499999999999"/>
    <s v="Monday"/>
    <x v="0"/>
  </r>
  <r>
    <s v="NV1657"/>
    <d v="2025-10-26T00:00:00"/>
    <x v="6"/>
    <x v="1"/>
    <s v="P184"/>
    <x v="2"/>
    <n v="3"/>
    <n v="2050.89"/>
    <x v="0"/>
    <n v="1290.57"/>
    <s v="New"/>
    <s v="Card"/>
    <n v="4306.8689999999997"/>
    <n v="435.15899999999965"/>
    <s v="Sunday"/>
    <x v="1"/>
  </r>
  <r>
    <s v="NV1658"/>
    <d v="2024-10-31T00:00:00"/>
    <x v="47"/>
    <x v="2"/>
    <s v="P63"/>
    <x v="0"/>
    <n v="3"/>
    <n v="748.53"/>
    <x v="0"/>
    <n v="424.36"/>
    <s v="New"/>
    <s v="Card"/>
    <n v="1571.913"/>
    <n v="298.83300000000008"/>
    <s v="Thursday"/>
    <x v="0"/>
  </r>
  <r>
    <s v="NV1659"/>
    <d v="2025-10-30T00:00:00"/>
    <x v="2"/>
    <x v="3"/>
    <s v="P225"/>
    <x v="2"/>
    <n v="1"/>
    <n v="1537.9"/>
    <x v="6"/>
    <n v="681.73"/>
    <s v="Returning"/>
    <s v="Card"/>
    <n v="1537.9"/>
    <n v="856.17000000000007"/>
    <s v="Thursday"/>
    <x v="0"/>
  </r>
  <r>
    <s v="NV1660"/>
    <d v="2024-10-01T00:00:00"/>
    <x v="17"/>
    <x v="3"/>
    <s v="P169"/>
    <x v="2"/>
    <n v="1"/>
    <n v="2116.65"/>
    <x v="4"/>
    <n v="1000.89"/>
    <s v="Returning"/>
    <s v="Digital"/>
    <n v="1799.1524999999999"/>
    <n v="798.26249999999993"/>
    <s v="Tuesday"/>
    <x v="0"/>
  </r>
  <r>
    <s v="NV1661"/>
    <d v="2024-10-05T00:00:00"/>
    <x v="48"/>
    <x v="0"/>
    <s v="P182"/>
    <x v="2"/>
    <n v="3"/>
    <n v="2706.25"/>
    <x v="3"/>
    <n v="1085.08"/>
    <s v="New"/>
    <s v="Card"/>
    <n v="7306.875"/>
    <n v="4051.6350000000002"/>
    <s v="Saturday"/>
    <x v="1"/>
  </r>
  <r>
    <s v="NV1662"/>
    <d v="2024-03-15T00:00:00"/>
    <x v="45"/>
    <x v="1"/>
    <s v="P99"/>
    <x v="2"/>
    <n v="3"/>
    <n v="327.97"/>
    <x v="4"/>
    <n v="163.32"/>
    <s v="New"/>
    <s v="Card"/>
    <n v="836.32350000000008"/>
    <n v="346.3635000000001"/>
    <s v="Friday"/>
    <x v="0"/>
  </r>
  <r>
    <s v="NV1663"/>
    <d v="2025-11-28T00:00:00"/>
    <x v="28"/>
    <x v="3"/>
    <s v="P181"/>
    <x v="1"/>
    <n v="1"/>
    <n v="713.91"/>
    <x v="1"/>
    <n v="286.42"/>
    <s v="Returning"/>
    <s v="Cash"/>
    <n v="571.12800000000004"/>
    <n v="284.70800000000003"/>
    <s v="Friday"/>
    <x v="0"/>
  </r>
  <r>
    <s v="NV1664"/>
    <d v="2024-06-18T00:00:00"/>
    <x v="16"/>
    <x v="0"/>
    <s v="P207"/>
    <x v="0"/>
    <n v="1"/>
    <n v="2207.42"/>
    <x v="3"/>
    <n v="965.91"/>
    <s v="Returning"/>
    <s v="Digital"/>
    <n v="1986.6780000000001"/>
    <n v="1020.7680000000001"/>
    <s v="Tuesday"/>
    <x v="0"/>
  </r>
  <r>
    <s v="NV1665"/>
    <d v="2024-02-01T00:00:00"/>
    <x v="52"/>
    <x v="3"/>
    <s v="P190"/>
    <x v="2"/>
    <n v="3"/>
    <n v="2101.39"/>
    <x v="1"/>
    <n v="1112.8599999999999"/>
    <s v="New"/>
    <s v="Digital"/>
    <n v="5043.3360000000002"/>
    <n v="1704.7560000000003"/>
    <s v="Thursday"/>
    <x v="0"/>
  </r>
  <r>
    <s v="NV1666"/>
    <d v="2025-11-14T00:00:00"/>
    <x v="16"/>
    <x v="3"/>
    <s v="P28"/>
    <x v="0"/>
    <n v="2"/>
    <n v="1489.19"/>
    <x v="6"/>
    <n v="641.29999999999995"/>
    <s v="Returning"/>
    <s v="Cash"/>
    <n v="2978.38"/>
    <n v="1695.7800000000002"/>
    <s v="Friday"/>
    <x v="0"/>
  </r>
  <r>
    <s v="NV1667"/>
    <d v="2025-02-28T00:00:00"/>
    <x v="46"/>
    <x v="0"/>
    <s v="P228"/>
    <x v="0"/>
    <n v="4"/>
    <n v="2042.45"/>
    <x v="0"/>
    <n v="1199.04"/>
    <s v="New"/>
    <s v="Cash"/>
    <n v="5718.86"/>
    <n v="922.69999999999982"/>
    <s v="Friday"/>
    <x v="0"/>
  </r>
  <r>
    <s v="NV1668"/>
    <d v="2025-05-19T00:00:00"/>
    <x v="43"/>
    <x v="3"/>
    <s v="P32"/>
    <x v="1"/>
    <n v="2"/>
    <n v="1898.56"/>
    <x v="1"/>
    <n v="1151.6400000000001"/>
    <s v="New"/>
    <s v="Card"/>
    <n v="3037.6959999999999"/>
    <n v="734.41599999999971"/>
    <s v="Monday"/>
    <x v="0"/>
  </r>
  <r>
    <s v="NV1669"/>
    <d v="2025-10-28T00:00:00"/>
    <x v="51"/>
    <x v="2"/>
    <s v="P267"/>
    <x v="0"/>
    <n v="2"/>
    <n v="489.38"/>
    <x v="0"/>
    <n v="328.08"/>
    <s v="New"/>
    <s v="Card"/>
    <n v="685.13199999999995"/>
    <n v="28.97199999999998"/>
    <s v="Tuesday"/>
    <x v="0"/>
  </r>
  <r>
    <s v="NV1670"/>
    <d v="2024-09-06T00:00:00"/>
    <x v="47"/>
    <x v="0"/>
    <s v="P62"/>
    <x v="0"/>
    <n v="2"/>
    <n v="916.26"/>
    <x v="5"/>
    <n v="522.6"/>
    <s v="New"/>
    <s v="Digital"/>
    <n v="1374.3899999999999"/>
    <n v="329.18999999999983"/>
    <s v="Friday"/>
    <x v="0"/>
  </r>
  <r>
    <s v="NV1671"/>
    <d v="2025-02-10T00:00:00"/>
    <x v="43"/>
    <x v="3"/>
    <s v="P108"/>
    <x v="2"/>
    <n v="2"/>
    <n v="1010.24"/>
    <x v="2"/>
    <n v="482.23"/>
    <s v="Returning"/>
    <s v="Cash"/>
    <n v="1919.4559999999999"/>
    <n v="954.99599999999987"/>
    <s v="Monday"/>
    <x v="0"/>
  </r>
  <r>
    <s v="NV1672"/>
    <d v="2025-04-12T00:00:00"/>
    <x v="54"/>
    <x v="1"/>
    <s v="P159"/>
    <x v="0"/>
    <n v="5"/>
    <n v="2204.13"/>
    <x v="3"/>
    <n v="1015.98"/>
    <s v="Returning"/>
    <s v="Digital"/>
    <n v="9918.5850000000009"/>
    <n v="4838.6850000000013"/>
    <s v="Saturday"/>
    <x v="1"/>
  </r>
  <r>
    <s v="NV1673"/>
    <d v="2024-01-02T00:00:00"/>
    <x v="24"/>
    <x v="3"/>
    <s v="P262"/>
    <x v="1"/>
    <n v="4"/>
    <n v="2596.35"/>
    <x v="1"/>
    <n v="1792.49"/>
    <s v="New"/>
    <s v="Cash"/>
    <n v="8308.32"/>
    <n v="1138.3599999999997"/>
    <s v="Tuesday"/>
    <x v="0"/>
  </r>
  <r>
    <s v="NV1674"/>
    <d v="2025-02-02T00:00:00"/>
    <x v="14"/>
    <x v="0"/>
    <s v="P194"/>
    <x v="1"/>
    <n v="5"/>
    <n v="392.77"/>
    <x v="2"/>
    <n v="248.21"/>
    <s v="New"/>
    <s v="Cash"/>
    <n v="1865.6574999999998"/>
    <n v="624.60749999999985"/>
    <s v="Sunday"/>
    <x v="1"/>
  </r>
  <r>
    <s v="NV1675"/>
    <d v="2024-03-05T00:00:00"/>
    <x v="1"/>
    <x v="3"/>
    <s v="P233"/>
    <x v="0"/>
    <n v="4"/>
    <n v="958.59"/>
    <x v="1"/>
    <n v="504.27"/>
    <s v="New"/>
    <s v="Digital"/>
    <n v="3067.4880000000003"/>
    <n v="1050.4080000000004"/>
    <s v="Tuesday"/>
    <x v="0"/>
  </r>
  <r>
    <s v="NV1676"/>
    <d v="2024-07-01T00:00:00"/>
    <x v="26"/>
    <x v="1"/>
    <s v="P47"/>
    <x v="2"/>
    <n v="4"/>
    <n v="2182.5100000000002"/>
    <x v="3"/>
    <n v="1415.96"/>
    <s v="Returning"/>
    <s v="Digital"/>
    <n v="7857.036000000001"/>
    <n v="2193.1960000000008"/>
    <s v="Monday"/>
    <x v="0"/>
  </r>
  <r>
    <s v="NV1677"/>
    <d v="2025-07-21T00:00:00"/>
    <x v="53"/>
    <x v="0"/>
    <s v="P93"/>
    <x v="1"/>
    <n v="1"/>
    <n v="1270.5"/>
    <x v="5"/>
    <n v="756.47"/>
    <s v="Returning"/>
    <s v="Card"/>
    <n v="952.875"/>
    <n v="196.40499999999997"/>
    <s v="Monday"/>
    <x v="0"/>
  </r>
  <r>
    <s v="NV1678"/>
    <d v="2024-03-20T00:00:00"/>
    <x v="37"/>
    <x v="0"/>
    <s v="P50"/>
    <x v="2"/>
    <n v="4"/>
    <n v="2196.7800000000002"/>
    <x v="0"/>
    <n v="1461.18"/>
    <s v="Returning"/>
    <s v="Cash"/>
    <n v="6150.9840000000004"/>
    <n v="306.26400000000012"/>
    <s v="Wednesday"/>
    <x v="0"/>
  </r>
  <r>
    <s v="NV1679"/>
    <d v="2025-08-11T00:00:00"/>
    <x v="52"/>
    <x v="0"/>
    <s v="P71"/>
    <x v="0"/>
    <n v="4"/>
    <n v="2065.29"/>
    <x v="4"/>
    <n v="974.25"/>
    <s v="New"/>
    <s v="Digital"/>
    <n v="7021.9859999999999"/>
    <n v="3124.9859999999999"/>
    <s v="Monday"/>
    <x v="0"/>
  </r>
  <r>
    <s v="NV1680"/>
    <d v="2025-09-05T00:00:00"/>
    <x v="29"/>
    <x v="0"/>
    <s v="P251"/>
    <x v="1"/>
    <n v="5"/>
    <n v="2280.44"/>
    <x v="2"/>
    <n v="1148.75"/>
    <s v="Returning"/>
    <s v="Card"/>
    <n v="10832.09"/>
    <n v="5088.34"/>
    <s v="Friday"/>
    <x v="0"/>
  </r>
  <r>
    <s v="NV1681"/>
    <d v="2024-11-19T00:00:00"/>
    <x v="31"/>
    <x v="3"/>
    <s v="P73"/>
    <x v="0"/>
    <n v="5"/>
    <n v="2817.39"/>
    <x v="0"/>
    <n v="1695.92"/>
    <s v="New"/>
    <s v="Cash"/>
    <n v="9860.864999999998"/>
    <n v="1381.2649999999976"/>
    <s v="Tuesday"/>
    <x v="0"/>
  </r>
  <r>
    <s v="NV1682"/>
    <d v="2024-09-19T00:00:00"/>
    <x v="10"/>
    <x v="0"/>
    <s v="P69"/>
    <x v="0"/>
    <n v="2"/>
    <n v="2762.04"/>
    <x v="0"/>
    <n v="1869.03"/>
    <s v="New"/>
    <s v="Digital"/>
    <n v="3866.8559999999998"/>
    <n v="128.79599999999982"/>
    <s v="Thursday"/>
    <x v="0"/>
  </r>
  <r>
    <s v="NV1683"/>
    <d v="2025-01-21T00:00:00"/>
    <x v="7"/>
    <x v="0"/>
    <s v="P284"/>
    <x v="0"/>
    <n v="1"/>
    <n v="1624.43"/>
    <x v="4"/>
    <n v="974.9"/>
    <s v="Returning"/>
    <s v="Digital"/>
    <n v="1380.7655"/>
    <n v="405.8655"/>
    <s v="Tuesday"/>
    <x v="0"/>
  </r>
  <r>
    <s v="NV1684"/>
    <d v="2024-02-23T00:00:00"/>
    <x v="18"/>
    <x v="0"/>
    <s v="P37"/>
    <x v="1"/>
    <n v="3"/>
    <n v="2130.67"/>
    <x v="6"/>
    <n v="1253.45"/>
    <s v="Returning"/>
    <s v="Card"/>
    <n v="6392.01"/>
    <n v="2631.66"/>
    <s v="Friday"/>
    <x v="0"/>
  </r>
  <r>
    <s v="NV1685"/>
    <d v="2024-06-05T00:00:00"/>
    <x v="33"/>
    <x v="2"/>
    <s v="P138"/>
    <x v="0"/>
    <n v="5"/>
    <n v="1993.37"/>
    <x v="6"/>
    <n v="900.38"/>
    <s v="New"/>
    <s v="Card"/>
    <n v="9966.8499999999985"/>
    <n v="5464.9499999999989"/>
    <s v="Wednesday"/>
    <x v="0"/>
  </r>
  <r>
    <s v="NV1686"/>
    <d v="2024-11-02T00:00:00"/>
    <x v="37"/>
    <x v="0"/>
    <s v="P152"/>
    <x v="1"/>
    <n v="5"/>
    <n v="1084.73"/>
    <x v="6"/>
    <n v="702.01"/>
    <s v="Returning"/>
    <s v="Digital"/>
    <n v="5423.65"/>
    <n v="1913.5999999999995"/>
    <s v="Saturday"/>
    <x v="1"/>
  </r>
  <r>
    <s v="NV1687"/>
    <d v="2025-01-06T00:00:00"/>
    <x v="36"/>
    <x v="1"/>
    <s v="P254"/>
    <x v="2"/>
    <n v="5"/>
    <n v="967.45"/>
    <x v="2"/>
    <n v="578.23"/>
    <s v="New"/>
    <s v="Digital"/>
    <n v="4595.3874999999998"/>
    <n v="1704.2374999999997"/>
    <s v="Monday"/>
    <x v="0"/>
  </r>
  <r>
    <s v="NV1688"/>
    <d v="2024-10-09T00:00:00"/>
    <x v="36"/>
    <x v="3"/>
    <s v="P94"/>
    <x v="1"/>
    <n v="2"/>
    <n v="1440.5"/>
    <x v="0"/>
    <n v="773.19"/>
    <s v="Returning"/>
    <s v="Cash"/>
    <n v="2016.6999999999998"/>
    <n v="470.31999999999971"/>
    <s v="Wednesday"/>
    <x v="0"/>
  </r>
  <r>
    <s v="NV1689"/>
    <d v="2024-09-11T00:00:00"/>
    <x v="39"/>
    <x v="0"/>
    <s v="P226"/>
    <x v="2"/>
    <n v="4"/>
    <n v="332.97"/>
    <x v="3"/>
    <n v="209.03"/>
    <s v="Returning"/>
    <s v="Digital"/>
    <n v="1198.6920000000002"/>
    <n v="362.57200000000023"/>
    <s v="Wednesday"/>
    <x v="0"/>
  </r>
  <r>
    <s v="NV1690"/>
    <d v="2024-03-31T00:00:00"/>
    <x v="24"/>
    <x v="3"/>
    <s v="P19"/>
    <x v="1"/>
    <n v="3"/>
    <n v="503.8"/>
    <x v="4"/>
    <n v="302.52"/>
    <s v="New"/>
    <s v="Digital"/>
    <n v="1284.69"/>
    <n v="377.13000000000011"/>
    <s v="Sunday"/>
    <x v="1"/>
  </r>
  <r>
    <s v="NV1691"/>
    <d v="2025-01-14T00:00:00"/>
    <x v="10"/>
    <x v="0"/>
    <s v="P259"/>
    <x v="0"/>
    <n v="1"/>
    <n v="2802.91"/>
    <x v="3"/>
    <n v="1132.3399999999999"/>
    <s v="New"/>
    <s v="Cash"/>
    <n v="2522.6190000000001"/>
    <n v="1390.2790000000002"/>
    <s v="Tuesday"/>
    <x v="0"/>
  </r>
  <r>
    <s v="NV1692"/>
    <d v="2024-11-23T00:00:00"/>
    <x v="47"/>
    <x v="0"/>
    <s v="P125"/>
    <x v="1"/>
    <n v="5"/>
    <n v="2463.6"/>
    <x v="0"/>
    <n v="1665.65"/>
    <s v="New"/>
    <s v="Digital"/>
    <n v="8622.5999999999985"/>
    <n v="294.34999999999854"/>
    <s v="Saturday"/>
    <x v="1"/>
  </r>
  <r>
    <s v="NV1693"/>
    <d v="2024-07-11T00:00:00"/>
    <x v="4"/>
    <x v="2"/>
    <s v="P92"/>
    <x v="1"/>
    <n v="4"/>
    <n v="1885.84"/>
    <x v="3"/>
    <n v="1279.27"/>
    <s v="New"/>
    <s v="Digital"/>
    <n v="6789.0239999999994"/>
    <n v="1671.9439999999995"/>
    <s v="Thursday"/>
    <x v="0"/>
  </r>
  <r>
    <s v="NV1694"/>
    <d v="2024-11-06T00:00:00"/>
    <x v="50"/>
    <x v="1"/>
    <s v="P90"/>
    <x v="2"/>
    <n v="4"/>
    <n v="1324.89"/>
    <x v="0"/>
    <n v="689.98"/>
    <s v="New"/>
    <s v="Digital"/>
    <n v="3709.692"/>
    <n v="949.77199999999993"/>
    <s v="Wednesday"/>
    <x v="0"/>
  </r>
  <r>
    <s v="NV1695"/>
    <d v="2025-07-15T00:00:00"/>
    <x v="36"/>
    <x v="1"/>
    <s v="P261"/>
    <x v="2"/>
    <n v="3"/>
    <n v="1964.28"/>
    <x v="6"/>
    <n v="1270.3399999999999"/>
    <s v="Returning"/>
    <s v="Card"/>
    <n v="5892.84"/>
    <n v="2081.8200000000006"/>
    <s v="Tuesday"/>
    <x v="0"/>
  </r>
  <r>
    <s v="NV1696"/>
    <d v="2025-02-10T00:00:00"/>
    <x v="38"/>
    <x v="3"/>
    <s v="P292"/>
    <x v="1"/>
    <n v="4"/>
    <n v="2106.64"/>
    <x v="4"/>
    <n v="1030.78"/>
    <s v="New"/>
    <s v="Digital"/>
    <n v="7162.5759999999991"/>
    <n v="3039.4559999999992"/>
    <s v="Monday"/>
    <x v="0"/>
  </r>
  <r>
    <s v="NV1697"/>
    <d v="2024-05-17T00:00:00"/>
    <x v="24"/>
    <x v="1"/>
    <s v="P181"/>
    <x v="0"/>
    <n v="2"/>
    <n v="722.2"/>
    <x v="5"/>
    <n v="382.69"/>
    <s v="Returning"/>
    <s v="Card"/>
    <n v="1083.3000000000002"/>
    <n v="317.92000000000019"/>
    <s v="Friday"/>
    <x v="0"/>
  </r>
  <r>
    <s v="NV1698"/>
    <d v="2024-07-28T00:00:00"/>
    <x v="40"/>
    <x v="2"/>
    <s v="P140"/>
    <x v="0"/>
    <n v="2"/>
    <n v="2670.42"/>
    <x v="1"/>
    <n v="1696.61"/>
    <s v="New"/>
    <s v="Cash"/>
    <n v="4272.6720000000005"/>
    <n v="879.45200000000068"/>
    <s v="Sunday"/>
    <x v="1"/>
  </r>
  <r>
    <s v="NV1699"/>
    <d v="2024-04-26T00:00:00"/>
    <x v="27"/>
    <x v="1"/>
    <s v="P71"/>
    <x v="1"/>
    <n v="3"/>
    <n v="1049.53"/>
    <x v="5"/>
    <n v="476.69"/>
    <s v="Returning"/>
    <s v="Digital"/>
    <n v="2361.4425000000001"/>
    <n v="931.37250000000017"/>
    <s v="Friday"/>
    <x v="0"/>
  </r>
  <r>
    <s v="NV1700"/>
    <d v="2025-07-05T00:00:00"/>
    <x v="44"/>
    <x v="2"/>
    <s v="P12"/>
    <x v="1"/>
    <n v="1"/>
    <n v="1910"/>
    <x v="4"/>
    <n v="1025.3699999999999"/>
    <s v="Returning"/>
    <s v="Digital"/>
    <n v="1623.5"/>
    <n v="598.13000000000011"/>
    <s v="Saturday"/>
    <x v="1"/>
  </r>
  <r>
    <s v="NV1701"/>
    <d v="2025-09-21T00:00:00"/>
    <x v="37"/>
    <x v="0"/>
    <s v="P111"/>
    <x v="0"/>
    <n v="1"/>
    <n v="2133.35"/>
    <x v="0"/>
    <n v="1450.03"/>
    <s v="New"/>
    <s v="Digital"/>
    <n v="1493.3449999999998"/>
    <n v="43.314999999999827"/>
    <s v="Sunday"/>
    <x v="1"/>
  </r>
  <r>
    <s v="NV1702"/>
    <d v="2025-05-15T00:00:00"/>
    <x v="19"/>
    <x v="3"/>
    <s v="P187"/>
    <x v="0"/>
    <n v="4"/>
    <n v="825.35"/>
    <x v="0"/>
    <n v="435.39"/>
    <s v="Returning"/>
    <s v="Digital"/>
    <n v="2310.98"/>
    <n v="569.42000000000007"/>
    <s v="Thursday"/>
    <x v="0"/>
  </r>
  <r>
    <s v="NV1703"/>
    <d v="2024-03-07T00:00:00"/>
    <x v="45"/>
    <x v="3"/>
    <s v="P204"/>
    <x v="2"/>
    <n v="4"/>
    <n v="2294.2399999999998"/>
    <x v="1"/>
    <n v="1257.9000000000001"/>
    <s v="New"/>
    <s v="Cash"/>
    <n v="7341.5679999999993"/>
    <n v="2309.9679999999989"/>
    <s v="Thursday"/>
    <x v="0"/>
  </r>
  <r>
    <s v="NV1704"/>
    <d v="2024-08-12T00:00:00"/>
    <x v="2"/>
    <x v="3"/>
    <s v="P151"/>
    <x v="1"/>
    <n v="5"/>
    <n v="1465.29"/>
    <x v="2"/>
    <n v="956.14"/>
    <s v="Returning"/>
    <s v="Digital"/>
    <n v="6960.1274999999996"/>
    <n v="2179.4274999999998"/>
    <s v="Monday"/>
    <x v="0"/>
  </r>
  <r>
    <s v="NV1705"/>
    <d v="2025-02-15T00:00:00"/>
    <x v="18"/>
    <x v="0"/>
    <s v="P181"/>
    <x v="0"/>
    <n v="5"/>
    <n v="548.70000000000005"/>
    <x v="3"/>
    <n v="325.14"/>
    <s v="New"/>
    <s v="Card"/>
    <n v="2469.15"/>
    <n v="843.45000000000027"/>
    <s v="Saturday"/>
    <x v="1"/>
  </r>
  <r>
    <s v="NV1706"/>
    <d v="2025-06-04T00:00:00"/>
    <x v="23"/>
    <x v="0"/>
    <s v="P267"/>
    <x v="2"/>
    <n v="4"/>
    <n v="892.86"/>
    <x v="1"/>
    <n v="554.80999999999995"/>
    <s v="New"/>
    <s v="Card"/>
    <n v="2857.152"/>
    <n v="637.91200000000026"/>
    <s v="Wednesday"/>
    <x v="0"/>
  </r>
  <r>
    <s v="NV1707"/>
    <d v="2025-09-05T00:00:00"/>
    <x v="45"/>
    <x v="1"/>
    <s v="P299"/>
    <x v="2"/>
    <n v="2"/>
    <n v="2990.4"/>
    <x v="3"/>
    <n v="1727.97"/>
    <s v="New"/>
    <s v="Cash"/>
    <n v="5382.72"/>
    <n v="1926.7800000000002"/>
    <s v="Friday"/>
    <x v="0"/>
  </r>
  <r>
    <s v="NV1708"/>
    <d v="2025-03-14T00:00:00"/>
    <x v="36"/>
    <x v="2"/>
    <s v="P128"/>
    <x v="2"/>
    <n v="4"/>
    <n v="2764.21"/>
    <x v="6"/>
    <n v="1418.16"/>
    <s v="New"/>
    <s v="Card"/>
    <n v="11056.84"/>
    <n v="5384.2"/>
    <s v="Friday"/>
    <x v="0"/>
  </r>
  <r>
    <s v="NV1709"/>
    <d v="2025-02-12T00:00:00"/>
    <x v="25"/>
    <x v="1"/>
    <s v="P137"/>
    <x v="0"/>
    <n v="2"/>
    <n v="2203.3200000000002"/>
    <x v="2"/>
    <n v="1039.3"/>
    <s v="Returning"/>
    <s v="Cash"/>
    <n v="4186.308"/>
    <n v="2107.7080000000001"/>
    <s v="Wednesday"/>
    <x v="0"/>
  </r>
  <r>
    <s v="NV1710"/>
    <d v="2024-07-02T00:00:00"/>
    <x v="0"/>
    <x v="0"/>
    <s v="P146"/>
    <x v="2"/>
    <n v="5"/>
    <n v="1308.1400000000001"/>
    <x v="6"/>
    <n v="885.75"/>
    <s v="Returning"/>
    <s v="Cash"/>
    <n v="6540.7000000000007"/>
    <n v="2111.9500000000007"/>
    <s v="Tuesday"/>
    <x v="0"/>
  </r>
  <r>
    <s v="NV1711"/>
    <d v="2024-05-11T00:00:00"/>
    <x v="35"/>
    <x v="0"/>
    <s v="P264"/>
    <x v="1"/>
    <n v="3"/>
    <n v="414.37"/>
    <x v="6"/>
    <n v="172.89"/>
    <s v="Returning"/>
    <s v="Digital"/>
    <n v="1243.1100000000001"/>
    <n v="724.44000000000017"/>
    <s v="Saturday"/>
    <x v="1"/>
  </r>
  <r>
    <s v="NV1712"/>
    <d v="2025-02-21T00:00:00"/>
    <x v="3"/>
    <x v="3"/>
    <s v="P246"/>
    <x v="0"/>
    <n v="4"/>
    <n v="1827.28"/>
    <x v="2"/>
    <n v="1024.8499999999999"/>
    <s v="New"/>
    <s v="Card"/>
    <n v="6943.6639999999998"/>
    <n v="2844.2640000000001"/>
    <s v="Friday"/>
    <x v="0"/>
  </r>
  <r>
    <s v="NV1713"/>
    <d v="2024-03-23T00:00:00"/>
    <x v="20"/>
    <x v="3"/>
    <s v="P48"/>
    <x v="1"/>
    <n v="3"/>
    <n v="982.98"/>
    <x v="5"/>
    <n v="552.99"/>
    <s v="New"/>
    <s v="Cash"/>
    <n v="2211.7049999999999"/>
    <n v="552.7349999999999"/>
    <s v="Saturday"/>
    <x v="1"/>
  </r>
  <r>
    <s v="NV1714"/>
    <d v="2025-11-13T00:00:00"/>
    <x v="25"/>
    <x v="2"/>
    <s v="P283"/>
    <x v="1"/>
    <n v="1"/>
    <n v="568.72"/>
    <x v="5"/>
    <n v="286.26"/>
    <s v="Returning"/>
    <s v="Card"/>
    <n v="426.54"/>
    <n v="140.28000000000003"/>
    <s v="Thursday"/>
    <x v="0"/>
  </r>
  <r>
    <s v="NV1715"/>
    <d v="2025-01-22T00:00:00"/>
    <x v="34"/>
    <x v="1"/>
    <s v="P255"/>
    <x v="2"/>
    <n v="1"/>
    <n v="1710.68"/>
    <x v="1"/>
    <n v="996.1"/>
    <s v="New"/>
    <s v="Card"/>
    <n v="1368.5440000000001"/>
    <n v="372.44400000000007"/>
    <s v="Wednesday"/>
    <x v="0"/>
  </r>
  <r>
    <s v="NV1716"/>
    <d v="2025-11-16T00:00:00"/>
    <x v="0"/>
    <x v="3"/>
    <s v="P18"/>
    <x v="0"/>
    <n v="5"/>
    <n v="1622.78"/>
    <x v="6"/>
    <n v="1091.96"/>
    <s v="Returning"/>
    <s v="Digital"/>
    <n v="8113.9"/>
    <n v="2654.0999999999995"/>
    <s v="Sunday"/>
    <x v="1"/>
  </r>
  <r>
    <s v="NV1717"/>
    <d v="2024-08-09T00:00:00"/>
    <x v="50"/>
    <x v="0"/>
    <s v="P102"/>
    <x v="1"/>
    <n v="2"/>
    <n v="470.98"/>
    <x v="0"/>
    <n v="252.62"/>
    <s v="Returning"/>
    <s v="Card"/>
    <n v="659.37199999999996"/>
    <n v="154.13199999999995"/>
    <s v="Friday"/>
    <x v="0"/>
  </r>
  <r>
    <s v="NV1718"/>
    <d v="2025-03-08T00:00:00"/>
    <x v="32"/>
    <x v="1"/>
    <s v="P263"/>
    <x v="1"/>
    <n v="2"/>
    <n v="1005.9"/>
    <x v="6"/>
    <n v="599.79999999999995"/>
    <s v="Returning"/>
    <s v="Cash"/>
    <n v="2011.8"/>
    <n v="812.2"/>
    <s v="Saturday"/>
    <x v="1"/>
  </r>
  <r>
    <s v="NV1719"/>
    <d v="2025-08-28T00:00:00"/>
    <x v="49"/>
    <x v="0"/>
    <s v="P272"/>
    <x v="0"/>
    <n v="5"/>
    <n v="1123.5899999999999"/>
    <x v="6"/>
    <n v="598.39"/>
    <s v="Returning"/>
    <s v="Digital"/>
    <n v="5617.95"/>
    <n v="2626"/>
    <s v="Thursday"/>
    <x v="0"/>
  </r>
  <r>
    <s v="NV1720"/>
    <d v="2025-11-20T00:00:00"/>
    <x v="8"/>
    <x v="1"/>
    <s v="P150"/>
    <x v="0"/>
    <n v="4"/>
    <n v="1071.03"/>
    <x v="0"/>
    <n v="538.30999999999995"/>
    <s v="Returning"/>
    <s v="Digital"/>
    <n v="2998.8839999999996"/>
    <n v="845.64399999999978"/>
    <s v="Thursday"/>
    <x v="0"/>
  </r>
  <r>
    <s v="NV1721"/>
    <d v="2024-07-16T00:00:00"/>
    <x v="0"/>
    <x v="3"/>
    <s v="P57"/>
    <x v="1"/>
    <n v="5"/>
    <n v="2155.77"/>
    <x v="3"/>
    <n v="943.43"/>
    <s v="Returning"/>
    <s v="Card"/>
    <n v="9700.9650000000001"/>
    <n v="4983.8150000000005"/>
    <s v="Tuesday"/>
    <x v="0"/>
  </r>
  <r>
    <s v="NV1722"/>
    <d v="2025-03-10T00:00:00"/>
    <x v="35"/>
    <x v="1"/>
    <s v="P290"/>
    <x v="0"/>
    <n v="3"/>
    <n v="770.52"/>
    <x v="1"/>
    <n v="322.70999999999998"/>
    <s v="Returning"/>
    <s v="Cash"/>
    <n v="1849.248"/>
    <n v="881.11800000000017"/>
    <s v="Monday"/>
    <x v="0"/>
  </r>
  <r>
    <s v="NV1723"/>
    <d v="2025-02-21T00:00:00"/>
    <x v="55"/>
    <x v="1"/>
    <s v="P263"/>
    <x v="2"/>
    <n v="1"/>
    <n v="1923.49"/>
    <x v="2"/>
    <n v="852.16"/>
    <s v="Returning"/>
    <s v="Cash"/>
    <n v="1827.3154999999999"/>
    <n v="975.15549999999996"/>
    <s v="Friday"/>
    <x v="0"/>
  </r>
  <r>
    <s v="NV1724"/>
    <d v="2024-01-08T00:00:00"/>
    <x v="0"/>
    <x v="1"/>
    <s v="P22"/>
    <x v="2"/>
    <n v="1"/>
    <n v="1655.62"/>
    <x v="1"/>
    <n v="1155.01"/>
    <s v="Returning"/>
    <s v="Digital"/>
    <n v="1324.4960000000001"/>
    <n v="169.4860000000001"/>
    <s v="Monday"/>
    <x v="0"/>
  </r>
  <r>
    <s v="NV1725"/>
    <d v="2024-09-22T00:00:00"/>
    <x v="36"/>
    <x v="1"/>
    <s v="P48"/>
    <x v="2"/>
    <n v="1"/>
    <n v="1711.56"/>
    <x v="2"/>
    <n v="1025.26"/>
    <s v="Returning"/>
    <s v="Digital"/>
    <n v="1625.982"/>
    <n v="600.72199999999998"/>
    <s v="Sunday"/>
    <x v="1"/>
  </r>
  <r>
    <s v="NV1726"/>
    <d v="2025-09-29T00:00:00"/>
    <x v="24"/>
    <x v="3"/>
    <s v="P158"/>
    <x v="2"/>
    <n v="5"/>
    <n v="1301.17"/>
    <x v="4"/>
    <n v="716.7"/>
    <s v="New"/>
    <s v="Cash"/>
    <n v="5529.9724999999999"/>
    <n v="1946.4724999999999"/>
    <s v="Monday"/>
    <x v="0"/>
  </r>
  <r>
    <s v="NV1727"/>
    <d v="2024-06-29T00:00:00"/>
    <x v="13"/>
    <x v="1"/>
    <s v="P150"/>
    <x v="1"/>
    <n v="3"/>
    <n v="2231.89"/>
    <x v="0"/>
    <n v="927.16"/>
    <s v="Returning"/>
    <s v="Cash"/>
    <n v="4686.9690000000001"/>
    <n v="1905.489"/>
    <s v="Saturday"/>
    <x v="1"/>
  </r>
  <r>
    <s v="NV1728"/>
    <d v="2024-09-03T00:00:00"/>
    <x v="35"/>
    <x v="3"/>
    <s v="P264"/>
    <x v="1"/>
    <n v="4"/>
    <n v="1932.6"/>
    <x v="3"/>
    <n v="893.5"/>
    <s v="Returning"/>
    <s v="Digital"/>
    <n v="6957.36"/>
    <n v="3383.3599999999997"/>
    <s v="Tuesday"/>
    <x v="0"/>
  </r>
  <r>
    <s v="NV1729"/>
    <d v="2024-12-20T00:00:00"/>
    <x v="36"/>
    <x v="0"/>
    <s v="P231"/>
    <x v="0"/>
    <n v="2"/>
    <n v="689.93"/>
    <x v="1"/>
    <n v="405.61"/>
    <s v="New"/>
    <s v="Cash"/>
    <n v="1103.8879999999999"/>
    <n v="292.66799999999989"/>
    <s v="Friday"/>
    <x v="0"/>
  </r>
  <r>
    <s v="NV1730"/>
    <d v="2024-03-14T00:00:00"/>
    <x v="24"/>
    <x v="1"/>
    <s v="P233"/>
    <x v="2"/>
    <n v="4"/>
    <n v="997.79"/>
    <x v="0"/>
    <n v="655.61"/>
    <s v="Returning"/>
    <s v="Card"/>
    <n v="2793.8119999999999"/>
    <n v="171.37199999999984"/>
    <s v="Thursday"/>
    <x v="0"/>
  </r>
  <r>
    <s v="NV1731"/>
    <d v="2025-04-01T00:00:00"/>
    <x v="37"/>
    <x v="1"/>
    <s v="P146"/>
    <x v="2"/>
    <n v="3"/>
    <n v="2736.75"/>
    <x v="6"/>
    <n v="1262.26"/>
    <s v="New"/>
    <s v="Card"/>
    <n v="8210.25"/>
    <n v="4423.47"/>
    <s v="Tuesday"/>
    <x v="0"/>
  </r>
  <r>
    <s v="NV1732"/>
    <d v="2025-04-30T00:00:00"/>
    <x v="11"/>
    <x v="3"/>
    <s v="P227"/>
    <x v="0"/>
    <n v="3"/>
    <n v="312.49"/>
    <x v="5"/>
    <n v="166.93"/>
    <s v="New"/>
    <s v="Digital"/>
    <n v="703.10249999999996"/>
    <n v="202.31249999999994"/>
    <s v="Wednesday"/>
    <x v="0"/>
  </r>
  <r>
    <s v="NV1733"/>
    <d v="2025-05-28T00:00:00"/>
    <x v="51"/>
    <x v="1"/>
    <s v="P99"/>
    <x v="0"/>
    <n v="1"/>
    <n v="1802.67"/>
    <x v="6"/>
    <n v="940.95"/>
    <s v="New"/>
    <s v="Cash"/>
    <n v="1802.67"/>
    <n v="861.72"/>
    <s v="Wednesday"/>
    <x v="0"/>
  </r>
  <r>
    <s v="NV1734"/>
    <d v="2024-10-24T00:00:00"/>
    <x v="44"/>
    <x v="2"/>
    <s v="P84"/>
    <x v="0"/>
    <n v="1"/>
    <n v="2042.77"/>
    <x v="1"/>
    <n v="1344.35"/>
    <s v="Returning"/>
    <s v="Card"/>
    <n v="1634.2160000000001"/>
    <n v="289.86600000000021"/>
    <s v="Thursday"/>
    <x v="0"/>
  </r>
  <r>
    <s v="NV1735"/>
    <d v="2024-06-14T00:00:00"/>
    <x v="52"/>
    <x v="2"/>
    <s v="P55"/>
    <x v="0"/>
    <n v="5"/>
    <n v="1887.83"/>
    <x v="3"/>
    <n v="1067.02"/>
    <s v="New"/>
    <s v="Card"/>
    <n v="8495.2350000000006"/>
    <n v="3160.1350000000002"/>
    <s v="Friday"/>
    <x v="0"/>
  </r>
  <r>
    <s v="NV1736"/>
    <d v="2024-04-26T00:00:00"/>
    <x v="45"/>
    <x v="3"/>
    <s v="P119"/>
    <x v="0"/>
    <n v="5"/>
    <n v="2425.4299999999998"/>
    <x v="3"/>
    <n v="1580.01"/>
    <s v="Returning"/>
    <s v="Card"/>
    <n v="10914.434999999999"/>
    <n v="3014.3849999999993"/>
    <s v="Friday"/>
    <x v="0"/>
  </r>
  <r>
    <s v="NV1737"/>
    <d v="2025-02-15T00:00:00"/>
    <x v="59"/>
    <x v="1"/>
    <s v="P266"/>
    <x v="2"/>
    <n v="3"/>
    <n v="643.53"/>
    <x v="2"/>
    <n v="389.7"/>
    <s v="New"/>
    <s v="Card"/>
    <n v="1834.0604999999998"/>
    <n v="664.96049999999991"/>
    <s v="Saturday"/>
    <x v="1"/>
  </r>
  <r>
    <s v="NV1738"/>
    <d v="2025-03-21T00:00:00"/>
    <x v="2"/>
    <x v="2"/>
    <s v="P72"/>
    <x v="1"/>
    <n v="5"/>
    <n v="2843.43"/>
    <x v="4"/>
    <n v="1434.35"/>
    <s v="New"/>
    <s v="Cash"/>
    <n v="12084.577499999999"/>
    <n v="4912.8274999999994"/>
    <s v="Friday"/>
    <x v="0"/>
  </r>
  <r>
    <s v="NV1739"/>
    <d v="2024-08-06T00:00:00"/>
    <x v="53"/>
    <x v="2"/>
    <s v="P224"/>
    <x v="2"/>
    <n v="3"/>
    <n v="1663.07"/>
    <x v="3"/>
    <n v="697.14"/>
    <s v="Returning"/>
    <s v="Digital"/>
    <n v="4490.2889999999998"/>
    <n v="2398.8689999999997"/>
    <s v="Tuesday"/>
    <x v="0"/>
  </r>
  <r>
    <s v="NV1740"/>
    <d v="2025-05-15T00:00:00"/>
    <x v="53"/>
    <x v="3"/>
    <s v="P138"/>
    <x v="2"/>
    <n v="3"/>
    <n v="1123.67"/>
    <x v="5"/>
    <n v="526.23"/>
    <s v="New"/>
    <s v="Card"/>
    <n v="2528.2575000000002"/>
    <n v="949.56750000000011"/>
    <s v="Thursday"/>
    <x v="0"/>
  </r>
  <r>
    <s v="NV1741"/>
    <d v="2025-05-24T00:00:00"/>
    <x v="15"/>
    <x v="3"/>
    <s v="P225"/>
    <x v="0"/>
    <n v="2"/>
    <n v="1459.16"/>
    <x v="1"/>
    <n v="679.7"/>
    <s v="New"/>
    <s v="Cash"/>
    <n v="2334.6560000000004"/>
    <n v="975.25600000000031"/>
    <s v="Saturday"/>
    <x v="1"/>
  </r>
  <r>
    <s v="NV1742"/>
    <d v="2025-07-07T00:00:00"/>
    <x v="29"/>
    <x v="2"/>
    <s v="P191"/>
    <x v="0"/>
    <n v="3"/>
    <n v="1521.3"/>
    <x v="1"/>
    <n v="984.21"/>
    <s v="New"/>
    <s v="Cash"/>
    <n v="3651.12"/>
    <n v="698.48999999999978"/>
    <s v="Monday"/>
    <x v="0"/>
  </r>
  <r>
    <s v="NV1743"/>
    <d v="2024-05-24T00:00:00"/>
    <x v="58"/>
    <x v="1"/>
    <s v="P181"/>
    <x v="1"/>
    <n v="3"/>
    <n v="829.89"/>
    <x v="4"/>
    <n v="579.4"/>
    <s v="Returning"/>
    <s v="Digital"/>
    <n v="2116.2195000000002"/>
    <n v="378.01950000000033"/>
    <s v="Friday"/>
    <x v="0"/>
  </r>
  <r>
    <s v="NV1744"/>
    <d v="2025-03-10T00:00:00"/>
    <x v="22"/>
    <x v="3"/>
    <s v="P12"/>
    <x v="0"/>
    <n v="3"/>
    <n v="2061.12"/>
    <x v="1"/>
    <n v="1043.33"/>
    <s v="New"/>
    <s v="Digital"/>
    <n v="4946.6880000000001"/>
    <n v="1816.6980000000003"/>
    <s v="Monday"/>
    <x v="0"/>
  </r>
  <r>
    <s v="NV1745"/>
    <d v="2024-02-26T00:00:00"/>
    <x v="47"/>
    <x v="0"/>
    <s v="P209"/>
    <x v="0"/>
    <n v="5"/>
    <n v="2692.95"/>
    <x v="2"/>
    <n v="1498.27"/>
    <s v="New"/>
    <s v="Cash"/>
    <n v="12791.512499999999"/>
    <n v="5300.1624999999985"/>
    <s v="Monday"/>
    <x v="0"/>
  </r>
  <r>
    <s v="NV1746"/>
    <d v="2025-05-11T00:00:00"/>
    <x v="19"/>
    <x v="2"/>
    <s v="P89"/>
    <x v="2"/>
    <n v="2"/>
    <n v="2425.98"/>
    <x v="6"/>
    <n v="1664.91"/>
    <s v="Returning"/>
    <s v="Card"/>
    <n v="4851.96"/>
    <n v="1522.1399999999999"/>
    <s v="Sunday"/>
    <x v="1"/>
  </r>
  <r>
    <s v="NV1747"/>
    <d v="2025-08-13T00:00:00"/>
    <x v="51"/>
    <x v="1"/>
    <s v="P237"/>
    <x v="2"/>
    <n v="2"/>
    <n v="1105.78"/>
    <x v="6"/>
    <n v="457.95"/>
    <s v="Returning"/>
    <s v="Digital"/>
    <n v="2211.56"/>
    <n v="1295.6599999999999"/>
    <s v="Wednesday"/>
    <x v="0"/>
  </r>
  <r>
    <s v="NV1748"/>
    <d v="2025-05-03T00:00:00"/>
    <x v="51"/>
    <x v="1"/>
    <s v="P273"/>
    <x v="2"/>
    <n v="1"/>
    <n v="387.41"/>
    <x v="0"/>
    <n v="221.9"/>
    <s v="Returning"/>
    <s v="Cash"/>
    <n v="271.18700000000001"/>
    <n v="49.287000000000006"/>
    <s v="Saturday"/>
    <x v="1"/>
  </r>
  <r>
    <s v="NV1749"/>
    <d v="2025-07-12T00:00:00"/>
    <x v="19"/>
    <x v="1"/>
    <s v="P236"/>
    <x v="0"/>
    <n v="2"/>
    <n v="2799"/>
    <x v="2"/>
    <n v="1344.1"/>
    <s v="Returning"/>
    <s v="Cash"/>
    <n v="5318.0999999999995"/>
    <n v="2629.8999999999996"/>
    <s v="Saturday"/>
    <x v="1"/>
  </r>
  <r>
    <s v="NV1750"/>
    <d v="2024-01-30T00:00:00"/>
    <x v="39"/>
    <x v="2"/>
    <s v="P147"/>
    <x v="0"/>
    <n v="5"/>
    <n v="2411.64"/>
    <x v="4"/>
    <n v="1098.1600000000001"/>
    <s v="New"/>
    <s v="Cash"/>
    <n v="10249.469999999999"/>
    <n v="4758.6699999999992"/>
    <s v="Tuesday"/>
    <x v="0"/>
  </r>
  <r>
    <s v="NV1751"/>
    <d v="2025-03-13T00:00:00"/>
    <x v="24"/>
    <x v="2"/>
    <s v="P31"/>
    <x v="1"/>
    <n v="3"/>
    <n v="2040.75"/>
    <x v="2"/>
    <n v="979.77"/>
    <s v="New"/>
    <s v="Digital"/>
    <n v="5816.1374999999998"/>
    <n v="2876.8274999999999"/>
    <s v="Thursday"/>
    <x v="0"/>
  </r>
  <r>
    <s v="NV1752"/>
    <d v="2025-09-23T00:00:00"/>
    <x v="43"/>
    <x v="2"/>
    <s v="P56"/>
    <x v="0"/>
    <n v="4"/>
    <n v="2689.35"/>
    <x v="6"/>
    <n v="1879.95"/>
    <s v="Returning"/>
    <s v="Digital"/>
    <n v="10757.4"/>
    <n v="3237.5999999999995"/>
    <s v="Tuesday"/>
    <x v="0"/>
  </r>
  <r>
    <s v="NV1753"/>
    <d v="2024-05-15T00:00:00"/>
    <x v="33"/>
    <x v="0"/>
    <s v="P194"/>
    <x v="1"/>
    <n v="3"/>
    <n v="1071.58"/>
    <x v="1"/>
    <n v="632.30999999999995"/>
    <s v="Returning"/>
    <s v="Cash"/>
    <n v="2571.7919999999999"/>
    <n v="674.86200000000008"/>
    <s v="Wednesday"/>
    <x v="0"/>
  </r>
  <r>
    <s v="NV1754"/>
    <d v="2024-08-12T00:00:00"/>
    <x v="26"/>
    <x v="0"/>
    <s v="P40"/>
    <x v="1"/>
    <n v="5"/>
    <n v="1518.84"/>
    <x v="1"/>
    <n v="797.67"/>
    <s v="Returning"/>
    <s v="Digital"/>
    <n v="6075.3600000000006"/>
    <n v="2087.0100000000007"/>
    <s v="Monday"/>
    <x v="0"/>
  </r>
  <r>
    <s v="NV1755"/>
    <d v="2024-03-24T00:00:00"/>
    <x v="47"/>
    <x v="1"/>
    <s v="P272"/>
    <x v="2"/>
    <n v="3"/>
    <n v="821.65"/>
    <x v="2"/>
    <n v="549.49"/>
    <s v="New"/>
    <s v="Card"/>
    <n v="2341.7024999999999"/>
    <n v="693.23249999999985"/>
    <s v="Sunday"/>
    <x v="1"/>
  </r>
  <r>
    <s v="NV1756"/>
    <d v="2025-04-11T00:00:00"/>
    <x v="31"/>
    <x v="0"/>
    <s v="P110"/>
    <x v="1"/>
    <n v="1"/>
    <n v="2196.0100000000002"/>
    <x v="4"/>
    <n v="1221.4100000000001"/>
    <s v="New"/>
    <s v="Cash"/>
    <n v="1866.6085"/>
    <n v="645.19849999999997"/>
    <s v="Friday"/>
    <x v="0"/>
  </r>
  <r>
    <s v="NV1757"/>
    <d v="2025-10-09T00:00:00"/>
    <x v="1"/>
    <x v="2"/>
    <s v="P110"/>
    <x v="2"/>
    <n v="2"/>
    <n v="437.68"/>
    <x v="1"/>
    <n v="201.67"/>
    <s v="New"/>
    <s v="Cash"/>
    <n v="700.28800000000001"/>
    <n v="296.94800000000004"/>
    <s v="Thursday"/>
    <x v="0"/>
  </r>
  <r>
    <s v="NV1758"/>
    <d v="2025-10-01T00:00:00"/>
    <x v="23"/>
    <x v="0"/>
    <s v="P271"/>
    <x v="2"/>
    <n v="1"/>
    <n v="1903.77"/>
    <x v="2"/>
    <n v="1330.57"/>
    <s v="New"/>
    <s v="Cash"/>
    <n v="1808.5815"/>
    <n v="478.01150000000007"/>
    <s v="Wednesday"/>
    <x v="0"/>
  </r>
  <r>
    <s v="NV1759"/>
    <d v="2025-08-13T00:00:00"/>
    <x v="37"/>
    <x v="1"/>
    <s v="P182"/>
    <x v="1"/>
    <n v="5"/>
    <n v="1668.89"/>
    <x v="3"/>
    <n v="667.78"/>
    <s v="Returning"/>
    <s v="Cash"/>
    <n v="7510.005000000001"/>
    <n v="4171.1050000000014"/>
    <s v="Wednesday"/>
    <x v="0"/>
  </r>
  <r>
    <s v="NV1760"/>
    <d v="2025-04-17T00:00:00"/>
    <x v="37"/>
    <x v="0"/>
    <s v="P170"/>
    <x v="1"/>
    <n v="5"/>
    <n v="327.64999999999998"/>
    <x v="1"/>
    <n v="191.36"/>
    <s v="Returning"/>
    <s v="Card"/>
    <n v="1310.6000000000001"/>
    <n v="353.80000000000007"/>
    <s v="Thursday"/>
    <x v="0"/>
  </r>
  <r>
    <s v="NV1761"/>
    <d v="2024-05-01T00:00:00"/>
    <x v="53"/>
    <x v="2"/>
    <s v="P84"/>
    <x v="0"/>
    <n v="3"/>
    <n v="318.92"/>
    <x v="6"/>
    <n v="150.97"/>
    <s v="Returning"/>
    <s v="Digital"/>
    <n v="956.76"/>
    <n v="503.85"/>
    <s v="Wednesday"/>
    <x v="0"/>
  </r>
  <r>
    <s v="NV1762"/>
    <d v="2024-06-24T00:00:00"/>
    <x v="53"/>
    <x v="2"/>
    <s v="P3"/>
    <x v="0"/>
    <n v="4"/>
    <n v="2418.2800000000002"/>
    <x v="0"/>
    <n v="1656.96"/>
    <s v="New"/>
    <s v="Digital"/>
    <n v="6771.1840000000002"/>
    <n v="143.34400000000005"/>
    <s v="Monday"/>
    <x v="0"/>
  </r>
  <r>
    <s v="NV1763"/>
    <d v="2024-06-12T00:00:00"/>
    <x v="48"/>
    <x v="0"/>
    <s v="P93"/>
    <x v="2"/>
    <n v="3"/>
    <n v="2807.79"/>
    <x v="1"/>
    <n v="1561.35"/>
    <s v="Returning"/>
    <s v="Cash"/>
    <n v="6738.6959999999999"/>
    <n v="2054.6460000000006"/>
    <s v="Wednesday"/>
    <x v="0"/>
  </r>
  <r>
    <s v="NV1764"/>
    <d v="2025-03-22T00:00:00"/>
    <x v="15"/>
    <x v="0"/>
    <s v="P294"/>
    <x v="2"/>
    <n v="2"/>
    <n v="325.48"/>
    <x v="4"/>
    <n v="227.66"/>
    <s v="Returning"/>
    <s v="Digital"/>
    <n v="553.31600000000003"/>
    <n v="97.996000000000038"/>
    <s v="Saturday"/>
    <x v="1"/>
  </r>
  <r>
    <s v="NV1765"/>
    <d v="2025-08-28T00:00:00"/>
    <x v="15"/>
    <x v="1"/>
    <s v="P240"/>
    <x v="0"/>
    <n v="3"/>
    <n v="2500.1799999999998"/>
    <x v="3"/>
    <n v="1612.62"/>
    <s v="Returning"/>
    <s v="Card"/>
    <n v="6750.485999999999"/>
    <n v="1912.6259999999993"/>
    <s v="Thursday"/>
    <x v="0"/>
  </r>
  <r>
    <s v="NV1766"/>
    <d v="2024-06-14T00:00:00"/>
    <x v="58"/>
    <x v="2"/>
    <s v="P4"/>
    <x v="2"/>
    <n v="4"/>
    <n v="384.32"/>
    <x v="2"/>
    <n v="203.81"/>
    <s v="New"/>
    <s v="Cash"/>
    <n v="1460.4159999999999"/>
    <n v="645.17599999999993"/>
    <s v="Friday"/>
    <x v="0"/>
  </r>
  <r>
    <s v="NV1767"/>
    <d v="2024-01-09T00:00:00"/>
    <x v="7"/>
    <x v="3"/>
    <s v="P240"/>
    <x v="1"/>
    <n v="2"/>
    <n v="2849.31"/>
    <x v="0"/>
    <n v="1471.42"/>
    <s v="New"/>
    <s v="Digital"/>
    <n v="3989.0339999999997"/>
    <n v="1046.1939999999995"/>
    <s v="Tuesday"/>
    <x v="0"/>
  </r>
  <r>
    <s v="NV1768"/>
    <d v="2025-07-02T00:00:00"/>
    <x v="31"/>
    <x v="3"/>
    <s v="P155"/>
    <x v="2"/>
    <n v="2"/>
    <n v="1472.5"/>
    <x v="6"/>
    <n v="1028.22"/>
    <s v="Returning"/>
    <s v="Card"/>
    <n v="2945"/>
    <n v="888.56"/>
    <s v="Wednesday"/>
    <x v="0"/>
  </r>
  <r>
    <s v="NV1769"/>
    <d v="2025-05-11T00:00:00"/>
    <x v="49"/>
    <x v="1"/>
    <s v="P46"/>
    <x v="1"/>
    <n v="2"/>
    <n v="643.76"/>
    <x v="6"/>
    <n v="331.03"/>
    <s v="New"/>
    <s v="Digital"/>
    <n v="1287.52"/>
    <n v="625.46"/>
    <s v="Sunday"/>
    <x v="1"/>
  </r>
  <r>
    <s v="NV1770"/>
    <d v="2024-03-10T00:00:00"/>
    <x v="46"/>
    <x v="3"/>
    <s v="P52"/>
    <x v="2"/>
    <n v="4"/>
    <n v="1564.69"/>
    <x v="2"/>
    <n v="726.43"/>
    <s v="Returning"/>
    <s v="Card"/>
    <n v="5945.8220000000001"/>
    <n v="3040.1020000000003"/>
    <s v="Sunday"/>
    <x v="1"/>
  </r>
  <r>
    <s v="NV1771"/>
    <d v="2024-03-18T00:00:00"/>
    <x v="33"/>
    <x v="0"/>
    <s v="P136"/>
    <x v="2"/>
    <n v="3"/>
    <n v="1542.12"/>
    <x v="1"/>
    <n v="686.39"/>
    <s v="New"/>
    <s v="Digital"/>
    <n v="3701.0879999999997"/>
    <n v="1641.9179999999997"/>
    <s v="Monday"/>
    <x v="0"/>
  </r>
  <r>
    <s v="NV1772"/>
    <d v="2025-11-15T00:00:00"/>
    <x v="39"/>
    <x v="3"/>
    <s v="P239"/>
    <x v="0"/>
    <n v="1"/>
    <n v="1529.8"/>
    <x v="2"/>
    <n v="919.65"/>
    <s v="New"/>
    <s v="Card"/>
    <n v="1453.31"/>
    <n v="533.66"/>
    <s v="Saturday"/>
    <x v="1"/>
  </r>
  <r>
    <s v="NV1773"/>
    <d v="2024-02-07T00:00:00"/>
    <x v="13"/>
    <x v="2"/>
    <s v="P29"/>
    <x v="2"/>
    <n v="5"/>
    <n v="2696.46"/>
    <x v="4"/>
    <n v="1782.39"/>
    <s v="New"/>
    <s v="Digital"/>
    <n v="11459.955"/>
    <n v="2548.0049999999992"/>
    <s v="Wednesday"/>
    <x v="0"/>
  </r>
  <r>
    <s v="NV1774"/>
    <d v="2024-08-15T00:00:00"/>
    <x v="52"/>
    <x v="2"/>
    <s v="P176"/>
    <x v="1"/>
    <n v="2"/>
    <n v="2792.02"/>
    <x v="2"/>
    <n v="1397.71"/>
    <s v="New"/>
    <s v="Cash"/>
    <n v="5304.8379999999997"/>
    <n v="2509.4179999999997"/>
    <s v="Thursday"/>
    <x v="0"/>
  </r>
  <r>
    <s v="NV1775"/>
    <d v="2024-02-17T00:00:00"/>
    <x v="57"/>
    <x v="3"/>
    <s v="P35"/>
    <x v="1"/>
    <n v="4"/>
    <n v="2081.9299999999998"/>
    <x v="1"/>
    <n v="928.81"/>
    <s v="New"/>
    <s v="Cash"/>
    <n v="6662.1759999999995"/>
    <n v="2946.9359999999997"/>
    <s v="Saturday"/>
    <x v="1"/>
  </r>
  <r>
    <s v="NV1776"/>
    <d v="2025-08-11T00:00:00"/>
    <x v="14"/>
    <x v="0"/>
    <s v="P70"/>
    <x v="0"/>
    <n v="5"/>
    <n v="944.05"/>
    <x v="2"/>
    <n v="420.33"/>
    <s v="New"/>
    <s v="Cash"/>
    <n v="4484.2375000000002"/>
    <n v="2382.5875000000001"/>
    <s v="Monday"/>
    <x v="0"/>
  </r>
  <r>
    <s v="NV1777"/>
    <d v="2024-12-13T00:00:00"/>
    <x v="29"/>
    <x v="1"/>
    <s v="P238"/>
    <x v="2"/>
    <n v="3"/>
    <n v="2601.8200000000002"/>
    <x v="1"/>
    <n v="1709.15"/>
    <s v="Returning"/>
    <s v="Digital"/>
    <n v="6244.3680000000013"/>
    <n v="1116.9180000000006"/>
    <s v="Friday"/>
    <x v="0"/>
  </r>
  <r>
    <s v="NV1778"/>
    <d v="2025-05-31T00:00:00"/>
    <x v="3"/>
    <x v="1"/>
    <s v="P180"/>
    <x v="1"/>
    <n v="5"/>
    <n v="896.62"/>
    <x v="6"/>
    <n v="455.57"/>
    <s v="Returning"/>
    <s v="Card"/>
    <n v="4483.1000000000004"/>
    <n v="2205.2500000000005"/>
    <s v="Saturday"/>
    <x v="1"/>
  </r>
  <r>
    <s v="NV1779"/>
    <d v="2024-08-09T00:00:00"/>
    <x v="58"/>
    <x v="2"/>
    <s v="P219"/>
    <x v="0"/>
    <n v="3"/>
    <n v="2819.3"/>
    <x v="3"/>
    <n v="1865.31"/>
    <s v="New"/>
    <s v="Card"/>
    <n v="7612.1100000000015"/>
    <n v="2016.1800000000012"/>
    <s v="Friday"/>
    <x v="0"/>
  </r>
  <r>
    <s v="NV1780"/>
    <d v="2025-11-27T00:00:00"/>
    <x v="51"/>
    <x v="0"/>
    <s v="P113"/>
    <x v="0"/>
    <n v="3"/>
    <n v="963.87"/>
    <x v="4"/>
    <n v="605.14"/>
    <s v="New"/>
    <s v="Card"/>
    <n v="2457.8685"/>
    <n v="642.44849999999997"/>
    <s v="Thursday"/>
    <x v="0"/>
  </r>
  <r>
    <s v="NV1781"/>
    <d v="2024-09-10T00:00:00"/>
    <x v="39"/>
    <x v="2"/>
    <s v="P76"/>
    <x v="2"/>
    <n v="3"/>
    <n v="728.16"/>
    <x v="4"/>
    <n v="476.48"/>
    <s v="Returning"/>
    <s v="Digital"/>
    <n v="1856.808"/>
    <n v="427.36799999999994"/>
    <s v="Tuesday"/>
    <x v="0"/>
  </r>
  <r>
    <s v="NV1782"/>
    <d v="2025-05-27T00:00:00"/>
    <x v="51"/>
    <x v="3"/>
    <s v="P68"/>
    <x v="2"/>
    <n v="2"/>
    <n v="1496.42"/>
    <x v="1"/>
    <n v="709.12"/>
    <s v="New"/>
    <s v="Cash"/>
    <n v="2394.2720000000004"/>
    <n v="976.03200000000038"/>
    <s v="Tuesday"/>
    <x v="0"/>
  </r>
  <r>
    <s v="NV1783"/>
    <d v="2025-10-17T00:00:00"/>
    <x v="28"/>
    <x v="3"/>
    <s v="P64"/>
    <x v="2"/>
    <n v="4"/>
    <n v="1348.88"/>
    <x v="6"/>
    <n v="848.01"/>
    <s v="Returning"/>
    <s v="Cash"/>
    <n v="5395.52"/>
    <n v="2003.4800000000005"/>
    <s v="Friday"/>
    <x v="0"/>
  </r>
  <r>
    <s v="NV1784"/>
    <d v="2025-07-24T00:00:00"/>
    <x v="4"/>
    <x v="0"/>
    <s v="P113"/>
    <x v="1"/>
    <n v="2"/>
    <n v="1567"/>
    <x v="1"/>
    <n v="913.21"/>
    <s v="New"/>
    <s v="Digital"/>
    <n v="2507.2000000000003"/>
    <n v="680.7800000000002"/>
    <s v="Thursday"/>
    <x v="0"/>
  </r>
  <r>
    <s v="NV1785"/>
    <d v="2025-10-21T00:00:00"/>
    <x v="32"/>
    <x v="0"/>
    <s v="P124"/>
    <x v="2"/>
    <n v="4"/>
    <n v="1882.25"/>
    <x v="2"/>
    <n v="1134.21"/>
    <s v="Returning"/>
    <s v="Cash"/>
    <n v="7152.5499999999993"/>
    <n v="2615.7099999999991"/>
    <s v="Tuesday"/>
    <x v="0"/>
  </r>
  <r>
    <s v="NV1786"/>
    <d v="2024-09-12T00:00:00"/>
    <x v="55"/>
    <x v="0"/>
    <s v="P240"/>
    <x v="0"/>
    <n v="3"/>
    <n v="1437.6"/>
    <x v="5"/>
    <n v="601.58000000000004"/>
    <s v="Returning"/>
    <s v="Cash"/>
    <n v="3234.5999999999995"/>
    <n v="1429.8599999999992"/>
    <s v="Thursday"/>
    <x v="0"/>
  </r>
  <r>
    <s v="NV1787"/>
    <d v="2024-01-25T00:00:00"/>
    <x v="39"/>
    <x v="3"/>
    <s v="P242"/>
    <x v="2"/>
    <n v="2"/>
    <n v="549.04"/>
    <x v="3"/>
    <n v="316.66000000000003"/>
    <s v="New"/>
    <s v="Card"/>
    <n v="988.27199999999993"/>
    <n v="354.95199999999988"/>
    <s v="Thursday"/>
    <x v="0"/>
  </r>
  <r>
    <s v="NV1788"/>
    <d v="2025-02-25T00:00:00"/>
    <x v="9"/>
    <x v="0"/>
    <s v="P18"/>
    <x v="1"/>
    <n v="3"/>
    <n v="1312.65"/>
    <x v="0"/>
    <n v="536.1"/>
    <s v="Returning"/>
    <s v="Card"/>
    <n v="2756.5650000000001"/>
    <n v="1148.2649999999999"/>
    <s v="Tuesday"/>
    <x v="0"/>
  </r>
  <r>
    <s v="NV1789"/>
    <d v="2024-11-06T00:00:00"/>
    <x v="24"/>
    <x v="0"/>
    <s v="P175"/>
    <x v="1"/>
    <n v="1"/>
    <n v="2116.9499999999998"/>
    <x v="5"/>
    <n v="1205.6099999999999"/>
    <s v="New"/>
    <s v="Card"/>
    <n v="1587.7124999999999"/>
    <n v="382.10249999999996"/>
    <s v="Wednesday"/>
    <x v="0"/>
  </r>
  <r>
    <s v="NV1790"/>
    <d v="2024-11-07T00:00:00"/>
    <x v="2"/>
    <x v="3"/>
    <s v="P245"/>
    <x v="2"/>
    <n v="3"/>
    <n v="2455.8000000000002"/>
    <x v="0"/>
    <n v="1420.61"/>
    <s v="New"/>
    <s v="Digital"/>
    <n v="5157.18"/>
    <n v="895.35000000000036"/>
    <s v="Thursday"/>
    <x v="0"/>
  </r>
  <r>
    <s v="NV1791"/>
    <d v="2024-02-17T00:00:00"/>
    <x v="6"/>
    <x v="1"/>
    <s v="P69"/>
    <x v="0"/>
    <n v="5"/>
    <n v="2736.09"/>
    <x v="0"/>
    <n v="1900.17"/>
    <s v="Returning"/>
    <s v="Card"/>
    <n v="9576.3150000000005"/>
    <n v="75.465000000000146"/>
    <s v="Saturday"/>
    <x v="1"/>
  </r>
  <r>
    <s v="NV1792"/>
    <d v="2025-11-25T00:00:00"/>
    <x v="56"/>
    <x v="1"/>
    <s v="P133"/>
    <x v="2"/>
    <n v="4"/>
    <n v="1777.9"/>
    <x v="6"/>
    <n v="955.53"/>
    <s v="Returning"/>
    <s v="Cash"/>
    <n v="7111.6"/>
    <n v="3289.4800000000005"/>
    <s v="Tuesday"/>
    <x v="0"/>
  </r>
  <r>
    <s v="NV1793"/>
    <d v="2025-03-08T00:00:00"/>
    <x v="5"/>
    <x v="2"/>
    <s v="P251"/>
    <x v="1"/>
    <n v="2"/>
    <n v="2553.06"/>
    <x v="5"/>
    <n v="1704.62"/>
    <s v="Returning"/>
    <s v="Card"/>
    <n v="3829.59"/>
    <n v="420.35000000000036"/>
    <s v="Saturday"/>
    <x v="1"/>
  </r>
  <r>
    <s v="NV1794"/>
    <d v="2024-10-05T00:00:00"/>
    <x v="17"/>
    <x v="1"/>
    <s v="P244"/>
    <x v="0"/>
    <n v="1"/>
    <n v="1453.73"/>
    <x v="3"/>
    <n v="938.66"/>
    <s v="New"/>
    <s v="Cash"/>
    <n v="1308.357"/>
    <n v="369.697"/>
    <s v="Saturday"/>
    <x v="1"/>
  </r>
  <r>
    <s v="NV1795"/>
    <d v="2024-07-01T00:00:00"/>
    <x v="20"/>
    <x v="3"/>
    <s v="P201"/>
    <x v="2"/>
    <n v="2"/>
    <n v="609.62"/>
    <x v="5"/>
    <n v="283.99"/>
    <s v="Returning"/>
    <s v="Cash"/>
    <n v="914.43000000000006"/>
    <n v="346.45000000000005"/>
    <s v="Monday"/>
    <x v="0"/>
  </r>
  <r>
    <s v="NV1796"/>
    <d v="2024-03-19T00:00:00"/>
    <x v="10"/>
    <x v="1"/>
    <s v="P164"/>
    <x v="1"/>
    <n v="1"/>
    <n v="1437.72"/>
    <x v="0"/>
    <n v="902.22"/>
    <s v="New"/>
    <s v="Digital"/>
    <n v="1006.404"/>
    <n v="104.18399999999997"/>
    <s v="Tuesday"/>
    <x v="0"/>
  </r>
  <r>
    <s v="NV1797"/>
    <d v="2024-05-19T00:00:00"/>
    <x v="21"/>
    <x v="3"/>
    <s v="P100"/>
    <x v="1"/>
    <n v="4"/>
    <n v="1678.57"/>
    <x v="1"/>
    <n v="1161.6400000000001"/>
    <s v="New"/>
    <s v="Digital"/>
    <n v="5371.424"/>
    <n v="724.86399999999958"/>
    <s v="Sunday"/>
    <x v="1"/>
  </r>
  <r>
    <s v="NV1798"/>
    <d v="2024-04-16T00:00:00"/>
    <x v="58"/>
    <x v="3"/>
    <s v="P257"/>
    <x v="0"/>
    <n v="1"/>
    <n v="2847.55"/>
    <x v="2"/>
    <n v="1571.55"/>
    <s v="Returning"/>
    <s v="Card"/>
    <n v="2705.1725000000001"/>
    <n v="1133.6225000000002"/>
    <s v="Tuesday"/>
    <x v="0"/>
  </r>
  <r>
    <s v="NV1799"/>
    <d v="2025-09-28T00:00:00"/>
    <x v="48"/>
    <x v="2"/>
    <s v="P150"/>
    <x v="1"/>
    <n v="4"/>
    <n v="975.48"/>
    <x v="4"/>
    <n v="607.59"/>
    <s v="Returning"/>
    <s v="Cash"/>
    <n v="3316.6320000000001"/>
    <n v="886.27199999999993"/>
    <s v="Sunday"/>
    <x v="1"/>
  </r>
  <r>
    <s v="NV1800"/>
    <d v="2024-02-17T00:00:00"/>
    <x v="57"/>
    <x v="3"/>
    <s v="P193"/>
    <x v="1"/>
    <n v="3"/>
    <n v="1068"/>
    <x v="5"/>
    <n v="680.68"/>
    <s v="Returning"/>
    <s v="Digital"/>
    <n v="2403"/>
    <n v="360.96000000000004"/>
    <s v="Saturday"/>
    <x v="1"/>
  </r>
  <r>
    <s v="NV1801"/>
    <d v="2024-07-01T00:00:00"/>
    <x v="49"/>
    <x v="3"/>
    <s v="P44"/>
    <x v="2"/>
    <n v="4"/>
    <n v="2628.97"/>
    <x v="3"/>
    <n v="1266.6300000000001"/>
    <s v="Returning"/>
    <s v="Digital"/>
    <n v="9464.2919999999995"/>
    <n v="4397.771999999999"/>
    <s v="Monday"/>
    <x v="0"/>
  </r>
  <r>
    <s v="NV1802"/>
    <d v="2025-11-22T00:00:00"/>
    <x v="25"/>
    <x v="1"/>
    <s v="P165"/>
    <x v="2"/>
    <n v="4"/>
    <n v="340.79"/>
    <x v="3"/>
    <n v="190.55"/>
    <s v="Returning"/>
    <s v="Card"/>
    <n v="1226.8440000000001"/>
    <n v="464.64400000000001"/>
    <s v="Saturday"/>
    <x v="1"/>
  </r>
  <r>
    <s v="NV1803"/>
    <d v="2025-10-14T00:00:00"/>
    <x v="33"/>
    <x v="2"/>
    <s v="P32"/>
    <x v="0"/>
    <n v="4"/>
    <n v="557.29"/>
    <x v="4"/>
    <n v="273.77999999999997"/>
    <s v="Returning"/>
    <s v="Cash"/>
    <n v="1894.7859999999998"/>
    <n v="799.66599999999994"/>
    <s v="Tuesday"/>
    <x v="0"/>
  </r>
  <r>
    <s v="NV1804"/>
    <d v="2025-08-24T00:00:00"/>
    <x v="14"/>
    <x v="2"/>
    <s v="P288"/>
    <x v="1"/>
    <n v="4"/>
    <n v="2930.08"/>
    <x v="2"/>
    <n v="1401.32"/>
    <s v="New"/>
    <s v="Cash"/>
    <n v="11134.304"/>
    <n v="5529.0240000000003"/>
    <s v="Sunday"/>
    <x v="1"/>
  </r>
  <r>
    <s v="NV1805"/>
    <d v="2025-01-09T00:00:00"/>
    <x v="39"/>
    <x v="2"/>
    <s v="P272"/>
    <x v="2"/>
    <n v="4"/>
    <n v="1311.57"/>
    <x v="4"/>
    <n v="779.44"/>
    <s v="Returning"/>
    <s v="Cash"/>
    <n v="4459.3379999999997"/>
    <n v="1341.5779999999995"/>
    <s v="Thursday"/>
    <x v="0"/>
  </r>
  <r>
    <s v="NV1806"/>
    <d v="2024-01-07T00:00:00"/>
    <x v="19"/>
    <x v="2"/>
    <s v="P128"/>
    <x v="0"/>
    <n v="4"/>
    <n v="951.82"/>
    <x v="4"/>
    <n v="589.86"/>
    <s v="New"/>
    <s v="Cash"/>
    <n v="3236.1880000000001"/>
    <n v="876.74800000000005"/>
    <s v="Sunday"/>
    <x v="1"/>
  </r>
  <r>
    <s v="NV1807"/>
    <d v="2024-03-12T00:00:00"/>
    <x v="31"/>
    <x v="3"/>
    <s v="P53"/>
    <x v="1"/>
    <n v="1"/>
    <n v="1508.6"/>
    <x v="5"/>
    <n v="737.29"/>
    <s v="Returning"/>
    <s v="Digital"/>
    <n v="1131.4499999999998"/>
    <n v="394.15999999999985"/>
    <s v="Tuesday"/>
    <x v="0"/>
  </r>
  <r>
    <s v="NV1808"/>
    <d v="2024-05-28T00:00:00"/>
    <x v="51"/>
    <x v="0"/>
    <s v="P59"/>
    <x v="2"/>
    <n v="3"/>
    <n v="1026.31"/>
    <x v="3"/>
    <n v="591.98"/>
    <s v="Returning"/>
    <s v="Digital"/>
    <n v="2771.0369999999998"/>
    <n v="995.09699999999975"/>
    <s v="Tuesday"/>
    <x v="0"/>
  </r>
  <r>
    <s v="NV1809"/>
    <d v="2025-01-20T00:00:00"/>
    <x v="4"/>
    <x v="1"/>
    <s v="P115"/>
    <x v="1"/>
    <n v="5"/>
    <n v="1627.84"/>
    <x v="1"/>
    <n v="763.31"/>
    <s v="New"/>
    <s v="Digital"/>
    <n v="6511.3600000000006"/>
    <n v="2694.8100000000009"/>
    <s v="Monday"/>
    <x v="0"/>
  </r>
  <r>
    <s v="NV1810"/>
    <d v="2024-07-04T00:00:00"/>
    <x v="1"/>
    <x v="0"/>
    <s v="P238"/>
    <x v="1"/>
    <n v="4"/>
    <n v="2907.28"/>
    <x v="3"/>
    <n v="1253.3"/>
    <s v="New"/>
    <s v="Card"/>
    <n v="10466.208000000001"/>
    <n v="5453.0080000000007"/>
    <s v="Thursday"/>
    <x v="0"/>
  </r>
  <r>
    <s v="NV1811"/>
    <d v="2025-03-31T00:00:00"/>
    <x v="39"/>
    <x v="2"/>
    <s v="P201"/>
    <x v="2"/>
    <n v="5"/>
    <n v="2190.38"/>
    <x v="3"/>
    <n v="945.05"/>
    <s v="New"/>
    <s v="Cash"/>
    <n v="9856.7100000000009"/>
    <n v="5131.4600000000009"/>
    <s v="Monday"/>
    <x v="0"/>
  </r>
  <r>
    <s v="NV1812"/>
    <d v="2024-12-09T00:00:00"/>
    <x v="58"/>
    <x v="0"/>
    <s v="P104"/>
    <x v="2"/>
    <n v="1"/>
    <n v="462.88"/>
    <x v="2"/>
    <n v="249.26"/>
    <s v="New"/>
    <s v="Digital"/>
    <n v="439.73599999999999"/>
    <n v="190.476"/>
    <s v="Monday"/>
    <x v="0"/>
  </r>
  <r>
    <s v="NV1813"/>
    <d v="2025-07-17T00:00:00"/>
    <x v="6"/>
    <x v="2"/>
    <s v="P279"/>
    <x v="1"/>
    <n v="4"/>
    <n v="1202.6099999999999"/>
    <x v="3"/>
    <n v="808.84"/>
    <s v="New"/>
    <s v="Card"/>
    <n v="4329.3959999999997"/>
    <n v="1094.0359999999996"/>
    <s v="Thursday"/>
    <x v="0"/>
  </r>
  <r>
    <s v="NV1814"/>
    <d v="2024-10-06T00:00:00"/>
    <x v="52"/>
    <x v="3"/>
    <s v="P224"/>
    <x v="0"/>
    <n v="5"/>
    <n v="2975.52"/>
    <x v="6"/>
    <n v="1293.1099999999999"/>
    <s v="Returning"/>
    <s v="Card"/>
    <n v="14877.6"/>
    <n v="8412.0500000000011"/>
    <s v="Sunday"/>
    <x v="1"/>
  </r>
  <r>
    <s v="NV1815"/>
    <d v="2024-10-30T00:00:00"/>
    <x v="57"/>
    <x v="1"/>
    <s v="P115"/>
    <x v="0"/>
    <n v="2"/>
    <n v="2804.1"/>
    <x v="3"/>
    <n v="1174.76"/>
    <s v="New"/>
    <s v="Digital"/>
    <n v="5047.38"/>
    <n v="2697.86"/>
    <s v="Wednesday"/>
    <x v="0"/>
  </r>
  <r>
    <s v="NV1816"/>
    <d v="2024-11-26T00:00:00"/>
    <x v="41"/>
    <x v="3"/>
    <s v="P250"/>
    <x v="1"/>
    <n v="2"/>
    <n v="2970.15"/>
    <x v="4"/>
    <n v="1397.95"/>
    <s v="New"/>
    <s v="Cash"/>
    <n v="5049.2550000000001"/>
    <n v="2253.355"/>
    <s v="Tuesday"/>
    <x v="0"/>
  </r>
  <r>
    <s v="NV1817"/>
    <d v="2024-09-16T00:00:00"/>
    <x v="23"/>
    <x v="2"/>
    <s v="P214"/>
    <x v="2"/>
    <n v="2"/>
    <n v="1388.15"/>
    <x v="5"/>
    <n v="872.71"/>
    <s v="New"/>
    <s v="Card"/>
    <n v="2082.2250000000004"/>
    <n v="336.80500000000029"/>
    <s v="Monday"/>
    <x v="0"/>
  </r>
  <r>
    <s v="NV1818"/>
    <d v="2025-09-09T00:00:00"/>
    <x v="55"/>
    <x v="0"/>
    <s v="P59"/>
    <x v="1"/>
    <n v="4"/>
    <n v="1481.19"/>
    <x v="2"/>
    <n v="1013.23"/>
    <s v="Returning"/>
    <s v="Card"/>
    <n v="5628.5219999999999"/>
    <n v="1575.6019999999999"/>
    <s v="Tuesday"/>
    <x v="0"/>
  </r>
  <r>
    <s v="NV1819"/>
    <d v="2024-07-15T00:00:00"/>
    <x v="9"/>
    <x v="1"/>
    <s v="P221"/>
    <x v="2"/>
    <n v="4"/>
    <n v="1443.63"/>
    <x v="4"/>
    <n v="932.1"/>
    <s v="New"/>
    <s v="Card"/>
    <n v="4908.3420000000006"/>
    <n v="1179.9420000000005"/>
    <s v="Monday"/>
    <x v="0"/>
  </r>
  <r>
    <s v="NV1820"/>
    <d v="2025-09-12T00:00:00"/>
    <x v="15"/>
    <x v="1"/>
    <s v="P95"/>
    <x v="0"/>
    <n v="3"/>
    <n v="843.47"/>
    <x v="4"/>
    <n v="488.87"/>
    <s v="New"/>
    <s v="Cash"/>
    <n v="2150.8484999999996"/>
    <n v="684.23849999999948"/>
    <s v="Friday"/>
    <x v="0"/>
  </r>
  <r>
    <s v="NV1821"/>
    <d v="2024-07-24T00:00:00"/>
    <x v="21"/>
    <x v="0"/>
    <s v="P36"/>
    <x v="1"/>
    <n v="5"/>
    <n v="1687.16"/>
    <x v="5"/>
    <n v="702.93"/>
    <s v="Returning"/>
    <s v="Cash"/>
    <n v="6326.85"/>
    <n v="2812.2000000000007"/>
    <s v="Wednesday"/>
    <x v="0"/>
  </r>
  <r>
    <s v="NV1822"/>
    <d v="2025-04-13T00:00:00"/>
    <x v="9"/>
    <x v="2"/>
    <s v="P189"/>
    <x v="2"/>
    <n v="5"/>
    <n v="2858.93"/>
    <x v="3"/>
    <n v="1724.59"/>
    <s v="New"/>
    <s v="Card"/>
    <n v="12865.184999999999"/>
    <n v="4242.2350000000006"/>
    <s v="Sunday"/>
    <x v="1"/>
  </r>
  <r>
    <s v="NV1823"/>
    <d v="2025-08-12T00:00:00"/>
    <x v="4"/>
    <x v="2"/>
    <s v="P47"/>
    <x v="0"/>
    <n v="4"/>
    <n v="1965.72"/>
    <x v="2"/>
    <n v="1323.69"/>
    <s v="New"/>
    <s v="Digital"/>
    <n v="7469.7359999999999"/>
    <n v="2174.9759999999997"/>
    <s v="Tuesday"/>
    <x v="0"/>
  </r>
  <r>
    <s v="NV1824"/>
    <d v="2024-02-04T00:00:00"/>
    <x v="9"/>
    <x v="1"/>
    <s v="P119"/>
    <x v="2"/>
    <n v="3"/>
    <n v="1946.09"/>
    <x v="1"/>
    <n v="978.2"/>
    <s v="New"/>
    <s v="Card"/>
    <n v="4670.616"/>
    <n v="1736.0159999999996"/>
    <s v="Sunday"/>
    <x v="1"/>
  </r>
  <r>
    <s v="NV1825"/>
    <d v="2025-05-12T00:00:00"/>
    <x v="56"/>
    <x v="1"/>
    <s v="P53"/>
    <x v="1"/>
    <n v="5"/>
    <n v="2190.65"/>
    <x v="6"/>
    <n v="1379.63"/>
    <s v="Returning"/>
    <s v="Digital"/>
    <n v="10953.25"/>
    <n v="4055.0999999999995"/>
    <s v="Monday"/>
    <x v="0"/>
  </r>
  <r>
    <s v="NV1826"/>
    <d v="2024-05-19T00:00:00"/>
    <x v="6"/>
    <x v="0"/>
    <s v="P228"/>
    <x v="2"/>
    <n v="4"/>
    <n v="739.4"/>
    <x v="1"/>
    <n v="454.3"/>
    <s v="New"/>
    <s v="Digital"/>
    <n v="2366.08"/>
    <n v="548.87999999999988"/>
    <s v="Sunday"/>
    <x v="1"/>
  </r>
  <r>
    <s v="NV1827"/>
    <d v="2025-11-19T00:00:00"/>
    <x v="25"/>
    <x v="0"/>
    <s v="P111"/>
    <x v="0"/>
    <n v="1"/>
    <n v="1096.4100000000001"/>
    <x v="4"/>
    <n v="597.30999999999995"/>
    <s v="New"/>
    <s v="Digital"/>
    <n v="931.94850000000008"/>
    <n v="334.63850000000014"/>
    <s v="Wednesday"/>
    <x v="0"/>
  </r>
  <r>
    <s v="NV1828"/>
    <d v="2025-07-18T00:00:00"/>
    <x v="48"/>
    <x v="0"/>
    <s v="P203"/>
    <x v="0"/>
    <n v="5"/>
    <n v="2238.91"/>
    <x v="6"/>
    <n v="1313.8"/>
    <s v="New"/>
    <s v="Cash"/>
    <n v="11194.55"/>
    <n v="4625.5499999999993"/>
    <s v="Friday"/>
    <x v="0"/>
  </r>
  <r>
    <s v="NV1829"/>
    <d v="2025-07-19T00:00:00"/>
    <x v="56"/>
    <x v="1"/>
    <s v="P64"/>
    <x v="1"/>
    <n v="4"/>
    <n v="2751.81"/>
    <x v="0"/>
    <n v="1305.48"/>
    <s v="New"/>
    <s v="Cash"/>
    <n v="7705.0679999999993"/>
    <n v="2483.1479999999992"/>
    <s v="Saturday"/>
    <x v="1"/>
  </r>
  <r>
    <s v="NV1830"/>
    <d v="2024-07-02T00:00:00"/>
    <x v="7"/>
    <x v="3"/>
    <s v="P189"/>
    <x v="2"/>
    <n v="5"/>
    <n v="1490.13"/>
    <x v="0"/>
    <n v="714.69"/>
    <s v="New"/>
    <s v="Card"/>
    <n v="5215.4549999999999"/>
    <n v="1642.0049999999997"/>
    <s v="Tuesday"/>
    <x v="0"/>
  </r>
  <r>
    <s v="NV1831"/>
    <d v="2024-05-27T00:00:00"/>
    <x v="47"/>
    <x v="0"/>
    <s v="P243"/>
    <x v="0"/>
    <n v="3"/>
    <n v="1352.96"/>
    <x v="3"/>
    <n v="695.43"/>
    <s v="New"/>
    <s v="Card"/>
    <n v="3652.9920000000002"/>
    <n v="1566.7020000000002"/>
    <s v="Monday"/>
    <x v="0"/>
  </r>
  <r>
    <s v="NV1832"/>
    <d v="2024-02-07T00:00:00"/>
    <x v="40"/>
    <x v="1"/>
    <s v="P294"/>
    <x v="2"/>
    <n v="5"/>
    <n v="950.29"/>
    <x v="1"/>
    <n v="563.71"/>
    <s v="New"/>
    <s v="Digital"/>
    <n v="3801.16"/>
    <n v="982.60999999999967"/>
    <s v="Wednesday"/>
    <x v="0"/>
  </r>
  <r>
    <s v="NV1833"/>
    <d v="2024-03-14T00:00:00"/>
    <x v="10"/>
    <x v="0"/>
    <s v="P273"/>
    <x v="0"/>
    <n v="2"/>
    <n v="693.4"/>
    <x v="4"/>
    <n v="301.72000000000003"/>
    <s v="New"/>
    <s v="Digital"/>
    <n v="1178.78"/>
    <n v="575.33999999999992"/>
    <s v="Thursday"/>
    <x v="0"/>
  </r>
  <r>
    <s v="NV1834"/>
    <d v="2024-01-28T00:00:00"/>
    <x v="21"/>
    <x v="1"/>
    <s v="P258"/>
    <x v="0"/>
    <n v="5"/>
    <n v="954.41"/>
    <x v="2"/>
    <n v="510.48"/>
    <s v="Returning"/>
    <s v="Cash"/>
    <n v="4533.4475000000002"/>
    <n v="1981.0475000000001"/>
    <s v="Sunday"/>
    <x v="1"/>
  </r>
  <r>
    <s v="NV1835"/>
    <d v="2024-11-26T00:00:00"/>
    <x v="51"/>
    <x v="3"/>
    <s v="P297"/>
    <x v="1"/>
    <n v="3"/>
    <n v="2541.9299999999998"/>
    <x v="3"/>
    <n v="1578.37"/>
    <s v="Returning"/>
    <s v="Digital"/>
    <n v="6863.2109999999993"/>
    <n v="2128.1009999999997"/>
    <s v="Tuesday"/>
    <x v="0"/>
  </r>
  <r>
    <s v="NV1836"/>
    <d v="2025-04-16T00:00:00"/>
    <x v="20"/>
    <x v="1"/>
    <s v="P5"/>
    <x v="0"/>
    <n v="5"/>
    <n v="2136.0500000000002"/>
    <x v="0"/>
    <n v="1331.95"/>
    <s v="New"/>
    <s v="Digital"/>
    <n v="7476.1749999999993"/>
    <n v="816.42499999999927"/>
    <s v="Wednesday"/>
    <x v="0"/>
  </r>
  <r>
    <s v="NV1837"/>
    <d v="2024-03-03T00:00:00"/>
    <x v="34"/>
    <x v="0"/>
    <s v="P49"/>
    <x v="1"/>
    <n v="4"/>
    <n v="1089.08"/>
    <x v="2"/>
    <n v="681.42"/>
    <s v="Returning"/>
    <s v="Digital"/>
    <n v="4138.5039999999999"/>
    <n v="1412.8240000000001"/>
    <s v="Sunday"/>
    <x v="1"/>
  </r>
  <r>
    <s v="NV1838"/>
    <d v="2025-10-17T00:00:00"/>
    <x v="2"/>
    <x v="1"/>
    <s v="P66"/>
    <x v="0"/>
    <n v="5"/>
    <n v="2129.62"/>
    <x v="4"/>
    <n v="1275.76"/>
    <s v="Returning"/>
    <s v="Digital"/>
    <n v="9050.8849999999984"/>
    <n v="2672.0849999999982"/>
    <s v="Friday"/>
    <x v="0"/>
  </r>
  <r>
    <s v="NV1839"/>
    <d v="2025-10-02T00:00:00"/>
    <x v="34"/>
    <x v="2"/>
    <s v="P84"/>
    <x v="1"/>
    <n v="3"/>
    <n v="1128.1600000000001"/>
    <x v="4"/>
    <n v="477.68"/>
    <s v="New"/>
    <s v="Card"/>
    <n v="2876.8080000000004"/>
    <n v="1443.7680000000005"/>
    <s v="Thursday"/>
    <x v="0"/>
  </r>
  <r>
    <s v="NV1840"/>
    <d v="2025-02-06T00:00:00"/>
    <x v="18"/>
    <x v="3"/>
    <s v="P46"/>
    <x v="2"/>
    <n v="4"/>
    <n v="820.49"/>
    <x v="6"/>
    <n v="347.78"/>
    <s v="New"/>
    <s v="Cash"/>
    <n v="3281.96"/>
    <n v="1890.8400000000001"/>
    <s v="Thursday"/>
    <x v="0"/>
  </r>
  <r>
    <s v="NV1841"/>
    <d v="2024-05-25T00:00:00"/>
    <x v="2"/>
    <x v="1"/>
    <s v="P166"/>
    <x v="1"/>
    <n v="1"/>
    <n v="878.03"/>
    <x v="1"/>
    <n v="445.47"/>
    <s v="Returning"/>
    <s v="Card"/>
    <n v="702.42399999999998"/>
    <n v="256.95399999999995"/>
    <s v="Saturday"/>
    <x v="1"/>
  </r>
  <r>
    <s v="NV1842"/>
    <d v="2025-07-13T00:00:00"/>
    <x v="45"/>
    <x v="0"/>
    <s v="P153"/>
    <x v="0"/>
    <n v="4"/>
    <n v="2844.91"/>
    <x v="0"/>
    <n v="1923.18"/>
    <s v="Returning"/>
    <s v="Cash"/>
    <n v="7965.7479999999987"/>
    <n v="273.02799999999843"/>
    <s v="Sunday"/>
    <x v="1"/>
  </r>
  <r>
    <s v="NV1843"/>
    <d v="2025-05-12T00:00:00"/>
    <x v="18"/>
    <x v="1"/>
    <s v="P64"/>
    <x v="0"/>
    <n v="3"/>
    <n v="1081.08"/>
    <x v="6"/>
    <n v="583.09"/>
    <s v="Returning"/>
    <s v="Card"/>
    <n v="3243.24"/>
    <n v="1493.9699999999998"/>
    <s v="Monday"/>
    <x v="0"/>
  </r>
  <r>
    <s v="NV1844"/>
    <d v="2025-07-26T00:00:00"/>
    <x v="37"/>
    <x v="2"/>
    <s v="P274"/>
    <x v="2"/>
    <n v="2"/>
    <n v="339.72"/>
    <x v="0"/>
    <n v="173.14"/>
    <s v="Returning"/>
    <s v="Card"/>
    <n v="475.608"/>
    <n v="129.32800000000003"/>
    <s v="Saturday"/>
    <x v="1"/>
  </r>
  <r>
    <s v="NV1845"/>
    <d v="2025-04-11T00:00:00"/>
    <x v="7"/>
    <x v="2"/>
    <s v="P56"/>
    <x v="2"/>
    <n v="5"/>
    <n v="1082.95"/>
    <x v="5"/>
    <n v="448.58"/>
    <s v="Returning"/>
    <s v="Card"/>
    <n v="4061.0625"/>
    <n v="1818.1624999999999"/>
    <s v="Friday"/>
    <x v="0"/>
  </r>
  <r>
    <s v="NV1846"/>
    <d v="2024-02-15T00:00:00"/>
    <x v="19"/>
    <x v="3"/>
    <s v="P205"/>
    <x v="0"/>
    <n v="2"/>
    <n v="1361.37"/>
    <x v="0"/>
    <n v="779.06"/>
    <s v="New"/>
    <s v="Card"/>
    <n v="1905.9179999999997"/>
    <n v="347.79799999999977"/>
    <s v="Thursday"/>
    <x v="0"/>
  </r>
  <r>
    <s v="NV1847"/>
    <d v="2025-06-21T00:00:00"/>
    <x v="45"/>
    <x v="2"/>
    <s v="P242"/>
    <x v="2"/>
    <n v="2"/>
    <n v="1001.05"/>
    <x v="2"/>
    <n v="427.31"/>
    <s v="New"/>
    <s v="Digital"/>
    <n v="1901.9949999999999"/>
    <n v="1047.375"/>
    <s v="Saturday"/>
    <x v="1"/>
  </r>
  <r>
    <s v="NV1848"/>
    <d v="2025-07-28T00:00:00"/>
    <x v="30"/>
    <x v="2"/>
    <s v="P270"/>
    <x v="2"/>
    <n v="1"/>
    <n v="1077.3399999999999"/>
    <x v="2"/>
    <n v="732.05"/>
    <s v="Returning"/>
    <s v="Digital"/>
    <n v="1023.4729999999998"/>
    <n v="291.42299999999989"/>
    <s v="Monday"/>
    <x v="0"/>
  </r>
  <r>
    <s v="NV1849"/>
    <d v="2025-11-10T00:00:00"/>
    <x v="5"/>
    <x v="3"/>
    <s v="P248"/>
    <x v="1"/>
    <n v="1"/>
    <n v="478.09"/>
    <x v="1"/>
    <n v="272.43"/>
    <s v="Returning"/>
    <s v="Cash"/>
    <n v="382.47199999999998"/>
    <n v="110.04199999999997"/>
    <s v="Monday"/>
    <x v="0"/>
  </r>
  <r>
    <s v="NV1850"/>
    <d v="2025-05-04T00:00:00"/>
    <x v="4"/>
    <x v="1"/>
    <s v="P263"/>
    <x v="2"/>
    <n v="5"/>
    <n v="2452.2800000000002"/>
    <x v="6"/>
    <n v="1353.6"/>
    <s v="New"/>
    <s v="Cash"/>
    <n v="12261.400000000001"/>
    <n v="5493.4000000000015"/>
    <s v="Sunday"/>
    <x v="1"/>
  </r>
  <r>
    <s v="NV1851"/>
    <d v="2024-05-07T00:00:00"/>
    <x v="49"/>
    <x v="0"/>
    <s v="P271"/>
    <x v="0"/>
    <n v="4"/>
    <n v="1526.85"/>
    <x v="4"/>
    <n v="851.05"/>
    <s v="Returning"/>
    <s v="Card"/>
    <n v="5191.29"/>
    <n v="1787.0900000000001"/>
    <s v="Tuesday"/>
    <x v="0"/>
  </r>
  <r>
    <s v="NV1852"/>
    <d v="2025-06-07T00:00:00"/>
    <x v="28"/>
    <x v="2"/>
    <s v="P23"/>
    <x v="1"/>
    <n v="5"/>
    <n v="2246.35"/>
    <x v="0"/>
    <n v="1242.03"/>
    <s v="Returning"/>
    <s v="Cash"/>
    <n v="7862.2249999999995"/>
    <n v="1652.0749999999998"/>
    <s v="Saturday"/>
    <x v="1"/>
  </r>
  <r>
    <s v="NV1853"/>
    <d v="2024-05-03T00:00:00"/>
    <x v="59"/>
    <x v="0"/>
    <s v="P34"/>
    <x v="1"/>
    <n v="5"/>
    <n v="2490.7399999999998"/>
    <x v="3"/>
    <n v="1395.97"/>
    <s v="New"/>
    <s v="Cash"/>
    <n v="11208.33"/>
    <n v="4228.4799999999996"/>
    <s v="Friday"/>
    <x v="0"/>
  </r>
  <r>
    <s v="NV1854"/>
    <d v="2024-08-18T00:00:00"/>
    <x v="8"/>
    <x v="3"/>
    <s v="P79"/>
    <x v="1"/>
    <n v="2"/>
    <n v="2110.39"/>
    <x v="4"/>
    <n v="1455.66"/>
    <s v="New"/>
    <s v="Card"/>
    <n v="3587.6629999999996"/>
    <n v="676.34299999999939"/>
    <s v="Sunday"/>
    <x v="1"/>
  </r>
  <r>
    <s v="NV1855"/>
    <d v="2024-08-16T00:00:00"/>
    <x v="12"/>
    <x v="2"/>
    <s v="P231"/>
    <x v="0"/>
    <n v="2"/>
    <n v="2915.65"/>
    <x v="2"/>
    <n v="1341.29"/>
    <s v="New"/>
    <s v="Card"/>
    <n v="5539.7349999999997"/>
    <n v="2857.1549999999997"/>
    <s v="Friday"/>
    <x v="0"/>
  </r>
  <r>
    <s v="NV1856"/>
    <d v="2024-06-11T00:00:00"/>
    <x v="46"/>
    <x v="3"/>
    <s v="P266"/>
    <x v="0"/>
    <n v="4"/>
    <n v="1636.69"/>
    <x v="2"/>
    <n v="1065.43"/>
    <s v="Returning"/>
    <s v="Card"/>
    <n v="6219.4219999999996"/>
    <n v="1957.7019999999993"/>
    <s v="Tuesday"/>
    <x v="0"/>
  </r>
  <r>
    <s v="NV1857"/>
    <d v="2024-01-03T00:00:00"/>
    <x v="18"/>
    <x v="2"/>
    <s v="P13"/>
    <x v="2"/>
    <n v="5"/>
    <n v="440.03"/>
    <x v="6"/>
    <n v="215.89"/>
    <s v="Returning"/>
    <s v="Cash"/>
    <n v="2200.1499999999996"/>
    <n v="1120.6999999999998"/>
    <s v="Wednesday"/>
    <x v="0"/>
  </r>
  <r>
    <s v="NV1858"/>
    <d v="2025-01-01T00:00:00"/>
    <x v="52"/>
    <x v="0"/>
    <s v="P197"/>
    <x v="1"/>
    <n v="3"/>
    <n v="1390.36"/>
    <x v="0"/>
    <n v="936.43"/>
    <s v="New"/>
    <s v="Digital"/>
    <n v="2919.7559999999999"/>
    <n v="110.46599999999989"/>
    <s v="Wednesday"/>
    <x v="0"/>
  </r>
  <r>
    <s v="NV1859"/>
    <d v="2024-03-16T00:00:00"/>
    <x v="35"/>
    <x v="0"/>
    <s v="P159"/>
    <x v="1"/>
    <n v="1"/>
    <n v="1720.5"/>
    <x v="6"/>
    <n v="804.16"/>
    <s v="Returning"/>
    <s v="Digital"/>
    <n v="1720.5"/>
    <n v="916.34"/>
    <s v="Saturday"/>
    <x v="1"/>
  </r>
  <r>
    <s v="NV1860"/>
    <d v="2024-06-10T00:00:00"/>
    <x v="5"/>
    <x v="1"/>
    <s v="P240"/>
    <x v="1"/>
    <n v="2"/>
    <n v="2497.73"/>
    <x v="3"/>
    <n v="1144.4100000000001"/>
    <s v="New"/>
    <s v="Card"/>
    <n v="4495.9139999999998"/>
    <n v="2207.0939999999996"/>
    <s v="Monday"/>
    <x v="0"/>
  </r>
  <r>
    <s v="NV1861"/>
    <d v="2024-03-07T00:00:00"/>
    <x v="30"/>
    <x v="3"/>
    <s v="P192"/>
    <x v="2"/>
    <n v="2"/>
    <n v="2807.27"/>
    <x v="5"/>
    <n v="1298.72"/>
    <s v="Returning"/>
    <s v="Cash"/>
    <n v="4210.9049999999997"/>
    <n v="1613.4649999999997"/>
    <s v="Thursday"/>
    <x v="0"/>
  </r>
  <r>
    <s v="NV1862"/>
    <d v="2025-08-14T00:00:00"/>
    <x v="46"/>
    <x v="1"/>
    <s v="P189"/>
    <x v="0"/>
    <n v="1"/>
    <n v="2185.5100000000002"/>
    <x v="3"/>
    <n v="906.04"/>
    <s v="New"/>
    <s v="Digital"/>
    <n v="1966.9590000000003"/>
    <n v="1060.9190000000003"/>
    <s v="Thursday"/>
    <x v="0"/>
  </r>
  <r>
    <s v="NV1863"/>
    <d v="2025-01-08T00:00:00"/>
    <x v="59"/>
    <x v="2"/>
    <s v="P227"/>
    <x v="0"/>
    <n v="2"/>
    <n v="2373.7199999999998"/>
    <x v="6"/>
    <n v="1587.16"/>
    <s v="Returning"/>
    <s v="Digital"/>
    <n v="4747.4399999999996"/>
    <n v="1573.1199999999994"/>
    <s v="Wednesday"/>
    <x v="0"/>
  </r>
  <r>
    <s v="NV1864"/>
    <d v="2025-07-18T00:00:00"/>
    <x v="34"/>
    <x v="3"/>
    <s v="P8"/>
    <x v="0"/>
    <n v="5"/>
    <n v="1415.53"/>
    <x v="4"/>
    <n v="853.6"/>
    <s v="Returning"/>
    <s v="Card"/>
    <n v="6016.0024999999996"/>
    <n v="1748.0024999999996"/>
    <s v="Friday"/>
    <x v="0"/>
  </r>
  <r>
    <s v="NV1865"/>
    <d v="2025-06-28T00:00:00"/>
    <x v="52"/>
    <x v="2"/>
    <s v="P250"/>
    <x v="0"/>
    <n v="4"/>
    <n v="2531.59"/>
    <x v="4"/>
    <n v="1232.06"/>
    <s v="New"/>
    <s v="Cash"/>
    <n v="8607.4060000000009"/>
    <n v="3679.1660000000011"/>
    <s v="Saturday"/>
    <x v="1"/>
  </r>
  <r>
    <s v="NV1866"/>
    <d v="2024-11-21T00:00:00"/>
    <x v="35"/>
    <x v="2"/>
    <s v="P217"/>
    <x v="1"/>
    <n v="5"/>
    <n v="2181.8000000000002"/>
    <x v="2"/>
    <n v="1142.04"/>
    <s v="New"/>
    <s v="Digital"/>
    <n v="10363.549999999999"/>
    <n v="4653.3499999999995"/>
    <s v="Thursday"/>
    <x v="0"/>
  </r>
  <r>
    <s v="NV1867"/>
    <d v="2024-10-07T00:00:00"/>
    <x v="29"/>
    <x v="2"/>
    <s v="P134"/>
    <x v="0"/>
    <n v="5"/>
    <n v="1103.6199999999999"/>
    <x v="1"/>
    <n v="483.81"/>
    <s v="Returning"/>
    <s v="Cash"/>
    <n v="4414.4799999999996"/>
    <n v="1995.4299999999994"/>
    <s v="Monday"/>
    <x v="0"/>
  </r>
  <r>
    <s v="NV1868"/>
    <d v="2025-09-28T00:00:00"/>
    <x v="3"/>
    <x v="2"/>
    <s v="P150"/>
    <x v="2"/>
    <n v="5"/>
    <n v="924.74"/>
    <x v="2"/>
    <n v="407.76"/>
    <s v="Returning"/>
    <s v="Cash"/>
    <n v="4392.5149999999994"/>
    <n v="2353.7149999999992"/>
    <s v="Sunday"/>
    <x v="1"/>
  </r>
  <r>
    <s v="NV1869"/>
    <d v="2024-12-12T00:00:00"/>
    <x v="10"/>
    <x v="0"/>
    <s v="P286"/>
    <x v="2"/>
    <n v="4"/>
    <n v="1443.5"/>
    <x v="5"/>
    <n v="658.35"/>
    <s v="Returning"/>
    <s v="Digital"/>
    <n v="4330.5"/>
    <n v="1697.1"/>
    <s v="Thursday"/>
    <x v="0"/>
  </r>
  <r>
    <s v="NV1870"/>
    <d v="2024-01-25T00:00:00"/>
    <x v="0"/>
    <x v="3"/>
    <s v="P45"/>
    <x v="0"/>
    <n v="5"/>
    <n v="2613.9699999999998"/>
    <x v="2"/>
    <n v="1053.48"/>
    <s v="Returning"/>
    <s v="Card"/>
    <n v="12416.357499999998"/>
    <n v="7148.9574999999986"/>
    <s v="Thursday"/>
    <x v="0"/>
  </r>
  <r>
    <s v="NV1871"/>
    <d v="2024-12-24T00:00:00"/>
    <x v="51"/>
    <x v="2"/>
    <s v="P249"/>
    <x v="0"/>
    <n v="3"/>
    <n v="856.71"/>
    <x v="1"/>
    <n v="378.43"/>
    <s v="New"/>
    <s v="Card"/>
    <n v="2056.1040000000003"/>
    <n v="920.81400000000031"/>
    <s v="Tuesday"/>
    <x v="0"/>
  </r>
  <r>
    <s v="NV1872"/>
    <d v="2024-07-25T00:00:00"/>
    <x v="42"/>
    <x v="0"/>
    <s v="P257"/>
    <x v="1"/>
    <n v="4"/>
    <n v="1215.81"/>
    <x v="2"/>
    <n v="496.44"/>
    <s v="New"/>
    <s v="Cash"/>
    <n v="4620.0779999999995"/>
    <n v="2634.3179999999993"/>
    <s v="Thursday"/>
    <x v="0"/>
  </r>
  <r>
    <s v="NV1873"/>
    <d v="2025-11-16T00:00:00"/>
    <x v="23"/>
    <x v="1"/>
    <s v="P179"/>
    <x v="1"/>
    <n v="5"/>
    <n v="2282.0500000000002"/>
    <x v="2"/>
    <n v="1259.6500000000001"/>
    <s v="Returning"/>
    <s v="Card"/>
    <n v="10839.737499999999"/>
    <n v="4541.4874999999993"/>
    <s v="Sunday"/>
    <x v="1"/>
  </r>
  <r>
    <s v="NV1874"/>
    <d v="2024-11-23T00:00:00"/>
    <x v="19"/>
    <x v="0"/>
    <s v="P42"/>
    <x v="0"/>
    <n v="3"/>
    <n v="2296.09"/>
    <x v="3"/>
    <n v="1098.25"/>
    <s v="New"/>
    <s v="Cash"/>
    <n v="6199.4430000000002"/>
    <n v="2904.6930000000002"/>
    <s v="Saturday"/>
    <x v="1"/>
  </r>
  <r>
    <s v="NV1875"/>
    <d v="2025-01-23T00:00:00"/>
    <x v="32"/>
    <x v="1"/>
    <s v="P182"/>
    <x v="0"/>
    <n v="3"/>
    <n v="1428.26"/>
    <x v="6"/>
    <n v="926.76"/>
    <s v="New"/>
    <s v="Cash"/>
    <n v="4284.78"/>
    <n v="1504.5"/>
    <s v="Thursday"/>
    <x v="0"/>
  </r>
  <r>
    <s v="NV1876"/>
    <d v="2024-06-14T00:00:00"/>
    <x v="28"/>
    <x v="1"/>
    <s v="P232"/>
    <x v="2"/>
    <n v="3"/>
    <n v="1566.59"/>
    <x v="1"/>
    <n v="631.62"/>
    <s v="New"/>
    <s v="Card"/>
    <n v="3759.8159999999998"/>
    <n v="1864.9559999999997"/>
    <s v="Friday"/>
    <x v="0"/>
  </r>
  <r>
    <s v="NV1877"/>
    <d v="2024-07-22T00:00:00"/>
    <x v="45"/>
    <x v="3"/>
    <s v="P130"/>
    <x v="2"/>
    <n v="1"/>
    <n v="1889.65"/>
    <x v="6"/>
    <n v="1290.8599999999999"/>
    <s v="New"/>
    <s v="Cash"/>
    <n v="1889.65"/>
    <n v="598.79000000000019"/>
    <s v="Monday"/>
    <x v="0"/>
  </r>
  <r>
    <s v="NV1878"/>
    <d v="2025-01-19T00:00:00"/>
    <x v="29"/>
    <x v="0"/>
    <s v="P241"/>
    <x v="1"/>
    <n v="4"/>
    <n v="911.76"/>
    <x v="3"/>
    <n v="556.66"/>
    <s v="Returning"/>
    <s v="Card"/>
    <n v="3282.3360000000002"/>
    <n v="1055.6960000000004"/>
    <s v="Sunday"/>
    <x v="1"/>
  </r>
  <r>
    <s v="NV1879"/>
    <d v="2024-03-10T00:00:00"/>
    <x v="44"/>
    <x v="1"/>
    <s v="P3"/>
    <x v="1"/>
    <n v="1"/>
    <n v="442.29"/>
    <x v="6"/>
    <n v="178.27"/>
    <s v="New"/>
    <s v="Cash"/>
    <n v="442.29"/>
    <n v="264.02"/>
    <s v="Sunday"/>
    <x v="1"/>
  </r>
  <r>
    <s v="NV1880"/>
    <d v="2024-01-30T00:00:00"/>
    <x v="27"/>
    <x v="2"/>
    <s v="P186"/>
    <x v="0"/>
    <n v="1"/>
    <n v="2945.93"/>
    <x v="5"/>
    <n v="2034.38"/>
    <s v="New"/>
    <s v="Card"/>
    <n v="2209.4474999999998"/>
    <n v="175.06749999999965"/>
    <s v="Tuesday"/>
    <x v="0"/>
  </r>
  <r>
    <s v="NV1881"/>
    <d v="2025-09-15T00:00:00"/>
    <x v="44"/>
    <x v="1"/>
    <s v="P269"/>
    <x v="2"/>
    <n v="4"/>
    <n v="2829.54"/>
    <x v="1"/>
    <n v="1915.94"/>
    <s v="New"/>
    <s v="Card"/>
    <n v="9054.5280000000002"/>
    <n v="1390.768"/>
    <s v="Monday"/>
    <x v="0"/>
  </r>
  <r>
    <s v="NV1882"/>
    <d v="2024-10-08T00:00:00"/>
    <x v="10"/>
    <x v="0"/>
    <s v="P206"/>
    <x v="1"/>
    <n v="5"/>
    <n v="2105.16"/>
    <x v="3"/>
    <n v="953.36"/>
    <s v="Returning"/>
    <s v="Card"/>
    <n v="9473.2199999999993"/>
    <n v="4706.4199999999992"/>
    <s v="Tuesday"/>
    <x v="0"/>
  </r>
  <r>
    <s v="NV1883"/>
    <d v="2025-01-19T00:00:00"/>
    <x v="30"/>
    <x v="1"/>
    <s v="P268"/>
    <x v="2"/>
    <n v="5"/>
    <n v="1517.03"/>
    <x v="2"/>
    <n v="831.94"/>
    <s v="New"/>
    <s v="Cash"/>
    <n v="7205.892499999999"/>
    <n v="3046.1924999999983"/>
    <s v="Sunday"/>
    <x v="1"/>
  </r>
  <r>
    <s v="NV1884"/>
    <d v="2025-01-12T00:00:00"/>
    <x v="14"/>
    <x v="0"/>
    <s v="P168"/>
    <x v="0"/>
    <n v="1"/>
    <n v="2439.44"/>
    <x v="1"/>
    <n v="1028.3599999999999"/>
    <s v="New"/>
    <s v="Cash"/>
    <n v="1951.5520000000001"/>
    <n v="923.19200000000023"/>
    <s v="Sunday"/>
    <x v="1"/>
  </r>
  <r>
    <s v="NV1885"/>
    <d v="2024-10-05T00:00:00"/>
    <x v="13"/>
    <x v="2"/>
    <s v="P260"/>
    <x v="0"/>
    <n v="3"/>
    <n v="612.33000000000004"/>
    <x v="6"/>
    <n v="345.32"/>
    <s v="Returning"/>
    <s v="Cash"/>
    <n v="1836.9900000000002"/>
    <n v="801.0300000000002"/>
    <s v="Saturday"/>
    <x v="1"/>
  </r>
  <r>
    <s v="NV1886"/>
    <d v="2025-07-07T00:00:00"/>
    <x v="19"/>
    <x v="0"/>
    <s v="P27"/>
    <x v="0"/>
    <n v="1"/>
    <n v="2163.84"/>
    <x v="1"/>
    <n v="1437.95"/>
    <s v="New"/>
    <s v="Digital"/>
    <n v="1731.0720000000001"/>
    <n v="293.12200000000007"/>
    <s v="Monday"/>
    <x v="0"/>
  </r>
  <r>
    <s v="NV1887"/>
    <d v="2024-12-19T00:00:00"/>
    <x v="56"/>
    <x v="2"/>
    <s v="P191"/>
    <x v="2"/>
    <n v="4"/>
    <n v="798.69"/>
    <x v="5"/>
    <n v="486.98"/>
    <s v="New"/>
    <s v="Card"/>
    <n v="2396.0700000000002"/>
    <n v="448.15000000000009"/>
    <s v="Thursday"/>
    <x v="0"/>
  </r>
  <r>
    <s v="NV1888"/>
    <d v="2025-08-07T00:00:00"/>
    <x v="5"/>
    <x v="2"/>
    <s v="P162"/>
    <x v="0"/>
    <n v="5"/>
    <n v="1724.76"/>
    <x v="3"/>
    <n v="1131.6500000000001"/>
    <s v="Returning"/>
    <s v="Cash"/>
    <n v="7761.4199999999992"/>
    <n v="2103.1699999999992"/>
    <s v="Thursday"/>
    <x v="0"/>
  </r>
  <r>
    <s v="NV1889"/>
    <d v="2025-09-05T00:00:00"/>
    <x v="41"/>
    <x v="2"/>
    <s v="P109"/>
    <x v="0"/>
    <n v="5"/>
    <n v="651.99"/>
    <x v="5"/>
    <n v="264.63"/>
    <s v="New"/>
    <s v="Card"/>
    <n v="2444.9624999999996"/>
    <n v="1121.8124999999995"/>
    <s v="Friday"/>
    <x v="0"/>
  </r>
  <r>
    <s v="NV1890"/>
    <d v="2024-03-04T00:00:00"/>
    <x v="0"/>
    <x v="0"/>
    <s v="P216"/>
    <x v="1"/>
    <n v="1"/>
    <n v="1529.3"/>
    <x v="6"/>
    <n v="994.47"/>
    <s v="New"/>
    <s v="Card"/>
    <n v="1529.3"/>
    <n v="534.82999999999993"/>
    <s v="Monday"/>
    <x v="0"/>
  </r>
  <r>
    <s v="NV1891"/>
    <d v="2025-07-10T00:00:00"/>
    <x v="3"/>
    <x v="1"/>
    <s v="P86"/>
    <x v="1"/>
    <n v="5"/>
    <n v="1919.41"/>
    <x v="6"/>
    <n v="1024"/>
    <s v="New"/>
    <s v="Cash"/>
    <n v="9597.0500000000011"/>
    <n v="4477.0500000000011"/>
    <s v="Thursday"/>
    <x v="0"/>
  </r>
  <r>
    <s v="NV1892"/>
    <d v="2025-10-05T00:00:00"/>
    <x v="29"/>
    <x v="1"/>
    <s v="P287"/>
    <x v="2"/>
    <n v="3"/>
    <n v="2942.88"/>
    <x v="4"/>
    <n v="1977.19"/>
    <s v="New"/>
    <s v="Card"/>
    <n v="7504.3439999999991"/>
    <n v="1572.7739999999994"/>
    <s v="Sunday"/>
    <x v="1"/>
  </r>
  <r>
    <s v="NV1893"/>
    <d v="2025-11-24T00:00:00"/>
    <x v="37"/>
    <x v="0"/>
    <s v="P112"/>
    <x v="2"/>
    <n v="5"/>
    <n v="1000.22"/>
    <x v="5"/>
    <n v="545.79"/>
    <s v="Returning"/>
    <s v="Digital"/>
    <n v="3750.8250000000003"/>
    <n v="1021.8750000000005"/>
    <s v="Monday"/>
    <x v="0"/>
  </r>
  <r>
    <s v="NV1894"/>
    <d v="2025-08-25T00:00:00"/>
    <x v="53"/>
    <x v="2"/>
    <s v="P28"/>
    <x v="0"/>
    <n v="4"/>
    <n v="1624.07"/>
    <x v="4"/>
    <n v="718.66"/>
    <s v="Returning"/>
    <s v="Digital"/>
    <n v="5521.8379999999997"/>
    <n v="2647.1979999999999"/>
    <s v="Monday"/>
    <x v="0"/>
  </r>
  <r>
    <s v="NV1895"/>
    <d v="2025-09-08T00:00:00"/>
    <x v="57"/>
    <x v="3"/>
    <s v="P265"/>
    <x v="0"/>
    <n v="2"/>
    <n v="2817.17"/>
    <x v="6"/>
    <n v="1762.58"/>
    <s v="Returning"/>
    <s v="Digital"/>
    <n v="5634.34"/>
    <n v="2109.1800000000003"/>
    <s v="Monday"/>
    <x v="0"/>
  </r>
  <r>
    <s v="NV1896"/>
    <d v="2024-08-20T00:00:00"/>
    <x v="5"/>
    <x v="2"/>
    <s v="P104"/>
    <x v="0"/>
    <n v="1"/>
    <n v="1919.68"/>
    <x v="3"/>
    <n v="984.87"/>
    <s v="Returning"/>
    <s v="Digital"/>
    <n v="1727.712"/>
    <n v="742.84199999999998"/>
    <s v="Tuesday"/>
    <x v="0"/>
  </r>
  <r>
    <s v="NV1897"/>
    <d v="2024-07-23T00:00:00"/>
    <x v="30"/>
    <x v="0"/>
    <s v="P68"/>
    <x v="2"/>
    <n v="3"/>
    <n v="1330.84"/>
    <x v="6"/>
    <n v="780.28"/>
    <s v="New"/>
    <s v="Card"/>
    <n v="3992.5199999999995"/>
    <n v="1651.6799999999994"/>
    <s v="Tuesday"/>
    <x v="0"/>
  </r>
  <r>
    <s v="NV1898"/>
    <d v="2024-08-07T00:00:00"/>
    <x v="42"/>
    <x v="0"/>
    <s v="P194"/>
    <x v="0"/>
    <n v="4"/>
    <n v="1972.66"/>
    <x v="4"/>
    <n v="802.4"/>
    <s v="Returning"/>
    <s v="Digital"/>
    <n v="6707.0439999999999"/>
    <n v="3497.444"/>
    <s v="Wednesday"/>
    <x v="0"/>
  </r>
  <r>
    <s v="NV1899"/>
    <d v="2025-04-28T00:00:00"/>
    <x v="12"/>
    <x v="2"/>
    <s v="P176"/>
    <x v="0"/>
    <n v="4"/>
    <n v="2519.92"/>
    <x v="5"/>
    <n v="1415.8"/>
    <s v="New"/>
    <s v="Cash"/>
    <n v="7559.76"/>
    <n v="1896.5600000000004"/>
    <s v="Monday"/>
    <x v="0"/>
  </r>
  <r>
    <s v="NV1900"/>
    <d v="2024-02-10T00:00:00"/>
    <x v="41"/>
    <x v="0"/>
    <s v="P188"/>
    <x v="0"/>
    <n v="1"/>
    <n v="808.87"/>
    <x v="6"/>
    <n v="348.74"/>
    <s v="New"/>
    <s v="Digital"/>
    <n v="808.87"/>
    <n v="460.13"/>
    <s v="Saturday"/>
    <x v="1"/>
  </r>
  <r>
    <s v="NV1901"/>
    <d v="2024-01-12T00:00:00"/>
    <x v="15"/>
    <x v="0"/>
    <s v="P117"/>
    <x v="1"/>
    <n v="1"/>
    <n v="873.77"/>
    <x v="4"/>
    <n v="447.21"/>
    <s v="Returning"/>
    <s v="Cash"/>
    <n v="742.70449999999994"/>
    <n v="295.49449999999996"/>
    <s v="Friday"/>
    <x v="0"/>
  </r>
  <r>
    <s v="NV1902"/>
    <d v="2025-05-20T00:00:00"/>
    <x v="53"/>
    <x v="2"/>
    <s v="P145"/>
    <x v="0"/>
    <n v="4"/>
    <n v="2358.02"/>
    <x v="2"/>
    <n v="1625.92"/>
    <s v="Returning"/>
    <s v="Card"/>
    <n v="8960.4759999999987"/>
    <n v="2456.7959999999985"/>
    <s v="Tuesday"/>
    <x v="0"/>
  </r>
  <r>
    <s v="NV1903"/>
    <d v="2024-01-22T00:00:00"/>
    <x v="13"/>
    <x v="1"/>
    <s v="P260"/>
    <x v="1"/>
    <n v="4"/>
    <n v="794.29"/>
    <x v="5"/>
    <n v="400.13"/>
    <s v="Returning"/>
    <s v="Card"/>
    <n v="2382.87"/>
    <n v="782.34999999999991"/>
    <s v="Monday"/>
    <x v="0"/>
  </r>
  <r>
    <s v="NV1904"/>
    <d v="2024-06-08T00:00:00"/>
    <x v="26"/>
    <x v="3"/>
    <s v="P13"/>
    <x v="1"/>
    <n v="3"/>
    <n v="560.05999999999995"/>
    <x v="4"/>
    <n v="263.25"/>
    <s v="New"/>
    <s v="Cash"/>
    <n v="1428.1529999999998"/>
    <n v="638.40299999999979"/>
    <s v="Saturday"/>
    <x v="1"/>
  </r>
  <r>
    <s v="NV1905"/>
    <d v="2025-03-22T00:00:00"/>
    <x v="16"/>
    <x v="3"/>
    <s v="P69"/>
    <x v="0"/>
    <n v="1"/>
    <n v="699.03"/>
    <x v="0"/>
    <n v="468.33"/>
    <s v="New"/>
    <s v="Cash"/>
    <n v="489.32099999999997"/>
    <n v="20.990999999999985"/>
    <s v="Saturday"/>
    <x v="1"/>
  </r>
  <r>
    <s v="NV1906"/>
    <d v="2025-06-11T00:00:00"/>
    <x v="6"/>
    <x v="0"/>
    <s v="P225"/>
    <x v="1"/>
    <n v="2"/>
    <n v="448.42"/>
    <x v="4"/>
    <n v="180.24"/>
    <s v="New"/>
    <s v="Cash"/>
    <n v="762.31399999999996"/>
    <n v="401.83399999999995"/>
    <s v="Wednesday"/>
    <x v="0"/>
  </r>
  <r>
    <s v="NV1907"/>
    <d v="2024-03-25T00:00:00"/>
    <x v="25"/>
    <x v="0"/>
    <s v="P56"/>
    <x v="0"/>
    <n v="1"/>
    <n v="1229.8399999999999"/>
    <x v="5"/>
    <n v="718.98"/>
    <s v="New"/>
    <s v="Card"/>
    <n v="922.37999999999988"/>
    <n v="203.39999999999986"/>
    <s v="Monday"/>
    <x v="0"/>
  </r>
  <r>
    <s v="NV1908"/>
    <d v="2024-01-29T00:00:00"/>
    <x v="4"/>
    <x v="0"/>
    <s v="P7"/>
    <x v="2"/>
    <n v="2"/>
    <n v="366.63"/>
    <x v="0"/>
    <n v="206.03"/>
    <s v="Returning"/>
    <s v="Digital"/>
    <n v="513.28199999999993"/>
    <n v="101.22199999999992"/>
    <s v="Monday"/>
    <x v="0"/>
  </r>
  <r>
    <s v="NV1909"/>
    <d v="2025-08-12T00:00:00"/>
    <x v="55"/>
    <x v="2"/>
    <s v="P94"/>
    <x v="1"/>
    <n v="4"/>
    <n v="2926.63"/>
    <x v="1"/>
    <n v="1486.04"/>
    <s v="New"/>
    <s v="Card"/>
    <n v="9365.2160000000003"/>
    <n v="3421.0560000000005"/>
    <s v="Tuesday"/>
    <x v="0"/>
  </r>
  <r>
    <s v="NV1910"/>
    <d v="2024-11-22T00:00:00"/>
    <x v="28"/>
    <x v="0"/>
    <s v="P156"/>
    <x v="0"/>
    <n v="5"/>
    <n v="1997.57"/>
    <x v="4"/>
    <n v="1099.6099999999999"/>
    <s v="New"/>
    <s v="Cash"/>
    <n v="8489.6725000000006"/>
    <n v="2991.6225000000013"/>
    <s v="Friday"/>
    <x v="0"/>
  </r>
  <r>
    <s v="NV1911"/>
    <d v="2024-03-18T00:00:00"/>
    <x v="37"/>
    <x v="2"/>
    <s v="P131"/>
    <x v="0"/>
    <n v="1"/>
    <n v="2183.2600000000002"/>
    <x v="2"/>
    <n v="1492.4"/>
    <s v="Returning"/>
    <s v="Card"/>
    <n v="2074.0970000000002"/>
    <n v="581.69700000000012"/>
    <s v="Monday"/>
    <x v="0"/>
  </r>
  <r>
    <s v="NV1912"/>
    <d v="2025-05-18T00:00:00"/>
    <x v="7"/>
    <x v="1"/>
    <s v="P286"/>
    <x v="0"/>
    <n v="5"/>
    <n v="2145.17"/>
    <x v="2"/>
    <n v="881.02"/>
    <s v="New"/>
    <s v="Cash"/>
    <n v="10189.557499999999"/>
    <n v="5784.4574999999986"/>
    <s v="Sunday"/>
    <x v="1"/>
  </r>
  <r>
    <s v="NV1913"/>
    <d v="2024-07-07T00:00:00"/>
    <x v="24"/>
    <x v="3"/>
    <s v="P291"/>
    <x v="1"/>
    <n v="5"/>
    <n v="1825.8"/>
    <x v="1"/>
    <n v="1126.99"/>
    <s v="New"/>
    <s v="Card"/>
    <n v="7303.2000000000007"/>
    <n v="1668.2500000000009"/>
    <s v="Sunday"/>
    <x v="1"/>
  </r>
  <r>
    <s v="NV1914"/>
    <d v="2025-10-08T00:00:00"/>
    <x v="41"/>
    <x v="2"/>
    <s v="P64"/>
    <x v="2"/>
    <n v="5"/>
    <n v="879.52"/>
    <x v="6"/>
    <n v="493.57"/>
    <s v="Returning"/>
    <s v="Card"/>
    <n v="4397.6000000000004"/>
    <n v="1929.7500000000005"/>
    <s v="Wednesday"/>
    <x v="0"/>
  </r>
  <r>
    <s v="NV1915"/>
    <d v="2024-06-10T00:00:00"/>
    <x v="47"/>
    <x v="0"/>
    <s v="P93"/>
    <x v="2"/>
    <n v="1"/>
    <n v="2763.77"/>
    <x v="3"/>
    <n v="1632.41"/>
    <s v="Returning"/>
    <s v="Card"/>
    <n v="2487.393"/>
    <n v="854.98299999999995"/>
    <s v="Monday"/>
    <x v="0"/>
  </r>
  <r>
    <s v="NV1916"/>
    <d v="2025-05-10T00:00:00"/>
    <x v="55"/>
    <x v="0"/>
    <s v="P252"/>
    <x v="1"/>
    <n v="5"/>
    <n v="344.75"/>
    <x v="3"/>
    <n v="226.94"/>
    <s v="Returning"/>
    <s v="Cash"/>
    <n v="1551.375"/>
    <n v="416.67499999999995"/>
    <s v="Saturday"/>
    <x v="1"/>
  </r>
  <r>
    <s v="NV1917"/>
    <d v="2024-03-27T00:00:00"/>
    <x v="44"/>
    <x v="3"/>
    <s v="P98"/>
    <x v="0"/>
    <n v="1"/>
    <n v="2892.35"/>
    <x v="1"/>
    <n v="1934.63"/>
    <s v="New"/>
    <s v="Digital"/>
    <n v="2313.88"/>
    <n v="379.25"/>
    <s v="Wednesday"/>
    <x v="0"/>
  </r>
  <r>
    <s v="NV1918"/>
    <d v="2024-11-10T00:00:00"/>
    <x v="55"/>
    <x v="2"/>
    <s v="P55"/>
    <x v="0"/>
    <n v="1"/>
    <n v="2075.5"/>
    <x v="2"/>
    <n v="1187.53"/>
    <s v="Returning"/>
    <s v="Card"/>
    <n v="1971.7249999999999"/>
    <n v="784.19499999999994"/>
    <s v="Sunday"/>
    <x v="1"/>
  </r>
  <r>
    <s v="NV1919"/>
    <d v="2025-01-19T00:00:00"/>
    <x v="13"/>
    <x v="0"/>
    <s v="P178"/>
    <x v="0"/>
    <n v="4"/>
    <n v="1538.99"/>
    <x v="6"/>
    <n v="833.12"/>
    <s v="New"/>
    <s v="Card"/>
    <n v="6155.96"/>
    <n v="2823.48"/>
    <s v="Sunday"/>
    <x v="1"/>
  </r>
  <r>
    <s v="NV1920"/>
    <d v="2025-09-27T00:00:00"/>
    <x v="5"/>
    <x v="0"/>
    <s v="P246"/>
    <x v="1"/>
    <n v="4"/>
    <n v="2969.48"/>
    <x v="2"/>
    <n v="1569.55"/>
    <s v="New"/>
    <s v="Digital"/>
    <n v="11284.023999999999"/>
    <n v="5005.8239999999996"/>
    <s v="Saturday"/>
    <x v="1"/>
  </r>
  <r>
    <s v="NV1921"/>
    <d v="2024-10-29T00:00:00"/>
    <x v="23"/>
    <x v="2"/>
    <s v="P160"/>
    <x v="1"/>
    <n v="3"/>
    <n v="2172.4299999999998"/>
    <x v="1"/>
    <n v="907.22"/>
    <s v="New"/>
    <s v="Digital"/>
    <n v="5213.8319999999994"/>
    <n v="2492.1719999999996"/>
    <s v="Tuesday"/>
    <x v="0"/>
  </r>
  <r>
    <s v="NV1922"/>
    <d v="2025-07-09T00:00:00"/>
    <x v="54"/>
    <x v="1"/>
    <s v="P185"/>
    <x v="0"/>
    <n v="3"/>
    <n v="616.11"/>
    <x v="4"/>
    <n v="329.44"/>
    <s v="Returning"/>
    <s v="Cash"/>
    <n v="1571.0804999999998"/>
    <n v="582.76049999999987"/>
    <s v="Wednesday"/>
    <x v="0"/>
  </r>
  <r>
    <s v="NV1923"/>
    <d v="2025-03-13T00:00:00"/>
    <x v="28"/>
    <x v="3"/>
    <s v="P248"/>
    <x v="2"/>
    <n v="5"/>
    <n v="1175.77"/>
    <x v="1"/>
    <n v="511.12"/>
    <s v="Returning"/>
    <s v="Card"/>
    <n v="4703.0800000000008"/>
    <n v="2147.4800000000009"/>
    <s v="Thursday"/>
    <x v="0"/>
  </r>
  <r>
    <s v="NV1924"/>
    <d v="2024-02-13T00:00:00"/>
    <x v="50"/>
    <x v="3"/>
    <s v="P132"/>
    <x v="1"/>
    <n v="4"/>
    <n v="2436.9499999999998"/>
    <x v="3"/>
    <n v="1216.95"/>
    <s v="New"/>
    <s v="Cash"/>
    <n v="8773.02"/>
    <n v="3905.2200000000003"/>
    <s v="Tuesday"/>
    <x v="0"/>
  </r>
  <r>
    <s v="NV1925"/>
    <d v="2025-06-18T00:00:00"/>
    <x v="31"/>
    <x v="2"/>
    <s v="P197"/>
    <x v="0"/>
    <n v="5"/>
    <n v="1765.36"/>
    <x v="3"/>
    <n v="1133.57"/>
    <s v="Returning"/>
    <s v="Card"/>
    <n v="7944.12"/>
    <n v="2276.2700000000004"/>
    <s v="Wednesday"/>
    <x v="0"/>
  </r>
  <r>
    <s v="NV1926"/>
    <d v="2024-04-03T00:00:00"/>
    <x v="15"/>
    <x v="0"/>
    <s v="P68"/>
    <x v="2"/>
    <n v="5"/>
    <n v="943.74"/>
    <x v="2"/>
    <n v="599.6"/>
    <s v="Returning"/>
    <s v="Cash"/>
    <n v="4482.7649999999994"/>
    <n v="1484.7649999999994"/>
    <s v="Wednesday"/>
    <x v="0"/>
  </r>
  <r>
    <s v="NV1927"/>
    <d v="2025-11-29T00:00:00"/>
    <x v="7"/>
    <x v="0"/>
    <s v="P224"/>
    <x v="2"/>
    <n v="2"/>
    <n v="1089.18"/>
    <x v="1"/>
    <n v="564.48"/>
    <s v="Returning"/>
    <s v="Digital"/>
    <n v="1742.6880000000001"/>
    <n v="613.72800000000007"/>
    <s v="Saturday"/>
    <x v="1"/>
  </r>
  <r>
    <s v="NV1928"/>
    <d v="2024-04-06T00:00:00"/>
    <x v="42"/>
    <x v="1"/>
    <s v="P206"/>
    <x v="0"/>
    <n v="5"/>
    <n v="2553.13"/>
    <x v="5"/>
    <n v="1099.23"/>
    <s v="Returning"/>
    <s v="Digital"/>
    <n v="9574.2375000000011"/>
    <n v="4078.0875000000015"/>
    <s v="Saturday"/>
    <x v="1"/>
  </r>
  <r>
    <s v="NV1929"/>
    <d v="2025-03-25T00:00:00"/>
    <x v="16"/>
    <x v="2"/>
    <s v="P242"/>
    <x v="0"/>
    <n v="2"/>
    <n v="885.04"/>
    <x v="2"/>
    <n v="560.33000000000004"/>
    <s v="Returning"/>
    <s v="Digital"/>
    <n v="1681.5759999999998"/>
    <n v="560.91599999999971"/>
    <s v="Tuesday"/>
    <x v="0"/>
  </r>
  <r>
    <s v="NV1930"/>
    <d v="2024-10-01T00:00:00"/>
    <x v="30"/>
    <x v="1"/>
    <s v="P213"/>
    <x v="0"/>
    <n v="3"/>
    <n v="1695.97"/>
    <x v="3"/>
    <n v="917.71"/>
    <s v="New"/>
    <s v="Digital"/>
    <n v="4579.1189999999997"/>
    <n v="1825.9889999999996"/>
    <s v="Tuesday"/>
    <x v="0"/>
  </r>
  <r>
    <s v="NV1931"/>
    <d v="2025-11-15T00:00:00"/>
    <x v="56"/>
    <x v="1"/>
    <s v="P289"/>
    <x v="1"/>
    <n v="2"/>
    <n v="1389.62"/>
    <x v="2"/>
    <n v="846.58"/>
    <s v="Returning"/>
    <s v="Digital"/>
    <n v="2640.2779999999998"/>
    <n v="947.11799999999971"/>
    <s v="Saturday"/>
    <x v="1"/>
  </r>
  <r>
    <s v="NV1932"/>
    <d v="2024-07-05T00:00:00"/>
    <x v="13"/>
    <x v="3"/>
    <s v="P220"/>
    <x v="0"/>
    <n v="5"/>
    <n v="2129.73"/>
    <x v="2"/>
    <n v="1031.71"/>
    <s v="New"/>
    <s v="Cash"/>
    <n v="10116.217499999999"/>
    <n v="4957.6674999999987"/>
    <s v="Friday"/>
    <x v="0"/>
  </r>
  <r>
    <s v="NV1933"/>
    <d v="2025-07-17T00:00:00"/>
    <x v="24"/>
    <x v="3"/>
    <s v="P182"/>
    <x v="2"/>
    <n v="3"/>
    <n v="2984.46"/>
    <x v="4"/>
    <n v="1216.46"/>
    <s v="New"/>
    <s v="Cash"/>
    <n v="7610.3730000000005"/>
    <n v="3960.9930000000004"/>
    <s v="Thursday"/>
    <x v="0"/>
  </r>
  <r>
    <s v="NV1934"/>
    <d v="2024-11-09T00:00:00"/>
    <x v="52"/>
    <x v="1"/>
    <s v="P8"/>
    <x v="0"/>
    <n v="4"/>
    <n v="1901.01"/>
    <x v="1"/>
    <n v="814.38"/>
    <s v="New"/>
    <s v="Digital"/>
    <n v="6083.232"/>
    <n v="2825.712"/>
    <s v="Saturday"/>
    <x v="1"/>
  </r>
  <r>
    <s v="NV1935"/>
    <d v="2024-08-02T00:00:00"/>
    <x v="30"/>
    <x v="1"/>
    <s v="P222"/>
    <x v="1"/>
    <n v="2"/>
    <n v="1078.55"/>
    <x v="0"/>
    <n v="717.87"/>
    <s v="Returning"/>
    <s v="Digital"/>
    <n v="1509.9699999999998"/>
    <n v="74.229999999999791"/>
    <s v="Friday"/>
    <x v="0"/>
  </r>
  <r>
    <s v="NV1936"/>
    <d v="2024-09-24T00:00:00"/>
    <x v="1"/>
    <x v="2"/>
    <s v="P286"/>
    <x v="2"/>
    <n v="3"/>
    <n v="670.46"/>
    <x v="4"/>
    <n v="446.68"/>
    <s v="New"/>
    <s v="Digital"/>
    <n v="1709.673"/>
    <n v="369.63300000000004"/>
    <s v="Tuesday"/>
    <x v="0"/>
  </r>
  <r>
    <s v="NV1937"/>
    <d v="2024-03-03T00:00:00"/>
    <x v="41"/>
    <x v="3"/>
    <s v="P184"/>
    <x v="2"/>
    <n v="2"/>
    <n v="2541.7199999999998"/>
    <x v="1"/>
    <n v="1764.96"/>
    <s v="New"/>
    <s v="Digital"/>
    <n v="4066.752"/>
    <n v="536.83199999999988"/>
    <s v="Sunday"/>
    <x v="1"/>
  </r>
  <r>
    <s v="NV1938"/>
    <d v="2025-01-22T00:00:00"/>
    <x v="39"/>
    <x v="1"/>
    <s v="P124"/>
    <x v="2"/>
    <n v="5"/>
    <n v="2277.6"/>
    <x v="4"/>
    <n v="911.4"/>
    <s v="Returning"/>
    <s v="Cash"/>
    <n v="9679.7999999999993"/>
    <n v="5122.7999999999993"/>
    <s v="Wednesday"/>
    <x v="0"/>
  </r>
  <r>
    <s v="NV1939"/>
    <d v="2025-01-05T00:00:00"/>
    <x v="58"/>
    <x v="1"/>
    <s v="P83"/>
    <x v="2"/>
    <n v="4"/>
    <n v="380.04"/>
    <x v="0"/>
    <n v="216.72"/>
    <s v="Returning"/>
    <s v="Card"/>
    <n v="1064.1120000000001"/>
    <n v="197.23200000000008"/>
    <s v="Sunday"/>
    <x v="1"/>
  </r>
  <r>
    <s v="NV1940"/>
    <d v="2025-02-04T00:00:00"/>
    <x v="14"/>
    <x v="2"/>
    <s v="P232"/>
    <x v="2"/>
    <n v="3"/>
    <n v="2048.06"/>
    <x v="6"/>
    <n v="977.91"/>
    <s v="Returning"/>
    <s v="Card"/>
    <n v="6144.18"/>
    <n v="3210.4500000000003"/>
    <s v="Tuesday"/>
    <x v="0"/>
  </r>
  <r>
    <s v="NV1941"/>
    <d v="2025-11-22T00:00:00"/>
    <x v="26"/>
    <x v="1"/>
    <s v="P1"/>
    <x v="1"/>
    <n v="5"/>
    <n v="1595.05"/>
    <x v="4"/>
    <n v="865.21"/>
    <s v="Returning"/>
    <s v="Cash"/>
    <n v="6778.9624999999996"/>
    <n v="2452.9124999999995"/>
    <s v="Saturday"/>
    <x v="1"/>
  </r>
  <r>
    <s v="NV1942"/>
    <d v="2025-06-26T00:00:00"/>
    <x v="21"/>
    <x v="3"/>
    <s v="P272"/>
    <x v="2"/>
    <n v="1"/>
    <n v="2714.65"/>
    <x v="0"/>
    <n v="1493.63"/>
    <s v="Returning"/>
    <s v="Digital"/>
    <n v="1900.2549999999999"/>
    <n v="406.62499999999977"/>
    <s v="Thursday"/>
    <x v="0"/>
  </r>
  <r>
    <s v="NV1943"/>
    <d v="2025-01-02T00:00:00"/>
    <x v="51"/>
    <x v="3"/>
    <s v="P35"/>
    <x v="2"/>
    <n v="4"/>
    <n v="720.41"/>
    <x v="5"/>
    <n v="312.35000000000002"/>
    <s v="New"/>
    <s v="Card"/>
    <n v="2161.23"/>
    <n v="911.82999999999993"/>
    <s v="Thursday"/>
    <x v="0"/>
  </r>
  <r>
    <s v="NV1944"/>
    <d v="2025-10-12T00:00:00"/>
    <x v="14"/>
    <x v="3"/>
    <s v="P214"/>
    <x v="1"/>
    <n v="3"/>
    <n v="1793.44"/>
    <x v="6"/>
    <n v="769.09"/>
    <s v="Returning"/>
    <s v="Cash"/>
    <n v="5380.32"/>
    <n v="3073.0499999999997"/>
    <s v="Sunday"/>
    <x v="1"/>
  </r>
  <r>
    <s v="NV1945"/>
    <d v="2024-07-03T00:00:00"/>
    <x v="14"/>
    <x v="0"/>
    <s v="P104"/>
    <x v="0"/>
    <n v="5"/>
    <n v="2815.84"/>
    <x v="6"/>
    <n v="1465.78"/>
    <s v="Returning"/>
    <s v="Card"/>
    <n v="14079.2"/>
    <n v="6750.3000000000011"/>
    <s v="Wednesday"/>
    <x v="0"/>
  </r>
  <r>
    <s v="NV1946"/>
    <d v="2025-04-02T00:00:00"/>
    <x v="56"/>
    <x v="2"/>
    <s v="P99"/>
    <x v="0"/>
    <n v="1"/>
    <n v="562.78"/>
    <x v="3"/>
    <n v="252.94"/>
    <s v="New"/>
    <s v="Digital"/>
    <n v="506.50200000000001"/>
    <n v="253.56200000000001"/>
    <s v="Wednesday"/>
    <x v="0"/>
  </r>
  <r>
    <s v="NV1947"/>
    <d v="2024-03-17T00:00:00"/>
    <x v="42"/>
    <x v="2"/>
    <s v="P213"/>
    <x v="0"/>
    <n v="1"/>
    <n v="2853.83"/>
    <x v="3"/>
    <n v="1243.45"/>
    <s v="New"/>
    <s v="Digital"/>
    <n v="2568.4470000000001"/>
    <n v="1324.9970000000001"/>
    <s v="Sunday"/>
    <x v="1"/>
  </r>
  <r>
    <s v="NV1948"/>
    <d v="2024-09-25T00:00:00"/>
    <x v="17"/>
    <x v="2"/>
    <s v="P110"/>
    <x v="0"/>
    <n v="4"/>
    <n v="1974.85"/>
    <x v="0"/>
    <n v="1363.1"/>
    <s v="Returning"/>
    <s v="Cash"/>
    <n v="5529.579999999999"/>
    <n v="77.179999999999382"/>
    <s v="Wednesday"/>
    <x v="0"/>
  </r>
  <r>
    <s v="NV1949"/>
    <d v="2024-08-14T00:00:00"/>
    <x v="44"/>
    <x v="3"/>
    <s v="P229"/>
    <x v="2"/>
    <n v="1"/>
    <n v="1125.48"/>
    <x v="2"/>
    <n v="488.95"/>
    <s v="Returning"/>
    <s v="Card"/>
    <n v="1069.2059999999999"/>
    <n v="580.25599999999986"/>
    <s v="Wednesday"/>
    <x v="0"/>
  </r>
  <r>
    <s v="NV1950"/>
    <d v="2024-07-07T00:00:00"/>
    <x v="47"/>
    <x v="3"/>
    <s v="P272"/>
    <x v="2"/>
    <n v="2"/>
    <n v="641.77"/>
    <x v="6"/>
    <n v="361.02"/>
    <s v="New"/>
    <s v="Digital"/>
    <n v="1283.54"/>
    <n v="561.5"/>
    <s v="Sunday"/>
    <x v="1"/>
  </r>
  <r>
    <s v="NV1951"/>
    <d v="2024-08-04T00:00:00"/>
    <x v="5"/>
    <x v="1"/>
    <s v="P225"/>
    <x v="1"/>
    <n v="4"/>
    <n v="2323.58"/>
    <x v="5"/>
    <n v="1617.45"/>
    <s v="New"/>
    <s v="Cash"/>
    <n v="6970.74"/>
    <n v="500.9399999999996"/>
    <s v="Sunday"/>
    <x v="1"/>
  </r>
  <r>
    <s v="NV1952"/>
    <d v="2025-07-25T00:00:00"/>
    <x v="17"/>
    <x v="0"/>
    <s v="P163"/>
    <x v="2"/>
    <n v="1"/>
    <n v="2435.4699999999998"/>
    <x v="2"/>
    <n v="1283.0899999999999"/>
    <s v="New"/>
    <s v="Card"/>
    <n v="2313.6964999999996"/>
    <n v="1030.6064999999996"/>
    <s v="Friday"/>
    <x v="0"/>
  </r>
  <r>
    <s v="NV1953"/>
    <d v="2024-05-15T00:00:00"/>
    <x v="12"/>
    <x v="2"/>
    <s v="P172"/>
    <x v="0"/>
    <n v="4"/>
    <n v="1906.56"/>
    <x v="4"/>
    <n v="1059.0999999999999"/>
    <s v="Returning"/>
    <s v="Cash"/>
    <n v="6482.3040000000001"/>
    <n v="2245.9040000000005"/>
    <s v="Wednesday"/>
    <x v="0"/>
  </r>
  <r>
    <s v="NV1954"/>
    <d v="2025-07-31T00:00:00"/>
    <x v="28"/>
    <x v="1"/>
    <s v="P61"/>
    <x v="0"/>
    <n v="2"/>
    <n v="429.73"/>
    <x v="4"/>
    <n v="278.89"/>
    <s v="Returning"/>
    <s v="Digital"/>
    <n v="730.54100000000005"/>
    <n v="172.76100000000008"/>
    <s v="Thursday"/>
    <x v="0"/>
  </r>
  <r>
    <s v="NV1955"/>
    <d v="2025-03-21T00:00:00"/>
    <x v="21"/>
    <x v="0"/>
    <s v="P235"/>
    <x v="1"/>
    <n v="3"/>
    <n v="1620.31"/>
    <x v="3"/>
    <n v="1022.28"/>
    <s v="New"/>
    <s v="Cash"/>
    <n v="4374.8370000000004"/>
    <n v="1307.9970000000003"/>
    <s v="Friday"/>
    <x v="0"/>
  </r>
  <r>
    <s v="NV1956"/>
    <d v="2025-07-10T00:00:00"/>
    <x v="23"/>
    <x v="0"/>
    <s v="P179"/>
    <x v="1"/>
    <n v="1"/>
    <n v="1960.56"/>
    <x v="0"/>
    <n v="831.24"/>
    <s v="New"/>
    <s v="Cash"/>
    <n v="1372.3919999999998"/>
    <n v="541.15199999999982"/>
    <s v="Thursday"/>
    <x v="0"/>
  </r>
  <r>
    <s v="NV1957"/>
    <d v="2025-01-11T00:00:00"/>
    <x v="11"/>
    <x v="0"/>
    <s v="P43"/>
    <x v="2"/>
    <n v="1"/>
    <n v="2590.09"/>
    <x v="4"/>
    <n v="1118.48"/>
    <s v="New"/>
    <s v="Cash"/>
    <n v="2201.5765000000001"/>
    <n v="1083.0965000000001"/>
    <s v="Saturday"/>
    <x v="1"/>
  </r>
  <r>
    <s v="NV1958"/>
    <d v="2024-02-26T00:00:00"/>
    <x v="33"/>
    <x v="1"/>
    <s v="P55"/>
    <x v="0"/>
    <n v="3"/>
    <n v="1205.98"/>
    <x v="5"/>
    <n v="671.97"/>
    <s v="New"/>
    <s v="Card"/>
    <n v="2713.4549999999999"/>
    <n v="697.54499999999985"/>
    <s v="Monday"/>
    <x v="0"/>
  </r>
  <r>
    <s v="NV1959"/>
    <d v="2024-03-15T00:00:00"/>
    <x v="17"/>
    <x v="3"/>
    <s v="P180"/>
    <x v="0"/>
    <n v="3"/>
    <n v="2222.58"/>
    <x v="4"/>
    <n v="1413.85"/>
    <s v="New"/>
    <s v="Digital"/>
    <n v="5667.5789999999997"/>
    <n v="1426.0290000000005"/>
    <s v="Friday"/>
    <x v="0"/>
  </r>
  <r>
    <s v="NV1960"/>
    <d v="2025-01-28T00:00:00"/>
    <x v="26"/>
    <x v="2"/>
    <s v="P124"/>
    <x v="0"/>
    <n v="4"/>
    <n v="2409.5"/>
    <x v="5"/>
    <n v="1338.35"/>
    <s v="Returning"/>
    <s v="Cash"/>
    <n v="7228.5"/>
    <n v="1875.1000000000004"/>
    <s v="Tuesday"/>
    <x v="0"/>
  </r>
  <r>
    <s v="NV1961"/>
    <d v="2024-01-05T00:00:00"/>
    <x v="14"/>
    <x v="3"/>
    <s v="P244"/>
    <x v="1"/>
    <n v="1"/>
    <n v="2530.8200000000002"/>
    <x v="3"/>
    <n v="1128.82"/>
    <s v="Returning"/>
    <s v="Cash"/>
    <n v="2277.7380000000003"/>
    <n v="1148.9180000000003"/>
    <s v="Friday"/>
    <x v="0"/>
  </r>
  <r>
    <s v="NV1962"/>
    <d v="2025-07-18T00:00:00"/>
    <x v="15"/>
    <x v="0"/>
    <s v="P12"/>
    <x v="2"/>
    <n v="5"/>
    <n v="2921.24"/>
    <x v="0"/>
    <n v="1312.39"/>
    <s v="Returning"/>
    <s v="Card"/>
    <n v="10224.339999999998"/>
    <n v="3662.3899999999976"/>
    <s v="Friday"/>
    <x v="0"/>
  </r>
  <r>
    <s v="NV1963"/>
    <d v="2025-02-27T00:00:00"/>
    <x v="26"/>
    <x v="3"/>
    <s v="P137"/>
    <x v="1"/>
    <n v="5"/>
    <n v="1708.51"/>
    <x v="0"/>
    <n v="767.21"/>
    <s v="Returning"/>
    <s v="Digital"/>
    <n v="5979.7849999999989"/>
    <n v="2143.7349999999988"/>
    <s v="Thursday"/>
    <x v="0"/>
  </r>
  <r>
    <s v="NV1964"/>
    <d v="2024-12-13T00:00:00"/>
    <x v="4"/>
    <x v="1"/>
    <s v="P29"/>
    <x v="1"/>
    <n v="1"/>
    <n v="672.37"/>
    <x v="6"/>
    <n v="390.83"/>
    <s v="New"/>
    <s v="Digital"/>
    <n v="672.37"/>
    <n v="281.54000000000002"/>
    <s v="Friday"/>
    <x v="0"/>
  </r>
  <r>
    <s v="NV1965"/>
    <d v="2024-12-24T00:00:00"/>
    <x v="35"/>
    <x v="0"/>
    <s v="P54"/>
    <x v="1"/>
    <n v="2"/>
    <n v="2077.8000000000002"/>
    <x v="2"/>
    <n v="1063.54"/>
    <s v="New"/>
    <s v="Cash"/>
    <n v="3947.82"/>
    <n v="1820.7400000000002"/>
    <s v="Tuesday"/>
    <x v="0"/>
  </r>
  <r>
    <s v="NV1966"/>
    <d v="2025-05-17T00:00:00"/>
    <x v="25"/>
    <x v="1"/>
    <s v="P18"/>
    <x v="0"/>
    <n v="5"/>
    <n v="1988.66"/>
    <x v="6"/>
    <n v="1148.17"/>
    <s v="Returning"/>
    <s v="Cash"/>
    <n v="9943.3000000000011"/>
    <n v="4202.4500000000007"/>
    <s v="Saturday"/>
    <x v="1"/>
  </r>
  <r>
    <s v="NV1967"/>
    <d v="2025-05-22T00:00:00"/>
    <x v="37"/>
    <x v="1"/>
    <s v="P193"/>
    <x v="1"/>
    <n v="3"/>
    <n v="1359.25"/>
    <x v="1"/>
    <n v="847.23"/>
    <s v="Returning"/>
    <s v="Card"/>
    <n v="3262.2000000000003"/>
    <n v="720.51000000000022"/>
    <s v="Thursday"/>
    <x v="0"/>
  </r>
  <r>
    <s v="NV1968"/>
    <d v="2024-02-01T00:00:00"/>
    <x v="57"/>
    <x v="3"/>
    <s v="P287"/>
    <x v="0"/>
    <n v="5"/>
    <n v="788.04"/>
    <x v="6"/>
    <n v="447.97"/>
    <s v="New"/>
    <s v="Digital"/>
    <n v="3940.2"/>
    <n v="1700.3499999999995"/>
    <s v="Thursday"/>
    <x v="0"/>
  </r>
  <r>
    <s v="NV1969"/>
    <d v="2025-03-25T00:00:00"/>
    <x v="27"/>
    <x v="3"/>
    <s v="P166"/>
    <x v="0"/>
    <n v="3"/>
    <n v="2472.34"/>
    <x v="1"/>
    <n v="1715.81"/>
    <s v="New"/>
    <s v="Digital"/>
    <n v="5933.6160000000009"/>
    <n v="786.1860000000006"/>
    <s v="Tuesday"/>
    <x v="0"/>
  </r>
  <r>
    <s v="NV1970"/>
    <d v="2025-09-09T00:00:00"/>
    <x v="14"/>
    <x v="1"/>
    <s v="P158"/>
    <x v="0"/>
    <n v="3"/>
    <n v="1083.6600000000001"/>
    <x v="3"/>
    <n v="700.37"/>
    <s v="Returning"/>
    <s v="Cash"/>
    <n v="2925.8820000000005"/>
    <n v="824.77200000000039"/>
    <s v="Tuesday"/>
    <x v="0"/>
  </r>
  <r>
    <s v="NV1971"/>
    <d v="2025-03-30T00:00:00"/>
    <x v="4"/>
    <x v="0"/>
    <s v="P139"/>
    <x v="0"/>
    <n v="5"/>
    <n v="1692.7"/>
    <x v="4"/>
    <n v="991.73"/>
    <s v="Returning"/>
    <s v="Card"/>
    <n v="7193.9749999999995"/>
    <n v="2235.3249999999998"/>
    <s v="Sunday"/>
    <x v="1"/>
  </r>
  <r>
    <s v="NV1972"/>
    <d v="2025-07-08T00:00:00"/>
    <x v="34"/>
    <x v="0"/>
    <s v="P115"/>
    <x v="0"/>
    <n v="1"/>
    <n v="1514.06"/>
    <x v="6"/>
    <n v="659.1"/>
    <s v="Returning"/>
    <s v="Digital"/>
    <n v="1514.06"/>
    <n v="854.95999999999992"/>
    <s v="Tuesday"/>
    <x v="0"/>
  </r>
  <r>
    <s v="NV1973"/>
    <d v="2025-03-31T00:00:00"/>
    <x v="23"/>
    <x v="2"/>
    <s v="P1"/>
    <x v="1"/>
    <n v="3"/>
    <n v="1097.21"/>
    <x v="0"/>
    <n v="701.65"/>
    <s v="Returning"/>
    <s v="Cash"/>
    <n v="2304.1410000000001"/>
    <n v="199.19100000000026"/>
    <s v="Monday"/>
    <x v="0"/>
  </r>
  <r>
    <s v="NV1974"/>
    <d v="2025-02-09T00:00:00"/>
    <x v="39"/>
    <x v="2"/>
    <s v="P156"/>
    <x v="0"/>
    <n v="3"/>
    <n v="2176.52"/>
    <x v="0"/>
    <n v="1007.7"/>
    <s v="Returning"/>
    <s v="Digital"/>
    <n v="4570.6919999999991"/>
    <n v="1547.5919999999987"/>
    <s v="Sunday"/>
    <x v="1"/>
  </r>
  <r>
    <s v="NV1975"/>
    <d v="2025-08-18T00:00:00"/>
    <x v="31"/>
    <x v="0"/>
    <s v="P203"/>
    <x v="1"/>
    <n v="3"/>
    <n v="2154.5"/>
    <x v="6"/>
    <n v="1256.31"/>
    <s v="Returning"/>
    <s v="Card"/>
    <n v="6463.5"/>
    <n v="2694.57"/>
    <s v="Monday"/>
    <x v="0"/>
  </r>
  <r>
    <s v="NV1976"/>
    <d v="2024-11-18T00:00:00"/>
    <x v="36"/>
    <x v="3"/>
    <s v="P195"/>
    <x v="0"/>
    <n v="1"/>
    <n v="2051.7800000000002"/>
    <x v="5"/>
    <n v="970.63"/>
    <s v="Returning"/>
    <s v="Digital"/>
    <n v="1538.835"/>
    <n v="568.20500000000004"/>
    <s v="Monday"/>
    <x v="0"/>
  </r>
  <r>
    <s v="NV1977"/>
    <d v="2025-05-20T00:00:00"/>
    <x v="7"/>
    <x v="0"/>
    <s v="P55"/>
    <x v="0"/>
    <n v="2"/>
    <n v="1625.41"/>
    <x v="4"/>
    <n v="957.48"/>
    <s v="Returning"/>
    <s v="Cash"/>
    <n v="2763.1970000000001"/>
    <n v="848.23700000000008"/>
    <s v="Tuesday"/>
    <x v="0"/>
  </r>
  <r>
    <s v="NV1978"/>
    <d v="2025-08-31T00:00:00"/>
    <x v="29"/>
    <x v="1"/>
    <s v="P110"/>
    <x v="0"/>
    <n v="4"/>
    <n v="923.19"/>
    <x v="5"/>
    <n v="499.89"/>
    <s v="New"/>
    <s v="Digital"/>
    <n v="2769.57"/>
    <n v="770.01000000000022"/>
    <s v="Sunday"/>
    <x v="1"/>
  </r>
  <r>
    <s v="NV1979"/>
    <d v="2024-03-26T00:00:00"/>
    <x v="42"/>
    <x v="0"/>
    <s v="P192"/>
    <x v="1"/>
    <n v="1"/>
    <n v="2314.27"/>
    <x v="6"/>
    <n v="1203.97"/>
    <s v="New"/>
    <s v="Cash"/>
    <n v="2314.27"/>
    <n v="1110.3"/>
    <s v="Tuesday"/>
    <x v="0"/>
  </r>
  <r>
    <s v="NV1980"/>
    <d v="2025-02-14T00:00:00"/>
    <x v="35"/>
    <x v="3"/>
    <s v="P275"/>
    <x v="1"/>
    <n v="4"/>
    <n v="1016.24"/>
    <x v="2"/>
    <n v="620.54"/>
    <s v="Returning"/>
    <s v="Card"/>
    <n v="3861.712"/>
    <n v="1379.5520000000001"/>
    <s v="Friday"/>
    <x v="0"/>
  </r>
  <r>
    <s v="NV1981"/>
    <d v="2025-02-12T00:00:00"/>
    <x v="27"/>
    <x v="2"/>
    <s v="P170"/>
    <x v="1"/>
    <n v="1"/>
    <n v="2884.83"/>
    <x v="1"/>
    <n v="1536.81"/>
    <s v="New"/>
    <s v="Digital"/>
    <n v="2307.864"/>
    <n v="771.05400000000009"/>
    <s v="Wednesday"/>
    <x v="0"/>
  </r>
  <r>
    <s v="NV1982"/>
    <d v="2024-03-06T00:00:00"/>
    <x v="35"/>
    <x v="0"/>
    <s v="P190"/>
    <x v="1"/>
    <n v="5"/>
    <n v="1795.66"/>
    <x v="3"/>
    <n v="1139.57"/>
    <s v="Returning"/>
    <s v="Cash"/>
    <n v="8080.4700000000012"/>
    <n v="2382.6200000000017"/>
    <s v="Wednesday"/>
    <x v="0"/>
  </r>
  <r>
    <s v="NV1983"/>
    <d v="2024-11-02T00:00:00"/>
    <x v="48"/>
    <x v="3"/>
    <s v="P299"/>
    <x v="0"/>
    <n v="5"/>
    <n v="2482.62"/>
    <x v="0"/>
    <n v="1589.07"/>
    <s v="New"/>
    <s v="Cash"/>
    <n v="8689.1699999999983"/>
    <n v="743.8199999999988"/>
    <s v="Saturday"/>
    <x v="1"/>
  </r>
  <r>
    <s v="NV1984"/>
    <d v="2025-08-24T00:00:00"/>
    <x v="54"/>
    <x v="0"/>
    <s v="P5"/>
    <x v="0"/>
    <n v="2"/>
    <n v="854.27"/>
    <x v="4"/>
    <n v="388.17"/>
    <s v="Returning"/>
    <s v="Card"/>
    <n v="1452.259"/>
    <n v="675.91899999999998"/>
    <s v="Sunday"/>
    <x v="1"/>
  </r>
  <r>
    <s v="NV1985"/>
    <d v="2025-06-13T00:00:00"/>
    <x v="25"/>
    <x v="2"/>
    <s v="P154"/>
    <x v="2"/>
    <n v="3"/>
    <n v="2275.27"/>
    <x v="6"/>
    <n v="1225.1400000000001"/>
    <s v="New"/>
    <s v="Card"/>
    <n v="6825.8099999999995"/>
    <n v="3150.3899999999994"/>
    <s v="Friday"/>
    <x v="0"/>
  </r>
  <r>
    <s v="NV1986"/>
    <d v="2024-10-12T00:00:00"/>
    <x v="38"/>
    <x v="3"/>
    <s v="P52"/>
    <x v="0"/>
    <n v="3"/>
    <n v="993.63"/>
    <x v="1"/>
    <n v="609.22"/>
    <s v="New"/>
    <s v="Digital"/>
    <n v="2384.712"/>
    <n v="557.05199999999991"/>
    <s v="Saturday"/>
    <x v="1"/>
  </r>
  <r>
    <s v="NV1987"/>
    <d v="2025-02-27T00:00:00"/>
    <x v="0"/>
    <x v="0"/>
    <s v="P119"/>
    <x v="2"/>
    <n v="4"/>
    <n v="1333.41"/>
    <x v="2"/>
    <n v="770.13"/>
    <s v="Returning"/>
    <s v="Digital"/>
    <n v="5066.9579999999996"/>
    <n v="1986.4379999999996"/>
    <s v="Thursday"/>
    <x v="0"/>
  </r>
  <r>
    <s v="NV1988"/>
    <d v="2025-10-30T00:00:00"/>
    <x v="24"/>
    <x v="2"/>
    <s v="P276"/>
    <x v="1"/>
    <n v="3"/>
    <n v="1461.08"/>
    <x v="6"/>
    <n v="817.12"/>
    <s v="New"/>
    <s v="Cash"/>
    <n v="4383.24"/>
    <n v="1931.8799999999997"/>
    <s v="Thursday"/>
    <x v="0"/>
  </r>
  <r>
    <s v="NV1989"/>
    <d v="2024-03-10T00:00:00"/>
    <x v="51"/>
    <x v="1"/>
    <s v="P26"/>
    <x v="2"/>
    <n v="5"/>
    <n v="1655.35"/>
    <x v="4"/>
    <n v="982.29"/>
    <s v="Returning"/>
    <s v="Card"/>
    <n v="7035.2375000000002"/>
    <n v="2123.7875000000004"/>
    <s v="Sunday"/>
    <x v="1"/>
  </r>
  <r>
    <s v="NV1990"/>
    <d v="2024-05-13T00:00:00"/>
    <x v="32"/>
    <x v="2"/>
    <s v="P36"/>
    <x v="0"/>
    <n v="4"/>
    <n v="475.49"/>
    <x v="6"/>
    <n v="228.78"/>
    <s v="Returning"/>
    <s v="Digital"/>
    <n v="1901.96"/>
    <n v="986.84"/>
    <s v="Monday"/>
    <x v="0"/>
  </r>
  <r>
    <s v="NV1991"/>
    <d v="2024-11-20T00:00:00"/>
    <x v="41"/>
    <x v="0"/>
    <s v="P144"/>
    <x v="0"/>
    <n v="5"/>
    <n v="1037.75"/>
    <x v="2"/>
    <n v="492.23"/>
    <s v="New"/>
    <s v="Card"/>
    <n v="4929.3125"/>
    <n v="2468.1624999999999"/>
    <s v="Wednesday"/>
    <x v="0"/>
  </r>
  <r>
    <s v="NV1992"/>
    <d v="2024-10-04T00:00:00"/>
    <x v="31"/>
    <x v="0"/>
    <s v="P134"/>
    <x v="2"/>
    <n v="3"/>
    <n v="2861.77"/>
    <x v="3"/>
    <n v="1275.24"/>
    <s v="Returning"/>
    <s v="Card"/>
    <n v="7726.7789999999995"/>
    <n v="3901.0589999999993"/>
    <s v="Friday"/>
    <x v="0"/>
  </r>
  <r>
    <s v="NV1993"/>
    <d v="2024-01-26T00:00:00"/>
    <x v="56"/>
    <x v="2"/>
    <s v="P60"/>
    <x v="1"/>
    <n v="3"/>
    <n v="865.04"/>
    <x v="2"/>
    <n v="436.91"/>
    <s v="Returning"/>
    <s v="Card"/>
    <n v="2465.3639999999996"/>
    <n v="1154.6339999999996"/>
    <s v="Friday"/>
    <x v="0"/>
  </r>
  <r>
    <s v="NV1994"/>
    <d v="2024-10-29T00:00:00"/>
    <x v="26"/>
    <x v="0"/>
    <s v="P19"/>
    <x v="1"/>
    <n v="2"/>
    <n v="569.69000000000005"/>
    <x v="3"/>
    <n v="289.18"/>
    <s v="Returning"/>
    <s v="Digital"/>
    <n v="1025.4420000000002"/>
    <n v="447.08200000000022"/>
    <s v="Tuesday"/>
    <x v="0"/>
  </r>
  <r>
    <s v="NV1995"/>
    <d v="2024-09-08T00:00:00"/>
    <x v="7"/>
    <x v="0"/>
    <s v="P36"/>
    <x v="1"/>
    <n v="4"/>
    <n v="472.68"/>
    <x v="4"/>
    <n v="268.11"/>
    <s v="Returning"/>
    <s v="Cash"/>
    <n v="1607.1120000000001"/>
    <n v="534.67200000000003"/>
    <s v="Sunday"/>
    <x v="1"/>
  </r>
  <r>
    <s v="NV1996"/>
    <d v="2025-11-26T00:00:00"/>
    <x v="52"/>
    <x v="1"/>
    <s v="P104"/>
    <x v="2"/>
    <n v="3"/>
    <n v="1723.87"/>
    <x v="2"/>
    <n v="930.42"/>
    <s v="New"/>
    <s v="Digital"/>
    <n v="4913.0294999999996"/>
    <n v="2121.7694999999999"/>
    <s v="Wednesday"/>
    <x v="0"/>
  </r>
  <r>
    <s v="NV1997"/>
    <d v="2024-01-14T00:00:00"/>
    <x v="38"/>
    <x v="3"/>
    <s v="P123"/>
    <x v="2"/>
    <n v="1"/>
    <n v="1812.54"/>
    <x v="2"/>
    <n v="961.52"/>
    <s v="New"/>
    <s v="Digital"/>
    <n v="1721.9129999999998"/>
    <n v="760.3929999999998"/>
    <s v="Sunday"/>
    <x v="1"/>
  </r>
  <r>
    <s v="NV1998"/>
    <d v="2025-10-12T00:00:00"/>
    <x v="31"/>
    <x v="2"/>
    <s v="P160"/>
    <x v="2"/>
    <n v="3"/>
    <n v="2855.76"/>
    <x v="1"/>
    <n v="1409.67"/>
    <s v="Returning"/>
    <s v="Cash"/>
    <n v="6853.8240000000005"/>
    <n v="2624.8140000000003"/>
    <s v="Sunday"/>
    <x v="1"/>
  </r>
  <r>
    <s v="NV1999"/>
    <d v="2024-04-26T00:00:00"/>
    <x v="1"/>
    <x v="3"/>
    <s v="P145"/>
    <x v="2"/>
    <n v="5"/>
    <n v="2555.3000000000002"/>
    <x v="0"/>
    <n v="1567.36"/>
    <s v="New"/>
    <s v="Cash"/>
    <n v="8943.5499999999993"/>
    <n v="1106.75"/>
    <s v="Friday"/>
    <x v="0"/>
  </r>
  <r>
    <s v="NV2000"/>
    <d v="2025-09-26T00:00:00"/>
    <x v="38"/>
    <x v="2"/>
    <s v="P96"/>
    <x v="0"/>
    <n v="2"/>
    <n v="1880.83"/>
    <x v="5"/>
    <n v="1283.46"/>
    <s v="Returning"/>
    <s v="Card"/>
    <n v="2821.2449999999999"/>
    <n v="254.32499999999982"/>
    <s v="Friday"/>
    <x v="0"/>
  </r>
  <r>
    <s v="NV2001"/>
    <d v="2025-10-16T00:00:00"/>
    <x v="54"/>
    <x v="3"/>
    <s v="P91"/>
    <x v="2"/>
    <n v="3"/>
    <n v="1601.94"/>
    <x v="0"/>
    <n v="800.16"/>
    <s v="Returning"/>
    <s v="Digital"/>
    <n v="3364.0739999999996"/>
    <n v="963.5939999999996"/>
    <s v="Thursday"/>
    <x v="0"/>
  </r>
  <r>
    <s v="NV2002"/>
    <d v="2024-05-16T00:00:00"/>
    <x v="54"/>
    <x v="2"/>
    <s v="P22"/>
    <x v="2"/>
    <n v="3"/>
    <n v="1990.51"/>
    <x v="6"/>
    <n v="1229.0999999999999"/>
    <s v="Returning"/>
    <s v="Card"/>
    <n v="5971.53"/>
    <n v="2284.23"/>
    <s v="Thursday"/>
    <x v="0"/>
  </r>
  <r>
    <s v="NV2003"/>
    <d v="2025-05-09T00:00:00"/>
    <x v="36"/>
    <x v="1"/>
    <s v="P254"/>
    <x v="2"/>
    <n v="5"/>
    <n v="815.19"/>
    <x v="4"/>
    <n v="347.16"/>
    <s v="New"/>
    <s v="Card"/>
    <n v="3464.5575000000003"/>
    <n v="1728.7575000000002"/>
    <s v="Friday"/>
    <x v="0"/>
  </r>
  <r>
    <s v="NV2004"/>
    <d v="2024-03-08T00:00:00"/>
    <x v="57"/>
    <x v="1"/>
    <s v="P288"/>
    <x v="2"/>
    <n v="1"/>
    <n v="1434.81"/>
    <x v="5"/>
    <n v="868.06"/>
    <s v="Returning"/>
    <s v="Cash"/>
    <n v="1076.1075000000001"/>
    <n v="208.04750000000013"/>
    <s v="Friday"/>
    <x v="0"/>
  </r>
  <r>
    <s v="NV2005"/>
    <d v="2025-09-07T00:00:00"/>
    <x v="40"/>
    <x v="0"/>
    <s v="P295"/>
    <x v="2"/>
    <n v="4"/>
    <n v="2079.0700000000002"/>
    <x v="1"/>
    <n v="1291.05"/>
    <s v="Returning"/>
    <s v="Digital"/>
    <n v="6653.0240000000013"/>
    <n v="1488.8240000000014"/>
    <s v="Sunday"/>
    <x v="1"/>
  </r>
  <r>
    <s v="NV2006"/>
    <d v="2025-04-15T00:00:00"/>
    <x v="17"/>
    <x v="0"/>
    <s v="P226"/>
    <x v="1"/>
    <n v="2"/>
    <n v="2206.9899999999998"/>
    <x v="4"/>
    <n v="1268.81"/>
    <s v="New"/>
    <s v="Digital"/>
    <n v="3751.8829999999994"/>
    <n v="1214.2629999999995"/>
    <s v="Tuesday"/>
    <x v="0"/>
  </r>
  <r>
    <s v="NV2007"/>
    <d v="2024-03-23T00:00:00"/>
    <x v="32"/>
    <x v="1"/>
    <s v="P215"/>
    <x v="2"/>
    <n v="3"/>
    <n v="1511.94"/>
    <x v="3"/>
    <n v="1010.81"/>
    <s v="Returning"/>
    <s v="Cash"/>
    <n v="4082.2379999999998"/>
    <n v="1049.808"/>
    <s v="Saturday"/>
    <x v="1"/>
  </r>
  <r>
    <s v="NV2008"/>
    <d v="2025-09-28T00:00:00"/>
    <x v="18"/>
    <x v="2"/>
    <s v="P183"/>
    <x v="0"/>
    <n v="5"/>
    <n v="1290.3599999999999"/>
    <x v="2"/>
    <n v="770.9"/>
    <s v="New"/>
    <s v="Digital"/>
    <n v="6129.2099999999991"/>
    <n v="2274.7099999999991"/>
    <s v="Sunday"/>
    <x v="1"/>
  </r>
  <r>
    <s v="NV2009"/>
    <d v="2024-10-04T00:00:00"/>
    <x v="9"/>
    <x v="1"/>
    <s v="P159"/>
    <x v="0"/>
    <n v="4"/>
    <n v="2928.89"/>
    <x v="2"/>
    <n v="1953.3"/>
    <s v="New"/>
    <s v="Cash"/>
    <n v="11129.781999999999"/>
    <n v="3316.5819999999994"/>
    <s v="Friday"/>
    <x v="0"/>
  </r>
  <r>
    <s v="NV2010"/>
    <d v="2024-01-10T00:00:00"/>
    <x v="26"/>
    <x v="1"/>
    <s v="P35"/>
    <x v="2"/>
    <n v="4"/>
    <n v="407.62"/>
    <x v="3"/>
    <n v="269.7"/>
    <s v="Returning"/>
    <s v="Cash"/>
    <n v="1467.432"/>
    <n v="388.63200000000006"/>
    <s v="Wednesday"/>
    <x v="0"/>
  </r>
  <r>
    <s v="NV2011"/>
    <d v="2024-01-27T00:00:00"/>
    <x v="6"/>
    <x v="0"/>
    <s v="P212"/>
    <x v="2"/>
    <n v="4"/>
    <n v="832.01"/>
    <x v="1"/>
    <n v="485.95"/>
    <s v="Returning"/>
    <s v="Digital"/>
    <n v="2662.4320000000002"/>
    <n v="718.63200000000029"/>
    <s v="Saturday"/>
    <x v="1"/>
  </r>
  <r>
    <s v="NV2012"/>
    <d v="2025-05-19T00:00:00"/>
    <x v="30"/>
    <x v="3"/>
    <s v="P179"/>
    <x v="2"/>
    <n v="5"/>
    <n v="1117.19"/>
    <x v="2"/>
    <n v="512.85"/>
    <s v="New"/>
    <s v="Card"/>
    <n v="5306.6525000000001"/>
    <n v="2742.4025000000001"/>
    <s v="Monday"/>
    <x v="0"/>
  </r>
  <r>
    <s v="NV2013"/>
    <d v="2024-06-24T00:00:00"/>
    <x v="10"/>
    <x v="1"/>
    <s v="P40"/>
    <x v="0"/>
    <n v="2"/>
    <n v="2689.23"/>
    <x v="2"/>
    <n v="1295.29"/>
    <s v="Returning"/>
    <s v="Digital"/>
    <n v="5109.5369999999994"/>
    <n v="2518.9569999999994"/>
    <s v="Monday"/>
    <x v="0"/>
  </r>
  <r>
    <s v="NV2014"/>
    <d v="2025-09-30T00:00:00"/>
    <x v="42"/>
    <x v="3"/>
    <s v="P242"/>
    <x v="2"/>
    <n v="2"/>
    <n v="2978.5"/>
    <x v="5"/>
    <n v="1642.65"/>
    <s v="Returning"/>
    <s v="Card"/>
    <n v="4467.75"/>
    <n v="1182.4499999999998"/>
    <s v="Tuesday"/>
    <x v="0"/>
  </r>
  <r>
    <s v="NV2015"/>
    <d v="2024-01-05T00:00:00"/>
    <x v="36"/>
    <x v="0"/>
    <s v="P34"/>
    <x v="2"/>
    <n v="1"/>
    <n v="314.75"/>
    <x v="3"/>
    <n v="148.34"/>
    <s v="New"/>
    <s v="Digital"/>
    <n v="283.27500000000003"/>
    <n v="134.93500000000003"/>
    <s v="Friday"/>
    <x v="0"/>
  </r>
  <r>
    <s v="NV2016"/>
    <d v="2025-02-25T00:00:00"/>
    <x v="35"/>
    <x v="1"/>
    <s v="P113"/>
    <x v="2"/>
    <n v="2"/>
    <n v="2316.29"/>
    <x v="1"/>
    <n v="1444.53"/>
    <s v="New"/>
    <s v="Digital"/>
    <n v="3706.0640000000003"/>
    <n v="817.00400000000036"/>
    <s v="Tuesday"/>
    <x v="0"/>
  </r>
  <r>
    <s v="NV2017"/>
    <d v="2025-03-30T00:00:00"/>
    <x v="7"/>
    <x v="0"/>
    <s v="P85"/>
    <x v="2"/>
    <n v="3"/>
    <n v="2430.41"/>
    <x v="1"/>
    <n v="1392.46"/>
    <s v="New"/>
    <s v="Cash"/>
    <n v="5832.9840000000004"/>
    <n v="1655.6040000000003"/>
    <s v="Sunday"/>
    <x v="1"/>
  </r>
  <r>
    <s v="NV2018"/>
    <d v="2025-05-25T00:00:00"/>
    <x v="45"/>
    <x v="3"/>
    <s v="P134"/>
    <x v="0"/>
    <n v="5"/>
    <n v="2243.59"/>
    <x v="0"/>
    <n v="1427.48"/>
    <s v="New"/>
    <s v="Digital"/>
    <n v="7852.5649999999996"/>
    <n v="715.16499999999996"/>
    <s v="Sunday"/>
    <x v="1"/>
  </r>
  <r>
    <s v="NV2019"/>
    <d v="2024-06-08T00:00:00"/>
    <x v="55"/>
    <x v="0"/>
    <s v="P81"/>
    <x v="1"/>
    <n v="1"/>
    <n v="1613.07"/>
    <x v="2"/>
    <n v="1098.42"/>
    <s v="Returning"/>
    <s v="Cash"/>
    <n v="1532.4164999999998"/>
    <n v="433.99649999999974"/>
    <s v="Saturday"/>
    <x v="1"/>
  </r>
  <r>
    <s v="NV2020"/>
    <d v="2024-03-25T00:00:00"/>
    <x v="13"/>
    <x v="1"/>
    <s v="P149"/>
    <x v="0"/>
    <n v="3"/>
    <n v="1306.82"/>
    <x v="6"/>
    <n v="756.35"/>
    <s v="Returning"/>
    <s v="Card"/>
    <n v="3920.46"/>
    <n v="1651.4099999999999"/>
    <s v="Monday"/>
    <x v="0"/>
  </r>
  <r>
    <s v="NV2021"/>
    <d v="2024-12-26T00:00:00"/>
    <x v="46"/>
    <x v="3"/>
    <s v="P122"/>
    <x v="2"/>
    <n v="5"/>
    <n v="1830.02"/>
    <x v="3"/>
    <n v="799.77"/>
    <s v="Returning"/>
    <s v="Card"/>
    <n v="8235.09"/>
    <n v="4236.24"/>
    <s v="Thursday"/>
    <x v="0"/>
  </r>
  <r>
    <s v="NV2022"/>
    <d v="2025-06-15T00:00:00"/>
    <x v="45"/>
    <x v="2"/>
    <s v="P80"/>
    <x v="0"/>
    <n v="1"/>
    <n v="2313.6"/>
    <x v="3"/>
    <n v="1505.1"/>
    <s v="Returning"/>
    <s v="Digital"/>
    <n v="2082.2399999999998"/>
    <n v="577.13999999999987"/>
    <s v="Sunday"/>
    <x v="1"/>
  </r>
  <r>
    <s v="NV2023"/>
    <d v="2025-04-08T00:00:00"/>
    <x v="0"/>
    <x v="2"/>
    <s v="P117"/>
    <x v="1"/>
    <n v="4"/>
    <n v="553.47"/>
    <x v="1"/>
    <n v="286.13"/>
    <s v="Returning"/>
    <s v="Cash"/>
    <n v="1771.1040000000003"/>
    <n v="626.58400000000029"/>
    <s v="Tuesday"/>
    <x v="0"/>
  </r>
  <r>
    <s v="NV2024"/>
    <d v="2025-09-05T00:00:00"/>
    <x v="11"/>
    <x v="3"/>
    <s v="P25"/>
    <x v="1"/>
    <n v="4"/>
    <n v="2310.61"/>
    <x v="5"/>
    <n v="1513.4"/>
    <s v="New"/>
    <s v="Cash"/>
    <n v="6931.83"/>
    <n v="878.22999999999956"/>
    <s v="Friday"/>
    <x v="0"/>
  </r>
  <r>
    <s v="NV2025"/>
    <d v="2024-03-31T00:00:00"/>
    <x v="43"/>
    <x v="3"/>
    <s v="P154"/>
    <x v="0"/>
    <n v="4"/>
    <n v="2478.23"/>
    <x v="3"/>
    <n v="1252.31"/>
    <s v="New"/>
    <s v="Digital"/>
    <n v="8921.6280000000006"/>
    <n v="3912.3880000000008"/>
    <s v="Sunday"/>
    <x v="1"/>
  </r>
  <r>
    <s v="NV2026"/>
    <d v="2024-04-15T00:00:00"/>
    <x v="45"/>
    <x v="0"/>
    <s v="P60"/>
    <x v="2"/>
    <n v="4"/>
    <n v="1022.5"/>
    <x v="4"/>
    <n v="595.16"/>
    <s v="Returning"/>
    <s v="Card"/>
    <n v="3476.5"/>
    <n v="1095.8600000000001"/>
    <s v="Monday"/>
    <x v="0"/>
  </r>
  <r>
    <s v="NV2027"/>
    <d v="2024-10-10T00:00:00"/>
    <x v="4"/>
    <x v="2"/>
    <s v="P110"/>
    <x v="1"/>
    <n v="4"/>
    <n v="1163.6400000000001"/>
    <x v="1"/>
    <n v="688.38"/>
    <s v="Returning"/>
    <s v="Cash"/>
    <n v="3723.6480000000006"/>
    <n v="970.12800000000061"/>
    <s v="Thursday"/>
    <x v="0"/>
  </r>
  <r>
    <s v="NV2028"/>
    <d v="2025-03-10T00:00:00"/>
    <x v="55"/>
    <x v="0"/>
    <s v="P243"/>
    <x v="1"/>
    <n v="1"/>
    <n v="803.63"/>
    <x v="6"/>
    <n v="537.09"/>
    <s v="New"/>
    <s v="Digital"/>
    <n v="803.63"/>
    <n v="266.53999999999996"/>
    <s v="Monday"/>
    <x v="0"/>
  </r>
  <r>
    <s v="NV2029"/>
    <d v="2025-10-02T00:00:00"/>
    <x v="41"/>
    <x v="3"/>
    <s v="P116"/>
    <x v="2"/>
    <n v="5"/>
    <n v="2011.47"/>
    <x v="6"/>
    <n v="1137.5899999999999"/>
    <s v="New"/>
    <s v="Digital"/>
    <n v="10057.35"/>
    <n v="4369.4000000000005"/>
    <s v="Thursday"/>
    <x v="0"/>
  </r>
  <r>
    <s v="NV2030"/>
    <d v="2025-11-26T00:00:00"/>
    <x v="32"/>
    <x v="3"/>
    <s v="P70"/>
    <x v="2"/>
    <n v="5"/>
    <n v="1451.13"/>
    <x v="0"/>
    <n v="832.08"/>
    <s v="New"/>
    <s v="Digital"/>
    <n v="5078.9549999999999"/>
    <n v="918.55499999999938"/>
    <s v="Wednesday"/>
    <x v="0"/>
  </r>
  <r>
    <s v="NV2031"/>
    <d v="2024-03-24T00:00:00"/>
    <x v="26"/>
    <x v="0"/>
    <s v="P6"/>
    <x v="0"/>
    <n v="5"/>
    <n v="504.88"/>
    <x v="3"/>
    <n v="238.98"/>
    <s v="New"/>
    <s v="Cash"/>
    <n v="2271.96"/>
    <n v="1077.0600000000002"/>
    <s v="Sunday"/>
    <x v="1"/>
  </r>
  <r>
    <s v="NV2032"/>
    <d v="2024-01-24T00:00:00"/>
    <x v="43"/>
    <x v="1"/>
    <s v="P205"/>
    <x v="0"/>
    <n v="5"/>
    <n v="1667.43"/>
    <x v="4"/>
    <n v="986.57"/>
    <s v="New"/>
    <s v="Cash"/>
    <n v="7086.5774999999994"/>
    <n v="2153.7274999999991"/>
    <s v="Wednesday"/>
    <x v="0"/>
  </r>
  <r>
    <s v="NV2033"/>
    <d v="2025-01-26T00:00:00"/>
    <x v="38"/>
    <x v="0"/>
    <s v="P141"/>
    <x v="1"/>
    <n v="3"/>
    <n v="1186.72"/>
    <x v="4"/>
    <n v="530.21"/>
    <s v="New"/>
    <s v="Digital"/>
    <n v="3026.136"/>
    <n v="1435.5059999999999"/>
    <s v="Sunday"/>
    <x v="1"/>
  </r>
  <r>
    <s v="NV2034"/>
    <d v="2025-09-17T00:00:00"/>
    <x v="24"/>
    <x v="3"/>
    <s v="P117"/>
    <x v="1"/>
    <n v="5"/>
    <n v="1553.29"/>
    <x v="1"/>
    <n v="941.65"/>
    <s v="New"/>
    <s v="Digital"/>
    <n v="6213.16"/>
    <n v="1504.9099999999999"/>
    <s v="Wednesday"/>
    <x v="0"/>
  </r>
  <r>
    <s v="NV2035"/>
    <d v="2025-01-09T00:00:00"/>
    <x v="21"/>
    <x v="1"/>
    <s v="P216"/>
    <x v="2"/>
    <n v="4"/>
    <n v="2551.84"/>
    <x v="5"/>
    <n v="1208.06"/>
    <s v="Returning"/>
    <s v="Cash"/>
    <n v="7655.52"/>
    <n v="2823.2800000000007"/>
    <s v="Thursday"/>
    <x v="0"/>
  </r>
  <r>
    <s v="NV2036"/>
    <d v="2025-03-12T00:00:00"/>
    <x v="9"/>
    <x v="1"/>
    <s v="P112"/>
    <x v="0"/>
    <n v="1"/>
    <n v="2236.62"/>
    <x v="3"/>
    <n v="1045.32"/>
    <s v="Returning"/>
    <s v="Card"/>
    <n v="2012.9579999999999"/>
    <n v="967.63799999999992"/>
    <s v="Wednesday"/>
    <x v="0"/>
  </r>
  <r>
    <s v="NV2037"/>
    <d v="2025-06-30T00:00:00"/>
    <x v="34"/>
    <x v="0"/>
    <s v="P242"/>
    <x v="2"/>
    <n v="2"/>
    <n v="2909.79"/>
    <x v="6"/>
    <n v="1395.77"/>
    <s v="Returning"/>
    <s v="Card"/>
    <n v="5819.58"/>
    <n v="3028.04"/>
    <s v="Monday"/>
    <x v="0"/>
  </r>
  <r>
    <s v="NV2038"/>
    <d v="2025-03-21T00:00:00"/>
    <x v="26"/>
    <x v="0"/>
    <s v="P270"/>
    <x v="0"/>
    <n v="2"/>
    <n v="719.24"/>
    <x v="6"/>
    <n v="468.08"/>
    <s v="New"/>
    <s v="Cash"/>
    <n v="1438.48"/>
    <n v="502.32000000000005"/>
    <s v="Friday"/>
    <x v="0"/>
  </r>
  <r>
    <s v="NV2039"/>
    <d v="2024-01-26T00:00:00"/>
    <x v="51"/>
    <x v="3"/>
    <s v="P5"/>
    <x v="1"/>
    <n v="2"/>
    <n v="2940.96"/>
    <x v="5"/>
    <n v="1552.71"/>
    <s v="New"/>
    <s v="Cash"/>
    <n v="4411.4400000000005"/>
    <n v="1306.0200000000004"/>
    <s v="Friday"/>
    <x v="0"/>
  </r>
  <r>
    <s v="NV2040"/>
    <d v="2024-01-04T00:00:00"/>
    <x v="2"/>
    <x v="3"/>
    <s v="P232"/>
    <x v="2"/>
    <n v="4"/>
    <n v="734.95"/>
    <x v="6"/>
    <n v="325.85000000000002"/>
    <s v="Returning"/>
    <s v="Card"/>
    <n v="2939.8"/>
    <n v="1636.4"/>
    <s v="Thursday"/>
    <x v="0"/>
  </r>
  <r>
    <s v="NV2041"/>
    <d v="2024-11-10T00:00:00"/>
    <x v="11"/>
    <x v="2"/>
    <s v="P230"/>
    <x v="0"/>
    <n v="4"/>
    <n v="2906.11"/>
    <x v="5"/>
    <n v="1773.18"/>
    <s v="Returning"/>
    <s v="Digital"/>
    <n v="8718.33"/>
    <n v="1625.6099999999997"/>
    <s v="Sunday"/>
    <x v="1"/>
  </r>
  <r>
    <s v="NV2042"/>
    <d v="2025-03-07T00:00:00"/>
    <x v="2"/>
    <x v="1"/>
    <s v="P60"/>
    <x v="0"/>
    <n v="5"/>
    <n v="2473.7199999999998"/>
    <x v="2"/>
    <n v="1273.96"/>
    <s v="New"/>
    <s v="Cash"/>
    <n v="11750.169999999998"/>
    <n v="5380.3699999999981"/>
    <s v="Friday"/>
    <x v="0"/>
  </r>
  <r>
    <s v="NV2043"/>
    <d v="2024-06-21T00:00:00"/>
    <x v="24"/>
    <x v="2"/>
    <s v="P190"/>
    <x v="1"/>
    <n v="3"/>
    <n v="2387.9899999999998"/>
    <x v="3"/>
    <n v="1135.74"/>
    <s v="Returning"/>
    <s v="Cash"/>
    <n v="6447.5729999999994"/>
    <n v="3040.3529999999992"/>
    <s v="Friday"/>
    <x v="0"/>
  </r>
  <r>
    <s v="NV2044"/>
    <d v="2025-09-08T00:00:00"/>
    <x v="24"/>
    <x v="0"/>
    <s v="P153"/>
    <x v="1"/>
    <n v="3"/>
    <n v="1067.2"/>
    <x v="5"/>
    <n v="458.54"/>
    <s v="Returning"/>
    <s v="Card"/>
    <n v="2401.2000000000003"/>
    <n v="1025.5800000000002"/>
    <s v="Monday"/>
    <x v="0"/>
  </r>
  <r>
    <s v="NV2045"/>
    <d v="2024-10-04T00:00:00"/>
    <x v="11"/>
    <x v="0"/>
    <s v="P32"/>
    <x v="2"/>
    <n v="1"/>
    <n v="1101.51"/>
    <x v="1"/>
    <n v="452.95"/>
    <s v="New"/>
    <s v="Card"/>
    <n v="881.20800000000008"/>
    <n v="428.2580000000001"/>
    <s v="Friday"/>
    <x v="0"/>
  </r>
  <r>
    <s v="NV2046"/>
    <d v="2024-04-21T00:00:00"/>
    <x v="40"/>
    <x v="0"/>
    <s v="P78"/>
    <x v="1"/>
    <n v="4"/>
    <n v="2530.13"/>
    <x v="6"/>
    <n v="1028.7"/>
    <s v="Returning"/>
    <s v="Digital"/>
    <n v="10120.52"/>
    <n v="6005.72"/>
    <s v="Sunday"/>
    <x v="1"/>
  </r>
  <r>
    <s v="NV2047"/>
    <d v="2024-07-12T00:00:00"/>
    <x v="11"/>
    <x v="0"/>
    <s v="P283"/>
    <x v="2"/>
    <n v="2"/>
    <n v="1253.0899999999999"/>
    <x v="6"/>
    <n v="750.69"/>
    <s v="New"/>
    <s v="Cash"/>
    <n v="2506.1799999999998"/>
    <n v="1004.7999999999997"/>
    <s v="Friday"/>
    <x v="0"/>
  </r>
  <r>
    <s v="NV2048"/>
    <d v="2025-10-23T00:00:00"/>
    <x v="3"/>
    <x v="1"/>
    <s v="P94"/>
    <x v="0"/>
    <n v="3"/>
    <n v="838.55"/>
    <x v="5"/>
    <n v="550.24"/>
    <s v="New"/>
    <s v="Cash"/>
    <n v="1886.7374999999997"/>
    <n v="236.0174999999997"/>
    <s v="Thursday"/>
    <x v="0"/>
  </r>
  <r>
    <s v="NV2049"/>
    <d v="2025-10-29T00:00:00"/>
    <x v="24"/>
    <x v="2"/>
    <s v="P44"/>
    <x v="0"/>
    <n v="2"/>
    <n v="1446.5"/>
    <x v="0"/>
    <n v="978.94"/>
    <s v="New"/>
    <s v="Card"/>
    <n v="2025.1"/>
    <n v="67.2199999999998"/>
    <s v="Wednesday"/>
    <x v="0"/>
  </r>
  <r>
    <s v="NV2050"/>
    <d v="2024-12-15T00:00:00"/>
    <x v="31"/>
    <x v="1"/>
    <s v="P116"/>
    <x v="2"/>
    <n v="3"/>
    <n v="2056.7399999999998"/>
    <x v="0"/>
    <n v="1339.02"/>
    <s v="Returning"/>
    <s v="Card"/>
    <n v="4319.1539999999995"/>
    <n v="302.0939999999996"/>
    <s v="Sunday"/>
    <x v="1"/>
  </r>
  <r>
    <s v="NV2051"/>
    <d v="2024-10-23T00:00:00"/>
    <x v="45"/>
    <x v="3"/>
    <s v="P164"/>
    <x v="0"/>
    <n v="1"/>
    <n v="1742.19"/>
    <x v="5"/>
    <n v="896.88"/>
    <s v="Returning"/>
    <s v="Digital"/>
    <n v="1306.6424999999999"/>
    <n v="409.76249999999993"/>
    <s v="Wednesday"/>
    <x v="0"/>
  </r>
  <r>
    <s v="NV2052"/>
    <d v="2024-12-12T00:00:00"/>
    <x v="2"/>
    <x v="1"/>
    <s v="P21"/>
    <x v="0"/>
    <n v="5"/>
    <n v="2615.23"/>
    <x v="6"/>
    <n v="1505.1"/>
    <s v="New"/>
    <s v="Card"/>
    <n v="13076.15"/>
    <n v="5550.65"/>
    <s v="Thursday"/>
    <x v="0"/>
  </r>
  <r>
    <s v="NV2053"/>
    <d v="2024-02-09T00:00:00"/>
    <x v="40"/>
    <x v="1"/>
    <s v="P253"/>
    <x v="1"/>
    <n v="4"/>
    <n v="636.74"/>
    <x v="2"/>
    <n v="277.14"/>
    <s v="New"/>
    <s v="Digital"/>
    <n v="2419.6120000000001"/>
    <n v="1311.0520000000001"/>
    <s v="Friday"/>
    <x v="0"/>
  </r>
  <r>
    <s v="NV2054"/>
    <d v="2024-10-12T00:00:00"/>
    <x v="36"/>
    <x v="3"/>
    <s v="P119"/>
    <x v="1"/>
    <n v="5"/>
    <n v="2963.95"/>
    <x v="1"/>
    <n v="1529.55"/>
    <s v="Returning"/>
    <s v="Digital"/>
    <n v="11855.800000000001"/>
    <n v="4208.0500000000011"/>
    <s v="Saturday"/>
    <x v="1"/>
  </r>
  <r>
    <s v="NV2055"/>
    <d v="2025-11-20T00:00:00"/>
    <x v="28"/>
    <x v="1"/>
    <s v="P173"/>
    <x v="0"/>
    <n v="2"/>
    <n v="2568.83"/>
    <x v="4"/>
    <n v="1776.88"/>
    <s v="New"/>
    <s v="Cash"/>
    <n v="4367.0109999999995"/>
    <n v="813.25099999999929"/>
    <s v="Thursday"/>
    <x v="0"/>
  </r>
  <r>
    <s v="NV2056"/>
    <d v="2025-11-22T00:00:00"/>
    <x v="15"/>
    <x v="3"/>
    <s v="P155"/>
    <x v="1"/>
    <n v="5"/>
    <n v="1451.72"/>
    <x v="3"/>
    <n v="996.34"/>
    <s v="New"/>
    <s v="Digital"/>
    <n v="6532.7400000000007"/>
    <n v="1551.0400000000009"/>
    <s v="Saturday"/>
    <x v="1"/>
  </r>
  <r>
    <s v="NV2057"/>
    <d v="2025-08-01T00:00:00"/>
    <x v="24"/>
    <x v="2"/>
    <s v="P248"/>
    <x v="0"/>
    <n v="3"/>
    <n v="2993.04"/>
    <x v="3"/>
    <n v="1204.9000000000001"/>
    <s v="New"/>
    <s v="Digital"/>
    <n v="8081.2079999999996"/>
    <n v="4466.5079999999998"/>
    <s v="Friday"/>
    <x v="0"/>
  </r>
  <r>
    <s v="NV2058"/>
    <d v="2025-07-10T00:00:00"/>
    <x v="27"/>
    <x v="3"/>
    <s v="P134"/>
    <x v="0"/>
    <n v="2"/>
    <n v="2049.66"/>
    <x v="4"/>
    <n v="1095.8800000000001"/>
    <s v="New"/>
    <s v="Cash"/>
    <n v="3484.4219999999996"/>
    <n v="1292.6619999999994"/>
    <s v="Thursday"/>
    <x v="0"/>
  </r>
  <r>
    <s v="NV2059"/>
    <d v="2025-03-14T00:00:00"/>
    <x v="21"/>
    <x v="3"/>
    <s v="P26"/>
    <x v="2"/>
    <n v="1"/>
    <n v="2962.8"/>
    <x v="6"/>
    <n v="1898.58"/>
    <s v="New"/>
    <s v="Card"/>
    <n v="2962.8"/>
    <n v="1064.2200000000003"/>
    <s v="Friday"/>
    <x v="0"/>
  </r>
  <r>
    <s v="NV2060"/>
    <d v="2025-04-25T00:00:00"/>
    <x v="3"/>
    <x v="3"/>
    <s v="P296"/>
    <x v="0"/>
    <n v="5"/>
    <n v="1535.11"/>
    <x v="0"/>
    <n v="627.79"/>
    <s v="Returning"/>
    <s v="Cash"/>
    <n v="5372.8849999999993"/>
    <n v="2233.9349999999995"/>
    <s v="Friday"/>
    <x v="0"/>
  </r>
  <r>
    <s v="NV2061"/>
    <d v="2025-06-09T00:00:00"/>
    <x v="56"/>
    <x v="2"/>
    <s v="P109"/>
    <x v="1"/>
    <n v="2"/>
    <n v="576.37"/>
    <x v="3"/>
    <n v="352.57"/>
    <s v="New"/>
    <s v="Digital"/>
    <n v="1037.4660000000001"/>
    <n v="332.32600000000014"/>
    <s v="Monday"/>
    <x v="0"/>
  </r>
  <r>
    <s v="NV2062"/>
    <d v="2024-08-30T00:00:00"/>
    <x v="51"/>
    <x v="3"/>
    <s v="P259"/>
    <x v="1"/>
    <n v="1"/>
    <n v="2898.62"/>
    <x v="0"/>
    <n v="1746.96"/>
    <s v="New"/>
    <s v="Digital"/>
    <n v="2029.0339999999999"/>
    <n v="282.07399999999984"/>
    <s v="Friday"/>
    <x v="0"/>
  </r>
  <r>
    <s v="NV2063"/>
    <d v="2024-03-21T00:00:00"/>
    <x v="8"/>
    <x v="1"/>
    <s v="P242"/>
    <x v="0"/>
    <n v="2"/>
    <n v="1842.93"/>
    <x v="1"/>
    <n v="926.28"/>
    <s v="New"/>
    <s v="Card"/>
    <n v="2948.6880000000001"/>
    <n v="1096.1280000000002"/>
    <s v="Thursday"/>
    <x v="0"/>
  </r>
  <r>
    <s v="NV2064"/>
    <d v="2024-05-09T00:00:00"/>
    <x v="20"/>
    <x v="2"/>
    <s v="P157"/>
    <x v="2"/>
    <n v="4"/>
    <n v="1049.22"/>
    <x v="6"/>
    <n v="427.36"/>
    <s v="Returning"/>
    <s v="Digital"/>
    <n v="4196.88"/>
    <n v="2487.44"/>
    <s v="Thursday"/>
    <x v="0"/>
  </r>
  <r>
    <s v="NV2065"/>
    <d v="2025-09-27T00:00:00"/>
    <x v="21"/>
    <x v="0"/>
    <s v="P13"/>
    <x v="2"/>
    <n v="4"/>
    <n v="2615.3000000000002"/>
    <x v="2"/>
    <n v="1128.73"/>
    <s v="New"/>
    <s v="Digital"/>
    <n v="9938.14"/>
    <n v="5423.2199999999993"/>
    <s v="Saturday"/>
    <x v="1"/>
  </r>
  <r>
    <s v="NV2066"/>
    <d v="2025-05-19T00:00:00"/>
    <x v="46"/>
    <x v="0"/>
    <s v="P180"/>
    <x v="0"/>
    <n v="2"/>
    <n v="2721.17"/>
    <x v="0"/>
    <n v="1747.27"/>
    <s v="Returning"/>
    <s v="Digital"/>
    <n v="3809.6379999999999"/>
    <n v="315.09799999999996"/>
    <s v="Monday"/>
    <x v="0"/>
  </r>
  <r>
    <s v="NV2067"/>
    <d v="2024-02-21T00:00:00"/>
    <x v="1"/>
    <x v="2"/>
    <s v="P32"/>
    <x v="2"/>
    <n v="1"/>
    <n v="2954.39"/>
    <x v="4"/>
    <n v="1472.81"/>
    <s v="Returning"/>
    <s v="Cash"/>
    <n v="2511.2314999999999"/>
    <n v="1038.4214999999999"/>
    <s v="Wednesday"/>
    <x v="0"/>
  </r>
  <r>
    <s v="NV2068"/>
    <d v="2025-10-12T00:00:00"/>
    <x v="41"/>
    <x v="3"/>
    <s v="P18"/>
    <x v="0"/>
    <n v="1"/>
    <n v="2797.48"/>
    <x v="0"/>
    <n v="1332.71"/>
    <s v="New"/>
    <s v="Cash"/>
    <n v="1958.2359999999999"/>
    <n v="625.52599999999984"/>
    <s v="Sunday"/>
    <x v="1"/>
  </r>
  <r>
    <s v="NV2069"/>
    <d v="2025-07-31T00:00:00"/>
    <x v="4"/>
    <x v="2"/>
    <s v="P118"/>
    <x v="1"/>
    <n v="3"/>
    <n v="943.8"/>
    <x v="6"/>
    <n v="582.53"/>
    <s v="Returning"/>
    <s v="Card"/>
    <n v="2831.3999999999996"/>
    <n v="1083.8099999999997"/>
    <s v="Thursday"/>
    <x v="0"/>
  </r>
  <r>
    <s v="NV2070"/>
    <d v="2025-04-22T00:00:00"/>
    <x v="20"/>
    <x v="2"/>
    <s v="P255"/>
    <x v="2"/>
    <n v="3"/>
    <n v="318.51"/>
    <x v="5"/>
    <n v="129.12"/>
    <s v="Returning"/>
    <s v="Digital"/>
    <n v="716.64750000000004"/>
    <n v="329.28750000000002"/>
    <s v="Tuesday"/>
    <x v="0"/>
  </r>
  <r>
    <s v="NV2071"/>
    <d v="2024-12-01T00:00:00"/>
    <x v="17"/>
    <x v="3"/>
    <s v="P297"/>
    <x v="0"/>
    <n v="2"/>
    <n v="1104.5"/>
    <x v="5"/>
    <n v="476.14"/>
    <s v="New"/>
    <s v="Digital"/>
    <n v="1656.75"/>
    <n v="704.47"/>
    <s v="Sunday"/>
    <x v="1"/>
  </r>
  <r>
    <s v="NV2072"/>
    <d v="2024-02-09T00:00:00"/>
    <x v="1"/>
    <x v="3"/>
    <s v="P190"/>
    <x v="1"/>
    <n v="2"/>
    <n v="1052.44"/>
    <x v="3"/>
    <n v="615.04999999999995"/>
    <s v="New"/>
    <s v="Digital"/>
    <n v="1894.3920000000001"/>
    <n v="664.29200000000014"/>
    <s v="Friday"/>
    <x v="0"/>
  </r>
  <r>
    <s v="NV2073"/>
    <d v="2024-05-09T00:00:00"/>
    <x v="11"/>
    <x v="0"/>
    <s v="P218"/>
    <x v="2"/>
    <n v="2"/>
    <n v="1968.87"/>
    <x v="0"/>
    <n v="1186.6500000000001"/>
    <s v="New"/>
    <s v="Cash"/>
    <n v="2756.4179999999997"/>
    <n v="383.11799999999948"/>
    <s v="Thursday"/>
    <x v="0"/>
  </r>
  <r>
    <s v="NV2074"/>
    <d v="2024-10-06T00:00:00"/>
    <x v="39"/>
    <x v="1"/>
    <s v="P66"/>
    <x v="2"/>
    <n v="4"/>
    <n v="2743.59"/>
    <x v="6"/>
    <n v="1213.75"/>
    <s v="Returning"/>
    <s v="Cash"/>
    <n v="10974.36"/>
    <n v="6119.3600000000006"/>
    <s v="Sunday"/>
    <x v="1"/>
  </r>
  <r>
    <s v="NV2075"/>
    <d v="2025-03-03T00:00:00"/>
    <x v="22"/>
    <x v="2"/>
    <s v="P204"/>
    <x v="2"/>
    <n v="3"/>
    <n v="1424.91"/>
    <x v="4"/>
    <n v="780.85"/>
    <s v="New"/>
    <s v="Digital"/>
    <n v="3633.5205000000001"/>
    <n v="1290.9704999999999"/>
    <s v="Monday"/>
    <x v="0"/>
  </r>
  <r>
    <s v="NV2076"/>
    <d v="2024-12-08T00:00:00"/>
    <x v="19"/>
    <x v="0"/>
    <s v="P283"/>
    <x v="0"/>
    <n v="5"/>
    <n v="1055.5"/>
    <x v="3"/>
    <n v="617.22"/>
    <s v="Returning"/>
    <s v="Digital"/>
    <n v="4749.75"/>
    <n v="1663.6499999999996"/>
    <s v="Sunday"/>
    <x v="1"/>
  </r>
  <r>
    <s v="NV2077"/>
    <d v="2024-05-08T00:00:00"/>
    <x v="38"/>
    <x v="2"/>
    <s v="P162"/>
    <x v="2"/>
    <n v="1"/>
    <n v="2917.56"/>
    <x v="0"/>
    <n v="1285.1600000000001"/>
    <s v="Returning"/>
    <s v="Cash"/>
    <n v="2042.2919999999999"/>
    <n v="757.13199999999983"/>
    <s v="Wednesday"/>
    <x v="0"/>
  </r>
  <r>
    <s v="NV2078"/>
    <d v="2024-07-31T00:00:00"/>
    <x v="26"/>
    <x v="3"/>
    <s v="P34"/>
    <x v="0"/>
    <n v="1"/>
    <n v="620.5"/>
    <x v="6"/>
    <n v="291.95"/>
    <s v="New"/>
    <s v="Cash"/>
    <n v="620.5"/>
    <n v="328.55"/>
    <s v="Wednesday"/>
    <x v="0"/>
  </r>
  <r>
    <s v="NV2079"/>
    <d v="2024-07-02T00:00:00"/>
    <x v="10"/>
    <x v="1"/>
    <s v="P66"/>
    <x v="1"/>
    <n v="5"/>
    <n v="835.5"/>
    <x v="1"/>
    <n v="496.21"/>
    <s v="Returning"/>
    <s v="Card"/>
    <n v="3342"/>
    <n v="860.95000000000027"/>
    <s v="Tuesday"/>
    <x v="0"/>
  </r>
  <r>
    <s v="NV2080"/>
    <d v="2025-09-02T00:00:00"/>
    <x v="13"/>
    <x v="2"/>
    <s v="P47"/>
    <x v="2"/>
    <n v="1"/>
    <n v="938.24"/>
    <x v="4"/>
    <n v="526.67999999999995"/>
    <s v="Returning"/>
    <s v="Cash"/>
    <n v="797.50400000000002"/>
    <n v="270.82400000000007"/>
    <s v="Tuesday"/>
    <x v="0"/>
  </r>
  <r>
    <s v="NV2081"/>
    <d v="2024-03-14T00:00:00"/>
    <x v="37"/>
    <x v="0"/>
    <s v="P201"/>
    <x v="0"/>
    <n v="4"/>
    <n v="332.29"/>
    <x v="5"/>
    <n v="136.02000000000001"/>
    <s v="New"/>
    <s v="Card"/>
    <n v="996.87000000000012"/>
    <n v="452.79000000000008"/>
    <s v="Thursday"/>
    <x v="0"/>
  </r>
  <r>
    <s v="NV2082"/>
    <d v="2024-01-25T00:00:00"/>
    <x v="9"/>
    <x v="3"/>
    <s v="P94"/>
    <x v="0"/>
    <n v="3"/>
    <n v="1593.63"/>
    <x v="6"/>
    <n v="899.29"/>
    <s v="Returning"/>
    <s v="Digital"/>
    <n v="4780.8900000000003"/>
    <n v="2083.0200000000004"/>
    <s v="Thursday"/>
    <x v="0"/>
  </r>
  <r>
    <s v="NV2083"/>
    <d v="2024-07-29T00:00:00"/>
    <x v="1"/>
    <x v="0"/>
    <s v="P203"/>
    <x v="2"/>
    <n v="2"/>
    <n v="2163.25"/>
    <x v="6"/>
    <n v="1131.9100000000001"/>
    <s v="New"/>
    <s v="Cash"/>
    <n v="4326.5"/>
    <n v="2062.6799999999998"/>
    <s v="Monday"/>
    <x v="0"/>
  </r>
  <r>
    <s v="NV2084"/>
    <d v="2025-03-19T00:00:00"/>
    <x v="16"/>
    <x v="2"/>
    <s v="P24"/>
    <x v="2"/>
    <n v="3"/>
    <n v="2523.59"/>
    <x v="6"/>
    <n v="1374.29"/>
    <s v="New"/>
    <s v="Cash"/>
    <n v="7570.77"/>
    <n v="3447.9000000000005"/>
    <s v="Wednesday"/>
    <x v="0"/>
  </r>
  <r>
    <s v="NV2085"/>
    <d v="2025-07-05T00:00:00"/>
    <x v="5"/>
    <x v="0"/>
    <s v="P68"/>
    <x v="0"/>
    <n v="5"/>
    <n v="534.70000000000005"/>
    <x v="0"/>
    <n v="332.57"/>
    <s v="New"/>
    <s v="Digital"/>
    <n v="1871.4499999999998"/>
    <n v="208.59999999999991"/>
    <s v="Saturday"/>
    <x v="1"/>
  </r>
  <r>
    <s v="NV2086"/>
    <d v="2024-11-27T00:00:00"/>
    <x v="20"/>
    <x v="3"/>
    <s v="P134"/>
    <x v="1"/>
    <n v="5"/>
    <n v="763.1"/>
    <x v="2"/>
    <n v="334.45"/>
    <s v="New"/>
    <s v="Cash"/>
    <n v="3624.7249999999999"/>
    <n v="1952.4749999999999"/>
    <s v="Wednesday"/>
    <x v="0"/>
  </r>
  <r>
    <s v="NV2087"/>
    <d v="2024-03-21T00:00:00"/>
    <x v="43"/>
    <x v="1"/>
    <s v="P165"/>
    <x v="2"/>
    <n v="1"/>
    <n v="950.68"/>
    <x v="5"/>
    <n v="421.25"/>
    <s v="Returning"/>
    <s v="Digital"/>
    <n v="713.01"/>
    <n v="291.76"/>
    <s v="Thursday"/>
    <x v="0"/>
  </r>
  <r>
    <s v="NV2088"/>
    <d v="2024-07-31T00:00:00"/>
    <x v="43"/>
    <x v="3"/>
    <s v="P74"/>
    <x v="2"/>
    <n v="1"/>
    <n v="2285.65"/>
    <x v="2"/>
    <n v="1412.97"/>
    <s v="Returning"/>
    <s v="Digital"/>
    <n v="2171.3674999999998"/>
    <n v="758.39749999999981"/>
    <s v="Wednesday"/>
    <x v="0"/>
  </r>
  <r>
    <s v="NV2089"/>
    <d v="2025-02-11T00:00:00"/>
    <x v="7"/>
    <x v="0"/>
    <s v="P220"/>
    <x v="0"/>
    <n v="2"/>
    <n v="2117.08"/>
    <x v="2"/>
    <n v="940.32"/>
    <s v="New"/>
    <s v="Card"/>
    <n v="4022.4519999999998"/>
    <n v="2141.8119999999999"/>
    <s v="Tuesday"/>
    <x v="0"/>
  </r>
  <r>
    <s v="NV2090"/>
    <d v="2025-11-09T00:00:00"/>
    <x v="44"/>
    <x v="0"/>
    <s v="P24"/>
    <x v="1"/>
    <n v="5"/>
    <n v="1350.5"/>
    <x v="6"/>
    <n v="778.98"/>
    <s v="New"/>
    <s v="Digital"/>
    <n v="6752.5"/>
    <n v="2857.6"/>
    <s v="Sunday"/>
    <x v="1"/>
  </r>
  <r>
    <s v="NV2091"/>
    <d v="2024-12-10T00:00:00"/>
    <x v="0"/>
    <x v="2"/>
    <s v="P193"/>
    <x v="1"/>
    <n v="3"/>
    <n v="901.38"/>
    <x v="0"/>
    <n v="580.4"/>
    <s v="New"/>
    <s v="Digital"/>
    <n v="1892.8979999999997"/>
    <n v="151.69799999999987"/>
    <s v="Tuesday"/>
    <x v="0"/>
  </r>
  <r>
    <s v="NV2092"/>
    <d v="2024-04-03T00:00:00"/>
    <x v="35"/>
    <x v="0"/>
    <s v="P154"/>
    <x v="2"/>
    <n v="5"/>
    <n v="2902.29"/>
    <x v="3"/>
    <n v="1806.34"/>
    <s v="Returning"/>
    <s v="Cash"/>
    <n v="13060.305"/>
    <n v="4028.6050000000014"/>
    <s v="Wednesday"/>
    <x v="0"/>
  </r>
  <r>
    <s v="NV2093"/>
    <d v="2024-01-20T00:00:00"/>
    <x v="14"/>
    <x v="1"/>
    <s v="P105"/>
    <x v="2"/>
    <n v="5"/>
    <n v="2386.3000000000002"/>
    <x v="3"/>
    <n v="1123.33"/>
    <s v="Returning"/>
    <s v="Cash"/>
    <n v="10738.35"/>
    <n v="5121.7000000000007"/>
    <s v="Saturday"/>
    <x v="1"/>
  </r>
  <r>
    <s v="NV2094"/>
    <d v="2025-07-27T00:00:00"/>
    <x v="0"/>
    <x v="1"/>
    <s v="P156"/>
    <x v="2"/>
    <n v="1"/>
    <n v="2297.27"/>
    <x v="6"/>
    <n v="1599.4"/>
    <s v="Returning"/>
    <s v="Cash"/>
    <n v="2297.27"/>
    <n v="697.86999999999989"/>
    <s v="Sunday"/>
    <x v="1"/>
  </r>
  <r>
    <s v="NV2095"/>
    <d v="2025-07-13T00:00:00"/>
    <x v="13"/>
    <x v="3"/>
    <s v="P267"/>
    <x v="0"/>
    <n v="1"/>
    <n v="639.91999999999996"/>
    <x v="1"/>
    <n v="413.84"/>
    <s v="Returning"/>
    <s v="Digital"/>
    <n v="511.93599999999998"/>
    <n v="98.096000000000004"/>
    <s v="Sunday"/>
    <x v="1"/>
  </r>
  <r>
    <s v="NV2096"/>
    <d v="2024-05-03T00:00:00"/>
    <x v="48"/>
    <x v="2"/>
    <s v="P115"/>
    <x v="1"/>
    <n v="3"/>
    <n v="2163.79"/>
    <x v="5"/>
    <n v="1109.33"/>
    <s v="Returning"/>
    <s v="Cash"/>
    <n v="4868.5275000000001"/>
    <n v="1540.5375000000004"/>
    <s v="Friday"/>
    <x v="0"/>
  </r>
  <r>
    <s v="NV2097"/>
    <d v="2024-11-03T00:00:00"/>
    <x v="48"/>
    <x v="0"/>
    <s v="P91"/>
    <x v="1"/>
    <n v="4"/>
    <n v="2790.22"/>
    <x v="3"/>
    <n v="1414.62"/>
    <s v="Returning"/>
    <s v="Card"/>
    <n v="10044.791999999999"/>
    <n v="4386.3119999999999"/>
    <s v="Sunday"/>
    <x v="1"/>
  </r>
  <r>
    <s v="NV2098"/>
    <d v="2025-01-02T00:00:00"/>
    <x v="43"/>
    <x v="2"/>
    <s v="P170"/>
    <x v="1"/>
    <n v="3"/>
    <n v="1642.2"/>
    <x v="2"/>
    <n v="946.83"/>
    <s v="Returning"/>
    <s v="Card"/>
    <n v="4680.2700000000004"/>
    <n v="1839.7800000000002"/>
    <s v="Thursday"/>
    <x v="0"/>
  </r>
  <r>
    <s v="NV2099"/>
    <d v="2024-11-02T00:00:00"/>
    <x v="37"/>
    <x v="0"/>
    <s v="P55"/>
    <x v="2"/>
    <n v="3"/>
    <n v="2739.45"/>
    <x v="3"/>
    <n v="1354.32"/>
    <s v="Returning"/>
    <s v="Cash"/>
    <n v="7396.5149999999985"/>
    <n v="3333.5549999999985"/>
    <s v="Saturday"/>
    <x v="1"/>
  </r>
  <r>
    <s v="NV2100"/>
    <d v="2024-03-16T00:00:00"/>
    <x v="17"/>
    <x v="2"/>
    <s v="P259"/>
    <x v="1"/>
    <n v="5"/>
    <n v="1868.88"/>
    <x v="0"/>
    <n v="979.47"/>
    <s v="Returning"/>
    <s v="Digital"/>
    <n v="6541.0800000000008"/>
    <n v="1643.7300000000005"/>
    <s v="Saturday"/>
    <x v="1"/>
  </r>
  <r>
    <s v="NV2101"/>
    <d v="2024-08-01T00:00:00"/>
    <x v="38"/>
    <x v="1"/>
    <s v="P87"/>
    <x v="0"/>
    <n v="2"/>
    <n v="604.63"/>
    <x v="5"/>
    <n v="294.18"/>
    <s v="New"/>
    <s v="Digital"/>
    <n v="906.94499999999994"/>
    <n v="318.58499999999992"/>
    <s v="Thursday"/>
    <x v="0"/>
  </r>
  <r>
    <s v="NV2102"/>
    <d v="2025-03-17T00:00:00"/>
    <x v="25"/>
    <x v="0"/>
    <s v="P201"/>
    <x v="2"/>
    <n v="2"/>
    <n v="2183.67"/>
    <x v="3"/>
    <n v="948.55"/>
    <s v="New"/>
    <s v="Cash"/>
    <n v="3930.6060000000002"/>
    <n v="2033.5060000000003"/>
    <s v="Monday"/>
    <x v="0"/>
  </r>
  <r>
    <s v="NV2103"/>
    <d v="2025-01-25T00:00:00"/>
    <x v="26"/>
    <x v="1"/>
    <s v="P215"/>
    <x v="0"/>
    <n v="4"/>
    <n v="1538.31"/>
    <x v="1"/>
    <n v="814.87"/>
    <s v="New"/>
    <s v="Cash"/>
    <n v="4922.5920000000006"/>
    <n v="1663.1120000000005"/>
    <s v="Saturday"/>
    <x v="1"/>
  </r>
  <r>
    <s v="NV2104"/>
    <d v="2024-05-14T00:00:00"/>
    <x v="19"/>
    <x v="2"/>
    <s v="P104"/>
    <x v="2"/>
    <n v="1"/>
    <n v="1345.92"/>
    <x v="4"/>
    <n v="579.57000000000005"/>
    <s v="New"/>
    <s v="Cash"/>
    <n v="1144.0319999999999"/>
    <n v="564.46199999999988"/>
    <s v="Tuesday"/>
    <x v="0"/>
  </r>
  <r>
    <s v="NV2105"/>
    <d v="2024-06-20T00:00:00"/>
    <x v="12"/>
    <x v="3"/>
    <s v="P189"/>
    <x v="0"/>
    <n v="4"/>
    <n v="2639.8"/>
    <x v="6"/>
    <n v="1801.95"/>
    <s v="Returning"/>
    <s v="Cash"/>
    <n v="10559.2"/>
    <n v="3351.4000000000005"/>
    <s v="Thursday"/>
    <x v="0"/>
  </r>
  <r>
    <s v="NV2106"/>
    <d v="2024-06-25T00:00:00"/>
    <x v="22"/>
    <x v="1"/>
    <s v="P204"/>
    <x v="2"/>
    <n v="5"/>
    <n v="2343.65"/>
    <x v="0"/>
    <n v="1618.05"/>
    <s v="New"/>
    <s v="Digital"/>
    <n v="8202.7749999999996"/>
    <n v="112.52499999999964"/>
    <s v="Tuesday"/>
    <x v="0"/>
  </r>
  <r>
    <s v="NV2107"/>
    <d v="2025-01-15T00:00:00"/>
    <x v="0"/>
    <x v="1"/>
    <s v="P263"/>
    <x v="1"/>
    <n v="2"/>
    <n v="2072.9899999999998"/>
    <x v="1"/>
    <n v="1216.1300000000001"/>
    <s v="New"/>
    <s v="Card"/>
    <n v="3316.7839999999997"/>
    <n v="884.52399999999943"/>
    <s v="Wednesday"/>
    <x v="0"/>
  </r>
  <r>
    <s v="NV2108"/>
    <d v="2024-04-21T00:00:00"/>
    <x v="20"/>
    <x v="2"/>
    <s v="P254"/>
    <x v="2"/>
    <n v="4"/>
    <n v="1799.89"/>
    <x v="1"/>
    <n v="1103.08"/>
    <s v="Returning"/>
    <s v="Cash"/>
    <n v="5759.648000000001"/>
    <n v="1347.3280000000013"/>
    <s v="Sunday"/>
    <x v="1"/>
  </r>
  <r>
    <s v="NV2109"/>
    <d v="2024-08-14T00:00:00"/>
    <x v="9"/>
    <x v="0"/>
    <s v="P272"/>
    <x v="2"/>
    <n v="2"/>
    <n v="2716.76"/>
    <x v="4"/>
    <n v="1679.68"/>
    <s v="New"/>
    <s v="Digital"/>
    <n v="4618.4920000000002"/>
    <n v="1259.1320000000001"/>
    <s v="Wednesday"/>
    <x v="0"/>
  </r>
  <r>
    <s v="NV2110"/>
    <d v="2025-04-28T00:00:00"/>
    <x v="4"/>
    <x v="2"/>
    <s v="P147"/>
    <x v="1"/>
    <n v="3"/>
    <n v="1550.24"/>
    <x v="4"/>
    <n v="774.35"/>
    <s v="Returning"/>
    <s v="Card"/>
    <n v="3953.1120000000001"/>
    <n v="1630.0619999999999"/>
    <s v="Monday"/>
    <x v="0"/>
  </r>
  <r>
    <s v="NV2111"/>
    <d v="2025-10-08T00:00:00"/>
    <x v="25"/>
    <x v="2"/>
    <s v="P266"/>
    <x v="2"/>
    <n v="1"/>
    <n v="415.1"/>
    <x v="2"/>
    <n v="280.56"/>
    <s v="New"/>
    <s v="Cash"/>
    <n v="394.34500000000003"/>
    <n v="113.78500000000003"/>
    <s v="Wednesday"/>
    <x v="0"/>
  </r>
  <r>
    <s v="NV2112"/>
    <d v="2024-01-12T00:00:00"/>
    <x v="43"/>
    <x v="0"/>
    <s v="P40"/>
    <x v="0"/>
    <n v="5"/>
    <n v="965.13"/>
    <x v="2"/>
    <n v="407.18"/>
    <s v="New"/>
    <s v="Digital"/>
    <n v="4584.3674999999994"/>
    <n v="2548.4674999999993"/>
    <s v="Friday"/>
    <x v="0"/>
  </r>
  <r>
    <s v="NV2113"/>
    <d v="2025-02-17T00:00:00"/>
    <x v="57"/>
    <x v="1"/>
    <s v="P8"/>
    <x v="0"/>
    <n v="5"/>
    <n v="1328.88"/>
    <x v="6"/>
    <n v="564.75"/>
    <s v="Returning"/>
    <s v="Card"/>
    <n v="6644.4000000000005"/>
    <n v="3820.6500000000005"/>
    <s v="Monday"/>
    <x v="0"/>
  </r>
  <r>
    <s v="NV2114"/>
    <d v="2025-11-17T00:00:00"/>
    <x v="28"/>
    <x v="3"/>
    <s v="P279"/>
    <x v="1"/>
    <n v="3"/>
    <n v="2889.45"/>
    <x v="3"/>
    <n v="1796.94"/>
    <s v="New"/>
    <s v="Card"/>
    <n v="7801.5149999999985"/>
    <n v="2410.6949999999988"/>
    <s v="Monday"/>
    <x v="0"/>
  </r>
  <r>
    <s v="NV2115"/>
    <d v="2024-03-22T00:00:00"/>
    <x v="10"/>
    <x v="2"/>
    <s v="P20"/>
    <x v="1"/>
    <n v="2"/>
    <n v="1229.47"/>
    <x v="1"/>
    <n v="564.07000000000005"/>
    <s v="New"/>
    <s v="Cash"/>
    <n v="1967.152"/>
    <n v="839.01199999999994"/>
    <s v="Friday"/>
    <x v="0"/>
  </r>
  <r>
    <s v="NV2116"/>
    <d v="2024-08-16T00:00:00"/>
    <x v="18"/>
    <x v="3"/>
    <s v="P64"/>
    <x v="2"/>
    <n v="1"/>
    <n v="2187.14"/>
    <x v="3"/>
    <n v="1296.49"/>
    <s v="New"/>
    <s v="Card"/>
    <n v="1968.4259999999999"/>
    <n v="671.93599999999992"/>
    <s v="Friday"/>
    <x v="0"/>
  </r>
  <r>
    <s v="NV2117"/>
    <d v="2025-04-09T00:00:00"/>
    <x v="54"/>
    <x v="0"/>
    <s v="P249"/>
    <x v="2"/>
    <n v="3"/>
    <n v="2159.73"/>
    <x v="6"/>
    <n v="1290.6099999999999"/>
    <s v="Returning"/>
    <s v="Card"/>
    <n v="6479.1900000000005"/>
    <n v="2607.3600000000006"/>
    <s v="Wednesday"/>
    <x v="0"/>
  </r>
  <r>
    <s v="NV2118"/>
    <d v="2025-04-06T00:00:00"/>
    <x v="3"/>
    <x v="2"/>
    <s v="P107"/>
    <x v="2"/>
    <n v="3"/>
    <n v="757.48"/>
    <x v="3"/>
    <n v="399.33"/>
    <s v="New"/>
    <s v="Cash"/>
    <n v="2045.1960000000001"/>
    <n v="847.20600000000013"/>
    <s v="Sunday"/>
    <x v="1"/>
  </r>
  <r>
    <s v="NV2119"/>
    <d v="2024-04-26T00:00:00"/>
    <x v="5"/>
    <x v="3"/>
    <s v="P236"/>
    <x v="2"/>
    <n v="2"/>
    <n v="2876.77"/>
    <x v="2"/>
    <n v="1815.67"/>
    <s v="Returning"/>
    <s v="Cash"/>
    <n v="5465.8629999999994"/>
    <n v="1834.5229999999992"/>
    <s v="Friday"/>
    <x v="0"/>
  </r>
  <r>
    <s v="NV2120"/>
    <d v="2024-10-20T00:00:00"/>
    <x v="19"/>
    <x v="2"/>
    <s v="P225"/>
    <x v="1"/>
    <n v="3"/>
    <n v="1728.79"/>
    <x v="6"/>
    <n v="934.98"/>
    <s v="Returning"/>
    <s v="Cash"/>
    <n v="5186.37"/>
    <n v="2381.4299999999998"/>
    <s v="Sunday"/>
    <x v="1"/>
  </r>
  <r>
    <s v="NV2121"/>
    <d v="2025-02-06T00:00:00"/>
    <x v="16"/>
    <x v="2"/>
    <s v="P114"/>
    <x v="1"/>
    <n v="5"/>
    <n v="2294.61"/>
    <x v="3"/>
    <n v="962.92"/>
    <s v="Returning"/>
    <s v="Cash"/>
    <n v="10325.745000000001"/>
    <n v="5511.1450000000013"/>
    <s v="Thursday"/>
    <x v="0"/>
  </r>
  <r>
    <s v="NV2122"/>
    <d v="2024-01-16T00:00:00"/>
    <x v="26"/>
    <x v="0"/>
    <s v="P218"/>
    <x v="2"/>
    <n v="5"/>
    <n v="2158.5300000000002"/>
    <x v="5"/>
    <n v="1428.67"/>
    <s v="New"/>
    <s v="Digital"/>
    <n v="8094.4875000000011"/>
    <n v="951.13750000000073"/>
    <s v="Tuesday"/>
    <x v="0"/>
  </r>
  <r>
    <s v="NV2123"/>
    <d v="2025-11-08T00:00:00"/>
    <x v="11"/>
    <x v="1"/>
    <s v="P276"/>
    <x v="1"/>
    <n v="5"/>
    <n v="1049.45"/>
    <x v="0"/>
    <n v="490.1"/>
    <s v="New"/>
    <s v="Cash"/>
    <n v="3673.0749999999998"/>
    <n v="1222.5749999999998"/>
    <s v="Saturday"/>
    <x v="1"/>
  </r>
  <r>
    <s v="NV2124"/>
    <d v="2024-01-26T00:00:00"/>
    <x v="37"/>
    <x v="1"/>
    <s v="P168"/>
    <x v="0"/>
    <n v="2"/>
    <n v="1328.48"/>
    <x v="1"/>
    <n v="911.99"/>
    <s v="Returning"/>
    <s v="Cash"/>
    <n v="2125.5680000000002"/>
    <n v="301.58800000000019"/>
    <s v="Friday"/>
    <x v="0"/>
  </r>
  <r>
    <s v="NV2125"/>
    <d v="2024-01-23T00:00:00"/>
    <x v="51"/>
    <x v="0"/>
    <s v="P263"/>
    <x v="2"/>
    <n v="2"/>
    <n v="538.04999999999995"/>
    <x v="6"/>
    <n v="244.94"/>
    <s v="New"/>
    <s v="Cash"/>
    <n v="1076.0999999999999"/>
    <n v="586.21999999999991"/>
    <s v="Tuesday"/>
    <x v="0"/>
  </r>
  <r>
    <s v="NV2126"/>
    <d v="2024-06-10T00:00:00"/>
    <x v="22"/>
    <x v="2"/>
    <s v="P136"/>
    <x v="2"/>
    <n v="3"/>
    <n v="1810.7"/>
    <x v="5"/>
    <n v="1033.54"/>
    <s v="Returning"/>
    <s v="Digital"/>
    <n v="4074.0750000000003"/>
    <n v="973.45500000000038"/>
    <s v="Monday"/>
    <x v="0"/>
  </r>
  <r>
    <s v="NV2127"/>
    <d v="2025-08-27T00:00:00"/>
    <x v="46"/>
    <x v="3"/>
    <s v="P204"/>
    <x v="1"/>
    <n v="2"/>
    <n v="409.49"/>
    <x v="3"/>
    <n v="190.48"/>
    <s v="New"/>
    <s v="Digital"/>
    <n v="737.08199999999999"/>
    <n v="356.12200000000001"/>
    <s v="Wednesday"/>
    <x v="0"/>
  </r>
  <r>
    <s v="NV2128"/>
    <d v="2024-04-09T00:00:00"/>
    <x v="11"/>
    <x v="2"/>
    <s v="P45"/>
    <x v="0"/>
    <n v="4"/>
    <n v="2184.31"/>
    <x v="2"/>
    <n v="1351.55"/>
    <s v="Returning"/>
    <s v="Digital"/>
    <n v="8300.3779999999988"/>
    <n v="2894.177999999999"/>
    <s v="Tuesday"/>
    <x v="0"/>
  </r>
  <r>
    <s v="NV2129"/>
    <d v="2024-04-19T00:00:00"/>
    <x v="45"/>
    <x v="3"/>
    <s v="P289"/>
    <x v="2"/>
    <n v="4"/>
    <n v="1431.34"/>
    <x v="5"/>
    <n v="907.05"/>
    <s v="Returning"/>
    <s v="Cash"/>
    <n v="4294.0199999999995"/>
    <n v="665.81999999999971"/>
    <s v="Friday"/>
    <x v="0"/>
  </r>
  <r>
    <s v="NV2130"/>
    <d v="2025-11-19T00:00:00"/>
    <x v="18"/>
    <x v="0"/>
    <s v="P127"/>
    <x v="0"/>
    <n v="3"/>
    <n v="2437.35"/>
    <x v="0"/>
    <n v="1004.92"/>
    <s v="Returning"/>
    <s v="Cash"/>
    <n v="5118.4349999999995"/>
    <n v="2103.6749999999997"/>
    <s v="Wednesday"/>
    <x v="0"/>
  </r>
  <r>
    <s v="NV2131"/>
    <d v="2024-11-19T00:00:00"/>
    <x v="16"/>
    <x v="3"/>
    <s v="P178"/>
    <x v="1"/>
    <n v="5"/>
    <n v="559.34"/>
    <x v="6"/>
    <n v="238.71"/>
    <s v="Returning"/>
    <s v="Digital"/>
    <n v="2796.7000000000003"/>
    <n v="1603.1500000000003"/>
    <s v="Tuesday"/>
    <x v="0"/>
  </r>
  <r>
    <s v="NV2132"/>
    <d v="2025-09-07T00:00:00"/>
    <x v="14"/>
    <x v="0"/>
    <s v="P132"/>
    <x v="1"/>
    <n v="3"/>
    <n v="2510.5700000000002"/>
    <x v="2"/>
    <n v="1466.06"/>
    <s v="Returning"/>
    <s v="Cash"/>
    <n v="7155.1245000000008"/>
    <n v="2756.9445000000005"/>
    <s v="Sunday"/>
    <x v="1"/>
  </r>
  <r>
    <s v="NV2133"/>
    <d v="2025-11-11T00:00:00"/>
    <x v="55"/>
    <x v="1"/>
    <s v="P243"/>
    <x v="2"/>
    <n v="4"/>
    <n v="2802.24"/>
    <x v="4"/>
    <n v="1229.67"/>
    <s v="Returning"/>
    <s v="Card"/>
    <n v="9527.6159999999982"/>
    <n v="4608.9359999999979"/>
    <s v="Tuesday"/>
    <x v="0"/>
  </r>
  <r>
    <s v="NV2134"/>
    <d v="2025-10-22T00:00:00"/>
    <x v="47"/>
    <x v="2"/>
    <s v="P139"/>
    <x v="0"/>
    <n v="3"/>
    <n v="2699.94"/>
    <x v="2"/>
    <n v="1211.55"/>
    <s v="New"/>
    <s v="Cash"/>
    <n v="7694.8289999999997"/>
    <n v="4060.1790000000001"/>
    <s v="Wednesday"/>
    <x v="0"/>
  </r>
  <r>
    <s v="NV2135"/>
    <d v="2024-05-12T00:00:00"/>
    <x v="15"/>
    <x v="1"/>
    <s v="P220"/>
    <x v="2"/>
    <n v="2"/>
    <n v="1417.16"/>
    <x v="2"/>
    <n v="807.41"/>
    <s v="New"/>
    <s v="Card"/>
    <n v="2692.6039999999998"/>
    <n v="1077.7839999999999"/>
    <s v="Sunday"/>
    <x v="1"/>
  </r>
  <r>
    <s v="NV2136"/>
    <d v="2025-05-05T00:00:00"/>
    <x v="38"/>
    <x v="2"/>
    <s v="P192"/>
    <x v="0"/>
    <n v="5"/>
    <n v="1226.96"/>
    <x v="6"/>
    <n v="690.7"/>
    <s v="Returning"/>
    <s v="Card"/>
    <n v="6134.8"/>
    <n v="2681.3"/>
    <s v="Monday"/>
    <x v="0"/>
  </r>
  <r>
    <s v="NV2137"/>
    <d v="2025-09-10T00:00:00"/>
    <x v="40"/>
    <x v="3"/>
    <s v="P153"/>
    <x v="0"/>
    <n v="5"/>
    <n v="2066.88"/>
    <x v="4"/>
    <n v="1115.1400000000001"/>
    <s v="Returning"/>
    <s v="Card"/>
    <n v="8784.2400000000016"/>
    <n v="3208.5400000000009"/>
    <s v="Wednesday"/>
    <x v="0"/>
  </r>
  <r>
    <s v="NV2138"/>
    <d v="2025-06-08T00:00:00"/>
    <x v="43"/>
    <x v="2"/>
    <s v="P95"/>
    <x v="2"/>
    <n v="2"/>
    <n v="2547.4499999999998"/>
    <x v="4"/>
    <n v="1688.57"/>
    <s v="Returning"/>
    <s v="Cash"/>
    <n v="4330.665"/>
    <n v="953.52500000000009"/>
    <s v="Sunday"/>
    <x v="1"/>
  </r>
  <r>
    <s v="NV2139"/>
    <d v="2025-08-10T00:00:00"/>
    <x v="13"/>
    <x v="2"/>
    <s v="P25"/>
    <x v="2"/>
    <n v="5"/>
    <n v="1187.54"/>
    <x v="2"/>
    <n v="532.41"/>
    <s v="New"/>
    <s v="Digital"/>
    <n v="5640.8149999999996"/>
    <n v="2978.7649999999999"/>
    <s v="Sunday"/>
    <x v="1"/>
  </r>
  <r>
    <s v="NV2140"/>
    <d v="2025-10-05T00:00:00"/>
    <x v="55"/>
    <x v="3"/>
    <s v="P198"/>
    <x v="1"/>
    <n v="4"/>
    <n v="1645.14"/>
    <x v="6"/>
    <n v="1139.1199999999999"/>
    <s v="Returning"/>
    <s v="Card"/>
    <n v="6580.56"/>
    <n v="2024.0800000000008"/>
    <s v="Sunday"/>
    <x v="1"/>
  </r>
  <r>
    <s v="NV2141"/>
    <d v="2024-12-04T00:00:00"/>
    <x v="42"/>
    <x v="1"/>
    <s v="P39"/>
    <x v="2"/>
    <n v="4"/>
    <n v="2370.31"/>
    <x v="5"/>
    <n v="1470.4"/>
    <s v="Returning"/>
    <s v="Card"/>
    <n v="7110.93"/>
    <n v="1229.33"/>
    <s v="Wednesday"/>
    <x v="0"/>
  </r>
  <r>
    <s v="NV2142"/>
    <d v="2024-07-17T00:00:00"/>
    <x v="37"/>
    <x v="0"/>
    <s v="P41"/>
    <x v="1"/>
    <n v="4"/>
    <n v="884.1"/>
    <x v="6"/>
    <n v="400.97"/>
    <s v="New"/>
    <s v="Digital"/>
    <n v="3536.4"/>
    <n v="1932.52"/>
    <s v="Wednesday"/>
    <x v="0"/>
  </r>
  <r>
    <s v="NV2143"/>
    <d v="2024-08-27T00:00:00"/>
    <x v="58"/>
    <x v="2"/>
    <s v="P85"/>
    <x v="2"/>
    <n v="2"/>
    <n v="1948.01"/>
    <x v="3"/>
    <n v="1232.8399999999999"/>
    <s v="Returning"/>
    <s v="Cash"/>
    <n v="3506.4180000000001"/>
    <n v="1040.7380000000003"/>
    <s v="Tuesday"/>
    <x v="0"/>
  </r>
  <r>
    <s v="NV2144"/>
    <d v="2025-08-07T00:00:00"/>
    <x v="6"/>
    <x v="1"/>
    <s v="P11"/>
    <x v="1"/>
    <n v="5"/>
    <n v="607.37"/>
    <x v="3"/>
    <n v="364.9"/>
    <s v="Returning"/>
    <s v="Digital"/>
    <n v="2733.165"/>
    <n v="908.66499999999996"/>
    <s v="Thursday"/>
    <x v="0"/>
  </r>
  <r>
    <s v="NV2145"/>
    <d v="2025-07-25T00:00:00"/>
    <x v="12"/>
    <x v="3"/>
    <s v="P129"/>
    <x v="2"/>
    <n v="4"/>
    <n v="492.14"/>
    <x v="6"/>
    <n v="335.91"/>
    <s v="New"/>
    <s v="Digital"/>
    <n v="1968.56"/>
    <n v="624.91999999999985"/>
    <s v="Friday"/>
    <x v="0"/>
  </r>
  <r>
    <s v="NV2146"/>
    <d v="2025-02-09T00:00:00"/>
    <x v="8"/>
    <x v="0"/>
    <s v="P250"/>
    <x v="1"/>
    <n v="2"/>
    <n v="2136.6799999999998"/>
    <x v="4"/>
    <n v="1317.4"/>
    <s v="New"/>
    <s v="Digital"/>
    <n v="3632.3559999999998"/>
    <n v="997.55599999999959"/>
    <s v="Sunday"/>
    <x v="1"/>
  </r>
  <r>
    <s v="NV2147"/>
    <d v="2025-09-04T00:00:00"/>
    <x v="33"/>
    <x v="1"/>
    <s v="P226"/>
    <x v="1"/>
    <n v="2"/>
    <n v="1657.7"/>
    <x v="6"/>
    <n v="1122.48"/>
    <s v="New"/>
    <s v="Cash"/>
    <n v="3315.4"/>
    <n v="1070.44"/>
    <s v="Thursday"/>
    <x v="0"/>
  </r>
  <r>
    <s v="NV2148"/>
    <d v="2024-12-14T00:00:00"/>
    <x v="9"/>
    <x v="0"/>
    <s v="P161"/>
    <x v="2"/>
    <n v="4"/>
    <n v="2869.86"/>
    <x v="6"/>
    <n v="1681.64"/>
    <s v="New"/>
    <s v="Digital"/>
    <n v="11479.44"/>
    <n v="4752.88"/>
    <s v="Saturday"/>
    <x v="1"/>
  </r>
  <r>
    <s v="NV2149"/>
    <d v="2024-03-25T00:00:00"/>
    <x v="15"/>
    <x v="0"/>
    <s v="P299"/>
    <x v="1"/>
    <n v="1"/>
    <n v="2617.16"/>
    <x v="3"/>
    <n v="1199.94"/>
    <s v="Returning"/>
    <s v="Card"/>
    <n v="2355.444"/>
    <n v="1155.5039999999999"/>
    <s v="Monday"/>
    <x v="0"/>
  </r>
  <r>
    <s v="NV2150"/>
    <d v="2024-05-12T00:00:00"/>
    <x v="30"/>
    <x v="2"/>
    <s v="P164"/>
    <x v="0"/>
    <n v="4"/>
    <n v="443.43"/>
    <x v="4"/>
    <n v="211.15"/>
    <s v="Returning"/>
    <s v="Digital"/>
    <n v="1507.662"/>
    <n v="663.06200000000001"/>
    <s v="Sunday"/>
    <x v="1"/>
  </r>
  <r>
    <s v="NV2151"/>
    <d v="2024-04-30T00:00:00"/>
    <x v="35"/>
    <x v="0"/>
    <s v="P126"/>
    <x v="2"/>
    <n v="2"/>
    <n v="1685.44"/>
    <x v="4"/>
    <n v="723.68"/>
    <s v="New"/>
    <s v="Digital"/>
    <n v="2865.248"/>
    <n v="1417.8880000000001"/>
    <s v="Tuesday"/>
    <x v="0"/>
  </r>
  <r>
    <s v="NV2152"/>
    <d v="2024-12-28T00:00:00"/>
    <x v="55"/>
    <x v="3"/>
    <s v="P138"/>
    <x v="2"/>
    <n v="5"/>
    <n v="2764.81"/>
    <x v="4"/>
    <n v="1504"/>
    <s v="Returning"/>
    <s v="Card"/>
    <n v="11750.442499999999"/>
    <n v="4230.4424999999992"/>
    <s v="Saturday"/>
    <x v="1"/>
  </r>
  <r>
    <s v="NV2153"/>
    <d v="2024-10-17T00:00:00"/>
    <x v="5"/>
    <x v="2"/>
    <s v="P228"/>
    <x v="0"/>
    <n v="5"/>
    <n v="1185.48"/>
    <x v="1"/>
    <n v="644.67999999999995"/>
    <s v="New"/>
    <s v="Card"/>
    <n v="4741.92"/>
    <n v="1518.5200000000004"/>
    <s v="Thursday"/>
    <x v="0"/>
  </r>
  <r>
    <s v="NV2154"/>
    <d v="2025-08-20T00:00:00"/>
    <x v="26"/>
    <x v="1"/>
    <s v="P52"/>
    <x v="1"/>
    <n v="3"/>
    <n v="364.34"/>
    <x v="4"/>
    <n v="244.61"/>
    <s v="New"/>
    <s v="Cash"/>
    <n v="929.06700000000001"/>
    <n v="195.23699999999997"/>
    <s v="Wednesday"/>
    <x v="0"/>
  </r>
  <r>
    <s v="NV2155"/>
    <d v="2024-08-25T00:00:00"/>
    <x v="47"/>
    <x v="3"/>
    <s v="P172"/>
    <x v="1"/>
    <n v="4"/>
    <n v="2767.02"/>
    <x v="3"/>
    <n v="1544.62"/>
    <s v="New"/>
    <s v="Cash"/>
    <n v="9961.2720000000008"/>
    <n v="3782.7920000000013"/>
    <s v="Sunday"/>
    <x v="1"/>
  </r>
  <r>
    <s v="NV2156"/>
    <d v="2025-03-17T00:00:00"/>
    <x v="43"/>
    <x v="1"/>
    <s v="P228"/>
    <x v="2"/>
    <n v="2"/>
    <n v="2741.45"/>
    <x v="5"/>
    <n v="1812.05"/>
    <s v="New"/>
    <s v="Cash"/>
    <n v="4112.1749999999993"/>
    <n v="488.07499999999936"/>
    <s v="Monday"/>
    <x v="0"/>
  </r>
  <r>
    <s v="NV2157"/>
    <d v="2024-01-06T00:00:00"/>
    <x v="30"/>
    <x v="0"/>
    <s v="P21"/>
    <x v="0"/>
    <n v="1"/>
    <n v="2016.29"/>
    <x v="3"/>
    <n v="1330.52"/>
    <s v="New"/>
    <s v="Digital"/>
    <n v="1814.6610000000001"/>
    <n v="484.14100000000008"/>
    <s v="Saturday"/>
    <x v="1"/>
  </r>
  <r>
    <s v="NV2158"/>
    <d v="2025-04-26T00:00:00"/>
    <x v="52"/>
    <x v="0"/>
    <s v="P251"/>
    <x v="2"/>
    <n v="5"/>
    <n v="1935.85"/>
    <x v="2"/>
    <n v="1174.19"/>
    <s v="New"/>
    <s v="Digital"/>
    <n v="9195.2875000000004"/>
    <n v="3324.3374999999996"/>
    <s v="Saturday"/>
    <x v="1"/>
  </r>
  <r>
    <s v="NV2159"/>
    <d v="2024-05-27T00:00:00"/>
    <x v="42"/>
    <x v="0"/>
    <s v="P265"/>
    <x v="2"/>
    <n v="1"/>
    <n v="930.03"/>
    <x v="3"/>
    <n v="464.46"/>
    <s v="New"/>
    <s v="Card"/>
    <n v="837.02700000000004"/>
    <n v="372.56700000000006"/>
    <s v="Monday"/>
    <x v="0"/>
  </r>
  <r>
    <s v="NV2160"/>
    <d v="2025-02-22T00:00:00"/>
    <x v="24"/>
    <x v="3"/>
    <s v="P43"/>
    <x v="0"/>
    <n v="4"/>
    <n v="1834.63"/>
    <x v="4"/>
    <n v="1050.6400000000001"/>
    <s v="New"/>
    <s v="Digital"/>
    <n v="6237.7420000000002"/>
    <n v="2035.1819999999998"/>
    <s v="Saturday"/>
    <x v="1"/>
  </r>
  <r>
    <s v="NV2161"/>
    <d v="2024-06-15T00:00:00"/>
    <x v="11"/>
    <x v="1"/>
    <s v="P138"/>
    <x v="1"/>
    <n v="2"/>
    <n v="514.85"/>
    <x v="5"/>
    <n v="253.08"/>
    <s v="New"/>
    <s v="Card"/>
    <n v="772.27500000000009"/>
    <n v="266.11500000000007"/>
    <s v="Saturday"/>
    <x v="1"/>
  </r>
  <r>
    <s v="NV2162"/>
    <d v="2024-11-20T00:00:00"/>
    <x v="13"/>
    <x v="3"/>
    <s v="P156"/>
    <x v="1"/>
    <n v="3"/>
    <n v="2076.29"/>
    <x v="6"/>
    <n v="1430.37"/>
    <s v="Returning"/>
    <s v="Digital"/>
    <n v="6228.87"/>
    <n v="1937.7600000000002"/>
    <s v="Wednesday"/>
    <x v="0"/>
  </r>
  <r>
    <s v="NV2163"/>
    <d v="2025-06-21T00:00:00"/>
    <x v="28"/>
    <x v="1"/>
    <s v="P147"/>
    <x v="1"/>
    <n v="4"/>
    <n v="1660.9"/>
    <x v="3"/>
    <n v="695.42"/>
    <s v="New"/>
    <s v="Cash"/>
    <n v="5979.2400000000007"/>
    <n v="3197.5600000000009"/>
    <s v="Saturday"/>
    <x v="1"/>
  </r>
  <r>
    <s v="NV2164"/>
    <d v="2025-01-31T00:00:00"/>
    <x v="54"/>
    <x v="0"/>
    <s v="P187"/>
    <x v="2"/>
    <n v="1"/>
    <n v="1030.92"/>
    <x v="5"/>
    <n v="699.21"/>
    <s v="New"/>
    <s v="Cash"/>
    <n v="773.19"/>
    <n v="73.980000000000018"/>
    <s v="Friday"/>
    <x v="0"/>
  </r>
  <r>
    <s v="NV2165"/>
    <d v="2024-01-01T00:00:00"/>
    <x v="39"/>
    <x v="1"/>
    <s v="P72"/>
    <x v="1"/>
    <n v="2"/>
    <n v="2873.32"/>
    <x v="4"/>
    <n v="1898.89"/>
    <s v="Returning"/>
    <s v="Digital"/>
    <n v="4884.6440000000002"/>
    <n v="1086.864"/>
    <s v="Monday"/>
    <x v="0"/>
  </r>
  <r>
    <s v="NV2166"/>
    <d v="2025-03-12T00:00:00"/>
    <x v="44"/>
    <x v="0"/>
    <s v="P97"/>
    <x v="2"/>
    <n v="3"/>
    <n v="2311.94"/>
    <x v="6"/>
    <n v="1181.46"/>
    <s v="Returning"/>
    <s v="Digital"/>
    <n v="6935.82"/>
    <n v="3391.4399999999996"/>
    <s v="Wednesday"/>
    <x v="0"/>
  </r>
  <r>
    <s v="NV2167"/>
    <d v="2024-08-04T00:00:00"/>
    <x v="34"/>
    <x v="1"/>
    <s v="P89"/>
    <x v="1"/>
    <n v="4"/>
    <n v="2299.81"/>
    <x v="4"/>
    <n v="1383.49"/>
    <s v="New"/>
    <s v="Digital"/>
    <n v="7819.3539999999994"/>
    <n v="2285.3939999999993"/>
    <s v="Sunday"/>
    <x v="1"/>
  </r>
  <r>
    <s v="NV2168"/>
    <d v="2025-10-24T00:00:00"/>
    <x v="1"/>
    <x v="0"/>
    <s v="P140"/>
    <x v="0"/>
    <n v="5"/>
    <n v="1029.54"/>
    <x v="3"/>
    <n v="433.1"/>
    <s v="Returning"/>
    <s v="Card"/>
    <n v="4632.93"/>
    <n v="2467.4300000000003"/>
    <s v="Friday"/>
    <x v="0"/>
  </r>
  <r>
    <s v="NV2169"/>
    <d v="2025-06-20T00:00:00"/>
    <x v="30"/>
    <x v="0"/>
    <s v="P197"/>
    <x v="1"/>
    <n v="5"/>
    <n v="2877.52"/>
    <x v="3"/>
    <n v="1925.84"/>
    <s v="Returning"/>
    <s v="Cash"/>
    <n v="12948.84"/>
    <n v="3319.6400000000012"/>
    <s v="Friday"/>
    <x v="0"/>
  </r>
  <r>
    <s v="NV2170"/>
    <d v="2024-06-05T00:00:00"/>
    <x v="1"/>
    <x v="2"/>
    <s v="P58"/>
    <x v="2"/>
    <n v="3"/>
    <n v="684.34"/>
    <x v="1"/>
    <n v="282.69"/>
    <s v="Returning"/>
    <s v="Digital"/>
    <n v="1642.4160000000002"/>
    <n v="794.34600000000023"/>
    <s v="Wednesday"/>
    <x v="0"/>
  </r>
  <r>
    <s v="NV2171"/>
    <d v="2025-08-27T00:00:00"/>
    <x v="26"/>
    <x v="0"/>
    <s v="P136"/>
    <x v="2"/>
    <n v="5"/>
    <n v="742.56"/>
    <x v="3"/>
    <n v="347.33"/>
    <s v="New"/>
    <s v="Card"/>
    <n v="3341.52"/>
    <n v="1604.8700000000001"/>
    <s v="Wednesday"/>
    <x v="0"/>
  </r>
  <r>
    <s v="NV2172"/>
    <d v="2024-01-31T00:00:00"/>
    <x v="49"/>
    <x v="1"/>
    <s v="P131"/>
    <x v="1"/>
    <n v="2"/>
    <n v="1418.45"/>
    <x v="4"/>
    <n v="952.15"/>
    <s v="New"/>
    <s v="Cash"/>
    <n v="2411.3650000000002"/>
    <n v="507.06500000000028"/>
    <s v="Wednesday"/>
    <x v="0"/>
  </r>
  <r>
    <s v="NV2173"/>
    <d v="2024-11-24T00:00:00"/>
    <x v="47"/>
    <x v="1"/>
    <s v="P106"/>
    <x v="0"/>
    <n v="1"/>
    <n v="1023.14"/>
    <x v="1"/>
    <n v="607.96"/>
    <s v="Returning"/>
    <s v="Card"/>
    <n v="818.51200000000006"/>
    <n v="210.55200000000002"/>
    <s v="Sunday"/>
    <x v="1"/>
  </r>
  <r>
    <s v="NV2174"/>
    <d v="2024-08-11T00:00:00"/>
    <x v="43"/>
    <x v="2"/>
    <s v="P91"/>
    <x v="2"/>
    <n v="5"/>
    <n v="2760.78"/>
    <x v="4"/>
    <n v="1464.84"/>
    <s v="New"/>
    <s v="Cash"/>
    <n v="11733.315000000001"/>
    <n v="4409.1150000000007"/>
    <s v="Sunday"/>
    <x v="1"/>
  </r>
  <r>
    <s v="NV2175"/>
    <d v="2024-08-18T00:00:00"/>
    <x v="10"/>
    <x v="1"/>
    <s v="P149"/>
    <x v="1"/>
    <n v="1"/>
    <n v="2504.56"/>
    <x v="5"/>
    <n v="1043.19"/>
    <s v="New"/>
    <s v="Card"/>
    <n v="1878.42"/>
    <n v="835.23"/>
    <s v="Sunday"/>
    <x v="1"/>
  </r>
  <r>
    <s v="NV2176"/>
    <d v="2024-05-18T00:00:00"/>
    <x v="58"/>
    <x v="1"/>
    <s v="P149"/>
    <x v="0"/>
    <n v="5"/>
    <n v="1569.22"/>
    <x v="4"/>
    <n v="844.63"/>
    <s v="Returning"/>
    <s v="Cash"/>
    <n v="6669.1850000000004"/>
    <n v="2446.0350000000008"/>
    <s v="Saturday"/>
    <x v="1"/>
  </r>
  <r>
    <s v="NV2177"/>
    <d v="2024-08-10T00:00:00"/>
    <x v="9"/>
    <x v="0"/>
    <s v="P264"/>
    <x v="1"/>
    <n v="2"/>
    <n v="796.35"/>
    <x v="6"/>
    <n v="504.71"/>
    <s v="New"/>
    <s v="Cash"/>
    <n v="1592.7"/>
    <n v="583.28000000000009"/>
    <s v="Saturday"/>
    <x v="1"/>
  </r>
  <r>
    <s v="NV2178"/>
    <d v="2024-01-04T00:00:00"/>
    <x v="18"/>
    <x v="3"/>
    <s v="P6"/>
    <x v="2"/>
    <n v="1"/>
    <n v="439.76"/>
    <x v="5"/>
    <n v="210.79"/>
    <s v="New"/>
    <s v="Card"/>
    <n v="329.82"/>
    <n v="119.03"/>
    <s v="Thursday"/>
    <x v="0"/>
  </r>
  <r>
    <s v="NV2179"/>
    <d v="2025-10-24T00:00:00"/>
    <x v="13"/>
    <x v="1"/>
    <s v="P282"/>
    <x v="1"/>
    <n v="2"/>
    <n v="1949.48"/>
    <x v="0"/>
    <n v="1281.0999999999999"/>
    <s v="Returning"/>
    <s v="Cash"/>
    <n v="2729.2719999999999"/>
    <n v="167.07200000000012"/>
    <s v="Friday"/>
    <x v="0"/>
  </r>
  <r>
    <s v="NV2180"/>
    <d v="2025-07-04T00:00:00"/>
    <x v="13"/>
    <x v="2"/>
    <s v="P166"/>
    <x v="2"/>
    <n v="2"/>
    <n v="1379.68"/>
    <x v="2"/>
    <n v="639.29999999999995"/>
    <s v="New"/>
    <s v="Card"/>
    <n v="2621.3919999999998"/>
    <n v="1342.7919999999999"/>
    <s v="Friday"/>
    <x v="0"/>
  </r>
  <r>
    <s v="NV2181"/>
    <d v="2025-11-27T00:00:00"/>
    <x v="45"/>
    <x v="3"/>
    <s v="P98"/>
    <x v="0"/>
    <n v="4"/>
    <n v="2259.9"/>
    <x v="2"/>
    <n v="1535.53"/>
    <s v="Returning"/>
    <s v="Digital"/>
    <n v="8587.6200000000008"/>
    <n v="2445.5000000000009"/>
    <s v="Thursday"/>
    <x v="0"/>
  </r>
  <r>
    <s v="NV2182"/>
    <d v="2024-02-05T00:00:00"/>
    <x v="2"/>
    <x v="3"/>
    <s v="P179"/>
    <x v="1"/>
    <n v="2"/>
    <n v="1426.02"/>
    <x v="0"/>
    <n v="661.56"/>
    <s v="New"/>
    <s v="Card"/>
    <n v="1996.4279999999999"/>
    <n v="673.30799999999999"/>
    <s v="Monday"/>
    <x v="0"/>
  </r>
  <r>
    <s v="NV2183"/>
    <d v="2024-12-15T00:00:00"/>
    <x v="56"/>
    <x v="3"/>
    <s v="P1"/>
    <x v="1"/>
    <n v="2"/>
    <n v="2629.23"/>
    <x v="1"/>
    <n v="1283.44"/>
    <s v="Returning"/>
    <s v="Cash"/>
    <n v="4206.768"/>
    <n v="1639.8879999999999"/>
    <s v="Sunday"/>
    <x v="1"/>
  </r>
  <r>
    <s v="NV2184"/>
    <d v="2025-03-31T00:00:00"/>
    <x v="42"/>
    <x v="1"/>
    <s v="P132"/>
    <x v="0"/>
    <n v="3"/>
    <n v="1535.03"/>
    <x v="3"/>
    <n v="660.95"/>
    <s v="New"/>
    <s v="Digital"/>
    <n v="4144.5810000000001"/>
    <n v="2161.7309999999998"/>
    <s v="Monday"/>
    <x v="0"/>
  </r>
  <r>
    <s v="NV2185"/>
    <d v="2025-05-26T00:00:00"/>
    <x v="53"/>
    <x v="1"/>
    <s v="P223"/>
    <x v="1"/>
    <n v="4"/>
    <n v="513.14"/>
    <x v="4"/>
    <n v="279.99"/>
    <s v="Returning"/>
    <s v="Card"/>
    <n v="1744.6759999999999"/>
    <n v="624.71599999999989"/>
    <s v="Monday"/>
    <x v="0"/>
  </r>
  <r>
    <s v="NV2186"/>
    <d v="2024-10-21T00:00:00"/>
    <x v="52"/>
    <x v="1"/>
    <s v="P136"/>
    <x v="2"/>
    <n v="5"/>
    <n v="716.18"/>
    <x v="6"/>
    <n v="326.33999999999997"/>
    <s v="New"/>
    <s v="Card"/>
    <n v="3580.8999999999996"/>
    <n v="1949.1999999999998"/>
    <s v="Monday"/>
    <x v="0"/>
  </r>
  <r>
    <s v="NV2187"/>
    <d v="2024-12-24T00:00:00"/>
    <x v="4"/>
    <x v="1"/>
    <s v="P212"/>
    <x v="1"/>
    <n v="3"/>
    <n v="1994.99"/>
    <x v="2"/>
    <n v="1145.01"/>
    <s v="Returning"/>
    <s v="Digital"/>
    <n v="5685.7214999999997"/>
    <n v="2250.6914999999999"/>
    <s v="Tuesday"/>
    <x v="0"/>
  </r>
  <r>
    <s v="NV2188"/>
    <d v="2024-04-24T00:00:00"/>
    <x v="25"/>
    <x v="0"/>
    <s v="P281"/>
    <x v="1"/>
    <n v="2"/>
    <n v="643.63"/>
    <x v="2"/>
    <n v="429.8"/>
    <s v="Returning"/>
    <s v="Card"/>
    <n v="1222.8969999999999"/>
    <n v="363.29699999999991"/>
    <s v="Wednesday"/>
    <x v="0"/>
  </r>
  <r>
    <s v="NV2189"/>
    <d v="2025-04-03T00:00:00"/>
    <x v="12"/>
    <x v="1"/>
    <s v="P4"/>
    <x v="0"/>
    <n v="3"/>
    <n v="1679.1"/>
    <x v="1"/>
    <n v="706.18"/>
    <s v="Returning"/>
    <s v="Card"/>
    <n v="4029.8399999999997"/>
    <n v="1911.2999999999997"/>
    <s v="Thursday"/>
    <x v="0"/>
  </r>
  <r>
    <s v="NV2190"/>
    <d v="2025-04-02T00:00:00"/>
    <x v="15"/>
    <x v="3"/>
    <s v="P118"/>
    <x v="0"/>
    <n v="2"/>
    <n v="438.62"/>
    <x v="6"/>
    <n v="197.29"/>
    <s v="Returning"/>
    <s v="Digital"/>
    <n v="877.24"/>
    <n v="482.66"/>
    <s v="Wednesday"/>
    <x v="0"/>
  </r>
  <r>
    <s v="NV2191"/>
    <d v="2025-08-13T00:00:00"/>
    <x v="59"/>
    <x v="2"/>
    <s v="P196"/>
    <x v="0"/>
    <n v="2"/>
    <n v="1176.67"/>
    <x v="5"/>
    <n v="566.77"/>
    <s v="Returning"/>
    <s v="Card"/>
    <n v="1765.0050000000001"/>
    <n v="631.46500000000015"/>
    <s v="Wednesday"/>
    <x v="0"/>
  </r>
  <r>
    <s v="NV2192"/>
    <d v="2025-03-30T00:00:00"/>
    <x v="25"/>
    <x v="2"/>
    <s v="P86"/>
    <x v="1"/>
    <n v="4"/>
    <n v="1533.43"/>
    <x v="4"/>
    <n v="797.06"/>
    <s v="New"/>
    <s v="Cash"/>
    <n v="5213.6620000000003"/>
    <n v="2025.4220000000005"/>
    <s v="Sunday"/>
    <x v="1"/>
  </r>
  <r>
    <s v="NV2193"/>
    <d v="2024-06-24T00:00:00"/>
    <x v="6"/>
    <x v="1"/>
    <s v="P163"/>
    <x v="1"/>
    <n v="3"/>
    <n v="1572.15"/>
    <x v="0"/>
    <n v="885.32"/>
    <s v="New"/>
    <s v="Cash"/>
    <n v="3301.5150000000003"/>
    <n v="645.55500000000029"/>
    <s v="Monday"/>
    <x v="0"/>
  </r>
  <r>
    <s v="NV2194"/>
    <d v="2025-09-19T00:00:00"/>
    <x v="51"/>
    <x v="0"/>
    <s v="P215"/>
    <x v="0"/>
    <n v="3"/>
    <n v="463.75"/>
    <x v="3"/>
    <n v="240.7"/>
    <s v="Returning"/>
    <s v="Card"/>
    <n v="1252.125"/>
    <n v="530.02500000000009"/>
    <s v="Friday"/>
    <x v="0"/>
  </r>
  <r>
    <s v="NV2195"/>
    <d v="2025-06-08T00:00:00"/>
    <x v="24"/>
    <x v="3"/>
    <s v="P288"/>
    <x v="1"/>
    <n v="3"/>
    <n v="1748.76"/>
    <x v="3"/>
    <n v="1175.8699999999999"/>
    <s v="New"/>
    <s v="Cash"/>
    <n v="4721.652"/>
    <n v="1194.0420000000004"/>
    <s v="Sunday"/>
    <x v="1"/>
  </r>
  <r>
    <s v="NV2196"/>
    <d v="2025-03-25T00:00:00"/>
    <x v="23"/>
    <x v="1"/>
    <s v="P164"/>
    <x v="1"/>
    <n v="3"/>
    <n v="676.59"/>
    <x v="0"/>
    <n v="299.41000000000003"/>
    <s v="Returning"/>
    <s v="Cash"/>
    <n v="1420.8389999999999"/>
    <n v="522.60899999999992"/>
    <s v="Tuesday"/>
    <x v="0"/>
  </r>
  <r>
    <s v="NV2197"/>
    <d v="2024-05-27T00:00:00"/>
    <x v="36"/>
    <x v="2"/>
    <s v="P297"/>
    <x v="0"/>
    <n v="3"/>
    <n v="487.91"/>
    <x v="1"/>
    <n v="241.6"/>
    <s v="Returning"/>
    <s v="Card"/>
    <n v="1170.9840000000002"/>
    <n v="446.1840000000002"/>
    <s v="Monday"/>
    <x v="0"/>
  </r>
  <r>
    <s v="NV2198"/>
    <d v="2024-11-06T00:00:00"/>
    <x v="0"/>
    <x v="1"/>
    <s v="P178"/>
    <x v="0"/>
    <n v="3"/>
    <n v="2867.49"/>
    <x v="4"/>
    <n v="1239.42"/>
    <s v="Returning"/>
    <s v="Digital"/>
    <n v="7312.0994999999994"/>
    <n v="3593.8394999999991"/>
    <s v="Wednesday"/>
    <x v="0"/>
  </r>
  <r>
    <s v="NV2199"/>
    <d v="2024-09-28T00:00:00"/>
    <x v="20"/>
    <x v="3"/>
    <s v="P95"/>
    <x v="1"/>
    <n v="5"/>
    <n v="2363.21"/>
    <x v="0"/>
    <n v="960.36"/>
    <s v="New"/>
    <s v="Digital"/>
    <n v="8271.2349999999988"/>
    <n v="3469.4349999999986"/>
    <s v="Saturday"/>
    <x v="1"/>
  </r>
  <r>
    <s v="NV2200"/>
    <d v="2025-01-15T00:00:00"/>
    <x v="58"/>
    <x v="1"/>
    <s v="P63"/>
    <x v="2"/>
    <n v="5"/>
    <n v="2090.5300000000002"/>
    <x v="0"/>
    <n v="1060.49"/>
    <s v="New"/>
    <s v="Card"/>
    <n v="7316.8550000000005"/>
    <n v="2014.4050000000007"/>
    <s v="Wednesday"/>
    <x v="0"/>
  </r>
  <r>
    <s v="NV2201"/>
    <d v="2024-04-02T00:00:00"/>
    <x v="23"/>
    <x v="2"/>
    <s v="P207"/>
    <x v="0"/>
    <n v="3"/>
    <n v="839.91"/>
    <x v="1"/>
    <n v="421.6"/>
    <s v="Returning"/>
    <s v="Cash"/>
    <n v="2015.7840000000001"/>
    <n v="750.98399999999992"/>
    <s v="Tuesday"/>
    <x v="0"/>
  </r>
  <r>
    <s v="NV2202"/>
    <d v="2024-06-10T00:00:00"/>
    <x v="29"/>
    <x v="0"/>
    <s v="P201"/>
    <x v="0"/>
    <n v="4"/>
    <n v="2460.04"/>
    <x v="2"/>
    <n v="1351.92"/>
    <s v="Returning"/>
    <s v="Card"/>
    <n v="9348.152"/>
    <n v="3940.4719999999998"/>
    <s v="Monday"/>
    <x v="0"/>
  </r>
  <r>
    <s v="NV2203"/>
    <d v="2024-10-23T00:00:00"/>
    <x v="25"/>
    <x v="3"/>
    <s v="P269"/>
    <x v="1"/>
    <n v="2"/>
    <n v="376.59"/>
    <x v="5"/>
    <n v="231.54"/>
    <s v="Returning"/>
    <s v="Cash"/>
    <n v="564.88499999999999"/>
    <n v="101.80500000000001"/>
    <s v="Wednesday"/>
    <x v="0"/>
  </r>
  <r>
    <s v="NV2204"/>
    <d v="2024-10-12T00:00:00"/>
    <x v="47"/>
    <x v="1"/>
    <s v="P289"/>
    <x v="1"/>
    <n v="5"/>
    <n v="1852.95"/>
    <x v="1"/>
    <n v="1261.29"/>
    <s v="Returning"/>
    <s v="Cash"/>
    <n v="7411.8"/>
    <n v="1105.3500000000004"/>
    <s v="Saturday"/>
    <x v="1"/>
  </r>
  <r>
    <s v="NV2205"/>
    <d v="2024-07-12T00:00:00"/>
    <x v="24"/>
    <x v="2"/>
    <s v="P83"/>
    <x v="1"/>
    <n v="1"/>
    <n v="1057.05"/>
    <x v="1"/>
    <n v="608.46"/>
    <s v="New"/>
    <s v="Digital"/>
    <n v="845.64"/>
    <n v="237.17999999999995"/>
    <s v="Friday"/>
    <x v="0"/>
  </r>
  <r>
    <s v="NV2206"/>
    <d v="2024-05-03T00:00:00"/>
    <x v="10"/>
    <x v="2"/>
    <s v="P53"/>
    <x v="0"/>
    <n v="3"/>
    <n v="676.04"/>
    <x v="0"/>
    <n v="371.89"/>
    <s v="New"/>
    <s v="Digital"/>
    <n v="1419.6839999999997"/>
    <n v="304.01399999999967"/>
    <s v="Friday"/>
    <x v="0"/>
  </r>
  <r>
    <s v="NV2207"/>
    <d v="2025-01-13T00:00:00"/>
    <x v="12"/>
    <x v="3"/>
    <s v="P284"/>
    <x v="0"/>
    <n v="4"/>
    <n v="2069.46"/>
    <x v="3"/>
    <n v="1413.63"/>
    <s v="Returning"/>
    <s v="Cash"/>
    <n v="7450.0560000000005"/>
    <n v="1795.5360000000001"/>
    <s v="Monday"/>
    <x v="0"/>
  </r>
  <r>
    <s v="NV2208"/>
    <d v="2024-12-28T00:00:00"/>
    <x v="37"/>
    <x v="2"/>
    <s v="P79"/>
    <x v="0"/>
    <n v="3"/>
    <n v="403.26"/>
    <x v="5"/>
    <n v="262.77999999999997"/>
    <s v="Returning"/>
    <s v="Card"/>
    <n v="907.33500000000004"/>
    <n v="118.99500000000012"/>
    <s v="Saturday"/>
    <x v="1"/>
  </r>
  <r>
    <s v="NV2209"/>
    <d v="2025-07-23T00:00:00"/>
    <x v="54"/>
    <x v="1"/>
    <s v="P206"/>
    <x v="0"/>
    <n v="3"/>
    <n v="2766.96"/>
    <x v="6"/>
    <n v="1891.62"/>
    <s v="New"/>
    <s v="Cash"/>
    <n v="8300.880000000001"/>
    <n v="2626.0200000000013"/>
    <s v="Wednesday"/>
    <x v="0"/>
  </r>
  <r>
    <s v="NV2210"/>
    <d v="2024-02-07T00:00:00"/>
    <x v="19"/>
    <x v="3"/>
    <s v="P83"/>
    <x v="1"/>
    <n v="5"/>
    <n v="2491.5300000000002"/>
    <x v="0"/>
    <n v="1226.5899999999999"/>
    <s v="New"/>
    <s v="Digital"/>
    <n v="8720.3549999999996"/>
    <n v="2587.4049999999997"/>
    <s v="Wednesday"/>
    <x v="0"/>
  </r>
  <r>
    <s v="NV2211"/>
    <d v="2025-08-11T00:00:00"/>
    <x v="24"/>
    <x v="3"/>
    <s v="P126"/>
    <x v="0"/>
    <n v="3"/>
    <n v="330.46"/>
    <x v="6"/>
    <n v="172.31"/>
    <s v="Returning"/>
    <s v="Card"/>
    <n v="991.37999999999988"/>
    <n v="474.44999999999982"/>
    <s v="Monday"/>
    <x v="0"/>
  </r>
  <r>
    <s v="NV2212"/>
    <d v="2024-03-09T00:00:00"/>
    <x v="30"/>
    <x v="0"/>
    <s v="P200"/>
    <x v="2"/>
    <n v="5"/>
    <n v="2773.38"/>
    <x v="6"/>
    <n v="1285.71"/>
    <s v="Returning"/>
    <s v="Digital"/>
    <n v="13866.900000000001"/>
    <n v="7438.3500000000013"/>
    <s v="Saturday"/>
    <x v="1"/>
  </r>
  <r>
    <s v="NV2213"/>
    <d v="2025-08-29T00:00:00"/>
    <x v="48"/>
    <x v="1"/>
    <s v="P170"/>
    <x v="2"/>
    <n v="4"/>
    <n v="791.88"/>
    <x v="5"/>
    <n v="532.14"/>
    <s v="New"/>
    <s v="Card"/>
    <n v="2375.64"/>
    <n v="247.07999999999993"/>
    <s v="Friday"/>
    <x v="0"/>
  </r>
  <r>
    <s v="NV2214"/>
    <d v="2025-10-14T00:00:00"/>
    <x v="30"/>
    <x v="1"/>
    <s v="P87"/>
    <x v="1"/>
    <n v="2"/>
    <n v="2677.48"/>
    <x v="4"/>
    <n v="1572.35"/>
    <s v="Returning"/>
    <s v="Card"/>
    <n v="4551.7160000000003"/>
    <n v="1407.0160000000005"/>
    <s v="Tuesday"/>
    <x v="0"/>
  </r>
  <r>
    <s v="NV2215"/>
    <d v="2025-02-10T00:00:00"/>
    <x v="2"/>
    <x v="0"/>
    <s v="P139"/>
    <x v="0"/>
    <n v="3"/>
    <n v="969.61"/>
    <x v="2"/>
    <n v="500.88"/>
    <s v="New"/>
    <s v="Digital"/>
    <n v="2763.3885"/>
    <n v="1260.7485000000001"/>
    <s v="Monday"/>
    <x v="0"/>
  </r>
  <r>
    <s v="NV2216"/>
    <d v="2024-01-16T00:00:00"/>
    <x v="43"/>
    <x v="3"/>
    <s v="P138"/>
    <x v="0"/>
    <n v="1"/>
    <n v="1843.8"/>
    <x v="6"/>
    <n v="1093.0999999999999"/>
    <s v="New"/>
    <s v="Cash"/>
    <n v="1843.8"/>
    <n v="750.7"/>
    <s v="Tuesday"/>
    <x v="0"/>
  </r>
  <r>
    <s v="NV2217"/>
    <d v="2025-01-28T00:00:00"/>
    <x v="15"/>
    <x v="0"/>
    <s v="P211"/>
    <x v="2"/>
    <n v="2"/>
    <n v="1309.58"/>
    <x v="5"/>
    <n v="791.34"/>
    <s v="New"/>
    <s v="Digital"/>
    <n v="1964.37"/>
    <n v="381.68999999999983"/>
    <s v="Tuesday"/>
    <x v="0"/>
  </r>
  <r>
    <s v="NV2218"/>
    <d v="2024-01-26T00:00:00"/>
    <x v="38"/>
    <x v="1"/>
    <s v="P22"/>
    <x v="0"/>
    <n v="1"/>
    <n v="1454.96"/>
    <x v="5"/>
    <n v="755.58"/>
    <s v="New"/>
    <s v="Cash"/>
    <n v="1091.22"/>
    <n v="335.64"/>
    <s v="Friday"/>
    <x v="0"/>
  </r>
  <r>
    <s v="NV2219"/>
    <d v="2024-05-04T00:00:00"/>
    <x v="38"/>
    <x v="3"/>
    <s v="P180"/>
    <x v="2"/>
    <n v="4"/>
    <n v="2227.11"/>
    <x v="4"/>
    <n v="1262.24"/>
    <s v="Returning"/>
    <s v="Cash"/>
    <n v="7572.174"/>
    <n v="2523.2139999999999"/>
    <s v="Saturday"/>
    <x v="1"/>
  </r>
  <r>
    <s v="NV2220"/>
    <d v="2024-01-19T00:00:00"/>
    <x v="11"/>
    <x v="0"/>
    <s v="P7"/>
    <x v="2"/>
    <n v="1"/>
    <n v="417.44"/>
    <x v="4"/>
    <n v="193.81"/>
    <s v="New"/>
    <s v="Digital"/>
    <n v="354.82400000000001"/>
    <n v="161.01400000000001"/>
    <s v="Friday"/>
    <x v="0"/>
  </r>
  <r>
    <s v="NV2221"/>
    <d v="2024-02-13T00:00:00"/>
    <x v="10"/>
    <x v="0"/>
    <s v="P279"/>
    <x v="0"/>
    <n v="4"/>
    <n v="1268.6400000000001"/>
    <x v="1"/>
    <n v="872.76"/>
    <s v="New"/>
    <s v="Cash"/>
    <n v="4059.6480000000006"/>
    <n v="568.60800000000063"/>
    <s v="Tuesday"/>
    <x v="0"/>
  </r>
  <r>
    <s v="NV2222"/>
    <d v="2024-01-20T00:00:00"/>
    <x v="4"/>
    <x v="0"/>
    <s v="P262"/>
    <x v="1"/>
    <n v="5"/>
    <n v="2303.3000000000002"/>
    <x v="2"/>
    <n v="1144.67"/>
    <s v="Returning"/>
    <s v="Cash"/>
    <n v="10940.674999999999"/>
    <n v="5217.3249999999989"/>
    <s v="Saturday"/>
    <x v="1"/>
  </r>
  <r>
    <s v="NV2223"/>
    <d v="2025-09-18T00:00:00"/>
    <x v="22"/>
    <x v="0"/>
    <s v="P11"/>
    <x v="0"/>
    <n v="3"/>
    <n v="773.68"/>
    <x v="5"/>
    <n v="381.88"/>
    <s v="New"/>
    <s v="Card"/>
    <n v="1740.78"/>
    <n v="595.1400000000001"/>
    <s v="Thursday"/>
    <x v="0"/>
  </r>
  <r>
    <s v="NV2224"/>
    <d v="2024-10-10T00:00:00"/>
    <x v="38"/>
    <x v="2"/>
    <s v="P88"/>
    <x v="2"/>
    <n v="2"/>
    <n v="1711.8"/>
    <x v="4"/>
    <n v="877.54"/>
    <s v="Returning"/>
    <s v="Card"/>
    <n v="2910.06"/>
    <n v="1154.98"/>
    <s v="Thursday"/>
    <x v="0"/>
  </r>
  <r>
    <s v="NV2225"/>
    <d v="2025-06-15T00:00:00"/>
    <x v="34"/>
    <x v="0"/>
    <s v="P282"/>
    <x v="0"/>
    <n v="4"/>
    <n v="2850.87"/>
    <x v="5"/>
    <n v="1404.57"/>
    <s v="New"/>
    <s v="Cash"/>
    <n v="8552.61"/>
    <n v="2934.3300000000008"/>
    <s v="Sunday"/>
    <x v="1"/>
  </r>
  <r>
    <s v="NV2226"/>
    <d v="2025-04-09T00:00:00"/>
    <x v="35"/>
    <x v="1"/>
    <s v="P82"/>
    <x v="0"/>
    <n v="1"/>
    <n v="1544.38"/>
    <x v="5"/>
    <n v="858.26"/>
    <s v="Returning"/>
    <s v="Cash"/>
    <n v="1158.2850000000001"/>
    <n v="300.02500000000009"/>
    <s v="Wednesday"/>
    <x v="0"/>
  </r>
  <r>
    <s v="NV2227"/>
    <d v="2025-09-23T00:00:00"/>
    <x v="56"/>
    <x v="0"/>
    <s v="P85"/>
    <x v="1"/>
    <n v="5"/>
    <n v="2889.36"/>
    <x v="2"/>
    <n v="2018.8"/>
    <s v="New"/>
    <s v="Cash"/>
    <n v="13724.460000000001"/>
    <n v="3630.4600000000009"/>
    <s v="Tuesday"/>
    <x v="0"/>
  </r>
  <r>
    <s v="NV2228"/>
    <d v="2024-12-30T00:00:00"/>
    <x v="49"/>
    <x v="1"/>
    <s v="P155"/>
    <x v="2"/>
    <n v="1"/>
    <n v="2887.32"/>
    <x v="6"/>
    <n v="1643.69"/>
    <s v="Returning"/>
    <s v="Card"/>
    <n v="2887.32"/>
    <n v="1243.6300000000001"/>
    <s v="Monday"/>
    <x v="0"/>
  </r>
  <r>
    <s v="NV2229"/>
    <d v="2024-12-05T00:00:00"/>
    <x v="0"/>
    <x v="2"/>
    <s v="P257"/>
    <x v="2"/>
    <n v="4"/>
    <n v="1736.5"/>
    <x v="6"/>
    <n v="1208.54"/>
    <s v="Returning"/>
    <s v="Digital"/>
    <n v="6946"/>
    <n v="2111.84"/>
    <s v="Thursday"/>
    <x v="0"/>
  </r>
  <r>
    <s v="NV2230"/>
    <d v="2024-10-26T00:00:00"/>
    <x v="56"/>
    <x v="3"/>
    <s v="P190"/>
    <x v="2"/>
    <n v="5"/>
    <n v="1555.06"/>
    <x v="6"/>
    <n v="652.46"/>
    <s v="Returning"/>
    <s v="Cash"/>
    <n v="7775.2999999999993"/>
    <n v="4512.9999999999991"/>
    <s v="Saturday"/>
    <x v="1"/>
  </r>
  <r>
    <s v="NV2231"/>
    <d v="2025-06-17T00:00:00"/>
    <x v="14"/>
    <x v="3"/>
    <s v="P224"/>
    <x v="0"/>
    <n v="4"/>
    <n v="1118.68"/>
    <x v="1"/>
    <n v="629.46"/>
    <s v="New"/>
    <s v="Card"/>
    <n v="3579.7760000000003"/>
    <n v="1061.9360000000001"/>
    <s v="Tuesday"/>
    <x v="0"/>
  </r>
  <r>
    <s v="NV2232"/>
    <d v="2025-10-20T00:00:00"/>
    <x v="45"/>
    <x v="0"/>
    <s v="P101"/>
    <x v="0"/>
    <n v="4"/>
    <n v="1159.08"/>
    <x v="4"/>
    <n v="485.47"/>
    <s v="New"/>
    <s v="Cash"/>
    <n v="3940.8719999999998"/>
    <n v="1998.9919999999997"/>
    <s v="Monday"/>
    <x v="0"/>
  </r>
  <r>
    <s v="NV2233"/>
    <d v="2025-05-25T00:00:00"/>
    <x v="50"/>
    <x v="2"/>
    <s v="P126"/>
    <x v="0"/>
    <n v="2"/>
    <n v="1034.6300000000001"/>
    <x v="1"/>
    <n v="691.25"/>
    <s v="New"/>
    <s v="Digital"/>
    <n v="1655.4080000000004"/>
    <n v="272.90800000000036"/>
    <s v="Sunday"/>
    <x v="1"/>
  </r>
  <r>
    <s v="NV2234"/>
    <d v="2024-11-19T00:00:00"/>
    <x v="33"/>
    <x v="2"/>
    <s v="P291"/>
    <x v="0"/>
    <n v="2"/>
    <n v="2246.41"/>
    <x v="2"/>
    <n v="1032.31"/>
    <s v="Returning"/>
    <s v="Cash"/>
    <n v="4268.1789999999992"/>
    <n v="2203.5589999999993"/>
    <s v="Tuesday"/>
    <x v="0"/>
  </r>
  <r>
    <s v="NV2235"/>
    <d v="2025-04-26T00:00:00"/>
    <x v="55"/>
    <x v="2"/>
    <s v="P168"/>
    <x v="1"/>
    <n v="4"/>
    <n v="2360.44"/>
    <x v="4"/>
    <n v="1127.81"/>
    <s v="Returning"/>
    <s v="Card"/>
    <n v="8025.4960000000001"/>
    <n v="3514.2560000000003"/>
    <s v="Saturday"/>
    <x v="1"/>
  </r>
  <r>
    <s v="NV2236"/>
    <d v="2024-08-11T00:00:00"/>
    <x v="56"/>
    <x v="2"/>
    <s v="P205"/>
    <x v="0"/>
    <n v="5"/>
    <n v="2951.01"/>
    <x v="1"/>
    <n v="1962.2"/>
    <s v="Returning"/>
    <s v="Digital"/>
    <n v="11804.04"/>
    <n v="1993.0400000000009"/>
    <s v="Sunday"/>
    <x v="1"/>
  </r>
  <r>
    <s v="NV2237"/>
    <d v="2024-02-15T00:00:00"/>
    <x v="36"/>
    <x v="2"/>
    <s v="P225"/>
    <x v="0"/>
    <n v="4"/>
    <n v="2205.36"/>
    <x v="3"/>
    <n v="934.23"/>
    <s v="New"/>
    <s v="Cash"/>
    <n v="7939.2960000000003"/>
    <n v="4202.3760000000002"/>
    <s v="Thursday"/>
    <x v="0"/>
  </r>
  <r>
    <s v="NV2238"/>
    <d v="2025-08-04T00:00:00"/>
    <x v="18"/>
    <x v="0"/>
    <s v="P35"/>
    <x v="2"/>
    <n v="2"/>
    <n v="1999.27"/>
    <x v="4"/>
    <n v="1360.99"/>
    <s v="Returning"/>
    <s v="Digital"/>
    <n v="3398.759"/>
    <n v="676.779"/>
    <s v="Monday"/>
    <x v="0"/>
  </r>
  <r>
    <s v="NV2239"/>
    <d v="2024-09-01T00:00:00"/>
    <x v="54"/>
    <x v="1"/>
    <s v="P7"/>
    <x v="1"/>
    <n v="1"/>
    <n v="737.17"/>
    <x v="2"/>
    <n v="515.35"/>
    <s v="New"/>
    <s v="Card"/>
    <n v="700.31149999999991"/>
    <n v="184.96149999999989"/>
    <s v="Sunday"/>
    <x v="1"/>
  </r>
  <r>
    <s v="NV2240"/>
    <d v="2025-05-26T00:00:00"/>
    <x v="0"/>
    <x v="3"/>
    <s v="P31"/>
    <x v="2"/>
    <n v="2"/>
    <n v="1334.15"/>
    <x v="0"/>
    <n v="831.91"/>
    <s v="New"/>
    <s v="Digital"/>
    <n v="1867.81"/>
    <n v="203.99"/>
    <s v="Monday"/>
    <x v="0"/>
  </r>
  <r>
    <s v="NV2241"/>
    <d v="2024-08-26T00:00:00"/>
    <x v="44"/>
    <x v="2"/>
    <s v="P41"/>
    <x v="1"/>
    <n v="5"/>
    <n v="1340.77"/>
    <x v="1"/>
    <n v="605.72"/>
    <s v="New"/>
    <s v="Digital"/>
    <n v="5363.0800000000008"/>
    <n v="2334.4800000000005"/>
    <s v="Monday"/>
    <x v="0"/>
  </r>
  <r>
    <s v="NV2242"/>
    <d v="2025-05-19T00:00:00"/>
    <x v="38"/>
    <x v="2"/>
    <s v="P232"/>
    <x v="0"/>
    <n v="3"/>
    <n v="891.41"/>
    <x v="4"/>
    <n v="544.69000000000005"/>
    <s v="New"/>
    <s v="Digital"/>
    <n v="2273.0954999999999"/>
    <n v="639.02549999999974"/>
    <s v="Monday"/>
    <x v="0"/>
  </r>
  <r>
    <s v="NV2243"/>
    <d v="2025-04-10T00:00:00"/>
    <x v="31"/>
    <x v="3"/>
    <s v="P79"/>
    <x v="2"/>
    <n v="3"/>
    <n v="2510.6999999999998"/>
    <x v="0"/>
    <n v="1611.7"/>
    <s v="New"/>
    <s v="Cash"/>
    <n v="5272.4699999999993"/>
    <n v="437.36999999999898"/>
    <s v="Thursday"/>
    <x v="0"/>
  </r>
  <r>
    <s v="NV2244"/>
    <d v="2025-07-05T00:00:00"/>
    <x v="1"/>
    <x v="2"/>
    <s v="P164"/>
    <x v="1"/>
    <n v="5"/>
    <n v="2493.25"/>
    <x v="0"/>
    <n v="1410.2"/>
    <s v="Returning"/>
    <s v="Cash"/>
    <n v="8726.375"/>
    <n v="1675.375"/>
    <s v="Saturday"/>
    <x v="1"/>
  </r>
  <r>
    <s v="NV2245"/>
    <d v="2024-06-20T00:00:00"/>
    <x v="44"/>
    <x v="0"/>
    <s v="P52"/>
    <x v="2"/>
    <n v="1"/>
    <n v="2393.86"/>
    <x v="4"/>
    <n v="1004.84"/>
    <s v="Returning"/>
    <s v="Card"/>
    <n v="2034.7809999999999"/>
    <n v="1029.9409999999998"/>
    <s v="Thursday"/>
    <x v="0"/>
  </r>
  <r>
    <s v="NV2246"/>
    <d v="2025-11-14T00:00:00"/>
    <x v="16"/>
    <x v="3"/>
    <s v="P57"/>
    <x v="2"/>
    <n v="3"/>
    <n v="2746.76"/>
    <x v="3"/>
    <n v="1522.1"/>
    <s v="New"/>
    <s v="Digital"/>
    <n v="7416.2520000000004"/>
    <n v="2849.9520000000011"/>
    <s v="Friday"/>
    <x v="0"/>
  </r>
  <r>
    <s v="NV2247"/>
    <d v="2024-02-22T00:00:00"/>
    <x v="48"/>
    <x v="0"/>
    <s v="P3"/>
    <x v="2"/>
    <n v="1"/>
    <n v="2699.11"/>
    <x v="6"/>
    <n v="1867.59"/>
    <s v="New"/>
    <s v="Cash"/>
    <n v="2699.11"/>
    <n v="831.52000000000021"/>
    <s v="Thursday"/>
    <x v="0"/>
  </r>
  <r>
    <s v="NV2248"/>
    <d v="2025-11-23T00:00:00"/>
    <x v="18"/>
    <x v="1"/>
    <s v="P160"/>
    <x v="1"/>
    <n v="1"/>
    <n v="1015.18"/>
    <x v="2"/>
    <n v="657"/>
    <s v="Returning"/>
    <s v="Digital"/>
    <n v="964.42099999999994"/>
    <n v="307.42099999999994"/>
    <s v="Sunday"/>
    <x v="1"/>
  </r>
  <r>
    <s v="NV2249"/>
    <d v="2025-04-02T00:00:00"/>
    <x v="20"/>
    <x v="3"/>
    <s v="P119"/>
    <x v="0"/>
    <n v="5"/>
    <n v="1863.12"/>
    <x v="2"/>
    <n v="968.6"/>
    <s v="Returning"/>
    <s v="Cash"/>
    <n v="8849.8199999999979"/>
    <n v="4006.8199999999979"/>
    <s v="Wednesday"/>
    <x v="0"/>
  </r>
  <r>
    <s v="NV2250"/>
    <d v="2025-05-02T00:00:00"/>
    <x v="13"/>
    <x v="2"/>
    <s v="P141"/>
    <x v="1"/>
    <n v="4"/>
    <n v="1158.53"/>
    <x v="0"/>
    <n v="701.27"/>
    <s v="New"/>
    <s v="Card"/>
    <n v="3243.8839999999996"/>
    <n v="438.80399999999963"/>
    <s v="Friday"/>
    <x v="0"/>
  </r>
  <r>
    <s v="NV2251"/>
    <d v="2025-02-20T00:00:00"/>
    <x v="3"/>
    <x v="3"/>
    <s v="P193"/>
    <x v="0"/>
    <n v="2"/>
    <n v="2975.78"/>
    <x v="5"/>
    <n v="1468.47"/>
    <s v="New"/>
    <s v="Card"/>
    <n v="4463.67"/>
    <n v="1526.73"/>
    <s v="Thursday"/>
    <x v="0"/>
  </r>
  <r>
    <s v="NV2252"/>
    <d v="2025-10-15T00:00:00"/>
    <x v="0"/>
    <x v="1"/>
    <s v="P68"/>
    <x v="2"/>
    <n v="5"/>
    <n v="1956.87"/>
    <x v="6"/>
    <n v="922.89"/>
    <s v="New"/>
    <s v="Digital"/>
    <n v="9784.3499999999985"/>
    <n v="5169.8999999999987"/>
    <s v="Wednesday"/>
    <x v="0"/>
  </r>
  <r>
    <s v="NV2253"/>
    <d v="2024-02-02T00:00:00"/>
    <x v="47"/>
    <x v="2"/>
    <s v="P68"/>
    <x v="1"/>
    <n v="4"/>
    <n v="1997.83"/>
    <x v="6"/>
    <n v="1371.64"/>
    <s v="Returning"/>
    <s v="Cash"/>
    <n v="7991.32"/>
    <n v="2504.7599999999993"/>
    <s v="Friday"/>
    <x v="0"/>
  </r>
  <r>
    <s v="NV2254"/>
    <d v="2024-02-12T00:00:00"/>
    <x v="41"/>
    <x v="0"/>
    <s v="P92"/>
    <x v="0"/>
    <n v="2"/>
    <n v="1786.63"/>
    <x v="1"/>
    <n v="1086.3800000000001"/>
    <s v="New"/>
    <s v="Cash"/>
    <n v="2858.6080000000002"/>
    <n v="685.84799999999996"/>
    <s v="Monday"/>
    <x v="0"/>
  </r>
  <r>
    <s v="NV2255"/>
    <d v="2025-02-26T00:00:00"/>
    <x v="6"/>
    <x v="1"/>
    <s v="P162"/>
    <x v="0"/>
    <n v="5"/>
    <n v="1318.1"/>
    <x v="2"/>
    <n v="817.15"/>
    <s v="New"/>
    <s v="Card"/>
    <n v="6260.9749999999995"/>
    <n v="2175.2249999999995"/>
    <s v="Wednesday"/>
    <x v="0"/>
  </r>
  <r>
    <s v="NV2256"/>
    <d v="2024-07-25T00:00:00"/>
    <x v="45"/>
    <x v="3"/>
    <s v="P35"/>
    <x v="1"/>
    <n v="1"/>
    <n v="912.18"/>
    <x v="6"/>
    <n v="637.24"/>
    <s v="New"/>
    <s v="Card"/>
    <n v="912.18"/>
    <n v="274.93999999999994"/>
    <s v="Thursday"/>
    <x v="0"/>
  </r>
  <r>
    <s v="NV2257"/>
    <d v="2024-08-07T00:00:00"/>
    <x v="55"/>
    <x v="0"/>
    <s v="P97"/>
    <x v="0"/>
    <n v="3"/>
    <n v="2128.1799999999998"/>
    <x v="0"/>
    <n v="1284.0899999999999"/>
    <s v="Returning"/>
    <s v="Digital"/>
    <n v="4469.177999999999"/>
    <n v="616.90799999999945"/>
    <s v="Wednesday"/>
    <x v="0"/>
  </r>
  <r>
    <s v="NV2258"/>
    <d v="2024-08-09T00:00:00"/>
    <x v="42"/>
    <x v="2"/>
    <s v="P291"/>
    <x v="0"/>
    <n v="2"/>
    <n v="1265.57"/>
    <x v="4"/>
    <n v="867.81"/>
    <s v="Returning"/>
    <s v="Digital"/>
    <n v="2151.4690000000001"/>
    <n v="415.84900000000016"/>
    <s v="Friday"/>
    <x v="0"/>
  </r>
  <r>
    <s v="NV2259"/>
    <d v="2024-04-08T00:00:00"/>
    <x v="57"/>
    <x v="0"/>
    <s v="P237"/>
    <x v="1"/>
    <n v="1"/>
    <n v="1479.27"/>
    <x v="5"/>
    <n v="839.25"/>
    <s v="Returning"/>
    <s v="Card"/>
    <n v="1109.4524999999999"/>
    <n v="270.20249999999987"/>
    <s v="Monday"/>
    <x v="0"/>
  </r>
  <r>
    <s v="NV2260"/>
    <d v="2024-07-09T00:00:00"/>
    <x v="28"/>
    <x v="1"/>
    <s v="P27"/>
    <x v="0"/>
    <n v="2"/>
    <n v="2216"/>
    <x v="0"/>
    <n v="1451.63"/>
    <s v="Returning"/>
    <s v="Digital"/>
    <n v="3102.3999999999996"/>
    <n v="199.13999999999942"/>
    <s v="Tuesday"/>
    <x v="0"/>
  </r>
  <r>
    <s v="NV2261"/>
    <d v="2025-11-11T00:00:00"/>
    <x v="51"/>
    <x v="3"/>
    <s v="P117"/>
    <x v="0"/>
    <n v="5"/>
    <n v="2865.97"/>
    <x v="1"/>
    <n v="1502.62"/>
    <s v="Returning"/>
    <s v="Cash"/>
    <n v="11463.88"/>
    <n v="3950.7799999999997"/>
    <s v="Tuesday"/>
    <x v="0"/>
  </r>
  <r>
    <s v="NV2262"/>
    <d v="2025-10-08T00:00:00"/>
    <x v="30"/>
    <x v="1"/>
    <s v="P204"/>
    <x v="0"/>
    <n v="1"/>
    <n v="2221.62"/>
    <x v="2"/>
    <n v="1129.97"/>
    <s v="New"/>
    <s v="Digital"/>
    <n v="2110.5389999999998"/>
    <n v="980.56899999999973"/>
    <s v="Wednesday"/>
    <x v="0"/>
  </r>
  <r>
    <s v="NV2263"/>
    <d v="2025-08-12T00:00:00"/>
    <x v="15"/>
    <x v="2"/>
    <s v="P35"/>
    <x v="2"/>
    <n v="3"/>
    <n v="2153.71"/>
    <x v="6"/>
    <n v="893.68"/>
    <s v="Returning"/>
    <s v="Card"/>
    <n v="6461.13"/>
    <n v="3780.09"/>
    <s v="Tuesday"/>
    <x v="0"/>
  </r>
  <r>
    <s v="NV2264"/>
    <d v="2024-07-31T00:00:00"/>
    <x v="59"/>
    <x v="0"/>
    <s v="P218"/>
    <x v="0"/>
    <n v="2"/>
    <n v="1017.89"/>
    <x v="6"/>
    <n v="451.68"/>
    <s v="New"/>
    <s v="Card"/>
    <n v="2035.78"/>
    <n v="1132.42"/>
    <s v="Wednesday"/>
    <x v="0"/>
  </r>
  <r>
    <s v="NV2265"/>
    <d v="2024-02-19T00:00:00"/>
    <x v="18"/>
    <x v="2"/>
    <s v="P28"/>
    <x v="1"/>
    <n v="2"/>
    <n v="1237.6600000000001"/>
    <x v="3"/>
    <n v="581.27"/>
    <s v="Returning"/>
    <s v="Cash"/>
    <n v="2227.788"/>
    <n v="1065.248"/>
    <s v="Monday"/>
    <x v="0"/>
  </r>
  <r>
    <s v="NV2266"/>
    <d v="2025-09-14T00:00:00"/>
    <x v="40"/>
    <x v="2"/>
    <s v="P45"/>
    <x v="2"/>
    <n v="2"/>
    <n v="1201.18"/>
    <x v="5"/>
    <n v="562.46"/>
    <s v="New"/>
    <s v="Digital"/>
    <n v="1801.77"/>
    <n v="676.84999999999991"/>
    <s v="Sunday"/>
    <x v="1"/>
  </r>
  <r>
    <s v="NV2267"/>
    <d v="2024-09-02T00:00:00"/>
    <x v="21"/>
    <x v="1"/>
    <s v="P258"/>
    <x v="0"/>
    <n v="3"/>
    <n v="2627.99"/>
    <x v="1"/>
    <n v="1582.35"/>
    <s v="Returning"/>
    <s v="Cash"/>
    <n v="6307.1759999999995"/>
    <n v="1560.1260000000002"/>
    <s v="Monday"/>
    <x v="0"/>
  </r>
  <r>
    <s v="NV2268"/>
    <d v="2025-06-22T00:00:00"/>
    <x v="24"/>
    <x v="0"/>
    <s v="P278"/>
    <x v="1"/>
    <n v="3"/>
    <n v="979.45"/>
    <x v="4"/>
    <n v="584.46"/>
    <s v="New"/>
    <s v="Digital"/>
    <n v="2497.5975000000003"/>
    <n v="744.2175000000002"/>
    <s v="Sunday"/>
    <x v="1"/>
  </r>
  <r>
    <s v="NV2269"/>
    <d v="2025-05-19T00:00:00"/>
    <x v="42"/>
    <x v="2"/>
    <s v="P39"/>
    <x v="2"/>
    <n v="2"/>
    <n v="1901.5"/>
    <x v="1"/>
    <n v="894.58"/>
    <s v="New"/>
    <s v="Digital"/>
    <n v="3042.4"/>
    <n v="1253.24"/>
    <s v="Monday"/>
    <x v="0"/>
  </r>
  <r>
    <s v="NV2270"/>
    <d v="2024-11-11T00:00:00"/>
    <x v="26"/>
    <x v="3"/>
    <s v="P270"/>
    <x v="2"/>
    <n v="2"/>
    <n v="719.43"/>
    <x v="5"/>
    <n v="464.12"/>
    <s v="New"/>
    <s v="Cash"/>
    <n v="1079.145"/>
    <n v="150.90499999999997"/>
    <s v="Monday"/>
    <x v="0"/>
  </r>
  <r>
    <s v="NV2271"/>
    <d v="2025-07-31T00:00:00"/>
    <x v="40"/>
    <x v="2"/>
    <s v="P224"/>
    <x v="1"/>
    <n v="4"/>
    <n v="1772.82"/>
    <x v="1"/>
    <n v="1141.54"/>
    <s v="Returning"/>
    <s v="Card"/>
    <n v="5673.0240000000003"/>
    <n v="1106.8640000000005"/>
    <s v="Thursday"/>
    <x v="0"/>
  </r>
  <r>
    <s v="NV2272"/>
    <d v="2025-07-28T00:00:00"/>
    <x v="32"/>
    <x v="0"/>
    <s v="P236"/>
    <x v="0"/>
    <n v="1"/>
    <n v="2964.9"/>
    <x v="1"/>
    <n v="2033.51"/>
    <s v="Returning"/>
    <s v="Card"/>
    <n v="2371.92"/>
    <n v="338.41000000000008"/>
    <s v="Monday"/>
    <x v="0"/>
  </r>
  <r>
    <s v="NV2273"/>
    <d v="2024-01-20T00:00:00"/>
    <x v="38"/>
    <x v="1"/>
    <s v="P48"/>
    <x v="2"/>
    <n v="5"/>
    <n v="2711.7"/>
    <x v="0"/>
    <n v="1178.3599999999999"/>
    <s v="New"/>
    <s v="Digital"/>
    <n v="9490.9499999999989"/>
    <n v="3599.1499999999996"/>
    <s v="Saturday"/>
    <x v="1"/>
  </r>
  <r>
    <s v="NV2274"/>
    <d v="2025-01-18T00:00:00"/>
    <x v="36"/>
    <x v="2"/>
    <s v="P103"/>
    <x v="0"/>
    <n v="2"/>
    <n v="1724.63"/>
    <x v="1"/>
    <n v="983.86"/>
    <s v="New"/>
    <s v="Digital"/>
    <n v="2759.4080000000004"/>
    <n v="791.68800000000033"/>
    <s v="Saturday"/>
    <x v="1"/>
  </r>
  <r>
    <s v="NV2275"/>
    <d v="2024-09-26T00:00:00"/>
    <x v="34"/>
    <x v="3"/>
    <s v="P134"/>
    <x v="2"/>
    <n v="5"/>
    <n v="2219.1"/>
    <x v="1"/>
    <n v="1288.99"/>
    <s v="Returning"/>
    <s v="Digital"/>
    <n v="8876.4"/>
    <n v="2431.4499999999998"/>
    <s v="Thursday"/>
    <x v="0"/>
  </r>
  <r>
    <s v="NV2276"/>
    <d v="2024-06-10T00:00:00"/>
    <x v="41"/>
    <x v="2"/>
    <s v="P28"/>
    <x v="0"/>
    <n v="5"/>
    <n v="1028.72"/>
    <x v="0"/>
    <n v="443.28"/>
    <s v="Returning"/>
    <s v="Cash"/>
    <n v="3600.52"/>
    <n v="1384.1200000000003"/>
    <s v="Monday"/>
    <x v="0"/>
  </r>
  <r>
    <s v="NV2277"/>
    <d v="2025-12-01T00:00:00"/>
    <x v="24"/>
    <x v="2"/>
    <s v="P14"/>
    <x v="0"/>
    <n v="1"/>
    <n v="1378.66"/>
    <x v="4"/>
    <n v="924.16"/>
    <s v="New"/>
    <s v="Cash"/>
    <n v="1171.8610000000001"/>
    <n v="247.70100000000014"/>
    <s v="Monday"/>
    <x v="0"/>
  </r>
  <r>
    <s v="NV2278"/>
    <d v="2024-02-17T00:00:00"/>
    <x v="55"/>
    <x v="1"/>
    <s v="P96"/>
    <x v="0"/>
    <n v="4"/>
    <n v="1812.48"/>
    <x v="5"/>
    <n v="750.42"/>
    <s v="New"/>
    <s v="Digital"/>
    <n v="5437.4400000000005"/>
    <n v="2435.7600000000007"/>
    <s v="Saturday"/>
    <x v="1"/>
  </r>
  <r>
    <s v="NV2279"/>
    <d v="2025-10-15T00:00:00"/>
    <x v="31"/>
    <x v="0"/>
    <s v="P270"/>
    <x v="1"/>
    <n v="5"/>
    <n v="627.61"/>
    <x v="2"/>
    <n v="355.79"/>
    <s v="New"/>
    <s v="Cash"/>
    <n v="2981.1475"/>
    <n v="1202.1975"/>
    <s v="Wednesday"/>
    <x v="0"/>
  </r>
  <r>
    <s v="NV2280"/>
    <d v="2024-09-09T00:00:00"/>
    <x v="11"/>
    <x v="0"/>
    <s v="P112"/>
    <x v="2"/>
    <n v="3"/>
    <n v="1982.93"/>
    <x v="2"/>
    <n v="1124.26"/>
    <s v="New"/>
    <s v="Card"/>
    <n v="5651.3504999999996"/>
    <n v="2278.5704999999998"/>
    <s v="Monday"/>
    <x v="0"/>
  </r>
  <r>
    <s v="NV2281"/>
    <d v="2025-02-24T00:00:00"/>
    <x v="58"/>
    <x v="0"/>
    <s v="P259"/>
    <x v="0"/>
    <n v="5"/>
    <n v="2822.08"/>
    <x v="4"/>
    <n v="1500.65"/>
    <s v="New"/>
    <s v="Card"/>
    <n v="11993.84"/>
    <n v="4490.59"/>
    <s v="Monday"/>
    <x v="0"/>
  </r>
  <r>
    <s v="NV2282"/>
    <d v="2024-04-30T00:00:00"/>
    <x v="38"/>
    <x v="1"/>
    <s v="P63"/>
    <x v="2"/>
    <n v="5"/>
    <n v="2125.84"/>
    <x v="5"/>
    <n v="1349.09"/>
    <s v="New"/>
    <s v="Cash"/>
    <n v="7971.9000000000005"/>
    <n v="1226.4500000000007"/>
    <s v="Tuesday"/>
    <x v="0"/>
  </r>
  <r>
    <s v="NV2283"/>
    <d v="2024-10-11T00:00:00"/>
    <x v="42"/>
    <x v="1"/>
    <s v="P110"/>
    <x v="2"/>
    <n v="5"/>
    <n v="1972.04"/>
    <x v="4"/>
    <n v="939.65"/>
    <s v="New"/>
    <s v="Digital"/>
    <n v="8381.17"/>
    <n v="3682.92"/>
    <s v="Friday"/>
    <x v="0"/>
  </r>
  <r>
    <s v="NV2284"/>
    <d v="2025-11-16T00:00:00"/>
    <x v="21"/>
    <x v="1"/>
    <s v="P187"/>
    <x v="1"/>
    <n v="2"/>
    <n v="2563.13"/>
    <x v="3"/>
    <n v="1129.1600000000001"/>
    <s v="Returning"/>
    <s v="Card"/>
    <n v="4613.634"/>
    <n v="2355.3139999999999"/>
    <s v="Sunday"/>
    <x v="1"/>
  </r>
  <r>
    <s v="NV2285"/>
    <d v="2024-01-22T00:00:00"/>
    <x v="9"/>
    <x v="2"/>
    <s v="P262"/>
    <x v="2"/>
    <n v="5"/>
    <n v="908.68"/>
    <x v="6"/>
    <n v="624.4"/>
    <s v="New"/>
    <s v="Cash"/>
    <n v="4543.3999999999996"/>
    <n v="1421.3999999999996"/>
    <s v="Monday"/>
    <x v="0"/>
  </r>
  <r>
    <s v="NV2286"/>
    <d v="2024-05-04T00:00:00"/>
    <x v="27"/>
    <x v="2"/>
    <s v="P15"/>
    <x v="0"/>
    <n v="5"/>
    <n v="2294.71"/>
    <x v="0"/>
    <n v="1522.63"/>
    <s v="New"/>
    <s v="Card"/>
    <n v="8031.4849999999988"/>
    <n v="418.33499999999822"/>
    <s v="Saturday"/>
    <x v="1"/>
  </r>
  <r>
    <s v="NV2287"/>
    <d v="2025-06-20T00:00:00"/>
    <x v="26"/>
    <x v="3"/>
    <s v="P114"/>
    <x v="2"/>
    <n v="5"/>
    <n v="1593.07"/>
    <x v="0"/>
    <n v="923.41"/>
    <s v="New"/>
    <s v="Card"/>
    <n v="5575.744999999999"/>
    <n v="958.6949999999988"/>
    <s v="Friday"/>
    <x v="0"/>
  </r>
  <r>
    <s v="NV2288"/>
    <d v="2025-11-18T00:00:00"/>
    <x v="23"/>
    <x v="0"/>
    <s v="P213"/>
    <x v="2"/>
    <n v="3"/>
    <n v="650.32000000000005"/>
    <x v="0"/>
    <n v="320.93"/>
    <s v="New"/>
    <s v="Digital"/>
    <n v="1365.672"/>
    <n v="402.88200000000006"/>
    <s v="Tuesday"/>
    <x v="0"/>
  </r>
  <r>
    <s v="NV2289"/>
    <d v="2025-01-02T00:00:00"/>
    <x v="2"/>
    <x v="0"/>
    <s v="P250"/>
    <x v="2"/>
    <n v="2"/>
    <n v="631.5"/>
    <x v="3"/>
    <n v="252.8"/>
    <s v="Returning"/>
    <s v="Digital"/>
    <n v="1136.7"/>
    <n v="631.1"/>
    <s v="Thursday"/>
    <x v="0"/>
  </r>
  <r>
    <s v="NV2290"/>
    <d v="2025-11-11T00:00:00"/>
    <x v="3"/>
    <x v="2"/>
    <s v="P134"/>
    <x v="1"/>
    <n v="2"/>
    <n v="1235.1099999999999"/>
    <x v="2"/>
    <n v="613.08000000000004"/>
    <s v="Returning"/>
    <s v="Digital"/>
    <n v="2346.7089999999998"/>
    <n v="1120.5489999999998"/>
    <s v="Tuesday"/>
    <x v="0"/>
  </r>
  <r>
    <s v="NV2291"/>
    <d v="2024-07-09T00:00:00"/>
    <x v="35"/>
    <x v="3"/>
    <s v="P107"/>
    <x v="2"/>
    <n v="5"/>
    <n v="1838.8"/>
    <x v="6"/>
    <n v="1076.71"/>
    <s v="New"/>
    <s v="Cash"/>
    <n v="9194"/>
    <n v="3810.45"/>
    <s v="Tuesday"/>
    <x v="0"/>
  </r>
  <r>
    <s v="NV2292"/>
    <d v="2024-05-05T00:00:00"/>
    <x v="33"/>
    <x v="3"/>
    <s v="P29"/>
    <x v="0"/>
    <n v="5"/>
    <n v="2206.29"/>
    <x v="6"/>
    <n v="976.49"/>
    <s v="New"/>
    <s v="Card"/>
    <n v="11031.45"/>
    <n v="6149.0000000000009"/>
    <s v="Sunday"/>
    <x v="1"/>
  </r>
  <r>
    <s v="NV2293"/>
    <d v="2025-06-06T00:00:00"/>
    <x v="19"/>
    <x v="0"/>
    <s v="P26"/>
    <x v="1"/>
    <n v="4"/>
    <n v="2776.26"/>
    <x v="1"/>
    <n v="1368.15"/>
    <s v="New"/>
    <s v="Card"/>
    <n v="8884.0320000000011"/>
    <n v="3411.4320000000007"/>
    <s v="Friday"/>
    <x v="0"/>
  </r>
  <r>
    <s v="NV2294"/>
    <d v="2024-04-23T00:00:00"/>
    <x v="28"/>
    <x v="1"/>
    <s v="P149"/>
    <x v="2"/>
    <n v="5"/>
    <n v="642.26"/>
    <x v="5"/>
    <n v="447.61"/>
    <s v="New"/>
    <s v="Cash"/>
    <n v="2408.4750000000004"/>
    <n v="170.42500000000018"/>
    <s v="Tuesday"/>
    <x v="0"/>
  </r>
  <r>
    <s v="NV2295"/>
    <d v="2025-04-21T00:00:00"/>
    <x v="25"/>
    <x v="0"/>
    <s v="P36"/>
    <x v="0"/>
    <n v="2"/>
    <n v="1791.9"/>
    <x v="6"/>
    <n v="836.08"/>
    <s v="Returning"/>
    <s v="Digital"/>
    <n v="3583.8"/>
    <n v="1911.64"/>
    <s v="Monday"/>
    <x v="0"/>
  </r>
  <r>
    <s v="NV2296"/>
    <d v="2024-05-12T00:00:00"/>
    <x v="50"/>
    <x v="0"/>
    <s v="P281"/>
    <x v="2"/>
    <n v="5"/>
    <n v="595.80999999999995"/>
    <x v="4"/>
    <n v="354.83"/>
    <s v="New"/>
    <s v="Digital"/>
    <n v="2532.1924999999997"/>
    <n v="758.04249999999979"/>
    <s v="Sunday"/>
    <x v="1"/>
  </r>
  <r>
    <s v="NV2297"/>
    <d v="2024-02-21T00:00:00"/>
    <x v="42"/>
    <x v="1"/>
    <s v="P10"/>
    <x v="1"/>
    <n v="4"/>
    <n v="2208.3200000000002"/>
    <x v="0"/>
    <n v="1179.29"/>
    <s v="Returning"/>
    <s v="Cash"/>
    <n v="6183.2960000000003"/>
    <n v="1466.1360000000004"/>
    <s v="Wednesday"/>
    <x v="0"/>
  </r>
  <r>
    <s v="NV2298"/>
    <d v="2024-04-28T00:00:00"/>
    <x v="19"/>
    <x v="1"/>
    <s v="P70"/>
    <x v="2"/>
    <n v="5"/>
    <n v="2981.22"/>
    <x v="3"/>
    <n v="1202.1500000000001"/>
    <s v="New"/>
    <s v="Cash"/>
    <n v="13415.49"/>
    <n v="7404.74"/>
    <s v="Sunday"/>
    <x v="1"/>
  </r>
  <r>
    <s v="NV2299"/>
    <d v="2024-09-19T00:00:00"/>
    <x v="26"/>
    <x v="2"/>
    <s v="P6"/>
    <x v="2"/>
    <n v="5"/>
    <n v="1510.42"/>
    <x v="4"/>
    <n v="1011.32"/>
    <s v="New"/>
    <s v="Cash"/>
    <n v="6419.2849999999999"/>
    <n v="1362.6849999999995"/>
    <s v="Thursday"/>
    <x v="0"/>
  </r>
  <r>
    <s v="NV2300"/>
    <d v="2024-01-25T00:00:00"/>
    <x v="56"/>
    <x v="1"/>
    <s v="P180"/>
    <x v="1"/>
    <n v="3"/>
    <n v="2669.25"/>
    <x v="6"/>
    <n v="1115.1500000000001"/>
    <s v="New"/>
    <s v="Cash"/>
    <n v="8007.75"/>
    <n v="4662.2999999999993"/>
    <s v="Thursday"/>
    <x v="0"/>
  </r>
  <r>
    <s v="NV2301"/>
    <d v="2025-07-12T00:00:00"/>
    <x v="2"/>
    <x v="1"/>
    <s v="P275"/>
    <x v="1"/>
    <n v="4"/>
    <n v="1321.95"/>
    <x v="0"/>
    <n v="555.83000000000004"/>
    <s v="Returning"/>
    <s v="Cash"/>
    <n v="3701.46"/>
    <n v="1478.1399999999999"/>
    <s v="Saturday"/>
    <x v="1"/>
  </r>
  <r>
    <s v="NV2302"/>
    <d v="2024-01-10T00:00:00"/>
    <x v="3"/>
    <x v="0"/>
    <s v="P125"/>
    <x v="0"/>
    <n v="1"/>
    <n v="1027.94"/>
    <x v="2"/>
    <n v="592.09"/>
    <s v="Returning"/>
    <s v="Digital"/>
    <n v="976.54300000000001"/>
    <n v="384.45299999999997"/>
    <s v="Wednesday"/>
    <x v="0"/>
  </r>
  <r>
    <s v="NV2303"/>
    <d v="2024-08-31T00:00:00"/>
    <x v="38"/>
    <x v="0"/>
    <s v="P72"/>
    <x v="1"/>
    <n v="4"/>
    <n v="1955.96"/>
    <x v="1"/>
    <n v="861.05"/>
    <s v="New"/>
    <s v="Card"/>
    <n v="6259.0720000000001"/>
    <n v="2814.8720000000003"/>
    <s v="Saturday"/>
    <x v="1"/>
  </r>
  <r>
    <s v="NV2304"/>
    <d v="2025-02-07T00:00:00"/>
    <x v="47"/>
    <x v="1"/>
    <s v="P100"/>
    <x v="1"/>
    <n v="4"/>
    <n v="1794.57"/>
    <x v="2"/>
    <n v="764.57"/>
    <s v="New"/>
    <s v="Digital"/>
    <n v="6819.3659999999991"/>
    <n v="3761.0859999999989"/>
    <s v="Friday"/>
    <x v="0"/>
  </r>
  <r>
    <s v="NV2305"/>
    <d v="2025-10-28T00:00:00"/>
    <x v="55"/>
    <x v="2"/>
    <s v="P218"/>
    <x v="0"/>
    <n v="4"/>
    <n v="882.79"/>
    <x v="4"/>
    <n v="416.46"/>
    <s v="New"/>
    <s v="Card"/>
    <n v="3001.4859999999999"/>
    <n v="1335.646"/>
    <s v="Tuesday"/>
    <x v="0"/>
  </r>
  <r>
    <s v="NV2306"/>
    <d v="2024-12-25T00:00:00"/>
    <x v="38"/>
    <x v="3"/>
    <s v="P52"/>
    <x v="0"/>
    <n v="1"/>
    <n v="1898.57"/>
    <x v="1"/>
    <n v="1016.69"/>
    <s v="Returning"/>
    <s v="Card"/>
    <n v="1518.856"/>
    <n v="502.16599999999994"/>
    <s v="Wednesday"/>
    <x v="0"/>
  </r>
  <r>
    <s v="NV2307"/>
    <d v="2025-04-13T00:00:00"/>
    <x v="17"/>
    <x v="1"/>
    <s v="P284"/>
    <x v="2"/>
    <n v="3"/>
    <n v="1224.6600000000001"/>
    <x v="1"/>
    <n v="854.65"/>
    <s v="New"/>
    <s v="Digital"/>
    <n v="2939.1840000000007"/>
    <n v="375.23400000000083"/>
    <s v="Sunday"/>
    <x v="1"/>
  </r>
  <r>
    <s v="NV2308"/>
    <d v="2025-01-27T00:00:00"/>
    <x v="51"/>
    <x v="1"/>
    <s v="P233"/>
    <x v="2"/>
    <n v="1"/>
    <n v="1100.8800000000001"/>
    <x v="0"/>
    <n v="555"/>
    <s v="Returning"/>
    <s v="Digital"/>
    <n v="770.61599999999999"/>
    <n v="215.61599999999999"/>
    <s v="Monday"/>
    <x v="0"/>
  </r>
  <r>
    <s v="NV2309"/>
    <d v="2025-06-12T00:00:00"/>
    <x v="40"/>
    <x v="0"/>
    <s v="P88"/>
    <x v="2"/>
    <n v="2"/>
    <n v="1840.88"/>
    <x v="6"/>
    <n v="910.02"/>
    <s v="Returning"/>
    <s v="Cash"/>
    <n v="3681.76"/>
    <n v="1861.7200000000003"/>
    <s v="Thursday"/>
    <x v="0"/>
  </r>
  <r>
    <s v="NV2310"/>
    <d v="2025-05-25T00:00:00"/>
    <x v="21"/>
    <x v="3"/>
    <s v="P274"/>
    <x v="2"/>
    <n v="5"/>
    <n v="654.38"/>
    <x v="1"/>
    <n v="373.15"/>
    <s v="Returning"/>
    <s v="Digital"/>
    <n v="2617.5200000000004"/>
    <n v="751.77000000000044"/>
    <s v="Sunday"/>
    <x v="1"/>
  </r>
  <r>
    <s v="NV2311"/>
    <d v="2025-05-06T00:00:00"/>
    <x v="52"/>
    <x v="2"/>
    <s v="P267"/>
    <x v="1"/>
    <n v="2"/>
    <n v="378.31"/>
    <x v="1"/>
    <n v="205.81"/>
    <s v="Returning"/>
    <s v="Cash"/>
    <n v="605.29600000000005"/>
    <n v="193.67600000000004"/>
    <s v="Tuesday"/>
    <x v="0"/>
  </r>
  <r>
    <s v="NV2312"/>
    <d v="2025-04-02T00:00:00"/>
    <x v="42"/>
    <x v="0"/>
    <s v="P159"/>
    <x v="0"/>
    <n v="2"/>
    <n v="1644.41"/>
    <x v="5"/>
    <n v="1024.8699999999999"/>
    <s v="New"/>
    <s v="Cash"/>
    <n v="2466.6150000000002"/>
    <n v="416.87500000000045"/>
    <s v="Wednesday"/>
    <x v="0"/>
  </r>
  <r>
    <s v="NV2313"/>
    <d v="2025-11-06T00:00:00"/>
    <x v="38"/>
    <x v="0"/>
    <s v="P192"/>
    <x v="2"/>
    <n v="3"/>
    <n v="2486.04"/>
    <x v="1"/>
    <n v="1008.1"/>
    <s v="Returning"/>
    <s v="Digital"/>
    <n v="5966.4960000000001"/>
    <n v="2942.1959999999999"/>
    <s v="Thursday"/>
    <x v="0"/>
  </r>
  <r>
    <s v="NV2314"/>
    <d v="2024-11-17T00:00:00"/>
    <x v="41"/>
    <x v="1"/>
    <s v="P261"/>
    <x v="0"/>
    <n v="1"/>
    <n v="2633.87"/>
    <x v="0"/>
    <n v="1277.98"/>
    <s v="New"/>
    <s v="Cash"/>
    <n v="1843.7089999999998"/>
    <n v="565.72899999999981"/>
    <s v="Sunday"/>
    <x v="1"/>
  </r>
  <r>
    <s v="NV2315"/>
    <d v="2024-04-25T00:00:00"/>
    <x v="10"/>
    <x v="2"/>
    <s v="P130"/>
    <x v="1"/>
    <n v="5"/>
    <n v="2171.9"/>
    <x v="6"/>
    <n v="1509.96"/>
    <s v="New"/>
    <s v="Card"/>
    <n v="10859.5"/>
    <n v="3309.7"/>
    <s v="Thursday"/>
    <x v="0"/>
  </r>
  <r>
    <s v="NV2316"/>
    <d v="2025-11-24T00:00:00"/>
    <x v="25"/>
    <x v="2"/>
    <s v="P62"/>
    <x v="0"/>
    <n v="4"/>
    <n v="973"/>
    <x v="3"/>
    <n v="455.36"/>
    <s v="Returning"/>
    <s v="Cash"/>
    <n v="3502.8"/>
    <n v="1681.3600000000001"/>
    <s v="Monday"/>
    <x v="0"/>
  </r>
  <r>
    <s v="NV2317"/>
    <d v="2025-01-06T00:00:00"/>
    <x v="40"/>
    <x v="2"/>
    <s v="P178"/>
    <x v="2"/>
    <n v="4"/>
    <n v="2018.33"/>
    <x v="0"/>
    <n v="1380.19"/>
    <s v="New"/>
    <s v="Cash"/>
    <n v="5651.3239999999996"/>
    <n v="130.5639999999994"/>
    <s v="Monday"/>
    <x v="0"/>
  </r>
  <r>
    <s v="NV2318"/>
    <d v="2024-10-06T00:00:00"/>
    <x v="31"/>
    <x v="0"/>
    <s v="P166"/>
    <x v="0"/>
    <n v="1"/>
    <n v="2038.91"/>
    <x v="3"/>
    <n v="1335.71"/>
    <s v="Returning"/>
    <s v="Cash"/>
    <n v="1835.019"/>
    <n v="499.30899999999997"/>
    <s v="Sunday"/>
    <x v="1"/>
  </r>
  <r>
    <s v="NV2319"/>
    <d v="2024-06-14T00:00:00"/>
    <x v="42"/>
    <x v="0"/>
    <s v="P15"/>
    <x v="0"/>
    <n v="5"/>
    <n v="1906.43"/>
    <x v="3"/>
    <n v="933.22"/>
    <s v="Returning"/>
    <s v="Card"/>
    <n v="8578.9349999999995"/>
    <n v="3912.8349999999991"/>
    <s v="Friday"/>
    <x v="0"/>
  </r>
  <r>
    <s v="NV2320"/>
    <d v="2024-11-27T00:00:00"/>
    <x v="35"/>
    <x v="3"/>
    <s v="P180"/>
    <x v="2"/>
    <n v="3"/>
    <n v="985.03"/>
    <x v="3"/>
    <n v="586.72"/>
    <s v="Returning"/>
    <s v="Digital"/>
    <n v="2659.5810000000001"/>
    <n v="899.42100000000005"/>
    <s v="Wednesday"/>
    <x v="0"/>
  </r>
  <r>
    <s v="NV2321"/>
    <d v="2025-11-06T00:00:00"/>
    <x v="21"/>
    <x v="3"/>
    <s v="P292"/>
    <x v="2"/>
    <n v="5"/>
    <n v="1537.52"/>
    <x v="5"/>
    <n v="926.75"/>
    <s v="Returning"/>
    <s v="Cash"/>
    <n v="5765.7000000000007"/>
    <n v="1131.9500000000007"/>
    <s v="Thursday"/>
    <x v="0"/>
  </r>
  <r>
    <s v="NV2322"/>
    <d v="2024-07-07T00:00:00"/>
    <x v="1"/>
    <x v="3"/>
    <s v="P214"/>
    <x v="1"/>
    <n v="5"/>
    <n v="1241.8499999999999"/>
    <x v="5"/>
    <n v="729.07"/>
    <s v="Returning"/>
    <s v="Card"/>
    <n v="4656.9375"/>
    <n v="1011.5874999999996"/>
    <s v="Sunday"/>
    <x v="1"/>
  </r>
  <r>
    <s v="NV2323"/>
    <d v="2025-08-04T00:00:00"/>
    <x v="38"/>
    <x v="3"/>
    <s v="P156"/>
    <x v="1"/>
    <n v="4"/>
    <n v="1439.48"/>
    <x v="3"/>
    <n v="908.24"/>
    <s v="New"/>
    <s v="Card"/>
    <n v="5182.1280000000006"/>
    <n v="1549.1680000000006"/>
    <s v="Monday"/>
    <x v="0"/>
  </r>
  <r>
    <s v="NV2324"/>
    <d v="2025-04-13T00:00:00"/>
    <x v="46"/>
    <x v="3"/>
    <s v="P36"/>
    <x v="1"/>
    <n v="1"/>
    <n v="2909.85"/>
    <x v="2"/>
    <n v="1831.05"/>
    <s v="Returning"/>
    <s v="Card"/>
    <n v="2764.3574999999996"/>
    <n v="933.30749999999966"/>
    <s v="Sunday"/>
    <x v="1"/>
  </r>
  <r>
    <s v="NV2325"/>
    <d v="2025-03-22T00:00:00"/>
    <x v="17"/>
    <x v="0"/>
    <s v="P83"/>
    <x v="2"/>
    <n v="1"/>
    <n v="653.5"/>
    <x v="1"/>
    <n v="391.54"/>
    <s v="New"/>
    <s v="Digital"/>
    <n v="522.80000000000007"/>
    <n v="131.26000000000005"/>
    <s v="Saturday"/>
    <x v="1"/>
  </r>
  <r>
    <s v="NV2326"/>
    <d v="2025-09-05T00:00:00"/>
    <x v="52"/>
    <x v="0"/>
    <s v="P102"/>
    <x v="1"/>
    <n v="3"/>
    <n v="959.51"/>
    <x v="6"/>
    <n v="537.47"/>
    <s v="Returning"/>
    <s v="Cash"/>
    <n v="2878.5299999999997"/>
    <n v="1266.1199999999997"/>
    <s v="Friday"/>
    <x v="0"/>
  </r>
  <r>
    <s v="NV2327"/>
    <d v="2025-02-23T00:00:00"/>
    <x v="56"/>
    <x v="2"/>
    <s v="P63"/>
    <x v="1"/>
    <n v="4"/>
    <n v="356.52"/>
    <x v="6"/>
    <n v="170.06"/>
    <s v="New"/>
    <s v="Cash"/>
    <n v="1426.08"/>
    <n v="745.83999999999992"/>
    <s v="Sunday"/>
    <x v="1"/>
  </r>
  <r>
    <s v="NV2328"/>
    <d v="2025-09-08T00:00:00"/>
    <x v="56"/>
    <x v="1"/>
    <s v="P99"/>
    <x v="1"/>
    <n v="3"/>
    <n v="2421.36"/>
    <x v="0"/>
    <n v="1000.84"/>
    <s v="Returning"/>
    <s v="Digital"/>
    <n v="5084.8559999999998"/>
    <n v="2082.3359999999998"/>
    <s v="Monday"/>
    <x v="0"/>
  </r>
  <r>
    <s v="NV2329"/>
    <d v="2025-05-24T00:00:00"/>
    <x v="45"/>
    <x v="3"/>
    <s v="P280"/>
    <x v="1"/>
    <n v="1"/>
    <n v="899.52"/>
    <x v="0"/>
    <n v="499.29"/>
    <s v="New"/>
    <s v="Digital"/>
    <n v="629.66399999999999"/>
    <n v="130.37399999999997"/>
    <s v="Saturday"/>
    <x v="1"/>
  </r>
  <r>
    <s v="NV2330"/>
    <d v="2025-11-04T00:00:00"/>
    <x v="35"/>
    <x v="0"/>
    <s v="P148"/>
    <x v="1"/>
    <n v="5"/>
    <n v="703.31"/>
    <x v="5"/>
    <n v="356.41"/>
    <s v="Returning"/>
    <s v="Cash"/>
    <n v="2637.4124999999999"/>
    <n v="855.36249999999973"/>
    <s v="Tuesday"/>
    <x v="0"/>
  </r>
  <r>
    <s v="NV2331"/>
    <d v="2025-01-06T00:00:00"/>
    <x v="52"/>
    <x v="2"/>
    <s v="P185"/>
    <x v="2"/>
    <n v="5"/>
    <n v="460.99"/>
    <x v="5"/>
    <n v="220.16"/>
    <s v="Returning"/>
    <s v="Cash"/>
    <n v="1728.7124999999999"/>
    <n v="627.91249999999991"/>
    <s v="Monday"/>
    <x v="0"/>
  </r>
  <r>
    <s v="NV2332"/>
    <d v="2024-05-18T00:00:00"/>
    <x v="12"/>
    <x v="3"/>
    <s v="P96"/>
    <x v="0"/>
    <n v="3"/>
    <n v="1663.11"/>
    <x v="0"/>
    <n v="815.34"/>
    <s v="New"/>
    <s v="Card"/>
    <n v="3492.5309999999999"/>
    <n v="1046.511"/>
    <s v="Saturday"/>
    <x v="1"/>
  </r>
  <r>
    <s v="NV2333"/>
    <d v="2025-11-28T00:00:00"/>
    <x v="14"/>
    <x v="2"/>
    <s v="P242"/>
    <x v="1"/>
    <n v="2"/>
    <n v="1551.72"/>
    <x v="0"/>
    <n v="716.57"/>
    <s v="Returning"/>
    <s v="Card"/>
    <n v="2172.4079999999999"/>
    <n v="739.2679999999998"/>
    <s v="Friday"/>
    <x v="0"/>
  </r>
  <r>
    <s v="NV2334"/>
    <d v="2025-06-19T00:00:00"/>
    <x v="51"/>
    <x v="1"/>
    <s v="P227"/>
    <x v="1"/>
    <n v="1"/>
    <n v="1424.39"/>
    <x v="2"/>
    <n v="661.68"/>
    <s v="Returning"/>
    <s v="Digital"/>
    <n v="1353.1704999999999"/>
    <n v="691.4905"/>
    <s v="Thursday"/>
    <x v="0"/>
  </r>
  <r>
    <s v="NV2335"/>
    <d v="2025-03-08T00:00:00"/>
    <x v="44"/>
    <x v="2"/>
    <s v="P84"/>
    <x v="2"/>
    <n v="3"/>
    <n v="2545.6999999999998"/>
    <x v="2"/>
    <n v="1161.8900000000001"/>
    <s v="New"/>
    <s v="Cash"/>
    <n v="7255.244999999999"/>
    <n v="3769.5749999999989"/>
    <s v="Saturday"/>
    <x v="1"/>
  </r>
  <r>
    <s v="NV2336"/>
    <d v="2024-06-27T00:00:00"/>
    <x v="55"/>
    <x v="0"/>
    <s v="P250"/>
    <x v="0"/>
    <n v="1"/>
    <n v="2359.59"/>
    <x v="4"/>
    <n v="951"/>
    <s v="Returning"/>
    <s v="Card"/>
    <n v="2005.6515000000002"/>
    <n v="1054.6515000000002"/>
    <s v="Thursday"/>
    <x v="0"/>
  </r>
  <r>
    <s v="NV2337"/>
    <d v="2025-05-11T00:00:00"/>
    <x v="32"/>
    <x v="1"/>
    <s v="P297"/>
    <x v="0"/>
    <n v="2"/>
    <n v="2729.87"/>
    <x v="4"/>
    <n v="1131.93"/>
    <s v="New"/>
    <s v="Card"/>
    <n v="4640.7789999999995"/>
    <n v="2376.9189999999994"/>
    <s v="Sunday"/>
    <x v="1"/>
  </r>
  <r>
    <s v="NV2338"/>
    <d v="2024-06-13T00:00:00"/>
    <x v="45"/>
    <x v="3"/>
    <s v="P114"/>
    <x v="2"/>
    <n v="5"/>
    <n v="909.45"/>
    <x v="1"/>
    <n v="602.44000000000005"/>
    <s v="Returning"/>
    <s v="Digital"/>
    <n v="3637.8"/>
    <n v="625.59999999999991"/>
    <s v="Thursday"/>
    <x v="0"/>
  </r>
  <r>
    <s v="NV2339"/>
    <d v="2024-10-01T00:00:00"/>
    <x v="32"/>
    <x v="1"/>
    <s v="P110"/>
    <x v="0"/>
    <n v="3"/>
    <n v="946.38"/>
    <x v="6"/>
    <n v="425.57"/>
    <s v="Returning"/>
    <s v="Cash"/>
    <n v="2839.14"/>
    <n v="1562.4299999999998"/>
    <s v="Tuesday"/>
    <x v="0"/>
  </r>
  <r>
    <s v="NV2340"/>
    <d v="2024-12-12T00:00:00"/>
    <x v="19"/>
    <x v="1"/>
    <s v="P118"/>
    <x v="2"/>
    <n v="1"/>
    <n v="2942.8"/>
    <x v="5"/>
    <n v="1844.03"/>
    <s v="Returning"/>
    <s v="Digital"/>
    <n v="2207.1000000000004"/>
    <n v="363.07000000000039"/>
    <s v="Thursday"/>
    <x v="0"/>
  </r>
  <r>
    <s v="NV2341"/>
    <d v="2024-04-23T00:00:00"/>
    <x v="16"/>
    <x v="1"/>
    <s v="P231"/>
    <x v="2"/>
    <n v="2"/>
    <n v="2424.83"/>
    <x v="5"/>
    <n v="1686.85"/>
    <s v="New"/>
    <s v="Card"/>
    <n v="3637.2449999999999"/>
    <n v="263.54500000000007"/>
    <s v="Tuesday"/>
    <x v="0"/>
  </r>
  <r>
    <s v="NV2342"/>
    <d v="2024-05-09T00:00:00"/>
    <x v="8"/>
    <x v="3"/>
    <s v="P196"/>
    <x v="1"/>
    <n v="4"/>
    <n v="2145.9499999999998"/>
    <x v="2"/>
    <n v="1387.7"/>
    <s v="Returning"/>
    <s v="Cash"/>
    <n v="8154.6099999999988"/>
    <n v="2603.8099999999986"/>
    <s v="Thursday"/>
    <x v="0"/>
  </r>
  <r>
    <s v="NV2343"/>
    <d v="2025-06-27T00:00:00"/>
    <x v="11"/>
    <x v="2"/>
    <s v="P172"/>
    <x v="0"/>
    <n v="5"/>
    <n v="2916.79"/>
    <x v="3"/>
    <n v="1452.71"/>
    <s v="New"/>
    <s v="Cash"/>
    <n v="13125.555"/>
    <n v="5862.0050000000001"/>
    <s v="Friday"/>
    <x v="0"/>
  </r>
  <r>
    <s v="NV2344"/>
    <d v="2024-12-05T00:00:00"/>
    <x v="55"/>
    <x v="2"/>
    <s v="P299"/>
    <x v="1"/>
    <n v="5"/>
    <n v="502.01"/>
    <x v="6"/>
    <n v="346.69"/>
    <s v="Returning"/>
    <s v="Digital"/>
    <n v="2510.0500000000002"/>
    <n v="776.60000000000014"/>
    <s v="Thursday"/>
    <x v="0"/>
  </r>
  <r>
    <s v="NV2345"/>
    <d v="2025-04-24T00:00:00"/>
    <x v="1"/>
    <x v="3"/>
    <s v="P162"/>
    <x v="1"/>
    <n v="2"/>
    <n v="639.11"/>
    <x v="6"/>
    <n v="376.78"/>
    <s v="New"/>
    <s v="Digital"/>
    <n v="1278.22"/>
    <n v="524.66000000000008"/>
    <s v="Thursday"/>
    <x v="0"/>
  </r>
  <r>
    <s v="NV2346"/>
    <d v="2025-10-20T00:00:00"/>
    <x v="49"/>
    <x v="0"/>
    <s v="P194"/>
    <x v="1"/>
    <n v="4"/>
    <n v="2977.94"/>
    <x v="5"/>
    <n v="1629.96"/>
    <s v="New"/>
    <s v="Cash"/>
    <n v="8933.82"/>
    <n v="2413.9799999999996"/>
    <s v="Monday"/>
    <x v="0"/>
  </r>
  <r>
    <s v="NV2347"/>
    <d v="2024-05-14T00:00:00"/>
    <x v="20"/>
    <x v="3"/>
    <s v="P17"/>
    <x v="0"/>
    <n v="1"/>
    <n v="2090.56"/>
    <x v="3"/>
    <n v="1161.53"/>
    <s v="Returning"/>
    <s v="Card"/>
    <n v="1881.5039999999999"/>
    <n v="719.97399999999993"/>
    <s v="Tuesday"/>
    <x v="0"/>
  </r>
  <r>
    <s v="NV2348"/>
    <d v="2024-05-10T00:00:00"/>
    <x v="37"/>
    <x v="0"/>
    <s v="P260"/>
    <x v="2"/>
    <n v="2"/>
    <n v="2173.7600000000002"/>
    <x v="1"/>
    <n v="1140.3"/>
    <s v="Returning"/>
    <s v="Cash"/>
    <n v="3478.0160000000005"/>
    <n v="1197.4160000000006"/>
    <s v="Friday"/>
    <x v="0"/>
  </r>
  <r>
    <s v="NV2349"/>
    <d v="2025-11-03T00:00:00"/>
    <x v="22"/>
    <x v="2"/>
    <s v="P114"/>
    <x v="1"/>
    <n v="2"/>
    <n v="2514.36"/>
    <x v="0"/>
    <n v="1731.74"/>
    <s v="Returning"/>
    <s v="Cash"/>
    <n v="3520.1039999999998"/>
    <n v="56.623999999999796"/>
    <s v="Monday"/>
    <x v="0"/>
  </r>
  <r>
    <s v="NV2350"/>
    <d v="2024-03-21T00:00:00"/>
    <x v="8"/>
    <x v="2"/>
    <s v="P23"/>
    <x v="1"/>
    <n v="4"/>
    <n v="2758.85"/>
    <x v="5"/>
    <n v="1589.59"/>
    <s v="New"/>
    <s v="Digital"/>
    <n v="8276.5499999999993"/>
    <n v="1918.1899999999996"/>
    <s v="Thursday"/>
    <x v="0"/>
  </r>
  <r>
    <s v="NV2351"/>
    <d v="2024-04-07T00:00:00"/>
    <x v="6"/>
    <x v="1"/>
    <s v="P104"/>
    <x v="2"/>
    <n v="1"/>
    <n v="2953.36"/>
    <x v="3"/>
    <n v="1931.73"/>
    <s v="Returning"/>
    <s v="Digital"/>
    <n v="2658.0240000000003"/>
    <n v="726.29400000000032"/>
    <s v="Sunday"/>
    <x v="1"/>
  </r>
  <r>
    <s v="NV2352"/>
    <d v="2024-01-09T00:00:00"/>
    <x v="4"/>
    <x v="3"/>
    <s v="P165"/>
    <x v="1"/>
    <n v="2"/>
    <n v="2878.04"/>
    <x v="3"/>
    <n v="1927.39"/>
    <s v="New"/>
    <s v="Digital"/>
    <n v="5180.4719999999998"/>
    <n v="1325.6919999999996"/>
    <s v="Tuesday"/>
    <x v="0"/>
  </r>
  <r>
    <s v="NV2353"/>
    <d v="2024-12-31T00:00:00"/>
    <x v="38"/>
    <x v="0"/>
    <s v="P204"/>
    <x v="0"/>
    <n v="4"/>
    <n v="2582.0300000000002"/>
    <x v="5"/>
    <n v="1189.98"/>
    <s v="Returning"/>
    <s v="Digital"/>
    <n v="7746.09"/>
    <n v="2986.17"/>
    <s v="Tuesday"/>
    <x v="0"/>
  </r>
  <r>
    <s v="NV2354"/>
    <d v="2024-08-24T00:00:00"/>
    <x v="18"/>
    <x v="1"/>
    <s v="P131"/>
    <x v="2"/>
    <n v="2"/>
    <n v="1125.07"/>
    <x v="2"/>
    <n v="524.51"/>
    <s v="Returning"/>
    <s v="Cash"/>
    <n v="2137.6329999999998"/>
    <n v="1088.6129999999998"/>
    <s v="Saturday"/>
    <x v="1"/>
  </r>
  <r>
    <s v="NV2355"/>
    <d v="2024-01-19T00:00:00"/>
    <x v="14"/>
    <x v="0"/>
    <s v="P249"/>
    <x v="2"/>
    <n v="5"/>
    <n v="564.47"/>
    <x v="3"/>
    <n v="358.49"/>
    <s v="Returning"/>
    <s v="Cash"/>
    <n v="2540.1150000000002"/>
    <n v="747.66500000000019"/>
    <s v="Friday"/>
    <x v="0"/>
  </r>
  <r>
    <s v="NV2356"/>
    <d v="2024-10-02T00:00:00"/>
    <x v="22"/>
    <x v="3"/>
    <s v="P238"/>
    <x v="2"/>
    <n v="3"/>
    <n v="2600.79"/>
    <x v="6"/>
    <n v="1592.25"/>
    <s v="New"/>
    <s v="Cash"/>
    <n v="7802.37"/>
    <n v="3025.62"/>
    <s v="Wednesday"/>
    <x v="0"/>
  </r>
  <r>
    <s v="NV2357"/>
    <d v="2024-01-12T00:00:00"/>
    <x v="53"/>
    <x v="0"/>
    <s v="P9"/>
    <x v="0"/>
    <n v="2"/>
    <n v="2299.9499999999998"/>
    <x v="2"/>
    <n v="1442.2"/>
    <s v="Returning"/>
    <s v="Cash"/>
    <n v="4369.9049999999997"/>
    <n v="1485.5049999999997"/>
    <s v="Friday"/>
    <x v="0"/>
  </r>
  <r>
    <s v="NV2358"/>
    <d v="2025-01-17T00:00:00"/>
    <x v="52"/>
    <x v="2"/>
    <s v="P64"/>
    <x v="1"/>
    <n v="5"/>
    <n v="1676.82"/>
    <x v="6"/>
    <n v="1011.97"/>
    <s v="Returning"/>
    <s v="Cash"/>
    <n v="8384.1"/>
    <n v="3324.25"/>
    <s v="Friday"/>
    <x v="0"/>
  </r>
  <r>
    <s v="NV2359"/>
    <d v="2025-05-17T00:00:00"/>
    <x v="40"/>
    <x v="0"/>
    <s v="P215"/>
    <x v="2"/>
    <n v="1"/>
    <n v="431.84"/>
    <x v="0"/>
    <n v="187.51"/>
    <s v="New"/>
    <s v="Cash"/>
    <n v="302.28799999999995"/>
    <n v="114.77799999999996"/>
    <s v="Saturday"/>
    <x v="1"/>
  </r>
  <r>
    <s v="NV2360"/>
    <d v="2025-04-27T00:00:00"/>
    <x v="37"/>
    <x v="0"/>
    <s v="P211"/>
    <x v="1"/>
    <n v="2"/>
    <n v="403.02"/>
    <x v="1"/>
    <n v="217.01"/>
    <s v="New"/>
    <s v="Cash"/>
    <n v="644.83199999999999"/>
    <n v="210.81200000000001"/>
    <s v="Sunday"/>
    <x v="1"/>
  </r>
  <r>
    <s v="NV2361"/>
    <d v="2025-03-15T00:00:00"/>
    <x v="2"/>
    <x v="2"/>
    <s v="P75"/>
    <x v="0"/>
    <n v="1"/>
    <n v="365.26"/>
    <x v="5"/>
    <n v="202.23"/>
    <s v="Returning"/>
    <s v="Cash"/>
    <n v="273.94499999999999"/>
    <n v="71.715000000000003"/>
    <s v="Saturday"/>
    <x v="1"/>
  </r>
  <r>
    <s v="NV2362"/>
    <d v="2024-01-04T00:00:00"/>
    <x v="50"/>
    <x v="0"/>
    <s v="P259"/>
    <x v="1"/>
    <n v="4"/>
    <n v="2029.05"/>
    <x v="1"/>
    <n v="820.99"/>
    <s v="Returning"/>
    <s v="Cash"/>
    <n v="6492.96"/>
    <n v="3209"/>
    <s v="Thursday"/>
    <x v="0"/>
  </r>
  <r>
    <s v="NV2363"/>
    <d v="2025-07-14T00:00:00"/>
    <x v="25"/>
    <x v="2"/>
    <s v="P241"/>
    <x v="0"/>
    <n v="4"/>
    <n v="1411.22"/>
    <x v="4"/>
    <n v="856.44"/>
    <s v="Returning"/>
    <s v="Cash"/>
    <n v="4798.1480000000001"/>
    <n v="1372.3879999999999"/>
    <s v="Monday"/>
    <x v="0"/>
  </r>
  <r>
    <s v="NV2364"/>
    <d v="2024-10-30T00:00:00"/>
    <x v="55"/>
    <x v="1"/>
    <s v="P219"/>
    <x v="1"/>
    <n v="3"/>
    <n v="905.69"/>
    <x v="2"/>
    <n v="412.4"/>
    <s v="New"/>
    <s v="Card"/>
    <n v="2581.2165"/>
    <n v="1344.0165000000002"/>
    <s v="Wednesday"/>
    <x v="0"/>
  </r>
  <r>
    <s v="NV2365"/>
    <d v="2025-07-12T00:00:00"/>
    <x v="50"/>
    <x v="2"/>
    <s v="P210"/>
    <x v="0"/>
    <n v="2"/>
    <n v="2365.13"/>
    <x v="0"/>
    <n v="973.67"/>
    <s v="Returning"/>
    <s v="Card"/>
    <n v="3311.1819999999998"/>
    <n v="1363.8419999999999"/>
    <s v="Saturday"/>
    <x v="1"/>
  </r>
  <r>
    <s v="NV2366"/>
    <d v="2025-07-11T00:00:00"/>
    <x v="24"/>
    <x v="3"/>
    <s v="P187"/>
    <x v="0"/>
    <n v="1"/>
    <n v="2553.87"/>
    <x v="3"/>
    <n v="1774.78"/>
    <s v="New"/>
    <s v="Card"/>
    <n v="2298.4830000000002"/>
    <n v="523.7030000000002"/>
    <s v="Friday"/>
    <x v="0"/>
  </r>
  <r>
    <s v="NV2367"/>
    <d v="2024-02-08T00:00:00"/>
    <x v="22"/>
    <x v="0"/>
    <s v="P68"/>
    <x v="1"/>
    <n v="4"/>
    <n v="2193.36"/>
    <x v="4"/>
    <n v="1163.67"/>
    <s v="Returning"/>
    <s v="Digital"/>
    <n v="7457.424"/>
    <n v="2802.7439999999997"/>
    <s v="Thursday"/>
    <x v="0"/>
  </r>
  <r>
    <s v="NV2368"/>
    <d v="2025-06-26T00:00:00"/>
    <x v="45"/>
    <x v="1"/>
    <s v="P247"/>
    <x v="0"/>
    <n v="2"/>
    <n v="714.72"/>
    <x v="0"/>
    <n v="455.62"/>
    <s v="Returning"/>
    <s v="Cash"/>
    <n v="1000.6079999999999"/>
    <n v="89.367999999999938"/>
    <s v="Thursday"/>
    <x v="0"/>
  </r>
  <r>
    <s v="NV2369"/>
    <d v="2024-01-30T00:00:00"/>
    <x v="1"/>
    <x v="0"/>
    <s v="P211"/>
    <x v="0"/>
    <n v="2"/>
    <n v="2954.88"/>
    <x v="1"/>
    <n v="2037.42"/>
    <s v="Returning"/>
    <s v="Cash"/>
    <n v="4727.808"/>
    <n v="652.96799999999985"/>
    <s v="Tuesday"/>
    <x v="0"/>
  </r>
  <r>
    <s v="NV2370"/>
    <d v="2025-08-07T00:00:00"/>
    <x v="32"/>
    <x v="0"/>
    <s v="P140"/>
    <x v="2"/>
    <n v="4"/>
    <n v="2980.69"/>
    <x v="1"/>
    <n v="1635.14"/>
    <s v="New"/>
    <s v="Cash"/>
    <n v="9538.2080000000005"/>
    <n v="2997.6480000000001"/>
    <s v="Thursday"/>
    <x v="0"/>
  </r>
  <r>
    <s v="NV2371"/>
    <d v="2025-09-29T00:00:00"/>
    <x v="25"/>
    <x v="1"/>
    <s v="P209"/>
    <x v="2"/>
    <n v="5"/>
    <n v="1651.29"/>
    <x v="4"/>
    <n v="939.76"/>
    <s v="Returning"/>
    <s v="Digital"/>
    <n v="7017.9825000000001"/>
    <n v="2319.1824999999999"/>
    <s v="Monday"/>
    <x v="0"/>
  </r>
  <r>
    <s v="NV2372"/>
    <d v="2024-02-17T00:00:00"/>
    <x v="29"/>
    <x v="3"/>
    <s v="P297"/>
    <x v="1"/>
    <n v="3"/>
    <n v="1123.42"/>
    <x v="0"/>
    <n v="731.22"/>
    <s v="Returning"/>
    <s v="Card"/>
    <n v="2359.1819999999998"/>
    <n v="165.52199999999993"/>
    <s v="Saturday"/>
    <x v="1"/>
  </r>
  <r>
    <s v="NV2373"/>
    <d v="2025-04-20T00:00:00"/>
    <x v="24"/>
    <x v="2"/>
    <s v="P116"/>
    <x v="0"/>
    <n v="4"/>
    <n v="1957.42"/>
    <x v="1"/>
    <n v="1173.46"/>
    <s v="New"/>
    <s v="Cash"/>
    <n v="6263.7440000000006"/>
    <n v="1569.9040000000005"/>
    <s v="Sunday"/>
    <x v="1"/>
  </r>
  <r>
    <s v="NV2374"/>
    <d v="2024-04-14T00:00:00"/>
    <x v="14"/>
    <x v="3"/>
    <s v="P199"/>
    <x v="0"/>
    <n v="1"/>
    <n v="1476.9"/>
    <x v="5"/>
    <n v="905.82"/>
    <s v="New"/>
    <s v="Card"/>
    <n v="1107.6750000000002"/>
    <n v="201.85500000000013"/>
    <s v="Sunday"/>
    <x v="1"/>
  </r>
  <r>
    <s v="NV2375"/>
    <d v="2024-10-06T00:00:00"/>
    <x v="51"/>
    <x v="0"/>
    <s v="P66"/>
    <x v="0"/>
    <n v="4"/>
    <n v="1273.58"/>
    <x v="5"/>
    <n v="843.21"/>
    <s v="Returning"/>
    <s v="Cash"/>
    <n v="3820.74"/>
    <n v="447.89999999999964"/>
    <s v="Sunday"/>
    <x v="1"/>
  </r>
  <r>
    <s v="NV2376"/>
    <d v="2024-03-28T00:00:00"/>
    <x v="32"/>
    <x v="0"/>
    <s v="P211"/>
    <x v="1"/>
    <n v="1"/>
    <n v="1500.28"/>
    <x v="5"/>
    <n v="941.83"/>
    <s v="New"/>
    <s v="Digital"/>
    <n v="1125.21"/>
    <n v="183.38"/>
    <s v="Thursday"/>
    <x v="0"/>
  </r>
  <r>
    <s v="NV2377"/>
    <d v="2024-01-23T00:00:00"/>
    <x v="16"/>
    <x v="0"/>
    <s v="P5"/>
    <x v="0"/>
    <n v="5"/>
    <n v="539.48"/>
    <x v="2"/>
    <n v="366.86"/>
    <s v="New"/>
    <s v="Digital"/>
    <n v="2562.5299999999997"/>
    <n v="728.22999999999956"/>
    <s v="Tuesday"/>
    <x v="0"/>
  </r>
  <r>
    <s v="NV2378"/>
    <d v="2025-04-17T00:00:00"/>
    <x v="7"/>
    <x v="1"/>
    <s v="P81"/>
    <x v="0"/>
    <n v="1"/>
    <n v="1503.73"/>
    <x v="3"/>
    <n v="826.9"/>
    <s v="Returning"/>
    <s v="Digital"/>
    <n v="1353.357"/>
    <n v="526.45699999999999"/>
    <s v="Thursday"/>
    <x v="0"/>
  </r>
  <r>
    <s v="NV2379"/>
    <d v="2025-11-09T00:00:00"/>
    <x v="29"/>
    <x v="3"/>
    <s v="P280"/>
    <x v="2"/>
    <n v="3"/>
    <n v="1727.44"/>
    <x v="3"/>
    <n v="976.29"/>
    <s v="Returning"/>
    <s v="Card"/>
    <n v="4664.0879999999997"/>
    <n v="1735.2179999999998"/>
    <s v="Sunday"/>
    <x v="1"/>
  </r>
  <r>
    <s v="NV2380"/>
    <d v="2025-03-11T00:00:00"/>
    <x v="44"/>
    <x v="3"/>
    <s v="P1"/>
    <x v="2"/>
    <n v="3"/>
    <n v="1714.2"/>
    <x v="4"/>
    <n v="699.12"/>
    <s v="New"/>
    <s v="Cash"/>
    <n v="4371.21"/>
    <n v="2273.85"/>
    <s v="Tuesday"/>
    <x v="0"/>
  </r>
  <r>
    <s v="NV2381"/>
    <d v="2024-10-22T00:00:00"/>
    <x v="13"/>
    <x v="2"/>
    <s v="P37"/>
    <x v="0"/>
    <n v="1"/>
    <n v="430.6"/>
    <x v="2"/>
    <n v="212.93"/>
    <s v="Returning"/>
    <s v="Cash"/>
    <n v="409.07"/>
    <n v="196.14"/>
    <s v="Tuesday"/>
    <x v="0"/>
  </r>
  <r>
    <s v="NV2382"/>
    <d v="2025-02-21T00:00:00"/>
    <x v="41"/>
    <x v="1"/>
    <s v="P171"/>
    <x v="1"/>
    <n v="2"/>
    <n v="2257.8000000000002"/>
    <x v="6"/>
    <n v="1085.82"/>
    <s v="New"/>
    <s v="Digital"/>
    <n v="4515.6000000000004"/>
    <n v="2343.9600000000005"/>
    <s v="Friday"/>
    <x v="0"/>
  </r>
  <r>
    <s v="NV2383"/>
    <d v="2025-02-11T00:00:00"/>
    <x v="46"/>
    <x v="0"/>
    <s v="P247"/>
    <x v="2"/>
    <n v="3"/>
    <n v="2619.19"/>
    <x v="2"/>
    <n v="1169.0899999999999"/>
    <s v="New"/>
    <s v="Card"/>
    <n v="7464.691499999999"/>
    <n v="3957.4214999999995"/>
    <s v="Tuesday"/>
    <x v="0"/>
  </r>
  <r>
    <s v="NV2384"/>
    <d v="2024-04-12T00:00:00"/>
    <x v="1"/>
    <x v="0"/>
    <s v="P27"/>
    <x v="1"/>
    <n v="2"/>
    <n v="1571.21"/>
    <x v="4"/>
    <n v="955.32"/>
    <s v="Returning"/>
    <s v="Cash"/>
    <n v="2671.0569999999998"/>
    <n v="760.41699999999969"/>
    <s v="Friday"/>
    <x v="0"/>
  </r>
  <r>
    <s v="NV2385"/>
    <d v="2024-08-10T00:00:00"/>
    <x v="27"/>
    <x v="2"/>
    <s v="P264"/>
    <x v="1"/>
    <n v="3"/>
    <n v="420.71"/>
    <x v="6"/>
    <n v="224.28"/>
    <s v="Returning"/>
    <s v="Card"/>
    <n v="1262.1299999999999"/>
    <n v="589.28999999999985"/>
    <s v="Saturday"/>
    <x v="1"/>
  </r>
  <r>
    <s v="NV2386"/>
    <d v="2025-04-27T00:00:00"/>
    <x v="39"/>
    <x v="1"/>
    <s v="P213"/>
    <x v="2"/>
    <n v="1"/>
    <n v="1948.52"/>
    <x v="5"/>
    <n v="1321.47"/>
    <s v="New"/>
    <s v="Cash"/>
    <n v="1461.3899999999999"/>
    <n v="139.91999999999985"/>
    <s v="Sunday"/>
    <x v="1"/>
  </r>
  <r>
    <s v="NV2387"/>
    <d v="2024-10-17T00:00:00"/>
    <x v="39"/>
    <x v="1"/>
    <s v="P129"/>
    <x v="2"/>
    <n v="3"/>
    <n v="2761.07"/>
    <x v="2"/>
    <n v="1587.84"/>
    <s v="New"/>
    <s v="Cash"/>
    <n v="7869.0495000000001"/>
    <n v="3105.5295000000006"/>
    <s v="Thursday"/>
    <x v="0"/>
  </r>
  <r>
    <s v="NV2388"/>
    <d v="2025-09-03T00:00:00"/>
    <x v="50"/>
    <x v="0"/>
    <s v="P213"/>
    <x v="1"/>
    <n v="2"/>
    <n v="977.13"/>
    <x v="2"/>
    <n v="508.19"/>
    <s v="New"/>
    <s v="Digital"/>
    <n v="1856.5469999999998"/>
    <n v="840.1669999999998"/>
    <s v="Wednesday"/>
    <x v="0"/>
  </r>
  <r>
    <s v="NV2389"/>
    <d v="2024-04-10T00:00:00"/>
    <x v="44"/>
    <x v="1"/>
    <s v="P271"/>
    <x v="0"/>
    <n v="4"/>
    <n v="1160.55"/>
    <x v="5"/>
    <n v="672.85"/>
    <s v="Returning"/>
    <s v="Digital"/>
    <n v="3481.6499999999996"/>
    <n v="790.24999999999955"/>
    <s v="Wednesday"/>
    <x v="0"/>
  </r>
  <r>
    <s v="NV2390"/>
    <d v="2025-09-10T00:00:00"/>
    <x v="20"/>
    <x v="3"/>
    <s v="P108"/>
    <x v="2"/>
    <n v="3"/>
    <n v="1964.36"/>
    <x v="3"/>
    <n v="824.22"/>
    <s v="New"/>
    <s v="Card"/>
    <n v="5303.7719999999999"/>
    <n v="2831.1120000000001"/>
    <s v="Wednesday"/>
    <x v="0"/>
  </r>
  <r>
    <s v="NV2391"/>
    <d v="2024-11-16T00:00:00"/>
    <x v="13"/>
    <x v="3"/>
    <s v="P102"/>
    <x v="1"/>
    <n v="4"/>
    <n v="717.77"/>
    <x v="4"/>
    <n v="331.1"/>
    <s v="New"/>
    <s v="Card"/>
    <n v="2440.4179999999997"/>
    <n v="1116.0179999999996"/>
    <s v="Saturday"/>
    <x v="1"/>
  </r>
  <r>
    <s v="NV2392"/>
    <d v="2024-06-16T00:00:00"/>
    <x v="1"/>
    <x v="3"/>
    <s v="P84"/>
    <x v="2"/>
    <n v="2"/>
    <n v="388.99"/>
    <x v="4"/>
    <n v="203.92"/>
    <s v="Returning"/>
    <s v="Digital"/>
    <n v="661.28300000000002"/>
    <n v="253.44300000000004"/>
    <s v="Sunday"/>
    <x v="1"/>
  </r>
  <r>
    <s v="NV2393"/>
    <d v="2024-04-06T00:00:00"/>
    <x v="41"/>
    <x v="3"/>
    <s v="P237"/>
    <x v="1"/>
    <n v="4"/>
    <n v="501.03"/>
    <x v="1"/>
    <n v="345.19"/>
    <s v="New"/>
    <s v="Card"/>
    <n v="1603.296"/>
    <n v="222.53600000000006"/>
    <s v="Saturday"/>
    <x v="1"/>
  </r>
  <r>
    <s v="NV2394"/>
    <d v="2025-10-08T00:00:00"/>
    <x v="51"/>
    <x v="2"/>
    <s v="P278"/>
    <x v="0"/>
    <n v="2"/>
    <n v="2765.61"/>
    <x v="6"/>
    <n v="1813.92"/>
    <s v="Returning"/>
    <s v="Digital"/>
    <n v="5531.22"/>
    <n v="1903.38"/>
    <s v="Wednesday"/>
    <x v="0"/>
  </r>
  <r>
    <s v="NV2395"/>
    <d v="2024-06-27T00:00:00"/>
    <x v="33"/>
    <x v="3"/>
    <s v="P28"/>
    <x v="1"/>
    <n v="5"/>
    <n v="2138.2600000000002"/>
    <x v="4"/>
    <n v="1276.95"/>
    <s v="Returning"/>
    <s v="Digital"/>
    <n v="9087.6050000000014"/>
    <n v="2702.8550000000014"/>
    <s v="Thursday"/>
    <x v="0"/>
  </r>
  <r>
    <s v="NV2396"/>
    <d v="2024-07-12T00:00:00"/>
    <x v="49"/>
    <x v="3"/>
    <s v="P283"/>
    <x v="0"/>
    <n v="4"/>
    <n v="2126.46"/>
    <x v="1"/>
    <n v="1257.1300000000001"/>
    <s v="New"/>
    <s v="Cash"/>
    <n v="6804.6720000000005"/>
    <n v="1776.152"/>
    <s v="Friday"/>
    <x v="0"/>
  </r>
  <r>
    <s v="NV2397"/>
    <d v="2025-08-26T00:00:00"/>
    <x v="5"/>
    <x v="0"/>
    <s v="P148"/>
    <x v="0"/>
    <n v="2"/>
    <n v="2407.3000000000002"/>
    <x v="1"/>
    <n v="1255.93"/>
    <s v="New"/>
    <s v="Digital"/>
    <n v="3851.6800000000003"/>
    <n v="1339.8200000000002"/>
    <s v="Tuesday"/>
    <x v="0"/>
  </r>
  <r>
    <s v="NV2398"/>
    <d v="2024-10-19T00:00:00"/>
    <x v="56"/>
    <x v="0"/>
    <s v="P189"/>
    <x v="2"/>
    <n v="1"/>
    <n v="516.92999999999995"/>
    <x v="3"/>
    <n v="270.23"/>
    <s v="Returning"/>
    <s v="Card"/>
    <n v="465.23699999999997"/>
    <n v="195.00699999999995"/>
    <s v="Saturday"/>
    <x v="1"/>
  </r>
  <r>
    <s v="NV2399"/>
    <d v="2024-07-30T00:00:00"/>
    <x v="3"/>
    <x v="0"/>
    <s v="P114"/>
    <x v="2"/>
    <n v="2"/>
    <n v="651.32000000000005"/>
    <x v="2"/>
    <n v="366.69"/>
    <s v="New"/>
    <s v="Digital"/>
    <n v="1237.508"/>
    <n v="504.12800000000004"/>
    <s v="Tuesday"/>
    <x v="0"/>
  </r>
  <r>
    <s v="NV2400"/>
    <d v="2024-12-12T00:00:00"/>
    <x v="6"/>
    <x v="2"/>
    <s v="P293"/>
    <x v="2"/>
    <n v="3"/>
    <n v="900.21"/>
    <x v="3"/>
    <n v="393.62"/>
    <s v="Returning"/>
    <s v="Digital"/>
    <n v="2430.567"/>
    <n v="1249.7069999999999"/>
    <s v="Thursday"/>
    <x v="0"/>
  </r>
  <r>
    <s v="NV2401"/>
    <d v="2025-08-14T00:00:00"/>
    <x v="35"/>
    <x v="0"/>
    <s v="P10"/>
    <x v="1"/>
    <n v="2"/>
    <n v="1087.1099999999999"/>
    <x v="4"/>
    <n v="585.14"/>
    <s v="New"/>
    <s v="Cash"/>
    <n v="1848.0869999999998"/>
    <n v="677.80699999999979"/>
    <s v="Thursday"/>
    <x v="0"/>
  </r>
  <r>
    <s v="NV2402"/>
    <d v="2024-12-28T00:00:00"/>
    <x v="7"/>
    <x v="2"/>
    <s v="P51"/>
    <x v="0"/>
    <n v="4"/>
    <n v="903.89"/>
    <x v="5"/>
    <n v="464.08"/>
    <s v="New"/>
    <s v="Cash"/>
    <n v="2711.67"/>
    <n v="855.35000000000014"/>
    <s v="Saturday"/>
    <x v="1"/>
  </r>
  <r>
    <s v="NV2403"/>
    <d v="2024-08-21T00:00:00"/>
    <x v="7"/>
    <x v="3"/>
    <s v="P34"/>
    <x v="1"/>
    <n v="1"/>
    <n v="1894.82"/>
    <x v="5"/>
    <n v="895.39"/>
    <s v="Returning"/>
    <s v="Card"/>
    <n v="1421.115"/>
    <n v="525.72500000000002"/>
    <s v="Wednesday"/>
    <x v="0"/>
  </r>
  <r>
    <s v="NV2404"/>
    <d v="2024-01-20T00:00:00"/>
    <x v="45"/>
    <x v="1"/>
    <s v="P127"/>
    <x v="1"/>
    <n v="4"/>
    <n v="701.3"/>
    <x v="6"/>
    <n v="449.54"/>
    <s v="New"/>
    <s v="Digital"/>
    <n v="2805.2"/>
    <n v="1007.0399999999997"/>
    <s v="Saturday"/>
    <x v="1"/>
  </r>
  <r>
    <s v="NV2405"/>
    <d v="2025-05-19T00:00:00"/>
    <x v="22"/>
    <x v="0"/>
    <s v="P5"/>
    <x v="2"/>
    <n v="5"/>
    <n v="2664.42"/>
    <x v="0"/>
    <n v="1585.28"/>
    <s v="Returning"/>
    <s v="Digital"/>
    <n v="9325.4699999999993"/>
    <n v="1399.0699999999997"/>
    <s v="Monday"/>
    <x v="0"/>
  </r>
  <r>
    <s v="NV2406"/>
    <d v="2024-03-19T00:00:00"/>
    <x v="18"/>
    <x v="0"/>
    <s v="P3"/>
    <x v="0"/>
    <n v="3"/>
    <n v="1434.45"/>
    <x v="2"/>
    <n v="716.82"/>
    <s v="Returning"/>
    <s v="Cash"/>
    <n v="4088.1825000000003"/>
    <n v="1937.7225000000003"/>
    <s v="Tuesday"/>
    <x v="0"/>
  </r>
  <r>
    <s v="NV2407"/>
    <d v="2025-10-01T00:00:00"/>
    <x v="33"/>
    <x v="3"/>
    <s v="P264"/>
    <x v="1"/>
    <n v="1"/>
    <n v="2101.7199999999998"/>
    <x v="3"/>
    <n v="1093.74"/>
    <s v="New"/>
    <s v="Cash"/>
    <n v="1891.5479999999998"/>
    <n v="797.80799999999977"/>
    <s v="Wednesday"/>
    <x v="0"/>
  </r>
  <r>
    <s v="NV2408"/>
    <d v="2025-03-16T00:00:00"/>
    <x v="15"/>
    <x v="0"/>
    <s v="P63"/>
    <x v="2"/>
    <n v="1"/>
    <n v="1324.63"/>
    <x v="0"/>
    <n v="615.72"/>
    <s v="New"/>
    <s v="Card"/>
    <n v="927.24099999999999"/>
    <n v="311.52099999999996"/>
    <s v="Sunday"/>
    <x v="1"/>
  </r>
  <r>
    <s v="NV2409"/>
    <d v="2025-03-08T00:00:00"/>
    <x v="55"/>
    <x v="2"/>
    <s v="P262"/>
    <x v="1"/>
    <n v="2"/>
    <n v="537.72"/>
    <x v="4"/>
    <n v="276.69"/>
    <s v="New"/>
    <s v="Card"/>
    <n v="914.12400000000002"/>
    <n v="360.74400000000003"/>
    <s v="Saturday"/>
    <x v="1"/>
  </r>
  <r>
    <s v="NV2410"/>
    <d v="2025-08-06T00:00:00"/>
    <x v="26"/>
    <x v="0"/>
    <s v="P272"/>
    <x v="0"/>
    <n v="4"/>
    <n v="1191.29"/>
    <x v="0"/>
    <n v="679.17"/>
    <s v="New"/>
    <s v="Cash"/>
    <n v="3335.6119999999996"/>
    <n v="618.93199999999979"/>
    <s v="Wednesday"/>
    <x v="0"/>
  </r>
  <r>
    <s v="NV2411"/>
    <d v="2024-11-04T00:00:00"/>
    <x v="46"/>
    <x v="0"/>
    <s v="P58"/>
    <x v="0"/>
    <n v="3"/>
    <n v="1513"/>
    <x v="1"/>
    <n v="667.05"/>
    <s v="New"/>
    <s v="Digital"/>
    <n v="3631.2000000000003"/>
    <n v="1630.0500000000004"/>
    <s v="Monday"/>
    <x v="0"/>
  </r>
  <r>
    <s v="NV2412"/>
    <d v="2024-01-18T00:00:00"/>
    <x v="32"/>
    <x v="2"/>
    <s v="P147"/>
    <x v="0"/>
    <n v="3"/>
    <n v="2318.19"/>
    <x v="0"/>
    <n v="1540.85"/>
    <s v="New"/>
    <s v="Digital"/>
    <n v="4868.1989999999996"/>
    <n v="245.64900000000034"/>
    <s v="Thursday"/>
    <x v="0"/>
  </r>
  <r>
    <s v="NV2413"/>
    <d v="2025-03-12T00:00:00"/>
    <x v="5"/>
    <x v="2"/>
    <s v="P74"/>
    <x v="2"/>
    <n v="1"/>
    <n v="542.13"/>
    <x v="0"/>
    <n v="321.89999999999998"/>
    <s v="New"/>
    <s v="Card"/>
    <n v="379.49099999999999"/>
    <n v="57.591000000000008"/>
    <s v="Wednesday"/>
    <x v="0"/>
  </r>
  <r>
    <s v="NV2414"/>
    <d v="2025-02-07T00:00:00"/>
    <x v="14"/>
    <x v="0"/>
    <s v="P21"/>
    <x v="1"/>
    <n v="1"/>
    <n v="2834.16"/>
    <x v="0"/>
    <n v="1898.77"/>
    <s v="New"/>
    <s v="Digital"/>
    <n v="1983.9119999999998"/>
    <n v="85.141999999999825"/>
    <s v="Friday"/>
    <x v="0"/>
  </r>
  <r>
    <s v="NV2415"/>
    <d v="2024-04-21T00:00:00"/>
    <x v="53"/>
    <x v="1"/>
    <s v="P46"/>
    <x v="1"/>
    <n v="4"/>
    <n v="351.4"/>
    <x v="5"/>
    <n v="239.7"/>
    <s v="Returning"/>
    <s v="Card"/>
    <n v="1054.1999999999998"/>
    <n v="95.399999999999864"/>
    <s v="Sunday"/>
    <x v="1"/>
  </r>
  <r>
    <s v="NV2416"/>
    <d v="2025-08-08T00:00:00"/>
    <x v="47"/>
    <x v="3"/>
    <s v="P211"/>
    <x v="1"/>
    <n v="3"/>
    <n v="2628.11"/>
    <x v="2"/>
    <n v="1641.17"/>
    <s v="New"/>
    <s v="Cash"/>
    <n v="7490.1134999999995"/>
    <n v="2566.6034999999993"/>
    <s v="Friday"/>
    <x v="0"/>
  </r>
  <r>
    <s v="NV2417"/>
    <d v="2024-11-17T00:00:00"/>
    <x v="34"/>
    <x v="3"/>
    <s v="P93"/>
    <x v="2"/>
    <n v="5"/>
    <n v="338.4"/>
    <x v="0"/>
    <n v="215.35"/>
    <s v="New"/>
    <s v="Card"/>
    <n v="1184.3999999999999"/>
    <n v="107.64999999999986"/>
    <s v="Sunday"/>
    <x v="1"/>
  </r>
  <r>
    <s v="NV2418"/>
    <d v="2024-05-03T00:00:00"/>
    <x v="36"/>
    <x v="0"/>
    <s v="P8"/>
    <x v="2"/>
    <n v="4"/>
    <n v="2815.47"/>
    <x v="1"/>
    <n v="1368.24"/>
    <s v="Returning"/>
    <s v="Card"/>
    <n v="9009.503999999999"/>
    <n v="3536.543999999999"/>
    <s v="Friday"/>
    <x v="0"/>
  </r>
  <r>
    <s v="NV2419"/>
    <d v="2025-02-08T00:00:00"/>
    <x v="20"/>
    <x v="3"/>
    <s v="P48"/>
    <x v="2"/>
    <n v="4"/>
    <n v="2204.08"/>
    <x v="3"/>
    <n v="925.1"/>
    <s v="Returning"/>
    <s v="Card"/>
    <n v="7934.6880000000001"/>
    <n v="4234.2880000000005"/>
    <s v="Saturday"/>
    <x v="1"/>
  </r>
  <r>
    <s v="NV2420"/>
    <d v="2025-01-11T00:00:00"/>
    <x v="33"/>
    <x v="2"/>
    <s v="P51"/>
    <x v="0"/>
    <n v="2"/>
    <n v="2424.62"/>
    <x v="0"/>
    <n v="1475.12"/>
    <s v="New"/>
    <s v="Card"/>
    <n v="3394.4679999999998"/>
    <n v="444.22800000000007"/>
    <s v="Saturday"/>
    <x v="1"/>
  </r>
  <r>
    <s v="NV2421"/>
    <d v="2024-11-18T00:00:00"/>
    <x v="25"/>
    <x v="3"/>
    <s v="P191"/>
    <x v="0"/>
    <n v="3"/>
    <n v="880.57"/>
    <x v="3"/>
    <n v="424.45"/>
    <s v="Returning"/>
    <s v="Card"/>
    <n v="2377.5390000000002"/>
    <n v="1104.1890000000003"/>
    <s v="Monday"/>
    <x v="0"/>
  </r>
  <r>
    <s v="NV2422"/>
    <d v="2025-07-17T00:00:00"/>
    <x v="25"/>
    <x v="1"/>
    <s v="P126"/>
    <x v="0"/>
    <n v="2"/>
    <n v="2383.5"/>
    <x v="6"/>
    <n v="1258.3399999999999"/>
    <s v="Returning"/>
    <s v="Cash"/>
    <n v="4767"/>
    <n v="2250.3200000000002"/>
    <s v="Thursday"/>
    <x v="0"/>
  </r>
  <r>
    <s v="NV2423"/>
    <d v="2025-03-24T00:00:00"/>
    <x v="14"/>
    <x v="3"/>
    <s v="P42"/>
    <x v="0"/>
    <n v="2"/>
    <n v="1260.3800000000001"/>
    <x v="1"/>
    <n v="787.71"/>
    <s v="Returning"/>
    <s v="Digital"/>
    <n v="2016.6080000000002"/>
    <n v="441.1880000000001"/>
    <s v="Monday"/>
    <x v="0"/>
  </r>
  <r>
    <s v="NV2424"/>
    <d v="2024-04-29T00:00:00"/>
    <x v="41"/>
    <x v="1"/>
    <s v="P150"/>
    <x v="0"/>
    <n v="1"/>
    <n v="2478.4"/>
    <x v="2"/>
    <n v="1344.25"/>
    <s v="Returning"/>
    <s v="Digital"/>
    <n v="2354.48"/>
    <n v="1010.23"/>
    <s v="Monday"/>
    <x v="0"/>
  </r>
  <r>
    <s v="NV2425"/>
    <d v="2024-03-31T00:00:00"/>
    <x v="23"/>
    <x v="3"/>
    <s v="P297"/>
    <x v="0"/>
    <n v="5"/>
    <n v="1321.78"/>
    <x v="5"/>
    <n v="622.13"/>
    <s v="New"/>
    <s v="Card"/>
    <n v="4956.6749999999993"/>
    <n v="1846.0249999999992"/>
    <s v="Sunday"/>
    <x v="1"/>
  </r>
  <r>
    <s v="NV2426"/>
    <d v="2025-09-23T00:00:00"/>
    <x v="50"/>
    <x v="1"/>
    <s v="P93"/>
    <x v="0"/>
    <n v="1"/>
    <n v="2385.0300000000002"/>
    <x v="3"/>
    <n v="1090.9000000000001"/>
    <s v="New"/>
    <s v="Cash"/>
    <n v="2146.527"/>
    <n v="1055.627"/>
    <s v="Tuesday"/>
    <x v="0"/>
  </r>
  <r>
    <s v="NV2427"/>
    <d v="2024-08-29T00:00:00"/>
    <x v="21"/>
    <x v="2"/>
    <s v="P69"/>
    <x v="1"/>
    <n v="4"/>
    <n v="2036.52"/>
    <x v="4"/>
    <n v="931.83"/>
    <s v="New"/>
    <s v="Cash"/>
    <n v="6924.1679999999997"/>
    <n v="3196.8479999999995"/>
    <s v="Thursday"/>
    <x v="0"/>
  </r>
  <r>
    <s v="NV2428"/>
    <d v="2024-02-19T00:00:00"/>
    <x v="48"/>
    <x v="1"/>
    <s v="P243"/>
    <x v="0"/>
    <n v="1"/>
    <n v="1202.78"/>
    <x v="0"/>
    <n v="534.12"/>
    <s v="Returning"/>
    <s v="Card"/>
    <n v="841.94599999999991"/>
    <n v="307.82599999999991"/>
    <s v="Monday"/>
    <x v="0"/>
  </r>
  <r>
    <s v="NV2429"/>
    <d v="2025-11-11T00:00:00"/>
    <x v="24"/>
    <x v="1"/>
    <s v="P180"/>
    <x v="2"/>
    <n v="2"/>
    <n v="2442.12"/>
    <x v="3"/>
    <n v="1130.6400000000001"/>
    <s v="New"/>
    <s v="Cash"/>
    <n v="4395.8159999999998"/>
    <n v="2134.5359999999996"/>
    <s v="Tuesday"/>
    <x v="0"/>
  </r>
  <r>
    <s v="NV2430"/>
    <d v="2025-09-20T00:00:00"/>
    <x v="29"/>
    <x v="3"/>
    <s v="P118"/>
    <x v="1"/>
    <n v="3"/>
    <n v="2931.55"/>
    <x v="4"/>
    <n v="1303.1400000000001"/>
    <s v="New"/>
    <s v="Cash"/>
    <n v="7475.4525000000012"/>
    <n v="3566.0325000000012"/>
    <s v="Saturday"/>
    <x v="1"/>
  </r>
  <r>
    <s v="NV2431"/>
    <d v="2025-05-13T00:00:00"/>
    <x v="57"/>
    <x v="1"/>
    <s v="P114"/>
    <x v="1"/>
    <n v="3"/>
    <n v="1625"/>
    <x v="5"/>
    <n v="914.94"/>
    <s v="Returning"/>
    <s v="Digital"/>
    <n v="3656.25"/>
    <n v="911.42999999999984"/>
    <s v="Tuesday"/>
    <x v="0"/>
  </r>
  <r>
    <s v="NV2432"/>
    <d v="2025-10-07T00:00:00"/>
    <x v="35"/>
    <x v="2"/>
    <s v="P123"/>
    <x v="1"/>
    <n v="2"/>
    <n v="310.35000000000002"/>
    <x v="3"/>
    <n v="199.84"/>
    <s v="Returning"/>
    <s v="Card"/>
    <n v="558.63000000000011"/>
    <n v="158.9500000000001"/>
    <s v="Tuesday"/>
    <x v="0"/>
  </r>
  <r>
    <s v="NV2433"/>
    <d v="2025-09-03T00:00:00"/>
    <x v="0"/>
    <x v="3"/>
    <s v="P4"/>
    <x v="0"/>
    <n v="1"/>
    <n v="890.21"/>
    <x v="2"/>
    <n v="576.98"/>
    <s v="New"/>
    <s v="Cash"/>
    <n v="845.69949999999994"/>
    <n v="268.71949999999993"/>
    <s v="Wednesday"/>
    <x v="0"/>
  </r>
  <r>
    <s v="NV2434"/>
    <d v="2025-10-01T00:00:00"/>
    <x v="51"/>
    <x v="2"/>
    <s v="P51"/>
    <x v="2"/>
    <n v="3"/>
    <n v="2611.62"/>
    <x v="5"/>
    <n v="1137.3699999999999"/>
    <s v="New"/>
    <s v="Card"/>
    <n v="5876.1449999999995"/>
    <n v="2464.0349999999999"/>
    <s v="Wednesday"/>
    <x v="0"/>
  </r>
  <r>
    <s v="NV2435"/>
    <d v="2025-09-26T00:00:00"/>
    <x v="39"/>
    <x v="2"/>
    <s v="P156"/>
    <x v="2"/>
    <n v="2"/>
    <n v="1409.33"/>
    <x v="2"/>
    <n v="854.64"/>
    <s v="New"/>
    <s v="Digital"/>
    <n v="2677.7269999999999"/>
    <n v="968.44699999999989"/>
    <s v="Friday"/>
    <x v="0"/>
  </r>
  <r>
    <s v="NV2436"/>
    <d v="2024-03-07T00:00:00"/>
    <x v="32"/>
    <x v="3"/>
    <s v="P171"/>
    <x v="1"/>
    <n v="5"/>
    <n v="2214.11"/>
    <x v="1"/>
    <n v="1438.5"/>
    <s v="New"/>
    <s v="Cash"/>
    <n v="8856.44"/>
    <n v="1663.9400000000005"/>
    <s v="Thursday"/>
    <x v="0"/>
  </r>
  <r>
    <s v="NV2437"/>
    <d v="2025-06-05T00:00:00"/>
    <x v="46"/>
    <x v="3"/>
    <s v="P209"/>
    <x v="1"/>
    <n v="4"/>
    <n v="1228.92"/>
    <x v="6"/>
    <n v="712.14"/>
    <s v="New"/>
    <s v="Card"/>
    <n v="4915.68"/>
    <n v="2067.1200000000003"/>
    <s v="Thursday"/>
    <x v="0"/>
  </r>
  <r>
    <s v="NV2438"/>
    <d v="2025-06-16T00:00:00"/>
    <x v="52"/>
    <x v="2"/>
    <s v="P60"/>
    <x v="2"/>
    <n v="5"/>
    <n v="623.12"/>
    <x v="0"/>
    <n v="421.22"/>
    <s v="Returning"/>
    <s v="Card"/>
    <n v="2180.9199999999996"/>
    <n v="74.819999999999254"/>
    <s v="Monday"/>
    <x v="0"/>
  </r>
  <r>
    <s v="NV2439"/>
    <d v="2024-09-04T00:00:00"/>
    <x v="59"/>
    <x v="1"/>
    <s v="P108"/>
    <x v="1"/>
    <n v="2"/>
    <n v="920.73"/>
    <x v="1"/>
    <n v="549.11"/>
    <s v="Returning"/>
    <s v="Digital"/>
    <n v="1473.1680000000001"/>
    <n v="374.94800000000009"/>
    <s v="Wednesday"/>
    <x v="0"/>
  </r>
  <r>
    <s v="NV2440"/>
    <d v="2025-06-07T00:00:00"/>
    <x v="44"/>
    <x v="1"/>
    <s v="P55"/>
    <x v="2"/>
    <n v="1"/>
    <n v="988.55"/>
    <x v="2"/>
    <n v="600.24"/>
    <s v="New"/>
    <s v="Digital"/>
    <n v="939.12249999999995"/>
    <n v="338.88249999999994"/>
    <s v="Saturday"/>
    <x v="1"/>
  </r>
  <r>
    <s v="NV2441"/>
    <d v="2024-08-03T00:00:00"/>
    <x v="44"/>
    <x v="3"/>
    <s v="P182"/>
    <x v="1"/>
    <n v="3"/>
    <n v="526.11"/>
    <x v="0"/>
    <n v="258.51"/>
    <s v="Returning"/>
    <s v="Cash"/>
    <n v="1104.8309999999999"/>
    <n v="329.30099999999993"/>
    <s v="Saturday"/>
    <x v="1"/>
  </r>
  <r>
    <s v="NV2442"/>
    <d v="2024-10-22T00:00:00"/>
    <x v="7"/>
    <x v="1"/>
    <s v="P294"/>
    <x v="2"/>
    <n v="2"/>
    <n v="322.05"/>
    <x v="4"/>
    <n v="156.51"/>
    <s v="Returning"/>
    <s v="Digital"/>
    <n v="547.48500000000001"/>
    <n v="234.46500000000003"/>
    <s v="Tuesday"/>
    <x v="0"/>
  </r>
  <r>
    <s v="NV2443"/>
    <d v="2024-05-02T00:00:00"/>
    <x v="21"/>
    <x v="0"/>
    <s v="P220"/>
    <x v="0"/>
    <n v="3"/>
    <n v="2620.42"/>
    <x v="5"/>
    <n v="1137"/>
    <s v="Returning"/>
    <s v="Cash"/>
    <n v="5895.9449999999997"/>
    <n v="2484.9449999999997"/>
    <s v="Thursday"/>
    <x v="0"/>
  </r>
  <r>
    <s v="NV2444"/>
    <d v="2024-09-27T00:00:00"/>
    <x v="15"/>
    <x v="1"/>
    <s v="P5"/>
    <x v="0"/>
    <n v="3"/>
    <n v="460.62"/>
    <x v="3"/>
    <n v="309.25"/>
    <s v="Returning"/>
    <s v="Card"/>
    <n v="1243.6740000000002"/>
    <n v="315.92400000000021"/>
    <s v="Friday"/>
    <x v="0"/>
  </r>
  <r>
    <s v="NV2445"/>
    <d v="2025-06-17T00:00:00"/>
    <x v="4"/>
    <x v="2"/>
    <s v="P75"/>
    <x v="1"/>
    <n v="2"/>
    <n v="1410.95"/>
    <x v="5"/>
    <n v="610.92999999999995"/>
    <s v="Returning"/>
    <s v="Cash"/>
    <n v="2116.4250000000002"/>
    <n v="894.56500000000028"/>
    <s v="Tuesday"/>
    <x v="0"/>
  </r>
  <r>
    <s v="NV2446"/>
    <d v="2025-04-08T00:00:00"/>
    <x v="21"/>
    <x v="1"/>
    <s v="P36"/>
    <x v="2"/>
    <n v="2"/>
    <n v="2147.4699999999998"/>
    <x v="1"/>
    <n v="1014.88"/>
    <s v="Returning"/>
    <s v="Digital"/>
    <n v="3435.9519999999998"/>
    <n v="1406.1919999999998"/>
    <s v="Tuesday"/>
    <x v="0"/>
  </r>
  <r>
    <s v="NV2447"/>
    <d v="2025-11-03T00:00:00"/>
    <x v="16"/>
    <x v="2"/>
    <s v="P23"/>
    <x v="2"/>
    <n v="2"/>
    <n v="2575.4699999999998"/>
    <x v="3"/>
    <n v="1725.33"/>
    <s v="New"/>
    <s v="Card"/>
    <n v="4635.8459999999995"/>
    <n v="1185.1859999999997"/>
    <s v="Monday"/>
    <x v="0"/>
  </r>
  <r>
    <s v="NV2448"/>
    <d v="2024-11-29T00:00:00"/>
    <x v="15"/>
    <x v="1"/>
    <s v="P208"/>
    <x v="1"/>
    <n v="5"/>
    <n v="476.2"/>
    <x v="6"/>
    <n v="203.85"/>
    <s v="New"/>
    <s v="Digital"/>
    <n v="2381"/>
    <n v="1361.75"/>
    <s v="Friday"/>
    <x v="0"/>
  </r>
  <r>
    <s v="NV2449"/>
    <d v="2025-05-06T00:00:00"/>
    <x v="11"/>
    <x v="0"/>
    <s v="P182"/>
    <x v="0"/>
    <n v="3"/>
    <n v="2992.54"/>
    <x v="5"/>
    <n v="1205.0899999999999"/>
    <s v="New"/>
    <s v="Cash"/>
    <n v="6733.2149999999992"/>
    <n v="3117.9449999999997"/>
    <s v="Tuesday"/>
    <x v="0"/>
  </r>
  <r>
    <s v="NV2450"/>
    <d v="2025-08-13T00:00:00"/>
    <x v="29"/>
    <x v="2"/>
    <s v="P253"/>
    <x v="1"/>
    <n v="1"/>
    <n v="2983.47"/>
    <x v="5"/>
    <n v="1777.09"/>
    <s v="Returning"/>
    <s v="Digital"/>
    <n v="2237.6025"/>
    <n v="460.51250000000005"/>
    <s v="Wednesday"/>
    <x v="0"/>
  </r>
  <r>
    <s v="NV2451"/>
    <d v="2024-08-16T00:00:00"/>
    <x v="31"/>
    <x v="1"/>
    <s v="P89"/>
    <x v="0"/>
    <n v="5"/>
    <n v="2740.82"/>
    <x v="5"/>
    <n v="1754.48"/>
    <s v="Returning"/>
    <s v="Digital"/>
    <n v="10278.075000000001"/>
    <n v="1505.6750000000011"/>
    <s v="Friday"/>
    <x v="0"/>
  </r>
  <r>
    <s v="NV2452"/>
    <d v="2025-08-15T00:00:00"/>
    <x v="32"/>
    <x v="1"/>
    <s v="P136"/>
    <x v="2"/>
    <n v="4"/>
    <n v="1446.92"/>
    <x v="2"/>
    <n v="599.37"/>
    <s v="Returning"/>
    <s v="Card"/>
    <n v="5498.2960000000003"/>
    <n v="3100.8160000000003"/>
    <s v="Friday"/>
    <x v="0"/>
  </r>
  <r>
    <s v="NV2453"/>
    <d v="2024-07-31T00:00:00"/>
    <x v="46"/>
    <x v="0"/>
    <s v="P88"/>
    <x v="0"/>
    <n v="5"/>
    <n v="1335.03"/>
    <x v="4"/>
    <n v="736.62"/>
    <s v="Returning"/>
    <s v="Card"/>
    <n v="5673.8774999999996"/>
    <n v="1990.7774999999997"/>
    <s v="Wednesday"/>
    <x v="0"/>
  </r>
  <r>
    <s v="NV2454"/>
    <d v="2025-03-30T00:00:00"/>
    <x v="12"/>
    <x v="2"/>
    <s v="P71"/>
    <x v="2"/>
    <n v="1"/>
    <n v="620.76"/>
    <x v="4"/>
    <n v="354.09"/>
    <s v="New"/>
    <s v="Cash"/>
    <n v="527.64599999999996"/>
    <n v="173.55599999999998"/>
    <s v="Sunday"/>
    <x v="1"/>
  </r>
  <r>
    <s v="NV2455"/>
    <d v="2025-10-09T00:00:00"/>
    <x v="35"/>
    <x v="2"/>
    <s v="P188"/>
    <x v="1"/>
    <n v="4"/>
    <n v="1442.83"/>
    <x v="6"/>
    <n v="844.45"/>
    <s v="New"/>
    <s v="Card"/>
    <n v="5771.32"/>
    <n v="2393.5199999999995"/>
    <s v="Thursday"/>
    <x v="0"/>
  </r>
  <r>
    <s v="NV2456"/>
    <d v="2024-07-16T00:00:00"/>
    <x v="32"/>
    <x v="3"/>
    <s v="P222"/>
    <x v="1"/>
    <n v="3"/>
    <n v="926.81"/>
    <x v="0"/>
    <n v="375.45"/>
    <s v="New"/>
    <s v="Cash"/>
    <n v="1946.3009999999997"/>
    <n v="819.95099999999979"/>
    <s v="Tuesday"/>
    <x v="0"/>
  </r>
  <r>
    <s v="NV2457"/>
    <d v="2024-03-05T00:00:00"/>
    <x v="24"/>
    <x v="0"/>
    <s v="P158"/>
    <x v="1"/>
    <n v="5"/>
    <n v="995.13"/>
    <x v="0"/>
    <n v="411.85"/>
    <s v="Returning"/>
    <s v="Cash"/>
    <n v="3482.9549999999995"/>
    <n v="1423.7049999999995"/>
    <s v="Tuesday"/>
    <x v="0"/>
  </r>
  <r>
    <s v="NV2458"/>
    <d v="2025-02-19T00:00:00"/>
    <x v="33"/>
    <x v="0"/>
    <s v="P21"/>
    <x v="0"/>
    <n v="1"/>
    <n v="766.45"/>
    <x v="4"/>
    <n v="522.22"/>
    <s v="New"/>
    <s v="Digital"/>
    <n v="651.48250000000007"/>
    <n v="129.26250000000005"/>
    <s v="Wednesday"/>
    <x v="0"/>
  </r>
  <r>
    <s v="NV2459"/>
    <d v="2024-09-06T00:00:00"/>
    <x v="16"/>
    <x v="0"/>
    <s v="P212"/>
    <x v="2"/>
    <n v="2"/>
    <n v="594.9"/>
    <x v="6"/>
    <n v="253.93"/>
    <s v="Returning"/>
    <s v="Cash"/>
    <n v="1189.8"/>
    <n v="681.93999999999994"/>
    <s v="Friday"/>
    <x v="0"/>
  </r>
  <r>
    <s v="NV2460"/>
    <d v="2024-09-18T00:00:00"/>
    <x v="23"/>
    <x v="2"/>
    <s v="P212"/>
    <x v="0"/>
    <n v="4"/>
    <n v="973.61"/>
    <x v="0"/>
    <n v="393.63"/>
    <s v="New"/>
    <s v="Cash"/>
    <n v="2726.1079999999997"/>
    <n v="1151.5879999999997"/>
    <s v="Wednesday"/>
    <x v="0"/>
  </r>
  <r>
    <s v="NV2461"/>
    <d v="2025-01-17T00:00:00"/>
    <x v="13"/>
    <x v="1"/>
    <s v="P167"/>
    <x v="0"/>
    <n v="5"/>
    <n v="2973.5"/>
    <x v="1"/>
    <n v="1896.1"/>
    <s v="New"/>
    <s v="Cash"/>
    <n v="11894"/>
    <n v="2413.5"/>
    <s v="Friday"/>
    <x v="0"/>
  </r>
  <r>
    <s v="NV2462"/>
    <d v="2024-01-16T00:00:00"/>
    <x v="53"/>
    <x v="0"/>
    <s v="P66"/>
    <x v="1"/>
    <n v="4"/>
    <n v="2251.75"/>
    <x v="4"/>
    <n v="1089.4000000000001"/>
    <s v="New"/>
    <s v="Cash"/>
    <n v="7655.95"/>
    <n v="3298.3499999999995"/>
    <s v="Tuesday"/>
    <x v="0"/>
  </r>
  <r>
    <s v="NV2463"/>
    <d v="2025-02-07T00:00:00"/>
    <x v="49"/>
    <x v="1"/>
    <s v="P87"/>
    <x v="0"/>
    <n v="5"/>
    <n v="1121.47"/>
    <x v="1"/>
    <n v="779.81"/>
    <s v="New"/>
    <s v="Cash"/>
    <n v="4485.88"/>
    <n v="586.83000000000038"/>
    <s v="Friday"/>
    <x v="0"/>
  </r>
  <r>
    <s v="NV2464"/>
    <d v="2025-05-29T00:00:00"/>
    <x v="51"/>
    <x v="0"/>
    <s v="P284"/>
    <x v="0"/>
    <n v="4"/>
    <n v="2042.56"/>
    <x v="3"/>
    <n v="843.55"/>
    <s v="Returning"/>
    <s v="Card"/>
    <n v="7353.2160000000003"/>
    <n v="3979.0160000000005"/>
    <s v="Thursday"/>
    <x v="0"/>
  </r>
  <r>
    <s v="NV2465"/>
    <d v="2025-02-14T00:00:00"/>
    <x v="19"/>
    <x v="1"/>
    <s v="P29"/>
    <x v="0"/>
    <n v="1"/>
    <n v="1263.4100000000001"/>
    <x v="0"/>
    <n v="658.91"/>
    <s v="Returning"/>
    <s v="Cash"/>
    <n v="884.38700000000006"/>
    <n v="225.47700000000009"/>
    <s v="Friday"/>
    <x v="0"/>
  </r>
  <r>
    <s v="NV2466"/>
    <d v="2024-09-08T00:00:00"/>
    <x v="53"/>
    <x v="0"/>
    <s v="P291"/>
    <x v="0"/>
    <n v="2"/>
    <n v="452.44"/>
    <x v="4"/>
    <n v="254.88"/>
    <s v="New"/>
    <s v="Cash"/>
    <n v="769.14800000000002"/>
    <n v="259.38800000000003"/>
    <s v="Sunday"/>
    <x v="1"/>
  </r>
  <r>
    <s v="NV2467"/>
    <d v="2024-10-11T00:00:00"/>
    <x v="28"/>
    <x v="3"/>
    <s v="P4"/>
    <x v="0"/>
    <n v="4"/>
    <n v="2807.43"/>
    <x v="4"/>
    <n v="1289.4100000000001"/>
    <s v="Returning"/>
    <s v="Digital"/>
    <n v="9545.2619999999988"/>
    <n v="4387.6219999999985"/>
    <s v="Friday"/>
    <x v="0"/>
  </r>
  <r>
    <s v="NV2468"/>
    <d v="2025-05-24T00:00:00"/>
    <x v="37"/>
    <x v="1"/>
    <s v="P248"/>
    <x v="0"/>
    <n v="1"/>
    <n v="968.02"/>
    <x v="2"/>
    <n v="469.21"/>
    <s v="Returning"/>
    <s v="Card"/>
    <n v="919.61899999999991"/>
    <n v="450.40899999999993"/>
    <s v="Saturday"/>
    <x v="1"/>
  </r>
  <r>
    <s v="NV2469"/>
    <d v="2025-02-26T00:00:00"/>
    <x v="34"/>
    <x v="2"/>
    <s v="P191"/>
    <x v="0"/>
    <n v="1"/>
    <n v="1763.93"/>
    <x v="5"/>
    <n v="847.06"/>
    <s v="Returning"/>
    <s v="Cash"/>
    <n v="1322.9475"/>
    <n v="475.88750000000005"/>
    <s v="Wednesday"/>
    <x v="0"/>
  </r>
  <r>
    <s v="NV2470"/>
    <d v="2024-01-05T00:00:00"/>
    <x v="15"/>
    <x v="2"/>
    <s v="P106"/>
    <x v="1"/>
    <n v="5"/>
    <n v="2585.25"/>
    <x v="5"/>
    <n v="1111.6400000000001"/>
    <s v="Returning"/>
    <s v="Cash"/>
    <n v="9694.6875"/>
    <n v="4136.4874999999993"/>
    <s v="Friday"/>
    <x v="0"/>
  </r>
  <r>
    <s v="NV2471"/>
    <d v="2025-02-24T00:00:00"/>
    <x v="26"/>
    <x v="0"/>
    <s v="P144"/>
    <x v="0"/>
    <n v="3"/>
    <n v="2534.63"/>
    <x v="2"/>
    <n v="1101.24"/>
    <s v="New"/>
    <s v="Digital"/>
    <n v="7223.6954999999998"/>
    <n v="3919.9754999999996"/>
    <s v="Monday"/>
    <x v="0"/>
  </r>
  <r>
    <s v="NV2472"/>
    <d v="2025-09-09T00:00:00"/>
    <x v="3"/>
    <x v="0"/>
    <s v="P256"/>
    <x v="2"/>
    <n v="4"/>
    <n v="757.33"/>
    <x v="3"/>
    <n v="354.42"/>
    <s v="New"/>
    <s v="Card"/>
    <n v="2726.3880000000004"/>
    <n v="1308.7080000000003"/>
    <s v="Tuesday"/>
    <x v="0"/>
  </r>
  <r>
    <s v="NV2473"/>
    <d v="2025-07-31T00:00:00"/>
    <x v="52"/>
    <x v="0"/>
    <s v="P288"/>
    <x v="1"/>
    <n v="5"/>
    <n v="2756.35"/>
    <x v="3"/>
    <n v="1790.18"/>
    <s v="Returning"/>
    <s v="Card"/>
    <n v="12403.575000000001"/>
    <n v="3452.6750000000011"/>
    <s v="Thursday"/>
    <x v="0"/>
  </r>
  <r>
    <s v="NV2474"/>
    <d v="2024-10-07T00:00:00"/>
    <x v="42"/>
    <x v="3"/>
    <s v="P224"/>
    <x v="1"/>
    <n v="1"/>
    <n v="2607.08"/>
    <x v="2"/>
    <n v="1475.76"/>
    <s v="New"/>
    <s v="Card"/>
    <n v="2476.7259999999997"/>
    <n v="1000.9659999999997"/>
    <s v="Monday"/>
    <x v="0"/>
  </r>
  <r>
    <s v="NV2475"/>
    <d v="2024-05-23T00:00:00"/>
    <x v="19"/>
    <x v="0"/>
    <s v="P272"/>
    <x v="2"/>
    <n v="4"/>
    <n v="2241.15"/>
    <x v="3"/>
    <n v="1190.23"/>
    <s v="New"/>
    <s v="Cash"/>
    <n v="8068.14"/>
    <n v="3307.2200000000003"/>
    <s v="Thursday"/>
    <x v="0"/>
  </r>
  <r>
    <s v="NV2476"/>
    <d v="2025-02-26T00:00:00"/>
    <x v="51"/>
    <x v="2"/>
    <s v="P104"/>
    <x v="2"/>
    <n v="4"/>
    <n v="2846.67"/>
    <x v="5"/>
    <n v="1572.95"/>
    <s v="New"/>
    <s v="Cash"/>
    <n v="8540.01"/>
    <n v="2248.21"/>
    <s v="Wednesday"/>
    <x v="0"/>
  </r>
  <r>
    <s v="NV2477"/>
    <d v="2025-04-16T00:00:00"/>
    <x v="52"/>
    <x v="3"/>
    <s v="P222"/>
    <x v="1"/>
    <n v="2"/>
    <n v="812.73"/>
    <x v="2"/>
    <n v="425.96"/>
    <s v="Returning"/>
    <s v="Digital"/>
    <n v="1544.1869999999999"/>
    <n v="692.26699999999994"/>
    <s v="Wednesday"/>
    <x v="0"/>
  </r>
  <r>
    <s v="NV2478"/>
    <d v="2025-01-10T00:00:00"/>
    <x v="38"/>
    <x v="1"/>
    <s v="P83"/>
    <x v="0"/>
    <n v="2"/>
    <n v="2430.64"/>
    <x v="2"/>
    <n v="1204.1300000000001"/>
    <s v="New"/>
    <s v="Card"/>
    <n v="4618.2159999999994"/>
    <n v="2209.9559999999992"/>
    <s v="Friday"/>
    <x v="0"/>
  </r>
  <r>
    <s v="NV2479"/>
    <d v="2025-05-13T00:00:00"/>
    <x v="6"/>
    <x v="1"/>
    <s v="P248"/>
    <x v="1"/>
    <n v="1"/>
    <n v="2793.15"/>
    <x v="6"/>
    <n v="1830.26"/>
    <s v="Returning"/>
    <s v="Card"/>
    <n v="2793.15"/>
    <n v="962.8900000000001"/>
    <s v="Tuesday"/>
    <x v="0"/>
  </r>
  <r>
    <s v="NV2480"/>
    <d v="2025-01-23T00:00:00"/>
    <x v="42"/>
    <x v="2"/>
    <s v="P159"/>
    <x v="2"/>
    <n v="4"/>
    <n v="1227.97"/>
    <x v="3"/>
    <n v="737.56"/>
    <s v="New"/>
    <s v="Digital"/>
    <n v="4420.692"/>
    <n v="1470.4520000000002"/>
    <s v="Thursday"/>
    <x v="0"/>
  </r>
  <r>
    <s v="NV2481"/>
    <d v="2025-10-08T00:00:00"/>
    <x v="25"/>
    <x v="1"/>
    <s v="P246"/>
    <x v="2"/>
    <n v="4"/>
    <n v="1339.96"/>
    <x v="6"/>
    <n v="568.73"/>
    <s v="Returning"/>
    <s v="Cash"/>
    <n v="5359.84"/>
    <n v="3084.92"/>
    <s v="Wednesday"/>
    <x v="0"/>
  </r>
  <r>
    <s v="NV2482"/>
    <d v="2025-02-25T00:00:00"/>
    <x v="15"/>
    <x v="2"/>
    <s v="P43"/>
    <x v="2"/>
    <n v="2"/>
    <n v="1767.26"/>
    <x v="0"/>
    <n v="997.64"/>
    <s v="Returning"/>
    <s v="Cash"/>
    <n v="2474.1639999999998"/>
    <n v="478.88399999999979"/>
    <s v="Tuesday"/>
    <x v="0"/>
  </r>
  <r>
    <s v="NV2483"/>
    <d v="2024-05-01T00:00:00"/>
    <x v="58"/>
    <x v="0"/>
    <s v="P9"/>
    <x v="1"/>
    <n v="4"/>
    <n v="1418.59"/>
    <x v="2"/>
    <n v="929.17"/>
    <s v="Returning"/>
    <s v="Digital"/>
    <n v="5390.6419999999998"/>
    <n v="1673.962"/>
    <s v="Wednesday"/>
    <x v="0"/>
  </r>
  <r>
    <s v="NV2484"/>
    <d v="2024-05-27T00:00:00"/>
    <x v="43"/>
    <x v="2"/>
    <s v="P24"/>
    <x v="2"/>
    <n v="2"/>
    <n v="1483.5"/>
    <x v="3"/>
    <n v="964"/>
    <s v="New"/>
    <s v="Digital"/>
    <n v="2670.3"/>
    <n v="742.30000000000018"/>
    <s v="Monday"/>
    <x v="0"/>
  </r>
  <r>
    <s v="NV2485"/>
    <d v="2024-01-08T00:00:00"/>
    <x v="5"/>
    <x v="1"/>
    <s v="P123"/>
    <x v="0"/>
    <n v="1"/>
    <n v="1446.32"/>
    <x v="4"/>
    <n v="954.11"/>
    <s v="New"/>
    <s v="Card"/>
    <n v="1229.3719999999998"/>
    <n v="275.26199999999983"/>
    <s v="Monday"/>
    <x v="0"/>
  </r>
  <r>
    <s v="NV2486"/>
    <d v="2025-09-26T00:00:00"/>
    <x v="21"/>
    <x v="1"/>
    <s v="P53"/>
    <x v="2"/>
    <n v="1"/>
    <n v="2239.02"/>
    <x v="6"/>
    <n v="1057.93"/>
    <s v="Returning"/>
    <s v="Cash"/>
    <n v="2239.02"/>
    <n v="1181.0899999999999"/>
    <s v="Friday"/>
    <x v="0"/>
  </r>
  <r>
    <s v="NV2487"/>
    <d v="2024-09-25T00:00:00"/>
    <x v="15"/>
    <x v="3"/>
    <s v="P167"/>
    <x v="2"/>
    <n v="3"/>
    <n v="1902.81"/>
    <x v="1"/>
    <n v="1319.37"/>
    <s v="New"/>
    <s v="Card"/>
    <n v="4566.7440000000006"/>
    <n v="608.63400000000092"/>
    <s v="Wednesday"/>
    <x v="0"/>
  </r>
  <r>
    <s v="NV2488"/>
    <d v="2025-03-24T00:00:00"/>
    <x v="0"/>
    <x v="2"/>
    <s v="P81"/>
    <x v="1"/>
    <n v="1"/>
    <n v="1042.5999999999999"/>
    <x v="2"/>
    <n v="467.98"/>
    <s v="Returning"/>
    <s v="Digital"/>
    <n v="990.46999999999991"/>
    <n v="522.4899999999999"/>
    <s v="Monday"/>
    <x v="0"/>
  </r>
  <r>
    <s v="NV2489"/>
    <d v="2024-12-06T00:00:00"/>
    <x v="8"/>
    <x v="0"/>
    <s v="P43"/>
    <x v="1"/>
    <n v="2"/>
    <n v="1692.24"/>
    <x v="3"/>
    <n v="1138.72"/>
    <s v="New"/>
    <s v="Digital"/>
    <n v="3046.0320000000002"/>
    <n v="768.5920000000001"/>
    <s v="Friday"/>
    <x v="0"/>
  </r>
  <r>
    <s v="NV2490"/>
    <d v="2025-03-05T00:00:00"/>
    <x v="13"/>
    <x v="0"/>
    <s v="P41"/>
    <x v="0"/>
    <n v="2"/>
    <n v="654.61"/>
    <x v="1"/>
    <n v="386.72"/>
    <s v="Returning"/>
    <s v="Digital"/>
    <n v="1047.376"/>
    <n v="273.93599999999992"/>
    <s v="Wednesday"/>
    <x v="0"/>
  </r>
  <r>
    <s v="NV2491"/>
    <d v="2025-03-14T00:00:00"/>
    <x v="7"/>
    <x v="3"/>
    <s v="P296"/>
    <x v="2"/>
    <n v="5"/>
    <n v="397.37"/>
    <x v="4"/>
    <n v="272.64"/>
    <s v="Returning"/>
    <s v="Card"/>
    <n v="1688.8225"/>
    <n v="325.62250000000017"/>
    <s v="Friday"/>
    <x v="0"/>
  </r>
  <r>
    <s v="NV2492"/>
    <d v="2025-09-15T00:00:00"/>
    <x v="26"/>
    <x v="2"/>
    <s v="P80"/>
    <x v="1"/>
    <n v="5"/>
    <n v="2180.09"/>
    <x v="0"/>
    <n v="1162.45"/>
    <s v="New"/>
    <s v="Cash"/>
    <n v="7630.3149999999996"/>
    <n v="1818.0649999999996"/>
    <s v="Monday"/>
    <x v="0"/>
  </r>
  <r>
    <s v="NV2493"/>
    <d v="2025-09-26T00:00:00"/>
    <x v="17"/>
    <x v="1"/>
    <s v="P182"/>
    <x v="1"/>
    <n v="5"/>
    <n v="758.9"/>
    <x v="1"/>
    <n v="407.88"/>
    <s v="Returning"/>
    <s v="Card"/>
    <n v="3035.6000000000004"/>
    <n v="996.20000000000027"/>
    <s v="Friday"/>
    <x v="0"/>
  </r>
  <r>
    <s v="NV2494"/>
    <d v="2025-07-11T00:00:00"/>
    <x v="3"/>
    <x v="1"/>
    <s v="P261"/>
    <x v="1"/>
    <n v="4"/>
    <n v="2025.57"/>
    <x v="0"/>
    <n v="1414.35"/>
    <s v="New"/>
    <s v="Card"/>
    <n v="5671.5959999999995"/>
    <n v="14.195999999999913"/>
    <s v="Friday"/>
    <x v="0"/>
  </r>
  <r>
    <s v="NV2495"/>
    <d v="2024-12-31T00:00:00"/>
    <x v="39"/>
    <x v="1"/>
    <s v="P33"/>
    <x v="1"/>
    <n v="3"/>
    <n v="911.41"/>
    <x v="3"/>
    <n v="390.79"/>
    <s v="New"/>
    <s v="Card"/>
    <n v="2460.8070000000002"/>
    <n v="1288.4370000000001"/>
    <s v="Tuesday"/>
    <x v="0"/>
  </r>
  <r>
    <s v="NV2496"/>
    <d v="2025-11-11T00:00:00"/>
    <x v="5"/>
    <x v="0"/>
    <s v="P281"/>
    <x v="1"/>
    <n v="2"/>
    <n v="2306.33"/>
    <x v="4"/>
    <n v="1377.06"/>
    <s v="New"/>
    <s v="Card"/>
    <n v="3920.761"/>
    <n v="1166.6410000000001"/>
    <s v="Tuesday"/>
    <x v="0"/>
  </r>
  <r>
    <s v="NV2497"/>
    <d v="2025-04-18T00:00:00"/>
    <x v="22"/>
    <x v="0"/>
    <s v="P167"/>
    <x v="1"/>
    <n v="2"/>
    <n v="1846.19"/>
    <x v="4"/>
    <n v="900.13"/>
    <s v="New"/>
    <s v="Card"/>
    <n v="3138.5230000000001"/>
    <n v="1338.2630000000001"/>
    <s v="Friday"/>
    <x v="0"/>
  </r>
  <r>
    <s v="NV2498"/>
    <d v="2025-07-13T00:00:00"/>
    <x v="46"/>
    <x v="0"/>
    <s v="P45"/>
    <x v="2"/>
    <n v="3"/>
    <n v="2299.37"/>
    <x v="5"/>
    <n v="1050.51"/>
    <s v="Returning"/>
    <s v="Card"/>
    <n v="5173.5824999999995"/>
    <n v="2022.0524999999998"/>
    <s v="Sunday"/>
    <x v="1"/>
  </r>
  <r>
    <s v="NV2499"/>
    <d v="2024-05-10T00:00:00"/>
    <x v="7"/>
    <x v="3"/>
    <s v="P174"/>
    <x v="2"/>
    <n v="1"/>
    <n v="685.13"/>
    <x v="3"/>
    <n v="374.38"/>
    <s v="New"/>
    <s v="Digital"/>
    <n v="616.61699999999996"/>
    <n v="242.23699999999997"/>
    <s v="Friday"/>
    <x v="0"/>
  </r>
  <r>
    <s v="NV2500"/>
    <d v="2025-02-21T00:00:00"/>
    <x v="52"/>
    <x v="1"/>
    <s v="P248"/>
    <x v="2"/>
    <n v="3"/>
    <n v="2614.7399999999998"/>
    <x v="0"/>
    <n v="1786.18"/>
    <s v="New"/>
    <s v="Card"/>
    <n v="5490.9539999999988"/>
    <n v="132.41399999999885"/>
    <s v="Friday"/>
    <x v="0"/>
  </r>
  <r>
    <s v="NV2501"/>
    <d v="2024-01-20T00:00:00"/>
    <x v="15"/>
    <x v="0"/>
    <s v="P22"/>
    <x v="1"/>
    <n v="4"/>
    <n v="2722.46"/>
    <x v="1"/>
    <n v="1425.94"/>
    <s v="Returning"/>
    <s v="Cash"/>
    <n v="8711.8720000000012"/>
    <n v="3008.112000000001"/>
    <s v="Saturday"/>
    <x v="1"/>
  </r>
  <r>
    <s v="NV2502"/>
    <d v="2025-05-18T00:00:00"/>
    <x v="48"/>
    <x v="1"/>
    <s v="P128"/>
    <x v="1"/>
    <n v="2"/>
    <n v="1921.89"/>
    <x v="6"/>
    <n v="1003.43"/>
    <s v="New"/>
    <s v="Digital"/>
    <n v="3843.78"/>
    <n v="1836.9200000000003"/>
    <s v="Sunday"/>
    <x v="1"/>
  </r>
  <r>
    <s v="NV2503"/>
    <d v="2025-02-19T00:00:00"/>
    <x v="19"/>
    <x v="3"/>
    <s v="P84"/>
    <x v="2"/>
    <n v="2"/>
    <n v="2582.06"/>
    <x v="2"/>
    <n v="1517.22"/>
    <s v="Returning"/>
    <s v="Card"/>
    <n v="4905.9139999999998"/>
    <n v="1871.4739999999997"/>
    <s v="Wednesday"/>
    <x v="0"/>
  </r>
  <r>
    <s v="NV2504"/>
    <d v="2025-04-09T00:00:00"/>
    <x v="41"/>
    <x v="0"/>
    <s v="P95"/>
    <x v="0"/>
    <n v="3"/>
    <n v="1175.19"/>
    <x v="1"/>
    <n v="740.62"/>
    <s v="New"/>
    <s v="Digital"/>
    <n v="2820.4560000000001"/>
    <n v="598.596"/>
    <s v="Wednesday"/>
    <x v="0"/>
  </r>
  <r>
    <s v="NV2505"/>
    <d v="2024-09-03T00:00:00"/>
    <x v="38"/>
    <x v="0"/>
    <s v="P153"/>
    <x v="0"/>
    <n v="1"/>
    <n v="1255.6199999999999"/>
    <x v="0"/>
    <n v="826.53"/>
    <s v="Returning"/>
    <s v="Card"/>
    <n v="878.93399999999986"/>
    <n v="52.403999999999883"/>
    <s v="Tuesday"/>
    <x v="0"/>
  </r>
  <r>
    <s v="NV2506"/>
    <d v="2025-04-22T00:00:00"/>
    <x v="38"/>
    <x v="0"/>
    <s v="P262"/>
    <x v="2"/>
    <n v="4"/>
    <n v="1440.16"/>
    <x v="6"/>
    <n v="834.49"/>
    <s v="New"/>
    <s v="Cash"/>
    <n v="5760.64"/>
    <n v="2422.6800000000003"/>
    <s v="Tuesday"/>
    <x v="0"/>
  </r>
  <r>
    <s v="NV2507"/>
    <d v="2025-03-14T00:00:00"/>
    <x v="50"/>
    <x v="0"/>
    <s v="P289"/>
    <x v="2"/>
    <n v="4"/>
    <n v="312.27"/>
    <x v="6"/>
    <n v="137.41"/>
    <s v="Returning"/>
    <s v="Digital"/>
    <n v="1249.08"/>
    <n v="699.43999999999994"/>
    <s v="Friday"/>
    <x v="0"/>
  </r>
  <r>
    <s v="NV2508"/>
    <d v="2025-02-21T00:00:00"/>
    <x v="12"/>
    <x v="3"/>
    <s v="P225"/>
    <x v="0"/>
    <n v="1"/>
    <n v="1795.18"/>
    <x v="5"/>
    <n v="803"/>
    <s v="New"/>
    <s v="Cash"/>
    <n v="1346.385"/>
    <n v="543.38499999999999"/>
    <s v="Friday"/>
    <x v="0"/>
  </r>
  <r>
    <s v="NV2509"/>
    <d v="2024-07-31T00:00:00"/>
    <x v="31"/>
    <x v="3"/>
    <s v="P71"/>
    <x v="1"/>
    <n v="2"/>
    <n v="1112.28"/>
    <x v="4"/>
    <n v="681.48"/>
    <s v="Returning"/>
    <s v="Digital"/>
    <n v="1890.876"/>
    <n v="527.91599999999994"/>
    <s v="Wednesday"/>
    <x v="0"/>
  </r>
  <r>
    <s v="NV2510"/>
    <d v="2024-11-23T00:00:00"/>
    <x v="41"/>
    <x v="2"/>
    <s v="P91"/>
    <x v="2"/>
    <n v="1"/>
    <n v="2461.61"/>
    <x v="4"/>
    <n v="1563.84"/>
    <s v="Returning"/>
    <s v="Cash"/>
    <n v="2092.3685"/>
    <n v="528.52850000000012"/>
    <s v="Saturday"/>
    <x v="1"/>
  </r>
  <r>
    <s v="NV2511"/>
    <d v="2025-10-23T00:00:00"/>
    <x v="52"/>
    <x v="0"/>
    <s v="P181"/>
    <x v="2"/>
    <n v="4"/>
    <n v="2362.59"/>
    <x v="6"/>
    <n v="1153.1600000000001"/>
    <s v="New"/>
    <s v="Card"/>
    <n v="9450.36"/>
    <n v="4837.72"/>
    <s v="Thursday"/>
    <x v="0"/>
  </r>
  <r>
    <s v="NV2512"/>
    <d v="2024-12-14T00:00:00"/>
    <x v="56"/>
    <x v="2"/>
    <s v="P280"/>
    <x v="1"/>
    <n v="4"/>
    <n v="2228.16"/>
    <x v="2"/>
    <n v="1423.81"/>
    <s v="Returning"/>
    <s v="Digital"/>
    <n v="8467.0079999999998"/>
    <n v="2771.768"/>
    <s v="Saturday"/>
    <x v="1"/>
  </r>
  <r>
    <s v="NV2513"/>
    <d v="2024-08-12T00:00:00"/>
    <x v="1"/>
    <x v="1"/>
    <s v="P292"/>
    <x v="0"/>
    <n v="4"/>
    <n v="1797.34"/>
    <x v="2"/>
    <n v="830.16"/>
    <s v="Returning"/>
    <s v="Digital"/>
    <n v="6829.8919999999989"/>
    <n v="3509.251999999999"/>
    <s v="Monday"/>
    <x v="0"/>
  </r>
  <r>
    <s v="NV2514"/>
    <d v="2025-02-06T00:00:00"/>
    <x v="1"/>
    <x v="3"/>
    <s v="P166"/>
    <x v="2"/>
    <n v="3"/>
    <n v="595.13"/>
    <x v="5"/>
    <n v="262.66000000000003"/>
    <s v="Returning"/>
    <s v="Card"/>
    <n v="1339.0425"/>
    <n v="551.0625"/>
    <s v="Thursday"/>
    <x v="0"/>
  </r>
  <r>
    <s v="NV2515"/>
    <d v="2024-12-18T00:00:00"/>
    <x v="44"/>
    <x v="1"/>
    <s v="P184"/>
    <x v="2"/>
    <n v="4"/>
    <n v="2470.84"/>
    <x v="2"/>
    <n v="1075.8"/>
    <s v="Returning"/>
    <s v="Digital"/>
    <n v="9389.1920000000009"/>
    <n v="5085.9920000000011"/>
    <s v="Wednesday"/>
    <x v="0"/>
  </r>
  <r>
    <s v="NV2516"/>
    <d v="2025-10-31T00:00:00"/>
    <x v="38"/>
    <x v="3"/>
    <s v="P210"/>
    <x v="1"/>
    <n v="1"/>
    <n v="2960.69"/>
    <x v="2"/>
    <n v="1626.72"/>
    <s v="Returning"/>
    <s v="Card"/>
    <n v="2812.6554999999998"/>
    <n v="1185.9354999999998"/>
    <s v="Friday"/>
    <x v="0"/>
  </r>
  <r>
    <s v="NV2517"/>
    <d v="2025-11-18T00:00:00"/>
    <x v="25"/>
    <x v="2"/>
    <s v="P260"/>
    <x v="2"/>
    <n v="5"/>
    <n v="2665.43"/>
    <x v="1"/>
    <n v="1342.51"/>
    <s v="Returning"/>
    <s v="Digital"/>
    <n v="10661.720000000001"/>
    <n v="3949.170000000001"/>
    <s v="Tuesday"/>
    <x v="0"/>
  </r>
  <r>
    <s v="NV2518"/>
    <d v="2024-09-14T00:00:00"/>
    <x v="31"/>
    <x v="2"/>
    <s v="P91"/>
    <x v="2"/>
    <n v="4"/>
    <n v="2082.8200000000002"/>
    <x v="0"/>
    <n v="1397.32"/>
    <s v="New"/>
    <s v="Digital"/>
    <n v="5831.8959999999997"/>
    <n v="242.61599999999999"/>
    <s v="Saturday"/>
    <x v="1"/>
  </r>
  <r>
    <s v="NV2519"/>
    <d v="2024-03-04T00:00:00"/>
    <x v="38"/>
    <x v="2"/>
    <s v="P237"/>
    <x v="0"/>
    <n v="4"/>
    <n v="1015.55"/>
    <x v="6"/>
    <n v="541.34"/>
    <s v="Returning"/>
    <s v="Cash"/>
    <n v="4062.2"/>
    <n v="1896.8399999999997"/>
    <s v="Monday"/>
    <x v="0"/>
  </r>
  <r>
    <s v="NV2520"/>
    <d v="2025-04-27T00:00:00"/>
    <x v="30"/>
    <x v="3"/>
    <s v="P14"/>
    <x v="1"/>
    <n v="3"/>
    <n v="592.26"/>
    <x v="4"/>
    <n v="343.33"/>
    <s v="New"/>
    <s v="Digital"/>
    <n v="1510.2629999999999"/>
    <n v="480.27299999999991"/>
    <s v="Sunday"/>
    <x v="1"/>
  </r>
  <r>
    <s v="NV2521"/>
    <d v="2024-07-10T00:00:00"/>
    <x v="32"/>
    <x v="2"/>
    <s v="P43"/>
    <x v="1"/>
    <n v="4"/>
    <n v="1482.05"/>
    <x v="3"/>
    <n v="838.02"/>
    <s v="New"/>
    <s v="Cash"/>
    <n v="5335.38"/>
    <n v="1983.3000000000002"/>
    <s v="Wednesday"/>
    <x v="0"/>
  </r>
  <r>
    <s v="NV2522"/>
    <d v="2025-04-27T00:00:00"/>
    <x v="11"/>
    <x v="3"/>
    <s v="P91"/>
    <x v="2"/>
    <n v="4"/>
    <n v="2673.26"/>
    <x v="2"/>
    <n v="1440.65"/>
    <s v="Returning"/>
    <s v="Digital"/>
    <n v="10158.388000000001"/>
    <n v="4395.7880000000005"/>
    <s v="Sunday"/>
    <x v="1"/>
  </r>
  <r>
    <s v="NV2523"/>
    <d v="2025-08-27T00:00:00"/>
    <x v="13"/>
    <x v="0"/>
    <s v="P200"/>
    <x v="2"/>
    <n v="1"/>
    <n v="1223.49"/>
    <x v="4"/>
    <n v="780.29"/>
    <s v="New"/>
    <s v="Cash"/>
    <n v="1039.9665"/>
    <n v="259.67650000000003"/>
    <s v="Wednesday"/>
    <x v="0"/>
  </r>
  <r>
    <s v="NV2524"/>
    <d v="2025-10-13T00:00:00"/>
    <x v="7"/>
    <x v="3"/>
    <s v="P108"/>
    <x v="2"/>
    <n v="5"/>
    <n v="2777.21"/>
    <x v="5"/>
    <n v="1817.22"/>
    <s v="New"/>
    <s v="Digital"/>
    <n v="10414.537499999999"/>
    <n v="1328.4374999999982"/>
    <s v="Monday"/>
    <x v="0"/>
  </r>
  <r>
    <s v="NV2525"/>
    <d v="2025-07-30T00:00:00"/>
    <x v="42"/>
    <x v="3"/>
    <s v="P271"/>
    <x v="1"/>
    <n v="3"/>
    <n v="594.99"/>
    <x v="5"/>
    <n v="372.02"/>
    <s v="New"/>
    <s v="Card"/>
    <n v="1338.7275"/>
    <n v="222.66750000000002"/>
    <s v="Wednesday"/>
    <x v="0"/>
  </r>
  <r>
    <s v="NV2526"/>
    <d v="2024-09-04T00:00:00"/>
    <x v="25"/>
    <x v="2"/>
    <s v="P3"/>
    <x v="1"/>
    <n v="2"/>
    <n v="1267.98"/>
    <x v="1"/>
    <n v="666.54"/>
    <s v="Returning"/>
    <s v="Card"/>
    <n v="2028.768"/>
    <n v="695.6880000000001"/>
    <s v="Wednesday"/>
    <x v="0"/>
  </r>
  <r>
    <s v="NV2527"/>
    <d v="2025-08-11T00:00:00"/>
    <x v="40"/>
    <x v="2"/>
    <s v="P168"/>
    <x v="0"/>
    <n v="2"/>
    <n v="2101.9699999999998"/>
    <x v="6"/>
    <n v="899.12"/>
    <s v="Returning"/>
    <s v="Card"/>
    <n v="4203.9399999999996"/>
    <n v="2405.6999999999998"/>
    <s v="Monday"/>
    <x v="0"/>
  </r>
  <r>
    <s v="NV2528"/>
    <d v="2025-10-21T00:00:00"/>
    <x v="57"/>
    <x v="1"/>
    <s v="P135"/>
    <x v="2"/>
    <n v="3"/>
    <n v="327.45"/>
    <x v="4"/>
    <n v="152.85"/>
    <s v="Returning"/>
    <s v="Card"/>
    <n v="834.99749999999995"/>
    <n v="376.44749999999999"/>
    <s v="Tuesday"/>
    <x v="0"/>
  </r>
  <r>
    <s v="NV2529"/>
    <d v="2024-09-11T00:00:00"/>
    <x v="56"/>
    <x v="1"/>
    <s v="P260"/>
    <x v="2"/>
    <n v="1"/>
    <n v="523.22"/>
    <x v="2"/>
    <n v="278.60000000000002"/>
    <s v="Returning"/>
    <s v="Card"/>
    <n v="497.05900000000003"/>
    <n v="218.459"/>
    <s v="Wednesday"/>
    <x v="0"/>
  </r>
  <r>
    <s v="NV2530"/>
    <d v="2025-04-10T00:00:00"/>
    <x v="11"/>
    <x v="2"/>
    <s v="P279"/>
    <x v="0"/>
    <n v="5"/>
    <n v="551.41"/>
    <x v="6"/>
    <n v="331.32"/>
    <s v="Returning"/>
    <s v="Digital"/>
    <n v="2757.0499999999997"/>
    <n v="1100.4499999999998"/>
    <s v="Thursday"/>
    <x v="0"/>
  </r>
  <r>
    <s v="NV2531"/>
    <d v="2024-07-07T00:00:00"/>
    <x v="39"/>
    <x v="1"/>
    <s v="P141"/>
    <x v="1"/>
    <n v="4"/>
    <n v="537.4"/>
    <x v="5"/>
    <n v="343.69"/>
    <s v="Returning"/>
    <s v="Card"/>
    <n v="1612.1999999999998"/>
    <n v="237.43999999999983"/>
    <s v="Sunday"/>
    <x v="1"/>
  </r>
  <r>
    <s v="NV2532"/>
    <d v="2024-06-07T00:00:00"/>
    <x v="42"/>
    <x v="3"/>
    <s v="P238"/>
    <x v="2"/>
    <n v="5"/>
    <n v="647.77"/>
    <x v="0"/>
    <n v="306.54000000000002"/>
    <s v="Returning"/>
    <s v="Digital"/>
    <n v="2267.1949999999997"/>
    <n v="734.49499999999966"/>
    <s v="Friday"/>
    <x v="0"/>
  </r>
  <r>
    <s v="NV2533"/>
    <d v="2025-09-20T00:00:00"/>
    <x v="56"/>
    <x v="0"/>
    <s v="P218"/>
    <x v="1"/>
    <n v="3"/>
    <n v="2205.39"/>
    <x v="1"/>
    <n v="902.34"/>
    <s v="New"/>
    <s v="Card"/>
    <n v="5292.9360000000006"/>
    <n v="2585.9160000000006"/>
    <s v="Saturday"/>
    <x v="1"/>
  </r>
  <r>
    <s v="NV2534"/>
    <d v="2025-11-28T00:00:00"/>
    <x v="27"/>
    <x v="2"/>
    <s v="P267"/>
    <x v="0"/>
    <n v="4"/>
    <n v="2725.56"/>
    <x v="4"/>
    <n v="1305.1600000000001"/>
    <s v="New"/>
    <s v="Digital"/>
    <n v="9266.9040000000005"/>
    <n v="4046.2640000000001"/>
    <s v="Friday"/>
    <x v="0"/>
  </r>
  <r>
    <s v="NV2535"/>
    <d v="2024-06-14T00:00:00"/>
    <x v="21"/>
    <x v="3"/>
    <s v="P263"/>
    <x v="1"/>
    <n v="3"/>
    <n v="800.79"/>
    <x v="1"/>
    <n v="480.63"/>
    <s v="New"/>
    <s v="Digital"/>
    <n v="1921.896"/>
    <n v="480.00600000000009"/>
    <s v="Friday"/>
    <x v="0"/>
  </r>
  <r>
    <s v="NV2536"/>
    <d v="2024-11-02T00:00:00"/>
    <x v="23"/>
    <x v="2"/>
    <s v="P196"/>
    <x v="0"/>
    <n v="3"/>
    <n v="2293.7600000000002"/>
    <x v="4"/>
    <n v="1499.96"/>
    <s v="New"/>
    <s v="Card"/>
    <n v="5849.0880000000006"/>
    <n v="1349.2080000000005"/>
    <s v="Saturday"/>
    <x v="1"/>
  </r>
  <r>
    <s v="NV2537"/>
    <d v="2024-04-21T00:00:00"/>
    <x v="55"/>
    <x v="2"/>
    <s v="P193"/>
    <x v="1"/>
    <n v="5"/>
    <n v="1772.14"/>
    <x v="0"/>
    <n v="952.72"/>
    <s v="Returning"/>
    <s v="Digital"/>
    <n v="6202.49"/>
    <n v="1438.8899999999994"/>
    <s v="Sunday"/>
    <x v="1"/>
  </r>
  <r>
    <s v="NV2538"/>
    <d v="2025-10-20T00:00:00"/>
    <x v="36"/>
    <x v="0"/>
    <s v="P156"/>
    <x v="0"/>
    <n v="3"/>
    <n v="2337.87"/>
    <x v="4"/>
    <n v="1265.54"/>
    <s v="Returning"/>
    <s v="Card"/>
    <n v="5961.5684999999994"/>
    <n v="2164.9484999999995"/>
    <s v="Monday"/>
    <x v="0"/>
  </r>
  <r>
    <s v="NV2539"/>
    <d v="2024-01-04T00:00:00"/>
    <x v="16"/>
    <x v="3"/>
    <s v="P256"/>
    <x v="1"/>
    <n v="1"/>
    <n v="2122.98"/>
    <x v="5"/>
    <n v="1383.14"/>
    <s v="Returning"/>
    <s v="Card"/>
    <n v="1592.2350000000001"/>
    <n v="209.09500000000003"/>
    <s v="Thursday"/>
    <x v="0"/>
  </r>
  <r>
    <s v="NV2540"/>
    <d v="2025-11-06T00:00:00"/>
    <x v="22"/>
    <x v="1"/>
    <s v="P33"/>
    <x v="0"/>
    <n v="1"/>
    <n v="654.89"/>
    <x v="2"/>
    <n v="422.83"/>
    <s v="Returning"/>
    <s v="Card"/>
    <n v="622.14549999999997"/>
    <n v="199.31549999999999"/>
    <s v="Thursday"/>
    <x v="0"/>
  </r>
  <r>
    <s v="NV2541"/>
    <d v="2024-03-16T00:00:00"/>
    <x v="27"/>
    <x v="0"/>
    <s v="P202"/>
    <x v="0"/>
    <n v="1"/>
    <n v="1759.23"/>
    <x v="1"/>
    <n v="1170.25"/>
    <s v="New"/>
    <s v="Cash"/>
    <n v="1407.384"/>
    <n v="237.13400000000001"/>
    <s v="Saturday"/>
    <x v="1"/>
  </r>
  <r>
    <s v="NV2542"/>
    <d v="2024-03-25T00:00:00"/>
    <x v="23"/>
    <x v="1"/>
    <s v="P193"/>
    <x v="0"/>
    <n v="3"/>
    <n v="1083.8599999999999"/>
    <x v="6"/>
    <n v="520.59"/>
    <s v="New"/>
    <s v="Card"/>
    <n v="3251.58"/>
    <n v="1689.81"/>
    <s v="Monday"/>
    <x v="0"/>
  </r>
  <r>
    <s v="NV2543"/>
    <d v="2024-06-06T00:00:00"/>
    <x v="33"/>
    <x v="0"/>
    <s v="P40"/>
    <x v="2"/>
    <n v="1"/>
    <n v="1450.91"/>
    <x v="0"/>
    <n v="967.82"/>
    <s v="Returning"/>
    <s v="Digital"/>
    <n v="1015.6369999999999"/>
    <n v="47.816999999999894"/>
    <s v="Thursday"/>
    <x v="0"/>
  </r>
  <r>
    <s v="NV2544"/>
    <d v="2025-11-07T00:00:00"/>
    <x v="19"/>
    <x v="0"/>
    <s v="P263"/>
    <x v="2"/>
    <n v="2"/>
    <n v="1598.68"/>
    <x v="1"/>
    <n v="1010.53"/>
    <s v="New"/>
    <s v="Cash"/>
    <n v="2557.8880000000004"/>
    <n v="536.82800000000043"/>
    <s v="Friday"/>
    <x v="0"/>
  </r>
  <r>
    <s v="NV2545"/>
    <d v="2025-01-02T00:00:00"/>
    <x v="49"/>
    <x v="2"/>
    <s v="P38"/>
    <x v="0"/>
    <n v="4"/>
    <n v="2887.42"/>
    <x v="1"/>
    <n v="1171.75"/>
    <s v="Returning"/>
    <s v="Card"/>
    <n v="9239.7440000000006"/>
    <n v="4552.7440000000006"/>
    <s v="Thursday"/>
    <x v="0"/>
  </r>
  <r>
    <s v="NV2546"/>
    <d v="2024-11-25T00:00:00"/>
    <x v="21"/>
    <x v="0"/>
    <s v="P167"/>
    <x v="1"/>
    <n v="4"/>
    <n v="2343.7800000000002"/>
    <x v="6"/>
    <n v="1442.8"/>
    <s v="Returning"/>
    <s v="Cash"/>
    <n v="9375.1200000000008"/>
    <n v="3603.920000000001"/>
    <s v="Monday"/>
    <x v="0"/>
  </r>
  <r>
    <s v="NV2547"/>
    <d v="2025-02-27T00:00:00"/>
    <x v="19"/>
    <x v="2"/>
    <s v="P74"/>
    <x v="2"/>
    <n v="4"/>
    <n v="2667.24"/>
    <x v="2"/>
    <n v="1759.78"/>
    <s v="Returning"/>
    <s v="Cash"/>
    <n v="10135.511999999999"/>
    <n v="3096.3919999999989"/>
    <s v="Thursday"/>
    <x v="0"/>
  </r>
  <r>
    <s v="NV2548"/>
    <d v="2024-12-07T00:00:00"/>
    <x v="59"/>
    <x v="2"/>
    <s v="P67"/>
    <x v="2"/>
    <n v="2"/>
    <n v="848.4"/>
    <x v="3"/>
    <n v="580.66999999999996"/>
    <s v="Returning"/>
    <s v="Cash"/>
    <n v="1527.12"/>
    <n v="365.78"/>
    <s v="Saturday"/>
    <x v="1"/>
  </r>
  <r>
    <s v="NV2549"/>
    <d v="2024-08-04T00:00:00"/>
    <x v="8"/>
    <x v="2"/>
    <s v="P264"/>
    <x v="0"/>
    <n v="3"/>
    <n v="2310.09"/>
    <x v="5"/>
    <n v="1575.05"/>
    <s v="Returning"/>
    <s v="Cash"/>
    <n v="5197.7025000000003"/>
    <n v="472.55250000000069"/>
    <s v="Sunday"/>
    <x v="1"/>
  </r>
  <r>
    <s v="NV2550"/>
    <d v="2025-01-04T00:00:00"/>
    <x v="58"/>
    <x v="2"/>
    <s v="P291"/>
    <x v="1"/>
    <n v="5"/>
    <n v="675.51"/>
    <x v="1"/>
    <n v="342.41"/>
    <s v="Returning"/>
    <s v="Digital"/>
    <n v="2702.0400000000004"/>
    <n v="989.99000000000024"/>
    <s v="Saturday"/>
    <x v="1"/>
  </r>
  <r>
    <s v="NV2551"/>
    <d v="2024-11-23T00:00:00"/>
    <x v="56"/>
    <x v="3"/>
    <s v="P261"/>
    <x v="2"/>
    <n v="3"/>
    <n v="364.22"/>
    <x v="2"/>
    <n v="151.55000000000001"/>
    <s v="New"/>
    <s v="Cash"/>
    <n v="1038.027"/>
    <n v="583.37699999999995"/>
    <s v="Saturday"/>
    <x v="1"/>
  </r>
  <r>
    <s v="NV2552"/>
    <d v="2024-02-19T00:00:00"/>
    <x v="24"/>
    <x v="3"/>
    <s v="P298"/>
    <x v="1"/>
    <n v="5"/>
    <n v="1723.76"/>
    <x v="5"/>
    <n v="1070.6099999999999"/>
    <s v="New"/>
    <s v="Digital"/>
    <n v="6464.0999999999995"/>
    <n v="1111.0500000000002"/>
    <s v="Monday"/>
    <x v="0"/>
  </r>
  <r>
    <s v="NV2553"/>
    <d v="2024-05-25T00:00:00"/>
    <x v="52"/>
    <x v="0"/>
    <s v="P137"/>
    <x v="2"/>
    <n v="5"/>
    <n v="2406.2600000000002"/>
    <x v="1"/>
    <n v="1122.79"/>
    <s v="Returning"/>
    <s v="Cash"/>
    <n v="9625.0400000000009"/>
    <n v="4011.0900000000011"/>
    <s v="Saturday"/>
    <x v="1"/>
  </r>
  <r>
    <s v="NV2554"/>
    <d v="2024-02-18T00:00:00"/>
    <x v="40"/>
    <x v="3"/>
    <s v="P13"/>
    <x v="1"/>
    <n v="5"/>
    <n v="1897.17"/>
    <x v="0"/>
    <n v="1005.28"/>
    <s v="Returning"/>
    <s v="Digital"/>
    <n v="6640.0950000000003"/>
    <n v="1613.6950000000006"/>
    <s v="Sunday"/>
    <x v="1"/>
  </r>
  <r>
    <s v="NV2555"/>
    <d v="2024-12-10T00:00:00"/>
    <x v="13"/>
    <x v="3"/>
    <s v="P76"/>
    <x v="1"/>
    <n v="3"/>
    <n v="949.67"/>
    <x v="1"/>
    <n v="599.76"/>
    <s v="New"/>
    <s v="Card"/>
    <n v="2279.2080000000001"/>
    <n v="479.92800000000011"/>
    <s v="Tuesday"/>
    <x v="0"/>
  </r>
  <r>
    <s v="NV2556"/>
    <d v="2025-09-20T00:00:00"/>
    <x v="38"/>
    <x v="3"/>
    <s v="P203"/>
    <x v="2"/>
    <n v="3"/>
    <n v="2435.96"/>
    <x v="3"/>
    <n v="1407.07"/>
    <s v="New"/>
    <s v="Digital"/>
    <n v="6577.0920000000006"/>
    <n v="2355.8820000000005"/>
    <s v="Saturday"/>
    <x v="1"/>
  </r>
  <r>
    <s v="NV2557"/>
    <d v="2024-11-03T00:00:00"/>
    <x v="39"/>
    <x v="1"/>
    <s v="P191"/>
    <x v="2"/>
    <n v="1"/>
    <n v="317.12"/>
    <x v="1"/>
    <n v="176.97"/>
    <s v="New"/>
    <s v="Card"/>
    <n v="253.69600000000003"/>
    <n v="76.726000000000028"/>
    <s v="Sunday"/>
    <x v="1"/>
  </r>
  <r>
    <s v="NV2558"/>
    <d v="2025-04-11T00:00:00"/>
    <x v="44"/>
    <x v="3"/>
    <s v="P1"/>
    <x v="0"/>
    <n v="1"/>
    <n v="649.04"/>
    <x v="0"/>
    <n v="399.12"/>
    <s v="Returning"/>
    <s v="Cash"/>
    <n v="454.32799999999992"/>
    <n v="55.207999999999913"/>
    <s v="Friday"/>
    <x v="0"/>
  </r>
  <r>
    <s v="NV2559"/>
    <d v="2025-08-05T00:00:00"/>
    <x v="11"/>
    <x v="0"/>
    <s v="P92"/>
    <x v="0"/>
    <n v="2"/>
    <n v="2357.27"/>
    <x v="1"/>
    <n v="1179.53"/>
    <s v="Returning"/>
    <s v="Digital"/>
    <n v="3771.6320000000001"/>
    <n v="1412.5720000000001"/>
    <s v="Tuesday"/>
    <x v="0"/>
  </r>
  <r>
    <s v="NV2560"/>
    <d v="2024-02-22T00:00:00"/>
    <x v="38"/>
    <x v="3"/>
    <s v="P253"/>
    <x v="1"/>
    <n v="4"/>
    <n v="904.61"/>
    <x v="2"/>
    <n v="519.32000000000005"/>
    <s v="New"/>
    <s v="Card"/>
    <n v="3437.518"/>
    <n v="1360.2379999999998"/>
    <s v="Thursday"/>
    <x v="0"/>
  </r>
  <r>
    <s v="NV2561"/>
    <d v="2024-02-25T00:00:00"/>
    <x v="13"/>
    <x v="3"/>
    <s v="P174"/>
    <x v="0"/>
    <n v="5"/>
    <n v="1539.01"/>
    <x v="0"/>
    <n v="804.13"/>
    <s v="Returning"/>
    <s v="Digital"/>
    <n v="5386.5349999999999"/>
    <n v="1365.8849999999998"/>
    <s v="Sunday"/>
    <x v="1"/>
  </r>
  <r>
    <s v="NV2562"/>
    <d v="2025-05-30T00:00:00"/>
    <x v="25"/>
    <x v="1"/>
    <s v="P251"/>
    <x v="1"/>
    <n v="4"/>
    <n v="838.18"/>
    <x v="1"/>
    <n v="502.2"/>
    <s v="New"/>
    <s v="Cash"/>
    <n v="2682.1759999999999"/>
    <n v="673.37599999999998"/>
    <s v="Friday"/>
    <x v="0"/>
  </r>
  <r>
    <s v="NV2563"/>
    <d v="2024-12-07T00:00:00"/>
    <x v="21"/>
    <x v="2"/>
    <s v="P294"/>
    <x v="2"/>
    <n v="5"/>
    <n v="2609.0500000000002"/>
    <x v="6"/>
    <n v="1712.11"/>
    <s v="New"/>
    <s v="Card"/>
    <n v="13045.25"/>
    <n v="4484.7000000000007"/>
    <s v="Saturday"/>
    <x v="1"/>
  </r>
  <r>
    <s v="NV2564"/>
    <d v="2024-10-14T00:00:00"/>
    <x v="25"/>
    <x v="1"/>
    <s v="P185"/>
    <x v="1"/>
    <n v="1"/>
    <n v="420.08"/>
    <x v="0"/>
    <n v="248.09"/>
    <s v="New"/>
    <s v="Cash"/>
    <n v="294.05599999999998"/>
    <n v="45.96599999999998"/>
    <s v="Monday"/>
    <x v="0"/>
  </r>
  <r>
    <s v="NV2565"/>
    <d v="2024-05-06T00:00:00"/>
    <x v="36"/>
    <x v="1"/>
    <s v="P16"/>
    <x v="1"/>
    <n v="2"/>
    <n v="1077.82"/>
    <x v="6"/>
    <n v="454.33"/>
    <s v="Returning"/>
    <s v="Digital"/>
    <n v="2155.64"/>
    <n v="1246.98"/>
    <s v="Monday"/>
    <x v="0"/>
  </r>
  <r>
    <s v="NV2566"/>
    <d v="2025-11-03T00:00:00"/>
    <x v="41"/>
    <x v="2"/>
    <s v="P1"/>
    <x v="1"/>
    <n v="1"/>
    <n v="1117.02"/>
    <x v="2"/>
    <n v="732.99"/>
    <s v="Returning"/>
    <s v="Cash"/>
    <n v="1061.1689999999999"/>
    <n v="328.17899999999986"/>
    <s v="Monday"/>
    <x v="0"/>
  </r>
  <r>
    <s v="NV2567"/>
    <d v="2025-05-15T00:00:00"/>
    <x v="35"/>
    <x v="3"/>
    <s v="P272"/>
    <x v="2"/>
    <n v="5"/>
    <n v="2489.64"/>
    <x v="1"/>
    <n v="1552.3"/>
    <s v="New"/>
    <s v="Cash"/>
    <n v="9958.56"/>
    <n v="2197.0599999999995"/>
    <s v="Thursday"/>
    <x v="0"/>
  </r>
  <r>
    <s v="NV2568"/>
    <d v="2025-10-09T00:00:00"/>
    <x v="32"/>
    <x v="3"/>
    <s v="P48"/>
    <x v="2"/>
    <n v="4"/>
    <n v="2327.04"/>
    <x v="2"/>
    <n v="1444.01"/>
    <s v="New"/>
    <s v="Cash"/>
    <n v="8842.7519999999986"/>
    <n v="3066.7119999999986"/>
    <s v="Thursday"/>
    <x v="0"/>
  </r>
  <r>
    <s v="NV2569"/>
    <d v="2025-02-16T00:00:00"/>
    <x v="27"/>
    <x v="3"/>
    <s v="P140"/>
    <x v="0"/>
    <n v="1"/>
    <n v="1657.83"/>
    <x v="0"/>
    <n v="781.56"/>
    <s v="Returning"/>
    <s v="Digital"/>
    <n v="1160.4809999999998"/>
    <n v="378.92099999999982"/>
    <s v="Sunday"/>
    <x v="1"/>
  </r>
  <r>
    <s v="NV2570"/>
    <d v="2024-09-15T00:00:00"/>
    <x v="30"/>
    <x v="0"/>
    <s v="P9"/>
    <x v="1"/>
    <n v="4"/>
    <n v="2386.71"/>
    <x v="2"/>
    <n v="1261.28"/>
    <s v="Returning"/>
    <s v="Card"/>
    <n v="9069.4979999999996"/>
    <n v="4024.3779999999997"/>
    <s v="Sunday"/>
    <x v="1"/>
  </r>
  <r>
    <s v="NV2571"/>
    <d v="2025-08-12T00:00:00"/>
    <x v="33"/>
    <x v="1"/>
    <s v="P237"/>
    <x v="2"/>
    <n v="2"/>
    <n v="2041.78"/>
    <x v="5"/>
    <n v="842.09"/>
    <s v="Returning"/>
    <s v="Card"/>
    <n v="3062.67"/>
    <n v="1378.49"/>
    <s v="Tuesday"/>
    <x v="0"/>
  </r>
  <r>
    <s v="NV2572"/>
    <d v="2024-01-18T00:00:00"/>
    <x v="31"/>
    <x v="3"/>
    <s v="P143"/>
    <x v="2"/>
    <n v="4"/>
    <n v="2265.38"/>
    <x v="2"/>
    <n v="1283.57"/>
    <s v="New"/>
    <s v="Cash"/>
    <n v="8608.4439999999995"/>
    <n v="3474.1639999999998"/>
    <s v="Thursday"/>
    <x v="0"/>
  </r>
  <r>
    <s v="NV2573"/>
    <d v="2025-07-03T00:00:00"/>
    <x v="18"/>
    <x v="1"/>
    <s v="P35"/>
    <x v="0"/>
    <n v="1"/>
    <n v="2468.63"/>
    <x v="0"/>
    <n v="1086.7"/>
    <s v="Returning"/>
    <s v="Card"/>
    <n v="1728.0409999999999"/>
    <n v="641.34099999999989"/>
    <s v="Thursday"/>
    <x v="0"/>
  </r>
  <r>
    <s v="NV2574"/>
    <d v="2025-04-17T00:00:00"/>
    <x v="53"/>
    <x v="2"/>
    <s v="P150"/>
    <x v="0"/>
    <n v="5"/>
    <n v="1043.6400000000001"/>
    <x v="3"/>
    <n v="515.07000000000005"/>
    <s v="New"/>
    <s v="Digital"/>
    <n v="4696.380000000001"/>
    <n v="2121.0300000000007"/>
    <s v="Thursday"/>
    <x v="0"/>
  </r>
  <r>
    <s v="NV2575"/>
    <d v="2025-06-12T00:00:00"/>
    <x v="35"/>
    <x v="0"/>
    <s v="P149"/>
    <x v="1"/>
    <n v="1"/>
    <n v="2873.91"/>
    <x v="5"/>
    <n v="1791.85"/>
    <s v="Returning"/>
    <s v="Digital"/>
    <n v="2155.4324999999999"/>
    <n v="363.58249999999998"/>
    <s v="Thursday"/>
    <x v="0"/>
  </r>
  <r>
    <s v="NV2576"/>
    <d v="2025-08-14T00:00:00"/>
    <x v="6"/>
    <x v="0"/>
    <s v="P144"/>
    <x v="0"/>
    <n v="4"/>
    <n v="1733.86"/>
    <x v="1"/>
    <n v="1043.5"/>
    <s v="Returning"/>
    <s v="Digital"/>
    <n v="5548.3519999999999"/>
    <n v="1374.3519999999999"/>
    <s v="Thursday"/>
    <x v="0"/>
  </r>
  <r>
    <s v="NV2577"/>
    <d v="2025-11-28T00:00:00"/>
    <x v="42"/>
    <x v="3"/>
    <s v="P244"/>
    <x v="2"/>
    <n v="4"/>
    <n v="1637.4"/>
    <x v="1"/>
    <n v="1027.1099999999999"/>
    <s v="Returning"/>
    <s v="Cash"/>
    <n v="5239.68"/>
    <n v="1131.2400000000007"/>
    <s v="Friday"/>
    <x v="0"/>
  </r>
  <r>
    <s v="NV2578"/>
    <d v="2024-12-20T00:00:00"/>
    <x v="57"/>
    <x v="2"/>
    <s v="P132"/>
    <x v="0"/>
    <n v="3"/>
    <n v="471.19"/>
    <x v="3"/>
    <n v="229.59"/>
    <s v="New"/>
    <s v="Digital"/>
    <n v="1272.213"/>
    <n v="583.44299999999998"/>
    <s v="Friday"/>
    <x v="0"/>
  </r>
  <r>
    <s v="NV2579"/>
    <d v="2024-05-11T00:00:00"/>
    <x v="51"/>
    <x v="1"/>
    <s v="P56"/>
    <x v="1"/>
    <n v="1"/>
    <n v="748.19"/>
    <x v="2"/>
    <n v="365.02"/>
    <s v="New"/>
    <s v="Card"/>
    <n v="710.78050000000007"/>
    <n v="345.76050000000009"/>
    <s v="Saturday"/>
    <x v="1"/>
  </r>
  <r>
    <s v="NV2580"/>
    <d v="2024-06-20T00:00:00"/>
    <x v="56"/>
    <x v="0"/>
    <s v="P47"/>
    <x v="2"/>
    <n v="3"/>
    <n v="2190.71"/>
    <x v="5"/>
    <n v="1060.69"/>
    <s v="Returning"/>
    <s v="Card"/>
    <n v="4929.0974999999999"/>
    <n v="1747.0274999999997"/>
    <s v="Thursday"/>
    <x v="0"/>
  </r>
  <r>
    <s v="NV2581"/>
    <d v="2024-12-09T00:00:00"/>
    <x v="20"/>
    <x v="1"/>
    <s v="P48"/>
    <x v="1"/>
    <n v="5"/>
    <n v="2005.96"/>
    <x v="3"/>
    <n v="1339.85"/>
    <s v="New"/>
    <s v="Digital"/>
    <n v="9026.82"/>
    <n v="2327.5699999999997"/>
    <s v="Monday"/>
    <x v="0"/>
  </r>
  <r>
    <s v="NV2582"/>
    <d v="2025-03-19T00:00:00"/>
    <x v="25"/>
    <x v="0"/>
    <s v="P71"/>
    <x v="1"/>
    <n v="4"/>
    <n v="1993.52"/>
    <x v="3"/>
    <n v="1204.7"/>
    <s v="New"/>
    <s v="Card"/>
    <n v="7176.6720000000005"/>
    <n v="2357.8720000000003"/>
    <s v="Wednesday"/>
    <x v="0"/>
  </r>
  <r>
    <s v="NV2583"/>
    <d v="2025-09-20T00:00:00"/>
    <x v="44"/>
    <x v="1"/>
    <s v="P21"/>
    <x v="2"/>
    <n v="5"/>
    <n v="772.09"/>
    <x v="2"/>
    <n v="349.26"/>
    <s v="Returning"/>
    <s v="Card"/>
    <n v="3667.4275000000002"/>
    <n v="1921.1275000000003"/>
    <s v="Saturday"/>
    <x v="1"/>
  </r>
  <r>
    <s v="NV2584"/>
    <d v="2024-10-17T00:00:00"/>
    <x v="53"/>
    <x v="3"/>
    <s v="P133"/>
    <x v="2"/>
    <n v="2"/>
    <n v="2867.34"/>
    <x v="4"/>
    <n v="1704.12"/>
    <s v="Returning"/>
    <s v="Card"/>
    <n v="4874.4780000000001"/>
    <n v="1466.2380000000003"/>
    <s v="Thursday"/>
    <x v="0"/>
  </r>
  <r>
    <s v="NV2585"/>
    <d v="2024-04-20T00:00:00"/>
    <x v="42"/>
    <x v="3"/>
    <s v="P69"/>
    <x v="2"/>
    <n v="1"/>
    <n v="1311.19"/>
    <x v="4"/>
    <n v="575.64"/>
    <s v="New"/>
    <s v="Cash"/>
    <n v="1114.5115000000001"/>
    <n v="538.87150000000008"/>
    <s v="Saturday"/>
    <x v="1"/>
  </r>
  <r>
    <s v="NV2586"/>
    <d v="2025-01-19T00:00:00"/>
    <x v="17"/>
    <x v="1"/>
    <s v="P73"/>
    <x v="2"/>
    <n v="4"/>
    <n v="2312.4299999999998"/>
    <x v="3"/>
    <n v="1549.43"/>
    <s v="Returning"/>
    <s v="Digital"/>
    <n v="8324.7479999999996"/>
    <n v="2127.0279999999993"/>
    <s v="Sunday"/>
    <x v="1"/>
  </r>
  <r>
    <s v="NV2587"/>
    <d v="2024-03-31T00:00:00"/>
    <x v="15"/>
    <x v="3"/>
    <s v="P193"/>
    <x v="1"/>
    <n v="1"/>
    <n v="2533.83"/>
    <x v="4"/>
    <n v="1349.45"/>
    <s v="Returning"/>
    <s v="Cash"/>
    <n v="2153.7554999999998"/>
    <n v="804.30549999999971"/>
    <s v="Sunday"/>
    <x v="1"/>
  </r>
  <r>
    <s v="NV2588"/>
    <d v="2025-09-13T00:00:00"/>
    <x v="56"/>
    <x v="3"/>
    <s v="P287"/>
    <x v="2"/>
    <n v="4"/>
    <n v="989.74"/>
    <x v="0"/>
    <n v="459.47"/>
    <s v="New"/>
    <s v="Cash"/>
    <n v="2771.2719999999999"/>
    <n v="933.39199999999983"/>
    <s v="Saturday"/>
    <x v="1"/>
  </r>
  <r>
    <s v="NV2589"/>
    <d v="2025-04-28T00:00:00"/>
    <x v="17"/>
    <x v="1"/>
    <s v="P190"/>
    <x v="1"/>
    <n v="4"/>
    <n v="1029.3499999999999"/>
    <x v="3"/>
    <n v="712.16"/>
    <s v="Returning"/>
    <s v="Cash"/>
    <n v="3705.66"/>
    <n v="857.02"/>
    <s v="Monday"/>
    <x v="0"/>
  </r>
  <r>
    <s v="NV2590"/>
    <d v="2025-09-24T00:00:00"/>
    <x v="42"/>
    <x v="3"/>
    <s v="P19"/>
    <x v="2"/>
    <n v="4"/>
    <n v="2999.07"/>
    <x v="4"/>
    <n v="1727.94"/>
    <s v="Returning"/>
    <s v="Card"/>
    <n v="10196.838"/>
    <n v="3285.0779999999995"/>
    <s v="Wednesday"/>
    <x v="0"/>
  </r>
  <r>
    <s v="NV2591"/>
    <d v="2024-10-11T00:00:00"/>
    <x v="32"/>
    <x v="2"/>
    <s v="P88"/>
    <x v="0"/>
    <n v="1"/>
    <n v="462.03"/>
    <x v="5"/>
    <n v="291.23"/>
    <s v="New"/>
    <s v="Cash"/>
    <n v="346.52249999999998"/>
    <n v="55.292499999999961"/>
    <s v="Friday"/>
    <x v="0"/>
  </r>
  <r>
    <s v="NV2592"/>
    <d v="2025-01-31T00:00:00"/>
    <x v="13"/>
    <x v="1"/>
    <s v="P287"/>
    <x v="1"/>
    <n v="4"/>
    <n v="2886.91"/>
    <x v="1"/>
    <n v="1585.04"/>
    <s v="New"/>
    <s v="Card"/>
    <n v="9238.1119999999992"/>
    <n v="2897.9519999999993"/>
    <s v="Friday"/>
    <x v="0"/>
  </r>
  <r>
    <s v="NV2593"/>
    <d v="2024-04-29T00:00:00"/>
    <x v="19"/>
    <x v="0"/>
    <s v="P236"/>
    <x v="1"/>
    <n v="5"/>
    <n v="1859.29"/>
    <x v="1"/>
    <n v="769.87"/>
    <s v="Returning"/>
    <s v="Card"/>
    <n v="7437.1600000000008"/>
    <n v="3587.8100000000009"/>
    <s v="Monday"/>
    <x v="0"/>
  </r>
  <r>
    <s v="NV2594"/>
    <d v="2025-10-02T00:00:00"/>
    <x v="20"/>
    <x v="3"/>
    <s v="P80"/>
    <x v="0"/>
    <n v="1"/>
    <n v="750.33"/>
    <x v="3"/>
    <n v="390.66"/>
    <s v="Returning"/>
    <s v="Cash"/>
    <n v="675.29700000000003"/>
    <n v="284.637"/>
    <s v="Thursday"/>
    <x v="0"/>
  </r>
  <r>
    <s v="NV2595"/>
    <d v="2024-10-19T00:00:00"/>
    <x v="27"/>
    <x v="0"/>
    <s v="P101"/>
    <x v="0"/>
    <n v="5"/>
    <n v="969.08"/>
    <x v="0"/>
    <n v="626.91999999999996"/>
    <s v="New"/>
    <s v="Digital"/>
    <n v="3391.78"/>
    <n v="257.18000000000029"/>
    <s v="Saturday"/>
    <x v="1"/>
  </r>
  <r>
    <s v="NV2596"/>
    <d v="2024-04-14T00:00:00"/>
    <x v="6"/>
    <x v="3"/>
    <s v="P132"/>
    <x v="0"/>
    <n v="1"/>
    <n v="389.54"/>
    <x v="2"/>
    <n v="219.27"/>
    <s v="New"/>
    <s v="Card"/>
    <n v="370.06299999999999"/>
    <n v="150.79299999999998"/>
    <s v="Sunday"/>
    <x v="1"/>
  </r>
  <r>
    <s v="NV2597"/>
    <d v="2024-11-10T00:00:00"/>
    <x v="20"/>
    <x v="1"/>
    <s v="P289"/>
    <x v="1"/>
    <n v="3"/>
    <n v="2443.6"/>
    <x v="5"/>
    <n v="1445.09"/>
    <s v="Returning"/>
    <s v="Card"/>
    <n v="5498.0999999999995"/>
    <n v="1162.83"/>
    <s v="Sunday"/>
    <x v="1"/>
  </r>
  <r>
    <s v="NV2598"/>
    <d v="2025-03-29T00:00:00"/>
    <x v="15"/>
    <x v="0"/>
    <s v="P153"/>
    <x v="0"/>
    <n v="3"/>
    <n v="1937.17"/>
    <x v="0"/>
    <n v="908.75"/>
    <s v="New"/>
    <s v="Cash"/>
    <n v="4068.0569999999998"/>
    <n v="1341.8069999999998"/>
    <s v="Saturday"/>
    <x v="1"/>
  </r>
  <r>
    <s v="NV2599"/>
    <d v="2024-07-03T00:00:00"/>
    <x v="4"/>
    <x v="2"/>
    <s v="P236"/>
    <x v="1"/>
    <n v="3"/>
    <n v="2725.75"/>
    <x v="2"/>
    <n v="1662.21"/>
    <s v="Returning"/>
    <s v="Digital"/>
    <n v="7768.3874999999998"/>
    <n v="2781.7574999999997"/>
    <s v="Wednesday"/>
    <x v="0"/>
  </r>
  <r>
    <s v="NV2600"/>
    <d v="2025-06-16T00:00:00"/>
    <x v="49"/>
    <x v="2"/>
    <s v="P197"/>
    <x v="0"/>
    <n v="1"/>
    <n v="2045.92"/>
    <x v="3"/>
    <n v="1085.49"/>
    <s v="New"/>
    <s v="Cash"/>
    <n v="1841.3280000000002"/>
    <n v="755.83800000000019"/>
    <s v="Monday"/>
    <x v="0"/>
  </r>
  <r>
    <s v="NV2601"/>
    <d v="2025-04-03T00:00:00"/>
    <x v="40"/>
    <x v="1"/>
    <s v="P89"/>
    <x v="1"/>
    <n v="5"/>
    <n v="1870.85"/>
    <x v="0"/>
    <n v="1294.08"/>
    <s v="New"/>
    <s v="Digital"/>
    <n v="6547.9749999999995"/>
    <n v="77.574999999999818"/>
    <s v="Thursday"/>
    <x v="0"/>
  </r>
  <r>
    <s v="NV2602"/>
    <d v="2025-01-27T00:00:00"/>
    <x v="34"/>
    <x v="2"/>
    <s v="P1"/>
    <x v="1"/>
    <n v="4"/>
    <n v="1749.87"/>
    <x v="4"/>
    <n v="1106.79"/>
    <s v="Returning"/>
    <s v="Digital"/>
    <n v="5949.5579999999991"/>
    <n v="1522.3979999999992"/>
    <s v="Monday"/>
    <x v="0"/>
  </r>
  <r>
    <s v="NV2603"/>
    <d v="2025-01-09T00:00:00"/>
    <x v="56"/>
    <x v="2"/>
    <s v="P229"/>
    <x v="0"/>
    <n v="5"/>
    <n v="2690.69"/>
    <x v="2"/>
    <n v="1133.06"/>
    <s v="Returning"/>
    <s v="Cash"/>
    <n v="12780.7775"/>
    <n v="7115.4775000000009"/>
    <s v="Thursday"/>
    <x v="0"/>
  </r>
  <r>
    <s v="NV2604"/>
    <d v="2025-06-13T00:00:00"/>
    <x v="24"/>
    <x v="1"/>
    <s v="P94"/>
    <x v="2"/>
    <n v="4"/>
    <n v="1102.23"/>
    <x v="6"/>
    <n v="572.57000000000005"/>
    <s v="New"/>
    <s v="Digital"/>
    <n v="4408.92"/>
    <n v="2118.64"/>
    <s v="Friday"/>
    <x v="0"/>
  </r>
  <r>
    <s v="NV2605"/>
    <d v="2024-11-15T00:00:00"/>
    <x v="9"/>
    <x v="1"/>
    <s v="P76"/>
    <x v="1"/>
    <n v="2"/>
    <n v="2842.43"/>
    <x v="6"/>
    <n v="1512.42"/>
    <s v="Returning"/>
    <s v="Cash"/>
    <n v="5684.86"/>
    <n v="2660.0199999999995"/>
    <s v="Friday"/>
    <x v="0"/>
  </r>
  <r>
    <s v="NV2606"/>
    <d v="2025-10-02T00:00:00"/>
    <x v="40"/>
    <x v="0"/>
    <s v="P99"/>
    <x v="2"/>
    <n v="2"/>
    <n v="1759.86"/>
    <x v="3"/>
    <n v="828.62"/>
    <s v="New"/>
    <s v="Card"/>
    <n v="3167.748"/>
    <n v="1510.508"/>
    <s v="Thursday"/>
    <x v="0"/>
  </r>
  <r>
    <s v="NV2607"/>
    <d v="2025-03-28T00:00:00"/>
    <x v="35"/>
    <x v="2"/>
    <s v="P107"/>
    <x v="2"/>
    <n v="2"/>
    <n v="1699.18"/>
    <x v="3"/>
    <n v="1183.43"/>
    <s v="Returning"/>
    <s v="Cash"/>
    <n v="3058.5240000000003"/>
    <n v="691.66400000000021"/>
    <s v="Friday"/>
    <x v="0"/>
  </r>
  <r>
    <s v="NV2608"/>
    <d v="2024-08-10T00:00:00"/>
    <x v="23"/>
    <x v="2"/>
    <s v="P87"/>
    <x v="1"/>
    <n v="5"/>
    <n v="1360.21"/>
    <x v="6"/>
    <n v="687.37"/>
    <s v="New"/>
    <s v="Digital"/>
    <n v="6801.05"/>
    <n v="3364.2000000000003"/>
    <s v="Saturday"/>
    <x v="1"/>
  </r>
  <r>
    <s v="NV2609"/>
    <d v="2025-07-16T00:00:00"/>
    <x v="21"/>
    <x v="3"/>
    <s v="P4"/>
    <x v="1"/>
    <n v="4"/>
    <n v="2432.1799999999998"/>
    <x v="3"/>
    <n v="1068.28"/>
    <s v="Returning"/>
    <s v="Cash"/>
    <n v="8755.848"/>
    <n v="4482.7280000000001"/>
    <s v="Wednesday"/>
    <x v="0"/>
  </r>
  <r>
    <s v="NV2610"/>
    <d v="2025-11-10T00:00:00"/>
    <x v="51"/>
    <x v="1"/>
    <s v="P121"/>
    <x v="1"/>
    <n v="2"/>
    <n v="2826.9"/>
    <x v="5"/>
    <n v="1910.38"/>
    <s v="Returning"/>
    <s v="Card"/>
    <n v="4240.3500000000004"/>
    <n v="419.59000000000015"/>
    <s v="Monday"/>
    <x v="0"/>
  </r>
  <r>
    <s v="NV2611"/>
    <d v="2025-06-30T00:00:00"/>
    <x v="37"/>
    <x v="2"/>
    <s v="P125"/>
    <x v="0"/>
    <n v="3"/>
    <n v="757.38"/>
    <x v="2"/>
    <n v="323.17"/>
    <s v="Returning"/>
    <s v="Card"/>
    <n v="2158.5329999999999"/>
    <n v="1189.0229999999999"/>
    <s v="Monday"/>
    <x v="0"/>
  </r>
  <r>
    <s v="NV2612"/>
    <d v="2024-05-07T00:00:00"/>
    <x v="57"/>
    <x v="3"/>
    <s v="P34"/>
    <x v="2"/>
    <n v="1"/>
    <n v="2558.52"/>
    <x v="6"/>
    <n v="1694.12"/>
    <s v="Returning"/>
    <s v="Cash"/>
    <n v="2558.52"/>
    <n v="864.40000000000009"/>
    <s v="Tuesday"/>
    <x v="0"/>
  </r>
  <r>
    <s v="NV2613"/>
    <d v="2024-12-02T00:00:00"/>
    <x v="51"/>
    <x v="3"/>
    <s v="P124"/>
    <x v="1"/>
    <n v="2"/>
    <n v="2487.37"/>
    <x v="5"/>
    <n v="1010.82"/>
    <s v="New"/>
    <s v="Digital"/>
    <n v="3731.0549999999998"/>
    <n v="1709.4149999999997"/>
    <s v="Monday"/>
    <x v="0"/>
  </r>
  <r>
    <s v="NV2614"/>
    <d v="2024-03-12T00:00:00"/>
    <x v="16"/>
    <x v="1"/>
    <s v="P252"/>
    <x v="0"/>
    <n v="2"/>
    <n v="1749.97"/>
    <x v="1"/>
    <n v="1031.1600000000001"/>
    <s v="Returning"/>
    <s v="Digital"/>
    <n v="2799.9520000000002"/>
    <n v="737.63200000000006"/>
    <s v="Tuesday"/>
    <x v="0"/>
  </r>
  <r>
    <s v="NV2615"/>
    <d v="2024-06-23T00:00:00"/>
    <x v="18"/>
    <x v="1"/>
    <s v="P159"/>
    <x v="2"/>
    <n v="2"/>
    <n v="1118.49"/>
    <x v="4"/>
    <n v="776.7"/>
    <s v="Returning"/>
    <s v="Card"/>
    <n v="1901.433"/>
    <n v="348.0329999999999"/>
    <s v="Sunday"/>
    <x v="1"/>
  </r>
  <r>
    <s v="NV2616"/>
    <d v="2024-10-11T00:00:00"/>
    <x v="11"/>
    <x v="3"/>
    <s v="P145"/>
    <x v="1"/>
    <n v="2"/>
    <n v="2320.59"/>
    <x v="2"/>
    <n v="1505.64"/>
    <s v="Returning"/>
    <s v="Card"/>
    <n v="4409.1210000000001"/>
    <n v="1397.8409999999999"/>
    <s v="Friday"/>
    <x v="0"/>
  </r>
  <r>
    <s v="NV2617"/>
    <d v="2024-09-05T00:00:00"/>
    <x v="30"/>
    <x v="0"/>
    <s v="P196"/>
    <x v="1"/>
    <n v="3"/>
    <n v="2984.65"/>
    <x v="6"/>
    <n v="1489.32"/>
    <s v="Returning"/>
    <s v="Digital"/>
    <n v="8953.9500000000007"/>
    <n v="4485.9900000000007"/>
    <s v="Thursday"/>
    <x v="0"/>
  </r>
  <r>
    <s v="NV2618"/>
    <d v="2025-04-15T00:00:00"/>
    <x v="30"/>
    <x v="1"/>
    <s v="P112"/>
    <x v="0"/>
    <n v="4"/>
    <n v="1126.82"/>
    <x v="3"/>
    <n v="766.25"/>
    <s v="Returning"/>
    <s v="Card"/>
    <n v="4056.5519999999997"/>
    <n v="991.55199999999968"/>
    <s v="Tuesday"/>
    <x v="0"/>
  </r>
  <r>
    <s v="NV2619"/>
    <d v="2025-05-01T00:00:00"/>
    <x v="25"/>
    <x v="1"/>
    <s v="P62"/>
    <x v="1"/>
    <n v="5"/>
    <n v="2172.12"/>
    <x v="5"/>
    <n v="1489.12"/>
    <s v="Returning"/>
    <s v="Digital"/>
    <n v="8145.4499999999989"/>
    <n v="699.84999999999945"/>
    <s v="Thursday"/>
    <x v="0"/>
  </r>
  <r>
    <s v="NV2620"/>
    <d v="2024-02-23T00:00:00"/>
    <x v="4"/>
    <x v="0"/>
    <s v="P163"/>
    <x v="1"/>
    <n v="1"/>
    <n v="733.64"/>
    <x v="6"/>
    <n v="503.78"/>
    <s v="Returning"/>
    <s v="Cash"/>
    <n v="733.64"/>
    <n v="229.86"/>
    <s v="Friday"/>
    <x v="0"/>
  </r>
  <r>
    <s v="NV2621"/>
    <d v="2025-11-01T00:00:00"/>
    <x v="21"/>
    <x v="3"/>
    <s v="P212"/>
    <x v="1"/>
    <n v="3"/>
    <n v="1697.87"/>
    <x v="0"/>
    <n v="798.53"/>
    <s v="Returning"/>
    <s v="Cash"/>
    <n v="3565.5269999999996"/>
    <n v="1169.9369999999994"/>
    <s v="Saturday"/>
    <x v="1"/>
  </r>
  <r>
    <s v="NV2622"/>
    <d v="2025-05-13T00:00:00"/>
    <x v="8"/>
    <x v="1"/>
    <s v="P251"/>
    <x v="0"/>
    <n v="2"/>
    <n v="624.9"/>
    <x v="6"/>
    <n v="290.16000000000003"/>
    <s v="Returning"/>
    <s v="Digital"/>
    <n v="1249.8"/>
    <n v="669.4799999999999"/>
    <s v="Tuesday"/>
    <x v="0"/>
  </r>
  <r>
    <s v="NV2623"/>
    <d v="2025-10-18T00:00:00"/>
    <x v="19"/>
    <x v="3"/>
    <s v="P139"/>
    <x v="0"/>
    <n v="1"/>
    <n v="1311.31"/>
    <x v="5"/>
    <n v="821.42"/>
    <s v="Returning"/>
    <s v="Cash"/>
    <n v="983.48249999999996"/>
    <n v="162.0625"/>
    <s v="Saturday"/>
    <x v="1"/>
  </r>
  <r>
    <s v="NV2624"/>
    <d v="2025-08-20T00:00:00"/>
    <x v="52"/>
    <x v="0"/>
    <s v="P65"/>
    <x v="0"/>
    <n v="3"/>
    <n v="2522.17"/>
    <x v="1"/>
    <n v="1394.54"/>
    <s v="New"/>
    <s v="Cash"/>
    <n v="6053.2080000000005"/>
    <n v="1869.5880000000006"/>
    <s v="Wednesday"/>
    <x v="0"/>
  </r>
  <r>
    <s v="NV2625"/>
    <d v="2025-07-22T00:00:00"/>
    <x v="18"/>
    <x v="0"/>
    <s v="P208"/>
    <x v="1"/>
    <n v="5"/>
    <n v="1556.66"/>
    <x v="6"/>
    <n v="971.32"/>
    <s v="Returning"/>
    <s v="Cash"/>
    <n v="7783.3"/>
    <n v="2926.7"/>
    <s v="Tuesday"/>
    <x v="0"/>
  </r>
  <r>
    <s v="NV2626"/>
    <d v="2024-04-24T00:00:00"/>
    <x v="59"/>
    <x v="0"/>
    <s v="P111"/>
    <x v="1"/>
    <n v="1"/>
    <n v="453.04"/>
    <x v="6"/>
    <n v="275.19"/>
    <s v="New"/>
    <s v="Cash"/>
    <n v="453.04"/>
    <n v="177.85000000000002"/>
    <s v="Wednesday"/>
    <x v="0"/>
  </r>
  <r>
    <s v="NV2627"/>
    <d v="2024-01-24T00:00:00"/>
    <x v="1"/>
    <x v="2"/>
    <s v="P116"/>
    <x v="0"/>
    <n v="4"/>
    <n v="1209.95"/>
    <x v="1"/>
    <n v="730.63"/>
    <s v="Returning"/>
    <s v="Card"/>
    <n v="3871.84"/>
    <n v="949.32000000000016"/>
    <s v="Wednesday"/>
    <x v="0"/>
  </r>
  <r>
    <s v="NV2628"/>
    <d v="2024-12-14T00:00:00"/>
    <x v="57"/>
    <x v="2"/>
    <s v="P190"/>
    <x v="0"/>
    <n v="1"/>
    <n v="2172.38"/>
    <x v="3"/>
    <n v="1145.1400000000001"/>
    <s v="Returning"/>
    <s v="Digital"/>
    <n v="1955.1420000000001"/>
    <n v="810.00199999999995"/>
    <s v="Saturday"/>
    <x v="1"/>
  </r>
  <r>
    <s v="NV2629"/>
    <d v="2024-03-15T00:00:00"/>
    <x v="41"/>
    <x v="3"/>
    <s v="P20"/>
    <x v="1"/>
    <n v="1"/>
    <n v="401.25"/>
    <x v="4"/>
    <n v="257.35000000000002"/>
    <s v="Returning"/>
    <s v="Card"/>
    <n v="341.0625"/>
    <n v="83.712499999999977"/>
    <s v="Friday"/>
    <x v="0"/>
  </r>
  <r>
    <s v="NV2630"/>
    <d v="2025-08-18T00:00:00"/>
    <x v="43"/>
    <x v="0"/>
    <s v="P115"/>
    <x v="0"/>
    <n v="2"/>
    <n v="1547.74"/>
    <x v="2"/>
    <n v="877.09"/>
    <s v="Returning"/>
    <s v="Card"/>
    <n v="2940.7059999999997"/>
    <n v="1186.5259999999996"/>
    <s v="Monday"/>
    <x v="0"/>
  </r>
  <r>
    <s v="NV2631"/>
    <d v="2025-02-09T00:00:00"/>
    <x v="31"/>
    <x v="0"/>
    <s v="P58"/>
    <x v="0"/>
    <n v="5"/>
    <n v="1299.1500000000001"/>
    <x v="5"/>
    <n v="527.1"/>
    <s v="Returning"/>
    <s v="Digital"/>
    <n v="4871.8125"/>
    <n v="2236.3125"/>
    <s v="Sunday"/>
    <x v="1"/>
  </r>
  <r>
    <s v="NV2632"/>
    <d v="2024-04-25T00:00:00"/>
    <x v="18"/>
    <x v="3"/>
    <s v="P136"/>
    <x v="0"/>
    <n v="5"/>
    <n v="2054.4"/>
    <x v="6"/>
    <n v="857.65"/>
    <s v="Returning"/>
    <s v="Card"/>
    <n v="10272"/>
    <n v="5983.75"/>
    <s v="Thursday"/>
    <x v="0"/>
  </r>
  <r>
    <s v="NV2633"/>
    <d v="2024-12-23T00:00:00"/>
    <x v="17"/>
    <x v="0"/>
    <s v="P42"/>
    <x v="2"/>
    <n v="3"/>
    <n v="2147.69"/>
    <x v="2"/>
    <n v="1502.88"/>
    <s v="Returning"/>
    <s v="Digital"/>
    <n v="6120.9164999999994"/>
    <n v="1612.276499999999"/>
    <s v="Monday"/>
    <x v="0"/>
  </r>
  <r>
    <s v="NV2634"/>
    <d v="2025-06-13T00:00:00"/>
    <x v="51"/>
    <x v="3"/>
    <s v="P121"/>
    <x v="0"/>
    <n v="2"/>
    <n v="1475.31"/>
    <x v="4"/>
    <n v="955.52"/>
    <s v="Returning"/>
    <s v="Digital"/>
    <n v="2508.027"/>
    <n v="596.98700000000008"/>
    <s v="Friday"/>
    <x v="0"/>
  </r>
  <r>
    <s v="NV2635"/>
    <d v="2024-01-30T00:00:00"/>
    <x v="23"/>
    <x v="1"/>
    <s v="P105"/>
    <x v="0"/>
    <n v="1"/>
    <n v="2226.41"/>
    <x v="3"/>
    <n v="1547.38"/>
    <s v="New"/>
    <s v="Card"/>
    <n v="2003.769"/>
    <n v="456.3889999999999"/>
    <s v="Tuesday"/>
    <x v="0"/>
  </r>
  <r>
    <s v="NV2636"/>
    <d v="2024-07-11T00:00:00"/>
    <x v="39"/>
    <x v="3"/>
    <s v="P47"/>
    <x v="1"/>
    <n v="4"/>
    <n v="2882.06"/>
    <x v="0"/>
    <n v="1722.2"/>
    <s v="New"/>
    <s v="Digital"/>
    <n v="8069.7679999999991"/>
    <n v="1180.9679999999989"/>
    <s v="Thursday"/>
    <x v="0"/>
  </r>
  <r>
    <s v="NV2637"/>
    <d v="2024-06-06T00:00:00"/>
    <x v="38"/>
    <x v="3"/>
    <s v="P49"/>
    <x v="0"/>
    <n v="1"/>
    <n v="1342.21"/>
    <x v="4"/>
    <n v="744.15"/>
    <s v="Returning"/>
    <s v="Card"/>
    <n v="1140.8785"/>
    <n v="396.72850000000005"/>
    <s v="Thursday"/>
    <x v="0"/>
  </r>
  <r>
    <s v="NV2638"/>
    <d v="2025-01-05T00:00:00"/>
    <x v="39"/>
    <x v="0"/>
    <s v="P115"/>
    <x v="2"/>
    <n v="1"/>
    <n v="691.66"/>
    <x v="0"/>
    <n v="336.55"/>
    <s v="New"/>
    <s v="Card"/>
    <n v="484.16199999999992"/>
    <n v="147.61199999999991"/>
    <s v="Sunday"/>
    <x v="1"/>
  </r>
  <r>
    <s v="NV2639"/>
    <d v="2024-02-07T00:00:00"/>
    <x v="7"/>
    <x v="0"/>
    <s v="P254"/>
    <x v="1"/>
    <n v="1"/>
    <n v="2346.85"/>
    <x v="0"/>
    <n v="1577.81"/>
    <s v="Returning"/>
    <s v="Cash"/>
    <n v="1642.7949999999998"/>
    <n v="64.9849999999999"/>
    <s v="Wednesday"/>
    <x v="0"/>
  </r>
  <r>
    <s v="NV2640"/>
    <d v="2025-09-26T00:00:00"/>
    <x v="27"/>
    <x v="0"/>
    <s v="P261"/>
    <x v="2"/>
    <n v="3"/>
    <n v="1147.3399999999999"/>
    <x v="1"/>
    <n v="637.74"/>
    <s v="Returning"/>
    <s v="Cash"/>
    <n v="2753.616"/>
    <n v="840.39599999999996"/>
    <s v="Friday"/>
    <x v="0"/>
  </r>
  <r>
    <s v="NV2641"/>
    <d v="2024-08-29T00:00:00"/>
    <x v="12"/>
    <x v="0"/>
    <s v="P39"/>
    <x v="0"/>
    <n v="1"/>
    <n v="2675.27"/>
    <x v="6"/>
    <n v="1823.16"/>
    <s v="Returning"/>
    <s v="Cash"/>
    <n v="2675.27"/>
    <n v="852.1099999999999"/>
    <s v="Thursday"/>
    <x v="0"/>
  </r>
  <r>
    <s v="NV2642"/>
    <d v="2024-04-17T00:00:00"/>
    <x v="44"/>
    <x v="3"/>
    <s v="P136"/>
    <x v="1"/>
    <n v="5"/>
    <n v="1308.24"/>
    <x v="3"/>
    <n v="612.71"/>
    <s v="New"/>
    <s v="Card"/>
    <n v="5887.08"/>
    <n v="2823.5299999999997"/>
    <s v="Wednesday"/>
    <x v="0"/>
  </r>
  <r>
    <s v="NV2643"/>
    <d v="2025-09-12T00:00:00"/>
    <x v="29"/>
    <x v="3"/>
    <s v="P212"/>
    <x v="0"/>
    <n v="5"/>
    <n v="1927.7"/>
    <x v="5"/>
    <n v="775.01"/>
    <s v="New"/>
    <s v="Card"/>
    <n v="7228.875"/>
    <n v="3353.8249999999998"/>
    <s v="Friday"/>
    <x v="0"/>
  </r>
  <r>
    <s v="NV2644"/>
    <d v="2024-08-04T00:00:00"/>
    <x v="51"/>
    <x v="1"/>
    <s v="P82"/>
    <x v="2"/>
    <n v="4"/>
    <n v="796.42"/>
    <x v="1"/>
    <n v="350.67"/>
    <s v="Returning"/>
    <s v="Digital"/>
    <n v="2548.5439999999999"/>
    <n v="1145.8639999999998"/>
    <s v="Sunday"/>
    <x v="1"/>
  </r>
  <r>
    <s v="NV2645"/>
    <d v="2024-08-29T00:00:00"/>
    <x v="33"/>
    <x v="0"/>
    <s v="P62"/>
    <x v="1"/>
    <n v="1"/>
    <n v="1889.14"/>
    <x v="5"/>
    <n v="874.11"/>
    <s v="Returning"/>
    <s v="Card"/>
    <n v="1416.855"/>
    <n v="542.745"/>
    <s v="Thursday"/>
    <x v="0"/>
  </r>
  <r>
    <s v="NV2646"/>
    <d v="2025-04-01T00:00:00"/>
    <x v="54"/>
    <x v="3"/>
    <s v="P42"/>
    <x v="0"/>
    <n v="3"/>
    <n v="1122.28"/>
    <x v="5"/>
    <n v="669.4"/>
    <s v="New"/>
    <s v="Card"/>
    <n v="2525.13"/>
    <n v="516.93000000000029"/>
    <s v="Tuesday"/>
    <x v="0"/>
  </r>
  <r>
    <s v="NV2647"/>
    <d v="2024-01-19T00:00:00"/>
    <x v="35"/>
    <x v="1"/>
    <s v="P188"/>
    <x v="1"/>
    <n v="5"/>
    <n v="2384.2199999999998"/>
    <x v="5"/>
    <n v="1121.04"/>
    <s v="New"/>
    <s v="Card"/>
    <n v="8940.8249999999989"/>
    <n v="3335.6249999999991"/>
    <s v="Friday"/>
    <x v="0"/>
  </r>
  <r>
    <s v="NV2648"/>
    <d v="2024-04-24T00:00:00"/>
    <x v="33"/>
    <x v="1"/>
    <s v="P9"/>
    <x v="2"/>
    <n v="3"/>
    <n v="1263.1500000000001"/>
    <x v="2"/>
    <n v="666.12"/>
    <s v="Returning"/>
    <s v="Cash"/>
    <n v="3599.9775"/>
    <n v="1601.6174999999998"/>
    <s v="Wednesday"/>
    <x v="0"/>
  </r>
  <r>
    <s v="NV2649"/>
    <d v="2024-04-22T00:00:00"/>
    <x v="11"/>
    <x v="1"/>
    <s v="P102"/>
    <x v="1"/>
    <n v="5"/>
    <n v="662.69"/>
    <x v="4"/>
    <n v="377.64"/>
    <s v="New"/>
    <s v="Cash"/>
    <n v="2816.4325000000003"/>
    <n v="928.23250000000053"/>
    <s v="Monday"/>
    <x v="0"/>
  </r>
  <r>
    <s v="NV2650"/>
    <d v="2024-07-08T00:00:00"/>
    <x v="18"/>
    <x v="0"/>
    <s v="P81"/>
    <x v="2"/>
    <n v="5"/>
    <n v="2648.38"/>
    <x v="3"/>
    <n v="1343.12"/>
    <s v="Returning"/>
    <s v="Card"/>
    <n v="11917.710000000001"/>
    <n v="5202.1100000000015"/>
    <s v="Monday"/>
    <x v="0"/>
  </r>
  <r>
    <s v="NV2651"/>
    <d v="2024-09-24T00:00:00"/>
    <x v="49"/>
    <x v="2"/>
    <s v="P75"/>
    <x v="1"/>
    <n v="4"/>
    <n v="789.09"/>
    <x v="1"/>
    <n v="429.95"/>
    <s v="New"/>
    <s v="Cash"/>
    <n v="2525.0880000000002"/>
    <n v="805.28800000000024"/>
    <s v="Tuesday"/>
    <x v="0"/>
  </r>
  <r>
    <s v="NV2652"/>
    <d v="2025-02-03T00:00:00"/>
    <x v="22"/>
    <x v="2"/>
    <s v="P146"/>
    <x v="0"/>
    <n v="2"/>
    <n v="2191.25"/>
    <x v="3"/>
    <n v="1439.19"/>
    <s v="Returning"/>
    <s v="Cash"/>
    <n v="3944.25"/>
    <n v="1065.8699999999999"/>
    <s v="Monday"/>
    <x v="0"/>
  </r>
  <r>
    <s v="NV2653"/>
    <d v="2025-08-08T00:00:00"/>
    <x v="35"/>
    <x v="3"/>
    <s v="P97"/>
    <x v="1"/>
    <n v="3"/>
    <n v="2511.23"/>
    <x v="6"/>
    <n v="1506.32"/>
    <s v="New"/>
    <s v="Cash"/>
    <n v="7533.6900000000005"/>
    <n v="3014.7300000000005"/>
    <s v="Friday"/>
    <x v="0"/>
  </r>
  <r>
    <s v="NV2654"/>
    <d v="2025-08-02T00:00:00"/>
    <x v="6"/>
    <x v="0"/>
    <s v="P163"/>
    <x v="1"/>
    <n v="4"/>
    <n v="2222.34"/>
    <x v="1"/>
    <n v="1416.88"/>
    <s v="Returning"/>
    <s v="Card"/>
    <n v="7111.4880000000012"/>
    <n v="1443.9680000000008"/>
    <s v="Saturday"/>
    <x v="1"/>
  </r>
  <r>
    <s v="NV2655"/>
    <d v="2025-09-02T00:00:00"/>
    <x v="47"/>
    <x v="2"/>
    <s v="P59"/>
    <x v="2"/>
    <n v="2"/>
    <n v="2857.39"/>
    <x v="2"/>
    <n v="1671.05"/>
    <s v="New"/>
    <s v="Digital"/>
    <n v="5429.0409999999993"/>
    <n v="2086.9409999999993"/>
    <s v="Tuesday"/>
    <x v="0"/>
  </r>
  <r>
    <s v="NV2656"/>
    <d v="2025-06-05T00:00:00"/>
    <x v="42"/>
    <x v="3"/>
    <s v="P221"/>
    <x v="0"/>
    <n v="4"/>
    <n v="2121.4699999999998"/>
    <x v="3"/>
    <n v="1482.46"/>
    <s v="Returning"/>
    <s v="Digital"/>
    <n v="7637.2919999999995"/>
    <n v="1707.4519999999993"/>
    <s v="Thursday"/>
    <x v="0"/>
  </r>
  <r>
    <s v="NV2657"/>
    <d v="2025-05-11T00:00:00"/>
    <x v="17"/>
    <x v="2"/>
    <s v="P221"/>
    <x v="1"/>
    <n v="4"/>
    <n v="851.52"/>
    <x v="1"/>
    <n v="370.24"/>
    <s v="Returning"/>
    <s v="Card"/>
    <n v="2724.864"/>
    <n v="1243.904"/>
    <s v="Sunday"/>
    <x v="1"/>
  </r>
  <r>
    <s v="NV2658"/>
    <d v="2025-09-01T00:00:00"/>
    <x v="29"/>
    <x v="0"/>
    <s v="P298"/>
    <x v="2"/>
    <n v="5"/>
    <n v="2165.15"/>
    <x v="2"/>
    <n v="1096.28"/>
    <s v="Returning"/>
    <s v="Card"/>
    <n v="10284.4625"/>
    <n v="4803.0625"/>
    <s v="Monday"/>
    <x v="0"/>
  </r>
  <r>
    <s v="NV2659"/>
    <d v="2025-02-03T00:00:00"/>
    <x v="22"/>
    <x v="0"/>
    <s v="P181"/>
    <x v="0"/>
    <n v="2"/>
    <n v="484.84"/>
    <x v="5"/>
    <n v="313.60000000000002"/>
    <s v="New"/>
    <s v="Cash"/>
    <n v="727.26"/>
    <n v="100.05999999999995"/>
    <s v="Monday"/>
    <x v="0"/>
  </r>
  <r>
    <s v="NV2660"/>
    <d v="2024-03-28T00:00:00"/>
    <x v="19"/>
    <x v="3"/>
    <s v="P76"/>
    <x v="1"/>
    <n v="3"/>
    <n v="511.55"/>
    <x v="5"/>
    <n v="220.16"/>
    <s v="New"/>
    <s v="Digital"/>
    <n v="1150.9875000000002"/>
    <n v="490.50750000000016"/>
    <s v="Thursday"/>
    <x v="0"/>
  </r>
  <r>
    <s v="NV2661"/>
    <d v="2024-01-11T00:00:00"/>
    <x v="13"/>
    <x v="2"/>
    <s v="P214"/>
    <x v="2"/>
    <n v="5"/>
    <n v="983.2"/>
    <x v="1"/>
    <n v="622.5"/>
    <s v="Returning"/>
    <s v="Digital"/>
    <n v="3932.8"/>
    <n v="820.30000000000018"/>
    <s v="Thursday"/>
    <x v="0"/>
  </r>
  <r>
    <s v="NV2662"/>
    <d v="2024-02-19T00:00:00"/>
    <x v="27"/>
    <x v="1"/>
    <s v="P285"/>
    <x v="1"/>
    <n v="3"/>
    <n v="2051.2399999999998"/>
    <x v="1"/>
    <n v="1294.6300000000001"/>
    <s v="Returning"/>
    <s v="Card"/>
    <n v="4922.9759999999997"/>
    <n v="1039.0859999999993"/>
    <s v="Monday"/>
    <x v="0"/>
  </r>
  <r>
    <s v="NV2663"/>
    <d v="2024-06-20T00:00:00"/>
    <x v="39"/>
    <x v="2"/>
    <s v="P300"/>
    <x v="0"/>
    <n v="3"/>
    <n v="1288.57"/>
    <x v="5"/>
    <n v="875.19"/>
    <s v="Returning"/>
    <s v="Cash"/>
    <n v="2899.2825000000003"/>
    <n v="273.71250000000009"/>
    <s v="Thursday"/>
    <x v="0"/>
  </r>
  <r>
    <s v="NV2664"/>
    <d v="2024-01-12T00:00:00"/>
    <x v="3"/>
    <x v="1"/>
    <s v="P186"/>
    <x v="0"/>
    <n v="4"/>
    <n v="1360.66"/>
    <x v="0"/>
    <n v="739.52"/>
    <s v="Returning"/>
    <s v="Cash"/>
    <n v="3809.848"/>
    <n v="851.76800000000003"/>
    <s v="Friday"/>
    <x v="0"/>
  </r>
  <r>
    <s v="NV2665"/>
    <d v="2025-07-31T00:00:00"/>
    <x v="47"/>
    <x v="1"/>
    <s v="P57"/>
    <x v="2"/>
    <n v="5"/>
    <n v="649.16999999999996"/>
    <x v="0"/>
    <n v="429.67"/>
    <s v="Returning"/>
    <s v="Cash"/>
    <n v="2272.0949999999998"/>
    <n v="123.74499999999989"/>
    <s v="Thursday"/>
    <x v="0"/>
  </r>
  <r>
    <s v="NV2666"/>
    <d v="2025-01-13T00:00:00"/>
    <x v="14"/>
    <x v="0"/>
    <s v="P200"/>
    <x v="2"/>
    <n v="1"/>
    <n v="2815.13"/>
    <x v="5"/>
    <n v="1225.46"/>
    <s v="New"/>
    <s v="Digital"/>
    <n v="2111.3474999999999"/>
    <n v="885.88749999999982"/>
    <s v="Monday"/>
    <x v="0"/>
  </r>
  <r>
    <s v="NV2667"/>
    <d v="2024-09-21T00:00:00"/>
    <x v="15"/>
    <x v="2"/>
    <s v="P27"/>
    <x v="0"/>
    <n v="5"/>
    <n v="381.84"/>
    <x v="2"/>
    <n v="188.77"/>
    <s v="New"/>
    <s v="Card"/>
    <n v="1813.7399999999998"/>
    <n v="869.88999999999976"/>
    <s v="Saturday"/>
    <x v="1"/>
  </r>
  <r>
    <s v="NV2668"/>
    <d v="2025-08-24T00:00:00"/>
    <x v="7"/>
    <x v="3"/>
    <s v="P156"/>
    <x v="0"/>
    <n v="5"/>
    <n v="2423.21"/>
    <x v="3"/>
    <n v="1337.16"/>
    <s v="New"/>
    <s v="Card"/>
    <n v="10904.445"/>
    <n v="4218.6449999999995"/>
    <s v="Sunday"/>
    <x v="1"/>
  </r>
  <r>
    <s v="NV2669"/>
    <d v="2024-09-18T00:00:00"/>
    <x v="9"/>
    <x v="1"/>
    <s v="P117"/>
    <x v="2"/>
    <n v="2"/>
    <n v="833.61"/>
    <x v="0"/>
    <n v="425.57"/>
    <s v="Returning"/>
    <s v="Digital"/>
    <n v="1167.0539999999999"/>
    <n v="315.91399999999987"/>
    <s v="Wednesday"/>
    <x v="0"/>
  </r>
  <r>
    <s v="NV2670"/>
    <d v="2025-06-11T00:00:00"/>
    <x v="40"/>
    <x v="0"/>
    <s v="P241"/>
    <x v="2"/>
    <n v="2"/>
    <n v="700.16"/>
    <x v="3"/>
    <n v="486.39"/>
    <s v="New"/>
    <s v="Card"/>
    <n v="1260.288"/>
    <n v="287.50800000000004"/>
    <s v="Wednesday"/>
    <x v="0"/>
  </r>
  <r>
    <s v="NV2671"/>
    <d v="2025-04-09T00:00:00"/>
    <x v="42"/>
    <x v="1"/>
    <s v="P290"/>
    <x v="2"/>
    <n v="1"/>
    <n v="2482.39"/>
    <x v="5"/>
    <n v="1448.01"/>
    <s v="New"/>
    <s v="Cash"/>
    <n v="1861.7925"/>
    <n v="413.78250000000003"/>
    <s v="Wednesday"/>
    <x v="0"/>
  </r>
  <r>
    <s v="NV2672"/>
    <d v="2025-08-22T00:00:00"/>
    <x v="17"/>
    <x v="1"/>
    <s v="P294"/>
    <x v="1"/>
    <n v="3"/>
    <n v="649.16"/>
    <x v="2"/>
    <n v="449.17"/>
    <s v="Returning"/>
    <s v="Digital"/>
    <n v="1850.106"/>
    <n v="502.596"/>
    <s v="Friday"/>
    <x v="0"/>
  </r>
  <r>
    <s v="NV2673"/>
    <d v="2025-11-01T00:00:00"/>
    <x v="58"/>
    <x v="1"/>
    <s v="P175"/>
    <x v="1"/>
    <n v="4"/>
    <n v="2894.87"/>
    <x v="4"/>
    <n v="1233.54"/>
    <s v="New"/>
    <s v="Cash"/>
    <n v="9842.5579999999991"/>
    <n v="4908.3979999999992"/>
    <s v="Saturday"/>
    <x v="1"/>
  </r>
  <r>
    <s v="NV2674"/>
    <d v="2024-07-30T00:00:00"/>
    <x v="53"/>
    <x v="3"/>
    <s v="P171"/>
    <x v="0"/>
    <n v="4"/>
    <n v="2956.87"/>
    <x v="2"/>
    <n v="1240.9100000000001"/>
    <s v="Returning"/>
    <s v="Card"/>
    <n v="11236.106"/>
    <n v="6272.4659999999994"/>
    <s v="Tuesday"/>
    <x v="0"/>
  </r>
  <r>
    <s v="NV2675"/>
    <d v="2024-10-11T00:00:00"/>
    <x v="56"/>
    <x v="0"/>
    <s v="P27"/>
    <x v="2"/>
    <n v="3"/>
    <n v="1307.3599999999999"/>
    <x v="0"/>
    <n v="833.77"/>
    <s v="New"/>
    <s v="Cash"/>
    <n v="2745.4559999999997"/>
    <n v="244.14599999999973"/>
    <s v="Friday"/>
    <x v="0"/>
  </r>
  <r>
    <s v="NV2676"/>
    <d v="2025-08-30T00:00:00"/>
    <x v="27"/>
    <x v="2"/>
    <s v="P204"/>
    <x v="1"/>
    <n v="2"/>
    <n v="1653.48"/>
    <x v="4"/>
    <n v="895"/>
    <s v="Returning"/>
    <s v="Cash"/>
    <n v="2810.9160000000002"/>
    <n v="1020.9160000000002"/>
    <s v="Saturday"/>
    <x v="1"/>
  </r>
  <r>
    <s v="NV2677"/>
    <d v="2025-03-26T00:00:00"/>
    <x v="42"/>
    <x v="3"/>
    <s v="P15"/>
    <x v="0"/>
    <n v="5"/>
    <n v="1132.96"/>
    <x v="1"/>
    <n v="703.11"/>
    <s v="Returning"/>
    <s v="Card"/>
    <n v="4531.84"/>
    <n v="1016.29"/>
    <s v="Wednesday"/>
    <x v="0"/>
  </r>
  <r>
    <s v="NV2678"/>
    <d v="2025-03-03T00:00:00"/>
    <x v="39"/>
    <x v="3"/>
    <s v="P251"/>
    <x v="0"/>
    <n v="2"/>
    <n v="457.56"/>
    <x v="0"/>
    <n v="303.89"/>
    <s v="New"/>
    <s v="Card"/>
    <n v="640.58399999999995"/>
    <n v="32.803999999999974"/>
    <s v="Monday"/>
    <x v="0"/>
  </r>
  <r>
    <s v="NV2679"/>
    <d v="2024-10-24T00:00:00"/>
    <x v="50"/>
    <x v="3"/>
    <s v="P242"/>
    <x v="2"/>
    <n v="5"/>
    <n v="2272.88"/>
    <x v="6"/>
    <n v="1012.08"/>
    <s v="Returning"/>
    <s v="Card"/>
    <n v="11364.400000000001"/>
    <n v="6304.0000000000009"/>
    <s v="Thursday"/>
    <x v="0"/>
  </r>
  <r>
    <s v="NV2680"/>
    <d v="2024-10-28T00:00:00"/>
    <x v="49"/>
    <x v="0"/>
    <s v="P272"/>
    <x v="1"/>
    <n v="1"/>
    <n v="1544.25"/>
    <x v="1"/>
    <n v="762.42"/>
    <s v="New"/>
    <s v="Cash"/>
    <n v="1235.4000000000001"/>
    <n v="472.98000000000013"/>
    <s v="Monday"/>
    <x v="0"/>
  </r>
  <r>
    <s v="NV2681"/>
    <d v="2024-08-05T00:00:00"/>
    <x v="5"/>
    <x v="2"/>
    <s v="P101"/>
    <x v="2"/>
    <n v="3"/>
    <n v="2804.59"/>
    <x v="6"/>
    <n v="1873.06"/>
    <s v="Returning"/>
    <s v="Cash"/>
    <n v="8413.77"/>
    <n v="2794.59"/>
    <s v="Monday"/>
    <x v="0"/>
  </r>
  <r>
    <s v="NV2682"/>
    <d v="2025-09-13T00:00:00"/>
    <x v="31"/>
    <x v="2"/>
    <s v="P7"/>
    <x v="0"/>
    <n v="5"/>
    <n v="2980.33"/>
    <x v="0"/>
    <n v="1757.67"/>
    <s v="Returning"/>
    <s v="Digital"/>
    <n v="10431.154999999999"/>
    <n v="1642.8049999999985"/>
    <s v="Saturday"/>
    <x v="1"/>
  </r>
  <r>
    <s v="NV2683"/>
    <d v="2025-07-18T00:00:00"/>
    <x v="33"/>
    <x v="2"/>
    <s v="P194"/>
    <x v="2"/>
    <n v="1"/>
    <n v="2531.02"/>
    <x v="5"/>
    <n v="1725.59"/>
    <s v="New"/>
    <s v="Cash"/>
    <n v="1898.2649999999999"/>
    <n v="172.67499999999995"/>
    <s v="Friday"/>
    <x v="0"/>
  </r>
  <r>
    <s v="NV2684"/>
    <d v="2025-11-05T00:00:00"/>
    <x v="36"/>
    <x v="1"/>
    <s v="P226"/>
    <x v="2"/>
    <n v="5"/>
    <n v="1691.09"/>
    <x v="6"/>
    <n v="1118.92"/>
    <s v="Returning"/>
    <s v="Digital"/>
    <n v="8455.4499999999989"/>
    <n v="2860.8499999999985"/>
    <s v="Wednesday"/>
    <x v="0"/>
  </r>
  <r>
    <s v="NV2685"/>
    <d v="2024-07-26T00:00:00"/>
    <x v="40"/>
    <x v="0"/>
    <s v="P111"/>
    <x v="0"/>
    <n v="2"/>
    <n v="2740.18"/>
    <x v="0"/>
    <n v="1579.01"/>
    <s v="New"/>
    <s v="Digital"/>
    <n v="3836.2519999999995"/>
    <n v="678.23199999999952"/>
    <s v="Friday"/>
    <x v="0"/>
  </r>
  <r>
    <s v="NV2686"/>
    <d v="2025-07-24T00:00:00"/>
    <x v="28"/>
    <x v="3"/>
    <s v="P87"/>
    <x v="2"/>
    <n v="2"/>
    <n v="830.25"/>
    <x v="3"/>
    <n v="439.24"/>
    <s v="Returning"/>
    <s v="Card"/>
    <n v="1494.45"/>
    <n v="615.97"/>
    <s v="Thursday"/>
    <x v="0"/>
  </r>
  <r>
    <s v="NV2687"/>
    <d v="2024-05-11T00:00:00"/>
    <x v="27"/>
    <x v="2"/>
    <s v="P191"/>
    <x v="0"/>
    <n v="5"/>
    <n v="1425.32"/>
    <x v="6"/>
    <n v="656.42"/>
    <s v="Returning"/>
    <s v="Digital"/>
    <n v="7126.5999999999995"/>
    <n v="3844.4999999999995"/>
    <s v="Saturday"/>
    <x v="1"/>
  </r>
  <r>
    <s v="NV2688"/>
    <d v="2025-01-27T00:00:00"/>
    <x v="55"/>
    <x v="0"/>
    <s v="P194"/>
    <x v="1"/>
    <n v="3"/>
    <n v="344.93"/>
    <x v="6"/>
    <n v="228.34"/>
    <s v="New"/>
    <s v="Card"/>
    <n v="1034.79"/>
    <n v="349.77"/>
    <s v="Monday"/>
    <x v="0"/>
  </r>
  <r>
    <s v="NV2689"/>
    <d v="2024-11-07T00:00:00"/>
    <x v="8"/>
    <x v="2"/>
    <s v="P32"/>
    <x v="0"/>
    <n v="3"/>
    <n v="1963.33"/>
    <x v="5"/>
    <n v="1367.98"/>
    <s v="New"/>
    <s v="Cash"/>
    <n v="4417.4925000000003"/>
    <n v="313.55249999999978"/>
    <s v="Thursday"/>
    <x v="0"/>
  </r>
  <r>
    <s v="NV2690"/>
    <d v="2024-02-17T00:00:00"/>
    <x v="59"/>
    <x v="2"/>
    <s v="P119"/>
    <x v="2"/>
    <n v="4"/>
    <n v="2265.58"/>
    <x v="5"/>
    <n v="1194.77"/>
    <s v="New"/>
    <s v="Digital"/>
    <n v="6796.74"/>
    <n v="2017.6599999999999"/>
    <s v="Saturday"/>
    <x v="1"/>
  </r>
  <r>
    <s v="NV2691"/>
    <d v="2024-02-26T00:00:00"/>
    <x v="5"/>
    <x v="1"/>
    <s v="P47"/>
    <x v="2"/>
    <n v="5"/>
    <n v="1156.1099999999999"/>
    <x v="1"/>
    <n v="744.78"/>
    <s v="Returning"/>
    <s v="Card"/>
    <n v="4624.4399999999996"/>
    <n v="900.54"/>
    <s v="Monday"/>
    <x v="0"/>
  </r>
  <r>
    <s v="NV2692"/>
    <d v="2025-10-12T00:00:00"/>
    <x v="24"/>
    <x v="1"/>
    <s v="P85"/>
    <x v="1"/>
    <n v="5"/>
    <n v="1192.21"/>
    <x v="4"/>
    <n v="752.72"/>
    <s v="Returning"/>
    <s v="Digital"/>
    <n v="5066.8924999999999"/>
    <n v="1303.2924999999996"/>
    <s v="Sunday"/>
    <x v="1"/>
  </r>
  <r>
    <s v="NV2693"/>
    <d v="2025-09-09T00:00:00"/>
    <x v="53"/>
    <x v="2"/>
    <s v="P88"/>
    <x v="0"/>
    <n v="5"/>
    <n v="1955.49"/>
    <x v="2"/>
    <n v="950.13"/>
    <s v="New"/>
    <s v="Cash"/>
    <n v="9288.5774999999994"/>
    <n v="4537.9274999999998"/>
    <s v="Tuesday"/>
    <x v="0"/>
  </r>
  <r>
    <s v="NV2694"/>
    <d v="2024-12-20T00:00:00"/>
    <x v="19"/>
    <x v="1"/>
    <s v="P236"/>
    <x v="0"/>
    <n v="4"/>
    <n v="993.9"/>
    <x v="3"/>
    <n v="585.32000000000005"/>
    <s v="Returning"/>
    <s v="Card"/>
    <n v="3578.04"/>
    <n v="1236.7599999999998"/>
    <s v="Friday"/>
    <x v="0"/>
  </r>
  <r>
    <s v="NV2695"/>
    <d v="2024-12-25T00:00:00"/>
    <x v="21"/>
    <x v="0"/>
    <s v="P299"/>
    <x v="2"/>
    <n v="1"/>
    <n v="1078.55"/>
    <x v="5"/>
    <n v="512.61"/>
    <s v="Returning"/>
    <s v="Card"/>
    <n v="808.91249999999991"/>
    <n v="296.3024999999999"/>
    <s v="Wednesday"/>
    <x v="0"/>
  </r>
  <r>
    <s v="NV2696"/>
    <d v="2025-06-21T00:00:00"/>
    <x v="50"/>
    <x v="0"/>
    <s v="P18"/>
    <x v="1"/>
    <n v="5"/>
    <n v="2289.59"/>
    <x v="5"/>
    <n v="1060.73"/>
    <s v="Returning"/>
    <s v="Card"/>
    <n v="8585.9625000000015"/>
    <n v="3282.3125000000018"/>
    <s v="Saturday"/>
    <x v="1"/>
  </r>
  <r>
    <s v="NV2697"/>
    <d v="2024-01-06T00:00:00"/>
    <x v="34"/>
    <x v="1"/>
    <s v="P110"/>
    <x v="2"/>
    <n v="1"/>
    <n v="1421.37"/>
    <x v="4"/>
    <n v="895.14"/>
    <s v="Returning"/>
    <s v="Digital"/>
    <n v="1208.1644999999999"/>
    <n v="313.02449999999988"/>
    <s v="Saturday"/>
    <x v="1"/>
  </r>
  <r>
    <s v="NV2698"/>
    <d v="2025-01-24T00:00:00"/>
    <x v="24"/>
    <x v="3"/>
    <s v="P184"/>
    <x v="2"/>
    <n v="4"/>
    <n v="917.04"/>
    <x v="3"/>
    <n v="381.14"/>
    <s v="New"/>
    <s v="Card"/>
    <n v="3301.3440000000001"/>
    <n v="1776.7840000000001"/>
    <s v="Friday"/>
    <x v="0"/>
  </r>
  <r>
    <s v="NV2699"/>
    <d v="2025-01-07T00:00:00"/>
    <x v="4"/>
    <x v="0"/>
    <s v="P250"/>
    <x v="0"/>
    <n v="2"/>
    <n v="2783.31"/>
    <x v="0"/>
    <n v="1894.28"/>
    <s v="Returning"/>
    <s v="Digital"/>
    <n v="3896.6339999999996"/>
    <n v="108.07399999999961"/>
    <s v="Tuesday"/>
    <x v="0"/>
  </r>
  <r>
    <s v="NV2700"/>
    <d v="2024-12-09T00:00:00"/>
    <x v="40"/>
    <x v="3"/>
    <s v="P84"/>
    <x v="1"/>
    <n v="4"/>
    <n v="770.15"/>
    <x v="5"/>
    <n v="486.71"/>
    <s v="New"/>
    <s v="Card"/>
    <n v="2310.4499999999998"/>
    <n v="363.6099999999999"/>
    <s v="Monday"/>
    <x v="0"/>
  </r>
  <r>
    <s v="NV2701"/>
    <d v="2025-11-25T00:00:00"/>
    <x v="15"/>
    <x v="3"/>
    <s v="P82"/>
    <x v="1"/>
    <n v="5"/>
    <n v="1442.7"/>
    <x v="6"/>
    <n v="745.62"/>
    <s v="New"/>
    <s v="Cash"/>
    <n v="7213.5"/>
    <n v="3485.4"/>
    <s v="Tuesday"/>
    <x v="0"/>
  </r>
  <r>
    <s v="NV2702"/>
    <d v="2025-03-06T00:00:00"/>
    <x v="8"/>
    <x v="3"/>
    <s v="P227"/>
    <x v="0"/>
    <n v="1"/>
    <n v="1184.7"/>
    <x v="6"/>
    <n v="618.83000000000004"/>
    <s v="Returning"/>
    <s v="Card"/>
    <n v="1184.7"/>
    <n v="565.87"/>
    <s v="Thursday"/>
    <x v="0"/>
  </r>
  <r>
    <s v="NV2703"/>
    <d v="2025-06-07T00:00:00"/>
    <x v="34"/>
    <x v="1"/>
    <s v="P124"/>
    <x v="1"/>
    <n v="5"/>
    <n v="1253.98"/>
    <x v="0"/>
    <n v="620.45000000000005"/>
    <s v="Returning"/>
    <s v="Card"/>
    <n v="4388.9299999999994"/>
    <n v="1286.6799999999994"/>
    <s v="Saturday"/>
    <x v="1"/>
  </r>
  <r>
    <s v="NV2704"/>
    <d v="2025-03-06T00:00:00"/>
    <x v="59"/>
    <x v="0"/>
    <s v="P122"/>
    <x v="0"/>
    <n v="3"/>
    <n v="1230.8499999999999"/>
    <x v="4"/>
    <n v="666.89"/>
    <s v="New"/>
    <s v="Card"/>
    <n v="3138.6674999999996"/>
    <n v="1137.9974999999995"/>
    <s v="Thursday"/>
    <x v="0"/>
  </r>
  <r>
    <s v="NV2705"/>
    <d v="2024-10-12T00:00:00"/>
    <x v="23"/>
    <x v="3"/>
    <s v="P21"/>
    <x v="0"/>
    <n v="4"/>
    <n v="1053.2"/>
    <x v="3"/>
    <n v="585.89"/>
    <s v="New"/>
    <s v="Card"/>
    <n v="3791.5200000000004"/>
    <n v="1447.9600000000005"/>
    <s v="Saturday"/>
    <x v="1"/>
  </r>
  <r>
    <s v="NV2706"/>
    <d v="2024-07-28T00:00:00"/>
    <x v="34"/>
    <x v="0"/>
    <s v="P217"/>
    <x v="2"/>
    <n v="5"/>
    <n v="1305.49"/>
    <x v="4"/>
    <n v="729.28"/>
    <s v="New"/>
    <s v="Cash"/>
    <n v="5548.3324999999995"/>
    <n v="1901.9324999999999"/>
    <s v="Sunday"/>
    <x v="1"/>
  </r>
  <r>
    <s v="NV2707"/>
    <d v="2025-11-16T00:00:00"/>
    <x v="1"/>
    <x v="2"/>
    <s v="P120"/>
    <x v="1"/>
    <n v="2"/>
    <n v="2879.61"/>
    <x v="3"/>
    <n v="1514.68"/>
    <s v="Returning"/>
    <s v="Card"/>
    <n v="5183.2980000000007"/>
    <n v="2153.9380000000006"/>
    <s v="Sunday"/>
    <x v="1"/>
  </r>
  <r>
    <s v="NV2708"/>
    <d v="2025-01-12T00:00:00"/>
    <x v="7"/>
    <x v="0"/>
    <s v="P270"/>
    <x v="2"/>
    <n v="3"/>
    <n v="1269.25"/>
    <x v="2"/>
    <n v="609.49"/>
    <s v="Returning"/>
    <s v="Digital"/>
    <n v="3617.3624999999997"/>
    <n v="1788.8924999999997"/>
    <s v="Sunday"/>
    <x v="1"/>
  </r>
  <r>
    <s v="NV2709"/>
    <d v="2024-04-18T00:00:00"/>
    <x v="29"/>
    <x v="1"/>
    <s v="P111"/>
    <x v="1"/>
    <n v="4"/>
    <n v="1474.85"/>
    <x v="4"/>
    <n v="788.06"/>
    <s v="New"/>
    <s v="Cash"/>
    <n v="5014.49"/>
    <n v="1862.25"/>
    <s v="Thursday"/>
    <x v="0"/>
  </r>
  <r>
    <s v="NV2710"/>
    <d v="2024-01-17T00:00:00"/>
    <x v="57"/>
    <x v="0"/>
    <s v="P250"/>
    <x v="2"/>
    <n v="4"/>
    <n v="2438.3200000000002"/>
    <x v="4"/>
    <n v="1609.36"/>
    <s v="Returning"/>
    <s v="Card"/>
    <n v="8290.2880000000005"/>
    <n v="1852.8480000000009"/>
    <s v="Wednesday"/>
    <x v="0"/>
  </r>
  <r>
    <s v="NV2711"/>
    <d v="2025-01-28T00:00:00"/>
    <x v="18"/>
    <x v="0"/>
    <s v="P22"/>
    <x v="1"/>
    <n v="4"/>
    <n v="2388.44"/>
    <x v="3"/>
    <n v="1671.63"/>
    <s v="Returning"/>
    <s v="Card"/>
    <n v="8598.384"/>
    <n v="1911.8639999999996"/>
    <s v="Tuesday"/>
    <x v="0"/>
  </r>
  <r>
    <s v="NV2712"/>
    <d v="2025-01-19T00:00:00"/>
    <x v="39"/>
    <x v="3"/>
    <s v="P148"/>
    <x v="1"/>
    <n v="4"/>
    <n v="695.3"/>
    <x v="3"/>
    <n v="484.81"/>
    <s v="Returning"/>
    <s v="Card"/>
    <n v="2503.08"/>
    <n v="563.83999999999992"/>
    <s v="Sunday"/>
    <x v="1"/>
  </r>
  <r>
    <s v="NV2713"/>
    <d v="2024-05-06T00:00:00"/>
    <x v="5"/>
    <x v="1"/>
    <s v="P238"/>
    <x v="1"/>
    <n v="1"/>
    <n v="626.66999999999996"/>
    <x v="1"/>
    <n v="292.5"/>
    <s v="New"/>
    <s v="Card"/>
    <n v="501.33600000000001"/>
    <n v="208.83600000000001"/>
    <s v="Monday"/>
    <x v="0"/>
  </r>
  <r>
    <s v="NV2714"/>
    <d v="2024-07-15T00:00:00"/>
    <x v="14"/>
    <x v="3"/>
    <s v="P29"/>
    <x v="1"/>
    <n v="3"/>
    <n v="885.67"/>
    <x v="0"/>
    <n v="558.35"/>
    <s v="New"/>
    <s v="Cash"/>
    <n v="1859.9069999999997"/>
    <n v="184.85699999999952"/>
    <s v="Monday"/>
    <x v="0"/>
  </r>
  <r>
    <s v="NV2715"/>
    <d v="2025-01-16T00:00:00"/>
    <x v="53"/>
    <x v="3"/>
    <s v="P50"/>
    <x v="2"/>
    <n v="5"/>
    <n v="1023.75"/>
    <x v="4"/>
    <n v="498.46"/>
    <s v="Returning"/>
    <s v="Cash"/>
    <n v="4350.9375"/>
    <n v="1858.6375000000003"/>
    <s v="Thursday"/>
    <x v="0"/>
  </r>
  <r>
    <s v="NV2716"/>
    <d v="2024-03-27T00:00:00"/>
    <x v="36"/>
    <x v="0"/>
    <s v="P41"/>
    <x v="1"/>
    <n v="5"/>
    <n v="2720.82"/>
    <x v="0"/>
    <n v="1308.45"/>
    <s v="Returning"/>
    <s v="Card"/>
    <n v="9522.869999999999"/>
    <n v="2980.619999999999"/>
    <s v="Wednesday"/>
    <x v="0"/>
  </r>
  <r>
    <s v="NV2717"/>
    <d v="2024-09-22T00:00:00"/>
    <x v="40"/>
    <x v="0"/>
    <s v="P10"/>
    <x v="0"/>
    <n v="5"/>
    <n v="1355.05"/>
    <x v="2"/>
    <n v="600.73"/>
    <s v="New"/>
    <s v="Card"/>
    <n v="6436.4874999999993"/>
    <n v="3432.8374999999992"/>
    <s v="Sunday"/>
    <x v="1"/>
  </r>
  <r>
    <s v="NV2718"/>
    <d v="2024-02-22T00:00:00"/>
    <x v="32"/>
    <x v="0"/>
    <s v="P223"/>
    <x v="0"/>
    <n v="3"/>
    <n v="2637.48"/>
    <x v="2"/>
    <n v="1162.06"/>
    <s v="New"/>
    <s v="Cash"/>
    <n v="7516.8180000000002"/>
    <n v="4030.6380000000004"/>
    <s v="Thursday"/>
    <x v="0"/>
  </r>
  <r>
    <s v="NV2719"/>
    <d v="2024-03-07T00:00:00"/>
    <x v="2"/>
    <x v="1"/>
    <s v="P62"/>
    <x v="2"/>
    <n v="4"/>
    <n v="1795.58"/>
    <x v="5"/>
    <n v="1246.93"/>
    <s v="New"/>
    <s v="Cash"/>
    <n v="5386.74"/>
    <n v="399.01999999999953"/>
    <s v="Thursday"/>
    <x v="0"/>
  </r>
  <r>
    <s v="NV2720"/>
    <d v="2025-01-18T00:00:00"/>
    <x v="3"/>
    <x v="2"/>
    <s v="P254"/>
    <x v="1"/>
    <n v="1"/>
    <n v="900.54"/>
    <x v="6"/>
    <n v="503"/>
    <s v="Returning"/>
    <s v="Cash"/>
    <n v="900.54"/>
    <n v="397.53999999999996"/>
    <s v="Saturday"/>
    <x v="1"/>
  </r>
  <r>
    <s v="NV2721"/>
    <d v="2024-02-19T00:00:00"/>
    <x v="2"/>
    <x v="3"/>
    <s v="P118"/>
    <x v="0"/>
    <n v="4"/>
    <n v="1840.29"/>
    <x v="2"/>
    <n v="1047.4000000000001"/>
    <s v="New"/>
    <s v="Card"/>
    <n v="6993.1019999999999"/>
    <n v="2803.5019999999995"/>
    <s v="Monday"/>
    <x v="0"/>
  </r>
  <r>
    <s v="NV2722"/>
    <d v="2025-10-17T00:00:00"/>
    <x v="29"/>
    <x v="0"/>
    <s v="P134"/>
    <x v="0"/>
    <n v="1"/>
    <n v="2036.05"/>
    <x v="0"/>
    <n v="972.18"/>
    <s v="New"/>
    <s v="Digital"/>
    <n v="1425.2349999999999"/>
    <n v="453.05499999999995"/>
    <s v="Friday"/>
    <x v="0"/>
  </r>
  <r>
    <s v="NV2723"/>
    <d v="2025-10-24T00:00:00"/>
    <x v="13"/>
    <x v="1"/>
    <s v="P282"/>
    <x v="1"/>
    <n v="4"/>
    <n v="1403.18"/>
    <x v="6"/>
    <n v="796.78"/>
    <s v="New"/>
    <s v="Cash"/>
    <n v="5612.72"/>
    <n v="2425.6000000000004"/>
    <s v="Friday"/>
    <x v="0"/>
  </r>
  <r>
    <s v="NV2724"/>
    <d v="2025-03-30T00:00:00"/>
    <x v="54"/>
    <x v="2"/>
    <s v="P26"/>
    <x v="1"/>
    <n v="5"/>
    <n v="568"/>
    <x v="0"/>
    <n v="377.92"/>
    <s v="New"/>
    <s v="Card"/>
    <n v="1987.9999999999998"/>
    <n v="98.399999999999636"/>
    <s v="Sunday"/>
    <x v="1"/>
  </r>
  <r>
    <s v="NV2725"/>
    <d v="2025-01-05T00:00:00"/>
    <x v="56"/>
    <x v="1"/>
    <s v="P167"/>
    <x v="2"/>
    <n v="5"/>
    <n v="2314.48"/>
    <x v="4"/>
    <n v="940.41"/>
    <s v="Returning"/>
    <s v="Cash"/>
    <n v="9836.5399999999991"/>
    <n v="5134.4899999999989"/>
    <s v="Sunday"/>
    <x v="1"/>
  </r>
  <r>
    <s v="NV2726"/>
    <d v="2025-09-09T00:00:00"/>
    <x v="26"/>
    <x v="2"/>
    <s v="P127"/>
    <x v="0"/>
    <n v="3"/>
    <n v="1174.03"/>
    <x v="5"/>
    <n v="510.73"/>
    <s v="New"/>
    <s v="Card"/>
    <n v="2641.5675000000001"/>
    <n v="1109.3775000000001"/>
    <s v="Tuesday"/>
    <x v="0"/>
  </r>
  <r>
    <s v="NV2727"/>
    <d v="2024-06-15T00:00:00"/>
    <x v="57"/>
    <x v="3"/>
    <s v="P267"/>
    <x v="2"/>
    <n v="2"/>
    <n v="1364.9"/>
    <x v="3"/>
    <n v="939.57"/>
    <s v="Returning"/>
    <s v="Cash"/>
    <n v="2456.8200000000002"/>
    <n v="577.68000000000006"/>
    <s v="Saturday"/>
    <x v="1"/>
  </r>
  <r>
    <s v="NV2728"/>
    <d v="2024-03-11T00:00:00"/>
    <x v="44"/>
    <x v="0"/>
    <s v="P153"/>
    <x v="2"/>
    <n v="3"/>
    <n v="2935.38"/>
    <x v="2"/>
    <n v="1364.86"/>
    <s v="New"/>
    <s v="Cash"/>
    <n v="8365.8329999999987"/>
    <n v="4271.2529999999988"/>
    <s v="Monday"/>
    <x v="0"/>
  </r>
  <r>
    <s v="NV2729"/>
    <d v="2024-08-08T00:00:00"/>
    <x v="6"/>
    <x v="2"/>
    <s v="P205"/>
    <x v="1"/>
    <n v="4"/>
    <n v="954.44"/>
    <x v="2"/>
    <n v="544.91999999999996"/>
    <s v="Returning"/>
    <s v="Card"/>
    <n v="3626.8719999999998"/>
    <n v="1447.192"/>
    <s v="Thursday"/>
    <x v="0"/>
  </r>
  <r>
    <s v="NV2730"/>
    <d v="2025-11-24T00:00:00"/>
    <x v="21"/>
    <x v="3"/>
    <s v="P17"/>
    <x v="2"/>
    <n v="3"/>
    <n v="351.05"/>
    <x v="6"/>
    <n v="215.08"/>
    <s v="New"/>
    <s v="Digital"/>
    <n v="1053.1500000000001"/>
    <n v="407.91000000000008"/>
    <s v="Monday"/>
    <x v="0"/>
  </r>
  <r>
    <s v="NV2731"/>
    <d v="2025-01-05T00:00:00"/>
    <x v="15"/>
    <x v="0"/>
    <s v="P81"/>
    <x v="1"/>
    <n v="5"/>
    <n v="437.45"/>
    <x v="6"/>
    <n v="302.61"/>
    <s v="Returning"/>
    <s v="Card"/>
    <n v="2187.25"/>
    <n v="674.19999999999982"/>
    <s v="Sunday"/>
    <x v="1"/>
  </r>
  <r>
    <s v="NV2732"/>
    <d v="2024-07-10T00:00:00"/>
    <x v="23"/>
    <x v="0"/>
    <s v="P67"/>
    <x v="0"/>
    <n v="5"/>
    <n v="1789.77"/>
    <x v="0"/>
    <n v="1095.5999999999999"/>
    <s v="New"/>
    <s v="Cash"/>
    <n v="6264.1949999999997"/>
    <n v="786.19499999999971"/>
    <s v="Wednesday"/>
    <x v="0"/>
  </r>
  <r>
    <s v="NV2733"/>
    <d v="2024-01-18T00:00:00"/>
    <x v="32"/>
    <x v="2"/>
    <s v="P53"/>
    <x v="1"/>
    <n v="3"/>
    <n v="1836.71"/>
    <x v="4"/>
    <n v="798.94"/>
    <s v="New"/>
    <s v="Digital"/>
    <n v="4683.6104999999998"/>
    <n v="2286.7904999999996"/>
    <s v="Thursday"/>
    <x v="0"/>
  </r>
  <r>
    <s v="NV2734"/>
    <d v="2025-07-10T00:00:00"/>
    <x v="10"/>
    <x v="2"/>
    <s v="P83"/>
    <x v="0"/>
    <n v="5"/>
    <n v="687.63"/>
    <x v="3"/>
    <n v="307.89"/>
    <s v="Returning"/>
    <s v="Card"/>
    <n v="3094.335"/>
    <n v="1554.8850000000002"/>
    <s v="Thursday"/>
    <x v="0"/>
  </r>
  <r>
    <s v="NV2735"/>
    <d v="2024-02-23T00:00:00"/>
    <x v="54"/>
    <x v="0"/>
    <s v="P115"/>
    <x v="1"/>
    <n v="2"/>
    <n v="1815.87"/>
    <x v="5"/>
    <n v="1019.42"/>
    <s v="New"/>
    <s v="Digital"/>
    <n v="2723.8049999999998"/>
    <n v="684.96499999999992"/>
    <s v="Friday"/>
    <x v="0"/>
  </r>
  <r>
    <s v="NV2736"/>
    <d v="2024-03-09T00:00:00"/>
    <x v="25"/>
    <x v="0"/>
    <s v="P65"/>
    <x v="2"/>
    <n v="5"/>
    <n v="780.61"/>
    <x v="1"/>
    <n v="532.65"/>
    <s v="New"/>
    <s v="Card"/>
    <n v="3122.4400000000005"/>
    <n v="459.19000000000051"/>
    <s v="Saturday"/>
    <x v="1"/>
  </r>
  <r>
    <s v="NV2737"/>
    <d v="2024-09-27T00:00:00"/>
    <x v="46"/>
    <x v="1"/>
    <s v="P161"/>
    <x v="1"/>
    <n v="5"/>
    <n v="504.05"/>
    <x v="6"/>
    <n v="307.52"/>
    <s v="Returning"/>
    <s v="Card"/>
    <n v="2520.25"/>
    <n v="982.65000000000009"/>
    <s v="Friday"/>
    <x v="0"/>
  </r>
  <r>
    <s v="NV2738"/>
    <d v="2025-06-20T00:00:00"/>
    <x v="54"/>
    <x v="2"/>
    <s v="P78"/>
    <x v="2"/>
    <n v="2"/>
    <n v="994.28"/>
    <x v="6"/>
    <n v="623.64"/>
    <s v="New"/>
    <s v="Digital"/>
    <n v="1988.56"/>
    <n v="741.28"/>
    <s v="Friday"/>
    <x v="0"/>
  </r>
  <r>
    <s v="NV2739"/>
    <d v="2024-01-10T00:00:00"/>
    <x v="4"/>
    <x v="2"/>
    <s v="P284"/>
    <x v="0"/>
    <n v="5"/>
    <n v="380.61"/>
    <x v="5"/>
    <n v="186.82"/>
    <s v="Returning"/>
    <s v="Digital"/>
    <n v="1427.2875000000001"/>
    <n v="493.18750000000023"/>
    <s v="Wednesday"/>
    <x v="0"/>
  </r>
  <r>
    <s v="NV2740"/>
    <d v="2024-11-07T00:00:00"/>
    <x v="32"/>
    <x v="2"/>
    <s v="P163"/>
    <x v="2"/>
    <n v="5"/>
    <n v="2536.7800000000002"/>
    <x v="6"/>
    <n v="1130.1099999999999"/>
    <s v="New"/>
    <s v="Card"/>
    <n v="12683.900000000001"/>
    <n v="7033.3500000000022"/>
    <s v="Thursday"/>
    <x v="0"/>
  </r>
  <r>
    <s v="NV2741"/>
    <d v="2025-02-12T00:00:00"/>
    <x v="1"/>
    <x v="1"/>
    <s v="P119"/>
    <x v="1"/>
    <n v="3"/>
    <n v="1716.77"/>
    <x v="3"/>
    <n v="715.15"/>
    <s v="Returning"/>
    <s v="Cash"/>
    <n v="4635.2789999999995"/>
    <n v="2489.8289999999997"/>
    <s v="Wednesday"/>
    <x v="0"/>
  </r>
  <r>
    <s v="NV2742"/>
    <d v="2024-05-08T00:00:00"/>
    <x v="37"/>
    <x v="2"/>
    <s v="P164"/>
    <x v="0"/>
    <n v="4"/>
    <n v="775.18"/>
    <x v="2"/>
    <n v="342.11"/>
    <s v="Returning"/>
    <s v="Digital"/>
    <n v="2945.6839999999997"/>
    <n v="1577.2439999999997"/>
    <s v="Wednesday"/>
    <x v="0"/>
  </r>
  <r>
    <s v="NV2743"/>
    <d v="2024-05-09T00:00:00"/>
    <x v="10"/>
    <x v="3"/>
    <s v="P176"/>
    <x v="1"/>
    <n v="1"/>
    <n v="1807.22"/>
    <x v="3"/>
    <n v="823.95"/>
    <s v="New"/>
    <s v="Card"/>
    <n v="1626.498"/>
    <n v="802.548"/>
    <s v="Thursday"/>
    <x v="0"/>
  </r>
  <r>
    <s v="NV2744"/>
    <d v="2025-09-26T00:00:00"/>
    <x v="35"/>
    <x v="0"/>
    <s v="P53"/>
    <x v="2"/>
    <n v="3"/>
    <n v="1177.8599999999999"/>
    <x v="0"/>
    <n v="612"/>
    <s v="New"/>
    <s v="Cash"/>
    <n v="2473.5059999999999"/>
    <n v="637.50599999999986"/>
    <s v="Friday"/>
    <x v="0"/>
  </r>
  <r>
    <s v="NV2745"/>
    <d v="2024-04-11T00:00:00"/>
    <x v="42"/>
    <x v="2"/>
    <s v="P18"/>
    <x v="2"/>
    <n v="1"/>
    <n v="1053"/>
    <x v="5"/>
    <n v="437.23"/>
    <s v="Returning"/>
    <s v="Card"/>
    <n v="789.75"/>
    <n v="352.52"/>
    <s v="Thursday"/>
    <x v="0"/>
  </r>
  <r>
    <s v="NV2746"/>
    <d v="2024-12-24T00:00:00"/>
    <x v="12"/>
    <x v="3"/>
    <s v="P230"/>
    <x v="2"/>
    <n v="4"/>
    <n v="772.02"/>
    <x v="0"/>
    <n v="402.67"/>
    <s v="Returning"/>
    <s v="Cash"/>
    <n v="2161.6559999999999"/>
    <n v="550.97599999999989"/>
    <s v="Tuesday"/>
    <x v="0"/>
  </r>
  <r>
    <s v="NV2747"/>
    <d v="2025-09-10T00:00:00"/>
    <x v="25"/>
    <x v="2"/>
    <s v="P105"/>
    <x v="2"/>
    <n v="4"/>
    <n v="1804.75"/>
    <x v="4"/>
    <n v="923.36"/>
    <s v="Returning"/>
    <s v="Cash"/>
    <n v="6136.15"/>
    <n v="2442.7099999999996"/>
    <s v="Wednesday"/>
    <x v="0"/>
  </r>
  <r>
    <s v="NV2748"/>
    <d v="2025-07-09T00:00:00"/>
    <x v="2"/>
    <x v="3"/>
    <s v="P34"/>
    <x v="1"/>
    <n v="4"/>
    <n v="2082.5300000000002"/>
    <x v="2"/>
    <n v="1414.02"/>
    <s v="New"/>
    <s v="Digital"/>
    <n v="7913.6140000000005"/>
    <n v="2257.5340000000006"/>
    <s v="Wednesday"/>
    <x v="0"/>
  </r>
  <r>
    <s v="NV2749"/>
    <d v="2024-08-21T00:00:00"/>
    <x v="8"/>
    <x v="2"/>
    <s v="P159"/>
    <x v="2"/>
    <n v="4"/>
    <n v="2685.29"/>
    <x v="4"/>
    <n v="1255.04"/>
    <s v="New"/>
    <s v="Cash"/>
    <n v="9129.985999999999"/>
    <n v="4109.8259999999991"/>
    <s v="Wednesday"/>
    <x v="0"/>
  </r>
  <r>
    <s v="NV2750"/>
    <d v="2024-11-25T00:00:00"/>
    <x v="54"/>
    <x v="1"/>
    <s v="P123"/>
    <x v="0"/>
    <n v="5"/>
    <n v="543.96"/>
    <x v="1"/>
    <n v="232.51"/>
    <s v="Returning"/>
    <s v="Digital"/>
    <n v="2175.84"/>
    <n v="1013.2900000000002"/>
    <s v="Monday"/>
    <x v="0"/>
  </r>
  <r>
    <s v="NV2751"/>
    <d v="2025-01-09T00:00:00"/>
    <x v="19"/>
    <x v="2"/>
    <s v="P35"/>
    <x v="0"/>
    <n v="5"/>
    <n v="2824.46"/>
    <x v="6"/>
    <n v="1721.54"/>
    <s v="New"/>
    <s v="Card"/>
    <n v="14122.3"/>
    <n v="5514.5999999999985"/>
    <s v="Thursday"/>
    <x v="0"/>
  </r>
  <r>
    <s v="NV2752"/>
    <d v="2024-11-25T00:00:00"/>
    <x v="57"/>
    <x v="0"/>
    <s v="P100"/>
    <x v="2"/>
    <n v="3"/>
    <n v="1587.36"/>
    <x v="2"/>
    <n v="1028.56"/>
    <s v="Returning"/>
    <s v="Digital"/>
    <n v="4523.9759999999997"/>
    <n v="1438.2959999999998"/>
    <s v="Monday"/>
    <x v="0"/>
  </r>
  <r>
    <s v="NV2753"/>
    <d v="2025-10-19T00:00:00"/>
    <x v="33"/>
    <x v="2"/>
    <s v="P87"/>
    <x v="2"/>
    <n v="5"/>
    <n v="566.48"/>
    <x v="1"/>
    <n v="354.02"/>
    <s v="New"/>
    <s v="Digital"/>
    <n v="2265.92"/>
    <n v="495.82000000000016"/>
    <s v="Sunday"/>
    <x v="1"/>
  </r>
  <r>
    <s v="NV2754"/>
    <d v="2025-07-16T00:00:00"/>
    <x v="13"/>
    <x v="2"/>
    <s v="P188"/>
    <x v="2"/>
    <n v="2"/>
    <n v="2706.01"/>
    <x v="3"/>
    <n v="1595.74"/>
    <s v="New"/>
    <s v="Card"/>
    <n v="4870.8180000000002"/>
    <n v="1679.3380000000002"/>
    <s v="Wednesday"/>
    <x v="0"/>
  </r>
  <r>
    <s v="NV2755"/>
    <d v="2024-11-21T00:00:00"/>
    <x v="38"/>
    <x v="0"/>
    <s v="P284"/>
    <x v="0"/>
    <n v="4"/>
    <n v="576.16999999999996"/>
    <x v="0"/>
    <n v="353.13"/>
    <s v="New"/>
    <s v="Digital"/>
    <n v="1613.2759999999998"/>
    <n v="200.75599999999986"/>
    <s v="Thursday"/>
    <x v="0"/>
  </r>
  <r>
    <s v="NV2756"/>
    <d v="2024-10-06T00:00:00"/>
    <x v="7"/>
    <x v="3"/>
    <s v="P170"/>
    <x v="0"/>
    <n v="5"/>
    <n v="1812.73"/>
    <x v="0"/>
    <n v="944.33"/>
    <s v="Returning"/>
    <s v="Digital"/>
    <n v="6344.5549999999994"/>
    <n v="1622.9049999999988"/>
    <s v="Sunday"/>
    <x v="1"/>
  </r>
  <r>
    <s v="NV2757"/>
    <d v="2024-04-13T00:00:00"/>
    <x v="21"/>
    <x v="0"/>
    <s v="P191"/>
    <x v="1"/>
    <n v="1"/>
    <n v="1089.28"/>
    <x v="4"/>
    <n v="730.93"/>
    <s v="Returning"/>
    <s v="Digital"/>
    <n v="925.88799999999992"/>
    <n v="194.95799999999997"/>
    <s v="Saturday"/>
    <x v="1"/>
  </r>
  <r>
    <s v="NV2758"/>
    <d v="2025-02-09T00:00:00"/>
    <x v="48"/>
    <x v="3"/>
    <s v="P65"/>
    <x v="0"/>
    <n v="4"/>
    <n v="2372.02"/>
    <x v="0"/>
    <n v="1178.1300000000001"/>
    <s v="New"/>
    <s v="Digital"/>
    <n v="6641.6559999999999"/>
    <n v="1929.1359999999995"/>
    <s v="Sunday"/>
    <x v="1"/>
  </r>
  <r>
    <s v="NV2759"/>
    <d v="2024-05-17T00:00:00"/>
    <x v="46"/>
    <x v="3"/>
    <s v="P266"/>
    <x v="2"/>
    <n v="3"/>
    <n v="2389.13"/>
    <x v="6"/>
    <n v="1191.7"/>
    <s v="New"/>
    <s v="Cash"/>
    <n v="7167.39"/>
    <n v="3592.29"/>
    <s v="Friday"/>
    <x v="0"/>
  </r>
  <r>
    <s v="NV2760"/>
    <d v="2025-06-01T00:00:00"/>
    <x v="9"/>
    <x v="2"/>
    <s v="P21"/>
    <x v="0"/>
    <n v="5"/>
    <n v="1217.42"/>
    <x v="2"/>
    <n v="683.87"/>
    <s v="Returning"/>
    <s v="Cash"/>
    <n v="5782.7449999999999"/>
    <n v="2363.395"/>
    <s v="Sunday"/>
    <x v="1"/>
  </r>
  <r>
    <s v="NV2761"/>
    <d v="2025-09-14T00:00:00"/>
    <x v="18"/>
    <x v="2"/>
    <s v="P6"/>
    <x v="2"/>
    <n v="1"/>
    <n v="2547.16"/>
    <x v="0"/>
    <n v="1293.6199999999999"/>
    <s v="New"/>
    <s v="Digital"/>
    <n v="1783.0119999999997"/>
    <n v="489.39199999999983"/>
    <s v="Sunday"/>
    <x v="1"/>
  </r>
  <r>
    <s v="NV2762"/>
    <d v="2024-09-24T00:00:00"/>
    <x v="58"/>
    <x v="3"/>
    <s v="P43"/>
    <x v="1"/>
    <n v="5"/>
    <n v="779.71"/>
    <x v="1"/>
    <n v="338.05"/>
    <s v="New"/>
    <s v="Digital"/>
    <n v="3118.84"/>
    <n v="1428.5900000000001"/>
    <s v="Tuesday"/>
    <x v="0"/>
  </r>
  <r>
    <s v="NV2763"/>
    <d v="2024-01-25T00:00:00"/>
    <x v="50"/>
    <x v="0"/>
    <s v="P67"/>
    <x v="0"/>
    <n v="2"/>
    <n v="1693.95"/>
    <x v="6"/>
    <n v="854.17"/>
    <s v="Returning"/>
    <s v="Card"/>
    <n v="3387.9"/>
    <n v="1679.5600000000002"/>
    <s v="Thursday"/>
    <x v="0"/>
  </r>
  <r>
    <s v="NV2764"/>
    <d v="2025-07-16T00:00:00"/>
    <x v="54"/>
    <x v="2"/>
    <s v="P49"/>
    <x v="2"/>
    <n v="1"/>
    <n v="2724.94"/>
    <x v="4"/>
    <n v="1505.06"/>
    <s v="Returning"/>
    <s v="Card"/>
    <n v="2316.1990000000001"/>
    <n v="811.13900000000012"/>
    <s v="Wednesday"/>
    <x v="0"/>
  </r>
  <r>
    <s v="NV2765"/>
    <d v="2024-01-23T00:00:00"/>
    <x v="26"/>
    <x v="3"/>
    <s v="P45"/>
    <x v="2"/>
    <n v="3"/>
    <n v="1270.02"/>
    <x v="5"/>
    <n v="518.92999999999995"/>
    <s v="New"/>
    <s v="Cash"/>
    <n v="2857.5450000000001"/>
    <n v="1300.7550000000001"/>
    <s v="Tuesday"/>
    <x v="0"/>
  </r>
  <r>
    <s v="NV2766"/>
    <d v="2024-05-23T00:00:00"/>
    <x v="54"/>
    <x v="0"/>
    <s v="P35"/>
    <x v="2"/>
    <n v="3"/>
    <n v="669.46"/>
    <x v="3"/>
    <n v="344.65"/>
    <s v="Returning"/>
    <s v="Cash"/>
    <n v="1807.5420000000001"/>
    <n v="773.59200000000033"/>
    <s v="Thursday"/>
    <x v="0"/>
  </r>
  <r>
    <s v="NV2767"/>
    <d v="2025-01-09T00:00:00"/>
    <x v="9"/>
    <x v="3"/>
    <s v="P183"/>
    <x v="1"/>
    <n v="5"/>
    <n v="2315.3000000000002"/>
    <x v="2"/>
    <n v="1435.57"/>
    <s v="Returning"/>
    <s v="Card"/>
    <n v="10997.674999999999"/>
    <n v="3819.8249999999998"/>
    <s v="Thursday"/>
    <x v="0"/>
  </r>
  <r>
    <s v="NV2768"/>
    <d v="2024-02-13T00:00:00"/>
    <x v="30"/>
    <x v="1"/>
    <s v="P143"/>
    <x v="0"/>
    <n v="3"/>
    <n v="655.16999999999996"/>
    <x v="5"/>
    <n v="417.49"/>
    <s v="Returning"/>
    <s v="Card"/>
    <n v="1474.1324999999997"/>
    <n v="221.66249999999968"/>
    <s v="Tuesday"/>
    <x v="0"/>
  </r>
  <r>
    <s v="NV2769"/>
    <d v="2024-05-22T00:00:00"/>
    <x v="17"/>
    <x v="3"/>
    <s v="P296"/>
    <x v="0"/>
    <n v="5"/>
    <n v="2132.7399999999998"/>
    <x v="4"/>
    <n v="1301.3399999999999"/>
    <s v="New"/>
    <s v="Card"/>
    <n v="9064.1449999999986"/>
    <n v="2557.4449999999988"/>
    <s v="Wednesday"/>
    <x v="0"/>
  </r>
  <r>
    <s v="NV2770"/>
    <d v="2025-07-11T00:00:00"/>
    <x v="35"/>
    <x v="0"/>
    <s v="P220"/>
    <x v="1"/>
    <n v="5"/>
    <n v="521.70000000000005"/>
    <x v="2"/>
    <n v="318.39"/>
    <s v="New"/>
    <s v="Digital"/>
    <n v="2478.0749999999998"/>
    <n v="886.125"/>
    <s v="Friday"/>
    <x v="0"/>
  </r>
  <r>
    <s v="NV2771"/>
    <d v="2024-06-03T00:00:00"/>
    <x v="39"/>
    <x v="1"/>
    <s v="P265"/>
    <x v="1"/>
    <n v="2"/>
    <n v="2458"/>
    <x v="2"/>
    <n v="1580.23"/>
    <s v="Returning"/>
    <s v="Card"/>
    <n v="4670.2"/>
    <n v="1509.7399999999998"/>
    <s v="Monday"/>
    <x v="0"/>
  </r>
  <r>
    <s v="NV2772"/>
    <d v="2024-01-27T00:00:00"/>
    <x v="51"/>
    <x v="1"/>
    <s v="P243"/>
    <x v="2"/>
    <n v="3"/>
    <n v="1569.79"/>
    <x v="5"/>
    <n v="1093.07"/>
    <s v="New"/>
    <s v="Digital"/>
    <n v="3532.0275000000001"/>
    <n v="252.81750000000011"/>
    <s v="Saturday"/>
    <x v="1"/>
  </r>
  <r>
    <s v="NV2773"/>
    <d v="2025-02-04T00:00:00"/>
    <x v="4"/>
    <x v="1"/>
    <s v="P67"/>
    <x v="2"/>
    <n v="1"/>
    <n v="495.29"/>
    <x v="3"/>
    <n v="205.47"/>
    <s v="Returning"/>
    <s v="Digital"/>
    <n v="445.76100000000002"/>
    <n v="240.29100000000003"/>
    <s v="Tuesday"/>
    <x v="0"/>
  </r>
  <r>
    <s v="NV2774"/>
    <d v="2024-06-18T00:00:00"/>
    <x v="32"/>
    <x v="1"/>
    <s v="P74"/>
    <x v="2"/>
    <n v="4"/>
    <n v="1843.45"/>
    <x v="3"/>
    <n v="746.25"/>
    <s v="New"/>
    <s v="Card"/>
    <n v="6636.42"/>
    <n v="3651.42"/>
    <s v="Tuesday"/>
    <x v="0"/>
  </r>
  <r>
    <s v="NV2775"/>
    <d v="2024-09-20T00:00:00"/>
    <x v="16"/>
    <x v="2"/>
    <s v="P159"/>
    <x v="2"/>
    <n v="5"/>
    <n v="1817.34"/>
    <x v="6"/>
    <n v="802.92"/>
    <s v="Returning"/>
    <s v="Cash"/>
    <n v="9086.6999999999989"/>
    <n v="5072.0999999999985"/>
    <s v="Friday"/>
    <x v="0"/>
  </r>
  <r>
    <s v="NV2776"/>
    <d v="2025-10-02T00:00:00"/>
    <x v="29"/>
    <x v="3"/>
    <s v="P293"/>
    <x v="0"/>
    <n v="5"/>
    <n v="1592.78"/>
    <x v="6"/>
    <n v="755.58"/>
    <s v="New"/>
    <s v="Digital"/>
    <n v="7963.9"/>
    <n v="4186"/>
    <s v="Thursday"/>
    <x v="0"/>
  </r>
  <r>
    <s v="NV2777"/>
    <d v="2025-05-10T00:00:00"/>
    <x v="52"/>
    <x v="3"/>
    <s v="P189"/>
    <x v="0"/>
    <n v="1"/>
    <n v="2769.79"/>
    <x v="6"/>
    <n v="1346.67"/>
    <s v="New"/>
    <s v="Digital"/>
    <n v="2769.79"/>
    <n v="1423.12"/>
    <s v="Saturday"/>
    <x v="1"/>
  </r>
  <r>
    <s v="NV2778"/>
    <d v="2024-04-06T00:00:00"/>
    <x v="47"/>
    <x v="2"/>
    <s v="P15"/>
    <x v="0"/>
    <n v="4"/>
    <n v="322.98"/>
    <x v="3"/>
    <n v="130.47"/>
    <s v="New"/>
    <s v="Digital"/>
    <n v="1162.7280000000001"/>
    <n v="640.84800000000007"/>
    <s v="Saturday"/>
    <x v="1"/>
  </r>
  <r>
    <s v="NV2779"/>
    <d v="2024-11-25T00:00:00"/>
    <x v="31"/>
    <x v="2"/>
    <s v="P234"/>
    <x v="0"/>
    <n v="4"/>
    <n v="1837.78"/>
    <x v="2"/>
    <n v="833.72"/>
    <s v="New"/>
    <s v="Cash"/>
    <n v="6983.5639999999994"/>
    <n v="3648.6839999999993"/>
    <s v="Monday"/>
    <x v="0"/>
  </r>
  <r>
    <s v="NV2780"/>
    <d v="2025-01-21T00:00:00"/>
    <x v="36"/>
    <x v="1"/>
    <s v="P25"/>
    <x v="2"/>
    <n v="4"/>
    <n v="517.66999999999996"/>
    <x v="1"/>
    <n v="224.93"/>
    <s v="Returning"/>
    <s v="Digital"/>
    <n v="1656.5439999999999"/>
    <n v="756.82399999999984"/>
    <s v="Tuesday"/>
    <x v="0"/>
  </r>
  <r>
    <s v="NV2781"/>
    <d v="2024-01-24T00:00:00"/>
    <x v="6"/>
    <x v="3"/>
    <s v="P26"/>
    <x v="1"/>
    <n v="2"/>
    <n v="2826.91"/>
    <x v="6"/>
    <n v="1511.54"/>
    <s v="Returning"/>
    <s v="Digital"/>
    <n v="5653.82"/>
    <n v="2630.74"/>
    <s v="Wednesday"/>
    <x v="0"/>
  </r>
  <r>
    <s v="NV2782"/>
    <d v="2024-01-03T00:00:00"/>
    <x v="44"/>
    <x v="1"/>
    <s v="P101"/>
    <x v="0"/>
    <n v="3"/>
    <n v="2605.08"/>
    <x v="1"/>
    <n v="1793.63"/>
    <s v="New"/>
    <s v="Card"/>
    <n v="6252.192"/>
    <n v="871.30199999999968"/>
    <s v="Wednesday"/>
    <x v="0"/>
  </r>
  <r>
    <s v="NV2783"/>
    <d v="2025-07-14T00:00:00"/>
    <x v="13"/>
    <x v="2"/>
    <s v="P56"/>
    <x v="1"/>
    <n v="4"/>
    <n v="2866.4"/>
    <x v="0"/>
    <n v="1882.79"/>
    <s v="New"/>
    <s v="Card"/>
    <n v="8025.92"/>
    <n v="494.76000000000022"/>
    <s v="Monday"/>
    <x v="0"/>
  </r>
  <r>
    <s v="NV2784"/>
    <d v="2025-06-06T00:00:00"/>
    <x v="11"/>
    <x v="2"/>
    <s v="P184"/>
    <x v="0"/>
    <n v="3"/>
    <n v="1877.49"/>
    <x v="0"/>
    <n v="1167.92"/>
    <s v="New"/>
    <s v="Cash"/>
    <n v="3942.7289999999998"/>
    <n v="438.9689999999996"/>
    <s v="Friday"/>
    <x v="0"/>
  </r>
  <r>
    <s v="NV2785"/>
    <d v="2024-07-01T00:00:00"/>
    <x v="14"/>
    <x v="2"/>
    <s v="P27"/>
    <x v="1"/>
    <n v="1"/>
    <n v="1172.95"/>
    <x v="5"/>
    <n v="508.71"/>
    <s v="New"/>
    <s v="Card"/>
    <n v="879.71250000000009"/>
    <n v="371.00250000000011"/>
    <s v="Monday"/>
    <x v="0"/>
  </r>
  <r>
    <s v="NV2786"/>
    <d v="2025-04-25T00:00:00"/>
    <x v="59"/>
    <x v="0"/>
    <s v="P92"/>
    <x v="2"/>
    <n v="4"/>
    <n v="1541.97"/>
    <x v="3"/>
    <n v="704.04"/>
    <s v="Returning"/>
    <s v="Digital"/>
    <n v="5551.0920000000006"/>
    <n v="2734.9320000000007"/>
    <s v="Friday"/>
    <x v="0"/>
  </r>
  <r>
    <s v="NV2787"/>
    <d v="2024-12-19T00:00:00"/>
    <x v="10"/>
    <x v="0"/>
    <s v="P5"/>
    <x v="1"/>
    <n v="1"/>
    <n v="1073.29"/>
    <x v="4"/>
    <n v="454.71"/>
    <s v="New"/>
    <s v="Card"/>
    <n v="912.29649999999992"/>
    <n v="457.58649999999994"/>
    <s v="Thursday"/>
    <x v="0"/>
  </r>
  <r>
    <s v="NV2788"/>
    <d v="2024-08-24T00:00:00"/>
    <x v="15"/>
    <x v="2"/>
    <s v="P3"/>
    <x v="1"/>
    <n v="2"/>
    <n v="2280.84"/>
    <x v="2"/>
    <n v="1022.72"/>
    <s v="Returning"/>
    <s v="Card"/>
    <n v="4333.5960000000005"/>
    <n v="2288.1560000000004"/>
    <s v="Saturday"/>
    <x v="1"/>
  </r>
  <r>
    <s v="NV2789"/>
    <d v="2024-12-06T00:00:00"/>
    <x v="24"/>
    <x v="1"/>
    <s v="P267"/>
    <x v="2"/>
    <n v="5"/>
    <n v="2896.78"/>
    <x v="2"/>
    <n v="1336.66"/>
    <s v="New"/>
    <s v="Digital"/>
    <n v="13759.705"/>
    <n v="7076.4049999999997"/>
    <s v="Friday"/>
    <x v="0"/>
  </r>
  <r>
    <s v="NV2790"/>
    <d v="2025-03-25T00:00:00"/>
    <x v="50"/>
    <x v="0"/>
    <s v="P122"/>
    <x v="1"/>
    <n v="1"/>
    <n v="2842.09"/>
    <x v="5"/>
    <n v="1174.6500000000001"/>
    <s v="New"/>
    <s v="Cash"/>
    <n v="2131.5675000000001"/>
    <n v="956.91750000000002"/>
    <s v="Tuesday"/>
    <x v="0"/>
  </r>
  <r>
    <s v="NV2791"/>
    <d v="2024-02-15T00:00:00"/>
    <x v="14"/>
    <x v="0"/>
    <s v="P275"/>
    <x v="1"/>
    <n v="1"/>
    <n v="1190.71"/>
    <x v="2"/>
    <n v="495.73"/>
    <s v="Returning"/>
    <s v="Card"/>
    <n v="1131.1745000000001"/>
    <n v="635.44450000000006"/>
    <s v="Thursday"/>
    <x v="0"/>
  </r>
  <r>
    <s v="NV2792"/>
    <d v="2025-07-10T00:00:00"/>
    <x v="10"/>
    <x v="3"/>
    <s v="P71"/>
    <x v="2"/>
    <n v="1"/>
    <n v="2475.5700000000002"/>
    <x v="3"/>
    <n v="1145.17"/>
    <s v="New"/>
    <s v="Digital"/>
    <n v="2228.0130000000004"/>
    <n v="1082.8430000000003"/>
    <s v="Thursday"/>
    <x v="0"/>
  </r>
  <r>
    <s v="NV2793"/>
    <d v="2024-04-14T00:00:00"/>
    <x v="59"/>
    <x v="1"/>
    <s v="P180"/>
    <x v="0"/>
    <n v="3"/>
    <n v="1030.0999999999999"/>
    <x v="6"/>
    <n v="558.45000000000005"/>
    <s v="New"/>
    <s v="Cash"/>
    <n v="3090.2999999999997"/>
    <n v="1414.9499999999996"/>
    <s v="Sunday"/>
    <x v="1"/>
  </r>
  <r>
    <s v="NV2794"/>
    <d v="2025-02-23T00:00:00"/>
    <x v="21"/>
    <x v="2"/>
    <s v="P279"/>
    <x v="2"/>
    <n v="5"/>
    <n v="318.43"/>
    <x v="0"/>
    <n v="198.02"/>
    <s v="Returning"/>
    <s v="Cash"/>
    <n v="1114.5049999999999"/>
    <n v="124.40499999999986"/>
    <s v="Sunday"/>
    <x v="1"/>
  </r>
  <r>
    <s v="NV2795"/>
    <d v="2024-07-06T00:00:00"/>
    <x v="22"/>
    <x v="0"/>
    <s v="P68"/>
    <x v="0"/>
    <n v="1"/>
    <n v="1330.24"/>
    <x v="2"/>
    <n v="679.7"/>
    <s v="New"/>
    <s v="Card"/>
    <n v="1263.7279999999998"/>
    <n v="584.02799999999979"/>
    <s v="Saturday"/>
    <x v="1"/>
  </r>
  <r>
    <s v="NV2796"/>
    <d v="2024-10-20T00:00:00"/>
    <x v="23"/>
    <x v="1"/>
    <s v="P126"/>
    <x v="0"/>
    <n v="1"/>
    <n v="1097.75"/>
    <x v="4"/>
    <n v="605.04"/>
    <s v="Returning"/>
    <s v="Cash"/>
    <n v="933.08749999999998"/>
    <n v="328.04750000000001"/>
    <s v="Sunday"/>
    <x v="1"/>
  </r>
  <r>
    <s v="NV2797"/>
    <d v="2024-06-19T00:00:00"/>
    <x v="3"/>
    <x v="1"/>
    <s v="P65"/>
    <x v="2"/>
    <n v="5"/>
    <n v="2423.31"/>
    <x v="2"/>
    <n v="1075.72"/>
    <s v="Returning"/>
    <s v="Card"/>
    <n v="11510.722499999998"/>
    <n v="6132.1224999999977"/>
    <s v="Wednesday"/>
    <x v="0"/>
  </r>
  <r>
    <s v="NV2798"/>
    <d v="2024-02-14T00:00:00"/>
    <x v="10"/>
    <x v="3"/>
    <s v="P71"/>
    <x v="1"/>
    <n v="4"/>
    <n v="1042.42"/>
    <x v="5"/>
    <n v="629.82000000000005"/>
    <s v="Returning"/>
    <s v="Cash"/>
    <n v="3127.26"/>
    <n v="607.98"/>
    <s v="Wednesday"/>
    <x v="0"/>
  </r>
  <r>
    <s v="NV2799"/>
    <d v="2025-06-09T00:00:00"/>
    <x v="45"/>
    <x v="1"/>
    <s v="P293"/>
    <x v="0"/>
    <n v="1"/>
    <n v="577.41999999999996"/>
    <x v="4"/>
    <n v="373.01"/>
    <s v="New"/>
    <s v="Card"/>
    <n v="490.80699999999996"/>
    <n v="117.79699999999997"/>
    <s v="Monday"/>
    <x v="0"/>
  </r>
  <r>
    <s v="NV2800"/>
    <d v="2024-02-07T00:00:00"/>
    <x v="33"/>
    <x v="2"/>
    <s v="P271"/>
    <x v="0"/>
    <n v="4"/>
    <n v="2980.38"/>
    <x v="2"/>
    <n v="1622.49"/>
    <s v="New"/>
    <s v="Digital"/>
    <n v="11325.444"/>
    <n v="4835.4839999999995"/>
    <s v="Wednesday"/>
    <x v="0"/>
  </r>
  <r>
    <s v="NV2801"/>
    <d v="2024-04-05T00:00:00"/>
    <x v="39"/>
    <x v="1"/>
    <s v="P7"/>
    <x v="2"/>
    <n v="4"/>
    <n v="921.8"/>
    <x v="2"/>
    <n v="549.51"/>
    <s v="Returning"/>
    <s v="Card"/>
    <n v="3502.8399999999997"/>
    <n v="1304.7999999999997"/>
    <s v="Friday"/>
    <x v="0"/>
  </r>
  <r>
    <s v="NV2802"/>
    <d v="2025-02-26T00:00:00"/>
    <x v="59"/>
    <x v="3"/>
    <s v="P178"/>
    <x v="1"/>
    <n v="4"/>
    <n v="2740.77"/>
    <x v="4"/>
    <n v="1898.46"/>
    <s v="New"/>
    <s v="Digital"/>
    <n v="9318.6180000000004"/>
    <n v="1724.7780000000002"/>
    <s v="Wednesday"/>
    <x v="0"/>
  </r>
  <r>
    <s v="NV2803"/>
    <d v="2024-11-17T00:00:00"/>
    <x v="6"/>
    <x v="0"/>
    <s v="P140"/>
    <x v="0"/>
    <n v="2"/>
    <n v="490.16"/>
    <x v="2"/>
    <n v="318.58999999999997"/>
    <s v="Returning"/>
    <s v="Cash"/>
    <n v="931.30399999999997"/>
    <n v="294.12400000000002"/>
    <s v="Sunday"/>
    <x v="1"/>
  </r>
  <r>
    <s v="NV2804"/>
    <d v="2024-09-14T00:00:00"/>
    <x v="46"/>
    <x v="0"/>
    <s v="P243"/>
    <x v="2"/>
    <n v="2"/>
    <n v="2757.19"/>
    <x v="1"/>
    <n v="1491.78"/>
    <s v="New"/>
    <s v="Card"/>
    <n v="4411.5039999999999"/>
    <n v="1427.944"/>
    <s v="Saturday"/>
    <x v="1"/>
  </r>
  <r>
    <s v="NV2805"/>
    <d v="2024-08-13T00:00:00"/>
    <x v="41"/>
    <x v="2"/>
    <s v="P265"/>
    <x v="2"/>
    <n v="3"/>
    <n v="577.59"/>
    <x v="6"/>
    <n v="292.13"/>
    <s v="New"/>
    <s v="Cash"/>
    <n v="1732.77"/>
    <n v="856.38"/>
    <s v="Tuesday"/>
    <x v="0"/>
  </r>
  <r>
    <s v="NV2806"/>
    <d v="2025-01-16T00:00:00"/>
    <x v="0"/>
    <x v="2"/>
    <s v="P48"/>
    <x v="0"/>
    <n v="1"/>
    <n v="1297.8499999999999"/>
    <x v="1"/>
    <n v="591.55999999999995"/>
    <s v="Returning"/>
    <s v="Card"/>
    <n v="1038.28"/>
    <n v="446.72"/>
    <s v="Thursday"/>
    <x v="0"/>
  </r>
  <r>
    <s v="NV2807"/>
    <d v="2025-06-29T00:00:00"/>
    <x v="53"/>
    <x v="0"/>
    <s v="P266"/>
    <x v="1"/>
    <n v="3"/>
    <n v="2055.4499999999998"/>
    <x v="4"/>
    <n v="1263.46"/>
    <s v="Returning"/>
    <s v="Digital"/>
    <n v="5241.3974999999991"/>
    <n v="1451.017499999999"/>
    <s v="Sunday"/>
    <x v="1"/>
  </r>
  <r>
    <s v="NV2808"/>
    <d v="2025-06-15T00:00:00"/>
    <x v="24"/>
    <x v="0"/>
    <s v="P287"/>
    <x v="2"/>
    <n v="1"/>
    <n v="1372.08"/>
    <x v="5"/>
    <n v="775.79"/>
    <s v="New"/>
    <s v="Card"/>
    <n v="1029.06"/>
    <n v="253.26999999999998"/>
    <s v="Sunday"/>
    <x v="1"/>
  </r>
  <r>
    <s v="NV2809"/>
    <d v="2025-08-29T00:00:00"/>
    <x v="51"/>
    <x v="2"/>
    <s v="P158"/>
    <x v="2"/>
    <n v="2"/>
    <n v="447.07"/>
    <x v="1"/>
    <n v="269.27999999999997"/>
    <s v="New"/>
    <s v="Digital"/>
    <n v="715.31200000000001"/>
    <n v="176.75200000000007"/>
    <s v="Friday"/>
    <x v="0"/>
  </r>
  <r>
    <s v="NV2810"/>
    <d v="2025-06-06T00:00:00"/>
    <x v="14"/>
    <x v="3"/>
    <s v="P71"/>
    <x v="0"/>
    <n v="1"/>
    <n v="2448.8200000000002"/>
    <x v="6"/>
    <n v="1067.81"/>
    <s v="New"/>
    <s v="Card"/>
    <n v="2448.8200000000002"/>
    <n v="1381.0100000000002"/>
    <s v="Friday"/>
    <x v="0"/>
  </r>
  <r>
    <s v="NV2811"/>
    <d v="2025-02-20T00:00:00"/>
    <x v="18"/>
    <x v="2"/>
    <s v="P31"/>
    <x v="2"/>
    <n v="4"/>
    <n v="1449.68"/>
    <x v="6"/>
    <n v="888.85"/>
    <s v="Returning"/>
    <s v="Digital"/>
    <n v="5798.72"/>
    <n v="2243.3200000000002"/>
    <s v="Thursday"/>
    <x v="0"/>
  </r>
  <r>
    <s v="NV2812"/>
    <d v="2024-09-24T00:00:00"/>
    <x v="43"/>
    <x v="1"/>
    <s v="P29"/>
    <x v="2"/>
    <n v="3"/>
    <n v="1176.4100000000001"/>
    <x v="1"/>
    <n v="661.77"/>
    <s v="Returning"/>
    <s v="Card"/>
    <n v="2823.3840000000005"/>
    <n v="838.07400000000052"/>
    <s v="Tuesday"/>
    <x v="0"/>
  </r>
  <r>
    <s v="NV2813"/>
    <d v="2024-05-12T00:00:00"/>
    <x v="6"/>
    <x v="2"/>
    <s v="P134"/>
    <x v="2"/>
    <n v="1"/>
    <n v="983.71"/>
    <x v="2"/>
    <n v="652.72"/>
    <s v="New"/>
    <s v="Digital"/>
    <n v="934.52449999999999"/>
    <n v="281.80449999999996"/>
    <s v="Sunday"/>
    <x v="1"/>
  </r>
  <r>
    <s v="NV2814"/>
    <d v="2024-06-22T00:00:00"/>
    <x v="54"/>
    <x v="3"/>
    <s v="P250"/>
    <x v="2"/>
    <n v="2"/>
    <n v="2837.13"/>
    <x v="1"/>
    <n v="1252.54"/>
    <s v="New"/>
    <s v="Cash"/>
    <n v="4539.4080000000004"/>
    <n v="2034.3280000000004"/>
    <s v="Saturday"/>
    <x v="1"/>
  </r>
  <r>
    <s v="NV2815"/>
    <d v="2025-10-08T00:00:00"/>
    <x v="21"/>
    <x v="1"/>
    <s v="P131"/>
    <x v="0"/>
    <n v="5"/>
    <n v="2431.84"/>
    <x v="6"/>
    <n v="1486.4"/>
    <s v="Returning"/>
    <s v="Cash"/>
    <n v="12159.2"/>
    <n v="4727.2000000000007"/>
    <s v="Wednesday"/>
    <x v="0"/>
  </r>
  <r>
    <s v="NV2816"/>
    <d v="2024-12-15T00:00:00"/>
    <x v="6"/>
    <x v="3"/>
    <s v="P125"/>
    <x v="2"/>
    <n v="2"/>
    <n v="441.27"/>
    <x v="4"/>
    <n v="176.8"/>
    <s v="Returning"/>
    <s v="Cash"/>
    <n v="750.15899999999999"/>
    <n v="396.55899999999997"/>
    <s v="Sunday"/>
    <x v="1"/>
  </r>
  <r>
    <s v="NV2817"/>
    <d v="2025-10-03T00:00:00"/>
    <x v="10"/>
    <x v="1"/>
    <s v="P39"/>
    <x v="0"/>
    <n v="2"/>
    <n v="1165.71"/>
    <x v="4"/>
    <n v="518.08000000000004"/>
    <s v="New"/>
    <s v="Digital"/>
    <n v="1981.7070000000001"/>
    <n v="945.54700000000003"/>
    <s v="Friday"/>
    <x v="0"/>
  </r>
  <r>
    <s v="NV2818"/>
    <d v="2024-03-24T00:00:00"/>
    <x v="2"/>
    <x v="3"/>
    <s v="P188"/>
    <x v="2"/>
    <n v="5"/>
    <n v="1513.04"/>
    <x v="1"/>
    <n v="879.7"/>
    <s v="Returning"/>
    <s v="Digital"/>
    <n v="6052.16"/>
    <n v="1653.6599999999999"/>
    <s v="Sunday"/>
    <x v="1"/>
  </r>
  <r>
    <s v="NV2819"/>
    <d v="2025-08-10T00:00:00"/>
    <x v="17"/>
    <x v="0"/>
    <s v="P137"/>
    <x v="1"/>
    <n v="4"/>
    <n v="2131.85"/>
    <x v="5"/>
    <n v="1427.99"/>
    <s v="Returning"/>
    <s v="Digital"/>
    <n v="6395.5499999999993"/>
    <n v="683.58999999999924"/>
    <s v="Sunday"/>
    <x v="1"/>
  </r>
  <r>
    <s v="NV2820"/>
    <d v="2025-02-07T00:00:00"/>
    <x v="33"/>
    <x v="2"/>
    <s v="P37"/>
    <x v="2"/>
    <n v="1"/>
    <n v="1334.38"/>
    <x v="3"/>
    <n v="591.79"/>
    <s v="Returning"/>
    <s v="Card"/>
    <n v="1200.9420000000002"/>
    <n v="609.15200000000027"/>
    <s v="Friday"/>
    <x v="0"/>
  </r>
  <r>
    <s v="NV2821"/>
    <d v="2024-03-27T00:00:00"/>
    <x v="6"/>
    <x v="1"/>
    <s v="P170"/>
    <x v="2"/>
    <n v="3"/>
    <n v="1000.95"/>
    <x v="4"/>
    <n v="542.47"/>
    <s v="Returning"/>
    <s v="Cash"/>
    <n v="2552.4225000000001"/>
    <n v="925.01250000000005"/>
    <s v="Wednesday"/>
    <x v="0"/>
  </r>
  <r>
    <s v="NV2822"/>
    <d v="2025-10-15T00:00:00"/>
    <x v="28"/>
    <x v="1"/>
    <s v="P146"/>
    <x v="0"/>
    <n v="2"/>
    <n v="2303.64"/>
    <x v="0"/>
    <n v="1454.6"/>
    <s v="Returning"/>
    <s v="Cash"/>
    <n v="3225.0959999999995"/>
    <n v="315.89599999999973"/>
    <s v="Wednesday"/>
    <x v="0"/>
  </r>
  <r>
    <s v="NV2823"/>
    <d v="2024-05-21T00:00:00"/>
    <x v="9"/>
    <x v="0"/>
    <s v="P160"/>
    <x v="0"/>
    <n v="5"/>
    <n v="2074.98"/>
    <x v="3"/>
    <n v="893.71"/>
    <s v="New"/>
    <s v="Cash"/>
    <n v="9337.41"/>
    <n v="4868.8599999999997"/>
    <s v="Tuesday"/>
    <x v="0"/>
  </r>
  <r>
    <s v="NV2824"/>
    <d v="2025-11-10T00:00:00"/>
    <x v="34"/>
    <x v="0"/>
    <s v="P2"/>
    <x v="2"/>
    <n v="2"/>
    <n v="1923.51"/>
    <x v="2"/>
    <n v="982.35"/>
    <s v="New"/>
    <s v="Cash"/>
    <n v="3654.6689999999999"/>
    <n v="1689.9689999999998"/>
    <s v="Monday"/>
    <x v="0"/>
  </r>
  <r>
    <s v="NV2825"/>
    <d v="2025-10-09T00:00:00"/>
    <x v="0"/>
    <x v="0"/>
    <s v="P203"/>
    <x v="1"/>
    <n v="5"/>
    <n v="2458.83"/>
    <x v="1"/>
    <n v="1373.83"/>
    <s v="New"/>
    <s v="Cash"/>
    <n v="9835.32"/>
    <n v="2966.17"/>
    <s v="Thursday"/>
    <x v="0"/>
  </r>
  <r>
    <s v="NV2826"/>
    <d v="2025-08-07T00:00:00"/>
    <x v="29"/>
    <x v="3"/>
    <s v="P13"/>
    <x v="1"/>
    <n v="2"/>
    <n v="1739.79"/>
    <x v="0"/>
    <n v="951.3"/>
    <s v="Returning"/>
    <s v="Digital"/>
    <n v="2435.7059999999997"/>
    <n v="533.10599999999977"/>
    <s v="Thursday"/>
    <x v="0"/>
  </r>
  <r>
    <s v="NV2827"/>
    <d v="2024-02-19T00:00:00"/>
    <x v="23"/>
    <x v="3"/>
    <s v="P75"/>
    <x v="0"/>
    <n v="1"/>
    <n v="2705.23"/>
    <x v="2"/>
    <n v="1618.1"/>
    <s v="New"/>
    <s v="Digital"/>
    <n v="2569.9684999999999"/>
    <n v="951.86850000000004"/>
    <s v="Monday"/>
    <x v="0"/>
  </r>
  <r>
    <s v="NV2828"/>
    <d v="2025-04-13T00:00:00"/>
    <x v="41"/>
    <x v="2"/>
    <s v="P262"/>
    <x v="1"/>
    <n v="1"/>
    <n v="383.82"/>
    <x v="6"/>
    <n v="200.89"/>
    <s v="Returning"/>
    <s v="Card"/>
    <n v="383.82"/>
    <n v="182.93"/>
    <s v="Sunday"/>
    <x v="1"/>
  </r>
  <r>
    <s v="NV2829"/>
    <d v="2025-03-11T00:00:00"/>
    <x v="44"/>
    <x v="2"/>
    <s v="P210"/>
    <x v="2"/>
    <n v="4"/>
    <n v="2595.7199999999998"/>
    <x v="4"/>
    <n v="1683.72"/>
    <s v="New"/>
    <s v="Digital"/>
    <n v="8825.4479999999985"/>
    <n v="2090.5679999999984"/>
    <s v="Tuesday"/>
    <x v="0"/>
  </r>
  <r>
    <s v="NV2830"/>
    <d v="2024-01-07T00:00:00"/>
    <x v="56"/>
    <x v="3"/>
    <s v="P132"/>
    <x v="0"/>
    <n v="4"/>
    <n v="1677.58"/>
    <x v="1"/>
    <n v="874.97"/>
    <s v="Returning"/>
    <s v="Card"/>
    <n v="5368.2560000000003"/>
    <n v="1868.3760000000002"/>
    <s v="Sunday"/>
    <x v="1"/>
  </r>
  <r>
    <s v="NV2831"/>
    <d v="2025-03-20T00:00:00"/>
    <x v="36"/>
    <x v="3"/>
    <s v="P158"/>
    <x v="2"/>
    <n v="2"/>
    <n v="580.47"/>
    <x v="1"/>
    <n v="273.98"/>
    <s v="Returning"/>
    <s v="Digital"/>
    <n v="928.75200000000007"/>
    <n v="380.79200000000003"/>
    <s v="Thursday"/>
    <x v="0"/>
  </r>
  <r>
    <s v="NV2832"/>
    <d v="2024-04-11T00:00:00"/>
    <x v="40"/>
    <x v="1"/>
    <s v="P231"/>
    <x v="2"/>
    <n v="2"/>
    <n v="1796.57"/>
    <x v="5"/>
    <n v="818.63"/>
    <s v="New"/>
    <s v="Digital"/>
    <n v="2694.855"/>
    <n v="1057.595"/>
    <s v="Thursday"/>
    <x v="0"/>
  </r>
  <r>
    <s v="NV2833"/>
    <d v="2025-06-17T00:00:00"/>
    <x v="53"/>
    <x v="0"/>
    <s v="P179"/>
    <x v="0"/>
    <n v="5"/>
    <n v="2623.28"/>
    <x v="2"/>
    <n v="1441.9"/>
    <s v="New"/>
    <s v="Digital"/>
    <n v="12460.58"/>
    <n v="5251.08"/>
    <s v="Tuesday"/>
    <x v="0"/>
  </r>
  <r>
    <s v="NV2834"/>
    <d v="2025-04-01T00:00:00"/>
    <x v="19"/>
    <x v="1"/>
    <s v="P147"/>
    <x v="1"/>
    <n v="2"/>
    <n v="2805.91"/>
    <x v="4"/>
    <n v="1514.05"/>
    <s v="Returning"/>
    <s v="Cash"/>
    <n v="4770.0469999999996"/>
    <n v="1741.9469999999997"/>
    <s v="Tuesday"/>
    <x v="0"/>
  </r>
  <r>
    <s v="NV2835"/>
    <d v="2024-09-26T00:00:00"/>
    <x v="46"/>
    <x v="2"/>
    <s v="P208"/>
    <x v="1"/>
    <n v="1"/>
    <n v="1370.08"/>
    <x v="2"/>
    <n v="634.41"/>
    <s v="Returning"/>
    <s v="Cash"/>
    <n v="1301.5759999999998"/>
    <n v="667.16599999999983"/>
    <s v="Thursday"/>
    <x v="0"/>
  </r>
  <r>
    <s v="NV2836"/>
    <d v="2024-10-24T00:00:00"/>
    <x v="54"/>
    <x v="0"/>
    <s v="P260"/>
    <x v="0"/>
    <n v="1"/>
    <n v="1414.92"/>
    <x v="5"/>
    <n v="764.58"/>
    <s v="New"/>
    <s v="Digital"/>
    <n v="1061.19"/>
    <n v="296.61"/>
    <s v="Thursday"/>
    <x v="0"/>
  </r>
  <r>
    <s v="NV2837"/>
    <d v="2024-02-26T00:00:00"/>
    <x v="11"/>
    <x v="2"/>
    <s v="P272"/>
    <x v="1"/>
    <n v="4"/>
    <n v="1487.69"/>
    <x v="6"/>
    <n v="605.35"/>
    <s v="Returning"/>
    <s v="Card"/>
    <n v="5950.76"/>
    <n v="3529.36"/>
    <s v="Monday"/>
    <x v="0"/>
  </r>
  <r>
    <s v="NV2838"/>
    <d v="2024-10-01T00:00:00"/>
    <x v="1"/>
    <x v="1"/>
    <s v="P132"/>
    <x v="1"/>
    <n v="4"/>
    <n v="529.12"/>
    <x v="5"/>
    <n v="278.17"/>
    <s v="New"/>
    <s v="Digital"/>
    <n v="1587.3600000000001"/>
    <n v="474.68000000000006"/>
    <s v="Tuesday"/>
    <x v="0"/>
  </r>
  <r>
    <s v="NV2839"/>
    <d v="2024-11-10T00:00:00"/>
    <x v="48"/>
    <x v="0"/>
    <s v="P199"/>
    <x v="0"/>
    <n v="2"/>
    <n v="1064.46"/>
    <x v="4"/>
    <n v="655.63"/>
    <s v="Returning"/>
    <s v="Digital"/>
    <n v="1809.5820000000001"/>
    <n v="498.32200000000012"/>
    <s v="Sunday"/>
    <x v="1"/>
  </r>
  <r>
    <s v="NV2840"/>
    <d v="2025-03-10T00:00:00"/>
    <x v="17"/>
    <x v="3"/>
    <s v="P40"/>
    <x v="0"/>
    <n v="2"/>
    <n v="1388.8"/>
    <x v="4"/>
    <n v="555.73"/>
    <s v="Returning"/>
    <s v="Card"/>
    <n v="2360.96"/>
    <n v="1249.5"/>
    <s v="Monday"/>
    <x v="0"/>
  </r>
  <r>
    <s v="NV2841"/>
    <d v="2025-08-15T00:00:00"/>
    <x v="33"/>
    <x v="0"/>
    <s v="P244"/>
    <x v="2"/>
    <n v="4"/>
    <n v="2829.15"/>
    <x v="5"/>
    <n v="1832.1"/>
    <s v="Returning"/>
    <s v="Digital"/>
    <n v="8487.4500000000007"/>
    <n v="1159.0500000000011"/>
    <s v="Friday"/>
    <x v="0"/>
  </r>
  <r>
    <s v="NV2842"/>
    <d v="2025-01-07T00:00:00"/>
    <x v="54"/>
    <x v="1"/>
    <s v="P115"/>
    <x v="1"/>
    <n v="1"/>
    <n v="1942.69"/>
    <x v="5"/>
    <n v="1217.73"/>
    <s v="Returning"/>
    <s v="Cash"/>
    <n v="1457.0174999999999"/>
    <n v="239.28749999999991"/>
    <s v="Tuesday"/>
    <x v="0"/>
  </r>
  <r>
    <s v="NV2843"/>
    <d v="2025-07-27T00:00:00"/>
    <x v="8"/>
    <x v="2"/>
    <s v="P85"/>
    <x v="0"/>
    <n v="4"/>
    <n v="457.58"/>
    <x v="3"/>
    <n v="220.37"/>
    <s v="Returning"/>
    <s v="Digital"/>
    <n v="1647.288"/>
    <n v="765.80799999999999"/>
    <s v="Sunday"/>
    <x v="1"/>
  </r>
  <r>
    <s v="NV2844"/>
    <d v="2025-11-25T00:00:00"/>
    <x v="53"/>
    <x v="1"/>
    <s v="P45"/>
    <x v="1"/>
    <n v="2"/>
    <n v="1150.1199999999999"/>
    <x v="4"/>
    <n v="639.69000000000005"/>
    <s v="Returning"/>
    <s v="Card"/>
    <n v="1955.2039999999997"/>
    <n v="675.82399999999961"/>
    <s v="Tuesday"/>
    <x v="0"/>
  </r>
  <r>
    <s v="NV2845"/>
    <d v="2024-10-26T00:00:00"/>
    <x v="52"/>
    <x v="1"/>
    <s v="P141"/>
    <x v="2"/>
    <n v="1"/>
    <n v="2874.99"/>
    <x v="3"/>
    <n v="1527.17"/>
    <s v="Returning"/>
    <s v="Digital"/>
    <n v="2587.491"/>
    <n v="1060.3209999999999"/>
    <s v="Saturday"/>
    <x v="1"/>
  </r>
  <r>
    <s v="NV2846"/>
    <d v="2024-05-30T00:00:00"/>
    <x v="58"/>
    <x v="3"/>
    <s v="P296"/>
    <x v="0"/>
    <n v="5"/>
    <n v="2251.1999999999998"/>
    <x v="0"/>
    <n v="931.11"/>
    <s v="New"/>
    <s v="Cash"/>
    <n v="7879.2"/>
    <n v="3223.6499999999996"/>
    <s v="Thursday"/>
    <x v="0"/>
  </r>
  <r>
    <s v="NV2847"/>
    <d v="2024-04-20T00:00:00"/>
    <x v="51"/>
    <x v="0"/>
    <s v="P275"/>
    <x v="0"/>
    <n v="3"/>
    <n v="1323.16"/>
    <x v="5"/>
    <n v="534.86"/>
    <s v="Returning"/>
    <s v="Cash"/>
    <n v="2977.1100000000006"/>
    <n v="1372.5300000000007"/>
    <s v="Saturday"/>
    <x v="1"/>
  </r>
  <r>
    <s v="NV2848"/>
    <d v="2025-01-22T00:00:00"/>
    <x v="31"/>
    <x v="1"/>
    <s v="P102"/>
    <x v="2"/>
    <n v="3"/>
    <n v="2278.87"/>
    <x v="5"/>
    <n v="1542.99"/>
    <s v="Returning"/>
    <s v="Cash"/>
    <n v="5127.4574999999995"/>
    <n v="498.48749999999927"/>
    <s v="Wednesday"/>
    <x v="0"/>
  </r>
  <r>
    <s v="NV2849"/>
    <d v="2024-06-27T00:00:00"/>
    <x v="17"/>
    <x v="1"/>
    <s v="P181"/>
    <x v="1"/>
    <n v="2"/>
    <n v="408.82"/>
    <x v="2"/>
    <n v="262.27999999999997"/>
    <s v="Returning"/>
    <s v="Cash"/>
    <n v="776.75799999999992"/>
    <n v="252.19799999999998"/>
    <s v="Thursday"/>
    <x v="0"/>
  </r>
  <r>
    <s v="NV2850"/>
    <d v="2025-08-14T00:00:00"/>
    <x v="51"/>
    <x v="3"/>
    <s v="P262"/>
    <x v="2"/>
    <n v="1"/>
    <n v="2512.4699999999998"/>
    <x v="5"/>
    <n v="1544.68"/>
    <s v="New"/>
    <s v="Cash"/>
    <n v="1884.3525"/>
    <n v="339.6724999999999"/>
    <s v="Thursday"/>
    <x v="0"/>
  </r>
  <r>
    <s v="NV2851"/>
    <d v="2025-10-17T00:00:00"/>
    <x v="23"/>
    <x v="1"/>
    <s v="P48"/>
    <x v="0"/>
    <n v="4"/>
    <n v="1220.75"/>
    <x v="5"/>
    <n v="696.76"/>
    <s v="Returning"/>
    <s v="Card"/>
    <n v="3662.25"/>
    <n v="875.21"/>
    <s v="Friday"/>
    <x v="0"/>
  </r>
  <r>
    <s v="NV2852"/>
    <d v="2025-02-18T00:00:00"/>
    <x v="42"/>
    <x v="0"/>
    <s v="P199"/>
    <x v="0"/>
    <n v="5"/>
    <n v="1428.02"/>
    <x v="4"/>
    <n v="739"/>
    <s v="Returning"/>
    <s v="Cash"/>
    <n v="6069.085"/>
    <n v="2374.085"/>
    <s v="Tuesday"/>
    <x v="0"/>
  </r>
  <r>
    <s v="NV2853"/>
    <d v="2024-08-03T00:00:00"/>
    <x v="27"/>
    <x v="0"/>
    <s v="P281"/>
    <x v="1"/>
    <n v="4"/>
    <n v="1567.64"/>
    <x v="1"/>
    <n v="822.65"/>
    <s v="Returning"/>
    <s v="Digital"/>
    <n v="5016.4480000000003"/>
    <n v="1725.8480000000004"/>
    <s v="Saturday"/>
    <x v="1"/>
  </r>
  <r>
    <s v="NV2854"/>
    <d v="2024-11-01T00:00:00"/>
    <x v="44"/>
    <x v="1"/>
    <s v="P77"/>
    <x v="1"/>
    <n v="3"/>
    <n v="685.17"/>
    <x v="1"/>
    <n v="462.05"/>
    <s v="New"/>
    <s v="Cash"/>
    <n v="1644.4079999999999"/>
    <n v="258.25799999999981"/>
    <s v="Friday"/>
    <x v="0"/>
  </r>
  <r>
    <s v="NV2855"/>
    <d v="2025-03-28T00:00:00"/>
    <x v="39"/>
    <x v="1"/>
    <s v="P294"/>
    <x v="2"/>
    <n v="3"/>
    <n v="2158.04"/>
    <x v="2"/>
    <n v="1137.8399999999999"/>
    <s v="New"/>
    <s v="Card"/>
    <n v="6150.4139999999998"/>
    <n v="2736.8940000000002"/>
    <s v="Friday"/>
    <x v="0"/>
  </r>
  <r>
    <s v="NV2856"/>
    <d v="2025-02-17T00:00:00"/>
    <x v="26"/>
    <x v="2"/>
    <s v="P100"/>
    <x v="0"/>
    <n v="4"/>
    <n v="1425.8"/>
    <x v="5"/>
    <n v="599.08000000000004"/>
    <s v="Returning"/>
    <s v="Card"/>
    <n v="4277.3999999999996"/>
    <n v="1881.0799999999995"/>
    <s v="Monday"/>
    <x v="0"/>
  </r>
  <r>
    <s v="NV2857"/>
    <d v="2024-03-31T00:00:00"/>
    <x v="59"/>
    <x v="3"/>
    <s v="P5"/>
    <x v="2"/>
    <n v="5"/>
    <n v="409.81"/>
    <x v="1"/>
    <n v="280.56"/>
    <s v="Returning"/>
    <s v="Card"/>
    <n v="1639.2400000000002"/>
    <n v="236.44000000000028"/>
    <s v="Sunday"/>
    <x v="1"/>
  </r>
  <r>
    <s v="NV2858"/>
    <d v="2024-05-29T00:00:00"/>
    <x v="47"/>
    <x v="2"/>
    <s v="P49"/>
    <x v="1"/>
    <n v="3"/>
    <n v="1694.98"/>
    <x v="4"/>
    <n v="747.29"/>
    <s v="New"/>
    <s v="Cash"/>
    <n v="4322.1990000000005"/>
    <n v="2080.3290000000006"/>
    <s v="Wednesday"/>
    <x v="0"/>
  </r>
  <r>
    <s v="NV2859"/>
    <d v="2024-06-18T00:00:00"/>
    <x v="21"/>
    <x v="3"/>
    <s v="P242"/>
    <x v="1"/>
    <n v="5"/>
    <n v="2619.66"/>
    <x v="4"/>
    <n v="1411.65"/>
    <s v="Returning"/>
    <s v="Cash"/>
    <n v="11133.554999999998"/>
    <n v="4075.3049999999985"/>
    <s v="Tuesday"/>
    <x v="0"/>
  </r>
  <r>
    <s v="NV2860"/>
    <d v="2025-02-19T00:00:00"/>
    <x v="11"/>
    <x v="3"/>
    <s v="P197"/>
    <x v="2"/>
    <n v="5"/>
    <n v="1649.09"/>
    <x v="4"/>
    <n v="674.09"/>
    <s v="New"/>
    <s v="Card"/>
    <n v="7008.6324999999988"/>
    <n v="3638.1824999999985"/>
    <s v="Wednesday"/>
    <x v="0"/>
  </r>
  <r>
    <s v="NV2861"/>
    <d v="2024-08-31T00:00:00"/>
    <x v="23"/>
    <x v="2"/>
    <s v="P276"/>
    <x v="2"/>
    <n v="2"/>
    <n v="1197.01"/>
    <x v="4"/>
    <n v="550.74"/>
    <s v="New"/>
    <s v="Cash"/>
    <n v="2034.9169999999999"/>
    <n v="933.4369999999999"/>
    <s v="Saturday"/>
    <x v="1"/>
  </r>
  <r>
    <s v="NV2862"/>
    <d v="2024-03-25T00:00:00"/>
    <x v="45"/>
    <x v="1"/>
    <s v="P272"/>
    <x v="0"/>
    <n v="3"/>
    <n v="2098.56"/>
    <x v="1"/>
    <n v="951.73"/>
    <s v="Returning"/>
    <s v="Digital"/>
    <n v="5036.5440000000008"/>
    <n v="2181.3540000000007"/>
    <s v="Monday"/>
    <x v="0"/>
  </r>
  <r>
    <s v="NV2863"/>
    <d v="2024-06-13T00:00:00"/>
    <x v="4"/>
    <x v="3"/>
    <s v="P146"/>
    <x v="0"/>
    <n v="3"/>
    <n v="2087.37"/>
    <x v="1"/>
    <n v="920.73"/>
    <s v="New"/>
    <s v="Cash"/>
    <n v="5009.6880000000001"/>
    <n v="2247.498"/>
    <s v="Thursday"/>
    <x v="0"/>
  </r>
  <r>
    <s v="NV2864"/>
    <d v="2024-10-31T00:00:00"/>
    <x v="12"/>
    <x v="1"/>
    <s v="P175"/>
    <x v="2"/>
    <n v="1"/>
    <n v="784.86"/>
    <x v="1"/>
    <n v="322.16000000000003"/>
    <s v="Returning"/>
    <s v="Digital"/>
    <n v="627.88800000000003"/>
    <n v="305.72800000000001"/>
    <s v="Thursday"/>
    <x v="0"/>
  </r>
  <r>
    <s v="NV2865"/>
    <d v="2025-08-06T00:00:00"/>
    <x v="1"/>
    <x v="2"/>
    <s v="P294"/>
    <x v="2"/>
    <n v="1"/>
    <n v="2067.81"/>
    <x v="1"/>
    <n v="1029.8399999999999"/>
    <s v="New"/>
    <s v="Cash"/>
    <n v="1654.248"/>
    <n v="624.40800000000013"/>
    <s v="Wednesday"/>
    <x v="0"/>
  </r>
  <r>
    <s v="NV2866"/>
    <d v="2025-09-06T00:00:00"/>
    <x v="25"/>
    <x v="2"/>
    <s v="P48"/>
    <x v="2"/>
    <n v="5"/>
    <n v="380.36"/>
    <x v="6"/>
    <n v="171.14"/>
    <s v="New"/>
    <s v="Cash"/>
    <n v="1901.8000000000002"/>
    <n v="1046.1000000000004"/>
    <s v="Saturday"/>
    <x v="1"/>
  </r>
  <r>
    <s v="NV2867"/>
    <d v="2024-08-18T00:00:00"/>
    <x v="4"/>
    <x v="1"/>
    <s v="P87"/>
    <x v="0"/>
    <n v="5"/>
    <n v="2781.63"/>
    <x v="6"/>
    <n v="1187.54"/>
    <s v="New"/>
    <s v="Digital"/>
    <n v="13908.150000000001"/>
    <n v="7970.4500000000016"/>
    <s v="Sunday"/>
    <x v="1"/>
  </r>
  <r>
    <s v="NV2868"/>
    <d v="2024-08-26T00:00:00"/>
    <x v="22"/>
    <x v="0"/>
    <s v="P241"/>
    <x v="2"/>
    <n v="1"/>
    <n v="1820.01"/>
    <x v="2"/>
    <n v="972.66"/>
    <s v="Returning"/>
    <s v="Card"/>
    <n v="1729.0094999999999"/>
    <n v="756.34949999999992"/>
    <s v="Monday"/>
    <x v="0"/>
  </r>
  <r>
    <s v="NV2869"/>
    <d v="2025-08-12T00:00:00"/>
    <x v="33"/>
    <x v="2"/>
    <s v="P218"/>
    <x v="2"/>
    <n v="1"/>
    <n v="1884.37"/>
    <x v="3"/>
    <n v="1147.78"/>
    <s v="Returning"/>
    <s v="Digital"/>
    <n v="1695.933"/>
    <n v="548.15300000000002"/>
    <s v="Tuesday"/>
    <x v="0"/>
  </r>
  <r>
    <s v="NV2870"/>
    <d v="2024-10-18T00:00:00"/>
    <x v="46"/>
    <x v="0"/>
    <s v="P63"/>
    <x v="0"/>
    <n v="4"/>
    <n v="649.19000000000005"/>
    <x v="4"/>
    <n v="264.75"/>
    <s v="Returning"/>
    <s v="Cash"/>
    <n v="2207.2460000000001"/>
    <n v="1148.2460000000001"/>
    <s v="Friday"/>
    <x v="0"/>
  </r>
  <r>
    <s v="NV2871"/>
    <d v="2025-08-11T00:00:00"/>
    <x v="33"/>
    <x v="1"/>
    <s v="P231"/>
    <x v="0"/>
    <n v="5"/>
    <n v="1188.6400000000001"/>
    <x v="6"/>
    <n v="553.94000000000005"/>
    <s v="Returning"/>
    <s v="Digital"/>
    <n v="5943.2000000000007"/>
    <n v="3173.5000000000005"/>
    <s v="Monday"/>
    <x v="0"/>
  </r>
  <r>
    <s v="NV2872"/>
    <d v="2024-07-07T00:00:00"/>
    <x v="54"/>
    <x v="3"/>
    <s v="P151"/>
    <x v="1"/>
    <n v="3"/>
    <n v="2520.34"/>
    <x v="5"/>
    <n v="1360.68"/>
    <s v="Returning"/>
    <s v="Card"/>
    <n v="5670.7650000000003"/>
    <n v="1588.7250000000004"/>
    <s v="Sunday"/>
    <x v="1"/>
  </r>
  <r>
    <s v="NV2873"/>
    <d v="2025-07-23T00:00:00"/>
    <x v="11"/>
    <x v="0"/>
    <s v="P258"/>
    <x v="0"/>
    <n v="4"/>
    <n v="2654.19"/>
    <x v="0"/>
    <n v="1291.6199999999999"/>
    <s v="Returning"/>
    <s v="Card"/>
    <n v="7431.732"/>
    <n v="2265.2520000000004"/>
    <s v="Wednesday"/>
    <x v="0"/>
  </r>
  <r>
    <s v="NV2874"/>
    <d v="2025-02-20T00:00:00"/>
    <x v="8"/>
    <x v="0"/>
    <s v="P19"/>
    <x v="2"/>
    <n v="3"/>
    <n v="461.69"/>
    <x v="1"/>
    <n v="258.61"/>
    <s v="Returning"/>
    <s v="Cash"/>
    <n v="1108.056"/>
    <n v="332.226"/>
    <s v="Thursday"/>
    <x v="0"/>
  </r>
  <r>
    <s v="NV2875"/>
    <d v="2024-11-01T00:00:00"/>
    <x v="47"/>
    <x v="1"/>
    <s v="P139"/>
    <x v="2"/>
    <n v="4"/>
    <n v="1296.54"/>
    <x v="5"/>
    <n v="602.66"/>
    <s v="New"/>
    <s v="Cash"/>
    <n v="3889.62"/>
    <n v="1478.98"/>
    <s v="Friday"/>
    <x v="0"/>
  </r>
  <r>
    <s v="NV2876"/>
    <d v="2024-08-19T00:00:00"/>
    <x v="39"/>
    <x v="3"/>
    <s v="P278"/>
    <x v="1"/>
    <n v="1"/>
    <n v="2717.67"/>
    <x v="0"/>
    <n v="1570.53"/>
    <s v="New"/>
    <s v="Digital"/>
    <n v="1902.3689999999999"/>
    <n v="331.83899999999994"/>
    <s v="Monday"/>
    <x v="0"/>
  </r>
  <r>
    <s v="NV2877"/>
    <d v="2024-07-02T00:00:00"/>
    <x v="25"/>
    <x v="2"/>
    <s v="P256"/>
    <x v="0"/>
    <n v="2"/>
    <n v="1804.67"/>
    <x v="0"/>
    <n v="1135.0899999999999"/>
    <s v="New"/>
    <s v="Cash"/>
    <n v="2526.538"/>
    <n v="256.35800000000017"/>
    <s v="Tuesday"/>
    <x v="0"/>
  </r>
  <r>
    <s v="NV2878"/>
    <d v="2024-03-06T00:00:00"/>
    <x v="7"/>
    <x v="1"/>
    <s v="P112"/>
    <x v="1"/>
    <n v="3"/>
    <n v="1760.02"/>
    <x v="3"/>
    <n v="1170.3699999999999"/>
    <s v="New"/>
    <s v="Card"/>
    <n v="4752.0540000000001"/>
    <n v="1240.9440000000004"/>
    <s v="Wednesday"/>
    <x v="0"/>
  </r>
  <r>
    <s v="NV2879"/>
    <d v="2024-03-08T00:00:00"/>
    <x v="48"/>
    <x v="2"/>
    <s v="P37"/>
    <x v="2"/>
    <n v="5"/>
    <n v="701.03"/>
    <x v="6"/>
    <n v="419.84"/>
    <s v="Returning"/>
    <s v="Card"/>
    <n v="3505.1499999999996"/>
    <n v="1405.9499999999998"/>
    <s v="Friday"/>
    <x v="0"/>
  </r>
  <r>
    <s v="NV2880"/>
    <d v="2024-11-27T00:00:00"/>
    <x v="8"/>
    <x v="0"/>
    <s v="P263"/>
    <x v="1"/>
    <n v="4"/>
    <n v="2219.17"/>
    <x v="3"/>
    <n v="1344.25"/>
    <s v="New"/>
    <s v="Digital"/>
    <n v="7989.0120000000006"/>
    <n v="2612.0120000000006"/>
    <s v="Wednesday"/>
    <x v="0"/>
  </r>
  <r>
    <s v="NV2881"/>
    <d v="2025-02-11T00:00:00"/>
    <x v="50"/>
    <x v="3"/>
    <s v="P245"/>
    <x v="1"/>
    <n v="4"/>
    <n v="1428.32"/>
    <x v="4"/>
    <n v="815.19"/>
    <s v="Returning"/>
    <s v="Cash"/>
    <n v="4856.2879999999996"/>
    <n v="1595.5279999999993"/>
    <s v="Tuesday"/>
    <x v="0"/>
  </r>
  <r>
    <s v="NV2882"/>
    <d v="2024-01-07T00:00:00"/>
    <x v="34"/>
    <x v="2"/>
    <s v="P130"/>
    <x v="1"/>
    <n v="2"/>
    <n v="1628.32"/>
    <x v="3"/>
    <n v="1067.75"/>
    <s v="New"/>
    <s v="Cash"/>
    <n v="2930.9760000000001"/>
    <n v="795.47600000000011"/>
    <s v="Sunday"/>
    <x v="1"/>
  </r>
  <r>
    <s v="NV2883"/>
    <d v="2025-06-11T00:00:00"/>
    <x v="54"/>
    <x v="2"/>
    <s v="P172"/>
    <x v="0"/>
    <n v="1"/>
    <n v="2120.7399999999998"/>
    <x v="5"/>
    <n v="1243.73"/>
    <s v="New"/>
    <s v="Digital"/>
    <n v="1590.5549999999998"/>
    <n v="346.82499999999982"/>
    <s v="Wednesday"/>
    <x v="0"/>
  </r>
  <r>
    <s v="NV2884"/>
    <d v="2025-10-22T00:00:00"/>
    <x v="28"/>
    <x v="2"/>
    <s v="P24"/>
    <x v="2"/>
    <n v="1"/>
    <n v="843.97"/>
    <x v="5"/>
    <n v="562.29999999999995"/>
    <s v="New"/>
    <s v="Cash"/>
    <n v="632.97749999999996"/>
    <n v="70.677500000000009"/>
    <s v="Wednesday"/>
    <x v="0"/>
  </r>
  <r>
    <s v="NV2885"/>
    <d v="2024-02-05T00:00:00"/>
    <x v="56"/>
    <x v="0"/>
    <s v="P82"/>
    <x v="0"/>
    <n v="1"/>
    <n v="1457.41"/>
    <x v="1"/>
    <n v="821.11"/>
    <s v="Returning"/>
    <s v="Digital"/>
    <n v="1165.9280000000001"/>
    <n v="344.8180000000001"/>
    <s v="Monday"/>
    <x v="0"/>
  </r>
  <r>
    <s v="NV2886"/>
    <d v="2024-03-17T00:00:00"/>
    <x v="50"/>
    <x v="0"/>
    <s v="P145"/>
    <x v="1"/>
    <n v="2"/>
    <n v="2110.6999999999998"/>
    <x v="3"/>
    <n v="1032.93"/>
    <s v="New"/>
    <s v="Digital"/>
    <n v="3799.2599999999998"/>
    <n v="1733.3999999999996"/>
    <s v="Sunday"/>
    <x v="1"/>
  </r>
  <r>
    <s v="NV2887"/>
    <d v="2025-09-15T00:00:00"/>
    <x v="27"/>
    <x v="2"/>
    <s v="P114"/>
    <x v="0"/>
    <n v="2"/>
    <n v="1062.74"/>
    <x v="4"/>
    <n v="656.23"/>
    <s v="New"/>
    <s v="Cash"/>
    <n v="1806.6579999999999"/>
    <n v="494.19799999999987"/>
    <s v="Monday"/>
    <x v="0"/>
  </r>
  <r>
    <s v="NV2888"/>
    <d v="2024-04-27T00:00:00"/>
    <x v="58"/>
    <x v="2"/>
    <s v="P53"/>
    <x v="1"/>
    <n v="1"/>
    <n v="1842.54"/>
    <x v="4"/>
    <n v="845.58"/>
    <s v="Returning"/>
    <s v="Card"/>
    <n v="1566.1589999999999"/>
    <n v="720.57899999999984"/>
    <s v="Saturday"/>
    <x v="1"/>
  </r>
  <r>
    <s v="NV2889"/>
    <d v="2024-03-02T00:00:00"/>
    <x v="48"/>
    <x v="0"/>
    <s v="P241"/>
    <x v="2"/>
    <n v="5"/>
    <n v="1022.79"/>
    <x v="1"/>
    <n v="647.23"/>
    <s v="Returning"/>
    <s v="Digital"/>
    <n v="4091.16"/>
    <n v="855.00999999999976"/>
    <s v="Saturday"/>
    <x v="1"/>
  </r>
  <r>
    <s v="NV2890"/>
    <d v="2025-07-09T00:00:00"/>
    <x v="24"/>
    <x v="1"/>
    <s v="P49"/>
    <x v="1"/>
    <n v="4"/>
    <n v="1134.32"/>
    <x v="1"/>
    <n v="711.89"/>
    <s v="Returning"/>
    <s v="Cash"/>
    <n v="3629.8240000000001"/>
    <n v="782.26400000000012"/>
    <s v="Wednesday"/>
    <x v="0"/>
  </r>
  <r>
    <s v="NV2891"/>
    <d v="2024-09-09T00:00:00"/>
    <x v="44"/>
    <x v="1"/>
    <s v="P108"/>
    <x v="0"/>
    <n v="4"/>
    <n v="606.08000000000004"/>
    <x v="6"/>
    <n v="258.32"/>
    <s v="Returning"/>
    <s v="Digital"/>
    <n v="2424.3200000000002"/>
    <n v="1391.0400000000002"/>
    <s v="Monday"/>
    <x v="0"/>
  </r>
  <r>
    <s v="NV2892"/>
    <d v="2025-06-25T00:00:00"/>
    <x v="21"/>
    <x v="1"/>
    <s v="P49"/>
    <x v="0"/>
    <n v="2"/>
    <n v="1887.2"/>
    <x v="1"/>
    <n v="899.94"/>
    <s v="New"/>
    <s v="Cash"/>
    <n v="3019.5200000000004"/>
    <n v="1219.6400000000003"/>
    <s v="Wednesday"/>
    <x v="0"/>
  </r>
  <r>
    <s v="NV2893"/>
    <d v="2025-04-24T00:00:00"/>
    <x v="8"/>
    <x v="1"/>
    <s v="P135"/>
    <x v="2"/>
    <n v="3"/>
    <n v="1115.3499999999999"/>
    <x v="1"/>
    <n v="510.76"/>
    <s v="New"/>
    <s v="Cash"/>
    <n v="2676.84"/>
    <n v="1144.5600000000002"/>
    <s v="Thursday"/>
    <x v="0"/>
  </r>
  <r>
    <s v="NV2894"/>
    <d v="2024-12-07T00:00:00"/>
    <x v="34"/>
    <x v="2"/>
    <s v="P76"/>
    <x v="2"/>
    <n v="2"/>
    <n v="2229.11"/>
    <x v="5"/>
    <n v="1002.58"/>
    <s v="Returning"/>
    <s v="Card"/>
    <n v="3343.665"/>
    <n v="1338.5049999999999"/>
    <s v="Saturday"/>
    <x v="1"/>
  </r>
  <r>
    <s v="NV2895"/>
    <d v="2025-09-26T00:00:00"/>
    <x v="36"/>
    <x v="3"/>
    <s v="P66"/>
    <x v="0"/>
    <n v="2"/>
    <n v="955.94"/>
    <x v="4"/>
    <n v="478.71"/>
    <s v="Returning"/>
    <s v="Cash"/>
    <n v="1625.098"/>
    <n v="667.678"/>
    <s v="Friday"/>
    <x v="0"/>
  </r>
  <r>
    <s v="NV2896"/>
    <d v="2025-11-14T00:00:00"/>
    <x v="22"/>
    <x v="3"/>
    <s v="P78"/>
    <x v="1"/>
    <n v="3"/>
    <n v="2587.0300000000002"/>
    <x v="0"/>
    <n v="1155.58"/>
    <s v="Returning"/>
    <s v="Digital"/>
    <n v="5432.7629999999999"/>
    <n v="1966.0230000000001"/>
    <s v="Friday"/>
    <x v="0"/>
  </r>
  <r>
    <s v="NV2897"/>
    <d v="2024-01-23T00:00:00"/>
    <x v="2"/>
    <x v="1"/>
    <s v="P271"/>
    <x v="1"/>
    <n v="2"/>
    <n v="359.06"/>
    <x v="6"/>
    <n v="162.07"/>
    <s v="New"/>
    <s v="Digital"/>
    <n v="718.12"/>
    <n v="393.98"/>
    <s v="Tuesday"/>
    <x v="0"/>
  </r>
  <r>
    <s v="NV2898"/>
    <d v="2024-12-11T00:00:00"/>
    <x v="42"/>
    <x v="0"/>
    <s v="P273"/>
    <x v="2"/>
    <n v="5"/>
    <n v="2711.53"/>
    <x v="6"/>
    <n v="1878.27"/>
    <s v="New"/>
    <s v="Digital"/>
    <n v="13557.650000000001"/>
    <n v="4166.3000000000011"/>
    <s v="Wednesday"/>
    <x v="0"/>
  </r>
  <r>
    <s v="NV2899"/>
    <d v="2025-07-01T00:00:00"/>
    <x v="38"/>
    <x v="0"/>
    <s v="P10"/>
    <x v="1"/>
    <n v="2"/>
    <n v="2468.9699999999998"/>
    <x v="6"/>
    <n v="1320.73"/>
    <s v="Returning"/>
    <s v="Card"/>
    <n v="4937.9399999999996"/>
    <n v="2296.4799999999996"/>
    <s v="Tuesday"/>
    <x v="0"/>
  </r>
  <r>
    <s v="NV2900"/>
    <d v="2025-03-07T00:00:00"/>
    <x v="48"/>
    <x v="3"/>
    <s v="P291"/>
    <x v="1"/>
    <n v="5"/>
    <n v="659.55"/>
    <x v="2"/>
    <n v="310.31"/>
    <s v="Returning"/>
    <s v="Card"/>
    <n v="3132.8624999999997"/>
    <n v="1581.3124999999998"/>
    <s v="Friday"/>
    <x v="0"/>
  </r>
  <r>
    <s v="NV2901"/>
    <d v="2025-10-29T00:00:00"/>
    <x v="33"/>
    <x v="2"/>
    <s v="P177"/>
    <x v="2"/>
    <n v="5"/>
    <n v="1635.94"/>
    <x v="1"/>
    <n v="749.86"/>
    <s v="New"/>
    <s v="Digital"/>
    <n v="6543.7600000000011"/>
    <n v="2794.4600000000009"/>
    <s v="Wednesday"/>
    <x v="0"/>
  </r>
  <r>
    <s v="NV2902"/>
    <d v="2024-05-30T00:00:00"/>
    <x v="30"/>
    <x v="1"/>
    <s v="P130"/>
    <x v="2"/>
    <n v="1"/>
    <n v="2422.86"/>
    <x v="3"/>
    <n v="1259.6600000000001"/>
    <s v="Returning"/>
    <s v="Digital"/>
    <n v="2180.5740000000001"/>
    <n v="920.91399999999999"/>
    <s v="Thursday"/>
    <x v="0"/>
  </r>
  <r>
    <s v="NV2903"/>
    <d v="2024-04-17T00:00:00"/>
    <x v="4"/>
    <x v="1"/>
    <s v="P270"/>
    <x v="2"/>
    <n v="3"/>
    <n v="2100.0500000000002"/>
    <x v="4"/>
    <n v="899.28"/>
    <s v="Returning"/>
    <s v="Cash"/>
    <n v="5355.1275000000005"/>
    <n v="2657.2875000000004"/>
    <s v="Wednesday"/>
    <x v="0"/>
  </r>
  <r>
    <s v="NV2904"/>
    <d v="2025-05-31T00:00:00"/>
    <x v="52"/>
    <x v="0"/>
    <s v="P151"/>
    <x v="1"/>
    <n v="5"/>
    <n v="2476.85"/>
    <x v="5"/>
    <n v="1023.79"/>
    <s v="Returning"/>
    <s v="Digital"/>
    <n v="9288.1875"/>
    <n v="4169.2375000000002"/>
    <s v="Saturday"/>
    <x v="1"/>
  </r>
  <r>
    <s v="NV2905"/>
    <d v="2024-09-01T00:00:00"/>
    <x v="23"/>
    <x v="3"/>
    <s v="P220"/>
    <x v="0"/>
    <n v="5"/>
    <n v="949.12"/>
    <x v="4"/>
    <n v="582.51"/>
    <s v="Returning"/>
    <s v="Cash"/>
    <n v="4033.76"/>
    <n v="1121.21"/>
    <s v="Sunday"/>
    <x v="1"/>
  </r>
  <r>
    <s v="NV2906"/>
    <d v="2025-05-01T00:00:00"/>
    <x v="13"/>
    <x v="1"/>
    <s v="P71"/>
    <x v="0"/>
    <n v="3"/>
    <n v="1104.58"/>
    <x v="1"/>
    <n v="701.78"/>
    <s v="Returning"/>
    <s v="Cash"/>
    <n v="2650.9920000000002"/>
    <n v="545.65200000000004"/>
    <s v="Thursday"/>
    <x v="0"/>
  </r>
  <r>
    <s v="NV2907"/>
    <d v="2025-02-16T00:00:00"/>
    <x v="57"/>
    <x v="2"/>
    <s v="P211"/>
    <x v="1"/>
    <n v="1"/>
    <n v="2289.71"/>
    <x v="1"/>
    <n v="1517.45"/>
    <s v="New"/>
    <s v="Card"/>
    <n v="1831.768"/>
    <n v="314.31799999999998"/>
    <s v="Sunday"/>
    <x v="1"/>
  </r>
  <r>
    <s v="NV2908"/>
    <d v="2024-04-19T00:00:00"/>
    <x v="35"/>
    <x v="3"/>
    <s v="P128"/>
    <x v="1"/>
    <n v="5"/>
    <n v="1459.26"/>
    <x v="3"/>
    <n v="971.74"/>
    <s v="New"/>
    <s v="Cash"/>
    <n v="6566.67"/>
    <n v="1707.9700000000003"/>
    <s v="Friday"/>
    <x v="0"/>
  </r>
  <r>
    <s v="NV2909"/>
    <d v="2025-03-23T00:00:00"/>
    <x v="22"/>
    <x v="3"/>
    <s v="P104"/>
    <x v="2"/>
    <n v="1"/>
    <n v="2266.67"/>
    <x v="6"/>
    <n v="925.49"/>
    <s v="New"/>
    <s v="Digital"/>
    <n v="2266.67"/>
    <n v="1341.18"/>
    <s v="Sunday"/>
    <x v="1"/>
  </r>
  <r>
    <s v="NV2910"/>
    <d v="2025-04-14T00:00:00"/>
    <x v="21"/>
    <x v="0"/>
    <s v="P82"/>
    <x v="1"/>
    <n v="1"/>
    <n v="1794.2"/>
    <x v="0"/>
    <n v="1071.18"/>
    <s v="Returning"/>
    <s v="Card"/>
    <n v="1255.94"/>
    <n v="184.76"/>
    <s v="Monday"/>
    <x v="0"/>
  </r>
  <r>
    <s v="NV2911"/>
    <d v="2025-05-07T00:00:00"/>
    <x v="25"/>
    <x v="1"/>
    <s v="P189"/>
    <x v="1"/>
    <n v="4"/>
    <n v="1471.27"/>
    <x v="0"/>
    <n v="757.9"/>
    <s v="Returning"/>
    <s v="Digital"/>
    <n v="4119.5559999999996"/>
    <n v="1087.9559999999997"/>
    <s v="Wednesday"/>
    <x v="0"/>
  </r>
  <r>
    <s v="NV2912"/>
    <d v="2025-02-10T00:00:00"/>
    <x v="14"/>
    <x v="3"/>
    <s v="P113"/>
    <x v="2"/>
    <n v="2"/>
    <n v="2359.04"/>
    <x v="0"/>
    <n v="1491.36"/>
    <s v="New"/>
    <s v="Card"/>
    <n v="3302.6559999999999"/>
    <n v="319.93600000000015"/>
    <s v="Monday"/>
    <x v="0"/>
  </r>
  <r>
    <s v="NV2913"/>
    <d v="2025-07-01T00:00:00"/>
    <x v="22"/>
    <x v="0"/>
    <s v="P152"/>
    <x v="0"/>
    <n v="4"/>
    <n v="962.57"/>
    <x v="1"/>
    <n v="432.21"/>
    <s v="New"/>
    <s v="Cash"/>
    <n v="3080.2240000000002"/>
    <n v="1351.3840000000002"/>
    <s v="Tuesday"/>
    <x v="0"/>
  </r>
  <r>
    <s v="NV2914"/>
    <d v="2025-06-02T00:00:00"/>
    <x v="26"/>
    <x v="0"/>
    <s v="P33"/>
    <x v="1"/>
    <n v="3"/>
    <n v="1798.89"/>
    <x v="5"/>
    <n v="1110.56"/>
    <s v="New"/>
    <s v="Digital"/>
    <n v="4047.5025000000001"/>
    <n v="715.82250000000022"/>
    <s v="Monday"/>
    <x v="0"/>
  </r>
  <r>
    <s v="NV2915"/>
    <d v="2025-02-27T00:00:00"/>
    <x v="42"/>
    <x v="2"/>
    <s v="P272"/>
    <x v="1"/>
    <n v="1"/>
    <n v="2601.16"/>
    <x v="2"/>
    <n v="1683.45"/>
    <s v="Returning"/>
    <s v="Digital"/>
    <n v="2471.1019999999999"/>
    <n v="787.65199999999982"/>
    <s v="Thursday"/>
    <x v="0"/>
  </r>
  <r>
    <s v="NV2916"/>
    <d v="2024-06-20T00:00:00"/>
    <x v="25"/>
    <x v="3"/>
    <s v="P14"/>
    <x v="0"/>
    <n v="1"/>
    <n v="1602.93"/>
    <x v="2"/>
    <n v="981.98"/>
    <s v="Returning"/>
    <s v="Cash"/>
    <n v="1522.7835"/>
    <n v="540.80349999999999"/>
    <s v="Thursday"/>
    <x v="0"/>
  </r>
  <r>
    <s v="NV2917"/>
    <d v="2024-08-20T00:00:00"/>
    <x v="25"/>
    <x v="0"/>
    <s v="P85"/>
    <x v="0"/>
    <n v="3"/>
    <n v="2527.88"/>
    <x v="3"/>
    <n v="1477.18"/>
    <s v="New"/>
    <s v="Cash"/>
    <n v="6825.2760000000007"/>
    <n v="2393.7360000000008"/>
    <s v="Tuesday"/>
    <x v="0"/>
  </r>
  <r>
    <s v="NV2918"/>
    <d v="2024-01-31T00:00:00"/>
    <x v="6"/>
    <x v="1"/>
    <s v="P190"/>
    <x v="1"/>
    <n v="5"/>
    <n v="599.1"/>
    <x v="4"/>
    <n v="265.17"/>
    <s v="Returning"/>
    <s v="Card"/>
    <n v="2546.1749999999997"/>
    <n v="1220.3249999999996"/>
    <s v="Wednesday"/>
    <x v="0"/>
  </r>
  <r>
    <s v="NV2919"/>
    <d v="2025-07-22T00:00:00"/>
    <x v="17"/>
    <x v="3"/>
    <s v="P42"/>
    <x v="2"/>
    <n v="2"/>
    <n v="949.28"/>
    <x v="5"/>
    <n v="593.66"/>
    <s v="New"/>
    <s v="Cash"/>
    <n v="1423.92"/>
    <n v="236.60000000000014"/>
    <s v="Tuesday"/>
    <x v="0"/>
  </r>
  <r>
    <s v="NV2920"/>
    <d v="2024-03-07T00:00:00"/>
    <x v="15"/>
    <x v="3"/>
    <s v="P28"/>
    <x v="0"/>
    <n v="3"/>
    <n v="2505.36"/>
    <x v="1"/>
    <n v="1143.0899999999999"/>
    <s v="New"/>
    <s v="Card"/>
    <n v="6012.8640000000005"/>
    <n v="2583.594000000001"/>
    <s v="Thursday"/>
    <x v="0"/>
  </r>
  <r>
    <s v="NV2921"/>
    <d v="2025-10-22T00:00:00"/>
    <x v="16"/>
    <x v="0"/>
    <s v="P39"/>
    <x v="1"/>
    <n v="1"/>
    <n v="895.99"/>
    <x v="5"/>
    <n v="454.25"/>
    <s v="New"/>
    <s v="Cash"/>
    <n v="671.99250000000006"/>
    <n v="217.74250000000006"/>
    <s v="Wednesday"/>
    <x v="0"/>
  </r>
  <r>
    <s v="NV2922"/>
    <d v="2025-09-27T00:00:00"/>
    <x v="13"/>
    <x v="2"/>
    <s v="P109"/>
    <x v="0"/>
    <n v="5"/>
    <n v="2306.77"/>
    <x v="6"/>
    <n v="1164.17"/>
    <s v="New"/>
    <s v="Card"/>
    <n v="11533.85"/>
    <n v="5713"/>
    <s v="Saturday"/>
    <x v="1"/>
  </r>
  <r>
    <s v="NV2923"/>
    <d v="2025-05-18T00:00:00"/>
    <x v="22"/>
    <x v="1"/>
    <s v="P175"/>
    <x v="2"/>
    <n v="4"/>
    <n v="2576.98"/>
    <x v="3"/>
    <n v="1108.8800000000001"/>
    <s v="New"/>
    <s v="Cash"/>
    <n v="9277.1280000000006"/>
    <n v="4841.6080000000002"/>
    <s v="Sunday"/>
    <x v="1"/>
  </r>
  <r>
    <s v="NV2924"/>
    <d v="2024-07-04T00:00:00"/>
    <x v="48"/>
    <x v="2"/>
    <s v="P277"/>
    <x v="1"/>
    <n v="4"/>
    <n v="1542.64"/>
    <x v="1"/>
    <n v="951.36"/>
    <s v="New"/>
    <s v="Cash"/>
    <n v="4936.4480000000003"/>
    <n v="1131.0080000000003"/>
    <s v="Thursday"/>
    <x v="0"/>
  </r>
  <r>
    <s v="NV2925"/>
    <d v="2024-06-28T00:00:00"/>
    <x v="25"/>
    <x v="2"/>
    <s v="P87"/>
    <x v="2"/>
    <n v="5"/>
    <n v="752.29"/>
    <x v="2"/>
    <n v="489.7"/>
    <s v="Returning"/>
    <s v="Digital"/>
    <n v="3573.3774999999996"/>
    <n v="1124.8774999999996"/>
    <s v="Friday"/>
    <x v="0"/>
  </r>
  <r>
    <s v="NV2926"/>
    <d v="2024-01-23T00:00:00"/>
    <x v="4"/>
    <x v="0"/>
    <s v="P47"/>
    <x v="2"/>
    <n v="1"/>
    <n v="1566.51"/>
    <x v="3"/>
    <n v="1018.59"/>
    <s v="New"/>
    <s v="Cash"/>
    <n v="1409.8589999999999"/>
    <n v="391.26899999999989"/>
    <s v="Tuesday"/>
    <x v="0"/>
  </r>
  <r>
    <s v="NV2927"/>
    <d v="2024-08-19T00:00:00"/>
    <x v="35"/>
    <x v="0"/>
    <s v="P165"/>
    <x v="2"/>
    <n v="2"/>
    <n v="2535.2399999999998"/>
    <x v="6"/>
    <n v="1451.5"/>
    <s v="New"/>
    <s v="Digital"/>
    <n v="5070.4799999999996"/>
    <n v="2167.4799999999996"/>
    <s v="Monday"/>
    <x v="0"/>
  </r>
  <r>
    <s v="NV2928"/>
    <d v="2025-06-03T00:00:00"/>
    <x v="46"/>
    <x v="0"/>
    <s v="P175"/>
    <x v="1"/>
    <n v="1"/>
    <n v="1117.8499999999999"/>
    <x v="2"/>
    <n v="748.12"/>
    <s v="New"/>
    <s v="Card"/>
    <n v="1061.9574999999998"/>
    <n v="313.83749999999975"/>
    <s v="Tuesday"/>
    <x v="0"/>
  </r>
  <r>
    <s v="NV2929"/>
    <d v="2024-08-12T00:00:00"/>
    <x v="59"/>
    <x v="0"/>
    <s v="P79"/>
    <x v="2"/>
    <n v="4"/>
    <n v="1951.86"/>
    <x v="1"/>
    <n v="971.51"/>
    <s v="New"/>
    <s v="Card"/>
    <n v="6245.9520000000002"/>
    <n v="2359.9120000000003"/>
    <s v="Monday"/>
    <x v="0"/>
  </r>
  <r>
    <s v="NV2930"/>
    <d v="2025-01-28T00:00:00"/>
    <x v="23"/>
    <x v="0"/>
    <s v="P209"/>
    <x v="2"/>
    <n v="2"/>
    <n v="1003.3"/>
    <x v="3"/>
    <n v="666.57"/>
    <s v="New"/>
    <s v="Digital"/>
    <n v="1805.94"/>
    <n v="472.79999999999995"/>
    <s v="Tuesday"/>
    <x v="0"/>
  </r>
  <r>
    <s v="NV2931"/>
    <d v="2024-04-30T00:00:00"/>
    <x v="9"/>
    <x v="0"/>
    <s v="P204"/>
    <x v="1"/>
    <n v="2"/>
    <n v="2621.78"/>
    <x v="3"/>
    <n v="1814.62"/>
    <s v="New"/>
    <s v="Card"/>
    <n v="4719.2040000000006"/>
    <n v="1089.9640000000009"/>
    <s v="Tuesday"/>
    <x v="0"/>
  </r>
  <r>
    <s v="NV2932"/>
    <d v="2025-03-07T00:00:00"/>
    <x v="28"/>
    <x v="3"/>
    <s v="P242"/>
    <x v="0"/>
    <n v="3"/>
    <n v="2876.58"/>
    <x v="1"/>
    <n v="1702.81"/>
    <s v="New"/>
    <s v="Card"/>
    <n v="6903.7920000000004"/>
    <n v="1795.3620000000001"/>
    <s v="Friday"/>
    <x v="0"/>
  </r>
  <r>
    <s v="NV2933"/>
    <d v="2025-01-24T00:00:00"/>
    <x v="4"/>
    <x v="1"/>
    <s v="P147"/>
    <x v="2"/>
    <n v="5"/>
    <n v="306.45"/>
    <x v="2"/>
    <n v="170.86"/>
    <s v="Returning"/>
    <s v="Cash"/>
    <n v="1455.6375"/>
    <n v="601.33749999999998"/>
    <s v="Friday"/>
    <x v="0"/>
  </r>
  <r>
    <s v="NV2934"/>
    <d v="2025-11-28T00:00:00"/>
    <x v="42"/>
    <x v="0"/>
    <s v="P132"/>
    <x v="0"/>
    <n v="5"/>
    <n v="316.86"/>
    <x v="3"/>
    <n v="175.59"/>
    <s v="Returning"/>
    <s v="Digital"/>
    <n v="1425.8700000000001"/>
    <n v="547.92000000000007"/>
    <s v="Friday"/>
    <x v="0"/>
  </r>
  <r>
    <s v="NV2935"/>
    <d v="2024-12-11T00:00:00"/>
    <x v="41"/>
    <x v="3"/>
    <s v="P230"/>
    <x v="0"/>
    <n v="2"/>
    <n v="2241.8000000000002"/>
    <x v="1"/>
    <n v="1279.8900000000001"/>
    <s v="New"/>
    <s v="Digital"/>
    <n v="3586.8800000000006"/>
    <n v="1027.1000000000004"/>
    <s v="Wednesday"/>
    <x v="0"/>
  </r>
  <r>
    <s v="NV2936"/>
    <d v="2024-01-30T00:00:00"/>
    <x v="24"/>
    <x v="1"/>
    <s v="P300"/>
    <x v="0"/>
    <n v="3"/>
    <n v="398.89"/>
    <x v="2"/>
    <n v="162.68"/>
    <s v="Returning"/>
    <s v="Card"/>
    <n v="1136.8365000000001"/>
    <n v="648.79650000000015"/>
    <s v="Tuesday"/>
    <x v="0"/>
  </r>
  <r>
    <s v="NV2937"/>
    <d v="2024-03-08T00:00:00"/>
    <x v="53"/>
    <x v="3"/>
    <s v="P117"/>
    <x v="1"/>
    <n v="4"/>
    <n v="2968.19"/>
    <x v="2"/>
    <n v="1219.1400000000001"/>
    <s v="Returning"/>
    <s v="Cash"/>
    <n v="11279.121999999999"/>
    <n v="6402.561999999999"/>
    <s v="Friday"/>
    <x v="0"/>
  </r>
  <r>
    <s v="NV2938"/>
    <d v="2024-06-02T00:00:00"/>
    <x v="29"/>
    <x v="2"/>
    <s v="P239"/>
    <x v="1"/>
    <n v="3"/>
    <n v="1830.46"/>
    <x v="3"/>
    <n v="773.75"/>
    <s v="New"/>
    <s v="Cash"/>
    <n v="4942.2420000000002"/>
    <n v="2620.9920000000002"/>
    <s v="Sunday"/>
    <x v="1"/>
  </r>
  <r>
    <s v="NV2939"/>
    <d v="2024-12-11T00:00:00"/>
    <x v="16"/>
    <x v="0"/>
    <s v="P275"/>
    <x v="1"/>
    <n v="5"/>
    <n v="1424.04"/>
    <x v="5"/>
    <n v="780.9"/>
    <s v="New"/>
    <s v="Card"/>
    <n v="5340.15"/>
    <n v="1435.6499999999996"/>
    <s v="Wednesday"/>
    <x v="0"/>
  </r>
  <r>
    <s v="NV2940"/>
    <d v="2025-06-20T00:00:00"/>
    <x v="52"/>
    <x v="2"/>
    <s v="P38"/>
    <x v="1"/>
    <n v="4"/>
    <n v="1223.79"/>
    <x v="2"/>
    <n v="538.54999999999995"/>
    <s v="Returning"/>
    <s v="Digital"/>
    <n v="4650.402"/>
    <n v="2496.2020000000002"/>
    <s v="Friday"/>
    <x v="0"/>
  </r>
  <r>
    <s v="NV2941"/>
    <d v="2025-05-23T00:00:00"/>
    <x v="37"/>
    <x v="1"/>
    <s v="P100"/>
    <x v="2"/>
    <n v="1"/>
    <n v="2613.06"/>
    <x v="4"/>
    <n v="1576.89"/>
    <s v="Returning"/>
    <s v="Digital"/>
    <n v="2221.1010000000001"/>
    <n v="644.21100000000001"/>
    <s v="Friday"/>
    <x v="0"/>
  </r>
  <r>
    <s v="NV2942"/>
    <d v="2025-08-30T00:00:00"/>
    <x v="52"/>
    <x v="2"/>
    <s v="P72"/>
    <x v="1"/>
    <n v="5"/>
    <n v="391.06"/>
    <x v="5"/>
    <n v="256.56"/>
    <s v="Returning"/>
    <s v="Digital"/>
    <n v="1466.4749999999999"/>
    <n v="183.67499999999995"/>
    <s v="Saturday"/>
    <x v="1"/>
  </r>
  <r>
    <s v="NV2943"/>
    <d v="2025-04-14T00:00:00"/>
    <x v="5"/>
    <x v="1"/>
    <s v="P102"/>
    <x v="2"/>
    <n v="4"/>
    <n v="1498.49"/>
    <x v="3"/>
    <n v="830.53"/>
    <s v="New"/>
    <s v="Cash"/>
    <n v="5394.5640000000003"/>
    <n v="2072.4440000000004"/>
    <s v="Monday"/>
    <x v="0"/>
  </r>
  <r>
    <s v="NV2944"/>
    <d v="2024-11-30T00:00:00"/>
    <x v="32"/>
    <x v="1"/>
    <s v="P297"/>
    <x v="1"/>
    <n v="1"/>
    <n v="839.06"/>
    <x v="6"/>
    <n v="435.94"/>
    <s v="Returning"/>
    <s v="Card"/>
    <n v="839.06"/>
    <n v="403.11999999999995"/>
    <s v="Saturday"/>
    <x v="1"/>
  </r>
  <r>
    <s v="NV2945"/>
    <d v="2025-11-08T00:00:00"/>
    <x v="22"/>
    <x v="3"/>
    <s v="P155"/>
    <x v="2"/>
    <n v="1"/>
    <n v="1645.11"/>
    <x v="1"/>
    <n v="932.04"/>
    <s v="Returning"/>
    <s v="Digital"/>
    <n v="1316.088"/>
    <n v="384.048"/>
    <s v="Saturday"/>
    <x v="1"/>
  </r>
  <r>
    <s v="NV2946"/>
    <d v="2024-01-21T00:00:00"/>
    <x v="53"/>
    <x v="1"/>
    <s v="P202"/>
    <x v="2"/>
    <n v="4"/>
    <n v="1933.27"/>
    <x v="3"/>
    <n v="1147"/>
    <s v="Returning"/>
    <s v="Card"/>
    <n v="6959.7719999999999"/>
    <n v="2371.7719999999999"/>
    <s v="Sunday"/>
    <x v="1"/>
  </r>
  <r>
    <s v="NV2947"/>
    <d v="2025-01-14T00:00:00"/>
    <x v="38"/>
    <x v="3"/>
    <s v="P194"/>
    <x v="2"/>
    <n v="3"/>
    <n v="1767.69"/>
    <x v="6"/>
    <n v="1090.54"/>
    <s v="New"/>
    <s v="Cash"/>
    <n v="5303.07"/>
    <n v="2031.4499999999998"/>
    <s v="Tuesday"/>
    <x v="0"/>
  </r>
  <r>
    <s v="NV2948"/>
    <d v="2024-08-04T00:00:00"/>
    <x v="57"/>
    <x v="0"/>
    <s v="P97"/>
    <x v="2"/>
    <n v="2"/>
    <n v="2350.77"/>
    <x v="0"/>
    <n v="1096.5"/>
    <s v="New"/>
    <s v="Cash"/>
    <n v="3291.078"/>
    <n v="1098.078"/>
    <s v="Sunday"/>
    <x v="1"/>
  </r>
  <r>
    <s v="NV2949"/>
    <d v="2025-10-01T00:00:00"/>
    <x v="6"/>
    <x v="3"/>
    <s v="P150"/>
    <x v="2"/>
    <n v="5"/>
    <n v="679.71"/>
    <x v="2"/>
    <n v="403.58"/>
    <s v="New"/>
    <s v="Digital"/>
    <n v="3228.6224999999999"/>
    <n v="1210.7225000000001"/>
    <s v="Wednesday"/>
    <x v="0"/>
  </r>
  <r>
    <s v="NV2950"/>
    <d v="2025-02-06T00:00:00"/>
    <x v="8"/>
    <x v="3"/>
    <s v="P296"/>
    <x v="0"/>
    <n v="2"/>
    <n v="2459.31"/>
    <x v="2"/>
    <n v="1678.32"/>
    <s v="Returning"/>
    <s v="Cash"/>
    <n v="4672.6889999999994"/>
    <n v="1316.0489999999995"/>
    <s v="Thursday"/>
    <x v="0"/>
  </r>
  <r>
    <s v="NV2951"/>
    <d v="2025-07-07T00:00:00"/>
    <x v="31"/>
    <x v="0"/>
    <s v="P232"/>
    <x v="2"/>
    <n v="5"/>
    <n v="628.35"/>
    <x v="2"/>
    <n v="350.4"/>
    <s v="New"/>
    <s v="Cash"/>
    <n v="2984.6624999999999"/>
    <n v="1232.6624999999999"/>
    <s v="Monday"/>
    <x v="0"/>
  </r>
  <r>
    <s v="NV2952"/>
    <d v="2025-08-12T00:00:00"/>
    <x v="7"/>
    <x v="2"/>
    <s v="P298"/>
    <x v="2"/>
    <n v="1"/>
    <n v="1628.78"/>
    <x v="0"/>
    <n v="652.52"/>
    <s v="New"/>
    <s v="Digital"/>
    <n v="1140.146"/>
    <n v="487.62599999999998"/>
    <s v="Tuesday"/>
    <x v="0"/>
  </r>
  <r>
    <s v="NV2953"/>
    <d v="2024-08-27T00:00:00"/>
    <x v="9"/>
    <x v="0"/>
    <s v="P120"/>
    <x v="2"/>
    <n v="1"/>
    <n v="2099.5"/>
    <x v="3"/>
    <n v="933.27"/>
    <s v="New"/>
    <s v="Card"/>
    <n v="1889.55"/>
    <n v="956.28"/>
    <s v="Tuesday"/>
    <x v="0"/>
  </r>
  <r>
    <s v="NV2954"/>
    <d v="2024-03-27T00:00:00"/>
    <x v="53"/>
    <x v="3"/>
    <s v="P123"/>
    <x v="1"/>
    <n v="5"/>
    <n v="1978.71"/>
    <x v="4"/>
    <n v="1191.02"/>
    <s v="Returning"/>
    <s v="Card"/>
    <n v="8409.5174999999999"/>
    <n v="2454.4174999999996"/>
    <s v="Wednesday"/>
    <x v="0"/>
  </r>
  <r>
    <s v="NV2955"/>
    <d v="2025-08-15T00:00:00"/>
    <x v="52"/>
    <x v="2"/>
    <s v="P232"/>
    <x v="0"/>
    <n v="1"/>
    <n v="1750.04"/>
    <x v="5"/>
    <n v="1102.6300000000001"/>
    <s v="Returning"/>
    <s v="Card"/>
    <n v="1312.53"/>
    <n v="209.89999999999986"/>
    <s v="Friday"/>
    <x v="0"/>
  </r>
  <r>
    <s v="NV2956"/>
    <d v="2024-06-14T00:00:00"/>
    <x v="5"/>
    <x v="2"/>
    <s v="P104"/>
    <x v="2"/>
    <n v="3"/>
    <n v="1061.5"/>
    <x v="4"/>
    <n v="583.84"/>
    <s v="Returning"/>
    <s v="Digital"/>
    <n v="2706.8249999999998"/>
    <n v="955.30499999999984"/>
    <s v="Friday"/>
    <x v="0"/>
  </r>
  <r>
    <s v="NV2957"/>
    <d v="2025-10-20T00:00:00"/>
    <x v="45"/>
    <x v="1"/>
    <s v="P81"/>
    <x v="0"/>
    <n v="4"/>
    <n v="371.84"/>
    <x v="3"/>
    <n v="224.76"/>
    <s v="Returning"/>
    <s v="Card"/>
    <n v="1338.624"/>
    <n v="439.58400000000006"/>
    <s v="Monday"/>
    <x v="0"/>
  </r>
  <r>
    <s v="NV2958"/>
    <d v="2025-10-19T00:00:00"/>
    <x v="18"/>
    <x v="2"/>
    <s v="P96"/>
    <x v="1"/>
    <n v="4"/>
    <n v="2854.56"/>
    <x v="5"/>
    <n v="1230.56"/>
    <s v="New"/>
    <s v="Digital"/>
    <n v="8563.68"/>
    <n v="3641.4400000000005"/>
    <s v="Sunday"/>
    <x v="1"/>
  </r>
  <r>
    <s v="NV2959"/>
    <d v="2024-05-13T00:00:00"/>
    <x v="25"/>
    <x v="2"/>
    <s v="P129"/>
    <x v="1"/>
    <n v="2"/>
    <n v="481.38"/>
    <x v="1"/>
    <n v="227.58"/>
    <s v="New"/>
    <s v="Cash"/>
    <n v="770.20800000000008"/>
    <n v="315.04800000000006"/>
    <s v="Monday"/>
    <x v="0"/>
  </r>
  <r>
    <s v="NV2960"/>
    <d v="2025-10-21T00:00:00"/>
    <x v="29"/>
    <x v="1"/>
    <s v="P94"/>
    <x v="2"/>
    <n v="1"/>
    <n v="2589.66"/>
    <x v="2"/>
    <n v="1470.49"/>
    <s v="Returning"/>
    <s v="Card"/>
    <n v="2460.1769999999997"/>
    <n v="989.68699999999967"/>
    <s v="Tuesday"/>
    <x v="0"/>
  </r>
  <r>
    <s v="NV2961"/>
    <d v="2025-09-23T00:00:00"/>
    <x v="20"/>
    <x v="3"/>
    <s v="P292"/>
    <x v="0"/>
    <n v="4"/>
    <n v="1414.19"/>
    <x v="2"/>
    <n v="839.93"/>
    <s v="Returning"/>
    <s v="Digital"/>
    <n v="5373.9219999999996"/>
    <n v="2014.2019999999998"/>
    <s v="Tuesday"/>
    <x v="0"/>
  </r>
  <r>
    <s v="NV2962"/>
    <d v="2025-08-01T00:00:00"/>
    <x v="25"/>
    <x v="0"/>
    <s v="P181"/>
    <x v="1"/>
    <n v="4"/>
    <n v="2054.11"/>
    <x v="6"/>
    <n v="1140.21"/>
    <s v="New"/>
    <s v="Digital"/>
    <n v="8216.44"/>
    <n v="3655.6000000000004"/>
    <s v="Friday"/>
    <x v="0"/>
  </r>
  <r>
    <s v="NV2963"/>
    <d v="2025-09-01T00:00:00"/>
    <x v="42"/>
    <x v="1"/>
    <s v="P54"/>
    <x v="0"/>
    <n v="2"/>
    <n v="1652.01"/>
    <x v="3"/>
    <n v="759.76"/>
    <s v="Returning"/>
    <s v="Cash"/>
    <n v="2973.6179999999999"/>
    <n v="1454.098"/>
    <s v="Monday"/>
    <x v="0"/>
  </r>
  <r>
    <s v="NV2964"/>
    <d v="2025-02-05T00:00:00"/>
    <x v="8"/>
    <x v="0"/>
    <s v="P64"/>
    <x v="0"/>
    <n v="3"/>
    <n v="541.19000000000005"/>
    <x v="3"/>
    <n v="305.2"/>
    <s v="Returning"/>
    <s v="Digital"/>
    <n v="1461.2130000000002"/>
    <n v="545.61300000000028"/>
    <s v="Wednesday"/>
    <x v="0"/>
  </r>
  <r>
    <s v="NV2965"/>
    <d v="2025-01-08T00:00:00"/>
    <x v="41"/>
    <x v="3"/>
    <s v="P242"/>
    <x v="1"/>
    <n v="1"/>
    <n v="592.51"/>
    <x v="1"/>
    <n v="352.13"/>
    <s v="Returning"/>
    <s v="Card"/>
    <n v="474.00800000000004"/>
    <n v="121.87800000000004"/>
    <s v="Wednesday"/>
    <x v="0"/>
  </r>
  <r>
    <s v="NV2966"/>
    <d v="2025-08-13T00:00:00"/>
    <x v="40"/>
    <x v="3"/>
    <s v="P216"/>
    <x v="0"/>
    <n v="4"/>
    <n v="1402.29"/>
    <x v="3"/>
    <n v="976.7"/>
    <s v="New"/>
    <s v="Card"/>
    <n v="5048.2439999999997"/>
    <n v="1141.4439999999995"/>
    <s v="Wednesday"/>
    <x v="0"/>
  </r>
  <r>
    <s v="NV2967"/>
    <d v="2025-08-06T00:00:00"/>
    <x v="29"/>
    <x v="3"/>
    <s v="P224"/>
    <x v="0"/>
    <n v="2"/>
    <n v="2551.52"/>
    <x v="1"/>
    <n v="1503.61"/>
    <s v="Returning"/>
    <s v="Cash"/>
    <n v="4082.4320000000002"/>
    <n v="1075.2120000000004"/>
    <s v="Wednesday"/>
    <x v="0"/>
  </r>
  <r>
    <s v="NV2968"/>
    <d v="2025-11-15T00:00:00"/>
    <x v="54"/>
    <x v="0"/>
    <s v="P114"/>
    <x v="2"/>
    <n v="2"/>
    <n v="1335.29"/>
    <x v="1"/>
    <n v="634.66"/>
    <s v="Returning"/>
    <s v="Card"/>
    <n v="2136.4639999999999"/>
    <n v="867.14400000000001"/>
    <s v="Saturday"/>
    <x v="1"/>
  </r>
  <r>
    <s v="NV2969"/>
    <d v="2025-09-02T00:00:00"/>
    <x v="42"/>
    <x v="1"/>
    <s v="P78"/>
    <x v="0"/>
    <n v="3"/>
    <n v="2731.19"/>
    <x v="4"/>
    <n v="1535.04"/>
    <s v="Returning"/>
    <s v="Cash"/>
    <n v="6964.5344999999998"/>
    <n v="2359.4144999999999"/>
    <s v="Tuesday"/>
    <x v="0"/>
  </r>
  <r>
    <s v="NV2970"/>
    <d v="2025-09-10T00:00:00"/>
    <x v="9"/>
    <x v="3"/>
    <s v="P159"/>
    <x v="1"/>
    <n v="3"/>
    <n v="974.85"/>
    <x v="3"/>
    <n v="613.17999999999995"/>
    <s v="New"/>
    <s v="Cash"/>
    <n v="2632.0950000000003"/>
    <n v="792.55500000000029"/>
    <s v="Wednesday"/>
    <x v="0"/>
  </r>
  <r>
    <s v="NV2971"/>
    <d v="2025-03-30T00:00:00"/>
    <x v="4"/>
    <x v="2"/>
    <s v="P225"/>
    <x v="1"/>
    <n v="2"/>
    <n v="2003.88"/>
    <x v="2"/>
    <n v="1236.05"/>
    <s v="Returning"/>
    <s v="Digital"/>
    <n v="3807.3719999999998"/>
    <n v="1335.2719999999999"/>
    <s v="Sunday"/>
    <x v="1"/>
  </r>
  <r>
    <s v="NV2972"/>
    <d v="2025-02-17T00:00:00"/>
    <x v="56"/>
    <x v="3"/>
    <s v="P142"/>
    <x v="2"/>
    <n v="5"/>
    <n v="2894.6"/>
    <x v="2"/>
    <n v="1432.09"/>
    <s v="Returning"/>
    <s v="Digital"/>
    <n v="13749.349999999999"/>
    <n v="6588.8999999999987"/>
    <s v="Monday"/>
    <x v="0"/>
  </r>
  <r>
    <s v="NV2973"/>
    <d v="2025-11-16T00:00:00"/>
    <x v="16"/>
    <x v="1"/>
    <s v="P268"/>
    <x v="1"/>
    <n v="5"/>
    <n v="2767.44"/>
    <x v="1"/>
    <n v="1509.65"/>
    <s v="New"/>
    <s v="Digital"/>
    <n v="11069.760000000002"/>
    <n v="3521.510000000002"/>
    <s v="Sunday"/>
    <x v="1"/>
  </r>
  <r>
    <s v="NV2974"/>
    <d v="2025-05-10T00:00:00"/>
    <x v="54"/>
    <x v="2"/>
    <s v="P120"/>
    <x v="2"/>
    <n v="2"/>
    <n v="2379.11"/>
    <x v="1"/>
    <n v="1309.1500000000001"/>
    <s v="Returning"/>
    <s v="Card"/>
    <n v="3806.5760000000005"/>
    <n v="1188.2760000000003"/>
    <s v="Saturday"/>
    <x v="1"/>
  </r>
  <r>
    <s v="NV2975"/>
    <d v="2025-05-24T00:00:00"/>
    <x v="16"/>
    <x v="0"/>
    <s v="P130"/>
    <x v="1"/>
    <n v="4"/>
    <n v="2587.21"/>
    <x v="3"/>
    <n v="1219.95"/>
    <s v="New"/>
    <s v="Card"/>
    <n v="9313.9560000000001"/>
    <n v="4434.1559999999999"/>
    <s v="Saturday"/>
    <x v="1"/>
  </r>
  <r>
    <s v="NV2976"/>
    <d v="2024-07-27T00:00:00"/>
    <x v="29"/>
    <x v="2"/>
    <s v="P257"/>
    <x v="1"/>
    <n v="2"/>
    <n v="504.94"/>
    <x v="3"/>
    <n v="314.35000000000002"/>
    <s v="New"/>
    <s v="Cash"/>
    <n v="908.89200000000005"/>
    <n v="280.19200000000001"/>
    <s v="Saturday"/>
    <x v="1"/>
  </r>
  <r>
    <s v="NV2977"/>
    <d v="2025-02-01T00:00:00"/>
    <x v="14"/>
    <x v="1"/>
    <s v="P256"/>
    <x v="0"/>
    <n v="5"/>
    <n v="2048.5"/>
    <x v="0"/>
    <n v="1277.32"/>
    <s v="Returning"/>
    <s v="Card"/>
    <n v="7169.75"/>
    <n v="783.15000000000055"/>
    <s v="Saturday"/>
    <x v="1"/>
  </r>
  <r>
    <s v="NV2978"/>
    <d v="2025-03-16T00:00:00"/>
    <x v="15"/>
    <x v="2"/>
    <s v="P296"/>
    <x v="1"/>
    <n v="3"/>
    <n v="2714.29"/>
    <x v="6"/>
    <n v="1776.6"/>
    <s v="New"/>
    <s v="Digital"/>
    <n v="8142.87"/>
    <n v="2813.0700000000006"/>
    <s v="Sunday"/>
    <x v="1"/>
  </r>
  <r>
    <s v="NV2979"/>
    <d v="2024-11-27T00:00:00"/>
    <x v="31"/>
    <x v="2"/>
    <s v="P176"/>
    <x v="2"/>
    <n v="3"/>
    <n v="2542.02"/>
    <x v="4"/>
    <n v="1736.63"/>
    <s v="New"/>
    <s v="Card"/>
    <n v="6482.1509999999998"/>
    <n v="1272.2609999999995"/>
    <s v="Wednesday"/>
    <x v="0"/>
  </r>
  <r>
    <s v="NV2980"/>
    <d v="2025-06-29T00:00:00"/>
    <x v="3"/>
    <x v="2"/>
    <s v="P58"/>
    <x v="0"/>
    <n v="2"/>
    <n v="2245.67"/>
    <x v="1"/>
    <n v="1183.44"/>
    <s v="Returning"/>
    <s v="Cash"/>
    <n v="3593.0720000000001"/>
    <n v="1226.192"/>
    <s v="Sunday"/>
    <x v="1"/>
  </r>
  <r>
    <s v="NV2981"/>
    <d v="2024-11-13T00:00:00"/>
    <x v="9"/>
    <x v="1"/>
    <s v="P25"/>
    <x v="0"/>
    <n v="3"/>
    <n v="992.31"/>
    <x v="0"/>
    <n v="591.64"/>
    <s v="New"/>
    <s v="Digital"/>
    <n v="2083.8509999999997"/>
    <n v="308.93099999999959"/>
    <s v="Wednesday"/>
    <x v="0"/>
  </r>
  <r>
    <s v="NV2982"/>
    <d v="2024-12-19T00:00:00"/>
    <x v="5"/>
    <x v="2"/>
    <s v="P265"/>
    <x v="2"/>
    <n v="4"/>
    <n v="2200.79"/>
    <x v="4"/>
    <n v="1179.53"/>
    <s v="Returning"/>
    <s v="Cash"/>
    <n v="7482.6859999999997"/>
    <n v="2764.5659999999998"/>
    <s v="Thursday"/>
    <x v="0"/>
  </r>
  <r>
    <s v="NV2983"/>
    <d v="2025-07-17T00:00:00"/>
    <x v="28"/>
    <x v="1"/>
    <s v="P251"/>
    <x v="1"/>
    <n v="5"/>
    <n v="870.25"/>
    <x v="5"/>
    <n v="394.84"/>
    <s v="New"/>
    <s v="Card"/>
    <n v="3263.4375"/>
    <n v="1289.2375000000002"/>
    <s v="Thursday"/>
    <x v="0"/>
  </r>
  <r>
    <s v="NV2984"/>
    <d v="2025-06-10T00:00:00"/>
    <x v="25"/>
    <x v="2"/>
    <s v="P71"/>
    <x v="1"/>
    <n v="5"/>
    <n v="2364.7600000000002"/>
    <x v="4"/>
    <n v="1110.4100000000001"/>
    <s v="Returning"/>
    <s v="Digital"/>
    <n v="10050.230000000001"/>
    <n v="4498.1800000000012"/>
    <s v="Tuesday"/>
    <x v="0"/>
  </r>
  <r>
    <s v="NV2985"/>
    <d v="2024-04-20T00:00:00"/>
    <x v="13"/>
    <x v="0"/>
    <s v="P156"/>
    <x v="1"/>
    <n v="2"/>
    <n v="449.81"/>
    <x v="6"/>
    <n v="241.26"/>
    <s v="Returning"/>
    <s v="Digital"/>
    <n v="899.62"/>
    <n v="417.1"/>
    <s v="Saturday"/>
    <x v="1"/>
  </r>
  <r>
    <s v="NV2986"/>
    <d v="2025-07-09T00:00:00"/>
    <x v="47"/>
    <x v="3"/>
    <s v="P237"/>
    <x v="2"/>
    <n v="3"/>
    <n v="334.89"/>
    <x v="2"/>
    <n v="230.19"/>
    <s v="Returning"/>
    <s v="Card"/>
    <n v="954.43649999999991"/>
    <n v="263.86649999999997"/>
    <s v="Wednesday"/>
    <x v="0"/>
  </r>
  <r>
    <s v="NV2987"/>
    <d v="2025-02-24T00:00:00"/>
    <x v="22"/>
    <x v="3"/>
    <s v="P4"/>
    <x v="2"/>
    <n v="5"/>
    <n v="319.83999999999997"/>
    <x v="2"/>
    <n v="150.52000000000001"/>
    <s v="New"/>
    <s v="Digital"/>
    <n v="1519.2399999999998"/>
    <n v="766.63999999999976"/>
    <s v="Monday"/>
    <x v="0"/>
  </r>
  <r>
    <s v="NV2988"/>
    <d v="2024-04-03T00:00:00"/>
    <x v="9"/>
    <x v="0"/>
    <s v="P173"/>
    <x v="1"/>
    <n v="3"/>
    <n v="553.36"/>
    <x v="3"/>
    <n v="285.85000000000002"/>
    <s v="Returning"/>
    <s v="Card"/>
    <n v="1494.0719999999999"/>
    <n v="636.52199999999982"/>
    <s v="Wednesday"/>
    <x v="0"/>
  </r>
  <r>
    <s v="NV2989"/>
    <d v="2024-03-10T00:00:00"/>
    <x v="49"/>
    <x v="1"/>
    <s v="P195"/>
    <x v="0"/>
    <n v="2"/>
    <n v="2880.16"/>
    <x v="0"/>
    <n v="1893.75"/>
    <s v="New"/>
    <s v="Cash"/>
    <n v="4032.2239999999997"/>
    <n v="244.72399999999971"/>
    <s v="Sunday"/>
    <x v="1"/>
  </r>
  <r>
    <s v="NV2990"/>
    <d v="2024-12-31T00:00:00"/>
    <x v="13"/>
    <x v="1"/>
    <s v="P166"/>
    <x v="0"/>
    <n v="3"/>
    <n v="1337.47"/>
    <x v="5"/>
    <n v="639.91"/>
    <s v="New"/>
    <s v="Digital"/>
    <n v="3009.3074999999999"/>
    <n v="1089.5774999999999"/>
    <s v="Tuesday"/>
    <x v="0"/>
  </r>
  <r>
    <s v="NV2991"/>
    <d v="2024-03-24T00:00:00"/>
    <x v="18"/>
    <x v="3"/>
    <s v="P47"/>
    <x v="0"/>
    <n v="4"/>
    <n v="2357.9"/>
    <x v="2"/>
    <n v="1381.59"/>
    <s v="New"/>
    <s v="Card"/>
    <n v="8960.02"/>
    <n v="3433.6600000000008"/>
    <s v="Sunday"/>
    <x v="1"/>
  </r>
  <r>
    <s v="NV2992"/>
    <d v="2024-03-30T00:00:00"/>
    <x v="13"/>
    <x v="2"/>
    <s v="P268"/>
    <x v="2"/>
    <n v="2"/>
    <n v="1281.44"/>
    <x v="1"/>
    <n v="594.30999999999995"/>
    <s v="New"/>
    <s v="Card"/>
    <n v="2050.3040000000001"/>
    <n v="861.6840000000002"/>
    <s v="Saturday"/>
    <x v="1"/>
  </r>
  <r>
    <s v="NV2993"/>
    <d v="2024-10-21T00:00:00"/>
    <x v="40"/>
    <x v="2"/>
    <s v="P91"/>
    <x v="0"/>
    <n v="5"/>
    <n v="635.27"/>
    <x v="2"/>
    <n v="255.88"/>
    <s v="New"/>
    <s v="Card"/>
    <n v="3017.5324999999998"/>
    <n v="1738.1324999999997"/>
    <s v="Monday"/>
    <x v="0"/>
  </r>
  <r>
    <s v="NV2994"/>
    <d v="2025-04-03T00:00:00"/>
    <x v="35"/>
    <x v="1"/>
    <s v="P33"/>
    <x v="1"/>
    <n v="5"/>
    <n v="1350.75"/>
    <x v="0"/>
    <n v="690.68"/>
    <s v="New"/>
    <s v="Cash"/>
    <n v="4727.625"/>
    <n v="1274.2250000000004"/>
    <s v="Thursday"/>
    <x v="0"/>
  </r>
  <r>
    <s v="NV2995"/>
    <d v="2025-11-08T00:00:00"/>
    <x v="52"/>
    <x v="1"/>
    <s v="P98"/>
    <x v="2"/>
    <n v="1"/>
    <n v="898.45"/>
    <x v="0"/>
    <n v="558.13"/>
    <s v="New"/>
    <s v="Digital"/>
    <n v="628.91499999999996"/>
    <n v="70.784999999999968"/>
    <s v="Saturday"/>
    <x v="1"/>
  </r>
  <r>
    <s v="NV2996"/>
    <d v="2025-08-16T00:00:00"/>
    <x v="2"/>
    <x v="3"/>
    <s v="P164"/>
    <x v="1"/>
    <n v="4"/>
    <n v="642.75"/>
    <x v="6"/>
    <n v="413"/>
    <s v="New"/>
    <s v="Cash"/>
    <n v="2571"/>
    <n v="919"/>
    <s v="Saturday"/>
    <x v="1"/>
  </r>
  <r>
    <s v="NV2997"/>
    <d v="2024-03-08T00:00:00"/>
    <x v="16"/>
    <x v="0"/>
    <s v="P251"/>
    <x v="1"/>
    <n v="3"/>
    <n v="1147.67"/>
    <x v="0"/>
    <n v="768.1"/>
    <s v="Returning"/>
    <s v="Card"/>
    <n v="2410.107"/>
    <n v="105.80699999999979"/>
    <s v="Friday"/>
    <x v="0"/>
  </r>
  <r>
    <s v="NV2998"/>
    <d v="2024-10-26T00:00:00"/>
    <x v="5"/>
    <x v="3"/>
    <s v="P216"/>
    <x v="1"/>
    <n v="5"/>
    <n v="981.88"/>
    <x v="6"/>
    <n v="558.69000000000005"/>
    <s v="Returning"/>
    <s v="Digital"/>
    <n v="4909.3999999999996"/>
    <n v="2115.9499999999994"/>
    <s v="Saturday"/>
    <x v="1"/>
  </r>
  <r>
    <s v="NV2999"/>
    <d v="2024-05-04T00:00:00"/>
    <x v="43"/>
    <x v="0"/>
    <s v="P34"/>
    <x v="2"/>
    <n v="5"/>
    <n v="2411.4299999999998"/>
    <x v="2"/>
    <n v="1067.75"/>
    <s v="Returning"/>
    <s v="Cash"/>
    <n v="11454.2925"/>
    <n v="6115.5424999999996"/>
    <s v="Saturday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NV1000"/>
    <d v="2024-06-06T00:00:00"/>
    <s v="ST10"/>
    <s v="West"/>
    <s v="P126"/>
    <s v="Shoes"/>
    <n v="3"/>
    <n v="2345.19"/>
    <n v="30"/>
    <n v="1197.98"/>
    <x v="0"/>
    <s v="Cash"/>
    <n v="4924.8989999999994"/>
    <n v="1330.9589999999994"/>
    <s v="Thursday"/>
    <b v="0"/>
    <x v="0"/>
  </r>
  <r>
    <s v="NV1001"/>
    <d v="2024-11-13T00:00:00"/>
    <s v="ST38"/>
    <s v="East"/>
    <s v="P276"/>
    <s v="Accessories"/>
    <n v="2"/>
    <n v="1397.45"/>
    <n v="20"/>
    <n v="714.69"/>
    <x v="1"/>
    <s v="Cash"/>
    <n v="2235.92"/>
    <n v="806.54"/>
    <s v="Wednesday"/>
    <b v="0"/>
    <x v="1"/>
  </r>
  <r>
    <s v="NV1002"/>
    <d v="2024-10-30T00:00:00"/>
    <s v="ST42"/>
    <s v="East"/>
    <s v="P119"/>
    <s v="Clothing"/>
    <n v="5"/>
    <n v="2460.81"/>
    <n v="5"/>
    <n v="1073.5999999999999"/>
    <x v="0"/>
    <s v="Cash"/>
    <n v="11688.847499999998"/>
    <n v="6320.847499999998"/>
    <s v="Wednesday"/>
    <b v="0"/>
    <x v="2"/>
  </r>
  <r>
    <s v="NV1003"/>
    <d v="2024-06-16T00:00:00"/>
    <s v="ST2"/>
    <s v="North"/>
    <s v="P78"/>
    <s v="Clothing"/>
    <n v="5"/>
    <n v="331.84"/>
    <n v="30"/>
    <n v="196.54"/>
    <x v="0"/>
    <s v="Card"/>
    <n v="1161.4399999999998"/>
    <n v="178.7399999999999"/>
    <s v="Sunday"/>
    <b v="1"/>
    <x v="0"/>
  </r>
  <r>
    <s v="NV1004"/>
    <d v="2024-06-07T00:00:00"/>
    <s v="ST22"/>
    <s v="North"/>
    <s v="P123"/>
    <s v="Shoes"/>
    <n v="3"/>
    <n v="2248.9499999999998"/>
    <n v="10"/>
    <n v="1224.6500000000001"/>
    <x v="0"/>
    <s v="Digital"/>
    <n v="6072.165"/>
    <n v="2398.2149999999997"/>
    <s v="Friday"/>
    <b v="0"/>
    <x v="0"/>
  </r>
  <r>
    <s v="NV1005"/>
    <d v="2025-02-08T00:00:00"/>
    <s v="ST28"/>
    <s v="West"/>
    <s v="P120"/>
    <s v="Accessories"/>
    <n v="5"/>
    <n v="2328.6"/>
    <n v="30"/>
    <n v="976.15"/>
    <x v="0"/>
    <s v="Digital"/>
    <n v="8150.0999999999995"/>
    <n v="3269.3499999999995"/>
    <s v="Saturday"/>
    <b v="1"/>
    <x v="3"/>
  </r>
  <r>
    <s v="NV1006"/>
    <d v="2024-10-17T00:00:00"/>
    <s v="ST39"/>
    <s v="North"/>
    <s v="P204"/>
    <s v="Accessories"/>
    <n v="2"/>
    <n v="2310.58"/>
    <n v="15"/>
    <n v="1523.42"/>
    <x v="1"/>
    <s v="Card"/>
    <n v="3927.9859999999999"/>
    <n v="881.14599999999973"/>
    <s v="Thursday"/>
    <b v="0"/>
    <x v="2"/>
  </r>
  <r>
    <s v="NV1007"/>
    <d v="2025-07-24T00:00:00"/>
    <s v="ST5"/>
    <s v="South"/>
    <s v="P211"/>
    <s v="Accessories"/>
    <n v="1"/>
    <n v="1150.3599999999999"/>
    <n v="15"/>
    <n v="550.09"/>
    <x v="0"/>
    <s v="Card"/>
    <n v="977.80599999999993"/>
    <n v="427.71599999999989"/>
    <s v="Thursday"/>
    <b v="0"/>
    <x v="4"/>
  </r>
  <r>
    <s v="NV1008"/>
    <d v="2025-06-12T00:00:00"/>
    <s v="ST42"/>
    <s v="North"/>
    <s v="P41"/>
    <s v="Accessories"/>
    <n v="3"/>
    <n v="2405.5"/>
    <n v="10"/>
    <n v="1387.78"/>
    <x v="0"/>
    <s v="Card"/>
    <n v="6494.85"/>
    <n v="2331.5100000000002"/>
    <s v="Thursday"/>
    <b v="0"/>
    <x v="0"/>
  </r>
  <r>
    <s v="NV1009"/>
    <d v="2025-10-20T00:00:00"/>
    <s v="ST6"/>
    <s v="East"/>
    <s v="P141"/>
    <s v="Accessories"/>
    <n v="1"/>
    <n v="1426.53"/>
    <n v="25"/>
    <n v="863.43"/>
    <x v="0"/>
    <s v="Digital"/>
    <n v="1069.8975"/>
    <n v="206.46750000000009"/>
    <s v="Monday"/>
    <b v="0"/>
    <x v="2"/>
  </r>
  <r>
    <s v="NV1010"/>
    <d v="2024-06-11T00:00:00"/>
    <s v="ST41"/>
    <s v="North"/>
    <s v="P284"/>
    <s v="Shoes"/>
    <n v="1"/>
    <n v="349.26"/>
    <n v="15"/>
    <n v="150.21"/>
    <x v="1"/>
    <s v="Card"/>
    <n v="296.87099999999998"/>
    <n v="146.66099999999997"/>
    <s v="Tuesday"/>
    <b v="0"/>
    <x v="0"/>
  </r>
  <r>
    <s v="NV1011"/>
    <d v="2025-08-02T00:00:00"/>
    <s v="ST28"/>
    <s v="East"/>
    <s v="P170"/>
    <s v="Shoes"/>
    <n v="2"/>
    <n v="744.92"/>
    <n v="0"/>
    <n v="416.81"/>
    <x v="0"/>
    <s v="Cash"/>
    <n v="1489.84"/>
    <n v="656.21999999999991"/>
    <s v="Saturday"/>
    <b v="1"/>
    <x v="5"/>
  </r>
  <r>
    <s v="NV1012"/>
    <d v="2024-08-08T00:00:00"/>
    <s v="ST13"/>
    <s v="North"/>
    <s v="P220"/>
    <s v="Accessories"/>
    <n v="4"/>
    <n v="350.75"/>
    <n v="20"/>
    <n v="237.38"/>
    <x v="0"/>
    <s v="Digital"/>
    <n v="1122.4000000000001"/>
    <n v="172.88000000000011"/>
    <s v="Thursday"/>
    <b v="0"/>
    <x v="5"/>
  </r>
  <r>
    <s v="NV1013"/>
    <d v="2024-09-24T00:00:00"/>
    <s v="ST16"/>
    <s v="South"/>
    <s v="P167"/>
    <s v="Clothing"/>
    <n v="4"/>
    <n v="641.65"/>
    <n v="25"/>
    <n v="430.19"/>
    <x v="0"/>
    <s v="Card"/>
    <n v="1924.9499999999998"/>
    <n v="204.18999999999983"/>
    <s v="Tuesday"/>
    <b v="0"/>
    <x v="6"/>
  </r>
  <r>
    <s v="NV1014"/>
    <d v="2025-06-11T00:00:00"/>
    <s v="ST43"/>
    <s v="South"/>
    <s v="P110"/>
    <s v="Accessories"/>
    <n v="4"/>
    <n v="2938.67"/>
    <n v="0"/>
    <n v="1329.18"/>
    <x v="0"/>
    <s v="Digital"/>
    <n v="11754.68"/>
    <n v="6437.96"/>
    <s v="Wednesday"/>
    <b v="0"/>
    <x v="0"/>
  </r>
  <r>
    <s v="NV1015"/>
    <d v="2025-08-16T00:00:00"/>
    <s v="ST26"/>
    <s v="West"/>
    <s v="P174"/>
    <s v="Clothing"/>
    <n v="1"/>
    <n v="689.93"/>
    <n v="25"/>
    <n v="355"/>
    <x v="1"/>
    <s v="Cash"/>
    <n v="517.44749999999999"/>
    <n v="162.44749999999999"/>
    <s v="Saturday"/>
    <b v="1"/>
    <x v="5"/>
  </r>
  <r>
    <s v="NV1016"/>
    <d v="2024-08-24T00:00:00"/>
    <s v="ST34"/>
    <s v="West"/>
    <s v="P59"/>
    <s v="Clothing"/>
    <n v="5"/>
    <n v="2793.78"/>
    <n v="20"/>
    <n v="1808.77"/>
    <x v="0"/>
    <s v="Cash"/>
    <n v="11175.120000000003"/>
    <n v="2131.2700000000023"/>
    <s v="Saturday"/>
    <b v="1"/>
    <x v="5"/>
  </r>
  <r>
    <s v="NV1017"/>
    <d v="2024-02-14T00:00:00"/>
    <s v="ST23"/>
    <s v="East"/>
    <s v="P150"/>
    <s v="Shoes"/>
    <n v="1"/>
    <n v="2067.4499999999998"/>
    <n v="15"/>
    <n v="1226.54"/>
    <x v="1"/>
    <s v="Cash"/>
    <n v="1757.3324999999998"/>
    <n v="530.79249999999979"/>
    <s v="Wednesday"/>
    <b v="0"/>
    <x v="3"/>
  </r>
  <r>
    <s v="NV1018"/>
    <d v="2025-03-21T00:00:00"/>
    <s v="ST27"/>
    <s v="South"/>
    <s v="P23"/>
    <s v="Shoes"/>
    <n v="1"/>
    <n v="1434.93"/>
    <n v="15"/>
    <n v="739.97"/>
    <x v="0"/>
    <s v="Cash"/>
    <n v="1219.6904999999999"/>
    <n v="479.7204999999999"/>
    <s v="Friday"/>
    <b v="0"/>
    <x v="7"/>
  </r>
  <r>
    <s v="NV1019"/>
    <d v="2024-10-25T00:00:00"/>
    <s v="ST27"/>
    <s v="South"/>
    <s v="P145"/>
    <s v="Shoes"/>
    <n v="2"/>
    <n v="595.11"/>
    <n v="30"/>
    <n v="319.2"/>
    <x v="1"/>
    <s v="Card"/>
    <n v="833.154"/>
    <n v="194.75400000000002"/>
    <s v="Friday"/>
    <b v="0"/>
    <x v="2"/>
  </r>
  <r>
    <s v="NV1020"/>
    <d v="2025-07-04T00:00:00"/>
    <s v="ST22"/>
    <s v="West"/>
    <s v="P87"/>
    <s v="Clothing"/>
    <n v="5"/>
    <n v="1019.28"/>
    <n v="25"/>
    <n v="442.2"/>
    <x v="1"/>
    <s v="Cash"/>
    <n v="3822.2999999999997"/>
    <n v="1611.2999999999997"/>
    <s v="Friday"/>
    <b v="0"/>
    <x v="4"/>
  </r>
  <r>
    <s v="NV1021"/>
    <d v="2025-07-22T00:00:00"/>
    <s v="ST12"/>
    <s v="South"/>
    <s v="P167"/>
    <s v="Clothing"/>
    <n v="1"/>
    <n v="2649.47"/>
    <n v="20"/>
    <n v="1390.12"/>
    <x v="0"/>
    <s v="Cash"/>
    <n v="2119.576"/>
    <n v="729.45600000000013"/>
    <s v="Tuesday"/>
    <b v="0"/>
    <x v="4"/>
  </r>
  <r>
    <s v="NV1022"/>
    <d v="2025-02-14T00:00:00"/>
    <s v="ST51"/>
    <s v="North"/>
    <s v="P132"/>
    <s v="Accessories"/>
    <n v="5"/>
    <n v="2062.7199999999998"/>
    <n v="20"/>
    <n v="1059.3499999999999"/>
    <x v="0"/>
    <s v="Cash"/>
    <n v="8250.8799999999992"/>
    <n v="2954.1299999999992"/>
    <s v="Friday"/>
    <b v="0"/>
    <x v="3"/>
  </r>
  <r>
    <s v="NV1023"/>
    <d v="2024-10-27T00:00:00"/>
    <s v="ST49"/>
    <s v="East"/>
    <s v="P109"/>
    <s v="Accessories"/>
    <n v="4"/>
    <n v="413.65"/>
    <n v="10"/>
    <n v="166.63"/>
    <x v="0"/>
    <s v="Digital"/>
    <n v="1489.1399999999999"/>
    <n v="822.61999999999989"/>
    <s v="Sunday"/>
    <b v="1"/>
    <x v="2"/>
  </r>
  <r>
    <s v="NV1024"/>
    <d v="2024-08-25T00:00:00"/>
    <s v="ST15"/>
    <s v="West"/>
    <s v="P106"/>
    <s v="Clothing"/>
    <n v="5"/>
    <n v="1099.75"/>
    <n v="0"/>
    <n v="546.54999999999995"/>
    <x v="1"/>
    <s v="Cash"/>
    <n v="5498.75"/>
    <n v="2766"/>
    <s v="Sunday"/>
    <b v="1"/>
    <x v="5"/>
  </r>
  <r>
    <s v="NV1025"/>
    <d v="2025-06-09T00:00:00"/>
    <s v="ST44"/>
    <s v="East"/>
    <s v="P236"/>
    <s v="Accessories"/>
    <n v="1"/>
    <n v="2567.17"/>
    <n v="20"/>
    <n v="1037.44"/>
    <x v="0"/>
    <s v="Cash"/>
    <n v="2053.7360000000003"/>
    <n v="1016.2960000000003"/>
    <s v="Monday"/>
    <b v="0"/>
    <x v="0"/>
  </r>
  <r>
    <s v="NV1026"/>
    <d v="2024-10-13T00:00:00"/>
    <s v="ST57"/>
    <s v="East"/>
    <s v="P145"/>
    <s v="Accessories"/>
    <n v="3"/>
    <n v="2671.47"/>
    <n v="25"/>
    <n v="1342.7"/>
    <x v="1"/>
    <s v="Cash"/>
    <n v="6010.8074999999999"/>
    <n v="1982.7074999999995"/>
    <s v="Sunday"/>
    <b v="1"/>
    <x v="2"/>
  </r>
  <r>
    <s v="NV1027"/>
    <d v="2024-10-26T00:00:00"/>
    <s v="ST1"/>
    <s v="North"/>
    <s v="P55"/>
    <s v="Accessories"/>
    <n v="2"/>
    <n v="1335.44"/>
    <n v="10"/>
    <n v="576.03"/>
    <x v="0"/>
    <s v="Card"/>
    <n v="2403.7920000000004"/>
    <n v="1251.7320000000004"/>
    <s v="Saturday"/>
    <b v="1"/>
    <x v="2"/>
  </r>
  <r>
    <s v="NV1028"/>
    <d v="2025-04-05T00:00:00"/>
    <s v="ST10"/>
    <s v="East"/>
    <s v="P95"/>
    <s v="Shoes"/>
    <n v="1"/>
    <n v="2886.18"/>
    <n v="25"/>
    <n v="1469.23"/>
    <x v="1"/>
    <s v="Cash"/>
    <n v="2164.6349999999998"/>
    <n v="695.40499999999975"/>
    <s v="Saturday"/>
    <b v="1"/>
    <x v="8"/>
  </r>
  <r>
    <s v="NV1029"/>
    <d v="2024-10-11T00:00:00"/>
    <s v="ST44"/>
    <s v="East"/>
    <s v="P166"/>
    <s v="Accessories"/>
    <n v="3"/>
    <n v="2201.08"/>
    <n v="20"/>
    <n v="1361.08"/>
    <x v="0"/>
    <s v="Digital"/>
    <n v="5282.5920000000006"/>
    <n v="1199.3520000000008"/>
    <s v="Friday"/>
    <b v="0"/>
    <x v="2"/>
  </r>
  <r>
    <s v="NV1030"/>
    <d v="2024-10-01T00:00:00"/>
    <s v="ST26"/>
    <s v="East"/>
    <s v="P60"/>
    <s v="Accessories"/>
    <n v="2"/>
    <n v="2961.78"/>
    <n v="30"/>
    <n v="1398.95"/>
    <x v="0"/>
    <s v="Cash"/>
    <n v="4146.4920000000002"/>
    <n v="1348.5920000000001"/>
    <s v="Tuesday"/>
    <b v="0"/>
    <x v="2"/>
  </r>
  <r>
    <s v="NV1031"/>
    <d v="2024-05-23T00:00:00"/>
    <s v="ST35"/>
    <s v="North"/>
    <s v="P285"/>
    <s v="Shoes"/>
    <n v="3"/>
    <n v="2961.48"/>
    <n v="25"/>
    <n v="1358.15"/>
    <x v="1"/>
    <s v="Cash"/>
    <n v="6663.33"/>
    <n v="2588.8799999999997"/>
    <s v="Thursday"/>
    <b v="0"/>
    <x v="9"/>
  </r>
  <r>
    <s v="NV1032"/>
    <d v="2025-11-24T00:00:00"/>
    <s v="ST23"/>
    <s v="South"/>
    <s v="P122"/>
    <s v="Clothing"/>
    <n v="4"/>
    <n v="2225.71"/>
    <n v="5"/>
    <n v="1035"/>
    <x v="0"/>
    <s v="Cash"/>
    <n v="8457.6980000000003"/>
    <n v="4317.6980000000003"/>
    <s v="Monday"/>
    <b v="0"/>
    <x v="1"/>
  </r>
  <r>
    <s v="NV1033"/>
    <d v="2025-01-18T00:00:00"/>
    <s v="ST48"/>
    <s v="South"/>
    <s v="P27"/>
    <s v="Clothing"/>
    <n v="5"/>
    <n v="1127.08"/>
    <n v="5"/>
    <n v="465.71"/>
    <x v="1"/>
    <s v="Digital"/>
    <n v="5353.6299999999992"/>
    <n v="3025.0799999999995"/>
    <s v="Saturday"/>
    <b v="1"/>
    <x v="10"/>
  </r>
  <r>
    <s v="NV1034"/>
    <d v="2025-03-01T00:00:00"/>
    <s v="ST51"/>
    <s v="West"/>
    <s v="P261"/>
    <s v="Shoes"/>
    <n v="3"/>
    <n v="2052.5300000000002"/>
    <n v="25"/>
    <n v="922.53"/>
    <x v="0"/>
    <s v="Cash"/>
    <n v="4618.1925000000001"/>
    <n v="1850.6025"/>
    <s v="Saturday"/>
    <b v="1"/>
    <x v="7"/>
  </r>
  <r>
    <s v="NV1035"/>
    <d v="2025-07-04T00:00:00"/>
    <s v="ST17"/>
    <s v="North"/>
    <s v="P154"/>
    <s v="Clothing"/>
    <n v="5"/>
    <n v="1411.76"/>
    <n v="20"/>
    <n v="718.32"/>
    <x v="1"/>
    <s v="Card"/>
    <n v="5647.0400000000009"/>
    <n v="2055.4400000000005"/>
    <s v="Friday"/>
    <b v="0"/>
    <x v="4"/>
  </r>
  <r>
    <s v="NV1036"/>
    <d v="2025-09-05T00:00:00"/>
    <s v="ST7"/>
    <s v="North"/>
    <s v="P242"/>
    <s v="Accessories"/>
    <n v="2"/>
    <n v="1748.13"/>
    <n v="15"/>
    <n v="862.42"/>
    <x v="0"/>
    <s v="Card"/>
    <n v="2971.8209999999999"/>
    <n v="1246.981"/>
    <s v="Friday"/>
    <b v="0"/>
    <x v="6"/>
  </r>
  <r>
    <s v="NV1037"/>
    <d v="2025-02-02T00:00:00"/>
    <s v="ST36"/>
    <s v="West"/>
    <s v="P197"/>
    <s v="Shoes"/>
    <n v="2"/>
    <n v="705.5"/>
    <n v="20"/>
    <n v="293.02999999999997"/>
    <x v="0"/>
    <s v="Digital"/>
    <n v="1128.8"/>
    <n v="542.74"/>
    <s v="Sunday"/>
    <b v="1"/>
    <x v="3"/>
  </r>
  <r>
    <s v="NV1038"/>
    <d v="2024-01-06T00:00:00"/>
    <s v="ST30"/>
    <s v="South"/>
    <s v="P43"/>
    <s v="Accessories"/>
    <n v="2"/>
    <n v="1646.75"/>
    <n v="5"/>
    <n v="962.41"/>
    <x v="0"/>
    <s v="Cash"/>
    <n v="3128.8249999999998"/>
    <n v="1204.0049999999999"/>
    <s v="Saturday"/>
    <b v="1"/>
    <x v="10"/>
  </r>
  <r>
    <s v="NV1039"/>
    <d v="2025-02-02T00:00:00"/>
    <s v="ST35"/>
    <s v="North"/>
    <s v="P43"/>
    <s v="Shoes"/>
    <n v="1"/>
    <n v="1114.46"/>
    <n v="20"/>
    <n v="542.96"/>
    <x v="1"/>
    <s v="Card"/>
    <n v="891.5680000000001"/>
    <n v="348.60800000000006"/>
    <s v="Sunday"/>
    <b v="1"/>
    <x v="3"/>
  </r>
  <r>
    <s v="NV1040"/>
    <d v="2024-07-03T00:00:00"/>
    <s v="ST48"/>
    <s v="North"/>
    <s v="P187"/>
    <s v="Accessories"/>
    <n v="3"/>
    <n v="1278.4100000000001"/>
    <n v="15"/>
    <n v="828.73"/>
    <x v="0"/>
    <s v="Cash"/>
    <n v="3259.9455000000003"/>
    <n v="773.75550000000021"/>
    <s v="Wednesday"/>
    <b v="0"/>
    <x v="4"/>
  </r>
  <r>
    <s v="NV1041"/>
    <d v="2025-06-17T00:00:00"/>
    <s v="ST42"/>
    <s v="East"/>
    <s v="P68"/>
    <s v="Shoes"/>
    <n v="3"/>
    <n v="1867.16"/>
    <n v="0"/>
    <n v="813.77"/>
    <x v="0"/>
    <s v="Cash"/>
    <n v="5601.4800000000005"/>
    <n v="3160.1700000000005"/>
    <s v="Tuesday"/>
    <b v="0"/>
    <x v="0"/>
  </r>
  <r>
    <s v="NV1042"/>
    <d v="2024-05-03T00:00:00"/>
    <s v="ST38"/>
    <s v="West"/>
    <s v="P119"/>
    <s v="Clothing"/>
    <n v="4"/>
    <n v="2991.66"/>
    <n v="15"/>
    <n v="1274.01"/>
    <x v="1"/>
    <s v="Card"/>
    <n v="10171.643999999998"/>
    <n v="5075.6039999999985"/>
    <s v="Friday"/>
    <b v="0"/>
    <x v="9"/>
  </r>
  <r>
    <s v="NV1043"/>
    <d v="2025-06-21T00:00:00"/>
    <s v="ST7"/>
    <s v="West"/>
    <s v="P151"/>
    <s v="Shoes"/>
    <n v="1"/>
    <n v="2316.62"/>
    <n v="0"/>
    <n v="1145.03"/>
    <x v="1"/>
    <s v="Digital"/>
    <n v="2316.62"/>
    <n v="1171.5899999999999"/>
    <s v="Saturday"/>
    <b v="1"/>
    <x v="0"/>
  </r>
  <r>
    <s v="NV1044"/>
    <d v="2025-04-13T00:00:00"/>
    <s v="ST11"/>
    <s v="North"/>
    <s v="P295"/>
    <s v="Shoes"/>
    <n v="2"/>
    <n v="2823.24"/>
    <n v="30"/>
    <n v="1483.21"/>
    <x v="0"/>
    <s v="Digital"/>
    <n v="3952.5359999999996"/>
    <n v="986.11599999999953"/>
    <s v="Sunday"/>
    <b v="1"/>
    <x v="8"/>
  </r>
  <r>
    <s v="NV1045"/>
    <d v="2024-07-27T00:00:00"/>
    <s v="ST48"/>
    <s v="West"/>
    <s v="P214"/>
    <s v="Accessories"/>
    <n v="4"/>
    <n v="868.87"/>
    <n v="20"/>
    <n v="443.61"/>
    <x v="1"/>
    <s v="Card"/>
    <n v="2780.384"/>
    <n v="1005.944"/>
    <s v="Saturday"/>
    <b v="1"/>
    <x v="4"/>
  </r>
  <r>
    <s v="NV1046"/>
    <d v="2025-11-07T00:00:00"/>
    <s v="ST37"/>
    <s v="North"/>
    <s v="P119"/>
    <s v="Accessories"/>
    <n v="3"/>
    <n v="2624.58"/>
    <n v="25"/>
    <n v="1236.45"/>
    <x v="0"/>
    <s v="Digital"/>
    <n v="5905.3050000000003"/>
    <n v="2195.9549999999999"/>
    <s v="Friday"/>
    <b v="0"/>
    <x v="1"/>
  </r>
  <r>
    <s v="NV1047"/>
    <d v="2024-06-04T00:00:00"/>
    <s v="ST29"/>
    <s v="East"/>
    <s v="P12"/>
    <s v="Shoes"/>
    <n v="4"/>
    <n v="2976.06"/>
    <n v="10"/>
    <n v="1746.71"/>
    <x v="1"/>
    <s v="Digital"/>
    <n v="10713.816000000001"/>
    <n v="3726.9760000000006"/>
    <s v="Tuesday"/>
    <b v="0"/>
    <x v="0"/>
  </r>
  <r>
    <s v="NV1048"/>
    <d v="2024-02-22T00:00:00"/>
    <s v="ST4"/>
    <s v="East"/>
    <s v="P13"/>
    <s v="Clothing"/>
    <n v="3"/>
    <n v="1870.32"/>
    <n v="30"/>
    <n v="1211"/>
    <x v="1"/>
    <s v="Digital"/>
    <n v="3927.6719999999996"/>
    <n v="294.67199999999957"/>
    <s v="Thursday"/>
    <b v="0"/>
    <x v="3"/>
  </r>
  <r>
    <s v="NV1049"/>
    <d v="2024-11-08T00:00:00"/>
    <s v="ST33"/>
    <s v="West"/>
    <s v="P62"/>
    <s v="Shoes"/>
    <n v="3"/>
    <n v="678.8"/>
    <n v="20"/>
    <n v="306.85000000000002"/>
    <x v="0"/>
    <s v="Digital"/>
    <n v="1629.12"/>
    <n v="708.56999999999982"/>
    <s v="Friday"/>
    <b v="0"/>
    <x v="1"/>
  </r>
  <r>
    <s v="NV1050"/>
    <d v="2024-02-03T00:00:00"/>
    <s v="ST48"/>
    <s v="East"/>
    <s v="P11"/>
    <s v="Accessories"/>
    <n v="2"/>
    <n v="660.76"/>
    <n v="20"/>
    <n v="277.81"/>
    <x v="1"/>
    <s v="Cash"/>
    <n v="1057.2160000000001"/>
    <n v="501.59600000000012"/>
    <s v="Saturday"/>
    <b v="1"/>
    <x v="3"/>
  </r>
  <r>
    <s v="NV1051"/>
    <d v="2024-06-01T00:00:00"/>
    <s v="ST41"/>
    <s v="West"/>
    <s v="P81"/>
    <s v="Shoes"/>
    <n v="5"/>
    <n v="1299.05"/>
    <n v="25"/>
    <n v="695.12"/>
    <x v="1"/>
    <s v="Cash"/>
    <n v="4871.4375"/>
    <n v="1395.8375000000001"/>
    <s v="Saturday"/>
    <b v="1"/>
    <x v="0"/>
  </r>
  <r>
    <s v="NV1052"/>
    <d v="2024-04-23T00:00:00"/>
    <s v="ST8"/>
    <s v="South"/>
    <s v="P299"/>
    <s v="Accessories"/>
    <n v="5"/>
    <n v="1793.2"/>
    <n v="30"/>
    <n v="743.11"/>
    <x v="0"/>
    <s v="Cash"/>
    <n v="6276.2"/>
    <n v="2560.6499999999996"/>
    <s v="Tuesday"/>
    <b v="0"/>
    <x v="8"/>
  </r>
  <r>
    <s v="NV1053"/>
    <d v="2024-04-06T00:00:00"/>
    <s v="ST41"/>
    <s v="South"/>
    <s v="P8"/>
    <s v="Clothing"/>
    <n v="3"/>
    <n v="2613.54"/>
    <n v="25"/>
    <n v="1485.05"/>
    <x v="0"/>
    <s v="Cash"/>
    <n v="5880.4650000000001"/>
    <n v="1425.3150000000005"/>
    <s v="Saturday"/>
    <b v="1"/>
    <x v="8"/>
  </r>
  <r>
    <s v="NV1054"/>
    <d v="2025-10-01T00:00:00"/>
    <s v="ST37"/>
    <s v="East"/>
    <s v="P157"/>
    <s v="Shoes"/>
    <n v="2"/>
    <n v="491.52"/>
    <n v="5"/>
    <n v="218.83"/>
    <x v="0"/>
    <s v="Digital"/>
    <n v="933.88799999999992"/>
    <n v="496.22799999999989"/>
    <s v="Wednesday"/>
    <b v="0"/>
    <x v="2"/>
  </r>
  <r>
    <s v="NV1055"/>
    <d v="2024-06-16T00:00:00"/>
    <s v="ST13"/>
    <s v="West"/>
    <s v="P126"/>
    <s v="Accessories"/>
    <n v="5"/>
    <n v="2863.81"/>
    <n v="25"/>
    <n v="1193.6099999999999"/>
    <x v="1"/>
    <s v="Digital"/>
    <n v="10739.287499999999"/>
    <n v="4771.2374999999993"/>
    <s v="Sunday"/>
    <b v="1"/>
    <x v="0"/>
  </r>
  <r>
    <s v="NV1056"/>
    <d v="2024-09-05T00:00:00"/>
    <s v="ST15"/>
    <s v="West"/>
    <s v="P64"/>
    <s v="Shoes"/>
    <n v="1"/>
    <n v="1969.19"/>
    <n v="15"/>
    <n v="1353.17"/>
    <x v="0"/>
    <s v="Digital"/>
    <n v="1673.8115"/>
    <n v="320.64149999999995"/>
    <s v="Thursday"/>
    <b v="0"/>
    <x v="6"/>
  </r>
  <r>
    <s v="NV1057"/>
    <d v="2024-07-11T00:00:00"/>
    <s v="ST7"/>
    <s v="South"/>
    <s v="P202"/>
    <s v="Accessories"/>
    <n v="3"/>
    <n v="1462.51"/>
    <n v="25"/>
    <n v="712.12"/>
    <x v="1"/>
    <s v="Digital"/>
    <n v="3290.6475"/>
    <n v="1154.2874999999999"/>
    <s v="Thursday"/>
    <b v="0"/>
    <x v="4"/>
  </r>
  <r>
    <s v="NV1058"/>
    <d v="2024-11-12T00:00:00"/>
    <s v="ST19"/>
    <s v="East"/>
    <s v="P158"/>
    <s v="Shoes"/>
    <n v="4"/>
    <n v="2177.25"/>
    <n v="30"/>
    <n v="884.94"/>
    <x v="0"/>
    <s v="Cash"/>
    <n v="6096.2999999999993"/>
    <n v="2556.5399999999991"/>
    <s v="Tuesday"/>
    <b v="0"/>
    <x v="1"/>
  </r>
  <r>
    <s v="NV1059"/>
    <d v="2024-08-01T00:00:00"/>
    <s v="ST32"/>
    <s v="West"/>
    <s v="P182"/>
    <s v="Accessories"/>
    <n v="3"/>
    <n v="482.46"/>
    <n v="20"/>
    <n v="266.37"/>
    <x v="0"/>
    <s v="Digital"/>
    <n v="1157.904"/>
    <n v="358.79399999999998"/>
    <s v="Thursday"/>
    <b v="0"/>
    <x v="5"/>
  </r>
  <r>
    <s v="NV1060"/>
    <d v="2024-04-27T00:00:00"/>
    <s v="ST34"/>
    <s v="East"/>
    <s v="P253"/>
    <s v="Shoes"/>
    <n v="3"/>
    <n v="1251.3"/>
    <n v="30"/>
    <n v="704.24"/>
    <x v="1"/>
    <s v="Digital"/>
    <n v="2627.7299999999996"/>
    <n v="515.00999999999931"/>
    <s v="Saturday"/>
    <b v="1"/>
    <x v="8"/>
  </r>
  <r>
    <s v="NV1061"/>
    <d v="2025-02-14T00:00:00"/>
    <s v="ST25"/>
    <s v="North"/>
    <s v="P270"/>
    <s v="Shoes"/>
    <n v="3"/>
    <n v="1099.93"/>
    <n v="20"/>
    <n v="625.34"/>
    <x v="0"/>
    <s v="Card"/>
    <n v="2639.8320000000003"/>
    <n v="763.81200000000035"/>
    <s v="Friday"/>
    <b v="0"/>
    <x v="3"/>
  </r>
  <r>
    <s v="NV1062"/>
    <d v="2024-04-24T00:00:00"/>
    <s v="ST53"/>
    <s v="North"/>
    <s v="P195"/>
    <s v="Shoes"/>
    <n v="3"/>
    <n v="626.9"/>
    <n v="0"/>
    <n v="398.37"/>
    <x v="1"/>
    <s v="Digital"/>
    <n v="1880.6999999999998"/>
    <n v="685.58999999999969"/>
    <s v="Wednesday"/>
    <b v="0"/>
    <x v="8"/>
  </r>
  <r>
    <s v="NV1063"/>
    <d v="2025-06-02T00:00:00"/>
    <s v="ST24"/>
    <s v="East"/>
    <s v="P76"/>
    <s v="Accessories"/>
    <n v="3"/>
    <n v="1479.58"/>
    <n v="25"/>
    <n v="700.58"/>
    <x v="1"/>
    <s v="Cash"/>
    <n v="3329.0549999999998"/>
    <n v="1227.3149999999996"/>
    <s v="Monday"/>
    <b v="0"/>
    <x v="0"/>
  </r>
  <r>
    <s v="NV1064"/>
    <d v="2025-04-15T00:00:00"/>
    <s v="ST30"/>
    <s v="South"/>
    <s v="P114"/>
    <s v="Accessories"/>
    <n v="2"/>
    <n v="776.93"/>
    <n v="15"/>
    <n v="382.95"/>
    <x v="0"/>
    <s v="Digital"/>
    <n v="1320.7809999999999"/>
    <n v="554.88099999999997"/>
    <s v="Tuesday"/>
    <b v="0"/>
    <x v="8"/>
  </r>
  <r>
    <s v="NV1065"/>
    <d v="2025-09-10T00:00:00"/>
    <s v="ST31"/>
    <s v="South"/>
    <s v="P209"/>
    <s v="Shoes"/>
    <n v="2"/>
    <n v="950.36"/>
    <n v="20"/>
    <n v="430.38"/>
    <x v="0"/>
    <s v="Digital"/>
    <n v="1520.576"/>
    <n v="659.81600000000003"/>
    <s v="Wednesday"/>
    <b v="0"/>
    <x v="6"/>
  </r>
  <r>
    <s v="NV1066"/>
    <d v="2025-01-16T00:00:00"/>
    <s v="ST47"/>
    <s v="West"/>
    <s v="P75"/>
    <s v="Clothing"/>
    <n v="2"/>
    <n v="2210.2399999999998"/>
    <n v="5"/>
    <n v="1196.27"/>
    <x v="1"/>
    <s v="Cash"/>
    <n v="4199.4559999999992"/>
    <n v="1806.9159999999993"/>
    <s v="Thursday"/>
    <b v="0"/>
    <x v="10"/>
  </r>
  <r>
    <s v="NV1067"/>
    <d v="2025-05-06T00:00:00"/>
    <s v="ST39"/>
    <s v="South"/>
    <s v="P99"/>
    <s v="Accessories"/>
    <n v="1"/>
    <n v="848.32"/>
    <n v="20"/>
    <n v="566.14"/>
    <x v="0"/>
    <s v="Card"/>
    <n v="678.65600000000006"/>
    <n v="112.51600000000008"/>
    <s v="Tuesday"/>
    <b v="0"/>
    <x v="9"/>
  </r>
  <r>
    <s v="NV1068"/>
    <d v="2025-03-29T00:00:00"/>
    <s v="ST51"/>
    <s v="East"/>
    <s v="P85"/>
    <s v="Shoes"/>
    <n v="4"/>
    <n v="1047.29"/>
    <n v="20"/>
    <n v="535.01"/>
    <x v="1"/>
    <s v="Digital"/>
    <n v="3351.328"/>
    <n v="1211.288"/>
    <s v="Saturday"/>
    <b v="1"/>
    <x v="7"/>
  </r>
  <r>
    <s v="NV1069"/>
    <d v="2025-07-08T00:00:00"/>
    <s v="ST42"/>
    <s v="West"/>
    <s v="P246"/>
    <s v="Accessories"/>
    <n v="1"/>
    <n v="2876.49"/>
    <n v="5"/>
    <n v="1387.84"/>
    <x v="1"/>
    <s v="Digital"/>
    <n v="2732.6654999999996"/>
    <n v="1344.8254999999997"/>
    <s v="Tuesday"/>
    <b v="0"/>
    <x v="4"/>
  </r>
  <r>
    <s v="NV1070"/>
    <d v="2024-05-30T00:00:00"/>
    <s v="ST30"/>
    <s v="East"/>
    <s v="P232"/>
    <s v="Shoes"/>
    <n v="5"/>
    <n v="2424.1"/>
    <n v="0"/>
    <n v="1277.3800000000001"/>
    <x v="0"/>
    <s v="Card"/>
    <n v="12120.5"/>
    <n v="5733.5999999999995"/>
    <s v="Thursday"/>
    <b v="0"/>
    <x v="9"/>
  </r>
  <r>
    <s v="NV1071"/>
    <d v="2025-03-05T00:00:00"/>
    <s v="ST44"/>
    <s v="North"/>
    <s v="P204"/>
    <s v="Clothing"/>
    <n v="4"/>
    <n v="1781.86"/>
    <n v="0"/>
    <n v="960.74"/>
    <x v="0"/>
    <s v="Card"/>
    <n v="7127.44"/>
    <n v="3284.4799999999996"/>
    <s v="Wednesday"/>
    <b v="0"/>
    <x v="7"/>
  </r>
  <r>
    <s v="NV1072"/>
    <d v="2024-05-01T00:00:00"/>
    <s v="ST52"/>
    <s v="North"/>
    <s v="P1"/>
    <s v="Clothing"/>
    <n v="3"/>
    <n v="408.8"/>
    <n v="20"/>
    <n v="225.99"/>
    <x v="1"/>
    <s v="Cash"/>
    <n v="981.12000000000012"/>
    <n v="303.15000000000009"/>
    <s v="Wednesday"/>
    <b v="0"/>
    <x v="9"/>
  </r>
  <r>
    <s v="NV1073"/>
    <d v="2024-10-23T00:00:00"/>
    <s v="ST47"/>
    <s v="North"/>
    <s v="P218"/>
    <s v="Shoes"/>
    <n v="2"/>
    <n v="2567.9"/>
    <n v="5"/>
    <n v="1075.68"/>
    <x v="1"/>
    <s v="Card"/>
    <n v="4879.01"/>
    <n v="2727.65"/>
    <s v="Wednesday"/>
    <b v="0"/>
    <x v="2"/>
  </r>
  <r>
    <s v="NV1074"/>
    <d v="2024-08-05T00:00:00"/>
    <s v="ST52"/>
    <s v="West"/>
    <s v="P3"/>
    <s v="Clothing"/>
    <n v="2"/>
    <n v="968.87"/>
    <n v="25"/>
    <n v="498.58"/>
    <x v="1"/>
    <s v="Cash"/>
    <n v="1453.3050000000001"/>
    <n v="456.1450000000001"/>
    <s v="Monday"/>
    <b v="0"/>
    <x v="5"/>
  </r>
  <r>
    <s v="NV1075"/>
    <d v="2025-01-22T00:00:00"/>
    <s v="ST47"/>
    <s v="West"/>
    <s v="P57"/>
    <s v="Clothing"/>
    <n v="1"/>
    <n v="1566.14"/>
    <n v="20"/>
    <n v="1090.77"/>
    <x v="0"/>
    <s v="Digital"/>
    <n v="1252.9120000000003"/>
    <n v="162.14200000000028"/>
    <s v="Wednesday"/>
    <b v="0"/>
    <x v="10"/>
  </r>
  <r>
    <s v="NV1076"/>
    <d v="2025-10-10T00:00:00"/>
    <s v="ST4"/>
    <s v="North"/>
    <s v="P77"/>
    <s v="Accessories"/>
    <n v="1"/>
    <n v="557.03"/>
    <n v="15"/>
    <n v="323.89999999999998"/>
    <x v="1"/>
    <s v="Card"/>
    <n v="473.47549999999995"/>
    <n v="149.57549999999998"/>
    <s v="Friday"/>
    <b v="0"/>
    <x v="2"/>
  </r>
  <r>
    <s v="NV1077"/>
    <d v="2024-04-28T00:00:00"/>
    <s v="ST57"/>
    <s v="South"/>
    <s v="P224"/>
    <s v="Shoes"/>
    <n v="3"/>
    <n v="1037.49"/>
    <n v="10"/>
    <n v="472.09"/>
    <x v="0"/>
    <s v="Card"/>
    <n v="2801.2230000000004"/>
    <n v="1384.9530000000004"/>
    <s v="Sunday"/>
    <b v="1"/>
    <x v="8"/>
  </r>
  <r>
    <s v="NV1078"/>
    <d v="2024-11-10T00:00:00"/>
    <s v="ST36"/>
    <s v="North"/>
    <s v="P156"/>
    <s v="Clothing"/>
    <n v="5"/>
    <n v="2665.38"/>
    <n v="0"/>
    <n v="1646.66"/>
    <x v="1"/>
    <s v="Digital"/>
    <n v="13326.900000000001"/>
    <n v="5093.6000000000004"/>
    <s v="Sunday"/>
    <b v="1"/>
    <x v="1"/>
  </r>
  <r>
    <s v="NV1079"/>
    <d v="2025-10-31T00:00:00"/>
    <s v="ST38"/>
    <s v="South"/>
    <s v="P73"/>
    <s v="Clothing"/>
    <n v="5"/>
    <n v="801.47"/>
    <n v="30"/>
    <n v="515.75"/>
    <x v="0"/>
    <s v="Digital"/>
    <n v="2805.145"/>
    <n v="226.39499999999998"/>
    <s v="Friday"/>
    <b v="0"/>
    <x v="2"/>
  </r>
  <r>
    <s v="NV1080"/>
    <d v="2025-02-26T00:00:00"/>
    <s v="ST53"/>
    <s v="West"/>
    <s v="P208"/>
    <s v="Accessories"/>
    <n v="3"/>
    <n v="1944.1"/>
    <n v="10"/>
    <n v="952.58"/>
    <x v="1"/>
    <s v="Cash"/>
    <n v="5249.07"/>
    <n v="2391.3299999999995"/>
    <s v="Wednesday"/>
    <b v="0"/>
    <x v="3"/>
  </r>
  <r>
    <s v="NV1081"/>
    <d v="2024-08-23T00:00:00"/>
    <s v="ST58"/>
    <s v="South"/>
    <s v="P77"/>
    <s v="Accessories"/>
    <n v="5"/>
    <n v="2269.36"/>
    <n v="15"/>
    <n v="1533.21"/>
    <x v="1"/>
    <s v="Card"/>
    <n v="9644.7800000000007"/>
    <n v="1978.7300000000005"/>
    <s v="Friday"/>
    <b v="0"/>
    <x v="5"/>
  </r>
  <r>
    <s v="NV1082"/>
    <d v="2024-02-04T00:00:00"/>
    <s v="ST3"/>
    <s v="East"/>
    <s v="P88"/>
    <s v="Clothing"/>
    <n v="4"/>
    <n v="1541.29"/>
    <n v="25"/>
    <n v="625.97"/>
    <x v="1"/>
    <s v="Digital"/>
    <n v="4623.87"/>
    <n v="2119.9899999999998"/>
    <s v="Sunday"/>
    <b v="1"/>
    <x v="3"/>
  </r>
  <r>
    <s v="NV1083"/>
    <d v="2024-07-15T00:00:00"/>
    <s v="ST6"/>
    <s v="West"/>
    <s v="P31"/>
    <s v="Clothing"/>
    <n v="3"/>
    <n v="2571.4299999999998"/>
    <n v="5"/>
    <n v="1349.83"/>
    <x v="1"/>
    <s v="Cash"/>
    <n v="7328.575499999999"/>
    <n v="3279.0854999999992"/>
    <s v="Monday"/>
    <b v="0"/>
    <x v="4"/>
  </r>
  <r>
    <s v="NV1084"/>
    <d v="2025-02-11T00:00:00"/>
    <s v="ST16"/>
    <s v="North"/>
    <s v="P245"/>
    <s v="Clothing"/>
    <n v="5"/>
    <n v="357.76"/>
    <n v="25"/>
    <n v="214.79"/>
    <x v="1"/>
    <s v="Digital"/>
    <n v="1341.6"/>
    <n v="267.64999999999986"/>
    <s v="Tuesday"/>
    <b v="0"/>
    <x v="3"/>
  </r>
  <r>
    <s v="NV1085"/>
    <d v="2024-03-01T00:00:00"/>
    <s v="ST39"/>
    <s v="West"/>
    <s v="P33"/>
    <s v="Accessories"/>
    <n v="1"/>
    <n v="2331.4499999999998"/>
    <n v="30"/>
    <n v="1159.3699999999999"/>
    <x v="1"/>
    <s v="Digital"/>
    <n v="1632.0149999999999"/>
    <n v="472.64499999999998"/>
    <s v="Friday"/>
    <b v="0"/>
    <x v="7"/>
  </r>
  <r>
    <s v="NV1086"/>
    <d v="2025-01-07T00:00:00"/>
    <s v="ST27"/>
    <s v="South"/>
    <s v="P16"/>
    <s v="Accessories"/>
    <n v="1"/>
    <n v="563.24"/>
    <n v="30"/>
    <n v="338.46"/>
    <x v="0"/>
    <s v="Digital"/>
    <n v="394.26799999999997"/>
    <n v="55.807999999999993"/>
    <s v="Tuesday"/>
    <b v="0"/>
    <x v="10"/>
  </r>
  <r>
    <s v="NV1087"/>
    <d v="2025-05-15T00:00:00"/>
    <s v="ST33"/>
    <s v="West"/>
    <s v="P11"/>
    <s v="Clothing"/>
    <n v="2"/>
    <n v="2097.27"/>
    <n v="5"/>
    <n v="1208.68"/>
    <x v="1"/>
    <s v="Digital"/>
    <n v="3984.8129999999996"/>
    <n v="1567.4529999999995"/>
    <s v="Thursday"/>
    <b v="0"/>
    <x v="9"/>
  </r>
  <r>
    <s v="NV1088"/>
    <d v="2025-03-24T00:00:00"/>
    <s v="ST44"/>
    <s v="North"/>
    <s v="P260"/>
    <s v="Shoes"/>
    <n v="1"/>
    <n v="1179.8699999999999"/>
    <n v="10"/>
    <n v="790.38"/>
    <x v="0"/>
    <s v="Card"/>
    <n v="1061.883"/>
    <n v="271.50300000000004"/>
    <s v="Monday"/>
    <b v="0"/>
    <x v="7"/>
  </r>
  <r>
    <s v="NV1089"/>
    <d v="2024-11-17T00:00:00"/>
    <s v="ST47"/>
    <s v="East"/>
    <s v="P166"/>
    <s v="Accessories"/>
    <n v="5"/>
    <n v="326.57"/>
    <n v="5"/>
    <n v="190.76"/>
    <x v="0"/>
    <s v="Cash"/>
    <n v="1551.2074999999998"/>
    <n v="597.4074999999998"/>
    <s v="Sunday"/>
    <b v="1"/>
    <x v="1"/>
  </r>
  <r>
    <s v="NV1090"/>
    <d v="2025-03-29T00:00:00"/>
    <s v="ST54"/>
    <s v="East"/>
    <s v="P3"/>
    <s v="Clothing"/>
    <n v="4"/>
    <n v="2127.39"/>
    <n v="15"/>
    <n v="1158.8699999999999"/>
    <x v="0"/>
    <s v="Cash"/>
    <n v="7233.1259999999993"/>
    <n v="2597.6459999999997"/>
    <s v="Saturday"/>
    <b v="1"/>
    <x v="7"/>
  </r>
  <r>
    <s v="NV1091"/>
    <d v="2024-04-10T00:00:00"/>
    <s v="ST15"/>
    <s v="South"/>
    <s v="P226"/>
    <s v="Clothing"/>
    <n v="5"/>
    <n v="2133.9899999999998"/>
    <n v="10"/>
    <n v="1158.81"/>
    <x v="1"/>
    <s v="Digital"/>
    <n v="9602.9549999999999"/>
    <n v="3808.9050000000007"/>
    <s v="Wednesday"/>
    <b v="0"/>
    <x v="8"/>
  </r>
  <r>
    <s v="NV1092"/>
    <d v="2024-07-13T00:00:00"/>
    <s v="ST22"/>
    <s v="East"/>
    <s v="P57"/>
    <s v="Accessories"/>
    <n v="3"/>
    <n v="2951.71"/>
    <n v="0"/>
    <n v="1524.17"/>
    <x v="0"/>
    <s v="Cash"/>
    <n v="8855.130000000001"/>
    <n v="4282.6200000000008"/>
    <s v="Saturday"/>
    <b v="1"/>
    <x v="4"/>
  </r>
  <r>
    <s v="NV1093"/>
    <d v="2025-05-15T00:00:00"/>
    <s v="ST1"/>
    <s v="West"/>
    <s v="P223"/>
    <s v="Accessories"/>
    <n v="3"/>
    <n v="756.75"/>
    <n v="0"/>
    <n v="427.87"/>
    <x v="0"/>
    <s v="Card"/>
    <n v="2270.25"/>
    <n v="986.63999999999987"/>
    <s v="Thursday"/>
    <b v="0"/>
    <x v="9"/>
  </r>
  <r>
    <s v="NV1094"/>
    <d v="2025-07-02T00:00:00"/>
    <s v="ST2"/>
    <s v="West"/>
    <s v="P276"/>
    <s v="Shoes"/>
    <n v="4"/>
    <n v="2022"/>
    <n v="10"/>
    <n v="845.55"/>
    <x v="0"/>
    <s v="Cash"/>
    <n v="7279.2"/>
    <n v="3897"/>
    <s v="Wednesday"/>
    <b v="0"/>
    <x v="4"/>
  </r>
  <r>
    <s v="NV1095"/>
    <d v="2025-05-28T00:00:00"/>
    <s v="ST37"/>
    <s v="East"/>
    <s v="P244"/>
    <s v="Clothing"/>
    <n v="1"/>
    <n v="1960.63"/>
    <n v="5"/>
    <n v="1282.7"/>
    <x v="1"/>
    <s v="Card"/>
    <n v="1862.5985000000001"/>
    <n v="579.89850000000001"/>
    <s v="Wednesday"/>
    <b v="0"/>
    <x v="9"/>
  </r>
  <r>
    <s v="NV1096"/>
    <d v="2025-08-31T00:00:00"/>
    <s v="ST40"/>
    <s v="West"/>
    <s v="P154"/>
    <s v="Shoes"/>
    <n v="3"/>
    <n v="2638.5"/>
    <n v="20"/>
    <n v="1693.79"/>
    <x v="0"/>
    <s v="Cash"/>
    <n v="6332.4000000000005"/>
    <n v="1251.0300000000007"/>
    <s v="Sunday"/>
    <b v="1"/>
    <x v="5"/>
  </r>
  <r>
    <s v="NV1097"/>
    <d v="2025-10-20T00:00:00"/>
    <s v="ST56"/>
    <s v="North"/>
    <s v="P227"/>
    <s v="Shoes"/>
    <n v="1"/>
    <n v="2828.09"/>
    <n v="25"/>
    <n v="1951.94"/>
    <x v="0"/>
    <s v="Cash"/>
    <n v="2121.0675000000001"/>
    <n v="169.12750000000005"/>
    <s v="Monday"/>
    <b v="0"/>
    <x v="2"/>
  </r>
  <r>
    <s v="NV1098"/>
    <d v="2024-06-19T00:00:00"/>
    <s v="ST19"/>
    <s v="East"/>
    <s v="P19"/>
    <s v="Shoes"/>
    <n v="4"/>
    <n v="2211.65"/>
    <n v="0"/>
    <n v="1350.7"/>
    <x v="1"/>
    <s v="Digital"/>
    <n v="8846.6"/>
    <n v="3443.8"/>
    <s v="Wednesday"/>
    <b v="0"/>
    <x v="0"/>
  </r>
  <r>
    <s v="NV1099"/>
    <d v="2024-08-30T00:00:00"/>
    <s v="ST5"/>
    <s v="West"/>
    <s v="P71"/>
    <s v="Clothing"/>
    <n v="1"/>
    <n v="815.17"/>
    <n v="5"/>
    <n v="418.67"/>
    <x v="0"/>
    <s v="Card"/>
    <n v="774.41149999999993"/>
    <n v="355.74149999999992"/>
    <s v="Friday"/>
    <b v="0"/>
    <x v="5"/>
  </r>
  <r>
    <s v="NV1100"/>
    <d v="2024-12-04T00:00:00"/>
    <s v="ST36"/>
    <s v="South"/>
    <s v="P213"/>
    <s v="Accessories"/>
    <n v="5"/>
    <n v="1971.94"/>
    <n v="15"/>
    <n v="1310.08"/>
    <x v="0"/>
    <s v="Digital"/>
    <n v="8380.7450000000008"/>
    <n v="1830.3450000000012"/>
    <s v="Wednesday"/>
    <b v="0"/>
    <x v="11"/>
  </r>
  <r>
    <s v="NV1101"/>
    <d v="2024-09-23T00:00:00"/>
    <s v="ST29"/>
    <s v="South"/>
    <s v="P54"/>
    <s v="Clothing"/>
    <n v="2"/>
    <n v="1304.26"/>
    <n v="5"/>
    <n v="616.77"/>
    <x v="0"/>
    <s v="Card"/>
    <n v="2478.0940000000001"/>
    <n v="1244.5540000000001"/>
    <s v="Monday"/>
    <b v="0"/>
    <x v="6"/>
  </r>
  <r>
    <s v="NV1102"/>
    <d v="2024-10-04T00:00:00"/>
    <s v="ST26"/>
    <s v="North"/>
    <s v="P119"/>
    <s v="Accessories"/>
    <n v="3"/>
    <n v="2821.41"/>
    <n v="5"/>
    <n v="1852.16"/>
    <x v="0"/>
    <s v="Card"/>
    <n v="8041.0184999999992"/>
    <n v="2484.5384999999987"/>
    <s v="Friday"/>
    <b v="0"/>
    <x v="2"/>
  </r>
  <r>
    <s v="NV1103"/>
    <d v="2024-02-05T00:00:00"/>
    <s v="ST16"/>
    <s v="North"/>
    <s v="P142"/>
    <s v="Shoes"/>
    <n v="5"/>
    <n v="598.08000000000004"/>
    <n v="15"/>
    <n v="323.16000000000003"/>
    <x v="0"/>
    <s v="Cash"/>
    <n v="2541.84"/>
    <n v="926.04"/>
    <s v="Monday"/>
    <b v="0"/>
    <x v="3"/>
  </r>
  <r>
    <s v="NV1104"/>
    <d v="2024-01-30T00:00:00"/>
    <s v="ST59"/>
    <s v="South"/>
    <s v="P68"/>
    <s v="Accessories"/>
    <n v="3"/>
    <n v="1425.22"/>
    <n v="20"/>
    <n v="758.23"/>
    <x v="1"/>
    <s v="Digital"/>
    <n v="3420.5280000000002"/>
    <n v="1145.8380000000002"/>
    <s v="Tuesday"/>
    <b v="0"/>
    <x v="10"/>
  </r>
  <r>
    <s v="NV1105"/>
    <d v="2024-05-19T00:00:00"/>
    <s v="ST45"/>
    <s v="South"/>
    <s v="P56"/>
    <s v="Accessories"/>
    <n v="3"/>
    <n v="2874.19"/>
    <n v="0"/>
    <n v="1945.05"/>
    <x v="0"/>
    <s v="Card"/>
    <n v="8622.57"/>
    <n v="2787.42"/>
    <s v="Sunday"/>
    <b v="1"/>
    <x v="9"/>
  </r>
  <r>
    <s v="NV1106"/>
    <d v="2025-09-20T00:00:00"/>
    <s v="ST12"/>
    <s v="West"/>
    <s v="P76"/>
    <s v="Accessories"/>
    <n v="5"/>
    <n v="669.7"/>
    <n v="25"/>
    <n v="307"/>
    <x v="1"/>
    <s v="Digital"/>
    <n v="2511.375"/>
    <n v="976.375"/>
    <s v="Saturday"/>
    <b v="1"/>
    <x v="6"/>
  </r>
  <r>
    <s v="NV1107"/>
    <d v="2024-07-08T00:00:00"/>
    <s v="ST18"/>
    <s v="North"/>
    <s v="P203"/>
    <s v="Accessories"/>
    <n v="5"/>
    <n v="1827.55"/>
    <n v="25"/>
    <n v="1142.23"/>
    <x v="0"/>
    <s v="Cash"/>
    <n v="6853.3125"/>
    <n v="1142.1625000000004"/>
    <s v="Monday"/>
    <b v="0"/>
    <x v="4"/>
  </r>
  <r>
    <s v="NV1108"/>
    <d v="2025-01-16T00:00:00"/>
    <s v="ST29"/>
    <s v="East"/>
    <s v="P80"/>
    <s v="Shoes"/>
    <n v="2"/>
    <n v="2853.51"/>
    <n v="25"/>
    <n v="1555.03"/>
    <x v="0"/>
    <s v="Card"/>
    <n v="4280.2650000000003"/>
    <n v="1170.2050000000004"/>
    <s v="Thursday"/>
    <b v="0"/>
    <x v="10"/>
  </r>
  <r>
    <s v="NV1109"/>
    <d v="2024-10-13T00:00:00"/>
    <s v="ST20"/>
    <s v="North"/>
    <s v="P62"/>
    <s v="Clothing"/>
    <n v="4"/>
    <n v="437.46"/>
    <n v="5"/>
    <n v="289.92"/>
    <x v="0"/>
    <s v="Cash"/>
    <n v="1662.348"/>
    <n v="502.66799999999989"/>
    <s v="Sunday"/>
    <b v="1"/>
    <x v="2"/>
  </r>
  <r>
    <s v="NV1110"/>
    <d v="2025-03-03T00:00:00"/>
    <s v="ST6"/>
    <s v="North"/>
    <s v="P235"/>
    <s v="Accessories"/>
    <n v="2"/>
    <n v="1542.62"/>
    <n v="5"/>
    <n v="864.42"/>
    <x v="0"/>
    <s v="Cash"/>
    <n v="2930.9779999999996"/>
    <n v="1202.1379999999997"/>
    <s v="Monday"/>
    <b v="0"/>
    <x v="7"/>
  </r>
  <r>
    <s v="NV1111"/>
    <d v="2024-09-09T00:00:00"/>
    <s v="ST41"/>
    <s v="South"/>
    <s v="P24"/>
    <s v="Accessories"/>
    <n v="4"/>
    <n v="1134.8699999999999"/>
    <n v="20"/>
    <n v="478.54"/>
    <x v="1"/>
    <s v="Digital"/>
    <n v="3631.5839999999998"/>
    <n v="1717.4239999999998"/>
    <s v="Monday"/>
    <b v="0"/>
    <x v="6"/>
  </r>
  <r>
    <s v="NV1112"/>
    <d v="2025-10-18T00:00:00"/>
    <s v="ST30"/>
    <s v="South"/>
    <s v="P21"/>
    <s v="Shoes"/>
    <n v="1"/>
    <n v="830.51"/>
    <n v="30"/>
    <n v="507.11"/>
    <x v="0"/>
    <s v="Digital"/>
    <n v="581.35699999999997"/>
    <n v="74.246999999999957"/>
    <s v="Saturday"/>
    <b v="1"/>
    <x v="2"/>
  </r>
  <r>
    <s v="NV1113"/>
    <d v="2025-04-30T00:00:00"/>
    <s v="ST21"/>
    <s v="North"/>
    <s v="P118"/>
    <s v="Clothing"/>
    <n v="1"/>
    <n v="1614.68"/>
    <n v="30"/>
    <n v="1081.96"/>
    <x v="1"/>
    <s v="Cash"/>
    <n v="1130.2760000000001"/>
    <n v="48.316000000000031"/>
    <s v="Wednesday"/>
    <b v="0"/>
    <x v="8"/>
  </r>
  <r>
    <s v="NV1114"/>
    <d v="2024-07-23T00:00:00"/>
    <s v="ST51"/>
    <s v="East"/>
    <s v="P48"/>
    <s v="Shoes"/>
    <n v="1"/>
    <n v="1225.0999999999999"/>
    <n v="20"/>
    <n v="747.62"/>
    <x v="0"/>
    <s v="Digital"/>
    <n v="980.07999999999993"/>
    <n v="232.45999999999992"/>
    <s v="Tuesday"/>
    <b v="0"/>
    <x v="4"/>
  </r>
  <r>
    <s v="NV1115"/>
    <d v="2025-09-17T00:00:00"/>
    <s v="ST57"/>
    <s v="East"/>
    <s v="P58"/>
    <s v="Clothing"/>
    <n v="4"/>
    <n v="490.48"/>
    <n v="5"/>
    <n v="283.13"/>
    <x v="0"/>
    <s v="Digital"/>
    <n v="1863.8240000000001"/>
    <n v="731.30400000000009"/>
    <s v="Wednesday"/>
    <b v="0"/>
    <x v="6"/>
  </r>
  <r>
    <s v="NV1116"/>
    <d v="2024-04-19T00:00:00"/>
    <s v="ST39"/>
    <s v="East"/>
    <s v="P73"/>
    <s v="Shoes"/>
    <n v="2"/>
    <n v="2252.79"/>
    <n v="5"/>
    <n v="1018.64"/>
    <x v="0"/>
    <s v="Card"/>
    <n v="4280.3009999999995"/>
    <n v="2243.0209999999997"/>
    <s v="Friday"/>
    <b v="0"/>
    <x v="8"/>
  </r>
  <r>
    <s v="NV1117"/>
    <d v="2025-11-01T00:00:00"/>
    <s v="ST37"/>
    <s v="East"/>
    <s v="P155"/>
    <s v="Clothing"/>
    <n v="2"/>
    <n v="1748.17"/>
    <n v="15"/>
    <n v="1106.75"/>
    <x v="1"/>
    <s v="Digital"/>
    <n v="2971.8890000000001"/>
    <n v="758.38900000000012"/>
    <s v="Saturday"/>
    <b v="1"/>
    <x v="1"/>
  </r>
  <r>
    <s v="NV1118"/>
    <d v="2024-12-24T00:00:00"/>
    <s v="ST60"/>
    <s v="North"/>
    <s v="P157"/>
    <s v="Accessories"/>
    <n v="5"/>
    <n v="1359.37"/>
    <n v="15"/>
    <n v="681.67"/>
    <x v="1"/>
    <s v="Digital"/>
    <n v="5777.3224999999993"/>
    <n v="2368.9724999999994"/>
    <s v="Tuesday"/>
    <b v="0"/>
    <x v="11"/>
  </r>
  <r>
    <s v="NV1119"/>
    <d v="2024-01-20T00:00:00"/>
    <s v="ST21"/>
    <s v="East"/>
    <s v="P24"/>
    <s v="Clothing"/>
    <n v="4"/>
    <n v="1254.32"/>
    <n v="25"/>
    <n v="836.71"/>
    <x v="1"/>
    <s v="Card"/>
    <n v="3762.96"/>
    <n v="416.11999999999989"/>
    <s v="Saturday"/>
    <b v="1"/>
    <x v="10"/>
  </r>
  <r>
    <s v="NV1120"/>
    <d v="2024-08-14T00:00:00"/>
    <s v="ST6"/>
    <s v="West"/>
    <s v="P200"/>
    <s v="Shoes"/>
    <n v="4"/>
    <n v="2604.25"/>
    <n v="5"/>
    <n v="1752.79"/>
    <x v="0"/>
    <s v="Card"/>
    <n v="9896.15"/>
    <n v="2884.99"/>
    <s v="Wednesday"/>
    <b v="0"/>
    <x v="5"/>
  </r>
  <r>
    <s v="NV1121"/>
    <d v="2025-09-22T00:00:00"/>
    <s v="ST30"/>
    <s v="South"/>
    <s v="P174"/>
    <s v="Clothing"/>
    <n v="5"/>
    <n v="1482.51"/>
    <n v="0"/>
    <n v="741.97"/>
    <x v="0"/>
    <s v="Digital"/>
    <n v="7412.55"/>
    <n v="3702.7"/>
    <s v="Monday"/>
    <b v="0"/>
    <x v="6"/>
  </r>
  <r>
    <s v="NV1122"/>
    <d v="2024-10-02T00:00:00"/>
    <s v="ST9"/>
    <s v="South"/>
    <s v="P116"/>
    <s v="Accessories"/>
    <n v="3"/>
    <n v="540.78"/>
    <n v="10"/>
    <n v="332.38"/>
    <x v="0"/>
    <s v="Card"/>
    <n v="1460.106"/>
    <n v="462.96600000000001"/>
    <s v="Wednesday"/>
    <b v="0"/>
    <x v="2"/>
  </r>
  <r>
    <s v="NV1123"/>
    <d v="2024-07-29T00:00:00"/>
    <s v="ST27"/>
    <s v="East"/>
    <s v="P206"/>
    <s v="Accessories"/>
    <n v="3"/>
    <n v="2271.23"/>
    <n v="15"/>
    <n v="1160.82"/>
    <x v="0"/>
    <s v="Card"/>
    <n v="5791.6365000000005"/>
    <n v="2309.1765000000005"/>
    <s v="Monday"/>
    <b v="0"/>
    <x v="4"/>
  </r>
  <r>
    <s v="NV1124"/>
    <d v="2024-08-12T00:00:00"/>
    <s v="ST25"/>
    <s v="East"/>
    <s v="P49"/>
    <s v="Shoes"/>
    <n v="2"/>
    <n v="1968.77"/>
    <n v="5"/>
    <n v="1137.81"/>
    <x v="0"/>
    <s v="Card"/>
    <n v="3740.663"/>
    <n v="1465.0430000000001"/>
    <s v="Monday"/>
    <b v="0"/>
    <x v="5"/>
  </r>
  <r>
    <s v="NV1125"/>
    <d v="2024-01-24T00:00:00"/>
    <s v="ST14"/>
    <s v="East"/>
    <s v="P200"/>
    <s v="Clothing"/>
    <n v="5"/>
    <n v="2797.2"/>
    <n v="10"/>
    <n v="1539.61"/>
    <x v="0"/>
    <s v="Digital"/>
    <n v="12587.4"/>
    <n v="4889.3500000000004"/>
    <s v="Wednesday"/>
    <b v="0"/>
    <x v="10"/>
  </r>
  <r>
    <s v="NV1126"/>
    <d v="2024-01-11T00:00:00"/>
    <s v="ST51"/>
    <s v="West"/>
    <s v="P193"/>
    <s v="Accessories"/>
    <n v="4"/>
    <n v="1439.27"/>
    <n v="10"/>
    <n v="647.4"/>
    <x v="0"/>
    <s v="Digital"/>
    <n v="5181.3720000000003"/>
    <n v="2591.7720000000004"/>
    <s v="Thursday"/>
    <b v="0"/>
    <x v="10"/>
  </r>
  <r>
    <s v="NV1127"/>
    <d v="2024-12-29T00:00:00"/>
    <s v="ST38"/>
    <s v="West"/>
    <s v="P171"/>
    <s v="Accessories"/>
    <n v="2"/>
    <n v="1494.81"/>
    <n v="5"/>
    <n v="610.74"/>
    <x v="0"/>
    <s v="Card"/>
    <n v="2840.1389999999997"/>
    <n v="1618.6589999999997"/>
    <s v="Sunday"/>
    <b v="1"/>
    <x v="11"/>
  </r>
  <r>
    <s v="NV1128"/>
    <d v="2024-11-08T00:00:00"/>
    <s v="ST41"/>
    <s v="East"/>
    <s v="P271"/>
    <s v="Clothing"/>
    <n v="5"/>
    <n v="607.29999999999995"/>
    <n v="0"/>
    <n v="352.79"/>
    <x v="1"/>
    <s v="Card"/>
    <n v="3036.5"/>
    <n v="1272.55"/>
    <s v="Friday"/>
    <b v="0"/>
    <x v="1"/>
  </r>
  <r>
    <s v="NV1129"/>
    <d v="2024-04-28T00:00:00"/>
    <s v="ST20"/>
    <s v="South"/>
    <s v="P63"/>
    <s v="Clothing"/>
    <n v="2"/>
    <n v="1238.99"/>
    <n v="15"/>
    <n v="863.07"/>
    <x v="1"/>
    <s v="Digital"/>
    <n v="2106.2829999999999"/>
    <n v="380.1429999999998"/>
    <s v="Sunday"/>
    <b v="1"/>
    <x v="8"/>
  </r>
  <r>
    <s v="NV1130"/>
    <d v="2025-01-04T00:00:00"/>
    <s v="ST28"/>
    <s v="East"/>
    <s v="P157"/>
    <s v="Shoes"/>
    <n v="4"/>
    <n v="408.53"/>
    <n v="15"/>
    <n v="224.35"/>
    <x v="0"/>
    <s v="Cash"/>
    <n v="1389.002"/>
    <n v="491.60199999999998"/>
    <s v="Saturday"/>
    <b v="1"/>
    <x v="10"/>
  </r>
  <r>
    <s v="NV1131"/>
    <d v="2025-10-05T00:00:00"/>
    <s v="ST33"/>
    <s v="East"/>
    <s v="P141"/>
    <s v="Accessories"/>
    <n v="4"/>
    <n v="1946.77"/>
    <n v="5"/>
    <n v="842.69"/>
    <x v="0"/>
    <s v="Card"/>
    <n v="7397.7259999999997"/>
    <n v="4026.9659999999994"/>
    <s v="Sunday"/>
    <b v="1"/>
    <x v="2"/>
  </r>
  <r>
    <s v="NV1132"/>
    <d v="2025-10-30T00:00:00"/>
    <s v="ST11"/>
    <s v="East"/>
    <s v="P49"/>
    <s v="Shoes"/>
    <n v="2"/>
    <n v="1317.78"/>
    <n v="20"/>
    <n v="741.99"/>
    <x v="0"/>
    <s v="Cash"/>
    <n v="2108.4479999999999"/>
    <n v="624.46799999999985"/>
    <s v="Thursday"/>
    <b v="0"/>
    <x v="2"/>
  </r>
  <r>
    <s v="NV1133"/>
    <d v="2025-06-07T00:00:00"/>
    <s v="ST7"/>
    <s v="West"/>
    <s v="P257"/>
    <s v="Accessories"/>
    <n v="1"/>
    <n v="736.08"/>
    <n v="20"/>
    <n v="419.94"/>
    <x v="1"/>
    <s v="Digital"/>
    <n v="588.86400000000003"/>
    <n v="168.92400000000004"/>
    <s v="Saturday"/>
    <b v="1"/>
    <x v="0"/>
  </r>
  <r>
    <s v="NV1134"/>
    <d v="2025-08-14T00:00:00"/>
    <s v="ST27"/>
    <s v="South"/>
    <s v="P282"/>
    <s v="Clothing"/>
    <n v="4"/>
    <n v="1467.1"/>
    <n v="15"/>
    <n v="887.54"/>
    <x v="0"/>
    <s v="Card"/>
    <n v="4988.1399999999994"/>
    <n v="1437.9799999999996"/>
    <s v="Thursday"/>
    <b v="0"/>
    <x v="5"/>
  </r>
  <r>
    <s v="NV1135"/>
    <d v="2025-11-24T00:00:00"/>
    <s v="ST24"/>
    <s v="North"/>
    <s v="P173"/>
    <s v="Shoes"/>
    <n v="2"/>
    <n v="2776.74"/>
    <n v="0"/>
    <n v="1172.31"/>
    <x v="0"/>
    <s v="Card"/>
    <n v="5553.48"/>
    <n v="3208.8599999999997"/>
    <s v="Monday"/>
    <b v="0"/>
    <x v="1"/>
  </r>
  <r>
    <s v="NV1136"/>
    <d v="2024-07-22T00:00:00"/>
    <s v="ST11"/>
    <s v="West"/>
    <s v="P258"/>
    <s v="Clothing"/>
    <n v="2"/>
    <n v="1489.83"/>
    <n v="10"/>
    <n v="711.67"/>
    <x v="1"/>
    <s v="Cash"/>
    <n v="2681.694"/>
    <n v="1258.354"/>
    <s v="Monday"/>
    <b v="0"/>
    <x v="4"/>
  </r>
  <r>
    <s v="NV1137"/>
    <d v="2025-10-27T00:00:00"/>
    <s v="ST25"/>
    <s v="East"/>
    <s v="P108"/>
    <s v="Accessories"/>
    <n v="1"/>
    <n v="1915.7"/>
    <n v="25"/>
    <n v="953.78"/>
    <x v="1"/>
    <s v="Digital"/>
    <n v="1436.7750000000001"/>
    <n v="482.99500000000012"/>
    <s v="Monday"/>
    <b v="0"/>
    <x v="2"/>
  </r>
  <r>
    <s v="NV1138"/>
    <d v="2024-11-04T00:00:00"/>
    <s v="ST18"/>
    <s v="South"/>
    <s v="P38"/>
    <s v="Shoes"/>
    <n v="4"/>
    <n v="1866.5"/>
    <n v="0"/>
    <n v="924.8"/>
    <x v="0"/>
    <s v="Digital"/>
    <n v="7466"/>
    <n v="3766.8"/>
    <s v="Monday"/>
    <b v="0"/>
    <x v="1"/>
  </r>
  <r>
    <s v="NV1139"/>
    <d v="2025-03-31T00:00:00"/>
    <s v="ST18"/>
    <s v="East"/>
    <s v="P297"/>
    <s v="Clothing"/>
    <n v="4"/>
    <n v="2195.58"/>
    <n v="10"/>
    <n v="986.91"/>
    <x v="0"/>
    <s v="Digital"/>
    <n v="7904.0879999999997"/>
    <n v="3956.4479999999999"/>
    <s v="Monday"/>
    <b v="0"/>
    <x v="7"/>
  </r>
  <r>
    <s v="NV1140"/>
    <d v="2024-01-05T00:00:00"/>
    <s v="ST57"/>
    <s v="East"/>
    <s v="P84"/>
    <s v="Accessories"/>
    <n v="4"/>
    <n v="815.65"/>
    <n v="30"/>
    <n v="445.28"/>
    <x v="0"/>
    <s v="Digital"/>
    <n v="2283.8199999999997"/>
    <n v="502.69999999999982"/>
    <s v="Friday"/>
    <b v="0"/>
    <x v="10"/>
  </r>
  <r>
    <s v="NV1141"/>
    <d v="2025-04-11T00:00:00"/>
    <s v="ST17"/>
    <s v="West"/>
    <s v="P5"/>
    <s v="Accessories"/>
    <n v="5"/>
    <n v="308.27999999999997"/>
    <n v="30"/>
    <n v="186.92"/>
    <x v="1"/>
    <s v="Cash"/>
    <n v="1078.9799999999998"/>
    <n v="144.37999999999988"/>
    <s v="Friday"/>
    <b v="0"/>
    <x v="8"/>
  </r>
  <r>
    <s v="NV1142"/>
    <d v="2025-11-20T00:00:00"/>
    <s v="ST15"/>
    <s v="North"/>
    <s v="P256"/>
    <s v="Shoes"/>
    <n v="5"/>
    <n v="1194.3900000000001"/>
    <n v="0"/>
    <n v="513.41"/>
    <x v="1"/>
    <s v="Cash"/>
    <n v="5971.9500000000007"/>
    <n v="3404.900000000001"/>
    <s v="Thursday"/>
    <b v="0"/>
    <x v="1"/>
  </r>
  <r>
    <s v="NV1143"/>
    <d v="2025-07-18T00:00:00"/>
    <s v="ST12"/>
    <s v="North"/>
    <s v="P150"/>
    <s v="Shoes"/>
    <n v="1"/>
    <n v="2259.21"/>
    <n v="20"/>
    <n v="1547.93"/>
    <x v="0"/>
    <s v="Card"/>
    <n v="1807.3680000000002"/>
    <n v="259.4380000000001"/>
    <s v="Friday"/>
    <b v="0"/>
    <x v="4"/>
  </r>
  <r>
    <s v="NV1144"/>
    <d v="2025-10-20T00:00:00"/>
    <s v="ST38"/>
    <s v="East"/>
    <s v="P192"/>
    <s v="Clothing"/>
    <n v="2"/>
    <n v="459.06"/>
    <n v="15"/>
    <n v="265.02999999999997"/>
    <x v="1"/>
    <s v="Card"/>
    <n v="780.40199999999993"/>
    <n v="250.34199999999998"/>
    <s v="Monday"/>
    <b v="0"/>
    <x v="2"/>
  </r>
  <r>
    <s v="NV1145"/>
    <d v="2025-02-28T00:00:00"/>
    <s v="ST27"/>
    <s v="South"/>
    <s v="P123"/>
    <s v="Shoes"/>
    <n v="1"/>
    <n v="2088.35"/>
    <n v="10"/>
    <n v="902.76"/>
    <x v="1"/>
    <s v="Cash"/>
    <n v="1879.5149999999999"/>
    <n v="976.75499999999988"/>
    <s v="Friday"/>
    <b v="0"/>
    <x v="3"/>
  </r>
  <r>
    <s v="NV1146"/>
    <d v="2025-10-18T00:00:00"/>
    <s v="ST29"/>
    <s v="North"/>
    <s v="P201"/>
    <s v="Shoes"/>
    <n v="4"/>
    <n v="630.37"/>
    <n v="20"/>
    <n v="325.08"/>
    <x v="1"/>
    <s v="Digital"/>
    <n v="2017.1840000000002"/>
    <n v="716.86400000000026"/>
    <s v="Saturday"/>
    <b v="1"/>
    <x v="2"/>
  </r>
  <r>
    <s v="NV1147"/>
    <d v="2025-04-22T00:00:00"/>
    <s v="ST17"/>
    <s v="South"/>
    <s v="P111"/>
    <s v="Shoes"/>
    <n v="5"/>
    <n v="2151.19"/>
    <n v="5"/>
    <n v="1302.8"/>
    <x v="0"/>
    <s v="Digital"/>
    <n v="10218.1525"/>
    <n v="3704.1525000000001"/>
    <s v="Tuesday"/>
    <b v="0"/>
    <x v="8"/>
  </r>
  <r>
    <s v="NV1148"/>
    <d v="2024-10-02T00:00:00"/>
    <s v="ST56"/>
    <s v="East"/>
    <s v="P208"/>
    <s v="Accessories"/>
    <n v="5"/>
    <n v="2069.6999999999998"/>
    <n v="10"/>
    <n v="1437.92"/>
    <x v="1"/>
    <s v="Cash"/>
    <n v="9313.65"/>
    <n v="2124.0499999999993"/>
    <s v="Wednesday"/>
    <b v="0"/>
    <x v="2"/>
  </r>
  <r>
    <s v="NV1149"/>
    <d v="2025-01-30T00:00:00"/>
    <s v="ST13"/>
    <s v="East"/>
    <s v="P200"/>
    <s v="Clothing"/>
    <n v="4"/>
    <n v="938.93"/>
    <n v="15"/>
    <n v="503.81"/>
    <x v="0"/>
    <s v="Digital"/>
    <n v="3192.3619999999996"/>
    <n v="1177.1219999999996"/>
    <s v="Thursday"/>
    <b v="0"/>
    <x v="10"/>
  </r>
  <r>
    <s v="NV1150"/>
    <d v="2024-07-24T00:00:00"/>
    <s v="ST2"/>
    <s v="South"/>
    <s v="P188"/>
    <s v="Accessories"/>
    <n v="2"/>
    <n v="1342.71"/>
    <n v="5"/>
    <n v="865.89"/>
    <x v="0"/>
    <s v="Card"/>
    <n v="2551.1489999999999"/>
    <n v="819.36899999999991"/>
    <s v="Wednesday"/>
    <b v="0"/>
    <x v="4"/>
  </r>
  <r>
    <s v="NV1151"/>
    <d v="2024-11-20T00:00:00"/>
    <s v="ST31"/>
    <s v="West"/>
    <s v="P272"/>
    <s v="Accessories"/>
    <n v="4"/>
    <n v="1331.55"/>
    <n v="0"/>
    <n v="546.16"/>
    <x v="0"/>
    <s v="Card"/>
    <n v="5326.2"/>
    <n v="3141.56"/>
    <s v="Wednesday"/>
    <b v="0"/>
    <x v="1"/>
  </r>
  <r>
    <s v="NV1152"/>
    <d v="2024-01-02T00:00:00"/>
    <s v="ST9"/>
    <s v="East"/>
    <s v="P244"/>
    <s v="Accessories"/>
    <n v="3"/>
    <n v="2293.23"/>
    <n v="30"/>
    <n v="1197.82"/>
    <x v="0"/>
    <s v="Digital"/>
    <n v="4815.7830000000004"/>
    <n v="1222.3230000000003"/>
    <s v="Tuesday"/>
    <b v="0"/>
    <x v="10"/>
  </r>
  <r>
    <s v="NV1153"/>
    <d v="2024-05-21T00:00:00"/>
    <s v="ST35"/>
    <s v="East"/>
    <s v="P240"/>
    <s v="Clothing"/>
    <n v="2"/>
    <n v="2830.44"/>
    <n v="30"/>
    <n v="1257.1300000000001"/>
    <x v="1"/>
    <s v="Cash"/>
    <n v="3962.616"/>
    <n v="1448.3559999999998"/>
    <s v="Tuesday"/>
    <b v="0"/>
    <x v="9"/>
  </r>
  <r>
    <s v="NV1154"/>
    <d v="2024-06-15T00:00:00"/>
    <s v="ST2"/>
    <s v="West"/>
    <s v="P173"/>
    <s v="Clothing"/>
    <n v="4"/>
    <n v="1965.17"/>
    <n v="15"/>
    <n v="1241.5"/>
    <x v="1"/>
    <s v="Digital"/>
    <n v="6681.5780000000004"/>
    <n v="1715.5780000000004"/>
    <s v="Saturday"/>
    <b v="1"/>
    <x v="0"/>
  </r>
  <r>
    <s v="NV1155"/>
    <d v="2024-12-10T00:00:00"/>
    <s v="ST54"/>
    <s v="West"/>
    <s v="P284"/>
    <s v="Accessories"/>
    <n v="1"/>
    <n v="2083.12"/>
    <n v="10"/>
    <n v="1185.4100000000001"/>
    <x v="1"/>
    <s v="Digital"/>
    <n v="1874.808"/>
    <n v="689.39799999999991"/>
    <s v="Tuesday"/>
    <b v="0"/>
    <x v="11"/>
  </r>
  <r>
    <s v="NV1156"/>
    <d v="2025-05-20T00:00:00"/>
    <s v="ST48"/>
    <s v="North"/>
    <s v="P264"/>
    <s v="Clothing"/>
    <n v="3"/>
    <n v="882.39"/>
    <n v="10"/>
    <n v="568.86"/>
    <x v="1"/>
    <s v="Cash"/>
    <n v="2382.453"/>
    <n v="675.87300000000005"/>
    <s v="Tuesday"/>
    <b v="0"/>
    <x v="9"/>
  </r>
  <r>
    <s v="NV1157"/>
    <d v="2025-06-06T00:00:00"/>
    <s v="ST29"/>
    <s v="East"/>
    <s v="P192"/>
    <s v="Accessories"/>
    <n v="5"/>
    <n v="2622.17"/>
    <n v="25"/>
    <n v="1297.28"/>
    <x v="1"/>
    <s v="Card"/>
    <n v="9833.1375000000007"/>
    <n v="3346.7375000000011"/>
    <s v="Friday"/>
    <b v="0"/>
    <x v="0"/>
  </r>
  <r>
    <s v="NV1158"/>
    <d v="2025-11-13T00:00:00"/>
    <s v="ST6"/>
    <s v="South"/>
    <s v="P25"/>
    <s v="Shoes"/>
    <n v="2"/>
    <n v="2819.92"/>
    <n v="20"/>
    <n v="1335.27"/>
    <x v="1"/>
    <s v="Digital"/>
    <n v="4511.8720000000003"/>
    <n v="1841.3320000000003"/>
    <s v="Thursday"/>
    <b v="0"/>
    <x v="1"/>
  </r>
  <r>
    <s v="NV1159"/>
    <d v="2024-05-14T00:00:00"/>
    <s v="ST5"/>
    <s v="West"/>
    <s v="P151"/>
    <s v="Clothing"/>
    <n v="3"/>
    <n v="2651.64"/>
    <n v="20"/>
    <n v="1165.58"/>
    <x v="0"/>
    <s v="Card"/>
    <n v="6363.9360000000006"/>
    <n v="2867.1960000000008"/>
    <s v="Tuesday"/>
    <b v="0"/>
    <x v="9"/>
  </r>
  <r>
    <s v="NV1160"/>
    <d v="2024-11-08T00:00:00"/>
    <s v="ST40"/>
    <s v="South"/>
    <s v="P157"/>
    <s v="Accessories"/>
    <n v="2"/>
    <n v="2731.84"/>
    <n v="5"/>
    <n v="1742.73"/>
    <x v="1"/>
    <s v="Cash"/>
    <n v="5190.4960000000001"/>
    <n v="1705.0360000000001"/>
    <s v="Friday"/>
    <b v="0"/>
    <x v="1"/>
  </r>
  <r>
    <s v="NV1161"/>
    <d v="2024-04-05T00:00:00"/>
    <s v="ST43"/>
    <s v="East"/>
    <s v="P204"/>
    <s v="Accessories"/>
    <n v="4"/>
    <n v="446.51"/>
    <n v="20"/>
    <n v="297.10000000000002"/>
    <x v="0"/>
    <s v="Cash"/>
    <n v="1428.8320000000001"/>
    <n v="240.43200000000002"/>
    <s v="Friday"/>
    <b v="0"/>
    <x v="8"/>
  </r>
  <r>
    <s v="NV1162"/>
    <d v="2024-04-26T00:00:00"/>
    <s v="ST18"/>
    <s v="South"/>
    <s v="P217"/>
    <s v="Shoes"/>
    <n v="4"/>
    <n v="555.80999999999995"/>
    <n v="20"/>
    <n v="315.06"/>
    <x v="0"/>
    <s v="Card"/>
    <n v="1778.5919999999999"/>
    <n v="518.35199999999986"/>
    <s v="Friday"/>
    <b v="0"/>
    <x v="8"/>
  </r>
  <r>
    <s v="NV1163"/>
    <d v="2025-01-31T00:00:00"/>
    <s v="ST18"/>
    <s v="South"/>
    <s v="P268"/>
    <s v="Accessories"/>
    <n v="5"/>
    <n v="2588.44"/>
    <n v="0"/>
    <n v="1226.5"/>
    <x v="1"/>
    <s v="Card"/>
    <n v="12942.2"/>
    <n v="6809.7000000000007"/>
    <s v="Friday"/>
    <b v="0"/>
    <x v="10"/>
  </r>
  <r>
    <s v="NV1164"/>
    <d v="2025-03-21T00:00:00"/>
    <s v="ST19"/>
    <s v="East"/>
    <s v="P76"/>
    <s v="Clothing"/>
    <n v="2"/>
    <n v="1685.48"/>
    <n v="15"/>
    <n v="976.51"/>
    <x v="0"/>
    <s v="Cash"/>
    <n v="2865.3159999999998"/>
    <n v="912.29599999999982"/>
    <s v="Friday"/>
    <b v="0"/>
    <x v="7"/>
  </r>
  <r>
    <s v="NV1165"/>
    <d v="2025-11-25T00:00:00"/>
    <s v="ST5"/>
    <s v="North"/>
    <s v="P99"/>
    <s v="Shoes"/>
    <n v="2"/>
    <n v="1395.35"/>
    <n v="30"/>
    <n v="876.12"/>
    <x v="1"/>
    <s v="Cash"/>
    <n v="1953.4899999999998"/>
    <n v="201.24999999999977"/>
    <s v="Tuesday"/>
    <b v="0"/>
    <x v="1"/>
  </r>
  <r>
    <s v="NV1166"/>
    <d v="2024-03-27T00:00:00"/>
    <s v="ST55"/>
    <s v="West"/>
    <s v="P141"/>
    <s v="Shoes"/>
    <n v="3"/>
    <n v="2941.6"/>
    <n v="10"/>
    <n v="1839.72"/>
    <x v="0"/>
    <s v="Digital"/>
    <n v="7942.32"/>
    <n v="2423.16"/>
    <s v="Wednesday"/>
    <b v="0"/>
    <x v="7"/>
  </r>
  <r>
    <s v="NV1167"/>
    <d v="2024-06-03T00:00:00"/>
    <s v="ST12"/>
    <s v="West"/>
    <s v="P28"/>
    <s v="Shoes"/>
    <n v="3"/>
    <n v="1744.31"/>
    <n v="25"/>
    <n v="1098.71"/>
    <x v="0"/>
    <s v="Cash"/>
    <n v="3924.6975000000002"/>
    <n v="628.56750000000011"/>
    <s v="Monday"/>
    <b v="0"/>
    <x v="0"/>
  </r>
  <r>
    <s v="NV1168"/>
    <d v="2024-07-06T00:00:00"/>
    <s v="ST49"/>
    <s v="West"/>
    <s v="P36"/>
    <s v="Accessories"/>
    <n v="3"/>
    <n v="653.61"/>
    <n v="5"/>
    <n v="265.98"/>
    <x v="0"/>
    <s v="Cash"/>
    <n v="1862.7884999999999"/>
    <n v="1064.8484999999998"/>
    <s v="Saturday"/>
    <b v="1"/>
    <x v="4"/>
  </r>
  <r>
    <s v="NV1169"/>
    <d v="2025-10-19T00:00:00"/>
    <s v="ST42"/>
    <s v="West"/>
    <s v="P121"/>
    <s v="Accessories"/>
    <n v="4"/>
    <n v="1816.2"/>
    <n v="10"/>
    <n v="1242.56"/>
    <x v="1"/>
    <s v="Card"/>
    <n v="6538.3200000000006"/>
    <n v="1568.0800000000008"/>
    <s v="Sunday"/>
    <b v="1"/>
    <x v="2"/>
  </r>
  <r>
    <s v="NV1170"/>
    <d v="2024-03-17T00:00:00"/>
    <s v="ST17"/>
    <s v="West"/>
    <s v="P202"/>
    <s v="Accessories"/>
    <n v="5"/>
    <n v="2335.25"/>
    <n v="20"/>
    <n v="1508.18"/>
    <x v="1"/>
    <s v="Card"/>
    <n v="9341"/>
    <n v="1800.0999999999995"/>
    <s v="Sunday"/>
    <b v="1"/>
    <x v="7"/>
  </r>
  <r>
    <s v="NV1171"/>
    <d v="2024-09-27T00:00:00"/>
    <s v="ST33"/>
    <s v="South"/>
    <s v="P255"/>
    <s v="Clothing"/>
    <n v="3"/>
    <n v="1731.05"/>
    <n v="10"/>
    <n v="994.43"/>
    <x v="0"/>
    <s v="Digital"/>
    <n v="4673.835"/>
    <n v="1690.5450000000001"/>
    <s v="Friday"/>
    <b v="0"/>
    <x v="6"/>
  </r>
  <r>
    <s v="NV1172"/>
    <d v="2024-07-03T00:00:00"/>
    <s v="ST17"/>
    <s v="East"/>
    <s v="P77"/>
    <s v="Accessories"/>
    <n v="1"/>
    <n v="2105.5700000000002"/>
    <n v="10"/>
    <n v="1315.94"/>
    <x v="1"/>
    <s v="Cash"/>
    <n v="1895.0130000000001"/>
    <n v="579.07300000000009"/>
    <s v="Wednesday"/>
    <b v="0"/>
    <x v="4"/>
  </r>
  <r>
    <s v="NV1173"/>
    <d v="2024-10-24T00:00:00"/>
    <s v="ST49"/>
    <s v="West"/>
    <s v="P163"/>
    <s v="Accessories"/>
    <n v="1"/>
    <n v="459.86"/>
    <n v="5"/>
    <n v="295.64"/>
    <x v="1"/>
    <s v="Cash"/>
    <n v="436.86700000000002"/>
    <n v="141.22700000000003"/>
    <s v="Thursday"/>
    <b v="0"/>
    <x v="2"/>
  </r>
  <r>
    <s v="NV1174"/>
    <d v="2024-04-13T00:00:00"/>
    <s v="ST25"/>
    <s v="South"/>
    <s v="P261"/>
    <s v="Clothing"/>
    <n v="4"/>
    <n v="590.41999999999996"/>
    <n v="20"/>
    <n v="240.58"/>
    <x v="0"/>
    <s v="Card"/>
    <n v="1889.3440000000001"/>
    <n v="927.024"/>
    <s v="Saturday"/>
    <b v="1"/>
    <x v="8"/>
  </r>
  <r>
    <s v="NV1175"/>
    <d v="2024-11-22T00:00:00"/>
    <s v="ST18"/>
    <s v="South"/>
    <s v="P169"/>
    <s v="Shoes"/>
    <n v="2"/>
    <n v="2854.07"/>
    <n v="20"/>
    <n v="1762.31"/>
    <x v="1"/>
    <s v="Cash"/>
    <n v="4566.5120000000006"/>
    <n v="1041.8920000000007"/>
    <s v="Friday"/>
    <b v="0"/>
    <x v="1"/>
  </r>
  <r>
    <s v="NV1176"/>
    <d v="2024-05-10T00:00:00"/>
    <s v="ST6"/>
    <s v="East"/>
    <s v="P143"/>
    <s v="Shoes"/>
    <n v="4"/>
    <n v="2490.1999999999998"/>
    <n v="15"/>
    <n v="1601.13"/>
    <x v="1"/>
    <s v="Digital"/>
    <n v="8466.6799999999985"/>
    <n v="2062.159999999998"/>
    <s v="Friday"/>
    <b v="0"/>
    <x v="9"/>
  </r>
  <r>
    <s v="NV1177"/>
    <d v="2024-01-14T00:00:00"/>
    <s v="ST49"/>
    <s v="West"/>
    <s v="P181"/>
    <s v="Accessories"/>
    <n v="5"/>
    <n v="1176.07"/>
    <n v="15"/>
    <n v="497.78"/>
    <x v="1"/>
    <s v="Digital"/>
    <n v="4998.2974999999997"/>
    <n v="2509.3975"/>
    <s v="Sunday"/>
    <b v="1"/>
    <x v="10"/>
  </r>
  <r>
    <s v="NV1178"/>
    <d v="2025-10-09T00:00:00"/>
    <s v="ST38"/>
    <s v="South"/>
    <s v="P285"/>
    <s v="Clothing"/>
    <n v="4"/>
    <n v="2200.2199999999998"/>
    <n v="20"/>
    <n v="1245.55"/>
    <x v="1"/>
    <s v="Cash"/>
    <n v="7040.7039999999997"/>
    <n v="2058.5039999999999"/>
    <s v="Thursday"/>
    <b v="0"/>
    <x v="2"/>
  </r>
  <r>
    <s v="NV1179"/>
    <d v="2025-03-31T00:00:00"/>
    <s v="ST54"/>
    <s v="South"/>
    <s v="P38"/>
    <s v="Clothing"/>
    <n v="2"/>
    <n v="455.96"/>
    <n v="25"/>
    <n v="231.71"/>
    <x v="0"/>
    <s v="Card"/>
    <n v="683.93999999999994"/>
    <n v="220.51999999999992"/>
    <s v="Monday"/>
    <b v="0"/>
    <x v="7"/>
  </r>
  <r>
    <s v="NV1180"/>
    <d v="2025-05-07T00:00:00"/>
    <s v="ST15"/>
    <s v="North"/>
    <s v="P210"/>
    <s v="Shoes"/>
    <n v="4"/>
    <n v="2291.4299999999998"/>
    <n v="15"/>
    <n v="1454.93"/>
    <x v="0"/>
    <s v="Digital"/>
    <n v="7790.8619999999992"/>
    <n v="1971.1419999999989"/>
    <s v="Wednesday"/>
    <b v="0"/>
    <x v="9"/>
  </r>
  <r>
    <s v="NV1181"/>
    <d v="2025-03-05T00:00:00"/>
    <s v="ST53"/>
    <s v="East"/>
    <s v="P297"/>
    <s v="Clothing"/>
    <n v="4"/>
    <n v="2717.33"/>
    <n v="15"/>
    <n v="1544.13"/>
    <x v="0"/>
    <s v="Card"/>
    <n v="9238.9219999999987"/>
    <n v="3062.4019999999982"/>
    <s v="Wednesday"/>
    <b v="0"/>
    <x v="7"/>
  </r>
  <r>
    <s v="NV1182"/>
    <d v="2025-08-17T00:00:00"/>
    <s v="ST57"/>
    <s v="South"/>
    <s v="P247"/>
    <s v="Clothing"/>
    <n v="3"/>
    <n v="1546.83"/>
    <n v="15"/>
    <n v="991.57"/>
    <x v="1"/>
    <s v="Digital"/>
    <n v="3944.4164999999998"/>
    <n v="969.70649999999978"/>
    <s v="Sunday"/>
    <b v="1"/>
    <x v="5"/>
  </r>
  <r>
    <s v="NV1183"/>
    <d v="2024-02-20T00:00:00"/>
    <s v="ST25"/>
    <s v="North"/>
    <s v="P64"/>
    <s v="Shoes"/>
    <n v="3"/>
    <n v="2465.19"/>
    <n v="25"/>
    <n v="1675.38"/>
    <x v="0"/>
    <s v="Digital"/>
    <n v="5546.6774999999998"/>
    <n v="520.53749999999945"/>
    <s v="Tuesday"/>
    <b v="0"/>
    <x v="3"/>
  </r>
  <r>
    <s v="NV1184"/>
    <d v="2025-05-14T00:00:00"/>
    <s v="ST42"/>
    <s v="East"/>
    <s v="P174"/>
    <s v="Shoes"/>
    <n v="3"/>
    <n v="2063.6799999999998"/>
    <n v="0"/>
    <n v="1353.54"/>
    <x v="1"/>
    <s v="Digital"/>
    <n v="6191.0399999999991"/>
    <n v="2130.4199999999992"/>
    <s v="Wednesday"/>
    <b v="0"/>
    <x v="9"/>
  </r>
  <r>
    <s v="NV1185"/>
    <d v="2025-06-25T00:00:00"/>
    <s v="ST29"/>
    <s v="West"/>
    <s v="P62"/>
    <s v="Clothing"/>
    <n v="1"/>
    <n v="2885.24"/>
    <n v="5"/>
    <n v="1800.79"/>
    <x v="1"/>
    <s v="Digital"/>
    <n v="2740.9779999999996"/>
    <n v="940.18799999999965"/>
    <s v="Wednesday"/>
    <b v="0"/>
    <x v="0"/>
  </r>
  <r>
    <s v="NV1186"/>
    <d v="2024-06-06T00:00:00"/>
    <s v="ST24"/>
    <s v="West"/>
    <s v="P234"/>
    <s v="Accessories"/>
    <n v="5"/>
    <n v="540.30999999999995"/>
    <n v="15"/>
    <n v="231.65"/>
    <x v="0"/>
    <s v="Card"/>
    <n v="2296.3174999999997"/>
    <n v="1138.0674999999997"/>
    <s v="Thursday"/>
    <b v="0"/>
    <x v="0"/>
  </r>
  <r>
    <s v="NV1187"/>
    <d v="2025-01-16T00:00:00"/>
    <s v="ST1"/>
    <s v="West"/>
    <s v="P211"/>
    <s v="Accessories"/>
    <n v="2"/>
    <n v="1102.6600000000001"/>
    <n v="10"/>
    <n v="583.23"/>
    <x v="0"/>
    <s v="Digital"/>
    <n v="1984.7880000000002"/>
    <n v="818.3280000000002"/>
    <s v="Thursday"/>
    <b v="0"/>
    <x v="10"/>
  </r>
  <r>
    <s v="NV1188"/>
    <d v="2025-01-08T00:00:00"/>
    <s v="ST28"/>
    <s v="West"/>
    <s v="P254"/>
    <s v="Clothing"/>
    <n v="4"/>
    <n v="2499.9899999999998"/>
    <n v="15"/>
    <n v="1413.44"/>
    <x v="0"/>
    <s v="Card"/>
    <n v="8499.9659999999985"/>
    <n v="2846.2059999999983"/>
    <s v="Wednesday"/>
    <b v="0"/>
    <x v="10"/>
  </r>
  <r>
    <s v="NV1189"/>
    <d v="2025-10-17T00:00:00"/>
    <s v="ST28"/>
    <s v="South"/>
    <s v="P6"/>
    <s v="Shoes"/>
    <n v="2"/>
    <n v="1801.96"/>
    <n v="30"/>
    <n v="775.98"/>
    <x v="0"/>
    <s v="Digital"/>
    <n v="2522.7439999999997"/>
    <n v="970.78399999999965"/>
    <s v="Friday"/>
    <b v="0"/>
    <x v="2"/>
  </r>
  <r>
    <s v="NV1190"/>
    <d v="2024-05-02T00:00:00"/>
    <s v="ST12"/>
    <s v="North"/>
    <s v="P109"/>
    <s v="Shoes"/>
    <n v="3"/>
    <n v="1818.35"/>
    <n v="0"/>
    <n v="889.64"/>
    <x v="0"/>
    <s v="Card"/>
    <n v="5455.0499999999993"/>
    <n v="2786.1299999999992"/>
    <s v="Thursday"/>
    <b v="0"/>
    <x v="9"/>
  </r>
  <r>
    <s v="NV1191"/>
    <d v="2025-11-24T00:00:00"/>
    <s v="ST10"/>
    <s v="South"/>
    <s v="P185"/>
    <s v="Clothing"/>
    <n v="2"/>
    <n v="2809.17"/>
    <n v="10"/>
    <n v="1766.34"/>
    <x v="0"/>
    <s v="Card"/>
    <n v="5056.5060000000003"/>
    <n v="1523.8260000000005"/>
    <s v="Monday"/>
    <b v="0"/>
    <x v="1"/>
  </r>
  <r>
    <s v="NV1192"/>
    <d v="2025-01-29T00:00:00"/>
    <s v="ST58"/>
    <s v="East"/>
    <s v="P41"/>
    <s v="Accessories"/>
    <n v="3"/>
    <n v="467.66"/>
    <n v="15"/>
    <n v="255.98"/>
    <x v="1"/>
    <s v="Cash"/>
    <n v="1192.5329999999999"/>
    <n v="424.59299999999996"/>
    <s v="Wednesday"/>
    <b v="0"/>
    <x v="10"/>
  </r>
  <r>
    <s v="NV1193"/>
    <d v="2024-02-20T00:00:00"/>
    <s v="ST40"/>
    <s v="East"/>
    <s v="P48"/>
    <s v="Accessories"/>
    <n v="4"/>
    <n v="2979.88"/>
    <n v="30"/>
    <n v="1979.62"/>
    <x v="0"/>
    <s v="Card"/>
    <n v="8343.6640000000007"/>
    <n v="425.18400000000111"/>
    <s v="Tuesday"/>
    <b v="0"/>
    <x v="3"/>
  </r>
  <r>
    <s v="NV1194"/>
    <d v="2024-08-20T00:00:00"/>
    <s v="ST32"/>
    <s v="North"/>
    <s v="P213"/>
    <s v="Clothing"/>
    <n v="1"/>
    <n v="1085.6199999999999"/>
    <n v="10"/>
    <n v="502.91"/>
    <x v="1"/>
    <s v="Digital"/>
    <n v="977.05799999999988"/>
    <n v="474.14799999999985"/>
    <s v="Tuesday"/>
    <b v="0"/>
    <x v="5"/>
  </r>
  <r>
    <s v="NV1195"/>
    <d v="2025-05-19T00:00:00"/>
    <s v="ST18"/>
    <s v="East"/>
    <s v="P207"/>
    <s v="Clothing"/>
    <n v="2"/>
    <n v="2976.64"/>
    <n v="0"/>
    <n v="1984.59"/>
    <x v="1"/>
    <s v="Digital"/>
    <n v="5953.28"/>
    <n v="1984.1"/>
    <s v="Monday"/>
    <b v="0"/>
    <x v="9"/>
  </r>
  <r>
    <s v="NV1196"/>
    <d v="2024-05-11T00:00:00"/>
    <s v="ST4"/>
    <s v="West"/>
    <s v="P111"/>
    <s v="Clothing"/>
    <n v="2"/>
    <n v="1407.71"/>
    <n v="5"/>
    <n v="774.92"/>
    <x v="0"/>
    <s v="Digital"/>
    <n v="2674.6489999999999"/>
    <n v="1124.809"/>
    <s v="Saturday"/>
    <b v="1"/>
    <x v="9"/>
  </r>
  <r>
    <s v="NV1197"/>
    <d v="2025-08-02T00:00:00"/>
    <s v="ST11"/>
    <s v="North"/>
    <s v="P6"/>
    <s v="Accessories"/>
    <n v="3"/>
    <n v="2419.36"/>
    <n v="5"/>
    <n v="1483.59"/>
    <x v="0"/>
    <s v="Card"/>
    <n v="6895.1759999999995"/>
    <n v="2444.4059999999999"/>
    <s v="Saturday"/>
    <b v="1"/>
    <x v="5"/>
  </r>
  <r>
    <s v="NV1198"/>
    <d v="2025-06-04T00:00:00"/>
    <s v="ST57"/>
    <s v="North"/>
    <s v="P192"/>
    <s v="Accessories"/>
    <n v="5"/>
    <n v="2216.0100000000002"/>
    <n v="10"/>
    <n v="1377.33"/>
    <x v="0"/>
    <s v="Digital"/>
    <n v="9972.0450000000019"/>
    <n v="3085.3950000000023"/>
    <s v="Wednesday"/>
    <b v="0"/>
    <x v="0"/>
  </r>
  <r>
    <s v="NV1199"/>
    <d v="2024-08-11T00:00:00"/>
    <s v="ST30"/>
    <s v="South"/>
    <s v="P188"/>
    <s v="Clothing"/>
    <n v="3"/>
    <n v="2677.98"/>
    <n v="25"/>
    <n v="1608.99"/>
    <x v="1"/>
    <s v="Card"/>
    <n v="6025.4549999999999"/>
    <n v="1198.4849999999997"/>
    <s v="Sunday"/>
    <b v="1"/>
    <x v="5"/>
  </r>
  <r>
    <s v="NV1200"/>
    <d v="2024-05-20T00:00:00"/>
    <s v="ST48"/>
    <s v="North"/>
    <s v="P32"/>
    <s v="Clothing"/>
    <n v="2"/>
    <n v="993.02"/>
    <n v="0"/>
    <n v="645.99"/>
    <x v="1"/>
    <s v="Digital"/>
    <n v="1986.04"/>
    <n v="694.06"/>
    <s v="Monday"/>
    <b v="0"/>
    <x v="9"/>
  </r>
  <r>
    <s v="NV1201"/>
    <d v="2024-01-09T00:00:00"/>
    <s v="ST55"/>
    <s v="South"/>
    <s v="P95"/>
    <s v="Clothing"/>
    <n v="2"/>
    <n v="567.94000000000005"/>
    <n v="25"/>
    <n v="264.81"/>
    <x v="0"/>
    <s v="Cash"/>
    <n v="851.91000000000008"/>
    <n v="322.29000000000008"/>
    <s v="Tuesday"/>
    <b v="0"/>
    <x v="10"/>
  </r>
  <r>
    <s v="NV1202"/>
    <d v="2025-05-22T00:00:00"/>
    <s v="ST51"/>
    <s v="North"/>
    <s v="P293"/>
    <s v="Clothing"/>
    <n v="5"/>
    <n v="1141.73"/>
    <n v="0"/>
    <n v="749.54"/>
    <x v="1"/>
    <s v="Cash"/>
    <n v="5708.65"/>
    <n v="1960.9499999999998"/>
    <s v="Thursday"/>
    <b v="0"/>
    <x v="9"/>
  </r>
  <r>
    <s v="NV1203"/>
    <d v="2024-01-20T00:00:00"/>
    <s v="ST11"/>
    <s v="East"/>
    <s v="P94"/>
    <s v="Clothing"/>
    <n v="4"/>
    <n v="2692.92"/>
    <n v="10"/>
    <n v="1657.42"/>
    <x v="1"/>
    <s v="Cash"/>
    <n v="9694.5120000000006"/>
    <n v="3064.8320000000003"/>
    <s v="Saturday"/>
    <b v="1"/>
    <x v="10"/>
  </r>
  <r>
    <s v="NV1204"/>
    <d v="2024-06-20T00:00:00"/>
    <s v="ST43"/>
    <s v="East"/>
    <s v="P231"/>
    <s v="Clothing"/>
    <n v="1"/>
    <n v="1322.95"/>
    <n v="25"/>
    <n v="783.24"/>
    <x v="1"/>
    <s v="Cash"/>
    <n v="992.21250000000009"/>
    <n v="208.97250000000008"/>
    <s v="Thursday"/>
    <b v="0"/>
    <x v="0"/>
  </r>
  <r>
    <s v="NV1205"/>
    <d v="2024-05-21T00:00:00"/>
    <s v="ST4"/>
    <s v="West"/>
    <s v="P27"/>
    <s v="Accessories"/>
    <n v="3"/>
    <n v="465.03"/>
    <n v="5"/>
    <n v="249.25"/>
    <x v="1"/>
    <s v="Digital"/>
    <n v="1325.3354999999999"/>
    <n v="577.58549999999991"/>
    <s v="Tuesday"/>
    <b v="0"/>
    <x v="9"/>
  </r>
  <r>
    <s v="NV1206"/>
    <d v="2025-09-29T00:00:00"/>
    <s v="ST52"/>
    <s v="South"/>
    <s v="P130"/>
    <s v="Clothing"/>
    <n v="4"/>
    <n v="2311.08"/>
    <n v="5"/>
    <n v="1111.29"/>
    <x v="1"/>
    <s v="Card"/>
    <n v="8782.1039999999994"/>
    <n v="4336.9439999999995"/>
    <s v="Monday"/>
    <b v="0"/>
    <x v="6"/>
  </r>
  <r>
    <s v="NV1207"/>
    <d v="2024-02-27T00:00:00"/>
    <s v="ST14"/>
    <s v="South"/>
    <s v="P226"/>
    <s v="Shoes"/>
    <n v="2"/>
    <n v="2379.5100000000002"/>
    <n v="5"/>
    <n v="1093.79"/>
    <x v="1"/>
    <s v="Digital"/>
    <n v="4521.0690000000004"/>
    <n v="2333.4890000000005"/>
    <s v="Tuesday"/>
    <b v="0"/>
    <x v="3"/>
  </r>
  <r>
    <s v="NV1208"/>
    <d v="2025-04-28T00:00:00"/>
    <s v="ST49"/>
    <s v="South"/>
    <s v="P124"/>
    <s v="Clothing"/>
    <n v="1"/>
    <n v="2747.03"/>
    <n v="10"/>
    <n v="1282.28"/>
    <x v="1"/>
    <s v="Cash"/>
    <n v="2472.3270000000002"/>
    <n v="1190.0470000000003"/>
    <s v="Monday"/>
    <b v="0"/>
    <x v="8"/>
  </r>
  <r>
    <s v="NV1209"/>
    <d v="2024-03-05T00:00:00"/>
    <s v="ST36"/>
    <s v="East"/>
    <s v="P284"/>
    <s v="Shoes"/>
    <n v="4"/>
    <n v="1929.28"/>
    <n v="20"/>
    <n v="1268.08"/>
    <x v="0"/>
    <s v="Digital"/>
    <n v="6173.6959999999999"/>
    <n v="1101.3760000000002"/>
    <s v="Tuesday"/>
    <b v="0"/>
    <x v="7"/>
  </r>
  <r>
    <s v="NV1210"/>
    <d v="2024-03-07T00:00:00"/>
    <s v="ST43"/>
    <s v="East"/>
    <s v="P264"/>
    <s v="Clothing"/>
    <n v="5"/>
    <n v="792.64"/>
    <n v="0"/>
    <n v="531.16999999999996"/>
    <x v="0"/>
    <s v="Digital"/>
    <n v="3963.2"/>
    <n v="1307.3499999999999"/>
    <s v="Thursday"/>
    <b v="0"/>
    <x v="7"/>
  </r>
  <r>
    <s v="NV1211"/>
    <d v="2025-07-20T00:00:00"/>
    <s v="ST39"/>
    <s v="South"/>
    <s v="P287"/>
    <s v="Shoes"/>
    <n v="2"/>
    <n v="1527.16"/>
    <n v="15"/>
    <n v="700.74"/>
    <x v="1"/>
    <s v="Digital"/>
    <n v="2596.172"/>
    <n v="1194.692"/>
    <s v="Sunday"/>
    <b v="1"/>
    <x v="4"/>
  </r>
  <r>
    <s v="NV1212"/>
    <d v="2025-04-10T00:00:00"/>
    <s v="ST54"/>
    <s v="South"/>
    <s v="P184"/>
    <s v="Shoes"/>
    <n v="3"/>
    <n v="2759.71"/>
    <n v="20"/>
    <n v="1662.4"/>
    <x v="0"/>
    <s v="Card"/>
    <n v="6623.304000000001"/>
    <n v="1636.1040000000003"/>
    <s v="Thursday"/>
    <b v="0"/>
    <x v="8"/>
  </r>
  <r>
    <s v="NV1213"/>
    <d v="2025-08-12T00:00:00"/>
    <s v="ST31"/>
    <s v="North"/>
    <s v="P287"/>
    <s v="Accessories"/>
    <n v="3"/>
    <n v="2222.1999999999998"/>
    <n v="5"/>
    <n v="1492.15"/>
    <x v="1"/>
    <s v="Digital"/>
    <n v="6333.2699999999995"/>
    <n v="1856.8199999999988"/>
    <s v="Tuesday"/>
    <b v="0"/>
    <x v="5"/>
  </r>
  <r>
    <s v="NV1214"/>
    <d v="2025-06-12T00:00:00"/>
    <s v="ST35"/>
    <s v="South"/>
    <s v="P189"/>
    <s v="Shoes"/>
    <n v="1"/>
    <n v="1792.32"/>
    <n v="25"/>
    <n v="773.51"/>
    <x v="0"/>
    <s v="Digital"/>
    <n v="1344.24"/>
    <n v="570.73"/>
    <s v="Thursday"/>
    <b v="0"/>
    <x v="0"/>
  </r>
  <r>
    <s v="NV1215"/>
    <d v="2024-10-02T00:00:00"/>
    <s v="ST3"/>
    <s v="North"/>
    <s v="P261"/>
    <s v="Accessories"/>
    <n v="3"/>
    <n v="2114.35"/>
    <n v="25"/>
    <n v="1479.91"/>
    <x v="0"/>
    <s v="Digital"/>
    <n v="4757.2874999999995"/>
    <n v="317.55749999999898"/>
    <s v="Wednesday"/>
    <b v="0"/>
    <x v="2"/>
  </r>
  <r>
    <s v="NV1216"/>
    <d v="2024-02-22T00:00:00"/>
    <s v="ST12"/>
    <s v="North"/>
    <s v="P300"/>
    <s v="Clothing"/>
    <n v="2"/>
    <n v="2397.87"/>
    <n v="0"/>
    <n v="1134.1099999999999"/>
    <x v="0"/>
    <s v="Card"/>
    <n v="4795.74"/>
    <n v="2527.52"/>
    <s v="Thursday"/>
    <b v="0"/>
    <x v="3"/>
  </r>
  <r>
    <s v="NV1217"/>
    <d v="2024-03-29T00:00:00"/>
    <s v="ST7"/>
    <s v="North"/>
    <s v="P134"/>
    <s v="Shoes"/>
    <n v="1"/>
    <n v="901.28"/>
    <n v="5"/>
    <n v="601.17999999999995"/>
    <x v="0"/>
    <s v="Cash"/>
    <n v="856.21599999999989"/>
    <n v="255.03599999999994"/>
    <s v="Friday"/>
    <b v="0"/>
    <x v="7"/>
  </r>
  <r>
    <s v="NV1218"/>
    <d v="2024-11-18T00:00:00"/>
    <s v="ST24"/>
    <s v="North"/>
    <s v="P66"/>
    <s v="Accessories"/>
    <n v="5"/>
    <n v="2841.39"/>
    <n v="10"/>
    <n v="1564.13"/>
    <x v="0"/>
    <s v="Cash"/>
    <n v="12786.254999999999"/>
    <n v="4965.6049999999987"/>
    <s v="Monday"/>
    <b v="0"/>
    <x v="1"/>
  </r>
  <r>
    <s v="NV1219"/>
    <d v="2025-05-08T00:00:00"/>
    <s v="ST48"/>
    <s v="East"/>
    <s v="P84"/>
    <s v="Clothing"/>
    <n v="5"/>
    <n v="1441.93"/>
    <n v="30"/>
    <n v="897.26"/>
    <x v="1"/>
    <s v="Cash"/>
    <n v="5046.7550000000001"/>
    <n v="560.45499999999993"/>
    <s v="Thursday"/>
    <b v="0"/>
    <x v="9"/>
  </r>
  <r>
    <s v="NV1220"/>
    <d v="2024-01-26T00:00:00"/>
    <s v="ST50"/>
    <s v="North"/>
    <s v="P175"/>
    <s v="Clothing"/>
    <n v="2"/>
    <n v="377.33"/>
    <n v="10"/>
    <n v="214.66"/>
    <x v="0"/>
    <s v="Digital"/>
    <n v="679.19399999999996"/>
    <n v="249.87399999999997"/>
    <s v="Friday"/>
    <b v="0"/>
    <x v="10"/>
  </r>
  <r>
    <s v="NV1221"/>
    <d v="2024-07-12T00:00:00"/>
    <s v="ST39"/>
    <s v="South"/>
    <s v="P126"/>
    <s v="Accessories"/>
    <n v="2"/>
    <n v="582.14"/>
    <n v="15"/>
    <n v="273.29000000000002"/>
    <x v="0"/>
    <s v="Digital"/>
    <n v="989.63799999999992"/>
    <n v="443.05799999999988"/>
    <s v="Friday"/>
    <b v="0"/>
    <x v="4"/>
  </r>
  <r>
    <s v="NV1222"/>
    <d v="2024-06-06T00:00:00"/>
    <s v="ST10"/>
    <s v="North"/>
    <s v="P50"/>
    <s v="Clothing"/>
    <n v="1"/>
    <n v="1334.52"/>
    <n v="0"/>
    <n v="897.45"/>
    <x v="0"/>
    <s v="Cash"/>
    <n v="1334.52"/>
    <n v="437.06999999999994"/>
    <s v="Thursday"/>
    <b v="0"/>
    <x v="0"/>
  </r>
  <r>
    <s v="NV1223"/>
    <d v="2025-06-18T00:00:00"/>
    <s v="ST46"/>
    <s v="South"/>
    <s v="P191"/>
    <s v="Shoes"/>
    <n v="4"/>
    <n v="941.1"/>
    <n v="5"/>
    <n v="520.75"/>
    <x v="0"/>
    <s v="Digital"/>
    <n v="3576.18"/>
    <n v="1493.1799999999998"/>
    <s v="Wednesday"/>
    <b v="0"/>
    <x v="0"/>
  </r>
  <r>
    <s v="NV1224"/>
    <d v="2024-12-23T00:00:00"/>
    <s v="ST32"/>
    <s v="South"/>
    <s v="P11"/>
    <s v="Accessories"/>
    <n v="5"/>
    <n v="608.79999999999995"/>
    <n v="15"/>
    <n v="321.31"/>
    <x v="0"/>
    <s v="Digital"/>
    <n v="2587.4"/>
    <n v="980.85000000000014"/>
    <s v="Monday"/>
    <b v="0"/>
    <x v="11"/>
  </r>
  <r>
    <s v="NV1225"/>
    <d v="2024-08-27T00:00:00"/>
    <s v="ST18"/>
    <s v="North"/>
    <s v="P222"/>
    <s v="Clothing"/>
    <n v="4"/>
    <n v="376.15"/>
    <n v="0"/>
    <n v="229.02"/>
    <x v="0"/>
    <s v="Cash"/>
    <n v="1504.6"/>
    <n v="588.51999999999987"/>
    <s v="Tuesday"/>
    <b v="0"/>
    <x v="5"/>
  </r>
  <r>
    <s v="NV1226"/>
    <d v="2024-08-15T00:00:00"/>
    <s v="ST58"/>
    <s v="West"/>
    <s v="P91"/>
    <s v="Clothing"/>
    <n v="1"/>
    <n v="2493.62"/>
    <n v="0"/>
    <n v="1223.56"/>
    <x v="1"/>
    <s v="Card"/>
    <n v="2493.62"/>
    <n v="1270.06"/>
    <s v="Thursday"/>
    <b v="0"/>
    <x v="5"/>
  </r>
  <r>
    <s v="NV1227"/>
    <d v="2024-06-26T00:00:00"/>
    <s v="ST44"/>
    <s v="East"/>
    <s v="P43"/>
    <s v="Clothing"/>
    <n v="4"/>
    <n v="924.65"/>
    <n v="15"/>
    <n v="522.26"/>
    <x v="0"/>
    <s v="Cash"/>
    <n v="3143.81"/>
    <n v="1054.77"/>
    <s v="Wednesday"/>
    <b v="0"/>
    <x v="0"/>
  </r>
  <r>
    <s v="NV1228"/>
    <d v="2024-12-03T00:00:00"/>
    <s v="ST36"/>
    <s v="North"/>
    <s v="P276"/>
    <s v="Clothing"/>
    <n v="2"/>
    <n v="495.99"/>
    <n v="15"/>
    <n v="259.33999999999997"/>
    <x v="1"/>
    <s v="Digital"/>
    <n v="843.18299999999999"/>
    <n v="324.50300000000004"/>
    <s v="Tuesday"/>
    <b v="0"/>
    <x v="11"/>
  </r>
  <r>
    <s v="NV1229"/>
    <d v="2024-08-31T00:00:00"/>
    <s v="ST51"/>
    <s v="South"/>
    <s v="P73"/>
    <s v="Shoes"/>
    <n v="2"/>
    <n v="316.06"/>
    <n v="15"/>
    <n v="149.79"/>
    <x v="0"/>
    <s v="Cash"/>
    <n v="537.30200000000002"/>
    <n v="237.72200000000004"/>
    <s v="Saturday"/>
    <b v="1"/>
    <x v="5"/>
  </r>
  <r>
    <s v="NV1230"/>
    <d v="2025-05-18T00:00:00"/>
    <s v="ST56"/>
    <s v="East"/>
    <s v="P110"/>
    <s v="Clothing"/>
    <n v="2"/>
    <n v="2693.5"/>
    <n v="30"/>
    <n v="1583.84"/>
    <x v="1"/>
    <s v="Cash"/>
    <n v="3770.8999999999996"/>
    <n v="603.2199999999998"/>
    <s v="Sunday"/>
    <b v="1"/>
    <x v="9"/>
  </r>
  <r>
    <s v="NV1231"/>
    <d v="2024-03-20T00:00:00"/>
    <s v="ST26"/>
    <s v="South"/>
    <s v="P39"/>
    <s v="Accessories"/>
    <n v="2"/>
    <n v="696.85"/>
    <n v="25"/>
    <n v="380.48"/>
    <x v="1"/>
    <s v="Card"/>
    <n v="1045.2750000000001"/>
    <n v="284.31500000000005"/>
    <s v="Wednesday"/>
    <b v="0"/>
    <x v="7"/>
  </r>
  <r>
    <s v="NV1232"/>
    <d v="2025-09-23T00:00:00"/>
    <s v="ST6"/>
    <s v="East"/>
    <s v="P230"/>
    <s v="Accessories"/>
    <n v="4"/>
    <n v="1098.0999999999999"/>
    <n v="10"/>
    <n v="732.04"/>
    <x v="1"/>
    <s v="Digital"/>
    <n v="3953.16"/>
    <n v="1025"/>
    <s v="Tuesday"/>
    <b v="0"/>
    <x v="6"/>
  </r>
  <r>
    <s v="NV1233"/>
    <d v="2024-01-26T00:00:00"/>
    <s v="ST41"/>
    <s v="South"/>
    <s v="P8"/>
    <s v="Shoes"/>
    <n v="4"/>
    <n v="605.27"/>
    <n v="10"/>
    <n v="257.48"/>
    <x v="1"/>
    <s v="Cash"/>
    <n v="2178.9720000000002"/>
    <n v="1149.0520000000001"/>
    <s v="Friday"/>
    <b v="0"/>
    <x v="10"/>
  </r>
  <r>
    <s v="NV1234"/>
    <d v="2025-09-15T00:00:00"/>
    <s v="ST50"/>
    <s v="West"/>
    <s v="P25"/>
    <s v="Accessories"/>
    <n v="3"/>
    <n v="1318.08"/>
    <n v="0"/>
    <n v="676.13"/>
    <x v="0"/>
    <s v="Digital"/>
    <n v="3954.24"/>
    <n v="1925.85"/>
    <s v="Monday"/>
    <b v="0"/>
    <x v="6"/>
  </r>
  <r>
    <s v="NV1235"/>
    <d v="2025-03-04T00:00:00"/>
    <s v="ST48"/>
    <s v="East"/>
    <s v="P125"/>
    <s v="Clothing"/>
    <n v="1"/>
    <n v="1783.77"/>
    <n v="0"/>
    <n v="749.04"/>
    <x v="1"/>
    <s v="Card"/>
    <n v="1783.77"/>
    <n v="1034.73"/>
    <s v="Tuesday"/>
    <b v="0"/>
    <x v="7"/>
  </r>
  <r>
    <s v="NV1236"/>
    <d v="2025-01-17T00:00:00"/>
    <s v="ST30"/>
    <s v="West"/>
    <s v="P157"/>
    <s v="Accessories"/>
    <n v="3"/>
    <n v="2135.59"/>
    <n v="15"/>
    <n v="1438.28"/>
    <x v="0"/>
    <s v="Digital"/>
    <n v="5445.7545"/>
    <n v="1130.9144999999999"/>
    <s v="Friday"/>
    <b v="0"/>
    <x v="10"/>
  </r>
  <r>
    <s v="NV1237"/>
    <d v="2025-04-05T00:00:00"/>
    <s v="ST17"/>
    <s v="West"/>
    <s v="P58"/>
    <s v="Accessories"/>
    <n v="2"/>
    <n v="2538.94"/>
    <n v="25"/>
    <n v="1690.69"/>
    <x v="0"/>
    <s v="Digital"/>
    <n v="3808.41"/>
    <n v="427.02999999999975"/>
    <s v="Saturday"/>
    <b v="1"/>
    <x v="8"/>
  </r>
  <r>
    <s v="NV1238"/>
    <d v="2024-01-23T00:00:00"/>
    <s v="ST48"/>
    <s v="West"/>
    <s v="P28"/>
    <s v="Shoes"/>
    <n v="2"/>
    <n v="549.76"/>
    <n v="0"/>
    <n v="283.7"/>
    <x v="1"/>
    <s v="Cash"/>
    <n v="1099.52"/>
    <n v="532.12"/>
    <s v="Tuesday"/>
    <b v="0"/>
    <x v="10"/>
  </r>
  <r>
    <s v="NV1239"/>
    <d v="2024-03-10T00:00:00"/>
    <s v="ST44"/>
    <s v="East"/>
    <s v="P114"/>
    <s v="Shoes"/>
    <n v="4"/>
    <n v="1034.53"/>
    <n v="5"/>
    <n v="421.45"/>
    <x v="0"/>
    <s v="Digital"/>
    <n v="3931.2139999999995"/>
    <n v="2245.4139999999998"/>
    <s v="Sunday"/>
    <b v="1"/>
    <x v="7"/>
  </r>
  <r>
    <s v="NV1240"/>
    <d v="2024-11-15T00:00:00"/>
    <s v="ST47"/>
    <s v="South"/>
    <s v="P60"/>
    <s v="Clothing"/>
    <n v="5"/>
    <n v="2271.61"/>
    <n v="10"/>
    <n v="1155.2"/>
    <x v="1"/>
    <s v="Digital"/>
    <n v="10222.245000000001"/>
    <n v="4446.2450000000008"/>
    <s v="Friday"/>
    <b v="0"/>
    <x v="1"/>
  </r>
  <r>
    <s v="NV1241"/>
    <d v="2024-07-21T00:00:00"/>
    <s v="ST19"/>
    <s v="East"/>
    <s v="P162"/>
    <s v="Clothing"/>
    <n v="3"/>
    <n v="1023.25"/>
    <n v="30"/>
    <n v="680.58"/>
    <x v="1"/>
    <s v="Card"/>
    <n v="2148.8249999999998"/>
    <n v="107.08499999999958"/>
    <s v="Sunday"/>
    <b v="1"/>
    <x v="4"/>
  </r>
  <r>
    <s v="NV1242"/>
    <d v="2024-01-10T00:00:00"/>
    <s v="ST55"/>
    <s v="West"/>
    <s v="P19"/>
    <s v="Clothing"/>
    <n v="4"/>
    <n v="972.53"/>
    <n v="25"/>
    <n v="577.48"/>
    <x v="1"/>
    <s v="Cash"/>
    <n v="2917.59"/>
    <n v="607.67000000000007"/>
    <s v="Wednesday"/>
    <b v="0"/>
    <x v="10"/>
  </r>
  <r>
    <s v="NV1243"/>
    <d v="2024-09-24T00:00:00"/>
    <s v="ST19"/>
    <s v="South"/>
    <s v="P138"/>
    <s v="Shoes"/>
    <n v="4"/>
    <n v="2573.2600000000002"/>
    <n v="20"/>
    <n v="1403.18"/>
    <x v="1"/>
    <s v="Card"/>
    <n v="8234.4320000000007"/>
    <n v="2621.7120000000004"/>
    <s v="Tuesday"/>
    <b v="0"/>
    <x v="6"/>
  </r>
  <r>
    <s v="NV1244"/>
    <d v="2025-07-02T00:00:00"/>
    <s v="ST56"/>
    <s v="West"/>
    <s v="P172"/>
    <s v="Accessories"/>
    <n v="4"/>
    <n v="616.36"/>
    <n v="30"/>
    <n v="367.43"/>
    <x v="1"/>
    <s v="Cash"/>
    <n v="1725.808"/>
    <n v="256.08799999999997"/>
    <s v="Wednesday"/>
    <b v="0"/>
    <x v="4"/>
  </r>
  <r>
    <s v="NV1245"/>
    <d v="2025-09-03T00:00:00"/>
    <s v="ST5"/>
    <s v="South"/>
    <s v="P170"/>
    <s v="Clothing"/>
    <n v="1"/>
    <n v="1432.79"/>
    <n v="15"/>
    <n v="665.44"/>
    <x v="1"/>
    <s v="Cash"/>
    <n v="1217.8715"/>
    <n v="552.43149999999991"/>
    <s v="Wednesday"/>
    <b v="0"/>
    <x v="6"/>
  </r>
  <r>
    <s v="NV1246"/>
    <d v="2025-09-16T00:00:00"/>
    <s v="ST19"/>
    <s v="West"/>
    <s v="P229"/>
    <s v="Shoes"/>
    <n v="1"/>
    <n v="681.54"/>
    <n v="5"/>
    <n v="419.13"/>
    <x v="0"/>
    <s v="Digital"/>
    <n v="647.46299999999997"/>
    <n v="228.33299999999997"/>
    <s v="Tuesday"/>
    <b v="0"/>
    <x v="6"/>
  </r>
  <r>
    <s v="NV1247"/>
    <d v="2024-11-10T00:00:00"/>
    <s v="ST35"/>
    <s v="South"/>
    <s v="P289"/>
    <s v="Shoes"/>
    <n v="4"/>
    <n v="2098.31"/>
    <n v="30"/>
    <n v="872.01"/>
    <x v="1"/>
    <s v="Cash"/>
    <n v="5875.2679999999991"/>
    <n v="2387.2279999999992"/>
    <s v="Sunday"/>
    <b v="1"/>
    <x v="1"/>
  </r>
  <r>
    <s v="NV1248"/>
    <d v="2024-05-03T00:00:00"/>
    <s v="ST28"/>
    <s v="West"/>
    <s v="P3"/>
    <s v="Shoes"/>
    <n v="1"/>
    <n v="2555.63"/>
    <n v="0"/>
    <n v="1508.85"/>
    <x v="0"/>
    <s v="Digital"/>
    <n v="2555.63"/>
    <n v="1046.7800000000002"/>
    <s v="Friday"/>
    <b v="0"/>
    <x v="9"/>
  </r>
  <r>
    <s v="NV1249"/>
    <d v="2024-09-28T00:00:00"/>
    <s v="ST13"/>
    <s v="West"/>
    <s v="P142"/>
    <s v="Clothing"/>
    <n v="2"/>
    <n v="1141.28"/>
    <n v="0"/>
    <n v="560.75"/>
    <x v="0"/>
    <s v="Card"/>
    <n v="2282.56"/>
    <n v="1161.06"/>
    <s v="Saturday"/>
    <b v="1"/>
    <x v="6"/>
  </r>
  <r>
    <s v="NV1250"/>
    <d v="2025-02-23T00:00:00"/>
    <s v="ST24"/>
    <s v="North"/>
    <s v="P213"/>
    <s v="Clothing"/>
    <n v="5"/>
    <n v="2071.4"/>
    <n v="15"/>
    <n v="1216.1300000000001"/>
    <x v="0"/>
    <s v="Card"/>
    <n v="8803.4499999999989"/>
    <n v="2722.7999999999984"/>
    <s v="Sunday"/>
    <b v="1"/>
    <x v="3"/>
  </r>
  <r>
    <s v="NV1251"/>
    <d v="2025-11-28T00:00:00"/>
    <s v="ST38"/>
    <s v="East"/>
    <s v="P56"/>
    <s v="Shoes"/>
    <n v="1"/>
    <n v="895.72"/>
    <n v="5"/>
    <n v="478.92"/>
    <x v="1"/>
    <s v="Digital"/>
    <n v="850.93399999999997"/>
    <n v="372.01399999999995"/>
    <s v="Friday"/>
    <b v="0"/>
    <x v="1"/>
  </r>
  <r>
    <s v="NV1252"/>
    <d v="2024-07-17T00:00:00"/>
    <s v="ST10"/>
    <s v="West"/>
    <s v="P226"/>
    <s v="Shoes"/>
    <n v="1"/>
    <n v="1851.02"/>
    <n v="0"/>
    <n v="1124.33"/>
    <x v="1"/>
    <s v="Card"/>
    <n v="1851.02"/>
    <n v="726.69"/>
    <s v="Wednesday"/>
    <b v="0"/>
    <x v="4"/>
  </r>
  <r>
    <s v="NV1253"/>
    <d v="2025-04-22T00:00:00"/>
    <s v="ST59"/>
    <s v="South"/>
    <s v="P197"/>
    <s v="Shoes"/>
    <n v="4"/>
    <n v="2588.44"/>
    <n v="20"/>
    <n v="1537.43"/>
    <x v="1"/>
    <s v="Card"/>
    <n v="8283.0079999999998"/>
    <n v="2133.2879999999996"/>
    <s v="Tuesday"/>
    <b v="0"/>
    <x v="8"/>
  </r>
  <r>
    <s v="NV1254"/>
    <d v="2025-05-03T00:00:00"/>
    <s v="ST7"/>
    <s v="West"/>
    <s v="P257"/>
    <s v="Shoes"/>
    <n v="4"/>
    <n v="2020.28"/>
    <n v="30"/>
    <n v="893.34"/>
    <x v="1"/>
    <s v="Cash"/>
    <n v="5656.7839999999997"/>
    <n v="2083.4239999999995"/>
    <s v="Saturday"/>
    <b v="1"/>
    <x v="9"/>
  </r>
  <r>
    <s v="NV1255"/>
    <d v="2025-07-21T00:00:00"/>
    <s v="ST23"/>
    <s v="North"/>
    <s v="P133"/>
    <s v="Accessories"/>
    <n v="4"/>
    <n v="1622.01"/>
    <n v="25"/>
    <n v="908.65"/>
    <x v="0"/>
    <s v="Digital"/>
    <n v="4866.03"/>
    <n v="1231.4299999999998"/>
    <s v="Monday"/>
    <b v="0"/>
    <x v="4"/>
  </r>
  <r>
    <s v="NV1256"/>
    <d v="2024-08-11T00:00:00"/>
    <s v="ST23"/>
    <s v="North"/>
    <s v="P19"/>
    <s v="Shoes"/>
    <n v="5"/>
    <n v="1561.87"/>
    <n v="20"/>
    <n v="855.13"/>
    <x v="0"/>
    <s v="Cash"/>
    <n v="6247.48"/>
    <n v="1971.83"/>
    <s v="Sunday"/>
    <b v="1"/>
    <x v="5"/>
  </r>
  <r>
    <s v="NV1257"/>
    <d v="2025-06-26T00:00:00"/>
    <s v="ST28"/>
    <s v="West"/>
    <s v="P178"/>
    <s v="Clothing"/>
    <n v="4"/>
    <n v="2541.1999999999998"/>
    <n v="0"/>
    <n v="1333.5"/>
    <x v="1"/>
    <s v="Cash"/>
    <n v="10164.799999999999"/>
    <n v="4830.7999999999993"/>
    <s v="Thursday"/>
    <b v="0"/>
    <x v="0"/>
  </r>
  <r>
    <s v="NV1258"/>
    <d v="2025-07-14T00:00:00"/>
    <s v="ST4"/>
    <s v="West"/>
    <s v="P237"/>
    <s v="Accessories"/>
    <n v="1"/>
    <n v="1306.79"/>
    <n v="5"/>
    <n v="662.75"/>
    <x v="1"/>
    <s v="Cash"/>
    <n v="1241.4504999999999"/>
    <n v="578.70049999999992"/>
    <s v="Monday"/>
    <b v="0"/>
    <x v="4"/>
  </r>
  <r>
    <s v="NV1259"/>
    <d v="2024-04-01T00:00:00"/>
    <s v="ST13"/>
    <s v="East"/>
    <s v="P163"/>
    <s v="Clothing"/>
    <n v="2"/>
    <n v="2967.59"/>
    <n v="15"/>
    <n v="1951.29"/>
    <x v="0"/>
    <s v="Card"/>
    <n v="5044.9030000000002"/>
    <n v="1142.3230000000003"/>
    <s v="Monday"/>
    <b v="0"/>
    <x v="8"/>
  </r>
  <r>
    <s v="NV1260"/>
    <d v="2025-05-20T00:00:00"/>
    <s v="ST46"/>
    <s v="East"/>
    <s v="P264"/>
    <s v="Accessories"/>
    <n v="4"/>
    <n v="2850.56"/>
    <n v="20"/>
    <n v="1404.16"/>
    <x v="1"/>
    <s v="Cash"/>
    <n v="9121.7919999999995"/>
    <n v="3505.1519999999991"/>
    <s v="Tuesday"/>
    <b v="0"/>
    <x v="9"/>
  </r>
  <r>
    <s v="NV1261"/>
    <d v="2024-07-13T00:00:00"/>
    <s v="ST18"/>
    <s v="West"/>
    <s v="P17"/>
    <s v="Shoes"/>
    <n v="4"/>
    <n v="475.26"/>
    <n v="25"/>
    <n v="207.4"/>
    <x v="1"/>
    <s v="Digital"/>
    <n v="1425.78"/>
    <n v="596.17999999999995"/>
    <s v="Saturday"/>
    <b v="1"/>
    <x v="4"/>
  </r>
  <r>
    <s v="NV1262"/>
    <d v="2025-04-29T00:00:00"/>
    <s v="ST34"/>
    <s v="East"/>
    <s v="P123"/>
    <s v="Accessories"/>
    <n v="3"/>
    <n v="642.24"/>
    <n v="30"/>
    <n v="281.02"/>
    <x v="0"/>
    <s v="Cash"/>
    <n v="1348.704"/>
    <n v="505.64400000000001"/>
    <s v="Tuesday"/>
    <b v="0"/>
    <x v="8"/>
  </r>
  <r>
    <s v="NV1263"/>
    <d v="2025-03-02T00:00:00"/>
    <s v="ST28"/>
    <s v="East"/>
    <s v="P239"/>
    <s v="Accessories"/>
    <n v="4"/>
    <n v="374.93"/>
    <n v="0"/>
    <n v="154.49"/>
    <x v="1"/>
    <s v="Cash"/>
    <n v="1499.72"/>
    <n v="881.76"/>
    <s v="Sunday"/>
    <b v="1"/>
    <x v="7"/>
  </r>
  <r>
    <s v="NV1264"/>
    <d v="2025-02-26T00:00:00"/>
    <s v="ST26"/>
    <s v="West"/>
    <s v="P265"/>
    <s v="Accessories"/>
    <n v="5"/>
    <n v="673.32"/>
    <n v="15"/>
    <n v="274.8"/>
    <x v="0"/>
    <s v="Cash"/>
    <n v="2861.61"/>
    <n v="1487.6100000000001"/>
    <s v="Wednesday"/>
    <b v="0"/>
    <x v="3"/>
  </r>
  <r>
    <s v="NV1265"/>
    <d v="2024-12-31T00:00:00"/>
    <s v="ST37"/>
    <s v="West"/>
    <s v="P110"/>
    <s v="Accessories"/>
    <n v="4"/>
    <n v="2173.91"/>
    <n v="25"/>
    <n v="1408.64"/>
    <x v="1"/>
    <s v="Card"/>
    <n v="6521.73"/>
    <n v="887.16999999999916"/>
    <s v="Tuesday"/>
    <b v="0"/>
    <x v="11"/>
  </r>
  <r>
    <s v="NV1266"/>
    <d v="2025-05-31T00:00:00"/>
    <s v="ST35"/>
    <s v="West"/>
    <s v="P130"/>
    <s v="Clothing"/>
    <n v="4"/>
    <n v="788.37"/>
    <n v="5"/>
    <n v="374.13"/>
    <x v="0"/>
    <s v="Cash"/>
    <n v="2995.806"/>
    <n v="1499.2860000000001"/>
    <s v="Saturday"/>
    <b v="1"/>
    <x v="9"/>
  </r>
  <r>
    <s v="NV1267"/>
    <d v="2025-07-23T00:00:00"/>
    <s v="ST37"/>
    <s v="South"/>
    <s v="P36"/>
    <s v="Clothing"/>
    <n v="1"/>
    <n v="806.81"/>
    <n v="5"/>
    <n v="417.37"/>
    <x v="1"/>
    <s v="Cash"/>
    <n v="766.46949999999993"/>
    <n v="349.09949999999992"/>
    <s v="Wednesday"/>
    <b v="0"/>
    <x v="4"/>
  </r>
  <r>
    <s v="NV1268"/>
    <d v="2025-05-23T00:00:00"/>
    <s v="ST53"/>
    <s v="North"/>
    <s v="P24"/>
    <s v="Clothing"/>
    <n v="3"/>
    <n v="602.9"/>
    <n v="30"/>
    <n v="284.89999999999998"/>
    <x v="1"/>
    <s v="Cash"/>
    <n v="1266.0899999999997"/>
    <n v="411.38999999999976"/>
    <s v="Friday"/>
    <b v="0"/>
    <x v="9"/>
  </r>
  <r>
    <s v="NV1269"/>
    <d v="2025-01-14T00:00:00"/>
    <s v="ST19"/>
    <s v="North"/>
    <s v="P59"/>
    <s v="Shoes"/>
    <n v="4"/>
    <n v="2705.89"/>
    <n v="25"/>
    <n v="1658.13"/>
    <x v="0"/>
    <s v="Card"/>
    <n v="8117.67"/>
    <n v="1485.1499999999996"/>
    <s v="Tuesday"/>
    <b v="0"/>
    <x v="10"/>
  </r>
  <r>
    <s v="NV1270"/>
    <d v="2025-10-09T00:00:00"/>
    <s v="ST7"/>
    <s v="South"/>
    <s v="P196"/>
    <s v="Clothing"/>
    <n v="2"/>
    <n v="621.59"/>
    <n v="20"/>
    <n v="256.2"/>
    <x v="1"/>
    <s v="Card"/>
    <n v="994.5440000000001"/>
    <n v="482.14400000000012"/>
    <s v="Thursday"/>
    <b v="0"/>
    <x v="2"/>
  </r>
  <r>
    <s v="NV1271"/>
    <d v="2024-08-01T00:00:00"/>
    <s v="ST2"/>
    <s v="South"/>
    <s v="P213"/>
    <s v="Accessories"/>
    <n v="5"/>
    <n v="2372.96"/>
    <n v="15"/>
    <n v="1488.6"/>
    <x v="1"/>
    <s v="Card"/>
    <n v="10085.08"/>
    <n v="2642.08"/>
    <s v="Thursday"/>
    <b v="0"/>
    <x v="5"/>
  </r>
  <r>
    <s v="NV1272"/>
    <d v="2024-07-06T00:00:00"/>
    <s v="ST29"/>
    <s v="West"/>
    <s v="P33"/>
    <s v="Accessories"/>
    <n v="1"/>
    <n v="2589.29"/>
    <n v="10"/>
    <n v="1262.25"/>
    <x v="0"/>
    <s v="Cash"/>
    <n v="2330.3609999999999"/>
    <n v="1068.1109999999999"/>
    <s v="Saturday"/>
    <b v="1"/>
    <x v="4"/>
  </r>
  <r>
    <s v="NV1273"/>
    <d v="2025-09-29T00:00:00"/>
    <s v="ST7"/>
    <s v="West"/>
    <s v="P83"/>
    <s v="Accessories"/>
    <n v="5"/>
    <n v="2093.5300000000002"/>
    <n v="30"/>
    <n v="871.35"/>
    <x v="1"/>
    <s v="Digital"/>
    <n v="7327.3550000000005"/>
    <n v="2970.6050000000005"/>
    <s v="Monday"/>
    <b v="0"/>
    <x v="6"/>
  </r>
  <r>
    <s v="NV1274"/>
    <d v="2024-07-25T00:00:00"/>
    <s v="ST8"/>
    <s v="South"/>
    <s v="P296"/>
    <s v="Clothing"/>
    <n v="5"/>
    <n v="1061.44"/>
    <n v="0"/>
    <n v="562.61"/>
    <x v="1"/>
    <s v="Card"/>
    <n v="5307.2000000000007"/>
    <n v="2494.1500000000005"/>
    <s v="Thursday"/>
    <b v="0"/>
    <x v="4"/>
  </r>
  <r>
    <s v="NV1275"/>
    <d v="2024-12-31T00:00:00"/>
    <s v="ST57"/>
    <s v="South"/>
    <s v="P246"/>
    <s v="Clothing"/>
    <n v="4"/>
    <n v="1637.56"/>
    <n v="30"/>
    <n v="886.43"/>
    <x v="1"/>
    <s v="Digital"/>
    <n v="4585.1679999999997"/>
    <n v="1039.4479999999999"/>
    <s v="Tuesday"/>
    <b v="0"/>
    <x v="11"/>
  </r>
  <r>
    <s v="NV1276"/>
    <d v="2025-10-21T00:00:00"/>
    <s v="ST47"/>
    <s v="West"/>
    <s v="P135"/>
    <s v="Clothing"/>
    <n v="5"/>
    <n v="2920.25"/>
    <n v="0"/>
    <n v="1836.66"/>
    <x v="0"/>
    <s v="Digital"/>
    <n v="14601.25"/>
    <n v="5417.9499999999989"/>
    <s v="Tuesday"/>
    <b v="0"/>
    <x v="2"/>
  </r>
  <r>
    <s v="NV1277"/>
    <d v="2024-09-22T00:00:00"/>
    <s v="ST18"/>
    <s v="North"/>
    <s v="P181"/>
    <s v="Accessories"/>
    <n v="1"/>
    <n v="854.37"/>
    <n v="15"/>
    <n v="481.81"/>
    <x v="1"/>
    <s v="Digital"/>
    <n v="726.21449999999993"/>
    <n v="244.40449999999993"/>
    <s v="Sunday"/>
    <b v="1"/>
    <x v="6"/>
  </r>
  <r>
    <s v="NV1278"/>
    <d v="2025-09-04T00:00:00"/>
    <s v="ST46"/>
    <s v="South"/>
    <s v="P114"/>
    <s v="Shoes"/>
    <n v="2"/>
    <n v="1320.38"/>
    <n v="5"/>
    <n v="805.81"/>
    <x v="0"/>
    <s v="Cash"/>
    <n v="2508.7220000000002"/>
    <n v="897.10200000000032"/>
    <s v="Thursday"/>
    <b v="0"/>
    <x v="6"/>
  </r>
  <r>
    <s v="NV1279"/>
    <d v="2024-09-17T00:00:00"/>
    <s v="ST4"/>
    <s v="West"/>
    <s v="P1"/>
    <s v="Clothing"/>
    <n v="1"/>
    <n v="2479.2199999999998"/>
    <n v="25"/>
    <n v="1624.05"/>
    <x v="0"/>
    <s v="Cash"/>
    <n v="1859.415"/>
    <n v="235.36500000000001"/>
    <s v="Tuesday"/>
    <b v="0"/>
    <x v="6"/>
  </r>
  <r>
    <s v="NV1280"/>
    <d v="2025-09-16T00:00:00"/>
    <s v="ST33"/>
    <s v="West"/>
    <s v="P140"/>
    <s v="Shoes"/>
    <n v="1"/>
    <n v="2735.76"/>
    <n v="10"/>
    <n v="1207.1500000000001"/>
    <x v="0"/>
    <s v="Digital"/>
    <n v="2462.1840000000002"/>
    <n v="1255.0340000000001"/>
    <s v="Tuesday"/>
    <b v="0"/>
    <x v="6"/>
  </r>
  <r>
    <s v="NV1281"/>
    <d v="2025-06-01T00:00:00"/>
    <s v="ST51"/>
    <s v="North"/>
    <s v="P152"/>
    <s v="Clothing"/>
    <n v="5"/>
    <n v="2662.3"/>
    <n v="15"/>
    <n v="1547.94"/>
    <x v="0"/>
    <s v="Digital"/>
    <n v="11314.775"/>
    <n v="3575.0749999999989"/>
    <s v="Sunday"/>
    <b v="1"/>
    <x v="0"/>
  </r>
  <r>
    <s v="NV1282"/>
    <d v="2024-01-20T00:00:00"/>
    <s v="ST42"/>
    <s v="West"/>
    <s v="P104"/>
    <s v="Clothing"/>
    <n v="3"/>
    <n v="381.72"/>
    <n v="10"/>
    <n v="212.96"/>
    <x v="1"/>
    <s v="Cash"/>
    <n v="1030.644"/>
    <n v="391.76400000000001"/>
    <s v="Saturday"/>
    <b v="1"/>
    <x v="10"/>
  </r>
  <r>
    <s v="NV1283"/>
    <d v="2024-09-02T00:00:00"/>
    <s v="ST56"/>
    <s v="South"/>
    <s v="P272"/>
    <s v="Accessories"/>
    <n v="2"/>
    <n v="1751.63"/>
    <n v="30"/>
    <n v="997.86"/>
    <x v="1"/>
    <s v="Card"/>
    <n v="2452.2820000000002"/>
    <n v="456.56200000000013"/>
    <s v="Monday"/>
    <b v="0"/>
    <x v="6"/>
  </r>
  <r>
    <s v="NV1284"/>
    <d v="2024-12-02T00:00:00"/>
    <s v="ST7"/>
    <s v="West"/>
    <s v="P282"/>
    <s v="Shoes"/>
    <n v="4"/>
    <n v="1163.3399999999999"/>
    <n v="0"/>
    <n v="653.46"/>
    <x v="1"/>
    <s v="Card"/>
    <n v="4653.3599999999997"/>
    <n v="2039.5199999999995"/>
    <s v="Monday"/>
    <b v="0"/>
    <x v="11"/>
  </r>
  <r>
    <s v="NV1285"/>
    <d v="2025-06-17T00:00:00"/>
    <s v="ST12"/>
    <s v="North"/>
    <s v="P122"/>
    <s v="Accessories"/>
    <n v="2"/>
    <n v="1841.14"/>
    <n v="20"/>
    <n v="1168.3599999999999"/>
    <x v="1"/>
    <s v="Cash"/>
    <n v="2945.8240000000005"/>
    <n v="609.10400000000072"/>
    <s v="Tuesday"/>
    <b v="0"/>
    <x v="0"/>
  </r>
  <r>
    <s v="NV1286"/>
    <d v="2025-10-25T00:00:00"/>
    <s v="ST22"/>
    <s v="East"/>
    <s v="P199"/>
    <s v="Shoes"/>
    <n v="5"/>
    <n v="969.41"/>
    <n v="10"/>
    <n v="608.33000000000004"/>
    <x v="0"/>
    <s v="Digital"/>
    <n v="4362.3450000000003"/>
    <n v="1320.6950000000002"/>
    <s v="Saturday"/>
    <b v="1"/>
    <x v="2"/>
  </r>
  <r>
    <s v="NV1287"/>
    <d v="2024-08-17T00:00:00"/>
    <s v="ST7"/>
    <s v="North"/>
    <s v="P253"/>
    <s v="Accessories"/>
    <n v="5"/>
    <n v="1611.85"/>
    <n v="0"/>
    <n v="1121.5"/>
    <x v="0"/>
    <s v="Digital"/>
    <n v="8059.25"/>
    <n v="2451.75"/>
    <s v="Saturday"/>
    <b v="1"/>
    <x v="5"/>
  </r>
  <r>
    <s v="NV1288"/>
    <d v="2025-05-04T00:00:00"/>
    <s v="ST10"/>
    <s v="South"/>
    <s v="P185"/>
    <s v="Accessories"/>
    <n v="1"/>
    <n v="406.63"/>
    <n v="20"/>
    <n v="223.3"/>
    <x v="0"/>
    <s v="Digital"/>
    <n v="325.30400000000003"/>
    <n v="102.00400000000002"/>
    <s v="Sunday"/>
    <b v="1"/>
    <x v="9"/>
  </r>
  <r>
    <s v="NV1289"/>
    <d v="2024-03-03T00:00:00"/>
    <s v="ST30"/>
    <s v="East"/>
    <s v="P142"/>
    <s v="Clothing"/>
    <n v="1"/>
    <n v="1807.63"/>
    <n v="0"/>
    <n v="946.17"/>
    <x v="1"/>
    <s v="Card"/>
    <n v="1807.63"/>
    <n v="861.46000000000015"/>
    <s v="Sunday"/>
    <b v="1"/>
    <x v="7"/>
  </r>
  <r>
    <s v="NV1290"/>
    <d v="2025-09-23T00:00:00"/>
    <s v="ST5"/>
    <s v="South"/>
    <s v="P244"/>
    <s v="Shoes"/>
    <n v="2"/>
    <n v="1576.53"/>
    <n v="15"/>
    <n v="717.66"/>
    <x v="1"/>
    <s v="Card"/>
    <n v="2680.1009999999997"/>
    <n v="1244.7809999999997"/>
    <s v="Tuesday"/>
    <b v="0"/>
    <x v="6"/>
  </r>
  <r>
    <s v="NV1291"/>
    <d v="2025-04-03T00:00:00"/>
    <s v="ST21"/>
    <s v="East"/>
    <s v="P212"/>
    <s v="Accessories"/>
    <n v="5"/>
    <n v="2378.3000000000002"/>
    <n v="0"/>
    <n v="1434.7"/>
    <x v="1"/>
    <s v="Cash"/>
    <n v="11891.5"/>
    <n v="4718"/>
    <s v="Thursday"/>
    <b v="0"/>
    <x v="8"/>
  </r>
  <r>
    <s v="NV1292"/>
    <d v="2025-10-04T00:00:00"/>
    <s v="ST15"/>
    <s v="West"/>
    <s v="P148"/>
    <s v="Clothing"/>
    <n v="2"/>
    <n v="2904.4"/>
    <n v="30"/>
    <n v="1794.54"/>
    <x v="1"/>
    <s v="Digital"/>
    <n v="4066.16"/>
    <n v="477.07999999999993"/>
    <s v="Saturday"/>
    <b v="1"/>
    <x v="2"/>
  </r>
  <r>
    <s v="NV1293"/>
    <d v="2025-04-10T00:00:00"/>
    <s v="ST46"/>
    <s v="East"/>
    <s v="P7"/>
    <s v="Shoes"/>
    <n v="2"/>
    <n v="921.14"/>
    <n v="25"/>
    <n v="400.36"/>
    <x v="1"/>
    <s v="Cash"/>
    <n v="1381.71"/>
    <n v="580.99"/>
    <s v="Thursday"/>
    <b v="0"/>
    <x v="8"/>
  </r>
  <r>
    <s v="NV1294"/>
    <d v="2025-01-23T00:00:00"/>
    <s v="ST34"/>
    <s v="North"/>
    <s v="P177"/>
    <s v="Accessories"/>
    <n v="3"/>
    <n v="1490.8"/>
    <n v="0"/>
    <n v="689.37"/>
    <x v="0"/>
    <s v="Cash"/>
    <n v="4472.3999999999996"/>
    <n v="2404.2899999999995"/>
    <s v="Thursday"/>
    <b v="0"/>
    <x v="10"/>
  </r>
  <r>
    <s v="NV1295"/>
    <d v="2024-10-18T00:00:00"/>
    <s v="ST12"/>
    <s v="South"/>
    <s v="P24"/>
    <s v="Accessories"/>
    <n v="1"/>
    <n v="2521.21"/>
    <n v="5"/>
    <n v="1066.0999999999999"/>
    <x v="0"/>
    <s v="Digital"/>
    <n v="2395.1495"/>
    <n v="1329.0495000000001"/>
    <s v="Friday"/>
    <b v="0"/>
    <x v="2"/>
  </r>
  <r>
    <s v="NV1296"/>
    <d v="2024-07-20T00:00:00"/>
    <s v="ST5"/>
    <s v="East"/>
    <s v="P254"/>
    <s v="Accessories"/>
    <n v="1"/>
    <n v="1986.86"/>
    <n v="15"/>
    <n v="1012.73"/>
    <x v="0"/>
    <s v="Cash"/>
    <n v="1688.8309999999999"/>
    <n v="676.10099999999989"/>
    <s v="Saturday"/>
    <b v="1"/>
    <x v="4"/>
  </r>
  <r>
    <s v="NV1297"/>
    <d v="2024-01-06T00:00:00"/>
    <s v="ST25"/>
    <s v="North"/>
    <s v="P237"/>
    <s v="Clothing"/>
    <n v="5"/>
    <n v="1577.47"/>
    <n v="15"/>
    <n v="862.58"/>
    <x v="1"/>
    <s v="Digital"/>
    <n v="6704.2475000000004"/>
    <n v="2391.3474999999999"/>
    <s v="Saturday"/>
    <b v="1"/>
    <x v="10"/>
  </r>
  <r>
    <s v="NV1298"/>
    <d v="2025-11-20T00:00:00"/>
    <s v="ST5"/>
    <s v="North"/>
    <s v="P75"/>
    <s v="Clothing"/>
    <n v="1"/>
    <n v="1056.1500000000001"/>
    <n v="10"/>
    <n v="664.42"/>
    <x v="0"/>
    <s v="Cash"/>
    <n v="950.53500000000008"/>
    <n v="286.11500000000012"/>
    <s v="Thursday"/>
    <b v="0"/>
    <x v="1"/>
  </r>
  <r>
    <s v="NV1299"/>
    <d v="2024-04-21T00:00:00"/>
    <s v="ST60"/>
    <s v="East"/>
    <s v="P93"/>
    <s v="Shoes"/>
    <n v="1"/>
    <n v="1614.45"/>
    <n v="10"/>
    <n v="973.58"/>
    <x v="0"/>
    <s v="Digital"/>
    <n v="1453.0050000000001"/>
    <n v="479.42500000000007"/>
    <s v="Sunday"/>
    <b v="1"/>
    <x v="8"/>
  </r>
  <r>
    <s v="NV1300"/>
    <d v="2025-08-02T00:00:00"/>
    <s v="ST50"/>
    <s v="North"/>
    <s v="P123"/>
    <s v="Shoes"/>
    <n v="3"/>
    <n v="846.81"/>
    <n v="25"/>
    <n v="536.77"/>
    <x v="1"/>
    <s v="Digital"/>
    <n v="1905.3224999999998"/>
    <n v="295.01249999999982"/>
    <s v="Saturday"/>
    <b v="1"/>
    <x v="5"/>
  </r>
  <r>
    <s v="NV1301"/>
    <d v="2025-09-30T00:00:00"/>
    <s v="ST7"/>
    <s v="South"/>
    <s v="P199"/>
    <s v="Shoes"/>
    <n v="5"/>
    <n v="776.25"/>
    <n v="10"/>
    <n v="427.61"/>
    <x v="0"/>
    <s v="Digital"/>
    <n v="3493.125"/>
    <n v="1355.0749999999998"/>
    <s v="Tuesday"/>
    <b v="0"/>
    <x v="6"/>
  </r>
  <r>
    <s v="NV1302"/>
    <d v="2024-07-18T00:00:00"/>
    <s v="ST60"/>
    <s v="North"/>
    <s v="P260"/>
    <s v="Shoes"/>
    <n v="5"/>
    <n v="2626.93"/>
    <n v="20"/>
    <n v="1731.38"/>
    <x v="0"/>
    <s v="Card"/>
    <n v="10507.720000000001"/>
    <n v="1850.8199999999997"/>
    <s v="Thursday"/>
    <b v="0"/>
    <x v="4"/>
  </r>
  <r>
    <s v="NV1303"/>
    <d v="2024-05-13T00:00:00"/>
    <s v="ST21"/>
    <s v="East"/>
    <s v="P79"/>
    <s v="Shoes"/>
    <n v="5"/>
    <n v="1002.58"/>
    <n v="5"/>
    <n v="657.12"/>
    <x v="1"/>
    <s v="Digital"/>
    <n v="4762.2550000000001"/>
    <n v="1476.6550000000002"/>
    <s v="Monday"/>
    <b v="0"/>
    <x v="9"/>
  </r>
  <r>
    <s v="NV1304"/>
    <d v="2025-09-20T00:00:00"/>
    <s v="ST56"/>
    <s v="West"/>
    <s v="P182"/>
    <s v="Clothing"/>
    <n v="4"/>
    <n v="1330.95"/>
    <n v="0"/>
    <n v="839.03"/>
    <x v="1"/>
    <s v="Digital"/>
    <n v="5323.8"/>
    <n v="1967.6800000000003"/>
    <s v="Saturday"/>
    <b v="1"/>
    <x v="6"/>
  </r>
  <r>
    <s v="NV1305"/>
    <d v="2024-03-24T00:00:00"/>
    <s v="ST20"/>
    <s v="South"/>
    <s v="P69"/>
    <s v="Accessories"/>
    <n v="3"/>
    <n v="2381.81"/>
    <n v="5"/>
    <n v="1394.5"/>
    <x v="1"/>
    <s v="Cash"/>
    <n v="6788.1584999999995"/>
    <n v="2604.6584999999995"/>
    <s v="Sunday"/>
    <b v="1"/>
    <x v="7"/>
  </r>
  <r>
    <s v="NV1306"/>
    <d v="2024-07-23T00:00:00"/>
    <s v="ST40"/>
    <s v="West"/>
    <s v="P15"/>
    <s v="Clothing"/>
    <n v="3"/>
    <n v="2269"/>
    <n v="0"/>
    <n v="910.16"/>
    <x v="1"/>
    <s v="Digital"/>
    <n v="6807"/>
    <n v="4076.52"/>
    <s v="Tuesday"/>
    <b v="0"/>
    <x v="4"/>
  </r>
  <r>
    <s v="NV1307"/>
    <d v="2024-09-22T00:00:00"/>
    <s v="ST14"/>
    <s v="South"/>
    <s v="P289"/>
    <s v="Accessories"/>
    <n v="2"/>
    <n v="2145.73"/>
    <n v="0"/>
    <n v="1415.41"/>
    <x v="0"/>
    <s v="Cash"/>
    <n v="4291.46"/>
    <n v="1460.6399999999999"/>
    <s v="Sunday"/>
    <b v="1"/>
    <x v="6"/>
  </r>
  <r>
    <s v="NV1308"/>
    <d v="2025-10-19T00:00:00"/>
    <s v="ST5"/>
    <s v="East"/>
    <s v="P280"/>
    <s v="Clothing"/>
    <n v="2"/>
    <n v="1840.49"/>
    <n v="15"/>
    <n v="1275.57"/>
    <x v="1"/>
    <s v="Card"/>
    <n v="3128.8330000000001"/>
    <n v="577.69300000000021"/>
    <s v="Sunday"/>
    <b v="1"/>
    <x v="2"/>
  </r>
  <r>
    <s v="NV1309"/>
    <d v="2024-11-14T00:00:00"/>
    <s v="ST36"/>
    <s v="South"/>
    <s v="P60"/>
    <s v="Clothing"/>
    <n v="1"/>
    <n v="1404.88"/>
    <n v="5"/>
    <n v="912.68"/>
    <x v="1"/>
    <s v="Cash"/>
    <n v="1334.636"/>
    <n v="421.95600000000002"/>
    <s v="Thursday"/>
    <b v="0"/>
    <x v="1"/>
  </r>
  <r>
    <s v="NV1310"/>
    <d v="2024-01-17T00:00:00"/>
    <s v="ST12"/>
    <s v="North"/>
    <s v="P276"/>
    <s v="Accessories"/>
    <n v="2"/>
    <n v="645.69000000000005"/>
    <n v="10"/>
    <n v="416.17"/>
    <x v="1"/>
    <s v="Card"/>
    <n v="1162.2420000000002"/>
    <n v="329.90200000000016"/>
    <s v="Wednesday"/>
    <b v="0"/>
    <x v="10"/>
  </r>
  <r>
    <s v="NV1311"/>
    <d v="2024-03-26T00:00:00"/>
    <s v="ST6"/>
    <s v="West"/>
    <s v="P226"/>
    <s v="Accessories"/>
    <n v="2"/>
    <n v="2391.9699999999998"/>
    <n v="0"/>
    <n v="1156.4100000000001"/>
    <x v="1"/>
    <s v="Digital"/>
    <n v="4783.9399999999996"/>
    <n v="2471.1199999999994"/>
    <s v="Tuesday"/>
    <b v="0"/>
    <x v="7"/>
  </r>
  <r>
    <s v="NV1312"/>
    <d v="2024-08-25T00:00:00"/>
    <s v="ST28"/>
    <s v="South"/>
    <s v="P259"/>
    <s v="Clothing"/>
    <n v="2"/>
    <n v="781.36"/>
    <n v="5"/>
    <n v="404.62"/>
    <x v="1"/>
    <s v="Card"/>
    <n v="1484.5840000000001"/>
    <n v="675.34400000000005"/>
    <s v="Sunday"/>
    <b v="1"/>
    <x v="5"/>
  </r>
  <r>
    <s v="NV1313"/>
    <d v="2025-09-03T00:00:00"/>
    <s v="ST51"/>
    <s v="East"/>
    <s v="P278"/>
    <s v="Shoes"/>
    <n v="1"/>
    <n v="773.02"/>
    <n v="25"/>
    <n v="510.01"/>
    <x v="0"/>
    <s v="Cash"/>
    <n v="579.76499999999999"/>
    <n v="69.754999999999995"/>
    <s v="Wednesday"/>
    <b v="0"/>
    <x v="6"/>
  </r>
  <r>
    <s v="NV1314"/>
    <d v="2025-01-28T00:00:00"/>
    <s v="ST35"/>
    <s v="South"/>
    <s v="P266"/>
    <s v="Shoes"/>
    <n v="4"/>
    <n v="2363.8200000000002"/>
    <n v="30"/>
    <n v="1558.34"/>
    <x v="0"/>
    <s v="Digital"/>
    <n v="6618.6959999999999"/>
    <n v="385.33600000000024"/>
    <s v="Tuesday"/>
    <b v="0"/>
    <x v="10"/>
  </r>
  <r>
    <s v="NV1315"/>
    <d v="2025-06-27T00:00:00"/>
    <s v="ST37"/>
    <s v="West"/>
    <s v="P287"/>
    <s v="Shoes"/>
    <n v="4"/>
    <n v="715.55"/>
    <n v="10"/>
    <n v="354.18"/>
    <x v="1"/>
    <s v="Cash"/>
    <n v="2575.98"/>
    <n v="1159.26"/>
    <s v="Friday"/>
    <b v="0"/>
    <x v="0"/>
  </r>
  <r>
    <s v="NV1316"/>
    <d v="2025-01-22T00:00:00"/>
    <s v="ST55"/>
    <s v="South"/>
    <s v="P206"/>
    <s v="Accessories"/>
    <n v="3"/>
    <n v="1381.95"/>
    <n v="30"/>
    <n v="611.78"/>
    <x v="1"/>
    <s v="Cash"/>
    <n v="2902.0950000000003"/>
    <n v="1066.7550000000003"/>
    <s v="Wednesday"/>
    <b v="0"/>
    <x v="10"/>
  </r>
  <r>
    <s v="NV1317"/>
    <d v="2025-10-23T00:00:00"/>
    <s v="ST45"/>
    <s v="East"/>
    <s v="P201"/>
    <s v="Accessories"/>
    <n v="3"/>
    <n v="2269.41"/>
    <n v="0"/>
    <n v="1399.69"/>
    <x v="0"/>
    <s v="Card"/>
    <n v="6808.23"/>
    <n v="2609.16"/>
    <s v="Thursday"/>
    <b v="0"/>
    <x v="2"/>
  </r>
  <r>
    <s v="NV1318"/>
    <d v="2024-11-12T00:00:00"/>
    <s v="ST33"/>
    <s v="West"/>
    <s v="P263"/>
    <s v="Accessories"/>
    <n v="4"/>
    <n v="1454.51"/>
    <n v="0"/>
    <n v="747.19"/>
    <x v="0"/>
    <s v="Cash"/>
    <n v="5818.04"/>
    <n v="2829.2799999999997"/>
    <s v="Tuesday"/>
    <b v="0"/>
    <x v="1"/>
  </r>
  <r>
    <s v="NV1319"/>
    <d v="2025-07-07T00:00:00"/>
    <s v="ST12"/>
    <s v="West"/>
    <s v="P244"/>
    <s v="Accessories"/>
    <n v="4"/>
    <n v="2910.25"/>
    <n v="20"/>
    <n v="1505.73"/>
    <x v="0"/>
    <s v="Digital"/>
    <n v="9312.8000000000011"/>
    <n v="3289.880000000001"/>
    <s v="Monday"/>
    <b v="0"/>
    <x v="4"/>
  </r>
  <r>
    <s v="NV1320"/>
    <d v="2025-10-04T00:00:00"/>
    <s v="ST53"/>
    <s v="West"/>
    <s v="P113"/>
    <s v="Shoes"/>
    <n v="5"/>
    <n v="1099.1500000000001"/>
    <n v="25"/>
    <n v="661.51"/>
    <x v="1"/>
    <s v="Digital"/>
    <n v="4121.8125"/>
    <n v="814.26249999999982"/>
    <s v="Saturday"/>
    <b v="1"/>
    <x v="2"/>
  </r>
  <r>
    <s v="NV1321"/>
    <d v="2025-03-25T00:00:00"/>
    <s v="ST34"/>
    <s v="North"/>
    <s v="P125"/>
    <s v="Accessories"/>
    <n v="1"/>
    <n v="2803.28"/>
    <n v="10"/>
    <n v="1193.54"/>
    <x v="1"/>
    <s v="Cash"/>
    <n v="2522.9520000000002"/>
    <n v="1329.4120000000003"/>
    <s v="Tuesday"/>
    <b v="0"/>
    <x v="7"/>
  </r>
  <r>
    <s v="NV1322"/>
    <d v="2024-03-01T00:00:00"/>
    <s v="ST11"/>
    <s v="East"/>
    <s v="P62"/>
    <s v="Shoes"/>
    <n v="5"/>
    <n v="2283.21"/>
    <n v="30"/>
    <n v="980.6"/>
    <x v="0"/>
    <s v="Digital"/>
    <n v="7991.2349999999988"/>
    <n v="3088.2349999999988"/>
    <s v="Friday"/>
    <b v="0"/>
    <x v="7"/>
  </r>
  <r>
    <s v="NV1323"/>
    <d v="2024-03-03T00:00:00"/>
    <s v="ST3"/>
    <s v="North"/>
    <s v="P86"/>
    <s v="Shoes"/>
    <n v="3"/>
    <n v="2197.67"/>
    <n v="0"/>
    <n v="1046.3499999999999"/>
    <x v="1"/>
    <s v="Card"/>
    <n v="6593.01"/>
    <n v="3453.9600000000005"/>
    <s v="Sunday"/>
    <b v="1"/>
    <x v="7"/>
  </r>
  <r>
    <s v="NV1324"/>
    <d v="2024-05-11T00:00:00"/>
    <s v="ST59"/>
    <s v="South"/>
    <s v="P236"/>
    <s v="Shoes"/>
    <n v="2"/>
    <n v="1972.52"/>
    <n v="5"/>
    <n v="1284.8499999999999"/>
    <x v="1"/>
    <s v="Cash"/>
    <n v="3747.788"/>
    <n v="1178.0880000000002"/>
    <s v="Saturday"/>
    <b v="1"/>
    <x v="9"/>
  </r>
  <r>
    <s v="NV1325"/>
    <d v="2024-01-16T00:00:00"/>
    <s v="ST32"/>
    <s v="West"/>
    <s v="P210"/>
    <s v="Accessories"/>
    <n v="3"/>
    <n v="785.75"/>
    <n v="25"/>
    <n v="345.3"/>
    <x v="0"/>
    <s v="Card"/>
    <n v="1767.9375"/>
    <n v="732.03749999999991"/>
    <s v="Tuesday"/>
    <b v="0"/>
    <x v="10"/>
  </r>
  <r>
    <s v="NV1326"/>
    <d v="2025-09-17T00:00:00"/>
    <s v="ST27"/>
    <s v="South"/>
    <s v="P154"/>
    <s v="Accessories"/>
    <n v="3"/>
    <n v="1540.62"/>
    <n v="30"/>
    <n v="784.46"/>
    <x v="0"/>
    <s v="Card"/>
    <n v="3235.3019999999997"/>
    <n v="881.92199999999957"/>
    <s v="Wednesday"/>
    <b v="0"/>
    <x v="6"/>
  </r>
  <r>
    <s v="NV1327"/>
    <d v="2024-07-03T00:00:00"/>
    <s v="ST2"/>
    <s v="North"/>
    <s v="P151"/>
    <s v="Clothing"/>
    <n v="2"/>
    <n v="2146.48"/>
    <n v="0"/>
    <n v="1156.4000000000001"/>
    <x v="0"/>
    <s v="Card"/>
    <n v="4292.96"/>
    <n v="1980.1599999999999"/>
    <s v="Wednesday"/>
    <b v="0"/>
    <x v="4"/>
  </r>
  <r>
    <s v="NV1328"/>
    <d v="2024-10-24T00:00:00"/>
    <s v="ST22"/>
    <s v="East"/>
    <s v="P13"/>
    <s v="Shoes"/>
    <n v="2"/>
    <n v="1281.1500000000001"/>
    <n v="25"/>
    <n v="664.77"/>
    <x v="0"/>
    <s v="Card"/>
    <n v="1921.7250000000001"/>
    <n v="592.18500000000017"/>
    <s v="Thursday"/>
    <b v="0"/>
    <x v="2"/>
  </r>
  <r>
    <s v="NV1329"/>
    <d v="2024-08-17T00:00:00"/>
    <s v="ST21"/>
    <s v="East"/>
    <s v="P91"/>
    <s v="Clothing"/>
    <n v="3"/>
    <n v="1416.04"/>
    <n v="10"/>
    <n v="590.84"/>
    <x v="1"/>
    <s v="Digital"/>
    <n v="3823.308"/>
    <n v="2050.788"/>
    <s v="Saturday"/>
    <b v="1"/>
    <x v="5"/>
  </r>
  <r>
    <s v="NV1330"/>
    <d v="2024-04-14T00:00:00"/>
    <s v="ST60"/>
    <s v="West"/>
    <s v="P70"/>
    <s v="Accessories"/>
    <n v="4"/>
    <n v="1428.44"/>
    <n v="30"/>
    <n v="931.8"/>
    <x v="1"/>
    <s v="Digital"/>
    <n v="3999.6320000000001"/>
    <n v="272.43200000000024"/>
    <s v="Sunday"/>
    <b v="1"/>
    <x v="8"/>
  </r>
  <r>
    <s v="NV1331"/>
    <d v="2024-12-13T00:00:00"/>
    <s v="ST47"/>
    <s v="West"/>
    <s v="P267"/>
    <s v="Clothing"/>
    <n v="2"/>
    <n v="2951.9"/>
    <n v="20"/>
    <n v="1229.0999999999999"/>
    <x v="0"/>
    <s v="Digital"/>
    <n v="4723.04"/>
    <n v="2264.84"/>
    <s v="Friday"/>
    <b v="0"/>
    <x v="11"/>
  </r>
  <r>
    <s v="NV1332"/>
    <d v="2024-05-06T00:00:00"/>
    <s v="ST23"/>
    <s v="West"/>
    <s v="P188"/>
    <s v="Accessories"/>
    <n v="1"/>
    <n v="2426.1999999999998"/>
    <n v="0"/>
    <n v="1258.8399999999999"/>
    <x v="1"/>
    <s v="Card"/>
    <n v="2426.1999999999998"/>
    <n v="1167.3599999999999"/>
    <s v="Monday"/>
    <b v="0"/>
    <x v="9"/>
  </r>
  <r>
    <s v="NV1333"/>
    <d v="2024-06-17T00:00:00"/>
    <s v="ST50"/>
    <s v="East"/>
    <s v="P54"/>
    <s v="Clothing"/>
    <n v="1"/>
    <n v="669.45"/>
    <n v="0"/>
    <n v="276.76"/>
    <x v="0"/>
    <s v="Digital"/>
    <n v="669.45"/>
    <n v="392.69000000000005"/>
    <s v="Monday"/>
    <b v="0"/>
    <x v="0"/>
  </r>
  <r>
    <s v="NV1334"/>
    <d v="2025-11-29T00:00:00"/>
    <s v="ST27"/>
    <s v="South"/>
    <s v="P224"/>
    <s v="Clothing"/>
    <n v="5"/>
    <n v="2138.66"/>
    <n v="25"/>
    <n v="1488.03"/>
    <x v="1"/>
    <s v="Card"/>
    <n v="8019.9749999999995"/>
    <n v="579.82499999999982"/>
    <s v="Saturday"/>
    <b v="1"/>
    <x v="1"/>
  </r>
  <r>
    <s v="NV1335"/>
    <d v="2024-09-10T00:00:00"/>
    <s v="ST58"/>
    <s v="East"/>
    <s v="P116"/>
    <s v="Clothing"/>
    <n v="4"/>
    <n v="2426.62"/>
    <n v="30"/>
    <n v="1471.12"/>
    <x v="0"/>
    <s v="Card"/>
    <n v="6794.5359999999991"/>
    <n v="910.05599999999959"/>
    <s v="Tuesday"/>
    <b v="0"/>
    <x v="6"/>
  </r>
  <r>
    <s v="NV1336"/>
    <d v="2025-03-30T00:00:00"/>
    <s v="ST9"/>
    <s v="West"/>
    <s v="P123"/>
    <s v="Accessories"/>
    <n v="3"/>
    <n v="1060.58"/>
    <n v="15"/>
    <n v="586.27"/>
    <x v="0"/>
    <s v="Cash"/>
    <n v="2704.4789999999998"/>
    <n v="945.66899999999987"/>
    <s v="Sunday"/>
    <b v="1"/>
    <x v="7"/>
  </r>
  <r>
    <s v="NV1337"/>
    <d v="2025-10-10T00:00:00"/>
    <s v="ST27"/>
    <s v="South"/>
    <s v="P121"/>
    <s v="Accessories"/>
    <n v="4"/>
    <n v="2816.79"/>
    <n v="25"/>
    <n v="1648.95"/>
    <x v="0"/>
    <s v="Card"/>
    <n v="8450.369999999999"/>
    <n v="1854.5699999999988"/>
    <s v="Friday"/>
    <b v="0"/>
    <x v="2"/>
  </r>
  <r>
    <s v="NV1338"/>
    <d v="2025-02-17T00:00:00"/>
    <s v="ST52"/>
    <s v="North"/>
    <s v="P225"/>
    <s v="Clothing"/>
    <n v="4"/>
    <n v="785.65"/>
    <n v="20"/>
    <n v="495.13"/>
    <x v="0"/>
    <s v="Digital"/>
    <n v="2514.08"/>
    <n v="533.55999999999995"/>
    <s v="Monday"/>
    <b v="0"/>
    <x v="3"/>
  </r>
  <r>
    <s v="NV1339"/>
    <d v="2024-06-23T00:00:00"/>
    <s v="ST46"/>
    <s v="East"/>
    <s v="P49"/>
    <s v="Clothing"/>
    <n v="4"/>
    <n v="2924.72"/>
    <n v="15"/>
    <n v="1577.58"/>
    <x v="0"/>
    <s v="Digital"/>
    <n v="9944.0479999999989"/>
    <n v="3633.7279999999992"/>
    <s v="Sunday"/>
    <b v="1"/>
    <x v="0"/>
  </r>
  <r>
    <s v="NV1340"/>
    <d v="2025-11-23T00:00:00"/>
    <s v="ST49"/>
    <s v="North"/>
    <s v="P78"/>
    <s v="Accessories"/>
    <n v="5"/>
    <n v="647.66"/>
    <n v="25"/>
    <n v="409.83"/>
    <x v="0"/>
    <s v="Digital"/>
    <n v="2428.7249999999999"/>
    <n v="379.57499999999982"/>
    <s v="Sunday"/>
    <b v="1"/>
    <x v="1"/>
  </r>
  <r>
    <s v="NV1341"/>
    <d v="2024-05-08T00:00:00"/>
    <s v="ST15"/>
    <s v="East"/>
    <s v="P107"/>
    <s v="Clothing"/>
    <n v="3"/>
    <n v="2706.52"/>
    <n v="20"/>
    <n v="1673.78"/>
    <x v="1"/>
    <s v="Card"/>
    <n v="6495.6480000000001"/>
    <n v="1474.308"/>
    <s v="Wednesday"/>
    <b v="0"/>
    <x v="9"/>
  </r>
  <r>
    <s v="NV1342"/>
    <d v="2024-12-17T00:00:00"/>
    <s v="ST33"/>
    <s v="West"/>
    <s v="P9"/>
    <s v="Clothing"/>
    <n v="5"/>
    <n v="1558.82"/>
    <n v="30"/>
    <n v="832.77"/>
    <x v="0"/>
    <s v="Card"/>
    <n v="5455.869999999999"/>
    <n v="1292.0199999999986"/>
    <s v="Tuesday"/>
    <b v="0"/>
    <x v="11"/>
  </r>
  <r>
    <s v="NV1343"/>
    <d v="2025-09-26T00:00:00"/>
    <s v="ST14"/>
    <s v="North"/>
    <s v="P281"/>
    <s v="Shoes"/>
    <n v="1"/>
    <n v="2413.3200000000002"/>
    <n v="20"/>
    <n v="1511.75"/>
    <x v="0"/>
    <s v="Card"/>
    <n v="1930.6560000000002"/>
    <n v="418.90600000000018"/>
    <s v="Friday"/>
    <b v="0"/>
    <x v="6"/>
  </r>
  <r>
    <s v="NV1344"/>
    <d v="2025-03-19T00:00:00"/>
    <s v="ST36"/>
    <s v="South"/>
    <s v="P264"/>
    <s v="Shoes"/>
    <n v="3"/>
    <n v="1188.6300000000001"/>
    <n v="15"/>
    <n v="774.05"/>
    <x v="0"/>
    <s v="Cash"/>
    <n v="3031.0065000000004"/>
    <n v="708.85650000000078"/>
    <s v="Wednesday"/>
    <b v="0"/>
    <x v="7"/>
  </r>
  <r>
    <s v="NV1345"/>
    <d v="2024-12-03T00:00:00"/>
    <s v="ST36"/>
    <s v="West"/>
    <s v="P214"/>
    <s v="Shoes"/>
    <n v="5"/>
    <n v="516.09"/>
    <n v="10"/>
    <n v="239.85"/>
    <x v="0"/>
    <s v="Cash"/>
    <n v="2322.4050000000002"/>
    <n v="1123.1550000000002"/>
    <s v="Tuesday"/>
    <b v="0"/>
    <x v="11"/>
  </r>
  <r>
    <s v="NV1346"/>
    <d v="2025-04-28T00:00:00"/>
    <s v="ST37"/>
    <s v="East"/>
    <s v="P217"/>
    <s v="Accessories"/>
    <n v="1"/>
    <n v="1980.75"/>
    <n v="0"/>
    <n v="991.77"/>
    <x v="1"/>
    <s v="Card"/>
    <n v="1980.75"/>
    <n v="988.98"/>
    <s v="Monday"/>
    <b v="0"/>
    <x v="8"/>
  </r>
  <r>
    <s v="NV1347"/>
    <d v="2025-11-20T00:00:00"/>
    <s v="ST37"/>
    <s v="North"/>
    <s v="P153"/>
    <s v="Accessories"/>
    <n v="5"/>
    <n v="442.57"/>
    <n v="15"/>
    <n v="262.76"/>
    <x v="1"/>
    <s v="Digital"/>
    <n v="1880.9224999999999"/>
    <n v="567.12249999999995"/>
    <s v="Thursday"/>
    <b v="0"/>
    <x v="1"/>
  </r>
  <r>
    <s v="NV1348"/>
    <d v="2025-10-23T00:00:00"/>
    <s v="ST34"/>
    <s v="West"/>
    <s v="P23"/>
    <s v="Clothing"/>
    <n v="5"/>
    <n v="2308.16"/>
    <n v="10"/>
    <n v="1097.32"/>
    <x v="1"/>
    <s v="Cash"/>
    <n v="10386.719999999999"/>
    <n v="4900.12"/>
    <s v="Thursday"/>
    <b v="0"/>
    <x v="2"/>
  </r>
  <r>
    <s v="NV1349"/>
    <d v="2025-11-19T00:00:00"/>
    <s v="ST28"/>
    <s v="South"/>
    <s v="P275"/>
    <s v="Clothing"/>
    <n v="3"/>
    <n v="2004.72"/>
    <n v="30"/>
    <n v="885.86"/>
    <x v="1"/>
    <s v="Card"/>
    <n v="4209.9119999999994"/>
    <n v="1552.3319999999994"/>
    <s v="Wednesday"/>
    <b v="0"/>
    <x v="1"/>
  </r>
  <r>
    <s v="NV1350"/>
    <d v="2025-05-06T00:00:00"/>
    <s v="ST36"/>
    <s v="East"/>
    <s v="P86"/>
    <s v="Shoes"/>
    <n v="4"/>
    <n v="1293.99"/>
    <n v="5"/>
    <n v="732.22"/>
    <x v="1"/>
    <s v="Cash"/>
    <n v="4917.1619999999994"/>
    <n v="1988.2819999999992"/>
    <s v="Tuesday"/>
    <b v="0"/>
    <x v="9"/>
  </r>
  <r>
    <s v="NV1351"/>
    <d v="2025-07-03T00:00:00"/>
    <s v="ST36"/>
    <s v="West"/>
    <s v="P123"/>
    <s v="Shoes"/>
    <n v="3"/>
    <n v="2958.96"/>
    <n v="10"/>
    <n v="1391.26"/>
    <x v="1"/>
    <s v="Card"/>
    <n v="7989.1920000000009"/>
    <n v="3815.4120000000012"/>
    <s v="Thursday"/>
    <b v="0"/>
    <x v="4"/>
  </r>
  <r>
    <s v="NV1352"/>
    <d v="2024-07-26T00:00:00"/>
    <s v="ST29"/>
    <s v="East"/>
    <s v="P3"/>
    <s v="Shoes"/>
    <n v="3"/>
    <n v="1348.35"/>
    <n v="20"/>
    <n v="601.89"/>
    <x v="1"/>
    <s v="Digital"/>
    <n v="3236.04"/>
    <n v="1430.37"/>
    <s v="Friday"/>
    <b v="0"/>
    <x v="4"/>
  </r>
  <r>
    <s v="NV1353"/>
    <d v="2025-10-29T00:00:00"/>
    <s v="ST54"/>
    <s v="North"/>
    <s v="P55"/>
    <s v="Clothing"/>
    <n v="2"/>
    <n v="2161.88"/>
    <n v="5"/>
    <n v="1502.93"/>
    <x v="0"/>
    <s v="Cash"/>
    <n v="4107.5720000000001"/>
    <n v="1101.712"/>
    <s v="Wednesday"/>
    <b v="0"/>
    <x v="2"/>
  </r>
  <r>
    <s v="NV1354"/>
    <d v="2025-03-27T00:00:00"/>
    <s v="ST10"/>
    <s v="West"/>
    <s v="P121"/>
    <s v="Accessories"/>
    <n v="4"/>
    <n v="2135.7800000000002"/>
    <n v="5"/>
    <n v="1106.04"/>
    <x v="0"/>
    <s v="Cash"/>
    <n v="8115.9639999999999"/>
    <n v="3691.8040000000001"/>
    <s v="Thursday"/>
    <b v="0"/>
    <x v="7"/>
  </r>
  <r>
    <s v="NV1355"/>
    <d v="2025-09-21T00:00:00"/>
    <s v="ST48"/>
    <s v="East"/>
    <s v="P212"/>
    <s v="Shoes"/>
    <n v="2"/>
    <n v="2452.9"/>
    <n v="5"/>
    <n v="1526.95"/>
    <x v="1"/>
    <s v="Digital"/>
    <n v="4660.51"/>
    <n v="1606.6100000000001"/>
    <s v="Sunday"/>
    <b v="1"/>
    <x v="6"/>
  </r>
  <r>
    <s v="NV1356"/>
    <d v="2025-10-05T00:00:00"/>
    <s v="ST5"/>
    <s v="North"/>
    <s v="P123"/>
    <s v="Clothing"/>
    <n v="5"/>
    <n v="328.75"/>
    <n v="20"/>
    <n v="210.34"/>
    <x v="0"/>
    <s v="Cash"/>
    <n v="1315"/>
    <n v="263.29999999999995"/>
    <s v="Sunday"/>
    <b v="1"/>
    <x v="2"/>
  </r>
  <r>
    <s v="NV1357"/>
    <d v="2025-07-16T00:00:00"/>
    <s v="ST17"/>
    <s v="West"/>
    <s v="P231"/>
    <s v="Accessories"/>
    <n v="3"/>
    <n v="1369.16"/>
    <n v="20"/>
    <n v="581.66"/>
    <x v="1"/>
    <s v="Digital"/>
    <n v="3285.9840000000004"/>
    <n v="1541.0040000000004"/>
    <s v="Wednesday"/>
    <b v="0"/>
    <x v="4"/>
  </r>
  <r>
    <s v="NV1358"/>
    <d v="2024-11-01T00:00:00"/>
    <s v="ST24"/>
    <s v="South"/>
    <s v="P50"/>
    <s v="Accessories"/>
    <n v="2"/>
    <n v="1059.23"/>
    <n v="10"/>
    <n v="447.09"/>
    <x v="1"/>
    <s v="Card"/>
    <n v="1906.614"/>
    <n v="1012.4340000000001"/>
    <s v="Friday"/>
    <b v="0"/>
    <x v="1"/>
  </r>
  <r>
    <s v="NV1359"/>
    <d v="2025-05-06T00:00:00"/>
    <s v="ST2"/>
    <s v="North"/>
    <s v="P116"/>
    <s v="Shoes"/>
    <n v="4"/>
    <n v="2609.1799999999998"/>
    <n v="15"/>
    <n v="1211.27"/>
    <x v="0"/>
    <s v="Cash"/>
    <n v="8871.2119999999995"/>
    <n v="4026.1319999999996"/>
    <s v="Tuesday"/>
    <b v="0"/>
    <x v="9"/>
  </r>
  <r>
    <s v="NV1360"/>
    <d v="2024-12-15T00:00:00"/>
    <s v="ST52"/>
    <s v="East"/>
    <s v="P49"/>
    <s v="Shoes"/>
    <n v="3"/>
    <n v="2420.87"/>
    <n v="30"/>
    <n v="1573.33"/>
    <x v="0"/>
    <s v="Cash"/>
    <n v="5083.8269999999993"/>
    <n v="363.83699999999953"/>
    <s v="Sunday"/>
    <b v="1"/>
    <x v="11"/>
  </r>
  <r>
    <s v="NV1361"/>
    <d v="2025-08-14T00:00:00"/>
    <s v="ST54"/>
    <s v="West"/>
    <s v="P138"/>
    <s v="Clothing"/>
    <n v="1"/>
    <n v="1333.79"/>
    <n v="20"/>
    <n v="770.85"/>
    <x v="0"/>
    <s v="Cash"/>
    <n v="1067.0319999999999"/>
    <n v="296.1819999999999"/>
    <s v="Thursday"/>
    <b v="0"/>
    <x v="5"/>
  </r>
  <r>
    <s v="NV1362"/>
    <d v="2024-10-22T00:00:00"/>
    <s v="ST32"/>
    <s v="North"/>
    <s v="P17"/>
    <s v="Clothing"/>
    <n v="4"/>
    <n v="2386.64"/>
    <n v="25"/>
    <n v="1221.8599999999999"/>
    <x v="0"/>
    <s v="Cash"/>
    <n v="7159.92"/>
    <n v="2272.4800000000005"/>
    <s v="Tuesday"/>
    <b v="0"/>
    <x v="2"/>
  </r>
  <r>
    <s v="NV1363"/>
    <d v="2024-10-31T00:00:00"/>
    <s v="ST1"/>
    <s v="West"/>
    <s v="P160"/>
    <s v="Shoes"/>
    <n v="5"/>
    <n v="2490.77"/>
    <n v="0"/>
    <n v="1195.1400000000001"/>
    <x v="0"/>
    <s v="Cash"/>
    <n v="12453.85"/>
    <n v="6478.15"/>
    <s v="Thursday"/>
    <b v="0"/>
    <x v="2"/>
  </r>
  <r>
    <s v="NV1364"/>
    <d v="2025-05-13T00:00:00"/>
    <s v="ST27"/>
    <s v="West"/>
    <s v="P119"/>
    <s v="Shoes"/>
    <n v="5"/>
    <n v="1111.45"/>
    <n v="30"/>
    <n v="517.03"/>
    <x v="0"/>
    <s v="Cash"/>
    <n v="3890.0749999999998"/>
    <n v="1304.9250000000002"/>
    <s v="Tuesday"/>
    <b v="0"/>
    <x v="9"/>
  </r>
  <r>
    <s v="NV1365"/>
    <d v="2025-01-03T00:00:00"/>
    <s v="ST53"/>
    <s v="South"/>
    <s v="P2"/>
    <s v="Clothing"/>
    <n v="1"/>
    <n v="559.35"/>
    <n v="30"/>
    <n v="267.02"/>
    <x v="0"/>
    <s v="Digital"/>
    <n v="391.54500000000002"/>
    <n v="124.52500000000003"/>
    <s v="Friday"/>
    <b v="0"/>
    <x v="10"/>
  </r>
  <r>
    <s v="NV1366"/>
    <d v="2024-12-12T00:00:00"/>
    <s v="ST4"/>
    <s v="South"/>
    <s v="P226"/>
    <s v="Accessories"/>
    <n v="1"/>
    <n v="1240.1600000000001"/>
    <n v="25"/>
    <n v="637.77"/>
    <x v="1"/>
    <s v="Cash"/>
    <n v="930.12000000000012"/>
    <n v="292.35000000000014"/>
    <s v="Thursday"/>
    <b v="0"/>
    <x v="11"/>
  </r>
  <r>
    <s v="NV1367"/>
    <d v="2024-01-12T00:00:00"/>
    <s v="ST29"/>
    <s v="South"/>
    <s v="P291"/>
    <s v="Clothing"/>
    <n v="5"/>
    <n v="2289.9699999999998"/>
    <n v="25"/>
    <n v="1065.5899999999999"/>
    <x v="1"/>
    <s v="Digital"/>
    <n v="8587.3874999999989"/>
    <n v="3259.4374999999991"/>
    <s v="Friday"/>
    <b v="0"/>
    <x v="10"/>
  </r>
  <r>
    <s v="NV1368"/>
    <d v="2025-04-18T00:00:00"/>
    <s v="ST44"/>
    <s v="North"/>
    <s v="P247"/>
    <s v="Shoes"/>
    <n v="3"/>
    <n v="2027.1"/>
    <n v="30"/>
    <n v="1127.57"/>
    <x v="0"/>
    <s v="Digital"/>
    <n v="4256.9099999999989"/>
    <n v="874.19999999999891"/>
    <s v="Friday"/>
    <b v="0"/>
    <x v="8"/>
  </r>
  <r>
    <s v="NV1369"/>
    <d v="2025-07-22T00:00:00"/>
    <s v="ST55"/>
    <s v="West"/>
    <s v="P148"/>
    <s v="Accessories"/>
    <n v="5"/>
    <n v="672.19"/>
    <n v="25"/>
    <n v="463.98"/>
    <x v="1"/>
    <s v="Digital"/>
    <n v="2520.7125000000001"/>
    <n v="200.8125"/>
    <s v="Tuesday"/>
    <b v="0"/>
    <x v="4"/>
  </r>
  <r>
    <s v="NV1370"/>
    <d v="2024-12-01T00:00:00"/>
    <s v="ST12"/>
    <s v="East"/>
    <s v="P249"/>
    <s v="Clothing"/>
    <n v="2"/>
    <n v="2442.0300000000002"/>
    <n v="10"/>
    <n v="1622.6"/>
    <x v="0"/>
    <s v="Cash"/>
    <n v="4395.6540000000005"/>
    <n v="1150.4540000000006"/>
    <s v="Sunday"/>
    <b v="1"/>
    <x v="11"/>
  </r>
  <r>
    <s v="NV1371"/>
    <d v="2025-01-08T00:00:00"/>
    <s v="ST20"/>
    <s v="South"/>
    <s v="P85"/>
    <s v="Clothing"/>
    <n v="2"/>
    <n v="2089.06"/>
    <n v="10"/>
    <n v="1263.0999999999999"/>
    <x v="1"/>
    <s v="Digital"/>
    <n v="3760.308"/>
    <n v="1234.1080000000002"/>
    <s v="Wednesday"/>
    <b v="0"/>
    <x v="10"/>
  </r>
  <r>
    <s v="NV1372"/>
    <d v="2025-07-30T00:00:00"/>
    <s v="ST9"/>
    <s v="North"/>
    <s v="P82"/>
    <s v="Shoes"/>
    <n v="1"/>
    <n v="1180.97"/>
    <n v="10"/>
    <n v="634.26"/>
    <x v="1"/>
    <s v="Digital"/>
    <n v="1062.873"/>
    <n v="428.61300000000006"/>
    <s v="Wednesday"/>
    <b v="0"/>
    <x v="4"/>
  </r>
  <r>
    <s v="NV1373"/>
    <d v="2024-09-04T00:00:00"/>
    <s v="ST4"/>
    <s v="West"/>
    <s v="P290"/>
    <s v="Clothing"/>
    <n v="3"/>
    <n v="2112.1999999999998"/>
    <n v="25"/>
    <n v="1062.03"/>
    <x v="0"/>
    <s v="Cash"/>
    <n v="4752.45"/>
    <n v="1566.3599999999997"/>
    <s v="Wednesday"/>
    <b v="0"/>
    <x v="6"/>
  </r>
  <r>
    <s v="NV1374"/>
    <d v="2024-04-18T00:00:00"/>
    <s v="ST6"/>
    <s v="South"/>
    <s v="P272"/>
    <s v="Accessories"/>
    <n v="5"/>
    <n v="2297.54"/>
    <n v="15"/>
    <n v="1364.81"/>
    <x v="0"/>
    <s v="Cash"/>
    <n v="9764.5450000000001"/>
    <n v="2940.4950000000008"/>
    <s v="Thursday"/>
    <b v="0"/>
    <x v="8"/>
  </r>
  <r>
    <s v="NV1375"/>
    <d v="2025-07-13T00:00:00"/>
    <s v="ST43"/>
    <s v="East"/>
    <s v="P34"/>
    <s v="Accessories"/>
    <n v="4"/>
    <n v="1467.82"/>
    <n v="10"/>
    <n v="964.22"/>
    <x v="0"/>
    <s v="Cash"/>
    <n v="5284.152"/>
    <n v="1427.2719999999999"/>
    <s v="Sunday"/>
    <b v="1"/>
    <x v="4"/>
  </r>
  <r>
    <s v="NV1376"/>
    <d v="2025-08-15T00:00:00"/>
    <s v="ST32"/>
    <s v="South"/>
    <s v="P207"/>
    <s v="Shoes"/>
    <n v="1"/>
    <n v="2378.5100000000002"/>
    <n v="25"/>
    <n v="1136.07"/>
    <x v="1"/>
    <s v="Card"/>
    <n v="1783.8825000000002"/>
    <n v="647.81250000000023"/>
    <s v="Friday"/>
    <b v="0"/>
    <x v="5"/>
  </r>
  <r>
    <s v="NV1377"/>
    <d v="2024-09-16T00:00:00"/>
    <s v="ST22"/>
    <s v="West"/>
    <s v="P10"/>
    <s v="Clothing"/>
    <n v="4"/>
    <n v="2300.81"/>
    <n v="30"/>
    <n v="1264.74"/>
    <x v="1"/>
    <s v="Digital"/>
    <n v="6442.2679999999991"/>
    <n v="1383.3079999999991"/>
    <s v="Monday"/>
    <b v="0"/>
    <x v="6"/>
  </r>
  <r>
    <s v="NV1378"/>
    <d v="2025-06-14T00:00:00"/>
    <s v="ST5"/>
    <s v="West"/>
    <s v="P265"/>
    <s v="Shoes"/>
    <n v="3"/>
    <n v="970.63"/>
    <n v="30"/>
    <n v="645.28"/>
    <x v="1"/>
    <s v="Cash"/>
    <n v="2038.3229999999999"/>
    <n v="102.48299999999995"/>
    <s v="Saturday"/>
    <b v="1"/>
    <x v="0"/>
  </r>
  <r>
    <s v="NV1379"/>
    <d v="2025-08-25T00:00:00"/>
    <s v="ST35"/>
    <s v="East"/>
    <s v="P266"/>
    <s v="Accessories"/>
    <n v="2"/>
    <n v="1885.8"/>
    <n v="30"/>
    <n v="990.74"/>
    <x v="0"/>
    <s v="Cash"/>
    <n v="2640.12"/>
    <n v="658.63999999999987"/>
    <s v="Monday"/>
    <b v="0"/>
    <x v="5"/>
  </r>
  <r>
    <s v="NV1380"/>
    <d v="2024-03-06T00:00:00"/>
    <s v="ST16"/>
    <s v="South"/>
    <s v="P257"/>
    <s v="Accessories"/>
    <n v="4"/>
    <n v="768.22"/>
    <n v="20"/>
    <n v="374.17"/>
    <x v="1"/>
    <s v="Cash"/>
    <n v="2458.3040000000001"/>
    <n v="961.62400000000002"/>
    <s v="Wednesday"/>
    <b v="0"/>
    <x v="7"/>
  </r>
  <r>
    <s v="NV1381"/>
    <d v="2025-06-22T00:00:00"/>
    <s v="ST31"/>
    <s v="East"/>
    <s v="P84"/>
    <s v="Clothing"/>
    <n v="2"/>
    <n v="2614.9899999999998"/>
    <n v="25"/>
    <n v="1223.5899999999999"/>
    <x v="1"/>
    <s v="Card"/>
    <n v="3922.4849999999997"/>
    <n v="1475.3049999999998"/>
    <s v="Sunday"/>
    <b v="1"/>
    <x v="0"/>
  </r>
  <r>
    <s v="NV1382"/>
    <d v="2025-11-25T00:00:00"/>
    <s v="ST47"/>
    <s v="East"/>
    <s v="P229"/>
    <s v="Shoes"/>
    <n v="2"/>
    <n v="716.34"/>
    <n v="10"/>
    <n v="359.33"/>
    <x v="1"/>
    <s v="Digital"/>
    <n v="1289.412"/>
    <n v="570.75200000000007"/>
    <s v="Tuesday"/>
    <b v="0"/>
    <x v="1"/>
  </r>
  <r>
    <s v="NV1383"/>
    <d v="2024-04-04T00:00:00"/>
    <s v="ST20"/>
    <s v="East"/>
    <s v="P67"/>
    <s v="Accessories"/>
    <n v="5"/>
    <n v="583.41"/>
    <n v="30"/>
    <n v="274.47000000000003"/>
    <x v="1"/>
    <s v="Cash"/>
    <n v="2041.9349999999997"/>
    <n v="669.58499999999958"/>
    <s v="Thursday"/>
    <b v="0"/>
    <x v="8"/>
  </r>
  <r>
    <s v="NV1384"/>
    <d v="2024-04-12T00:00:00"/>
    <s v="ST56"/>
    <s v="West"/>
    <s v="P227"/>
    <s v="Accessories"/>
    <n v="4"/>
    <n v="435.28"/>
    <n v="30"/>
    <n v="179.33"/>
    <x v="1"/>
    <s v="Digital"/>
    <n v="1218.7839999999999"/>
    <n v="501.46399999999983"/>
    <s v="Friday"/>
    <b v="0"/>
    <x v="8"/>
  </r>
  <r>
    <s v="NV1385"/>
    <d v="2024-01-11T00:00:00"/>
    <s v="ST59"/>
    <s v="North"/>
    <s v="P182"/>
    <s v="Shoes"/>
    <n v="3"/>
    <n v="780.61"/>
    <n v="30"/>
    <n v="482.22"/>
    <x v="0"/>
    <s v="Digital"/>
    <n v="1639.2809999999999"/>
    <n v="192.62099999999987"/>
    <s v="Thursday"/>
    <b v="0"/>
    <x v="10"/>
  </r>
  <r>
    <s v="NV1386"/>
    <d v="2025-01-26T00:00:00"/>
    <s v="ST6"/>
    <s v="North"/>
    <s v="P290"/>
    <s v="Accessories"/>
    <n v="4"/>
    <n v="1919.57"/>
    <n v="0"/>
    <n v="1017.06"/>
    <x v="1"/>
    <s v="Digital"/>
    <n v="7678.28"/>
    <n v="3610.04"/>
    <s v="Sunday"/>
    <b v="1"/>
    <x v="10"/>
  </r>
  <r>
    <s v="NV1387"/>
    <d v="2024-03-08T00:00:00"/>
    <s v="ST21"/>
    <s v="West"/>
    <s v="P196"/>
    <s v="Shoes"/>
    <n v="5"/>
    <n v="2297.9899999999998"/>
    <n v="15"/>
    <n v="1426.91"/>
    <x v="0"/>
    <s v="Card"/>
    <n v="9766.4574999999986"/>
    <n v="2631.9074999999984"/>
    <s v="Friday"/>
    <b v="0"/>
    <x v="7"/>
  </r>
  <r>
    <s v="NV1388"/>
    <d v="2024-09-19T00:00:00"/>
    <s v="ST41"/>
    <s v="South"/>
    <s v="P103"/>
    <s v="Shoes"/>
    <n v="1"/>
    <n v="2347.5100000000002"/>
    <n v="0"/>
    <n v="1327.92"/>
    <x v="0"/>
    <s v="Card"/>
    <n v="2347.5100000000002"/>
    <n v="1019.5900000000001"/>
    <s v="Thursday"/>
    <b v="0"/>
    <x v="6"/>
  </r>
  <r>
    <s v="NV1389"/>
    <d v="2025-06-18T00:00:00"/>
    <s v="ST52"/>
    <s v="East"/>
    <s v="P59"/>
    <s v="Clothing"/>
    <n v="2"/>
    <n v="534.84"/>
    <n v="15"/>
    <n v="230.64"/>
    <x v="1"/>
    <s v="Digital"/>
    <n v="909.22800000000007"/>
    <n v="447.94800000000009"/>
    <s v="Wednesday"/>
    <b v="0"/>
    <x v="0"/>
  </r>
  <r>
    <s v="NV1390"/>
    <d v="2025-07-11T00:00:00"/>
    <s v="ST47"/>
    <s v="North"/>
    <s v="P169"/>
    <s v="Clothing"/>
    <n v="4"/>
    <n v="1735"/>
    <n v="25"/>
    <n v="1169.6600000000001"/>
    <x v="0"/>
    <s v="Digital"/>
    <n v="5205"/>
    <n v="526.35999999999967"/>
    <s v="Friday"/>
    <b v="0"/>
    <x v="4"/>
  </r>
  <r>
    <s v="NV1391"/>
    <d v="2024-04-06T00:00:00"/>
    <s v="ST38"/>
    <s v="North"/>
    <s v="P251"/>
    <s v="Accessories"/>
    <n v="1"/>
    <n v="906.02"/>
    <n v="30"/>
    <n v="535.19000000000005"/>
    <x v="0"/>
    <s v="Card"/>
    <n v="634.21399999999994"/>
    <n v="99.023999999999887"/>
    <s v="Saturday"/>
    <b v="1"/>
    <x v="8"/>
  </r>
  <r>
    <s v="NV1392"/>
    <d v="2025-06-04T00:00:00"/>
    <s v="ST8"/>
    <s v="North"/>
    <s v="P23"/>
    <s v="Shoes"/>
    <n v="1"/>
    <n v="1084.47"/>
    <n v="10"/>
    <n v="436.24"/>
    <x v="1"/>
    <s v="Card"/>
    <n v="976.02300000000002"/>
    <n v="539.78300000000002"/>
    <s v="Wednesday"/>
    <b v="0"/>
    <x v="0"/>
  </r>
  <r>
    <s v="NV1393"/>
    <d v="2025-07-09T00:00:00"/>
    <s v="ST28"/>
    <s v="North"/>
    <s v="P205"/>
    <s v="Clothing"/>
    <n v="3"/>
    <n v="1977.7"/>
    <n v="30"/>
    <n v="978.33"/>
    <x v="0"/>
    <s v="Cash"/>
    <n v="4153.17"/>
    <n v="1218.1799999999998"/>
    <s v="Wednesday"/>
    <b v="0"/>
    <x v="4"/>
  </r>
  <r>
    <s v="NV1394"/>
    <d v="2024-02-05T00:00:00"/>
    <s v="ST18"/>
    <s v="North"/>
    <s v="P155"/>
    <s v="Clothing"/>
    <n v="1"/>
    <n v="662.84"/>
    <n v="25"/>
    <n v="423.14"/>
    <x v="1"/>
    <s v="Card"/>
    <n v="497.13"/>
    <n v="73.990000000000009"/>
    <s v="Monday"/>
    <b v="0"/>
    <x v="3"/>
  </r>
  <r>
    <s v="NV1395"/>
    <d v="2024-04-25T00:00:00"/>
    <s v="ST50"/>
    <s v="West"/>
    <s v="P166"/>
    <s v="Shoes"/>
    <n v="1"/>
    <n v="1198.6400000000001"/>
    <n v="0"/>
    <n v="795.47"/>
    <x v="1"/>
    <s v="Card"/>
    <n v="1198.6400000000001"/>
    <n v="403.17000000000007"/>
    <s v="Thursday"/>
    <b v="0"/>
    <x v="8"/>
  </r>
  <r>
    <s v="NV1396"/>
    <d v="2024-10-21T00:00:00"/>
    <s v="ST52"/>
    <s v="North"/>
    <s v="P36"/>
    <s v="Accessories"/>
    <n v="4"/>
    <n v="887.43"/>
    <n v="0"/>
    <n v="434.1"/>
    <x v="0"/>
    <s v="Card"/>
    <n v="3549.72"/>
    <n v="1813.3199999999997"/>
    <s v="Monday"/>
    <b v="0"/>
    <x v="2"/>
  </r>
  <r>
    <s v="NV1397"/>
    <d v="2024-09-11T00:00:00"/>
    <s v="ST18"/>
    <s v="North"/>
    <s v="P28"/>
    <s v="Clothing"/>
    <n v="5"/>
    <n v="2782.27"/>
    <n v="10"/>
    <n v="1470.83"/>
    <x v="1"/>
    <s v="Cash"/>
    <n v="12520.215"/>
    <n v="5166.0650000000005"/>
    <s v="Wednesday"/>
    <b v="0"/>
    <x v="6"/>
  </r>
  <r>
    <s v="NV1398"/>
    <d v="2025-10-15T00:00:00"/>
    <s v="ST17"/>
    <s v="North"/>
    <s v="P275"/>
    <s v="Clothing"/>
    <n v="5"/>
    <n v="437.13"/>
    <n v="10"/>
    <n v="284.56"/>
    <x v="0"/>
    <s v="Cash"/>
    <n v="1967.085"/>
    <n v="544.28500000000008"/>
    <s v="Wednesday"/>
    <b v="0"/>
    <x v="2"/>
  </r>
  <r>
    <s v="NV1399"/>
    <d v="2025-02-24T00:00:00"/>
    <s v="ST41"/>
    <s v="West"/>
    <s v="P123"/>
    <s v="Accessories"/>
    <n v="2"/>
    <n v="1592.43"/>
    <n v="25"/>
    <n v="698.47"/>
    <x v="1"/>
    <s v="Cash"/>
    <n v="2388.645"/>
    <n v="991.70499999999993"/>
    <s v="Monday"/>
    <b v="0"/>
    <x v="3"/>
  </r>
  <r>
    <s v="NV1400"/>
    <d v="2025-07-22T00:00:00"/>
    <s v="ST32"/>
    <s v="South"/>
    <s v="P199"/>
    <s v="Accessories"/>
    <n v="4"/>
    <n v="781.37"/>
    <n v="10"/>
    <n v="407.24"/>
    <x v="0"/>
    <s v="Digital"/>
    <n v="2812.9320000000002"/>
    <n v="1183.9720000000002"/>
    <s v="Tuesday"/>
    <b v="0"/>
    <x v="4"/>
  </r>
  <r>
    <s v="NV1401"/>
    <d v="2024-11-11T00:00:00"/>
    <s v="ST28"/>
    <s v="West"/>
    <s v="P177"/>
    <s v="Accessories"/>
    <n v="3"/>
    <n v="2332.34"/>
    <n v="5"/>
    <n v="970.43"/>
    <x v="0"/>
    <s v="Digital"/>
    <n v="6647.1689999999999"/>
    <n v="3735.8789999999999"/>
    <s v="Monday"/>
    <b v="0"/>
    <x v="1"/>
  </r>
  <r>
    <s v="NV1402"/>
    <d v="2024-05-13T00:00:00"/>
    <s v="ST20"/>
    <s v="West"/>
    <s v="P61"/>
    <s v="Accessories"/>
    <n v="2"/>
    <n v="2932.09"/>
    <n v="25"/>
    <n v="1670.74"/>
    <x v="0"/>
    <s v="Card"/>
    <n v="4398.1350000000002"/>
    <n v="1056.6550000000002"/>
    <s v="Monday"/>
    <b v="0"/>
    <x v="9"/>
  </r>
  <r>
    <s v="NV1403"/>
    <d v="2025-11-04T00:00:00"/>
    <s v="ST60"/>
    <s v="North"/>
    <s v="P210"/>
    <s v="Accessories"/>
    <n v="5"/>
    <n v="1844.05"/>
    <n v="5"/>
    <n v="825.24"/>
    <x v="0"/>
    <s v="Card"/>
    <n v="8759.2374999999993"/>
    <n v="4633.0374999999995"/>
    <s v="Tuesday"/>
    <b v="0"/>
    <x v="1"/>
  </r>
  <r>
    <s v="NV1404"/>
    <d v="2024-08-18T00:00:00"/>
    <s v="ST22"/>
    <s v="South"/>
    <s v="P225"/>
    <s v="Clothing"/>
    <n v="1"/>
    <n v="587.04999999999995"/>
    <n v="15"/>
    <n v="371.38"/>
    <x v="0"/>
    <s v="Digital"/>
    <n v="498.99249999999995"/>
    <n v="127.61249999999995"/>
    <s v="Sunday"/>
    <b v="1"/>
    <x v="5"/>
  </r>
  <r>
    <s v="NV1405"/>
    <d v="2025-02-05T00:00:00"/>
    <s v="ST38"/>
    <s v="East"/>
    <s v="P91"/>
    <s v="Accessories"/>
    <n v="4"/>
    <n v="2065.52"/>
    <n v="25"/>
    <n v="915.05"/>
    <x v="1"/>
    <s v="Card"/>
    <n v="6196.5599999999995"/>
    <n v="2536.3599999999997"/>
    <s v="Wednesday"/>
    <b v="0"/>
    <x v="3"/>
  </r>
  <r>
    <s v="NV1406"/>
    <d v="2024-07-12T00:00:00"/>
    <s v="ST31"/>
    <s v="South"/>
    <s v="P5"/>
    <s v="Accessories"/>
    <n v="1"/>
    <n v="2998.32"/>
    <n v="30"/>
    <n v="1631.19"/>
    <x v="1"/>
    <s v="Card"/>
    <n v="2098.8240000000001"/>
    <n v="467.63400000000001"/>
    <s v="Friday"/>
    <b v="0"/>
    <x v="4"/>
  </r>
  <r>
    <s v="NV1407"/>
    <d v="2024-11-04T00:00:00"/>
    <s v="ST45"/>
    <s v="West"/>
    <s v="P285"/>
    <s v="Clothing"/>
    <n v="1"/>
    <n v="2427.9299999999998"/>
    <n v="15"/>
    <n v="1235.6099999999999"/>
    <x v="0"/>
    <s v="Digital"/>
    <n v="2063.7404999999999"/>
    <n v="828.13049999999998"/>
    <s v="Monday"/>
    <b v="0"/>
    <x v="1"/>
  </r>
  <r>
    <s v="NV1408"/>
    <d v="2024-10-02T00:00:00"/>
    <s v="ST20"/>
    <s v="North"/>
    <s v="P293"/>
    <s v="Shoes"/>
    <n v="1"/>
    <n v="2529.8200000000002"/>
    <n v="0"/>
    <n v="1249.07"/>
    <x v="1"/>
    <s v="Digital"/>
    <n v="2529.8200000000002"/>
    <n v="1280.7500000000002"/>
    <s v="Wednesday"/>
    <b v="0"/>
    <x v="2"/>
  </r>
  <r>
    <s v="NV1409"/>
    <d v="2025-05-01T00:00:00"/>
    <s v="ST29"/>
    <s v="West"/>
    <s v="P217"/>
    <s v="Accessories"/>
    <n v="5"/>
    <n v="1348.05"/>
    <n v="30"/>
    <n v="579.46"/>
    <x v="1"/>
    <s v="Digital"/>
    <n v="4718.1749999999993"/>
    <n v="1820.8749999999991"/>
    <s v="Thursday"/>
    <b v="0"/>
    <x v="9"/>
  </r>
  <r>
    <s v="NV1410"/>
    <d v="2024-05-17T00:00:00"/>
    <s v="ST39"/>
    <s v="North"/>
    <s v="P251"/>
    <s v="Accessories"/>
    <n v="3"/>
    <n v="979.52"/>
    <n v="25"/>
    <n v="398.73"/>
    <x v="0"/>
    <s v="Card"/>
    <n v="2203.92"/>
    <n v="1007.73"/>
    <s v="Friday"/>
    <b v="0"/>
    <x v="9"/>
  </r>
  <r>
    <s v="NV1411"/>
    <d v="2025-07-22T00:00:00"/>
    <s v="ST16"/>
    <s v="North"/>
    <s v="P237"/>
    <s v="Clothing"/>
    <n v="5"/>
    <n v="1152.4100000000001"/>
    <n v="20"/>
    <n v="667.54"/>
    <x v="0"/>
    <s v="Cash"/>
    <n v="4609.6400000000003"/>
    <n v="1271.9400000000005"/>
    <s v="Tuesday"/>
    <b v="0"/>
    <x v="4"/>
  </r>
  <r>
    <s v="NV1412"/>
    <d v="2024-06-19T00:00:00"/>
    <s v="ST11"/>
    <s v="North"/>
    <s v="P73"/>
    <s v="Shoes"/>
    <n v="5"/>
    <n v="1488.53"/>
    <n v="15"/>
    <n v="749.6"/>
    <x v="1"/>
    <s v="Card"/>
    <n v="6326.2524999999996"/>
    <n v="2578.2524999999996"/>
    <s v="Wednesday"/>
    <b v="0"/>
    <x v="0"/>
  </r>
  <r>
    <s v="NV1413"/>
    <d v="2025-01-11T00:00:00"/>
    <s v="ST59"/>
    <s v="East"/>
    <s v="P289"/>
    <s v="Accessories"/>
    <n v="5"/>
    <n v="454.28"/>
    <n v="5"/>
    <n v="213.91"/>
    <x v="1"/>
    <s v="Digital"/>
    <n v="2157.8299999999995"/>
    <n v="1088.2799999999995"/>
    <s v="Saturday"/>
    <b v="1"/>
    <x v="10"/>
  </r>
  <r>
    <s v="NV1414"/>
    <d v="2024-10-04T00:00:00"/>
    <s v="ST40"/>
    <s v="North"/>
    <s v="P244"/>
    <s v="Accessories"/>
    <n v="3"/>
    <n v="2385.96"/>
    <n v="0"/>
    <n v="1569.33"/>
    <x v="0"/>
    <s v="Cash"/>
    <n v="7157.88"/>
    <n v="2449.8900000000003"/>
    <s v="Friday"/>
    <b v="0"/>
    <x v="2"/>
  </r>
  <r>
    <s v="NV1415"/>
    <d v="2024-12-16T00:00:00"/>
    <s v="ST7"/>
    <s v="West"/>
    <s v="P249"/>
    <s v="Accessories"/>
    <n v="2"/>
    <n v="2113.71"/>
    <n v="20"/>
    <n v="1344.54"/>
    <x v="0"/>
    <s v="Cash"/>
    <n v="3381.9360000000001"/>
    <n v="692.85600000000022"/>
    <s v="Monday"/>
    <b v="0"/>
    <x v="11"/>
  </r>
  <r>
    <s v="NV1416"/>
    <d v="2025-03-08T00:00:00"/>
    <s v="ST39"/>
    <s v="North"/>
    <s v="P73"/>
    <s v="Accessories"/>
    <n v="5"/>
    <n v="733.31"/>
    <n v="0"/>
    <n v="480.82"/>
    <x v="0"/>
    <s v="Cash"/>
    <n v="3666.5499999999997"/>
    <n v="1262.4499999999998"/>
    <s v="Saturday"/>
    <b v="1"/>
    <x v="7"/>
  </r>
  <r>
    <s v="NV1417"/>
    <d v="2025-01-14T00:00:00"/>
    <s v="ST18"/>
    <s v="West"/>
    <s v="P80"/>
    <s v="Clothing"/>
    <n v="1"/>
    <n v="818.67"/>
    <n v="15"/>
    <n v="380.81"/>
    <x v="1"/>
    <s v="Cash"/>
    <n v="695.8694999999999"/>
    <n v="315.0594999999999"/>
    <s v="Tuesday"/>
    <b v="0"/>
    <x v="10"/>
  </r>
  <r>
    <s v="NV1418"/>
    <d v="2024-09-24T00:00:00"/>
    <s v="ST4"/>
    <s v="East"/>
    <s v="P275"/>
    <s v="Clothing"/>
    <n v="1"/>
    <n v="2542.56"/>
    <n v="15"/>
    <n v="1078.8699999999999"/>
    <x v="0"/>
    <s v="Card"/>
    <n v="2161.1759999999999"/>
    <n v="1082.306"/>
    <s v="Tuesday"/>
    <b v="0"/>
    <x v="6"/>
  </r>
  <r>
    <s v="NV1419"/>
    <d v="2024-04-13T00:00:00"/>
    <s v="ST25"/>
    <s v="North"/>
    <s v="P257"/>
    <s v="Accessories"/>
    <n v="3"/>
    <n v="2994.37"/>
    <n v="30"/>
    <n v="1216.97"/>
    <x v="1"/>
    <s v="Cash"/>
    <n v="6288.1769999999997"/>
    <n v="2637.2669999999998"/>
    <s v="Saturday"/>
    <b v="1"/>
    <x v="8"/>
  </r>
  <r>
    <s v="NV1420"/>
    <d v="2025-03-15T00:00:00"/>
    <s v="ST45"/>
    <s v="West"/>
    <s v="P280"/>
    <s v="Accessories"/>
    <n v="3"/>
    <n v="1950.04"/>
    <n v="10"/>
    <n v="1348.45"/>
    <x v="1"/>
    <s v="Digital"/>
    <n v="5265.1080000000002"/>
    <n v="1219.7579999999998"/>
    <s v="Saturday"/>
    <b v="1"/>
    <x v="7"/>
  </r>
  <r>
    <s v="NV1421"/>
    <d v="2024-08-05T00:00:00"/>
    <s v="ST5"/>
    <s v="West"/>
    <s v="P196"/>
    <s v="Clothing"/>
    <n v="3"/>
    <n v="2639.8"/>
    <n v="25"/>
    <n v="1133.46"/>
    <x v="1"/>
    <s v="Card"/>
    <n v="5939.55"/>
    <n v="2539.17"/>
    <s v="Monday"/>
    <b v="0"/>
    <x v="5"/>
  </r>
  <r>
    <s v="NV1422"/>
    <d v="2024-10-02T00:00:00"/>
    <s v="ST43"/>
    <s v="South"/>
    <s v="P212"/>
    <s v="Shoes"/>
    <n v="5"/>
    <n v="304.8"/>
    <n v="20"/>
    <n v="170.84"/>
    <x v="0"/>
    <s v="Digital"/>
    <n v="1219.2"/>
    <n v="365"/>
    <s v="Wednesday"/>
    <b v="0"/>
    <x v="2"/>
  </r>
  <r>
    <s v="NV1423"/>
    <d v="2025-05-09T00:00:00"/>
    <s v="ST43"/>
    <s v="East"/>
    <s v="P259"/>
    <s v="Shoes"/>
    <n v="4"/>
    <n v="406.96"/>
    <n v="15"/>
    <n v="217.29"/>
    <x v="0"/>
    <s v="Cash"/>
    <n v="1383.664"/>
    <n v="514.50400000000002"/>
    <s v="Friday"/>
    <b v="0"/>
    <x v="9"/>
  </r>
  <r>
    <s v="NV1424"/>
    <d v="2024-11-23T00:00:00"/>
    <s v="ST46"/>
    <s v="West"/>
    <s v="P284"/>
    <s v="Shoes"/>
    <n v="3"/>
    <n v="1728.95"/>
    <n v="0"/>
    <n v="726.34"/>
    <x v="1"/>
    <s v="Card"/>
    <n v="5186.8500000000004"/>
    <n v="3007.8300000000004"/>
    <s v="Saturday"/>
    <b v="1"/>
    <x v="1"/>
  </r>
  <r>
    <s v="NV1425"/>
    <d v="2025-03-18T00:00:00"/>
    <s v="ST9"/>
    <s v="East"/>
    <s v="P237"/>
    <s v="Accessories"/>
    <n v="4"/>
    <n v="779.56"/>
    <n v="25"/>
    <n v="321.52999999999997"/>
    <x v="0"/>
    <s v="Cash"/>
    <n v="2338.6799999999998"/>
    <n v="1052.56"/>
    <s v="Tuesday"/>
    <b v="0"/>
    <x v="7"/>
  </r>
  <r>
    <s v="NV1426"/>
    <d v="2024-09-13T00:00:00"/>
    <s v="ST23"/>
    <s v="West"/>
    <s v="P270"/>
    <s v="Shoes"/>
    <n v="3"/>
    <n v="855.76"/>
    <n v="25"/>
    <n v="554.76"/>
    <x v="1"/>
    <s v="Digital"/>
    <n v="1925.4599999999998"/>
    <n v="261.17999999999984"/>
    <s v="Friday"/>
    <b v="0"/>
    <x v="6"/>
  </r>
  <r>
    <s v="NV1427"/>
    <d v="2024-08-30T00:00:00"/>
    <s v="ST14"/>
    <s v="South"/>
    <s v="P138"/>
    <s v="Shoes"/>
    <n v="2"/>
    <n v="1825.17"/>
    <n v="15"/>
    <n v="1065.1400000000001"/>
    <x v="0"/>
    <s v="Cash"/>
    <n v="3102.7890000000002"/>
    <n v="972.50900000000001"/>
    <s v="Friday"/>
    <b v="0"/>
    <x v="5"/>
  </r>
  <r>
    <s v="NV1428"/>
    <d v="2025-04-17T00:00:00"/>
    <s v="ST40"/>
    <s v="West"/>
    <s v="P136"/>
    <s v="Shoes"/>
    <n v="3"/>
    <n v="1684.02"/>
    <n v="25"/>
    <n v="812.45"/>
    <x v="1"/>
    <s v="Digital"/>
    <n v="3789.0449999999996"/>
    <n v="1351.6949999999993"/>
    <s v="Thursday"/>
    <b v="0"/>
    <x v="8"/>
  </r>
  <r>
    <s v="NV1429"/>
    <d v="2024-12-19T00:00:00"/>
    <s v="ST22"/>
    <s v="East"/>
    <s v="P273"/>
    <s v="Clothing"/>
    <n v="1"/>
    <n v="2010.59"/>
    <n v="15"/>
    <n v="1388.21"/>
    <x v="1"/>
    <s v="Card"/>
    <n v="1709.0014999999999"/>
    <n v="320.79149999999981"/>
    <s v="Thursday"/>
    <b v="0"/>
    <x v="11"/>
  </r>
  <r>
    <s v="NV1430"/>
    <d v="2024-10-04T00:00:00"/>
    <s v="ST15"/>
    <s v="West"/>
    <s v="P71"/>
    <s v="Accessories"/>
    <n v="5"/>
    <n v="1946.72"/>
    <n v="15"/>
    <n v="1002.78"/>
    <x v="0"/>
    <s v="Card"/>
    <n v="8273.56"/>
    <n v="3259.66"/>
    <s v="Friday"/>
    <b v="0"/>
    <x v="2"/>
  </r>
  <r>
    <s v="NV1431"/>
    <d v="2024-08-08T00:00:00"/>
    <s v="ST45"/>
    <s v="South"/>
    <s v="P123"/>
    <s v="Shoes"/>
    <n v="3"/>
    <n v="2308.75"/>
    <n v="20"/>
    <n v="1375.08"/>
    <x v="1"/>
    <s v="Digital"/>
    <n v="5541"/>
    <n v="1415.7600000000002"/>
    <s v="Thursday"/>
    <b v="0"/>
    <x v="5"/>
  </r>
  <r>
    <s v="NV1432"/>
    <d v="2025-10-12T00:00:00"/>
    <s v="ST43"/>
    <s v="West"/>
    <s v="P130"/>
    <s v="Clothing"/>
    <n v="1"/>
    <n v="1717.08"/>
    <n v="0"/>
    <n v="1000.05"/>
    <x v="1"/>
    <s v="Digital"/>
    <n v="1717.08"/>
    <n v="717.03"/>
    <s v="Sunday"/>
    <b v="1"/>
    <x v="2"/>
  </r>
  <r>
    <s v="NV1433"/>
    <d v="2024-04-06T00:00:00"/>
    <s v="ST15"/>
    <s v="South"/>
    <s v="P224"/>
    <s v="Accessories"/>
    <n v="4"/>
    <n v="1894.68"/>
    <n v="30"/>
    <n v="852.3"/>
    <x v="1"/>
    <s v="Cash"/>
    <n v="5305.1040000000003"/>
    <n v="1895.9040000000005"/>
    <s v="Saturday"/>
    <b v="1"/>
    <x v="8"/>
  </r>
  <r>
    <s v="NV1434"/>
    <d v="2025-09-14T00:00:00"/>
    <s v="ST56"/>
    <s v="North"/>
    <s v="P191"/>
    <s v="Clothing"/>
    <n v="1"/>
    <n v="2297.5100000000002"/>
    <n v="20"/>
    <n v="1120.69"/>
    <x v="0"/>
    <s v="Cash"/>
    <n v="1838.0080000000003"/>
    <n v="717.31800000000021"/>
    <s v="Sunday"/>
    <b v="1"/>
    <x v="6"/>
  </r>
  <r>
    <s v="NV1435"/>
    <d v="2025-03-30T00:00:00"/>
    <s v="ST30"/>
    <s v="South"/>
    <s v="P104"/>
    <s v="Accessories"/>
    <n v="5"/>
    <n v="1599.85"/>
    <n v="30"/>
    <n v="686.39"/>
    <x v="0"/>
    <s v="Digital"/>
    <n v="5599.4749999999995"/>
    <n v="2167.5249999999996"/>
    <s v="Sunday"/>
    <b v="1"/>
    <x v="7"/>
  </r>
  <r>
    <s v="NV1436"/>
    <d v="2024-06-27T00:00:00"/>
    <s v="ST49"/>
    <s v="East"/>
    <s v="P142"/>
    <s v="Shoes"/>
    <n v="2"/>
    <n v="731.15"/>
    <n v="15"/>
    <n v="398.16"/>
    <x v="0"/>
    <s v="Card"/>
    <n v="1242.9549999999999"/>
    <n v="446.63499999999988"/>
    <s v="Thursday"/>
    <b v="0"/>
    <x v="0"/>
  </r>
  <r>
    <s v="NV1437"/>
    <d v="2024-02-19T00:00:00"/>
    <s v="ST56"/>
    <s v="South"/>
    <s v="P100"/>
    <s v="Shoes"/>
    <n v="5"/>
    <n v="1579.22"/>
    <n v="15"/>
    <n v="997.62"/>
    <x v="1"/>
    <s v="Cash"/>
    <n v="6711.6850000000004"/>
    <n v="1723.585"/>
    <s v="Monday"/>
    <b v="0"/>
    <x v="3"/>
  </r>
  <r>
    <s v="NV1438"/>
    <d v="2024-02-10T00:00:00"/>
    <s v="ST38"/>
    <s v="North"/>
    <s v="P99"/>
    <s v="Clothing"/>
    <n v="1"/>
    <n v="2095.1999999999998"/>
    <n v="20"/>
    <n v="936.56"/>
    <x v="0"/>
    <s v="Cash"/>
    <n v="1676.1599999999999"/>
    <n v="739.59999999999991"/>
    <s v="Saturday"/>
    <b v="1"/>
    <x v="3"/>
  </r>
  <r>
    <s v="NV1439"/>
    <d v="2024-09-12T00:00:00"/>
    <s v="ST21"/>
    <s v="North"/>
    <s v="P207"/>
    <s v="Accessories"/>
    <n v="2"/>
    <n v="2872.06"/>
    <n v="10"/>
    <n v="1716.8"/>
    <x v="1"/>
    <s v="Card"/>
    <n v="5169.7079999999996"/>
    <n v="1736.1079999999997"/>
    <s v="Thursday"/>
    <b v="0"/>
    <x v="6"/>
  </r>
  <r>
    <s v="NV1440"/>
    <d v="2025-07-27T00:00:00"/>
    <s v="ST20"/>
    <s v="South"/>
    <s v="P152"/>
    <s v="Shoes"/>
    <n v="4"/>
    <n v="2614.85"/>
    <n v="5"/>
    <n v="1674.18"/>
    <x v="0"/>
    <s v="Digital"/>
    <n v="9936.4299999999985"/>
    <n v="3239.7099999999982"/>
    <s v="Sunday"/>
    <b v="1"/>
    <x v="4"/>
  </r>
  <r>
    <s v="NV1441"/>
    <d v="2025-05-09T00:00:00"/>
    <s v="ST37"/>
    <s v="West"/>
    <s v="P240"/>
    <s v="Shoes"/>
    <n v="5"/>
    <n v="477"/>
    <n v="5"/>
    <n v="310.94"/>
    <x v="1"/>
    <s v="Digital"/>
    <n v="2265.75"/>
    <n v="711.05"/>
    <s v="Friday"/>
    <b v="0"/>
    <x v="9"/>
  </r>
  <r>
    <s v="NV1442"/>
    <d v="2025-08-01T00:00:00"/>
    <s v="ST46"/>
    <s v="West"/>
    <s v="P273"/>
    <s v="Accessories"/>
    <n v="1"/>
    <n v="2814.31"/>
    <n v="10"/>
    <n v="1862.64"/>
    <x v="1"/>
    <s v="Digital"/>
    <n v="2532.8789999999999"/>
    <n v="670.23899999999981"/>
    <s v="Friday"/>
    <b v="0"/>
    <x v="5"/>
  </r>
  <r>
    <s v="NV1443"/>
    <d v="2025-09-21T00:00:00"/>
    <s v="ST8"/>
    <s v="West"/>
    <s v="P14"/>
    <s v="Shoes"/>
    <n v="4"/>
    <n v="1586.43"/>
    <n v="10"/>
    <n v="694.23"/>
    <x v="1"/>
    <s v="Digital"/>
    <n v="5711.1480000000001"/>
    <n v="2934.2280000000001"/>
    <s v="Sunday"/>
    <b v="1"/>
    <x v="6"/>
  </r>
  <r>
    <s v="NV1444"/>
    <d v="2025-10-08T00:00:00"/>
    <s v="ST36"/>
    <s v="North"/>
    <s v="P83"/>
    <s v="Clothing"/>
    <n v="5"/>
    <n v="2611.29"/>
    <n v="15"/>
    <n v="1686.2"/>
    <x v="1"/>
    <s v="Cash"/>
    <n v="11097.9825"/>
    <n v="2666.9825000000001"/>
    <s v="Wednesday"/>
    <b v="0"/>
    <x v="2"/>
  </r>
  <r>
    <s v="NV1445"/>
    <d v="2025-11-17T00:00:00"/>
    <s v="ST40"/>
    <s v="East"/>
    <s v="P272"/>
    <s v="Clothing"/>
    <n v="1"/>
    <n v="1440.46"/>
    <n v="30"/>
    <n v="973.76"/>
    <x v="0"/>
    <s v="Digital"/>
    <n v="1008.322"/>
    <n v="34.562000000000012"/>
    <s v="Monday"/>
    <b v="0"/>
    <x v="1"/>
  </r>
  <r>
    <s v="NV1446"/>
    <d v="2024-08-15T00:00:00"/>
    <s v="ST13"/>
    <s v="South"/>
    <s v="P9"/>
    <s v="Clothing"/>
    <n v="4"/>
    <n v="744.79"/>
    <n v="10"/>
    <n v="509.37"/>
    <x v="1"/>
    <s v="Card"/>
    <n v="2681.2440000000001"/>
    <n v="643.76400000000012"/>
    <s v="Thursday"/>
    <b v="0"/>
    <x v="5"/>
  </r>
  <r>
    <s v="NV1447"/>
    <d v="2025-01-06T00:00:00"/>
    <s v="ST12"/>
    <s v="North"/>
    <s v="P52"/>
    <s v="Accessories"/>
    <n v="4"/>
    <n v="1427.28"/>
    <n v="20"/>
    <n v="669.67"/>
    <x v="0"/>
    <s v="Cash"/>
    <n v="4567.2960000000003"/>
    <n v="1888.6160000000004"/>
    <s v="Monday"/>
    <b v="0"/>
    <x v="10"/>
  </r>
  <r>
    <s v="NV1448"/>
    <d v="2025-09-30T00:00:00"/>
    <s v="ST12"/>
    <s v="South"/>
    <s v="P257"/>
    <s v="Shoes"/>
    <n v="2"/>
    <n v="1329.73"/>
    <n v="25"/>
    <n v="891.48"/>
    <x v="1"/>
    <s v="Card"/>
    <n v="1994.595"/>
    <n v="211.63499999999999"/>
    <s v="Tuesday"/>
    <b v="0"/>
    <x v="6"/>
  </r>
  <r>
    <s v="NV1449"/>
    <d v="2025-05-23T00:00:00"/>
    <s v="ST2"/>
    <s v="West"/>
    <s v="P130"/>
    <s v="Accessories"/>
    <n v="5"/>
    <n v="1476.04"/>
    <n v="0"/>
    <n v="767.77"/>
    <x v="0"/>
    <s v="Digital"/>
    <n v="7380.2"/>
    <n v="3541.35"/>
    <s v="Friday"/>
    <b v="0"/>
    <x v="9"/>
  </r>
  <r>
    <s v="NV1450"/>
    <d v="2024-04-21T00:00:00"/>
    <s v="ST19"/>
    <s v="North"/>
    <s v="P165"/>
    <s v="Shoes"/>
    <n v="2"/>
    <n v="1073.92"/>
    <n v="5"/>
    <n v="745.41"/>
    <x v="1"/>
    <s v="Cash"/>
    <n v="2040.4480000000001"/>
    <n v="549.62800000000016"/>
    <s v="Sunday"/>
    <b v="1"/>
    <x v="8"/>
  </r>
  <r>
    <s v="NV1451"/>
    <d v="2024-01-29T00:00:00"/>
    <s v="ST5"/>
    <s v="East"/>
    <s v="P220"/>
    <s v="Shoes"/>
    <n v="4"/>
    <n v="1881.31"/>
    <n v="5"/>
    <n v="811.13"/>
    <x v="0"/>
    <s v="Digital"/>
    <n v="7148.9779999999992"/>
    <n v="3904.4579999999992"/>
    <s v="Monday"/>
    <b v="0"/>
    <x v="10"/>
  </r>
  <r>
    <s v="NV1452"/>
    <d v="2025-04-23T00:00:00"/>
    <s v="ST56"/>
    <s v="South"/>
    <s v="P139"/>
    <s v="Accessories"/>
    <n v="5"/>
    <n v="2767.69"/>
    <n v="20"/>
    <n v="1380.14"/>
    <x v="1"/>
    <s v="Card"/>
    <n v="11070.760000000002"/>
    <n v="4170.0600000000013"/>
    <s v="Wednesday"/>
    <b v="0"/>
    <x v="8"/>
  </r>
  <r>
    <s v="NV1453"/>
    <d v="2025-09-13T00:00:00"/>
    <s v="ST57"/>
    <s v="South"/>
    <s v="P222"/>
    <s v="Accessories"/>
    <n v="2"/>
    <n v="500.56"/>
    <n v="25"/>
    <n v="264.52999999999997"/>
    <x v="1"/>
    <s v="Digital"/>
    <n v="750.84"/>
    <n v="221.78000000000009"/>
    <s v="Saturday"/>
    <b v="1"/>
    <x v="6"/>
  </r>
  <r>
    <s v="NV1454"/>
    <d v="2024-01-05T00:00:00"/>
    <s v="ST24"/>
    <s v="West"/>
    <s v="P72"/>
    <s v="Clothing"/>
    <n v="3"/>
    <n v="1534.59"/>
    <n v="5"/>
    <n v="993.82"/>
    <x v="1"/>
    <s v="Card"/>
    <n v="4373.5814999999993"/>
    <n v="1392.1214999999993"/>
    <s v="Friday"/>
    <b v="0"/>
    <x v="10"/>
  </r>
  <r>
    <s v="NV1455"/>
    <d v="2025-07-13T00:00:00"/>
    <s v="ST3"/>
    <s v="East"/>
    <s v="P61"/>
    <s v="Shoes"/>
    <n v="2"/>
    <n v="2642.54"/>
    <n v="5"/>
    <n v="1810.07"/>
    <x v="0"/>
    <s v="Digital"/>
    <n v="5020.826"/>
    <n v="1400.6860000000001"/>
    <s v="Sunday"/>
    <b v="1"/>
    <x v="4"/>
  </r>
  <r>
    <s v="NV1456"/>
    <d v="2024-02-08T00:00:00"/>
    <s v="ST52"/>
    <s v="East"/>
    <s v="P37"/>
    <s v="Accessories"/>
    <n v="1"/>
    <n v="958.66"/>
    <n v="25"/>
    <n v="559.89"/>
    <x v="1"/>
    <s v="Digital"/>
    <n v="718.995"/>
    <n v="159.10500000000002"/>
    <s v="Thursday"/>
    <b v="0"/>
    <x v="3"/>
  </r>
  <r>
    <s v="NV1457"/>
    <d v="2024-10-25T00:00:00"/>
    <s v="ST56"/>
    <s v="South"/>
    <s v="P252"/>
    <s v="Accessories"/>
    <n v="1"/>
    <n v="2740.36"/>
    <n v="0"/>
    <n v="1500.71"/>
    <x v="1"/>
    <s v="Card"/>
    <n v="2740.36"/>
    <n v="1239.6500000000001"/>
    <s v="Friday"/>
    <b v="0"/>
    <x v="2"/>
  </r>
  <r>
    <s v="NV1458"/>
    <d v="2025-03-03T00:00:00"/>
    <s v="ST41"/>
    <s v="South"/>
    <s v="P290"/>
    <s v="Accessories"/>
    <n v="1"/>
    <n v="2880.49"/>
    <n v="10"/>
    <n v="1489.41"/>
    <x v="1"/>
    <s v="Digital"/>
    <n v="2592.4409999999998"/>
    <n v="1103.0309999999997"/>
    <s v="Monday"/>
    <b v="0"/>
    <x v="7"/>
  </r>
  <r>
    <s v="NV1459"/>
    <d v="2024-06-06T00:00:00"/>
    <s v="ST40"/>
    <s v="North"/>
    <s v="P80"/>
    <s v="Shoes"/>
    <n v="4"/>
    <n v="2655.9"/>
    <n v="20"/>
    <n v="1164.93"/>
    <x v="1"/>
    <s v="Cash"/>
    <n v="8498.880000000001"/>
    <n v="3839.1600000000008"/>
    <s v="Thursday"/>
    <b v="0"/>
    <x v="0"/>
  </r>
  <r>
    <s v="NV1460"/>
    <d v="2025-09-29T00:00:00"/>
    <s v="ST1"/>
    <s v="South"/>
    <s v="P71"/>
    <s v="Accessories"/>
    <n v="1"/>
    <n v="2590.71"/>
    <n v="10"/>
    <n v="1745.49"/>
    <x v="1"/>
    <s v="Card"/>
    <n v="2331.6390000000001"/>
    <n v="586.14900000000011"/>
    <s v="Monday"/>
    <b v="0"/>
    <x v="6"/>
  </r>
  <r>
    <s v="NV1461"/>
    <d v="2025-03-22T00:00:00"/>
    <s v="ST34"/>
    <s v="South"/>
    <s v="P188"/>
    <s v="Shoes"/>
    <n v="4"/>
    <n v="1824.21"/>
    <n v="20"/>
    <n v="774.85"/>
    <x v="1"/>
    <s v="Card"/>
    <n v="5837.4720000000007"/>
    <n v="2738.0720000000006"/>
    <s v="Saturday"/>
    <b v="1"/>
    <x v="7"/>
  </r>
  <r>
    <s v="NV1462"/>
    <d v="2025-08-31T00:00:00"/>
    <s v="ST39"/>
    <s v="North"/>
    <s v="P207"/>
    <s v="Accessories"/>
    <n v="5"/>
    <n v="2527.9899999999998"/>
    <n v="5"/>
    <n v="1265.75"/>
    <x v="0"/>
    <s v="Card"/>
    <n v="12007.952499999998"/>
    <n v="5679.2024999999976"/>
    <s v="Sunday"/>
    <b v="1"/>
    <x v="5"/>
  </r>
  <r>
    <s v="NV1463"/>
    <d v="2024-05-24T00:00:00"/>
    <s v="ST54"/>
    <s v="North"/>
    <s v="P166"/>
    <s v="Shoes"/>
    <n v="5"/>
    <n v="2796.55"/>
    <n v="15"/>
    <n v="1475.04"/>
    <x v="1"/>
    <s v="Digital"/>
    <n v="11885.3375"/>
    <n v="4510.1374999999998"/>
    <s v="Friday"/>
    <b v="0"/>
    <x v="9"/>
  </r>
  <r>
    <s v="NV1464"/>
    <d v="2024-12-06T00:00:00"/>
    <s v="ST44"/>
    <s v="North"/>
    <s v="P83"/>
    <s v="Shoes"/>
    <n v="4"/>
    <n v="312.45"/>
    <n v="25"/>
    <n v="203.25"/>
    <x v="0"/>
    <s v="Cash"/>
    <n v="937.34999999999991"/>
    <n v="124.34999999999991"/>
    <s v="Friday"/>
    <b v="0"/>
    <x v="11"/>
  </r>
  <r>
    <s v="NV1465"/>
    <d v="2024-01-27T00:00:00"/>
    <s v="ST12"/>
    <s v="East"/>
    <s v="P32"/>
    <s v="Shoes"/>
    <n v="3"/>
    <n v="2889.39"/>
    <n v="30"/>
    <n v="1507.61"/>
    <x v="0"/>
    <s v="Card"/>
    <n v="6067.7190000000001"/>
    <n v="1544.8890000000001"/>
    <s v="Saturday"/>
    <b v="1"/>
    <x v="10"/>
  </r>
  <r>
    <s v="NV1466"/>
    <d v="2025-08-13T00:00:00"/>
    <s v="ST53"/>
    <s v="East"/>
    <s v="P224"/>
    <s v="Clothing"/>
    <n v="3"/>
    <n v="937.14"/>
    <n v="20"/>
    <n v="580.30999999999995"/>
    <x v="0"/>
    <s v="Card"/>
    <n v="2249.136"/>
    <n v="508.20600000000013"/>
    <s v="Wednesday"/>
    <b v="0"/>
    <x v="5"/>
  </r>
  <r>
    <s v="NV1467"/>
    <d v="2024-03-17T00:00:00"/>
    <s v="ST47"/>
    <s v="East"/>
    <s v="P111"/>
    <s v="Shoes"/>
    <n v="3"/>
    <n v="1211.07"/>
    <n v="25"/>
    <n v="810.39"/>
    <x v="1"/>
    <s v="Cash"/>
    <n v="2724.9075000000003"/>
    <n v="293.73750000000018"/>
    <s v="Sunday"/>
    <b v="1"/>
    <x v="7"/>
  </r>
  <r>
    <s v="NV1468"/>
    <d v="2024-05-04T00:00:00"/>
    <s v="ST17"/>
    <s v="West"/>
    <s v="P250"/>
    <s v="Shoes"/>
    <n v="5"/>
    <n v="2462.46"/>
    <n v="0"/>
    <n v="1052.52"/>
    <x v="1"/>
    <s v="Cash"/>
    <n v="12312.3"/>
    <n v="7049.6999999999989"/>
    <s v="Saturday"/>
    <b v="1"/>
    <x v="9"/>
  </r>
  <r>
    <s v="NV1469"/>
    <d v="2024-10-29T00:00:00"/>
    <s v="ST9"/>
    <s v="East"/>
    <s v="P76"/>
    <s v="Accessories"/>
    <n v="2"/>
    <n v="364.39"/>
    <n v="15"/>
    <n v="247.85"/>
    <x v="0"/>
    <s v="Cash"/>
    <n v="619.46299999999997"/>
    <n v="123.76299999999998"/>
    <s v="Tuesday"/>
    <b v="0"/>
    <x v="2"/>
  </r>
  <r>
    <s v="NV1470"/>
    <d v="2024-10-10T00:00:00"/>
    <s v="ST27"/>
    <s v="South"/>
    <s v="P37"/>
    <s v="Accessories"/>
    <n v="2"/>
    <n v="1191.28"/>
    <n v="10"/>
    <n v="666.14"/>
    <x v="1"/>
    <s v="Cash"/>
    <n v="2144.3040000000001"/>
    <n v="812.02400000000011"/>
    <s v="Thursday"/>
    <b v="0"/>
    <x v="2"/>
  </r>
  <r>
    <s v="NV1471"/>
    <d v="2024-12-13T00:00:00"/>
    <s v="ST40"/>
    <s v="North"/>
    <s v="P143"/>
    <s v="Clothing"/>
    <n v="2"/>
    <n v="1275.73"/>
    <n v="5"/>
    <n v="877.29"/>
    <x v="0"/>
    <s v="Cash"/>
    <n v="2423.8869999999997"/>
    <n v="669.30699999999979"/>
    <s v="Friday"/>
    <b v="0"/>
    <x v="11"/>
  </r>
  <r>
    <s v="NV1472"/>
    <d v="2024-01-05T00:00:00"/>
    <s v="ST48"/>
    <s v="South"/>
    <s v="P84"/>
    <s v="Accessories"/>
    <n v="4"/>
    <n v="1641.07"/>
    <n v="10"/>
    <n v="1131.06"/>
    <x v="0"/>
    <s v="Digital"/>
    <n v="5907.8519999999999"/>
    <n v="1383.6120000000001"/>
    <s v="Friday"/>
    <b v="0"/>
    <x v="10"/>
  </r>
  <r>
    <s v="NV1473"/>
    <d v="2025-10-28T00:00:00"/>
    <s v="ST55"/>
    <s v="West"/>
    <s v="P130"/>
    <s v="Clothing"/>
    <n v="3"/>
    <n v="1840.87"/>
    <n v="10"/>
    <n v="1042.17"/>
    <x v="1"/>
    <s v="Cash"/>
    <n v="4970.3490000000002"/>
    <n v="1843.8389999999999"/>
    <s v="Tuesday"/>
    <b v="0"/>
    <x v="2"/>
  </r>
  <r>
    <s v="NV1474"/>
    <d v="2025-07-10T00:00:00"/>
    <s v="ST8"/>
    <s v="West"/>
    <s v="P62"/>
    <s v="Accessories"/>
    <n v="3"/>
    <n v="2696.74"/>
    <n v="30"/>
    <n v="1377.25"/>
    <x v="0"/>
    <s v="Cash"/>
    <n v="5663.1539999999995"/>
    <n v="1531.4039999999995"/>
    <s v="Thursday"/>
    <b v="0"/>
    <x v="4"/>
  </r>
  <r>
    <s v="NV1475"/>
    <d v="2025-02-10T00:00:00"/>
    <s v="ST17"/>
    <s v="South"/>
    <s v="P111"/>
    <s v="Shoes"/>
    <n v="1"/>
    <n v="683.52"/>
    <n v="10"/>
    <n v="362.72"/>
    <x v="1"/>
    <s v="Cash"/>
    <n v="615.16800000000001"/>
    <n v="252.44799999999998"/>
    <s v="Monday"/>
    <b v="0"/>
    <x v="3"/>
  </r>
  <r>
    <s v="NV1476"/>
    <d v="2024-04-05T00:00:00"/>
    <s v="ST8"/>
    <s v="South"/>
    <s v="P235"/>
    <s v="Shoes"/>
    <n v="3"/>
    <n v="2972.02"/>
    <n v="25"/>
    <n v="1760.72"/>
    <x v="0"/>
    <s v="Digital"/>
    <n v="6687.0450000000001"/>
    <n v="1404.8850000000002"/>
    <s v="Friday"/>
    <b v="0"/>
    <x v="8"/>
  </r>
  <r>
    <s v="NV1477"/>
    <d v="2025-07-15T00:00:00"/>
    <s v="ST47"/>
    <s v="West"/>
    <s v="P111"/>
    <s v="Clothing"/>
    <n v="2"/>
    <n v="2980.6"/>
    <n v="30"/>
    <n v="1891.23"/>
    <x v="1"/>
    <s v="Card"/>
    <n v="4172.8399999999992"/>
    <n v="390.3799999999992"/>
    <s v="Tuesday"/>
    <b v="0"/>
    <x v="4"/>
  </r>
  <r>
    <s v="NV1478"/>
    <d v="2025-03-23T00:00:00"/>
    <s v="ST24"/>
    <s v="East"/>
    <s v="P24"/>
    <s v="Clothing"/>
    <n v="1"/>
    <n v="1191.81"/>
    <n v="20"/>
    <n v="727.59"/>
    <x v="0"/>
    <s v="Card"/>
    <n v="953.44799999999998"/>
    <n v="225.85799999999995"/>
    <s v="Sunday"/>
    <b v="1"/>
    <x v="7"/>
  </r>
  <r>
    <s v="NV1479"/>
    <d v="2024-07-05T00:00:00"/>
    <s v="ST5"/>
    <s v="East"/>
    <s v="P183"/>
    <s v="Accessories"/>
    <n v="3"/>
    <n v="2759.9"/>
    <n v="20"/>
    <n v="1709.54"/>
    <x v="1"/>
    <s v="Card"/>
    <n v="6623.7600000000011"/>
    <n v="1495.1400000000012"/>
    <s v="Friday"/>
    <b v="0"/>
    <x v="4"/>
  </r>
  <r>
    <s v="NV1480"/>
    <d v="2024-09-21T00:00:00"/>
    <s v="ST13"/>
    <s v="South"/>
    <s v="P37"/>
    <s v="Shoes"/>
    <n v="1"/>
    <n v="1845.32"/>
    <n v="15"/>
    <n v="1088.6300000000001"/>
    <x v="0"/>
    <s v="Cash"/>
    <n v="1568.5219999999999"/>
    <n v="479.89199999999983"/>
    <s v="Saturday"/>
    <b v="1"/>
    <x v="6"/>
  </r>
  <r>
    <s v="NV1481"/>
    <d v="2024-06-13T00:00:00"/>
    <s v="ST56"/>
    <s v="South"/>
    <s v="P183"/>
    <s v="Shoes"/>
    <n v="3"/>
    <n v="755.33"/>
    <n v="30"/>
    <n v="345.01"/>
    <x v="0"/>
    <s v="Cash"/>
    <n v="1586.193"/>
    <n v="551.16300000000001"/>
    <s v="Thursday"/>
    <b v="0"/>
    <x v="0"/>
  </r>
  <r>
    <s v="NV1482"/>
    <d v="2025-03-24T00:00:00"/>
    <s v="ST35"/>
    <s v="South"/>
    <s v="P65"/>
    <s v="Accessories"/>
    <n v="5"/>
    <n v="2887.53"/>
    <n v="25"/>
    <n v="1908.67"/>
    <x v="0"/>
    <s v="Cash"/>
    <n v="10828.237500000001"/>
    <n v="1284.8875000000007"/>
    <s v="Monday"/>
    <b v="0"/>
    <x v="7"/>
  </r>
  <r>
    <s v="NV1483"/>
    <d v="2024-01-27T00:00:00"/>
    <s v="ST37"/>
    <s v="West"/>
    <s v="P103"/>
    <s v="Accessories"/>
    <n v="5"/>
    <n v="1301.98"/>
    <n v="30"/>
    <n v="877.39"/>
    <x v="0"/>
    <s v="Cash"/>
    <n v="4556.9299999999994"/>
    <n v="169.97999999999956"/>
    <s v="Saturday"/>
    <b v="1"/>
    <x v="10"/>
  </r>
  <r>
    <s v="NV1484"/>
    <d v="2024-02-17T00:00:00"/>
    <s v="ST15"/>
    <s v="North"/>
    <s v="P4"/>
    <s v="Clothing"/>
    <n v="5"/>
    <n v="1196.6300000000001"/>
    <n v="5"/>
    <n v="783.17"/>
    <x v="1"/>
    <s v="Digital"/>
    <n v="5683.9925000000003"/>
    <n v="1768.1425000000004"/>
    <s v="Saturday"/>
    <b v="1"/>
    <x v="3"/>
  </r>
  <r>
    <s v="NV1485"/>
    <d v="2025-04-22T00:00:00"/>
    <s v="ST51"/>
    <s v="West"/>
    <s v="P208"/>
    <s v="Clothing"/>
    <n v="4"/>
    <n v="1987.17"/>
    <n v="25"/>
    <n v="1125.67"/>
    <x v="0"/>
    <s v="Card"/>
    <n v="5961.51"/>
    <n v="1458.83"/>
    <s v="Tuesday"/>
    <b v="0"/>
    <x v="8"/>
  </r>
  <r>
    <s v="NV1486"/>
    <d v="2024-09-04T00:00:00"/>
    <s v="ST56"/>
    <s v="North"/>
    <s v="P84"/>
    <s v="Clothing"/>
    <n v="3"/>
    <n v="1320.37"/>
    <n v="30"/>
    <n v="587.46"/>
    <x v="1"/>
    <s v="Cash"/>
    <n v="2772.7769999999996"/>
    <n v="1010.3969999999995"/>
    <s v="Wednesday"/>
    <b v="0"/>
    <x v="6"/>
  </r>
  <r>
    <s v="NV1487"/>
    <d v="2025-09-10T00:00:00"/>
    <s v="ST47"/>
    <s v="West"/>
    <s v="P296"/>
    <s v="Accessories"/>
    <n v="1"/>
    <n v="2396.09"/>
    <n v="25"/>
    <n v="1655.51"/>
    <x v="0"/>
    <s v="Cash"/>
    <n v="1797.0675000000001"/>
    <n v="141.55750000000012"/>
    <s v="Wednesday"/>
    <b v="0"/>
    <x v="6"/>
  </r>
  <r>
    <s v="NV1488"/>
    <d v="2024-12-15T00:00:00"/>
    <s v="ST28"/>
    <s v="East"/>
    <s v="P63"/>
    <s v="Clothing"/>
    <n v="4"/>
    <n v="713.91"/>
    <n v="0"/>
    <n v="381.57"/>
    <x v="0"/>
    <s v="Cash"/>
    <n v="2855.64"/>
    <n v="1329.36"/>
    <s v="Sunday"/>
    <b v="1"/>
    <x v="11"/>
  </r>
  <r>
    <s v="NV1489"/>
    <d v="2025-08-13T00:00:00"/>
    <s v="ST32"/>
    <s v="South"/>
    <s v="P142"/>
    <s v="Accessories"/>
    <n v="5"/>
    <n v="1704.53"/>
    <n v="10"/>
    <n v="1012.26"/>
    <x v="0"/>
    <s v="Cash"/>
    <n v="7670.3850000000002"/>
    <n v="2609.085"/>
    <s v="Wednesday"/>
    <b v="0"/>
    <x v="5"/>
  </r>
  <r>
    <s v="NV1490"/>
    <d v="2025-02-22T00:00:00"/>
    <s v="ST9"/>
    <s v="South"/>
    <s v="P136"/>
    <s v="Clothing"/>
    <n v="2"/>
    <n v="2254.6"/>
    <n v="5"/>
    <n v="903.52"/>
    <x v="0"/>
    <s v="Digital"/>
    <n v="4283.74"/>
    <n v="2476.6999999999998"/>
    <s v="Saturday"/>
    <b v="1"/>
    <x v="3"/>
  </r>
  <r>
    <s v="NV1491"/>
    <d v="2024-04-19T00:00:00"/>
    <s v="ST43"/>
    <s v="South"/>
    <s v="P161"/>
    <s v="Shoes"/>
    <n v="2"/>
    <n v="1415.28"/>
    <n v="30"/>
    <n v="977.52"/>
    <x v="0"/>
    <s v="Cash"/>
    <n v="1981.3919999999998"/>
    <n v="26.351999999999862"/>
    <s v="Friday"/>
    <b v="0"/>
    <x v="8"/>
  </r>
  <r>
    <s v="NV1492"/>
    <d v="2024-07-25T00:00:00"/>
    <s v="ST9"/>
    <s v="West"/>
    <s v="P113"/>
    <s v="Accessories"/>
    <n v="1"/>
    <n v="1031.78"/>
    <n v="20"/>
    <n v="627.1"/>
    <x v="0"/>
    <s v="Cash"/>
    <n v="825.42399999999998"/>
    <n v="198.32399999999996"/>
    <s v="Thursday"/>
    <b v="0"/>
    <x v="4"/>
  </r>
  <r>
    <s v="NV1493"/>
    <d v="2024-09-16T00:00:00"/>
    <s v="ST23"/>
    <s v="East"/>
    <s v="P71"/>
    <s v="Clothing"/>
    <n v="1"/>
    <n v="2839.94"/>
    <n v="25"/>
    <n v="1666.89"/>
    <x v="1"/>
    <s v="Card"/>
    <n v="2129.9549999999999"/>
    <n v="463.06499999999983"/>
    <s v="Monday"/>
    <b v="0"/>
    <x v="6"/>
  </r>
  <r>
    <s v="NV1494"/>
    <d v="2024-02-25T00:00:00"/>
    <s v="ST15"/>
    <s v="South"/>
    <s v="P197"/>
    <s v="Shoes"/>
    <n v="1"/>
    <n v="2240.52"/>
    <n v="25"/>
    <n v="1356.99"/>
    <x v="0"/>
    <s v="Digital"/>
    <n v="1680.3899999999999"/>
    <n v="323.39999999999986"/>
    <s v="Sunday"/>
    <b v="1"/>
    <x v="3"/>
  </r>
  <r>
    <s v="NV1495"/>
    <d v="2025-05-18T00:00:00"/>
    <s v="ST41"/>
    <s v="West"/>
    <s v="P119"/>
    <s v="Accessories"/>
    <n v="5"/>
    <n v="1855.14"/>
    <n v="30"/>
    <n v="1230.96"/>
    <x v="1"/>
    <s v="Card"/>
    <n v="6492.99"/>
    <n v="338.1899999999996"/>
    <s v="Sunday"/>
    <b v="1"/>
    <x v="9"/>
  </r>
  <r>
    <s v="NV1496"/>
    <d v="2025-09-04T00:00:00"/>
    <s v="ST33"/>
    <s v="East"/>
    <s v="P46"/>
    <s v="Clothing"/>
    <n v="4"/>
    <n v="749.71"/>
    <n v="10"/>
    <n v="475.28"/>
    <x v="0"/>
    <s v="Digital"/>
    <n v="2698.9560000000001"/>
    <n v="797.83600000000024"/>
    <s v="Thursday"/>
    <b v="0"/>
    <x v="6"/>
  </r>
  <r>
    <s v="NV1497"/>
    <d v="2024-06-01T00:00:00"/>
    <s v="ST1"/>
    <s v="West"/>
    <s v="P138"/>
    <s v="Accessories"/>
    <n v="5"/>
    <n v="1357.68"/>
    <n v="10"/>
    <n v="761.24"/>
    <x v="1"/>
    <s v="Digital"/>
    <n v="6109.56"/>
    <n v="2303.3600000000006"/>
    <s v="Saturday"/>
    <b v="1"/>
    <x v="0"/>
  </r>
  <r>
    <s v="NV1498"/>
    <d v="2024-07-23T00:00:00"/>
    <s v="ST60"/>
    <s v="North"/>
    <s v="P7"/>
    <s v="Accessories"/>
    <n v="1"/>
    <n v="1437.62"/>
    <n v="5"/>
    <n v="937.93"/>
    <x v="0"/>
    <s v="Card"/>
    <n v="1365.7389999999998"/>
    <n v="427.80899999999986"/>
    <s v="Tuesday"/>
    <b v="0"/>
    <x v="4"/>
  </r>
  <r>
    <s v="NV1499"/>
    <d v="2024-10-29T00:00:00"/>
    <s v="ST60"/>
    <s v="South"/>
    <s v="P62"/>
    <s v="Accessories"/>
    <n v="2"/>
    <n v="1906"/>
    <n v="5"/>
    <n v="1050.32"/>
    <x v="0"/>
    <s v="Digital"/>
    <n v="3621.3999999999996"/>
    <n v="1520.7599999999998"/>
    <s v="Tuesday"/>
    <b v="0"/>
    <x v="2"/>
  </r>
  <r>
    <s v="NV1500"/>
    <d v="2024-07-23T00:00:00"/>
    <s v="ST55"/>
    <s v="North"/>
    <s v="P80"/>
    <s v="Accessories"/>
    <n v="5"/>
    <n v="472.27"/>
    <n v="25"/>
    <n v="275.66000000000003"/>
    <x v="0"/>
    <s v="Card"/>
    <n v="1771.0124999999998"/>
    <n v="392.71249999999964"/>
    <s v="Tuesday"/>
    <b v="0"/>
    <x v="4"/>
  </r>
  <r>
    <s v="NV1501"/>
    <d v="2025-03-12T00:00:00"/>
    <s v="ST28"/>
    <s v="West"/>
    <s v="P150"/>
    <s v="Accessories"/>
    <n v="2"/>
    <n v="2061.7199999999998"/>
    <n v="15"/>
    <n v="1129.28"/>
    <x v="1"/>
    <s v="Card"/>
    <n v="3504.9239999999995"/>
    <n v="1246.3639999999996"/>
    <s v="Wednesday"/>
    <b v="0"/>
    <x v="7"/>
  </r>
  <r>
    <s v="NV1502"/>
    <d v="2025-03-10T00:00:00"/>
    <s v="ST12"/>
    <s v="West"/>
    <s v="P213"/>
    <s v="Accessories"/>
    <n v="2"/>
    <n v="2132.39"/>
    <n v="0"/>
    <n v="997.81"/>
    <x v="1"/>
    <s v="Digital"/>
    <n v="4264.78"/>
    <n v="2269.16"/>
    <s v="Monday"/>
    <b v="0"/>
    <x v="7"/>
  </r>
  <r>
    <s v="NV1503"/>
    <d v="2024-10-01T00:00:00"/>
    <s v="ST11"/>
    <s v="South"/>
    <s v="P123"/>
    <s v="Accessories"/>
    <n v="3"/>
    <n v="960.45"/>
    <n v="0"/>
    <n v="565.41"/>
    <x v="1"/>
    <s v="Cash"/>
    <n v="2881.3500000000004"/>
    <n v="1185.1200000000003"/>
    <s v="Tuesday"/>
    <b v="0"/>
    <x v="2"/>
  </r>
  <r>
    <s v="NV1504"/>
    <d v="2024-05-13T00:00:00"/>
    <s v="ST52"/>
    <s v="North"/>
    <s v="P83"/>
    <s v="Shoes"/>
    <n v="3"/>
    <n v="1708"/>
    <n v="30"/>
    <n v="928.83"/>
    <x v="1"/>
    <s v="Card"/>
    <n v="3586.7999999999997"/>
    <n v="800.30999999999949"/>
    <s v="Monday"/>
    <b v="0"/>
    <x v="9"/>
  </r>
  <r>
    <s v="NV1505"/>
    <d v="2024-11-25T00:00:00"/>
    <s v="ST10"/>
    <s v="West"/>
    <s v="P235"/>
    <s v="Shoes"/>
    <n v="3"/>
    <n v="308.14"/>
    <n v="15"/>
    <n v="176.06"/>
    <x v="1"/>
    <s v="Card"/>
    <n v="785.75699999999995"/>
    <n v="257.57699999999988"/>
    <s v="Monday"/>
    <b v="0"/>
    <x v="1"/>
  </r>
  <r>
    <s v="NV1506"/>
    <d v="2025-03-03T00:00:00"/>
    <s v="ST52"/>
    <s v="North"/>
    <s v="P95"/>
    <s v="Shoes"/>
    <n v="3"/>
    <n v="2675.13"/>
    <n v="0"/>
    <n v="1529.11"/>
    <x v="1"/>
    <s v="Card"/>
    <n v="8025.39"/>
    <n v="3438.0600000000004"/>
    <s v="Monday"/>
    <b v="0"/>
    <x v="7"/>
  </r>
  <r>
    <s v="NV1507"/>
    <d v="2025-12-01T00:00:00"/>
    <s v="ST15"/>
    <s v="North"/>
    <s v="P132"/>
    <s v="Clothing"/>
    <n v="5"/>
    <n v="2294.92"/>
    <n v="0"/>
    <n v="1576.55"/>
    <x v="0"/>
    <s v="Digital"/>
    <n v="11474.6"/>
    <n v="3591.8500000000004"/>
    <s v="Monday"/>
    <b v="0"/>
    <x v="11"/>
  </r>
  <r>
    <s v="NV1508"/>
    <d v="2024-03-03T00:00:00"/>
    <s v="ST10"/>
    <s v="North"/>
    <s v="P265"/>
    <s v="Shoes"/>
    <n v="1"/>
    <n v="2033.34"/>
    <n v="15"/>
    <n v="1161.68"/>
    <x v="1"/>
    <s v="Cash"/>
    <n v="1728.3389999999999"/>
    <n v="566.65899999999988"/>
    <s v="Sunday"/>
    <b v="1"/>
    <x v="7"/>
  </r>
  <r>
    <s v="NV1509"/>
    <d v="2024-04-14T00:00:00"/>
    <s v="ST25"/>
    <s v="South"/>
    <s v="P187"/>
    <s v="Clothing"/>
    <n v="1"/>
    <n v="1790.69"/>
    <n v="30"/>
    <n v="872.71"/>
    <x v="1"/>
    <s v="Card"/>
    <n v="1253.4829999999999"/>
    <n v="380.77299999999991"/>
    <s v="Sunday"/>
    <b v="1"/>
    <x v="8"/>
  </r>
  <r>
    <s v="NV1510"/>
    <d v="2024-10-25T00:00:00"/>
    <s v="ST11"/>
    <s v="South"/>
    <s v="P27"/>
    <s v="Clothing"/>
    <n v="5"/>
    <n v="2642.06"/>
    <n v="15"/>
    <n v="1643.03"/>
    <x v="0"/>
    <s v="Digital"/>
    <n v="11228.754999999999"/>
    <n v="3013.6049999999996"/>
    <s v="Friday"/>
    <b v="0"/>
    <x v="2"/>
  </r>
  <r>
    <s v="NV1511"/>
    <d v="2025-11-08T00:00:00"/>
    <s v="ST26"/>
    <s v="West"/>
    <s v="P161"/>
    <s v="Shoes"/>
    <n v="3"/>
    <n v="2720.53"/>
    <n v="25"/>
    <n v="1414.58"/>
    <x v="1"/>
    <s v="Card"/>
    <n v="6121.1925000000001"/>
    <n v="1877.4525000000003"/>
    <s v="Saturday"/>
    <b v="1"/>
    <x v="1"/>
  </r>
  <r>
    <s v="NV1512"/>
    <d v="2024-12-15T00:00:00"/>
    <s v="ST39"/>
    <s v="South"/>
    <s v="P7"/>
    <s v="Clothing"/>
    <n v="4"/>
    <n v="1983.25"/>
    <n v="15"/>
    <n v="886.5"/>
    <x v="1"/>
    <s v="Digital"/>
    <n v="6743.05"/>
    <n v="3197.05"/>
    <s v="Sunday"/>
    <b v="1"/>
    <x v="11"/>
  </r>
  <r>
    <s v="NV1513"/>
    <d v="2025-08-13T00:00:00"/>
    <s v="ST32"/>
    <s v="North"/>
    <s v="P284"/>
    <s v="Accessories"/>
    <n v="1"/>
    <n v="2275.9"/>
    <n v="10"/>
    <n v="1214.58"/>
    <x v="0"/>
    <s v="Card"/>
    <n v="2048.31"/>
    <n v="833.73"/>
    <s v="Wednesday"/>
    <b v="0"/>
    <x v="5"/>
  </r>
  <r>
    <s v="NV1514"/>
    <d v="2025-10-03T00:00:00"/>
    <s v="ST7"/>
    <s v="East"/>
    <s v="P258"/>
    <s v="Accessories"/>
    <n v="3"/>
    <n v="1535.91"/>
    <n v="25"/>
    <n v="823.12"/>
    <x v="1"/>
    <s v="Card"/>
    <n v="3455.7975000000006"/>
    <n v="986.43750000000045"/>
    <s v="Friday"/>
    <b v="0"/>
    <x v="2"/>
  </r>
  <r>
    <s v="NV1515"/>
    <d v="2025-05-04T00:00:00"/>
    <s v="ST40"/>
    <s v="North"/>
    <s v="P148"/>
    <s v="Clothing"/>
    <n v="2"/>
    <n v="2761.29"/>
    <n v="10"/>
    <n v="1495.58"/>
    <x v="1"/>
    <s v="Card"/>
    <n v="4970.3220000000001"/>
    <n v="1979.1620000000003"/>
    <s v="Sunday"/>
    <b v="1"/>
    <x v="9"/>
  </r>
  <r>
    <s v="NV1516"/>
    <d v="2025-11-11T00:00:00"/>
    <s v="ST32"/>
    <s v="West"/>
    <s v="P263"/>
    <s v="Clothing"/>
    <n v="5"/>
    <n v="1231.1600000000001"/>
    <n v="25"/>
    <n v="756.35"/>
    <x v="0"/>
    <s v="Card"/>
    <n v="4616.8500000000004"/>
    <n v="835.10000000000036"/>
    <s v="Tuesday"/>
    <b v="0"/>
    <x v="1"/>
  </r>
  <r>
    <s v="NV1517"/>
    <d v="2025-05-08T00:00:00"/>
    <s v="ST5"/>
    <s v="North"/>
    <s v="P106"/>
    <s v="Clothing"/>
    <n v="1"/>
    <n v="739.89"/>
    <n v="10"/>
    <n v="357.9"/>
    <x v="1"/>
    <s v="Card"/>
    <n v="665.90099999999995"/>
    <n v="308.00099999999998"/>
    <s v="Thursday"/>
    <b v="0"/>
    <x v="9"/>
  </r>
  <r>
    <s v="NV1518"/>
    <d v="2025-06-27T00:00:00"/>
    <s v="ST37"/>
    <s v="East"/>
    <s v="P88"/>
    <s v="Clothing"/>
    <n v="4"/>
    <n v="2671.98"/>
    <n v="30"/>
    <n v="1477.75"/>
    <x v="1"/>
    <s v="Card"/>
    <n v="7481.5439999999999"/>
    <n v="1570.5439999999999"/>
    <s v="Friday"/>
    <b v="0"/>
    <x v="0"/>
  </r>
  <r>
    <s v="NV1519"/>
    <d v="2025-09-23T00:00:00"/>
    <s v="ST33"/>
    <s v="West"/>
    <s v="P53"/>
    <s v="Shoes"/>
    <n v="5"/>
    <n v="2513.27"/>
    <n v="10"/>
    <n v="1373.33"/>
    <x v="0"/>
    <s v="Digital"/>
    <n v="11309.715"/>
    <n v="4443.0650000000005"/>
    <s v="Tuesday"/>
    <b v="0"/>
    <x v="6"/>
  </r>
  <r>
    <s v="NV1520"/>
    <d v="2024-03-06T00:00:00"/>
    <s v="ST36"/>
    <s v="West"/>
    <s v="P56"/>
    <s v="Accessories"/>
    <n v="5"/>
    <n v="1771.35"/>
    <n v="20"/>
    <n v="1004.01"/>
    <x v="0"/>
    <s v="Cash"/>
    <n v="7085.4000000000005"/>
    <n v="2065.3500000000004"/>
    <s v="Wednesday"/>
    <b v="0"/>
    <x v="7"/>
  </r>
  <r>
    <s v="NV1521"/>
    <d v="2025-05-12T00:00:00"/>
    <s v="ST38"/>
    <s v="South"/>
    <s v="P229"/>
    <s v="Shoes"/>
    <n v="5"/>
    <n v="2311.29"/>
    <n v="10"/>
    <n v="1087.26"/>
    <x v="0"/>
    <s v="Digital"/>
    <n v="10400.805"/>
    <n v="4964.5050000000001"/>
    <s v="Monday"/>
    <b v="0"/>
    <x v="9"/>
  </r>
  <r>
    <s v="NV1522"/>
    <d v="2024-07-16T00:00:00"/>
    <s v="ST50"/>
    <s v="East"/>
    <s v="P96"/>
    <s v="Clothing"/>
    <n v="5"/>
    <n v="2173.36"/>
    <n v="30"/>
    <n v="959.83"/>
    <x v="1"/>
    <s v="Digital"/>
    <n v="7606.76"/>
    <n v="2807.6099999999997"/>
    <s v="Tuesday"/>
    <b v="0"/>
    <x v="4"/>
  </r>
  <r>
    <s v="NV1523"/>
    <d v="2025-09-04T00:00:00"/>
    <s v="ST60"/>
    <s v="North"/>
    <s v="P238"/>
    <s v="Shoes"/>
    <n v="2"/>
    <n v="1040.53"/>
    <n v="15"/>
    <n v="692.76"/>
    <x v="0"/>
    <s v="Digital"/>
    <n v="1768.9009999999998"/>
    <n v="383.38099999999986"/>
    <s v="Thursday"/>
    <b v="0"/>
    <x v="6"/>
  </r>
  <r>
    <s v="NV1524"/>
    <d v="2025-03-06T00:00:00"/>
    <s v="ST55"/>
    <s v="South"/>
    <s v="P177"/>
    <s v="Clothing"/>
    <n v="5"/>
    <n v="1314.3"/>
    <n v="0"/>
    <n v="723.99"/>
    <x v="1"/>
    <s v="Cash"/>
    <n v="6571.5"/>
    <n v="2951.55"/>
    <s v="Thursday"/>
    <b v="0"/>
    <x v="7"/>
  </r>
  <r>
    <s v="NV1525"/>
    <d v="2025-11-01T00:00:00"/>
    <s v="ST30"/>
    <s v="East"/>
    <s v="P128"/>
    <s v="Clothing"/>
    <n v="5"/>
    <n v="2436.84"/>
    <n v="25"/>
    <n v="1505.83"/>
    <x v="1"/>
    <s v="Card"/>
    <n v="9138.1500000000015"/>
    <n v="1609.0000000000018"/>
    <s v="Saturday"/>
    <b v="1"/>
    <x v="1"/>
  </r>
  <r>
    <s v="NV1526"/>
    <d v="2024-11-18T00:00:00"/>
    <s v="ST8"/>
    <s v="West"/>
    <s v="P217"/>
    <s v="Clothing"/>
    <n v="4"/>
    <n v="1706.16"/>
    <n v="10"/>
    <n v="880.51"/>
    <x v="1"/>
    <s v="Digital"/>
    <n v="6142.1760000000004"/>
    <n v="2620.1360000000004"/>
    <s v="Monday"/>
    <b v="0"/>
    <x v="1"/>
  </r>
  <r>
    <s v="NV1527"/>
    <d v="2024-03-20T00:00:00"/>
    <s v="ST1"/>
    <s v="North"/>
    <s v="P33"/>
    <s v="Shoes"/>
    <n v="4"/>
    <n v="344.37"/>
    <n v="5"/>
    <n v="157.69999999999999"/>
    <x v="1"/>
    <s v="Digital"/>
    <n v="1308.606"/>
    <n v="677.80600000000004"/>
    <s v="Wednesday"/>
    <b v="0"/>
    <x v="7"/>
  </r>
  <r>
    <s v="NV1528"/>
    <d v="2024-01-09T00:00:00"/>
    <s v="ST18"/>
    <s v="East"/>
    <s v="P105"/>
    <s v="Shoes"/>
    <n v="4"/>
    <n v="2258.81"/>
    <n v="5"/>
    <n v="1079.08"/>
    <x v="0"/>
    <s v="Cash"/>
    <n v="8583.4779999999992"/>
    <n v="4267.1579999999994"/>
    <s v="Tuesday"/>
    <b v="0"/>
    <x v="10"/>
  </r>
  <r>
    <s v="NV1529"/>
    <d v="2024-04-17T00:00:00"/>
    <s v="ST53"/>
    <s v="North"/>
    <s v="P257"/>
    <s v="Accessories"/>
    <n v="2"/>
    <n v="2570.1799999999998"/>
    <n v="5"/>
    <n v="1066.45"/>
    <x v="0"/>
    <s v="Card"/>
    <n v="4883.3419999999996"/>
    <n v="2750.4419999999996"/>
    <s v="Wednesday"/>
    <b v="0"/>
    <x v="8"/>
  </r>
  <r>
    <s v="NV1530"/>
    <d v="2025-05-08T00:00:00"/>
    <s v="ST30"/>
    <s v="South"/>
    <s v="P35"/>
    <s v="Clothing"/>
    <n v="5"/>
    <n v="1979.16"/>
    <n v="10"/>
    <n v="1000.1"/>
    <x v="1"/>
    <s v="Card"/>
    <n v="8906.2200000000012"/>
    <n v="3905.7200000000012"/>
    <s v="Thursday"/>
    <b v="0"/>
    <x v="9"/>
  </r>
  <r>
    <s v="NV1531"/>
    <d v="2025-05-30T00:00:00"/>
    <s v="ST26"/>
    <s v="South"/>
    <s v="P42"/>
    <s v="Clothing"/>
    <n v="4"/>
    <n v="944.47"/>
    <n v="30"/>
    <n v="576.46"/>
    <x v="1"/>
    <s v="Digital"/>
    <n v="2644.5160000000001"/>
    <n v="338.67599999999993"/>
    <s v="Friday"/>
    <b v="0"/>
    <x v="9"/>
  </r>
  <r>
    <s v="NV1532"/>
    <d v="2025-08-19T00:00:00"/>
    <s v="ST24"/>
    <s v="West"/>
    <s v="P256"/>
    <s v="Clothing"/>
    <n v="1"/>
    <n v="717.32"/>
    <n v="10"/>
    <n v="384.22"/>
    <x v="1"/>
    <s v="Card"/>
    <n v="645.58800000000008"/>
    <n v="261.36800000000005"/>
    <s v="Tuesday"/>
    <b v="0"/>
    <x v="5"/>
  </r>
  <r>
    <s v="NV1533"/>
    <d v="2024-02-18T00:00:00"/>
    <s v="ST37"/>
    <s v="East"/>
    <s v="P216"/>
    <s v="Shoes"/>
    <n v="5"/>
    <n v="1957.3"/>
    <n v="10"/>
    <n v="834.41"/>
    <x v="1"/>
    <s v="Cash"/>
    <n v="8807.85"/>
    <n v="4635.8"/>
    <s v="Sunday"/>
    <b v="1"/>
    <x v="3"/>
  </r>
  <r>
    <s v="NV1534"/>
    <d v="2024-05-21T00:00:00"/>
    <s v="ST5"/>
    <s v="East"/>
    <s v="P253"/>
    <s v="Accessories"/>
    <n v="1"/>
    <n v="2562.61"/>
    <n v="30"/>
    <n v="1494.27"/>
    <x v="0"/>
    <s v="Card"/>
    <n v="1793.827"/>
    <n v="299.55700000000002"/>
    <s v="Tuesday"/>
    <b v="0"/>
    <x v="9"/>
  </r>
  <r>
    <s v="NV1535"/>
    <d v="2024-04-11T00:00:00"/>
    <s v="ST39"/>
    <s v="East"/>
    <s v="P70"/>
    <s v="Accessories"/>
    <n v="2"/>
    <n v="1117.79"/>
    <n v="15"/>
    <n v="629.19000000000005"/>
    <x v="1"/>
    <s v="Card"/>
    <n v="1900.2429999999999"/>
    <n v="641.86299999999983"/>
    <s v="Thursday"/>
    <b v="0"/>
    <x v="8"/>
  </r>
  <r>
    <s v="NV1536"/>
    <d v="2025-06-01T00:00:00"/>
    <s v="ST10"/>
    <s v="North"/>
    <s v="P203"/>
    <s v="Accessories"/>
    <n v="5"/>
    <n v="1080.46"/>
    <n v="0"/>
    <n v="705.89"/>
    <x v="0"/>
    <s v="Cash"/>
    <n v="5402.3"/>
    <n v="1872.8500000000004"/>
    <s v="Sunday"/>
    <b v="1"/>
    <x v="0"/>
  </r>
  <r>
    <s v="NV1537"/>
    <d v="2025-10-03T00:00:00"/>
    <s v="ST12"/>
    <s v="West"/>
    <s v="P167"/>
    <s v="Shoes"/>
    <n v="4"/>
    <n v="1312.72"/>
    <n v="15"/>
    <n v="857.2"/>
    <x v="0"/>
    <s v="Digital"/>
    <n v="4463.2479999999996"/>
    <n v="1034.4479999999994"/>
    <s v="Friday"/>
    <b v="0"/>
    <x v="2"/>
  </r>
  <r>
    <s v="NV1538"/>
    <d v="2024-05-04T00:00:00"/>
    <s v="ST51"/>
    <s v="North"/>
    <s v="P187"/>
    <s v="Clothing"/>
    <n v="3"/>
    <n v="2057.2800000000002"/>
    <n v="0"/>
    <n v="1234.02"/>
    <x v="1"/>
    <s v="Digital"/>
    <n v="6171.84"/>
    <n v="2469.7800000000002"/>
    <s v="Saturday"/>
    <b v="1"/>
    <x v="9"/>
  </r>
  <r>
    <s v="NV1539"/>
    <d v="2025-07-27T00:00:00"/>
    <s v="ST43"/>
    <s v="South"/>
    <s v="P42"/>
    <s v="Clothing"/>
    <n v="3"/>
    <n v="2096.91"/>
    <n v="20"/>
    <n v="1200.5999999999999"/>
    <x v="1"/>
    <s v="Cash"/>
    <n v="5032.5839999999998"/>
    <n v="1430.7840000000001"/>
    <s v="Sunday"/>
    <b v="1"/>
    <x v="4"/>
  </r>
  <r>
    <s v="NV1540"/>
    <d v="2024-09-30T00:00:00"/>
    <s v="ST54"/>
    <s v="North"/>
    <s v="P239"/>
    <s v="Accessories"/>
    <n v="3"/>
    <n v="1690.24"/>
    <n v="20"/>
    <n v="782.75"/>
    <x v="1"/>
    <s v="Cash"/>
    <n v="4056.5760000000005"/>
    <n v="1708.3260000000005"/>
    <s v="Monday"/>
    <b v="0"/>
    <x v="6"/>
  </r>
  <r>
    <s v="NV1541"/>
    <d v="2024-06-19T00:00:00"/>
    <s v="ST9"/>
    <s v="North"/>
    <s v="P238"/>
    <s v="Accessories"/>
    <n v="2"/>
    <n v="2401.4899999999998"/>
    <n v="25"/>
    <n v="1285.48"/>
    <x v="1"/>
    <s v="Card"/>
    <n v="3602.2349999999997"/>
    <n v="1031.2749999999996"/>
    <s v="Wednesday"/>
    <b v="0"/>
    <x v="0"/>
  </r>
  <r>
    <s v="NV1542"/>
    <d v="2025-07-10T00:00:00"/>
    <s v="ST21"/>
    <s v="South"/>
    <s v="P126"/>
    <s v="Clothing"/>
    <n v="2"/>
    <n v="1693.36"/>
    <n v="0"/>
    <n v="977.1"/>
    <x v="1"/>
    <s v="Digital"/>
    <n v="3386.72"/>
    <n v="1432.5199999999998"/>
    <s v="Thursday"/>
    <b v="0"/>
    <x v="4"/>
  </r>
  <r>
    <s v="NV1543"/>
    <d v="2025-02-26T00:00:00"/>
    <s v="ST60"/>
    <s v="South"/>
    <s v="P17"/>
    <s v="Accessories"/>
    <n v="5"/>
    <n v="2424.12"/>
    <n v="25"/>
    <n v="1572.34"/>
    <x v="1"/>
    <s v="Cash"/>
    <n v="9090.4499999999989"/>
    <n v="1228.7499999999991"/>
    <s v="Wednesday"/>
    <b v="0"/>
    <x v="3"/>
  </r>
  <r>
    <s v="NV1544"/>
    <d v="2025-04-06T00:00:00"/>
    <s v="ST20"/>
    <s v="North"/>
    <s v="P266"/>
    <s v="Shoes"/>
    <n v="1"/>
    <n v="2833.27"/>
    <n v="15"/>
    <n v="1812.97"/>
    <x v="1"/>
    <s v="Digital"/>
    <n v="2408.2795000000001"/>
    <n v="595.30950000000007"/>
    <s v="Sunday"/>
    <b v="1"/>
    <x v="8"/>
  </r>
  <r>
    <s v="NV1545"/>
    <d v="2024-10-20T00:00:00"/>
    <s v="ST47"/>
    <s v="South"/>
    <s v="P235"/>
    <s v="Accessories"/>
    <n v="5"/>
    <n v="1559.5"/>
    <n v="10"/>
    <n v="719.84"/>
    <x v="0"/>
    <s v="Digital"/>
    <n v="7017.75"/>
    <n v="3418.5499999999997"/>
    <s v="Sunday"/>
    <b v="1"/>
    <x v="2"/>
  </r>
  <r>
    <s v="NV1546"/>
    <d v="2024-02-16T00:00:00"/>
    <s v="ST27"/>
    <s v="North"/>
    <s v="P227"/>
    <s v="Shoes"/>
    <n v="5"/>
    <n v="2068.4499999999998"/>
    <n v="5"/>
    <n v="864.62"/>
    <x v="0"/>
    <s v="Card"/>
    <n v="9825.1374999999989"/>
    <n v="5502.0374999999985"/>
    <s v="Friday"/>
    <b v="0"/>
    <x v="3"/>
  </r>
  <r>
    <s v="NV1547"/>
    <d v="2024-08-27T00:00:00"/>
    <s v="ST25"/>
    <s v="South"/>
    <s v="P181"/>
    <s v="Clothing"/>
    <n v="1"/>
    <n v="1728.13"/>
    <n v="5"/>
    <n v="1087.83"/>
    <x v="1"/>
    <s v="Digital"/>
    <n v="1641.7235000000001"/>
    <n v="553.89350000000013"/>
    <s v="Tuesday"/>
    <b v="0"/>
    <x v="5"/>
  </r>
  <r>
    <s v="NV1548"/>
    <d v="2024-03-18T00:00:00"/>
    <s v="ST37"/>
    <s v="North"/>
    <s v="P74"/>
    <s v="Shoes"/>
    <n v="4"/>
    <n v="319.68"/>
    <n v="5"/>
    <n v="142.94999999999999"/>
    <x v="1"/>
    <s v="Digital"/>
    <n v="1214.7839999999999"/>
    <n v="642.98399999999992"/>
    <s v="Monday"/>
    <b v="0"/>
    <x v="7"/>
  </r>
  <r>
    <s v="NV1549"/>
    <d v="2024-04-07T00:00:00"/>
    <s v="ST13"/>
    <s v="South"/>
    <s v="P43"/>
    <s v="Accessories"/>
    <n v="2"/>
    <n v="2543.44"/>
    <n v="20"/>
    <n v="1220.22"/>
    <x v="0"/>
    <s v="Card"/>
    <n v="4069.5040000000004"/>
    <n v="1629.0640000000003"/>
    <s v="Sunday"/>
    <b v="1"/>
    <x v="8"/>
  </r>
  <r>
    <s v="NV1550"/>
    <d v="2025-09-01T00:00:00"/>
    <s v="ST44"/>
    <s v="South"/>
    <s v="P230"/>
    <s v="Shoes"/>
    <n v="1"/>
    <n v="1962.06"/>
    <n v="15"/>
    <n v="1042.46"/>
    <x v="1"/>
    <s v="Cash"/>
    <n v="1667.751"/>
    <n v="625.29099999999994"/>
    <s v="Monday"/>
    <b v="0"/>
    <x v="6"/>
  </r>
  <r>
    <s v="NV1551"/>
    <d v="2024-06-10T00:00:00"/>
    <s v="ST32"/>
    <s v="South"/>
    <s v="P61"/>
    <s v="Clothing"/>
    <n v="3"/>
    <n v="2634.14"/>
    <n v="15"/>
    <n v="1778.17"/>
    <x v="1"/>
    <s v="Cash"/>
    <n v="6717.0569999999998"/>
    <n v="1382.5469999999996"/>
    <s v="Monday"/>
    <b v="0"/>
    <x v="0"/>
  </r>
  <r>
    <s v="NV1552"/>
    <d v="2025-11-03T00:00:00"/>
    <s v="ST59"/>
    <s v="North"/>
    <s v="P264"/>
    <s v="Clothing"/>
    <n v="4"/>
    <n v="1588.42"/>
    <n v="5"/>
    <n v="762.35"/>
    <x v="0"/>
    <s v="Cash"/>
    <n v="6035.9960000000001"/>
    <n v="2986.596"/>
    <s v="Monday"/>
    <b v="0"/>
    <x v="1"/>
  </r>
  <r>
    <s v="NV1553"/>
    <d v="2024-03-16T00:00:00"/>
    <s v="ST25"/>
    <s v="West"/>
    <s v="P113"/>
    <s v="Shoes"/>
    <n v="2"/>
    <n v="1365.66"/>
    <n v="30"/>
    <n v="879.13"/>
    <x v="0"/>
    <s v="Card"/>
    <n v="1911.924"/>
    <n v="153.66399999999999"/>
    <s v="Saturday"/>
    <b v="1"/>
    <x v="7"/>
  </r>
  <r>
    <s v="NV1554"/>
    <d v="2025-10-19T00:00:00"/>
    <s v="ST18"/>
    <s v="West"/>
    <s v="P209"/>
    <s v="Accessories"/>
    <n v="5"/>
    <n v="2806.46"/>
    <n v="10"/>
    <n v="1662.49"/>
    <x v="1"/>
    <s v="Card"/>
    <n v="12629.07"/>
    <n v="4316.619999999999"/>
    <s v="Sunday"/>
    <b v="1"/>
    <x v="2"/>
  </r>
  <r>
    <s v="NV1555"/>
    <d v="2024-08-09T00:00:00"/>
    <s v="ST24"/>
    <s v="South"/>
    <s v="P67"/>
    <s v="Accessories"/>
    <n v="1"/>
    <n v="2023.05"/>
    <n v="0"/>
    <n v="874.89"/>
    <x v="0"/>
    <s v="Card"/>
    <n v="2023.05"/>
    <n v="1148.1599999999999"/>
    <s v="Friday"/>
    <b v="0"/>
    <x v="5"/>
  </r>
  <r>
    <s v="NV1556"/>
    <d v="2025-07-04T00:00:00"/>
    <s v="ST16"/>
    <s v="East"/>
    <s v="P209"/>
    <s v="Shoes"/>
    <n v="2"/>
    <n v="970.76"/>
    <n v="25"/>
    <n v="585.92999999999995"/>
    <x v="0"/>
    <s v="Cash"/>
    <n v="1456.1399999999999"/>
    <n v="284.27999999999997"/>
    <s v="Friday"/>
    <b v="0"/>
    <x v="4"/>
  </r>
  <r>
    <s v="NV1557"/>
    <d v="2025-08-17T00:00:00"/>
    <s v="ST32"/>
    <s v="West"/>
    <s v="P108"/>
    <s v="Shoes"/>
    <n v="5"/>
    <n v="2822.14"/>
    <n v="15"/>
    <n v="1603.15"/>
    <x v="1"/>
    <s v="Card"/>
    <n v="11994.094999999999"/>
    <n v="3978.3449999999993"/>
    <s v="Sunday"/>
    <b v="1"/>
    <x v="5"/>
  </r>
  <r>
    <s v="NV1558"/>
    <d v="2024-04-20T00:00:00"/>
    <s v="ST5"/>
    <s v="South"/>
    <s v="P150"/>
    <s v="Shoes"/>
    <n v="2"/>
    <n v="641.94000000000005"/>
    <n v="5"/>
    <n v="292.68"/>
    <x v="0"/>
    <s v="Digital"/>
    <n v="1219.6860000000001"/>
    <n v="634.32600000000014"/>
    <s v="Saturday"/>
    <b v="1"/>
    <x v="8"/>
  </r>
  <r>
    <s v="NV1559"/>
    <d v="2024-11-06T00:00:00"/>
    <s v="ST49"/>
    <s v="East"/>
    <s v="P258"/>
    <s v="Shoes"/>
    <n v="4"/>
    <n v="2480.2800000000002"/>
    <n v="20"/>
    <n v="1374.82"/>
    <x v="1"/>
    <s v="Cash"/>
    <n v="7936.8960000000006"/>
    <n v="2437.6160000000009"/>
    <s v="Wednesday"/>
    <b v="0"/>
    <x v="1"/>
  </r>
  <r>
    <s v="NV1560"/>
    <d v="2025-03-31T00:00:00"/>
    <s v="ST33"/>
    <s v="North"/>
    <s v="P143"/>
    <s v="Shoes"/>
    <n v="5"/>
    <n v="1872.19"/>
    <n v="30"/>
    <n v="882.28"/>
    <x v="1"/>
    <s v="Cash"/>
    <n v="6552.665"/>
    <n v="2141.2650000000003"/>
    <s v="Monday"/>
    <b v="0"/>
    <x v="7"/>
  </r>
  <r>
    <s v="NV1561"/>
    <d v="2024-05-08T00:00:00"/>
    <s v="ST52"/>
    <s v="North"/>
    <s v="P111"/>
    <s v="Accessories"/>
    <n v="1"/>
    <n v="984.11"/>
    <n v="20"/>
    <n v="585.39"/>
    <x v="1"/>
    <s v="Digital"/>
    <n v="787.28800000000001"/>
    <n v="201.89800000000002"/>
    <s v="Wednesday"/>
    <b v="0"/>
    <x v="9"/>
  </r>
  <r>
    <s v="NV1562"/>
    <d v="2025-07-30T00:00:00"/>
    <s v="ST49"/>
    <s v="North"/>
    <s v="P46"/>
    <s v="Accessories"/>
    <n v="2"/>
    <n v="2745.92"/>
    <n v="25"/>
    <n v="1840.65"/>
    <x v="1"/>
    <s v="Cash"/>
    <n v="4118.88"/>
    <n v="437.57999999999993"/>
    <s v="Wednesday"/>
    <b v="0"/>
    <x v="4"/>
  </r>
  <r>
    <s v="NV1563"/>
    <d v="2024-11-20T00:00:00"/>
    <s v="ST23"/>
    <s v="South"/>
    <s v="P75"/>
    <s v="Clothing"/>
    <n v="1"/>
    <n v="1463.04"/>
    <n v="5"/>
    <n v="1017.53"/>
    <x v="0"/>
    <s v="Digital"/>
    <n v="1389.8879999999999"/>
    <n v="372.35799999999995"/>
    <s v="Wednesday"/>
    <b v="0"/>
    <x v="1"/>
  </r>
  <r>
    <s v="NV1564"/>
    <d v="2025-06-09T00:00:00"/>
    <s v="ST21"/>
    <s v="West"/>
    <s v="P45"/>
    <s v="Accessories"/>
    <n v="3"/>
    <n v="318.55"/>
    <n v="0"/>
    <n v="136.04"/>
    <x v="1"/>
    <s v="Cash"/>
    <n v="955.65000000000009"/>
    <n v="547.53000000000009"/>
    <s v="Monday"/>
    <b v="0"/>
    <x v="0"/>
  </r>
  <r>
    <s v="NV1565"/>
    <d v="2025-03-25T00:00:00"/>
    <s v="ST21"/>
    <s v="South"/>
    <s v="P209"/>
    <s v="Accessories"/>
    <n v="5"/>
    <n v="2985.54"/>
    <n v="10"/>
    <n v="1422.3"/>
    <x v="1"/>
    <s v="Cash"/>
    <n v="13434.93"/>
    <n v="6323.43"/>
    <s v="Tuesday"/>
    <b v="0"/>
    <x v="7"/>
  </r>
  <r>
    <s v="NV1566"/>
    <d v="2024-09-06T00:00:00"/>
    <s v="ST35"/>
    <s v="West"/>
    <s v="P189"/>
    <s v="Shoes"/>
    <n v="3"/>
    <n v="822.98"/>
    <n v="5"/>
    <n v="362.14"/>
    <x v="0"/>
    <s v="Cash"/>
    <n v="2345.4929999999999"/>
    <n v="1259.0729999999999"/>
    <s v="Friday"/>
    <b v="0"/>
    <x v="6"/>
  </r>
  <r>
    <s v="NV1567"/>
    <d v="2024-12-28T00:00:00"/>
    <s v="ST10"/>
    <s v="North"/>
    <s v="P142"/>
    <s v="Accessories"/>
    <n v="4"/>
    <n v="707.16"/>
    <n v="30"/>
    <n v="468.15"/>
    <x v="1"/>
    <s v="Cash"/>
    <n v="1980.0479999999998"/>
    <n v="107.44799999999987"/>
    <s v="Saturday"/>
    <b v="1"/>
    <x v="11"/>
  </r>
  <r>
    <s v="NV1568"/>
    <d v="2025-06-20T00:00:00"/>
    <s v="ST57"/>
    <s v="North"/>
    <s v="P166"/>
    <s v="Shoes"/>
    <n v="5"/>
    <n v="970.13"/>
    <n v="25"/>
    <n v="436.46"/>
    <x v="0"/>
    <s v="Digital"/>
    <n v="3637.9874999999997"/>
    <n v="1455.6875"/>
    <s v="Friday"/>
    <b v="0"/>
    <x v="0"/>
  </r>
  <r>
    <s v="NV1569"/>
    <d v="2025-01-22T00:00:00"/>
    <s v="ST9"/>
    <s v="South"/>
    <s v="P126"/>
    <s v="Clothing"/>
    <n v="3"/>
    <n v="2507.4899999999998"/>
    <n v="5"/>
    <n v="1526.49"/>
    <x v="0"/>
    <s v="Cash"/>
    <n v="7146.3464999999987"/>
    <n v="2566.8764999999985"/>
    <s v="Wednesday"/>
    <b v="0"/>
    <x v="10"/>
  </r>
  <r>
    <s v="NV1570"/>
    <d v="2025-07-19T00:00:00"/>
    <s v="ST58"/>
    <s v="South"/>
    <s v="P37"/>
    <s v="Shoes"/>
    <n v="5"/>
    <n v="2846.88"/>
    <n v="30"/>
    <n v="1267.3900000000001"/>
    <x v="1"/>
    <s v="Card"/>
    <n v="9964.08"/>
    <n v="3627.1299999999992"/>
    <s v="Saturday"/>
    <b v="1"/>
    <x v="4"/>
  </r>
  <r>
    <s v="NV1571"/>
    <d v="2024-01-19T00:00:00"/>
    <s v="ST18"/>
    <s v="East"/>
    <s v="P208"/>
    <s v="Accessories"/>
    <n v="4"/>
    <n v="2127.34"/>
    <n v="25"/>
    <n v="1409"/>
    <x v="0"/>
    <s v="Card"/>
    <n v="6382.02"/>
    <n v="746.02000000000044"/>
    <s v="Friday"/>
    <b v="0"/>
    <x v="10"/>
  </r>
  <r>
    <s v="NV1572"/>
    <d v="2025-03-21T00:00:00"/>
    <s v="ST19"/>
    <s v="North"/>
    <s v="P241"/>
    <s v="Clothing"/>
    <n v="4"/>
    <n v="849.08"/>
    <n v="15"/>
    <n v="487.83"/>
    <x v="1"/>
    <s v="Digital"/>
    <n v="2886.8719999999998"/>
    <n v="935.55199999999991"/>
    <s v="Friday"/>
    <b v="0"/>
    <x v="7"/>
  </r>
  <r>
    <s v="NV1573"/>
    <d v="2024-10-13T00:00:00"/>
    <s v="ST19"/>
    <s v="South"/>
    <s v="P6"/>
    <s v="Accessories"/>
    <n v="3"/>
    <n v="1353.9"/>
    <n v="15"/>
    <n v="603.21"/>
    <x v="0"/>
    <s v="Digital"/>
    <n v="3452.4450000000002"/>
    <n v="1642.8150000000001"/>
    <s v="Sunday"/>
    <b v="1"/>
    <x v="2"/>
  </r>
  <r>
    <s v="NV1574"/>
    <d v="2025-01-09T00:00:00"/>
    <s v="ST54"/>
    <s v="West"/>
    <s v="P276"/>
    <s v="Clothing"/>
    <n v="4"/>
    <n v="1927.5"/>
    <n v="5"/>
    <n v="1003.4"/>
    <x v="0"/>
    <s v="Cash"/>
    <n v="7324.5"/>
    <n v="3310.9"/>
    <s v="Thursday"/>
    <b v="0"/>
    <x v="10"/>
  </r>
  <r>
    <s v="NV1575"/>
    <d v="2025-10-25T00:00:00"/>
    <s v="ST32"/>
    <s v="East"/>
    <s v="P257"/>
    <s v="Shoes"/>
    <n v="5"/>
    <n v="533.30999999999995"/>
    <n v="10"/>
    <n v="250.4"/>
    <x v="1"/>
    <s v="Digital"/>
    <n v="2399.895"/>
    <n v="1147.895"/>
    <s v="Saturday"/>
    <b v="1"/>
    <x v="2"/>
  </r>
  <r>
    <s v="NV1576"/>
    <d v="2025-04-20T00:00:00"/>
    <s v="ST12"/>
    <s v="North"/>
    <s v="P270"/>
    <s v="Clothing"/>
    <n v="5"/>
    <n v="348.07"/>
    <n v="5"/>
    <n v="225.07"/>
    <x v="0"/>
    <s v="Digital"/>
    <n v="1653.3324999999998"/>
    <n v="527.98249999999985"/>
    <s v="Sunday"/>
    <b v="1"/>
    <x v="8"/>
  </r>
  <r>
    <s v="NV1577"/>
    <d v="2024-04-14T00:00:00"/>
    <s v="ST41"/>
    <s v="East"/>
    <s v="P285"/>
    <s v="Shoes"/>
    <n v="5"/>
    <n v="830.91"/>
    <n v="10"/>
    <n v="453.2"/>
    <x v="0"/>
    <s v="Digital"/>
    <n v="3739.0950000000003"/>
    <n v="1473.0950000000003"/>
    <s v="Sunday"/>
    <b v="1"/>
    <x v="8"/>
  </r>
  <r>
    <s v="NV1578"/>
    <d v="2024-05-07T00:00:00"/>
    <s v="ST16"/>
    <s v="West"/>
    <s v="P21"/>
    <s v="Accessories"/>
    <n v="1"/>
    <n v="2079.37"/>
    <n v="15"/>
    <n v="1093.98"/>
    <x v="0"/>
    <s v="Card"/>
    <n v="1767.4644999999998"/>
    <n v="673.4844999999998"/>
    <s v="Tuesday"/>
    <b v="0"/>
    <x v="9"/>
  </r>
  <r>
    <s v="NV1579"/>
    <d v="2025-06-17T00:00:00"/>
    <s v="ST49"/>
    <s v="North"/>
    <s v="P56"/>
    <s v="Accessories"/>
    <n v="1"/>
    <n v="2137.9499999999998"/>
    <n v="5"/>
    <n v="953.81"/>
    <x v="0"/>
    <s v="Card"/>
    <n v="2031.0524999999998"/>
    <n v="1077.2424999999998"/>
    <s v="Tuesday"/>
    <b v="0"/>
    <x v="0"/>
  </r>
  <r>
    <s v="NV1580"/>
    <d v="2024-09-16T00:00:00"/>
    <s v="ST12"/>
    <s v="East"/>
    <s v="P31"/>
    <s v="Accessories"/>
    <n v="3"/>
    <n v="2092.54"/>
    <n v="25"/>
    <n v="1284.98"/>
    <x v="0"/>
    <s v="Cash"/>
    <n v="4708.2150000000001"/>
    <n v="853.27500000000009"/>
    <s v="Monday"/>
    <b v="0"/>
    <x v="6"/>
  </r>
  <r>
    <s v="NV1581"/>
    <d v="2025-11-20T00:00:00"/>
    <s v="ST39"/>
    <s v="East"/>
    <s v="P55"/>
    <s v="Accessories"/>
    <n v="4"/>
    <n v="2366.02"/>
    <n v="10"/>
    <n v="1007.79"/>
    <x v="1"/>
    <s v="Card"/>
    <n v="8517.6720000000005"/>
    <n v="4486.5120000000006"/>
    <s v="Thursday"/>
    <b v="0"/>
    <x v="1"/>
  </r>
  <r>
    <s v="NV1582"/>
    <d v="2024-08-01T00:00:00"/>
    <s v="ST2"/>
    <s v="East"/>
    <s v="P277"/>
    <s v="Shoes"/>
    <n v="5"/>
    <n v="2332.66"/>
    <n v="15"/>
    <n v="1021.85"/>
    <x v="1"/>
    <s v="Digital"/>
    <n v="9913.8049999999985"/>
    <n v="4804.5549999999985"/>
    <s v="Thursday"/>
    <b v="0"/>
    <x v="5"/>
  </r>
  <r>
    <s v="NV1583"/>
    <d v="2024-01-03T00:00:00"/>
    <s v="ST51"/>
    <s v="South"/>
    <s v="P136"/>
    <s v="Accessories"/>
    <n v="2"/>
    <n v="1795.57"/>
    <n v="0"/>
    <n v="866.87"/>
    <x v="1"/>
    <s v="Cash"/>
    <n v="3591.14"/>
    <n v="1857.3999999999999"/>
    <s v="Wednesday"/>
    <b v="0"/>
    <x v="10"/>
  </r>
  <r>
    <s v="NV1584"/>
    <d v="2024-03-11T00:00:00"/>
    <s v="ST51"/>
    <s v="West"/>
    <s v="P226"/>
    <s v="Accessories"/>
    <n v="5"/>
    <n v="986.27"/>
    <n v="5"/>
    <n v="402.6"/>
    <x v="0"/>
    <s v="Cash"/>
    <n v="4684.7825000000003"/>
    <n v="2671.7825000000003"/>
    <s v="Monday"/>
    <b v="0"/>
    <x v="7"/>
  </r>
  <r>
    <s v="NV1585"/>
    <d v="2024-03-29T00:00:00"/>
    <s v="ST45"/>
    <s v="West"/>
    <s v="P66"/>
    <s v="Clothing"/>
    <n v="1"/>
    <n v="1843.85"/>
    <n v="15"/>
    <n v="1248.97"/>
    <x v="0"/>
    <s v="Digital"/>
    <n v="1567.2724999999998"/>
    <n v="318.30249999999978"/>
    <s v="Friday"/>
    <b v="0"/>
    <x v="7"/>
  </r>
  <r>
    <s v="NV1586"/>
    <d v="2024-09-25T00:00:00"/>
    <s v="ST20"/>
    <s v="West"/>
    <s v="P97"/>
    <s v="Shoes"/>
    <n v="5"/>
    <n v="2390.67"/>
    <n v="0"/>
    <n v="1326.87"/>
    <x v="1"/>
    <s v="Cash"/>
    <n v="11953.35"/>
    <n v="5319.0000000000009"/>
    <s v="Wednesday"/>
    <b v="0"/>
    <x v="6"/>
  </r>
  <r>
    <s v="NV1587"/>
    <d v="2024-10-09T00:00:00"/>
    <s v="ST13"/>
    <s v="West"/>
    <s v="P142"/>
    <s v="Shoes"/>
    <n v="5"/>
    <n v="735.78"/>
    <n v="0"/>
    <n v="387.8"/>
    <x v="0"/>
    <s v="Cash"/>
    <n v="3678.8999999999996"/>
    <n v="1739.8999999999996"/>
    <s v="Wednesday"/>
    <b v="0"/>
    <x v="2"/>
  </r>
  <r>
    <s v="NV1588"/>
    <d v="2024-07-25T00:00:00"/>
    <s v="ST44"/>
    <s v="East"/>
    <s v="P93"/>
    <s v="Accessories"/>
    <n v="1"/>
    <n v="1038.95"/>
    <n v="10"/>
    <n v="682.07"/>
    <x v="1"/>
    <s v="Card"/>
    <n v="935.05500000000006"/>
    <n v="252.98500000000001"/>
    <s v="Thursday"/>
    <b v="0"/>
    <x v="4"/>
  </r>
  <r>
    <s v="NV1589"/>
    <d v="2025-11-05T00:00:00"/>
    <s v="ST16"/>
    <s v="East"/>
    <s v="P85"/>
    <s v="Accessories"/>
    <n v="4"/>
    <n v="1166.23"/>
    <n v="10"/>
    <n v="652.49"/>
    <x v="0"/>
    <s v="Card"/>
    <n v="4198.4279999999999"/>
    <n v="1588.4679999999998"/>
    <s v="Wednesday"/>
    <b v="0"/>
    <x v="1"/>
  </r>
  <r>
    <s v="NV1590"/>
    <d v="2024-10-06T00:00:00"/>
    <s v="ST33"/>
    <s v="South"/>
    <s v="P178"/>
    <s v="Accessories"/>
    <n v="5"/>
    <n v="2208.2199999999998"/>
    <n v="25"/>
    <n v="1376.6"/>
    <x v="1"/>
    <s v="Digital"/>
    <n v="8280.8249999999989"/>
    <n v="1397.8249999999989"/>
    <s v="Sunday"/>
    <b v="1"/>
    <x v="2"/>
  </r>
  <r>
    <s v="NV1591"/>
    <d v="2025-04-12T00:00:00"/>
    <s v="ST58"/>
    <s v="North"/>
    <s v="P52"/>
    <s v="Clothing"/>
    <n v="4"/>
    <n v="2980.34"/>
    <n v="5"/>
    <n v="1758.68"/>
    <x v="1"/>
    <s v="Cash"/>
    <n v="11325.291999999999"/>
    <n v="4290.5719999999992"/>
    <s v="Saturday"/>
    <b v="1"/>
    <x v="8"/>
  </r>
  <r>
    <s v="NV1592"/>
    <d v="2024-06-18T00:00:00"/>
    <s v="ST22"/>
    <s v="North"/>
    <s v="P75"/>
    <s v="Accessories"/>
    <n v="3"/>
    <n v="1183.52"/>
    <n v="10"/>
    <n v="696.42"/>
    <x v="1"/>
    <s v="Card"/>
    <n v="3195.5039999999999"/>
    <n v="1106.2440000000001"/>
    <s v="Tuesday"/>
    <b v="0"/>
    <x v="0"/>
  </r>
  <r>
    <s v="NV1593"/>
    <d v="2024-10-05T00:00:00"/>
    <s v="ST19"/>
    <s v="South"/>
    <s v="P212"/>
    <s v="Shoes"/>
    <n v="3"/>
    <n v="1219.07"/>
    <n v="10"/>
    <n v="824.6"/>
    <x v="1"/>
    <s v="Digital"/>
    <n v="3291.489"/>
    <n v="817.68899999999985"/>
    <s v="Saturday"/>
    <b v="1"/>
    <x v="2"/>
  </r>
  <r>
    <s v="NV1594"/>
    <d v="2025-08-07T00:00:00"/>
    <s v="ST14"/>
    <s v="North"/>
    <s v="P232"/>
    <s v="Clothing"/>
    <n v="5"/>
    <n v="468.04"/>
    <n v="0"/>
    <n v="225.6"/>
    <x v="0"/>
    <s v="Digital"/>
    <n v="2340.2000000000003"/>
    <n v="1212.2000000000003"/>
    <s v="Thursday"/>
    <b v="0"/>
    <x v="5"/>
  </r>
  <r>
    <s v="NV1595"/>
    <d v="2025-10-19T00:00:00"/>
    <s v="ST15"/>
    <s v="North"/>
    <s v="P235"/>
    <s v="Accessories"/>
    <n v="3"/>
    <n v="520.78"/>
    <n v="25"/>
    <n v="307.12"/>
    <x v="0"/>
    <s v="Cash"/>
    <n v="1171.7549999999999"/>
    <n v="250.39499999999987"/>
    <s v="Sunday"/>
    <b v="1"/>
    <x v="2"/>
  </r>
  <r>
    <s v="NV1596"/>
    <d v="2025-05-08T00:00:00"/>
    <s v="ST53"/>
    <s v="East"/>
    <s v="P93"/>
    <s v="Shoes"/>
    <n v="3"/>
    <n v="1491.55"/>
    <n v="20"/>
    <n v="1003.33"/>
    <x v="0"/>
    <s v="Card"/>
    <n v="3579.72"/>
    <n v="569.72999999999956"/>
    <s v="Thursday"/>
    <b v="0"/>
    <x v="9"/>
  </r>
  <r>
    <s v="NV1597"/>
    <d v="2024-12-31T00:00:00"/>
    <s v="ST49"/>
    <s v="South"/>
    <s v="P212"/>
    <s v="Accessories"/>
    <n v="2"/>
    <n v="491.46"/>
    <n v="25"/>
    <n v="198.75"/>
    <x v="0"/>
    <s v="Cash"/>
    <n v="737.18999999999994"/>
    <n v="339.68999999999994"/>
    <s v="Tuesday"/>
    <b v="0"/>
    <x v="11"/>
  </r>
  <r>
    <s v="NV1598"/>
    <d v="2024-03-26T00:00:00"/>
    <s v="ST27"/>
    <s v="South"/>
    <s v="P158"/>
    <s v="Shoes"/>
    <n v="1"/>
    <n v="517.77"/>
    <n v="10"/>
    <n v="321.95"/>
    <x v="1"/>
    <s v="Cash"/>
    <n v="465.99299999999999"/>
    <n v="144.04300000000001"/>
    <s v="Tuesday"/>
    <b v="0"/>
    <x v="7"/>
  </r>
  <r>
    <s v="NV1599"/>
    <d v="2025-06-05T00:00:00"/>
    <s v="ST24"/>
    <s v="East"/>
    <s v="P4"/>
    <s v="Shoes"/>
    <n v="2"/>
    <n v="849.85"/>
    <n v="10"/>
    <n v="382.97"/>
    <x v="0"/>
    <s v="Card"/>
    <n v="1529.73"/>
    <n v="763.79"/>
    <s v="Thursday"/>
    <b v="0"/>
    <x v="0"/>
  </r>
  <r>
    <s v="NV1600"/>
    <d v="2024-10-14T00:00:00"/>
    <s v="ST30"/>
    <s v="East"/>
    <s v="P143"/>
    <s v="Accessories"/>
    <n v="4"/>
    <n v="2934.88"/>
    <n v="15"/>
    <n v="1578.13"/>
    <x v="0"/>
    <s v="Digital"/>
    <n v="9978.5920000000006"/>
    <n v="3666.0720000000001"/>
    <s v="Monday"/>
    <b v="0"/>
    <x v="2"/>
  </r>
  <r>
    <s v="NV1601"/>
    <d v="2024-08-21T00:00:00"/>
    <s v="ST32"/>
    <s v="North"/>
    <s v="P157"/>
    <s v="Shoes"/>
    <n v="4"/>
    <n v="2611.73"/>
    <n v="10"/>
    <n v="1364.01"/>
    <x v="1"/>
    <s v="Card"/>
    <n v="9402.228000000001"/>
    <n v="3946.188000000001"/>
    <s v="Wednesday"/>
    <b v="0"/>
    <x v="5"/>
  </r>
  <r>
    <s v="NV1602"/>
    <d v="2025-04-11T00:00:00"/>
    <s v="ST32"/>
    <s v="East"/>
    <s v="P253"/>
    <s v="Shoes"/>
    <n v="1"/>
    <n v="1239.2"/>
    <n v="0"/>
    <n v="829.37"/>
    <x v="1"/>
    <s v="Cash"/>
    <n v="1239.2"/>
    <n v="409.83000000000004"/>
    <s v="Friday"/>
    <b v="0"/>
    <x v="8"/>
  </r>
  <r>
    <s v="NV1603"/>
    <d v="2025-01-21T00:00:00"/>
    <s v="ST54"/>
    <s v="East"/>
    <s v="P251"/>
    <s v="Clothing"/>
    <n v="4"/>
    <n v="1249.55"/>
    <n v="0"/>
    <n v="685.15"/>
    <x v="1"/>
    <s v="Digital"/>
    <n v="4998.2"/>
    <n v="2257.6"/>
    <s v="Tuesday"/>
    <b v="0"/>
    <x v="10"/>
  </r>
  <r>
    <s v="NV1604"/>
    <d v="2025-07-20T00:00:00"/>
    <s v="ST12"/>
    <s v="West"/>
    <s v="P88"/>
    <s v="Accessories"/>
    <n v="4"/>
    <n v="592.66"/>
    <n v="5"/>
    <n v="326.89999999999998"/>
    <x v="1"/>
    <s v="Digital"/>
    <n v="2252.1079999999997"/>
    <n v="944.50799999999981"/>
    <s v="Sunday"/>
    <b v="1"/>
    <x v="4"/>
  </r>
  <r>
    <s v="NV1605"/>
    <d v="2024-10-17T00:00:00"/>
    <s v="ST49"/>
    <s v="East"/>
    <s v="P144"/>
    <s v="Shoes"/>
    <n v="3"/>
    <n v="1468.53"/>
    <n v="5"/>
    <n v="990.98"/>
    <x v="1"/>
    <s v="Cash"/>
    <n v="4185.3104999999996"/>
    <n v="1212.3704999999995"/>
    <s v="Thursday"/>
    <b v="0"/>
    <x v="2"/>
  </r>
  <r>
    <s v="NV1606"/>
    <d v="2025-06-15T00:00:00"/>
    <s v="ST33"/>
    <s v="East"/>
    <s v="P262"/>
    <s v="Shoes"/>
    <n v="1"/>
    <n v="1856.6"/>
    <n v="30"/>
    <n v="1240.78"/>
    <x v="1"/>
    <s v="Card"/>
    <n v="1299.6199999999999"/>
    <n v="58.839999999999918"/>
    <s v="Sunday"/>
    <b v="1"/>
    <x v="0"/>
  </r>
  <r>
    <s v="NV1607"/>
    <d v="2025-09-02T00:00:00"/>
    <s v="ST30"/>
    <s v="North"/>
    <s v="P153"/>
    <s v="Shoes"/>
    <n v="1"/>
    <n v="1854.98"/>
    <n v="25"/>
    <n v="1162.73"/>
    <x v="1"/>
    <s v="Card"/>
    <n v="1391.2350000000001"/>
    <n v="228.50500000000011"/>
    <s v="Tuesday"/>
    <b v="0"/>
    <x v="6"/>
  </r>
  <r>
    <s v="NV1608"/>
    <d v="2024-06-25T00:00:00"/>
    <s v="ST5"/>
    <s v="North"/>
    <s v="P203"/>
    <s v="Shoes"/>
    <n v="2"/>
    <n v="1069.5999999999999"/>
    <n v="10"/>
    <n v="725.64"/>
    <x v="0"/>
    <s v="Card"/>
    <n v="1925.28"/>
    <n v="474"/>
    <s v="Tuesday"/>
    <b v="0"/>
    <x v="0"/>
  </r>
  <r>
    <s v="NV1609"/>
    <d v="2025-07-03T00:00:00"/>
    <s v="ST12"/>
    <s v="South"/>
    <s v="P121"/>
    <s v="Clothing"/>
    <n v="3"/>
    <n v="549.86"/>
    <n v="5"/>
    <n v="290.33999999999997"/>
    <x v="1"/>
    <s v="Cash"/>
    <n v="1567.1009999999999"/>
    <n v="696.0809999999999"/>
    <s v="Thursday"/>
    <b v="0"/>
    <x v="4"/>
  </r>
  <r>
    <s v="NV1610"/>
    <d v="2025-09-23T00:00:00"/>
    <s v="ST43"/>
    <s v="South"/>
    <s v="P151"/>
    <s v="Shoes"/>
    <n v="5"/>
    <n v="2639.82"/>
    <n v="30"/>
    <n v="1741.31"/>
    <x v="0"/>
    <s v="Cash"/>
    <n v="9239.369999999999"/>
    <n v="532.81999999999971"/>
    <s v="Tuesday"/>
    <b v="0"/>
    <x v="6"/>
  </r>
  <r>
    <s v="NV1611"/>
    <d v="2024-01-31T00:00:00"/>
    <s v="ST24"/>
    <s v="East"/>
    <s v="P36"/>
    <s v="Shoes"/>
    <n v="4"/>
    <n v="2678.17"/>
    <n v="5"/>
    <n v="1371.4"/>
    <x v="1"/>
    <s v="Digital"/>
    <n v="10177.046"/>
    <n v="4691.4459999999999"/>
    <s v="Wednesday"/>
    <b v="0"/>
    <x v="10"/>
  </r>
  <r>
    <s v="NV1612"/>
    <d v="2024-04-26T00:00:00"/>
    <s v="ST36"/>
    <s v="East"/>
    <s v="P233"/>
    <s v="Shoes"/>
    <n v="1"/>
    <n v="2617.7600000000002"/>
    <n v="15"/>
    <n v="1261.1400000000001"/>
    <x v="1"/>
    <s v="Card"/>
    <n v="2225.096"/>
    <n v="963.9559999999999"/>
    <s v="Friday"/>
    <b v="0"/>
    <x v="8"/>
  </r>
  <r>
    <s v="NV1613"/>
    <d v="2024-08-22T00:00:00"/>
    <s v="ST44"/>
    <s v="North"/>
    <s v="P54"/>
    <s v="Clothing"/>
    <n v="3"/>
    <n v="2712.83"/>
    <n v="30"/>
    <n v="1243.46"/>
    <x v="0"/>
    <s v="Digital"/>
    <n v="5696.9429999999993"/>
    <n v="1966.5629999999992"/>
    <s v="Thursday"/>
    <b v="0"/>
    <x v="5"/>
  </r>
  <r>
    <s v="NV1614"/>
    <d v="2024-01-30T00:00:00"/>
    <s v="ST16"/>
    <s v="South"/>
    <s v="P190"/>
    <s v="Shoes"/>
    <n v="3"/>
    <n v="1108.24"/>
    <n v="10"/>
    <n v="773.44"/>
    <x v="1"/>
    <s v="Card"/>
    <n v="2992.2480000000005"/>
    <n v="671.92800000000034"/>
    <s v="Tuesday"/>
    <b v="0"/>
    <x v="10"/>
  </r>
  <r>
    <s v="NV1615"/>
    <d v="2024-02-10T00:00:00"/>
    <s v="ST51"/>
    <s v="North"/>
    <s v="P84"/>
    <s v="Shoes"/>
    <n v="1"/>
    <n v="1739.81"/>
    <n v="5"/>
    <n v="869.53"/>
    <x v="0"/>
    <s v="Digital"/>
    <n v="1652.8194999999998"/>
    <n v="783.28949999999986"/>
    <s v="Saturday"/>
    <b v="1"/>
    <x v="3"/>
  </r>
  <r>
    <s v="NV1616"/>
    <d v="2025-09-12T00:00:00"/>
    <s v="ST17"/>
    <s v="South"/>
    <s v="P27"/>
    <s v="Accessories"/>
    <n v="3"/>
    <n v="632.25"/>
    <n v="25"/>
    <n v="368.17"/>
    <x v="1"/>
    <s v="Digital"/>
    <n v="1422.5625"/>
    <n v="318.05250000000001"/>
    <s v="Friday"/>
    <b v="0"/>
    <x v="6"/>
  </r>
  <r>
    <s v="NV1617"/>
    <d v="2025-08-21T00:00:00"/>
    <s v="ST44"/>
    <s v="East"/>
    <s v="P145"/>
    <s v="Accessories"/>
    <n v="1"/>
    <n v="2394.11"/>
    <n v="10"/>
    <n v="1250.5899999999999"/>
    <x v="1"/>
    <s v="Card"/>
    <n v="2154.6990000000001"/>
    <n v="904.10900000000015"/>
    <s v="Thursday"/>
    <b v="0"/>
    <x v="5"/>
  </r>
  <r>
    <s v="NV1618"/>
    <d v="2024-07-14T00:00:00"/>
    <s v="ST16"/>
    <s v="North"/>
    <s v="P241"/>
    <s v="Accessories"/>
    <n v="1"/>
    <n v="523.6"/>
    <n v="20"/>
    <n v="354.13"/>
    <x v="0"/>
    <s v="Digital"/>
    <n v="418.88000000000005"/>
    <n v="64.750000000000057"/>
    <s v="Sunday"/>
    <b v="1"/>
    <x v="4"/>
  </r>
  <r>
    <s v="NV1619"/>
    <d v="2024-05-11T00:00:00"/>
    <s v="ST42"/>
    <s v="West"/>
    <s v="P177"/>
    <s v="Accessories"/>
    <n v="1"/>
    <n v="532"/>
    <n v="10"/>
    <n v="315.33999999999997"/>
    <x v="1"/>
    <s v="Cash"/>
    <n v="478.8"/>
    <n v="163.46000000000004"/>
    <s v="Saturday"/>
    <b v="1"/>
    <x v="9"/>
  </r>
  <r>
    <s v="NV1620"/>
    <d v="2025-01-15T00:00:00"/>
    <s v="ST41"/>
    <s v="East"/>
    <s v="P29"/>
    <s v="Accessories"/>
    <n v="5"/>
    <n v="572.07000000000005"/>
    <n v="0"/>
    <n v="291.77999999999997"/>
    <x v="0"/>
    <s v="Digital"/>
    <n v="2860.3500000000004"/>
    <n v="1401.4500000000005"/>
    <s v="Wednesday"/>
    <b v="0"/>
    <x v="10"/>
  </r>
  <r>
    <s v="NV1621"/>
    <d v="2024-04-29T00:00:00"/>
    <s v="ST25"/>
    <s v="West"/>
    <s v="P103"/>
    <s v="Accessories"/>
    <n v="2"/>
    <n v="1789.26"/>
    <n v="15"/>
    <n v="950.54"/>
    <x v="1"/>
    <s v="Digital"/>
    <n v="3041.7419999999997"/>
    <n v="1140.6619999999998"/>
    <s v="Monday"/>
    <b v="0"/>
    <x v="8"/>
  </r>
  <r>
    <s v="NV1622"/>
    <d v="2025-08-16T00:00:00"/>
    <s v="ST29"/>
    <s v="West"/>
    <s v="P102"/>
    <s v="Shoes"/>
    <n v="5"/>
    <n v="846.46"/>
    <n v="25"/>
    <n v="437.44"/>
    <x v="0"/>
    <s v="Card"/>
    <n v="3174.2250000000004"/>
    <n v="987.02500000000055"/>
    <s v="Saturday"/>
    <b v="1"/>
    <x v="5"/>
  </r>
  <r>
    <s v="NV1623"/>
    <d v="2025-07-12T00:00:00"/>
    <s v="ST24"/>
    <s v="East"/>
    <s v="P256"/>
    <s v="Clothing"/>
    <n v="3"/>
    <n v="950.36"/>
    <n v="25"/>
    <n v="384.38"/>
    <x v="1"/>
    <s v="Cash"/>
    <n v="2138.31"/>
    <n v="985.17000000000007"/>
    <s v="Saturday"/>
    <b v="1"/>
    <x v="4"/>
  </r>
  <r>
    <s v="NV1624"/>
    <d v="2025-10-09T00:00:00"/>
    <s v="ST10"/>
    <s v="North"/>
    <s v="P57"/>
    <s v="Clothing"/>
    <n v="5"/>
    <n v="2963.29"/>
    <n v="30"/>
    <n v="1365.8"/>
    <x v="1"/>
    <s v="Cash"/>
    <n v="10371.514999999999"/>
    <n v="3542.5149999999994"/>
    <s v="Thursday"/>
    <b v="0"/>
    <x v="2"/>
  </r>
  <r>
    <s v="NV1625"/>
    <d v="2025-10-22T00:00:00"/>
    <s v="ST27"/>
    <s v="South"/>
    <s v="P155"/>
    <s v="Shoes"/>
    <n v="4"/>
    <n v="2665.06"/>
    <n v="10"/>
    <n v="1667.37"/>
    <x v="1"/>
    <s v="Digital"/>
    <n v="9594.2160000000003"/>
    <n v="2924.7360000000008"/>
    <s v="Wednesday"/>
    <b v="0"/>
    <x v="2"/>
  </r>
  <r>
    <s v="NV1626"/>
    <d v="2025-10-13T00:00:00"/>
    <s v="ST10"/>
    <s v="East"/>
    <s v="P247"/>
    <s v="Accessories"/>
    <n v="4"/>
    <n v="2337.9699999999998"/>
    <n v="0"/>
    <n v="1311.5"/>
    <x v="1"/>
    <s v="Cash"/>
    <n v="9351.8799999999992"/>
    <n v="4105.8799999999992"/>
    <s v="Monday"/>
    <b v="0"/>
    <x v="2"/>
  </r>
  <r>
    <s v="NV1627"/>
    <d v="2025-03-16T00:00:00"/>
    <s v="ST5"/>
    <s v="West"/>
    <s v="P204"/>
    <s v="Clothing"/>
    <n v="1"/>
    <n v="828.83"/>
    <n v="5"/>
    <n v="488.49"/>
    <x v="0"/>
    <s v="Cash"/>
    <n v="787.38850000000002"/>
    <n v="298.89850000000001"/>
    <s v="Sunday"/>
    <b v="1"/>
    <x v="7"/>
  </r>
  <r>
    <s v="NV1628"/>
    <d v="2024-03-30T00:00:00"/>
    <s v="ST52"/>
    <s v="North"/>
    <s v="P274"/>
    <s v="Accessories"/>
    <n v="3"/>
    <n v="1600.56"/>
    <n v="20"/>
    <n v="860.47"/>
    <x v="0"/>
    <s v="Card"/>
    <n v="3841.3440000000005"/>
    <n v="1259.9340000000007"/>
    <s v="Saturday"/>
    <b v="1"/>
    <x v="7"/>
  </r>
  <r>
    <s v="NV1629"/>
    <d v="2024-06-01T00:00:00"/>
    <s v="ST3"/>
    <s v="North"/>
    <s v="P150"/>
    <s v="Shoes"/>
    <n v="2"/>
    <n v="2205.04"/>
    <n v="10"/>
    <n v="1354.93"/>
    <x v="1"/>
    <s v="Cash"/>
    <n v="3969.0720000000001"/>
    <n v="1259.212"/>
    <s v="Saturday"/>
    <b v="1"/>
    <x v="0"/>
  </r>
  <r>
    <s v="NV1630"/>
    <d v="2025-10-19T00:00:00"/>
    <s v="ST36"/>
    <s v="West"/>
    <s v="P284"/>
    <s v="Accessories"/>
    <n v="3"/>
    <n v="653.74"/>
    <n v="15"/>
    <n v="374.86"/>
    <x v="0"/>
    <s v="Cash"/>
    <n v="1667.037"/>
    <n v="542.45700000000011"/>
    <s v="Sunday"/>
    <b v="1"/>
    <x v="2"/>
  </r>
  <r>
    <s v="NV1631"/>
    <d v="2025-09-23T00:00:00"/>
    <s v="ST52"/>
    <s v="East"/>
    <s v="P193"/>
    <s v="Clothing"/>
    <n v="2"/>
    <n v="1788.27"/>
    <n v="10"/>
    <n v="1051.6300000000001"/>
    <x v="1"/>
    <s v="Card"/>
    <n v="3218.886"/>
    <n v="1115.6259999999997"/>
    <s v="Tuesday"/>
    <b v="0"/>
    <x v="6"/>
  </r>
  <r>
    <s v="NV1632"/>
    <d v="2024-12-12T00:00:00"/>
    <s v="ST14"/>
    <s v="North"/>
    <s v="P113"/>
    <s v="Shoes"/>
    <n v="1"/>
    <n v="764.44"/>
    <n v="0"/>
    <n v="474.48"/>
    <x v="0"/>
    <s v="Cash"/>
    <n v="764.44"/>
    <n v="289.96000000000004"/>
    <s v="Thursday"/>
    <b v="0"/>
    <x v="11"/>
  </r>
  <r>
    <s v="NV1633"/>
    <d v="2024-07-15T00:00:00"/>
    <s v="ST29"/>
    <s v="North"/>
    <s v="P222"/>
    <s v="Shoes"/>
    <n v="1"/>
    <n v="2692.05"/>
    <n v="20"/>
    <n v="1303.1199999999999"/>
    <x v="0"/>
    <s v="Card"/>
    <n v="2153.6400000000003"/>
    <n v="850.52000000000044"/>
    <s v="Monday"/>
    <b v="0"/>
    <x v="4"/>
  </r>
  <r>
    <s v="NV1634"/>
    <d v="2025-01-12T00:00:00"/>
    <s v="ST58"/>
    <s v="North"/>
    <s v="P230"/>
    <s v="Clothing"/>
    <n v="5"/>
    <n v="2234.2600000000002"/>
    <n v="0"/>
    <n v="1297.77"/>
    <x v="0"/>
    <s v="Card"/>
    <n v="11171.300000000001"/>
    <n v="4682.4500000000007"/>
    <s v="Sunday"/>
    <b v="1"/>
    <x v="10"/>
  </r>
  <r>
    <s v="NV1635"/>
    <d v="2024-08-18T00:00:00"/>
    <s v="ST51"/>
    <s v="East"/>
    <s v="P298"/>
    <s v="Shoes"/>
    <n v="4"/>
    <n v="2258.63"/>
    <n v="5"/>
    <n v="982.68"/>
    <x v="1"/>
    <s v="Digital"/>
    <n v="8582.7939999999999"/>
    <n v="4652.0740000000005"/>
    <s v="Sunday"/>
    <b v="1"/>
    <x v="5"/>
  </r>
  <r>
    <s v="NV1636"/>
    <d v="2024-09-16T00:00:00"/>
    <s v="ST19"/>
    <s v="South"/>
    <s v="P124"/>
    <s v="Shoes"/>
    <n v="2"/>
    <n v="2909.34"/>
    <n v="10"/>
    <n v="1320.28"/>
    <x v="1"/>
    <s v="Cash"/>
    <n v="5236.8120000000008"/>
    <n v="2596.2520000000009"/>
    <s v="Monday"/>
    <b v="0"/>
    <x v="6"/>
  </r>
  <r>
    <s v="NV1637"/>
    <d v="2024-07-07T00:00:00"/>
    <s v="ST54"/>
    <s v="North"/>
    <s v="P152"/>
    <s v="Accessories"/>
    <n v="3"/>
    <n v="850.86"/>
    <n v="15"/>
    <n v="439.78"/>
    <x v="0"/>
    <s v="Card"/>
    <n v="2169.6929999999998"/>
    <n v="850.35299999999984"/>
    <s v="Sunday"/>
    <b v="1"/>
    <x v="4"/>
  </r>
  <r>
    <s v="NV1638"/>
    <d v="2024-12-31T00:00:00"/>
    <s v="ST13"/>
    <s v="North"/>
    <s v="P90"/>
    <s v="Accessories"/>
    <n v="3"/>
    <n v="879.01"/>
    <n v="5"/>
    <n v="557.6"/>
    <x v="0"/>
    <s v="Cash"/>
    <n v="2505.1784999999995"/>
    <n v="832.37849999999935"/>
    <s v="Tuesday"/>
    <b v="0"/>
    <x v="11"/>
  </r>
  <r>
    <s v="NV1639"/>
    <d v="2024-01-03T00:00:00"/>
    <s v="ST51"/>
    <s v="East"/>
    <s v="P145"/>
    <s v="Shoes"/>
    <n v="1"/>
    <n v="1987.73"/>
    <n v="5"/>
    <n v="1020.45"/>
    <x v="1"/>
    <s v="Card"/>
    <n v="1888.3434999999999"/>
    <n v="867.8934999999999"/>
    <s v="Wednesday"/>
    <b v="0"/>
    <x v="10"/>
  </r>
  <r>
    <s v="NV1640"/>
    <d v="2025-11-06T00:00:00"/>
    <s v="ST32"/>
    <s v="North"/>
    <s v="P239"/>
    <s v="Shoes"/>
    <n v="3"/>
    <n v="451.47"/>
    <n v="0"/>
    <n v="269.05"/>
    <x v="1"/>
    <s v="Card"/>
    <n v="1354.41"/>
    <n v="547.26"/>
    <s v="Thursday"/>
    <b v="0"/>
    <x v="1"/>
  </r>
  <r>
    <s v="NV1641"/>
    <d v="2025-06-09T00:00:00"/>
    <s v="ST27"/>
    <s v="West"/>
    <s v="P49"/>
    <s v="Clothing"/>
    <n v="4"/>
    <n v="2390.67"/>
    <n v="30"/>
    <n v="1176.79"/>
    <x v="1"/>
    <s v="Cash"/>
    <n v="6693.8760000000002"/>
    <n v="1986.7160000000003"/>
    <s v="Monday"/>
    <b v="0"/>
    <x v="0"/>
  </r>
  <r>
    <s v="NV1642"/>
    <d v="2024-02-17T00:00:00"/>
    <s v="ST31"/>
    <s v="West"/>
    <s v="P259"/>
    <s v="Accessories"/>
    <n v="3"/>
    <n v="2897.51"/>
    <n v="10"/>
    <n v="1500.67"/>
    <x v="0"/>
    <s v="Digital"/>
    <n v="7823.277000000001"/>
    <n v="3321.2670000000007"/>
    <s v="Saturday"/>
    <b v="1"/>
    <x v="3"/>
  </r>
  <r>
    <s v="NV1643"/>
    <d v="2025-09-28T00:00:00"/>
    <s v="ST35"/>
    <s v="North"/>
    <s v="P214"/>
    <s v="Clothing"/>
    <n v="3"/>
    <n v="1950.39"/>
    <n v="30"/>
    <n v="786.05"/>
    <x v="0"/>
    <s v="Cash"/>
    <n v="4095.819"/>
    <n v="1737.6690000000003"/>
    <s v="Sunday"/>
    <b v="1"/>
    <x v="6"/>
  </r>
  <r>
    <s v="NV1644"/>
    <d v="2025-06-02T00:00:00"/>
    <s v="ST45"/>
    <s v="North"/>
    <s v="P239"/>
    <s v="Shoes"/>
    <n v="4"/>
    <n v="1216.8499999999999"/>
    <n v="30"/>
    <n v="638.41"/>
    <x v="0"/>
    <s v="Digital"/>
    <n v="3407.1799999999994"/>
    <n v="853.53999999999951"/>
    <s v="Monday"/>
    <b v="0"/>
    <x v="0"/>
  </r>
  <r>
    <s v="NV1645"/>
    <d v="2025-06-27T00:00:00"/>
    <s v="ST51"/>
    <s v="North"/>
    <s v="P139"/>
    <s v="Clothing"/>
    <n v="4"/>
    <n v="2712.19"/>
    <n v="5"/>
    <n v="1298.52"/>
    <x v="0"/>
    <s v="Card"/>
    <n v="10306.322"/>
    <n v="5112.2420000000002"/>
    <s v="Friday"/>
    <b v="0"/>
    <x v="0"/>
  </r>
  <r>
    <s v="NV1646"/>
    <d v="2024-02-29T00:00:00"/>
    <s v="ST6"/>
    <s v="East"/>
    <s v="P249"/>
    <s v="Shoes"/>
    <n v="4"/>
    <n v="2729.07"/>
    <n v="10"/>
    <n v="1227.26"/>
    <x v="0"/>
    <s v="Cash"/>
    <n v="9824.652"/>
    <n v="4915.6120000000001"/>
    <s v="Thursday"/>
    <b v="0"/>
    <x v="3"/>
  </r>
  <r>
    <s v="NV1647"/>
    <d v="2024-10-21T00:00:00"/>
    <s v="ST1"/>
    <s v="West"/>
    <s v="P152"/>
    <s v="Shoes"/>
    <n v="3"/>
    <n v="928.71"/>
    <n v="10"/>
    <n v="537.66"/>
    <x v="1"/>
    <s v="Digital"/>
    <n v="2507.5170000000003"/>
    <n v="894.53700000000026"/>
    <s v="Monday"/>
    <b v="0"/>
    <x v="2"/>
  </r>
  <r>
    <s v="NV1648"/>
    <d v="2025-06-07T00:00:00"/>
    <s v="ST14"/>
    <s v="North"/>
    <s v="P41"/>
    <s v="Shoes"/>
    <n v="5"/>
    <n v="861.77"/>
    <n v="25"/>
    <n v="357.68"/>
    <x v="0"/>
    <s v="Card"/>
    <n v="3231.6375000000003"/>
    <n v="1443.2375000000002"/>
    <s v="Saturday"/>
    <b v="1"/>
    <x v="0"/>
  </r>
  <r>
    <s v="NV1649"/>
    <d v="2025-06-13T00:00:00"/>
    <s v="ST30"/>
    <s v="South"/>
    <s v="P12"/>
    <s v="Accessories"/>
    <n v="3"/>
    <n v="1646.9"/>
    <n v="25"/>
    <n v="1080.5899999999999"/>
    <x v="0"/>
    <s v="Cash"/>
    <n v="3705.5250000000005"/>
    <n v="463.75500000000102"/>
    <s v="Friday"/>
    <b v="0"/>
    <x v="0"/>
  </r>
  <r>
    <s v="NV1650"/>
    <d v="2024-07-02T00:00:00"/>
    <s v="ST54"/>
    <s v="North"/>
    <s v="P216"/>
    <s v="Clothing"/>
    <n v="5"/>
    <n v="2971.91"/>
    <n v="25"/>
    <n v="2069.79"/>
    <x v="1"/>
    <s v="Card"/>
    <n v="11144.662499999999"/>
    <n v="795.71249999999782"/>
    <s v="Tuesday"/>
    <b v="0"/>
    <x v="4"/>
  </r>
  <r>
    <s v="NV1651"/>
    <d v="2024-05-12T00:00:00"/>
    <s v="ST2"/>
    <s v="North"/>
    <s v="P200"/>
    <s v="Shoes"/>
    <n v="2"/>
    <n v="2119.1999999999998"/>
    <n v="5"/>
    <n v="1025.97"/>
    <x v="1"/>
    <s v="Card"/>
    <n v="4026.4799999999996"/>
    <n v="1974.5399999999995"/>
    <s v="Sunday"/>
    <b v="1"/>
    <x v="9"/>
  </r>
  <r>
    <s v="NV1652"/>
    <d v="2025-01-14T00:00:00"/>
    <s v="ST12"/>
    <s v="North"/>
    <s v="P226"/>
    <s v="Shoes"/>
    <n v="1"/>
    <n v="2627.39"/>
    <n v="15"/>
    <n v="1273.27"/>
    <x v="1"/>
    <s v="Digital"/>
    <n v="2233.2815000000001"/>
    <n v="960.01150000000007"/>
    <s v="Tuesday"/>
    <b v="0"/>
    <x v="10"/>
  </r>
  <r>
    <s v="NV1653"/>
    <d v="2024-09-06T00:00:00"/>
    <s v="ST46"/>
    <s v="North"/>
    <s v="P187"/>
    <s v="Accessories"/>
    <n v="5"/>
    <n v="773.23"/>
    <n v="15"/>
    <n v="411.12"/>
    <x v="0"/>
    <s v="Cash"/>
    <n v="3286.2275"/>
    <n v="1230.6275000000001"/>
    <s v="Friday"/>
    <b v="0"/>
    <x v="6"/>
  </r>
  <r>
    <s v="NV1654"/>
    <d v="2025-05-29T00:00:00"/>
    <s v="ST31"/>
    <s v="North"/>
    <s v="P185"/>
    <s v="Accessories"/>
    <n v="5"/>
    <n v="2848.42"/>
    <n v="10"/>
    <n v="1528.25"/>
    <x v="0"/>
    <s v="Digital"/>
    <n v="12817.890000000001"/>
    <n v="5176.6400000000012"/>
    <s v="Thursday"/>
    <b v="0"/>
    <x v="9"/>
  </r>
  <r>
    <s v="NV1655"/>
    <d v="2024-04-30T00:00:00"/>
    <s v="ST56"/>
    <s v="North"/>
    <s v="P28"/>
    <s v="Accessories"/>
    <n v="1"/>
    <n v="1422.9"/>
    <n v="15"/>
    <n v="863.75"/>
    <x v="0"/>
    <s v="Digital"/>
    <n v="1209.4650000000001"/>
    <n v="345.71500000000015"/>
    <s v="Tuesday"/>
    <b v="0"/>
    <x v="8"/>
  </r>
  <r>
    <s v="NV1656"/>
    <d v="2025-02-17T00:00:00"/>
    <s v="ST18"/>
    <s v="East"/>
    <s v="P159"/>
    <s v="Clothing"/>
    <n v="1"/>
    <n v="1835.7"/>
    <n v="5"/>
    <n v="947.4"/>
    <x v="0"/>
    <s v="Digital"/>
    <n v="1743.915"/>
    <n v="796.51499999999999"/>
    <s v="Monday"/>
    <b v="0"/>
    <x v="3"/>
  </r>
  <r>
    <s v="NV1657"/>
    <d v="2025-10-26T00:00:00"/>
    <s v="ST39"/>
    <s v="East"/>
    <s v="P184"/>
    <s v="Clothing"/>
    <n v="3"/>
    <n v="2050.89"/>
    <n v="30"/>
    <n v="1290.57"/>
    <x v="1"/>
    <s v="Card"/>
    <n v="4306.8689999999997"/>
    <n v="435.15899999999965"/>
    <s v="Sunday"/>
    <b v="1"/>
    <x v="2"/>
  </r>
  <r>
    <s v="NV1658"/>
    <d v="2024-10-31T00:00:00"/>
    <s v="ST40"/>
    <s v="North"/>
    <s v="P63"/>
    <s v="Shoes"/>
    <n v="3"/>
    <n v="748.53"/>
    <n v="30"/>
    <n v="424.36"/>
    <x v="1"/>
    <s v="Card"/>
    <n v="1571.913"/>
    <n v="298.83300000000008"/>
    <s v="Thursday"/>
    <b v="0"/>
    <x v="2"/>
  </r>
  <r>
    <s v="NV1659"/>
    <d v="2025-10-30T00:00:00"/>
    <s v="ST42"/>
    <s v="South"/>
    <s v="P225"/>
    <s v="Clothing"/>
    <n v="1"/>
    <n v="1537.9"/>
    <n v="0"/>
    <n v="681.73"/>
    <x v="0"/>
    <s v="Card"/>
    <n v="1537.9"/>
    <n v="856.17000000000007"/>
    <s v="Thursday"/>
    <b v="0"/>
    <x v="2"/>
  </r>
  <r>
    <s v="NV1660"/>
    <d v="2024-10-01T00:00:00"/>
    <s v="ST12"/>
    <s v="South"/>
    <s v="P169"/>
    <s v="Clothing"/>
    <n v="1"/>
    <n v="2116.65"/>
    <n v="15"/>
    <n v="1000.89"/>
    <x v="0"/>
    <s v="Digital"/>
    <n v="1799.1524999999999"/>
    <n v="798.26249999999993"/>
    <s v="Tuesday"/>
    <b v="0"/>
    <x v="2"/>
  </r>
  <r>
    <s v="NV1661"/>
    <d v="2024-10-05T00:00:00"/>
    <s v="ST56"/>
    <s v="West"/>
    <s v="P182"/>
    <s v="Clothing"/>
    <n v="3"/>
    <n v="2706.25"/>
    <n v="10"/>
    <n v="1085.08"/>
    <x v="1"/>
    <s v="Card"/>
    <n v="7306.875"/>
    <n v="4051.6350000000002"/>
    <s v="Saturday"/>
    <b v="1"/>
    <x v="2"/>
  </r>
  <r>
    <s v="NV1662"/>
    <d v="2024-03-15T00:00:00"/>
    <s v="ST3"/>
    <s v="East"/>
    <s v="P99"/>
    <s v="Clothing"/>
    <n v="3"/>
    <n v="327.97"/>
    <n v="15"/>
    <n v="163.32"/>
    <x v="1"/>
    <s v="Card"/>
    <n v="836.32350000000008"/>
    <n v="346.3635000000001"/>
    <s v="Friday"/>
    <b v="0"/>
    <x v="7"/>
  </r>
  <r>
    <s v="NV1663"/>
    <d v="2025-11-28T00:00:00"/>
    <s v="ST36"/>
    <s v="South"/>
    <s v="P181"/>
    <s v="Accessories"/>
    <n v="1"/>
    <n v="713.91"/>
    <n v="20"/>
    <n v="286.42"/>
    <x v="0"/>
    <s v="Cash"/>
    <n v="571.12800000000004"/>
    <n v="284.70800000000003"/>
    <s v="Friday"/>
    <b v="0"/>
    <x v="1"/>
  </r>
  <r>
    <s v="NV1664"/>
    <d v="2024-06-18T00:00:00"/>
    <s v="ST27"/>
    <s v="West"/>
    <s v="P207"/>
    <s v="Shoes"/>
    <n v="1"/>
    <n v="2207.42"/>
    <n v="10"/>
    <n v="965.91"/>
    <x v="0"/>
    <s v="Digital"/>
    <n v="1986.6780000000001"/>
    <n v="1020.7680000000001"/>
    <s v="Tuesday"/>
    <b v="0"/>
    <x v="0"/>
  </r>
  <r>
    <s v="NV1665"/>
    <d v="2024-02-01T00:00:00"/>
    <s v="ST20"/>
    <s v="South"/>
    <s v="P190"/>
    <s v="Clothing"/>
    <n v="3"/>
    <n v="2101.39"/>
    <n v="20"/>
    <n v="1112.8599999999999"/>
    <x v="1"/>
    <s v="Digital"/>
    <n v="5043.3360000000002"/>
    <n v="1704.7560000000003"/>
    <s v="Thursday"/>
    <b v="0"/>
    <x v="3"/>
  </r>
  <r>
    <s v="NV1666"/>
    <d v="2025-11-14T00:00:00"/>
    <s v="ST27"/>
    <s v="South"/>
    <s v="P28"/>
    <s v="Shoes"/>
    <n v="2"/>
    <n v="1489.19"/>
    <n v="0"/>
    <n v="641.29999999999995"/>
    <x v="0"/>
    <s v="Cash"/>
    <n v="2978.38"/>
    <n v="1695.7800000000002"/>
    <s v="Friday"/>
    <b v="0"/>
    <x v="1"/>
  </r>
  <r>
    <s v="NV1667"/>
    <d v="2025-02-28T00:00:00"/>
    <s v="ST54"/>
    <s v="West"/>
    <s v="P228"/>
    <s v="Shoes"/>
    <n v="4"/>
    <n v="2042.45"/>
    <n v="30"/>
    <n v="1199.04"/>
    <x v="1"/>
    <s v="Cash"/>
    <n v="5718.86"/>
    <n v="922.69999999999982"/>
    <s v="Friday"/>
    <b v="0"/>
    <x v="3"/>
  </r>
  <r>
    <s v="NV1668"/>
    <d v="2025-05-19T00:00:00"/>
    <s v="ST52"/>
    <s v="South"/>
    <s v="P32"/>
    <s v="Accessories"/>
    <n v="2"/>
    <n v="1898.56"/>
    <n v="20"/>
    <n v="1151.6400000000001"/>
    <x v="1"/>
    <s v="Card"/>
    <n v="3037.6959999999999"/>
    <n v="734.41599999999971"/>
    <s v="Monday"/>
    <b v="0"/>
    <x v="9"/>
  </r>
  <r>
    <s v="NV1669"/>
    <d v="2025-10-28T00:00:00"/>
    <s v="ST18"/>
    <s v="North"/>
    <s v="P267"/>
    <s v="Shoes"/>
    <n v="2"/>
    <n v="489.38"/>
    <n v="30"/>
    <n v="328.08"/>
    <x v="1"/>
    <s v="Card"/>
    <n v="685.13199999999995"/>
    <n v="28.97199999999998"/>
    <s v="Tuesday"/>
    <b v="0"/>
    <x v="2"/>
  </r>
  <r>
    <s v="NV1670"/>
    <d v="2024-09-06T00:00:00"/>
    <s v="ST40"/>
    <s v="West"/>
    <s v="P62"/>
    <s v="Shoes"/>
    <n v="2"/>
    <n v="916.26"/>
    <n v="25"/>
    <n v="522.6"/>
    <x v="1"/>
    <s v="Digital"/>
    <n v="1374.3899999999999"/>
    <n v="329.18999999999983"/>
    <s v="Friday"/>
    <b v="0"/>
    <x v="6"/>
  </r>
  <r>
    <s v="NV1671"/>
    <d v="2025-02-10T00:00:00"/>
    <s v="ST52"/>
    <s v="South"/>
    <s v="P108"/>
    <s v="Clothing"/>
    <n v="2"/>
    <n v="1010.24"/>
    <n v="5"/>
    <n v="482.23"/>
    <x v="0"/>
    <s v="Cash"/>
    <n v="1919.4559999999999"/>
    <n v="954.99599999999987"/>
    <s v="Monday"/>
    <b v="0"/>
    <x v="3"/>
  </r>
  <r>
    <s v="NV1672"/>
    <d v="2025-04-12T00:00:00"/>
    <s v="ST60"/>
    <s v="East"/>
    <s v="P159"/>
    <s v="Shoes"/>
    <n v="5"/>
    <n v="2204.13"/>
    <n v="10"/>
    <n v="1015.98"/>
    <x v="0"/>
    <s v="Digital"/>
    <n v="9918.5850000000009"/>
    <n v="4838.6850000000013"/>
    <s v="Saturday"/>
    <b v="1"/>
    <x v="8"/>
  </r>
  <r>
    <s v="NV1673"/>
    <d v="2024-01-02T00:00:00"/>
    <s v="ST35"/>
    <s v="South"/>
    <s v="P262"/>
    <s v="Accessories"/>
    <n v="4"/>
    <n v="2596.35"/>
    <n v="20"/>
    <n v="1792.49"/>
    <x v="1"/>
    <s v="Cash"/>
    <n v="8308.32"/>
    <n v="1138.3599999999997"/>
    <s v="Tuesday"/>
    <b v="0"/>
    <x v="10"/>
  </r>
  <r>
    <s v="NV1674"/>
    <d v="2025-02-02T00:00:00"/>
    <s v="ST34"/>
    <s v="West"/>
    <s v="P194"/>
    <s v="Accessories"/>
    <n v="5"/>
    <n v="392.77"/>
    <n v="5"/>
    <n v="248.21"/>
    <x v="1"/>
    <s v="Cash"/>
    <n v="1865.6574999999998"/>
    <n v="624.60749999999985"/>
    <s v="Sunday"/>
    <b v="1"/>
    <x v="3"/>
  </r>
  <r>
    <s v="NV1675"/>
    <d v="2024-03-05T00:00:00"/>
    <s v="ST38"/>
    <s v="South"/>
    <s v="P233"/>
    <s v="Shoes"/>
    <n v="4"/>
    <n v="958.59"/>
    <n v="20"/>
    <n v="504.27"/>
    <x v="1"/>
    <s v="Digital"/>
    <n v="3067.4880000000003"/>
    <n v="1050.4080000000004"/>
    <s v="Tuesday"/>
    <b v="0"/>
    <x v="7"/>
  </r>
  <r>
    <s v="NV1676"/>
    <d v="2024-07-01T00:00:00"/>
    <s v="ST17"/>
    <s v="East"/>
    <s v="P47"/>
    <s v="Clothing"/>
    <n v="4"/>
    <n v="2182.5100000000002"/>
    <n v="10"/>
    <n v="1415.96"/>
    <x v="0"/>
    <s v="Digital"/>
    <n v="7857.036000000001"/>
    <n v="2193.1960000000008"/>
    <s v="Monday"/>
    <b v="0"/>
    <x v="4"/>
  </r>
  <r>
    <s v="NV1677"/>
    <d v="2025-07-21T00:00:00"/>
    <s v="ST21"/>
    <s v="West"/>
    <s v="P93"/>
    <s v="Accessories"/>
    <n v="1"/>
    <n v="1270.5"/>
    <n v="25"/>
    <n v="756.47"/>
    <x v="0"/>
    <s v="Card"/>
    <n v="952.875"/>
    <n v="196.40499999999997"/>
    <s v="Monday"/>
    <b v="0"/>
    <x v="4"/>
  </r>
  <r>
    <s v="NV1678"/>
    <d v="2024-03-20T00:00:00"/>
    <s v="ST32"/>
    <s v="West"/>
    <s v="P50"/>
    <s v="Clothing"/>
    <n v="4"/>
    <n v="2196.7800000000002"/>
    <n v="30"/>
    <n v="1461.18"/>
    <x v="0"/>
    <s v="Cash"/>
    <n v="6150.9840000000004"/>
    <n v="306.26400000000012"/>
    <s v="Wednesday"/>
    <b v="0"/>
    <x v="7"/>
  </r>
  <r>
    <s v="NV1679"/>
    <d v="2025-08-11T00:00:00"/>
    <s v="ST20"/>
    <s v="West"/>
    <s v="P71"/>
    <s v="Shoes"/>
    <n v="4"/>
    <n v="2065.29"/>
    <n v="15"/>
    <n v="974.25"/>
    <x v="1"/>
    <s v="Digital"/>
    <n v="7021.9859999999999"/>
    <n v="3124.9859999999999"/>
    <s v="Monday"/>
    <b v="0"/>
    <x v="5"/>
  </r>
  <r>
    <s v="NV1680"/>
    <d v="2025-09-05T00:00:00"/>
    <s v="ST30"/>
    <s v="West"/>
    <s v="P251"/>
    <s v="Accessories"/>
    <n v="5"/>
    <n v="2280.44"/>
    <n v="5"/>
    <n v="1148.75"/>
    <x v="0"/>
    <s v="Card"/>
    <n v="10832.09"/>
    <n v="5088.34"/>
    <s v="Friday"/>
    <b v="0"/>
    <x v="6"/>
  </r>
  <r>
    <s v="NV1681"/>
    <d v="2024-11-19T00:00:00"/>
    <s v="ST37"/>
    <s v="South"/>
    <s v="P73"/>
    <s v="Shoes"/>
    <n v="5"/>
    <n v="2817.39"/>
    <n v="30"/>
    <n v="1695.92"/>
    <x v="1"/>
    <s v="Cash"/>
    <n v="9860.864999999998"/>
    <n v="1381.2649999999976"/>
    <s v="Tuesday"/>
    <b v="0"/>
    <x v="1"/>
  </r>
  <r>
    <s v="NV1682"/>
    <d v="2024-09-19T00:00:00"/>
    <s v="ST13"/>
    <s v="West"/>
    <s v="P69"/>
    <s v="Shoes"/>
    <n v="2"/>
    <n v="2762.04"/>
    <n v="30"/>
    <n v="1869.03"/>
    <x v="1"/>
    <s v="Digital"/>
    <n v="3866.8559999999998"/>
    <n v="128.79599999999982"/>
    <s v="Thursday"/>
    <b v="0"/>
    <x v="6"/>
  </r>
  <r>
    <s v="NV1683"/>
    <d v="2025-01-21T00:00:00"/>
    <s v="ST5"/>
    <s v="West"/>
    <s v="P284"/>
    <s v="Shoes"/>
    <n v="1"/>
    <n v="1624.43"/>
    <n v="15"/>
    <n v="974.9"/>
    <x v="0"/>
    <s v="Digital"/>
    <n v="1380.7655"/>
    <n v="405.8655"/>
    <s v="Tuesday"/>
    <b v="0"/>
    <x v="10"/>
  </r>
  <r>
    <s v="NV1684"/>
    <d v="2024-02-23T00:00:00"/>
    <s v="ST51"/>
    <s v="West"/>
    <s v="P37"/>
    <s v="Accessories"/>
    <n v="3"/>
    <n v="2130.67"/>
    <n v="0"/>
    <n v="1253.45"/>
    <x v="0"/>
    <s v="Card"/>
    <n v="6392.01"/>
    <n v="2631.66"/>
    <s v="Friday"/>
    <b v="0"/>
    <x v="3"/>
  </r>
  <r>
    <s v="NV1685"/>
    <d v="2024-06-05T00:00:00"/>
    <s v="ST4"/>
    <s v="North"/>
    <s v="P138"/>
    <s v="Shoes"/>
    <n v="5"/>
    <n v="1993.37"/>
    <n v="0"/>
    <n v="900.38"/>
    <x v="1"/>
    <s v="Card"/>
    <n v="9966.8499999999985"/>
    <n v="5464.9499999999989"/>
    <s v="Wednesday"/>
    <b v="0"/>
    <x v="0"/>
  </r>
  <r>
    <s v="NV1686"/>
    <d v="2024-11-02T00:00:00"/>
    <s v="ST32"/>
    <s v="West"/>
    <s v="P152"/>
    <s v="Accessories"/>
    <n v="5"/>
    <n v="1084.73"/>
    <n v="0"/>
    <n v="702.01"/>
    <x v="0"/>
    <s v="Digital"/>
    <n v="5423.65"/>
    <n v="1913.5999999999995"/>
    <s v="Saturday"/>
    <b v="1"/>
    <x v="1"/>
  </r>
  <r>
    <s v="NV1687"/>
    <d v="2025-01-06T00:00:00"/>
    <s v="ST19"/>
    <s v="East"/>
    <s v="P254"/>
    <s v="Clothing"/>
    <n v="5"/>
    <n v="967.45"/>
    <n v="5"/>
    <n v="578.23"/>
    <x v="1"/>
    <s v="Digital"/>
    <n v="4595.3874999999998"/>
    <n v="1704.2374999999997"/>
    <s v="Monday"/>
    <b v="0"/>
    <x v="10"/>
  </r>
  <r>
    <s v="NV1688"/>
    <d v="2024-10-09T00:00:00"/>
    <s v="ST19"/>
    <s v="South"/>
    <s v="P94"/>
    <s v="Accessories"/>
    <n v="2"/>
    <n v="1440.5"/>
    <n v="30"/>
    <n v="773.19"/>
    <x v="0"/>
    <s v="Cash"/>
    <n v="2016.6999999999998"/>
    <n v="470.31999999999971"/>
    <s v="Wednesday"/>
    <b v="0"/>
    <x v="2"/>
  </r>
  <r>
    <s v="NV1689"/>
    <d v="2024-09-11T00:00:00"/>
    <s v="ST53"/>
    <s v="West"/>
    <s v="P226"/>
    <s v="Clothing"/>
    <n v="4"/>
    <n v="332.97"/>
    <n v="10"/>
    <n v="209.03"/>
    <x v="0"/>
    <s v="Digital"/>
    <n v="1198.6920000000002"/>
    <n v="362.57200000000023"/>
    <s v="Wednesday"/>
    <b v="0"/>
    <x v="6"/>
  </r>
  <r>
    <s v="NV1690"/>
    <d v="2024-03-31T00:00:00"/>
    <s v="ST35"/>
    <s v="South"/>
    <s v="P19"/>
    <s v="Accessories"/>
    <n v="3"/>
    <n v="503.8"/>
    <n v="15"/>
    <n v="302.52"/>
    <x v="1"/>
    <s v="Digital"/>
    <n v="1284.69"/>
    <n v="377.13000000000011"/>
    <s v="Sunday"/>
    <b v="1"/>
    <x v="7"/>
  </r>
  <r>
    <s v="NV1691"/>
    <d v="2025-01-14T00:00:00"/>
    <s v="ST13"/>
    <s v="West"/>
    <s v="P259"/>
    <s v="Shoes"/>
    <n v="1"/>
    <n v="2802.91"/>
    <n v="10"/>
    <n v="1132.3399999999999"/>
    <x v="1"/>
    <s v="Cash"/>
    <n v="2522.6190000000001"/>
    <n v="1390.2790000000002"/>
    <s v="Tuesday"/>
    <b v="0"/>
    <x v="10"/>
  </r>
  <r>
    <s v="NV1692"/>
    <d v="2024-11-23T00:00:00"/>
    <s v="ST40"/>
    <s v="West"/>
    <s v="P125"/>
    <s v="Accessories"/>
    <n v="5"/>
    <n v="2463.6"/>
    <n v="30"/>
    <n v="1665.65"/>
    <x v="1"/>
    <s v="Digital"/>
    <n v="8622.5999999999985"/>
    <n v="294.34999999999854"/>
    <s v="Saturday"/>
    <b v="1"/>
    <x v="1"/>
  </r>
  <r>
    <s v="NV1693"/>
    <d v="2024-07-11T00:00:00"/>
    <s v="ST22"/>
    <s v="North"/>
    <s v="P92"/>
    <s v="Accessories"/>
    <n v="4"/>
    <n v="1885.84"/>
    <n v="10"/>
    <n v="1279.27"/>
    <x v="1"/>
    <s v="Digital"/>
    <n v="6789.0239999999994"/>
    <n v="1671.9439999999995"/>
    <s v="Thursday"/>
    <b v="0"/>
    <x v="4"/>
  </r>
  <r>
    <s v="NV1694"/>
    <d v="2024-11-06T00:00:00"/>
    <s v="ST45"/>
    <s v="East"/>
    <s v="P90"/>
    <s v="Clothing"/>
    <n v="4"/>
    <n v="1324.89"/>
    <n v="30"/>
    <n v="689.98"/>
    <x v="1"/>
    <s v="Digital"/>
    <n v="3709.692"/>
    <n v="949.77199999999993"/>
    <s v="Wednesday"/>
    <b v="0"/>
    <x v="1"/>
  </r>
  <r>
    <s v="NV1695"/>
    <d v="2025-07-15T00:00:00"/>
    <s v="ST19"/>
    <s v="East"/>
    <s v="P261"/>
    <s v="Clothing"/>
    <n v="3"/>
    <n v="1964.28"/>
    <n v="0"/>
    <n v="1270.3399999999999"/>
    <x v="0"/>
    <s v="Card"/>
    <n v="5892.84"/>
    <n v="2081.8200000000006"/>
    <s v="Tuesday"/>
    <b v="0"/>
    <x v="4"/>
  </r>
  <r>
    <s v="NV1696"/>
    <d v="2025-02-10T00:00:00"/>
    <s v="ST25"/>
    <s v="South"/>
    <s v="P292"/>
    <s v="Accessories"/>
    <n v="4"/>
    <n v="2106.64"/>
    <n v="15"/>
    <n v="1030.78"/>
    <x v="1"/>
    <s v="Digital"/>
    <n v="7162.5759999999991"/>
    <n v="3039.4559999999992"/>
    <s v="Monday"/>
    <b v="0"/>
    <x v="3"/>
  </r>
  <r>
    <s v="NV1697"/>
    <d v="2024-05-17T00:00:00"/>
    <s v="ST35"/>
    <s v="East"/>
    <s v="P181"/>
    <s v="Shoes"/>
    <n v="2"/>
    <n v="722.2"/>
    <n v="25"/>
    <n v="382.69"/>
    <x v="0"/>
    <s v="Card"/>
    <n v="1083.3000000000002"/>
    <n v="317.92000000000019"/>
    <s v="Friday"/>
    <b v="0"/>
    <x v="9"/>
  </r>
  <r>
    <s v="NV1698"/>
    <d v="2024-07-28T00:00:00"/>
    <s v="ST24"/>
    <s v="North"/>
    <s v="P140"/>
    <s v="Shoes"/>
    <n v="2"/>
    <n v="2670.42"/>
    <n v="20"/>
    <n v="1696.61"/>
    <x v="1"/>
    <s v="Cash"/>
    <n v="4272.6720000000005"/>
    <n v="879.45200000000068"/>
    <s v="Sunday"/>
    <b v="1"/>
    <x v="4"/>
  </r>
  <r>
    <s v="NV1699"/>
    <d v="2024-04-26T00:00:00"/>
    <s v="ST7"/>
    <s v="East"/>
    <s v="P71"/>
    <s v="Accessories"/>
    <n v="3"/>
    <n v="1049.53"/>
    <n v="25"/>
    <n v="476.69"/>
    <x v="0"/>
    <s v="Digital"/>
    <n v="2361.4425000000001"/>
    <n v="931.37250000000017"/>
    <s v="Friday"/>
    <b v="0"/>
    <x v="8"/>
  </r>
  <r>
    <s v="NV1700"/>
    <d v="2025-07-05T00:00:00"/>
    <s v="ST58"/>
    <s v="North"/>
    <s v="P12"/>
    <s v="Accessories"/>
    <n v="1"/>
    <n v="1910"/>
    <n v="15"/>
    <n v="1025.3699999999999"/>
    <x v="0"/>
    <s v="Digital"/>
    <n v="1623.5"/>
    <n v="598.13000000000011"/>
    <s v="Saturday"/>
    <b v="1"/>
    <x v="4"/>
  </r>
  <r>
    <s v="NV1701"/>
    <d v="2025-09-21T00:00:00"/>
    <s v="ST32"/>
    <s v="West"/>
    <s v="P111"/>
    <s v="Shoes"/>
    <n v="1"/>
    <n v="2133.35"/>
    <n v="30"/>
    <n v="1450.03"/>
    <x v="1"/>
    <s v="Digital"/>
    <n v="1493.3449999999998"/>
    <n v="43.314999999999827"/>
    <s v="Sunday"/>
    <b v="1"/>
    <x v="6"/>
  </r>
  <r>
    <s v="NV1702"/>
    <d v="2025-05-15T00:00:00"/>
    <s v="ST49"/>
    <s v="South"/>
    <s v="P187"/>
    <s v="Shoes"/>
    <n v="4"/>
    <n v="825.35"/>
    <n v="30"/>
    <n v="435.39"/>
    <x v="0"/>
    <s v="Digital"/>
    <n v="2310.98"/>
    <n v="569.42000000000007"/>
    <s v="Thursday"/>
    <b v="0"/>
    <x v="9"/>
  </r>
  <r>
    <s v="NV1703"/>
    <d v="2024-03-07T00:00:00"/>
    <s v="ST3"/>
    <s v="South"/>
    <s v="P204"/>
    <s v="Clothing"/>
    <n v="4"/>
    <n v="2294.2399999999998"/>
    <n v="20"/>
    <n v="1257.9000000000001"/>
    <x v="1"/>
    <s v="Cash"/>
    <n v="7341.5679999999993"/>
    <n v="2309.9679999999989"/>
    <s v="Thursday"/>
    <b v="0"/>
    <x v="7"/>
  </r>
  <r>
    <s v="NV1704"/>
    <d v="2024-08-12T00:00:00"/>
    <s v="ST42"/>
    <s v="South"/>
    <s v="P151"/>
    <s v="Accessories"/>
    <n v="5"/>
    <n v="1465.29"/>
    <n v="5"/>
    <n v="956.14"/>
    <x v="0"/>
    <s v="Digital"/>
    <n v="6960.1274999999996"/>
    <n v="2179.4274999999998"/>
    <s v="Monday"/>
    <b v="0"/>
    <x v="5"/>
  </r>
  <r>
    <s v="NV1705"/>
    <d v="2025-02-15T00:00:00"/>
    <s v="ST51"/>
    <s v="West"/>
    <s v="P181"/>
    <s v="Shoes"/>
    <n v="5"/>
    <n v="548.70000000000005"/>
    <n v="10"/>
    <n v="325.14"/>
    <x v="1"/>
    <s v="Card"/>
    <n v="2469.15"/>
    <n v="843.45000000000027"/>
    <s v="Saturday"/>
    <b v="1"/>
    <x v="3"/>
  </r>
  <r>
    <s v="NV1706"/>
    <d v="2025-06-04T00:00:00"/>
    <s v="ST1"/>
    <s v="West"/>
    <s v="P267"/>
    <s v="Clothing"/>
    <n v="4"/>
    <n v="892.86"/>
    <n v="20"/>
    <n v="554.80999999999995"/>
    <x v="1"/>
    <s v="Card"/>
    <n v="2857.152"/>
    <n v="637.91200000000026"/>
    <s v="Wednesday"/>
    <b v="0"/>
    <x v="0"/>
  </r>
  <r>
    <s v="NV1707"/>
    <d v="2025-09-05T00:00:00"/>
    <s v="ST3"/>
    <s v="East"/>
    <s v="P299"/>
    <s v="Clothing"/>
    <n v="2"/>
    <n v="2990.4"/>
    <n v="10"/>
    <n v="1727.97"/>
    <x v="1"/>
    <s v="Cash"/>
    <n v="5382.72"/>
    <n v="1926.7800000000002"/>
    <s v="Friday"/>
    <b v="0"/>
    <x v="6"/>
  </r>
  <r>
    <s v="NV1708"/>
    <d v="2025-03-14T00:00:00"/>
    <s v="ST19"/>
    <s v="North"/>
    <s v="P128"/>
    <s v="Clothing"/>
    <n v="4"/>
    <n v="2764.21"/>
    <n v="0"/>
    <n v="1418.16"/>
    <x v="1"/>
    <s v="Card"/>
    <n v="11056.84"/>
    <n v="5384.2"/>
    <s v="Friday"/>
    <b v="0"/>
    <x v="7"/>
  </r>
  <r>
    <s v="NV1709"/>
    <d v="2025-02-12T00:00:00"/>
    <s v="ST48"/>
    <s v="East"/>
    <s v="P137"/>
    <s v="Shoes"/>
    <n v="2"/>
    <n v="2203.3200000000002"/>
    <n v="5"/>
    <n v="1039.3"/>
    <x v="0"/>
    <s v="Cash"/>
    <n v="4186.308"/>
    <n v="2107.7080000000001"/>
    <s v="Wednesday"/>
    <b v="0"/>
    <x v="3"/>
  </r>
  <r>
    <s v="NV1710"/>
    <d v="2024-07-02T00:00:00"/>
    <s v="ST10"/>
    <s v="West"/>
    <s v="P146"/>
    <s v="Clothing"/>
    <n v="5"/>
    <n v="1308.1400000000001"/>
    <n v="0"/>
    <n v="885.75"/>
    <x v="0"/>
    <s v="Cash"/>
    <n v="6540.7000000000007"/>
    <n v="2111.9500000000007"/>
    <s v="Tuesday"/>
    <b v="0"/>
    <x v="4"/>
  </r>
  <r>
    <s v="NV1711"/>
    <d v="2024-05-11T00:00:00"/>
    <s v="ST8"/>
    <s v="West"/>
    <s v="P264"/>
    <s v="Accessories"/>
    <n v="3"/>
    <n v="414.37"/>
    <n v="0"/>
    <n v="172.89"/>
    <x v="0"/>
    <s v="Digital"/>
    <n v="1243.1100000000001"/>
    <n v="724.44000000000017"/>
    <s v="Saturday"/>
    <b v="1"/>
    <x v="9"/>
  </r>
  <r>
    <s v="NV1712"/>
    <d v="2025-02-21T00:00:00"/>
    <s v="ST2"/>
    <s v="South"/>
    <s v="P246"/>
    <s v="Shoes"/>
    <n v="4"/>
    <n v="1827.28"/>
    <n v="5"/>
    <n v="1024.8499999999999"/>
    <x v="1"/>
    <s v="Card"/>
    <n v="6943.6639999999998"/>
    <n v="2844.2640000000001"/>
    <s v="Friday"/>
    <b v="0"/>
    <x v="3"/>
  </r>
  <r>
    <s v="NV1713"/>
    <d v="2024-03-23T00:00:00"/>
    <s v="ST15"/>
    <s v="South"/>
    <s v="P48"/>
    <s v="Accessories"/>
    <n v="3"/>
    <n v="982.98"/>
    <n v="25"/>
    <n v="552.99"/>
    <x v="1"/>
    <s v="Cash"/>
    <n v="2211.7049999999999"/>
    <n v="552.7349999999999"/>
    <s v="Saturday"/>
    <b v="1"/>
    <x v="7"/>
  </r>
  <r>
    <s v="NV1714"/>
    <d v="2025-11-13T00:00:00"/>
    <s v="ST48"/>
    <s v="North"/>
    <s v="P283"/>
    <s v="Accessories"/>
    <n v="1"/>
    <n v="568.72"/>
    <n v="25"/>
    <n v="286.26"/>
    <x v="0"/>
    <s v="Card"/>
    <n v="426.54"/>
    <n v="140.28000000000003"/>
    <s v="Thursday"/>
    <b v="0"/>
    <x v="1"/>
  </r>
  <r>
    <s v="NV1715"/>
    <d v="2025-01-22T00:00:00"/>
    <s v="ST33"/>
    <s v="East"/>
    <s v="P255"/>
    <s v="Clothing"/>
    <n v="1"/>
    <n v="1710.68"/>
    <n v="20"/>
    <n v="996.1"/>
    <x v="1"/>
    <s v="Card"/>
    <n v="1368.5440000000001"/>
    <n v="372.44400000000007"/>
    <s v="Wednesday"/>
    <b v="0"/>
    <x v="10"/>
  </r>
  <r>
    <s v="NV1716"/>
    <d v="2025-11-16T00:00:00"/>
    <s v="ST10"/>
    <s v="South"/>
    <s v="P18"/>
    <s v="Shoes"/>
    <n v="5"/>
    <n v="1622.78"/>
    <n v="0"/>
    <n v="1091.96"/>
    <x v="0"/>
    <s v="Digital"/>
    <n v="8113.9"/>
    <n v="2654.0999999999995"/>
    <s v="Sunday"/>
    <b v="1"/>
    <x v="1"/>
  </r>
  <r>
    <s v="NV1717"/>
    <d v="2024-08-09T00:00:00"/>
    <s v="ST45"/>
    <s v="West"/>
    <s v="P102"/>
    <s v="Accessories"/>
    <n v="2"/>
    <n v="470.98"/>
    <n v="30"/>
    <n v="252.62"/>
    <x v="0"/>
    <s v="Card"/>
    <n v="659.37199999999996"/>
    <n v="154.13199999999995"/>
    <s v="Friday"/>
    <b v="0"/>
    <x v="5"/>
  </r>
  <r>
    <s v="NV1718"/>
    <d v="2025-03-08T00:00:00"/>
    <s v="ST29"/>
    <s v="East"/>
    <s v="P263"/>
    <s v="Accessories"/>
    <n v="2"/>
    <n v="1005.9"/>
    <n v="0"/>
    <n v="599.79999999999995"/>
    <x v="0"/>
    <s v="Cash"/>
    <n v="2011.8"/>
    <n v="812.2"/>
    <s v="Saturday"/>
    <b v="1"/>
    <x v="7"/>
  </r>
  <r>
    <s v="NV1719"/>
    <d v="2025-08-28T00:00:00"/>
    <s v="ST59"/>
    <s v="West"/>
    <s v="P272"/>
    <s v="Shoes"/>
    <n v="5"/>
    <n v="1123.5899999999999"/>
    <n v="0"/>
    <n v="598.39"/>
    <x v="0"/>
    <s v="Digital"/>
    <n v="5617.95"/>
    <n v="2626"/>
    <s v="Thursday"/>
    <b v="0"/>
    <x v="5"/>
  </r>
  <r>
    <s v="NV1720"/>
    <d v="2025-11-20T00:00:00"/>
    <s v="ST6"/>
    <s v="East"/>
    <s v="P150"/>
    <s v="Shoes"/>
    <n v="4"/>
    <n v="1071.03"/>
    <n v="30"/>
    <n v="538.30999999999995"/>
    <x v="0"/>
    <s v="Digital"/>
    <n v="2998.8839999999996"/>
    <n v="845.64399999999978"/>
    <s v="Thursday"/>
    <b v="0"/>
    <x v="1"/>
  </r>
  <r>
    <s v="NV1721"/>
    <d v="2024-07-16T00:00:00"/>
    <s v="ST10"/>
    <s v="South"/>
    <s v="P57"/>
    <s v="Accessories"/>
    <n v="5"/>
    <n v="2155.77"/>
    <n v="10"/>
    <n v="943.43"/>
    <x v="0"/>
    <s v="Card"/>
    <n v="9700.9650000000001"/>
    <n v="4983.8150000000005"/>
    <s v="Tuesday"/>
    <b v="0"/>
    <x v="4"/>
  </r>
  <r>
    <s v="NV1722"/>
    <d v="2025-03-10T00:00:00"/>
    <s v="ST8"/>
    <s v="East"/>
    <s v="P290"/>
    <s v="Shoes"/>
    <n v="3"/>
    <n v="770.52"/>
    <n v="20"/>
    <n v="322.70999999999998"/>
    <x v="0"/>
    <s v="Cash"/>
    <n v="1849.248"/>
    <n v="881.11800000000017"/>
    <s v="Monday"/>
    <b v="0"/>
    <x v="7"/>
  </r>
  <r>
    <s v="NV1723"/>
    <d v="2025-02-21T00:00:00"/>
    <s v="ST9"/>
    <s v="East"/>
    <s v="P263"/>
    <s v="Clothing"/>
    <n v="1"/>
    <n v="1923.49"/>
    <n v="5"/>
    <n v="852.16"/>
    <x v="0"/>
    <s v="Cash"/>
    <n v="1827.3154999999999"/>
    <n v="975.15549999999996"/>
    <s v="Friday"/>
    <b v="0"/>
    <x v="3"/>
  </r>
  <r>
    <s v="NV1724"/>
    <d v="2024-01-08T00:00:00"/>
    <s v="ST10"/>
    <s v="East"/>
    <s v="P22"/>
    <s v="Clothing"/>
    <n v="1"/>
    <n v="1655.62"/>
    <n v="20"/>
    <n v="1155.01"/>
    <x v="0"/>
    <s v="Digital"/>
    <n v="1324.4960000000001"/>
    <n v="169.4860000000001"/>
    <s v="Monday"/>
    <b v="0"/>
    <x v="10"/>
  </r>
  <r>
    <s v="NV1725"/>
    <d v="2024-09-22T00:00:00"/>
    <s v="ST19"/>
    <s v="East"/>
    <s v="P48"/>
    <s v="Clothing"/>
    <n v="1"/>
    <n v="1711.56"/>
    <n v="5"/>
    <n v="1025.26"/>
    <x v="0"/>
    <s v="Digital"/>
    <n v="1625.982"/>
    <n v="600.72199999999998"/>
    <s v="Sunday"/>
    <b v="1"/>
    <x v="6"/>
  </r>
  <r>
    <s v="NV1726"/>
    <d v="2025-09-29T00:00:00"/>
    <s v="ST35"/>
    <s v="South"/>
    <s v="P158"/>
    <s v="Clothing"/>
    <n v="5"/>
    <n v="1301.17"/>
    <n v="15"/>
    <n v="716.7"/>
    <x v="1"/>
    <s v="Cash"/>
    <n v="5529.9724999999999"/>
    <n v="1946.4724999999999"/>
    <s v="Monday"/>
    <b v="0"/>
    <x v="6"/>
  </r>
  <r>
    <s v="NV1727"/>
    <d v="2024-06-29T00:00:00"/>
    <s v="ST26"/>
    <s v="East"/>
    <s v="P150"/>
    <s v="Accessories"/>
    <n v="3"/>
    <n v="2231.89"/>
    <n v="30"/>
    <n v="927.16"/>
    <x v="0"/>
    <s v="Cash"/>
    <n v="4686.9690000000001"/>
    <n v="1905.489"/>
    <s v="Saturday"/>
    <b v="1"/>
    <x v="0"/>
  </r>
  <r>
    <s v="NV1728"/>
    <d v="2024-09-03T00:00:00"/>
    <s v="ST8"/>
    <s v="South"/>
    <s v="P264"/>
    <s v="Accessories"/>
    <n v="4"/>
    <n v="1932.6"/>
    <n v="10"/>
    <n v="893.5"/>
    <x v="0"/>
    <s v="Digital"/>
    <n v="6957.36"/>
    <n v="3383.3599999999997"/>
    <s v="Tuesday"/>
    <b v="0"/>
    <x v="6"/>
  </r>
  <r>
    <s v="NV1729"/>
    <d v="2024-12-20T00:00:00"/>
    <s v="ST19"/>
    <s v="West"/>
    <s v="P231"/>
    <s v="Shoes"/>
    <n v="2"/>
    <n v="689.93"/>
    <n v="20"/>
    <n v="405.61"/>
    <x v="1"/>
    <s v="Cash"/>
    <n v="1103.8879999999999"/>
    <n v="292.66799999999989"/>
    <s v="Friday"/>
    <b v="0"/>
    <x v="11"/>
  </r>
  <r>
    <s v="NV1730"/>
    <d v="2024-03-14T00:00:00"/>
    <s v="ST35"/>
    <s v="East"/>
    <s v="P233"/>
    <s v="Clothing"/>
    <n v="4"/>
    <n v="997.79"/>
    <n v="30"/>
    <n v="655.61"/>
    <x v="0"/>
    <s v="Card"/>
    <n v="2793.8119999999999"/>
    <n v="171.37199999999984"/>
    <s v="Thursday"/>
    <b v="0"/>
    <x v="7"/>
  </r>
  <r>
    <s v="NV1731"/>
    <d v="2025-04-01T00:00:00"/>
    <s v="ST32"/>
    <s v="East"/>
    <s v="P146"/>
    <s v="Clothing"/>
    <n v="3"/>
    <n v="2736.75"/>
    <n v="0"/>
    <n v="1262.26"/>
    <x v="1"/>
    <s v="Card"/>
    <n v="8210.25"/>
    <n v="4423.47"/>
    <s v="Tuesday"/>
    <b v="0"/>
    <x v="8"/>
  </r>
  <r>
    <s v="NV1732"/>
    <d v="2025-04-30T00:00:00"/>
    <s v="ST16"/>
    <s v="South"/>
    <s v="P227"/>
    <s v="Shoes"/>
    <n v="3"/>
    <n v="312.49"/>
    <n v="25"/>
    <n v="166.93"/>
    <x v="1"/>
    <s v="Digital"/>
    <n v="703.10249999999996"/>
    <n v="202.31249999999994"/>
    <s v="Wednesday"/>
    <b v="0"/>
    <x v="8"/>
  </r>
  <r>
    <s v="NV1733"/>
    <d v="2025-05-28T00:00:00"/>
    <s v="ST18"/>
    <s v="East"/>
    <s v="P99"/>
    <s v="Shoes"/>
    <n v="1"/>
    <n v="1802.67"/>
    <n v="0"/>
    <n v="940.95"/>
    <x v="1"/>
    <s v="Cash"/>
    <n v="1802.67"/>
    <n v="861.72"/>
    <s v="Wednesday"/>
    <b v="0"/>
    <x v="9"/>
  </r>
  <r>
    <s v="NV1734"/>
    <d v="2024-10-24T00:00:00"/>
    <s v="ST58"/>
    <s v="North"/>
    <s v="P84"/>
    <s v="Shoes"/>
    <n v="1"/>
    <n v="2042.77"/>
    <n v="20"/>
    <n v="1344.35"/>
    <x v="0"/>
    <s v="Card"/>
    <n v="1634.2160000000001"/>
    <n v="289.86600000000021"/>
    <s v="Thursday"/>
    <b v="0"/>
    <x v="2"/>
  </r>
  <r>
    <s v="NV1735"/>
    <d v="2024-06-14T00:00:00"/>
    <s v="ST20"/>
    <s v="North"/>
    <s v="P55"/>
    <s v="Shoes"/>
    <n v="5"/>
    <n v="1887.83"/>
    <n v="10"/>
    <n v="1067.02"/>
    <x v="1"/>
    <s v="Card"/>
    <n v="8495.2350000000006"/>
    <n v="3160.1350000000002"/>
    <s v="Friday"/>
    <b v="0"/>
    <x v="0"/>
  </r>
  <r>
    <s v="NV1736"/>
    <d v="2024-04-26T00:00:00"/>
    <s v="ST3"/>
    <s v="South"/>
    <s v="P119"/>
    <s v="Shoes"/>
    <n v="5"/>
    <n v="2425.4299999999998"/>
    <n v="10"/>
    <n v="1580.01"/>
    <x v="0"/>
    <s v="Card"/>
    <n v="10914.434999999999"/>
    <n v="3014.3849999999993"/>
    <s v="Friday"/>
    <b v="0"/>
    <x v="8"/>
  </r>
  <r>
    <s v="NV1737"/>
    <d v="2025-02-15T00:00:00"/>
    <s v="ST46"/>
    <s v="East"/>
    <s v="P266"/>
    <s v="Clothing"/>
    <n v="3"/>
    <n v="643.53"/>
    <n v="5"/>
    <n v="389.7"/>
    <x v="1"/>
    <s v="Card"/>
    <n v="1834.0604999999998"/>
    <n v="664.96049999999991"/>
    <s v="Saturday"/>
    <b v="1"/>
    <x v="3"/>
  </r>
  <r>
    <s v="NV1738"/>
    <d v="2025-03-21T00:00:00"/>
    <s v="ST42"/>
    <s v="North"/>
    <s v="P72"/>
    <s v="Accessories"/>
    <n v="5"/>
    <n v="2843.43"/>
    <n v="15"/>
    <n v="1434.35"/>
    <x v="1"/>
    <s v="Cash"/>
    <n v="12084.577499999999"/>
    <n v="4912.8274999999994"/>
    <s v="Friday"/>
    <b v="0"/>
    <x v="7"/>
  </r>
  <r>
    <s v="NV1739"/>
    <d v="2024-08-06T00:00:00"/>
    <s v="ST21"/>
    <s v="North"/>
    <s v="P224"/>
    <s v="Clothing"/>
    <n v="3"/>
    <n v="1663.07"/>
    <n v="10"/>
    <n v="697.14"/>
    <x v="0"/>
    <s v="Digital"/>
    <n v="4490.2889999999998"/>
    <n v="2398.8689999999997"/>
    <s v="Tuesday"/>
    <b v="0"/>
    <x v="5"/>
  </r>
  <r>
    <s v="NV1740"/>
    <d v="2025-05-15T00:00:00"/>
    <s v="ST21"/>
    <s v="South"/>
    <s v="P138"/>
    <s v="Clothing"/>
    <n v="3"/>
    <n v="1123.67"/>
    <n v="25"/>
    <n v="526.23"/>
    <x v="1"/>
    <s v="Card"/>
    <n v="2528.2575000000002"/>
    <n v="949.56750000000011"/>
    <s v="Thursday"/>
    <b v="0"/>
    <x v="9"/>
  </r>
  <r>
    <s v="NV1741"/>
    <d v="2025-05-24T00:00:00"/>
    <s v="ST23"/>
    <s v="South"/>
    <s v="P225"/>
    <s v="Shoes"/>
    <n v="2"/>
    <n v="1459.16"/>
    <n v="20"/>
    <n v="679.7"/>
    <x v="1"/>
    <s v="Cash"/>
    <n v="2334.6560000000004"/>
    <n v="975.25600000000031"/>
    <s v="Saturday"/>
    <b v="1"/>
    <x v="9"/>
  </r>
  <r>
    <s v="NV1742"/>
    <d v="2025-07-07T00:00:00"/>
    <s v="ST30"/>
    <s v="North"/>
    <s v="P191"/>
    <s v="Shoes"/>
    <n v="3"/>
    <n v="1521.3"/>
    <n v="20"/>
    <n v="984.21"/>
    <x v="1"/>
    <s v="Cash"/>
    <n v="3651.12"/>
    <n v="698.48999999999978"/>
    <s v="Monday"/>
    <b v="0"/>
    <x v="4"/>
  </r>
  <r>
    <s v="NV1743"/>
    <d v="2024-05-24T00:00:00"/>
    <s v="ST50"/>
    <s v="East"/>
    <s v="P181"/>
    <s v="Accessories"/>
    <n v="3"/>
    <n v="829.89"/>
    <n v="15"/>
    <n v="579.4"/>
    <x v="0"/>
    <s v="Digital"/>
    <n v="2116.2195000000002"/>
    <n v="378.01950000000033"/>
    <s v="Friday"/>
    <b v="0"/>
    <x v="9"/>
  </r>
  <r>
    <s v="NV1744"/>
    <d v="2025-03-10T00:00:00"/>
    <s v="ST57"/>
    <s v="South"/>
    <s v="P12"/>
    <s v="Shoes"/>
    <n v="3"/>
    <n v="2061.12"/>
    <n v="20"/>
    <n v="1043.33"/>
    <x v="1"/>
    <s v="Digital"/>
    <n v="4946.6880000000001"/>
    <n v="1816.6980000000003"/>
    <s v="Monday"/>
    <b v="0"/>
    <x v="7"/>
  </r>
  <r>
    <s v="NV1745"/>
    <d v="2024-02-26T00:00:00"/>
    <s v="ST40"/>
    <s v="West"/>
    <s v="P209"/>
    <s v="Shoes"/>
    <n v="5"/>
    <n v="2692.95"/>
    <n v="5"/>
    <n v="1498.27"/>
    <x v="1"/>
    <s v="Cash"/>
    <n v="12791.512499999999"/>
    <n v="5300.1624999999985"/>
    <s v="Monday"/>
    <b v="0"/>
    <x v="3"/>
  </r>
  <r>
    <s v="NV1746"/>
    <d v="2025-05-11T00:00:00"/>
    <s v="ST49"/>
    <s v="North"/>
    <s v="P89"/>
    <s v="Clothing"/>
    <n v="2"/>
    <n v="2425.98"/>
    <n v="0"/>
    <n v="1664.91"/>
    <x v="0"/>
    <s v="Card"/>
    <n v="4851.96"/>
    <n v="1522.1399999999999"/>
    <s v="Sunday"/>
    <b v="1"/>
    <x v="9"/>
  </r>
  <r>
    <s v="NV1747"/>
    <d v="2025-08-13T00:00:00"/>
    <s v="ST18"/>
    <s v="East"/>
    <s v="P237"/>
    <s v="Clothing"/>
    <n v="2"/>
    <n v="1105.78"/>
    <n v="0"/>
    <n v="457.95"/>
    <x v="0"/>
    <s v="Digital"/>
    <n v="2211.56"/>
    <n v="1295.6599999999999"/>
    <s v="Wednesday"/>
    <b v="0"/>
    <x v="5"/>
  </r>
  <r>
    <s v="NV1748"/>
    <d v="2025-05-03T00:00:00"/>
    <s v="ST18"/>
    <s v="East"/>
    <s v="P273"/>
    <s v="Clothing"/>
    <n v="1"/>
    <n v="387.41"/>
    <n v="30"/>
    <n v="221.9"/>
    <x v="0"/>
    <s v="Cash"/>
    <n v="271.18700000000001"/>
    <n v="49.287000000000006"/>
    <s v="Saturday"/>
    <b v="1"/>
    <x v="9"/>
  </r>
  <r>
    <s v="NV1749"/>
    <d v="2025-07-12T00:00:00"/>
    <s v="ST49"/>
    <s v="East"/>
    <s v="P236"/>
    <s v="Shoes"/>
    <n v="2"/>
    <n v="2799"/>
    <n v="5"/>
    <n v="1344.1"/>
    <x v="0"/>
    <s v="Cash"/>
    <n v="5318.0999999999995"/>
    <n v="2629.8999999999996"/>
    <s v="Saturday"/>
    <b v="1"/>
    <x v="4"/>
  </r>
  <r>
    <s v="NV1750"/>
    <d v="2024-01-30T00:00:00"/>
    <s v="ST53"/>
    <s v="North"/>
    <s v="P147"/>
    <s v="Shoes"/>
    <n v="5"/>
    <n v="2411.64"/>
    <n v="15"/>
    <n v="1098.1600000000001"/>
    <x v="1"/>
    <s v="Cash"/>
    <n v="10249.469999999999"/>
    <n v="4758.6699999999992"/>
    <s v="Tuesday"/>
    <b v="0"/>
    <x v="10"/>
  </r>
  <r>
    <s v="NV1751"/>
    <d v="2025-03-13T00:00:00"/>
    <s v="ST35"/>
    <s v="North"/>
    <s v="P31"/>
    <s v="Accessories"/>
    <n v="3"/>
    <n v="2040.75"/>
    <n v="5"/>
    <n v="979.77"/>
    <x v="1"/>
    <s v="Digital"/>
    <n v="5816.1374999999998"/>
    <n v="2876.8274999999999"/>
    <s v="Thursday"/>
    <b v="0"/>
    <x v="7"/>
  </r>
  <r>
    <s v="NV1752"/>
    <d v="2025-09-23T00:00:00"/>
    <s v="ST52"/>
    <s v="North"/>
    <s v="P56"/>
    <s v="Shoes"/>
    <n v="4"/>
    <n v="2689.35"/>
    <n v="0"/>
    <n v="1879.95"/>
    <x v="0"/>
    <s v="Digital"/>
    <n v="10757.4"/>
    <n v="3237.5999999999995"/>
    <s v="Tuesday"/>
    <b v="0"/>
    <x v="6"/>
  </r>
  <r>
    <s v="NV1753"/>
    <d v="2024-05-15T00:00:00"/>
    <s v="ST4"/>
    <s v="West"/>
    <s v="P194"/>
    <s v="Accessories"/>
    <n v="3"/>
    <n v="1071.58"/>
    <n v="20"/>
    <n v="632.30999999999995"/>
    <x v="0"/>
    <s v="Cash"/>
    <n v="2571.7919999999999"/>
    <n v="674.86200000000008"/>
    <s v="Wednesday"/>
    <b v="0"/>
    <x v="9"/>
  </r>
  <r>
    <s v="NV1754"/>
    <d v="2024-08-12T00:00:00"/>
    <s v="ST17"/>
    <s v="West"/>
    <s v="P40"/>
    <s v="Accessories"/>
    <n v="5"/>
    <n v="1518.84"/>
    <n v="20"/>
    <n v="797.67"/>
    <x v="0"/>
    <s v="Digital"/>
    <n v="6075.3600000000006"/>
    <n v="2087.0100000000007"/>
    <s v="Monday"/>
    <b v="0"/>
    <x v="5"/>
  </r>
  <r>
    <s v="NV1755"/>
    <d v="2024-03-24T00:00:00"/>
    <s v="ST40"/>
    <s v="East"/>
    <s v="P272"/>
    <s v="Clothing"/>
    <n v="3"/>
    <n v="821.65"/>
    <n v="5"/>
    <n v="549.49"/>
    <x v="1"/>
    <s v="Card"/>
    <n v="2341.7024999999999"/>
    <n v="693.23249999999985"/>
    <s v="Sunday"/>
    <b v="1"/>
    <x v="7"/>
  </r>
  <r>
    <s v="NV1756"/>
    <d v="2025-04-11T00:00:00"/>
    <s v="ST37"/>
    <s v="West"/>
    <s v="P110"/>
    <s v="Accessories"/>
    <n v="1"/>
    <n v="2196.0100000000002"/>
    <n v="15"/>
    <n v="1221.4100000000001"/>
    <x v="1"/>
    <s v="Cash"/>
    <n v="1866.6085"/>
    <n v="645.19849999999997"/>
    <s v="Friday"/>
    <b v="0"/>
    <x v="8"/>
  </r>
  <r>
    <s v="NV1757"/>
    <d v="2025-10-09T00:00:00"/>
    <s v="ST38"/>
    <s v="North"/>
    <s v="P110"/>
    <s v="Clothing"/>
    <n v="2"/>
    <n v="437.68"/>
    <n v="20"/>
    <n v="201.67"/>
    <x v="1"/>
    <s v="Cash"/>
    <n v="700.28800000000001"/>
    <n v="296.94800000000004"/>
    <s v="Thursday"/>
    <b v="0"/>
    <x v="2"/>
  </r>
  <r>
    <s v="NV1758"/>
    <d v="2025-10-01T00:00:00"/>
    <s v="ST1"/>
    <s v="West"/>
    <s v="P271"/>
    <s v="Clothing"/>
    <n v="1"/>
    <n v="1903.77"/>
    <n v="5"/>
    <n v="1330.57"/>
    <x v="1"/>
    <s v="Cash"/>
    <n v="1808.5815"/>
    <n v="478.01150000000007"/>
    <s v="Wednesday"/>
    <b v="0"/>
    <x v="2"/>
  </r>
  <r>
    <s v="NV1759"/>
    <d v="2025-08-13T00:00:00"/>
    <s v="ST32"/>
    <s v="East"/>
    <s v="P182"/>
    <s v="Accessories"/>
    <n v="5"/>
    <n v="1668.89"/>
    <n v="10"/>
    <n v="667.78"/>
    <x v="0"/>
    <s v="Cash"/>
    <n v="7510.005000000001"/>
    <n v="4171.1050000000014"/>
    <s v="Wednesday"/>
    <b v="0"/>
    <x v="5"/>
  </r>
  <r>
    <s v="NV1760"/>
    <d v="2025-04-17T00:00:00"/>
    <s v="ST32"/>
    <s v="West"/>
    <s v="P170"/>
    <s v="Accessories"/>
    <n v="5"/>
    <n v="327.64999999999998"/>
    <n v="20"/>
    <n v="191.36"/>
    <x v="0"/>
    <s v="Card"/>
    <n v="1310.6000000000001"/>
    <n v="353.80000000000007"/>
    <s v="Thursday"/>
    <b v="0"/>
    <x v="8"/>
  </r>
  <r>
    <s v="NV1761"/>
    <d v="2024-05-01T00:00:00"/>
    <s v="ST21"/>
    <s v="North"/>
    <s v="P84"/>
    <s v="Shoes"/>
    <n v="3"/>
    <n v="318.92"/>
    <n v="0"/>
    <n v="150.97"/>
    <x v="0"/>
    <s v="Digital"/>
    <n v="956.76"/>
    <n v="503.85"/>
    <s v="Wednesday"/>
    <b v="0"/>
    <x v="9"/>
  </r>
  <r>
    <s v="NV1762"/>
    <d v="2024-06-24T00:00:00"/>
    <s v="ST21"/>
    <s v="North"/>
    <s v="P3"/>
    <s v="Shoes"/>
    <n v="4"/>
    <n v="2418.2800000000002"/>
    <n v="30"/>
    <n v="1656.96"/>
    <x v="1"/>
    <s v="Digital"/>
    <n v="6771.1840000000002"/>
    <n v="143.34400000000005"/>
    <s v="Monday"/>
    <b v="0"/>
    <x v="0"/>
  </r>
  <r>
    <s v="NV1763"/>
    <d v="2024-06-12T00:00:00"/>
    <s v="ST56"/>
    <s v="West"/>
    <s v="P93"/>
    <s v="Clothing"/>
    <n v="3"/>
    <n v="2807.79"/>
    <n v="20"/>
    <n v="1561.35"/>
    <x v="0"/>
    <s v="Cash"/>
    <n v="6738.6959999999999"/>
    <n v="2054.6460000000006"/>
    <s v="Wednesday"/>
    <b v="0"/>
    <x v="0"/>
  </r>
  <r>
    <s v="NV1764"/>
    <d v="2025-03-22T00:00:00"/>
    <s v="ST23"/>
    <s v="West"/>
    <s v="P294"/>
    <s v="Clothing"/>
    <n v="2"/>
    <n v="325.48"/>
    <n v="15"/>
    <n v="227.66"/>
    <x v="0"/>
    <s v="Digital"/>
    <n v="553.31600000000003"/>
    <n v="97.996000000000038"/>
    <s v="Saturday"/>
    <b v="1"/>
    <x v="7"/>
  </r>
  <r>
    <s v="NV1765"/>
    <d v="2025-08-28T00:00:00"/>
    <s v="ST23"/>
    <s v="East"/>
    <s v="P240"/>
    <s v="Shoes"/>
    <n v="3"/>
    <n v="2500.1799999999998"/>
    <n v="10"/>
    <n v="1612.62"/>
    <x v="0"/>
    <s v="Card"/>
    <n v="6750.485999999999"/>
    <n v="1912.6259999999993"/>
    <s v="Thursday"/>
    <b v="0"/>
    <x v="5"/>
  </r>
  <r>
    <s v="NV1766"/>
    <d v="2024-06-14T00:00:00"/>
    <s v="ST50"/>
    <s v="North"/>
    <s v="P4"/>
    <s v="Clothing"/>
    <n v="4"/>
    <n v="384.32"/>
    <n v="5"/>
    <n v="203.81"/>
    <x v="1"/>
    <s v="Cash"/>
    <n v="1460.4159999999999"/>
    <n v="645.17599999999993"/>
    <s v="Friday"/>
    <b v="0"/>
    <x v="0"/>
  </r>
  <r>
    <s v="NV1767"/>
    <d v="2024-01-09T00:00:00"/>
    <s v="ST5"/>
    <s v="South"/>
    <s v="P240"/>
    <s v="Accessories"/>
    <n v="2"/>
    <n v="2849.31"/>
    <n v="30"/>
    <n v="1471.42"/>
    <x v="1"/>
    <s v="Digital"/>
    <n v="3989.0339999999997"/>
    <n v="1046.1939999999995"/>
    <s v="Tuesday"/>
    <b v="0"/>
    <x v="10"/>
  </r>
  <r>
    <s v="NV1768"/>
    <d v="2025-07-02T00:00:00"/>
    <s v="ST37"/>
    <s v="South"/>
    <s v="P155"/>
    <s v="Clothing"/>
    <n v="2"/>
    <n v="1472.5"/>
    <n v="0"/>
    <n v="1028.22"/>
    <x v="0"/>
    <s v="Card"/>
    <n v="2945"/>
    <n v="888.56"/>
    <s v="Wednesday"/>
    <b v="0"/>
    <x v="4"/>
  </r>
  <r>
    <s v="NV1769"/>
    <d v="2025-05-11T00:00:00"/>
    <s v="ST59"/>
    <s v="East"/>
    <s v="P46"/>
    <s v="Accessories"/>
    <n v="2"/>
    <n v="643.76"/>
    <n v="0"/>
    <n v="331.03"/>
    <x v="1"/>
    <s v="Digital"/>
    <n v="1287.52"/>
    <n v="625.46"/>
    <s v="Sunday"/>
    <b v="1"/>
    <x v="9"/>
  </r>
  <r>
    <s v="NV1770"/>
    <d v="2024-03-10T00:00:00"/>
    <s v="ST54"/>
    <s v="South"/>
    <s v="P52"/>
    <s v="Clothing"/>
    <n v="4"/>
    <n v="1564.69"/>
    <n v="5"/>
    <n v="726.43"/>
    <x v="0"/>
    <s v="Card"/>
    <n v="5945.8220000000001"/>
    <n v="3040.1020000000003"/>
    <s v="Sunday"/>
    <b v="1"/>
    <x v="7"/>
  </r>
  <r>
    <s v="NV1771"/>
    <d v="2024-03-18T00:00:00"/>
    <s v="ST4"/>
    <s v="West"/>
    <s v="P136"/>
    <s v="Clothing"/>
    <n v="3"/>
    <n v="1542.12"/>
    <n v="20"/>
    <n v="686.39"/>
    <x v="1"/>
    <s v="Digital"/>
    <n v="3701.0879999999997"/>
    <n v="1641.9179999999997"/>
    <s v="Monday"/>
    <b v="0"/>
    <x v="7"/>
  </r>
  <r>
    <s v="NV1772"/>
    <d v="2025-11-15T00:00:00"/>
    <s v="ST53"/>
    <s v="South"/>
    <s v="P239"/>
    <s v="Shoes"/>
    <n v="1"/>
    <n v="1529.8"/>
    <n v="5"/>
    <n v="919.65"/>
    <x v="1"/>
    <s v="Card"/>
    <n v="1453.31"/>
    <n v="533.66"/>
    <s v="Saturday"/>
    <b v="1"/>
    <x v="1"/>
  </r>
  <r>
    <s v="NV1773"/>
    <d v="2024-02-07T00:00:00"/>
    <s v="ST26"/>
    <s v="North"/>
    <s v="P29"/>
    <s v="Clothing"/>
    <n v="5"/>
    <n v="2696.46"/>
    <n v="15"/>
    <n v="1782.39"/>
    <x v="1"/>
    <s v="Digital"/>
    <n v="11459.955"/>
    <n v="2548.0049999999992"/>
    <s v="Wednesday"/>
    <b v="0"/>
    <x v="3"/>
  </r>
  <r>
    <s v="NV1774"/>
    <d v="2024-08-15T00:00:00"/>
    <s v="ST20"/>
    <s v="North"/>
    <s v="P176"/>
    <s v="Accessories"/>
    <n v="2"/>
    <n v="2792.02"/>
    <n v="5"/>
    <n v="1397.71"/>
    <x v="1"/>
    <s v="Cash"/>
    <n v="5304.8379999999997"/>
    <n v="2509.4179999999997"/>
    <s v="Thursday"/>
    <b v="0"/>
    <x v="5"/>
  </r>
  <r>
    <s v="NV1775"/>
    <d v="2024-02-17T00:00:00"/>
    <s v="ST55"/>
    <s v="South"/>
    <s v="P35"/>
    <s v="Accessories"/>
    <n v="4"/>
    <n v="2081.9299999999998"/>
    <n v="20"/>
    <n v="928.81"/>
    <x v="1"/>
    <s v="Cash"/>
    <n v="6662.1759999999995"/>
    <n v="2946.9359999999997"/>
    <s v="Saturday"/>
    <b v="1"/>
    <x v="3"/>
  </r>
  <r>
    <s v="NV1776"/>
    <d v="2025-08-11T00:00:00"/>
    <s v="ST34"/>
    <s v="West"/>
    <s v="P70"/>
    <s v="Shoes"/>
    <n v="5"/>
    <n v="944.05"/>
    <n v="5"/>
    <n v="420.33"/>
    <x v="1"/>
    <s v="Cash"/>
    <n v="4484.2375000000002"/>
    <n v="2382.5875000000001"/>
    <s v="Monday"/>
    <b v="0"/>
    <x v="5"/>
  </r>
  <r>
    <s v="NV1777"/>
    <d v="2024-12-13T00:00:00"/>
    <s v="ST30"/>
    <s v="East"/>
    <s v="P238"/>
    <s v="Clothing"/>
    <n v="3"/>
    <n v="2601.8200000000002"/>
    <n v="20"/>
    <n v="1709.15"/>
    <x v="0"/>
    <s v="Digital"/>
    <n v="6244.3680000000013"/>
    <n v="1116.9180000000006"/>
    <s v="Friday"/>
    <b v="0"/>
    <x v="11"/>
  </r>
  <r>
    <s v="NV1778"/>
    <d v="2025-05-31T00:00:00"/>
    <s v="ST2"/>
    <s v="East"/>
    <s v="P180"/>
    <s v="Accessories"/>
    <n v="5"/>
    <n v="896.62"/>
    <n v="0"/>
    <n v="455.57"/>
    <x v="0"/>
    <s v="Card"/>
    <n v="4483.1000000000004"/>
    <n v="2205.2500000000005"/>
    <s v="Saturday"/>
    <b v="1"/>
    <x v="9"/>
  </r>
  <r>
    <s v="NV1779"/>
    <d v="2024-08-09T00:00:00"/>
    <s v="ST50"/>
    <s v="North"/>
    <s v="P219"/>
    <s v="Shoes"/>
    <n v="3"/>
    <n v="2819.3"/>
    <n v="10"/>
    <n v="1865.31"/>
    <x v="1"/>
    <s v="Card"/>
    <n v="7612.1100000000015"/>
    <n v="2016.1800000000012"/>
    <s v="Friday"/>
    <b v="0"/>
    <x v="5"/>
  </r>
  <r>
    <s v="NV1780"/>
    <d v="2025-11-27T00:00:00"/>
    <s v="ST18"/>
    <s v="West"/>
    <s v="P113"/>
    <s v="Shoes"/>
    <n v="3"/>
    <n v="963.87"/>
    <n v="15"/>
    <n v="605.14"/>
    <x v="1"/>
    <s v="Card"/>
    <n v="2457.8685"/>
    <n v="642.44849999999997"/>
    <s v="Thursday"/>
    <b v="0"/>
    <x v="1"/>
  </r>
  <r>
    <s v="NV1781"/>
    <d v="2024-09-10T00:00:00"/>
    <s v="ST53"/>
    <s v="North"/>
    <s v="P76"/>
    <s v="Clothing"/>
    <n v="3"/>
    <n v="728.16"/>
    <n v="15"/>
    <n v="476.48"/>
    <x v="0"/>
    <s v="Digital"/>
    <n v="1856.808"/>
    <n v="427.36799999999994"/>
    <s v="Tuesday"/>
    <b v="0"/>
    <x v="6"/>
  </r>
  <r>
    <s v="NV1782"/>
    <d v="2025-05-27T00:00:00"/>
    <s v="ST18"/>
    <s v="South"/>
    <s v="P68"/>
    <s v="Clothing"/>
    <n v="2"/>
    <n v="1496.42"/>
    <n v="20"/>
    <n v="709.12"/>
    <x v="1"/>
    <s v="Cash"/>
    <n v="2394.2720000000004"/>
    <n v="976.03200000000038"/>
    <s v="Tuesday"/>
    <b v="0"/>
    <x v="9"/>
  </r>
  <r>
    <s v="NV1783"/>
    <d v="2025-10-17T00:00:00"/>
    <s v="ST36"/>
    <s v="South"/>
    <s v="P64"/>
    <s v="Clothing"/>
    <n v="4"/>
    <n v="1348.88"/>
    <n v="0"/>
    <n v="848.01"/>
    <x v="0"/>
    <s v="Cash"/>
    <n v="5395.52"/>
    <n v="2003.4800000000005"/>
    <s v="Friday"/>
    <b v="0"/>
    <x v="2"/>
  </r>
  <r>
    <s v="NV1784"/>
    <d v="2025-07-24T00:00:00"/>
    <s v="ST22"/>
    <s v="West"/>
    <s v="P113"/>
    <s v="Accessories"/>
    <n v="2"/>
    <n v="1567"/>
    <n v="20"/>
    <n v="913.21"/>
    <x v="1"/>
    <s v="Digital"/>
    <n v="2507.2000000000003"/>
    <n v="680.7800000000002"/>
    <s v="Thursday"/>
    <b v="0"/>
    <x v="4"/>
  </r>
  <r>
    <s v="NV1785"/>
    <d v="2025-10-21T00:00:00"/>
    <s v="ST29"/>
    <s v="West"/>
    <s v="P124"/>
    <s v="Clothing"/>
    <n v="4"/>
    <n v="1882.25"/>
    <n v="5"/>
    <n v="1134.21"/>
    <x v="0"/>
    <s v="Cash"/>
    <n v="7152.5499999999993"/>
    <n v="2615.7099999999991"/>
    <s v="Tuesday"/>
    <b v="0"/>
    <x v="2"/>
  </r>
  <r>
    <s v="NV1786"/>
    <d v="2024-09-12T00:00:00"/>
    <s v="ST9"/>
    <s v="West"/>
    <s v="P240"/>
    <s v="Shoes"/>
    <n v="3"/>
    <n v="1437.6"/>
    <n v="25"/>
    <n v="601.58000000000004"/>
    <x v="0"/>
    <s v="Cash"/>
    <n v="3234.5999999999995"/>
    <n v="1429.8599999999992"/>
    <s v="Thursday"/>
    <b v="0"/>
    <x v="6"/>
  </r>
  <r>
    <s v="NV1787"/>
    <d v="2024-01-25T00:00:00"/>
    <s v="ST53"/>
    <s v="South"/>
    <s v="P242"/>
    <s v="Clothing"/>
    <n v="2"/>
    <n v="549.04"/>
    <n v="10"/>
    <n v="316.66000000000003"/>
    <x v="1"/>
    <s v="Card"/>
    <n v="988.27199999999993"/>
    <n v="354.95199999999988"/>
    <s v="Thursday"/>
    <b v="0"/>
    <x v="10"/>
  </r>
  <r>
    <s v="NV1788"/>
    <d v="2025-02-25T00:00:00"/>
    <s v="ST41"/>
    <s v="West"/>
    <s v="P18"/>
    <s v="Accessories"/>
    <n v="3"/>
    <n v="1312.65"/>
    <n v="30"/>
    <n v="536.1"/>
    <x v="0"/>
    <s v="Card"/>
    <n v="2756.5650000000001"/>
    <n v="1148.2649999999999"/>
    <s v="Tuesday"/>
    <b v="0"/>
    <x v="3"/>
  </r>
  <r>
    <s v="NV1789"/>
    <d v="2024-11-06T00:00:00"/>
    <s v="ST35"/>
    <s v="West"/>
    <s v="P175"/>
    <s v="Accessories"/>
    <n v="1"/>
    <n v="2116.9499999999998"/>
    <n v="25"/>
    <n v="1205.6099999999999"/>
    <x v="1"/>
    <s v="Card"/>
    <n v="1587.7124999999999"/>
    <n v="382.10249999999996"/>
    <s v="Wednesday"/>
    <b v="0"/>
    <x v="1"/>
  </r>
  <r>
    <s v="NV1790"/>
    <d v="2024-11-07T00:00:00"/>
    <s v="ST42"/>
    <s v="South"/>
    <s v="P245"/>
    <s v="Clothing"/>
    <n v="3"/>
    <n v="2455.8000000000002"/>
    <n v="30"/>
    <n v="1420.61"/>
    <x v="1"/>
    <s v="Digital"/>
    <n v="5157.18"/>
    <n v="895.35000000000036"/>
    <s v="Thursday"/>
    <b v="0"/>
    <x v="1"/>
  </r>
  <r>
    <s v="NV1791"/>
    <d v="2024-02-17T00:00:00"/>
    <s v="ST39"/>
    <s v="East"/>
    <s v="P69"/>
    <s v="Shoes"/>
    <n v="5"/>
    <n v="2736.09"/>
    <n v="30"/>
    <n v="1900.17"/>
    <x v="0"/>
    <s v="Card"/>
    <n v="9576.3150000000005"/>
    <n v="75.465000000000146"/>
    <s v="Saturday"/>
    <b v="1"/>
    <x v="3"/>
  </r>
  <r>
    <s v="NV1792"/>
    <d v="2025-11-25T00:00:00"/>
    <s v="ST14"/>
    <s v="East"/>
    <s v="P133"/>
    <s v="Clothing"/>
    <n v="4"/>
    <n v="1777.9"/>
    <n v="0"/>
    <n v="955.53"/>
    <x v="0"/>
    <s v="Cash"/>
    <n v="7111.6"/>
    <n v="3289.4800000000005"/>
    <s v="Tuesday"/>
    <b v="0"/>
    <x v="1"/>
  </r>
  <r>
    <s v="NV1793"/>
    <d v="2025-03-08T00:00:00"/>
    <s v="ST28"/>
    <s v="North"/>
    <s v="P251"/>
    <s v="Accessories"/>
    <n v="2"/>
    <n v="2553.06"/>
    <n v="25"/>
    <n v="1704.62"/>
    <x v="0"/>
    <s v="Card"/>
    <n v="3829.59"/>
    <n v="420.35000000000036"/>
    <s v="Saturday"/>
    <b v="1"/>
    <x v="7"/>
  </r>
  <r>
    <s v="NV1794"/>
    <d v="2024-10-05T00:00:00"/>
    <s v="ST12"/>
    <s v="East"/>
    <s v="P244"/>
    <s v="Shoes"/>
    <n v="1"/>
    <n v="1453.73"/>
    <n v="10"/>
    <n v="938.66"/>
    <x v="1"/>
    <s v="Cash"/>
    <n v="1308.357"/>
    <n v="369.697"/>
    <s v="Saturday"/>
    <b v="1"/>
    <x v="2"/>
  </r>
  <r>
    <s v="NV1795"/>
    <d v="2024-07-01T00:00:00"/>
    <s v="ST15"/>
    <s v="South"/>
    <s v="P201"/>
    <s v="Clothing"/>
    <n v="2"/>
    <n v="609.62"/>
    <n v="25"/>
    <n v="283.99"/>
    <x v="0"/>
    <s v="Cash"/>
    <n v="914.43000000000006"/>
    <n v="346.45000000000005"/>
    <s v="Monday"/>
    <b v="0"/>
    <x v="4"/>
  </r>
  <r>
    <s v="NV1796"/>
    <d v="2024-03-19T00:00:00"/>
    <s v="ST13"/>
    <s v="East"/>
    <s v="P164"/>
    <s v="Accessories"/>
    <n v="1"/>
    <n v="1437.72"/>
    <n v="30"/>
    <n v="902.22"/>
    <x v="1"/>
    <s v="Digital"/>
    <n v="1006.404"/>
    <n v="104.18399999999997"/>
    <s v="Tuesday"/>
    <b v="0"/>
    <x v="7"/>
  </r>
  <r>
    <s v="NV1797"/>
    <d v="2024-05-19T00:00:00"/>
    <s v="ST44"/>
    <s v="South"/>
    <s v="P100"/>
    <s v="Accessories"/>
    <n v="4"/>
    <n v="1678.57"/>
    <n v="20"/>
    <n v="1161.6400000000001"/>
    <x v="1"/>
    <s v="Digital"/>
    <n v="5371.424"/>
    <n v="724.86399999999958"/>
    <s v="Sunday"/>
    <b v="1"/>
    <x v="9"/>
  </r>
  <r>
    <s v="NV1798"/>
    <d v="2024-04-16T00:00:00"/>
    <s v="ST50"/>
    <s v="South"/>
    <s v="P257"/>
    <s v="Shoes"/>
    <n v="1"/>
    <n v="2847.55"/>
    <n v="5"/>
    <n v="1571.55"/>
    <x v="0"/>
    <s v="Card"/>
    <n v="2705.1725000000001"/>
    <n v="1133.6225000000002"/>
    <s v="Tuesday"/>
    <b v="0"/>
    <x v="8"/>
  </r>
  <r>
    <s v="NV1799"/>
    <d v="2025-09-28T00:00:00"/>
    <s v="ST56"/>
    <s v="North"/>
    <s v="P150"/>
    <s v="Accessories"/>
    <n v="4"/>
    <n v="975.48"/>
    <n v="15"/>
    <n v="607.59"/>
    <x v="0"/>
    <s v="Cash"/>
    <n v="3316.6320000000001"/>
    <n v="886.27199999999993"/>
    <s v="Sunday"/>
    <b v="1"/>
    <x v="6"/>
  </r>
  <r>
    <s v="NV1800"/>
    <d v="2024-02-17T00:00:00"/>
    <s v="ST55"/>
    <s v="South"/>
    <s v="P193"/>
    <s v="Accessories"/>
    <n v="3"/>
    <n v="1068"/>
    <n v="25"/>
    <n v="680.68"/>
    <x v="0"/>
    <s v="Digital"/>
    <n v="2403"/>
    <n v="360.96000000000004"/>
    <s v="Saturday"/>
    <b v="1"/>
    <x v="3"/>
  </r>
  <r>
    <s v="NV1801"/>
    <d v="2024-07-01T00:00:00"/>
    <s v="ST59"/>
    <s v="South"/>
    <s v="P44"/>
    <s v="Clothing"/>
    <n v="4"/>
    <n v="2628.97"/>
    <n v="10"/>
    <n v="1266.6300000000001"/>
    <x v="0"/>
    <s v="Digital"/>
    <n v="9464.2919999999995"/>
    <n v="4397.771999999999"/>
    <s v="Monday"/>
    <b v="0"/>
    <x v="4"/>
  </r>
  <r>
    <s v="NV1802"/>
    <d v="2025-11-22T00:00:00"/>
    <s v="ST48"/>
    <s v="East"/>
    <s v="P165"/>
    <s v="Clothing"/>
    <n v="4"/>
    <n v="340.79"/>
    <n v="10"/>
    <n v="190.55"/>
    <x v="0"/>
    <s v="Card"/>
    <n v="1226.8440000000001"/>
    <n v="464.64400000000001"/>
    <s v="Saturday"/>
    <b v="1"/>
    <x v="1"/>
  </r>
  <r>
    <s v="NV1803"/>
    <d v="2025-10-14T00:00:00"/>
    <s v="ST4"/>
    <s v="North"/>
    <s v="P32"/>
    <s v="Shoes"/>
    <n v="4"/>
    <n v="557.29"/>
    <n v="15"/>
    <n v="273.77999999999997"/>
    <x v="0"/>
    <s v="Cash"/>
    <n v="1894.7859999999998"/>
    <n v="799.66599999999994"/>
    <s v="Tuesday"/>
    <b v="0"/>
    <x v="2"/>
  </r>
  <r>
    <s v="NV1804"/>
    <d v="2025-08-24T00:00:00"/>
    <s v="ST34"/>
    <s v="North"/>
    <s v="P288"/>
    <s v="Accessories"/>
    <n v="4"/>
    <n v="2930.08"/>
    <n v="5"/>
    <n v="1401.32"/>
    <x v="1"/>
    <s v="Cash"/>
    <n v="11134.304"/>
    <n v="5529.0240000000003"/>
    <s v="Sunday"/>
    <b v="1"/>
    <x v="5"/>
  </r>
  <r>
    <s v="NV1805"/>
    <d v="2025-01-09T00:00:00"/>
    <s v="ST53"/>
    <s v="North"/>
    <s v="P272"/>
    <s v="Clothing"/>
    <n v="4"/>
    <n v="1311.57"/>
    <n v="15"/>
    <n v="779.44"/>
    <x v="0"/>
    <s v="Cash"/>
    <n v="4459.3379999999997"/>
    <n v="1341.5779999999995"/>
    <s v="Thursday"/>
    <b v="0"/>
    <x v="10"/>
  </r>
  <r>
    <s v="NV1806"/>
    <d v="2024-01-07T00:00:00"/>
    <s v="ST49"/>
    <s v="North"/>
    <s v="P128"/>
    <s v="Shoes"/>
    <n v="4"/>
    <n v="951.82"/>
    <n v="15"/>
    <n v="589.86"/>
    <x v="1"/>
    <s v="Cash"/>
    <n v="3236.1880000000001"/>
    <n v="876.74800000000005"/>
    <s v="Sunday"/>
    <b v="1"/>
    <x v="10"/>
  </r>
  <r>
    <s v="NV1807"/>
    <d v="2024-03-12T00:00:00"/>
    <s v="ST37"/>
    <s v="South"/>
    <s v="P53"/>
    <s v="Accessories"/>
    <n v="1"/>
    <n v="1508.6"/>
    <n v="25"/>
    <n v="737.29"/>
    <x v="0"/>
    <s v="Digital"/>
    <n v="1131.4499999999998"/>
    <n v="394.15999999999985"/>
    <s v="Tuesday"/>
    <b v="0"/>
    <x v="7"/>
  </r>
  <r>
    <s v="NV1808"/>
    <d v="2024-05-28T00:00:00"/>
    <s v="ST18"/>
    <s v="West"/>
    <s v="P59"/>
    <s v="Clothing"/>
    <n v="3"/>
    <n v="1026.31"/>
    <n v="10"/>
    <n v="591.98"/>
    <x v="0"/>
    <s v="Digital"/>
    <n v="2771.0369999999998"/>
    <n v="995.09699999999975"/>
    <s v="Tuesday"/>
    <b v="0"/>
    <x v="9"/>
  </r>
  <r>
    <s v="NV1809"/>
    <d v="2025-01-20T00:00:00"/>
    <s v="ST22"/>
    <s v="East"/>
    <s v="P115"/>
    <s v="Accessories"/>
    <n v="5"/>
    <n v="1627.84"/>
    <n v="20"/>
    <n v="763.31"/>
    <x v="1"/>
    <s v="Digital"/>
    <n v="6511.3600000000006"/>
    <n v="2694.8100000000009"/>
    <s v="Monday"/>
    <b v="0"/>
    <x v="10"/>
  </r>
  <r>
    <s v="NV1810"/>
    <d v="2024-07-04T00:00:00"/>
    <s v="ST38"/>
    <s v="West"/>
    <s v="P238"/>
    <s v="Accessories"/>
    <n v="4"/>
    <n v="2907.28"/>
    <n v="10"/>
    <n v="1253.3"/>
    <x v="1"/>
    <s v="Card"/>
    <n v="10466.208000000001"/>
    <n v="5453.0080000000007"/>
    <s v="Thursday"/>
    <b v="0"/>
    <x v="4"/>
  </r>
  <r>
    <s v="NV1811"/>
    <d v="2025-03-31T00:00:00"/>
    <s v="ST53"/>
    <s v="North"/>
    <s v="P201"/>
    <s v="Clothing"/>
    <n v="5"/>
    <n v="2190.38"/>
    <n v="10"/>
    <n v="945.05"/>
    <x v="1"/>
    <s v="Cash"/>
    <n v="9856.7100000000009"/>
    <n v="5131.4600000000009"/>
    <s v="Monday"/>
    <b v="0"/>
    <x v="7"/>
  </r>
  <r>
    <s v="NV1812"/>
    <d v="2024-12-09T00:00:00"/>
    <s v="ST50"/>
    <s v="West"/>
    <s v="P104"/>
    <s v="Clothing"/>
    <n v="1"/>
    <n v="462.88"/>
    <n v="5"/>
    <n v="249.26"/>
    <x v="1"/>
    <s v="Digital"/>
    <n v="439.73599999999999"/>
    <n v="190.476"/>
    <s v="Monday"/>
    <b v="0"/>
    <x v="11"/>
  </r>
  <r>
    <s v="NV1813"/>
    <d v="2025-07-17T00:00:00"/>
    <s v="ST39"/>
    <s v="North"/>
    <s v="P279"/>
    <s v="Accessories"/>
    <n v="4"/>
    <n v="1202.6099999999999"/>
    <n v="10"/>
    <n v="808.84"/>
    <x v="1"/>
    <s v="Card"/>
    <n v="4329.3959999999997"/>
    <n v="1094.0359999999996"/>
    <s v="Thursday"/>
    <b v="0"/>
    <x v="4"/>
  </r>
  <r>
    <s v="NV1814"/>
    <d v="2024-10-06T00:00:00"/>
    <s v="ST20"/>
    <s v="South"/>
    <s v="P224"/>
    <s v="Shoes"/>
    <n v="5"/>
    <n v="2975.52"/>
    <n v="0"/>
    <n v="1293.1099999999999"/>
    <x v="0"/>
    <s v="Card"/>
    <n v="14877.6"/>
    <n v="8412.0500000000011"/>
    <s v="Sunday"/>
    <b v="1"/>
    <x v="2"/>
  </r>
  <r>
    <s v="NV1815"/>
    <d v="2024-10-30T00:00:00"/>
    <s v="ST55"/>
    <s v="East"/>
    <s v="P115"/>
    <s v="Shoes"/>
    <n v="2"/>
    <n v="2804.1"/>
    <n v="10"/>
    <n v="1174.76"/>
    <x v="1"/>
    <s v="Digital"/>
    <n v="5047.38"/>
    <n v="2697.86"/>
    <s v="Wednesday"/>
    <b v="0"/>
    <x v="2"/>
  </r>
  <r>
    <s v="NV1816"/>
    <d v="2024-11-26T00:00:00"/>
    <s v="ST31"/>
    <s v="South"/>
    <s v="P250"/>
    <s v="Accessories"/>
    <n v="2"/>
    <n v="2970.15"/>
    <n v="15"/>
    <n v="1397.95"/>
    <x v="1"/>
    <s v="Cash"/>
    <n v="5049.2550000000001"/>
    <n v="2253.355"/>
    <s v="Tuesday"/>
    <b v="0"/>
    <x v="1"/>
  </r>
  <r>
    <s v="NV1817"/>
    <d v="2024-09-16T00:00:00"/>
    <s v="ST1"/>
    <s v="North"/>
    <s v="P214"/>
    <s v="Clothing"/>
    <n v="2"/>
    <n v="1388.15"/>
    <n v="25"/>
    <n v="872.71"/>
    <x v="1"/>
    <s v="Card"/>
    <n v="2082.2250000000004"/>
    <n v="336.80500000000029"/>
    <s v="Monday"/>
    <b v="0"/>
    <x v="6"/>
  </r>
  <r>
    <s v="NV1818"/>
    <d v="2025-09-09T00:00:00"/>
    <s v="ST9"/>
    <s v="West"/>
    <s v="P59"/>
    <s v="Accessories"/>
    <n v="4"/>
    <n v="1481.19"/>
    <n v="5"/>
    <n v="1013.23"/>
    <x v="0"/>
    <s v="Card"/>
    <n v="5628.5219999999999"/>
    <n v="1575.6019999999999"/>
    <s v="Tuesday"/>
    <b v="0"/>
    <x v="6"/>
  </r>
  <r>
    <s v="NV1819"/>
    <d v="2024-07-15T00:00:00"/>
    <s v="ST41"/>
    <s v="East"/>
    <s v="P221"/>
    <s v="Clothing"/>
    <n v="4"/>
    <n v="1443.63"/>
    <n v="15"/>
    <n v="932.1"/>
    <x v="1"/>
    <s v="Card"/>
    <n v="4908.3420000000006"/>
    <n v="1179.9420000000005"/>
    <s v="Monday"/>
    <b v="0"/>
    <x v="4"/>
  </r>
  <r>
    <s v="NV1820"/>
    <d v="2025-09-12T00:00:00"/>
    <s v="ST23"/>
    <s v="East"/>
    <s v="P95"/>
    <s v="Shoes"/>
    <n v="3"/>
    <n v="843.47"/>
    <n v="15"/>
    <n v="488.87"/>
    <x v="1"/>
    <s v="Cash"/>
    <n v="2150.8484999999996"/>
    <n v="684.23849999999948"/>
    <s v="Friday"/>
    <b v="0"/>
    <x v="6"/>
  </r>
  <r>
    <s v="NV1821"/>
    <d v="2024-07-24T00:00:00"/>
    <s v="ST44"/>
    <s v="West"/>
    <s v="P36"/>
    <s v="Accessories"/>
    <n v="5"/>
    <n v="1687.16"/>
    <n v="25"/>
    <n v="702.93"/>
    <x v="0"/>
    <s v="Cash"/>
    <n v="6326.85"/>
    <n v="2812.2000000000007"/>
    <s v="Wednesday"/>
    <b v="0"/>
    <x v="4"/>
  </r>
  <r>
    <s v="NV1822"/>
    <d v="2025-04-13T00:00:00"/>
    <s v="ST41"/>
    <s v="North"/>
    <s v="P189"/>
    <s v="Clothing"/>
    <n v="5"/>
    <n v="2858.93"/>
    <n v="10"/>
    <n v="1724.59"/>
    <x v="1"/>
    <s v="Card"/>
    <n v="12865.184999999999"/>
    <n v="4242.2350000000006"/>
    <s v="Sunday"/>
    <b v="1"/>
    <x v="8"/>
  </r>
  <r>
    <s v="NV1823"/>
    <d v="2025-08-12T00:00:00"/>
    <s v="ST22"/>
    <s v="North"/>
    <s v="P47"/>
    <s v="Shoes"/>
    <n v="4"/>
    <n v="1965.72"/>
    <n v="5"/>
    <n v="1323.69"/>
    <x v="1"/>
    <s v="Digital"/>
    <n v="7469.7359999999999"/>
    <n v="2174.9759999999997"/>
    <s v="Tuesday"/>
    <b v="0"/>
    <x v="5"/>
  </r>
  <r>
    <s v="NV1824"/>
    <d v="2024-02-04T00:00:00"/>
    <s v="ST41"/>
    <s v="East"/>
    <s v="P119"/>
    <s v="Clothing"/>
    <n v="3"/>
    <n v="1946.09"/>
    <n v="20"/>
    <n v="978.2"/>
    <x v="1"/>
    <s v="Card"/>
    <n v="4670.616"/>
    <n v="1736.0159999999996"/>
    <s v="Sunday"/>
    <b v="1"/>
    <x v="3"/>
  </r>
  <r>
    <s v="NV1825"/>
    <d v="2025-05-12T00:00:00"/>
    <s v="ST14"/>
    <s v="East"/>
    <s v="P53"/>
    <s v="Accessories"/>
    <n v="5"/>
    <n v="2190.65"/>
    <n v="0"/>
    <n v="1379.63"/>
    <x v="0"/>
    <s v="Digital"/>
    <n v="10953.25"/>
    <n v="4055.0999999999995"/>
    <s v="Monday"/>
    <b v="0"/>
    <x v="9"/>
  </r>
  <r>
    <s v="NV1826"/>
    <d v="2024-05-19T00:00:00"/>
    <s v="ST39"/>
    <s v="West"/>
    <s v="P228"/>
    <s v="Clothing"/>
    <n v="4"/>
    <n v="739.4"/>
    <n v="20"/>
    <n v="454.3"/>
    <x v="1"/>
    <s v="Digital"/>
    <n v="2366.08"/>
    <n v="548.87999999999988"/>
    <s v="Sunday"/>
    <b v="1"/>
    <x v="9"/>
  </r>
  <r>
    <s v="NV1827"/>
    <d v="2025-11-19T00:00:00"/>
    <s v="ST48"/>
    <s v="West"/>
    <s v="P111"/>
    <s v="Shoes"/>
    <n v="1"/>
    <n v="1096.4100000000001"/>
    <n v="15"/>
    <n v="597.30999999999995"/>
    <x v="1"/>
    <s v="Digital"/>
    <n v="931.94850000000008"/>
    <n v="334.63850000000014"/>
    <s v="Wednesday"/>
    <b v="0"/>
    <x v="1"/>
  </r>
  <r>
    <s v="NV1828"/>
    <d v="2025-07-18T00:00:00"/>
    <s v="ST56"/>
    <s v="West"/>
    <s v="P203"/>
    <s v="Shoes"/>
    <n v="5"/>
    <n v="2238.91"/>
    <n v="0"/>
    <n v="1313.8"/>
    <x v="1"/>
    <s v="Cash"/>
    <n v="11194.55"/>
    <n v="4625.5499999999993"/>
    <s v="Friday"/>
    <b v="0"/>
    <x v="4"/>
  </r>
  <r>
    <s v="NV1829"/>
    <d v="2025-07-19T00:00:00"/>
    <s v="ST14"/>
    <s v="East"/>
    <s v="P64"/>
    <s v="Accessories"/>
    <n v="4"/>
    <n v="2751.81"/>
    <n v="30"/>
    <n v="1305.48"/>
    <x v="1"/>
    <s v="Cash"/>
    <n v="7705.0679999999993"/>
    <n v="2483.1479999999992"/>
    <s v="Saturday"/>
    <b v="1"/>
    <x v="4"/>
  </r>
  <r>
    <s v="NV1830"/>
    <d v="2024-07-02T00:00:00"/>
    <s v="ST5"/>
    <s v="South"/>
    <s v="P189"/>
    <s v="Clothing"/>
    <n v="5"/>
    <n v="1490.13"/>
    <n v="30"/>
    <n v="714.69"/>
    <x v="1"/>
    <s v="Card"/>
    <n v="5215.4549999999999"/>
    <n v="1642.0049999999997"/>
    <s v="Tuesday"/>
    <b v="0"/>
    <x v="4"/>
  </r>
  <r>
    <s v="NV1831"/>
    <d v="2024-05-27T00:00:00"/>
    <s v="ST40"/>
    <s v="West"/>
    <s v="P243"/>
    <s v="Shoes"/>
    <n v="3"/>
    <n v="1352.96"/>
    <n v="10"/>
    <n v="695.43"/>
    <x v="1"/>
    <s v="Card"/>
    <n v="3652.9920000000002"/>
    <n v="1566.7020000000002"/>
    <s v="Monday"/>
    <b v="0"/>
    <x v="9"/>
  </r>
  <r>
    <s v="NV1832"/>
    <d v="2024-02-07T00:00:00"/>
    <s v="ST24"/>
    <s v="East"/>
    <s v="P294"/>
    <s v="Clothing"/>
    <n v="5"/>
    <n v="950.29"/>
    <n v="20"/>
    <n v="563.71"/>
    <x v="1"/>
    <s v="Digital"/>
    <n v="3801.16"/>
    <n v="982.60999999999967"/>
    <s v="Wednesday"/>
    <b v="0"/>
    <x v="3"/>
  </r>
  <r>
    <s v="NV1833"/>
    <d v="2024-03-14T00:00:00"/>
    <s v="ST13"/>
    <s v="West"/>
    <s v="P273"/>
    <s v="Shoes"/>
    <n v="2"/>
    <n v="693.4"/>
    <n v="15"/>
    <n v="301.72000000000003"/>
    <x v="1"/>
    <s v="Digital"/>
    <n v="1178.78"/>
    <n v="575.33999999999992"/>
    <s v="Thursday"/>
    <b v="0"/>
    <x v="7"/>
  </r>
  <r>
    <s v="NV1834"/>
    <d v="2024-01-28T00:00:00"/>
    <s v="ST44"/>
    <s v="East"/>
    <s v="P258"/>
    <s v="Shoes"/>
    <n v="5"/>
    <n v="954.41"/>
    <n v="5"/>
    <n v="510.48"/>
    <x v="0"/>
    <s v="Cash"/>
    <n v="4533.4475000000002"/>
    <n v="1981.0475000000001"/>
    <s v="Sunday"/>
    <b v="1"/>
    <x v="10"/>
  </r>
  <r>
    <s v="NV1835"/>
    <d v="2024-11-26T00:00:00"/>
    <s v="ST18"/>
    <s v="South"/>
    <s v="P297"/>
    <s v="Accessories"/>
    <n v="3"/>
    <n v="2541.9299999999998"/>
    <n v="10"/>
    <n v="1578.37"/>
    <x v="0"/>
    <s v="Digital"/>
    <n v="6863.2109999999993"/>
    <n v="2128.1009999999997"/>
    <s v="Tuesday"/>
    <b v="0"/>
    <x v="1"/>
  </r>
  <r>
    <s v="NV1836"/>
    <d v="2025-04-16T00:00:00"/>
    <s v="ST15"/>
    <s v="East"/>
    <s v="P5"/>
    <s v="Shoes"/>
    <n v="5"/>
    <n v="2136.0500000000002"/>
    <n v="30"/>
    <n v="1331.95"/>
    <x v="1"/>
    <s v="Digital"/>
    <n v="7476.1749999999993"/>
    <n v="816.42499999999927"/>
    <s v="Wednesday"/>
    <b v="0"/>
    <x v="8"/>
  </r>
  <r>
    <s v="NV1837"/>
    <d v="2024-03-03T00:00:00"/>
    <s v="ST33"/>
    <s v="West"/>
    <s v="P49"/>
    <s v="Accessories"/>
    <n v="4"/>
    <n v="1089.08"/>
    <n v="5"/>
    <n v="681.42"/>
    <x v="0"/>
    <s v="Digital"/>
    <n v="4138.5039999999999"/>
    <n v="1412.8240000000001"/>
    <s v="Sunday"/>
    <b v="1"/>
    <x v="7"/>
  </r>
  <r>
    <s v="NV1838"/>
    <d v="2025-10-17T00:00:00"/>
    <s v="ST42"/>
    <s v="East"/>
    <s v="P66"/>
    <s v="Shoes"/>
    <n v="5"/>
    <n v="2129.62"/>
    <n v="15"/>
    <n v="1275.76"/>
    <x v="0"/>
    <s v="Digital"/>
    <n v="9050.8849999999984"/>
    <n v="2672.0849999999982"/>
    <s v="Friday"/>
    <b v="0"/>
    <x v="2"/>
  </r>
  <r>
    <s v="NV1839"/>
    <d v="2025-10-02T00:00:00"/>
    <s v="ST33"/>
    <s v="North"/>
    <s v="P84"/>
    <s v="Accessories"/>
    <n v="3"/>
    <n v="1128.1600000000001"/>
    <n v="15"/>
    <n v="477.68"/>
    <x v="1"/>
    <s v="Card"/>
    <n v="2876.8080000000004"/>
    <n v="1443.7680000000005"/>
    <s v="Thursday"/>
    <b v="0"/>
    <x v="2"/>
  </r>
  <r>
    <s v="NV1840"/>
    <d v="2025-02-06T00:00:00"/>
    <s v="ST51"/>
    <s v="South"/>
    <s v="P46"/>
    <s v="Clothing"/>
    <n v="4"/>
    <n v="820.49"/>
    <n v="0"/>
    <n v="347.78"/>
    <x v="1"/>
    <s v="Cash"/>
    <n v="3281.96"/>
    <n v="1890.8400000000001"/>
    <s v="Thursday"/>
    <b v="0"/>
    <x v="3"/>
  </r>
  <r>
    <s v="NV1841"/>
    <d v="2024-05-25T00:00:00"/>
    <s v="ST42"/>
    <s v="East"/>
    <s v="P166"/>
    <s v="Accessories"/>
    <n v="1"/>
    <n v="878.03"/>
    <n v="20"/>
    <n v="445.47"/>
    <x v="0"/>
    <s v="Card"/>
    <n v="702.42399999999998"/>
    <n v="256.95399999999995"/>
    <s v="Saturday"/>
    <b v="1"/>
    <x v="9"/>
  </r>
  <r>
    <s v="NV1842"/>
    <d v="2025-07-13T00:00:00"/>
    <s v="ST3"/>
    <s v="West"/>
    <s v="P153"/>
    <s v="Shoes"/>
    <n v="4"/>
    <n v="2844.91"/>
    <n v="30"/>
    <n v="1923.18"/>
    <x v="0"/>
    <s v="Cash"/>
    <n v="7965.7479999999987"/>
    <n v="273.02799999999843"/>
    <s v="Sunday"/>
    <b v="1"/>
    <x v="4"/>
  </r>
  <r>
    <s v="NV1843"/>
    <d v="2025-05-12T00:00:00"/>
    <s v="ST51"/>
    <s v="East"/>
    <s v="P64"/>
    <s v="Shoes"/>
    <n v="3"/>
    <n v="1081.08"/>
    <n v="0"/>
    <n v="583.09"/>
    <x v="0"/>
    <s v="Card"/>
    <n v="3243.24"/>
    <n v="1493.9699999999998"/>
    <s v="Monday"/>
    <b v="0"/>
    <x v="9"/>
  </r>
  <r>
    <s v="NV1844"/>
    <d v="2025-07-26T00:00:00"/>
    <s v="ST32"/>
    <s v="North"/>
    <s v="P274"/>
    <s v="Clothing"/>
    <n v="2"/>
    <n v="339.72"/>
    <n v="30"/>
    <n v="173.14"/>
    <x v="0"/>
    <s v="Card"/>
    <n v="475.608"/>
    <n v="129.32800000000003"/>
    <s v="Saturday"/>
    <b v="1"/>
    <x v="4"/>
  </r>
  <r>
    <s v="NV1845"/>
    <d v="2025-04-11T00:00:00"/>
    <s v="ST5"/>
    <s v="North"/>
    <s v="P56"/>
    <s v="Clothing"/>
    <n v="5"/>
    <n v="1082.95"/>
    <n v="25"/>
    <n v="448.58"/>
    <x v="0"/>
    <s v="Card"/>
    <n v="4061.0625"/>
    <n v="1818.1624999999999"/>
    <s v="Friday"/>
    <b v="0"/>
    <x v="8"/>
  </r>
  <r>
    <s v="NV1846"/>
    <d v="2024-02-15T00:00:00"/>
    <s v="ST49"/>
    <s v="South"/>
    <s v="P205"/>
    <s v="Shoes"/>
    <n v="2"/>
    <n v="1361.37"/>
    <n v="30"/>
    <n v="779.06"/>
    <x v="1"/>
    <s v="Card"/>
    <n v="1905.9179999999997"/>
    <n v="347.79799999999977"/>
    <s v="Thursday"/>
    <b v="0"/>
    <x v="3"/>
  </r>
  <r>
    <s v="NV1847"/>
    <d v="2025-06-21T00:00:00"/>
    <s v="ST3"/>
    <s v="North"/>
    <s v="P242"/>
    <s v="Clothing"/>
    <n v="2"/>
    <n v="1001.05"/>
    <n v="5"/>
    <n v="427.31"/>
    <x v="1"/>
    <s v="Digital"/>
    <n v="1901.9949999999999"/>
    <n v="1047.375"/>
    <s v="Saturday"/>
    <b v="1"/>
    <x v="0"/>
  </r>
  <r>
    <s v="NV1848"/>
    <d v="2025-07-28T00:00:00"/>
    <s v="ST11"/>
    <s v="North"/>
    <s v="P270"/>
    <s v="Clothing"/>
    <n v="1"/>
    <n v="1077.3399999999999"/>
    <n v="5"/>
    <n v="732.05"/>
    <x v="0"/>
    <s v="Digital"/>
    <n v="1023.4729999999998"/>
    <n v="291.42299999999989"/>
    <s v="Monday"/>
    <b v="0"/>
    <x v="4"/>
  </r>
  <r>
    <s v="NV1849"/>
    <d v="2025-11-10T00:00:00"/>
    <s v="ST28"/>
    <s v="South"/>
    <s v="P248"/>
    <s v="Accessories"/>
    <n v="1"/>
    <n v="478.09"/>
    <n v="20"/>
    <n v="272.43"/>
    <x v="0"/>
    <s v="Cash"/>
    <n v="382.47199999999998"/>
    <n v="110.04199999999997"/>
    <s v="Monday"/>
    <b v="0"/>
    <x v="1"/>
  </r>
  <r>
    <s v="NV1850"/>
    <d v="2025-05-04T00:00:00"/>
    <s v="ST22"/>
    <s v="East"/>
    <s v="P263"/>
    <s v="Clothing"/>
    <n v="5"/>
    <n v="2452.2800000000002"/>
    <n v="0"/>
    <n v="1353.6"/>
    <x v="1"/>
    <s v="Cash"/>
    <n v="12261.400000000001"/>
    <n v="5493.4000000000015"/>
    <s v="Sunday"/>
    <b v="1"/>
    <x v="9"/>
  </r>
  <r>
    <s v="NV1851"/>
    <d v="2024-05-07T00:00:00"/>
    <s v="ST59"/>
    <s v="West"/>
    <s v="P271"/>
    <s v="Shoes"/>
    <n v="4"/>
    <n v="1526.85"/>
    <n v="15"/>
    <n v="851.05"/>
    <x v="0"/>
    <s v="Card"/>
    <n v="5191.29"/>
    <n v="1787.0900000000001"/>
    <s v="Tuesday"/>
    <b v="0"/>
    <x v="9"/>
  </r>
  <r>
    <s v="NV1852"/>
    <d v="2025-06-07T00:00:00"/>
    <s v="ST36"/>
    <s v="North"/>
    <s v="P23"/>
    <s v="Accessories"/>
    <n v="5"/>
    <n v="2246.35"/>
    <n v="30"/>
    <n v="1242.03"/>
    <x v="0"/>
    <s v="Cash"/>
    <n v="7862.2249999999995"/>
    <n v="1652.0749999999998"/>
    <s v="Saturday"/>
    <b v="1"/>
    <x v="0"/>
  </r>
  <r>
    <s v="NV1853"/>
    <d v="2024-05-03T00:00:00"/>
    <s v="ST46"/>
    <s v="West"/>
    <s v="P34"/>
    <s v="Accessories"/>
    <n v="5"/>
    <n v="2490.7399999999998"/>
    <n v="10"/>
    <n v="1395.97"/>
    <x v="1"/>
    <s v="Cash"/>
    <n v="11208.33"/>
    <n v="4228.4799999999996"/>
    <s v="Friday"/>
    <b v="0"/>
    <x v="9"/>
  </r>
  <r>
    <s v="NV1854"/>
    <d v="2024-08-18T00:00:00"/>
    <s v="ST6"/>
    <s v="South"/>
    <s v="P79"/>
    <s v="Accessories"/>
    <n v="2"/>
    <n v="2110.39"/>
    <n v="15"/>
    <n v="1455.66"/>
    <x v="1"/>
    <s v="Card"/>
    <n v="3587.6629999999996"/>
    <n v="676.34299999999939"/>
    <s v="Sunday"/>
    <b v="1"/>
    <x v="5"/>
  </r>
  <r>
    <s v="NV1855"/>
    <d v="2024-08-16T00:00:00"/>
    <s v="ST43"/>
    <s v="North"/>
    <s v="P231"/>
    <s v="Shoes"/>
    <n v="2"/>
    <n v="2915.65"/>
    <n v="5"/>
    <n v="1341.29"/>
    <x v="1"/>
    <s v="Card"/>
    <n v="5539.7349999999997"/>
    <n v="2857.1549999999997"/>
    <s v="Friday"/>
    <b v="0"/>
    <x v="5"/>
  </r>
  <r>
    <s v="NV1856"/>
    <d v="2024-06-11T00:00:00"/>
    <s v="ST54"/>
    <s v="South"/>
    <s v="P266"/>
    <s v="Shoes"/>
    <n v="4"/>
    <n v="1636.69"/>
    <n v="5"/>
    <n v="1065.43"/>
    <x v="0"/>
    <s v="Card"/>
    <n v="6219.4219999999996"/>
    <n v="1957.7019999999993"/>
    <s v="Tuesday"/>
    <b v="0"/>
    <x v="0"/>
  </r>
  <r>
    <s v="NV1857"/>
    <d v="2024-01-03T00:00:00"/>
    <s v="ST51"/>
    <s v="North"/>
    <s v="P13"/>
    <s v="Clothing"/>
    <n v="5"/>
    <n v="440.03"/>
    <n v="0"/>
    <n v="215.89"/>
    <x v="0"/>
    <s v="Cash"/>
    <n v="2200.1499999999996"/>
    <n v="1120.6999999999998"/>
    <s v="Wednesday"/>
    <b v="0"/>
    <x v="10"/>
  </r>
  <r>
    <s v="NV1858"/>
    <d v="2025-01-01T00:00:00"/>
    <s v="ST20"/>
    <s v="West"/>
    <s v="P197"/>
    <s v="Accessories"/>
    <n v="3"/>
    <n v="1390.36"/>
    <n v="30"/>
    <n v="936.43"/>
    <x v="1"/>
    <s v="Digital"/>
    <n v="2919.7559999999999"/>
    <n v="110.46599999999989"/>
    <s v="Wednesday"/>
    <b v="0"/>
    <x v="10"/>
  </r>
  <r>
    <s v="NV1859"/>
    <d v="2024-03-16T00:00:00"/>
    <s v="ST8"/>
    <s v="West"/>
    <s v="P159"/>
    <s v="Accessories"/>
    <n v="1"/>
    <n v="1720.5"/>
    <n v="0"/>
    <n v="804.16"/>
    <x v="0"/>
    <s v="Digital"/>
    <n v="1720.5"/>
    <n v="916.34"/>
    <s v="Saturday"/>
    <b v="1"/>
    <x v="7"/>
  </r>
  <r>
    <s v="NV1860"/>
    <d v="2024-06-10T00:00:00"/>
    <s v="ST28"/>
    <s v="East"/>
    <s v="P240"/>
    <s v="Accessories"/>
    <n v="2"/>
    <n v="2497.73"/>
    <n v="10"/>
    <n v="1144.4100000000001"/>
    <x v="1"/>
    <s v="Card"/>
    <n v="4495.9139999999998"/>
    <n v="2207.0939999999996"/>
    <s v="Monday"/>
    <b v="0"/>
    <x v="0"/>
  </r>
  <r>
    <s v="NV1861"/>
    <d v="2024-03-07T00:00:00"/>
    <s v="ST11"/>
    <s v="South"/>
    <s v="P192"/>
    <s v="Clothing"/>
    <n v="2"/>
    <n v="2807.27"/>
    <n v="25"/>
    <n v="1298.72"/>
    <x v="0"/>
    <s v="Cash"/>
    <n v="4210.9049999999997"/>
    <n v="1613.4649999999997"/>
    <s v="Thursday"/>
    <b v="0"/>
    <x v="7"/>
  </r>
  <r>
    <s v="NV1862"/>
    <d v="2025-08-14T00:00:00"/>
    <s v="ST54"/>
    <s v="East"/>
    <s v="P189"/>
    <s v="Shoes"/>
    <n v="1"/>
    <n v="2185.5100000000002"/>
    <n v="10"/>
    <n v="906.04"/>
    <x v="1"/>
    <s v="Digital"/>
    <n v="1966.9590000000003"/>
    <n v="1060.9190000000003"/>
    <s v="Thursday"/>
    <b v="0"/>
    <x v="5"/>
  </r>
  <r>
    <s v="NV1863"/>
    <d v="2025-01-08T00:00:00"/>
    <s v="ST46"/>
    <s v="North"/>
    <s v="P227"/>
    <s v="Shoes"/>
    <n v="2"/>
    <n v="2373.7199999999998"/>
    <n v="0"/>
    <n v="1587.16"/>
    <x v="0"/>
    <s v="Digital"/>
    <n v="4747.4399999999996"/>
    <n v="1573.1199999999994"/>
    <s v="Wednesday"/>
    <b v="0"/>
    <x v="10"/>
  </r>
  <r>
    <s v="NV1864"/>
    <d v="2025-07-18T00:00:00"/>
    <s v="ST33"/>
    <s v="South"/>
    <s v="P8"/>
    <s v="Shoes"/>
    <n v="5"/>
    <n v="1415.53"/>
    <n v="15"/>
    <n v="853.6"/>
    <x v="0"/>
    <s v="Card"/>
    <n v="6016.0024999999996"/>
    <n v="1748.0024999999996"/>
    <s v="Friday"/>
    <b v="0"/>
    <x v="4"/>
  </r>
  <r>
    <s v="NV1865"/>
    <d v="2025-06-28T00:00:00"/>
    <s v="ST20"/>
    <s v="North"/>
    <s v="P250"/>
    <s v="Shoes"/>
    <n v="4"/>
    <n v="2531.59"/>
    <n v="15"/>
    <n v="1232.06"/>
    <x v="1"/>
    <s v="Cash"/>
    <n v="8607.4060000000009"/>
    <n v="3679.1660000000011"/>
    <s v="Saturday"/>
    <b v="1"/>
    <x v="0"/>
  </r>
  <r>
    <s v="NV1866"/>
    <d v="2024-11-21T00:00:00"/>
    <s v="ST8"/>
    <s v="North"/>
    <s v="P217"/>
    <s v="Accessories"/>
    <n v="5"/>
    <n v="2181.8000000000002"/>
    <n v="5"/>
    <n v="1142.04"/>
    <x v="1"/>
    <s v="Digital"/>
    <n v="10363.549999999999"/>
    <n v="4653.3499999999995"/>
    <s v="Thursday"/>
    <b v="0"/>
    <x v="1"/>
  </r>
  <r>
    <s v="NV1867"/>
    <d v="2024-10-07T00:00:00"/>
    <s v="ST30"/>
    <s v="North"/>
    <s v="P134"/>
    <s v="Shoes"/>
    <n v="5"/>
    <n v="1103.6199999999999"/>
    <n v="20"/>
    <n v="483.81"/>
    <x v="0"/>
    <s v="Cash"/>
    <n v="4414.4799999999996"/>
    <n v="1995.4299999999994"/>
    <s v="Monday"/>
    <b v="0"/>
    <x v="2"/>
  </r>
  <r>
    <s v="NV1868"/>
    <d v="2025-09-28T00:00:00"/>
    <s v="ST2"/>
    <s v="North"/>
    <s v="P150"/>
    <s v="Clothing"/>
    <n v="5"/>
    <n v="924.74"/>
    <n v="5"/>
    <n v="407.76"/>
    <x v="0"/>
    <s v="Cash"/>
    <n v="4392.5149999999994"/>
    <n v="2353.7149999999992"/>
    <s v="Sunday"/>
    <b v="1"/>
    <x v="6"/>
  </r>
  <r>
    <s v="NV1869"/>
    <d v="2024-12-12T00:00:00"/>
    <s v="ST13"/>
    <s v="West"/>
    <s v="P286"/>
    <s v="Clothing"/>
    <n v="4"/>
    <n v="1443.5"/>
    <n v="25"/>
    <n v="658.35"/>
    <x v="0"/>
    <s v="Digital"/>
    <n v="4330.5"/>
    <n v="1697.1"/>
    <s v="Thursday"/>
    <b v="0"/>
    <x v="11"/>
  </r>
  <r>
    <s v="NV1870"/>
    <d v="2024-01-25T00:00:00"/>
    <s v="ST10"/>
    <s v="South"/>
    <s v="P45"/>
    <s v="Shoes"/>
    <n v="5"/>
    <n v="2613.9699999999998"/>
    <n v="5"/>
    <n v="1053.48"/>
    <x v="0"/>
    <s v="Card"/>
    <n v="12416.357499999998"/>
    <n v="7148.9574999999986"/>
    <s v="Thursday"/>
    <b v="0"/>
    <x v="10"/>
  </r>
  <r>
    <s v="NV1871"/>
    <d v="2024-12-24T00:00:00"/>
    <s v="ST18"/>
    <s v="North"/>
    <s v="P249"/>
    <s v="Shoes"/>
    <n v="3"/>
    <n v="856.71"/>
    <n v="20"/>
    <n v="378.43"/>
    <x v="1"/>
    <s v="Card"/>
    <n v="2056.1040000000003"/>
    <n v="920.81400000000031"/>
    <s v="Tuesday"/>
    <b v="0"/>
    <x v="11"/>
  </r>
  <r>
    <s v="NV1872"/>
    <d v="2024-07-25T00:00:00"/>
    <s v="ST47"/>
    <s v="West"/>
    <s v="P257"/>
    <s v="Accessories"/>
    <n v="4"/>
    <n v="1215.81"/>
    <n v="5"/>
    <n v="496.44"/>
    <x v="1"/>
    <s v="Cash"/>
    <n v="4620.0779999999995"/>
    <n v="2634.3179999999993"/>
    <s v="Thursday"/>
    <b v="0"/>
    <x v="4"/>
  </r>
  <r>
    <s v="NV1873"/>
    <d v="2025-11-16T00:00:00"/>
    <s v="ST1"/>
    <s v="East"/>
    <s v="P179"/>
    <s v="Accessories"/>
    <n v="5"/>
    <n v="2282.0500000000002"/>
    <n v="5"/>
    <n v="1259.6500000000001"/>
    <x v="0"/>
    <s v="Card"/>
    <n v="10839.737499999999"/>
    <n v="4541.4874999999993"/>
    <s v="Sunday"/>
    <b v="1"/>
    <x v="1"/>
  </r>
  <r>
    <s v="NV1874"/>
    <d v="2024-11-23T00:00:00"/>
    <s v="ST49"/>
    <s v="West"/>
    <s v="P42"/>
    <s v="Shoes"/>
    <n v="3"/>
    <n v="2296.09"/>
    <n v="10"/>
    <n v="1098.25"/>
    <x v="1"/>
    <s v="Cash"/>
    <n v="6199.4430000000002"/>
    <n v="2904.6930000000002"/>
    <s v="Saturday"/>
    <b v="1"/>
    <x v="1"/>
  </r>
  <r>
    <s v="NV1875"/>
    <d v="2025-01-23T00:00:00"/>
    <s v="ST29"/>
    <s v="East"/>
    <s v="P182"/>
    <s v="Shoes"/>
    <n v="3"/>
    <n v="1428.26"/>
    <n v="0"/>
    <n v="926.76"/>
    <x v="1"/>
    <s v="Cash"/>
    <n v="4284.78"/>
    <n v="1504.5"/>
    <s v="Thursday"/>
    <b v="0"/>
    <x v="10"/>
  </r>
  <r>
    <s v="NV1876"/>
    <d v="2024-06-14T00:00:00"/>
    <s v="ST36"/>
    <s v="East"/>
    <s v="P232"/>
    <s v="Clothing"/>
    <n v="3"/>
    <n v="1566.59"/>
    <n v="20"/>
    <n v="631.62"/>
    <x v="1"/>
    <s v="Card"/>
    <n v="3759.8159999999998"/>
    <n v="1864.9559999999997"/>
    <s v="Friday"/>
    <b v="0"/>
    <x v="0"/>
  </r>
  <r>
    <s v="NV1877"/>
    <d v="2024-07-22T00:00:00"/>
    <s v="ST3"/>
    <s v="South"/>
    <s v="P130"/>
    <s v="Clothing"/>
    <n v="1"/>
    <n v="1889.65"/>
    <n v="0"/>
    <n v="1290.8599999999999"/>
    <x v="1"/>
    <s v="Cash"/>
    <n v="1889.65"/>
    <n v="598.79000000000019"/>
    <s v="Monday"/>
    <b v="0"/>
    <x v="4"/>
  </r>
  <r>
    <s v="NV1878"/>
    <d v="2025-01-19T00:00:00"/>
    <s v="ST30"/>
    <s v="West"/>
    <s v="P241"/>
    <s v="Accessories"/>
    <n v="4"/>
    <n v="911.76"/>
    <n v="10"/>
    <n v="556.66"/>
    <x v="0"/>
    <s v="Card"/>
    <n v="3282.3360000000002"/>
    <n v="1055.6960000000004"/>
    <s v="Sunday"/>
    <b v="1"/>
    <x v="10"/>
  </r>
  <r>
    <s v="NV1879"/>
    <d v="2024-03-10T00:00:00"/>
    <s v="ST58"/>
    <s v="East"/>
    <s v="P3"/>
    <s v="Accessories"/>
    <n v="1"/>
    <n v="442.29"/>
    <n v="0"/>
    <n v="178.27"/>
    <x v="1"/>
    <s v="Cash"/>
    <n v="442.29"/>
    <n v="264.02"/>
    <s v="Sunday"/>
    <b v="1"/>
    <x v="7"/>
  </r>
  <r>
    <s v="NV1880"/>
    <d v="2024-01-30T00:00:00"/>
    <s v="ST7"/>
    <s v="North"/>
    <s v="P186"/>
    <s v="Shoes"/>
    <n v="1"/>
    <n v="2945.93"/>
    <n v="25"/>
    <n v="2034.38"/>
    <x v="1"/>
    <s v="Card"/>
    <n v="2209.4474999999998"/>
    <n v="175.06749999999965"/>
    <s v="Tuesday"/>
    <b v="0"/>
    <x v="10"/>
  </r>
  <r>
    <s v="NV1881"/>
    <d v="2025-09-15T00:00:00"/>
    <s v="ST58"/>
    <s v="East"/>
    <s v="P269"/>
    <s v="Clothing"/>
    <n v="4"/>
    <n v="2829.54"/>
    <n v="20"/>
    <n v="1915.94"/>
    <x v="1"/>
    <s v="Card"/>
    <n v="9054.5280000000002"/>
    <n v="1390.768"/>
    <s v="Monday"/>
    <b v="0"/>
    <x v="6"/>
  </r>
  <r>
    <s v="NV1882"/>
    <d v="2024-10-08T00:00:00"/>
    <s v="ST13"/>
    <s v="West"/>
    <s v="P206"/>
    <s v="Accessories"/>
    <n v="5"/>
    <n v="2105.16"/>
    <n v="10"/>
    <n v="953.36"/>
    <x v="0"/>
    <s v="Card"/>
    <n v="9473.2199999999993"/>
    <n v="4706.4199999999992"/>
    <s v="Tuesday"/>
    <b v="0"/>
    <x v="2"/>
  </r>
  <r>
    <s v="NV1883"/>
    <d v="2025-01-19T00:00:00"/>
    <s v="ST11"/>
    <s v="East"/>
    <s v="P268"/>
    <s v="Clothing"/>
    <n v="5"/>
    <n v="1517.03"/>
    <n v="5"/>
    <n v="831.94"/>
    <x v="1"/>
    <s v="Cash"/>
    <n v="7205.892499999999"/>
    <n v="3046.1924999999983"/>
    <s v="Sunday"/>
    <b v="1"/>
    <x v="10"/>
  </r>
  <r>
    <s v="NV1884"/>
    <d v="2025-01-12T00:00:00"/>
    <s v="ST34"/>
    <s v="West"/>
    <s v="P168"/>
    <s v="Shoes"/>
    <n v="1"/>
    <n v="2439.44"/>
    <n v="20"/>
    <n v="1028.3599999999999"/>
    <x v="1"/>
    <s v="Cash"/>
    <n v="1951.5520000000001"/>
    <n v="923.19200000000023"/>
    <s v="Sunday"/>
    <b v="1"/>
    <x v="10"/>
  </r>
  <r>
    <s v="NV1885"/>
    <d v="2024-10-05T00:00:00"/>
    <s v="ST26"/>
    <s v="North"/>
    <s v="P260"/>
    <s v="Shoes"/>
    <n v="3"/>
    <n v="612.33000000000004"/>
    <n v="0"/>
    <n v="345.32"/>
    <x v="0"/>
    <s v="Cash"/>
    <n v="1836.9900000000002"/>
    <n v="801.0300000000002"/>
    <s v="Saturday"/>
    <b v="1"/>
    <x v="2"/>
  </r>
  <r>
    <s v="NV1886"/>
    <d v="2025-07-07T00:00:00"/>
    <s v="ST49"/>
    <s v="West"/>
    <s v="P27"/>
    <s v="Shoes"/>
    <n v="1"/>
    <n v="2163.84"/>
    <n v="20"/>
    <n v="1437.95"/>
    <x v="1"/>
    <s v="Digital"/>
    <n v="1731.0720000000001"/>
    <n v="293.12200000000007"/>
    <s v="Monday"/>
    <b v="0"/>
    <x v="4"/>
  </r>
  <r>
    <s v="NV1887"/>
    <d v="2024-12-19T00:00:00"/>
    <s v="ST14"/>
    <s v="North"/>
    <s v="P191"/>
    <s v="Clothing"/>
    <n v="4"/>
    <n v="798.69"/>
    <n v="25"/>
    <n v="486.98"/>
    <x v="1"/>
    <s v="Card"/>
    <n v="2396.0700000000002"/>
    <n v="448.15000000000009"/>
    <s v="Thursday"/>
    <b v="0"/>
    <x v="11"/>
  </r>
  <r>
    <s v="NV1888"/>
    <d v="2025-08-07T00:00:00"/>
    <s v="ST28"/>
    <s v="North"/>
    <s v="P162"/>
    <s v="Shoes"/>
    <n v="5"/>
    <n v="1724.76"/>
    <n v="10"/>
    <n v="1131.6500000000001"/>
    <x v="0"/>
    <s v="Cash"/>
    <n v="7761.4199999999992"/>
    <n v="2103.1699999999992"/>
    <s v="Thursday"/>
    <b v="0"/>
    <x v="5"/>
  </r>
  <r>
    <s v="NV1889"/>
    <d v="2025-09-05T00:00:00"/>
    <s v="ST31"/>
    <s v="North"/>
    <s v="P109"/>
    <s v="Shoes"/>
    <n v="5"/>
    <n v="651.99"/>
    <n v="25"/>
    <n v="264.63"/>
    <x v="1"/>
    <s v="Card"/>
    <n v="2444.9624999999996"/>
    <n v="1121.8124999999995"/>
    <s v="Friday"/>
    <b v="0"/>
    <x v="6"/>
  </r>
  <r>
    <s v="NV1890"/>
    <d v="2024-03-04T00:00:00"/>
    <s v="ST10"/>
    <s v="West"/>
    <s v="P216"/>
    <s v="Accessories"/>
    <n v="1"/>
    <n v="1529.3"/>
    <n v="0"/>
    <n v="994.47"/>
    <x v="1"/>
    <s v="Card"/>
    <n v="1529.3"/>
    <n v="534.82999999999993"/>
    <s v="Monday"/>
    <b v="0"/>
    <x v="7"/>
  </r>
  <r>
    <s v="NV1891"/>
    <d v="2025-07-10T00:00:00"/>
    <s v="ST2"/>
    <s v="East"/>
    <s v="P86"/>
    <s v="Accessories"/>
    <n v="5"/>
    <n v="1919.41"/>
    <n v="0"/>
    <n v="1024"/>
    <x v="1"/>
    <s v="Cash"/>
    <n v="9597.0500000000011"/>
    <n v="4477.0500000000011"/>
    <s v="Thursday"/>
    <b v="0"/>
    <x v="4"/>
  </r>
  <r>
    <s v="NV1892"/>
    <d v="2025-10-05T00:00:00"/>
    <s v="ST30"/>
    <s v="East"/>
    <s v="P287"/>
    <s v="Clothing"/>
    <n v="3"/>
    <n v="2942.88"/>
    <n v="15"/>
    <n v="1977.19"/>
    <x v="1"/>
    <s v="Card"/>
    <n v="7504.3439999999991"/>
    <n v="1572.7739999999994"/>
    <s v="Sunday"/>
    <b v="1"/>
    <x v="2"/>
  </r>
  <r>
    <s v="NV1893"/>
    <d v="2025-11-24T00:00:00"/>
    <s v="ST32"/>
    <s v="West"/>
    <s v="P112"/>
    <s v="Clothing"/>
    <n v="5"/>
    <n v="1000.22"/>
    <n v="25"/>
    <n v="545.79"/>
    <x v="0"/>
    <s v="Digital"/>
    <n v="3750.8250000000003"/>
    <n v="1021.8750000000005"/>
    <s v="Monday"/>
    <b v="0"/>
    <x v="1"/>
  </r>
  <r>
    <s v="NV1894"/>
    <d v="2025-08-25T00:00:00"/>
    <s v="ST21"/>
    <s v="North"/>
    <s v="P28"/>
    <s v="Shoes"/>
    <n v="4"/>
    <n v="1624.07"/>
    <n v="15"/>
    <n v="718.66"/>
    <x v="0"/>
    <s v="Digital"/>
    <n v="5521.8379999999997"/>
    <n v="2647.1979999999999"/>
    <s v="Monday"/>
    <b v="0"/>
    <x v="5"/>
  </r>
  <r>
    <s v="NV1895"/>
    <d v="2025-09-08T00:00:00"/>
    <s v="ST55"/>
    <s v="South"/>
    <s v="P265"/>
    <s v="Shoes"/>
    <n v="2"/>
    <n v="2817.17"/>
    <n v="0"/>
    <n v="1762.58"/>
    <x v="0"/>
    <s v="Digital"/>
    <n v="5634.34"/>
    <n v="2109.1800000000003"/>
    <s v="Monday"/>
    <b v="0"/>
    <x v="6"/>
  </r>
  <r>
    <s v="NV1896"/>
    <d v="2024-08-20T00:00:00"/>
    <s v="ST28"/>
    <s v="North"/>
    <s v="P104"/>
    <s v="Shoes"/>
    <n v="1"/>
    <n v="1919.68"/>
    <n v="10"/>
    <n v="984.87"/>
    <x v="0"/>
    <s v="Digital"/>
    <n v="1727.712"/>
    <n v="742.84199999999998"/>
    <s v="Tuesday"/>
    <b v="0"/>
    <x v="5"/>
  </r>
  <r>
    <s v="NV1897"/>
    <d v="2024-07-23T00:00:00"/>
    <s v="ST11"/>
    <s v="West"/>
    <s v="P68"/>
    <s v="Clothing"/>
    <n v="3"/>
    <n v="1330.84"/>
    <n v="0"/>
    <n v="780.28"/>
    <x v="1"/>
    <s v="Card"/>
    <n v="3992.5199999999995"/>
    <n v="1651.6799999999994"/>
    <s v="Tuesday"/>
    <b v="0"/>
    <x v="4"/>
  </r>
  <r>
    <s v="NV1898"/>
    <d v="2024-08-07T00:00:00"/>
    <s v="ST47"/>
    <s v="West"/>
    <s v="P194"/>
    <s v="Shoes"/>
    <n v="4"/>
    <n v="1972.66"/>
    <n v="15"/>
    <n v="802.4"/>
    <x v="0"/>
    <s v="Digital"/>
    <n v="6707.0439999999999"/>
    <n v="3497.444"/>
    <s v="Wednesday"/>
    <b v="0"/>
    <x v="5"/>
  </r>
  <r>
    <s v="NV1899"/>
    <d v="2025-04-28T00:00:00"/>
    <s v="ST43"/>
    <s v="North"/>
    <s v="P176"/>
    <s v="Shoes"/>
    <n v="4"/>
    <n v="2519.92"/>
    <n v="25"/>
    <n v="1415.8"/>
    <x v="1"/>
    <s v="Cash"/>
    <n v="7559.76"/>
    <n v="1896.5600000000004"/>
    <s v="Monday"/>
    <b v="0"/>
    <x v="8"/>
  </r>
  <r>
    <s v="NV1900"/>
    <d v="2024-02-10T00:00:00"/>
    <s v="ST31"/>
    <s v="West"/>
    <s v="P188"/>
    <s v="Shoes"/>
    <n v="1"/>
    <n v="808.87"/>
    <n v="0"/>
    <n v="348.74"/>
    <x v="1"/>
    <s v="Digital"/>
    <n v="808.87"/>
    <n v="460.13"/>
    <s v="Saturday"/>
    <b v="1"/>
    <x v="3"/>
  </r>
  <r>
    <s v="NV1901"/>
    <d v="2024-01-12T00:00:00"/>
    <s v="ST23"/>
    <s v="West"/>
    <s v="P117"/>
    <s v="Accessories"/>
    <n v="1"/>
    <n v="873.77"/>
    <n v="15"/>
    <n v="447.21"/>
    <x v="0"/>
    <s v="Cash"/>
    <n v="742.70449999999994"/>
    <n v="295.49449999999996"/>
    <s v="Friday"/>
    <b v="0"/>
    <x v="10"/>
  </r>
  <r>
    <s v="NV1902"/>
    <d v="2025-05-20T00:00:00"/>
    <s v="ST21"/>
    <s v="North"/>
    <s v="P145"/>
    <s v="Shoes"/>
    <n v="4"/>
    <n v="2358.02"/>
    <n v="5"/>
    <n v="1625.92"/>
    <x v="0"/>
    <s v="Card"/>
    <n v="8960.4759999999987"/>
    <n v="2456.7959999999985"/>
    <s v="Tuesday"/>
    <b v="0"/>
    <x v="9"/>
  </r>
  <r>
    <s v="NV1903"/>
    <d v="2024-01-22T00:00:00"/>
    <s v="ST26"/>
    <s v="East"/>
    <s v="P260"/>
    <s v="Accessories"/>
    <n v="4"/>
    <n v="794.29"/>
    <n v="25"/>
    <n v="400.13"/>
    <x v="0"/>
    <s v="Card"/>
    <n v="2382.87"/>
    <n v="782.34999999999991"/>
    <s v="Monday"/>
    <b v="0"/>
    <x v="10"/>
  </r>
  <r>
    <s v="NV1904"/>
    <d v="2024-06-08T00:00:00"/>
    <s v="ST17"/>
    <s v="South"/>
    <s v="P13"/>
    <s v="Accessories"/>
    <n v="3"/>
    <n v="560.05999999999995"/>
    <n v="15"/>
    <n v="263.25"/>
    <x v="1"/>
    <s v="Cash"/>
    <n v="1428.1529999999998"/>
    <n v="638.40299999999979"/>
    <s v="Saturday"/>
    <b v="1"/>
    <x v="0"/>
  </r>
  <r>
    <s v="NV1905"/>
    <d v="2025-03-22T00:00:00"/>
    <s v="ST27"/>
    <s v="South"/>
    <s v="P69"/>
    <s v="Shoes"/>
    <n v="1"/>
    <n v="699.03"/>
    <n v="30"/>
    <n v="468.33"/>
    <x v="1"/>
    <s v="Cash"/>
    <n v="489.32099999999997"/>
    <n v="20.990999999999985"/>
    <s v="Saturday"/>
    <b v="1"/>
    <x v="7"/>
  </r>
  <r>
    <s v="NV1906"/>
    <d v="2025-06-11T00:00:00"/>
    <s v="ST39"/>
    <s v="West"/>
    <s v="P225"/>
    <s v="Accessories"/>
    <n v="2"/>
    <n v="448.42"/>
    <n v="15"/>
    <n v="180.24"/>
    <x v="1"/>
    <s v="Cash"/>
    <n v="762.31399999999996"/>
    <n v="401.83399999999995"/>
    <s v="Wednesday"/>
    <b v="0"/>
    <x v="0"/>
  </r>
  <r>
    <s v="NV1907"/>
    <d v="2024-03-25T00:00:00"/>
    <s v="ST48"/>
    <s v="West"/>
    <s v="P56"/>
    <s v="Shoes"/>
    <n v="1"/>
    <n v="1229.8399999999999"/>
    <n v="25"/>
    <n v="718.98"/>
    <x v="1"/>
    <s v="Card"/>
    <n v="922.37999999999988"/>
    <n v="203.39999999999986"/>
    <s v="Monday"/>
    <b v="0"/>
    <x v="7"/>
  </r>
  <r>
    <s v="NV1908"/>
    <d v="2024-01-29T00:00:00"/>
    <s v="ST22"/>
    <s v="West"/>
    <s v="P7"/>
    <s v="Clothing"/>
    <n v="2"/>
    <n v="366.63"/>
    <n v="30"/>
    <n v="206.03"/>
    <x v="0"/>
    <s v="Digital"/>
    <n v="513.28199999999993"/>
    <n v="101.22199999999992"/>
    <s v="Monday"/>
    <b v="0"/>
    <x v="10"/>
  </r>
  <r>
    <s v="NV1909"/>
    <d v="2025-08-12T00:00:00"/>
    <s v="ST9"/>
    <s v="North"/>
    <s v="P94"/>
    <s v="Accessories"/>
    <n v="4"/>
    <n v="2926.63"/>
    <n v="20"/>
    <n v="1486.04"/>
    <x v="1"/>
    <s v="Card"/>
    <n v="9365.2160000000003"/>
    <n v="3421.0560000000005"/>
    <s v="Tuesday"/>
    <b v="0"/>
    <x v="5"/>
  </r>
  <r>
    <s v="NV1910"/>
    <d v="2024-11-22T00:00:00"/>
    <s v="ST36"/>
    <s v="West"/>
    <s v="P156"/>
    <s v="Shoes"/>
    <n v="5"/>
    <n v="1997.57"/>
    <n v="15"/>
    <n v="1099.6099999999999"/>
    <x v="1"/>
    <s v="Cash"/>
    <n v="8489.6725000000006"/>
    <n v="2991.6225000000013"/>
    <s v="Friday"/>
    <b v="0"/>
    <x v="1"/>
  </r>
  <r>
    <s v="NV1911"/>
    <d v="2024-03-18T00:00:00"/>
    <s v="ST32"/>
    <s v="North"/>
    <s v="P131"/>
    <s v="Shoes"/>
    <n v="1"/>
    <n v="2183.2600000000002"/>
    <n v="5"/>
    <n v="1492.4"/>
    <x v="0"/>
    <s v="Card"/>
    <n v="2074.0970000000002"/>
    <n v="581.69700000000012"/>
    <s v="Monday"/>
    <b v="0"/>
    <x v="7"/>
  </r>
  <r>
    <s v="NV1912"/>
    <d v="2025-05-18T00:00:00"/>
    <s v="ST5"/>
    <s v="East"/>
    <s v="P286"/>
    <s v="Shoes"/>
    <n v="5"/>
    <n v="2145.17"/>
    <n v="5"/>
    <n v="881.02"/>
    <x v="1"/>
    <s v="Cash"/>
    <n v="10189.557499999999"/>
    <n v="5784.4574999999986"/>
    <s v="Sunday"/>
    <b v="1"/>
    <x v="9"/>
  </r>
  <r>
    <s v="NV1913"/>
    <d v="2024-07-07T00:00:00"/>
    <s v="ST35"/>
    <s v="South"/>
    <s v="P291"/>
    <s v="Accessories"/>
    <n v="5"/>
    <n v="1825.8"/>
    <n v="20"/>
    <n v="1126.99"/>
    <x v="1"/>
    <s v="Card"/>
    <n v="7303.2000000000007"/>
    <n v="1668.2500000000009"/>
    <s v="Sunday"/>
    <b v="1"/>
    <x v="4"/>
  </r>
  <r>
    <s v="NV1914"/>
    <d v="2025-10-08T00:00:00"/>
    <s v="ST31"/>
    <s v="North"/>
    <s v="P64"/>
    <s v="Clothing"/>
    <n v="5"/>
    <n v="879.52"/>
    <n v="0"/>
    <n v="493.57"/>
    <x v="0"/>
    <s v="Card"/>
    <n v="4397.6000000000004"/>
    <n v="1929.7500000000005"/>
    <s v="Wednesday"/>
    <b v="0"/>
    <x v="2"/>
  </r>
  <r>
    <s v="NV1915"/>
    <d v="2024-06-10T00:00:00"/>
    <s v="ST40"/>
    <s v="West"/>
    <s v="P93"/>
    <s v="Clothing"/>
    <n v="1"/>
    <n v="2763.77"/>
    <n v="10"/>
    <n v="1632.41"/>
    <x v="0"/>
    <s v="Card"/>
    <n v="2487.393"/>
    <n v="854.98299999999995"/>
    <s v="Monday"/>
    <b v="0"/>
    <x v="0"/>
  </r>
  <r>
    <s v="NV1916"/>
    <d v="2025-05-10T00:00:00"/>
    <s v="ST9"/>
    <s v="West"/>
    <s v="P252"/>
    <s v="Accessories"/>
    <n v="5"/>
    <n v="344.75"/>
    <n v="10"/>
    <n v="226.94"/>
    <x v="0"/>
    <s v="Cash"/>
    <n v="1551.375"/>
    <n v="416.67499999999995"/>
    <s v="Saturday"/>
    <b v="1"/>
    <x v="9"/>
  </r>
  <r>
    <s v="NV1917"/>
    <d v="2024-03-27T00:00:00"/>
    <s v="ST58"/>
    <s v="South"/>
    <s v="P98"/>
    <s v="Shoes"/>
    <n v="1"/>
    <n v="2892.35"/>
    <n v="20"/>
    <n v="1934.63"/>
    <x v="1"/>
    <s v="Digital"/>
    <n v="2313.88"/>
    <n v="379.25"/>
    <s v="Wednesday"/>
    <b v="0"/>
    <x v="7"/>
  </r>
  <r>
    <s v="NV1918"/>
    <d v="2024-11-10T00:00:00"/>
    <s v="ST9"/>
    <s v="North"/>
    <s v="P55"/>
    <s v="Shoes"/>
    <n v="1"/>
    <n v="2075.5"/>
    <n v="5"/>
    <n v="1187.53"/>
    <x v="0"/>
    <s v="Card"/>
    <n v="1971.7249999999999"/>
    <n v="784.19499999999994"/>
    <s v="Sunday"/>
    <b v="1"/>
    <x v="1"/>
  </r>
  <r>
    <s v="NV1919"/>
    <d v="2025-01-19T00:00:00"/>
    <s v="ST26"/>
    <s v="West"/>
    <s v="P178"/>
    <s v="Shoes"/>
    <n v="4"/>
    <n v="1538.99"/>
    <n v="0"/>
    <n v="833.12"/>
    <x v="1"/>
    <s v="Card"/>
    <n v="6155.96"/>
    <n v="2823.48"/>
    <s v="Sunday"/>
    <b v="1"/>
    <x v="10"/>
  </r>
  <r>
    <s v="NV1920"/>
    <d v="2025-09-27T00:00:00"/>
    <s v="ST28"/>
    <s v="West"/>
    <s v="P246"/>
    <s v="Accessories"/>
    <n v="4"/>
    <n v="2969.48"/>
    <n v="5"/>
    <n v="1569.55"/>
    <x v="1"/>
    <s v="Digital"/>
    <n v="11284.023999999999"/>
    <n v="5005.8239999999996"/>
    <s v="Saturday"/>
    <b v="1"/>
    <x v="6"/>
  </r>
  <r>
    <s v="NV1921"/>
    <d v="2024-10-29T00:00:00"/>
    <s v="ST1"/>
    <s v="North"/>
    <s v="P160"/>
    <s v="Accessories"/>
    <n v="3"/>
    <n v="2172.4299999999998"/>
    <n v="20"/>
    <n v="907.22"/>
    <x v="1"/>
    <s v="Digital"/>
    <n v="5213.8319999999994"/>
    <n v="2492.1719999999996"/>
    <s v="Tuesday"/>
    <b v="0"/>
    <x v="2"/>
  </r>
  <r>
    <s v="NV1922"/>
    <d v="2025-07-09T00:00:00"/>
    <s v="ST60"/>
    <s v="East"/>
    <s v="P185"/>
    <s v="Shoes"/>
    <n v="3"/>
    <n v="616.11"/>
    <n v="15"/>
    <n v="329.44"/>
    <x v="0"/>
    <s v="Cash"/>
    <n v="1571.0804999999998"/>
    <n v="582.76049999999987"/>
    <s v="Wednesday"/>
    <b v="0"/>
    <x v="4"/>
  </r>
  <r>
    <s v="NV1923"/>
    <d v="2025-03-13T00:00:00"/>
    <s v="ST36"/>
    <s v="South"/>
    <s v="P248"/>
    <s v="Clothing"/>
    <n v="5"/>
    <n v="1175.77"/>
    <n v="20"/>
    <n v="511.12"/>
    <x v="0"/>
    <s v="Card"/>
    <n v="4703.0800000000008"/>
    <n v="2147.4800000000009"/>
    <s v="Thursday"/>
    <b v="0"/>
    <x v="7"/>
  </r>
  <r>
    <s v="NV1924"/>
    <d v="2024-02-13T00:00:00"/>
    <s v="ST45"/>
    <s v="South"/>
    <s v="P132"/>
    <s v="Accessories"/>
    <n v="4"/>
    <n v="2436.9499999999998"/>
    <n v="10"/>
    <n v="1216.95"/>
    <x v="1"/>
    <s v="Cash"/>
    <n v="8773.02"/>
    <n v="3905.2200000000003"/>
    <s v="Tuesday"/>
    <b v="0"/>
    <x v="3"/>
  </r>
  <r>
    <s v="NV1925"/>
    <d v="2025-06-18T00:00:00"/>
    <s v="ST37"/>
    <s v="North"/>
    <s v="P197"/>
    <s v="Shoes"/>
    <n v="5"/>
    <n v="1765.36"/>
    <n v="10"/>
    <n v="1133.57"/>
    <x v="0"/>
    <s v="Card"/>
    <n v="7944.12"/>
    <n v="2276.2700000000004"/>
    <s v="Wednesday"/>
    <b v="0"/>
    <x v="0"/>
  </r>
  <r>
    <s v="NV1926"/>
    <d v="2024-04-03T00:00:00"/>
    <s v="ST23"/>
    <s v="West"/>
    <s v="P68"/>
    <s v="Clothing"/>
    <n v="5"/>
    <n v="943.74"/>
    <n v="5"/>
    <n v="599.6"/>
    <x v="0"/>
    <s v="Cash"/>
    <n v="4482.7649999999994"/>
    <n v="1484.7649999999994"/>
    <s v="Wednesday"/>
    <b v="0"/>
    <x v="8"/>
  </r>
  <r>
    <s v="NV1927"/>
    <d v="2025-11-29T00:00:00"/>
    <s v="ST5"/>
    <s v="West"/>
    <s v="P224"/>
    <s v="Clothing"/>
    <n v="2"/>
    <n v="1089.18"/>
    <n v="20"/>
    <n v="564.48"/>
    <x v="0"/>
    <s v="Digital"/>
    <n v="1742.6880000000001"/>
    <n v="613.72800000000007"/>
    <s v="Saturday"/>
    <b v="1"/>
    <x v="1"/>
  </r>
  <r>
    <s v="NV1928"/>
    <d v="2024-04-06T00:00:00"/>
    <s v="ST47"/>
    <s v="East"/>
    <s v="P206"/>
    <s v="Shoes"/>
    <n v="5"/>
    <n v="2553.13"/>
    <n v="25"/>
    <n v="1099.23"/>
    <x v="0"/>
    <s v="Digital"/>
    <n v="9574.2375000000011"/>
    <n v="4078.0875000000015"/>
    <s v="Saturday"/>
    <b v="1"/>
    <x v="8"/>
  </r>
  <r>
    <s v="NV1929"/>
    <d v="2025-03-25T00:00:00"/>
    <s v="ST27"/>
    <s v="North"/>
    <s v="P242"/>
    <s v="Shoes"/>
    <n v="2"/>
    <n v="885.04"/>
    <n v="5"/>
    <n v="560.33000000000004"/>
    <x v="0"/>
    <s v="Digital"/>
    <n v="1681.5759999999998"/>
    <n v="560.91599999999971"/>
    <s v="Tuesday"/>
    <b v="0"/>
    <x v="7"/>
  </r>
  <r>
    <s v="NV1930"/>
    <d v="2024-10-01T00:00:00"/>
    <s v="ST11"/>
    <s v="East"/>
    <s v="P213"/>
    <s v="Shoes"/>
    <n v="3"/>
    <n v="1695.97"/>
    <n v="10"/>
    <n v="917.71"/>
    <x v="1"/>
    <s v="Digital"/>
    <n v="4579.1189999999997"/>
    <n v="1825.9889999999996"/>
    <s v="Tuesday"/>
    <b v="0"/>
    <x v="2"/>
  </r>
  <r>
    <s v="NV1931"/>
    <d v="2025-11-15T00:00:00"/>
    <s v="ST14"/>
    <s v="East"/>
    <s v="P289"/>
    <s v="Accessories"/>
    <n v="2"/>
    <n v="1389.62"/>
    <n v="5"/>
    <n v="846.58"/>
    <x v="0"/>
    <s v="Digital"/>
    <n v="2640.2779999999998"/>
    <n v="947.11799999999971"/>
    <s v="Saturday"/>
    <b v="1"/>
    <x v="1"/>
  </r>
  <r>
    <s v="NV1932"/>
    <d v="2024-07-05T00:00:00"/>
    <s v="ST26"/>
    <s v="South"/>
    <s v="P220"/>
    <s v="Shoes"/>
    <n v="5"/>
    <n v="2129.73"/>
    <n v="5"/>
    <n v="1031.71"/>
    <x v="1"/>
    <s v="Cash"/>
    <n v="10116.217499999999"/>
    <n v="4957.6674999999987"/>
    <s v="Friday"/>
    <b v="0"/>
    <x v="4"/>
  </r>
  <r>
    <s v="NV1933"/>
    <d v="2025-07-17T00:00:00"/>
    <s v="ST35"/>
    <s v="South"/>
    <s v="P182"/>
    <s v="Clothing"/>
    <n v="3"/>
    <n v="2984.46"/>
    <n v="15"/>
    <n v="1216.46"/>
    <x v="1"/>
    <s v="Cash"/>
    <n v="7610.3730000000005"/>
    <n v="3960.9930000000004"/>
    <s v="Thursday"/>
    <b v="0"/>
    <x v="4"/>
  </r>
  <r>
    <s v="NV1934"/>
    <d v="2024-11-09T00:00:00"/>
    <s v="ST20"/>
    <s v="East"/>
    <s v="P8"/>
    <s v="Shoes"/>
    <n v="4"/>
    <n v="1901.01"/>
    <n v="20"/>
    <n v="814.38"/>
    <x v="1"/>
    <s v="Digital"/>
    <n v="6083.232"/>
    <n v="2825.712"/>
    <s v="Saturday"/>
    <b v="1"/>
    <x v="1"/>
  </r>
  <r>
    <s v="NV1935"/>
    <d v="2024-08-02T00:00:00"/>
    <s v="ST11"/>
    <s v="East"/>
    <s v="P222"/>
    <s v="Accessories"/>
    <n v="2"/>
    <n v="1078.55"/>
    <n v="30"/>
    <n v="717.87"/>
    <x v="0"/>
    <s v="Digital"/>
    <n v="1509.9699999999998"/>
    <n v="74.229999999999791"/>
    <s v="Friday"/>
    <b v="0"/>
    <x v="5"/>
  </r>
  <r>
    <s v="NV1936"/>
    <d v="2024-09-24T00:00:00"/>
    <s v="ST38"/>
    <s v="North"/>
    <s v="P286"/>
    <s v="Clothing"/>
    <n v="3"/>
    <n v="670.46"/>
    <n v="15"/>
    <n v="446.68"/>
    <x v="1"/>
    <s v="Digital"/>
    <n v="1709.673"/>
    <n v="369.63300000000004"/>
    <s v="Tuesday"/>
    <b v="0"/>
    <x v="6"/>
  </r>
  <r>
    <s v="NV1937"/>
    <d v="2024-03-03T00:00:00"/>
    <s v="ST31"/>
    <s v="South"/>
    <s v="P184"/>
    <s v="Clothing"/>
    <n v="2"/>
    <n v="2541.7199999999998"/>
    <n v="20"/>
    <n v="1764.96"/>
    <x v="1"/>
    <s v="Digital"/>
    <n v="4066.752"/>
    <n v="536.83199999999988"/>
    <s v="Sunday"/>
    <b v="1"/>
    <x v="7"/>
  </r>
  <r>
    <s v="NV1938"/>
    <d v="2025-01-22T00:00:00"/>
    <s v="ST53"/>
    <s v="East"/>
    <s v="P124"/>
    <s v="Clothing"/>
    <n v="5"/>
    <n v="2277.6"/>
    <n v="15"/>
    <n v="911.4"/>
    <x v="0"/>
    <s v="Cash"/>
    <n v="9679.7999999999993"/>
    <n v="5122.7999999999993"/>
    <s v="Wednesday"/>
    <b v="0"/>
    <x v="10"/>
  </r>
  <r>
    <s v="NV1939"/>
    <d v="2025-01-05T00:00:00"/>
    <s v="ST50"/>
    <s v="East"/>
    <s v="P83"/>
    <s v="Clothing"/>
    <n v="4"/>
    <n v="380.04"/>
    <n v="30"/>
    <n v="216.72"/>
    <x v="0"/>
    <s v="Card"/>
    <n v="1064.1120000000001"/>
    <n v="197.23200000000008"/>
    <s v="Sunday"/>
    <b v="1"/>
    <x v="10"/>
  </r>
  <r>
    <s v="NV1940"/>
    <d v="2025-02-04T00:00:00"/>
    <s v="ST34"/>
    <s v="North"/>
    <s v="P232"/>
    <s v="Clothing"/>
    <n v="3"/>
    <n v="2048.06"/>
    <n v="0"/>
    <n v="977.91"/>
    <x v="0"/>
    <s v="Card"/>
    <n v="6144.18"/>
    <n v="3210.4500000000003"/>
    <s v="Tuesday"/>
    <b v="0"/>
    <x v="3"/>
  </r>
  <r>
    <s v="NV1941"/>
    <d v="2025-11-22T00:00:00"/>
    <s v="ST17"/>
    <s v="East"/>
    <s v="P1"/>
    <s v="Accessories"/>
    <n v="5"/>
    <n v="1595.05"/>
    <n v="15"/>
    <n v="865.21"/>
    <x v="0"/>
    <s v="Cash"/>
    <n v="6778.9624999999996"/>
    <n v="2452.9124999999995"/>
    <s v="Saturday"/>
    <b v="1"/>
    <x v="1"/>
  </r>
  <r>
    <s v="NV1942"/>
    <d v="2025-06-26T00:00:00"/>
    <s v="ST44"/>
    <s v="South"/>
    <s v="P272"/>
    <s v="Clothing"/>
    <n v="1"/>
    <n v="2714.65"/>
    <n v="30"/>
    <n v="1493.63"/>
    <x v="0"/>
    <s v="Digital"/>
    <n v="1900.2549999999999"/>
    <n v="406.62499999999977"/>
    <s v="Thursday"/>
    <b v="0"/>
    <x v="0"/>
  </r>
  <r>
    <s v="NV1943"/>
    <d v="2025-01-02T00:00:00"/>
    <s v="ST18"/>
    <s v="South"/>
    <s v="P35"/>
    <s v="Clothing"/>
    <n v="4"/>
    <n v="720.41"/>
    <n v="25"/>
    <n v="312.35000000000002"/>
    <x v="1"/>
    <s v="Card"/>
    <n v="2161.23"/>
    <n v="911.82999999999993"/>
    <s v="Thursday"/>
    <b v="0"/>
    <x v="10"/>
  </r>
  <r>
    <s v="NV1944"/>
    <d v="2025-10-12T00:00:00"/>
    <s v="ST34"/>
    <s v="South"/>
    <s v="P214"/>
    <s v="Accessories"/>
    <n v="3"/>
    <n v="1793.44"/>
    <n v="0"/>
    <n v="769.09"/>
    <x v="0"/>
    <s v="Cash"/>
    <n v="5380.32"/>
    <n v="3073.0499999999997"/>
    <s v="Sunday"/>
    <b v="1"/>
    <x v="2"/>
  </r>
  <r>
    <s v="NV1945"/>
    <d v="2024-07-03T00:00:00"/>
    <s v="ST34"/>
    <s v="West"/>
    <s v="P104"/>
    <s v="Shoes"/>
    <n v="5"/>
    <n v="2815.84"/>
    <n v="0"/>
    <n v="1465.78"/>
    <x v="0"/>
    <s v="Card"/>
    <n v="14079.2"/>
    <n v="6750.3000000000011"/>
    <s v="Wednesday"/>
    <b v="0"/>
    <x v="4"/>
  </r>
  <r>
    <s v="NV1946"/>
    <d v="2025-04-02T00:00:00"/>
    <s v="ST14"/>
    <s v="North"/>
    <s v="P99"/>
    <s v="Shoes"/>
    <n v="1"/>
    <n v="562.78"/>
    <n v="10"/>
    <n v="252.94"/>
    <x v="1"/>
    <s v="Digital"/>
    <n v="506.50200000000001"/>
    <n v="253.56200000000001"/>
    <s v="Wednesday"/>
    <b v="0"/>
    <x v="8"/>
  </r>
  <r>
    <s v="NV1947"/>
    <d v="2024-03-17T00:00:00"/>
    <s v="ST47"/>
    <s v="North"/>
    <s v="P213"/>
    <s v="Shoes"/>
    <n v="1"/>
    <n v="2853.83"/>
    <n v="10"/>
    <n v="1243.45"/>
    <x v="1"/>
    <s v="Digital"/>
    <n v="2568.4470000000001"/>
    <n v="1324.9970000000001"/>
    <s v="Sunday"/>
    <b v="1"/>
    <x v="7"/>
  </r>
  <r>
    <s v="NV1948"/>
    <d v="2024-09-25T00:00:00"/>
    <s v="ST12"/>
    <s v="North"/>
    <s v="P110"/>
    <s v="Shoes"/>
    <n v="4"/>
    <n v="1974.85"/>
    <n v="30"/>
    <n v="1363.1"/>
    <x v="0"/>
    <s v="Cash"/>
    <n v="5529.579999999999"/>
    <n v="77.179999999999382"/>
    <s v="Wednesday"/>
    <b v="0"/>
    <x v="6"/>
  </r>
  <r>
    <s v="NV1949"/>
    <d v="2024-08-14T00:00:00"/>
    <s v="ST58"/>
    <s v="South"/>
    <s v="P229"/>
    <s v="Clothing"/>
    <n v="1"/>
    <n v="1125.48"/>
    <n v="5"/>
    <n v="488.95"/>
    <x v="0"/>
    <s v="Card"/>
    <n v="1069.2059999999999"/>
    <n v="580.25599999999986"/>
    <s v="Wednesday"/>
    <b v="0"/>
    <x v="5"/>
  </r>
  <r>
    <s v="NV1950"/>
    <d v="2024-07-07T00:00:00"/>
    <s v="ST40"/>
    <s v="South"/>
    <s v="P272"/>
    <s v="Clothing"/>
    <n v="2"/>
    <n v="641.77"/>
    <n v="0"/>
    <n v="361.02"/>
    <x v="1"/>
    <s v="Digital"/>
    <n v="1283.54"/>
    <n v="561.5"/>
    <s v="Sunday"/>
    <b v="1"/>
    <x v="4"/>
  </r>
  <r>
    <s v="NV1951"/>
    <d v="2024-08-04T00:00:00"/>
    <s v="ST28"/>
    <s v="East"/>
    <s v="P225"/>
    <s v="Accessories"/>
    <n v="4"/>
    <n v="2323.58"/>
    <n v="25"/>
    <n v="1617.45"/>
    <x v="1"/>
    <s v="Cash"/>
    <n v="6970.74"/>
    <n v="500.9399999999996"/>
    <s v="Sunday"/>
    <b v="1"/>
    <x v="5"/>
  </r>
  <r>
    <s v="NV1952"/>
    <d v="2025-07-25T00:00:00"/>
    <s v="ST12"/>
    <s v="West"/>
    <s v="P163"/>
    <s v="Clothing"/>
    <n v="1"/>
    <n v="2435.4699999999998"/>
    <n v="5"/>
    <n v="1283.0899999999999"/>
    <x v="1"/>
    <s v="Card"/>
    <n v="2313.6964999999996"/>
    <n v="1030.6064999999996"/>
    <s v="Friday"/>
    <b v="0"/>
    <x v="4"/>
  </r>
  <r>
    <s v="NV1953"/>
    <d v="2024-05-15T00:00:00"/>
    <s v="ST43"/>
    <s v="North"/>
    <s v="P172"/>
    <s v="Shoes"/>
    <n v="4"/>
    <n v="1906.56"/>
    <n v="15"/>
    <n v="1059.0999999999999"/>
    <x v="0"/>
    <s v="Cash"/>
    <n v="6482.3040000000001"/>
    <n v="2245.9040000000005"/>
    <s v="Wednesday"/>
    <b v="0"/>
    <x v="9"/>
  </r>
  <r>
    <s v="NV1954"/>
    <d v="2025-07-31T00:00:00"/>
    <s v="ST36"/>
    <s v="East"/>
    <s v="P61"/>
    <s v="Shoes"/>
    <n v="2"/>
    <n v="429.73"/>
    <n v="15"/>
    <n v="278.89"/>
    <x v="0"/>
    <s v="Digital"/>
    <n v="730.54100000000005"/>
    <n v="172.76100000000008"/>
    <s v="Thursday"/>
    <b v="0"/>
    <x v="4"/>
  </r>
  <r>
    <s v="NV1955"/>
    <d v="2025-03-21T00:00:00"/>
    <s v="ST44"/>
    <s v="West"/>
    <s v="P235"/>
    <s v="Accessories"/>
    <n v="3"/>
    <n v="1620.31"/>
    <n v="10"/>
    <n v="1022.28"/>
    <x v="1"/>
    <s v="Cash"/>
    <n v="4374.8370000000004"/>
    <n v="1307.9970000000003"/>
    <s v="Friday"/>
    <b v="0"/>
    <x v="7"/>
  </r>
  <r>
    <s v="NV1956"/>
    <d v="2025-07-10T00:00:00"/>
    <s v="ST1"/>
    <s v="West"/>
    <s v="P179"/>
    <s v="Accessories"/>
    <n v="1"/>
    <n v="1960.56"/>
    <n v="30"/>
    <n v="831.24"/>
    <x v="1"/>
    <s v="Cash"/>
    <n v="1372.3919999999998"/>
    <n v="541.15199999999982"/>
    <s v="Thursday"/>
    <b v="0"/>
    <x v="4"/>
  </r>
  <r>
    <s v="NV1957"/>
    <d v="2025-01-11T00:00:00"/>
    <s v="ST16"/>
    <s v="West"/>
    <s v="P43"/>
    <s v="Clothing"/>
    <n v="1"/>
    <n v="2590.09"/>
    <n v="15"/>
    <n v="1118.48"/>
    <x v="1"/>
    <s v="Cash"/>
    <n v="2201.5765000000001"/>
    <n v="1083.0965000000001"/>
    <s v="Saturday"/>
    <b v="1"/>
    <x v="10"/>
  </r>
  <r>
    <s v="NV1958"/>
    <d v="2024-02-26T00:00:00"/>
    <s v="ST4"/>
    <s v="East"/>
    <s v="P55"/>
    <s v="Shoes"/>
    <n v="3"/>
    <n v="1205.98"/>
    <n v="25"/>
    <n v="671.97"/>
    <x v="1"/>
    <s v="Card"/>
    <n v="2713.4549999999999"/>
    <n v="697.54499999999985"/>
    <s v="Monday"/>
    <b v="0"/>
    <x v="3"/>
  </r>
  <r>
    <s v="NV1959"/>
    <d v="2024-03-15T00:00:00"/>
    <s v="ST12"/>
    <s v="South"/>
    <s v="P180"/>
    <s v="Shoes"/>
    <n v="3"/>
    <n v="2222.58"/>
    <n v="15"/>
    <n v="1413.85"/>
    <x v="1"/>
    <s v="Digital"/>
    <n v="5667.5789999999997"/>
    <n v="1426.0290000000005"/>
    <s v="Friday"/>
    <b v="0"/>
    <x v="7"/>
  </r>
  <r>
    <s v="NV1960"/>
    <d v="2025-01-28T00:00:00"/>
    <s v="ST17"/>
    <s v="North"/>
    <s v="P124"/>
    <s v="Shoes"/>
    <n v="4"/>
    <n v="2409.5"/>
    <n v="25"/>
    <n v="1338.35"/>
    <x v="0"/>
    <s v="Cash"/>
    <n v="7228.5"/>
    <n v="1875.1000000000004"/>
    <s v="Tuesday"/>
    <b v="0"/>
    <x v="10"/>
  </r>
  <r>
    <s v="NV1961"/>
    <d v="2024-01-05T00:00:00"/>
    <s v="ST34"/>
    <s v="South"/>
    <s v="P244"/>
    <s v="Accessories"/>
    <n v="1"/>
    <n v="2530.8200000000002"/>
    <n v="10"/>
    <n v="1128.82"/>
    <x v="0"/>
    <s v="Cash"/>
    <n v="2277.7380000000003"/>
    <n v="1148.9180000000003"/>
    <s v="Friday"/>
    <b v="0"/>
    <x v="10"/>
  </r>
  <r>
    <s v="NV1962"/>
    <d v="2025-07-18T00:00:00"/>
    <s v="ST23"/>
    <s v="West"/>
    <s v="P12"/>
    <s v="Clothing"/>
    <n v="5"/>
    <n v="2921.24"/>
    <n v="30"/>
    <n v="1312.39"/>
    <x v="0"/>
    <s v="Card"/>
    <n v="10224.339999999998"/>
    <n v="3662.3899999999976"/>
    <s v="Friday"/>
    <b v="0"/>
    <x v="4"/>
  </r>
  <r>
    <s v="NV1963"/>
    <d v="2025-02-27T00:00:00"/>
    <s v="ST17"/>
    <s v="South"/>
    <s v="P137"/>
    <s v="Accessories"/>
    <n v="5"/>
    <n v="1708.51"/>
    <n v="30"/>
    <n v="767.21"/>
    <x v="0"/>
    <s v="Digital"/>
    <n v="5979.7849999999989"/>
    <n v="2143.7349999999988"/>
    <s v="Thursday"/>
    <b v="0"/>
    <x v="3"/>
  </r>
  <r>
    <s v="NV1964"/>
    <d v="2024-12-13T00:00:00"/>
    <s v="ST22"/>
    <s v="East"/>
    <s v="P29"/>
    <s v="Accessories"/>
    <n v="1"/>
    <n v="672.37"/>
    <n v="0"/>
    <n v="390.83"/>
    <x v="1"/>
    <s v="Digital"/>
    <n v="672.37"/>
    <n v="281.54000000000002"/>
    <s v="Friday"/>
    <b v="0"/>
    <x v="11"/>
  </r>
  <r>
    <s v="NV1965"/>
    <d v="2024-12-24T00:00:00"/>
    <s v="ST8"/>
    <s v="West"/>
    <s v="P54"/>
    <s v="Accessories"/>
    <n v="2"/>
    <n v="2077.8000000000002"/>
    <n v="5"/>
    <n v="1063.54"/>
    <x v="1"/>
    <s v="Cash"/>
    <n v="3947.82"/>
    <n v="1820.7400000000002"/>
    <s v="Tuesday"/>
    <b v="0"/>
    <x v="11"/>
  </r>
  <r>
    <s v="NV1966"/>
    <d v="2025-05-17T00:00:00"/>
    <s v="ST48"/>
    <s v="East"/>
    <s v="P18"/>
    <s v="Shoes"/>
    <n v="5"/>
    <n v="1988.66"/>
    <n v="0"/>
    <n v="1148.17"/>
    <x v="0"/>
    <s v="Cash"/>
    <n v="9943.3000000000011"/>
    <n v="4202.4500000000007"/>
    <s v="Saturday"/>
    <b v="1"/>
    <x v="9"/>
  </r>
  <r>
    <s v="NV1967"/>
    <d v="2025-05-22T00:00:00"/>
    <s v="ST32"/>
    <s v="East"/>
    <s v="P193"/>
    <s v="Accessories"/>
    <n v="3"/>
    <n v="1359.25"/>
    <n v="20"/>
    <n v="847.23"/>
    <x v="0"/>
    <s v="Card"/>
    <n v="3262.2000000000003"/>
    <n v="720.51000000000022"/>
    <s v="Thursday"/>
    <b v="0"/>
    <x v="9"/>
  </r>
  <r>
    <s v="NV1968"/>
    <d v="2024-02-01T00:00:00"/>
    <s v="ST55"/>
    <s v="South"/>
    <s v="P287"/>
    <s v="Shoes"/>
    <n v="5"/>
    <n v="788.04"/>
    <n v="0"/>
    <n v="447.97"/>
    <x v="1"/>
    <s v="Digital"/>
    <n v="3940.2"/>
    <n v="1700.3499999999995"/>
    <s v="Thursday"/>
    <b v="0"/>
    <x v="3"/>
  </r>
  <r>
    <s v="NV1969"/>
    <d v="2025-03-25T00:00:00"/>
    <s v="ST7"/>
    <s v="South"/>
    <s v="P166"/>
    <s v="Shoes"/>
    <n v="3"/>
    <n v="2472.34"/>
    <n v="20"/>
    <n v="1715.81"/>
    <x v="1"/>
    <s v="Digital"/>
    <n v="5933.6160000000009"/>
    <n v="786.1860000000006"/>
    <s v="Tuesday"/>
    <b v="0"/>
    <x v="7"/>
  </r>
  <r>
    <s v="NV1970"/>
    <d v="2025-09-09T00:00:00"/>
    <s v="ST34"/>
    <s v="East"/>
    <s v="P158"/>
    <s v="Shoes"/>
    <n v="3"/>
    <n v="1083.6600000000001"/>
    <n v="10"/>
    <n v="700.37"/>
    <x v="0"/>
    <s v="Cash"/>
    <n v="2925.8820000000005"/>
    <n v="824.77200000000039"/>
    <s v="Tuesday"/>
    <b v="0"/>
    <x v="6"/>
  </r>
  <r>
    <s v="NV1971"/>
    <d v="2025-03-30T00:00:00"/>
    <s v="ST22"/>
    <s v="West"/>
    <s v="P139"/>
    <s v="Shoes"/>
    <n v="5"/>
    <n v="1692.7"/>
    <n v="15"/>
    <n v="991.73"/>
    <x v="0"/>
    <s v="Card"/>
    <n v="7193.9749999999995"/>
    <n v="2235.3249999999998"/>
    <s v="Sunday"/>
    <b v="1"/>
    <x v="7"/>
  </r>
  <r>
    <s v="NV1972"/>
    <d v="2025-07-08T00:00:00"/>
    <s v="ST33"/>
    <s v="West"/>
    <s v="P115"/>
    <s v="Shoes"/>
    <n v="1"/>
    <n v="1514.06"/>
    <n v="0"/>
    <n v="659.1"/>
    <x v="0"/>
    <s v="Digital"/>
    <n v="1514.06"/>
    <n v="854.95999999999992"/>
    <s v="Tuesday"/>
    <b v="0"/>
    <x v="4"/>
  </r>
  <r>
    <s v="NV1973"/>
    <d v="2025-03-31T00:00:00"/>
    <s v="ST1"/>
    <s v="North"/>
    <s v="P1"/>
    <s v="Accessories"/>
    <n v="3"/>
    <n v="1097.21"/>
    <n v="30"/>
    <n v="701.65"/>
    <x v="0"/>
    <s v="Cash"/>
    <n v="2304.1410000000001"/>
    <n v="199.19100000000026"/>
    <s v="Monday"/>
    <b v="0"/>
    <x v="7"/>
  </r>
  <r>
    <s v="NV1974"/>
    <d v="2025-02-09T00:00:00"/>
    <s v="ST53"/>
    <s v="North"/>
    <s v="P156"/>
    <s v="Shoes"/>
    <n v="3"/>
    <n v="2176.52"/>
    <n v="30"/>
    <n v="1007.7"/>
    <x v="0"/>
    <s v="Digital"/>
    <n v="4570.6919999999991"/>
    <n v="1547.5919999999987"/>
    <s v="Sunday"/>
    <b v="1"/>
    <x v="3"/>
  </r>
  <r>
    <s v="NV1975"/>
    <d v="2025-08-18T00:00:00"/>
    <s v="ST37"/>
    <s v="West"/>
    <s v="P203"/>
    <s v="Accessories"/>
    <n v="3"/>
    <n v="2154.5"/>
    <n v="0"/>
    <n v="1256.31"/>
    <x v="0"/>
    <s v="Card"/>
    <n v="6463.5"/>
    <n v="2694.57"/>
    <s v="Monday"/>
    <b v="0"/>
    <x v="5"/>
  </r>
  <r>
    <s v="NV1976"/>
    <d v="2024-11-18T00:00:00"/>
    <s v="ST19"/>
    <s v="South"/>
    <s v="P195"/>
    <s v="Shoes"/>
    <n v="1"/>
    <n v="2051.7800000000002"/>
    <n v="25"/>
    <n v="970.63"/>
    <x v="0"/>
    <s v="Digital"/>
    <n v="1538.835"/>
    <n v="568.20500000000004"/>
    <s v="Monday"/>
    <b v="0"/>
    <x v="1"/>
  </r>
  <r>
    <s v="NV1977"/>
    <d v="2025-05-20T00:00:00"/>
    <s v="ST5"/>
    <s v="West"/>
    <s v="P55"/>
    <s v="Shoes"/>
    <n v="2"/>
    <n v="1625.41"/>
    <n v="15"/>
    <n v="957.48"/>
    <x v="0"/>
    <s v="Cash"/>
    <n v="2763.1970000000001"/>
    <n v="848.23700000000008"/>
    <s v="Tuesday"/>
    <b v="0"/>
    <x v="9"/>
  </r>
  <r>
    <s v="NV1978"/>
    <d v="2025-08-31T00:00:00"/>
    <s v="ST30"/>
    <s v="East"/>
    <s v="P110"/>
    <s v="Shoes"/>
    <n v="4"/>
    <n v="923.19"/>
    <n v="25"/>
    <n v="499.89"/>
    <x v="1"/>
    <s v="Digital"/>
    <n v="2769.57"/>
    <n v="770.01000000000022"/>
    <s v="Sunday"/>
    <b v="1"/>
    <x v="5"/>
  </r>
  <r>
    <s v="NV1979"/>
    <d v="2024-03-26T00:00:00"/>
    <s v="ST47"/>
    <s v="West"/>
    <s v="P192"/>
    <s v="Accessories"/>
    <n v="1"/>
    <n v="2314.27"/>
    <n v="0"/>
    <n v="1203.97"/>
    <x v="1"/>
    <s v="Cash"/>
    <n v="2314.27"/>
    <n v="1110.3"/>
    <s v="Tuesday"/>
    <b v="0"/>
    <x v="7"/>
  </r>
  <r>
    <s v="NV1980"/>
    <d v="2025-02-14T00:00:00"/>
    <s v="ST8"/>
    <s v="South"/>
    <s v="P275"/>
    <s v="Accessories"/>
    <n v="4"/>
    <n v="1016.24"/>
    <n v="5"/>
    <n v="620.54"/>
    <x v="0"/>
    <s v="Card"/>
    <n v="3861.712"/>
    <n v="1379.5520000000001"/>
    <s v="Friday"/>
    <b v="0"/>
    <x v="3"/>
  </r>
  <r>
    <s v="NV1981"/>
    <d v="2025-02-12T00:00:00"/>
    <s v="ST7"/>
    <s v="North"/>
    <s v="P170"/>
    <s v="Accessories"/>
    <n v="1"/>
    <n v="2884.83"/>
    <n v="20"/>
    <n v="1536.81"/>
    <x v="1"/>
    <s v="Digital"/>
    <n v="2307.864"/>
    <n v="771.05400000000009"/>
    <s v="Wednesday"/>
    <b v="0"/>
    <x v="3"/>
  </r>
  <r>
    <s v="NV1982"/>
    <d v="2024-03-06T00:00:00"/>
    <s v="ST8"/>
    <s v="West"/>
    <s v="P190"/>
    <s v="Accessories"/>
    <n v="5"/>
    <n v="1795.66"/>
    <n v="10"/>
    <n v="1139.57"/>
    <x v="0"/>
    <s v="Cash"/>
    <n v="8080.4700000000012"/>
    <n v="2382.6200000000017"/>
    <s v="Wednesday"/>
    <b v="0"/>
    <x v="7"/>
  </r>
  <r>
    <s v="NV1983"/>
    <d v="2024-11-02T00:00:00"/>
    <s v="ST56"/>
    <s v="South"/>
    <s v="P299"/>
    <s v="Shoes"/>
    <n v="5"/>
    <n v="2482.62"/>
    <n v="30"/>
    <n v="1589.07"/>
    <x v="1"/>
    <s v="Cash"/>
    <n v="8689.1699999999983"/>
    <n v="743.8199999999988"/>
    <s v="Saturday"/>
    <b v="1"/>
    <x v="1"/>
  </r>
  <r>
    <s v="NV1984"/>
    <d v="2025-08-24T00:00:00"/>
    <s v="ST60"/>
    <s v="West"/>
    <s v="P5"/>
    <s v="Shoes"/>
    <n v="2"/>
    <n v="854.27"/>
    <n v="15"/>
    <n v="388.17"/>
    <x v="0"/>
    <s v="Card"/>
    <n v="1452.259"/>
    <n v="675.91899999999998"/>
    <s v="Sunday"/>
    <b v="1"/>
    <x v="5"/>
  </r>
  <r>
    <s v="NV1985"/>
    <d v="2025-06-13T00:00:00"/>
    <s v="ST48"/>
    <s v="North"/>
    <s v="P154"/>
    <s v="Clothing"/>
    <n v="3"/>
    <n v="2275.27"/>
    <n v="0"/>
    <n v="1225.1400000000001"/>
    <x v="1"/>
    <s v="Card"/>
    <n v="6825.8099999999995"/>
    <n v="3150.3899999999994"/>
    <s v="Friday"/>
    <b v="0"/>
    <x v="0"/>
  </r>
  <r>
    <s v="NV1986"/>
    <d v="2024-10-12T00:00:00"/>
    <s v="ST25"/>
    <s v="South"/>
    <s v="P52"/>
    <s v="Shoes"/>
    <n v="3"/>
    <n v="993.63"/>
    <n v="20"/>
    <n v="609.22"/>
    <x v="1"/>
    <s v="Digital"/>
    <n v="2384.712"/>
    <n v="557.05199999999991"/>
    <s v="Saturday"/>
    <b v="1"/>
    <x v="2"/>
  </r>
  <r>
    <s v="NV1987"/>
    <d v="2025-02-27T00:00:00"/>
    <s v="ST10"/>
    <s v="West"/>
    <s v="P119"/>
    <s v="Clothing"/>
    <n v="4"/>
    <n v="1333.41"/>
    <n v="5"/>
    <n v="770.13"/>
    <x v="0"/>
    <s v="Digital"/>
    <n v="5066.9579999999996"/>
    <n v="1986.4379999999996"/>
    <s v="Thursday"/>
    <b v="0"/>
    <x v="3"/>
  </r>
  <r>
    <s v="NV1988"/>
    <d v="2025-10-30T00:00:00"/>
    <s v="ST35"/>
    <s v="North"/>
    <s v="P276"/>
    <s v="Accessories"/>
    <n v="3"/>
    <n v="1461.08"/>
    <n v="0"/>
    <n v="817.12"/>
    <x v="1"/>
    <s v="Cash"/>
    <n v="4383.24"/>
    <n v="1931.8799999999997"/>
    <s v="Thursday"/>
    <b v="0"/>
    <x v="2"/>
  </r>
  <r>
    <s v="NV1989"/>
    <d v="2024-03-10T00:00:00"/>
    <s v="ST18"/>
    <s v="East"/>
    <s v="P26"/>
    <s v="Clothing"/>
    <n v="5"/>
    <n v="1655.35"/>
    <n v="15"/>
    <n v="982.29"/>
    <x v="0"/>
    <s v="Card"/>
    <n v="7035.2375000000002"/>
    <n v="2123.7875000000004"/>
    <s v="Sunday"/>
    <b v="1"/>
    <x v="7"/>
  </r>
  <r>
    <s v="NV1990"/>
    <d v="2024-05-13T00:00:00"/>
    <s v="ST29"/>
    <s v="North"/>
    <s v="P36"/>
    <s v="Shoes"/>
    <n v="4"/>
    <n v="475.49"/>
    <n v="0"/>
    <n v="228.78"/>
    <x v="0"/>
    <s v="Digital"/>
    <n v="1901.96"/>
    <n v="986.84"/>
    <s v="Monday"/>
    <b v="0"/>
    <x v="9"/>
  </r>
  <r>
    <s v="NV1991"/>
    <d v="2024-11-20T00:00:00"/>
    <s v="ST31"/>
    <s v="West"/>
    <s v="P144"/>
    <s v="Shoes"/>
    <n v="5"/>
    <n v="1037.75"/>
    <n v="5"/>
    <n v="492.23"/>
    <x v="1"/>
    <s v="Card"/>
    <n v="4929.3125"/>
    <n v="2468.1624999999999"/>
    <s v="Wednesday"/>
    <b v="0"/>
    <x v="1"/>
  </r>
  <r>
    <s v="NV1992"/>
    <d v="2024-10-04T00:00:00"/>
    <s v="ST37"/>
    <s v="West"/>
    <s v="P134"/>
    <s v="Clothing"/>
    <n v="3"/>
    <n v="2861.77"/>
    <n v="10"/>
    <n v="1275.24"/>
    <x v="0"/>
    <s v="Card"/>
    <n v="7726.7789999999995"/>
    <n v="3901.0589999999993"/>
    <s v="Friday"/>
    <b v="0"/>
    <x v="2"/>
  </r>
  <r>
    <s v="NV1993"/>
    <d v="2024-01-26T00:00:00"/>
    <s v="ST14"/>
    <s v="North"/>
    <s v="P60"/>
    <s v="Accessories"/>
    <n v="3"/>
    <n v="865.04"/>
    <n v="5"/>
    <n v="436.91"/>
    <x v="0"/>
    <s v="Card"/>
    <n v="2465.3639999999996"/>
    <n v="1154.6339999999996"/>
    <s v="Friday"/>
    <b v="0"/>
    <x v="10"/>
  </r>
  <r>
    <s v="NV1994"/>
    <d v="2024-10-29T00:00:00"/>
    <s v="ST17"/>
    <s v="West"/>
    <s v="P19"/>
    <s v="Accessories"/>
    <n v="2"/>
    <n v="569.69000000000005"/>
    <n v="10"/>
    <n v="289.18"/>
    <x v="0"/>
    <s v="Digital"/>
    <n v="1025.4420000000002"/>
    <n v="447.08200000000022"/>
    <s v="Tuesday"/>
    <b v="0"/>
    <x v="2"/>
  </r>
  <r>
    <s v="NV1995"/>
    <d v="2024-09-08T00:00:00"/>
    <s v="ST5"/>
    <s v="West"/>
    <s v="P36"/>
    <s v="Accessories"/>
    <n v="4"/>
    <n v="472.68"/>
    <n v="15"/>
    <n v="268.11"/>
    <x v="0"/>
    <s v="Cash"/>
    <n v="1607.1120000000001"/>
    <n v="534.67200000000003"/>
    <s v="Sunday"/>
    <b v="1"/>
    <x v="6"/>
  </r>
  <r>
    <s v="NV1996"/>
    <d v="2025-11-26T00:00:00"/>
    <s v="ST20"/>
    <s v="East"/>
    <s v="P104"/>
    <s v="Clothing"/>
    <n v="3"/>
    <n v="1723.87"/>
    <n v="5"/>
    <n v="930.42"/>
    <x v="1"/>
    <s v="Digital"/>
    <n v="4913.0294999999996"/>
    <n v="2121.7694999999999"/>
    <s v="Wednesday"/>
    <b v="0"/>
    <x v="1"/>
  </r>
  <r>
    <s v="NV1997"/>
    <d v="2024-01-14T00:00:00"/>
    <s v="ST25"/>
    <s v="South"/>
    <s v="P123"/>
    <s v="Clothing"/>
    <n v="1"/>
    <n v="1812.54"/>
    <n v="5"/>
    <n v="961.52"/>
    <x v="1"/>
    <s v="Digital"/>
    <n v="1721.9129999999998"/>
    <n v="760.3929999999998"/>
    <s v="Sunday"/>
    <b v="1"/>
    <x v="10"/>
  </r>
  <r>
    <s v="NV1998"/>
    <d v="2025-10-12T00:00:00"/>
    <s v="ST37"/>
    <s v="North"/>
    <s v="P160"/>
    <s v="Clothing"/>
    <n v="3"/>
    <n v="2855.76"/>
    <n v="20"/>
    <n v="1409.67"/>
    <x v="0"/>
    <s v="Cash"/>
    <n v="6853.8240000000005"/>
    <n v="2624.8140000000003"/>
    <s v="Sunday"/>
    <b v="1"/>
    <x v="2"/>
  </r>
  <r>
    <s v="NV1999"/>
    <d v="2024-04-26T00:00:00"/>
    <s v="ST38"/>
    <s v="South"/>
    <s v="P145"/>
    <s v="Clothing"/>
    <n v="5"/>
    <n v="2555.3000000000002"/>
    <n v="30"/>
    <n v="1567.36"/>
    <x v="1"/>
    <s v="Cash"/>
    <n v="8943.5499999999993"/>
    <n v="1106.75"/>
    <s v="Friday"/>
    <b v="0"/>
    <x v="8"/>
  </r>
  <r>
    <s v="NV2000"/>
    <d v="2025-09-26T00:00:00"/>
    <s v="ST25"/>
    <s v="North"/>
    <s v="P96"/>
    <s v="Shoes"/>
    <n v="2"/>
    <n v="1880.83"/>
    <n v="25"/>
    <n v="1283.46"/>
    <x v="0"/>
    <s v="Card"/>
    <n v="2821.2449999999999"/>
    <n v="254.32499999999982"/>
    <s v="Friday"/>
    <b v="0"/>
    <x v="6"/>
  </r>
  <r>
    <s v="NV2001"/>
    <d v="2025-10-16T00:00:00"/>
    <s v="ST60"/>
    <s v="South"/>
    <s v="P91"/>
    <s v="Clothing"/>
    <n v="3"/>
    <n v="1601.94"/>
    <n v="30"/>
    <n v="800.16"/>
    <x v="0"/>
    <s v="Digital"/>
    <n v="3364.0739999999996"/>
    <n v="963.5939999999996"/>
    <s v="Thursday"/>
    <b v="0"/>
    <x v="2"/>
  </r>
  <r>
    <s v="NV2002"/>
    <d v="2024-05-16T00:00:00"/>
    <s v="ST60"/>
    <s v="North"/>
    <s v="P22"/>
    <s v="Clothing"/>
    <n v="3"/>
    <n v="1990.51"/>
    <n v="0"/>
    <n v="1229.0999999999999"/>
    <x v="0"/>
    <s v="Card"/>
    <n v="5971.53"/>
    <n v="2284.23"/>
    <s v="Thursday"/>
    <b v="0"/>
    <x v="9"/>
  </r>
  <r>
    <s v="NV2003"/>
    <d v="2025-05-09T00:00:00"/>
    <s v="ST19"/>
    <s v="East"/>
    <s v="P254"/>
    <s v="Clothing"/>
    <n v="5"/>
    <n v="815.19"/>
    <n v="15"/>
    <n v="347.16"/>
    <x v="1"/>
    <s v="Card"/>
    <n v="3464.5575000000003"/>
    <n v="1728.7575000000002"/>
    <s v="Friday"/>
    <b v="0"/>
    <x v="9"/>
  </r>
  <r>
    <s v="NV2004"/>
    <d v="2024-03-08T00:00:00"/>
    <s v="ST55"/>
    <s v="East"/>
    <s v="P288"/>
    <s v="Clothing"/>
    <n v="1"/>
    <n v="1434.81"/>
    <n v="25"/>
    <n v="868.06"/>
    <x v="0"/>
    <s v="Cash"/>
    <n v="1076.1075000000001"/>
    <n v="208.04750000000013"/>
    <s v="Friday"/>
    <b v="0"/>
    <x v="7"/>
  </r>
  <r>
    <s v="NV2005"/>
    <d v="2025-09-07T00:00:00"/>
    <s v="ST24"/>
    <s v="West"/>
    <s v="P295"/>
    <s v="Clothing"/>
    <n v="4"/>
    <n v="2079.0700000000002"/>
    <n v="20"/>
    <n v="1291.05"/>
    <x v="0"/>
    <s v="Digital"/>
    <n v="6653.0240000000013"/>
    <n v="1488.8240000000014"/>
    <s v="Sunday"/>
    <b v="1"/>
    <x v="6"/>
  </r>
  <r>
    <s v="NV2006"/>
    <d v="2025-04-15T00:00:00"/>
    <s v="ST12"/>
    <s v="West"/>
    <s v="P226"/>
    <s v="Accessories"/>
    <n v="2"/>
    <n v="2206.9899999999998"/>
    <n v="15"/>
    <n v="1268.81"/>
    <x v="1"/>
    <s v="Digital"/>
    <n v="3751.8829999999994"/>
    <n v="1214.2629999999995"/>
    <s v="Tuesday"/>
    <b v="0"/>
    <x v="8"/>
  </r>
  <r>
    <s v="NV2007"/>
    <d v="2024-03-23T00:00:00"/>
    <s v="ST29"/>
    <s v="East"/>
    <s v="P215"/>
    <s v="Clothing"/>
    <n v="3"/>
    <n v="1511.94"/>
    <n v="10"/>
    <n v="1010.81"/>
    <x v="0"/>
    <s v="Cash"/>
    <n v="4082.2379999999998"/>
    <n v="1049.808"/>
    <s v="Saturday"/>
    <b v="1"/>
    <x v="7"/>
  </r>
  <r>
    <s v="NV2008"/>
    <d v="2025-09-28T00:00:00"/>
    <s v="ST51"/>
    <s v="North"/>
    <s v="P183"/>
    <s v="Shoes"/>
    <n v="5"/>
    <n v="1290.3599999999999"/>
    <n v="5"/>
    <n v="770.9"/>
    <x v="1"/>
    <s v="Digital"/>
    <n v="6129.2099999999991"/>
    <n v="2274.7099999999991"/>
    <s v="Sunday"/>
    <b v="1"/>
    <x v="6"/>
  </r>
  <r>
    <s v="NV2009"/>
    <d v="2024-10-04T00:00:00"/>
    <s v="ST41"/>
    <s v="East"/>
    <s v="P159"/>
    <s v="Shoes"/>
    <n v="4"/>
    <n v="2928.89"/>
    <n v="5"/>
    <n v="1953.3"/>
    <x v="1"/>
    <s v="Cash"/>
    <n v="11129.781999999999"/>
    <n v="3316.5819999999994"/>
    <s v="Friday"/>
    <b v="0"/>
    <x v="2"/>
  </r>
  <r>
    <s v="NV2010"/>
    <d v="2024-01-10T00:00:00"/>
    <s v="ST17"/>
    <s v="East"/>
    <s v="P35"/>
    <s v="Clothing"/>
    <n v="4"/>
    <n v="407.62"/>
    <n v="10"/>
    <n v="269.7"/>
    <x v="0"/>
    <s v="Cash"/>
    <n v="1467.432"/>
    <n v="388.63200000000006"/>
    <s v="Wednesday"/>
    <b v="0"/>
    <x v="10"/>
  </r>
  <r>
    <s v="NV2011"/>
    <d v="2024-01-27T00:00:00"/>
    <s v="ST39"/>
    <s v="West"/>
    <s v="P212"/>
    <s v="Clothing"/>
    <n v="4"/>
    <n v="832.01"/>
    <n v="20"/>
    <n v="485.95"/>
    <x v="0"/>
    <s v="Digital"/>
    <n v="2662.4320000000002"/>
    <n v="718.63200000000029"/>
    <s v="Saturday"/>
    <b v="1"/>
    <x v="10"/>
  </r>
  <r>
    <s v="NV2012"/>
    <d v="2025-05-19T00:00:00"/>
    <s v="ST11"/>
    <s v="South"/>
    <s v="P179"/>
    <s v="Clothing"/>
    <n v="5"/>
    <n v="1117.19"/>
    <n v="5"/>
    <n v="512.85"/>
    <x v="1"/>
    <s v="Card"/>
    <n v="5306.6525000000001"/>
    <n v="2742.4025000000001"/>
    <s v="Monday"/>
    <b v="0"/>
    <x v="9"/>
  </r>
  <r>
    <s v="NV2013"/>
    <d v="2024-06-24T00:00:00"/>
    <s v="ST13"/>
    <s v="East"/>
    <s v="P40"/>
    <s v="Shoes"/>
    <n v="2"/>
    <n v="2689.23"/>
    <n v="5"/>
    <n v="1295.29"/>
    <x v="0"/>
    <s v="Digital"/>
    <n v="5109.5369999999994"/>
    <n v="2518.9569999999994"/>
    <s v="Monday"/>
    <b v="0"/>
    <x v="0"/>
  </r>
  <r>
    <s v="NV2014"/>
    <d v="2025-09-30T00:00:00"/>
    <s v="ST47"/>
    <s v="South"/>
    <s v="P242"/>
    <s v="Clothing"/>
    <n v="2"/>
    <n v="2978.5"/>
    <n v="25"/>
    <n v="1642.65"/>
    <x v="0"/>
    <s v="Card"/>
    <n v="4467.75"/>
    <n v="1182.4499999999998"/>
    <s v="Tuesday"/>
    <b v="0"/>
    <x v="6"/>
  </r>
  <r>
    <s v="NV2015"/>
    <d v="2024-01-05T00:00:00"/>
    <s v="ST19"/>
    <s v="West"/>
    <s v="P34"/>
    <s v="Clothing"/>
    <n v="1"/>
    <n v="314.75"/>
    <n v="10"/>
    <n v="148.34"/>
    <x v="1"/>
    <s v="Digital"/>
    <n v="283.27500000000003"/>
    <n v="134.93500000000003"/>
    <s v="Friday"/>
    <b v="0"/>
    <x v="10"/>
  </r>
  <r>
    <s v="NV2016"/>
    <d v="2025-02-25T00:00:00"/>
    <s v="ST8"/>
    <s v="East"/>
    <s v="P113"/>
    <s v="Clothing"/>
    <n v="2"/>
    <n v="2316.29"/>
    <n v="20"/>
    <n v="1444.53"/>
    <x v="1"/>
    <s v="Digital"/>
    <n v="3706.0640000000003"/>
    <n v="817.00400000000036"/>
    <s v="Tuesday"/>
    <b v="0"/>
    <x v="3"/>
  </r>
  <r>
    <s v="NV2017"/>
    <d v="2025-03-30T00:00:00"/>
    <s v="ST5"/>
    <s v="West"/>
    <s v="P85"/>
    <s v="Clothing"/>
    <n v="3"/>
    <n v="2430.41"/>
    <n v="20"/>
    <n v="1392.46"/>
    <x v="1"/>
    <s v="Cash"/>
    <n v="5832.9840000000004"/>
    <n v="1655.6040000000003"/>
    <s v="Sunday"/>
    <b v="1"/>
    <x v="7"/>
  </r>
  <r>
    <s v="NV2018"/>
    <d v="2025-05-25T00:00:00"/>
    <s v="ST3"/>
    <s v="South"/>
    <s v="P134"/>
    <s v="Shoes"/>
    <n v="5"/>
    <n v="2243.59"/>
    <n v="30"/>
    <n v="1427.48"/>
    <x v="1"/>
    <s v="Digital"/>
    <n v="7852.5649999999996"/>
    <n v="715.16499999999996"/>
    <s v="Sunday"/>
    <b v="1"/>
    <x v="9"/>
  </r>
  <r>
    <s v="NV2019"/>
    <d v="2024-06-08T00:00:00"/>
    <s v="ST9"/>
    <s v="West"/>
    <s v="P81"/>
    <s v="Accessories"/>
    <n v="1"/>
    <n v="1613.07"/>
    <n v="5"/>
    <n v="1098.42"/>
    <x v="0"/>
    <s v="Cash"/>
    <n v="1532.4164999999998"/>
    <n v="433.99649999999974"/>
    <s v="Saturday"/>
    <b v="1"/>
    <x v="0"/>
  </r>
  <r>
    <s v="NV2020"/>
    <d v="2024-03-25T00:00:00"/>
    <s v="ST26"/>
    <s v="East"/>
    <s v="P149"/>
    <s v="Shoes"/>
    <n v="3"/>
    <n v="1306.82"/>
    <n v="0"/>
    <n v="756.35"/>
    <x v="0"/>
    <s v="Card"/>
    <n v="3920.46"/>
    <n v="1651.4099999999999"/>
    <s v="Monday"/>
    <b v="0"/>
    <x v="7"/>
  </r>
  <r>
    <s v="NV2021"/>
    <d v="2024-12-26T00:00:00"/>
    <s v="ST54"/>
    <s v="South"/>
    <s v="P122"/>
    <s v="Clothing"/>
    <n v="5"/>
    <n v="1830.02"/>
    <n v="10"/>
    <n v="799.77"/>
    <x v="0"/>
    <s v="Card"/>
    <n v="8235.09"/>
    <n v="4236.24"/>
    <s v="Thursday"/>
    <b v="0"/>
    <x v="11"/>
  </r>
  <r>
    <s v="NV2022"/>
    <d v="2025-06-15T00:00:00"/>
    <s v="ST3"/>
    <s v="North"/>
    <s v="P80"/>
    <s v="Shoes"/>
    <n v="1"/>
    <n v="2313.6"/>
    <n v="10"/>
    <n v="1505.1"/>
    <x v="0"/>
    <s v="Digital"/>
    <n v="2082.2399999999998"/>
    <n v="577.13999999999987"/>
    <s v="Sunday"/>
    <b v="1"/>
    <x v="0"/>
  </r>
  <r>
    <s v="NV2023"/>
    <d v="2025-04-08T00:00:00"/>
    <s v="ST10"/>
    <s v="North"/>
    <s v="P117"/>
    <s v="Accessories"/>
    <n v="4"/>
    <n v="553.47"/>
    <n v="20"/>
    <n v="286.13"/>
    <x v="0"/>
    <s v="Cash"/>
    <n v="1771.1040000000003"/>
    <n v="626.58400000000029"/>
    <s v="Tuesday"/>
    <b v="0"/>
    <x v="8"/>
  </r>
  <r>
    <s v="NV2024"/>
    <d v="2025-09-05T00:00:00"/>
    <s v="ST16"/>
    <s v="South"/>
    <s v="P25"/>
    <s v="Accessories"/>
    <n v="4"/>
    <n v="2310.61"/>
    <n v="25"/>
    <n v="1513.4"/>
    <x v="1"/>
    <s v="Cash"/>
    <n v="6931.83"/>
    <n v="878.22999999999956"/>
    <s v="Friday"/>
    <b v="0"/>
    <x v="6"/>
  </r>
  <r>
    <s v="NV2025"/>
    <d v="2024-03-31T00:00:00"/>
    <s v="ST52"/>
    <s v="South"/>
    <s v="P154"/>
    <s v="Shoes"/>
    <n v="4"/>
    <n v="2478.23"/>
    <n v="10"/>
    <n v="1252.31"/>
    <x v="1"/>
    <s v="Digital"/>
    <n v="8921.6280000000006"/>
    <n v="3912.3880000000008"/>
    <s v="Sunday"/>
    <b v="1"/>
    <x v="7"/>
  </r>
  <r>
    <s v="NV2026"/>
    <d v="2024-04-15T00:00:00"/>
    <s v="ST3"/>
    <s v="West"/>
    <s v="P60"/>
    <s v="Clothing"/>
    <n v="4"/>
    <n v="1022.5"/>
    <n v="15"/>
    <n v="595.16"/>
    <x v="0"/>
    <s v="Card"/>
    <n v="3476.5"/>
    <n v="1095.8600000000001"/>
    <s v="Monday"/>
    <b v="0"/>
    <x v="8"/>
  </r>
  <r>
    <s v="NV2027"/>
    <d v="2024-10-10T00:00:00"/>
    <s v="ST22"/>
    <s v="North"/>
    <s v="P110"/>
    <s v="Accessories"/>
    <n v="4"/>
    <n v="1163.6400000000001"/>
    <n v="20"/>
    <n v="688.38"/>
    <x v="0"/>
    <s v="Cash"/>
    <n v="3723.6480000000006"/>
    <n v="970.12800000000061"/>
    <s v="Thursday"/>
    <b v="0"/>
    <x v="2"/>
  </r>
  <r>
    <s v="NV2028"/>
    <d v="2025-03-10T00:00:00"/>
    <s v="ST9"/>
    <s v="West"/>
    <s v="P243"/>
    <s v="Accessories"/>
    <n v="1"/>
    <n v="803.63"/>
    <n v="0"/>
    <n v="537.09"/>
    <x v="1"/>
    <s v="Digital"/>
    <n v="803.63"/>
    <n v="266.53999999999996"/>
    <s v="Monday"/>
    <b v="0"/>
    <x v="7"/>
  </r>
  <r>
    <s v="NV2029"/>
    <d v="2025-10-02T00:00:00"/>
    <s v="ST31"/>
    <s v="South"/>
    <s v="P116"/>
    <s v="Clothing"/>
    <n v="5"/>
    <n v="2011.47"/>
    <n v="0"/>
    <n v="1137.5899999999999"/>
    <x v="1"/>
    <s v="Digital"/>
    <n v="10057.35"/>
    <n v="4369.4000000000005"/>
    <s v="Thursday"/>
    <b v="0"/>
    <x v="2"/>
  </r>
  <r>
    <s v="NV2030"/>
    <d v="2025-11-26T00:00:00"/>
    <s v="ST29"/>
    <s v="South"/>
    <s v="P70"/>
    <s v="Clothing"/>
    <n v="5"/>
    <n v="1451.13"/>
    <n v="30"/>
    <n v="832.08"/>
    <x v="1"/>
    <s v="Digital"/>
    <n v="5078.9549999999999"/>
    <n v="918.55499999999938"/>
    <s v="Wednesday"/>
    <b v="0"/>
    <x v="1"/>
  </r>
  <r>
    <s v="NV2031"/>
    <d v="2024-03-24T00:00:00"/>
    <s v="ST17"/>
    <s v="West"/>
    <s v="P6"/>
    <s v="Shoes"/>
    <n v="5"/>
    <n v="504.88"/>
    <n v="10"/>
    <n v="238.98"/>
    <x v="1"/>
    <s v="Cash"/>
    <n v="2271.96"/>
    <n v="1077.0600000000002"/>
    <s v="Sunday"/>
    <b v="1"/>
    <x v="7"/>
  </r>
  <r>
    <s v="NV2032"/>
    <d v="2024-01-24T00:00:00"/>
    <s v="ST52"/>
    <s v="East"/>
    <s v="P205"/>
    <s v="Shoes"/>
    <n v="5"/>
    <n v="1667.43"/>
    <n v="15"/>
    <n v="986.57"/>
    <x v="1"/>
    <s v="Cash"/>
    <n v="7086.5774999999994"/>
    <n v="2153.7274999999991"/>
    <s v="Wednesday"/>
    <b v="0"/>
    <x v="10"/>
  </r>
  <r>
    <s v="NV2033"/>
    <d v="2025-01-26T00:00:00"/>
    <s v="ST25"/>
    <s v="West"/>
    <s v="P141"/>
    <s v="Accessories"/>
    <n v="3"/>
    <n v="1186.72"/>
    <n v="15"/>
    <n v="530.21"/>
    <x v="1"/>
    <s v="Digital"/>
    <n v="3026.136"/>
    <n v="1435.5059999999999"/>
    <s v="Sunday"/>
    <b v="1"/>
    <x v="10"/>
  </r>
  <r>
    <s v="NV2034"/>
    <d v="2025-09-17T00:00:00"/>
    <s v="ST35"/>
    <s v="South"/>
    <s v="P117"/>
    <s v="Accessories"/>
    <n v="5"/>
    <n v="1553.29"/>
    <n v="20"/>
    <n v="941.65"/>
    <x v="1"/>
    <s v="Digital"/>
    <n v="6213.16"/>
    <n v="1504.9099999999999"/>
    <s v="Wednesday"/>
    <b v="0"/>
    <x v="6"/>
  </r>
  <r>
    <s v="NV2035"/>
    <d v="2025-01-09T00:00:00"/>
    <s v="ST44"/>
    <s v="East"/>
    <s v="P216"/>
    <s v="Clothing"/>
    <n v="4"/>
    <n v="2551.84"/>
    <n v="25"/>
    <n v="1208.06"/>
    <x v="0"/>
    <s v="Cash"/>
    <n v="7655.52"/>
    <n v="2823.2800000000007"/>
    <s v="Thursday"/>
    <b v="0"/>
    <x v="10"/>
  </r>
  <r>
    <s v="NV2036"/>
    <d v="2025-03-12T00:00:00"/>
    <s v="ST41"/>
    <s v="East"/>
    <s v="P112"/>
    <s v="Shoes"/>
    <n v="1"/>
    <n v="2236.62"/>
    <n v="10"/>
    <n v="1045.32"/>
    <x v="0"/>
    <s v="Card"/>
    <n v="2012.9579999999999"/>
    <n v="967.63799999999992"/>
    <s v="Wednesday"/>
    <b v="0"/>
    <x v="7"/>
  </r>
  <r>
    <s v="NV2037"/>
    <d v="2025-06-30T00:00:00"/>
    <s v="ST33"/>
    <s v="West"/>
    <s v="P242"/>
    <s v="Clothing"/>
    <n v="2"/>
    <n v="2909.79"/>
    <n v="0"/>
    <n v="1395.77"/>
    <x v="0"/>
    <s v="Card"/>
    <n v="5819.58"/>
    <n v="3028.04"/>
    <s v="Monday"/>
    <b v="0"/>
    <x v="0"/>
  </r>
  <r>
    <s v="NV2038"/>
    <d v="2025-03-21T00:00:00"/>
    <s v="ST17"/>
    <s v="West"/>
    <s v="P270"/>
    <s v="Shoes"/>
    <n v="2"/>
    <n v="719.24"/>
    <n v="0"/>
    <n v="468.08"/>
    <x v="1"/>
    <s v="Cash"/>
    <n v="1438.48"/>
    <n v="502.32000000000005"/>
    <s v="Friday"/>
    <b v="0"/>
    <x v="7"/>
  </r>
  <r>
    <s v="NV2039"/>
    <d v="2024-01-26T00:00:00"/>
    <s v="ST18"/>
    <s v="South"/>
    <s v="P5"/>
    <s v="Accessories"/>
    <n v="2"/>
    <n v="2940.96"/>
    <n v="25"/>
    <n v="1552.71"/>
    <x v="1"/>
    <s v="Cash"/>
    <n v="4411.4400000000005"/>
    <n v="1306.0200000000004"/>
    <s v="Friday"/>
    <b v="0"/>
    <x v="10"/>
  </r>
  <r>
    <s v="NV2040"/>
    <d v="2024-01-04T00:00:00"/>
    <s v="ST42"/>
    <s v="South"/>
    <s v="P232"/>
    <s v="Clothing"/>
    <n v="4"/>
    <n v="734.95"/>
    <n v="0"/>
    <n v="325.85000000000002"/>
    <x v="0"/>
    <s v="Card"/>
    <n v="2939.8"/>
    <n v="1636.4"/>
    <s v="Thursday"/>
    <b v="0"/>
    <x v="10"/>
  </r>
  <r>
    <s v="NV2041"/>
    <d v="2024-11-10T00:00:00"/>
    <s v="ST16"/>
    <s v="North"/>
    <s v="P230"/>
    <s v="Shoes"/>
    <n v="4"/>
    <n v="2906.11"/>
    <n v="25"/>
    <n v="1773.18"/>
    <x v="0"/>
    <s v="Digital"/>
    <n v="8718.33"/>
    <n v="1625.6099999999997"/>
    <s v="Sunday"/>
    <b v="1"/>
    <x v="1"/>
  </r>
  <r>
    <s v="NV2042"/>
    <d v="2025-03-07T00:00:00"/>
    <s v="ST42"/>
    <s v="East"/>
    <s v="P60"/>
    <s v="Shoes"/>
    <n v="5"/>
    <n v="2473.7199999999998"/>
    <n v="5"/>
    <n v="1273.96"/>
    <x v="1"/>
    <s v="Cash"/>
    <n v="11750.169999999998"/>
    <n v="5380.3699999999981"/>
    <s v="Friday"/>
    <b v="0"/>
    <x v="7"/>
  </r>
  <r>
    <s v="NV2043"/>
    <d v="2024-06-21T00:00:00"/>
    <s v="ST35"/>
    <s v="North"/>
    <s v="P190"/>
    <s v="Accessories"/>
    <n v="3"/>
    <n v="2387.9899999999998"/>
    <n v="10"/>
    <n v="1135.74"/>
    <x v="0"/>
    <s v="Cash"/>
    <n v="6447.5729999999994"/>
    <n v="3040.3529999999992"/>
    <s v="Friday"/>
    <b v="0"/>
    <x v="0"/>
  </r>
  <r>
    <s v="NV2044"/>
    <d v="2025-09-08T00:00:00"/>
    <s v="ST35"/>
    <s v="West"/>
    <s v="P153"/>
    <s v="Accessories"/>
    <n v="3"/>
    <n v="1067.2"/>
    <n v="25"/>
    <n v="458.54"/>
    <x v="0"/>
    <s v="Card"/>
    <n v="2401.2000000000003"/>
    <n v="1025.5800000000002"/>
    <s v="Monday"/>
    <b v="0"/>
    <x v="6"/>
  </r>
  <r>
    <s v="NV2045"/>
    <d v="2024-10-04T00:00:00"/>
    <s v="ST16"/>
    <s v="West"/>
    <s v="P32"/>
    <s v="Clothing"/>
    <n v="1"/>
    <n v="1101.51"/>
    <n v="20"/>
    <n v="452.95"/>
    <x v="1"/>
    <s v="Card"/>
    <n v="881.20800000000008"/>
    <n v="428.2580000000001"/>
    <s v="Friday"/>
    <b v="0"/>
    <x v="2"/>
  </r>
  <r>
    <s v="NV2046"/>
    <d v="2024-04-21T00:00:00"/>
    <s v="ST24"/>
    <s v="West"/>
    <s v="P78"/>
    <s v="Accessories"/>
    <n v="4"/>
    <n v="2530.13"/>
    <n v="0"/>
    <n v="1028.7"/>
    <x v="0"/>
    <s v="Digital"/>
    <n v="10120.52"/>
    <n v="6005.72"/>
    <s v="Sunday"/>
    <b v="1"/>
    <x v="8"/>
  </r>
  <r>
    <s v="NV2047"/>
    <d v="2024-07-12T00:00:00"/>
    <s v="ST16"/>
    <s v="West"/>
    <s v="P283"/>
    <s v="Clothing"/>
    <n v="2"/>
    <n v="1253.0899999999999"/>
    <n v="0"/>
    <n v="750.69"/>
    <x v="1"/>
    <s v="Cash"/>
    <n v="2506.1799999999998"/>
    <n v="1004.7999999999997"/>
    <s v="Friday"/>
    <b v="0"/>
    <x v="4"/>
  </r>
  <r>
    <s v="NV2048"/>
    <d v="2025-10-23T00:00:00"/>
    <s v="ST2"/>
    <s v="East"/>
    <s v="P94"/>
    <s v="Shoes"/>
    <n v="3"/>
    <n v="838.55"/>
    <n v="25"/>
    <n v="550.24"/>
    <x v="1"/>
    <s v="Cash"/>
    <n v="1886.7374999999997"/>
    <n v="236.0174999999997"/>
    <s v="Thursday"/>
    <b v="0"/>
    <x v="2"/>
  </r>
  <r>
    <s v="NV2049"/>
    <d v="2025-10-29T00:00:00"/>
    <s v="ST35"/>
    <s v="North"/>
    <s v="P44"/>
    <s v="Shoes"/>
    <n v="2"/>
    <n v="1446.5"/>
    <n v="30"/>
    <n v="978.94"/>
    <x v="1"/>
    <s v="Card"/>
    <n v="2025.1"/>
    <n v="67.2199999999998"/>
    <s v="Wednesday"/>
    <b v="0"/>
    <x v="2"/>
  </r>
  <r>
    <s v="NV2050"/>
    <d v="2024-12-15T00:00:00"/>
    <s v="ST37"/>
    <s v="East"/>
    <s v="P116"/>
    <s v="Clothing"/>
    <n v="3"/>
    <n v="2056.7399999999998"/>
    <n v="30"/>
    <n v="1339.02"/>
    <x v="0"/>
    <s v="Card"/>
    <n v="4319.1539999999995"/>
    <n v="302.0939999999996"/>
    <s v="Sunday"/>
    <b v="1"/>
    <x v="11"/>
  </r>
  <r>
    <s v="NV2051"/>
    <d v="2024-10-23T00:00:00"/>
    <s v="ST3"/>
    <s v="South"/>
    <s v="P164"/>
    <s v="Shoes"/>
    <n v="1"/>
    <n v="1742.19"/>
    <n v="25"/>
    <n v="896.88"/>
    <x v="0"/>
    <s v="Digital"/>
    <n v="1306.6424999999999"/>
    <n v="409.76249999999993"/>
    <s v="Wednesday"/>
    <b v="0"/>
    <x v="2"/>
  </r>
  <r>
    <s v="NV2052"/>
    <d v="2024-12-12T00:00:00"/>
    <s v="ST42"/>
    <s v="East"/>
    <s v="P21"/>
    <s v="Shoes"/>
    <n v="5"/>
    <n v="2615.23"/>
    <n v="0"/>
    <n v="1505.1"/>
    <x v="1"/>
    <s v="Card"/>
    <n v="13076.15"/>
    <n v="5550.65"/>
    <s v="Thursday"/>
    <b v="0"/>
    <x v="11"/>
  </r>
  <r>
    <s v="NV2053"/>
    <d v="2024-02-09T00:00:00"/>
    <s v="ST24"/>
    <s v="East"/>
    <s v="P253"/>
    <s v="Accessories"/>
    <n v="4"/>
    <n v="636.74"/>
    <n v="5"/>
    <n v="277.14"/>
    <x v="1"/>
    <s v="Digital"/>
    <n v="2419.6120000000001"/>
    <n v="1311.0520000000001"/>
    <s v="Friday"/>
    <b v="0"/>
    <x v="3"/>
  </r>
  <r>
    <s v="NV2054"/>
    <d v="2024-10-12T00:00:00"/>
    <s v="ST19"/>
    <s v="South"/>
    <s v="P119"/>
    <s v="Accessories"/>
    <n v="5"/>
    <n v="2963.95"/>
    <n v="20"/>
    <n v="1529.55"/>
    <x v="0"/>
    <s v="Digital"/>
    <n v="11855.800000000001"/>
    <n v="4208.0500000000011"/>
    <s v="Saturday"/>
    <b v="1"/>
    <x v="2"/>
  </r>
  <r>
    <s v="NV2055"/>
    <d v="2025-11-20T00:00:00"/>
    <s v="ST36"/>
    <s v="East"/>
    <s v="P173"/>
    <s v="Shoes"/>
    <n v="2"/>
    <n v="2568.83"/>
    <n v="15"/>
    <n v="1776.88"/>
    <x v="1"/>
    <s v="Cash"/>
    <n v="4367.0109999999995"/>
    <n v="813.25099999999929"/>
    <s v="Thursday"/>
    <b v="0"/>
    <x v="1"/>
  </r>
  <r>
    <s v="NV2056"/>
    <d v="2025-11-22T00:00:00"/>
    <s v="ST23"/>
    <s v="South"/>
    <s v="P155"/>
    <s v="Accessories"/>
    <n v="5"/>
    <n v="1451.72"/>
    <n v="10"/>
    <n v="996.34"/>
    <x v="1"/>
    <s v="Digital"/>
    <n v="6532.7400000000007"/>
    <n v="1551.0400000000009"/>
    <s v="Saturday"/>
    <b v="1"/>
    <x v="1"/>
  </r>
  <r>
    <s v="NV2057"/>
    <d v="2025-08-01T00:00:00"/>
    <s v="ST35"/>
    <s v="North"/>
    <s v="P248"/>
    <s v="Shoes"/>
    <n v="3"/>
    <n v="2993.04"/>
    <n v="10"/>
    <n v="1204.9000000000001"/>
    <x v="1"/>
    <s v="Digital"/>
    <n v="8081.2079999999996"/>
    <n v="4466.5079999999998"/>
    <s v="Friday"/>
    <b v="0"/>
    <x v="5"/>
  </r>
  <r>
    <s v="NV2058"/>
    <d v="2025-07-10T00:00:00"/>
    <s v="ST7"/>
    <s v="South"/>
    <s v="P134"/>
    <s v="Shoes"/>
    <n v="2"/>
    <n v="2049.66"/>
    <n v="15"/>
    <n v="1095.8800000000001"/>
    <x v="1"/>
    <s v="Cash"/>
    <n v="3484.4219999999996"/>
    <n v="1292.6619999999994"/>
    <s v="Thursday"/>
    <b v="0"/>
    <x v="4"/>
  </r>
  <r>
    <s v="NV2059"/>
    <d v="2025-03-14T00:00:00"/>
    <s v="ST44"/>
    <s v="South"/>
    <s v="P26"/>
    <s v="Clothing"/>
    <n v="1"/>
    <n v="2962.8"/>
    <n v="0"/>
    <n v="1898.58"/>
    <x v="1"/>
    <s v="Card"/>
    <n v="2962.8"/>
    <n v="1064.2200000000003"/>
    <s v="Friday"/>
    <b v="0"/>
    <x v="7"/>
  </r>
  <r>
    <s v="NV2060"/>
    <d v="2025-04-25T00:00:00"/>
    <s v="ST2"/>
    <s v="South"/>
    <s v="P296"/>
    <s v="Shoes"/>
    <n v="5"/>
    <n v="1535.11"/>
    <n v="30"/>
    <n v="627.79"/>
    <x v="0"/>
    <s v="Cash"/>
    <n v="5372.8849999999993"/>
    <n v="2233.9349999999995"/>
    <s v="Friday"/>
    <b v="0"/>
    <x v="8"/>
  </r>
  <r>
    <s v="NV2061"/>
    <d v="2025-06-09T00:00:00"/>
    <s v="ST14"/>
    <s v="North"/>
    <s v="P109"/>
    <s v="Accessories"/>
    <n v="2"/>
    <n v="576.37"/>
    <n v="10"/>
    <n v="352.57"/>
    <x v="1"/>
    <s v="Digital"/>
    <n v="1037.4660000000001"/>
    <n v="332.32600000000014"/>
    <s v="Monday"/>
    <b v="0"/>
    <x v="0"/>
  </r>
  <r>
    <s v="NV2062"/>
    <d v="2024-08-30T00:00:00"/>
    <s v="ST18"/>
    <s v="South"/>
    <s v="P259"/>
    <s v="Accessories"/>
    <n v="1"/>
    <n v="2898.62"/>
    <n v="30"/>
    <n v="1746.96"/>
    <x v="1"/>
    <s v="Digital"/>
    <n v="2029.0339999999999"/>
    <n v="282.07399999999984"/>
    <s v="Friday"/>
    <b v="0"/>
    <x v="5"/>
  </r>
  <r>
    <s v="NV2063"/>
    <d v="2024-03-21T00:00:00"/>
    <s v="ST6"/>
    <s v="East"/>
    <s v="P242"/>
    <s v="Shoes"/>
    <n v="2"/>
    <n v="1842.93"/>
    <n v="20"/>
    <n v="926.28"/>
    <x v="1"/>
    <s v="Card"/>
    <n v="2948.6880000000001"/>
    <n v="1096.1280000000002"/>
    <s v="Thursday"/>
    <b v="0"/>
    <x v="7"/>
  </r>
  <r>
    <s v="NV2064"/>
    <d v="2024-05-09T00:00:00"/>
    <s v="ST15"/>
    <s v="North"/>
    <s v="P157"/>
    <s v="Clothing"/>
    <n v="4"/>
    <n v="1049.22"/>
    <n v="0"/>
    <n v="427.36"/>
    <x v="0"/>
    <s v="Digital"/>
    <n v="4196.88"/>
    <n v="2487.44"/>
    <s v="Thursday"/>
    <b v="0"/>
    <x v="9"/>
  </r>
  <r>
    <s v="NV2065"/>
    <d v="2025-09-27T00:00:00"/>
    <s v="ST44"/>
    <s v="West"/>
    <s v="P13"/>
    <s v="Clothing"/>
    <n v="4"/>
    <n v="2615.3000000000002"/>
    <n v="5"/>
    <n v="1128.73"/>
    <x v="1"/>
    <s v="Digital"/>
    <n v="9938.14"/>
    <n v="5423.2199999999993"/>
    <s v="Saturday"/>
    <b v="1"/>
    <x v="6"/>
  </r>
  <r>
    <s v="NV2066"/>
    <d v="2025-05-19T00:00:00"/>
    <s v="ST54"/>
    <s v="West"/>
    <s v="P180"/>
    <s v="Shoes"/>
    <n v="2"/>
    <n v="2721.17"/>
    <n v="30"/>
    <n v="1747.27"/>
    <x v="0"/>
    <s v="Digital"/>
    <n v="3809.6379999999999"/>
    <n v="315.09799999999996"/>
    <s v="Monday"/>
    <b v="0"/>
    <x v="9"/>
  </r>
  <r>
    <s v="NV2067"/>
    <d v="2024-02-21T00:00:00"/>
    <s v="ST38"/>
    <s v="North"/>
    <s v="P32"/>
    <s v="Clothing"/>
    <n v="1"/>
    <n v="2954.39"/>
    <n v="15"/>
    <n v="1472.81"/>
    <x v="0"/>
    <s v="Cash"/>
    <n v="2511.2314999999999"/>
    <n v="1038.4214999999999"/>
    <s v="Wednesday"/>
    <b v="0"/>
    <x v="3"/>
  </r>
  <r>
    <s v="NV2068"/>
    <d v="2025-10-12T00:00:00"/>
    <s v="ST31"/>
    <s v="South"/>
    <s v="P18"/>
    <s v="Shoes"/>
    <n v="1"/>
    <n v="2797.48"/>
    <n v="30"/>
    <n v="1332.71"/>
    <x v="1"/>
    <s v="Cash"/>
    <n v="1958.2359999999999"/>
    <n v="625.52599999999984"/>
    <s v="Sunday"/>
    <b v="1"/>
    <x v="2"/>
  </r>
  <r>
    <s v="NV2069"/>
    <d v="2025-07-31T00:00:00"/>
    <s v="ST22"/>
    <s v="North"/>
    <s v="P118"/>
    <s v="Accessories"/>
    <n v="3"/>
    <n v="943.8"/>
    <n v="0"/>
    <n v="582.53"/>
    <x v="0"/>
    <s v="Card"/>
    <n v="2831.3999999999996"/>
    <n v="1083.8099999999997"/>
    <s v="Thursday"/>
    <b v="0"/>
    <x v="4"/>
  </r>
  <r>
    <s v="NV2070"/>
    <d v="2025-04-22T00:00:00"/>
    <s v="ST15"/>
    <s v="North"/>
    <s v="P255"/>
    <s v="Clothing"/>
    <n v="3"/>
    <n v="318.51"/>
    <n v="25"/>
    <n v="129.12"/>
    <x v="0"/>
    <s v="Digital"/>
    <n v="716.64750000000004"/>
    <n v="329.28750000000002"/>
    <s v="Tuesday"/>
    <b v="0"/>
    <x v="8"/>
  </r>
  <r>
    <s v="NV2071"/>
    <d v="2024-12-01T00:00:00"/>
    <s v="ST12"/>
    <s v="South"/>
    <s v="P297"/>
    <s v="Shoes"/>
    <n v="2"/>
    <n v="1104.5"/>
    <n v="25"/>
    <n v="476.14"/>
    <x v="1"/>
    <s v="Digital"/>
    <n v="1656.75"/>
    <n v="704.47"/>
    <s v="Sunday"/>
    <b v="1"/>
    <x v="11"/>
  </r>
  <r>
    <s v="NV2072"/>
    <d v="2024-02-09T00:00:00"/>
    <s v="ST38"/>
    <s v="South"/>
    <s v="P190"/>
    <s v="Accessories"/>
    <n v="2"/>
    <n v="1052.44"/>
    <n v="10"/>
    <n v="615.04999999999995"/>
    <x v="1"/>
    <s v="Digital"/>
    <n v="1894.3920000000001"/>
    <n v="664.29200000000014"/>
    <s v="Friday"/>
    <b v="0"/>
    <x v="3"/>
  </r>
  <r>
    <s v="NV2073"/>
    <d v="2024-05-09T00:00:00"/>
    <s v="ST16"/>
    <s v="West"/>
    <s v="P218"/>
    <s v="Clothing"/>
    <n v="2"/>
    <n v="1968.87"/>
    <n v="30"/>
    <n v="1186.6500000000001"/>
    <x v="1"/>
    <s v="Cash"/>
    <n v="2756.4179999999997"/>
    <n v="383.11799999999948"/>
    <s v="Thursday"/>
    <b v="0"/>
    <x v="9"/>
  </r>
  <r>
    <s v="NV2074"/>
    <d v="2024-10-06T00:00:00"/>
    <s v="ST53"/>
    <s v="East"/>
    <s v="P66"/>
    <s v="Clothing"/>
    <n v="4"/>
    <n v="2743.59"/>
    <n v="0"/>
    <n v="1213.75"/>
    <x v="0"/>
    <s v="Cash"/>
    <n v="10974.36"/>
    <n v="6119.3600000000006"/>
    <s v="Sunday"/>
    <b v="1"/>
    <x v="2"/>
  </r>
  <r>
    <s v="NV2075"/>
    <d v="2025-03-03T00:00:00"/>
    <s v="ST57"/>
    <s v="North"/>
    <s v="P204"/>
    <s v="Clothing"/>
    <n v="3"/>
    <n v="1424.91"/>
    <n v="15"/>
    <n v="780.85"/>
    <x v="1"/>
    <s v="Digital"/>
    <n v="3633.5205000000001"/>
    <n v="1290.9704999999999"/>
    <s v="Monday"/>
    <b v="0"/>
    <x v="7"/>
  </r>
  <r>
    <s v="NV2076"/>
    <d v="2024-12-08T00:00:00"/>
    <s v="ST49"/>
    <s v="West"/>
    <s v="P283"/>
    <s v="Shoes"/>
    <n v="5"/>
    <n v="1055.5"/>
    <n v="10"/>
    <n v="617.22"/>
    <x v="0"/>
    <s v="Digital"/>
    <n v="4749.75"/>
    <n v="1663.6499999999996"/>
    <s v="Sunday"/>
    <b v="1"/>
    <x v="11"/>
  </r>
  <r>
    <s v="NV2077"/>
    <d v="2024-05-08T00:00:00"/>
    <s v="ST25"/>
    <s v="North"/>
    <s v="P162"/>
    <s v="Clothing"/>
    <n v="1"/>
    <n v="2917.56"/>
    <n v="30"/>
    <n v="1285.1600000000001"/>
    <x v="0"/>
    <s v="Cash"/>
    <n v="2042.2919999999999"/>
    <n v="757.13199999999983"/>
    <s v="Wednesday"/>
    <b v="0"/>
    <x v="9"/>
  </r>
  <r>
    <s v="NV2078"/>
    <d v="2024-07-31T00:00:00"/>
    <s v="ST17"/>
    <s v="South"/>
    <s v="P34"/>
    <s v="Shoes"/>
    <n v="1"/>
    <n v="620.5"/>
    <n v="0"/>
    <n v="291.95"/>
    <x v="1"/>
    <s v="Cash"/>
    <n v="620.5"/>
    <n v="328.55"/>
    <s v="Wednesday"/>
    <b v="0"/>
    <x v="4"/>
  </r>
  <r>
    <s v="NV2079"/>
    <d v="2024-07-02T00:00:00"/>
    <s v="ST13"/>
    <s v="East"/>
    <s v="P66"/>
    <s v="Accessories"/>
    <n v="5"/>
    <n v="835.5"/>
    <n v="20"/>
    <n v="496.21"/>
    <x v="0"/>
    <s v="Card"/>
    <n v="3342"/>
    <n v="860.95000000000027"/>
    <s v="Tuesday"/>
    <b v="0"/>
    <x v="4"/>
  </r>
  <r>
    <s v="NV2080"/>
    <d v="2025-09-02T00:00:00"/>
    <s v="ST26"/>
    <s v="North"/>
    <s v="P47"/>
    <s v="Clothing"/>
    <n v="1"/>
    <n v="938.24"/>
    <n v="15"/>
    <n v="526.67999999999995"/>
    <x v="0"/>
    <s v="Cash"/>
    <n v="797.50400000000002"/>
    <n v="270.82400000000007"/>
    <s v="Tuesday"/>
    <b v="0"/>
    <x v="6"/>
  </r>
  <r>
    <s v="NV2081"/>
    <d v="2024-03-14T00:00:00"/>
    <s v="ST32"/>
    <s v="West"/>
    <s v="P201"/>
    <s v="Shoes"/>
    <n v="4"/>
    <n v="332.29"/>
    <n v="25"/>
    <n v="136.02000000000001"/>
    <x v="1"/>
    <s v="Card"/>
    <n v="996.87000000000012"/>
    <n v="452.79000000000008"/>
    <s v="Thursday"/>
    <b v="0"/>
    <x v="7"/>
  </r>
  <r>
    <s v="NV2082"/>
    <d v="2024-01-25T00:00:00"/>
    <s v="ST41"/>
    <s v="South"/>
    <s v="P94"/>
    <s v="Shoes"/>
    <n v="3"/>
    <n v="1593.63"/>
    <n v="0"/>
    <n v="899.29"/>
    <x v="0"/>
    <s v="Digital"/>
    <n v="4780.8900000000003"/>
    <n v="2083.0200000000004"/>
    <s v="Thursday"/>
    <b v="0"/>
    <x v="10"/>
  </r>
  <r>
    <s v="NV2083"/>
    <d v="2024-07-29T00:00:00"/>
    <s v="ST38"/>
    <s v="West"/>
    <s v="P203"/>
    <s v="Clothing"/>
    <n v="2"/>
    <n v="2163.25"/>
    <n v="0"/>
    <n v="1131.9100000000001"/>
    <x v="1"/>
    <s v="Cash"/>
    <n v="4326.5"/>
    <n v="2062.6799999999998"/>
    <s v="Monday"/>
    <b v="0"/>
    <x v="4"/>
  </r>
  <r>
    <s v="NV2084"/>
    <d v="2025-03-19T00:00:00"/>
    <s v="ST27"/>
    <s v="North"/>
    <s v="P24"/>
    <s v="Clothing"/>
    <n v="3"/>
    <n v="2523.59"/>
    <n v="0"/>
    <n v="1374.29"/>
    <x v="1"/>
    <s v="Cash"/>
    <n v="7570.77"/>
    <n v="3447.9000000000005"/>
    <s v="Wednesday"/>
    <b v="0"/>
    <x v="7"/>
  </r>
  <r>
    <s v="NV2085"/>
    <d v="2025-07-05T00:00:00"/>
    <s v="ST28"/>
    <s v="West"/>
    <s v="P68"/>
    <s v="Shoes"/>
    <n v="5"/>
    <n v="534.70000000000005"/>
    <n v="30"/>
    <n v="332.57"/>
    <x v="1"/>
    <s v="Digital"/>
    <n v="1871.4499999999998"/>
    <n v="208.59999999999991"/>
    <s v="Saturday"/>
    <b v="1"/>
    <x v="4"/>
  </r>
  <r>
    <s v="NV2086"/>
    <d v="2024-11-27T00:00:00"/>
    <s v="ST15"/>
    <s v="South"/>
    <s v="P134"/>
    <s v="Accessories"/>
    <n v="5"/>
    <n v="763.1"/>
    <n v="5"/>
    <n v="334.45"/>
    <x v="1"/>
    <s v="Cash"/>
    <n v="3624.7249999999999"/>
    <n v="1952.4749999999999"/>
    <s v="Wednesday"/>
    <b v="0"/>
    <x v="1"/>
  </r>
  <r>
    <s v="NV2087"/>
    <d v="2024-03-21T00:00:00"/>
    <s v="ST52"/>
    <s v="East"/>
    <s v="P165"/>
    <s v="Clothing"/>
    <n v="1"/>
    <n v="950.68"/>
    <n v="25"/>
    <n v="421.25"/>
    <x v="0"/>
    <s v="Digital"/>
    <n v="713.01"/>
    <n v="291.76"/>
    <s v="Thursday"/>
    <b v="0"/>
    <x v="7"/>
  </r>
  <r>
    <s v="NV2088"/>
    <d v="2024-07-31T00:00:00"/>
    <s v="ST52"/>
    <s v="South"/>
    <s v="P74"/>
    <s v="Clothing"/>
    <n v="1"/>
    <n v="2285.65"/>
    <n v="5"/>
    <n v="1412.97"/>
    <x v="0"/>
    <s v="Digital"/>
    <n v="2171.3674999999998"/>
    <n v="758.39749999999981"/>
    <s v="Wednesday"/>
    <b v="0"/>
    <x v="4"/>
  </r>
  <r>
    <s v="NV2089"/>
    <d v="2025-02-11T00:00:00"/>
    <s v="ST5"/>
    <s v="West"/>
    <s v="P220"/>
    <s v="Shoes"/>
    <n v="2"/>
    <n v="2117.08"/>
    <n v="5"/>
    <n v="940.32"/>
    <x v="1"/>
    <s v="Card"/>
    <n v="4022.4519999999998"/>
    <n v="2141.8119999999999"/>
    <s v="Tuesday"/>
    <b v="0"/>
    <x v="3"/>
  </r>
  <r>
    <s v="NV2090"/>
    <d v="2025-11-09T00:00:00"/>
    <s v="ST58"/>
    <s v="West"/>
    <s v="P24"/>
    <s v="Accessories"/>
    <n v="5"/>
    <n v="1350.5"/>
    <n v="0"/>
    <n v="778.98"/>
    <x v="1"/>
    <s v="Digital"/>
    <n v="6752.5"/>
    <n v="2857.6"/>
    <s v="Sunday"/>
    <b v="1"/>
    <x v="1"/>
  </r>
  <r>
    <s v="NV2091"/>
    <d v="2024-12-10T00:00:00"/>
    <s v="ST10"/>
    <s v="North"/>
    <s v="P193"/>
    <s v="Accessories"/>
    <n v="3"/>
    <n v="901.38"/>
    <n v="30"/>
    <n v="580.4"/>
    <x v="1"/>
    <s v="Digital"/>
    <n v="1892.8979999999997"/>
    <n v="151.69799999999987"/>
    <s v="Tuesday"/>
    <b v="0"/>
    <x v="11"/>
  </r>
  <r>
    <s v="NV2092"/>
    <d v="2024-04-03T00:00:00"/>
    <s v="ST8"/>
    <s v="West"/>
    <s v="P154"/>
    <s v="Clothing"/>
    <n v="5"/>
    <n v="2902.29"/>
    <n v="10"/>
    <n v="1806.34"/>
    <x v="0"/>
    <s v="Cash"/>
    <n v="13060.305"/>
    <n v="4028.6050000000014"/>
    <s v="Wednesday"/>
    <b v="0"/>
    <x v="8"/>
  </r>
  <r>
    <s v="NV2093"/>
    <d v="2024-01-20T00:00:00"/>
    <s v="ST34"/>
    <s v="East"/>
    <s v="P105"/>
    <s v="Clothing"/>
    <n v="5"/>
    <n v="2386.3000000000002"/>
    <n v="10"/>
    <n v="1123.33"/>
    <x v="0"/>
    <s v="Cash"/>
    <n v="10738.35"/>
    <n v="5121.7000000000007"/>
    <s v="Saturday"/>
    <b v="1"/>
    <x v="10"/>
  </r>
  <r>
    <s v="NV2094"/>
    <d v="2025-07-27T00:00:00"/>
    <s v="ST10"/>
    <s v="East"/>
    <s v="P156"/>
    <s v="Clothing"/>
    <n v="1"/>
    <n v="2297.27"/>
    <n v="0"/>
    <n v="1599.4"/>
    <x v="0"/>
    <s v="Cash"/>
    <n v="2297.27"/>
    <n v="697.86999999999989"/>
    <s v="Sunday"/>
    <b v="1"/>
    <x v="4"/>
  </r>
  <r>
    <s v="NV2095"/>
    <d v="2025-07-13T00:00:00"/>
    <s v="ST26"/>
    <s v="South"/>
    <s v="P267"/>
    <s v="Shoes"/>
    <n v="1"/>
    <n v="639.91999999999996"/>
    <n v="20"/>
    <n v="413.84"/>
    <x v="0"/>
    <s v="Digital"/>
    <n v="511.93599999999998"/>
    <n v="98.096000000000004"/>
    <s v="Sunday"/>
    <b v="1"/>
    <x v="4"/>
  </r>
  <r>
    <s v="NV2096"/>
    <d v="2024-05-03T00:00:00"/>
    <s v="ST56"/>
    <s v="North"/>
    <s v="P115"/>
    <s v="Accessories"/>
    <n v="3"/>
    <n v="2163.79"/>
    <n v="25"/>
    <n v="1109.33"/>
    <x v="0"/>
    <s v="Cash"/>
    <n v="4868.5275000000001"/>
    <n v="1540.5375000000004"/>
    <s v="Friday"/>
    <b v="0"/>
    <x v="9"/>
  </r>
  <r>
    <s v="NV2097"/>
    <d v="2024-11-03T00:00:00"/>
    <s v="ST56"/>
    <s v="West"/>
    <s v="P91"/>
    <s v="Accessories"/>
    <n v="4"/>
    <n v="2790.22"/>
    <n v="10"/>
    <n v="1414.62"/>
    <x v="0"/>
    <s v="Card"/>
    <n v="10044.791999999999"/>
    <n v="4386.3119999999999"/>
    <s v="Sunday"/>
    <b v="1"/>
    <x v="1"/>
  </r>
  <r>
    <s v="NV2098"/>
    <d v="2025-01-02T00:00:00"/>
    <s v="ST52"/>
    <s v="North"/>
    <s v="P170"/>
    <s v="Accessories"/>
    <n v="3"/>
    <n v="1642.2"/>
    <n v="5"/>
    <n v="946.83"/>
    <x v="0"/>
    <s v="Card"/>
    <n v="4680.2700000000004"/>
    <n v="1839.7800000000002"/>
    <s v="Thursday"/>
    <b v="0"/>
    <x v="10"/>
  </r>
  <r>
    <s v="NV2099"/>
    <d v="2024-11-02T00:00:00"/>
    <s v="ST32"/>
    <s v="West"/>
    <s v="P55"/>
    <s v="Clothing"/>
    <n v="3"/>
    <n v="2739.45"/>
    <n v="10"/>
    <n v="1354.32"/>
    <x v="0"/>
    <s v="Cash"/>
    <n v="7396.5149999999985"/>
    <n v="3333.5549999999985"/>
    <s v="Saturday"/>
    <b v="1"/>
    <x v="1"/>
  </r>
  <r>
    <s v="NV2100"/>
    <d v="2024-03-16T00:00:00"/>
    <s v="ST12"/>
    <s v="North"/>
    <s v="P259"/>
    <s v="Accessories"/>
    <n v="5"/>
    <n v="1868.88"/>
    <n v="30"/>
    <n v="979.47"/>
    <x v="0"/>
    <s v="Digital"/>
    <n v="6541.0800000000008"/>
    <n v="1643.7300000000005"/>
    <s v="Saturday"/>
    <b v="1"/>
    <x v="7"/>
  </r>
  <r>
    <s v="NV2101"/>
    <d v="2024-08-01T00:00:00"/>
    <s v="ST25"/>
    <s v="East"/>
    <s v="P87"/>
    <s v="Shoes"/>
    <n v="2"/>
    <n v="604.63"/>
    <n v="25"/>
    <n v="294.18"/>
    <x v="1"/>
    <s v="Digital"/>
    <n v="906.94499999999994"/>
    <n v="318.58499999999992"/>
    <s v="Thursday"/>
    <b v="0"/>
    <x v="5"/>
  </r>
  <r>
    <s v="NV2102"/>
    <d v="2025-03-17T00:00:00"/>
    <s v="ST48"/>
    <s v="West"/>
    <s v="P201"/>
    <s v="Clothing"/>
    <n v="2"/>
    <n v="2183.67"/>
    <n v="10"/>
    <n v="948.55"/>
    <x v="1"/>
    <s v="Cash"/>
    <n v="3930.6060000000002"/>
    <n v="2033.5060000000003"/>
    <s v="Monday"/>
    <b v="0"/>
    <x v="7"/>
  </r>
  <r>
    <s v="NV2103"/>
    <d v="2025-01-25T00:00:00"/>
    <s v="ST17"/>
    <s v="East"/>
    <s v="P215"/>
    <s v="Shoes"/>
    <n v="4"/>
    <n v="1538.31"/>
    <n v="20"/>
    <n v="814.87"/>
    <x v="1"/>
    <s v="Cash"/>
    <n v="4922.5920000000006"/>
    <n v="1663.1120000000005"/>
    <s v="Saturday"/>
    <b v="1"/>
    <x v="10"/>
  </r>
  <r>
    <s v="NV2104"/>
    <d v="2024-05-14T00:00:00"/>
    <s v="ST49"/>
    <s v="North"/>
    <s v="P104"/>
    <s v="Clothing"/>
    <n v="1"/>
    <n v="1345.92"/>
    <n v="15"/>
    <n v="579.57000000000005"/>
    <x v="1"/>
    <s v="Cash"/>
    <n v="1144.0319999999999"/>
    <n v="564.46199999999988"/>
    <s v="Tuesday"/>
    <b v="0"/>
    <x v="9"/>
  </r>
  <r>
    <s v="NV2105"/>
    <d v="2024-06-20T00:00:00"/>
    <s v="ST43"/>
    <s v="South"/>
    <s v="P189"/>
    <s v="Shoes"/>
    <n v="4"/>
    <n v="2639.8"/>
    <n v="0"/>
    <n v="1801.95"/>
    <x v="0"/>
    <s v="Cash"/>
    <n v="10559.2"/>
    <n v="3351.4000000000005"/>
    <s v="Thursday"/>
    <b v="0"/>
    <x v="0"/>
  </r>
  <r>
    <s v="NV2106"/>
    <d v="2024-06-25T00:00:00"/>
    <s v="ST57"/>
    <s v="East"/>
    <s v="P204"/>
    <s v="Clothing"/>
    <n v="5"/>
    <n v="2343.65"/>
    <n v="30"/>
    <n v="1618.05"/>
    <x v="1"/>
    <s v="Digital"/>
    <n v="8202.7749999999996"/>
    <n v="112.52499999999964"/>
    <s v="Tuesday"/>
    <b v="0"/>
    <x v="0"/>
  </r>
  <r>
    <s v="NV2107"/>
    <d v="2025-01-15T00:00:00"/>
    <s v="ST10"/>
    <s v="East"/>
    <s v="P263"/>
    <s v="Accessories"/>
    <n v="2"/>
    <n v="2072.9899999999998"/>
    <n v="20"/>
    <n v="1216.1300000000001"/>
    <x v="1"/>
    <s v="Card"/>
    <n v="3316.7839999999997"/>
    <n v="884.52399999999943"/>
    <s v="Wednesday"/>
    <b v="0"/>
    <x v="10"/>
  </r>
  <r>
    <s v="NV2108"/>
    <d v="2024-04-21T00:00:00"/>
    <s v="ST15"/>
    <s v="North"/>
    <s v="P254"/>
    <s v="Clothing"/>
    <n v="4"/>
    <n v="1799.89"/>
    <n v="20"/>
    <n v="1103.08"/>
    <x v="0"/>
    <s v="Cash"/>
    <n v="5759.648000000001"/>
    <n v="1347.3280000000013"/>
    <s v="Sunday"/>
    <b v="1"/>
    <x v="8"/>
  </r>
  <r>
    <s v="NV2109"/>
    <d v="2024-08-14T00:00:00"/>
    <s v="ST41"/>
    <s v="West"/>
    <s v="P272"/>
    <s v="Clothing"/>
    <n v="2"/>
    <n v="2716.76"/>
    <n v="15"/>
    <n v="1679.68"/>
    <x v="1"/>
    <s v="Digital"/>
    <n v="4618.4920000000002"/>
    <n v="1259.1320000000001"/>
    <s v="Wednesday"/>
    <b v="0"/>
    <x v="5"/>
  </r>
  <r>
    <s v="NV2110"/>
    <d v="2025-04-28T00:00:00"/>
    <s v="ST22"/>
    <s v="North"/>
    <s v="P147"/>
    <s v="Accessories"/>
    <n v="3"/>
    <n v="1550.24"/>
    <n v="15"/>
    <n v="774.35"/>
    <x v="0"/>
    <s v="Card"/>
    <n v="3953.1120000000001"/>
    <n v="1630.0619999999999"/>
    <s v="Monday"/>
    <b v="0"/>
    <x v="8"/>
  </r>
  <r>
    <s v="NV2111"/>
    <d v="2025-10-08T00:00:00"/>
    <s v="ST48"/>
    <s v="North"/>
    <s v="P266"/>
    <s v="Clothing"/>
    <n v="1"/>
    <n v="415.1"/>
    <n v="5"/>
    <n v="280.56"/>
    <x v="1"/>
    <s v="Cash"/>
    <n v="394.34500000000003"/>
    <n v="113.78500000000003"/>
    <s v="Wednesday"/>
    <b v="0"/>
    <x v="2"/>
  </r>
  <r>
    <s v="NV2112"/>
    <d v="2024-01-12T00:00:00"/>
    <s v="ST52"/>
    <s v="West"/>
    <s v="P40"/>
    <s v="Shoes"/>
    <n v="5"/>
    <n v="965.13"/>
    <n v="5"/>
    <n v="407.18"/>
    <x v="1"/>
    <s v="Digital"/>
    <n v="4584.3674999999994"/>
    <n v="2548.4674999999993"/>
    <s v="Friday"/>
    <b v="0"/>
    <x v="10"/>
  </r>
  <r>
    <s v="NV2113"/>
    <d v="2025-02-17T00:00:00"/>
    <s v="ST55"/>
    <s v="East"/>
    <s v="P8"/>
    <s v="Shoes"/>
    <n v="5"/>
    <n v="1328.88"/>
    <n v="0"/>
    <n v="564.75"/>
    <x v="0"/>
    <s v="Card"/>
    <n v="6644.4000000000005"/>
    <n v="3820.6500000000005"/>
    <s v="Monday"/>
    <b v="0"/>
    <x v="3"/>
  </r>
  <r>
    <s v="NV2114"/>
    <d v="2025-11-17T00:00:00"/>
    <s v="ST36"/>
    <s v="South"/>
    <s v="P279"/>
    <s v="Accessories"/>
    <n v="3"/>
    <n v="2889.45"/>
    <n v="10"/>
    <n v="1796.94"/>
    <x v="1"/>
    <s v="Card"/>
    <n v="7801.5149999999985"/>
    <n v="2410.6949999999988"/>
    <s v="Monday"/>
    <b v="0"/>
    <x v="1"/>
  </r>
  <r>
    <s v="NV2115"/>
    <d v="2024-03-22T00:00:00"/>
    <s v="ST13"/>
    <s v="North"/>
    <s v="P20"/>
    <s v="Accessories"/>
    <n v="2"/>
    <n v="1229.47"/>
    <n v="20"/>
    <n v="564.07000000000005"/>
    <x v="1"/>
    <s v="Cash"/>
    <n v="1967.152"/>
    <n v="839.01199999999994"/>
    <s v="Friday"/>
    <b v="0"/>
    <x v="7"/>
  </r>
  <r>
    <s v="NV2116"/>
    <d v="2024-08-16T00:00:00"/>
    <s v="ST51"/>
    <s v="South"/>
    <s v="P64"/>
    <s v="Clothing"/>
    <n v="1"/>
    <n v="2187.14"/>
    <n v="10"/>
    <n v="1296.49"/>
    <x v="1"/>
    <s v="Card"/>
    <n v="1968.4259999999999"/>
    <n v="671.93599999999992"/>
    <s v="Friday"/>
    <b v="0"/>
    <x v="5"/>
  </r>
  <r>
    <s v="NV2117"/>
    <d v="2025-04-09T00:00:00"/>
    <s v="ST60"/>
    <s v="West"/>
    <s v="P249"/>
    <s v="Clothing"/>
    <n v="3"/>
    <n v="2159.73"/>
    <n v="0"/>
    <n v="1290.6099999999999"/>
    <x v="0"/>
    <s v="Card"/>
    <n v="6479.1900000000005"/>
    <n v="2607.3600000000006"/>
    <s v="Wednesday"/>
    <b v="0"/>
    <x v="8"/>
  </r>
  <r>
    <s v="NV2118"/>
    <d v="2025-04-06T00:00:00"/>
    <s v="ST2"/>
    <s v="North"/>
    <s v="P107"/>
    <s v="Clothing"/>
    <n v="3"/>
    <n v="757.48"/>
    <n v="10"/>
    <n v="399.33"/>
    <x v="1"/>
    <s v="Cash"/>
    <n v="2045.1960000000001"/>
    <n v="847.20600000000013"/>
    <s v="Sunday"/>
    <b v="1"/>
    <x v="8"/>
  </r>
  <r>
    <s v="NV2119"/>
    <d v="2024-04-26T00:00:00"/>
    <s v="ST28"/>
    <s v="South"/>
    <s v="P236"/>
    <s v="Clothing"/>
    <n v="2"/>
    <n v="2876.77"/>
    <n v="5"/>
    <n v="1815.67"/>
    <x v="0"/>
    <s v="Cash"/>
    <n v="5465.8629999999994"/>
    <n v="1834.5229999999992"/>
    <s v="Friday"/>
    <b v="0"/>
    <x v="8"/>
  </r>
  <r>
    <s v="NV2120"/>
    <d v="2024-10-20T00:00:00"/>
    <s v="ST49"/>
    <s v="North"/>
    <s v="P225"/>
    <s v="Accessories"/>
    <n v="3"/>
    <n v="1728.79"/>
    <n v="0"/>
    <n v="934.98"/>
    <x v="0"/>
    <s v="Cash"/>
    <n v="5186.37"/>
    <n v="2381.4299999999998"/>
    <s v="Sunday"/>
    <b v="1"/>
    <x v="2"/>
  </r>
  <r>
    <s v="NV2121"/>
    <d v="2025-02-06T00:00:00"/>
    <s v="ST27"/>
    <s v="North"/>
    <s v="P114"/>
    <s v="Accessories"/>
    <n v="5"/>
    <n v="2294.61"/>
    <n v="10"/>
    <n v="962.92"/>
    <x v="0"/>
    <s v="Cash"/>
    <n v="10325.745000000001"/>
    <n v="5511.1450000000013"/>
    <s v="Thursday"/>
    <b v="0"/>
    <x v="3"/>
  </r>
  <r>
    <s v="NV2122"/>
    <d v="2024-01-16T00:00:00"/>
    <s v="ST17"/>
    <s v="West"/>
    <s v="P218"/>
    <s v="Clothing"/>
    <n v="5"/>
    <n v="2158.5300000000002"/>
    <n v="25"/>
    <n v="1428.67"/>
    <x v="1"/>
    <s v="Digital"/>
    <n v="8094.4875000000011"/>
    <n v="951.13750000000073"/>
    <s v="Tuesday"/>
    <b v="0"/>
    <x v="10"/>
  </r>
  <r>
    <s v="NV2123"/>
    <d v="2025-11-08T00:00:00"/>
    <s v="ST16"/>
    <s v="East"/>
    <s v="P276"/>
    <s v="Accessories"/>
    <n v="5"/>
    <n v="1049.45"/>
    <n v="30"/>
    <n v="490.1"/>
    <x v="1"/>
    <s v="Cash"/>
    <n v="3673.0749999999998"/>
    <n v="1222.5749999999998"/>
    <s v="Saturday"/>
    <b v="1"/>
    <x v="1"/>
  </r>
  <r>
    <s v="NV2124"/>
    <d v="2024-01-26T00:00:00"/>
    <s v="ST32"/>
    <s v="East"/>
    <s v="P168"/>
    <s v="Shoes"/>
    <n v="2"/>
    <n v="1328.48"/>
    <n v="20"/>
    <n v="911.99"/>
    <x v="0"/>
    <s v="Cash"/>
    <n v="2125.5680000000002"/>
    <n v="301.58800000000019"/>
    <s v="Friday"/>
    <b v="0"/>
    <x v="10"/>
  </r>
  <r>
    <s v="NV2125"/>
    <d v="2024-01-23T00:00:00"/>
    <s v="ST18"/>
    <s v="West"/>
    <s v="P263"/>
    <s v="Clothing"/>
    <n v="2"/>
    <n v="538.04999999999995"/>
    <n v="0"/>
    <n v="244.94"/>
    <x v="1"/>
    <s v="Cash"/>
    <n v="1076.0999999999999"/>
    <n v="586.21999999999991"/>
    <s v="Tuesday"/>
    <b v="0"/>
    <x v="10"/>
  </r>
  <r>
    <s v="NV2126"/>
    <d v="2024-06-10T00:00:00"/>
    <s v="ST57"/>
    <s v="North"/>
    <s v="P136"/>
    <s v="Clothing"/>
    <n v="3"/>
    <n v="1810.7"/>
    <n v="25"/>
    <n v="1033.54"/>
    <x v="0"/>
    <s v="Digital"/>
    <n v="4074.0750000000003"/>
    <n v="973.45500000000038"/>
    <s v="Monday"/>
    <b v="0"/>
    <x v="0"/>
  </r>
  <r>
    <s v="NV2127"/>
    <d v="2025-08-27T00:00:00"/>
    <s v="ST54"/>
    <s v="South"/>
    <s v="P204"/>
    <s v="Accessories"/>
    <n v="2"/>
    <n v="409.49"/>
    <n v="10"/>
    <n v="190.48"/>
    <x v="1"/>
    <s v="Digital"/>
    <n v="737.08199999999999"/>
    <n v="356.12200000000001"/>
    <s v="Wednesday"/>
    <b v="0"/>
    <x v="5"/>
  </r>
  <r>
    <s v="NV2128"/>
    <d v="2024-04-09T00:00:00"/>
    <s v="ST16"/>
    <s v="North"/>
    <s v="P45"/>
    <s v="Shoes"/>
    <n v="4"/>
    <n v="2184.31"/>
    <n v="5"/>
    <n v="1351.55"/>
    <x v="0"/>
    <s v="Digital"/>
    <n v="8300.3779999999988"/>
    <n v="2894.177999999999"/>
    <s v="Tuesday"/>
    <b v="0"/>
    <x v="8"/>
  </r>
  <r>
    <s v="NV2129"/>
    <d v="2024-04-19T00:00:00"/>
    <s v="ST3"/>
    <s v="South"/>
    <s v="P289"/>
    <s v="Clothing"/>
    <n v="4"/>
    <n v="1431.34"/>
    <n v="25"/>
    <n v="907.05"/>
    <x v="0"/>
    <s v="Cash"/>
    <n v="4294.0199999999995"/>
    <n v="665.81999999999971"/>
    <s v="Friday"/>
    <b v="0"/>
    <x v="8"/>
  </r>
  <r>
    <s v="NV2130"/>
    <d v="2025-11-19T00:00:00"/>
    <s v="ST51"/>
    <s v="West"/>
    <s v="P127"/>
    <s v="Shoes"/>
    <n v="3"/>
    <n v="2437.35"/>
    <n v="30"/>
    <n v="1004.92"/>
    <x v="0"/>
    <s v="Cash"/>
    <n v="5118.4349999999995"/>
    <n v="2103.6749999999997"/>
    <s v="Wednesday"/>
    <b v="0"/>
    <x v="1"/>
  </r>
  <r>
    <s v="NV2131"/>
    <d v="2024-11-19T00:00:00"/>
    <s v="ST27"/>
    <s v="South"/>
    <s v="P178"/>
    <s v="Accessories"/>
    <n v="5"/>
    <n v="559.34"/>
    <n v="0"/>
    <n v="238.71"/>
    <x v="0"/>
    <s v="Digital"/>
    <n v="2796.7000000000003"/>
    <n v="1603.1500000000003"/>
    <s v="Tuesday"/>
    <b v="0"/>
    <x v="1"/>
  </r>
  <r>
    <s v="NV2132"/>
    <d v="2025-09-07T00:00:00"/>
    <s v="ST34"/>
    <s v="West"/>
    <s v="P132"/>
    <s v="Accessories"/>
    <n v="3"/>
    <n v="2510.5700000000002"/>
    <n v="5"/>
    <n v="1466.06"/>
    <x v="0"/>
    <s v="Cash"/>
    <n v="7155.1245000000008"/>
    <n v="2756.9445000000005"/>
    <s v="Sunday"/>
    <b v="1"/>
    <x v="6"/>
  </r>
  <r>
    <s v="NV2133"/>
    <d v="2025-11-11T00:00:00"/>
    <s v="ST9"/>
    <s v="East"/>
    <s v="P243"/>
    <s v="Clothing"/>
    <n v="4"/>
    <n v="2802.24"/>
    <n v="15"/>
    <n v="1229.67"/>
    <x v="0"/>
    <s v="Card"/>
    <n v="9527.6159999999982"/>
    <n v="4608.9359999999979"/>
    <s v="Tuesday"/>
    <b v="0"/>
    <x v="1"/>
  </r>
  <r>
    <s v="NV2134"/>
    <d v="2025-10-22T00:00:00"/>
    <s v="ST40"/>
    <s v="North"/>
    <s v="P139"/>
    <s v="Shoes"/>
    <n v="3"/>
    <n v="2699.94"/>
    <n v="5"/>
    <n v="1211.55"/>
    <x v="1"/>
    <s v="Cash"/>
    <n v="7694.8289999999997"/>
    <n v="4060.1790000000001"/>
    <s v="Wednesday"/>
    <b v="0"/>
    <x v="2"/>
  </r>
  <r>
    <s v="NV2135"/>
    <d v="2024-05-12T00:00:00"/>
    <s v="ST23"/>
    <s v="East"/>
    <s v="P220"/>
    <s v="Clothing"/>
    <n v="2"/>
    <n v="1417.16"/>
    <n v="5"/>
    <n v="807.41"/>
    <x v="1"/>
    <s v="Card"/>
    <n v="2692.6039999999998"/>
    <n v="1077.7839999999999"/>
    <s v="Sunday"/>
    <b v="1"/>
    <x v="9"/>
  </r>
  <r>
    <s v="NV2136"/>
    <d v="2025-05-05T00:00:00"/>
    <s v="ST25"/>
    <s v="North"/>
    <s v="P192"/>
    <s v="Shoes"/>
    <n v="5"/>
    <n v="1226.96"/>
    <n v="0"/>
    <n v="690.7"/>
    <x v="0"/>
    <s v="Card"/>
    <n v="6134.8"/>
    <n v="2681.3"/>
    <s v="Monday"/>
    <b v="0"/>
    <x v="9"/>
  </r>
  <r>
    <s v="NV2137"/>
    <d v="2025-09-10T00:00:00"/>
    <s v="ST24"/>
    <s v="South"/>
    <s v="P153"/>
    <s v="Shoes"/>
    <n v="5"/>
    <n v="2066.88"/>
    <n v="15"/>
    <n v="1115.1400000000001"/>
    <x v="0"/>
    <s v="Card"/>
    <n v="8784.2400000000016"/>
    <n v="3208.5400000000009"/>
    <s v="Wednesday"/>
    <b v="0"/>
    <x v="6"/>
  </r>
  <r>
    <s v="NV2138"/>
    <d v="2025-06-08T00:00:00"/>
    <s v="ST52"/>
    <s v="North"/>
    <s v="P95"/>
    <s v="Clothing"/>
    <n v="2"/>
    <n v="2547.4499999999998"/>
    <n v="15"/>
    <n v="1688.57"/>
    <x v="0"/>
    <s v="Cash"/>
    <n v="4330.665"/>
    <n v="953.52500000000009"/>
    <s v="Sunday"/>
    <b v="1"/>
    <x v="0"/>
  </r>
  <r>
    <s v="NV2139"/>
    <d v="2025-08-10T00:00:00"/>
    <s v="ST26"/>
    <s v="North"/>
    <s v="P25"/>
    <s v="Clothing"/>
    <n v="5"/>
    <n v="1187.54"/>
    <n v="5"/>
    <n v="532.41"/>
    <x v="1"/>
    <s v="Digital"/>
    <n v="5640.8149999999996"/>
    <n v="2978.7649999999999"/>
    <s v="Sunday"/>
    <b v="1"/>
    <x v="5"/>
  </r>
  <r>
    <s v="NV2140"/>
    <d v="2025-10-05T00:00:00"/>
    <s v="ST9"/>
    <s v="South"/>
    <s v="P198"/>
    <s v="Accessories"/>
    <n v="4"/>
    <n v="1645.14"/>
    <n v="0"/>
    <n v="1139.1199999999999"/>
    <x v="0"/>
    <s v="Card"/>
    <n v="6580.56"/>
    <n v="2024.0800000000008"/>
    <s v="Sunday"/>
    <b v="1"/>
    <x v="2"/>
  </r>
  <r>
    <s v="NV2141"/>
    <d v="2024-12-04T00:00:00"/>
    <s v="ST47"/>
    <s v="East"/>
    <s v="P39"/>
    <s v="Clothing"/>
    <n v="4"/>
    <n v="2370.31"/>
    <n v="25"/>
    <n v="1470.4"/>
    <x v="0"/>
    <s v="Card"/>
    <n v="7110.93"/>
    <n v="1229.33"/>
    <s v="Wednesday"/>
    <b v="0"/>
    <x v="11"/>
  </r>
  <r>
    <s v="NV2142"/>
    <d v="2024-07-17T00:00:00"/>
    <s v="ST32"/>
    <s v="West"/>
    <s v="P41"/>
    <s v="Accessories"/>
    <n v="4"/>
    <n v="884.1"/>
    <n v="0"/>
    <n v="400.97"/>
    <x v="1"/>
    <s v="Digital"/>
    <n v="3536.4"/>
    <n v="1932.52"/>
    <s v="Wednesday"/>
    <b v="0"/>
    <x v="4"/>
  </r>
  <r>
    <s v="NV2143"/>
    <d v="2024-08-27T00:00:00"/>
    <s v="ST50"/>
    <s v="North"/>
    <s v="P85"/>
    <s v="Clothing"/>
    <n v="2"/>
    <n v="1948.01"/>
    <n v="10"/>
    <n v="1232.8399999999999"/>
    <x v="0"/>
    <s v="Cash"/>
    <n v="3506.4180000000001"/>
    <n v="1040.7380000000003"/>
    <s v="Tuesday"/>
    <b v="0"/>
    <x v="5"/>
  </r>
  <r>
    <s v="NV2144"/>
    <d v="2025-08-07T00:00:00"/>
    <s v="ST39"/>
    <s v="East"/>
    <s v="P11"/>
    <s v="Accessories"/>
    <n v="5"/>
    <n v="607.37"/>
    <n v="10"/>
    <n v="364.9"/>
    <x v="0"/>
    <s v="Digital"/>
    <n v="2733.165"/>
    <n v="908.66499999999996"/>
    <s v="Thursday"/>
    <b v="0"/>
    <x v="5"/>
  </r>
  <r>
    <s v="NV2145"/>
    <d v="2025-07-25T00:00:00"/>
    <s v="ST43"/>
    <s v="South"/>
    <s v="P129"/>
    <s v="Clothing"/>
    <n v="4"/>
    <n v="492.14"/>
    <n v="0"/>
    <n v="335.91"/>
    <x v="1"/>
    <s v="Digital"/>
    <n v="1968.56"/>
    <n v="624.91999999999985"/>
    <s v="Friday"/>
    <b v="0"/>
    <x v="4"/>
  </r>
  <r>
    <s v="NV2146"/>
    <d v="2025-02-09T00:00:00"/>
    <s v="ST6"/>
    <s v="West"/>
    <s v="P250"/>
    <s v="Accessories"/>
    <n v="2"/>
    <n v="2136.6799999999998"/>
    <n v="15"/>
    <n v="1317.4"/>
    <x v="1"/>
    <s v="Digital"/>
    <n v="3632.3559999999998"/>
    <n v="997.55599999999959"/>
    <s v="Sunday"/>
    <b v="1"/>
    <x v="3"/>
  </r>
  <r>
    <s v="NV2147"/>
    <d v="2025-09-04T00:00:00"/>
    <s v="ST4"/>
    <s v="East"/>
    <s v="P226"/>
    <s v="Accessories"/>
    <n v="2"/>
    <n v="1657.7"/>
    <n v="0"/>
    <n v="1122.48"/>
    <x v="1"/>
    <s v="Cash"/>
    <n v="3315.4"/>
    <n v="1070.44"/>
    <s v="Thursday"/>
    <b v="0"/>
    <x v="6"/>
  </r>
  <r>
    <s v="NV2148"/>
    <d v="2024-12-14T00:00:00"/>
    <s v="ST41"/>
    <s v="West"/>
    <s v="P161"/>
    <s v="Clothing"/>
    <n v="4"/>
    <n v="2869.86"/>
    <n v="0"/>
    <n v="1681.64"/>
    <x v="1"/>
    <s v="Digital"/>
    <n v="11479.44"/>
    <n v="4752.88"/>
    <s v="Saturday"/>
    <b v="1"/>
    <x v="11"/>
  </r>
  <r>
    <s v="NV2149"/>
    <d v="2024-03-25T00:00:00"/>
    <s v="ST23"/>
    <s v="West"/>
    <s v="P299"/>
    <s v="Accessories"/>
    <n v="1"/>
    <n v="2617.16"/>
    <n v="10"/>
    <n v="1199.94"/>
    <x v="0"/>
    <s v="Card"/>
    <n v="2355.444"/>
    <n v="1155.5039999999999"/>
    <s v="Monday"/>
    <b v="0"/>
    <x v="7"/>
  </r>
  <r>
    <s v="NV2150"/>
    <d v="2024-05-12T00:00:00"/>
    <s v="ST11"/>
    <s v="North"/>
    <s v="P164"/>
    <s v="Shoes"/>
    <n v="4"/>
    <n v="443.43"/>
    <n v="15"/>
    <n v="211.15"/>
    <x v="0"/>
    <s v="Digital"/>
    <n v="1507.662"/>
    <n v="663.06200000000001"/>
    <s v="Sunday"/>
    <b v="1"/>
    <x v="9"/>
  </r>
  <r>
    <s v="NV2151"/>
    <d v="2024-04-30T00:00:00"/>
    <s v="ST8"/>
    <s v="West"/>
    <s v="P126"/>
    <s v="Clothing"/>
    <n v="2"/>
    <n v="1685.44"/>
    <n v="15"/>
    <n v="723.68"/>
    <x v="1"/>
    <s v="Digital"/>
    <n v="2865.248"/>
    <n v="1417.8880000000001"/>
    <s v="Tuesday"/>
    <b v="0"/>
    <x v="8"/>
  </r>
  <r>
    <s v="NV2152"/>
    <d v="2024-12-28T00:00:00"/>
    <s v="ST9"/>
    <s v="South"/>
    <s v="P138"/>
    <s v="Clothing"/>
    <n v="5"/>
    <n v="2764.81"/>
    <n v="15"/>
    <n v="1504"/>
    <x v="0"/>
    <s v="Card"/>
    <n v="11750.442499999999"/>
    <n v="4230.4424999999992"/>
    <s v="Saturday"/>
    <b v="1"/>
    <x v="11"/>
  </r>
  <r>
    <s v="NV2153"/>
    <d v="2024-10-17T00:00:00"/>
    <s v="ST28"/>
    <s v="North"/>
    <s v="P228"/>
    <s v="Shoes"/>
    <n v="5"/>
    <n v="1185.48"/>
    <n v="20"/>
    <n v="644.67999999999995"/>
    <x v="1"/>
    <s v="Card"/>
    <n v="4741.92"/>
    <n v="1518.5200000000004"/>
    <s v="Thursday"/>
    <b v="0"/>
    <x v="2"/>
  </r>
  <r>
    <s v="NV2154"/>
    <d v="2025-08-20T00:00:00"/>
    <s v="ST17"/>
    <s v="East"/>
    <s v="P52"/>
    <s v="Accessories"/>
    <n v="3"/>
    <n v="364.34"/>
    <n v="15"/>
    <n v="244.61"/>
    <x v="1"/>
    <s v="Cash"/>
    <n v="929.06700000000001"/>
    <n v="195.23699999999997"/>
    <s v="Wednesday"/>
    <b v="0"/>
    <x v="5"/>
  </r>
  <r>
    <s v="NV2155"/>
    <d v="2024-08-25T00:00:00"/>
    <s v="ST40"/>
    <s v="South"/>
    <s v="P172"/>
    <s v="Accessories"/>
    <n v="4"/>
    <n v="2767.02"/>
    <n v="10"/>
    <n v="1544.62"/>
    <x v="1"/>
    <s v="Cash"/>
    <n v="9961.2720000000008"/>
    <n v="3782.7920000000013"/>
    <s v="Sunday"/>
    <b v="1"/>
    <x v="5"/>
  </r>
  <r>
    <s v="NV2156"/>
    <d v="2025-03-17T00:00:00"/>
    <s v="ST52"/>
    <s v="East"/>
    <s v="P228"/>
    <s v="Clothing"/>
    <n v="2"/>
    <n v="2741.45"/>
    <n v="25"/>
    <n v="1812.05"/>
    <x v="1"/>
    <s v="Cash"/>
    <n v="4112.1749999999993"/>
    <n v="488.07499999999936"/>
    <s v="Monday"/>
    <b v="0"/>
    <x v="7"/>
  </r>
  <r>
    <s v="NV2157"/>
    <d v="2024-01-06T00:00:00"/>
    <s v="ST11"/>
    <s v="West"/>
    <s v="P21"/>
    <s v="Shoes"/>
    <n v="1"/>
    <n v="2016.29"/>
    <n v="10"/>
    <n v="1330.52"/>
    <x v="1"/>
    <s v="Digital"/>
    <n v="1814.6610000000001"/>
    <n v="484.14100000000008"/>
    <s v="Saturday"/>
    <b v="1"/>
    <x v="10"/>
  </r>
  <r>
    <s v="NV2158"/>
    <d v="2025-04-26T00:00:00"/>
    <s v="ST20"/>
    <s v="West"/>
    <s v="P251"/>
    <s v="Clothing"/>
    <n v="5"/>
    <n v="1935.85"/>
    <n v="5"/>
    <n v="1174.19"/>
    <x v="1"/>
    <s v="Digital"/>
    <n v="9195.2875000000004"/>
    <n v="3324.3374999999996"/>
    <s v="Saturday"/>
    <b v="1"/>
    <x v="8"/>
  </r>
  <r>
    <s v="NV2159"/>
    <d v="2024-05-27T00:00:00"/>
    <s v="ST47"/>
    <s v="West"/>
    <s v="P265"/>
    <s v="Clothing"/>
    <n v="1"/>
    <n v="930.03"/>
    <n v="10"/>
    <n v="464.46"/>
    <x v="1"/>
    <s v="Card"/>
    <n v="837.02700000000004"/>
    <n v="372.56700000000006"/>
    <s v="Monday"/>
    <b v="0"/>
    <x v="9"/>
  </r>
  <r>
    <s v="NV2160"/>
    <d v="2025-02-22T00:00:00"/>
    <s v="ST35"/>
    <s v="South"/>
    <s v="P43"/>
    <s v="Shoes"/>
    <n v="4"/>
    <n v="1834.63"/>
    <n v="15"/>
    <n v="1050.6400000000001"/>
    <x v="1"/>
    <s v="Digital"/>
    <n v="6237.7420000000002"/>
    <n v="2035.1819999999998"/>
    <s v="Saturday"/>
    <b v="1"/>
    <x v="3"/>
  </r>
  <r>
    <s v="NV2161"/>
    <d v="2024-06-15T00:00:00"/>
    <s v="ST16"/>
    <s v="East"/>
    <s v="P138"/>
    <s v="Accessories"/>
    <n v="2"/>
    <n v="514.85"/>
    <n v="25"/>
    <n v="253.08"/>
    <x v="1"/>
    <s v="Card"/>
    <n v="772.27500000000009"/>
    <n v="266.11500000000007"/>
    <s v="Saturday"/>
    <b v="1"/>
    <x v="0"/>
  </r>
  <r>
    <s v="NV2162"/>
    <d v="2024-11-20T00:00:00"/>
    <s v="ST26"/>
    <s v="South"/>
    <s v="P156"/>
    <s v="Accessories"/>
    <n v="3"/>
    <n v="2076.29"/>
    <n v="0"/>
    <n v="1430.37"/>
    <x v="0"/>
    <s v="Digital"/>
    <n v="6228.87"/>
    <n v="1937.7600000000002"/>
    <s v="Wednesday"/>
    <b v="0"/>
    <x v="1"/>
  </r>
  <r>
    <s v="NV2163"/>
    <d v="2025-06-21T00:00:00"/>
    <s v="ST36"/>
    <s v="East"/>
    <s v="P147"/>
    <s v="Accessories"/>
    <n v="4"/>
    <n v="1660.9"/>
    <n v="10"/>
    <n v="695.42"/>
    <x v="1"/>
    <s v="Cash"/>
    <n v="5979.2400000000007"/>
    <n v="3197.5600000000009"/>
    <s v="Saturday"/>
    <b v="1"/>
    <x v="0"/>
  </r>
  <r>
    <s v="NV2164"/>
    <d v="2025-01-31T00:00:00"/>
    <s v="ST60"/>
    <s v="West"/>
    <s v="P187"/>
    <s v="Clothing"/>
    <n v="1"/>
    <n v="1030.92"/>
    <n v="25"/>
    <n v="699.21"/>
    <x v="1"/>
    <s v="Cash"/>
    <n v="773.19"/>
    <n v="73.980000000000018"/>
    <s v="Friday"/>
    <b v="0"/>
    <x v="10"/>
  </r>
  <r>
    <s v="NV2165"/>
    <d v="2024-01-01T00:00:00"/>
    <s v="ST53"/>
    <s v="East"/>
    <s v="P72"/>
    <s v="Accessories"/>
    <n v="2"/>
    <n v="2873.32"/>
    <n v="15"/>
    <n v="1898.89"/>
    <x v="0"/>
    <s v="Digital"/>
    <n v="4884.6440000000002"/>
    <n v="1086.864"/>
    <s v="Monday"/>
    <b v="0"/>
    <x v="10"/>
  </r>
  <r>
    <s v="NV2166"/>
    <d v="2025-03-12T00:00:00"/>
    <s v="ST58"/>
    <s v="West"/>
    <s v="P97"/>
    <s v="Clothing"/>
    <n v="3"/>
    <n v="2311.94"/>
    <n v="0"/>
    <n v="1181.46"/>
    <x v="0"/>
    <s v="Digital"/>
    <n v="6935.82"/>
    <n v="3391.4399999999996"/>
    <s v="Wednesday"/>
    <b v="0"/>
    <x v="7"/>
  </r>
  <r>
    <s v="NV2167"/>
    <d v="2024-08-04T00:00:00"/>
    <s v="ST33"/>
    <s v="East"/>
    <s v="P89"/>
    <s v="Accessories"/>
    <n v="4"/>
    <n v="2299.81"/>
    <n v="15"/>
    <n v="1383.49"/>
    <x v="1"/>
    <s v="Digital"/>
    <n v="7819.3539999999994"/>
    <n v="2285.3939999999993"/>
    <s v="Sunday"/>
    <b v="1"/>
    <x v="5"/>
  </r>
  <r>
    <s v="NV2168"/>
    <d v="2025-10-24T00:00:00"/>
    <s v="ST38"/>
    <s v="West"/>
    <s v="P140"/>
    <s v="Shoes"/>
    <n v="5"/>
    <n v="1029.54"/>
    <n v="10"/>
    <n v="433.1"/>
    <x v="0"/>
    <s v="Card"/>
    <n v="4632.93"/>
    <n v="2467.4300000000003"/>
    <s v="Friday"/>
    <b v="0"/>
    <x v="2"/>
  </r>
  <r>
    <s v="NV2169"/>
    <d v="2025-06-20T00:00:00"/>
    <s v="ST11"/>
    <s v="West"/>
    <s v="P197"/>
    <s v="Accessories"/>
    <n v="5"/>
    <n v="2877.52"/>
    <n v="10"/>
    <n v="1925.84"/>
    <x v="0"/>
    <s v="Cash"/>
    <n v="12948.84"/>
    <n v="3319.6400000000012"/>
    <s v="Friday"/>
    <b v="0"/>
    <x v="0"/>
  </r>
  <r>
    <s v="NV2170"/>
    <d v="2024-06-05T00:00:00"/>
    <s v="ST38"/>
    <s v="North"/>
    <s v="P58"/>
    <s v="Clothing"/>
    <n v="3"/>
    <n v="684.34"/>
    <n v="20"/>
    <n v="282.69"/>
    <x v="0"/>
    <s v="Digital"/>
    <n v="1642.4160000000002"/>
    <n v="794.34600000000023"/>
    <s v="Wednesday"/>
    <b v="0"/>
    <x v="0"/>
  </r>
  <r>
    <s v="NV2171"/>
    <d v="2025-08-27T00:00:00"/>
    <s v="ST17"/>
    <s v="West"/>
    <s v="P136"/>
    <s v="Clothing"/>
    <n v="5"/>
    <n v="742.56"/>
    <n v="10"/>
    <n v="347.33"/>
    <x v="1"/>
    <s v="Card"/>
    <n v="3341.52"/>
    <n v="1604.8700000000001"/>
    <s v="Wednesday"/>
    <b v="0"/>
    <x v="5"/>
  </r>
  <r>
    <s v="NV2172"/>
    <d v="2024-01-31T00:00:00"/>
    <s v="ST59"/>
    <s v="East"/>
    <s v="P131"/>
    <s v="Accessories"/>
    <n v="2"/>
    <n v="1418.45"/>
    <n v="15"/>
    <n v="952.15"/>
    <x v="1"/>
    <s v="Cash"/>
    <n v="2411.3650000000002"/>
    <n v="507.06500000000028"/>
    <s v="Wednesday"/>
    <b v="0"/>
    <x v="10"/>
  </r>
  <r>
    <s v="NV2173"/>
    <d v="2024-11-24T00:00:00"/>
    <s v="ST40"/>
    <s v="East"/>
    <s v="P106"/>
    <s v="Shoes"/>
    <n v="1"/>
    <n v="1023.14"/>
    <n v="20"/>
    <n v="607.96"/>
    <x v="0"/>
    <s v="Card"/>
    <n v="818.51200000000006"/>
    <n v="210.55200000000002"/>
    <s v="Sunday"/>
    <b v="1"/>
    <x v="1"/>
  </r>
  <r>
    <s v="NV2174"/>
    <d v="2024-08-11T00:00:00"/>
    <s v="ST52"/>
    <s v="North"/>
    <s v="P91"/>
    <s v="Clothing"/>
    <n v="5"/>
    <n v="2760.78"/>
    <n v="15"/>
    <n v="1464.84"/>
    <x v="1"/>
    <s v="Cash"/>
    <n v="11733.315000000001"/>
    <n v="4409.1150000000007"/>
    <s v="Sunday"/>
    <b v="1"/>
    <x v="5"/>
  </r>
  <r>
    <s v="NV2175"/>
    <d v="2024-08-18T00:00:00"/>
    <s v="ST13"/>
    <s v="East"/>
    <s v="P149"/>
    <s v="Accessories"/>
    <n v="1"/>
    <n v="2504.56"/>
    <n v="25"/>
    <n v="1043.19"/>
    <x v="1"/>
    <s v="Card"/>
    <n v="1878.42"/>
    <n v="835.23"/>
    <s v="Sunday"/>
    <b v="1"/>
    <x v="5"/>
  </r>
  <r>
    <s v="NV2176"/>
    <d v="2024-05-18T00:00:00"/>
    <s v="ST50"/>
    <s v="East"/>
    <s v="P149"/>
    <s v="Shoes"/>
    <n v="5"/>
    <n v="1569.22"/>
    <n v="15"/>
    <n v="844.63"/>
    <x v="0"/>
    <s v="Cash"/>
    <n v="6669.1850000000004"/>
    <n v="2446.0350000000008"/>
    <s v="Saturday"/>
    <b v="1"/>
    <x v="9"/>
  </r>
  <r>
    <s v="NV2177"/>
    <d v="2024-08-10T00:00:00"/>
    <s v="ST41"/>
    <s v="West"/>
    <s v="P264"/>
    <s v="Accessories"/>
    <n v="2"/>
    <n v="796.35"/>
    <n v="0"/>
    <n v="504.71"/>
    <x v="1"/>
    <s v="Cash"/>
    <n v="1592.7"/>
    <n v="583.28000000000009"/>
    <s v="Saturday"/>
    <b v="1"/>
    <x v="5"/>
  </r>
  <r>
    <s v="NV2178"/>
    <d v="2024-01-04T00:00:00"/>
    <s v="ST51"/>
    <s v="South"/>
    <s v="P6"/>
    <s v="Clothing"/>
    <n v="1"/>
    <n v="439.76"/>
    <n v="25"/>
    <n v="210.79"/>
    <x v="1"/>
    <s v="Card"/>
    <n v="329.82"/>
    <n v="119.03"/>
    <s v="Thursday"/>
    <b v="0"/>
    <x v="10"/>
  </r>
  <r>
    <s v="NV2179"/>
    <d v="2025-10-24T00:00:00"/>
    <s v="ST26"/>
    <s v="East"/>
    <s v="P282"/>
    <s v="Accessories"/>
    <n v="2"/>
    <n v="1949.48"/>
    <n v="30"/>
    <n v="1281.0999999999999"/>
    <x v="0"/>
    <s v="Cash"/>
    <n v="2729.2719999999999"/>
    <n v="167.07200000000012"/>
    <s v="Friday"/>
    <b v="0"/>
    <x v="2"/>
  </r>
  <r>
    <s v="NV2180"/>
    <d v="2025-07-04T00:00:00"/>
    <s v="ST26"/>
    <s v="North"/>
    <s v="P166"/>
    <s v="Clothing"/>
    <n v="2"/>
    <n v="1379.68"/>
    <n v="5"/>
    <n v="639.29999999999995"/>
    <x v="1"/>
    <s v="Card"/>
    <n v="2621.3919999999998"/>
    <n v="1342.7919999999999"/>
    <s v="Friday"/>
    <b v="0"/>
    <x v="4"/>
  </r>
  <r>
    <s v="NV2181"/>
    <d v="2025-11-27T00:00:00"/>
    <s v="ST3"/>
    <s v="South"/>
    <s v="P98"/>
    <s v="Shoes"/>
    <n v="4"/>
    <n v="2259.9"/>
    <n v="5"/>
    <n v="1535.53"/>
    <x v="0"/>
    <s v="Digital"/>
    <n v="8587.6200000000008"/>
    <n v="2445.5000000000009"/>
    <s v="Thursday"/>
    <b v="0"/>
    <x v="1"/>
  </r>
  <r>
    <s v="NV2182"/>
    <d v="2024-02-05T00:00:00"/>
    <s v="ST42"/>
    <s v="South"/>
    <s v="P179"/>
    <s v="Accessories"/>
    <n v="2"/>
    <n v="1426.02"/>
    <n v="30"/>
    <n v="661.56"/>
    <x v="1"/>
    <s v="Card"/>
    <n v="1996.4279999999999"/>
    <n v="673.30799999999999"/>
    <s v="Monday"/>
    <b v="0"/>
    <x v="3"/>
  </r>
  <r>
    <s v="NV2183"/>
    <d v="2024-12-15T00:00:00"/>
    <s v="ST14"/>
    <s v="South"/>
    <s v="P1"/>
    <s v="Accessories"/>
    <n v="2"/>
    <n v="2629.23"/>
    <n v="20"/>
    <n v="1283.44"/>
    <x v="0"/>
    <s v="Cash"/>
    <n v="4206.768"/>
    <n v="1639.8879999999999"/>
    <s v="Sunday"/>
    <b v="1"/>
    <x v="11"/>
  </r>
  <r>
    <s v="NV2184"/>
    <d v="2025-03-31T00:00:00"/>
    <s v="ST47"/>
    <s v="East"/>
    <s v="P132"/>
    <s v="Shoes"/>
    <n v="3"/>
    <n v="1535.03"/>
    <n v="10"/>
    <n v="660.95"/>
    <x v="1"/>
    <s v="Digital"/>
    <n v="4144.5810000000001"/>
    <n v="2161.7309999999998"/>
    <s v="Monday"/>
    <b v="0"/>
    <x v="7"/>
  </r>
  <r>
    <s v="NV2185"/>
    <d v="2025-05-26T00:00:00"/>
    <s v="ST21"/>
    <s v="East"/>
    <s v="P223"/>
    <s v="Accessories"/>
    <n v="4"/>
    <n v="513.14"/>
    <n v="15"/>
    <n v="279.99"/>
    <x v="0"/>
    <s v="Card"/>
    <n v="1744.6759999999999"/>
    <n v="624.71599999999989"/>
    <s v="Monday"/>
    <b v="0"/>
    <x v="9"/>
  </r>
  <r>
    <s v="NV2186"/>
    <d v="2024-10-21T00:00:00"/>
    <s v="ST20"/>
    <s v="East"/>
    <s v="P136"/>
    <s v="Clothing"/>
    <n v="5"/>
    <n v="716.18"/>
    <n v="0"/>
    <n v="326.33999999999997"/>
    <x v="1"/>
    <s v="Card"/>
    <n v="3580.8999999999996"/>
    <n v="1949.1999999999998"/>
    <s v="Monday"/>
    <b v="0"/>
    <x v="2"/>
  </r>
  <r>
    <s v="NV2187"/>
    <d v="2024-12-24T00:00:00"/>
    <s v="ST22"/>
    <s v="East"/>
    <s v="P212"/>
    <s v="Accessories"/>
    <n v="3"/>
    <n v="1994.99"/>
    <n v="5"/>
    <n v="1145.01"/>
    <x v="0"/>
    <s v="Digital"/>
    <n v="5685.7214999999997"/>
    <n v="2250.6914999999999"/>
    <s v="Tuesday"/>
    <b v="0"/>
    <x v="11"/>
  </r>
  <r>
    <s v="NV2188"/>
    <d v="2024-04-24T00:00:00"/>
    <s v="ST48"/>
    <s v="West"/>
    <s v="P281"/>
    <s v="Accessories"/>
    <n v="2"/>
    <n v="643.63"/>
    <n v="5"/>
    <n v="429.8"/>
    <x v="0"/>
    <s v="Card"/>
    <n v="1222.8969999999999"/>
    <n v="363.29699999999991"/>
    <s v="Wednesday"/>
    <b v="0"/>
    <x v="8"/>
  </r>
  <r>
    <s v="NV2189"/>
    <d v="2025-04-03T00:00:00"/>
    <s v="ST43"/>
    <s v="East"/>
    <s v="P4"/>
    <s v="Shoes"/>
    <n v="3"/>
    <n v="1679.1"/>
    <n v="20"/>
    <n v="706.18"/>
    <x v="0"/>
    <s v="Card"/>
    <n v="4029.8399999999997"/>
    <n v="1911.2999999999997"/>
    <s v="Thursday"/>
    <b v="0"/>
    <x v="8"/>
  </r>
  <r>
    <s v="NV2190"/>
    <d v="2025-04-02T00:00:00"/>
    <s v="ST23"/>
    <s v="South"/>
    <s v="P118"/>
    <s v="Shoes"/>
    <n v="2"/>
    <n v="438.62"/>
    <n v="0"/>
    <n v="197.29"/>
    <x v="0"/>
    <s v="Digital"/>
    <n v="877.24"/>
    <n v="482.66"/>
    <s v="Wednesday"/>
    <b v="0"/>
    <x v="8"/>
  </r>
  <r>
    <s v="NV2191"/>
    <d v="2025-08-13T00:00:00"/>
    <s v="ST46"/>
    <s v="North"/>
    <s v="P196"/>
    <s v="Shoes"/>
    <n v="2"/>
    <n v="1176.67"/>
    <n v="25"/>
    <n v="566.77"/>
    <x v="0"/>
    <s v="Card"/>
    <n v="1765.0050000000001"/>
    <n v="631.46500000000015"/>
    <s v="Wednesday"/>
    <b v="0"/>
    <x v="5"/>
  </r>
  <r>
    <s v="NV2192"/>
    <d v="2025-03-30T00:00:00"/>
    <s v="ST48"/>
    <s v="North"/>
    <s v="P86"/>
    <s v="Accessories"/>
    <n v="4"/>
    <n v="1533.43"/>
    <n v="15"/>
    <n v="797.06"/>
    <x v="1"/>
    <s v="Cash"/>
    <n v="5213.6620000000003"/>
    <n v="2025.4220000000005"/>
    <s v="Sunday"/>
    <b v="1"/>
    <x v="7"/>
  </r>
  <r>
    <s v="NV2193"/>
    <d v="2024-06-24T00:00:00"/>
    <s v="ST39"/>
    <s v="East"/>
    <s v="P163"/>
    <s v="Accessories"/>
    <n v="3"/>
    <n v="1572.15"/>
    <n v="30"/>
    <n v="885.32"/>
    <x v="1"/>
    <s v="Cash"/>
    <n v="3301.5150000000003"/>
    <n v="645.55500000000029"/>
    <s v="Monday"/>
    <b v="0"/>
    <x v="0"/>
  </r>
  <r>
    <s v="NV2194"/>
    <d v="2025-09-19T00:00:00"/>
    <s v="ST18"/>
    <s v="West"/>
    <s v="P215"/>
    <s v="Shoes"/>
    <n v="3"/>
    <n v="463.75"/>
    <n v="10"/>
    <n v="240.7"/>
    <x v="0"/>
    <s v="Card"/>
    <n v="1252.125"/>
    <n v="530.02500000000009"/>
    <s v="Friday"/>
    <b v="0"/>
    <x v="6"/>
  </r>
  <r>
    <s v="NV2195"/>
    <d v="2025-06-08T00:00:00"/>
    <s v="ST35"/>
    <s v="South"/>
    <s v="P288"/>
    <s v="Accessories"/>
    <n v="3"/>
    <n v="1748.76"/>
    <n v="10"/>
    <n v="1175.8699999999999"/>
    <x v="1"/>
    <s v="Cash"/>
    <n v="4721.652"/>
    <n v="1194.0420000000004"/>
    <s v="Sunday"/>
    <b v="1"/>
    <x v="0"/>
  </r>
  <r>
    <s v="NV2196"/>
    <d v="2025-03-25T00:00:00"/>
    <s v="ST1"/>
    <s v="East"/>
    <s v="P164"/>
    <s v="Accessories"/>
    <n v="3"/>
    <n v="676.59"/>
    <n v="30"/>
    <n v="299.41000000000003"/>
    <x v="0"/>
    <s v="Cash"/>
    <n v="1420.8389999999999"/>
    <n v="522.60899999999992"/>
    <s v="Tuesday"/>
    <b v="0"/>
    <x v="7"/>
  </r>
  <r>
    <s v="NV2197"/>
    <d v="2024-05-27T00:00:00"/>
    <s v="ST19"/>
    <s v="North"/>
    <s v="P297"/>
    <s v="Shoes"/>
    <n v="3"/>
    <n v="487.91"/>
    <n v="20"/>
    <n v="241.6"/>
    <x v="0"/>
    <s v="Card"/>
    <n v="1170.9840000000002"/>
    <n v="446.1840000000002"/>
    <s v="Monday"/>
    <b v="0"/>
    <x v="9"/>
  </r>
  <r>
    <s v="NV2198"/>
    <d v="2024-11-06T00:00:00"/>
    <s v="ST10"/>
    <s v="East"/>
    <s v="P178"/>
    <s v="Shoes"/>
    <n v="3"/>
    <n v="2867.49"/>
    <n v="15"/>
    <n v="1239.42"/>
    <x v="0"/>
    <s v="Digital"/>
    <n v="7312.0994999999994"/>
    <n v="3593.8394999999991"/>
    <s v="Wednesday"/>
    <b v="0"/>
    <x v="1"/>
  </r>
  <r>
    <s v="NV2199"/>
    <d v="2024-09-28T00:00:00"/>
    <s v="ST15"/>
    <s v="South"/>
    <s v="P95"/>
    <s v="Accessories"/>
    <n v="5"/>
    <n v="2363.21"/>
    <n v="30"/>
    <n v="960.36"/>
    <x v="1"/>
    <s v="Digital"/>
    <n v="8271.2349999999988"/>
    <n v="3469.4349999999986"/>
    <s v="Saturday"/>
    <b v="1"/>
    <x v="6"/>
  </r>
  <r>
    <s v="NV2200"/>
    <d v="2025-01-15T00:00:00"/>
    <s v="ST50"/>
    <s v="East"/>
    <s v="P63"/>
    <s v="Clothing"/>
    <n v="5"/>
    <n v="2090.5300000000002"/>
    <n v="30"/>
    <n v="1060.49"/>
    <x v="1"/>
    <s v="Card"/>
    <n v="7316.8550000000005"/>
    <n v="2014.4050000000007"/>
    <s v="Wednesday"/>
    <b v="0"/>
    <x v="10"/>
  </r>
  <r>
    <s v="NV2201"/>
    <d v="2024-04-02T00:00:00"/>
    <s v="ST1"/>
    <s v="North"/>
    <s v="P207"/>
    <s v="Shoes"/>
    <n v="3"/>
    <n v="839.91"/>
    <n v="20"/>
    <n v="421.6"/>
    <x v="0"/>
    <s v="Cash"/>
    <n v="2015.7840000000001"/>
    <n v="750.98399999999992"/>
    <s v="Tuesday"/>
    <b v="0"/>
    <x v="8"/>
  </r>
  <r>
    <s v="NV2202"/>
    <d v="2024-06-10T00:00:00"/>
    <s v="ST30"/>
    <s v="West"/>
    <s v="P201"/>
    <s v="Shoes"/>
    <n v="4"/>
    <n v="2460.04"/>
    <n v="5"/>
    <n v="1351.92"/>
    <x v="0"/>
    <s v="Card"/>
    <n v="9348.152"/>
    <n v="3940.4719999999998"/>
    <s v="Monday"/>
    <b v="0"/>
    <x v="0"/>
  </r>
  <r>
    <s v="NV2203"/>
    <d v="2024-10-23T00:00:00"/>
    <s v="ST48"/>
    <s v="South"/>
    <s v="P269"/>
    <s v="Accessories"/>
    <n v="2"/>
    <n v="376.59"/>
    <n v="25"/>
    <n v="231.54"/>
    <x v="0"/>
    <s v="Cash"/>
    <n v="564.88499999999999"/>
    <n v="101.80500000000001"/>
    <s v="Wednesday"/>
    <b v="0"/>
    <x v="2"/>
  </r>
  <r>
    <s v="NV2204"/>
    <d v="2024-10-12T00:00:00"/>
    <s v="ST40"/>
    <s v="East"/>
    <s v="P289"/>
    <s v="Accessories"/>
    <n v="5"/>
    <n v="1852.95"/>
    <n v="20"/>
    <n v="1261.29"/>
    <x v="0"/>
    <s v="Cash"/>
    <n v="7411.8"/>
    <n v="1105.3500000000004"/>
    <s v="Saturday"/>
    <b v="1"/>
    <x v="2"/>
  </r>
  <r>
    <s v="NV2205"/>
    <d v="2024-07-12T00:00:00"/>
    <s v="ST35"/>
    <s v="North"/>
    <s v="P83"/>
    <s v="Accessories"/>
    <n v="1"/>
    <n v="1057.05"/>
    <n v="20"/>
    <n v="608.46"/>
    <x v="1"/>
    <s v="Digital"/>
    <n v="845.64"/>
    <n v="237.17999999999995"/>
    <s v="Friday"/>
    <b v="0"/>
    <x v="4"/>
  </r>
  <r>
    <s v="NV2206"/>
    <d v="2024-05-03T00:00:00"/>
    <s v="ST13"/>
    <s v="North"/>
    <s v="P53"/>
    <s v="Shoes"/>
    <n v="3"/>
    <n v="676.04"/>
    <n v="30"/>
    <n v="371.89"/>
    <x v="1"/>
    <s v="Digital"/>
    <n v="1419.6839999999997"/>
    <n v="304.01399999999967"/>
    <s v="Friday"/>
    <b v="0"/>
    <x v="9"/>
  </r>
  <r>
    <s v="NV2207"/>
    <d v="2025-01-13T00:00:00"/>
    <s v="ST43"/>
    <s v="South"/>
    <s v="P284"/>
    <s v="Shoes"/>
    <n v="4"/>
    <n v="2069.46"/>
    <n v="10"/>
    <n v="1413.63"/>
    <x v="0"/>
    <s v="Cash"/>
    <n v="7450.0560000000005"/>
    <n v="1795.5360000000001"/>
    <s v="Monday"/>
    <b v="0"/>
    <x v="10"/>
  </r>
  <r>
    <s v="NV2208"/>
    <d v="2024-12-28T00:00:00"/>
    <s v="ST32"/>
    <s v="North"/>
    <s v="P79"/>
    <s v="Shoes"/>
    <n v="3"/>
    <n v="403.26"/>
    <n v="25"/>
    <n v="262.77999999999997"/>
    <x v="0"/>
    <s v="Card"/>
    <n v="907.33500000000004"/>
    <n v="118.99500000000012"/>
    <s v="Saturday"/>
    <b v="1"/>
    <x v="11"/>
  </r>
  <r>
    <s v="NV2209"/>
    <d v="2025-07-23T00:00:00"/>
    <s v="ST60"/>
    <s v="East"/>
    <s v="P206"/>
    <s v="Shoes"/>
    <n v="3"/>
    <n v="2766.96"/>
    <n v="0"/>
    <n v="1891.62"/>
    <x v="1"/>
    <s v="Cash"/>
    <n v="8300.880000000001"/>
    <n v="2626.0200000000013"/>
    <s v="Wednesday"/>
    <b v="0"/>
    <x v="4"/>
  </r>
  <r>
    <s v="NV2210"/>
    <d v="2024-02-07T00:00:00"/>
    <s v="ST49"/>
    <s v="South"/>
    <s v="P83"/>
    <s v="Accessories"/>
    <n v="5"/>
    <n v="2491.5300000000002"/>
    <n v="30"/>
    <n v="1226.5899999999999"/>
    <x v="1"/>
    <s v="Digital"/>
    <n v="8720.3549999999996"/>
    <n v="2587.4049999999997"/>
    <s v="Wednesday"/>
    <b v="0"/>
    <x v="3"/>
  </r>
  <r>
    <s v="NV2211"/>
    <d v="2025-08-11T00:00:00"/>
    <s v="ST35"/>
    <s v="South"/>
    <s v="P126"/>
    <s v="Shoes"/>
    <n v="3"/>
    <n v="330.46"/>
    <n v="0"/>
    <n v="172.31"/>
    <x v="0"/>
    <s v="Card"/>
    <n v="991.37999999999988"/>
    <n v="474.44999999999982"/>
    <s v="Monday"/>
    <b v="0"/>
    <x v="5"/>
  </r>
  <r>
    <s v="NV2212"/>
    <d v="2024-03-09T00:00:00"/>
    <s v="ST11"/>
    <s v="West"/>
    <s v="P200"/>
    <s v="Clothing"/>
    <n v="5"/>
    <n v="2773.38"/>
    <n v="0"/>
    <n v="1285.71"/>
    <x v="0"/>
    <s v="Digital"/>
    <n v="13866.900000000001"/>
    <n v="7438.3500000000013"/>
    <s v="Saturday"/>
    <b v="1"/>
    <x v="7"/>
  </r>
  <r>
    <s v="NV2213"/>
    <d v="2025-08-29T00:00:00"/>
    <s v="ST56"/>
    <s v="East"/>
    <s v="P170"/>
    <s v="Clothing"/>
    <n v="4"/>
    <n v="791.88"/>
    <n v="25"/>
    <n v="532.14"/>
    <x v="1"/>
    <s v="Card"/>
    <n v="2375.64"/>
    <n v="247.07999999999993"/>
    <s v="Friday"/>
    <b v="0"/>
    <x v="5"/>
  </r>
  <r>
    <s v="NV2214"/>
    <d v="2025-10-14T00:00:00"/>
    <s v="ST11"/>
    <s v="East"/>
    <s v="P87"/>
    <s v="Accessories"/>
    <n v="2"/>
    <n v="2677.48"/>
    <n v="15"/>
    <n v="1572.35"/>
    <x v="0"/>
    <s v="Card"/>
    <n v="4551.7160000000003"/>
    <n v="1407.0160000000005"/>
    <s v="Tuesday"/>
    <b v="0"/>
    <x v="2"/>
  </r>
  <r>
    <s v="NV2215"/>
    <d v="2025-02-10T00:00:00"/>
    <s v="ST42"/>
    <s v="West"/>
    <s v="P139"/>
    <s v="Shoes"/>
    <n v="3"/>
    <n v="969.61"/>
    <n v="5"/>
    <n v="500.88"/>
    <x v="1"/>
    <s v="Digital"/>
    <n v="2763.3885"/>
    <n v="1260.7485000000001"/>
    <s v="Monday"/>
    <b v="0"/>
    <x v="3"/>
  </r>
  <r>
    <s v="NV2216"/>
    <d v="2024-01-16T00:00:00"/>
    <s v="ST52"/>
    <s v="South"/>
    <s v="P138"/>
    <s v="Shoes"/>
    <n v="1"/>
    <n v="1843.8"/>
    <n v="0"/>
    <n v="1093.0999999999999"/>
    <x v="1"/>
    <s v="Cash"/>
    <n v="1843.8"/>
    <n v="750.7"/>
    <s v="Tuesday"/>
    <b v="0"/>
    <x v="10"/>
  </r>
  <r>
    <s v="NV2217"/>
    <d v="2025-01-28T00:00:00"/>
    <s v="ST23"/>
    <s v="West"/>
    <s v="P211"/>
    <s v="Clothing"/>
    <n v="2"/>
    <n v="1309.58"/>
    <n v="25"/>
    <n v="791.34"/>
    <x v="1"/>
    <s v="Digital"/>
    <n v="1964.37"/>
    <n v="381.68999999999983"/>
    <s v="Tuesday"/>
    <b v="0"/>
    <x v="10"/>
  </r>
  <r>
    <s v="NV2218"/>
    <d v="2024-01-26T00:00:00"/>
    <s v="ST25"/>
    <s v="East"/>
    <s v="P22"/>
    <s v="Shoes"/>
    <n v="1"/>
    <n v="1454.96"/>
    <n v="25"/>
    <n v="755.58"/>
    <x v="1"/>
    <s v="Cash"/>
    <n v="1091.22"/>
    <n v="335.64"/>
    <s v="Friday"/>
    <b v="0"/>
    <x v="10"/>
  </r>
  <r>
    <s v="NV2219"/>
    <d v="2024-05-04T00:00:00"/>
    <s v="ST25"/>
    <s v="South"/>
    <s v="P180"/>
    <s v="Clothing"/>
    <n v="4"/>
    <n v="2227.11"/>
    <n v="15"/>
    <n v="1262.24"/>
    <x v="0"/>
    <s v="Cash"/>
    <n v="7572.174"/>
    <n v="2523.2139999999999"/>
    <s v="Saturday"/>
    <b v="1"/>
    <x v="9"/>
  </r>
  <r>
    <s v="NV2220"/>
    <d v="2024-01-19T00:00:00"/>
    <s v="ST16"/>
    <s v="West"/>
    <s v="P7"/>
    <s v="Clothing"/>
    <n v="1"/>
    <n v="417.44"/>
    <n v="15"/>
    <n v="193.81"/>
    <x v="1"/>
    <s v="Digital"/>
    <n v="354.82400000000001"/>
    <n v="161.01400000000001"/>
    <s v="Friday"/>
    <b v="0"/>
    <x v="10"/>
  </r>
  <r>
    <s v="NV2221"/>
    <d v="2024-02-13T00:00:00"/>
    <s v="ST13"/>
    <s v="West"/>
    <s v="P279"/>
    <s v="Shoes"/>
    <n v="4"/>
    <n v="1268.6400000000001"/>
    <n v="20"/>
    <n v="872.76"/>
    <x v="1"/>
    <s v="Cash"/>
    <n v="4059.6480000000006"/>
    <n v="568.60800000000063"/>
    <s v="Tuesday"/>
    <b v="0"/>
    <x v="3"/>
  </r>
  <r>
    <s v="NV2222"/>
    <d v="2024-01-20T00:00:00"/>
    <s v="ST22"/>
    <s v="West"/>
    <s v="P262"/>
    <s v="Accessories"/>
    <n v="5"/>
    <n v="2303.3000000000002"/>
    <n v="5"/>
    <n v="1144.67"/>
    <x v="0"/>
    <s v="Cash"/>
    <n v="10940.674999999999"/>
    <n v="5217.3249999999989"/>
    <s v="Saturday"/>
    <b v="1"/>
    <x v="10"/>
  </r>
  <r>
    <s v="NV2223"/>
    <d v="2025-09-18T00:00:00"/>
    <s v="ST57"/>
    <s v="West"/>
    <s v="P11"/>
    <s v="Shoes"/>
    <n v="3"/>
    <n v="773.68"/>
    <n v="25"/>
    <n v="381.88"/>
    <x v="1"/>
    <s v="Card"/>
    <n v="1740.78"/>
    <n v="595.1400000000001"/>
    <s v="Thursday"/>
    <b v="0"/>
    <x v="6"/>
  </r>
  <r>
    <s v="NV2224"/>
    <d v="2024-10-10T00:00:00"/>
    <s v="ST25"/>
    <s v="North"/>
    <s v="P88"/>
    <s v="Clothing"/>
    <n v="2"/>
    <n v="1711.8"/>
    <n v="15"/>
    <n v="877.54"/>
    <x v="0"/>
    <s v="Card"/>
    <n v="2910.06"/>
    <n v="1154.98"/>
    <s v="Thursday"/>
    <b v="0"/>
    <x v="2"/>
  </r>
  <r>
    <s v="NV2225"/>
    <d v="2025-06-15T00:00:00"/>
    <s v="ST33"/>
    <s v="West"/>
    <s v="P282"/>
    <s v="Shoes"/>
    <n v="4"/>
    <n v="2850.87"/>
    <n v="25"/>
    <n v="1404.57"/>
    <x v="1"/>
    <s v="Cash"/>
    <n v="8552.61"/>
    <n v="2934.3300000000008"/>
    <s v="Sunday"/>
    <b v="1"/>
    <x v="0"/>
  </r>
  <r>
    <s v="NV2226"/>
    <d v="2025-04-09T00:00:00"/>
    <s v="ST8"/>
    <s v="East"/>
    <s v="P82"/>
    <s v="Shoes"/>
    <n v="1"/>
    <n v="1544.38"/>
    <n v="25"/>
    <n v="858.26"/>
    <x v="0"/>
    <s v="Cash"/>
    <n v="1158.2850000000001"/>
    <n v="300.02500000000009"/>
    <s v="Wednesday"/>
    <b v="0"/>
    <x v="8"/>
  </r>
  <r>
    <s v="NV2227"/>
    <d v="2025-09-23T00:00:00"/>
    <s v="ST14"/>
    <s v="West"/>
    <s v="P85"/>
    <s v="Accessories"/>
    <n v="5"/>
    <n v="2889.36"/>
    <n v="5"/>
    <n v="2018.8"/>
    <x v="1"/>
    <s v="Cash"/>
    <n v="13724.460000000001"/>
    <n v="3630.4600000000009"/>
    <s v="Tuesday"/>
    <b v="0"/>
    <x v="6"/>
  </r>
  <r>
    <s v="NV2228"/>
    <d v="2024-12-30T00:00:00"/>
    <s v="ST59"/>
    <s v="East"/>
    <s v="P155"/>
    <s v="Clothing"/>
    <n v="1"/>
    <n v="2887.32"/>
    <n v="0"/>
    <n v="1643.69"/>
    <x v="0"/>
    <s v="Card"/>
    <n v="2887.32"/>
    <n v="1243.6300000000001"/>
    <s v="Monday"/>
    <b v="0"/>
    <x v="11"/>
  </r>
  <r>
    <s v="NV2229"/>
    <d v="2024-12-05T00:00:00"/>
    <s v="ST10"/>
    <s v="North"/>
    <s v="P257"/>
    <s v="Clothing"/>
    <n v="4"/>
    <n v="1736.5"/>
    <n v="0"/>
    <n v="1208.54"/>
    <x v="0"/>
    <s v="Digital"/>
    <n v="6946"/>
    <n v="2111.84"/>
    <s v="Thursday"/>
    <b v="0"/>
    <x v="11"/>
  </r>
  <r>
    <s v="NV2230"/>
    <d v="2024-10-26T00:00:00"/>
    <s v="ST14"/>
    <s v="South"/>
    <s v="P190"/>
    <s v="Clothing"/>
    <n v="5"/>
    <n v="1555.06"/>
    <n v="0"/>
    <n v="652.46"/>
    <x v="0"/>
    <s v="Cash"/>
    <n v="7775.2999999999993"/>
    <n v="4512.9999999999991"/>
    <s v="Saturday"/>
    <b v="1"/>
    <x v="2"/>
  </r>
  <r>
    <s v="NV2231"/>
    <d v="2025-06-17T00:00:00"/>
    <s v="ST34"/>
    <s v="South"/>
    <s v="P224"/>
    <s v="Shoes"/>
    <n v="4"/>
    <n v="1118.68"/>
    <n v="20"/>
    <n v="629.46"/>
    <x v="1"/>
    <s v="Card"/>
    <n v="3579.7760000000003"/>
    <n v="1061.9360000000001"/>
    <s v="Tuesday"/>
    <b v="0"/>
    <x v="0"/>
  </r>
  <r>
    <s v="NV2232"/>
    <d v="2025-10-20T00:00:00"/>
    <s v="ST3"/>
    <s v="West"/>
    <s v="P101"/>
    <s v="Shoes"/>
    <n v="4"/>
    <n v="1159.08"/>
    <n v="15"/>
    <n v="485.47"/>
    <x v="1"/>
    <s v="Cash"/>
    <n v="3940.8719999999998"/>
    <n v="1998.9919999999997"/>
    <s v="Monday"/>
    <b v="0"/>
    <x v="2"/>
  </r>
  <r>
    <s v="NV2233"/>
    <d v="2025-05-25T00:00:00"/>
    <s v="ST45"/>
    <s v="North"/>
    <s v="P126"/>
    <s v="Shoes"/>
    <n v="2"/>
    <n v="1034.6300000000001"/>
    <n v="20"/>
    <n v="691.25"/>
    <x v="1"/>
    <s v="Digital"/>
    <n v="1655.4080000000004"/>
    <n v="272.90800000000036"/>
    <s v="Sunday"/>
    <b v="1"/>
    <x v="9"/>
  </r>
  <r>
    <s v="NV2234"/>
    <d v="2024-11-19T00:00:00"/>
    <s v="ST4"/>
    <s v="North"/>
    <s v="P291"/>
    <s v="Shoes"/>
    <n v="2"/>
    <n v="2246.41"/>
    <n v="5"/>
    <n v="1032.31"/>
    <x v="0"/>
    <s v="Cash"/>
    <n v="4268.1789999999992"/>
    <n v="2203.5589999999993"/>
    <s v="Tuesday"/>
    <b v="0"/>
    <x v="1"/>
  </r>
  <r>
    <s v="NV2235"/>
    <d v="2025-04-26T00:00:00"/>
    <s v="ST9"/>
    <s v="North"/>
    <s v="P168"/>
    <s v="Accessories"/>
    <n v="4"/>
    <n v="2360.44"/>
    <n v="15"/>
    <n v="1127.81"/>
    <x v="0"/>
    <s v="Card"/>
    <n v="8025.4960000000001"/>
    <n v="3514.2560000000003"/>
    <s v="Saturday"/>
    <b v="1"/>
    <x v="8"/>
  </r>
  <r>
    <s v="NV2236"/>
    <d v="2024-08-11T00:00:00"/>
    <s v="ST14"/>
    <s v="North"/>
    <s v="P205"/>
    <s v="Shoes"/>
    <n v="5"/>
    <n v="2951.01"/>
    <n v="20"/>
    <n v="1962.2"/>
    <x v="0"/>
    <s v="Digital"/>
    <n v="11804.04"/>
    <n v="1993.0400000000009"/>
    <s v="Sunday"/>
    <b v="1"/>
    <x v="5"/>
  </r>
  <r>
    <s v="NV2237"/>
    <d v="2024-02-15T00:00:00"/>
    <s v="ST19"/>
    <s v="North"/>
    <s v="P225"/>
    <s v="Shoes"/>
    <n v="4"/>
    <n v="2205.36"/>
    <n v="10"/>
    <n v="934.23"/>
    <x v="1"/>
    <s v="Cash"/>
    <n v="7939.2960000000003"/>
    <n v="4202.3760000000002"/>
    <s v="Thursday"/>
    <b v="0"/>
    <x v="3"/>
  </r>
  <r>
    <s v="NV2238"/>
    <d v="2025-08-04T00:00:00"/>
    <s v="ST51"/>
    <s v="West"/>
    <s v="P35"/>
    <s v="Clothing"/>
    <n v="2"/>
    <n v="1999.27"/>
    <n v="15"/>
    <n v="1360.99"/>
    <x v="0"/>
    <s v="Digital"/>
    <n v="3398.759"/>
    <n v="676.779"/>
    <s v="Monday"/>
    <b v="0"/>
    <x v="5"/>
  </r>
  <r>
    <s v="NV2239"/>
    <d v="2024-09-01T00:00:00"/>
    <s v="ST60"/>
    <s v="East"/>
    <s v="P7"/>
    <s v="Accessories"/>
    <n v="1"/>
    <n v="737.17"/>
    <n v="5"/>
    <n v="515.35"/>
    <x v="1"/>
    <s v="Card"/>
    <n v="700.31149999999991"/>
    <n v="184.96149999999989"/>
    <s v="Sunday"/>
    <b v="1"/>
    <x v="6"/>
  </r>
  <r>
    <s v="NV2240"/>
    <d v="2025-05-26T00:00:00"/>
    <s v="ST10"/>
    <s v="South"/>
    <s v="P31"/>
    <s v="Clothing"/>
    <n v="2"/>
    <n v="1334.15"/>
    <n v="30"/>
    <n v="831.91"/>
    <x v="1"/>
    <s v="Digital"/>
    <n v="1867.81"/>
    <n v="203.99"/>
    <s v="Monday"/>
    <b v="0"/>
    <x v="9"/>
  </r>
  <r>
    <s v="NV2241"/>
    <d v="2024-08-26T00:00:00"/>
    <s v="ST58"/>
    <s v="North"/>
    <s v="P41"/>
    <s v="Accessories"/>
    <n v="5"/>
    <n v="1340.77"/>
    <n v="20"/>
    <n v="605.72"/>
    <x v="1"/>
    <s v="Digital"/>
    <n v="5363.0800000000008"/>
    <n v="2334.4800000000005"/>
    <s v="Monday"/>
    <b v="0"/>
    <x v="5"/>
  </r>
  <r>
    <s v="NV2242"/>
    <d v="2025-05-19T00:00:00"/>
    <s v="ST25"/>
    <s v="North"/>
    <s v="P232"/>
    <s v="Shoes"/>
    <n v="3"/>
    <n v="891.41"/>
    <n v="15"/>
    <n v="544.69000000000005"/>
    <x v="1"/>
    <s v="Digital"/>
    <n v="2273.0954999999999"/>
    <n v="639.02549999999974"/>
    <s v="Monday"/>
    <b v="0"/>
    <x v="9"/>
  </r>
  <r>
    <s v="NV2243"/>
    <d v="2025-04-10T00:00:00"/>
    <s v="ST37"/>
    <s v="South"/>
    <s v="P79"/>
    <s v="Clothing"/>
    <n v="3"/>
    <n v="2510.6999999999998"/>
    <n v="30"/>
    <n v="1611.7"/>
    <x v="1"/>
    <s v="Cash"/>
    <n v="5272.4699999999993"/>
    <n v="437.36999999999898"/>
    <s v="Thursday"/>
    <b v="0"/>
    <x v="8"/>
  </r>
  <r>
    <s v="NV2244"/>
    <d v="2025-07-05T00:00:00"/>
    <s v="ST38"/>
    <s v="North"/>
    <s v="P164"/>
    <s v="Accessories"/>
    <n v="5"/>
    <n v="2493.25"/>
    <n v="30"/>
    <n v="1410.2"/>
    <x v="0"/>
    <s v="Cash"/>
    <n v="8726.375"/>
    <n v="1675.375"/>
    <s v="Saturday"/>
    <b v="1"/>
    <x v="4"/>
  </r>
  <r>
    <s v="NV2245"/>
    <d v="2024-06-20T00:00:00"/>
    <s v="ST58"/>
    <s v="West"/>
    <s v="P52"/>
    <s v="Clothing"/>
    <n v="1"/>
    <n v="2393.86"/>
    <n v="15"/>
    <n v="1004.84"/>
    <x v="0"/>
    <s v="Card"/>
    <n v="2034.7809999999999"/>
    <n v="1029.9409999999998"/>
    <s v="Thursday"/>
    <b v="0"/>
    <x v="0"/>
  </r>
  <r>
    <s v="NV2246"/>
    <d v="2025-11-14T00:00:00"/>
    <s v="ST27"/>
    <s v="South"/>
    <s v="P57"/>
    <s v="Clothing"/>
    <n v="3"/>
    <n v="2746.76"/>
    <n v="10"/>
    <n v="1522.1"/>
    <x v="1"/>
    <s v="Digital"/>
    <n v="7416.2520000000004"/>
    <n v="2849.9520000000011"/>
    <s v="Friday"/>
    <b v="0"/>
    <x v="1"/>
  </r>
  <r>
    <s v="NV2247"/>
    <d v="2024-02-22T00:00:00"/>
    <s v="ST56"/>
    <s v="West"/>
    <s v="P3"/>
    <s v="Clothing"/>
    <n v="1"/>
    <n v="2699.11"/>
    <n v="0"/>
    <n v="1867.59"/>
    <x v="1"/>
    <s v="Cash"/>
    <n v="2699.11"/>
    <n v="831.52000000000021"/>
    <s v="Thursday"/>
    <b v="0"/>
    <x v="3"/>
  </r>
  <r>
    <s v="NV2248"/>
    <d v="2025-11-23T00:00:00"/>
    <s v="ST51"/>
    <s v="East"/>
    <s v="P160"/>
    <s v="Accessories"/>
    <n v="1"/>
    <n v="1015.18"/>
    <n v="5"/>
    <n v="657"/>
    <x v="0"/>
    <s v="Digital"/>
    <n v="964.42099999999994"/>
    <n v="307.42099999999994"/>
    <s v="Sunday"/>
    <b v="1"/>
    <x v="1"/>
  </r>
  <r>
    <s v="NV2249"/>
    <d v="2025-04-02T00:00:00"/>
    <s v="ST15"/>
    <s v="South"/>
    <s v="P119"/>
    <s v="Shoes"/>
    <n v="5"/>
    <n v="1863.12"/>
    <n v="5"/>
    <n v="968.6"/>
    <x v="0"/>
    <s v="Cash"/>
    <n v="8849.8199999999979"/>
    <n v="4006.8199999999979"/>
    <s v="Wednesday"/>
    <b v="0"/>
    <x v="8"/>
  </r>
  <r>
    <s v="NV2250"/>
    <d v="2025-05-02T00:00:00"/>
    <s v="ST26"/>
    <s v="North"/>
    <s v="P141"/>
    <s v="Accessories"/>
    <n v="4"/>
    <n v="1158.53"/>
    <n v="30"/>
    <n v="701.27"/>
    <x v="1"/>
    <s v="Card"/>
    <n v="3243.8839999999996"/>
    <n v="438.80399999999963"/>
    <s v="Friday"/>
    <b v="0"/>
    <x v="9"/>
  </r>
  <r>
    <s v="NV2251"/>
    <d v="2025-02-20T00:00:00"/>
    <s v="ST2"/>
    <s v="South"/>
    <s v="P193"/>
    <s v="Shoes"/>
    <n v="2"/>
    <n v="2975.78"/>
    <n v="25"/>
    <n v="1468.47"/>
    <x v="1"/>
    <s v="Card"/>
    <n v="4463.67"/>
    <n v="1526.73"/>
    <s v="Thursday"/>
    <b v="0"/>
    <x v="3"/>
  </r>
  <r>
    <s v="NV2252"/>
    <d v="2025-10-15T00:00:00"/>
    <s v="ST10"/>
    <s v="East"/>
    <s v="P68"/>
    <s v="Clothing"/>
    <n v="5"/>
    <n v="1956.87"/>
    <n v="0"/>
    <n v="922.89"/>
    <x v="1"/>
    <s v="Digital"/>
    <n v="9784.3499999999985"/>
    <n v="5169.8999999999987"/>
    <s v="Wednesday"/>
    <b v="0"/>
    <x v="2"/>
  </r>
  <r>
    <s v="NV2253"/>
    <d v="2024-02-02T00:00:00"/>
    <s v="ST40"/>
    <s v="North"/>
    <s v="P68"/>
    <s v="Accessories"/>
    <n v="4"/>
    <n v="1997.83"/>
    <n v="0"/>
    <n v="1371.64"/>
    <x v="0"/>
    <s v="Cash"/>
    <n v="7991.32"/>
    <n v="2504.7599999999993"/>
    <s v="Friday"/>
    <b v="0"/>
    <x v="3"/>
  </r>
  <r>
    <s v="NV2254"/>
    <d v="2024-02-12T00:00:00"/>
    <s v="ST31"/>
    <s v="West"/>
    <s v="P92"/>
    <s v="Shoes"/>
    <n v="2"/>
    <n v="1786.63"/>
    <n v="20"/>
    <n v="1086.3800000000001"/>
    <x v="1"/>
    <s v="Cash"/>
    <n v="2858.6080000000002"/>
    <n v="685.84799999999996"/>
    <s v="Monday"/>
    <b v="0"/>
    <x v="3"/>
  </r>
  <r>
    <s v="NV2255"/>
    <d v="2025-02-26T00:00:00"/>
    <s v="ST39"/>
    <s v="East"/>
    <s v="P162"/>
    <s v="Shoes"/>
    <n v="5"/>
    <n v="1318.1"/>
    <n v="5"/>
    <n v="817.15"/>
    <x v="1"/>
    <s v="Card"/>
    <n v="6260.9749999999995"/>
    <n v="2175.2249999999995"/>
    <s v="Wednesday"/>
    <b v="0"/>
    <x v="3"/>
  </r>
  <r>
    <s v="NV2256"/>
    <d v="2024-07-25T00:00:00"/>
    <s v="ST3"/>
    <s v="South"/>
    <s v="P35"/>
    <s v="Accessories"/>
    <n v="1"/>
    <n v="912.18"/>
    <n v="0"/>
    <n v="637.24"/>
    <x v="1"/>
    <s v="Card"/>
    <n v="912.18"/>
    <n v="274.93999999999994"/>
    <s v="Thursday"/>
    <b v="0"/>
    <x v="4"/>
  </r>
  <r>
    <s v="NV2257"/>
    <d v="2024-08-07T00:00:00"/>
    <s v="ST9"/>
    <s v="West"/>
    <s v="P97"/>
    <s v="Shoes"/>
    <n v="3"/>
    <n v="2128.1799999999998"/>
    <n v="30"/>
    <n v="1284.0899999999999"/>
    <x v="0"/>
    <s v="Digital"/>
    <n v="4469.177999999999"/>
    <n v="616.90799999999945"/>
    <s v="Wednesday"/>
    <b v="0"/>
    <x v="5"/>
  </r>
  <r>
    <s v="NV2258"/>
    <d v="2024-08-09T00:00:00"/>
    <s v="ST47"/>
    <s v="North"/>
    <s v="P291"/>
    <s v="Shoes"/>
    <n v="2"/>
    <n v="1265.57"/>
    <n v="15"/>
    <n v="867.81"/>
    <x v="0"/>
    <s v="Digital"/>
    <n v="2151.4690000000001"/>
    <n v="415.84900000000016"/>
    <s v="Friday"/>
    <b v="0"/>
    <x v="5"/>
  </r>
  <r>
    <s v="NV2259"/>
    <d v="2024-04-08T00:00:00"/>
    <s v="ST55"/>
    <s v="West"/>
    <s v="P237"/>
    <s v="Accessories"/>
    <n v="1"/>
    <n v="1479.27"/>
    <n v="25"/>
    <n v="839.25"/>
    <x v="0"/>
    <s v="Card"/>
    <n v="1109.4524999999999"/>
    <n v="270.20249999999987"/>
    <s v="Monday"/>
    <b v="0"/>
    <x v="8"/>
  </r>
  <r>
    <s v="NV2260"/>
    <d v="2024-07-09T00:00:00"/>
    <s v="ST36"/>
    <s v="East"/>
    <s v="P27"/>
    <s v="Shoes"/>
    <n v="2"/>
    <n v="2216"/>
    <n v="30"/>
    <n v="1451.63"/>
    <x v="0"/>
    <s v="Digital"/>
    <n v="3102.3999999999996"/>
    <n v="199.13999999999942"/>
    <s v="Tuesday"/>
    <b v="0"/>
    <x v="4"/>
  </r>
  <r>
    <s v="NV2261"/>
    <d v="2025-11-11T00:00:00"/>
    <s v="ST18"/>
    <s v="South"/>
    <s v="P117"/>
    <s v="Shoes"/>
    <n v="5"/>
    <n v="2865.97"/>
    <n v="20"/>
    <n v="1502.62"/>
    <x v="0"/>
    <s v="Cash"/>
    <n v="11463.88"/>
    <n v="3950.7799999999997"/>
    <s v="Tuesday"/>
    <b v="0"/>
    <x v="1"/>
  </r>
  <r>
    <s v="NV2262"/>
    <d v="2025-10-08T00:00:00"/>
    <s v="ST11"/>
    <s v="East"/>
    <s v="P204"/>
    <s v="Shoes"/>
    <n v="1"/>
    <n v="2221.62"/>
    <n v="5"/>
    <n v="1129.97"/>
    <x v="1"/>
    <s v="Digital"/>
    <n v="2110.5389999999998"/>
    <n v="980.56899999999973"/>
    <s v="Wednesday"/>
    <b v="0"/>
    <x v="2"/>
  </r>
  <r>
    <s v="NV2263"/>
    <d v="2025-08-12T00:00:00"/>
    <s v="ST23"/>
    <s v="North"/>
    <s v="P35"/>
    <s v="Clothing"/>
    <n v="3"/>
    <n v="2153.71"/>
    <n v="0"/>
    <n v="893.68"/>
    <x v="0"/>
    <s v="Card"/>
    <n v="6461.13"/>
    <n v="3780.09"/>
    <s v="Tuesday"/>
    <b v="0"/>
    <x v="5"/>
  </r>
  <r>
    <s v="NV2264"/>
    <d v="2024-07-31T00:00:00"/>
    <s v="ST46"/>
    <s v="West"/>
    <s v="P218"/>
    <s v="Shoes"/>
    <n v="2"/>
    <n v="1017.89"/>
    <n v="0"/>
    <n v="451.68"/>
    <x v="1"/>
    <s v="Card"/>
    <n v="2035.78"/>
    <n v="1132.42"/>
    <s v="Wednesday"/>
    <b v="0"/>
    <x v="4"/>
  </r>
  <r>
    <s v="NV2265"/>
    <d v="2024-02-19T00:00:00"/>
    <s v="ST51"/>
    <s v="North"/>
    <s v="P28"/>
    <s v="Accessories"/>
    <n v="2"/>
    <n v="1237.6600000000001"/>
    <n v="10"/>
    <n v="581.27"/>
    <x v="0"/>
    <s v="Cash"/>
    <n v="2227.788"/>
    <n v="1065.248"/>
    <s v="Monday"/>
    <b v="0"/>
    <x v="3"/>
  </r>
  <r>
    <s v="NV2266"/>
    <d v="2025-09-14T00:00:00"/>
    <s v="ST24"/>
    <s v="North"/>
    <s v="P45"/>
    <s v="Clothing"/>
    <n v="2"/>
    <n v="1201.18"/>
    <n v="25"/>
    <n v="562.46"/>
    <x v="1"/>
    <s v="Digital"/>
    <n v="1801.77"/>
    <n v="676.84999999999991"/>
    <s v="Sunday"/>
    <b v="1"/>
    <x v="6"/>
  </r>
  <r>
    <s v="NV2267"/>
    <d v="2024-09-02T00:00:00"/>
    <s v="ST44"/>
    <s v="East"/>
    <s v="P258"/>
    <s v="Shoes"/>
    <n v="3"/>
    <n v="2627.99"/>
    <n v="20"/>
    <n v="1582.35"/>
    <x v="0"/>
    <s v="Cash"/>
    <n v="6307.1759999999995"/>
    <n v="1560.1260000000002"/>
    <s v="Monday"/>
    <b v="0"/>
    <x v="6"/>
  </r>
  <r>
    <s v="NV2268"/>
    <d v="2025-06-22T00:00:00"/>
    <s v="ST35"/>
    <s v="West"/>
    <s v="P278"/>
    <s v="Accessories"/>
    <n v="3"/>
    <n v="979.45"/>
    <n v="15"/>
    <n v="584.46"/>
    <x v="1"/>
    <s v="Digital"/>
    <n v="2497.5975000000003"/>
    <n v="744.2175000000002"/>
    <s v="Sunday"/>
    <b v="1"/>
    <x v="0"/>
  </r>
  <r>
    <s v="NV2269"/>
    <d v="2025-05-19T00:00:00"/>
    <s v="ST47"/>
    <s v="North"/>
    <s v="P39"/>
    <s v="Clothing"/>
    <n v="2"/>
    <n v="1901.5"/>
    <n v="20"/>
    <n v="894.58"/>
    <x v="1"/>
    <s v="Digital"/>
    <n v="3042.4"/>
    <n v="1253.24"/>
    <s v="Monday"/>
    <b v="0"/>
    <x v="9"/>
  </r>
  <r>
    <s v="NV2270"/>
    <d v="2024-11-11T00:00:00"/>
    <s v="ST17"/>
    <s v="South"/>
    <s v="P270"/>
    <s v="Clothing"/>
    <n v="2"/>
    <n v="719.43"/>
    <n v="25"/>
    <n v="464.12"/>
    <x v="1"/>
    <s v="Cash"/>
    <n v="1079.145"/>
    <n v="150.90499999999997"/>
    <s v="Monday"/>
    <b v="0"/>
    <x v="1"/>
  </r>
  <r>
    <s v="NV2271"/>
    <d v="2025-07-31T00:00:00"/>
    <s v="ST24"/>
    <s v="North"/>
    <s v="P224"/>
    <s v="Accessories"/>
    <n v="4"/>
    <n v="1772.82"/>
    <n v="20"/>
    <n v="1141.54"/>
    <x v="0"/>
    <s v="Card"/>
    <n v="5673.0240000000003"/>
    <n v="1106.8640000000005"/>
    <s v="Thursday"/>
    <b v="0"/>
    <x v="4"/>
  </r>
  <r>
    <s v="NV2272"/>
    <d v="2025-07-28T00:00:00"/>
    <s v="ST29"/>
    <s v="West"/>
    <s v="P236"/>
    <s v="Shoes"/>
    <n v="1"/>
    <n v="2964.9"/>
    <n v="20"/>
    <n v="2033.51"/>
    <x v="0"/>
    <s v="Card"/>
    <n v="2371.92"/>
    <n v="338.41000000000008"/>
    <s v="Monday"/>
    <b v="0"/>
    <x v="4"/>
  </r>
  <r>
    <s v="NV2273"/>
    <d v="2024-01-20T00:00:00"/>
    <s v="ST25"/>
    <s v="East"/>
    <s v="P48"/>
    <s v="Clothing"/>
    <n v="5"/>
    <n v="2711.7"/>
    <n v="30"/>
    <n v="1178.3599999999999"/>
    <x v="1"/>
    <s v="Digital"/>
    <n v="9490.9499999999989"/>
    <n v="3599.1499999999996"/>
    <s v="Saturday"/>
    <b v="1"/>
    <x v="10"/>
  </r>
  <r>
    <s v="NV2274"/>
    <d v="2025-01-18T00:00:00"/>
    <s v="ST19"/>
    <s v="North"/>
    <s v="P103"/>
    <s v="Shoes"/>
    <n v="2"/>
    <n v="1724.63"/>
    <n v="20"/>
    <n v="983.86"/>
    <x v="1"/>
    <s v="Digital"/>
    <n v="2759.4080000000004"/>
    <n v="791.68800000000033"/>
    <s v="Saturday"/>
    <b v="1"/>
    <x v="10"/>
  </r>
  <r>
    <s v="NV2275"/>
    <d v="2024-09-26T00:00:00"/>
    <s v="ST33"/>
    <s v="South"/>
    <s v="P134"/>
    <s v="Clothing"/>
    <n v="5"/>
    <n v="2219.1"/>
    <n v="20"/>
    <n v="1288.99"/>
    <x v="0"/>
    <s v="Digital"/>
    <n v="8876.4"/>
    <n v="2431.4499999999998"/>
    <s v="Thursday"/>
    <b v="0"/>
    <x v="6"/>
  </r>
  <r>
    <s v="NV2276"/>
    <d v="2024-06-10T00:00:00"/>
    <s v="ST31"/>
    <s v="North"/>
    <s v="P28"/>
    <s v="Shoes"/>
    <n v="5"/>
    <n v="1028.72"/>
    <n v="30"/>
    <n v="443.28"/>
    <x v="0"/>
    <s v="Cash"/>
    <n v="3600.52"/>
    <n v="1384.1200000000003"/>
    <s v="Monday"/>
    <b v="0"/>
    <x v="0"/>
  </r>
  <r>
    <s v="NV2277"/>
    <d v="2025-12-01T00:00:00"/>
    <s v="ST35"/>
    <s v="North"/>
    <s v="P14"/>
    <s v="Shoes"/>
    <n v="1"/>
    <n v="1378.66"/>
    <n v="15"/>
    <n v="924.16"/>
    <x v="1"/>
    <s v="Cash"/>
    <n v="1171.8610000000001"/>
    <n v="247.70100000000014"/>
    <s v="Monday"/>
    <b v="0"/>
    <x v="11"/>
  </r>
  <r>
    <s v="NV2278"/>
    <d v="2024-02-17T00:00:00"/>
    <s v="ST9"/>
    <s v="East"/>
    <s v="P96"/>
    <s v="Shoes"/>
    <n v="4"/>
    <n v="1812.48"/>
    <n v="25"/>
    <n v="750.42"/>
    <x v="1"/>
    <s v="Digital"/>
    <n v="5437.4400000000005"/>
    <n v="2435.7600000000007"/>
    <s v="Saturday"/>
    <b v="1"/>
    <x v="3"/>
  </r>
  <r>
    <s v="NV2279"/>
    <d v="2025-10-15T00:00:00"/>
    <s v="ST37"/>
    <s v="West"/>
    <s v="P270"/>
    <s v="Accessories"/>
    <n v="5"/>
    <n v="627.61"/>
    <n v="5"/>
    <n v="355.79"/>
    <x v="1"/>
    <s v="Cash"/>
    <n v="2981.1475"/>
    <n v="1202.1975"/>
    <s v="Wednesday"/>
    <b v="0"/>
    <x v="2"/>
  </r>
  <r>
    <s v="NV2280"/>
    <d v="2024-09-09T00:00:00"/>
    <s v="ST16"/>
    <s v="West"/>
    <s v="P112"/>
    <s v="Clothing"/>
    <n v="3"/>
    <n v="1982.93"/>
    <n v="5"/>
    <n v="1124.26"/>
    <x v="1"/>
    <s v="Card"/>
    <n v="5651.3504999999996"/>
    <n v="2278.5704999999998"/>
    <s v="Monday"/>
    <b v="0"/>
    <x v="6"/>
  </r>
  <r>
    <s v="NV2281"/>
    <d v="2025-02-24T00:00:00"/>
    <s v="ST50"/>
    <s v="West"/>
    <s v="P259"/>
    <s v="Shoes"/>
    <n v="5"/>
    <n v="2822.08"/>
    <n v="15"/>
    <n v="1500.65"/>
    <x v="1"/>
    <s v="Card"/>
    <n v="11993.84"/>
    <n v="4490.59"/>
    <s v="Monday"/>
    <b v="0"/>
    <x v="3"/>
  </r>
  <r>
    <s v="NV2282"/>
    <d v="2024-04-30T00:00:00"/>
    <s v="ST25"/>
    <s v="East"/>
    <s v="P63"/>
    <s v="Clothing"/>
    <n v="5"/>
    <n v="2125.84"/>
    <n v="25"/>
    <n v="1349.09"/>
    <x v="1"/>
    <s v="Cash"/>
    <n v="7971.9000000000005"/>
    <n v="1226.4500000000007"/>
    <s v="Tuesday"/>
    <b v="0"/>
    <x v="8"/>
  </r>
  <r>
    <s v="NV2283"/>
    <d v="2024-10-11T00:00:00"/>
    <s v="ST47"/>
    <s v="East"/>
    <s v="P110"/>
    <s v="Clothing"/>
    <n v="5"/>
    <n v="1972.04"/>
    <n v="15"/>
    <n v="939.65"/>
    <x v="1"/>
    <s v="Digital"/>
    <n v="8381.17"/>
    <n v="3682.92"/>
    <s v="Friday"/>
    <b v="0"/>
    <x v="2"/>
  </r>
  <r>
    <s v="NV2284"/>
    <d v="2025-11-16T00:00:00"/>
    <s v="ST44"/>
    <s v="East"/>
    <s v="P187"/>
    <s v="Accessories"/>
    <n v="2"/>
    <n v="2563.13"/>
    <n v="10"/>
    <n v="1129.1600000000001"/>
    <x v="0"/>
    <s v="Card"/>
    <n v="4613.634"/>
    <n v="2355.3139999999999"/>
    <s v="Sunday"/>
    <b v="1"/>
    <x v="1"/>
  </r>
  <r>
    <s v="NV2285"/>
    <d v="2024-01-22T00:00:00"/>
    <s v="ST41"/>
    <s v="North"/>
    <s v="P262"/>
    <s v="Clothing"/>
    <n v="5"/>
    <n v="908.68"/>
    <n v="0"/>
    <n v="624.4"/>
    <x v="1"/>
    <s v="Cash"/>
    <n v="4543.3999999999996"/>
    <n v="1421.3999999999996"/>
    <s v="Monday"/>
    <b v="0"/>
    <x v="10"/>
  </r>
  <r>
    <s v="NV2286"/>
    <d v="2024-05-04T00:00:00"/>
    <s v="ST7"/>
    <s v="North"/>
    <s v="P15"/>
    <s v="Shoes"/>
    <n v="5"/>
    <n v="2294.71"/>
    <n v="30"/>
    <n v="1522.63"/>
    <x v="1"/>
    <s v="Card"/>
    <n v="8031.4849999999988"/>
    <n v="418.33499999999822"/>
    <s v="Saturday"/>
    <b v="1"/>
    <x v="9"/>
  </r>
  <r>
    <s v="NV2287"/>
    <d v="2025-06-20T00:00:00"/>
    <s v="ST17"/>
    <s v="South"/>
    <s v="P114"/>
    <s v="Clothing"/>
    <n v="5"/>
    <n v="1593.07"/>
    <n v="30"/>
    <n v="923.41"/>
    <x v="1"/>
    <s v="Card"/>
    <n v="5575.744999999999"/>
    <n v="958.6949999999988"/>
    <s v="Friday"/>
    <b v="0"/>
    <x v="0"/>
  </r>
  <r>
    <s v="NV2288"/>
    <d v="2025-11-18T00:00:00"/>
    <s v="ST1"/>
    <s v="West"/>
    <s v="P213"/>
    <s v="Clothing"/>
    <n v="3"/>
    <n v="650.32000000000005"/>
    <n v="30"/>
    <n v="320.93"/>
    <x v="1"/>
    <s v="Digital"/>
    <n v="1365.672"/>
    <n v="402.88200000000006"/>
    <s v="Tuesday"/>
    <b v="0"/>
    <x v="1"/>
  </r>
  <r>
    <s v="NV2289"/>
    <d v="2025-01-02T00:00:00"/>
    <s v="ST42"/>
    <s v="West"/>
    <s v="P250"/>
    <s v="Clothing"/>
    <n v="2"/>
    <n v="631.5"/>
    <n v="10"/>
    <n v="252.8"/>
    <x v="0"/>
    <s v="Digital"/>
    <n v="1136.7"/>
    <n v="631.1"/>
    <s v="Thursday"/>
    <b v="0"/>
    <x v="10"/>
  </r>
  <r>
    <s v="NV2290"/>
    <d v="2025-11-11T00:00:00"/>
    <s v="ST2"/>
    <s v="North"/>
    <s v="P134"/>
    <s v="Accessories"/>
    <n v="2"/>
    <n v="1235.1099999999999"/>
    <n v="5"/>
    <n v="613.08000000000004"/>
    <x v="0"/>
    <s v="Digital"/>
    <n v="2346.7089999999998"/>
    <n v="1120.5489999999998"/>
    <s v="Tuesday"/>
    <b v="0"/>
    <x v="1"/>
  </r>
  <r>
    <s v="NV2291"/>
    <d v="2024-07-09T00:00:00"/>
    <s v="ST8"/>
    <s v="South"/>
    <s v="P107"/>
    <s v="Clothing"/>
    <n v="5"/>
    <n v="1838.8"/>
    <n v="0"/>
    <n v="1076.71"/>
    <x v="1"/>
    <s v="Cash"/>
    <n v="9194"/>
    <n v="3810.45"/>
    <s v="Tuesday"/>
    <b v="0"/>
    <x v="4"/>
  </r>
  <r>
    <s v="NV2292"/>
    <d v="2024-05-05T00:00:00"/>
    <s v="ST4"/>
    <s v="South"/>
    <s v="P29"/>
    <s v="Shoes"/>
    <n v="5"/>
    <n v="2206.29"/>
    <n v="0"/>
    <n v="976.49"/>
    <x v="1"/>
    <s v="Card"/>
    <n v="11031.45"/>
    <n v="6149.0000000000009"/>
    <s v="Sunday"/>
    <b v="1"/>
    <x v="9"/>
  </r>
  <r>
    <s v="NV2293"/>
    <d v="2025-06-06T00:00:00"/>
    <s v="ST49"/>
    <s v="West"/>
    <s v="P26"/>
    <s v="Accessories"/>
    <n v="4"/>
    <n v="2776.26"/>
    <n v="20"/>
    <n v="1368.15"/>
    <x v="1"/>
    <s v="Card"/>
    <n v="8884.0320000000011"/>
    <n v="3411.4320000000007"/>
    <s v="Friday"/>
    <b v="0"/>
    <x v="0"/>
  </r>
  <r>
    <s v="NV2294"/>
    <d v="2024-04-23T00:00:00"/>
    <s v="ST36"/>
    <s v="East"/>
    <s v="P149"/>
    <s v="Clothing"/>
    <n v="5"/>
    <n v="642.26"/>
    <n v="25"/>
    <n v="447.61"/>
    <x v="1"/>
    <s v="Cash"/>
    <n v="2408.4750000000004"/>
    <n v="170.42500000000018"/>
    <s v="Tuesday"/>
    <b v="0"/>
    <x v="8"/>
  </r>
  <r>
    <s v="NV2295"/>
    <d v="2025-04-21T00:00:00"/>
    <s v="ST48"/>
    <s v="West"/>
    <s v="P36"/>
    <s v="Shoes"/>
    <n v="2"/>
    <n v="1791.9"/>
    <n v="0"/>
    <n v="836.08"/>
    <x v="0"/>
    <s v="Digital"/>
    <n v="3583.8"/>
    <n v="1911.64"/>
    <s v="Monday"/>
    <b v="0"/>
    <x v="8"/>
  </r>
  <r>
    <s v="NV2296"/>
    <d v="2024-05-12T00:00:00"/>
    <s v="ST45"/>
    <s v="West"/>
    <s v="P281"/>
    <s v="Clothing"/>
    <n v="5"/>
    <n v="595.80999999999995"/>
    <n v="15"/>
    <n v="354.83"/>
    <x v="1"/>
    <s v="Digital"/>
    <n v="2532.1924999999997"/>
    <n v="758.04249999999979"/>
    <s v="Sunday"/>
    <b v="1"/>
    <x v="9"/>
  </r>
  <r>
    <s v="NV2297"/>
    <d v="2024-02-21T00:00:00"/>
    <s v="ST47"/>
    <s v="East"/>
    <s v="P10"/>
    <s v="Accessories"/>
    <n v="4"/>
    <n v="2208.3200000000002"/>
    <n v="30"/>
    <n v="1179.29"/>
    <x v="0"/>
    <s v="Cash"/>
    <n v="6183.2960000000003"/>
    <n v="1466.1360000000004"/>
    <s v="Wednesday"/>
    <b v="0"/>
    <x v="3"/>
  </r>
  <r>
    <s v="NV2298"/>
    <d v="2024-04-28T00:00:00"/>
    <s v="ST49"/>
    <s v="East"/>
    <s v="P70"/>
    <s v="Clothing"/>
    <n v="5"/>
    <n v="2981.22"/>
    <n v="10"/>
    <n v="1202.1500000000001"/>
    <x v="1"/>
    <s v="Cash"/>
    <n v="13415.49"/>
    <n v="7404.74"/>
    <s v="Sunday"/>
    <b v="1"/>
    <x v="8"/>
  </r>
  <r>
    <s v="NV2299"/>
    <d v="2024-09-19T00:00:00"/>
    <s v="ST17"/>
    <s v="North"/>
    <s v="P6"/>
    <s v="Clothing"/>
    <n v="5"/>
    <n v="1510.42"/>
    <n v="15"/>
    <n v="1011.32"/>
    <x v="1"/>
    <s v="Cash"/>
    <n v="6419.2849999999999"/>
    <n v="1362.6849999999995"/>
    <s v="Thursday"/>
    <b v="0"/>
    <x v="6"/>
  </r>
  <r>
    <s v="NV2300"/>
    <d v="2024-01-25T00:00:00"/>
    <s v="ST14"/>
    <s v="East"/>
    <s v="P180"/>
    <s v="Accessories"/>
    <n v="3"/>
    <n v="2669.25"/>
    <n v="0"/>
    <n v="1115.1500000000001"/>
    <x v="1"/>
    <s v="Cash"/>
    <n v="8007.75"/>
    <n v="4662.2999999999993"/>
    <s v="Thursday"/>
    <b v="0"/>
    <x v="10"/>
  </r>
  <r>
    <s v="NV2301"/>
    <d v="2025-07-12T00:00:00"/>
    <s v="ST42"/>
    <s v="East"/>
    <s v="P275"/>
    <s v="Accessories"/>
    <n v="4"/>
    <n v="1321.95"/>
    <n v="30"/>
    <n v="555.83000000000004"/>
    <x v="0"/>
    <s v="Cash"/>
    <n v="3701.46"/>
    <n v="1478.1399999999999"/>
    <s v="Saturday"/>
    <b v="1"/>
    <x v="4"/>
  </r>
  <r>
    <s v="NV2302"/>
    <d v="2024-01-10T00:00:00"/>
    <s v="ST2"/>
    <s v="West"/>
    <s v="P125"/>
    <s v="Shoes"/>
    <n v="1"/>
    <n v="1027.94"/>
    <n v="5"/>
    <n v="592.09"/>
    <x v="0"/>
    <s v="Digital"/>
    <n v="976.54300000000001"/>
    <n v="384.45299999999997"/>
    <s v="Wednesday"/>
    <b v="0"/>
    <x v="10"/>
  </r>
  <r>
    <s v="NV2303"/>
    <d v="2024-08-31T00:00:00"/>
    <s v="ST25"/>
    <s v="West"/>
    <s v="P72"/>
    <s v="Accessories"/>
    <n v="4"/>
    <n v="1955.96"/>
    <n v="20"/>
    <n v="861.05"/>
    <x v="1"/>
    <s v="Card"/>
    <n v="6259.0720000000001"/>
    <n v="2814.8720000000003"/>
    <s v="Saturday"/>
    <b v="1"/>
    <x v="5"/>
  </r>
  <r>
    <s v="NV2304"/>
    <d v="2025-02-07T00:00:00"/>
    <s v="ST40"/>
    <s v="East"/>
    <s v="P100"/>
    <s v="Accessories"/>
    <n v="4"/>
    <n v="1794.57"/>
    <n v="5"/>
    <n v="764.57"/>
    <x v="1"/>
    <s v="Digital"/>
    <n v="6819.3659999999991"/>
    <n v="3761.0859999999989"/>
    <s v="Friday"/>
    <b v="0"/>
    <x v="3"/>
  </r>
  <r>
    <s v="NV2305"/>
    <d v="2025-10-28T00:00:00"/>
    <s v="ST9"/>
    <s v="North"/>
    <s v="P218"/>
    <s v="Shoes"/>
    <n v="4"/>
    <n v="882.79"/>
    <n v="15"/>
    <n v="416.46"/>
    <x v="1"/>
    <s v="Card"/>
    <n v="3001.4859999999999"/>
    <n v="1335.646"/>
    <s v="Tuesday"/>
    <b v="0"/>
    <x v="2"/>
  </r>
  <r>
    <s v="NV2306"/>
    <d v="2024-12-25T00:00:00"/>
    <s v="ST25"/>
    <s v="South"/>
    <s v="P52"/>
    <s v="Shoes"/>
    <n v="1"/>
    <n v="1898.57"/>
    <n v="20"/>
    <n v="1016.69"/>
    <x v="0"/>
    <s v="Card"/>
    <n v="1518.856"/>
    <n v="502.16599999999994"/>
    <s v="Wednesday"/>
    <b v="0"/>
    <x v="11"/>
  </r>
  <r>
    <s v="NV2307"/>
    <d v="2025-04-13T00:00:00"/>
    <s v="ST12"/>
    <s v="East"/>
    <s v="P284"/>
    <s v="Clothing"/>
    <n v="3"/>
    <n v="1224.6600000000001"/>
    <n v="20"/>
    <n v="854.65"/>
    <x v="1"/>
    <s v="Digital"/>
    <n v="2939.1840000000007"/>
    <n v="375.23400000000083"/>
    <s v="Sunday"/>
    <b v="1"/>
    <x v="8"/>
  </r>
  <r>
    <s v="NV2308"/>
    <d v="2025-01-27T00:00:00"/>
    <s v="ST18"/>
    <s v="East"/>
    <s v="P233"/>
    <s v="Clothing"/>
    <n v="1"/>
    <n v="1100.8800000000001"/>
    <n v="30"/>
    <n v="555"/>
    <x v="0"/>
    <s v="Digital"/>
    <n v="770.61599999999999"/>
    <n v="215.61599999999999"/>
    <s v="Monday"/>
    <b v="0"/>
    <x v="10"/>
  </r>
  <r>
    <s v="NV2309"/>
    <d v="2025-06-12T00:00:00"/>
    <s v="ST24"/>
    <s v="West"/>
    <s v="P88"/>
    <s v="Clothing"/>
    <n v="2"/>
    <n v="1840.88"/>
    <n v="0"/>
    <n v="910.02"/>
    <x v="0"/>
    <s v="Cash"/>
    <n v="3681.76"/>
    <n v="1861.7200000000003"/>
    <s v="Thursday"/>
    <b v="0"/>
    <x v="0"/>
  </r>
  <r>
    <s v="NV2310"/>
    <d v="2025-05-25T00:00:00"/>
    <s v="ST44"/>
    <s v="South"/>
    <s v="P274"/>
    <s v="Clothing"/>
    <n v="5"/>
    <n v="654.38"/>
    <n v="20"/>
    <n v="373.15"/>
    <x v="0"/>
    <s v="Digital"/>
    <n v="2617.5200000000004"/>
    <n v="751.77000000000044"/>
    <s v="Sunday"/>
    <b v="1"/>
    <x v="9"/>
  </r>
  <r>
    <s v="NV2311"/>
    <d v="2025-05-06T00:00:00"/>
    <s v="ST20"/>
    <s v="North"/>
    <s v="P267"/>
    <s v="Accessories"/>
    <n v="2"/>
    <n v="378.31"/>
    <n v="20"/>
    <n v="205.81"/>
    <x v="0"/>
    <s v="Cash"/>
    <n v="605.29600000000005"/>
    <n v="193.67600000000004"/>
    <s v="Tuesday"/>
    <b v="0"/>
    <x v="9"/>
  </r>
  <r>
    <s v="NV2312"/>
    <d v="2025-04-02T00:00:00"/>
    <s v="ST47"/>
    <s v="West"/>
    <s v="P159"/>
    <s v="Shoes"/>
    <n v="2"/>
    <n v="1644.41"/>
    <n v="25"/>
    <n v="1024.8699999999999"/>
    <x v="1"/>
    <s v="Cash"/>
    <n v="2466.6150000000002"/>
    <n v="416.87500000000045"/>
    <s v="Wednesday"/>
    <b v="0"/>
    <x v="8"/>
  </r>
  <r>
    <s v="NV2313"/>
    <d v="2025-11-06T00:00:00"/>
    <s v="ST25"/>
    <s v="West"/>
    <s v="P192"/>
    <s v="Clothing"/>
    <n v="3"/>
    <n v="2486.04"/>
    <n v="20"/>
    <n v="1008.1"/>
    <x v="0"/>
    <s v="Digital"/>
    <n v="5966.4960000000001"/>
    <n v="2942.1959999999999"/>
    <s v="Thursday"/>
    <b v="0"/>
    <x v="1"/>
  </r>
  <r>
    <s v="NV2314"/>
    <d v="2024-11-17T00:00:00"/>
    <s v="ST31"/>
    <s v="East"/>
    <s v="P261"/>
    <s v="Shoes"/>
    <n v="1"/>
    <n v="2633.87"/>
    <n v="30"/>
    <n v="1277.98"/>
    <x v="1"/>
    <s v="Cash"/>
    <n v="1843.7089999999998"/>
    <n v="565.72899999999981"/>
    <s v="Sunday"/>
    <b v="1"/>
    <x v="1"/>
  </r>
  <r>
    <s v="NV2315"/>
    <d v="2024-04-25T00:00:00"/>
    <s v="ST13"/>
    <s v="North"/>
    <s v="P130"/>
    <s v="Accessories"/>
    <n v="5"/>
    <n v="2171.9"/>
    <n v="0"/>
    <n v="1509.96"/>
    <x v="1"/>
    <s v="Card"/>
    <n v="10859.5"/>
    <n v="3309.7"/>
    <s v="Thursday"/>
    <b v="0"/>
    <x v="8"/>
  </r>
  <r>
    <s v="NV2316"/>
    <d v="2025-11-24T00:00:00"/>
    <s v="ST48"/>
    <s v="North"/>
    <s v="P62"/>
    <s v="Shoes"/>
    <n v="4"/>
    <n v="973"/>
    <n v="10"/>
    <n v="455.36"/>
    <x v="0"/>
    <s v="Cash"/>
    <n v="3502.8"/>
    <n v="1681.3600000000001"/>
    <s v="Monday"/>
    <b v="0"/>
    <x v="1"/>
  </r>
  <r>
    <s v="NV2317"/>
    <d v="2025-01-06T00:00:00"/>
    <s v="ST24"/>
    <s v="North"/>
    <s v="P178"/>
    <s v="Clothing"/>
    <n v="4"/>
    <n v="2018.33"/>
    <n v="30"/>
    <n v="1380.19"/>
    <x v="1"/>
    <s v="Cash"/>
    <n v="5651.3239999999996"/>
    <n v="130.5639999999994"/>
    <s v="Monday"/>
    <b v="0"/>
    <x v="10"/>
  </r>
  <r>
    <s v="NV2318"/>
    <d v="2024-10-06T00:00:00"/>
    <s v="ST37"/>
    <s v="West"/>
    <s v="P166"/>
    <s v="Shoes"/>
    <n v="1"/>
    <n v="2038.91"/>
    <n v="10"/>
    <n v="1335.71"/>
    <x v="0"/>
    <s v="Cash"/>
    <n v="1835.019"/>
    <n v="499.30899999999997"/>
    <s v="Sunday"/>
    <b v="1"/>
    <x v="2"/>
  </r>
  <r>
    <s v="NV2319"/>
    <d v="2024-06-14T00:00:00"/>
    <s v="ST47"/>
    <s v="West"/>
    <s v="P15"/>
    <s v="Shoes"/>
    <n v="5"/>
    <n v="1906.43"/>
    <n v="10"/>
    <n v="933.22"/>
    <x v="0"/>
    <s v="Card"/>
    <n v="8578.9349999999995"/>
    <n v="3912.8349999999991"/>
    <s v="Friday"/>
    <b v="0"/>
    <x v="0"/>
  </r>
  <r>
    <s v="NV2320"/>
    <d v="2024-11-27T00:00:00"/>
    <s v="ST8"/>
    <s v="South"/>
    <s v="P180"/>
    <s v="Clothing"/>
    <n v="3"/>
    <n v="985.03"/>
    <n v="10"/>
    <n v="586.72"/>
    <x v="0"/>
    <s v="Digital"/>
    <n v="2659.5810000000001"/>
    <n v="899.42100000000005"/>
    <s v="Wednesday"/>
    <b v="0"/>
    <x v="1"/>
  </r>
  <r>
    <s v="NV2321"/>
    <d v="2025-11-06T00:00:00"/>
    <s v="ST44"/>
    <s v="South"/>
    <s v="P292"/>
    <s v="Clothing"/>
    <n v="5"/>
    <n v="1537.52"/>
    <n v="25"/>
    <n v="926.75"/>
    <x v="0"/>
    <s v="Cash"/>
    <n v="5765.7000000000007"/>
    <n v="1131.9500000000007"/>
    <s v="Thursday"/>
    <b v="0"/>
    <x v="1"/>
  </r>
  <r>
    <s v="NV2322"/>
    <d v="2024-07-07T00:00:00"/>
    <s v="ST38"/>
    <s v="South"/>
    <s v="P214"/>
    <s v="Accessories"/>
    <n v="5"/>
    <n v="1241.8499999999999"/>
    <n v="25"/>
    <n v="729.07"/>
    <x v="0"/>
    <s v="Card"/>
    <n v="4656.9375"/>
    <n v="1011.5874999999996"/>
    <s v="Sunday"/>
    <b v="1"/>
    <x v="4"/>
  </r>
  <r>
    <s v="NV2323"/>
    <d v="2025-08-04T00:00:00"/>
    <s v="ST25"/>
    <s v="South"/>
    <s v="P156"/>
    <s v="Accessories"/>
    <n v="4"/>
    <n v="1439.48"/>
    <n v="10"/>
    <n v="908.24"/>
    <x v="1"/>
    <s v="Card"/>
    <n v="5182.1280000000006"/>
    <n v="1549.1680000000006"/>
    <s v="Monday"/>
    <b v="0"/>
    <x v="5"/>
  </r>
  <r>
    <s v="NV2324"/>
    <d v="2025-04-13T00:00:00"/>
    <s v="ST54"/>
    <s v="South"/>
    <s v="P36"/>
    <s v="Accessories"/>
    <n v="1"/>
    <n v="2909.85"/>
    <n v="5"/>
    <n v="1831.05"/>
    <x v="0"/>
    <s v="Card"/>
    <n v="2764.3574999999996"/>
    <n v="933.30749999999966"/>
    <s v="Sunday"/>
    <b v="1"/>
    <x v="8"/>
  </r>
  <r>
    <s v="NV2325"/>
    <d v="2025-03-22T00:00:00"/>
    <s v="ST12"/>
    <s v="West"/>
    <s v="P83"/>
    <s v="Clothing"/>
    <n v="1"/>
    <n v="653.5"/>
    <n v="20"/>
    <n v="391.54"/>
    <x v="1"/>
    <s v="Digital"/>
    <n v="522.80000000000007"/>
    <n v="131.26000000000005"/>
    <s v="Saturday"/>
    <b v="1"/>
    <x v="7"/>
  </r>
  <r>
    <s v="NV2326"/>
    <d v="2025-09-05T00:00:00"/>
    <s v="ST20"/>
    <s v="West"/>
    <s v="P102"/>
    <s v="Accessories"/>
    <n v="3"/>
    <n v="959.51"/>
    <n v="0"/>
    <n v="537.47"/>
    <x v="0"/>
    <s v="Cash"/>
    <n v="2878.5299999999997"/>
    <n v="1266.1199999999997"/>
    <s v="Friday"/>
    <b v="0"/>
    <x v="6"/>
  </r>
  <r>
    <s v="NV2327"/>
    <d v="2025-02-23T00:00:00"/>
    <s v="ST14"/>
    <s v="North"/>
    <s v="P63"/>
    <s v="Accessories"/>
    <n v="4"/>
    <n v="356.52"/>
    <n v="0"/>
    <n v="170.06"/>
    <x v="1"/>
    <s v="Cash"/>
    <n v="1426.08"/>
    <n v="745.83999999999992"/>
    <s v="Sunday"/>
    <b v="1"/>
    <x v="3"/>
  </r>
  <r>
    <s v="NV2328"/>
    <d v="2025-09-08T00:00:00"/>
    <s v="ST14"/>
    <s v="East"/>
    <s v="P99"/>
    <s v="Accessories"/>
    <n v="3"/>
    <n v="2421.36"/>
    <n v="30"/>
    <n v="1000.84"/>
    <x v="0"/>
    <s v="Digital"/>
    <n v="5084.8559999999998"/>
    <n v="2082.3359999999998"/>
    <s v="Monday"/>
    <b v="0"/>
    <x v="6"/>
  </r>
  <r>
    <s v="NV2329"/>
    <d v="2025-05-24T00:00:00"/>
    <s v="ST3"/>
    <s v="South"/>
    <s v="P280"/>
    <s v="Accessories"/>
    <n v="1"/>
    <n v="899.52"/>
    <n v="30"/>
    <n v="499.29"/>
    <x v="1"/>
    <s v="Digital"/>
    <n v="629.66399999999999"/>
    <n v="130.37399999999997"/>
    <s v="Saturday"/>
    <b v="1"/>
    <x v="9"/>
  </r>
  <r>
    <s v="NV2330"/>
    <d v="2025-11-04T00:00:00"/>
    <s v="ST8"/>
    <s v="West"/>
    <s v="P148"/>
    <s v="Accessories"/>
    <n v="5"/>
    <n v="703.31"/>
    <n v="25"/>
    <n v="356.41"/>
    <x v="0"/>
    <s v="Cash"/>
    <n v="2637.4124999999999"/>
    <n v="855.36249999999973"/>
    <s v="Tuesday"/>
    <b v="0"/>
    <x v="1"/>
  </r>
  <r>
    <s v="NV2331"/>
    <d v="2025-01-06T00:00:00"/>
    <s v="ST20"/>
    <s v="North"/>
    <s v="P185"/>
    <s v="Clothing"/>
    <n v="5"/>
    <n v="460.99"/>
    <n v="25"/>
    <n v="220.16"/>
    <x v="0"/>
    <s v="Cash"/>
    <n v="1728.7124999999999"/>
    <n v="627.91249999999991"/>
    <s v="Monday"/>
    <b v="0"/>
    <x v="10"/>
  </r>
  <r>
    <s v="NV2332"/>
    <d v="2024-05-18T00:00:00"/>
    <s v="ST43"/>
    <s v="South"/>
    <s v="P96"/>
    <s v="Shoes"/>
    <n v="3"/>
    <n v="1663.11"/>
    <n v="30"/>
    <n v="815.34"/>
    <x v="1"/>
    <s v="Card"/>
    <n v="3492.5309999999999"/>
    <n v="1046.511"/>
    <s v="Saturday"/>
    <b v="1"/>
    <x v="9"/>
  </r>
  <r>
    <s v="NV2333"/>
    <d v="2025-11-28T00:00:00"/>
    <s v="ST34"/>
    <s v="North"/>
    <s v="P242"/>
    <s v="Accessories"/>
    <n v="2"/>
    <n v="1551.72"/>
    <n v="30"/>
    <n v="716.57"/>
    <x v="0"/>
    <s v="Card"/>
    <n v="2172.4079999999999"/>
    <n v="739.2679999999998"/>
    <s v="Friday"/>
    <b v="0"/>
    <x v="1"/>
  </r>
  <r>
    <s v="NV2334"/>
    <d v="2025-06-19T00:00:00"/>
    <s v="ST18"/>
    <s v="East"/>
    <s v="P227"/>
    <s v="Accessories"/>
    <n v="1"/>
    <n v="1424.39"/>
    <n v="5"/>
    <n v="661.68"/>
    <x v="0"/>
    <s v="Digital"/>
    <n v="1353.1704999999999"/>
    <n v="691.4905"/>
    <s v="Thursday"/>
    <b v="0"/>
    <x v="0"/>
  </r>
  <r>
    <s v="NV2335"/>
    <d v="2025-03-08T00:00:00"/>
    <s v="ST58"/>
    <s v="North"/>
    <s v="P84"/>
    <s v="Clothing"/>
    <n v="3"/>
    <n v="2545.6999999999998"/>
    <n v="5"/>
    <n v="1161.8900000000001"/>
    <x v="1"/>
    <s v="Cash"/>
    <n v="7255.244999999999"/>
    <n v="3769.5749999999989"/>
    <s v="Saturday"/>
    <b v="1"/>
    <x v="7"/>
  </r>
  <r>
    <s v="NV2336"/>
    <d v="2024-06-27T00:00:00"/>
    <s v="ST9"/>
    <s v="West"/>
    <s v="P250"/>
    <s v="Shoes"/>
    <n v="1"/>
    <n v="2359.59"/>
    <n v="15"/>
    <n v="951"/>
    <x v="0"/>
    <s v="Card"/>
    <n v="2005.6515000000002"/>
    <n v="1054.6515000000002"/>
    <s v="Thursday"/>
    <b v="0"/>
    <x v="0"/>
  </r>
  <r>
    <s v="NV2337"/>
    <d v="2025-05-11T00:00:00"/>
    <s v="ST29"/>
    <s v="East"/>
    <s v="P297"/>
    <s v="Shoes"/>
    <n v="2"/>
    <n v="2729.87"/>
    <n v="15"/>
    <n v="1131.93"/>
    <x v="1"/>
    <s v="Card"/>
    <n v="4640.7789999999995"/>
    <n v="2376.9189999999994"/>
    <s v="Sunday"/>
    <b v="1"/>
    <x v="9"/>
  </r>
  <r>
    <s v="NV2338"/>
    <d v="2024-06-13T00:00:00"/>
    <s v="ST3"/>
    <s v="South"/>
    <s v="P114"/>
    <s v="Clothing"/>
    <n v="5"/>
    <n v="909.45"/>
    <n v="20"/>
    <n v="602.44000000000005"/>
    <x v="0"/>
    <s v="Digital"/>
    <n v="3637.8"/>
    <n v="625.59999999999991"/>
    <s v="Thursday"/>
    <b v="0"/>
    <x v="0"/>
  </r>
  <r>
    <s v="NV2339"/>
    <d v="2024-10-01T00:00:00"/>
    <s v="ST29"/>
    <s v="East"/>
    <s v="P110"/>
    <s v="Shoes"/>
    <n v="3"/>
    <n v="946.38"/>
    <n v="0"/>
    <n v="425.57"/>
    <x v="0"/>
    <s v="Cash"/>
    <n v="2839.14"/>
    <n v="1562.4299999999998"/>
    <s v="Tuesday"/>
    <b v="0"/>
    <x v="2"/>
  </r>
  <r>
    <s v="NV2340"/>
    <d v="2024-12-12T00:00:00"/>
    <s v="ST49"/>
    <s v="East"/>
    <s v="P118"/>
    <s v="Clothing"/>
    <n v="1"/>
    <n v="2942.8"/>
    <n v="25"/>
    <n v="1844.03"/>
    <x v="0"/>
    <s v="Digital"/>
    <n v="2207.1000000000004"/>
    <n v="363.07000000000039"/>
    <s v="Thursday"/>
    <b v="0"/>
    <x v="11"/>
  </r>
  <r>
    <s v="NV2341"/>
    <d v="2024-04-23T00:00:00"/>
    <s v="ST27"/>
    <s v="East"/>
    <s v="P231"/>
    <s v="Clothing"/>
    <n v="2"/>
    <n v="2424.83"/>
    <n v="25"/>
    <n v="1686.85"/>
    <x v="1"/>
    <s v="Card"/>
    <n v="3637.2449999999999"/>
    <n v="263.54500000000007"/>
    <s v="Tuesday"/>
    <b v="0"/>
    <x v="8"/>
  </r>
  <r>
    <s v="NV2342"/>
    <d v="2024-05-09T00:00:00"/>
    <s v="ST6"/>
    <s v="South"/>
    <s v="P196"/>
    <s v="Accessories"/>
    <n v="4"/>
    <n v="2145.9499999999998"/>
    <n v="5"/>
    <n v="1387.7"/>
    <x v="0"/>
    <s v="Cash"/>
    <n v="8154.6099999999988"/>
    <n v="2603.8099999999986"/>
    <s v="Thursday"/>
    <b v="0"/>
    <x v="9"/>
  </r>
  <r>
    <s v="NV2343"/>
    <d v="2025-06-27T00:00:00"/>
    <s v="ST16"/>
    <s v="North"/>
    <s v="P172"/>
    <s v="Shoes"/>
    <n v="5"/>
    <n v="2916.79"/>
    <n v="10"/>
    <n v="1452.71"/>
    <x v="1"/>
    <s v="Cash"/>
    <n v="13125.555"/>
    <n v="5862.0050000000001"/>
    <s v="Friday"/>
    <b v="0"/>
    <x v="0"/>
  </r>
  <r>
    <s v="NV2344"/>
    <d v="2024-12-05T00:00:00"/>
    <s v="ST9"/>
    <s v="North"/>
    <s v="P299"/>
    <s v="Accessories"/>
    <n v="5"/>
    <n v="502.01"/>
    <n v="0"/>
    <n v="346.69"/>
    <x v="0"/>
    <s v="Digital"/>
    <n v="2510.0500000000002"/>
    <n v="776.60000000000014"/>
    <s v="Thursday"/>
    <b v="0"/>
    <x v="11"/>
  </r>
  <r>
    <s v="NV2345"/>
    <d v="2025-04-24T00:00:00"/>
    <s v="ST38"/>
    <s v="South"/>
    <s v="P162"/>
    <s v="Accessories"/>
    <n v="2"/>
    <n v="639.11"/>
    <n v="0"/>
    <n v="376.78"/>
    <x v="1"/>
    <s v="Digital"/>
    <n v="1278.22"/>
    <n v="524.66000000000008"/>
    <s v="Thursday"/>
    <b v="0"/>
    <x v="8"/>
  </r>
  <r>
    <s v="NV2346"/>
    <d v="2025-10-20T00:00:00"/>
    <s v="ST59"/>
    <s v="West"/>
    <s v="P194"/>
    <s v="Accessories"/>
    <n v="4"/>
    <n v="2977.94"/>
    <n v="25"/>
    <n v="1629.96"/>
    <x v="1"/>
    <s v="Cash"/>
    <n v="8933.82"/>
    <n v="2413.9799999999996"/>
    <s v="Monday"/>
    <b v="0"/>
    <x v="2"/>
  </r>
  <r>
    <s v="NV2347"/>
    <d v="2024-05-14T00:00:00"/>
    <s v="ST15"/>
    <s v="South"/>
    <s v="P17"/>
    <s v="Shoes"/>
    <n v="1"/>
    <n v="2090.56"/>
    <n v="10"/>
    <n v="1161.53"/>
    <x v="0"/>
    <s v="Card"/>
    <n v="1881.5039999999999"/>
    <n v="719.97399999999993"/>
    <s v="Tuesday"/>
    <b v="0"/>
    <x v="9"/>
  </r>
  <r>
    <s v="NV2348"/>
    <d v="2024-05-10T00:00:00"/>
    <s v="ST32"/>
    <s v="West"/>
    <s v="P260"/>
    <s v="Clothing"/>
    <n v="2"/>
    <n v="2173.7600000000002"/>
    <n v="20"/>
    <n v="1140.3"/>
    <x v="0"/>
    <s v="Cash"/>
    <n v="3478.0160000000005"/>
    <n v="1197.4160000000006"/>
    <s v="Friday"/>
    <b v="0"/>
    <x v="9"/>
  </r>
  <r>
    <s v="NV2349"/>
    <d v="2025-11-03T00:00:00"/>
    <s v="ST57"/>
    <s v="North"/>
    <s v="P114"/>
    <s v="Accessories"/>
    <n v="2"/>
    <n v="2514.36"/>
    <n v="30"/>
    <n v="1731.74"/>
    <x v="0"/>
    <s v="Cash"/>
    <n v="3520.1039999999998"/>
    <n v="56.623999999999796"/>
    <s v="Monday"/>
    <b v="0"/>
    <x v="1"/>
  </r>
  <r>
    <s v="NV2350"/>
    <d v="2024-03-21T00:00:00"/>
    <s v="ST6"/>
    <s v="North"/>
    <s v="P23"/>
    <s v="Accessories"/>
    <n v="4"/>
    <n v="2758.85"/>
    <n v="25"/>
    <n v="1589.59"/>
    <x v="1"/>
    <s v="Digital"/>
    <n v="8276.5499999999993"/>
    <n v="1918.1899999999996"/>
    <s v="Thursday"/>
    <b v="0"/>
    <x v="7"/>
  </r>
  <r>
    <s v="NV2351"/>
    <d v="2024-04-07T00:00:00"/>
    <s v="ST39"/>
    <s v="East"/>
    <s v="P104"/>
    <s v="Clothing"/>
    <n v="1"/>
    <n v="2953.36"/>
    <n v="10"/>
    <n v="1931.73"/>
    <x v="0"/>
    <s v="Digital"/>
    <n v="2658.0240000000003"/>
    <n v="726.29400000000032"/>
    <s v="Sunday"/>
    <b v="1"/>
    <x v="8"/>
  </r>
  <r>
    <s v="NV2352"/>
    <d v="2024-01-09T00:00:00"/>
    <s v="ST22"/>
    <s v="South"/>
    <s v="P165"/>
    <s v="Accessories"/>
    <n v="2"/>
    <n v="2878.04"/>
    <n v="10"/>
    <n v="1927.39"/>
    <x v="1"/>
    <s v="Digital"/>
    <n v="5180.4719999999998"/>
    <n v="1325.6919999999996"/>
    <s v="Tuesday"/>
    <b v="0"/>
    <x v="10"/>
  </r>
  <r>
    <s v="NV2353"/>
    <d v="2024-12-31T00:00:00"/>
    <s v="ST25"/>
    <s v="West"/>
    <s v="P204"/>
    <s v="Shoes"/>
    <n v="4"/>
    <n v="2582.0300000000002"/>
    <n v="25"/>
    <n v="1189.98"/>
    <x v="0"/>
    <s v="Digital"/>
    <n v="7746.09"/>
    <n v="2986.17"/>
    <s v="Tuesday"/>
    <b v="0"/>
    <x v="11"/>
  </r>
  <r>
    <s v="NV2354"/>
    <d v="2024-08-24T00:00:00"/>
    <s v="ST51"/>
    <s v="East"/>
    <s v="P131"/>
    <s v="Clothing"/>
    <n v="2"/>
    <n v="1125.07"/>
    <n v="5"/>
    <n v="524.51"/>
    <x v="0"/>
    <s v="Cash"/>
    <n v="2137.6329999999998"/>
    <n v="1088.6129999999998"/>
    <s v="Saturday"/>
    <b v="1"/>
    <x v="5"/>
  </r>
  <r>
    <s v="NV2355"/>
    <d v="2024-01-19T00:00:00"/>
    <s v="ST34"/>
    <s v="West"/>
    <s v="P249"/>
    <s v="Clothing"/>
    <n v="5"/>
    <n v="564.47"/>
    <n v="10"/>
    <n v="358.49"/>
    <x v="0"/>
    <s v="Cash"/>
    <n v="2540.1150000000002"/>
    <n v="747.66500000000019"/>
    <s v="Friday"/>
    <b v="0"/>
    <x v="10"/>
  </r>
  <r>
    <s v="NV2356"/>
    <d v="2024-10-02T00:00:00"/>
    <s v="ST57"/>
    <s v="South"/>
    <s v="P238"/>
    <s v="Clothing"/>
    <n v="3"/>
    <n v="2600.79"/>
    <n v="0"/>
    <n v="1592.25"/>
    <x v="1"/>
    <s v="Cash"/>
    <n v="7802.37"/>
    <n v="3025.62"/>
    <s v="Wednesday"/>
    <b v="0"/>
    <x v="2"/>
  </r>
  <r>
    <s v="NV2357"/>
    <d v="2024-01-12T00:00:00"/>
    <s v="ST21"/>
    <s v="West"/>
    <s v="P9"/>
    <s v="Shoes"/>
    <n v="2"/>
    <n v="2299.9499999999998"/>
    <n v="5"/>
    <n v="1442.2"/>
    <x v="0"/>
    <s v="Cash"/>
    <n v="4369.9049999999997"/>
    <n v="1485.5049999999997"/>
    <s v="Friday"/>
    <b v="0"/>
    <x v="10"/>
  </r>
  <r>
    <s v="NV2358"/>
    <d v="2025-01-17T00:00:00"/>
    <s v="ST20"/>
    <s v="North"/>
    <s v="P64"/>
    <s v="Accessories"/>
    <n v="5"/>
    <n v="1676.82"/>
    <n v="0"/>
    <n v="1011.97"/>
    <x v="0"/>
    <s v="Cash"/>
    <n v="8384.1"/>
    <n v="3324.25"/>
    <s v="Friday"/>
    <b v="0"/>
    <x v="10"/>
  </r>
  <r>
    <s v="NV2359"/>
    <d v="2025-05-17T00:00:00"/>
    <s v="ST24"/>
    <s v="West"/>
    <s v="P215"/>
    <s v="Clothing"/>
    <n v="1"/>
    <n v="431.84"/>
    <n v="30"/>
    <n v="187.51"/>
    <x v="1"/>
    <s v="Cash"/>
    <n v="302.28799999999995"/>
    <n v="114.77799999999996"/>
    <s v="Saturday"/>
    <b v="1"/>
    <x v="9"/>
  </r>
  <r>
    <s v="NV2360"/>
    <d v="2025-04-27T00:00:00"/>
    <s v="ST32"/>
    <s v="West"/>
    <s v="P211"/>
    <s v="Accessories"/>
    <n v="2"/>
    <n v="403.02"/>
    <n v="20"/>
    <n v="217.01"/>
    <x v="1"/>
    <s v="Cash"/>
    <n v="644.83199999999999"/>
    <n v="210.81200000000001"/>
    <s v="Sunday"/>
    <b v="1"/>
    <x v="8"/>
  </r>
  <r>
    <s v="NV2361"/>
    <d v="2025-03-15T00:00:00"/>
    <s v="ST42"/>
    <s v="North"/>
    <s v="P75"/>
    <s v="Shoes"/>
    <n v="1"/>
    <n v="365.26"/>
    <n v="25"/>
    <n v="202.23"/>
    <x v="0"/>
    <s v="Cash"/>
    <n v="273.94499999999999"/>
    <n v="71.715000000000003"/>
    <s v="Saturday"/>
    <b v="1"/>
    <x v="7"/>
  </r>
  <r>
    <s v="NV2362"/>
    <d v="2024-01-04T00:00:00"/>
    <s v="ST45"/>
    <s v="West"/>
    <s v="P259"/>
    <s v="Accessories"/>
    <n v="4"/>
    <n v="2029.05"/>
    <n v="20"/>
    <n v="820.99"/>
    <x v="0"/>
    <s v="Cash"/>
    <n v="6492.96"/>
    <n v="3209"/>
    <s v="Thursday"/>
    <b v="0"/>
    <x v="10"/>
  </r>
  <r>
    <s v="NV2363"/>
    <d v="2025-07-14T00:00:00"/>
    <s v="ST48"/>
    <s v="North"/>
    <s v="P241"/>
    <s v="Shoes"/>
    <n v="4"/>
    <n v="1411.22"/>
    <n v="15"/>
    <n v="856.44"/>
    <x v="0"/>
    <s v="Cash"/>
    <n v="4798.1480000000001"/>
    <n v="1372.3879999999999"/>
    <s v="Monday"/>
    <b v="0"/>
    <x v="4"/>
  </r>
  <r>
    <s v="NV2364"/>
    <d v="2024-10-30T00:00:00"/>
    <s v="ST9"/>
    <s v="East"/>
    <s v="P219"/>
    <s v="Accessories"/>
    <n v="3"/>
    <n v="905.69"/>
    <n v="5"/>
    <n v="412.4"/>
    <x v="1"/>
    <s v="Card"/>
    <n v="2581.2165"/>
    <n v="1344.0165000000002"/>
    <s v="Wednesday"/>
    <b v="0"/>
    <x v="2"/>
  </r>
  <r>
    <s v="NV2365"/>
    <d v="2025-07-12T00:00:00"/>
    <s v="ST45"/>
    <s v="North"/>
    <s v="P210"/>
    <s v="Shoes"/>
    <n v="2"/>
    <n v="2365.13"/>
    <n v="30"/>
    <n v="973.67"/>
    <x v="0"/>
    <s v="Card"/>
    <n v="3311.1819999999998"/>
    <n v="1363.8419999999999"/>
    <s v="Saturday"/>
    <b v="1"/>
    <x v="4"/>
  </r>
  <r>
    <s v="NV2366"/>
    <d v="2025-07-11T00:00:00"/>
    <s v="ST35"/>
    <s v="South"/>
    <s v="P187"/>
    <s v="Shoes"/>
    <n v="1"/>
    <n v="2553.87"/>
    <n v="10"/>
    <n v="1774.78"/>
    <x v="1"/>
    <s v="Card"/>
    <n v="2298.4830000000002"/>
    <n v="523.7030000000002"/>
    <s v="Friday"/>
    <b v="0"/>
    <x v="4"/>
  </r>
  <r>
    <s v="NV2367"/>
    <d v="2024-02-08T00:00:00"/>
    <s v="ST57"/>
    <s v="West"/>
    <s v="P68"/>
    <s v="Accessories"/>
    <n v="4"/>
    <n v="2193.36"/>
    <n v="15"/>
    <n v="1163.67"/>
    <x v="0"/>
    <s v="Digital"/>
    <n v="7457.424"/>
    <n v="2802.7439999999997"/>
    <s v="Thursday"/>
    <b v="0"/>
    <x v="3"/>
  </r>
  <r>
    <s v="NV2368"/>
    <d v="2025-06-26T00:00:00"/>
    <s v="ST3"/>
    <s v="East"/>
    <s v="P247"/>
    <s v="Shoes"/>
    <n v="2"/>
    <n v="714.72"/>
    <n v="30"/>
    <n v="455.62"/>
    <x v="0"/>
    <s v="Cash"/>
    <n v="1000.6079999999999"/>
    <n v="89.367999999999938"/>
    <s v="Thursday"/>
    <b v="0"/>
    <x v="0"/>
  </r>
  <r>
    <s v="NV2369"/>
    <d v="2024-01-30T00:00:00"/>
    <s v="ST38"/>
    <s v="West"/>
    <s v="P211"/>
    <s v="Shoes"/>
    <n v="2"/>
    <n v="2954.88"/>
    <n v="20"/>
    <n v="2037.42"/>
    <x v="0"/>
    <s v="Cash"/>
    <n v="4727.808"/>
    <n v="652.96799999999985"/>
    <s v="Tuesday"/>
    <b v="0"/>
    <x v="10"/>
  </r>
  <r>
    <s v="NV2370"/>
    <d v="2025-08-07T00:00:00"/>
    <s v="ST29"/>
    <s v="West"/>
    <s v="P140"/>
    <s v="Clothing"/>
    <n v="4"/>
    <n v="2980.69"/>
    <n v="20"/>
    <n v="1635.14"/>
    <x v="1"/>
    <s v="Cash"/>
    <n v="9538.2080000000005"/>
    <n v="2997.6480000000001"/>
    <s v="Thursday"/>
    <b v="0"/>
    <x v="5"/>
  </r>
  <r>
    <s v="NV2371"/>
    <d v="2025-09-29T00:00:00"/>
    <s v="ST48"/>
    <s v="East"/>
    <s v="P209"/>
    <s v="Clothing"/>
    <n v="5"/>
    <n v="1651.29"/>
    <n v="15"/>
    <n v="939.76"/>
    <x v="0"/>
    <s v="Digital"/>
    <n v="7017.9825000000001"/>
    <n v="2319.1824999999999"/>
    <s v="Monday"/>
    <b v="0"/>
    <x v="6"/>
  </r>
  <r>
    <s v="NV2372"/>
    <d v="2024-02-17T00:00:00"/>
    <s v="ST30"/>
    <s v="South"/>
    <s v="P297"/>
    <s v="Accessories"/>
    <n v="3"/>
    <n v="1123.42"/>
    <n v="30"/>
    <n v="731.22"/>
    <x v="0"/>
    <s v="Card"/>
    <n v="2359.1819999999998"/>
    <n v="165.52199999999993"/>
    <s v="Saturday"/>
    <b v="1"/>
    <x v="3"/>
  </r>
  <r>
    <s v="NV2373"/>
    <d v="2025-04-20T00:00:00"/>
    <s v="ST35"/>
    <s v="North"/>
    <s v="P116"/>
    <s v="Shoes"/>
    <n v="4"/>
    <n v="1957.42"/>
    <n v="20"/>
    <n v="1173.46"/>
    <x v="1"/>
    <s v="Cash"/>
    <n v="6263.7440000000006"/>
    <n v="1569.9040000000005"/>
    <s v="Sunday"/>
    <b v="1"/>
    <x v="8"/>
  </r>
  <r>
    <s v="NV2374"/>
    <d v="2024-04-14T00:00:00"/>
    <s v="ST34"/>
    <s v="South"/>
    <s v="P199"/>
    <s v="Shoes"/>
    <n v="1"/>
    <n v="1476.9"/>
    <n v="25"/>
    <n v="905.82"/>
    <x v="1"/>
    <s v="Card"/>
    <n v="1107.6750000000002"/>
    <n v="201.85500000000013"/>
    <s v="Sunday"/>
    <b v="1"/>
    <x v="8"/>
  </r>
  <r>
    <s v="NV2375"/>
    <d v="2024-10-06T00:00:00"/>
    <s v="ST18"/>
    <s v="West"/>
    <s v="P66"/>
    <s v="Shoes"/>
    <n v="4"/>
    <n v="1273.58"/>
    <n v="25"/>
    <n v="843.21"/>
    <x v="0"/>
    <s v="Cash"/>
    <n v="3820.74"/>
    <n v="447.89999999999964"/>
    <s v="Sunday"/>
    <b v="1"/>
    <x v="2"/>
  </r>
  <r>
    <s v="NV2376"/>
    <d v="2024-03-28T00:00:00"/>
    <s v="ST29"/>
    <s v="West"/>
    <s v="P211"/>
    <s v="Accessories"/>
    <n v="1"/>
    <n v="1500.28"/>
    <n v="25"/>
    <n v="941.83"/>
    <x v="1"/>
    <s v="Digital"/>
    <n v="1125.21"/>
    <n v="183.38"/>
    <s v="Thursday"/>
    <b v="0"/>
    <x v="7"/>
  </r>
  <r>
    <s v="NV2377"/>
    <d v="2024-01-23T00:00:00"/>
    <s v="ST27"/>
    <s v="West"/>
    <s v="P5"/>
    <s v="Shoes"/>
    <n v="5"/>
    <n v="539.48"/>
    <n v="5"/>
    <n v="366.86"/>
    <x v="1"/>
    <s v="Digital"/>
    <n v="2562.5299999999997"/>
    <n v="728.22999999999956"/>
    <s v="Tuesday"/>
    <b v="0"/>
    <x v="10"/>
  </r>
  <r>
    <s v="NV2378"/>
    <d v="2025-04-17T00:00:00"/>
    <s v="ST5"/>
    <s v="East"/>
    <s v="P81"/>
    <s v="Shoes"/>
    <n v="1"/>
    <n v="1503.73"/>
    <n v="10"/>
    <n v="826.9"/>
    <x v="0"/>
    <s v="Digital"/>
    <n v="1353.357"/>
    <n v="526.45699999999999"/>
    <s v="Thursday"/>
    <b v="0"/>
    <x v="8"/>
  </r>
  <r>
    <s v="NV2379"/>
    <d v="2025-11-09T00:00:00"/>
    <s v="ST30"/>
    <s v="South"/>
    <s v="P280"/>
    <s v="Clothing"/>
    <n v="3"/>
    <n v="1727.44"/>
    <n v="10"/>
    <n v="976.29"/>
    <x v="0"/>
    <s v="Card"/>
    <n v="4664.0879999999997"/>
    <n v="1735.2179999999998"/>
    <s v="Sunday"/>
    <b v="1"/>
    <x v="1"/>
  </r>
  <r>
    <s v="NV2380"/>
    <d v="2025-03-11T00:00:00"/>
    <s v="ST58"/>
    <s v="South"/>
    <s v="P1"/>
    <s v="Clothing"/>
    <n v="3"/>
    <n v="1714.2"/>
    <n v="15"/>
    <n v="699.12"/>
    <x v="1"/>
    <s v="Cash"/>
    <n v="4371.21"/>
    <n v="2273.85"/>
    <s v="Tuesday"/>
    <b v="0"/>
    <x v="7"/>
  </r>
  <r>
    <s v="NV2381"/>
    <d v="2024-10-22T00:00:00"/>
    <s v="ST26"/>
    <s v="North"/>
    <s v="P37"/>
    <s v="Shoes"/>
    <n v="1"/>
    <n v="430.6"/>
    <n v="5"/>
    <n v="212.93"/>
    <x v="0"/>
    <s v="Cash"/>
    <n v="409.07"/>
    <n v="196.14"/>
    <s v="Tuesday"/>
    <b v="0"/>
    <x v="2"/>
  </r>
  <r>
    <s v="NV2382"/>
    <d v="2025-02-21T00:00:00"/>
    <s v="ST31"/>
    <s v="East"/>
    <s v="P171"/>
    <s v="Accessories"/>
    <n v="2"/>
    <n v="2257.8000000000002"/>
    <n v="0"/>
    <n v="1085.82"/>
    <x v="1"/>
    <s v="Digital"/>
    <n v="4515.6000000000004"/>
    <n v="2343.9600000000005"/>
    <s v="Friday"/>
    <b v="0"/>
    <x v="3"/>
  </r>
  <r>
    <s v="NV2383"/>
    <d v="2025-02-11T00:00:00"/>
    <s v="ST54"/>
    <s v="West"/>
    <s v="P247"/>
    <s v="Clothing"/>
    <n v="3"/>
    <n v="2619.19"/>
    <n v="5"/>
    <n v="1169.0899999999999"/>
    <x v="1"/>
    <s v="Card"/>
    <n v="7464.691499999999"/>
    <n v="3957.4214999999995"/>
    <s v="Tuesday"/>
    <b v="0"/>
    <x v="3"/>
  </r>
  <r>
    <s v="NV2384"/>
    <d v="2024-04-12T00:00:00"/>
    <s v="ST38"/>
    <s v="West"/>
    <s v="P27"/>
    <s v="Accessories"/>
    <n v="2"/>
    <n v="1571.21"/>
    <n v="15"/>
    <n v="955.32"/>
    <x v="0"/>
    <s v="Cash"/>
    <n v="2671.0569999999998"/>
    <n v="760.41699999999969"/>
    <s v="Friday"/>
    <b v="0"/>
    <x v="8"/>
  </r>
  <r>
    <s v="NV2385"/>
    <d v="2024-08-10T00:00:00"/>
    <s v="ST7"/>
    <s v="North"/>
    <s v="P264"/>
    <s v="Accessories"/>
    <n v="3"/>
    <n v="420.71"/>
    <n v="0"/>
    <n v="224.28"/>
    <x v="0"/>
    <s v="Card"/>
    <n v="1262.1299999999999"/>
    <n v="589.28999999999985"/>
    <s v="Saturday"/>
    <b v="1"/>
    <x v="5"/>
  </r>
  <r>
    <s v="NV2386"/>
    <d v="2025-04-27T00:00:00"/>
    <s v="ST53"/>
    <s v="East"/>
    <s v="P213"/>
    <s v="Clothing"/>
    <n v="1"/>
    <n v="1948.52"/>
    <n v="25"/>
    <n v="1321.47"/>
    <x v="1"/>
    <s v="Cash"/>
    <n v="1461.3899999999999"/>
    <n v="139.91999999999985"/>
    <s v="Sunday"/>
    <b v="1"/>
    <x v="8"/>
  </r>
  <r>
    <s v="NV2387"/>
    <d v="2024-10-17T00:00:00"/>
    <s v="ST53"/>
    <s v="East"/>
    <s v="P129"/>
    <s v="Clothing"/>
    <n v="3"/>
    <n v="2761.07"/>
    <n v="5"/>
    <n v="1587.84"/>
    <x v="1"/>
    <s v="Cash"/>
    <n v="7869.0495000000001"/>
    <n v="3105.5295000000006"/>
    <s v="Thursday"/>
    <b v="0"/>
    <x v="2"/>
  </r>
  <r>
    <s v="NV2388"/>
    <d v="2025-09-03T00:00:00"/>
    <s v="ST45"/>
    <s v="West"/>
    <s v="P213"/>
    <s v="Accessories"/>
    <n v="2"/>
    <n v="977.13"/>
    <n v="5"/>
    <n v="508.19"/>
    <x v="1"/>
    <s v="Digital"/>
    <n v="1856.5469999999998"/>
    <n v="840.1669999999998"/>
    <s v="Wednesday"/>
    <b v="0"/>
    <x v="6"/>
  </r>
  <r>
    <s v="NV2389"/>
    <d v="2024-04-10T00:00:00"/>
    <s v="ST58"/>
    <s v="East"/>
    <s v="P271"/>
    <s v="Shoes"/>
    <n v="4"/>
    <n v="1160.55"/>
    <n v="25"/>
    <n v="672.85"/>
    <x v="0"/>
    <s v="Digital"/>
    <n v="3481.6499999999996"/>
    <n v="790.24999999999955"/>
    <s v="Wednesday"/>
    <b v="0"/>
    <x v="8"/>
  </r>
  <r>
    <s v="NV2390"/>
    <d v="2025-09-10T00:00:00"/>
    <s v="ST15"/>
    <s v="South"/>
    <s v="P108"/>
    <s v="Clothing"/>
    <n v="3"/>
    <n v="1964.36"/>
    <n v="10"/>
    <n v="824.22"/>
    <x v="1"/>
    <s v="Card"/>
    <n v="5303.7719999999999"/>
    <n v="2831.1120000000001"/>
    <s v="Wednesday"/>
    <b v="0"/>
    <x v="6"/>
  </r>
  <r>
    <s v="NV2391"/>
    <d v="2024-11-16T00:00:00"/>
    <s v="ST26"/>
    <s v="South"/>
    <s v="P102"/>
    <s v="Accessories"/>
    <n v="4"/>
    <n v="717.77"/>
    <n v="15"/>
    <n v="331.1"/>
    <x v="1"/>
    <s v="Card"/>
    <n v="2440.4179999999997"/>
    <n v="1116.0179999999996"/>
    <s v="Saturday"/>
    <b v="1"/>
    <x v="1"/>
  </r>
  <r>
    <s v="NV2392"/>
    <d v="2024-06-16T00:00:00"/>
    <s v="ST38"/>
    <s v="South"/>
    <s v="P84"/>
    <s v="Clothing"/>
    <n v="2"/>
    <n v="388.99"/>
    <n v="15"/>
    <n v="203.92"/>
    <x v="0"/>
    <s v="Digital"/>
    <n v="661.28300000000002"/>
    <n v="253.44300000000004"/>
    <s v="Sunday"/>
    <b v="1"/>
    <x v="0"/>
  </r>
  <r>
    <s v="NV2393"/>
    <d v="2024-04-06T00:00:00"/>
    <s v="ST31"/>
    <s v="South"/>
    <s v="P237"/>
    <s v="Accessories"/>
    <n v="4"/>
    <n v="501.03"/>
    <n v="20"/>
    <n v="345.19"/>
    <x v="1"/>
    <s v="Card"/>
    <n v="1603.296"/>
    <n v="222.53600000000006"/>
    <s v="Saturday"/>
    <b v="1"/>
    <x v="8"/>
  </r>
  <r>
    <s v="NV2394"/>
    <d v="2025-10-08T00:00:00"/>
    <s v="ST18"/>
    <s v="North"/>
    <s v="P278"/>
    <s v="Shoes"/>
    <n v="2"/>
    <n v="2765.61"/>
    <n v="0"/>
    <n v="1813.92"/>
    <x v="0"/>
    <s v="Digital"/>
    <n v="5531.22"/>
    <n v="1903.38"/>
    <s v="Wednesday"/>
    <b v="0"/>
    <x v="2"/>
  </r>
  <r>
    <s v="NV2395"/>
    <d v="2024-06-27T00:00:00"/>
    <s v="ST4"/>
    <s v="South"/>
    <s v="P28"/>
    <s v="Accessories"/>
    <n v="5"/>
    <n v="2138.2600000000002"/>
    <n v="15"/>
    <n v="1276.95"/>
    <x v="0"/>
    <s v="Digital"/>
    <n v="9087.6050000000014"/>
    <n v="2702.8550000000014"/>
    <s v="Thursday"/>
    <b v="0"/>
    <x v="0"/>
  </r>
  <r>
    <s v="NV2396"/>
    <d v="2024-07-12T00:00:00"/>
    <s v="ST59"/>
    <s v="South"/>
    <s v="P283"/>
    <s v="Shoes"/>
    <n v="4"/>
    <n v="2126.46"/>
    <n v="20"/>
    <n v="1257.1300000000001"/>
    <x v="1"/>
    <s v="Cash"/>
    <n v="6804.6720000000005"/>
    <n v="1776.152"/>
    <s v="Friday"/>
    <b v="0"/>
    <x v="4"/>
  </r>
  <r>
    <s v="NV2397"/>
    <d v="2025-08-26T00:00:00"/>
    <s v="ST28"/>
    <s v="West"/>
    <s v="P148"/>
    <s v="Shoes"/>
    <n v="2"/>
    <n v="2407.3000000000002"/>
    <n v="20"/>
    <n v="1255.93"/>
    <x v="1"/>
    <s v="Digital"/>
    <n v="3851.6800000000003"/>
    <n v="1339.8200000000002"/>
    <s v="Tuesday"/>
    <b v="0"/>
    <x v="5"/>
  </r>
  <r>
    <s v="NV2398"/>
    <d v="2024-10-19T00:00:00"/>
    <s v="ST14"/>
    <s v="West"/>
    <s v="P189"/>
    <s v="Clothing"/>
    <n v="1"/>
    <n v="516.92999999999995"/>
    <n v="10"/>
    <n v="270.23"/>
    <x v="0"/>
    <s v="Card"/>
    <n v="465.23699999999997"/>
    <n v="195.00699999999995"/>
    <s v="Saturday"/>
    <b v="1"/>
    <x v="2"/>
  </r>
  <r>
    <s v="NV2399"/>
    <d v="2024-07-30T00:00:00"/>
    <s v="ST2"/>
    <s v="West"/>
    <s v="P114"/>
    <s v="Clothing"/>
    <n v="2"/>
    <n v="651.32000000000005"/>
    <n v="5"/>
    <n v="366.69"/>
    <x v="1"/>
    <s v="Digital"/>
    <n v="1237.508"/>
    <n v="504.12800000000004"/>
    <s v="Tuesday"/>
    <b v="0"/>
    <x v="4"/>
  </r>
  <r>
    <s v="NV2400"/>
    <d v="2024-12-12T00:00:00"/>
    <s v="ST39"/>
    <s v="North"/>
    <s v="P293"/>
    <s v="Clothing"/>
    <n v="3"/>
    <n v="900.21"/>
    <n v="10"/>
    <n v="393.62"/>
    <x v="0"/>
    <s v="Digital"/>
    <n v="2430.567"/>
    <n v="1249.7069999999999"/>
    <s v="Thursday"/>
    <b v="0"/>
    <x v="11"/>
  </r>
  <r>
    <s v="NV2401"/>
    <d v="2025-08-14T00:00:00"/>
    <s v="ST8"/>
    <s v="West"/>
    <s v="P10"/>
    <s v="Accessories"/>
    <n v="2"/>
    <n v="1087.1099999999999"/>
    <n v="15"/>
    <n v="585.14"/>
    <x v="1"/>
    <s v="Cash"/>
    <n v="1848.0869999999998"/>
    <n v="677.80699999999979"/>
    <s v="Thursday"/>
    <b v="0"/>
    <x v="5"/>
  </r>
  <r>
    <s v="NV2402"/>
    <d v="2024-12-28T00:00:00"/>
    <s v="ST5"/>
    <s v="North"/>
    <s v="P51"/>
    <s v="Shoes"/>
    <n v="4"/>
    <n v="903.89"/>
    <n v="25"/>
    <n v="464.08"/>
    <x v="1"/>
    <s v="Cash"/>
    <n v="2711.67"/>
    <n v="855.35000000000014"/>
    <s v="Saturday"/>
    <b v="1"/>
    <x v="11"/>
  </r>
  <r>
    <s v="NV2403"/>
    <d v="2024-08-21T00:00:00"/>
    <s v="ST5"/>
    <s v="South"/>
    <s v="P34"/>
    <s v="Accessories"/>
    <n v="1"/>
    <n v="1894.82"/>
    <n v="25"/>
    <n v="895.39"/>
    <x v="0"/>
    <s v="Card"/>
    <n v="1421.115"/>
    <n v="525.72500000000002"/>
    <s v="Wednesday"/>
    <b v="0"/>
    <x v="5"/>
  </r>
  <r>
    <s v="NV2404"/>
    <d v="2024-01-20T00:00:00"/>
    <s v="ST3"/>
    <s v="East"/>
    <s v="P127"/>
    <s v="Accessories"/>
    <n v="4"/>
    <n v="701.3"/>
    <n v="0"/>
    <n v="449.54"/>
    <x v="1"/>
    <s v="Digital"/>
    <n v="2805.2"/>
    <n v="1007.0399999999997"/>
    <s v="Saturday"/>
    <b v="1"/>
    <x v="10"/>
  </r>
  <r>
    <s v="NV2405"/>
    <d v="2025-05-19T00:00:00"/>
    <s v="ST57"/>
    <s v="West"/>
    <s v="P5"/>
    <s v="Clothing"/>
    <n v="5"/>
    <n v="2664.42"/>
    <n v="30"/>
    <n v="1585.28"/>
    <x v="0"/>
    <s v="Digital"/>
    <n v="9325.4699999999993"/>
    <n v="1399.0699999999997"/>
    <s v="Monday"/>
    <b v="0"/>
    <x v="9"/>
  </r>
  <r>
    <s v="NV2406"/>
    <d v="2024-03-19T00:00:00"/>
    <s v="ST51"/>
    <s v="West"/>
    <s v="P3"/>
    <s v="Shoes"/>
    <n v="3"/>
    <n v="1434.45"/>
    <n v="5"/>
    <n v="716.82"/>
    <x v="0"/>
    <s v="Cash"/>
    <n v="4088.1825000000003"/>
    <n v="1937.7225000000003"/>
    <s v="Tuesday"/>
    <b v="0"/>
    <x v="7"/>
  </r>
  <r>
    <s v="NV2407"/>
    <d v="2025-10-01T00:00:00"/>
    <s v="ST4"/>
    <s v="South"/>
    <s v="P264"/>
    <s v="Accessories"/>
    <n v="1"/>
    <n v="2101.7199999999998"/>
    <n v="10"/>
    <n v="1093.74"/>
    <x v="1"/>
    <s v="Cash"/>
    <n v="1891.5479999999998"/>
    <n v="797.80799999999977"/>
    <s v="Wednesday"/>
    <b v="0"/>
    <x v="2"/>
  </r>
  <r>
    <s v="NV2408"/>
    <d v="2025-03-16T00:00:00"/>
    <s v="ST23"/>
    <s v="West"/>
    <s v="P63"/>
    <s v="Clothing"/>
    <n v="1"/>
    <n v="1324.63"/>
    <n v="30"/>
    <n v="615.72"/>
    <x v="1"/>
    <s v="Card"/>
    <n v="927.24099999999999"/>
    <n v="311.52099999999996"/>
    <s v="Sunday"/>
    <b v="1"/>
    <x v="7"/>
  </r>
  <r>
    <s v="NV2409"/>
    <d v="2025-03-08T00:00:00"/>
    <s v="ST9"/>
    <s v="North"/>
    <s v="P262"/>
    <s v="Accessories"/>
    <n v="2"/>
    <n v="537.72"/>
    <n v="15"/>
    <n v="276.69"/>
    <x v="1"/>
    <s v="Card"/>
    <n v="914.12400000000002"/>
    <n v="360.74400000000003"/>
    <s v="Saturday"/>
    <b v="1"/>
    <x v="7"/>
  </r>
  <r>
    <s v="NV2410"/>
    <d v="2025-08-06T00:00:00"/>
    <s v="ST17"/>
    <s v="West"/>
    <s v="P272"/>
    <s v="Shoes"/>
    <n v="4"/>
    <n v="1191.29"/>
    <n v="30"/>
    <n v="679.17"/>
    <x v="1"/>
    <s v="Cash"/>
    <n v="3335.6119999999996"/>
    <n v="618.93199999999979"/>
    <s v="Wednesday"/>
    <b v="0"/>
    <x v="5"/>
  </r>
  <r>
    <s v="NV2411"/>
    <d v="2024-11-04T00:00:00"/>
    <s v="ST54"/>
    <s v="West"/>
    <s v="P58"/>
    <s v="Shoes"/>
    <n v="3"/>
    <n v="1513"/>
    <n v="20"/>
    <n v="667.05"/>
    <x v="1"/>
    <s v="Digital"/>
    <n v="3631.2000000000003"/>
    <n v="1630.0500000000004"/>
    <s v="Monday"/>
    <b v="0"/>
    <x v="1"/>
  </r>
  <r>
    <s v="NV2412"/>
    <d v="2024-01-18T00:00:00"/>
    <s v="ST29"/>
    <s v="North"/>
    <s v="P147"/>
    <s v="Shoes"/>
    <n v="3"/>
    <n v="2318.19"/>
    <n v="30"/>
    <n v="1540.85"/>
    <x v="1"/>
    <s v="Digital"/>
    <n v="4868.1989999999996"/>
    <n v="245.64900000000034"/>
    <s v="Thursday"/>
    <b v="0"/>
    <x v="10"/>
  </r>
  <r>
    <s v="NV2413"/>
    <d v="2025-03-12T00:00:00"/>
    <s v="ST28"/>
    <s v="North"/>
    <s v="P74"/>
    <s v="Clothing"/>
    <n v="1"/>
    <n v="542.13"/>
    <n v="30"/>
    <n v="321.89999999999998"/>
    <x v="1"/>
    <s v="Card"/>
    <n v="379.49099999999999"/>
    <n v="57.591000000000008"/>
    <s v="Wednesday"/>
    <b v="0"/>
    <x v="7"/>
  </r>
  <r>
    <s v="NV2414"/>
    <d v="2025-02-07T00:00:00"/>
    <s v="ST34"/>
    <s v="West"/>
    <s v="P21"/>
    <s v="Accessories"/>
    <n v="1"/>
    <n v="2834.16"/>
    <n v="30"/>
    <n v="1898.77"/>
    <x v="1"/>
    <s v="Digital"/>
    <n v="1983.9119999999998"/>
    <n v="85.141999999999825"/>
    <s v="Friday"/>
    <b v="0"/>
    <x v="3"/>
  </r>
  <r>
    <s v="NV2415"/>
    <d v="2024-04-21T00:00:00"/>
    <s v="ST21"/>
    <s v="East"/>
    <s v="P46"/>
    <s v="Accessories"/>
    <n v="4"/>
    <n v="351.4"/>
    <n v="25"/>
    <n v="239.7"/>
    <x v="0"/>
    <s v="Card"/>
    <n v="1054.1999999999998"/>
    <n v="95.399999999999864"/>
    <s v="Sunday"/>
    <b v="1"/>
    <x v="8"/>
  </r>
  <r>
    <s v="NV2416"/>
    <d v="2025-08-08T00:00:00"/>
    <s v="ST40"/>
    <s v="South"/>
    <s v="P211"/>
    <s v="Accessories"/>
    <n v="3"/>
    <n v="2628.11"/>
    <n v="5"/>
    <n v="1641.17"/>
    <x v="1"/>
    <s v="Cash"/>
    <n v="7490.1134999999995"/>
    <n v="2566.6034999999993"/>
    <s v="Friday"/>
    <b v="0"/>
    <x v="5"/>
  </r>
  <r>
    <s v="NV2417"/>
    <d v="2024-11-17T00:00:00"/>
    <s v="ST33"/>
    <s v="South"/>
    <s v="P93"/>
    <s v="Clothing"/>
    <n v="5"/>
    <n v="338.4"/>
    <n v="30"/>
    <n v="215.35"/>
    <x v="1"/>
    <s v="Card"/>
    <n v="1184.3999999999999"/>
    <n v="107.64999999999986"/>
    <s v="Sunday"/>
    <b v="1"/>
    <x v="1"/>
  </r>
  <r>
    <s v="NV2418"/>
    <d v="2024-05-03T00:00:00"/>
    <s v="ST19"/>
    <s v="West"/>
    <s v="P8"/>
    <s v="Clothing"/>
    <n v="4"/>
    <n v="2815.47"/>
    <n v="20"/>
    <n v="1368.24"/>
    <x v="0"/>
    <s v="Card"/>
    <n v="9009.503999999999"/>
    <n v="3536.543999999999"/>
    <s v="Friday"/>
    <b v="0"/>
    <x v="9"/>
  </r>
  <r>
    <s v="NV2419"/>
    <d v="2025-02-08T00:00:00"/>
    <s v="ST15"/>
    <s v="South"/>
    <s v="P48"/>
    <s v="Clothing"/>
    <n v="4"/>
    <n v="2204.08"/>
    <n v="10"/>
    <n v="925.1"/>
    <x v="0"/>
    <s v="Card"/>
    <n v="7934.6880000000001"/>
    <n v="4234.2880000000005"/>
    <s v="Saturday"/>
    <b v="1"/>
    <x v="3"/>
  </r>
  <r>
    <s v="NV2420"/>
    <d v="2025-01-11T00:00:00"/>
    <s v="ST4"/>
    <s v="North"/>
    <s v="P51"/>
    <s v="Shoes"/>
    <n v="2"/>
    <n v="2424.62"/>
    <n v="30"/>
    <n v="1475.12"/>
    <x v="1"/>
    <s v="Card"/>
    <n v="3394.4679999999998"/>
    <n v="444.22800000000007"/>
    <s v="Saturday"/>
    <b v="1"/>
    <x v="10"/>
  </r>
  <r>
    <s v="NV2421"/>
    <d v="2024-11-18T00:00:00"/>
    <s v="ST48"/>
    <s v="South"/>
    <s v="P191"/>
    <s v="Shoes"/>
    <n v="3"/>
    <n v="880.57"/>
    <n v="10"/>
    <n v="424.45"/>
    <x v="0"/>
    <s v="Card"/>
    <n v="2377.5390000000002"/>
    <n v="1104.1890000000003"/>
    <s v="Monday"/>
    <b v="0"/>
    <x v="1"/>
  </r>
  <r>
    <s v="NV2422"/>
    <d v="2025-07-17T00:00:00"/>
    <s v="ST48"/>
    <s v="East"/>
    <s v="P126"/>
    <s v="Shoes"/>
    <n v="2"/>
    <n v="2383.5"/>
    <n v="0"/>
    <n v="1258.3399999999999"/>
    <x v="0"/>
    <s v="Cash"/>
    <n v="4767"/>
    <n v="2250.3200000000002"/>
    <s v="Thursday"/>
    <b v="0"/>
    <x v="4"/>
  </r>
  <r>
    <s v="NV2423"/>
    <d v="2025-03-24T00:00:00"/>
    <s v="ST34"/>
    <s v="South"/>
    <s v="P42"/>
    <s v="Shoes"/>
    <n v="2"/>
    <n v="1260.3800000000001"/>
    <n v="20"/>
    <n v="787.71"/>
    <x v="0"/>
    <s v="Digital"/>
    <n v="2016.6080000000002"/>
    <n v="441.1880000000001"/>
    <s v="Monday"/>
    <b v="0"/>
    <x v="7"/>
  </r>
  <r>
    <s v="NV2424"/>
    <d v="2024-04-29T00:00:00"/>
    <s v="ST31"/>
    <s v="East"/>
    <s v="P150"/>
    <s v="Shoes"/>
    <n v="1"/>
    <n v="2478.4"/>
    <n v="5"/>
    <n v="1344.25"/>
    <x v="0"/>
    <s v="Digital"/>
    <n v="2354.48"/>
    <n v="1010.23"/>
    <s v="Monday"/>
    <b v="0"/>
    <x v="8"/>
  </r>
  <r>
    <s v="NV2425"/>
    <d v="2024-03-31T00:00:00"/>
    <s v="ST1"/>
    <s v="South"/>
    <s v="P297"/>
    <s v="Shoes"/>
    <n v="5"/>
    <n v="1321.78"/>
    <n v="25"/>
    <n v="622.13"/>
    <x v="1"/>
    <s v="Card"/>
    <n v="4956.6749999999993"/>
    <n v="1846.0249999999992"/>
    <s v="Sunday"/>
    <b v="1"/>
    <x v="7"/>
  </r>
  <r>
    <s v="NV2426"/>
    <d v="2025-09-23T00:00:00"/>
    <s v="ST45"/>
    <s v="East"/>
    <s v="P93"/>
    <s v="Shoes"/>
    <n v="1"/>
    <n v="2385.0300000000002"/>
    <n v="10"/>
    <n v="1090.9000000000001"/>
    <x v="1"/>
    <s v="Cash"/>
    <n v="2146.527"/>
    <n v="1055.627"/>
    <s v="Tuesday"/>
    <b v="0"/>
    <x v="6"/>
  </r>
  <r>
    <s v="NV2427"/>
    <d v="2024-08-29T00:00:00"/>
    <s v="ST44"/>
    <s v="North"/>
    <s v="P69"/>
    <s v="Accessories"/>
    <n v="4"/>
    <n v="2036.52"/>
    <n v="15"/>
    <n v="931.83"/>
    <x v="1"/>
    <s v="Cash"/>
    <n v="6924.1679999999997"/>
    <n v="3196.8479999999995"/>
    <s v="Thursday"/>
    <b v="0"/>
    <x v="5"/>
  </r>
  <r>
    <s v="NV2428"/>
    <d v="2024-02-19T00:00:00"/>
    <s v="ST56"/>
    <s v="East"/>
    <s v="P243"/>
    <s v="Shoes"/>
    <n v="1"/>
    <n v="1202.78"/>
    <n v="30"/>
    <n v="534.12"/>
    <x v="0"/>
    <s v="Card"/>
    <n v="841.94599999999991"/>
    <n v="307.82599999999991"/>
    <s v="Monday"/>
    <b v="0"/>
    <x v="3"/>
  </r>
  <r>
    <s v="NV2429"/>
    <d v="2025-11-11T00:00:00"/>
    <s v="ST35"/>
    <s v="East"/>
    <s v="P180"/>
    <s v="Clothing"/>
    <n v="2"/>
    <n v="2442.12"/>
    <n v="10"/>
    <n v="1130.6400000000001"/>
    <x v="1"/>
    <s v="Cash"/>
    <n v="4395.8159999999998"/>
    <n v="2134.5359999999996"/>
    <s v="Tuesday"/>
    <b v="0"/>
    <x v="1"/>
  </r>
  <r>
    <s v="NV2430"/>
    <d v="2025-09-20T00:00:00"/>
    <s v="ST30"/>
    <s v="South"/>
    <s v="P118"/>
    <s v="Accessories"/>
    <n v="3"/>
    <n v="2931.55"/>
    <n v="15"/>
    <n v="1303.1400000000001"/>
    <x v="1"/>
    <s v="Cash"/>
    <n v="7475.4525000000012"/>
    <n v="3566.0325000000012"/>
    <s v="Saturday"/>
    <b v="1"/>
    <x v="6"/>
  </r>
  <r>
    <s v="NV2431"/>
    <d v="2025-05-13T00:00:00"/>
    <s v="ST55"/>
    <s v="East"/>
    <s v="P114"/>
    <s v="Accessories"/>
    <n v="3"/>
    <n v="1625"/>
    <n v="25"/>
    <n v="914.94"/>
    <x v="0"/>
    <s v="Digital"/>
    <n v="3656.25"/>
    <n v="911.42999999999984"/>
    <s v="Tuesday"/>
    <b v="0"/>
    <x v="9"/>
  </r>
  <r>
    <s v="NV2432"/>
    <d v="2025-10-07T00:00:00"/>
    <s v="ST8"/>
    <s v="North"/>
    <s v="P123"/>
    <s v="Accessories"/>
    <n v="2"/>
    <n v="310.35000000000002"/>
    <n v="10"/>
    <n v="199.84"/>
    <x v="0"/>
    <s v="Card"/>
    <n v="558.63000000000011"/>
    <n v="158.9500000000001"/>
    <s v="Tuesday"/>
    <b v="0"/>
    <x v="2"/>
  </r>
  <r>
    <s v="NV2433"/>
    <d v="2025-09-03T00:00:00"/>
    <s v="ST10"/>
    <s v="South"/>
    <s v="P4"/>
    <s v="Shoes"/>
    <n v="1"/>
    <n v="890.21"/>
    <n v="5"/>
    <n v="576.98"/>
    <x v="1"/>
    <s v="Cash"/>
    <n v="845.69949999999994"/>
    <n v="268.71949999999993"/>
    <s v="Wednesday"/>
    <b v="0"/>
    <x v="6"/>
  </r>
  <r>
    <s v="NV2434"/>
    <d v="2025-10-01T00:00:00"/>
    <s v="ST18"/>
    <s v="North"/>
    <s v="P51"/>
    <s v="Clothing"/>
    <n v="3"/>
    <n v="2611.62"/>
    <n v="25"/>
    <n v="1137.3699999999999"/>
    <x v="1"/>
    <s v="Card"/>
    <n v="5876.1449999999995"/>
    <n v="2464.0349999999999"/>
    <s v="Wednesday"/>
    <b v="0"/>
    <x v="2"/>
  </r>
  <r>
    <s v="NV2435"/>
    <d v="2025-09-26T00:00:00"/>
    <s v="ST53"/>
    <s v="North"/>
    <s v="P156"/>
    <s v="Clothing"/>
    <n v="2"/>
    <n v="1409.33"/>
    <n v="5"/>
    <n v="854.64"/>
    <x v="1"/>
    <s v="Digital"/>
    <n v="2677.7269999999999"/>
    <n v="968.44699999999989"/>
    <s v="Friday"/>
    <b v="0"/>
    <x v="6"/>
  </r>
  <r>
    <s v="NV2436"/>
    <d v="2024-03-07T00:00:00"/>
    <s v="ST29"/>
    <s v="South"/>
    <s v="P171"/>
    <s v="Accessories"/>
    <n v="5"/>
    <n v="2214.11"/>
    <n v="20"/>
    <n v="1438.5"/>
    <x v="1"/>
    <s v="Cash"/>
    <n v="8856.44"/>
    <n v="1663.9400000000005"/>
    <s v="Thursday"/>
    <b v="0"/>
    <x v="7"/>
  </r>
  <r>
    <s v="NV2437"/>
    <d v="2025-06-05T00:00:00"/>
    <s v="ST54"/>
    <s v="South"/>
    <s v="P209"/>
    <s v="Accessories"/>
    <n v="4"/>
    <n v="1228.92"/>
    <n v="0"/>
    <n v="712.14"/>
    <x v="1"/>
    <s v="Card"/>
    <n v="4915.68"/>
    <n v="2067.1200000000003"/>
    <s v="Thursday"/>
    <b v="0"/>
    <x v="0"/>
  </r>
  <r>
    <s v="NV2438"/>
    <d v="2025-06-16T00:00:00"/>
    <s v="ST20"/>
    <s v="North"/>
    <s v="P60"/>
    <s v="Clothing"/>
    <n v="5"/>
    <n v="623.12"/>
    <n v="30"/>
    <n v="421.22"/>
    <x v="0"/>
    <s v="Card"/>
    <n v="2180.9199999999996"/>
    <n v="74.819999999999254"/>
    <s v="Monday"/>
    <b v="0"/>
    <x v="0"/>
  </r>
  <r>
    <s v="NV2439"/>
    <d v="2024-09-04T00:00:00"/>
    <s v="ST46"/>
    <s v="East"/>
    <s v="P108"/>
    <s v="Accessories"/>
    <n v="2"/>
    <n v="920.73"/>
    <n v="20"/>
    <n v="549.11"/>
    <x v="0"/>
    <s v="Digital"/>
    <n v="1473.1680000000001"/>
    <n v="374.94800000000009"/>
    <s v="Wednesday"/>
    <b v="0"/>
    <x v="6"/>
  </r>
  <r>
    <s v="NV2440"/>
    <d v="2025-06-07T00:00:00"/>
    <s v="ST58"/>
    <s v="East"/>
    <s v="P55"/>
    <s v="Clothing"/>
    <n v="1"/>
    <n v="988.55"/>
    <n v="5"/>
    <n v="600.24"/>
    <x v="1"/>
    <s v="Digital"/>
    <n v="939.12249999999995"/>
    <n v="338.88249999999994"/>
    <s v="Saturday"/>
    <b v="1"/>
    <x v="0"/>
  </r>
  <r>
    <s v="NV2441"/>
    <d v="2024-08-03T00:00:00"/>
    <s v="ST58"/>
    <s v="South"/>
    <s v="P182"/>
    <s v="Accessories"/>
    <n v="3"/>
    <n v="526.11"/>
    <n v="30"/>
    <n v="258.51"/>
    <x v="0"/>
    <s v="Cash"/>
    <n v="1104.8309999999999"/>
    <n v="329.30099999999993"/>
    <s v="Saturday"/>
    <b v="1"/>
    <x v="5"/>
  </r>
  <r>
    <s v="NV2442"/>
    <d v="2024-10-22T00:00:00"/>
    <s v="ST5"/>
    <s v="East"/>
    <s v="P294"/>
    <s v="Clothing"/>
    <n v="2"/>
    <n v="322.05"/>
    <n v="15"/>
    <n v="156.51"/>
    <x v="0"/>
    <s v="Digital"/>
    <n v="547.48500000000001"/>
    <n v="234.46500000000003"/>
    <s v="Tuesday"/>
    <b v="0"/>
    <x v="2"/>
  </r>
  <r>
    <s v="NV2443"/>
    <d v="2024-05-02T00:00:00"/>
    <s v="ST44"/>
    <s v="West"/>
    <s v="P220"/>
    <s v="Shoes"/>
    <n v="3"/>
    <n v="2620.42"/>
    <n v="25"/>
    <n v="1137"/>
    <x v="0"/>
    <s v="Cash"/>
    <n v="5895.9449999999997"/>
    <n v="2484.9449999999997"/>
    <s v="Thursday"/>
    <b v="0"/>
    <x v="9"/>
  </r>
  <r>
    <s v="NV2444"/>
    <d v="2024-09-27T00:00:00"/>
    <s v="ST23"/>
    <s v="East"/>
    <s v="P5"/>
    <s v="Shoes"/>
    <n v="3"/>
    <n v="460.62"/>
    <n v="10"/>
    <n v="309.25"/>
    <x v="0"/>
    <s v="Card"/>
    <n v="1243.6740000000002"/>
    <n v="315.92400000000021"/>
    <s v="Friday"/>
    <b v="0"/>
    <x v="6"/>
  </r>
  <r>
    <s v="NV2445"/>
    <d v="2025-06-17T00:00:00"/>
    <s v="ST22"/>
    <s v="North"/>
    <s v="P75"/>
    <s v="Accessories"/>
    <n v="2"/>
    <n v="1410.95"/>
    <n v="25"/>
    <n v="610.92999999999995"/>
    <x v="0"/>
    <s v="Cash"/>
    <n v="2116.4250000000002"/>
    <n v="894.56500000000028"/>
    <s v="Tuesday"/>
    <b v="0"/>
    <x v="0"/>
  </r>
  <r>
    <s v="NV2446"/>
    <d v="2025-04-08T00:00:00"/>
    <s v="ST44"/>
    <s v="East"/>
    <s v="P36"/>
    <s v="Clothing"/>
    <n v="2"/>
    <n v="2147.4699999999998"/>
    <n v="20"/>
    <n v="1014.88"/>
    <x v="0"/>
    <s v="Digital"/>
    <n v="3435.9519999999998"/>
    <n v="1406.1919999999998"/>
    <s v="Tuesday"/>
    <b v="0"/>
    <x v="8"/>
  </r>
  <r>
    <s v="NV2447"/>
    <d v="2025-11-03T00:00:00"/>
    <s v="ST27"/>
    <s v="North"/>
    <s v="P23"/>
    <s v="Clothing"/>
    <n v="2"/>
    <n v="2575.4699999999998"/>
    <n v="10"/>
    <n v="1725.33"/>
    <x v="1"/>
    <s v="Card"/>
    <n v="4635.8459999999995"/>
    <n v="1185.1859999999997"/>
    <s v="Monday"/>
    <b v="0"/>
    <x v="1"/>
  </r>
  <r>
    <s v="NV2448"/>
    <d v="2024-11-29T00:00:00"/>
    <s v="ST23"/>
    <s v="East"/>
    <s v="P208"/>
    <s v="Accessories"/>
    <n v="5"/>
    <n v="476.2"/>
    <n v="0"/>
    <n v="203.85"/>
    <x v="1"/>
    <s v="Digital"/>
    <n v="2381"/>
    <n v="1361.75"/>
    <s v="Friday"/>
    <b v="0"/>
    <x v="1"/>
  </r>
  <r>
    <s v="NV2449"/>
    <d v="2025-05-06T00:00:00"/>
    <s v="ST16"/>
    <s v="West"/>
    <s v="P182"/>
    <s v="Shoes"/>
    <n v="3"/>
    <n v="2992.54"/>
    <n v="25"/>
    <n v="1205.0899999999999"/>
    <x v="1"/>
    <s v="Cash"/>
    <n v="6733.2149999999992"/>
    <n v="3117.9449999999997"/>
    <s v="Tuesday"/>
    <b v="0"/>
    <x v="9"/>
  </r>
  <r>
    <s v="NV2450"/>
    <d v="2025-08-13T00:00:00"/>
    <s v="ST30"/>
    <s v="North"/>
    <s v="P253"/>
    <s v="Accessories"/>
    <n v="1"/>
    <n v="2983.47"/>
    <n v="25"/>
    <n v="1777.09"/>
    <x v="0"/>
    <s v="Digital"/>
    <n v="2237.6025"/>
    <n v="460.51250000000005"/>
    <s v="Wednesday"/>
    <b v="0"/>
    <x v="5"/>
  </r>
  <r>
    <s v="NV2451"/>
    <d v="2024-08-16T00:00:00"/>
    <s v="ST37"/>
    <s v="East"/>
    <s v="P89"/>
    <s v="Shoes"/>
    <n v="5"/>
    <n v="2740.82"/>
    <n v="25"/>
    <n v="1754.48"/>
    <x v="0"/>
    <s v="Digital"/>
    <n v="10278.075000000001"/>
    <n v="1505.6750000000011"/>
    <s v="Friday"/>
    <b v="0"/>
    <x v="5"/>
  </r>
  <r>
    <s v="NV2452"/>
    <d v="2025-08-15T00:00:00"/>
    <s v="ST29"/>
    <s v="East"/>
    <s v="P136"/>
    <s v="Clothing"/>
    <n v="4"/>
    <n v="1446.92"/>
    <n v="5"/>
    <n v="599.37"/>
    <x v="0"/>
    <s v="Card"/>
    <n v="5498.2960000000003"/>
    <n v="3100.8160000000003"/>
    <s v="Friday"/>
    <b v="0"/>
    <x v="5"/>
  </r>
  <r>
    <s v="NV2453"/>
    <d v="2024-07-31T00:00:00"/>
    <s v="ST54"/>
    <s v="West"/>
    <s v="P88"/>
    <s v="Shoes"/>
    <n v="5"/>
    <n v="1335.03"/>
    <n v="15"/>
    <n v="736.62"/>
    <x v="0"/>
    <s v="Card"/>
    <n v="5673.8774999999996"/>
    <n v="1990.7774999999997"/>
    <s v="Wednesday"/>
    <b v="0"/>
    <x v="4"/>
  </r>
  <r>
    <s v="NV2454"/>
    <d v="2025-03-30T00:00:00"/>
    <s v="ST43"/>
    <s v="North"/>
    <s v="P71"/>
    <s v="Clothing"/>
    <n v="1"/>
    <n v="620.76"/>
    <n v="15"/>
    <n v="354.09"/>
    <x v="1"/>
    <s v="Cash"/>
    <n v="527.64599999999996"/>
    <n v="173.55599999999998"/>
    <s v="Sunday"/>
    <b v="1"/>
    <x v="7"/>
  </r>
  <r>
    <s v="NV2455"/>
    <d v="2025-10-09T00:00:00"/>
    <s v="ST8"/>
    <s v="North"/>
    <s v="P188"/>
    <s v="Accessories"/>
    <n v="4"/>
    <n v="1442.83"/>
    <n v="0"/>
    <n v="844.45"/>
    <x v="1"/>
    <s v="Card"/>
    <n v="5771.32"/>
    <n v="2393.5199999999995"/>
    <s v="Thursday"/>
    <b v="0"/>
    <x v="2"/>
  </r>
  <r>
    <s v="NV2456"/>
    <d v="2024-07-16T00:00:00"/>
    <s v="ST29"/>
    <s v="South"/>
    <s v="P222"/>
    <s v="Accessories"/>
    <n v="3"/>
    <n v="926.81"/>
    <n v="30"/>
    <n v="375.45"/>
    <x v="1"/>
    <s v="Cash"/>
    <n v="1946.3009999999997"/>
    <n v="819.95099999999979"/>
    <s v="Tuesday"/>
    <b v="0"/>
    <x v="4"/>
  </r>
  <r>
    <s v="NV2457"/>
    <d v="2024-03-05T00:00:00"/>
    <s v="ST35"/>
    <s v="West"/>
    <s v="P158"/>
    <s v="Accessories"/>
    <n v="5"/>
    <n v="995.13"/>
    <n v="30"/>
    <n v="411.85"/>
    <x v="0"/>
    <s v="Cash"/>
    <n v="3482.9549999999995"/>
    <n v="1423.7049999999995"/>
    <s v="Tuesday"/>
    <b v="0"/>
    <x v="7"/>
  </r>
  <r>
    <s v="NV2458"/>
    <d v="2025-02-19T00:00:00"/>
    <s v="ST4"/>
    <s v="West"/>
    <s v="P21"/>
    <s v="Shoes"/>
    <n v="1"/>
    <n v="766.45"/>
    <n v="15"/>
    <n v="522.22"/>
    <x v="1"/>
    <s v="Digital"/>
    <n v="651.48250000000007"/>
    <n v="129.26250000000005"/>
    <s v="Wednesday"/>
    <b v="0"/>
    <x v="3"/>
  </r>
  <r>
    <s v="NV2459"/>
    <d v="2024-09-06T00:00:00"/>
    <s v="ST27"/>
    <s v="West"/>
    <s v="P212"/>
    <s v="Clothing"/>
    <n v="2"/>
    <n v="594.9"/>
    <n v="0"/>
    <n v="253.93"/>
    <x v="0"/>
    <s v="Cash"/>
    <n v="1189.8"/>
    <n v="681.93999999999994"/>
    <s v="Friday"/>
    <b v="0"/>
    <x v="6"/>
  </r>
  <r>
    <s v="NV2460"/>
    <d v="2024-09-18T00:00:00"/>
    <s v="ST1"/>
    <s v="North"/>
    <s v="P212"/>
    <s v="Shoes"/>
    <n v="4"/>
    <n v="973.61"/>
    <n v="30"/>
    <n v="393.63"/>
    <x v="1"/>
    <s v="Cash"/>
    <n v="2726.1079999999997"/>
    <n v="1151.5879999999997"/>
    <s v="Wednesday"/>
    <b v="0"/>
    <x v="6"/>
  </r>
  <r>
    <s v="NV2461"/>
    <d v="2025-01-17T00:00:00"/>
    <s v="ST26"/>
    <s v="East"/>
    <s v="P167"/>
    <s v="Shoes"/>
    <n v="5"/>
    <n v="2973.5"/>
    <n v="20"/>
    <n v="1896.1"/>
    <x v="1"/>
    <s v="Cash"/>
    <n v="11894"/>
    <n v="2413.5"/>
    <s v="Friday"/>
    <b v="0"/>
    <x v="10"/>
  </r>
  <r>
    <s v="NV2462"/>
    <d v="2024-01-16T00:00:00"/>
    <s v="ST21"/>
    <s v="West"/>
    <s v="P66"/>
    <s v="Accessories"/>
    <n v="4"/>
    <n v="2251.75"/>
    <n v="15"/>
    <n v="1089.4000000000001"/>
    <x v="1"/>
    <s v="Cash"/>
    <n v="7655.95"/>
    <n v="3298.3499999999995"/>
    <s v="Tuesday"/>
    <b v="0"/>
    <x v="10"/>
  </r>
  <r>
    <s v="NV2463"/>
    <d v="2025-02-07T00:00:00"/>
    <s v="ST59"/>
    <s v="East"/>
    <s v="P87"/>
    <s v="Shoes"/>
    <n v="5"/>
    <n v="1121.47"/>
    <n v="20"/>
    <n v="779.81"/>
    <x v="1"/>
    <s v="Cash"/>
    <n v="4485.88"/>
    <n v="586.83000000000038"/>
    <s v="Friday"/>
    <b v="0"/>
    <x v="3"/>
  </r>
  <r>
    <s v="NV2464"/>
    <d v="2025-05-29T00:00:00"/>
    <s v="ST18"/>
    <s v="West"/>
    <s v="P284"/>
    <s v="Shoes"/>
    <n v="4"/>
    <n v="2042.56"/>
    <n v="10"/>
    <n v="843.55"/>
    <x v="0"/>
    <s v="Card"/>
    <n v="7353.2160000000003"/>
    <n v="3979.0160000000005"/>
    <s v="Thursday"/>
    <b v="0"/>
    <x v="9"/>
  </r>
  <r>
    <s v="NV2465"/>
    <d v="2025-02-14T00:00:00"/>
    <s v="ST49"/>
    <s v="East"/>
    <s v="P29"/>
    <s v="Shoes"/>
    <n v="1"/>
    <n v="1263.4100000000001"/>
    <n v="30"/>
    <n v="658.91"/>
    <x v="0"/>
    <s v="Cash"/>
    <n v="884.38700000000006"/>
    <n v="225.47700000000009"/>
    <s v="Friday"/>
    <b v="0"/>
    <x v="3"/>
  </r>
  <r>
    <s v="NV2466"/>
    <d v="2024-09-08T00:00:00"/>
    <s v="ST21"/>
    <s v="West"/>
    <s v="P291"/>
    <s v="Shoes"/>
    <n v="2"/>
    <n v="452.44"/>
    <n v="15"/>
    <n v="254.88"/>
    <x v="1"/>
    <s v="Cash"/>
    <n v="769.14800000000002"/>
    <n v="259.38800000000003"/>
    <s v="Sunday"/>
    <b v="1"/>
    <x v="6"/>
  </r>
  <r>
    <s v="NV2467"/>
    <d v="2024-10-11T00:00:00"/>
    <s v="ST36"/>
    <s v="South"/>
    <s v="P4"/>
    <s v="Shoes"/>
    <n v="4"/>
    <n v="2807.43"/>
    <n v="15"/>
    <n v="1289.4100000000001"/>
    <x v="0"/>
    <s v="Digital"/>
    <n v="9545.2619999999988"/>
    <n v="4387.6219999999985"/>
    <s v="Friday"/>
    <b v="0"/>
    <x v="2"/>
  </r>
  <r>
    <s v="NV2468"/>
    <d v="2025-05-24T00:00:00"/>
    <s v="ST32"/>
    <s v="East"/>
    <s v="P248"/>
    <s v="Shoes"/>
    <n v="1"/>
    <n v="968.02"/>
    <n v="5"/>
    <n v="469.21"/>
    <x v="0"/>
    <s v="Card"/>
    <n v="919.61899999999991"/>
    <n v="450.40899999999993"/>
    <s v="Saturday"/>
    <b v="1"/>
    <x v="9"/>
  </r>
  <r>
    <s v="NV2469"/>
    <d v="2025-02-26T00:00:00"/>
    <s v="ST33"/>
    <s v="North"/>
    <s v="P191"/>
    <s v="Shoes"/>
    <n v="1"/>
    <n v="1763.93"/>
    <n v="25"/>
    <n v="847.06"/>
    <x v="0"/>
    <s v="Cash"/>
    <n v="1322.9475"/>
    <n v="475.88750000000005"/>
    <s v="Wednesday"/>
    <b v="0"/>
    <x v="3"/>
  </r>
  <r>
    <s v="NV2470"/>
    <d v="2024-01-05T00:00:00"/>
    <s v="ST23"/>
    <s v="North"/>
    <s v="P106"/>
    <s v="Accessories"/>
    <n v="5"/>
    <n v="2585.25"/>
    <n v="25"/>
    <n v="1111.6400000000001"/>
    <x v="0"/>
    <s v="Cash"/>
    <n v="9694.6875"/>
    <n v="4136.4874999999993"/>
    <s v="Friday"/>
    <b v="0"/>
    <x v="10"/>
  </r>
  <r>
    <s v="NV2471"/>
    <d v="2025-02-24T00:00:00"/>
    <s v="ST17"/>
    <s v="West"/>
    <s v="P144"/>
    <s v="Shoes"/>
    <n v="3"/>
    <n v="2534.63"/>
    <n v="5"/>
    <n v="1101.24"/>
    <x v="1"/>
    <s v="Digital"/>
    <n v="7223.6954999999998"/>
    <n v="3919.9754999999996"/>
    <s v="Monday"/>
    <b v="0"/>
    <x v="3"/>
  </r>
  <r>
    <s v="NV2472"/>
    <d v="2025-09-09T00:00:00"/>
    <s v="ST2"/>
    <s v="West"/>
    <s v="P256"/>
    <s v="Clothing"/>
    <n v="4"/>
    <n v="757.33"/>
    <n v="10"/>
    <n v="354.42"/>
    <x v="1"/>
    <s v="Card"/>
    <n v="2726.3880000000004"/>
    <n v="1308.7080000000003"/>
    <s v="Tuesday"/>
    <b v="0"/>
    <x v="6"/>
  </r>
  <r>
    <s v="NV2473"/>
    <d v="2025-07-31T00:00:00"/>
    <s v="ST20"/>
    <s v="West"/>
    <s v="P288"/>
    <s v="Accessories"/>
    <n v="5"/>
    <n v="2756.35"/>
    <n v="10"/>
    <n v="1790.18"/>
    <x v="0"/>
    <s v="Card"/>
    <n v="12403.575000000001"/>
    <n v="3452.6750000000011"/>
    <s v="Thursday"/>
    <b v="0"/>
    <x v="4"/>
  </r>
  <r>
    <s v="NV2474"/>
    <d v="2024-10-07T00:00:00"/>
    <s v="ST47"/>
    <s v="South"/>
    <s v="P224"/>
    <s v="Accessories"/>
    <n v="1"/>
    <n v="2607.08"/>
    <n v="5"/>
    <n v="1475.76"/>
    <x v="1"/>
    <s v="Card"/>
    <n v="2476.7259999999997"/>
    <n v="1000.9659999999997"/>
    <s v="Monday"/>
    <b v="0"/>
    <x v="2"/>
  </r>
  <r>
    <s v="NV2475"/>
    <d v="2024-05-23T00:00:00"/>
    <s v="ST49"/>
    <s v="West"/>
    <s v="P272"/>
    <s v="Clothing"/>
    <n v="4"/>
    <n v="2241.15"/>
    <n v="10"/>
    <n v="1190.23"/>
    <x v="1"/>
    <s v="Cash"/>
    <n v="8068.14"/>
    <n v="3307.2200000000003"/>
    <s v="Thursday"/>
    <b v="0"/>
    <x v="9"/>
  </r>
  <r>
    <s v="NV2476"/>
    <d v="2025-02-26T00:00:00"/>
    <s v="ST18"/>
    <s v="North"/>
    <s v="P104"/>
    <s v="Clothing"/>
    <n v="4"/>
    <n v="2846.67"/>
    <n v="25"/>
    <n v="1572.95"/>
    <x v="1"/>
    <s v="Cash"/>
    <n v="8540.01"/>
    <n v="2248.21"/>
    <s v="Wednesday"/>
    <b v="0"/>
    <x v="3"/>
  </r>
  <r>
    <s v="NV2477"/>
    <d v="2025-04-16T00:00:00"/>
    <s v="ST20"/>
    <s v="South"/>
    <s v="P222"/>
    <s v="Accessories"/>
    <n v="2"/>
    <n v="812.73"/>
    <n v="5"/>
    <n v="425.96"/>
    <x v="0"/>
    <s v="Digital"/>
    <n v="1544.1869999999999"/>
    <n v="692.26699999999994"/>
    <s v="Wednesday"/>
    <b v="0"/>
    <x v="8"/>
  </r>
  <r>
    <s v="NV2478"/>
    <d v="2025-01-10T00:00:00"/>
    <s v="ST25"/>
    <s v="East"/>
    <s v="P83"/>
    <s v="Shoes"/>
    <n v="2"/>
    <n v="2430.64"/>
    <n v="5"/>
    <n v="1204.1300000000001"/>
    <x v="1"/>
    <s v="Card"/>
    <n v="4618.2159999999994"/>
    <n v="2209.9559999999992"/>
    <s v="Friday"/>
    <b v="0"/>
    <x v="10"/>
  </r>
  <r>
    <s v="NV2479"/>
    <d v="2025-05-13T00:00:00"/>
    <s v="ST39"/>
    <s v="East"/>
    <s v="P248"/>
    <s v="Accessories"/>
    <n v="1"/>
    <n v="2793.15"/>
    <n v="0"/>
    <n v="1830.26"/>
    <x v="0"/>
    <s v="Card"/>
    <n v="2793.15"/>
    <n v="962.8900000000001"/>
    <s v="Tuesday"/>
    <b v="0"/>
    <x v="9"/>
  </r>
  <r>
    <s v="NV2480"/>
    <d v="2025-01-23T00:00:00"/>
    <s v="ST47"/>
    <s v="North"/>
    <s v="P159"/>
    <s v="Clothing"/>
    <n v="4"/>
    <n v="1227.97"/>
    <n v="10"/>
    <n v="737.56"/>
    <x v="1"/>
    <s v="Digital"/>
    <n v="4420.692"/>
    <n v="1470.4520000000002"/>
    <s v="Thursday"/>
    <b v="0"/>
    <x v="10"/>
  </r>
  <r>
    <s v="NV2481"/>
    <d v="2025-10-08T00:00:00"/>
    <s v="ST48"/>
    <s v="East"/>
    <s v="P246"/>
    <s v="Clothing"/>
    <n v="4"/>
    <n v="1339.96"/>
    <n v="0"/>
    <n v="568.73"/>
    <x v="0"/>
    <s v="Cash"/>
    <n v="5359.84"/>
    <n v="3084.92"/>
    <s v="Wednesday"/>
    <b v="0"/>
    <x v="2"/>
  </r>
  <r>
    <s v="NV2482"/>
    <d v="2025-02-25T00:00:00"/>
    <s v="ST23"/>
    <s v="North"/>
    <s v="P43"/>
    <s v="Clothing"/>
    <n v="2"/>
    <n v="1767.26"/>
    <n v="30"/>
    <n v="997.64"/>
    <x v="0"/>
    <s v="Cash"/>
    <n v="2474.1639999999998"/>
    <n v="478.88399999999979"/>
    <s v="Tuesday"/>
    <b v="0"/>
    <x v="3"/>
  </r>
  <r>
    <s v="NV2483"/>
    <d v="2024-05-01T00:00:00"/>
    <s v="ST50"/>
    <s v="West"/>
    <s v="P9"/>
    <s v="Accessories"/>
    <n v="4"/>
    <n v="1418.59"/>
    <n v="5"/>
    <n v="929.17"/>
    <x v="0"/>
    <s v="Digital"/>
    <n v="5390.6419999999998"/>
    <n v="1673.962"/>
    <s v="Wednesday"/>
    <b v="0"/>
    <x v="9"/>
  </r>
  <r>
    <s v="NV2484"/>
    <d v="2024-05-27T00:00:00"/>
    <s v="ST52"/>
    <s v="North"/>
    <s v="P24"/>
    <s v="Clothing"/>
    <n v="2"/>
    <n v="1483.5"/>
    <n v="10"/>
    <n v="964"/>
    <x v="1"/>
    <s v="Digital"/>
    <n v="2670.3"/>
    <n v="742.30000000000018"/>
    <s v="Monday"/>
    <b v="0"/>
    <x v="9"/>
  </r>
  <r>
    <s v="NV2485"/>
    <d v="2024-01-08T00:00:00"/>
    <s v="ST28"/>
    <s v="East"/>
    <s v="P123"/>
    <s v="Shoes"/>
    <n v="1"/>
    <n v="1446.32"/>
    <n v="15"/>
    <n v="954.11"/>
    <x v="1"/>
    <s v="Card"/>
    <n v="1229.3719999999998"/>
    <n v="275.26199999999983"/>
    <s v="Monday"/>
    <b v="0"/>
    <x v="10"/>
  </r>
  <r>
    <s v="NV2486"/>
    <d v="2025-09-26T00:00:00"/>
    <s v="ST44"/>
    <s v="East"/>
    <s v="P53"/>
    <s v="Clothing"/>
    <n v="1"/>
    <n v="2239.02"/>
    <n v="0"/>
    <n v="1057.93"/>
    <x v="0"/>
    <s v="Cash"/>
    <n v="2239.02"/>
    <n v="1181.0899999999999"/>
    <s v="Friday"/>
    <b v="0"/>
    <x v="6"/>
  </r>
  <r>
    <s v="NV2487"/>
    <d v="2024-09-25T00:00:00"/>
    <s v="ST23"/>
    <s v="South"/>
    <s v="P167"/>
    <s v="Clothing"/>
    <n v="3"/>
    <n v="1902.81"/>
    <n v="20"/>
    <n v="1319.37"/>
    <x v="1"/>
    <s v="Card"/>
    <n v="4566.7440000000006"/>
    <n v="608.63400000000092"/>
    <s v="Wednesday"/>
    <b v="0"/>
    <x v="6"/>
  </r>
  <r>
    <s v="NV2488"/>
    <d v="2025-03-24T00:00:00"/>
    <s v="ST10"/>
    <s v="North"/>
    <s v="P81"/>
    <s v="Accessories"/>
    <n v="1"/>
    <n v="1042.5999999999999"/>
    <n v="5"/>
    <n v="467.98"/>
    <x v="0"/>
    <s v="Digital"/>
    <n v="990.46999999999991"/>
    <n v="522.4899999999999"/>
    <s v="Monday"/>
    <b v="0"/>
    <x v="7"/>
  </r>
  <r>
    <s v="NV2489"/>
    <d v="2024-12-06T00:00:00"/>
    <s v="ST6"/>
    <s v="West"/>
    <s v="P43"/>
    <s v="Accessories"/>
    <n v="2"/>
    <n v="1692.24"/>
    <n v="10"/>
    <n v="1138.72"/>
    <x v="1"/>
    <s v="Digital"/>
    <n v="3046.0320000000002"/>
    <n v="768.5920000000001"/>
    <s v="Friday"/>
    <b v="0"/>
    <x v="11"/>
  </r>
  <r>
    <s v="NV2490"/>
    <d v="2025-03-05T00:00:00"/>
    <s v="ST26"/>
    <s v="West"/>
    <s v="P41"/>
    <s v="Shoes"/>
    <n v="2"/>
    <n v="654.61"/>
    <n v="20"/>
    <n v="386.72"/>
    <x v="0"/>
    <s v="Digital"/>
    <n v="1047.376"/>
    <n v="273.93599999999992"/>
    <s v="Wednesday"/>
    <b v="0"/>
    <x v="7"/>
  </r>
  <r>
    <s v="NV2491"/>
    <d v="2025-03-14T00:00:00"/>
    <s v="ST5"/>
    <s v="South"/>
    <s v="P296"/>
    <s v="Clothing"/>
    <n v="5"/>
    <n v="397.37"/>
    <n v="15"/>
    <n v="272.64"/>
    <x v="0"/>
    <s v="Card"/>
    <n v="1688.8225"/>
    <n v="325.62250000000017"/>
    <s v="Friday"/>
    <b v="0"/>
    <x v="7"/>
  </r>
  <r>
    <s v="NV2492"/>
    <d v="2025-09-15T00:00:00"/>
    <s v="ST17"/>
    <s v="North"/>
    <s v="P80"/>
    <s v="Accessories"/>
    <n v="5"/>
    <n v="2180.09"/>
    <n v="30"/>
    <n v="1162.45"/>
    <x v="1"/>
    <s v="Cash"/>
    <n v="7630.3149999999996"/>
    <n v="1818.0649999999996"/>
    <s v="Monday"/>
    <b v="0"/>
    <x v="6"/>
  </r>
  <r>
    <s v="NV2493"/>
    <d v="2025-09-26T00:00:00"/>
    <s v="ST12"/>
    <s v="East"/>
    <s v="P182"/>
    <s v="Accessories"/>
    <n v="5"/>
    <n v="758.9"/>
    <n v="20"/>
    <n v="407.88"/>
    <x v="0"/>
    <s v="Card"/>
    <n v="3035.6000000000004"/>
    <n v="996.20000000000027"/>
    <s v="Friday"/>
    <b v="0"/>
    <x v="6"/>
  </r>
  <r>
    <s v="NV2494"/>
    <d v="2025-07-11T00:00:00"/>
    <s v="ST2"/>
    <s v="East"/>
    <s v="P261"/>
    <s v="Accessories"/>
    <n v="4"/>
    <n v="2025.57"/>
    <n v="30"/>
    <n v="1414.35"/>
    <x v="1"/>
    <s v="Card"/>
    <n v="5671.5959999999995"/>
    <n v="14.195999999999913"/>
    <s v="Friday"/>
    <b v="0"/>
    <x v="4"/>
  </r>
  <r>
    <s v="NV2495"/>
    <d v="2024-12-31T00:00:00"/>
    <s v="ST53"/>
    <s v="East"/>
    <s v="P33"/>
    <s v="Accessories"/>
    <n v="3"/>
    <n v="911.41"/>
    <n v="10"/>
    <n v="390.79"/>
    <x v="1"/>
    <s v="Card"/>
    <n v="2460.8070000000002"/>
    <n v="1288.4370000000001"/>
    <s v="Tuesday"/>
    <b v="0"/>
    <x v="11"/>
  </r>
  <r>
    <s v="NV2496"/>
    <d v="2025-11-11T00:00:00"/>
    <s v="ST28"/>
    <s v="West"/>
    <s v="P281"/>
    <s v="Accessories"/>
    <n v="2"/>
    <n v="2306.33"/>
    <n v="15"/>
    <n v="1377.06"/>
    <x v="1"/>
    <s v="Card"/>
    <n v="3920.761"/>
    <n v="1166.6410000000001"/>
    <s v="Tuesday"/>
    <b v="0"/>
    <x v="1"/>
  </r>
  <r>
    <s v="NV2497"/>
    <d v="2025-04-18T00:00:00"/>
    <s v="ST57"/>
    <s v="West"/>
    <s v="P167"/>
    <s v="Accessories"/>
    <n v="2"/>
    <n v="1846.19"/>
    <n v="15"/>
    <n v="900.13"/>
    <x v="1"/>
    <s v="Card"/>
    <n v="3138.5230000000001"/>
    <n v="1338.2630000000001"/>
    <s v="Friday"/>
    <b v="0"/>
    <x v="8"/>
  </r>
  <r>
    <s v="NV2498"/>
    <d v="2025-07-13T00:00:00"/>
    <s v="ST54"/>
    <s v="West"/>
    <s v="P45"/>
    <s v="Clothing"/>
    <n v="3"/>
    <n v="2299.37"/>
    <n v="25"/>
    <n v="1050.51"/>
    <x v="0"/>
    <s v="Card"/>
    <n v="5173.5824999999995"/>
    <n v="2022.0524999999998"/>
    <s v="Sunday"/>
    <b v="1"/>
    <x v="4"/>
  </r>
  <r>
    <s v="NV2499"/>
    <d v="2024-05-10T00:00:00"/>
    <s v="ST5"/>
    <s v="South"/>
    <s v="P174"/>
    <s v="Clothing"/>
    <n v="1"/>
    <n v="685.13"/>
    <n v="10"/>
    <n v="374.38"/>
    <x v="1"/>
    <s v="Digital"/>
    <n v="616.61699999999996"/>
    <n v="242.23699999999997"/>
    <s v="Friday"/>
    <b v="0"/>
    <x v="9"/>
  </r>
  <r>
    <s v="NV2500"/>
    <d v="2025-02-21T00:00:00"/>
    <s v="ST20"/>
    <s v="East"/>
    <s v="P248"/>
    <s v="Clothing"/>
    <n v="3"/>
    <n v="2614.7399999999998"/>
    <n v="30"/>
    <n v="1786.18"/>
    <x v="1"/>
    <s v="Card"/>
    <n v="5490.9539999999988"/>
    <n v="132.41399999999885"/>
    <s v="Friday"/>
    <b v="0"/>
    <x v="3"/>
  </r>
  <r>
    <s v="NV2501"/>
    <d v="2024-01-20T00:00:00"/>
    <s v="ST23"/>
    <s v="West"/>
    <s v="P22"/>
    <s v="Accessories"/>
    <n v="4"/>
    <n v="2722.46"/>
    <n v="20"/>
    <n v="1425.94"/>
    <x v="0"/>
    <s v="Cash"/>
    <n v="8711.8720000000012"/>
    <n v="3008.112000000001"/>
    <s v="Saturday"/>
    <b v="1"/>
    <x v="10"/>
  </r>
  <r>
    <s v="NV2502"/>
    <d v="2025-05-18T00:00:00"/>
    <s v="ST56"/>
    <s v="East"/>
    <s v="P128"/>
    <s v="Accessories"/>
    <n v="2"/>
    <n v="1921.89"/>
    <n v="0"/>
    <n v="1003.43"/>
    <x v="1"/>
    <s v="Digital"/>
    <n v="3843.78"/>
    <n v="1836.9200000000003"/>
    <s v="Sunday"/>
    <b v="1"/>
    <x v="9"/>
  </r>
  <r>
    <s v="NV2503"/>
    <d v="2025-02-19T00:00:00"/>
    <s v="ST49"/>
    <s v="South"/>
    <s v="P84"/>
    <s v="Clothing"/>
    <n v="2"/>
    <n v="2582.06"/>
    <n v="5"/>
    <n v="1517.22"/>
    <x v="0"/>
    <s v="Card"/>
    <n v="4905.9139999999998"/>
    <n v="1871.4739999999997"/>
    <s v="Wednesday"/>
    <b v="0"/>
    <x v="3"/>
  </r>
  <r>
    <s v="NV2504"/>
    <d v="2025-04-09T00:00:00"/>
    <s v="ST31"/>
    <s v="West"/>
    <s v="P95"/>
    <s v="Shoes"/>
    <n v="3"/>
    <n v="1175.19"/>
    <n v="20"/>
    <n v="740.62"/>
    <x v="1"/>
    <s v="Digital"/>
    <n v="2820.4560000000001"/>
    <n v="598.596"/>
    <s v="Wednesday"/>
    <b v="0"/>
    <x v="8"/>
  </r>
  <r>
    <s v="NV2505"/>
    <d v="2024-09-03T00:00:00"/>
    <s v="ST25"/>
    <s v="West"/>
    <s v="P153"/>
    <s v="Shoes"/>
    <n v="1"/>
    <n v="1255.6199999999999"/>
    <n v="30"/>
    <n v="826.53"/>
    <x v="0"/>
    <s v="Card"/>
    <n v="878.93399999999986"/>
    <n v="52.403999999999883"/>
    <s v="Tuesday"/>
    <b v="0"/>
    <x v="6"/>
  </r>
  <r>
    <s v="NV2506"/>
    <d v="2025-04-22T00:00:00"/>
    <s v="ST25"/>
    <s v="West"/>
    <s v="P262"/>
    <s v="Clothing"/>
    <n v="4"/>
    <n v="1440.16"/>
    <n v="0"/>
    <n v="834.49"/>
    <x v="1"/>
    <s v="Cash"/>
    <n v="5760.64"/>
    <n v="2422.6800000000003"/>
    <s v="Tuesday"/>
    <b v="0"/>
    <x v="8"/>
  </r>
  <r>
    <s v="NV2507"/>
    <d v="2025-03-14T00:00:00"/>
    <s v="ST45"/>
    <s v="West"/>
    <s v="P289"/>
    <s v="Clothing"/>
    <n v="4"/>
    <n v="312.27"/>
    <n v="0"/>
    <n v="137.41"/>
    <x v="0"/>
    <s v="Digital"/>
    <n v="1249.08"/>
    <n v="699.43999999999994"/>
    <s v="Friday"/>
    <b v="0"/>
    <x v="7"/>
  </r>
  <r>
    <s v="NV2508"/>
    <d v="2025-02-21T00:00:00"/>
    <s v="ST43"/>
    <s v="South"/>
    <s v="P225"/>
    <s v="Shoes"/>
    <n v="1"/>
    <n v="1795.18"/>
    <n v="25"/>
    <n v="803"/>
    <x v="1"/>
    <s v="Cash"/>
    <n v="1346.385"/>
    <n v="543.38499999999999"/>
    <s v="Friday"/>
    <b v="0"/>
    <x v="3"/>
  </r>
  <r>
    <s v="NV2509"/>
    <d v="2024-07-31T00:00:00"/>
    <s v="ST37"/>
    <s v="South"/>
    <s v="P71"/>
    <s v="Accessories"/>
    <n v="2"/>
    <n v="1112.28"/>
    <n v="15"/>
    <n v="681.48"/>
    <x v="0"/>
    <s v="Digital"/>
    <n v="1890.876"/>
    <n v="527.91599999999994"/>
    <s v="Wednesday"/>
    <b v="0"/>
    <x v="4"/>
  </r>
  <r>
    <s v="NV2510"/>
    <d v="2024-11-23T00:00:00"/>
    <s v="ST31"/>
    <s v="North"/>
    <s v="P91"/>
    <s v="Clothing"/>
    <n v="1"/>
    <n v="2461.61"/>
    <n v="15"/>
    <n v="1563.84"/>
    <x v="0"/>
    <s v="Cash"/>
    <n v="2092.3685"/>
    <n v="528.52850000000012"/>
    <s v="Saturday"/>
    <b v="1"/>
    <x v="1"/>
  </r>
  <r>
    <s v="NV2511"/>
    <d v="2025-10-23T00:00:00"/>
    <s v="ST20"/>
    <s v="West"/>
    <s v="P181"/>
    <s v="Clothing"/>
    <n v="4"/>
    <n v="2362.59"/>
    <n v="0"/>
    <n v="1153.1600000000001"/>
    <x v="1"/>
    <s v="Card"/>
    <n v="9450.36"/>
    <n v="4837.72"/>
    <s v="Thursday"/>
    <b v="0"/>
    <x v="2"/>
  </r>
  <r>
    <s v="NV2512"/>
    <d v="2024-12-14T00:00:00"/>
    <s v="ST14"/>
    <s v="North"/>
    <s v="P280"/>
    <s v="Accessories"/>
    <n v="4"/>
    <n v="2228.16"/>
    <n v="5"/>
    <n v="1423.81"/>
    <x v="0"/>
    <s v="Digital"/>
    <n v="8467.0079999999998"/>
    <n v="2771.768"/>
    <s v="Saturday"/>
    <b v="1"/>
    <x v="11"/>
  </r>
  <r>
    <s v="NV2513"/>
    <d v="2024-08-12T00:00:00"/>
    <s v="ST38"/>
    <s v="East"/>
    <s v="P292"/>
    <s v="Shoes"/>
    <n v="4"/>
    <n v="1797.34"/>
    <n v="5"/>
    <n v="830.16"/>
    <x v="0"/>
    <s v="Digital"/>
    <n v="6829.8919999999989"/>
    <n v="3509.251999999999"/>
    <s v="Monday"/>
    <b v="0"/>
    <x v="5"/>
  </r>
  <r>
    <s v="NV2514"/>
    <d v="2025-02-06T00:00:00"/>
    <s v="ST38"/>
    <s v="South"/>
    <s v="P166"/>
    <s v="Clothing"/>
    <n v="3"/>
    <n v="595.13"/>
    <n v="25"/>
    <n v="262.66000000000003"/>
    <x v="0"/>
    <s v="Card"/>
    <n v="1339.0425"/>
    <n v="551.0625"/>
    <s v="Thursday"/>
    <b v="0"/>
    <x v="3"/>
  </r>
  <r>
    <s v="NV2515"/>
    <d v="2024-12-18T00:00:00"/>
    <s v="ST58"/>
    <s v="East"/>
    <s v="P184"/>
    <s v="Clothing"/>
    <n v="4"/>
    <n v="2470.84"/>
    <n v="5"/>
    <n v="1075.8"/>
    <x v="0"/>
    <s v="Digital"/>
    <n v="9389.1920000000009"/>
    <n v="5085.9920000000011"/>
    <s v="Wednesday"/>
    <b v="0"/>
    <x v="11"/>
  </r>
  <r>
    <s v="NV2516"/>
    <d v="2025-10-31T00:00:00"/>
    <s v="ST25"/>
    <s v="South"/>
    <s v="P210"/>
    <s v="Accessories"/>
    <n v="1"/>
    <n v="2960.69"/>
    <n v="5"/>
    <n v="1626.72"/>
    <x v="0"/>
    <s v="Card"/>
    <n v="2812.6554999999998"/>
    <n v="1185.9354999999998"/>
    <s v="Friday"/>
    <b v="0"/>
    <x v="2"/>
  </r>
  <r>
    <s v="NV2517"/>
    <d v="2025-11-18T00:00:00"/>
    <s v="ST48"/>
    <s v="North"/>
    <s v="P260"/>
    <s v="Clothing"/>
    <n v="5"/>
    <n v="2665.43"/>
    <n v="20"/>
    <n v="1342.51"/>
    <x v="0"/>
    <s v="Digital"/>
    <n v="10661.720000000001"/>
    <n v="3949.170000000001"/>
    <s v="Tuesday"/>
    <b v="0"/>
    <x v="1"/>
  </r>
  <r>
    <s v="NV2518"/>
    <d v="2024-09-14T00:00:00"/>
    <s v="ST37"/>
    <s v="North"/>
    <s v="P91"/>
    <s v="Clothing"/>
    <n v="4"/>
    <n v="2082.8200000000002"/>
    <n v="30"/>
    <n v="1397.32"/>
    <x v="1"/>
    <s v="Digital"/>
    <n v="5831.8959999999997"/>
    <n v="242.61599999999999"/>
    <s v="Saturday"/>
    <b v="1"/>
    <x v="6"/>
  </r>
  <r>
    <s v="NV2519"/>
    <d v="2024-03-04T00:00:00"/>
    <s v="ST25"/>
    <s v="North"/>
    <s v="P237"/>
    <s v="Shoes"/>
    <n v="4"/>
    <n v="1015.55"/>
    <n v="0"/>
    <n v="541.34"/>
    <x v="0"/>
    <s v="Cash"/>
    <n v="4062.2"/>
    <n v="1896.8399999999997"/>
    <s v="Monday"/>
    <b v="0"/>
    <x v="7"/>
  </r>
  <r>
    <s v="NV2520"/>
    <d v="2025-04-27T00:00:00"/>
    <s v="ST11"/>
    <s v="South"/>
    <s v="P14"/>
    <s v="Accessories"/>
    <n v="3"/>
    <n v="592.26"/>
    <n v="15"/>
    <n v="343.33"/>
    <x v="1"/>
    <s v="Digital"/>
    <n v="1510.2629999999999"/>
    <n v="480.27299999999991"/>
    <s v="Sunday"/>
    <b v="1"/>
    <x v="8"/>
  </r>
  <r>
    <s v="NV2521"/>
    <d v="2024-07-10T00:00:00"/>
    <s v="ST29"/>
    <s v="North"/>
    <s v="P43"/>
    <s v="Accessories"/>
    <n v="4"/>
    <n v="1482.05"/>
    <n v="10"/>
    <n v="838.02"/>
    <x v="1"/>
    <s v="Cash"/>
    <n v="5335.38"/>
    <n v="1983.3000000000002"/>
    <s v="Wednesday"/>
    <b v="0"/>
    <x v="4"/>
  </r>
  <r>
    <s v="NV2522"/>
    <d v="2025-04-27T00:00:00"/>
    <s v="ST16"/>
    <s v="South"/>
    <s v="P91"/>
    <s v="Clothing"/>
    <n v="4"/>
    <n v="2673.26"/>
    <n v="5"/>
    <n v="1440.65"/>
    <x v="0"/>
    <s v="Digital"/>
    <n v="10158.388000000001"/>
    <n v="4395.7880000000005"/>
    <s v="Sunday"/>
    <b v="1"/>
    <x v="8"/>
  </r>
  <r>
    <s v="NV2523"/>
    <d v="2025-08-27T00:00:00"/>
    <s v="ST26"/>
    <s v="West"/>
    <s v="P200"/>
    <s v="Clothing"/>
    <n v="1"/>
    <n v="1223.49"/>
    <n v="15"/>
    <n v="780.29"/>
    <x v="1"/>
    <s v="Cash"/>
    <n v="1039.9665"/>
    <n v="259.67650000000003"/>
    <s v="Wednesday"/>
    <b v="0"/>
    <x v="5"/>
  </r>
  <r>
    <s v="NV2524"/>
    <d v="2025-10-13T00:00:00"/>
    <s v="ST5"/>
    <s v="South"/>
    <s v="P108"/>
    <s v="Clothing"/>
    <n v="5"/>
    <n v="2777.21"/>
    <n v="25"/>
    <n v="1817.22"/>
    <x v="1"/>
    <s v="Digital"/>
    <n v="10414.537499999999"/>
    <n v="1328.4374999999982"/>
    <s v="Monday"/>
    <b v="0"/>
    <x v="2"/>
  </r>
  <r>
    <s v="NV2525"/>
    <d v="2025-07-30T00:00:00"/>
    <s v="ST47"/>
    <s v="South"/>
    <s v="P271"/>
    <s v="Accessories"/>
    <n v="3"/>
    <n v="594.99"/>
    <n v="25"/>
    <n v="372.02"/>
    <x v="1"/>
    <s v="Card"/>
    <n v="1338.7275"/>
    <n v="222.66750000000002"/>
    <s v="Wednesday"/>
    <b v="0"/>
    <x v="4"/>
  </r>
  <r>
    <s v="NV2526"/>
    <d v="2024-09-04T00:00:00"/>
    <s v="ST48"/>
    <s v="North"/>
    <s v="P3"/>
    <s v="Accessories"/>
    <n v="2"/>
    <n v="1267.98"/>
    <n v="20"/>
    <n v="666.54"/>
    <x v="0"/>
    <s v="Card"/>
    <n v="2028.768"/>
    <n v="695.6880000000001"/>
    <s v="Wednesday"/>
    <b v="0"/>
    <x v="6"/>
  </r>
  <r>
    <s v="NV2527"/>
    <d v="2025-08-11T00:00:00"/>
    <s v="ST24"/>
    <s v="North"/>
    <s v="P168"/>
    <s v="Shoes"/>
    <n v="2"/>
    <n v="2101.9699999999998"/>
    <n v="0"/>
    <n v="899.12"/>
    <x v="0"/>
    <s v="Card"/>
    <n v="4203.9399999999996"/>
    <n v="2405.6999999999998"/>
    <s v="Monday"/>
    <b v="0"/>
    <x v="5"/>
  </r>
  <r>
    <s v="NV2528"/>
    <d v="2025-10-21T00:00:00"/>
    <s v="ST55"/>
    <s v="East"/>
    <s v="P135"/>
    <s v="Clothing"/>
    <n v="3"/>
    <n v="327.45"/>
    <n v="15"/>
    <n v="152.85"/>
    <x v="0"/>
    <s v="Card"/>
    <n v="834.99749999999995"/>
    <n v="376.44749999999999"/>
    <s v="Tuesday"/>
    <b v="0"/>
    <x v="2"/>
  </r>
  <r>
    <s v="NV2529"/>
    <d v="2024-09-11T00:00:00"/>
    <s v="ST14"/>
    <s v="East"/>
    <s v="P260"/>
    <s v="Clothing"/>
    <n v="1"/>
    <n v="523.22"/>
    <n v="5"/>
    <n v="278.60000000000002"/>
    <x v="0"/>
    <s v="Card"/>
    <n v="497.05900000000003"/>
    <n v="218.459"/>
    <s v="Wednesday"/>
    <b v="0"/>
    <x v="6"/>
  </r>
  <r>
    <s v="NV2530"/>
    <d v="2025-04-10T00:00:00"/>
    <s v="ST16"/>
    <s v="North"/>
    <s v="P279"/>
    <s v="Shoes"/>
    <n v="5"/>
    <n v="551.41"/>
    <n v="0"/>
    <n v="331.32"/>
    <x v="0"/>
    <s v="Digital"/>
    <n v="2757.0499999999997"/>
    <n v="1100.4499999999998"/>
    <s v="Thursday"/>
    <b v="0"/>
    <x v="8"/>
  </r>
  <r>
    <s v="NV2531"/>
    <d v="2024-07-07T00:00:00"/>
    <s v="ST53"/>
    <s v="East"/>
    <s v="P141"/>
    <s v="Accessories"/>
    <n v="4"/>
    <n v="537.4"/>
    <n v="25"/>
    <n v="343.69"/>
    <x v="0"/>
    <s v="Card"/>
    <n v="1612.1999999999998"/>
    <n v="237.43999999999983"/>
    <s v="Sunday"/>
    <b v="1"/>
    <x v="4"/>
  </r>
  <r>
    <s v="NV2532"/>
    <d v="2024-06-07T00:00:00"/>
    <s v="ST47"/>
    <s v="South"/>
    <s v="P238"/>
    <s v="Clothing"/>
    <n v="5"/>
    <n v="647.77"/>
    <n v="30"/>
    <n v="306.54000000000002"/>
    <x v="0"/>
    <s v="Digital"/>
    <n v="2267.1949999999997"/>
    <n v="734.49499999999966"/>
    <s v="Friday"/>
    <b v="0"/>
    <x v="0"/>
  </r>
  <r>
    <s v="NV2533"/>
    <d v="2025-09-20T00:00:00"/>
    <s v="ST14"/>
    <s v="West"/>
    <s v="P218"/>
    <s v="Accessories"/>
    <n v="3"/>
    <n v="2205.39"/>
    <n v="20"/>
    <n v="902.34"/>
    <x v="1"/>
    <s v="Card"/>
    <n v="5292.9360000000006"/>
    <n v="2585.9160000000006"/>
    <s v="Saturday"/>
    <b v="1"/>
    <x v="6"/>
  </r>
  <r>
    <s v="NV2534"/>
    <d v="2025-11-28T00:00:00"/>
    <s v="ST7"/>
    <s v="North"/>
    <s v="P267"/>
    <s v="Shoes"/>
    <n v="4"/>
    <n v="2725.56"/>
    <n v="15"/>
    <n v="1305.1600000000001"/>
    <x v="1"/>
    <s v="Digital"/>
    <n v="9266.9040000000005"/>
    <n v="4046.2640000000001"/>
    <s v="Friday"/>
    <b v="0"/>
    <x v="1"/>
  </r>
  <r>
    <s v="NV2535"/>
    <d v="2024-06-14T00:00:00"/>
    <s v="ST44"/>
    <s v="South"/>
    <s v="P263"/>
    <s v="Accessories"/>
    <n v="3"/>
    <n v="800.79"/>
    <n v="20"/>
    <n v="480.63"/>
    <x v="1"/>
    <s v="Digital"/>
    <n v="1921.896"/>
    <n v="480.00600000000009"/>
    <s v="Friday"/>
    <b v="0"/>
    <x v="0"/>
  </r>
  <r>
    <s v="NV2536"/>
    <d v="2024-11-02T00:00:00"/>
    <s v="ST1"/>
    <s v="North"/>
    <s v="P196"/>
    <s v="Shoes"/>
    <n v="3"/>
    <n v="2293.7600000000002"/>
    <n v="15"/>
    <n v="1499.96"/>
    <x v="1"/>
    <s v="Card"/>
    <n v="5849.0880000000006"/>
    <n v="1349.2080000000005"/>
    <s v="Saturday"/>
    <b v="1"/>
    <x v="1"/>
  </r>
  <r>
    <s v="NV2537"/>
    <d v="2024-04-21T00:00:00"/>
    <s v="ST9"/>
    <s v="North"/>
    <s v="P193"/>
    <s v="Accessories"/>
    <n v="5"/>
    <n v="1772.14"/>
    <n v="30"/>
    <n v="952.72"/>
    <x v="0"/>
    <s v="Digital"/>
    <n v="6202.49"/>
    <n v="1438.8899999999994"/>
    <s v="Sunday"/>
    <b v="1"/>
    <x v="8"/>
  </r>
  <r>
    <s v="NV2538"/>
    <d v="2025-10-20T00:00:00"/>
    <s v="ST19"/>
    <s v="West"/>
    <s v="P156"/>
    <s v="Shoes"/>
    <n v="3"/>
    <n v="2337.87"/>
    <n v="15"/>
    <n v="1265.54"/>
    <x v="0"/>
    <s v="Card"/>
    <n v="5961.5684999999994"/>
    <n v="2164.9484999999995"/>
    <s v="Monday"/>
    <b v="0"/>
    <x v="2"/>
  </r>
  <r>
    <s v="NV2539"/>
    <d v="2024-01-04T00:00:00"/>
    <s v="ST27"/>
    <s v="South"/>
    <s v="P256"/>
    <s v="Accessories"/>
    <n v="1"/>
    <n v="2122.98"/>
    <n v="25"/>
    <n v="1383.14"/>
    <x v="0"/>
    <s v="Card"/>
    <n v="1592.2350000000001"/>
    <n v="209.09500000000003"/>
    <s v="Thursday"/>
    <b v="0"/>
    <x v="10"/>
  </r>
  <r>
    <s v="NV2540"/>
    <d v="2025-11-06T00:00:00"/>
    <s v="ST57"/>
    <s v="East"/>
    <s v="P33"/>
    <s v="Shoes"/>
    <n v="1"/>
    <n v="654.89"/>
    <n v="5"/>
    <n v="422.83"/>
    <x v="0"/>
    <s v="Card"/>
    <n v="622.14549999999997"/>
    <n v="199.31549999999999"/>
    <s v="Thursday"/>
    <b v="0"/>
    <x v="1"/>
  </r>
  <r>
    <s v="NV2541"/>
    <d v="2024-03-16T00:00:00"/>
    <s v="ST7"/>
    <s v="West"/>
    <s v="P202"/>
    <s v="Shoes"/>
    <n v="1"/>
    <n v="1759.23"/>
    <n v="20"/>
    <n v="1170.25"/>
    <x v="1"/>
    <s v="Cash"/>
    <n v="1407.384"/>
    <n v="237.13400000000001"/>
    <s v="Saturday"/>
    <b v="1"/>
    <x v="7"/>
  </r>
  <r>
    <s v="NV2542"/>
    <d v="2024-03-25T00:00:00"/>
    <s v="ST1"/>
    <s v="East"/>
    <s v="P193"/>
    <s v="Shoes"/>
    <n v="3"/>
    <n v="1083.8599999999999"/>
    <n v="0"/>
    <n v="520.59"/>
    <x v="1"/>
    <s v="Card"/>
    <n v="3251.58"/>
    <n v="1689.81"/>
    <s v="Monday"/>
    <b v="0"/>
    <x v="7"/>
  </r>
  <r>
    <s v="NV2543"/>
    <d v="2024-06-06T00:00:00"/>
    <s v="ST4"/>
    <s v="West"/>
    <s v="P40"/>
    <s v="Clothing"/>
    <n v="1"/>
    <n v="1450.91"/>
    <n v="30"/>
    <n v="967.82"/>
    <x v="0"/>
    <s v="Digital"/>
    <n v="1015.6369999999999"/>
    <n v="47.816999999999894"/>
    <s v="Thursday"/>
    <b v="0"/>
    <x v="0"/>
  </r>
  <r>
    <s v="NV2544"/>
    <d v="2025-11-07T00:00:00"/>
    <s v="ST49"/>
    <s v="West"/>
    <s v="P263"/>
    <s v="Clothing"/>
    <n v="2"/>
    <n v="1598.68"/>
    <n v="20"/>
    <n v="1010.53"/>
    <x v="1"/>
    <s v="Cash"/>
    <n v="2557.8880000000004"/>
    <n v="536.82800000000043"/>
    <s v="Friday"/>
    <b v="0"/>
    <x v="1"/>
  </r>
  <r>
    <s v="NV2545"/>
    <d v="2025-01-02T00:00:00"/>
    <s v="ST59"/>
    <s v="North"/>
    <s v="P38"/>
    <s v="Shoes"/>
    <n v="4"/>
    <n v="2887.42"/>
    <n v="20"/>
    <n v="1171.75"/>
    <x v="0"/>
    <s v="Card"/>
    <n v="9239.7440000000006"/>
    <n v="4552.7440000000006"/>
    <s v="Thursday"/>
    <b v="0"/>
    <x v="10"/>
  </r>
  <r>
    <s v="NV2546"/>
    <d v="2024-11-25T00:00:00"/>
    <s v="ST44"/>
    <s v="West"/>
    <s v="P167"/>
    <s v="Accessories"/>
    <n v="4"/>
    <n v="2343.7800000000002"/>
    <n v="0"/>
    <n v="1442.8"/>
    <x v="0"/>
    <s v="Cash"/>
    <n v="9375.1200000000008"/>
    <n v="3603.920000000001"/>
    <s v="Monday"/>
    <b v="0"/>
    <x v="1"/>
  </r>
  <r>
    <s v="NV2547"/>
    <d v="2025-02-27T00:00:00"/>
    <s v="ST49"/>
    <s v="North"/>
    <s v="P74"/>
    <s v="Clothing"/>
    <n v="4"/>
    <n v="2667.24"/>
    <n v="5"/>
    <n v="1759.78"/>
    <x v="0"/>
    <s v="Cash"/>
    <n v="10135.511999999999"/>
    <n v="3096.3919999999989"/>
    <s v="Thursday"/>
    <b v="0"/>
    <x v="3"/>
  </r>
  <r>
    <s v="NV2548"/>
    <d v="2024-12-07T00:00:00"/>
    <s v="ST46"/>
    <s v="North"/>
    <s v="P67"/>
    <s v="Clothing"/>
    <n v="2"/>
    <n v="848.4"/>
    <n v="10"/>
    <n v="580.66999999999996"/>
    <x v="0"/>
    <s v="Cash"/>
    <n v="1527.12"/>
    <n v="365.78"/>
    <s v="Saturday"/>
    <b v="1"/>
    <x v="11"/>
  </r>
  <r>
    <s v="NV2549"/>
    <d v="2024-08-04T00:00:00"/>
    <s v="ST6"/>
    <s v="North"/>
    <s v="P264"/>
    <s v="Shoes"/>
    <n v="3"/>
    <n v="2310.09"/>
    <n v="25"/>
    <n v="1575.05"/>
    <x v="0"/>
    <s v="Cash"/>
    <n v="5197.7025000000003"/>
    <n v="472.55250000000069"/>
    <s v="Sunday"/>
    <b v="1"/>
    <x v="5"/>
  </r>
  <r>
    <s v="NV2550"/>
    <d v="2025-01-04T00:00:00"/>
    <s v="ST50"/>
    <s v="North"/>
    <s v="P291"/>
    <s v="Accessories"/>
    <n v="5"/>
    <n v="675.51"/>
    <n v="20"/>
    <n v="342.41"/>
    <x v="0"/>
    <s v="Digital"/>
    <n v="2702.0400000000004"/>
    <n v="989.99000000000024"/>
    <s v="Saturday"/>
    <b v="1"/>
    <x v="10"/>
  </r>
  <r>
    <s v="NV2551"/>
    <d v="2024-11-23T00:00:00"/>
    <s v="ST14"/>
    <s v="South"/>
    <s v="P261"/>
    <s v="Clothing"/>
    <n v="3"/>
    <n v="364.22"/>
    <n v="5"/>
    <n v="151.55000000000001"/>
    <x v="1"/>
    <s v="Cash"/>
    <n v="1038.027"/>
    <n v="583.37699999999995"/>
    <s v="Saturday"/>
    <b v="1"/>
    <x v="1"/>
  </r>
  <r>
    <s v="NV2552"/>
    <d v="2024-02-19T00:00:00"/>
    <s v="ST35"/>
    <s v="South"/>
    <s v="P298"/>
    <s v="Accessories"/>
    <n v="5"/>
    <n v="1723.76"/>
    <n v="25"/>
    <n v="1070.6099999999999"/>
    <x v="1"/>
    <s v="Digital"/>
    <n v="6464.0999999999995"/>
    <n v="1111.0500000000002"/>
    <s v="Monday"/>
    <b v="0"/>
    <x v="3"/>
  </r>
  <r>
    <s v="NV2553"/>
    <d v="2024-05-25T00:00:00"/>
    <s v="ST20"/>
    <s v="West"/>
    <s v="P137"/>
    <s v="Clothing"/>
    <n v="5"/>
    <n v="2406.2600000000002"/>
    <n v="20"/>
    <n v="1122.79"/>
    <x v="0"/>
    <s v="Cash"/>
    <n v="9625.0400000000009"/>
    <n v="4011.0900000000011"/>
    <s v="Saturday"/>
    <b v="1"/>
    <x v="9"/>
  </r>
  <r>
    <s v="NV2554"/>
    <d v="2024-02-18T00:00:00"/>
    <s v="ST24"/>
    <s v="South"/>
    <s v="P13"/>
    <s v="Accessories"/>
    <n v="5"/>
    <n v="1897.17"/>
    <n v="30"/>
    <n v="1005.28"/>
    <x v="0"/>
    <s v="Digital"/>
    <n v="6640.0950000000003"/>
    <n v="1613.6950000000006"/>
    <s v="Sunday"/>
    <b v="1"/>
    <x v="3"/>
  </r>
  <r>
    <s v="NV2555"/>
    <d v="2024-12-10T00:00:00"/>
    <s v="ST26"/>
    <s v="South"/>
    <s v="P76"/>
    <s v="Accessories"/>
    <n v="3"/>
    <n v="949.67"/>
    <n v="20"/>
    <n v="599.76"/>
    <x v="1"/>
    <s v="Card"/>
    <n v="2279.2080000000001"/>
    <n v="479.92800000000011"/>
    <s v="Tuesday"/>
    <b v="0"/>
    <x v="11"/>
  </r>
  <r>
    <s v="NV2556"/>
    <d v="2025-09-20T00:00:00"/>
    <s v="ST25"/>
    <s v="South"/>
    <s v="P203"/>
    <s v="Clothing"/>
    <n v="3"/>
    <n v="2435.96"/>
    <n v="10"/>
    <n v="1407.07"/>
    <x v="1"/>
    <s v="Digital"/>
    <n v="6577.0920000000006"/>
    <n v="2355.8820000000005"/>
    <s v="Saturday"/>
    <b v="1"/>
    <x v="6"/>
  </r>
  <r>
    <s v="NV2557"/>
    <d v="2024-11-03T00:00:00"/>
    <s v="ST53"/>
    <s v="East"/>
    <s v="P191"/>
    <s v="Clothing"/>
    <n v="1"/>
    <n v="317.12"/>
    <n v="20"/>
    <n v="176.97"/>
    <x v="1"/>
    <s v="Card"/>
    <n v="253.69600000000003"/>
    <n v="76.726000000000028"/>
    <s v="Sunday"/>
    <b v="1"/>
    <x v="1"/>
  </r>
  <r>
    <s v="NV2558"/>
    <d v="2025-04-11T00:00:00"/>
    <s v="ST58"/>
    <s v="South"/>
    <s v="P1"/>
    <s v="Shoes"/>
    <n v="1"/>
    <n v="649.04"/>
    <n v="30"/>
    <n v="399.12"/>
    <x v="0"/>
    <s v="Cash"/>
    <n v="454.32799999999992"/>
    <n v="55.207999999999913"/>
    <s v="Friday"/>
    <b v="0"/>
    <x v="8"/>
  </r>
  <r>
    <s v="NV2559"/>
    <d v="2025-08-05T00:00:00"/>
    <s v="ST16"/>
    <s v="West"/>
    <s v="P92"/>
    <s v="Shoes"/>
    <n v="2"/>
    <n v="2357.27"/>
    <n v="20"/>
    <n v="1179.53"/>
    <x v="0"/>
    <s v="Digital"/>
    <n v="3771.6320000000001"/>
    <n v="1412.5720000000001"/>
    <s v="Tuesday"/>
    <b v="0"/>
    <x v="5"/>
  </r>
  <r>
    <s v="NV2560"/>
    <d v="2024-02-22T00:00:00"/>
    <s v="ST25"/>
    <s v="South"/>
    <s v="P253"/>
    <s v="Accessories"/>
    <n v="4"/>
    <n v="904.61"/>
    <n v="5"/>
    <n v="519.32000000000005"/>
    <x v="1"/>
    <s v="Card"/>
    <n v="3437.518"/>
    <n v="1360.2379999999998"/>
    <s v="Thursday"/>
    <b v="0"/>
    <x v="3"/>
  </r>
  <r>
    <s v="NV2561"/>
    <d v="2024-02-25T00:00:00"/>
    <s v="ST26"/>
    <s v="South"/>
    <s v="P174"/>
    <s v="Shoes"/>
    <n v="5"/>
    <n v="1539.01"/>
    <n v="30"/>
    <n v="804.13"/>
    <x v="0"/>
    <s v="Digital"/>
    <n v="5386.5349999999999"/>
    <n v="1365.8849999999998"/>
    <s v="Sunday"/>
    <b v="1"/>
    <x v="3"/>
  </r>
  <r>
    <s v="NV2562"/>
    <d v="2025-05-30T00:00:00"/>
    <s v="ST48"/>
    <s v="East"/>
    <s v="P251"/>
    <s v="Accessories"/>
    <n v="4"/>
    <n v="838.18"/>
    <n v="20"/>
    <n v="502.2"/>
    <x v="1"/>
    <s v="Cash"/>
    <n v="2682.1759999999999"/>
    <n v="673.37599999999998"/>
    <s v="Friday"/>
    <b v="0"/>
    <x v="9"/>
  </r>
  <r>
    <s v="NV2563"/>
    <d v="2024-12-07T00:00:00"/>
    <s v="ST44"/>
    <s v="North"/>
    <s v="P294"/>
    <s v="Clothing"/>
    <n v="5"/>
    <n v="2609.0500000000002"/>
    <n v="0"/>
    <n v="1712.11"/>
    <x v="1"/>
    <s v="Card"/>
    <n v="13045.25"/>
    <n v="4484.7000000000007"/>
    <s v="Saturday"/>
    <b v="1"/>
    <x v="11"/>
  </r>
  <r>
    <s v="NV2564"/>
    <d v="2024-10-14T00:00:00"/>
    <s v="ST48"/>
    <s v="East"/>
    <s v="P185"/>
    <s v="Accessories"/>
    <n v="1"/>
    <n v="420.08"/>
    <n v="30"/>
    <n v="248.09"/>
    <x v="1"/>
    <s v="Cash"/>
    <n v="294.05599999999998"/>
    <n v="45.96599999999998"/>
    <s v="Monday"/>
    <b v="0"/>
    <x v="2"/>
  </r>
  <r>
    <s v="NV2565"/>
    <d v="2024-05-06T00:00:00"/>
    <s v="ST19"/>
    <s v="East"/>
    <s v="P16"/>
    <s v="Accessories"/>
    <n v="2"/>
    <n v="1077.82"/>
    <n v="0"/>
    <n v="454.33"/>
    <x v="0"/>
    <s v="Digital"/>
    <n v="2155.64"/>
    <n v="1246.98"/>
    <s v="Monday"/>
    <b v="0"/>
    <x v="9"/>
  </r>
  <r>
    <s v="NV2566"/>
    <d v="2025-11-03T00:00:00"/>
    <s v="ST31"/>
    <s v="North"/>
    <s v="P1"/>
    <s v="Accessories"/>
    <n v="1"/>
    <n v="1117.02"/>
    <n v="5"/>
    <n v="732.99"/>
    <x v="0"/>
    <s v="Cash"/>
    <n v="1061.1689999999999"/>
    <n v="328.17899999999986"/>
    <s v="Monday"/>
    <b v="0"/>
    <x v="1"/>
  </r>
  <r>
    <s v="NV2567"/>
    <d v="2025-05-15T00:00:00"/>
    <s v="ST8"/>
    <s v="South"/>
    <s v="P272"/>
    <s v="Clothing"/>
    <n v="5"/>
    <n v="2489.64"/>
    <n v="20"/>
    <n v="1552.3"/>
    <x v="1"/>
    <s v="Cash"/>
    <n v="9958.56"/>
    <n v="2197.0599999999995"/>
    <s v="Thursday"/>
    <b v="0"/>
    <x v="9"/>
  </r>
  <r>
    <s v="NV2568"/>
    <d v="2025-10-09T00:00:00"/>
    <s v="ST29"/>
    <s v="South"/>
    <s v="P48"/>
    <s v="Clothing"/>
    <n v="4"/>
    <n v="2327.04"/>
    <n v="5"/>
    <n v="1444.01"/>
    <x v="1"/>
    <s v="Cash"/>
    <n v="8842.7519999999986"/>
    <n v="3066.7119999999986"/>
    <s v="Thursday"/>
    <b v="0"/>
    <x v="2"/>
  </r>
  <r>
    <s v="NV2569"/>
    <d v="2025-02-16T00:00:00"/>
    <s v="ST7"/>
    <s v="South"/>
    <s v="P140"/>
    <s v="Shoes"/>
    <n v="1"/>
    <n v="1657.83"/>
    <n v="30"/>
    <n v="781.56"/>
    <x v="0"/>
    <s v="Digital"/>
    <n v="1160.4809999999998"/>
    <n v="378.92099999999982"/>
    <s v="Sunday"/>
    <b v="1"/>
    <x v="3"/>
  </r>
  <r>
    <s v="NV2570"/>
    <d v="2024-09-15T00:00:00"/>
    <s v="ST11"/>
    <s v="West"/>
    <s v="P9"/>
    <s v="Accessories"/>
    <n v="4"/>
    <n v="2386.71"/>
    <n v="5"/>
    <n v="1261.28"/>
    <x v="0"/>
    <s v="Card"/>
    <n v="9069.4979999999996"/>
    <n v="4024.3779999999997"/>
    <s v="Sunday"/>
    <b v="1"/>
    <x v="6"/>
  </r>
  <r>
    <s v="NV2571"/>
    <d v="2025-08-12T00:00:00"/>
    <s v="ST4"/>
    <s v="East"/>
    <s v="P237"/>
    <s v="Clothing"/>
    <n v="2"/>
    <n v="2041.78"/>
    <n v="25"/>
    <n v="842.09"/>
    <x v="0"/>
    <s v="Card"/>
    <n v="3062.67"/>
    <n v="1378.49"/>
    <s v="Tuesday"/>
    <b v="0"/>
    <x v="5"/>
  </r>
  <r>
    <s v="NV2572"/>
    <d v="2024-01-18T00:00:00"/>
    <s v="ST37"/>
    <s v="South"/>
    <s v="P143"/>
    <s v="Clothing"/>
    <n v="4"/>
    <n v="2265.38"/>
    <n v="5"/>
    <n v="1283.57"/>
    <x v="1"/>
    <s v="Cash"/>
    <n v="8608.4439999999995"/>
    <n v="3474.1639999999998"/>
    <s v="Thursday"/>
    <b v="0"/>
    <x v="10"/>
  </r>
  <r>
    <s v="NV2573"/>
    <d v="2025-07-03T00:00:00"/>
    <s v="ST51"/>
    <s v="East"/>
    <s v="P35"/>
    <s v="Shoes"/>
    <n v="1"/>
    <n v="2468.63"/>
    <n v="30"/>
    <n v="1086.7"/>
    <x v="0"/>
    <s v="Card"/>
    <n v="1728.0409999999999"/>
    <n v="641.34099999999989"/>
    <s v="Thursday"/>
    <b v="0"/>
    <x v="4"/>
  </r>
  <r>
    <s v="NV2574"/>
    <d v="2025-04-17T00:00:00"/>
    <s v="ST21"/>
    <s v="North"/>
    <s v="P150"/>
    <s v="Shoes"/>
    <n v="5"/>
    <n v="1043.6400000000001"/>
    <n v="10"/>
    <n v="515.07000000000005"/>
    <x v="1"/>
    <s v="Digital"/>
    <n v="4696.380000000001"/>
    <n v="2121.0300000000007"/>
    <s v="Thursday"/>
    <b v="0"/>
    <x v="8"/>
  </r>
  <r>
    <s v="NV2575"/>
    <d v="2025-06-12T00:00:00"/>
    <s v="ST8"/>
    <s v="West"/>
    <s v="P149"/>
    <s v="Accessories"/>
    <n v="1"/>
    <n v="2873.91"/>
    <n v="25"/>
    <n v="1791.85"/>
    <x v="0"/>
    <s v="Digital"/>
    <n v="2155.4324999999999"/>
    <n v="363.58249999999998"/>
    <s v="Thursday"/>
    <b v="0"/>
    <x v="0"/>
  </r>
  <r>
    <s v="NV2576"/>
    <d v="2025-08-14T00:00:00"/>
    <s v="ST39"/>
    <s v="West"/>
    <s v="P144"/>
    <s v="Shoes"/>
    <n v="4"/>
    <n v="1733.86"/>
    <n v="20"/>
    <n v="1043.5"/>
    <x v="0"/>
    <s v="Digital"/>
    <n v="5548.3519999999999"/>
    <n v="1374.3519999999999"/>
    <s v="Thursday"/>
    <b v="0"/>
    <x v="5"/>
  </r>
  <r>
    <s v="NV2577"/>
    <d v="2025-11-28T00:00:00"/>
    <s v="ST47"/>
    <s v="South"/>
    <s v="P244"/>
    <s v="Clothing"/>
    <n v="4"/>
    <n v="1637.4"/>
    <n v="20"/>
    <n v="1027.1099999999999"/>
    <x v="0"/>
    <s v="Cash"/>
    <n v="5239.68"/>
    <n v="1131.2400000000007"/>
    <s v="Friday"/>
    <b v="0"/>
    <x v="1"/>
  </r>
  <r>
    <s v="NV2578"/>
    <d v="2024-12-20T00:00:00"/>
    <s v="ST55"/>
    <s v="North"/>
    <s v="P132"/>
    <s v="Shoes"/>
    <n v="3"/>
    <n v="471.19"/>
    <n v="10"/>
    <n v="229.59"/>
    <x v="1"/>
    <s v="Digital"/>
    <n v="1272.213"/>
    <n v="583.44299999999998"/>
    <s v="Friday"/>
    <b v="0"/>
    <x v="11"/>
  </r>
  <r>
    <s v="NV2579"/>
    <d v="2024-05-11T00:00:00"/>
    <s v="ST18"/>
    <s v="East"/>
    <s v="P56"/>
    <s v="Accessories"/>
    <n v="1"/>
    <n v="748.19"/>
    <n v="5"/>
    <n v="365.02"/>
    <x v="1"/>
    <s v="Card"/>
    <n v="710.78050000000007"/>
    <n v="345.76050000000009"/>
    <s v="Saturday"/>
    <b v="1"/>
    <x v="9"/>
  </r>
  <r>
    <s v="NV2580"/>
    <d v="2024-06-20T00:00:00"/>
    <s v="ST14"/>
    <s v="West"/>
    <s v="P47"/>
    <s v="Clothing"/>
    <n v="3"/>
    <n v="2190.71"/>
    <n v="25"/>
    <n v="1060.69"/>
    <x v="0"/>
    <s v="Card"/>
    <n v="4929.0974999999999"/>
    <n v="1747.0274999999997"/>
    <s v="Thursday"/>
    <b v="0"/>
    <x v="0"/>
  </r>
  <r>
    <s v="NV2581"/>
    <d v="2024-12-09T00:00:00"/>
    <s v="ST15"/>
    <s v="East"/>
    <s v="P48"/>
    <s v="Accessories"/>
    <n v="5"/>
    <n v="2005.96"/>
    <n v="10"/>
    <n v="1339.85"/>
    <x v="1"/>
    <s v="Digital"/>
    <n v="9026.82"/>
    <n v="2327.5699999999997"/>
    <s v="Monday"/>
    <b v="0"/>
    <x v="11"/>
  </r>
  <r>
    <s v="NV2582"/>
    <d v="2025-03-19T00:00:00"/>
    <s v="ST48"/>
    <s v="West"/>
    <s v="P71"/>
    <s v="Accessories"/>
    <n v="4"/>
    <n v="1993.52"/>
    <n v="10"/>
    <n v="1204.7"/>
    <x v="1"/>
    <s v="Card"/>
    <n v="7176.6720000000005"/>
    <n v="2357.8720000000003"/>
    <s v="Wednesday"/>
    <b v="0"/>
    <x v="7"/>
  </r>
  <r>
    <s v="NV2583"/>
    <d v="2025-09-20T00:00:00"/>
    <s v="ST58"/>
    <s v="East"/>
    <s v="P21"/>
    <s v="Clothing"/>
    <n v="5"/>
    <n v="772.09"/>
    <n v="5"/>
    <n v="349.26"/>
    <x v="0"/>
    <s v="Card"/>
    <n v="3667.4275000000002"/>
    <n v="1921.1275000000003"/>
    <s v="Saturday"/>
    <b v="1"/>
    <x v="6"/>
  </r>
  <r>
    <s v="NV2584"/>
    <d v="2024-10-17T00:00:00"/>
    <s v="ST21"/>
    <s v="South"/>
    <s v="P133"/>
    <s v="Clothing"/>
    <n v="2"/>
    <n v="2867.34"/>
    <n v="15"/>
    <n v="1704.12"/>
    <x v="0"/>
    <s v="Card"/>
    <n v="4874.4780000000001"/>
    <n v="1466.2380000000003"/>
    <s v="Thursday"/>
    <b v="0"/>
    <x v="2"/>
  </r>
  <r>
    <s v="NV2585"/>
    <d v="2024-04-20T00:00:00"/>
    <s v="ST47"/>
    <s v="South"/>
    <s v="P69"/>
    <s v="Clothing"/>
    <n v="1"/>
    <n v="1311.19"/>
    <n v="15"/>
    <n v="575.64"/>
    <x v="1"/>
    <s v="Cash"/>
    <n v="1114.5115000000001"/>
    <n v="538.87150000000008"/>
    <s v="Saturday"/>
    <b v="1"/>
    <x v="8"/>
  </r>
  <r>
    <s v="NV2586"/>
    <d v="2025-01-19T00:00:00"/>
    <s v="ST12"/>
    <s v="East"/>
    <s v="P73"/>
    <s v="Clothing"/>
    <n v="4"/>
    <n v="2312.4299999999998"/>
    <n v="10"/>
    <n v="1549.43"/>
    <x v="0"/>
    <s v="Digital"/>
    <n v="8324.7479999999996"/>
    <n v="2127.0279999999993"/>
    <s v="Sunday"/>
    <b v="1"/>
    <x v="10"/>
  </r>
  <r>
    <s v="NV2587"/>
    <d v="2024-03-31T00:00:00"/>
    <s v="ST23"/>
    <s v="South"/>
    <s v="P193"/>
    <s v="Accessories"/>
    <n v="1"/>
    <n v="2533.83"/>
    <n v="15"/>
    <n v="1349.45"/>
    <x v="0"/>
    <s v="Cash"/>
    <n v="2153.7554999999998"/>
    <n v="804.30549999999971"/>
    <s v="Sunday"/>
    <b v="1"/>
    <x v="7"/>
  </r>
  <r>
    <s v="NV2588"/>
    <d v="2025-09-13T00:00:00"/>
    <s v="ST14"/>
    <s v="South"/>
    <s v="P287"/>
    <s v="Clothing"/>
    <n v="4"/>
    <n v="989.74"/>
    <n v="30"/>
    <n v="459.47"/>
    <x v="1"/>
    <s v="Cash"/>
    <n v="2771.2719999999999"/>
    <n v="933.39199999999983"/>
    <s v="Saturday"/>
    <b v="1"/>
    <x v="6"/>
  </r>
  <r>
    <s v="NV2589"/>
    <d v="2025-04-28T00:00:00"/>
    <s v="ST12"/>
    <s v="East"/>
    <s v="P190"/>
    <s v="Accessories"/>
    <n v="4"/>
    <n v="1029.3499999999999"/>
    <n v="10"/>
    <n v="712.16"/>
    <x v="0"/>
    <s v="Cash"/>
    <n v="3705.66"/>
    <n v="857.02"/>
    <s v="Monday"/>
    <b v="0"/>
    <x v="8"/>
  </r>
  <r>
    <s v="NV2590"/>
    <d v="2025-09-24T00:00:00"/>
    <s v="ST47"/>
    <s v="South"/>
    <s v="P19"/>
    <s v="Clothing"/>
    <n v="4"/>
    <n v="2999.07"/>
    <n v="15"/>
    <n v="1727.94"/>
    <x v="0"/>
    <s v="Card"/>
    <n v="10196.838"/>
    <n v="3285.0779999999995"/>
    <s v="Wednesday"/>
    <b v="0"/>
    <x v="6"/>
  </r>
  <r>
    <s v="NV2591"/>
    <d v="2024-10-11T00:00:00"/>
    <s v="ST29"/>
    <s v="North"/>
    <s v="P88"/>
    <s v="Shoes"/>
    <n v="1"/>
    <n v="462.03"/>
    <n v="25"/>
    <n v="291.23"/>
    <x v="1"/>
    <s v="Cash"/>
    <n v="346.52249999999998"/>
    <n v="55.292499999999961"/>
    <s v="Friday"/>
    <b v="0"/>
    <x v="2"/>
  </r>
  <r>
    <s v="NV2592"/>
    <d v="2025-01-31T00:00:00"/>
    <s v="ST26"/>
    <s v="East"/>
    <s v="P287"/>
    <s v="Accessories"/>
    <n v="4"/>
    <n v="2886.91"/>
    <n v="20"/>
    <n v="1585.04"/>
    <x v="1"/>
    <s v="Card"/>
    <n v="9238.1119999999992"/>
    <n v="2897.9519999999993"/>
    <s v="Friday"/>
    <b v="0"/>
    <x v="10"/>
  </r>
  <r>
    <s v="NV2593"/>
    <d v="2024-04-29T00:00:00"/>
    <s v="ST49"/>
    <s v="West"/>
    <s v="P236"/>
    <s v="Accessories"/>
    <n v="5"/>
    <n v="1859.29"/>
    <n v="20"/>
    <n v="769.87"/>
    <x v="0"/>
    <s v="Card"/>
    <n v="7437.1600000000008"/>
    <n v="3587.8100000000009"/>
    <s v="Monday"/>
    <b v="0"/>
    <x v="8"/>
  </r>
  <r>
    <s v="NV2594"/>
    <d v="2025-10-02T00:00:00"/>
    <s v="ST15"/>
    <s v="South"/>
    <s v="P80"/>
    <s v="Shoes"/>
    <n v="1"/>
    <n v="750.33"/>
    <n v="10"/>
    <n v="390.66"/>
    <x v="0"/>
    <s v="Cash"/>
    <n v="675.29700000000003"/>
    <n v="284.637"/>
    <s v="Thursday"/>
    <b v="0"/>
    <x v="2"/>
  </r>
  <r>
    <s v="NV2595"/>
    <d v="2024-10-19T00:00:00"/>
    <s v="ST7"/>
    <s v="West"/>
    <s v="P101"/>
    <s v="Shoes"/>
    <n v="5"/>
    <n v="969.08"/>
    <n v="30"/>
    <n v="626.91999999999996"/>
    <x v="1"/>
    <s v="Digital"/>
    <n v="3391.78"/>
    <n v="257.18000000000029"/>
    <s v="Saturday"/>
    <b v="1"/>
    <x v="2"/>
  </r>
  <r>
    <s v="NV2596"/>
    <d v="2024-04-14T00:00:00"/>
    <s v="ST39"/>
    <s v="South"/>
    <s v="P132"/>
    <s v="Shoes"/>
    <n v="1"/>
    <n v="389.54"/>
    <n v="5"/>
    <n v="219.27"/>
    <x v="1"/>
    <s v="Card"/>
    <n v="370.06299999999999"/>
    <n v="150.79299999999998"/>
    <s v="Sunday"/>
    <b v="1"/>
    <x v="8"/>
  </r>
  <r>
    <s v="NV2597"/>
    <d v="2024-11-10T00:00:00"/>
    <s v="ST15"/>
    <s v="East"/>
    <s v="P289"/>
    <s v="Accessories"/>
    <n v="3"/>
    <n v="2443.6"/>
    <n v="25"/>
    <n v="1445.09"/>
    <x v="0"/>
    <s v="Card"/>
    <n v="5498.0999999999995"/>
    <n v="1162.83"/>
    <s v="Sunday"/>
    <b v="1"/>
    <x v="1"/>
  </r>
  <r>
    <s v="NV2598"/>
    <d v="2025-03-29T00:00:00"/>
    <s v="ST23"/>
    <s v="West"/>
    <s v="P153"/>
    <s v="Shoes"/>
    <n v="3"/>
    <n v="1937.17"/>
    <n v="30"/>
    <n v="908.75"/>
    <x v="1"/>
    <s v="Cash"/>
    <n v="4068.0569999999998"/>
    <n v="1341.8069999999998"/>
    <s v="Saturday"/>
    <b v="1"/>
    <x v="7"/>
  </r>
  <r>
    <s v="NV2599"/>
    <d v="2024-07-03T00:00:00"/>
    <s v="ST22"/>
    <s v="North"/>
    <s v="P236"/>
    <s v="Accessories"/>
    <n v="3"/>
    <n v="2725.75"/>
    <n v="5"/>
    <n v="1662.21"/>
    <x v="0"/>
    <s v="Digital"/>
    <n v="7768.3874999999998"/>
    <n v="2781.7574999999997"/>
    <s v="Wednesday"/>
    <b v="0"/>
    <x v="4"/>
  </r>
  <r>
    <s v="NV2600"/>
    <d v="2025-06-16T00:00:00"/>
    <s v="ST59"/>
    <s v="North"/>
    <s v="P197"/>
    <s v="Shoes"/>
    <n v="1"/>
    <n v="2045.92"/>
    <n v="10"/>
    <n v="1085.49"/>
    <x v="1"/>
    <s v="Cash"/>
    <n v="1841.3280000000002"/>
    <n v="755.83800000000019"/>
    <s v="Monday"/>
    <b v="0"/>
    <x v="0"/>
  </r>
  <r>
    <s v="NV2601"/>
    <d v="2025-04-03T00:00:00"/>
    <s v="ST24"/>
    <s v="East"/>
    <s v="P89"/>
    <s v="Accessories"/>
    <n v="5"/>
    <n v="1870.85"/>
    <n v="30"/>
    <n v="1294.08"/>
    <x v="1"/>
    <s v="Digital"/>
    <n v="6547.9749999999995"/>
    <n v="77.574999999999818"/>
    <s v="Thursday"/>
    <b v="0"/>
    <x v="8"/>
  </r>
  <r>
    <s v="NV2602"/>
    <d v="2025-01-27T00:00:00"/>
    <s v="ST33"/>
    <s v="North"/>
    <s v="P1"/>
    <s v="Accessories"/>
    <n v="4"/>
    <n v="1749.87"/>
    <n v="15"/>
    <n v="1106.79"/>
    <x v="0"/>
    <s v="Digital"/>
    <n v="5949.5579999999991"/>
    <n v="1522.3979999999992"/>
    <s v="Monday"/>
    <b v="0"/>
    <x v="10"/>
  </r>
  <r>
    <s v="NV2603"/>
    <d v="2025-01-09T00:00:00"/>
    <s v="ST14"/>
    <s v="North"/>
    <s v="P229"/>
    <s v="Shoes"/>
    <n v="5"/>
    <n v="2690.69"/>
    <n v="5"/>
    <n v="1133.06"/>
    <x v="0"/>
    <s v="Cash"/>
    <n v="12780.7775"/>
    <n v="7115.4775000000009"/>
    <s v="Thursday"/>
    <b v="0"/>
    <x v="10"/>
  </r>
  <r>
    <s v="NV2604"/>
    <d v="2025-06-13T00:00:00"/>
    <s v="ST35"/>
    <s v="East"/>
    <s v="P94"/>
    <s v="Clothing"/>
    <n v="4"/>
    <n v="1102.23"/>
    <n v="0"/>
    <n v="572.57000000000005"/>
    <x v="1"/>
    <s v="Digital"/>
    <n v="4408.92"/>
    <n v="2118.64"/>
    <s v="Friday"/>
    <b v="0"/>
    <x v="0"/>
  </r>
  <r>
    <s v="NV2605"/>
    <d v="2024-11-15T00:00:00"/>
    <s v="ST41"/>
    <s v="East"/>
    <s v="P76"/>
    <s v="Accessories"/>
    <n v="2"/>
    <n v="2842.43"/>
    <n v="0"/>
    <n v="1512.42"/>
    <x v="0"/>
    <s v="Cash"/>
    <n v="5684.86"/>
    <n v="2660.0199999999995"/>
    <s v="Friday"/>
    <b v="0"/>
    <x v="1"/>
  </r>
  <r>
    <s v="NV2606"/>
    <d v="2025-10-02T00:00:00"/>
    <s v="ST24"/>
    <s v="West"/>
    <s v="P99"/>
    <s v="Clothing"/>
    <n v="2"/>
    <n v="1759.86"/>
    <n v="10"/>
    <n v="828.62"/>
    <x v="1"/>
    <s v="Card"/>
    <n v="3167.748"/>
    <n v="1510.508"/>
    <s v="Thursday"/>
    <b v="0"/>
    <x v="2"/>
  </r>
  <r>
    <s v="NV2607"/>
    <d v="2025-03-28T00:00:00"/>
    <s v="ST8"/>
    <s v="North"/>
    <s v="P107"/>
    <s v="Clothing"/>
    <n v="2"/>
    <n v="1699.18"/>
    <n v="10"/>
    <n v="1183.43"/>
    <x v="0"/>
    <s v="Cash"/>
    <n v="3058.5240000000003"/>
    <n v="691.66400000000021"/>
    <s v="Friday"/>
    <b v="0"/>
    <x v="7"/>
  </r>
  <r>
    <s v="NV2608"/>
    <d v="2024-08-10T00:00:00"/>
    <s v="ST1"/>
    <s v="North"/>
    <s v="P87"/>
    <s v="Accessories"/>
    <n v="5"/>
    <n v="1360.21"/>
    <n v="0"/>
    <n v="687.37"/>
    <x v="1"/>
    <s v="Digital"/>
    <n v="6801.05"/>
    <n v="3364.2000000000003"/>
    <s v="Saturday"/>
    <b v="1"/>
    <x v="5"/>
  </r>
  <r>
    <s v="NV2609"/>
    <d v="2025-07-16T00:00:00"/>
    <s v="ST44"/>
    <s v="South"/>
    <s v="P4"/>
    <s v="Accessories"/>
    <n v="4"/>
    <n v="2432.1799999999998"/>
    <n v="10"/>
    <n v="1068.28"/>
    <x v="0"/>
    <s v="Cash"/>
    <n v="8755.848"/>
    <n v="4482.7280000000001"/>
    <s v="Wednesday"/>
    <b v="0"/>
    <x v="4"/>
  </r>
  <r>
    <s v="NV2610"/>
    <d v="2025-11-10T00:00:00"/>
    <s v="ST18"/>
    <s v="East"/>
    <s v="P121"/>
    <s v="Accessories"/>
    <n v="2"/>
    <n v="2826.9"/>
    <n v="25"/>
    <n v="1910.38"/>
    <x v="0"/>
    <s v="Card"/>
    <n v="4240.3500000000004"/>
    <n v="419.59000000000015"/>
    <s v="Monday"/>
    <b v="0"/>
    <x v="1"/>
  </r>
  <r>
    <s v="NV2611"/>
    <d v="2025-06-30T00:00:00"/>
    <s v="ST32"/>
    <s v="North"/>
    <s v="P125"/>
    <s v="Shoes"/>
    <n v="3"/>
    <n v="757.38"/>
    <n v="5"/>
    <n v="323.17"/>
    <x v="0"/>
    <s v="Card"/>
    <n v="2158.5329999999999"/>
    <n v="1189.0229999999999"/>
    <s v="Monday"/>
    <b v="0"/>
    <x v="0"/>
  </r>
  <r>
    <s v="NV2612"/>
    <d v="2024-05-07T00:00:00"/>
    <s v="ST55"/>
    <s v="South"/>
    <s v="P34"/>
    <s v="Clothing"/>
    <n v="1"/>
    <n v="2558.52"/>
    <n v="0"/>
    <n v="1694.12"/>
    <x v="0"/>
    <s v="Cash"/>
    <n v="2558.52"/>
    <n v="864.40000000000009"/>
    <s v="Tuesday"/>
    <b v="0"/>
    <x v="9"/>
  </r>
  <r>
    <s v="NV2613"/>
    <d v="2024-12-02T00:00:00"/>
    <s v="ST18"/>
    <s v="South"/>
    <s v="P124"/>
    <s v="Accessories"/>
    <n v="2"/>
    <n v="2487.37"/>
    <n v="25"/>
    <n v="1010.82"/>
    <x v="1"/>
    <s v="Digital"/>
    <n v="3731.0549999999998"/>
    <n v="1709.4149999999997"/>
    <s v="Monday"/>
    <b v="0"/>
    <x v="11"/>
  </r>
  <r>
    <s v="NV2614"/>
    <d v="2024-03-12T00:00:00"/>
    <s v="ST27"/>
    <s v="East"/>
    <s v="P252"/>
    <s v="Shoes"/>
    <n v="2"/>
    <n v="1749.97"/>
    <n v="20"/>
    <n v="1031.1600000000001"/>
    <x v="0"/>
    <s v="Digital"/>
    <n v="2799.9520000000002"/>
    <n v="737.63200000000006"/>
    <s v="Tuesday"/>
    <b v="0"/>
    <x v="7"/>
  </r>
  <r>
    <s v="NV2615"/>
    <d v="2024-06-23T00:00:00"/>
    <s v="ST51"/>
    <s v="East"/>
    <s v="P159"/>
    <s v="Clothing"/>
    <n v="2"/>
    <n v="1118.49"/>
    <n v="15"/>
    <n v="776.7"/>
    <x v="0"/>
    <s v="Card"/>
    <n v="1901.433"/>
    <n v="348.0329999999999"/>
    <s v="Sunday"/>
    <b v="1"/>
    <x v="0"/>
  </r>
  <r>
    <s v="NV2616"/>
    <d v="2024-10-11T00:00:00"/>
    <s v="ST16"/>
    <s v="South"/>
    <s v="P145"/>
    <s v="Accessories"/>
    <n v="2"/>
    <n v="2320.59"/>
    <n v="5"/>
    <n v="1505.64"/>
    <x v="0"/>
    <s v="Card"/>
    <n v="4409.1210000000001"/>
    <n v="1397.8409999999999"/>
    <s v="Friday"/>
    <b v="0"/>
    <x v="2"/>
  </r>
  <r>
    <s v="NV2617"/>
    <d v="2024-09-05T00:00:00"/>
    <s v="ST11"/>
    <s v="West"/>
    <s v="P196"/>
    <s v="Accessories"/>
    <n v="3"/>
    <n v="2984.65"/>
    <n v="0"/>
    <n v="1489.32"/>
    <x v="0"/>
    <s v="Digital"/>
    <n v="8953.9500000000007"/>
    <n v="4485.9900000000007"/>
    <s v="Thursday"/>
    <b v="0"/>
    <x v="6"/>
  </r>
  <r>
    <s v="NV2618"/>
    <d v="2025-04-15T00:00:00"/>
    <s v="ST11"/>
    <s v="East"/>
    <s v="P112"/>
    <s v="Shoes"/>
    <n v="4"/>
    <n v="1126.82"/>
    <n v="10"/>
    <n v="766.25"/>
    <x v="0"/>
    <s v="Card"/>
    <n v="4056.5519999999997"/>
    <n v="991.55199999999968"/>
    <s v="Tuesday"/>
    <b v="0"/>
    <x v="8"/>
  </r>
  <r>
    <s v="NV2619"/>
    <d v="2025-05-01T00:00:00"/>
    <s v="ST48"/>
    <s v="East"/>
    <s v="P62"/>
    <s v="Accessories"/>
    <n v="5"/>
    <n v="2172.12"/>
    <n v="25"/>
    <n v="1489.12"/>
    <x v="0"/>
    <s v="Digital"/>
    <n v="8145.4499999999989"/>
    <n v="699.84999999999945"/>
    <s v="Thursday"/>
    <b v="0"/>
    <x v="9"/>
  </r>
  <r>
    <s v="NV2620"/>
    <d v="2024-02-23T00:00:00"/>
    <s v="ST22"/>
    <s v="West"/>
    <s v="P163"/>
    <s v="Accessories"/>
    <n v="1"/>
    <n v="733.64"/>
    <n v="0"/>
    <n v="503.78"/>
    <x v="0"/>
    <s v="Cash"/>
    <n v="733.64"/>
    <n v="229.86"/>
    <s v="Friday"/>
    <b v="0"/>
    <x v="3"/>
  </r>
  <r>
    <s v="NV2621"/>
    <d v="2025-11-01T00:00:00"/>
    <s v="ST44"/>
    <s v="South"/>
    <s v="P212"/>
    <s v="Accessories"/>
    <n v="3"/>
    <n v="1697.87"/>
    <n v="30"/>
    <n v="798.53"/>
    <x v="0"/>
    <s v="Cash"/>
    <n v="3565.5269999999996"/>
    <n v="1169.9369999999994"/>
    <s v="Saturday"/>
    <b v="1"/>
    <x v="1"/>
  </r>
  <r>
    <s v="NV2622"/>
    <d v="2025-05-13T00:00:00"/>
    <s v="ST6"/>
    <s v="East"/>
    <s v="P251"/>
    <s v="Shoes"/>
    <n v="2"/>
    <n v="624.9"/>
    <n v="0"/>
    <n v="290.16000000000003"/>
    <x v="0"/>
    <s v="Digital"/>
    <n v="1249.8"/>
    <n v="669.4799999999999"/>
    <s v="Tuesday"/>
    <b v="0"/>
    <x v="9"/>
  </r>
  <r>
    <s v="NV2623"/>
    <d v="2025-10-18T00:00:00"/>
    <s v="ST49"/>
    <s v="South"/>
    <s v="P139"/>
    <s v="Shoes"/>
    <n v="1"/>
    <n v="1311.31"/>
    <n v="25"/>
    <n v="821.42"/>
    <x v="0"/>
    <s v="Cash"/>
    <n v="983.48249999999996"/>
    <n v="162.0625"/>
    <s v="Saturday"/>
    <b v="1"/>
    <x v="2"/>
  </r>
  <r>
    <s v="NV2624"/>
    <d v="2025-08-20T00:00:00"/>
    <s v="ST20"/>
    <s v="West"/>
    <s v="P65"/>
    <s v="Shoes"/>
    <n v="3"/>
    <n v="2522.17"/>
    <n v="20"/>
    <n v="1394.54"/>
    <x v="1"/>
    <s v="Cash"/>
    <n v="6053.2080000000005"/>
    <n v="1869.5880000000006"/>
    <s v="Wednesday"/>
    <b v="0"/>
    <x v="5"/>
  </r>
  <r>
    <s v="NV2625"/>
    <d v="2025-07-22T00:00:00"/>
    <s v="ST51"/>
    <s v="West"/>
    <s v="P208"/>
    <s v="Accessories"/>
    <n v="5"/>
    <n v="1556.66"/>
    <n v="0"/>
    <n v="971.32"/>
    <x v="0"/>
    <s v="Cash"/>
    <n v="7783.3"/>
    <n v="2926.7"/>
    <s v="Tuesday"/>
    <b v="0"/>
    <x v="4"/>
  </r>
  <r>
    <s v="NV2626"/>
    <d v="2024-04-24T00:00:00"/>
    <s v="ST46"/>
    <s v="West"/>
    <s v="P111"/>
    <s v="Accessories"/>
    <n v="1"/>
    <n v="453.04"/>
    <n v="0"/>
    <n v="275.19"/>
    <x v="1"/>
    <s v="Cash"/>
    <n v="453.04"/>
    <n v="177.85000000000002"/>
    <s v="Wednesday"/>
    <b v="0"/>
    <x v="8"/>
  </r>
  <r>
    <s v="NV2627"/>
    <d v="2024-01-24T00:00:00"/>
    <s v="ST38"/>
    <s v="North"/>
    <s v="P116"/>
    <s v="Shoes"/>
    <n v="4"/>
    <n v="1209.95"/>
    <n v="20"/>
    <n v="730.63"/>
    <x v="0"/>
    <s v="Card"/>
    <n v="3871.84"/>
    <n v="949.32000000000016"/>
    <s v="Wednesday"/>
    <b v="0"/>
    <x v="10"/>
  </r>
  <r>
    <s v="NV2628"/>
    <d v="2024-12-14T00:00:00"/>
    <s v="ST55"/>
    <s v="North"/>
    <s v="P190"/>
    <s v="Shoes"/>
    <n v="1"/>
    <n v="2172.38"/>
    <n v="10"/>
    <n v="1145.1400000000001"/>
    <x v="0"/>
    <s v="Digital"/>
    <n v="1955.1420000000001"/>
    <n v="810.00199999999995"/>
    <s v="Saturday"/>
    <b v="1"/>
    <x v="11"/>
  </r>
  <r>
    <s v="NV2629"/>
    <d v="2024-03-15T00:00:00"/>
    <s v="ST31"/>
    <s v="South"/>
    <s v="P20"/>
    <s v="Accessories"/>
    <n v="1"/>
    <n v="401.25"/>
    <n v="15"/>
    <n v="257.35000000000002"/>
    <x v="0"/>
    <s v="Card"/>
    <n v="341.0625"/>
    <n v="83.712499999999977"/>
    <s v="Friday"/>
    <b v="0"/>
    <x v="7"/>
  </r>
  <r>
    <s v="NV2630"/>
    <d v="2025-08-18T00:00:00"/>
    <s v="ST52"/>
    <s v="West"/>
    <s v="P115"/>
    <s v="Shoes"/>
    <n v="2"/>
    <n v="1547.74"/>
    <n v="5"/>
    <n v="877.09"/>
    <x v="0"/>
    <s v="Card"/>
    <n v="2940.7059999999997"/>
    <n v="1186.5259999999996"/>
    <s v="Monday"/>
    <b v="0"/>
    <x v="5"/>
  </r>
  <r>
    <s v="NV2631"/>
    <d v="2025-02-09T00:00:00"/>
    <s v="ST37"/>
    <s v="West"/>
    <s v="P58"/>
    <s v="Shoes"/>
    <n v="5"/>
    <n v="1299.1500000000001"/>
    <n v="25"/>
    <n v="527.1"/>
    <x v="0"/>
    <s v="Digital"/>
    <n v="4871.8125"/>
    <n v="2236.3125"/>
    <s v="Sunday"/>
    <b v="1"/>
    <x v="3"/>
  </r>
  <r>
    <s v="NV2632"/>
    <d v="2024-04-25T00:00:00"/>
    <s v="ST51"/>
    <s v="South"/>
    <s v="P136"/>
    <s v="Shoes"/>
    <n v="5"/>
    <n v="2054.4"/>
    <n v="0"/>
    <n v="857.65"/>
    <x v="0"/>
    <s v="Card"/>
    <n v="10272"/>
    <n v="5983.75"/>
    <s v="Thursday"/>
    <b v="0"/>
    <x v="8"/>
  </r>
  <r>
    <s v="NV2633"/>
    <d v="2024-12-23T00:00:00"/>
    <s v="ST12"/>
    <s v="West"/>
    <s v="P42"/>
    <s v="Clothing"/>
    <n v="3"/>
    <n v="2147.69"/>
    <n v="5"/>
    <n v="1502.88"/>
    <x v="0"/>
    <s v="Digital"/>
    <n v="6120.9164999999994"/>
    <n v="1612.276499999999"/>
    <s v="Monday"/>
    <b v="0"/>
    <x v="11"/>
  </r>
  <r>
    <s v="NV2634"/>
    <d v="2025-06-13T00:00:00"/>
    <s v="ST18"/>
    <s v="South"/>
    <s v="P121"/>
    <s v="Shoes"/>
    <n v="2"/>
    <n v="1475.31"/>
    <n v="15"/>
    <n v="955.52"/>
    <x v="0"/>
    <s v="Digital"/>
    <n v="2508.027"/>
    <n v="596.98700000000008"/>
    <s v="Friday"/>
    <b v="0"/>
    <x v="0"/>
  </r>
  <r>
    <s v="NV2635"/>
    <d v="2024-01-30T00:00:00"/>
    <s v="ST1"/>
    <s v="East"/>
    <s v="P105"/>
    <s v="Shoes"/>
    <n v="1"/>
    <n v="2226.41"/>
    <n v="10"/>
    <n v="1547.38"/>
    <x v="1"/>
    <s v="Card"/>
    <n v="2003.769"/>
    <n v="456.3889999999999"/>
    <s v="Tuesday"/>
    <b v="0"/>
    <x v="10"/>
  </r>
  <r>
    <s v="NV2636"/>
    <d v="2024-07-11T00:00:00"/>
    <s v="ST53"/>
    <s v="South"/>
    <s v="P47"/>
    <s v="Accessories"/>
    <n v="4"/>
    <n v="2882.06"/>
    <n v="30"/>
    <n v="1722.2"/>
    <x v="1"/>
    <s v="Digital"/>
    <n v="8069.7679999999991"/>
    <n v="1180.9679999999989"/>
    <s v="Thursday"/>
    <b v="0"/>
    <x v="4"/>
  </r>
  <r>
    <s v="NV2637"/>
    <d v="2024-06-06T00:00:00"/>
    <s v="ST25"/>
    <s v="South"/>
    <s v="P49"/>
    <s v="Shoes"/>
    <n v="1"/>
    <n v="1342.21"/>
    <n v="15"/>
    <n v="744.15"/>
    <x v="0"/>
    <s v="Card"/>
    <n v="1140.8785"/>
    <n v="396.72850000000005"/>
    <s v="Thursday"/>
    <b v="0"/>
    <x v="0"/>
  </r>
  <r>
    <s v="NV2638"/>
    <d v="2025-01-05T00:00:00"/>
    <s v="ST53"/>
    <s v="West"/>
    <s v="P115"/>
    <s v="Clothing"/>
    <n v="1"/>
    <n v="691.66"/>
    <n v="30"/>
    <n v="336.55"/>
    <x v="1"/>
    <s v="Card"/>
    <n v="484.16199999999992"/>
    <n v="147.61199999999991"/>
    <s v="Sunday"/>
    <b v="1"/>
    <x v="10"/>
  </r>
  <r>
    <s v="NV2639"/>
    <d v="2024-02-07T00:00:00"/>
    <s v="ST5"/>
    <s v="West"/>
    <s v="P254"/>
    <s v="Accessories"/>
    <n v="1"/>
    <n v="2346.85"/>
    <n v="30"/>
    <n v="1577.81"/>
    <x v="0"/>
    <s v="Cash"/>
    <n v="1642.7949999999998"/>
    <n v="64.9849999999999"/>
    <s v="Wednesday"/>
    <b v="0"/>
    <x v="3"/>
  </r>
  <r>
    <s v="NV2640"/>
    <d v="2025-09-26T00:00:00"/>
    <s v="ST7"/>
    <s v="West"/>
    <s v="P261"/>
    <s v="Clothing"/>
    <n v="3"/>
    <n v="1147.3399999999999"/>
    <n v="20"/>
    <n v="637.74"/>
    <x v="0"/>
    <s v="Cash"/>
    <n v="2753.616"/>
    <n v="840.39599999999996"/>
    <s v="Friday"/>
    <b v="0"/>
    <x v="6"/>
  </r>
  <r>
    <s v="NV2641"/>
    <d v="2024-08-29T00:00:00"/>
    <s v="ST43"/>
    <s v="West"/>
    <s v="P39"/>
    <s v="Shoes"/>
    <n v="1"/>
    <n v="2675.27"/>
    <n v="0"/>
    <n v="1823.16"/>
    <x v="0"/>
    <s v="Cash"/>
    <n v="2675.27"/>
    <n v="852.1099999999999"/>
    <s v="Thursday"/>
    <b v="0"/>
    <x v="5"/>
  </r>
  <r>
    <s v="NV2642"/>
    <d v="2024-04-17T00:00:00"/>
    <s v="ST58"/>
    <s v="South"/>
    <s v="P136"/>
    <s v="Accessories"/>
    <n v="5"/>
    <n v="1308.24"/>
    <n v="10"/>
    <n v="612.71"/>
    <x v="1"/>
    <s v="Card"/>
    <n v="5887.08"/>
    <n v="2823.5299999999997"/>
    <s v="Wednesday"/>
    <b v="0"/>
    <x v="8"/>
  </r>
  <r>
    <s v="NV2643"/>
    <d v="2025-09-12T00:00:00"/>
    <s v="ST30"/>
    <s v="South"/>
    <s v="P212"/>
    <s v="Shoes"/>
    <n v="5"/>
    <n v="1927.7"/>
    <n v="25"/>
    <n v="775.01"/>
    <x v="1"/>
    <s v="Card"/>
    <n v="7228.875"/>
    <n v="3353.8249999999998"/>
    <s v="Friday"/>
    <b v="0"/>
    <x v="6"/>
  </r>
  <r>
    <s v="NV2644"/>
    <d v="2024-08-04T00:00:00"/>
    <s v="ST18"/>
    <s v="East"/>
    <s v="P82"/>
    <s v="Clothing"/>
    <n v="4"/>
    <n v="796.42"/>
    <n v="20"/>
    <n v="350.67"/>
    <x v="0"/>
    <s v="Digital"/>
    <n v="2548.5439999999999"/>
    <n v="1145.8639999999998"/>
    <s v="Sunday"/>
    <b v="1"/>
    <x v="5"/>
  </r>
  <r>
    <s v="NV2645"/>
    <d v="2024-08-29T00:00:00"/>
    <s v="ST4"/>
    <s v="West"/>
    <s v="P62"/>
    <s v="Accessories"/>
    <n v="1"/>
    <n v="1889.14"/>
    <n v="25"/>
    <n v="874.11"/>
    <x v="0"/>
    <s v="Card"/>
    <n v="1416.855"/>
    <n v="542.745"/>
    <s v="Thursday"/>
    <b v="0"/>
    <x v="5"/>
  </r>
  <r>
    <s v="NV2646"/>
    <d v="2025-04-01T00:00:00"/>
    <s v="ST60"/>
    <s v="South"/>
    <s v="P42"/>
    <s v="Shoes"/>
    <n v="3"/>
    <n v="1122.28"/>
    <n v="25"/>
    <n v="669.4"/>
    <x v="1"/>
    <s v="Card"/>
    <n v="2525.13"/>
    <n v="516.93000000000029"/>
    <s v="Tuesday"/>
    <b v="0"/>
    <x v="8"/>
  </r>
  <r>
    <s v="NV2647"/>
    <d v="2024-01-19T00:00:00"/>
    <s v="ST8"/>
    <s v="East"/>
    <s v="P188"/>
    <s v="Accessories"/>
    <n v="5"/>
    <n v="2384.2199999999998"/>
    <n v="25"/>
    <n v="1121.04"/>
    <x v="1"/>
    <s v="Card"/>
    <n v="8940.8249999999989"/>
    <n v="3335.6249999999991"/>
    <s v="Friday"/>
    <b v="0"/>
    <x v="10"/>
  </r>
  <r>
    <s v="NV2648"/>
    <d v="2024-04-24T00:00:00"/>
    <s v="ST4"/>
    <s v="East"/>
    <s v="P9"/>
    <s v="Clothing"/>
    <n v="3"/>
    <n v="1263.1500000000001"/>
    <n v="5"/>
    <n v="666.12"/>
    <x v="0"/>
    <s v="Cash"/>
    <n v="3599.9775"/>
    <n v="1601.6174999999998"/>
    <s v="Wednesday"/>
    <b v="0"/>
    <x v="8"/>
  </r>
  <r>
    <s v="NV2649"/>
    <d v="2024-04-22T00:00:00"/>
    <s v="ST16"/>
    <s v="East"/>
    <s v="P102"/>
    <s v="Accessories"/>
    <n v="5"/>
    <n v="662.69"/>
    <n v="15"/>
    <n v="377.64"/>
    <x v="1"/>
    <s v="Cash"/>
    <n v="2816.4325000000003"/>
    <n v="928.23250000000053"/>
    <s v="Monday"/>
    <b v="0"/>
    <x v="8"/>
  </r>
  <r>
    <s v="NV2650"/>
    <d v="2024-07-08T00:00:00"/>
    <s v="ST51"/>
    <s v="West"/>
    <s v="P81"/>
    <s v="Clothing"/>
    <n v="5"/>
    <n v="2648.38"/>
    <n v="10"/>
    <n v="1343.12"/>
    <x v="0"/>
    <s v="Card"/>
    <n v="11917.710000000001"/>
    <n v="5202.1100000000015"/>
    <s v="Monday"/>
    <b v="0"/>
    <x v="4"/>
  </r>
  <r>
    <s v="NV2651"/>
    <d v="2024-09-24T00:00:00"/>
    <s v="ST59"/>
    <s v="North"/>
    <s v="P75"/>
    <s v="Accessories"/>
    <n v="4"/>
    <n v="789.09"/>
    <n v="20"/>
    <n v="429.95"/>
    <x v="1"/>
    <s v="Cash"/>
    <n v="2525.0880000000002"/>
    <n v="805.28800000000024"/>
    <s v="Tuesday"/>
    <b v="0"/>
    <x v="6"/>
  </r>
  <r>
    <s v="NV2652"/>
    <d v="2025-02-03T00:00:00"/>
    <s v="ST57"/>
    <s v="North"/>
    <s v="P146"/>
    <s v="Shoes"/>
    <n v="2"/>
    <n v="2191.25"/>
    <n v="10"/>
    <n v="1439.19"/>
    <x v="0"/>
    <s v="Cash"/>
    <n v="3944.25"/>
    <n v="1065.8699999999999"/>
    <s v="Monday"/>
    <b v="0"/>
    <x v="3"/>
  </r>
  <r>
    <s v="NV2653"/>
    <d v="2025-08-08T00:00:00"/>
    <s v="ST8"/>
    <s v="South"/>
    <s v="P97"/>
    <s v="Accessories"/>
    <n v="3"/>
    <n v="2511.23"/>
    <n v="0"/>
    <n v="1506.32"/>
    <x v="1"/>
    <s v="Cash"/>
    <n v="7533.6900000000005"/>
    <n v="3014.7300000000005"/>
    <s v="Friday"/>
    <b v="0"/>
    <x v="5"/>
  </r>
  <r>
    <s v="NV2654"/>
    <d v="2025-08-02T00:00:00"/>
    <s v="ST39"/>
    <s v="West"/>
    <s v="P163"/>
    <s v="Accessories"/>
    <n v="4"/>
    <n v="2222.34"/>
    <n v="20"/>
    <n v="1416.88"/>
    <x v="0"/>
    <s v="Card"/>
    <n v="7111.4880000000012"/>
    <n v="1443.9680000000008"/>
    <s v="Saturday"/>
    <b v="1"/>
    <x v="5"/>
  </r>
  <r>
    <s v="NV2655"/>
    <d v="2025-09-02T00:00:00"/>
    <s v="ST40"/>
    <s v="North"/>
    <s v="P59"/>
    <s v="Clothing"/>
    <n v="2"/>
    <n v="2857.39"/>
    <n v="5"/>
    <n v="1671.05"/>
    <x v="1"/>
    <s v="Digital"/>
    <n v="5429.0409999999993"/>
    <n v="2086.9409999999993"/>
    <s v="Tuesday"/>
    <b v="0"/>
    <x v="6"/>
  </r>
  <r>
    <s v="NV2656"/>
    <d v="2025-06-05T00:00:00"/>
    <s v="ST47"/>
    <s v="South"/>
    <s v="P221"/>
    <s v="Shoes"/>
    <n v="4"/>
    <n v="2121.4699999999998"/>
    <n v="10"/>
    <n v="1482.46"/>
    <x v="0"/>
    <s v="Digital"/>
    <n v="7637.2919999999995"/>
    <n v="1707.4519999999993"/>
    <s v="Thursday"/>
    <b v="0"/>
    <x v="0"/>
  </r>
  <r>
    <s v="NV2657"/>
    <d v="2025-05-11T00:00:00"/>
    <s v="ST12"/>
    <s v="North"/>
    <s v="P221"/>
    <s v="Accessories"/>
    <n v="4"/>
    <n v="851.52"/>
    <n v="20"/>
    <n v="370.24"/>
    <x v="0"/>
    <s v="Card"/>
    <n v="2724.864"/>
    <n v="1243.904"/>
    <s v="Sunday"/>
    <b v="1"/>
    <x v="9"/>
  </r>
  <r>
    <s v="NV2658"/>
    <d v="2025-09-01T00:00:00"/>
    <s v="ST30"/>
    <s v="West"/>
    <s v="P298"/>
    <s v="Clothing"/>
    <n v="5"/>
    <n v="2165.15"/>
    <n v="5"/>
    <n v="1096.28"/>
    <x v="0"/>
    <s v="Card"/>
    <n v="10284.4625"/>
    <n v="4803.0625"/>
    <s v="Monday"/>
    <b v="0"/>
    <x v="6"/>
  </r>
  <r>
    <s v="NV2659"/>
    <d v="2025-02-03T00:00:00"/>
    <s v="ST57"/>
    <s v="West"/>
    <s v="P181"/>
    <s v="Shoes"/>
    <n v="2"/>
    <n v="484.84"/>
    <n v="25"/>
    <n v="313.60000000000002"/>
    <x v="1"/>
    <s v="Cash"/>
    <n v="727.26"/>
    <n v="100.05999999999995"/>
    <s v="Monday"/>
    <b v="0"/>
    <x v="3"/>
  </r>
  <r>
    <s v="NV2660"/>
    <d v="2024-03-28T00:00:00"/>
    <s v="ST49"/>
    <s v="South"/>
    <s v="P76"/>
    <s v="Accessories"/>
    <n v="3"/>
    <n v="511.55"/>
    <n v="25"/>
    <n v="220.16"/>
    <x v="1"/>
    <s v="Digital"/>
    <n v="1150.9875000000002"/>
    <n v="490.50750000000016"/>
    <s v="Thursday"/>
    <b v="0"/>
    <x v="7"/>
  </r>
  <r>
    <s v="NV2661"/>
    <d v="2024-01-11T00:00:00"/>
    <s v="ST26"/>
    <s v="North"/>
    <s v="P214"/>
    <s v="Clothing"/>
    <n v="5"/>
    <n v="983.2"/>
    <n v="20"/>
    <n v="622.5"/>
    <x v="0"/>
    <s v="Digital"/>
    <n v="3932.8"/>
    <n v="820.30000000000018"/>
    <s v="Thursday"/>
    <b v="0"/>
    <x v="10"/>
  </r>
  <r>
    <s v="NV2662"/>
    <d v="2024-02-19T00:00:00"/>
    <s v="ST7"/>
    <s v="East"/>
    <s v="P285"/>
    <s v="Accessories"/>
    <n v="3"/>
    <n v="2051.2399999999998"/>
    <n v="20"/>
    <n v="1294.6300000000001"/>
    <x v="0"/>
    <s v="Card"/>
    <n v="4922.9759999999997"/>
    <n v="1039.0859999999993"/>
    <s v="Monday"/>
    <b v="0"/>
    <x v="3"/>
  </r>
  <r>
    <s v="NV2663"/>
    <d v="2024-06-20T00:00:00"/>
    <s v="ST53"/>
    <s v="North"/>
    <s v="P300"/>
    <s v="Shoes"/>
    <n v="3"/>
    <n v="1288.57"/>
    <n v="25"/>
    <n v="875.19"/>
    <x v="0"/>
    <s v="Cash"/>
    <n v="2899.2825000000003"/>
    <n v="273.71250000000009"/>
    <s v="Thursday"/>
    <b v="0"/>
    <x v="0"/>
  </r>
  <r>
    <s v="NV2664"/>
    <d v="2024-01-12T00:00:00"/>
    <s v="ST2"/>
    <s v="East"/>
    <s v="P186"/>
    <s v="Shoes"/>
    <n v="4"/>
    <n v="1360.66"/>
    <n v="30"/>
    <n v="739.52"/>
    <x v="0"/>
    <s v="Cash"/>
    <n v="3809.848"/>
    <n v="851.76800000000003"/>
    <s v="Friday"/>
    <b v="0"/>
    <x v="10"/>
  </r>
  <r>
    <s v="NV2665"/>
    <d v="2025-07-31T00:00:00"/>
    <s v="ST40"/>
    <s v="East"/>
    <s v="P57"/>
    <s v="Clothing"/>
    <n v="5"/>
    <n v="649.16999999999996"/>
    <n v="30"/>
    <n v="429.67"/>
    <x v="0"/>
    <s v="Cash"/>
    <n v="2272.0949999999998"/>
    <n v="123.74499999999989"/>
    <s v="Thursday"/>
    <b v="0"/>
    <x v="4"/>
  </r>
  <r>
    <s v="NV2666"/>
    <d v="2025-01-13T00:00:00"/>
    <s v="ST34"/>
    <s v="West"/>
    <s v="P200"/>
    <s v="Clothing"/>
    <n v="1"/>
    <n v="2815.13"/>
    <n v="25"/>
    <n v="1225.46"/>
    <x v="1"/>
    <s v="Digital"/>
    <n v="2111.3474999999999"/>
    <n v="885.88749999999982"/>
    <s v="Monday"/>
    <b v="0"/>
    <x v="10"/>
  </r>
  <r>
    <s v="NV2667"/>
    <d v="2024-09-21T00:00:00"/>
    <s v="ST23"/>
    <s v="North"/>
    <s v="P27"/>
    <s v="Shoes"/>
    <n v="5"/>
    <n v="381.84"/>
    <n v="5"/>
    <n v="188.77"/>
    <x v="1"/>
    <s v="Card"/>
    <n v="1813.7399999999998"/>
    <n v="869.88999999999976"/>
    <s v="Saturday"/>
    <b v="1"/>
    <x v="6"/>
  </r>
  <r>
    <s v="NV2668"/>
    <d v="2025-08-24T00:00:00"/>
    <s v="ST5"/>
    <s v="South"/>
    <s v="P156"/>
    <s v="Shoes"/>
    <n v="5"/>
    <n v="2423.21"/>
    <n v="10"/>
    <n v="1337.16"/>
    <x v="1"/>
    <s v="Card"/>
    <n v="10904.445"/>
    <n v="4218.6449999999995"/>
    <s v="Sunday"/>
    <b v="1"/>
    <x v="5"/>
  </r>
  <r>
    <s v="NV2669"/>
    <d v="2024-09-18T00:00:00"/>
    <s v="ST41"/>
    <s v="East"/>
    <s v="P117"/>
    <s v="Clothing"/>
    <n v="2"/>
    <n v="833.61"/>
    <n v="30"/>
    <n v="425.57"/>
    <x v="0"/>
    <s v="Digital"/>
    <n v="1167.0539999999999"/>
    <n v="315.91399999999987"/>
    <s v="Wednesday"/>
    <b v="0"/>
    <x v="6"/>
  </r>
  <r>
    <s v="NV2670"/>
    <d v="2025-06-11T00:00:00"/>
    <s v="ST24"/>
    <s v="West"/>
    <s v="P241"/>
    <s v="Clothing"/>
    <n v="2"/>
    <n v="700.16"/>
    <n v="10"/>
    <n v="486.39"/>
    <x v="1"/>
    <s v="Card"/>
    <n v="1260.288"/>
    <n v="287.50800000000004"/>
    <s v="Wednesday"/>
    <b v="0"/>
    <x v="0"/>
  </r>
  <r>
    <s v="NV2671"/>
    <d v="2025-04-09T00:00:00"/>
    <s v="ST47"/>
    <s v="East"/>
    <s v="P290"/>
    <s v="Clothing"/>
    <n v="1"/>
    <n v="2482.39"/>
    <n v="25"/>
    <n v="1448.01"/>
    <x v="1"/>
    <s v="Cash"/>
    <n v="1861.7925"/>
    <n v="413.78250000000003"/>
    <s v="Wednesday"/>
    <b v="0"/>
    <x v="8"/>
  </r>
  <r>
    <s v="NV2672"/>
    <d v="2025-08-22T00:00:00"/>
    <s v="ST12"/>
    <s v="East"/>
    <s v="P294"/>
    <s v="Accessories"/>
    <n v="3"/>
    <n v="649.16"/>
    <n v="5"/>
    <n v="449.17"/>
    <x v="0"/>
    <s v="Digital"/>
    <n v="1850.106"/>
    <n v="502.596"/>
    <s v="Friday"/>
    <b v="0"/>
    <x v="5"/>
  </r>
  <r>
    <s v="NV2673"/>
    <d v="2025-11-01T00:00:00"/>
    <s v="ST50"/>
    <s v="East"/>
    <s v="P175"/>
    <s v="Accessories"/>
    <n v="4"/>
    <n v="2894.87"/>
    <n v="15"/>
    <n v="1233.54"/>
    <x v="1"/>
    <s v="Cash"/>
    <n v="9842.5579999999991"/>
    <n v="4908.3979999999992"/>
    <s v="Saturday"/>
    <b v="1"/>
    <x v="1"/>
  </r>
  <r>
    <s v="NV2674"/>
    <d v="2024-07-30T00:00:00"/>
    <s v="ST21"/>
    <s v="South"/>
    <s v="P171"/>
    <s v="Shoes"/>
    <n v="4"/>
    <n v="2956.87"/>
    <n v="5"/>
    <n v="1240.9100000000001"/>
    <x v="0"/>
    <s v="Card"/>
    <n v="11236.106"/>
    <n v="6272.4659999999994"/>
    <s v="Tuesday"/>
    <b v="0"/>
    <x v="4"/>
  </r>
  <r>
    <s v="NV2675"/>
    <d v="2024-10-11T00:00:00"/>
    <s v="ST14"/>
    <s v="West"/>
    <s v="P27"/>
    <s v="Clothing"/>
    <n v="3"/>
    <n v="1307.3599999999999"/>
    <n v="30"/>
    <n v="833.77"/>
    <x v="1"/>
    <s v="Cash"/>
    <n v="2745.4559999999997"/>
    <n v="244.14599999999973"/>
    <s v="Friday"/>
    <b v="0"/>
    <x v="2"/>
  </r>
  <r>
    <s v="NV2676"/>
    <d v="2025-08-30T00:00:00"/>
    <s v="ST7"/>
    <s v="North"/>
    <s v="P204"/>
    <s v="Accessories"/>
    <n v="2"/>
    <n v="1653.48"/>
    <n v="15"/>
    <n v="895"/>
    <x v="0"/>
    <s v="Cash"/>
    <n v="2810.9160000000002"/>
    <n v="1020.9160000000002"/>
    <s v="Saturday"/>
    <b v="1"/>
    <x v="5"/>
  </r>
  <r>
    <s v="NV2677"/>
    <d v="2025-03-26T00:00:00"/>
    <s v="ST47"/>
    <s v="South"/>
    <s v="P15"/>
    <s v="Shoes"/>
    <n v="5"/>
    <n v="1132.96"/>
    <n v="20"/>
    <n v="703.11"/>
    <x v="0"/>
    <s v="Card"/>
    <n v="4531.84"/>
    <n v="1016.29"/>
    <s v="Wednesday"/>
    <b v="0"/>
    <x v="7"/>
  </r>
  <r>
    <s v="NV2678"/>
    <d v="2025-03-03T00:00:00"/>
    <s v="ST53"/>
    <s v="South"/>
    <s v="P251"/>
    <s v="Shoes"/>
    <n v="2"/>
    <n v="457.56"/>
    <n v="30"/>
    <n v="303.89"/>
    <x v="1"/>
    <s v="Card"/>
    <n v="640.58399999999995"/>
    <n v="32.803999999999974"/>
    <s v="Monday"/>
    <b v="0"/>
    <x v="7"/>
  </r>
  <r>
    <s v="NV2679"/>
    <d v="2024-10-24T00:00:00"/>
    <s v="ST45"/>
    <s v="South"/>
    <s v="P242"/>
    <s v="Clothing"/>
    <n v="5"/>
    <n v="2272.88"/>
    <n v="0"/>
    <n v="1012.08"/>
    <x v="0"/>
    <s v="Card"/>
    <n v="11364.400000000001"/>
    <n v="6304.0000000000009"/>
    <s v="Thursday"/>
    <b v="0"/>
    <x v="2"/>
  </r>
  <r>
    <s v="NV2680"/>
    <d v="2024-10-28T00:00:00"/>
    <s v="ST59"/>
    <s v="West"/>
    <s v="P272"/>
    <s v="Accessories"/>
    <n v="1"/>
    <n v="1544.25"/>
    <n v="20"/>
    <n v="762.42"/>
    <x v="1"/>
    <s v="Cash"/>
    <n v="1235.4000000000001"/>
    <n v="472.98000000000013"/>
    <s v="Monday"/>
    <b v="0"/>
    <x v="2"/>
  </r>
  <r>
    <s v="NV2681"/>
    <d v="2024-08-05T00:00:00"/>
    <s v="ST28"/>
    <s v="North"/>
    <s v="P101"/>
    <s v="Clothing"/>
    <n v="3"/>
    <n v="2804.59"/>
    <n v="0"/>
    <n v="1873.06"/>
    <x v="0"/>
    <s v="Cash"/>
    <n v="8413.77"/>
    <n v="2794.59"/>
    <s v="Monday"/>
    <b v="0"/>
    <x v="5"/>
  </r>
  <r>
    <s v="NV2682"/>
    <d v="2025-09-13T00:00:00"/>
    <s v="ST37"/>
    <s v="North"/>
    <s v="P7"/>
    <s v="Shoes"/>
    <n v="5"/>
    <n v="2980.33"/>
    <n v="30"/>
    <n v="1757.67"/>
    <x v="0"/>
    <s v="Digital"/>
    <n v="10431.154999999999"/>
    <n v="1642.8049999999985"/>
    <s v="Saturday"/>
    <b v="1"/>
    <x v="6"/>
  </r>
  <r>
    <s v="NV2683"/>
    <d v="2025-07-18T00:00:00"/>
    <s v="ST4"/>
    <s v="North"/>
    <s v="P194"/>
    <s v="Clothing"/>
    <n v="1"/>
    <n v="2531.02"/>
    <n v="25"/>
    <n v="1725.59"/>
    <x v="1"/>
    <s v="Cash"/>
    <n v="1898.2649999999999"/>
    <n v="172.67499999999995"/>
    <s v="Friday"/>
    <b v="0"/>
    <x v="4"/>
  </r>
  <r>
    <s v="NV2684"/>
    <d v="2025-11-05T00:00:00"/>
    <s v="ST19"/>
    <s v="East"/>
    <s v="P226"/>
    <s v="Clothing"/>
    <n v="5"/>
    <n v="1691.09"/>
    <n v="0"/>
    <n v="1118.92"/>
    <x v="0"/>
    <s v="Digital"/>
    <n v="8455.4499999999989"/>
    <n v="2860.8499999999985"/>
    <s v="Wednesday"/>
    <b v="0"/>
    <x v="1"/>
  </r>
  <r>
    <s v="NV2685"/>
    <d v="2024-07-26T00:00:00"/>
    <s v="ST24"/>
    <s v="West"/>
    <s v="P111"/>
    <s v="Shoes"/>
    <n v="2"/>
    <n v="2740.18"/>
    <n v="30"/>
    <n v="1579.01"/>
    <x v="1"/>
    <s v="Digital"/>
    <n v="3836.2519999999995"/>
    <n v="678.23199999999952"/>
    <s v="Friday"/>
    <b v="0"/>
    <x v="4"/>
  </r>
  <r>
    <s v="NV2686"/>
    <d v="2025-07-24T00:00:00"/>
    <s v="ST36"/>
    <s v="South"/>
    <s v="P87"/>
    <s v="Clothing"/>
    <n v="2"/>
    <n v="830.25"/>
    <n v="10"/>
    <n v="439.24"/>
    <x v="0"/>
    <s v="Card"/>
    <n v="1494.45"/>
    <n v="615.97"/>
    <s v="Thursday"/>
    <b v="0"/>
    <x v="4"/>
  </r>
  <r>
    <s v="NV2687"/>
    <d v="2024-05-11T00:00:00"/>
    <s v="ST7"/>
    <s v="North"/>
    <s v="P191"/>
    <s v="Shoes"/>
    <n v="5"/>
    <n v="1425.32"/>
    <n v="0"/>
    <n v="656.42"/>
    <x v="0"/>
    <s v="Digital"/>
    <n v="7126.5999999999995"/>
    <n v="3844.4999999999995"/>
    <s v="Saturday"/>
    <b v="1"/>
    <x v="9"/>
  </r>
  <r>
    <s v="NV2688"/>
    <d v="2025-01-27T00:00:00"/>
    <s v="ST9"/>
    <s v="West"/>
    <s v="P194"/>
    <s v="Accessories"/>
    <n v="3"/>
    <n v="344.93"/>
    <n v="0"/>
    <n v="228.34"/>
    <x v="1"/>
    <s v="Card"/>
    <n v="1034.79"/>
    <n v="349.77"/>
    <s v="Monday"/>
    <b v="0"/>
    <x v="10"/>
  </r>
  <r>
    <s v="NV2689"/>
    <d v="2024-11-07T00:00:00"/>
    <s v="ST6"/>
    <s v="North"/>
    <s v="P32"/>
    <s v="Shoes"/>
    <n v="3"/>
    <n v="1963.33"/>
    <n v="25"/>
    <n v="1367.98"/>
    <x v="1"/>
    <s v="Cash"/>
    <n v="4417.4925000000003"/>
    <n v="313.55249999999978"/>
    <s v="Thursday"/>
    <b v="0"/>
    <x v="1"/>
  </r>
  <r>
    <s v="NV2690"/>
    <d v="2024-02-17T00:00:00"/>
    <s v="ST46"/>
    <s v="North"/>
    <s v="P119"/>
    <s v="Clothing"/>
    <n v="4"/>
    <n v="2265.58"/>
    <n v="25"/>
    <n v="1194.77"/>
    <x v="1"/>
    <s v="Digital"/>
    <n v="6796.74"/>
    <n v="2017.6599999999999"/>
    <s v="Saturday"/>
    <b v="1"/>
    <x v="3"/>
  </r>
  <r>
    <s v="NV2691"/>
    <d v="2024-02-26T00:00:00"/>
    <s v="ST28"/>
    <s v="East"/>
    <s v="P47"/>
    <s v="Clothing"/>
    <n v="5"/>
    <n v="1156.1099999999999"/>
    <n v="20"/>
    <n v="744.78"/>
    <x v="0"/>
    <s v="Card"/>
    <n v="4624.4399999999996"/>
    <n v="900.54"/>
    <s v="Monday"/>
    <b v="0"/>
    <x v="3"/>
  </r>
  <r>
    <s v="NV2692"/>
    <d v="2025-10-12T00:00:00"/>
    <s v="ST35"/>
    <s v="East"/>
    <s v="P85"/>
    <s v="Accessories"/>
    <n v="5"/>
    <n v="1192.21"/>
    <n v="15"/>
    <n v="752.72"/>
    <x v="0"/>
    <s v="Digital"/>
    <n v="5066.8924999999999"/>
    <n v="1303.2924999999996"/>
    <s v="Sunday"/>
    <b v="1"/>
    <x v="2"/>
  </r>
  <r>
    <s v="NV2693"/>
    <d v="2025-09-09T00:00:00"/>
    <s v="ST21"/>
    <s v="North"/>
    <s v="P88"/>
    <s v="Shoes"/>
    <n v="5"/>
    <n v="1955.49"/>
    <n v="5"/>
    <n v="950.13"/>
    <x v="1"/>
    <s v="Cash"/>
    <n v="9288.5774999999994"/>
    <n v="4537.9274999999998"/>
    <s v="Tuesday"/>
    <b v="0"/>
    <x v="6"/>
  </r>
  <r>
    <s v="NV2694"/>
    <d v="2024-12-20T00:00:00"/>
    <s v="ST49"/>
    <s v="East"/>
    <s v="P236"/>
    <s v="Shoes"/>
    <n v="4"/>
    <n v="993.9"/>
    <n v="10"/>
    <n v="585.32000000000005"/>
    <x v="0"/>
    <s v="Card"/>
    <n v="3578.04"/>
    <n v="1236.7599999999998"/>
    <s v="Friday"/>
    <b v="0"/>
    <x v="11"/>
  </r>
  <r>
    <s v="NV2695"/>
    <d v="2024-12-25T00:00:00"/>
    <s v="ST44"/>
    <s v="West"/>
    <s v="P299"/>
    <s v="Clothing"/>
    <n v="1"/>
    <n v="1078.55"/>
    <n v="25"/>
    <n v="512.61"/>
    <x v="0"/>
    <s v="Card"/>
    <n v="808.91249999999991"/>
    <n v="296.3024999999999"/>
    <s v="Wednesday"/>
    <b v="0"/>
    <x v="11"/>
  </r>
  <r>
    <s v="NV2696"/>
    <d v="2025-06-21T00:00:00"/>
    <s v="ST45"/>
    <s v="West"/>
    <s v="P18"/>
    <s v="Accessories"/>
    <n v="5"/>
    <n v="2289.59"/>
    <n v="25"/>
    <n v="1060.73"/>
    <x v="0"/>
    <s v="Card"/>
    <n v="8585.9625000000015"/>
    <n v="3282.3125000000018"/>
    <s v="Saturday"/>
    <b v="1"/>
    <x v="0"/>
  </r>
  <r>
    <s v="NV2697"/>
    <d v="2024-01-06T00:00:00"/>
    <s v="ST33"/>
    <s v="East"/>
    <s v="P110"/>
    <s v="Clothing"/>
    <n v="1"/>
    <n v="1421.37"/>
    <n v="15"/>
    <n v="895.14"/>
    <x v="0"/>
    <s v="Digital"/>
    <n v="1208.1644999999999"/>
    <n v="313.02449999999988"/>
    <s v="Saturday"/>
    <b v="1"/>
    <x v="10"/>
  </r>
  <r>
    <s v="NV2698"/>
    <d v="2025-01-24T00:00:00"/>
    <s v="ST35"/>
    <s v="South"/>
    <s v="P184"/>
    <s v="Clothing"/>
    <n v="4"/>
    <n v="917.04"/>
    <n v="10"/>
    <n v="381.14"/>
    <x v="1"/>
    <s v="Card"/>
    <n v="3301.3440000000001"/>
    <n v="1776.7840000000001"/>
    <s v="Friday"/>
    <b v="0"/>
    <x v="10"/>
  </r>
  <r>
    <s v="NV2699"/>
    <d v="2025-01-07T00:00:00"/>
    <s v="ST22"/>
    <s v="West"/>
    <s v="P250"/>
    <s v="Shoes"/>
    <n v="2"/>
    <n v="2783.31"/>
    <n v="30"/>
    <n v="1894.28"/>
    <x v="0"/>
    <s v="Digital"/>
    <n v="3896.6339999999996"/>
    <n v="108.07399999999961"/>
    <s v="Tuesday"/>
    <b v="0"/>
    <x v="10"/>
  </r>
  <r>
    <s v="NV2700"/>
    <d v="2024-12-09T00:00:00"/>
    <s v="ST24"/>
    <s v="South"/>
    <s v="P84"/>
    <s v="Accessories"/>
    <n v="4"/>
    <n v="770.15"/>
    <n v="25"/>
    <n v="486.71"/>
    <x v="1"/>
    <s v="Card"/>
    <n v="2310.4499999999998"/>
    <n v="363.6099999999999"/>
    <s v="Monday"/>
    <b v="0"/>
    <x v="11"/>
  </r>
  <r>
    <s v="NV2701"/>
    <d v="2025-11-25T00:00:00"/>
    <s v="ST23"/>
    <s v="South"/>
    <s v="P82"/>
    <s v="Accessories"/>
    <n v="5"/>
    <n v="1442.7"/>
    <n v="0"/>
    <n v="745.62"/>
    <x v="1"/>
    <s v="Cash"/>
    <n v="7213.5"/>
    <n v="3485.4"/>
    <s v="Tuesday"/>
    <b v="0"/>
    <x v="1"/>
  </r>
  <r>
    <s v="NV2702"/>
    <d v="2025-03-06T00:00:00"/>
    <s v="ST6"/>
    <s v="South"/>
    <s v="P227"/>
    <s v="Shoes"/>
    <n v="1"/>
    <n v="1184.7"/>
    <n v="0"/>
    <n v="618.83000000000004"/>
    <x v="0"/>
    <s v="Card"/>
    <n v="1184.7"/>
    <n v="565.87"/>
    <s v="Thursday"/>
    <b v="0"/>
    <x v="7"/>
  </r>
  <r>
    <s v="NV2703"/>
    <d v="2025-06-07T00:00:00"/>
    <s v="ST33"/>
    <s v="East"/>
    <s v="P124"/>
    <s v="Accessories"/>
    <n v="5"/>
    <n v="1253.98"/>
    <n v="30"/>
    <n v="620.45000000000005"/>
    <x v="0"/>
    <s v="Card"/>
    <n v="4388.9299999999994"/>
    <n v="1286.6799999999994"/>
    <s v="Saturday"/>
    <b v="1"/>
    <x v="0"/>
  </r>
  <r>
    <s v="NV2704"/>
    <d v="2025-03-06T00:00:00"/>
    <s v="ST46"/>
    <s v="West"/>
    <s v="P122"/>
    <s v="Shoes"/>
    <n v="3"/>
    <n v="1230.8499999999999"/>
    <n v="15"/>
    <n v="666.89"/>
    <x v="1"/>
    <s v="Card"/>
    <n v="3138.6674999999996"/>
    <n v="1137.9974999999995"/>
    <s v="Thursday"/>
    <b v="0"/>
    <x v="7"/>
  </r>
  <r>
    <s v="NV2705"/>
    <d v="2024-10-12T00:00:00"/>
    <s v="ST1"/>
    <s v="South"/>
    <s v="P21"/>
    <s v="Shoes"/>
    <n v="4"/>
    <n v="1053.2"/>
    <n v="10"/>
    <n v="585.89"/>
    <x v="1"/>
    <s v="Card"/>
    <n v="3791.5200000000004"/>
    <n v="1447.9600000000005"/>
    <s v="Saturday"/>
    <b v="1"/>
    <x v="2"/>
  </r>
  <r>
    <s v="NV2706"/>
    <d v="2024-07-28T00:00:00"/>
    <s v="ST33"/>
    <s v="West"/>
    <s v="P217"/>
    <s v="Clothing"/>
    <n v="5"/>
    <n v="1305.49"/>
    <n v="15"/>
    <n v="729.28"/>
    <x v="1"/>
    <s v="Cash"/>
    <n v="5548.3324999999995"/>
    <n v="1901.9324999999999"/>
    <s v="Sunday"/>
    <b v="1"/>
    <x v="4"/>
  </r>
  <r>
    <s v="NV2707"/>
    <d v="2025-11-16T00:00:00"/>
    <s v="ST38"/>
    <s v="North"/>
    <s v="P120"/>
    <s v="Accessories"/>
    <n v="2"/>
    <n v="2879.61"/>
    <n v="10"/>
    <n v="1514.68"/>
    <x v="0"/>
    <s v="Card"/>
    <n v="5183.2980000000007"/>
    <n v="2153.9380000000006"/>
    <s v="Sunday"/>
    <b v="1"/>
    <x v="1"/>
  </r>
  <r>
    <s v="NV2708"/>
    <d v="2025-01-12T00:00:00"/>
    <s v="ST5"/>
    <s v="West"/>
    <s v="P270"/>
    <s v="Clothing"/>
    <n v="3"/>
    <n v="1269.25"/>
    <n v="5"/>
    <n v="609.49"/>
    <x v="0"/>
    <s v="Digital"/>
    <n v="3617.3624999999997"/>
    <n v="1788.8924999999997"/>
    <s v="Sunday"/>
    <b v="1"/>
    <x v="10"/>
  </r>
  <r>
    <s v="NV2709"/>
    <d v="2024-04-18T00:00:00"/>
    <s v="ST30"/>
    <s v="East"/>
    <s v="P111"/>
    <s v="Accessories"/>
    <n v="4"/>
    <n v="1474.85"/>
    <n v="15"/>
    <n v="788.06"/>
    <x v="1"/>
    <s v="Cash"/>
    <n v="5014.49"/>
    <n v="1862.25"/>
    <s v="Thursday"/>
    <b v="0"/>
    <x v="8"/>
  </r>
  <r>
    <s v="NV2710"/>
    <d v="2024-01-17T00:00:00"/>
    <s v="ST55"/>
    <s v="West"/>
    <s v="P250"/>
    <s v="Clothing"/>
    <n v="4"/>
    <n v="2438.3200000000002"/>
    <n v="15"/>
    <n v="1609.36"/>
    <x v="0"/>
    <s v="Card"/>
    <n v="8290.2880000000005"/>
    <n v="1852.8480000000009"/>
    <s v="Wednesday"/>
    <b v="0"/>
    <x v="10"/>
  </r>
  <r>
    <s v="NV2711"/>
    <d v="2025-01-28T00:00:00"/>
    <s v="ST51"/>
    <s v="West"/>
    <s v="P22"/>
    <s v="Accessories"/>
    <n v="4"/>
    <n v="2388.44"/>
    <n v="10"/>
    <n v="1671.63"/>
    <x v="0"/>
    <s v="Card"/>
    <n v="8598.384"/>
    <n v="1911.8639999999996"/>
    <s v="Tuesday"/>
    <b v="0"/>
    <x v="10"/>
  </r>
  <r>
    <s v="NV2712"/>
    <d v="2025-01-19T00:00:00"/>
    <s v="ST53"/>
    <s v="South"/>
    <s v="P148"/>
    <s v="Accessories"/>
    <n v="4"/>
    <n v="695.3"/>
    <n v="10"/>
    <n v="484.81"/>
    <x v="0"/>
    <s v="Card"/>
    <n v="2503.08"/>
    <n v="563.83999999999992"/>
    <s v="Sunday"/>
    <b v="1"/>
    <x v="10"/>
  </r>
  <r>
    <s v="NV2713"/>
    <d v="2024-05-06T00:00:00"/>
    <s v="ST28"/>
    <s v="East"/>
    <s v="P238"/>
    <s v="Accessories"/>
    <n v="1"/>
    <n v="626.66999999999996"/>
    <n v="20"/>
    <n v="292.5"/>
    <x v="1"/>
    <s v="Card"/>
    <n v="501.33600000000001"/>
    <n v="208.83600000000001"/>
    <s v="Monday"/>
    <b v="0"/>
    <x v="9"/>
  </r>
  <r>
    <s v="NV2714"/>
    <d v="2024-07-15T00:00:00"/>
    <s v="ST34"/>
    <s v="South"/>
    <s v="P29"/>
    <s v="Accessories"/>
    <n v="3"/>
    <n v="885.67"/>
    <n v="30"/>
    <n v="558.35"/>
    <x v="1"/>
    <s v="Cash"/>
    <n v="1859.9069999999997"/>
    <n v="184.85699999999952"/>
    <s v="Monday"/>
    <b v="0"/>
    <x v="4"/>
  </r>
  <r>
    <s v="NV2715"/>
    <d v="2025-01-16T00:00:00"/>
    <s v="ST21"/>
    <s v="South"/>
    <s v="P50"/>
    <s v="Clothing"/>
    <n v="5"/>
    <n v="1023.75"/>
    <n v="15"/>
    <n v="498.46"/>
    <x v="0"/>
    <s v="Cash"/>
    <n v="4350.9375"/>
    <n v="1858.6375000000003"/>
    <s v="Thursday"/>
    <b v="0"/>
    <x v="10"/>
  </r>
  <r>
    <s v="NV2716"/>
    <d v="2024-03-27T00:00:00"/>
    <s v="ST19"/>
    <s v="West"/>
    <s v="P41"/>
    <s v="Accessories"/>
    <n v="5"/>
    <n v="2720.82"/>
    <n v="30"/>
    <n v="1308.45"/>
    <x v="0"/>
    <s v="Card"/>
    <n v="9522.869999999999"/>
    <n v="2980.619999999999"/>
    <s v="Wednesday"/>
    <b v="0"/>
    <x v="7"/>
  </r>
  <r>
    <s v="NV2717"/>
    <d v="2024-09-22T00:00:00"/>
    <s v="ST24"/>
    <s v="West"/>
    <s v="P10"/>
    <s v="Shoes"/>
    <n v="5"/>
    <n v="1355.05"/>
    <n v="5"/>
    <n v="600.73"/>
    <x v="1"/>
    <s v="Card"/>
    <n v="6436.4874999999993"/>
    <n v="3432.8374999999992"/>
    <s v="Sunday"/>
    <b v="1"/>
    <x v="6"/>
  </r>
  <r>
    <s v="NV2718"/>
    <d v="2024-02-22T00:00:00"/>
    <s v="ST29"/>
    <s v="West"/>
    <s v="P223"/>
    <s v="Shoes"/>
    <n v="3"/>
    <n v="2637.48"/>
    <n v="5"/>
    <n v="1162.06"/>
    <x v="1"/>
    <s v="Cash"/>
    <n v="7516.8180000000002"/>
    <n v="4030.6380000000004"/>
    <s v="Thursday"/>
    <b v="0"/>
    <x v="3"/>
  </r>
  <r>
    <s v="NV2719"/>
    <d v="2024-03-07T00:00:00"/>
    <s v="ST42"/>
    <s v="East"/>
    <s v="P62"/>
    <s v="Clothing"/>
    <n v="4"/>
    <n v="1795.58"/>
    <n v="25"/>
    <n v="1246.93"/>
    <x v="1"/>
    <s v="Cash"/>
    <n v="5386.74"/>
    <n v="399.01999999999953"/>
    <s v="Thursday"/>
    <b v="0"/>
    <x v="7"/>
  </r>
  <r>
    <s v="NV2720"/>
    <d v="2025-01-18T00:00:00"/>
    <s v="ST2"/>
    <s v="North"/>
    <s v="P254"/>
    <s v="Accessories"/>
    <n v="1"/>
    <n v="900.54"/>
    <n v="0"/>
    <n v="503"/>
    <x v="0"/>
    <s v="Cash"/>
    <n v="900.54"/>
    <n v="397.53999999999996"/>
    <s v="Saturday"/>
    <b v="1"/>
    <x v="10"/>
  </r>
  <r>
    <s v="NV2721"/>
    <d v="2024-02-19T00:00:00"/>
    <s v="ST42"/>
    <s v="South"/>
    <s v="P118"/>
    <s v="Shoes"/>
    <n v="4"/>
    <n v="1840.29"/>
    <n v="5"/>
    <n v="1047.4000000000001"/>
    <x v="1"/>
    <s v="Card"/>
    <n v="6993.1019999999999"/>
    <n v="2803.5019999999995"/>
    <s v="Monday"/>
    <b v="0"/>
    <x v="3"/>
  </r>
  <r>
    <s v="NV2722"/>
    <d v="2025-10-17T00:00:00"/>
    <s v="ST30"/>
    <s v="West"/>
    <s v="P134"/>
    <s v="Shoes"/>
    <n v="1"/>
    <n v="2036.05"/>
    <n v="30"/>
    <n v="972.18"/>
    <x v="1"/>
    <s v="Digital"/>
    <n v="1425.2349999999999"/>
    <n v="453.05499999999995"/>
    <s v="Friday"/>
    <b v="0"/>
    <x v="2"/>
  </r>
  <r>
    <s v="NV2723"/>
    <d v="2025-10-24T00:00:00"/>
    <s v="ST26"/>
    <s v="East"/>
    <s v="P282"/>
    <s v="Accessories"/>
    <n v="4"/>
    <n v="1403.18"/>
    <n v="0"/>
    <n v="796.78"/>
    <x v="1"/>
    <s v="Cash"/>
    <n v="5612.72"/>
    <n v="2425.6000000000004"/>
    <s v="Friday"/>
    <b v="0"/>
    <x v="2"/>
  </r>
  <r>
    <s v="NV2724"/>
    <d v="2025-03-30T00:00:00"/>
    <s v="ST60"/>
    <s v="North"/>
    <s v="P26"/>
    <s v="Accessories"/>
    <n v="5"/>
    <n v="568"/>
    <n v="30"/>
    <n v="377.92"/>
    <x v="1"/>
    <s v="Card"/>
    <n v="1987.9999999999998"/>
    <n v="98.399999999999636"/>
    <s v="Sunday"/>
    <b v="1"/>
    <x v="7"/>
  </r>
  <r>
    <s v="NV2725"/>
    <d v="2025-01-05T00:00:00"/>
    <s v="ST14"/>
    <s v="East"/>
    <s v="P167"/>
    <s v="Clothing"/>
    <n v="5"/>
    <n v="2314.48"/>
    <n v="15"/>
    <n v="940.41"/>
    <x v="0"/>
    <s v="Cash"/>
    <n v="9836.5399999999991"/>
    <n v="5134.4899999999989"/>
    <s v="Sunday"/>
    <b v="1"/>
    <x v="10"/>
  </r>
  <r>
    <s v="NV2726"/>
    <d v="2025-09-09T00:00:00"/>
    <s v="ST17"/>
    <s v="North"/>
    <s v="P127"/>
    <s v="Shoes"/>
    <n v="3"/>
    <n v="1174.03"/>
    <n v="25"/>
    <n v="510.73"/>
    <x v="1"/>
    <s v="Card"/>
    <n v="2641.5675000000001"/>
    <n v="1109.3775000000001"/>
    <s v="Tuesday"/>
    <b v="0"/>
    <x v="6"/>
  </r>
  <r>
    <s v="NV2727"/>
    <d v="2024-06-15T00:00:00"/>
    <s v="ST55"/>
    <s v="South"/>
    <s v="P267"/>
    <s v="Clothing"/>
    <n v="2"/>
    <n v="1364.9"/>
    <n v="10"/>
    <n v="939.57"/>
    <x v="0"/>
    <s v="Cash"/>
    <n v="2456.8200000000002"/>
    <n v="577.68000000000006"/>
    <s v="Saturday"/>
    <b v="1"/>
    <x v="0"/>
  </r>
  <r>
    <s v="NV2728"/>
    <d v="2024-03-11T00:00:00"/>
    <s v="ST58"/>
    <s v="West"/>
    <s v="P153"/>
    <s v="Clothing"/>
    <n v="3"/>
    <n v="2935.38"/>
    <n v="5"/>
    <n v="1364.86"/>
    <x v="1"/>
    <s v="Cash"/>
    <n v="8365.8329999999987"/>
    <n v="4271.2529999999988"/>
    <s v="Monday"/>
    <b v="0"/>
    <x v="7"/>
  </r>
  <r>
    <s v="NV2729"/>
    <d v="2024-08-08T00:00:00"/>
    <s v="ST39"/>
    <s v="North"/>
    <s v="P205"/>
    <s v="Accessories"/>
    <n v="4"/>
    <n v="954.44"/>
    <n v="5"/>
    <n v="544.91999999999996"/>
    <x v="0"/>
    <s v="Card"/>
    <n v="3626.8719999999998"/>
    <n v="1447.192"/>
    <s v="Thursday"/>
    <b v="0"/>
    <x v="5"/>
  </r>
  <r>
    <s v="NV2730"/>
    <d v="2025-11-24T00:00:00"/>
    <s v="ST44"/>
    <s v="South"/>
    <s v="P17"/>
    <s v="Clothing"/>
    <n v="3"/>
    <n v="351.05"/>
    <n v="0"/>
    <n v="215.08"/>
    <x v="1"/>
    <s v="Digital"/>
    <n v="1053.1500000000001"/>
    <n v="407.91000000000008"/>
    <s v="Monday"/>
    <b v="0"/>
    <x v="1"/>
  </r>
  <r>
    <s v="NV2731"/>
    <d v="2025-01-05T00:00:00"/>
    <s v="ST23"/>
    <s v="West"/>
    <s v="P81"/>
    <s v="Accessories"/>
    <n v="5"/>
    <n v="437.45"/>
    <n v="0"/>
    <n v="302.61"/>
    <x v="0"/>
    <s v="Card"/>
    <n v="2187.25"/>
    <n v="674.19999999999982"/>
    <s v="Sunday"/>
    <b v="1"/>
    <x v="10"/>
  </r>
  <r>
    <s v="NV2732"/>
    <d v="2024-07-10T00:00:00"/>
    <s v="ST1"/>
    <s v="West"/>
    <s v="P67"/>
    <s v="Shoes"/>
    <n v="5"/>
    <n v="1789.77"/>
    <n v="30"/>
    <n v="1095.5999999999999"/>
    <x v="1"/>
    <s v="Cash"/>
    <n v="6264.1949999999997"/>
    <n v="786.19499999999971"/>
    <s v="Wednesday"/>
    <b v="0"/>
    <x v="4"/>
  </r>
  <r>
    <s v="NV2733"/>
    <d v="2024-01-18T00:00:00"/>
    <s v="ST29"/>
    <s v="North"/>
    <s v="P53"/>
    <s v="Accessories"/>
    <n v="3"/>
    <n v="1836.71"/>
    <n v="15"/>
    <n v="798.94"/>
    <x v="1"/>
    <s v="Digital"/>
    <n v="4683.6104999999998"/>
    <n v="2286.7904999999996"/>
    <s v="Thursday"/>
    <b v="0"/>
    <x v="10"/>
  </r>
  <r>
    <s v="NV2734"/>
    <d v="2025-07-10T00:00:00"/>
    <s v="ST13"/>
    <s v="North"/>
    <s v="P83"/>
    <s v="Shoes"/>
    <n v="5"/>
    <n v="687.63"/>
    <n v="10"/>
    <n v="307.89"/>
    <x v="0"/>
    <s v="Card"/>
    <n v="3094.335"/>
    <n v="1554.8850000000002"/>
    <s v="Thursday"/>
    <b v="0"/>
    <x v="4"/>
  </r>
  <r>
    <s v="NV2735"/>
    <d v="2024-02-23T00:00:00"/>
    <s v="ST60"/>
    <s v="West"/>
    <s v="P115"/>
    <s v="Accessories"/>
    <n v="2"/>
    <n v="1815.87"/>
    <n v="25"/>
    <n v="1019.42"/>
    <x v="1"/>
    <s v="Digital"/>
    <n v="2723.8049999999998"/>
    <n v="684.96499999999992"/>
    <s v="Friday"/>
    <b v="0"/>
    <x v="3"/>
  </r>
  <r>
    <s v="NV2736"/>
    <d v="2024-03-09T00:00:00"/>
    <s v="ST48"/>
    <s v="West"/>
    <s v="P65"/>
    <s v="Clothing"/>
    <n v="5"/>
    <n v="780.61"/>
    <n v="20"/>
    <n v="532.65"/>
    <x v="1"/>
    <s v="Card"/>
    <n v="3122.4400000000005"/>
    <n v="459.19000000000051"/>
    <s v="Saturday"/>
    <b v="1"/>
    <x v="7"/>
  </r>
  <r>
    <s v="NV2737"/>
    <d v="2024-09-27T00:00:00"/>
    <s v="ST54"/>
    <s v="East"/>
    <s v="P161"/>
    <s v="Accessories"/>
    <n v="5"/>
    <n v="504.05"/>
    <n v="0"/>
    <n v="307.52"/>
    <x v="0"/>
    <s v="Card"/>
    <n v="2520.25"/>
    <n v="982.65000000000009"/>
    <s v="Friday"/>
    <b v="0"/>
    <x v="6"/>
  </r>
  <r>
    <s v="NV2738"/>
    <d v="2025-06-20T00:00:00"/>
    <s v="ST60"/>
    <s v="North"/>
    <s v="P78"/>
    <s v="Clothing"/>
    <n v="2"/>
    <n v="994.28"/>
    <n v="0"/>
    <n v="623.64"/>
    <x v="1"/>
    <s v="Digital"/>
    <n v="1988.56"/>
    <n v="741.28"/>
    <s v="Friday"/>
    <b v="0"/>
    <x v="0"/>
  </r>
  <r>
    <s v="NV2739"/>
    <d v="2024-01-10T00:00:00"/>
    <s v="ST22"/>
    <s v="North"/>
    <s v="P284"/>
    <s v="Shoes"/>
    <n v="5"/>
    <n v="380.61"/>
    <n v="25"/>
    <n v="186.82"/>
    <x v="0"/>
    <s v="Digital"/>
    <n v="1427.2875000000001"/>
    <n v="493.18750000000023"/>
    <s v="Wednesday"/>
    <b v="0"/>
    <x v="10"/>
  </r>
  <r>
    <s v="NV2740"/>
    <d v="2024-11-07T00:00:00"/>
    <s v="ST29"/>
    <s v="North"/>
    <s v="P163"/>
    <s v="Clothing"/>
    <n v="5"/>
    <n v="2536.7800000000002"/>
    <n v="0"/>
    <n v="1130.1099999999999"/>
    <x v="1"/>
    <s v="Card"/>
    <n v="12683.900000000001"/>
    <n v="7033.3500000000022"/>
    <s v="Thursday"/>
    <b v="0"/>
    <x v="1"/>
  </r>
  <r>
    <s v="NV2741"/>
    <d v="2025-02-12T00:00:00"/>
    <s v="ST38"/>
    <s v="East"/>
    <s v="P119"/>
    <s v="Accessories"/>
    <n v="3"/>
    <n v="1716.77"/>
    <n v="10"/>
    <n v="715.15"/>
    <x v="0"/>
    <s v="Cash"/>
    <n v="4635.2789999999995"/>
    <n v="2489.8289999999997"/>
    <s v="Wednesday"/>
    <b v="0"/>
    <x v="3"/>
  </r>
  <r>
    <s v="NV2742"/>
    <d v="2024-05-08T00:00:00"/>
    <s v="ST32"/>
    <s v="North"/>
    <s v="P164"/>
    <s v="Shoes"/>
    <n v="4"/>
    <n v="775.18"/>
    <n v="5"/>
    <n v="342.11"/>
    <x v="0"/>
    <s v="Digital"/>
    <n v="2945.6839999999997"/>
    <n v="1577.2439999999997"/>
    <s v="Wednesday"/>
    <b v="0"/>
    <x v="9"/>
  </r>
  <r>
    <s v="NV2743"/>
    <d v="2024-05-09T00:00:00"/>
    <s v="ST13"/>
    <s v="South"/>
    <s v="P176"/>
    <s v="Accessories"/>
    <n v="1"/>
    <n v="1807.22"/>
    <n v="10"/>
    <n v="823.95"/>
    <x v="1"/>
    <s v="Card"/>
    <n v="1626.498"/>
    <n v="802.548"/>
    <s v="Thursday"/>
    <b v="0"/>
    <x v="9"/>
  </r>
  <r>
    <s v="NV2744"/>
    <d v="2025-09-26T00:00:00"/>
    <s v="ST8"/>
    <s v="West"/>
    <s v="P53"/>
    <s v="Clothing"/>
    <n v="3"/>
    <n v="1177.8599999999999"/>
    <n v="30"/>
    <n v="612"/>
    <x v="1"/>
    <s v="Cash"/>
    <n v="2473.5059999999999"/>
    <n v="637.50599999999986"/>
    <s v="Friday"/>
    <b v="0"/>
    <x v="6"/>
  </r>
  <r>
    <s v="NV2745"/>
    <d v="2024-04-11T00:00:00"/>
    <s v="ST47"/>
    <s v="North"/>
    <s v="P18"/>
    <s v="Clothing"/>
    <n v="1"/>
    <n v="1053"/>
    <n v="25"/>
    <n v="437.23"/>
    <x v="0"/>
    <s v="Card"/>
    <n v="789.75"/>
    <n v="352.52"/>
    <s v="Thursday"/>
    <b v="0"/>
    <x v="8"/>
  </r>
  <r>
    <s v="NV2746"/>
    <d v="2024-12-24T00:00:00"/>
    <s v="ST43"/>
    <s v="South"/>
    <s v="P230"/>
    <s v="Clothing"/>
    <n v="4"/>
    <n v="772.02"/>
    <n v="30"/>
    <n v="402.67"/>
    <x v="0"/>
    <s v="Cash"/>
    <n v="2161.6559999999999"/>
    <n v="550.97599999999989"/>
    <s v="Tuesday"/>
    <b v="0"/>
    <x v="11"/>
  </r>
  <r>
    <s v="NV2747"/>
    <d v="2025-09-10T00:00:00"/>
    <s v="ST48"/>
    <s v="North"/>
    <s v="P105"/>
    <s v="Clothing"/>
    <n v="4"/>
    <n v="1804.75"/>
    <n v="15"/>
    <n v="923.36"/>
    <x v="0"/>
    <s v="Cash"/>
    <n v="6136.15"/>
    <n v="2442.7099999999996"/>
    <s v="Wednesday"/>
    <b v="0"/>
    <x v="6"/>
  </r>
  <r>
    <s v="NV2748"/>
    <d v="2025-07-09T00:00:00"/>
    <s v="ST42"/>
    <s v="South"/>
    <s v="P34"/>
    <s v="Accessories"/>
    <n v="4"/>
    <n v="2082.5300000000002"/>
    <n v="5"/>
    <n v="1414.02"/>
    <x v="1"/>
    <s v="Digital"/>
    <n v="7913.6140000000005"/>
    <n v="2257.5340000000006"/>
    <s v="Wednesday"/>
    <b v="0"/>
    <x v="4"/>
  </r>
  <r>
    <s v="NV2749"/>
    <d v="2024-08-21T00:00:00"/>
    <s v="ST6"/>
    <s v="North"/>
    <s v="P159"/>
    <s v="Clothing"/>
    <n v="4"/>
    <n v="2685.29"/>
    <n v="15"/>
    <n v="1255.04"/>
    <x v="1"/>
    <s v="Cash"/>
    <n v="9129.985999999999"/>
    <n v="4109.8259999999991"/>
    <s v="Wednesday"/>
    <b v="0"/>
    <x v="5"/>
  </r>
  <r>
    <s v="NV2750"/>
    <d v="2024-11-25T00:00:00"/>
    <s v="ST60"/>
    <s v="East"/>
    <s v="P123"/>
    <s v="Shoes"/>
    <n v="5"/>
    <n v="543.96"/>
    <n v="20"/>
    <n v="232.51"/>
    <x v="0"/>
    <s v="Digital"/>
    <n v="2175.84"/>
    <n v="1013.2900000000002"/>
    <s v="Monday"/>
    <b v="0"/>
    <x v="1"/>
  </r>
  <r>
    <s v="NV2751"/>
    <d v="2025-01-09T00:00:00"/>
    <s v="ST49"/>
    <s v="North"/>
    <s v="P35"/>
    <s v="Shoes"/>
    <n v="5"/>
    <n v="2824.46"/>
    <n v="0"/>
    <n v="1721.54"/>
    <x v="1"/>
    <s v="Card"/>
    <n v="14122.3"/>
    <n v="5514.5999999999985"/>
    <s v="Thursday"/>
    <b v="0"/>
    <x v="10"/>
  </r>
  <r>
    <s v="NV2752"/>
    <d v="2024-11-25T00:00:00"/>
    <s v="ST55"/>
    <s v="West"/>
    <s v="P100"/>
    <s v="Clothing"/>
    <n v="3"/>
    <n v="1587.36"/>
    <n v="5"/>
    <n v="1028.56"/>
    <x v="0"/>
    <s v="Digital"/>
    <n v="4523.9759999999997"/>
    <n v="1438.2959999999998"/>
    <s v="Monday"/>
    <b v="0"/>
    <x v="1"/>
  </r>
  <r>
    <s v="NV2753"/>
    <d v="2025-10-19T00:00:00"/>
    <s v="ST4"/>
    <s v="North"/>
    <s v="P87"/>
    <s v="Clothing"/>
    <n v="5"/>
    <n v="566.48"/>
    <n v="20"/>
    <n v="354.02"/>
    <x v="1"/>
    <s v="Digital"/>
    <n v="2265.92"/>
    <n v="495.82000000000016"/>
    <s v="Sunday"/>
    <b v="1"/>
    <x v="2"/>
  </r>
  <r>
    <s v="NV2754"/>
    <d v="2025-07-16T00:00:00"/>
    <s v="ST26"/>
    <s v="North"/>
    <s v="P188"/>
    <s v="Clothing"/>
    <n v="2"/>
    <n v="2706.01"/>
    <n v="10"/>
    <n v="1595.74"/>
    <x v="1"/>
    <s v="Card"/>
    <n v="4870.8180000000002"/>
    <n v="1679.3380000000002"/>
    <s v="Wednesday"/>
    <b v="0"/>
    <x v="4"/>
  </r>
  <r>
    <s v="NV2755"/>
    <d v="2024-11-21T00:00:00"/>
    <s v="ST25"/>
    <s v="West"/>
    <s v="P284"/>
    <s v="Shoes"/>
    <n v="4"/>
    <n v="576.16999999999996"/>
    <n v="30"/>
    <n v="353.13"/>
    <x v="1"/>
    <s v="Digital"/>
    <n v="1613.2759999999998"/>
    <n v="200.75599999999986"/>
    <s v="Thursday"/>
    <b v="0"/>
    <x v="1"/>
  </r>
  <r>
    <s v="NV2756"/>
    <d v="2024-10-06T00:00:00"/>
    <s v="ST5"/>
    <s v="South"/>
    <s v="P170"/>
    <s v="Shoes"/>
    <n v="5"/>
    <n v="1812.73"/>
    <n v="30"/>
    <n v="944.33"/>
    <x v="0"/>
    <s v="Digital"/>
    <n v="6344.5549999999994"/>
    <n v="1622.9049999999988"/>
    <s v="Sunday"/>
    <b v="1"/>
    <x v="2"/>
  </r>
  <r>
    <s v="NV2757"/>
    <d v="2024-04-13T00:00:00"/>
    <s v="ST44"/>
    <s v="West"/>
    <s v="P191"/>
    <s v="Accessories"/>
    <n v="1"/>
    <n v="1089.28"/>
    <n v="15"/>
    <n v="730.93"/>
    <x v="0"/>
    <s v="Digital"/>
    <n v="925.88799999999992"/>
    <n v="194.95799999999997"/>
    <s v="Saturday"/>
    <b v="1"/>
    <x v="8"/>
  </r>
  <r>
    <s v="NV2758"/>
    <d v="2025-02-09T00:00:00"/>
    <s v="ST56"/>
    <s v="South"/>
    <s v="P65"/>
    <s v="Shoes"/>
    <n v="4"/>
    <n v="2372.02"/>
    <n v="30"/>
    <n v="1178.1300000000001"/>
    <x v="1"/>
    <s v="Digital"/>
    <n v="6641.6559999999999"/>
    <n v="1929.1359999999995"/>
    <s v="Sunday"/>
    <b v="1"/>
    <x v="3"/>
  </r>
  <r>
    <s v="NV2759"/>
    <d v="2024-05-17T00:00:00"/>
    <s v="ST54"/>
    <s v="South"/>
    <s v="P266"/>
    <s v="Clothing"/>
    <n v="3"/>
    <n v="2389.13"/>
    <n v="0"/>
    <n v="1191.7"/>
    <x v="1"/>
    <s v="Cash"/>
    <n v="7167.39"/>
    <n v="3592.29"/>
    <s v="Friday"/>
    <b v="0"/>
    <x v="9"/>
  </r>
  <r>
    <s v="NV2760"/>
    <d v="2025-06-01T00:00:00"/>
    <s v="ST41"/>
    <s v="North"/>
    <s v="P21"/>
    <s v="Shoes"/>
    <n v="5"/>
    <n v="1217.42"/>
    <n v="5"/>
    <n v="683.87"/>
    <x v="0"/>
    <s v="Cash"/>
    <n v="5782.7449999999999"/>
    <n v="2363.395"/>
    <s v="Sunday"/>
    <b v="1"/>
    <x v="0"/>
  </r>
  <r>
    <s v="NV2761"/>
    <d v="2025-09-14T00:00:00"/>
    <s v="ST51"/>
    <s v="North"/>
    <s v="P6"/>
    <s v="Clothing"/>
    <n v="1"/>
    <n v="2547.16"/>
    <n v="30"/>
    <n v="1293.6199999999999"/>
    <x v="1"/>
    <s v="Digital"/>
    <n v="1783.0119999999997"/>
    <n v="489.39199999999983"/>
    <s v="Sunday"/>
    <b v="1"/>
    <x v="6"/>
  </r>
  <r>
    <s v="NV2762"/>
    <d v="2024-09-24T00:00:00"/>
    <s v="ST50"/>
    <s v="South"/>
    <s v="P43"/>
    <s v="Accessories"/>
    <n v="5"/>
    <n v="779.71"/>
    <n v="20"/>
    <n v="338.05"/>
    <x v="1"/>
    <s v="Digital"/>
    <n v="3118.84"/>
    <n v="1428.5900000000001"/>
    <s v="Tuesday"/>
    <b v="0"/>
    <x v="6"/>
  </r>
  <r>
    <s v="NV2763"/>
    <d v="2024-01-25T00:00:00"/>
    <s v="ST45"/>
    <s v="West"/>
    <s v="P67"/>
    <s v="Shoes"/>
    <n v="2"/>
    <n v="1693.95"/>
    <n v="0"/>
    <n v="854.17"/>
    <x v="0"/>
    <s v="Card"/>
    <n v="3387.9"/>
    <n v="1679.5600000000002"/>
    <s v="Thursday"/>
    <b v="0"/>
    <x v="10"/>
  </r>
  <r>
    <s v="NV2764"/>
    <d v="2025-07-16T00:00:00"/>
    <s v="ST60"/>
    <s v="North"/>
    <s v="P49"/>
    <s v="Clothing"/>
    <n v="1"/>
    <n v="2724.94"/>
    <n v="15"/>
    <n v="1505.06"/>
    <x v="0"/>
    <s v="Card"/>
    <n v="2316.1990000000001"/>
    <n v="811.13900000000012"/>
    <s v="Wednesday"/>
    <b v="0"/>
    <x v="4"/>
  </r>
  <r>
    <s v="NV2765"/>
    <d v="2024-01-23T00:00:00"/>
    <s v="ST17"/>
    <s v="South"/>
    <s v="P45"/>
    <s v="Clothing"/>
    <n v="3"/>
    <n v="1270.02"/>
    <n v="25"/>
    <n v="518.92999999999995"/>
    <x v="1"/>
    <s v="Cash"/>
    <n v="2857.5450000000001"/>
    <n v="1300.7550000000001"/>
    <s v="Tuesday"/>
    <b v="0"/>
    <x v="10"/>
  </r>
  <r>
    <s v="NV2766"/>
    <d v="2024-05-23T00:00:00"/>
    <s v="ST60"/>
    <s v="West"/>
    <s v="P35"/>
    <s v="Clothing"/>
    <n v="3"/>
    <n v="669.46"/>
    <n v="10"/>
    <n v="344.65"/>
    <x v="0"/>
    <s v="Cash"/>
    <n v="1807.5420000000001"/>
    <n v="773.59200000000033"/>
    <s v="Thursday"/>
    <b v="0"/>
    <x v="9"/>
  </r>
  <r>
    <s v="NV2767"/>
    <d v="2025-01-09T00:00:00"/>
    <s v="ST41"/>
    <s v="South"/>
    <s v="P183"/>
    <s v="Accessories"/>
    <n v="5"/>
    <n v="2315.3000000000002"/>
    <n v="5"/>
    <n v="1435.57"/>
    <x v="0"/>
    <s v="Card"/>
    <n v="10997.674999999999"/>
    <n v="3819.8249999999998"/>
    <s v="Thursday"/>
    <b v="0"/>
    <x v="10"/>
  </r>
  <r>
    <s v="NV2768"/>
    <d v="2024-02-13T00:00:00"/>
    <s v="ST11"/>
    <s v="East"/>
    <s v="P143"/>
    <s v="Shoes"/>
    <n v="3"/>
    <n v="655.16999999999996"/>
    <n v="25"/>
    <n v="417.49"/>
    <x v="0"/>
    <s v="Card"/>
    <n v="1474.1324999999997"/>
    <n v="221.66249999999968"/>
    <s v="Tuesday"/>
    <b v="0"/>
    <x v="3"/>
  </r>
  <r>
    <s v="NV2769"/>
    <d v="2024-05-22T00:00:00"/>
    <s v="ST12"/>
    <s v="South"/>
    <s v="P296"/>
    <s v="Shoes"/>
    <n v="5"/>
    <n v="2132.7399999999998"/>
    <n v="15"/>
    <n v="1301.3399999999999"/>
    <x v="1"/>
    <s v="Card"/>
    <n v="9064.1449999999986"/>
    <n v="2557.4449999999988"/>
    <s v="Wednesday"/>
    <b v="0"/>
    <x v="9"/>
  </r>
  <r>
    <s v="NV2770"/>
    <d v="2025-07-11T00:00:00"/>
    <s v="ST8"/>
    <s v="West"/>
    <s v="P220"/>
    <s v="Accessories"/>
    <n v="5"/>
    <n v="521.70000000000005"/>
    <n v="5"/>
    <n v="318.39"/>
    <x v="1"/>
    <s v="Digital"/>
    <n v="2478.0749999999998"/>
    <n v="886.125"/>
    <s v="Friday"/>
    <b v="0"/>
    <x v="4"/>
  </r>
  <r>
    <s v="NV2771"/>
    <d v="2024-06-03T00:00:00"/>
    <s v="ST53"/>
    <s v="East"/>
    <s v="P265"/>
    <s v="Accessories"/>
    <n v="2"/>
    <n v="2458"/>
    <n v="5"/>
    <n v="1580.23"/>
    <x v="0"/>
    <s v="Card"/>
    <n v="4670.2"/>
    <n v="1509.7399999999998"/>
    <s v="Monday"/>
    <b v="0"/>
    <x v="0"/>
  </r>
  <r>
    <s v="NV2772"/>
    <d v="2024-01-27T00:00:00"/>
    <s v="ST18"/>
    <s v="East"/>
    <s v="P243"/>
    <s v="Clothing"/>
    <n v="3"/>
    <n v="1569.79"/>
    <n v="25"/>
    <n v="1093.07"/>
    <x v="1"/>
    <s v="Digital"/>
    <n v="3532.0275000000001"/>
    <n v="252.81750000000011"/>
    <s v="Saturday"/>
    <b v="1"/>
    <x v="10"/>
  </r>
  <r>
    <s v="NV2773"/>
    <d v="2025-02-04T00:00:00"/>
    <s v="ST22"/>
    <s v="East"/>
    <s v="P67"/>
    <s v="Clothing"/>
    <n v="1"/>
    <n v="495.29"/>
    <n v="10"/>
    <n v="205.47"/>
    <x v="0"/>
    <s v="Digital"/>
    <n v="445.76100000000002"/>
    <n v="240.29100000000003"/>
    <s v="Tuesday"/>
    <b v="0"/>
    <x v="3"/>
  </r>
  <r>
    <s v="NV2774"/>
    <d v="2024-06-18T00:00:00"/>
    <s v="ST29"/>
    <s v="East"/>
    <s v="P74"/>
    <s v="Clothing"/>
    <n v="4"/>
    <n v="1843.45"/>
    <n v="10"/>
    <n v="746.25"/>
    <x v="1"/>
    <s v="Card"/>
    <n v="6636.42"/>
    <n v="3651.42"/>
    <s v="Tuesday"/>
    <b v="0"/>
    <x v="0"/>
  </r>
  <r>
    <s v="NV2775"/>
    <d v="2024-09-20T00:00:00"/>
    <s v="ST27"/>
    <s v="North"/>
    <s v="P159"/>
    <s v="Clothing"/>
    <n v="5"/>
    <n v="1817.34"/>
    <n v="0"/>
    <n v="802.92"/>
    <x v="0"/>
    <s v="Cash"/>
    <n v="9086.6999999999989"/>
    <n v="5072.0999999999985"/>
    <s v="Friday"/>
    <b v="0"/>
    <x v="6"/>
  </r>
  <r>
    <s v="NV2776"/>
    <d v="2025-10-02T00:00:00"/>
    <s v="ST30"/>
    <s v="South"/>
    <s v="P293"/>
    <s v="Shoes"/>
    <n v="5"/>
    <n v="1592.78"/>
    <n v="0"/>
    <n v="755.58"/>
    <x v="1"/>
    <s v="Digital"/>
    <n v="7963.9"/>
    <n v="4186"/>
    <s v="Thursday"/>
    <b v="0"/>
    <x v="2"/>
  </r>
  <r>
    <s v="NV2777"/>
    <d v="2025-05-10T00:00:00"/>
    <s v="ST20"/>
    <s v="South"/>
    <s v="P189"/>
    <s v="Shoes"/>
    <n v="1"/>
    <n v="2769.79"/>
    <n v="0"/>
    <n v="1346.67"/>
    <x v="1"/>
    <s v="Digital"/>
    <n v="2769.79"/>
    <n v="1423.12"/>
    <s v="Saturday"/>
    <b v="1"/>
    <x v="9"/>
  </r>
  <r>
    <s v="NV2778"/>
    <d v="2024-04-06T00:00:00"/>
    <s v="ST40"/>
    <s v="North"/>
    <s v="P15"/>
    <s v="Shoes"/>
    <n v="4"/>
    <n v="322.98"/>
    <n v="10"/>
    <n v="130.47"/>
    <x v="1"/>
    <s v="Digital"/>
    <n v="1162.7280000000001"/>
    <n v="640.84800000000007"/>
    <s v="Saturday"/>
    <b v="1"/>
    <x v="8"/>
  </r>
  <r>
    <s v="NV2779"/>
    <d v="2024-11-25T00:00:00"/>
    <s v="ST37"/>
    <s v="North"/>
    <s v="P234"/>
    <s v="Shoes"/>
    <n v="4"/>
    <n v="1837.78"/>
    <n v="5"/>
    <n v="833.72"/>
    <x v="1"/>
    <s v="Cash"/>
    <n v="6983.5639999999994"/>
    <n v="3648.6839999999993"/>
    <s v="Monday"/>
    <b v="0"/>
    <x v="1"/>
  </r>
  <r>
    <s v="NV2780"/>
    <d v="2025-01-21T00:00:00"/>
    <s v="ST19"/>
    <s v="East"/>
    <s v="P25"/>
    <s v="Clothing"/>
    <n v="4"/>
    <n v="517.66999999999996"/>
    <n v="20"/>
    <n v="224.93"/>
    <x v="0"/>
    <s v="Digital"/>
    <n v="1656.5439999999999"/>
    <n v="756.82399999999984"/>
    <s v="Tuesday"/>
    <b v="0"/>
    <x v="10"/>
  </r>
  <r>
    <s v="NV2781"/>
    <d v="2024-01-24T00:00:00"/>
    <s v="ST39"/>
    <s v="South"/>
    <s v="P26"/>
    <s v="Accessories"/>
    <n v="2"/>
    <n v="2826.91"/>
    <n v="0"/>
    <n v="1511.54"/>
    <x v="0"/>
    <s v="Digital"/>
    <n v="5653.82"/>
    <n v="2630.74"/>
    <s v="Wednesday"/>
    <b v="0"/>
    <x v="10"/>
  </r>
  <r>
    <s v="NV2782"/>
    <d v="2024-01-03T00:00:00"/>
    <s v="ST58"/>
    <s v="East"/>
    <s v="P101"/>
    <s v="Shoes"/>
    <n v="3"/>
    <n v="2605.08"/>
    <n v="20"/>
    <n v="1793.63"/>
    <x v="1"/>
    <s v="Card"/>
    <n v="6252.192"/>
    <n v="871.30199999999968"/>
    <s v="Wednesday"/>
    <b v="0"/>
    <x v="10"/>
  </r>
  <r>
    <s v="NV2783"/>
    <d v="2025-07-14T00:00:00"/>
    <s v="ST26"/>
    <s v="North"/>
    <s v="P56"/>
    <s v="Accessories"/>
    <n v="4"/>
    <n v="2866.4"/>
    <n v="30"/>
    <n v="1882.79"/>
    <x v="1"/>
    <s v="Card"/>
    <n v="8025.92"/>
    <n v="494.76000000000022"/>
    <s v="Monday"/>
    <b v="0"/>
    <x v="4"/>
  </r>
  <r>
    <s v="NV2784"/>
    <d v="2025-06-06T00:00:00"/>
    <s v="ST16"/>
    <s v="North"/>
    <s v="P184"/>
    <s v="Shoes"/>
    <n v="3"/>
    <n v="1877.49"/>
    <n v="30"/>
    <n v="1167.92"/>
    <x v="1"/>
    <s v="Cash"/>
    <n v="3942.7289999999998"/>
    <n v="438.9689999999996"/>
    <s v="Friday"/>
    <b v="0"/>
    <x v="0"/>
  </r>
  <r>
    <s v="NV2785"/>
    <d v="2024-07-01T00:00:00"/>
    <s v="ST34"/>
    <s v="North"/>
    <s v="P27"/>
    <s v="Accessories"/>
    <n v="1"/>
    <n v="1172.95"/>
    <n v="25"/>
    <n v="508.71"/>
    <x v="1"/>
    <s v="Card"/>
    <n v="879.71250000000009"/>
    <n v="371.00250000000011"/>
    <s v="Monday"/>
    <b v="0"/>
    <x v="4"/>
  </r>
  <r>
    <s v="NV2786"/>
    <d v="2025-04-25T00:00:00"/>
    <s v="ST46"/>
    <s v="West"/>
    <s v="P92"/>
    <s v="Clothing"/>
    <n v="4"/>
    <n v="1541.97"/>
    <n v="10"/>
    <n v="704.04"/>
    <x v="0"/>
    <s v="Digital"/>
    <n v="5551.0920000000006"/>
    <n v="2734.9320000000007"/>
    <s v="Friday"/>
    <b v="0"/>
    <x v="8"/>
  </r>
  <r>
    <s v="NV2787"/>
    <d v="2024-12-19T00:00:00"/>
    <s v="ST13"/>
    <s v="West"/>
    <s v="P5"/>
    <s v="Accessories"/>
    <n v="1"/>
    <n v="1073.29"/>
    <n v="15"/>
    <n v="454.71"/>
    <x v="1"/>
    <s v="Card"/>
    <n v="912.29649999999992"/>
    <n v="457.58649999999994"/>
    <s v="Thursday"/>
    <b v="0"/>
    <x v="11"/>
  </r>
  <r>
    <s v="NV2788"/>
    <d v="2024-08-24T00:00:00"/>
    <s v="ST23"/>
    <s v="North"/>
    <s v="P3"/>
    <s v="Accessories"/>
    <n v="2"/>
    <n v="2280.84"/>
    <n v="5"/>
    <n v="1022.72"/>
    <x v="0"/>
    <s v="Card"/>
    <n v="4333.5960000000005"/>
    <n v="2288.1560000000004"/>
    <s v="Saturday"/>
    <b v="1"/>
    <x v="5"/>
  </r>
  <r>
    <s v="NV2789"/>
    <d v="2024-12-06T00:00:00"/>
    <s v="ST35"/>
    <s v="East"/>
    <s v="P267"/>
    <s v="Clothing"/>
    <n v="5"/>
    <n v="2896.78"/>
    <n v="5"/>
    <n v="1336.66"/>
    <x v="1"/>
    <s v="Digital"/>
    <n v="13759.705"/>
    <n v="7076.4049999999997"/>
    <s v="Friday"/>
    <b v="0"/>
    <x v="11"/>
  </r>
  <r>
    <s v="NV2790"/>
    <d v="2025-03-25T00:00:00"/>
    <s v="ST45"/>
    <s v="West"/>
    <s v="P122"/>
    <s v="Accessories"/>
    <n v="1"/>
    <n v="2842.09"/>
    <n v="25"/>
    <n v="1174.6500000000001"/>
    <x v="1"/>
    <s v="Cash"/>
    <n v="2131.5675000000001"/>
    <n v="956.91750000000002"/>
    <s v="Tuesday"/>
    <b v="0"/>
    <x v="7"/>
  </r>
  <r>
    <s v="NV2791"/>
    <d v="2024-02-15T00:00:00"/>
    <s v="ST34"/>
    <s v="West"/>
    <s v="P275"/>
    <s v="Accessories"/>
    <n v="1"/>
    <n v="1190.71"/>
    <n v="5"/>
    <n v="495.73"/>
    <x v="0"/>
    <s v="Card"/>
    <n v="1131.1745000000001"/>
    <n v="635.44450000000006"/>
    <s v="Thursday"/>
    <b v="0"/>
    <x v="3"/>
  </r>
  <r>
    <s v="NV2792"/>
    <d v="2025-07-10T00:00:00"/>
    <s v="ST13"/>
    <s v="South"/>
    <s v="P71"/>
    <s v="Clothing"/>
    <n v="1"/>
    <n v="2475.5700000000002"/>
    <n v="10"/>
    <n v="1145.17"/>
    <x v="1"/>
    <s v="Digital"/>
    <n v="2228.0130000000004"/>
    <n v="1082.8430000000003"/>
    <s v="Thursday"/>
    <b v="0"/>
    <x v="4"/>
  </r>
  <r>
    <s v="NV2793"/>
    <d v="2024-04-14T00:00:00"/>
    <s v="ST46"/>
    <s v="East"/>
    <s v="P180"/>
    <s v="Shoes"/>
    <n v="3"/>
    <n v="1030.0999999999999"/>
    <n v="0"/>
    <n v="558.45000000000005"/>
    <x v="1"/>
    <s v="Cash"/>
    <n v="3090.2999999999997"/>
    <n v="1414.9499999999996"/>
    <s v="Sunday"/>
    <b v="1"/>
    <x v="8"/>
  </r>
  <r>
    <s v="NV2794"/>
    <d v="2025-02-23T00:00:00"/>
    <s v="ST44"/>
    <s v="North"/>
    <s v="P279"/>
    <s v="Clothing"/>
    <n v="5"/>
    <n v="318.43"/>
    <n v="30"/>
    <n v="198.02"/>
    <x v="0"/>
    <s v="Cash"/>
    <n v="1114.5049999999999"/>
    <n v="124.40499999999986"/>
    <s v="Sunday"/>
    <b v="1"/>
    <x v="3"/>
  </r>
  <r>
    <s v="NV2795"/>
    <d v="2024-07-06T00:00:00"/>
    <s v="ST57"/>
    <s v="West"/>
    <s v="P68"/>
    <s v="Shoes"/>
    <n v="1"/>
    <n v="1330.24"/>
    <n v="5"/>
    <n v="679.7"/>
    <x v="1"/>
    <s v="Card"/>
    <n v="1263.7279999999998"/>
    <n v="584.02799999999979"/>
    <s v="Saturday"/>
    <b v="1"/>
    <x v="4"/>
  </r>
  <r>
    <s v="NV2796"/>
    <d v="2024-10-20T00:00:00"/>
    <s v="ST1"/>
    <s v="East"/>
    <s v="P126"/>
    <s v="Shoes"/>
    <n v="1"/>
    <n v="1097.75"/>
    <n v="15"/>
    <n v="605.04"/>
    <x v="0"/>
    <s v="Cash"/>
    <n v="933.08749999999998"/>
    <n v="328.04750000000001"/>
    <s v="Sunday"/>
    <b v="1"/>
    <x v="2"/>
  </r>
  <r>
    <s v="NV2797"/>
    <d v="2024-06-19T00:00:00"/>
    <s v="ST2"/>
    <s v="East"/>
    <s v="P65"/>
    <s v="Clothing"/>
    <n v="5"/>
    <n v="2423.31"/>
    <n v="5"/>
    <n v="1075.72"/>
    <x v="0"/>
    <s v="Card"/>
    <n v="11510.722499999998"/>
    <n v="6132.1224999999977"/>
    <s v="Wednesday"/>
    <b v="0"/>
    <x v="0"/>
  </r>
  <r>
    <s v="NV2798"/>
    <d v="2024-02-14T00:00:00"/>
    <s v="ST13"/>
    <s v="South"/>
    <s v="P71"/>
    <s v="Accessories"/>
    <n v="4"/>
    <n v="1042.42"/>
    <n v="25"/>
    <n v="629.82000000000005"/>
    <x v="0"/>
    <s v="Cash"/>
    <n v="3127.26"/>
    <n v="607.98"/>
    <s v="Wednesday"/>
    <b v="0"/>
    <x v="3"/>
  </r>
  <r>
    <s v="NV2799"/>
    <d v="2025-06-09T00:00:00"/>
    <s v="ST3"/>
    <s v="East"/>
    <s v="P293"/>
    <s v="Shoes"/>
    <n v="1"/>
    <n v="577.41999999999996"/>
    <n v="15"/>
    <n v="373.01"/>
    <x v="1"/>
    <s v="Card"/>
    <n v="490.80699999999996"/>
    <n v="117.79699999999997"/>
    <s v="Monday"/>
    <b v="0"/>
    <x v="0"/>
  </r>
  <r>
    <s v="NV2800"/>
    <d v="2024-02-07T00:00:00"/>
    <s v="ST4"/>
    <s v="North"/>
    <s v="P271"/>
    <s v="Shoes"/>
    <n v="4"/>
    <n v="2980.38"/>
    <n v="5"/>
    <n v="1622.49"/>
    <x v="1"/>
    <s v="Digital"/>
    <n v="11325.444"/>
    <n v="4835.4839999999995"/>
    <s v="Wednesday"/>
    <b v="0"/>
    <x v="3"/>
  </r>
  <r>
    <s v="NV2801"/>
    <d v="2024-04-05T00:00:00"/>
    <s v="ST53"/>
    <s v="East"/>
    <s v="P7"/>
    <s v="Clothing"/>
    <n v="4"/>
    <n v="921.8"/>
    <n v="5"/>
    <n v="549.51"/>
    <x v="0"/>
    <s v="Card"/>
    <n v="3502.8399999999997"/>
    <n v="1304.7999999999997"/>
    <s v="Friday"/>
    <b v="0"/>
    <x v="8"/>
  </r>
  <r>
    <s v="NV2802"/>
    <d v="2025-02-26T00:00:00"/>
    <s v="ST46"/>
    <s v="South"/>
    <s v="P178"/>
    <s v="Accessories"/>
    <n v="4"/>
    <n v="2740.77"/>
    <n v="15"/>
    <n v="1898.46"/>
    <x v="1"/>
    <s v="Digital"/>
    <n v="9318.6180000000004"/>
    <n v="1724.7780000000002"/>
    <s v="Wednesday"/>
    <b v="0"/>
    <x v="3"/>
  </r>
  <r>
    <s v="NV2803"/>
    <d v="2024-11-17T00:00:00"/>
    <s v="ST39"/>
    <s v="West"/>
    <s v="P140"/>
    <s v="Shoes"/>
    <n v="2"/>
    <n v="490.16"/>
    <n v="5"/>
    <n v="318.58999999999997"/>
    <x v="0"/>
    <s v="Cash"/>
    <n v="931.30399999999997"/>
    <n v="294.12400000000002"/>
    <s v="Sunday"/>
    <b v="1"/>
    <x v="1"/>
  </r>
  <r>
    <s v="NV2804"/>
    <d v="2024-09-14T00:00:00"/>
    <s v="ST54"/>
    <s v="West"/>
    <s v="P243"/>
    <s v="Clothing"/>
    <n v="2"/>
    <n v="2757.19"/>
    <n v="20"/>
    <n v="1491.78"/>
    <x v="1"/>
    <s v="Card"/>
    <n v="4411.5039999999999"/>
    <n v="1427.944"/>
    <s v="Saturday"/>
    <b v="1"/>
    <x v="6"/>
  </r>
  <r>
    <s v="NV2805"/>
    <d v="2024-08-13T00:00:00"/>
    <s v="ST31"/>
    <s v="North"/>
    <s v="P265"/>
    <s v="Clothing"/>
    <n v="3"/>
    <n v="577.59"/>
    <n v="0"/>
    <n v="292.13"/>
    <x v="1"/>
    <s v="Cash"/>
    <n v="1732.77"/>
    <n v="856.38"/>
    <s v="Tuesday"/>
    <b v="0"/>
    <x v="5"/>
  </r>
  <r>
    <s v="NV2806"/>
    <d v="2025-01-16T00:00:00"/>
    <s v="ST10"/>
    <s v="North"/>
    <s v="P48"/>
    <s v="Shoes"/>
    <n v="1"/>
    <n v="1297.8499999999999"/>
    <n v="20"/>
    <n v="591.55999999999995"/>
    <x v="0"/>
    <s v="Card"/>
    <n v="1038.28"/>
    <n v="446.72"/>
    <s v="Thursday"/>
    <b v="0"/>
    <x v="10"/>
  </r>
  <r>
    <s v="NV2807"/>
    <d v="2025-06-29T00:00:00"/>
    <s v="ST21"/>
    <s v="West"/>
    <s v="P266"/>
    <s v="Accessories"/>
    <n v="3"/>
    <n v="2055.4499999999998"/>
    <n v="15"/>
    <n v="1263.46"/>
    <x v="0"/>
    <s v="Digital"/>
    <n v="5241.3974999999991"/>
    <n v="1451.017499999999"/>
    <s v="Sunday"/>
    <b v="1"/>
    <x v="0"/>
  </r>
  <r>
    <s v="NV2808"/>
    <d v="2025-06-15T00:00:00"/>
    <s v="ST35"/>
    <s v="West"/>
    <s v="P287"/>
    <s v="Clothing"/>
    <n v="1"/>
    <n v="1372.08"/>
    <n v="25"/>
    <n v="775.79"/>
    <x v="1"/>
    <s v="Card"/>
    <n v="1029.06"/>
    <n v="253.26999999999998"/>
    <s v="Sunday"/>
    <b v="1"/>
    <x v="0"/>
  </r>
  <r>
    <s v="NV2809"/>
    <d v="2025-08-29T00:00:00"/>
    <s v="ST18"/>
    <s v="North"/>
    <s v="P158"/>
    <s v="Clothing"/>
    <n v="2"/>
    <n v="447.07"/>
    <n v="20"/>
    <n v="269.27999999999997"/>
    <x v="1"/>
    <s v="Digital"/>
    <n v="715.31200000000001"/>
    <n v="176.75200000000007"/>
    <s v="Friday"/>
    <b v="0"/>
    <x v="5"/>
  </r>
  <r>
    <s v="NV2810"/>
    <d v="2025-06-06T00:00:00"/>
    <s v="ST34"/>
    <s v="South"/>
    <s v="P71"/>
    <s v="Shoes"/>
    <n v="1"/>
    <n v="2448.8200000000002"/>
    <n v="0"/>
    <n v="1067.81"/>
    <x v="1"/>
    <s v="Card"/>
    <n v="2448.8200000000002"/>
    <n v="1381.0100000000002"/>
    <s v="Friday"/>
    <b v="0"/>
    <x v="0"/>
  </r>
  <r>
    <s v="NV2811"/>
    <d v="2025-02-20T00:00:00"/>
    <s v="ST51"/>
    <s v="North"/>
    <s v="P31"/>
    <s v="Clothing"/>
    <n v="4"/>
    <n v="1449.68"/>
    <n v="0"/>
    <n v="888.85"/>
    <x v="0"/>
    <s v="Digital"/>
    <n v="5798.72"/>
    <n v="2243.3200000000002"/>
    <s v="Thursday"/>
    <b v="0"/>
    <x v="3"/>
  </r>
  <r>
    <s v="NV2812"/>
    <d v="2024-09-24T00:00:00"/>
    <s v="ST52"/>
    <s v="East"/>
    <s v="P29"/>
    <s v="Clothing"/>
    <n v="3"/>
    <n v="1176.4100000000001"/>
    <n v="20"/>
    <n v="661.77"/>
    <x v="0"/>
    <s v="Card"/>
    <n v="2823.3840000000005"/>
    <n v="838.07400000000052"/>
    <s v="Tuesday"/>
    <b v="0"/>
    <x v="6"/>
  </r>
  <r>
    <s v="NV2813"/>
    <d v="2024-05-12T00:00:00"/>
    <s v="ST39"/>
    <s v="North"/>
    <s v="P134"/>
    <s v="Clothing"/>
    <n v="1"/>
    <n v="983.71"/>
    <n v="5"/>
    <n v="652.72"/>
    <x v="1"/>
    <s v="Digital"/>
    <n v="934.52449999999999"/>
    <n v="281.80449999999996"/>
    <s v="Sunday"/>
    <b v="1"/>
    <x v="9"/>
  </r>
  <r>
    <s v="NV2814"/>
    <d v="2024-06-22T00:00:00"/>
    <s v="ST60"/>
    <s v="South"/>
    <s v="P250"/>
    <s v="Clothing"/>
    <n v="2"/>
    <n v="2837.13"/>
    <n v="20"/>
    <n v="1252.54"/>
    <x v="1"/>
    <s v="Cash"/>
    <n v="4539.4080000000004"/>
    <n v="2034.3280000000004"/>
    <s v="Saturday"/>
    <b v="1"/>
    <x v="0"/>
  </r>
  <r>
    <s v="NV2815"/>
    <d v="2025-10-08T00:00:00"/>
    <s v="ST44"/>
    <s v="East"/>
    <s v="P131"/>
    <s v="Shoes"/>
    <n v="5"/>
    <n v="2431.84"/>
    <n v="0"/>
    <n v="1486.4"/>
    <x v="0"/>
    <s v="Cash"/>
    <n v="12159.2"/>
    <n v="4727.2000000000007"/>
    <s v="Wednesday"/>
    <b v="0"/>
    <x v="2"/>
  </r>
  <r>
    <s v="NV2816"/>
    <d v="2024-12-15T00:00:00"/>
    <s v="ST39"/>
    <s v="South"/>
    <s v="P125"/>
    <s v="Clothing"/>
    <n v="2"/>
    <n v="441.27"/>
    <n v="15"/>
    <n v="176.8"/>
    <x v="0"/>
    <s v="Cash"/>
    <n v="750.15899999999999"/>
    <n v="396.55899999999997"/>
    <s v="Sunday"/>
    <b v="1"/>
    <x v="11"/>
  </r>
  <r>
    <s v="NV2817"/>
    <d v="2025-10-03T00:00:00"/>
    <s v="ST13"/>
    <s v="East"/>
    <s v="P39"/>
    <s v="Shoes"/>
    <n v="2"/>
    <n v="1165.71"/>
    <n v="15"/>
    <n v="518.08000000000004"/>
    <x v="1"/>
    <s v="Digital"/>
    <n v="1981.7070000000001"/>
    <n v="945.54700000000003"/>
    <s v="Friday"/>
    <b v="0"/>
    <x v="2"/>
  </r>
  <r>
    <s v="NV2818"/>
    <d v="2024-03-24T00:00:00"/>
    <s v="ST42"/>
    <s v="South"/>
    <s v="P188"/>
    <s v="Clothing"/>
    <n v="5"/>
    <n v="1513.04"/>
    <n v="20"/>
    <n v="879.7"/>
    <x v="0"/>
    <s v="Digital"/>
    <n v="6052.16"/>
    <n v="1653.6599999999999"/>
    <s v="Sunday"/>
    <b v="1"/>
    <x v="7"/>
  </r>
  <r>
    <s v="NV2819"/>
    <d v="2025-08-10T00:00:00"/>
    <s v="ST12"/>
    <s v="West"/>
    <s v="P137"/>
    <s v="Accessories"/>
    <n v="4"/>
    <n v="2131.85"/>
    <n v="25"/>
    <n v="1427.99"/>
    <x v="0"/>
    <s v="Digital"/>
    <n v="6395.5499999999993"/>
    <n v="683.58999999999924"/>
    <s v="Sunday"/>
    <b v="1"/>
    <x v="5"/>
  </r>
  <r>
    <s v="NV2820"/>
    <d v="2025-02-07T00:00:00"/>
    <s v="ST4"/>
    <s v="North"/>
    <s v="P37"/>
    <s v="Clothing"/>
    <n v="1"/>
    <n v="1334.38"/>
    <n v="10"/>
    <n v="591.79"/>
    <x v="0"/>
    <s v="Card"/>
    <n v="1200.9420000000002"/>
    <n v="609.15200000000027"/>
    <s v="Friday"/>
    <b v="0"/>
    <x v="3"/>
  </r>
  <r>
    <s v="NV2821"/>
    <d v="2024-03-27T00:00:00"/>
    <s v="ST39"/>
    <s v="East"/>
    <s v="P170"/>
    <s v="Clothing"/>
    <n v="3"/>
    <n v="1000.95"/>
    <n v="15"/>
    <n v="542.47"/>
    <x v="0"/>
    <s v="Cash"/>
    <n v="2552.4225000000001"/>
    <n v="925.01250000000005"/>
    <s v="Wednesday"/>
    <b v="0"/>
    <x v="7"/>
  </r>
  <r>
    <s v="NV2822"/>
    <d v="2025-10-15T00:00:00"/>
    <s v="ST36"/>
    <s v="East"/>
    <s v="P146"/>
    <s v="Shoes"/>
    <n v="2"/>
    <n v="2303.64"/>
    <n v="30"/>
    <n v="1454.6"/>
    <x v="0"/>
    <s v="Cash"/>
    <n v="3225.0959999999995"/>
    <n v="315.89599999999973"/>
    <s v="Wednesday"/>
    <b v="0"/>
    <x v="2"/>
  </r>
  <r>
    <s v="NV2823"/>
    <d v="2024-05-21T00:00:00"/>
    <s v="ST41"/>
    <s v="West"/>
    <s v="P160"/>
    <s v="Shoes"/>
    <n v="5"/>
    <n v="2074.98"/>
    <n v="10"/>
    <n v="893.71"/>
    <x v="1"/>
    <s v="Cash"/>
    <n v="9337.41"/>
    <n v="4868.8599999999997"/>
    <s v="Tuesday"/>
    <b v="0"/>
    <x v="9"/>
  </r>
  <r>
    <s v="NV2824"/>
    <d v="2025-11-10T00:00:00"/>
    <s v="ST33"/>
    <s v="West"/>
    <s v="P2"/>
    <s v="Clothing"/>
    <n v="2"/>
    <n v="1923.51"/>
    <n v="5"/>
    <n v="982.35"/>
    <x v="1"/>
    <s v="Cash"/>
    <n v="3654.6689999999999"/>
    <n v="1689.9689999999998"/>
    <s v="Monday"/>
    <b v="0"/>
    <x v="1"/>
  </r>
  <r>
    <s v="NV2825"/>
    <d v="2025-10-09T00:00:00"/>
    <s v="ST10"/>
    <s v="West"/>
    <s v="P203"/>
    <s v="Accessories"/>
    <n v="5"/>
    <n v="2458.83"/>
    <n v="20"/>
    <n v="1373.83"/>
    <x v="1"/>
    <s v="Cash"/>
    <n v="9835.32"/>
    <n v="2966.17"/>
    <s v="Thursday"/>
    <b v="0"/>
    <x v="2"/>
  </r>
  <r>
    <s v="NV2826"/>
    <d v="2025-08-07T00:00:00"/>
    <s v="ST30"/>
    <s v="South"/>
    <s v="P13"/>
    <s v="Accessories"/>
    <n v="2"/>
    <n v="1739.79"/>
    <n v="30"/>
    <n v="951.3"/>
    <x v="0"/>
    <s v="Digital"/>
    <n v="2435.7059999999997"/>
    <n v="533.10599999999977"/>
    <s v="Thursday"/>
    <b v="0"/>
    <x v="5"/>
  </r>
  <r>
    <s v="NV2827"/>
    <d v="2024-02-19T00:00:00"/>
    <s v="ST1"/>
    <s v="South"/>
    <s v="P75"/>
    <s v="Shoes"/>
    <n v="1"/>
    <n v="2705.23"/>
    <n v="5"/>
    <n v="1618.1"/>
    <x v="1"/>
    <s v="Digital"/>
    <n v="2569.9684999999999"/>
    <n v="951.86850000000004"/>
    <s v="Monday"/>
    <b v="0"/>
    <x v="3"/>
  </r>
  <r>
    <s v="NV2828"/>
    <d v="2025-04-13T00:00:00"/>
    <s v="ST31"/>
    <s v="North"/>
    <s v="P262"/>
    <s v="Accessories"/>
    <n v="1"/>
    <n v="383.82"/>
    <n v="0"/>
    <n v="200.89"/>
    <x v="0"/>
    <s v="Card"/>
    <n v="383.82"/>
    <n v="182.93"/>
    <s v="Sunday"/>
    <b v="1"/>
    <x v="8"/>
  </r>
  <r>
    <s v="NV2829"/>
    <d v="2025-03-11T00:00:00"/>
    <s v="ST58"/>
    <s v="North"/>
    <s v="P210"/>
    <s v="Clothing"/>
    <n v="4"/>
    <n v="2595.7199999999998"/>
    <n v="15"/>
    <n v="1683.72"/>
    <x v="1"/>
    <s v="Digital"/>
    <n v="8825.4479999999985"/>
    <n v="2090.5679999999984"/>
    <s v="Tuesday"/>
    <b v="0"/>
    <x v="7"/>
  </r>
  <r>
    <s v="NV2830"/>
    <d v="2024-01-07T00:00:00"/>
    <s v="ST14"/>
    <s v="South"/>
    <s v="P132"/>
    <s v="Shoes"/>
    <n v="4"/>
    <n v="1677.58"/>
    <n v="20"/>
    <n v="874.97"/>
    <x v="0"/>
    <s v="Card"/>
    <n v="5368.2560000000003"/>
    <n v="1868.3760000000002"/>
    <s v="Sunday"/>
    <b v="1"/>
    <x v="10"/>
  </r>
  <r>
    <s v="NV2831"/>
    <d v="2025-03-20T00:00:00"/>
    <s v="ST19"/>
    <s v="South"/>
    <s v="P158"/>
    <s v="Clothing"/>
    <n v="2"/>
    <n v="580.47"/>
    <n v="20"/>
    <n v="273.98"/>
    <x v="0"/>
    <s v="Digital"/>
    <n v="928.75200000000007"/>
    <n v="380.79200000000003"/>
    <s v="Thursday"/>
    <b v="0"/>
    <x v="7"/>
  </r>
  <r>
    <s v="NV2832"/>
    <d v="2024-04-11T00:00:00"/>
    <s v="ST24"/>
    <s v="East"/>
    <s v="P231"/>
    <s v="Clothing"/>
    <n v="2"/>
    <n v="1796.57"/>
    <n v="25"/>
    <n v="818.63"/>
    <x v="1"/>
    <s v="Digital"/>
    <n v="2694.855"/>
    <n v="1057.595"/>
    <s v="Thursday"/>
    <b v="0"/>
    <x v="8"/>
  </r>
  <r>
    <s v="NV2833"/>
    <d v="2025-06-17T00:00:00"/>
    <s v="ST21"/>
    <s v="West"/>
    <s v="P179"/>
    <s v="Shoes"/>
    <n v="5"/>
    <n v="2623.28"/>
    <n v="5"/>
    <n v="1441.9"/>
    <x v="1"/>
    <s v="Digital"/>
    <n v="12460.58"/>
    <n v="5251.08"/>
    <s v="Tuesday"/>
    <b v="0"/>
    <x v="0"/>
  </r>
  <r>
    <s v="NV2834"/>
    <d v="2025-04-01T00:00:00"/>
    <s v="ST49"/>
    <s v="East"/>
    <s v="P147"/>
    <s v="Accessories"/>
    <n v="2"/>
    <n v="2805.91"/>
    <n v="15"/>
    <n v="1514.05"/>
    <x v="0"/>
    <s v="Cash"/>
    <n v="4770.0469999999996"/>
    <n v="1741.9469999999997"/>
    <s v="Tuesday"/>
    <b v="0"/>
    <x v="8"/>
  </r>
  <r>
    <s v="NV2835"/>
    <d v="2024-09-26T00:00:00"/>
    <s v="ST54"/>
    <s v="North"/>
    <s v="P208"/>
    <s v="Accessories"/>
    <n v="1"/>
    <n v="1370.08"/>
    <n v="5"/>
    <n v="634.41"/>
    <x v="0"/>
    <s v="Cash"/>
    <n v="1301.5759999999998"/>
    <n v="667.16599999999983"/>
    <s v="Thursday"/>
    <b v="0"/>
    <x v="6"/>
  </r>
  <r>
    <s v="NV2836"/>
    <d v="2024-10-24T00:00:00"/>
    <s v="ST60"/>
    <s v="West"/>
    <s v="P260"/>
    <s v="Shoes"/>
    <n v="1"/>
    <n v="1414.92"/>
    <n v="25"/>
    <n v="764.58"/>
    <x v="1"/>
    <s v="Digital"/>
    <n v="1061.19"/>
    <n v="296.61"/>
    <s v="Thursday"/>
    <b v="0"/>
    <x v="2"/>
  </r>
  <r>
    <s v="NV2837"/>
    <d v="2024-02-26T00:00:00"/>
    <s v="ST16"/>
    <s v="North"/>
    <s v="P272"/>
    <s v="Accessories"/>
    <n v="4"/>
    <n v="1487.69"/>
    <n v="0"/>
    <n v="605.35"/>
    <x v="0"/>
    <s v="Card"/>
    <n v="5950.76"/>
    <n v="3529.36"/>
    <s v="Monday"/>
    <b v="0"/>
    <x v="3"/>
  </r>
  <r>
    <s v="NV2838"/>
    <d v="2024-10-01T00:00:00"/>
    <s v="ST38"/>
    <s v="East"/>
    <s v="P132"/>
    <s v="Accessories"/>
    <n v="4"/>
    <n v="529.12"/>
    <n v="25"/>
    <n v="278.17"/>
    <x v="1"/>
    <s v="Digital"/>
    <n v="1587.3600000000001"/>
    <n v="474.68000000000006"/>
    <s v="Tuesday"/>
    <b v="0"/>
    <x v="2"/>
  </r>
  <r>
    <s v="NV2839"/>
    <d v="2024-11-10T00:00:00"/>
    <s v="ST56"/>
    <s v="West"/>
    <s v="P199"/>
    <s v="Shoes"/>
    <n v="2"/>
    <n v="1064.46"/>
    <n v="15"/>
    <n v="655.63"/>
    <x v="0"/>
    <s v="Digital"/>
    <n v="1809.5820000000001"/>
    <n v="498.32200000000012"/>
    <s v="Sunday"/>
    <b v="1"/>
    <x v="1"/>
  </r>
  <r>
    <s v="NV2840"/>
    <d v="2025-03-10T00:00:00"/>
    <s v="ST12"/>
    <s v="South"/>
    <s v="P40"/>
    <s v="Shoes"/>
    <n v="2"/>
    <n v="1388.8"/>
    <n v="15"/>
    <n v="555.73"/>
    <x v="0"/>
    <s v="Card"/>
    <n v="2360.96"/>
    <n v="1249.5"/>
    <s v="Monday"/>
    <b v="0"/>
    <x v="7"/>
  </r>
  <r>
    <s v="NV2841"/>
    <d v="2025-08-15T00:00:00"/>
    <s v="ST4"/>
    <s v="West"/>
    <s v="P244"/>
    <s v="Clothing"/>
    <n v="4"/>
    <n v="2829.15"/>
    <n v="25"/>
    <n v="1832.1"/>
    <x v="0"/>
    <s v="Digital"/>
    <n v="8487.4500000000007"/>
    <n v="1159.0500000000011"/>
    <s v="Friday"/>
    <b v="0"/>
    <x v="5"/>
  </r>
  <r>
    <s v="NV2842"/>
    <d v="2025-01-07T00:00:00"/>
    <s v="ST60"/>
    <s v="East"/>
    <s v="P115"/>
    <s v="Accessories"/>
    <n v="1"/>
    <n v="1942.69"/>
    <n v="25"/>
    <n v="1217.73"/>
    <x v="0"/>
    <s v="Cash"/>
    <n v="1457.0174999999999"/>
    <n v="239.28749999999991"/>
    <s v="Tuesday"/>
    <b v="0"/>
    <x v="10"/>
  </r>
  <r>
    <s v="NV2843"/>
    <d v="2025-07-27T00:00:00"/>
    <s v="ST6"/>
    <s v="North"/>
    <s v="P85"/>
    <s v="Shoes"/>
    <n v="4"/>
    <n v="457.58"/>
    <n v="10"/>
    <n v="220.37"/>
    <x v="0"/>
    <s v="Digital"/>
    <n v="1647.288"/>
    <n v="765.80799999999999"/>
    <s v="Sunday"/>
    <b v="1"/>
    <x v="4"/>
  </r>
  <r>
    <s v="NV2844"/>
    <d v="2025-11-25T00:00:00"/>
    <s v="ST21"/>
    <s v="East"/>
    <s v="P45"/>
    <s v="Accessories"/>
    <n v="2"/>
    <n v="1150.1199999999999"/>
    <n v="15"/>
    <n v="639.69000000000005"/>
    <x v="0"/>
    <s v="Card"/>
    <n v="1955.2039999999997"/>
    <n v="675.82399999999961"/>
    <s v="Tuesday"/>
    <b v="0"/>
    <x v="1"/>
  </r>
  <r>
    <s v="NV2845"/>
    <d v="2024-10-26T00:00:00"/>
    <s v="ST20"/>
    <s v="East"/>
    <s v="P141"/>
    <s v="Clothing"/>
    <n v="1"/>
    <n v="2874.99"/>
    <n v="10"/>
    <n v="1527.17"/>
    <x v="0"/>
    <s v="Digital"/>
    <n v="2587.491"/>
    <n v="1060.3209999999999"/>
    <s v="Saturday"/>
    <b v="1"/>
    <x v="2"/>
  </r>
  <r>
    <s v="NV2846"/>
    <d v="2024-05-30T00:00:00"/>
    <s v="ST50"/>
    <s v="South"/>
    <s v="P296"/>
    <s v="Shoes"/>
    <n v="5"/>
    <n v="2251.1999999999998"/>
    <n v="30"/>
    <n v="931.11"/>
    <x v="1"/>
    <s v="Cash"/>
    <n v="7879.2"/>
    <n v="3223.6499999999996"/>
    <s v="Thursday"/>
    <b v="0"/>
    <x v="9"/>
  </r>
  <r>
    <s v="NV2847"/>
    <d v="2024-04-20T00:00:00"/>
    <s v="ST18"/>
    <s v="West"/>
    <s v="P275"/>
    <s v="Shoes"/>
    <n v="3"/>
    <n v="1323.16"/>
    <n v="25"/>
    <n v="534.86"/>
    <x v="0"/>
    <s v="Cash"/>
    <n v="2977.1100000000006"/>
    <n v="1372.5300000000007"/>
    <s v="Saturday"/>
    <b v="1"/>
    <x v="8"/>
  </r>
  <r>
    <s v="NV2848"/>
    <d v="2025-01-22T00:00:00"/>
    <s v="ST37"/>
    <s v="East"/>
    <s v="P102"/>
    <s v="Clothing"/>
    <n v="3"/>
    <n v="2278.87"/>
    <n v="25"/>
    <n v="1542.99"/>
    <x v="0"/>
    <s v="Cash"/>
    <n v="5127.4574999999995"/>
    <n v="498.48749999999927"/>
    <s v="Wednesday"/>
    <b v="0"/>
    <x v="10"/>
  </r>
  <r>
    <s v="NV2849"/>
    <d v="2024-06-27T00:00:00"/>
    <s v="ST12"/>
    <s v="East"/>
    <s v="P181"/>
    <s v="Accessories"/>
    <n v="2"/>
    <n v="408.82"/>
    <n v="5"/>
    <n v="262.27999999999997"/>
    <x v="0"/>
    <s v="Cash"/>
    <n v="776.75799999999992"/>
    <n v="252.19799999999998"/>
    <s v="Thursday"/>
    <b v="0"/>
    <x v="0"/>
  </r>
  <r>
    <s v="NV2850"/>
    <d v="2025-08-14T00:00:00"/>
    <s v="ST18"/>
    <s v="South"/>
    <s v="P262"/>
    <s v="Clothing"/>
    <n v="1"/>
    <n v="2512.4699999999998"/>
    <n v="25"/>
    <n v="1544.68"/>
    <x v="1"/>
    <s v="Cash"/>
    <n v="1884.3525"/>
    <n v="339.6724999999999"/>
    <s v="Thursday"/>
    <b v="0"/>
    <x v="5"/>
  </r>
  <r>
    <s v="NV2851"/>
    <d v="2025-10-17T00:00:00"/>
    <s v="ST1"/>
    <s v="East"/>
    <s v="P48"/>
    <s v="Shoes"/>
    <n v="4"/>
    <n v="1220.75"/>
    <n v="25"/>
    <n v="696.76"/>
    <x v="0"/>
    <s v="Card"/>
    <n v="3662.25"/>
    <n v="875.21"/>
    <s v="Friday"/>
    <b v="0"/>
    <x v="2"/>
  </r>
  <r>
    <s v="NV2852"/>
    <d v="2025-02-18T00:00:00"/>
    <s v="ST47"/>
    <s v="West"/>
    <s v="P199"/>
    <s v="Shoes"/>
    <n v="5"/>
    <n v="1428.02"/>
    <n v="15"/>
    <n v="739"/>
    <x v="0"/>
    <s v="Cash"/>
    <n v="6069.085"/>
    <n v="2374.085"/>
    <s v="Tuesday"/>
    <b v="0"/>
    <x v="3"/>
  </r>
  <r>
    <s v="NV2853"/>
    <d v="2024-08-03T00:00:00"/>
    <s v="ST7"/>
    <s v="West"/>
    <s v="P281"/>
    <s v="Accessories"/>
    <n v="4"/>
    <n v="1567.64"/>
    <n v="20"/>
    <n v="822.65"/>
    <x v="0"/>
    <s v="Digital"/>
    <n v="5016.4480000000003"/>
    <n v="1725.8480000000004"/>
    <s v="Saturday"/>
    <b v="1"/>
    <x v="5"/>
  </r>
  <r>
    <s v="NV2854"/>
    <d v="2024-11-01T00:00:00"/>
    <s v="ST58"/>
    <s v="East"/>
    <s v="P77"/>
    <s v="Accessories"/>
    <n v="3"/>
    <n v="685.17"/>
    <n v="20"/>
    <n v="462.05"/>
    <x v="1"/>
    <s v="Cash"/>
    <n v="1644.4079999999999"/>
    <n v="258.25799999999981"/>
    <s v="Friday"/>
    <b v="0"/>
    <x v="1"/>
  </r>
  <r>
    <s v="NV2855"/>
    <d v="2025-03-28T00:00:00"/>
    <s v="ST53"/>
    <s v="East"/>
    <s v="P294"/>
    <s v="Clothing"/>
    <n v="3"/>
    <n v="2158.04"/>
    <n v="5"/>
    <n v="1137.8399999999999"/>
    <x v="1"/>
    <s v="Card"/>
    <n v="6150.4139999999998"/>
    <n v="2736.8940000000002"/>
    <s v="Friday"/>
    <b v="0"/>
    <x v="7"/>
  </r>
  <r>
    <s v="NV2856"/>
    <d v="2025-02-17T00:00:00"/>
    <s v="ST17"/>
    <s v="North"/>
    <s v="P100"/>
    <s v="Shoes"/>
    <n v="4"/>
    <n v="1425.8"/>
    <n v="25"/>
    <n v="599.08000000000004"/>
    <x v="0"/>
    <s v="Card"/>
    <n v="4277.3999999999996"/>
    <n v="1881.0799999999995"/>
    <s v="Monday"/>
    <b v="0"/>
    <x v="3"/>
  </r>
  <r>
    <s v="NV2857"/>
    <d v="2024-03-31T00:00:00"/>
    <s v="ST46"/>
    <s v="South"/>
    <s v="P5"/>
    <s v="Clothing"/>
    <n v="5"/>
    <n v="409.81"/>
    <n v="20"/>
    <n v="280.56"/>
    <x v="0"/>
    <s v="Card"/>
    <n v="1639.2400000000002"/>
    <n v="236.44000000000028"/>
    <s v="Sunday"/>
    <b v="1"/>
    <x v="7"/>
  </r>
  <r>
    <s v="NV2858"/>
    <d v="2024-05-29T00:00:00"/>
    <s v="ST40"/>
    <s v="North"/>
    <s v="P49"/>
    <s v="Accessories"/>
    <n v="3"/>
    <n v="1694.98"/>
    <n v="15"/>
    <n v="747.29"/>
    <x v="1"/>
    <s v="Cash"/>
    <n v="4322.1990000000005"/>
    <n v="2080.3290000000006"/>
    <s v="Wednesday"/>
    <b v="0"/>
    <x v="9"/>
  </r>
  <r>
    <s v="NV2859"/>
    <d v="2024-06-18T00:00:00"/>
    <s v="ST44"/>
    <s v="South"/>
    <s v="P242"/>
    <s v="Accessories"/>
    <n v="5"/>
    <n v="2619.66"/>
    <n v="15"/>
    <n v="1411.65"/>
    <x v="0"/>
    <s v="Cash"/>
    <n v="11133.554999999998"/>
    <n v="4075.3049999999985"/>
    <s v="Tuesday"/>
    <b v="0"/>
    <x v="0"/>
  </r>
  <r>
    <s v="NV2860"/>
    <d v="2025-02-19T00:00:00"/>
    <s v="ST16"/>
    <s v="South"/>
    <s v="P197"/>
    <s v="Clothing"/>
    <n v="5"/>
    <n v="1649.09"/>
    <n v="15"/>
    <n v="674.09"/>
    <x v="1"/>
    <s v="Card"/>
    <n v="7008.6324999999988"/>
    <n v="3638.1824999999985"/>
    <s v="Wednesday"/>
    <b v="0"/>
    <x v="3"/>
  </r>
  <r>
    <s v="NV2861"/>
    <d v="2024-08-31T00:00:00"/>
    <s v="ST1"/>
    <s v="North"/>
    <s v="P276"/>
    <s v="Clothing"/>
    <n v="2"/>
    <n v="1197.01"/>
    <n v="15"/>
    <n v="550.74"/>
    <x v="1"/>
    <s v="Cash"/>
    <n v="2034.9169999999999"/>
    <n v="933.4369999999999"/>
    <s v="Saturday"/>
    <b v="1"/>
    <x v="5"/>
  </r>
  <r>
    <s v="NV2862"/>
    <d v="2024-03-25T00:00:00"/>
    <s v="ST3"/>
    <s v="East"/>
    <s v="P272"/>
    <s v="Shoes"/>
    <n v="3"/>
    <n v="2098.56"/>
    <n v="20"/>
    <n v="951.73"/>
    <x v="0"/>
    <s v="Digital"/>
    <n v="5036.5440000000008"/>
    <n v="2181.3540000000007"/>
    <s v="Monday"/>
    <b v="0"/>
    <x v="7"/>
  </r>
  <r>
    <s v="NV2863"/>
    <d v="2024-06-13T00:00:00"/>
    <s v="ST22"/>
    <s v="South"/>
    <s v="P146"/>
    <s v="Shoes"/>
    <n v="3"/>
    <n v="2087.37"/>
    <n v="20"/>
    <n v="920.73"/>
    <x v="1"/>
    <s v="Cash"/>
    <n v="5009.6880000000001"/>
    <n v="2247.498"/>
    <s v="Thursday"/>
    <b v="0"/>
    <x v="0"/>
  </r>
  <r>
    <s v="NV2864"/>
    <d v="2024-10-31T00:00:00"/>
    <s v="ST43"/>
    <s v="East"/>
    <s v="P175"/>
    <s v="Clothing"/>
    <n v="1"/>
    <n v="784.86"/>
    <n v="20"/>
    <n v="322.16000000000003"/>
    <x v="0"/>
    <s v="Digital"/>
    <n v="627.88800000000003"/>
    <n v="305.72800000000001"/>
    <s v="Thursday"/>
    <b v="0"/>
    <x v="2"/>
  </r>
  <r>
    <s v="NV2865"/>
    <d v="2025-08-06T00:00:00"/>
    <s v="ST38"/>
    <s v="North"/>
    <s v="P294"/>
    <s v="Clothing"/>
    <n v="1"/>
    <n v="2067.81"/>
    <n v="20"/>
    <n v="1029.8399999999999"/>
    <x v="1"/>
    <s v="Cash"/>
    <n v="1654.248"/>
    <n v="624.40800000000013"/>
    <s v="Wednesday"/>
    <b v="0"/>
    <x v="5"/>
  </r>
  <r>
    <s v="NV2866"/>
    <d v="2025-09-06T00:00:00"/>
    <s v="ST48"/>
    <s v="North"/>
    <s v="P48"/>
    <s v="Clothing"/>
    <n v="5"/>
    <n v="380.36"/>
    <n v="0"/>
    <n v="171.14"/>
    <x v="1"/>
    <s v="Cash"/>
    <n v="1901.8000000000002"/>
    <n v="1046.1000000000004"/>
    <s v="Saturday"/>
    <b v="1"/>
    <x v="6"/>
  </r>
  <r>
    <s v="NV2867"/>
    <d v="2024-08-18T00:00:00"/>
    <s v="ST22"/>
    <s v="East"/>
    <s v="P87"/>
    <s v="Shoes"/>
    <n v="5"/>
    <n v="2781.63"/>
    <n v="0"/>
    <n v="1187.54"/>
    <x v="1"/>
    <s v="Digital"/>
    <n v="13908.150000000001"/>
    <n v="7970.4500000000016"/>
    <s v="Sunday"/>
    <b v="1"/>
    <x v="5"/>
  </r>
  <r>
    <s v="NV2868"/>
    <d v="2024-08-26T00:00:00"/>
    <s v="ST57"/>
    <s v="West"/>
    <s v="P241"/>
    <s v="Clothing"/>
    <n v="1"/>
    <n v="1820.01"/>
    <n v="5"/>
    <n v="972.66"/>
    <x v="0"/>
    <s v="Card"/>
    <n v="1729.0094999999999"/>
    <n v="756.34949999999992"/>
    <s v="Monday"/>
    <b v="0"/>
    <x v="5"/>
  </r>
  <r>
    <s v="NV2869"/>
    <d v="2025-08-12T00:00:00"/>
    <s v="ST4"/>
    <s v="North"/>
    <s v="P218"/>
    <s v="Clothing"/>
    <n v="1"/>
    <n v="1884.37"/>
    <n v="10"/>
    <n v="1147.78"/>
    <x v="0"/>
    <s v="Digital"/>
    <n v="1695.933"/>
    <n v="548.15300000000002"/>
    <s v="Tuesday"/>
    <b v="0"/>
    <x v="5"/>
  </r>
  <r>
    <s v="NV2870"/>
    <d v="2024-10-18T00:00:00"/>
    <s v="ST54"/>
    <s v="West"/>
    <s v="P63"/>
    <s v="Shoes"/>
    <n v="4"/>
    <n v="649.19000000000005"/>
    <n v="15"/>
    <n v="264.75"/>
    <x v="0"/>
    <s v="Cash"/>
    <n v="2207.2460000000001"/>
    <n v="1148.2460000000001"/>
    <s v="Friday"/>
    <b v="0"/>
    <x v="2"/>
  </r>
  <r>
    <s v="NV2871"/>
    <d v="2025-08-11T00:00:00"/>
    <s v="ST4"/>
    <s v="East"/>
    <s v="P231"/>
    <s v="Shoes"/>
    <n v="5"/>
    <n v="1188.6400000000001"/>
    <n v="0"/>
    <n v="553.94000000000005"/>
    <x v="0"/>
    <s v="Digital"/>
    <n v="5943.2000000000007"/>
    <n v="3173.5000000000005"/>
    <s v="Monday"/>
    <b v="0"/>
    <x v="5"/>
  </r>
  <r>
    <s v="NV2872"/>
    <d v="2024-07-07T00:00:00"/>
    <s v="ST60"/>
    <s v="South"/>
    <s v="P151"/>
    <s v="Accessories"/>
    <n v="3"/>
    <n v="2520.34"/>
    <n v="25"/>
    <n v="1360.68"/>
    <x v="0"/>
    <s v="Card"/>
    <n v="5670.7650000000003"/>
    <n v="1588.7250000000004"/>
    <s v="Sunday"/>
    <b v="1"/>
    <x v="4"/>
  </r>
  <r>
    <s v="NV2873"/>
    <d v="2025-07-23T00:00:00"/>
    <s v="ST16"/>
    <s v="West"/>
    <s v="P258"/>
    <s v="Shoes"/>
    <n v="4"/>
    <n v="2654.19"/>
    <n v="30"/>
    <n v="1291.6199999999999"/>
    <x v="0"/>
    <s v="Card"/>
    <n v="7431.732"/>
    <n v="2265.2520000000004"/>
    <s v="Wednesday"/>
    <b v="0"/>
    <x v="4"/>
  </r>
  <r>
    <s v="NV2874"/>
    <d v="2025-02-20T00:00:00"/>
    <s v="ST6"/>
    <s v="West"/>
    <s v="P19"/>
    <s v="Clothing"/>
    <n v="3"/>
    <n v="461.69"/>
    <n v="20"/>
    <n v="258.61"/>
    <x v="0"/>
    <s v="Cash"/>
    <n v="1108.056"/>
    <n v="332.226"/>
    <s v="Thursday"/>
    <b v="0"/>
    <x v="3"/>
  </r>
  <r>
    <s v="NV2875"/>
    <d v="2024-11-01T00:00:00"/>
    <s v="ST40"/>
    <s v="East"/>
    <s v="P139"/>
    <s v="Clothing"/>
    <n v="4"/>
    <n v="1296.54"/>
    <n v="25"/>
    <n v="602.66"/>
    <x v="1"/>
    <s v="Cash"/>
    <n v="3889.62"/>
    <n v="1478.98"/>
    <s v="Friday"/>
    <b v="0"/>
    <x v="1"/>
  </r>
  <r>
    <s v="NV2876"/>
    <d v="2024-08-19T00:00:00"/>
    <s v="ST53"/>
    <s v="South"/>
    <s v="P278"/>
    <s v="Accessories"/>
    <n v="1"/>
    <n v="2717.67"/>
    <n v="30"/>
    <n v="1570.53"/>
    <x v="1"/>
    <s v="Digital"/>
    <n v="1902.3689999999999"/>
    <n v="331.83899999999994"/>
    <s v="Monday"/>
    <b v="0"/>
    <x v="5"/>
  </r>
  <r>
    <s v="NV2877"/>
    <d v="2024-07-02T00:00:00"/>
    <s v="ST48"/>
    <s v="North"/>
    <s v="P256"/>
    <s v="Shoes"/>
    <n v="2"/>
    <n v="1804.67"/>
    <n v="30"/>
    <n v="1135.0899999999999"/>
    <x v="1"/>
    <s v="Cash"/>
    <n v="2526.538"/>
    <n v="256.35800000000017"/>
    <s v="Tuesday"/>
    <b v="0"/>
    <x v="4"/>
  </r>
  <r>
    <s v="NV2878"/>
    <d v="2024-03-06T00:00:00"/>
    <s v="ST5"/>
    <s v="East"/>
    <s v="P112"/>
    <s v="Accessories"/>
    <n v="3"/>
    <n v="1760.02"/>
    <n v="10"/>
    <n v="1170.3699999999999"/>
    <x v="1"/>
    <s v="Card"/>
    <n v="4752.0540000000001"/>
    <n v="1240.9440000000004"/>
    <s v="Wednesday"/>
    <b v="0"/>
    <x v="7"/>
  </r>
  <r>
    <s v="NV2879"/>
    <d v="2024-03-08T00:00:00"/>
    <s v="ST56"/>
    <s v="North"/>
    <s v="P37"/>
    <s v="Clothing"/>
    <n v="5"/>
    <n v="701.03"/>
    <n v="0"/>
    <n v="419.84"/>
    <x v="0"/>
    <s v="Card"/>
    <n v="3505.1499999999996"/>
    <n v="1405.9499999999998"/>
    <s v="Friday"/>
    <b v="0"/>
    <x v="7"/>
  </r>
  <r>
    <s v="NV2880"/>
    <d v="2024-11-27T00:00:00"/>
    <s v="ST6"/>
    <s v="West"/>
    <s v="P263"/>
    <s v="Accessories"/>
    <n v="4"/>
    <n v="2219.17"/>
    <n v="10"/>
    <n v="1344.25"/>
    <x v="1"/>
    <s v="Digital"/>
    <n v="7989.0120000000006"/>
    <n v="2612.0120000000006"/>
    <s v="Wednesday"/>
    <b v="0"/>
    <x v="1"/>
  </r>
  <r>
    <s v="NV2881"/>
    <d v="2025-02-11T00:00:00"/>
    <s v="ST45"/>
    <s v="South"/>
    <s v="P245"/>
    <s v="Accessories"/>
    <n v="4"/>
    <n v="1428.32"/>
    <n v="15"/>
    <n v="815.19"/>
    <x v="0"/>
    <s v="Cash"/>
    <n v="4856.2879999999996"/>
    <n v="1595.5279999999993"/>
    <s v="Tuesday"/>
    <b v="0"/>
    <x v="3"/>
  </r>
  <r>
    <s v="NV2882"/>
    <d v="2024-01-07T00:00:00"/>
    <s v="ST33"/>
    <s v="North"/>
    <s v="P130"/>
    <s v="Accessories"/>
    <n v="2"/>
    <n v="1628.32"/>
    <n v="10"/>
    <n v="1067.75"/>
    <x v="1"/>
    <s v="Cash"/>
    <n v="2930.9760000000001"/>
    <n v="795.47600000000011"/>
    <s v="Sunday"/>
    <b v="1"/>
    <x v="10"/>
  </r>
  <r>
    <s v="NV2883"/>
    <d v="2025-06-11T00:00:00"/>
    <s v="ST60"/>
    <s v="North"/>
    <s v="P172"/>
    <s v="Shoes"/>
    <n v="1"/>
    <n v="2120.7399999999998"/>
    <n v="25"/>
    <n v="1243.73"/>
    <x v="1"/>
    <s v="Digital"/>
    <n v="1590.5549999999998"/>
    <n v="346.82499999999982"/>
    <s v="Wednesday"/>
    <b v="0"/>
    <x v="0"/>
  </r>
  <r>
    <s v="NV2884"/>
    <d v="2025-10-22T00:00:00"/>
    <s v="ST36"/>
    <s v="North"/>
    <s v="P24"/>
    <s v="Clothing"/>
    <n v="1"/>
    <n v="843.97"/>
    <n v="25"/>
    <n v="562.29999999999995"/>
    <x v="1"/>
    <s v="Cash"/>
    <n v="632.97749999999996"/>
    <n v="70.677500000000009"/>
    <s v="Wednesday"/>
    <b v="0"/>
    <x v="2"/>
  </r>
  <r>
    <s v="NV2885"/>
    <d v="2024-02-05T00:00:00"/>
    <s v="ST14"/>
    <s v="West"/>
    <s v="P82"/>
    <s v="Shoes"/>
    <n v="1"/>
    <n v="1457.41"/>
    <n v="20"/>
    <n v="821.11"/>
    <x v="0"/>
    <s v="Digital"/>
    <n v="1165.9280000000001"/>
    <n v="344.8180000000001"/>
    <s v="Monday"/>
    <b v="0"/>
    <x v="3"/>
  </r>
  <r>
    <s v="NV2886"/>
    <d v="2024-03-17T00:00:00"/>
    <s v="ST45"/>
    <s v="West"/>
    <s v="P145"/>
    <s v="Accessories"/>
    <n v="2"/>
    <n v="2110.6999999999998"/>
    <n v="10"/>
    <n v="1032.93"/>
    <x v="1"/>
    <s v="Digital"/>
    <n v="3799.2599999999998"/>
    <n v="1733.3999999999996"/>
    <s v="Sunday"/>
    <b v="1"/>
    <x v="7"/>
  </r>
  <r>
    <s v="NV2887"/>
    <d v="2025-09-15T00:00:00"/>
    <s v="ST7"/>
    <s v="North"/>
    <s v="P114"/>
    <s v="Shoes"/>
    <n v="2"/>
    <n v="1062.74"/>
    <n v="15"/>
    <n v="656.23"/>
    <x v="1"/>
    <s v="Cash"/>
    <n v="1806.6579999999999"/>
    <n v="494.19799999999987"/>
    <s v="Monday"/>
    <b v="0"/>
    <x v="6"/>
  </r>
  <r>
    <s v="NV2888"/>
    <d v="2024-04-27T00:00:00"/>
    <s v="ST50"/>
    <s v="North"/>
    <s v="P53"/>
    <s v="Accessories"/>
    <n v="1"/>
    <n v="1842.54"/>
    <n v="15"/>
    <n v="845.58"/>
    <x v="0"/>
    <s v="Card"/>
    <n v="1566.1589999999999"/>
    <n v="720.57899999999984"/>
    <s v="Saturday"/>
    <b v="1"/>
    <x v="8"/>
  </r>
  <r>
    <s v="NV2889"/>
    <d v="2024-03-02T00:00:00"/>
    <s v="ST56"/>
    <s v="West"/>
    <s v="P241"/>
    <s v="Clothing"/>
    <n v="5"/>
    <n v="1022.79"/>
    <n v="20"/>
    <n v="647.23"/>
    <x v="0"/>
    <s v="Digital"/>
    <n v="4091.16"/>
    <n v="855.00999999999976"/>
    <s v="Saturday"/>
    <b v="1"/>
    <x v="7"/>
  </r>
  <r>
    <s v="NV2890"/>
    <d v="2025-07-09T00:00:00"/>
    <s v="ST35"/>
    <s v="East"/>
    <s v="P49"/>
    <s v="Accessories"/>
    <n v="4"/>
    <n v="1134.32"/>
    <n v="20"/>
    <n v="711.89"/>
    <x v="0"/>
    <s v="Cash"/>
    <n v="3629.8240000000001"/>
    <n v="782.26400000000012"/>
    <s v="Wednesday"/>
    <b v="0"/>
    <x v="4"/>
  </r>
  <r>
    <s v="NV2891"/>
    <d v="2024-09-09T00:00:00"/>
    <s v="ST58"/>
    <s v="East"/>
    <s v="P108"/>
    <s v="Shoes"/>
    <n v="4"/>
    <n v="606.08000000000004"/>
    <n v="0"/>
    <n v="258.32"/>
    <x v="0"/>
    <s v="Digital"/>
    <n v="2424.3200000000002"/>
    <n v="1391.0400000000002"/>
    <s v="Monday"/>
    <b v="0"/>
    <x v="6"/>
  </r>
  <r>
    <s v="NV2892"/>
    <d v="2025-06-25T00:00:00"/>
    <s v="ST44"/>
    <s v="East"/>
    <s v="P49"/>
    <s v="Shoes"/>
    <n v="2"/>
    <n v="1887.2"/>
    <n v="20"/>
    <n v="899.94"/>
    <x v="1"/>
    <s v="Cash"/>
    <n v="3019.5200000000004"/>
    <n v="1219.6400000000003"/>
    <s v="Wednesday"/>
    <b v="0"/>
    <x v="0"/>
  </r>
  <r>
    <s v="NV2893"/>
    <d v="2025-04-24T00:00:00"/>
    <s v="ST6"/>
    <s v="East"/>
    <s v="P135"/>
    <s v="Clothing"/>
    <n v="3"/>
    <n v="1115.3499999999999"/>
    <n v="20"/>
    <n v="510.76"/>
    <x v="1"/>
    <s v="Cash"/>
    <n v="2676.84"/>
    <n v="1144.5600000000002"/>
    <s v="Thursday"/>
    <b v="0"/>
    <x v="8"/>
  </r>
  <r>
    <s v="NV2894"/>
    <d v="2024-12-07T00:00:00"/>
    <s v="ST33"/>
    <s v="North"/>
    <s v="P76"/>
    <s v="Clothing"/>
    <n v="2"/>
    <n v="2229.11"/>
    <n v="25"/>
    <n v="1002.58"/>
    <x v="0"/>
    <s v="Card"/>
    <n v="3343.665"/>
    <n v="1338.5049999999999"/>
    <s v="Saturday"/>
    <b v="1"/>
    <x v="11"/>
  </r>
  <r>
    <s v="NV2895"/>
    <d v="2025-09-26T00:00:00"/>
    <s v="ST19"/>
    <s v="South"/>
    <s v="P66"/>
    <s v="Shoes"/>
    <n v="2"/>
    <n v="955.94"/>
    <n v="15"/>
    <n v="478.71"/>
    <x v="0"/>
    <s v="Cash"/>
    <n v="1625.098"/>
    <n v="667.678"/>
    <s v="Friday"/>
    <b v="0"/>
    <x v="6"/>
  </r>
  <r>
    <s v="NV2896"/>
    <d v="2025-11-14T00:00:00"/>
    <s v="ST57"/>
    <s v="South"/>
    <s v="P78"/>
    <s v="Accessories"/>
    <n v="3"/>
    <n v="2587.0300000000002"/>
    <n v="30"/>
    <n v="1155.58"/>
    <x v="0"/>
    <s v="Digital"/>
    <n v="5432.7629999999999"/>
    <n v="1966.0230000000001"/>
    <s v="Friday"/>
    <b v="0"/>
    <x v="1"/>
  </r>
  <r>
    <s v="NV2897"/>
    <d v="2024-01-23T00:00:00"/>
    <s v="ST42"/>
    <s v="East"/>
    <s v="P271"/>
    <s v="Accessories"/>
    <n v="2"/>
    <n v="359.06"/>
    <n v="0"/>
    <n v="162.07"/>
    <x v="1"/>
    <s v="Digital"/>
    <n v="718.12"/>
    <n v="393.98"/>
    <s v="Tuesday"/>
    <b v="0"/>
    <x v="10"/>
  </r>
  <r>
    <s v="NV2898"/>
    <d v="2024-12-11T00:00:00"/>
    <s v="ST47"/>
    <s v="West"/>
    <s v="P273"/>
    <s v="Clothing"/>
    <n v="5"/>
    <n v="2711.53"/>
    <n v="0"/>
    <n v="1878.27"/>
    <x v="1"/>
    <s v="Digital"/>
    <n v="13557.650000000001"/>
    <n v="4166.3000000000011"/>
    <s v="Wednesday"/>
    <b v="0"/>
    <x v="11"/>
  </r>
  <r>
    <s v="NV2899"/>
    <d v="2025-07-01T00:00:00"/>
    <s v="ST25"/>
    <s v="West"/>
    <s v="P10"/>
    <s v="Accessories"/>
    <n v="2"/>
    <n v="2468.9699999999998"/>
    <n v="0"/>
    <n v="1320.73"/>
    <x v="0"/>
    <s v="Card"/>
    <n v="4937.9399999999996"/>
    <n v="2296.4799999999996"/>
    <s v="Tuesday"/>
    <b v="0"/>
    <x v="4"/>
  </r>
  <r>
    <s v="NV2900"/>
    <d v="2025-03-07T00:00:00"/>
    <s v="ST56"/>
    <s v="South"/>
    <s v="P291"/>
    <s v="Accessories"/>
    <n v="5"/>
    <n v="659.55"/>
    <n v="5"/>
    <n v="310.31"/>
    <x v="0"/>
    <s v="Card"/>
    <n v="3132.8624999999997"/>
    <n v="1581.3124999999998"/>
    <s v="Friday"/>
    <b v="0"/>
    <x v="7"/>
  </r>
  <r>
    <s v="NV2901"/>
    <d v="2025-10-29T00:00:00"/>
    <s v="ST4"/>
    <s v="North"/>
    <s v="P177"/>
    <s v="Clothing"/>
    <n v="5"/>
    <n v="1635.94"/>
    <n v="20"/>
    <n v="749.86"/>
    <x v="1"/>
    <s v="Digital"/>
    <n v="6543.7600000000011"/>
    <n v="2794.4600000000009"/>
    <s v="Wednesday"/>
    <b v="0"/>
    <x v="2"/>
  </r>
  <r>
    <s v="NV2902"/>
    <d v="2024-05-30T00:00:00"/>
    <s v="ST11"/>
    <s v="East"/>
    <s v="P130"/>
    <s v="Clothing"/>
    <n v="1"/>
    <n v="2422.86"/>
    <n v="10"/>
    <n v="1259.6600000000001"/>
    <x v="0"/>
    <s v="Digital"/>
    <n v="2180.5740000000001"/>
    <n v="920.91399999999999"/>
    <s v="Thursday"/>
    <b v="0"/>
    <x v="9"/>
  </r>
  <r>
    <s v="NV2903"/>
    <d v="2024-04-17T00:00:00"/>
    <s v="ST22"/>
    <s v="East"/>
    <s v="P270"/>
    <s v="Clothing"/>
    <n v="3"/>
    <n v="2100.0500000000002"/>
    <n v="15"/>
    <n v="899.28"/>
    <x v="0"/>
    <s v="Cash"/>
    <n v="5355.1275000000005"/>
    <n v="2657.2875000000004"/>
    <s v="Wednesday"/>
    <b v="0"/>
    <x v="8"/>
  </r>
  <r>
    <s v="NV2904"/>
    <d v="2025-05-31T00:00:00"/>
    <s v="ST20"/>
    <s v="West"/>
    <s v="P151"/>
    <s v="Accessories"/>
    <n v="5"/>
    <n v="2476.85"/>
    <n v="25"/>
    <n v="1023.79"/>
    <x v="0"/>
    <s v="Digital"/>
    <n v="9288.1875"/>
    <n v="4169.2375000000002"/>
    <s v="Saturday"/>
    <b v="1"/>
    <x v="9"/>
  </r>
  <r>
    <s v="NV2905"/>
    <d v="2024-09-01T00:00:00"/>
    <s v="ST1"/>
    <s v="South"/>
    <s v="P220"/>
    <s v="Shoes"/>
    <n v="5"/>
    <n v="949.12"/>
    <n v="15"/>
    <n v="582.51"/>
    <x v="0"/>
    <s v="Cash"/>
    <n v="4033.76"/>
    <n v="1121.21"/>
    <s v="Sunday"/>
    <b v="1"/>
    <x v="6"/>
  </r>
  <r>
    <s v="NV2906"/>
    <d v="2025-05-01T00:00:00"/>
    <s v="ST26"/>
    <s v="East"/>
    <s v="P71"/>
    <s v="Shoes"/>
    <n v="3"/>
    <n v="1104.58"/>
    <n v="20"/>
    <n v="701.78"/>
    <x v="0"/>
    <s v="Cash"/>
    <n v="2650.9920000000002"/>
    <n v="545.65200000000004"/>
    <s v="Thursday"/>
    <b v="0"/>
    <x v="9"/>
  </r>
  <r>
    <s v="NV2907"/>
    <d v="2025-02-16T00:00:00"/>
    <s v="ST55"/>
    <s v="North"/>
    <s v="P211"/>
    <s v="Accessories"/>
    <n v="1"/>
    <n v="2289.71"/>
    <n v="20"/>
    <n v="1517.45"/>
    <x v="1"/>
    <s v="Card"/>
    <n v="1831.768"/>
    <n v="314.31799999999998"/>
    <s v="Sunday"/>
    <b v="1"/>
    <x v="3"/>
  </r>
  <r>
    <s v="NV2908"/>
    <d v="2024-04-19T00:00:00"/>
    <s v="ST8"/>
    <s v="South"/>
    <s v="P128"/>
    <s v="Accessories"/>
    <n v="5"/>
    <n v="1459.26"/>
    <n v="10"/>
    <n v="971.74"/>
    <x v="1"/>
    <s v="Cash"/>
    <n v="6566.67"/>
    <n v="1707.9700000000003"/>
    <s v="Friday"/>
    <b v="0"/>
    <x v="8"/>
  </r>
  <r>
    <s v="NV2909"/>
    <d v="2025-03-23T00:00:00"/>
    <s v="ST57"/>
    <s v="South"/>
    <s v="P104"/>
    <s v="Clothing"/>
    <n v="1"/>
    <n v="2266.67"/>
    <n v="0"/>
    <n v="925.49"/>
    <x v="1"/>
    <s v="Digital"/>
    <n v="2266.67"/>
    <n v="1341.18"/>
    <s v="Sunday"/>
    <b v="1"/>
    <x v="7"/>
  </r>
  <r>
    <s v="NV2910"/>
    <d v="2025-04-14T00:00:00"/>
    <s v="ST44"/>
    <s v="West"/>
    <s v="P82"/>
    <s v="Accessories"/>
    <n v="1"/>
    <n v="1794.2"/>
    <n v="30"/>
    <n v="1071.18"/>
    <x v="0"/>
    <s v="Card"/>
    <n v="1255.94"/>
    <n v="184.76"/>
    <s v="Monday"/>
    <b v="0"/>
    <x v="8"/>
  </r>
  <r>
    <s v="NV2911"/>
    <d v="2025-05-07T00:00:00"/>
    <s v="ST48"/>
    <s v="East"/>
    <s v="P189"/>
    <s v="Accessories"/>
    <n v="4"/>
    <n v="1471.27"/>
    <n v="30"/>
    <n v="757.9"/>
    <x v="0"/>
    <s v="Digital"/>
    <n v="4119.5559999999996"/>
    <n v="1087.9559999999997"/>
    <s v="Wednesday"/>
    <b v="0"/>
    <x v="9"/>
  </r>
  <r>
    <s v="NV2912"/>
    <d v="2025-02-10T00:00:00"/>
    <s v="ST34"/>
    <s v="South"/>
    <s v="P113"/>
    <s v="Clothing"/>
    <n v="2"/>
    <n v="2359.04"/>
    <n v="30"/>
    <n v="1491.36"/>
    <x v="1"/>
    <s v="Card"/>
    <n v="3302.6559999999999"/>
    <n v="319.93600000000015"/>
    <s v="Monday"/>
    <b v="0"/>
    <x v="3"/>
  </r>
  <r>
    <s v="NV2913"/>
    <d v="2025-07-01T00:00:00"/>
    <s v="ST57"/>
    <s v="West"/>
    <s v="P152"/>
    <s v="Shoes"/>
    <n v="4"/>
    <n v="962.57"/>
    <n v="20"/>
    <n v="432.21"/>
    <x v="1"/>
    <s v="Cash"/>
    <n v="3080.2240000000002"/>
    <n v="1351.3840000000002"/>
    <s v="Tuesday"/>
    <b v="0"/>
    <x v="4"/>
  </r>
  <r>
    <s v="NV2914"/>
    <d v="2025-06-02T00:00:00"/>
    <s v="ST17"/>
    <s v="West"/>
    <s v="P33"/>
    <s v="Accessories"/>
    <n v="3"/>
    <n v="1798.89"/>
    <n v="25"/>
    <n v="1110.56"/>
    <x v="1"/>
    <s v="Digital"/>
    <n v="4047.5025000000001"/>
    <n v="715.82250000000022"/>
    <s v="Monday"/>
    <b v="0"/>
    <x v="0"/>
  </r>
  <r>
    <s v="NV2915"/>
    <d v="2025-02-27T00:00:00"/>
    <s v="ST47"/>
    <s v="North"/>
    <s v="P272"/>
    <s v="Accessories"/>
    <n v="1"/>
    <n v="2601.16"/>
    <n v="5"/>
    <n v="1683.45"/>
    <x v="0"/>
    <s v="Digital"/>
    <n v="2471.1019999999999"/>
    <n v="787.65199999999982"/>
    <s v="Thursday"/>
    <b v="0"/>
    <x v="3"/>
  </r>
  <r>
    <s v="NV2916"/>
    <d v="2024-06-20T00:00:00"/>
    <s v="ST48"/>
    <s v="South"/>
    <s v="P14"/>
    <s v="Shoes"/>
    <n v="1"/>
    <n v="1602.93"/>
    <n v="5"/>
    <n v="981.98"/>
    <x v="0"/>
    <s v="Cash"/>
    <n v="1522.7835"/>
    <n v="540.80349999999999"/>
    <s v="Thursday"/>
    <b v="0"/>
    <x v="0"/>
  </r>
  <r>
    <s v="NV2917"/>
    <d v="2024-08-20T00:00:00"/>
    <s v="ST48"/>
    <s v="West"/>
    <s v="P85"/>
    <s v="Shoes"/>
    <n v="3"/>
    <n v="2527.88"/>
    <n v="10"/>
    <n v="1477.18"/>
    <x v="1"/>
    <s v="Cash"/>
    <n v="6825.2760000000007"/>
    <n v="2393.7360000000008"/>
    <s v="Tuesday"/>
    <b v="0"/>
    <x v="5"/>
  </r>
  <r>
    <s v="NV2918"/>
    <d v="2024-01-31T00:00:00"/>
    <s v="ST39"/>
    <s v="East"/>
    <s v="P190"/>
    <s v="Accessories"/>
    <n v="5"/>
    <n v="599.1"/>
    <n v="15"/>
    <n v="265.17"/>
    <x v="0"/>
    <s v="Card"/>
    <n v="2546.1749999999997"/>
    <n v="1220.3249999999996"/>
    <s v="Wednesday"/>
    <b v="0"/>
    <x v="10"/>
  </r>
  <r>
    <s v="NV2919"/>
    <d v="2025-07-22T00:00:00"/>
    <s v="ST12"/>
    <s v="South"/>
    <s v="P42"/>
    <s v="Clothing"/>
    <n v="2"/>
    <n v="949.28"/>
    <n v="25"/>
    <n v="593.66"/>
    <x v="1"/>
    <s v="Cash"/>
    <n v="1423.92"/>
    <n v="236.60000000000014"/>
    <s v="Tuesday"/>
    <b v="0"/>
    <x v="4"/>
  </r>
  <r>
    <s v="NV2920"/>
    <d v="2024-03-07T00:00:00"/>
    <s v="ST23"/>
    <s v="South"/>
    <s v="P28"/>
    <s v="Shoes"/>
    <n v="3"/>
    <n v="2505.36"/>
    <n v="20"/>
    <n v="1143.0899999999999"/>
    <x v="1"/>
    <s v="Card"/>
    <n v="6012.8640000000005"/>
    <n v="2583.594000000001"/>
    <s v="Thursday"/>
    <b v="0"/>
    <x v="7"/>
  </r>
  <r>
    <s v="NV2921"/>
    <d v="2025-10-22T00:00:00"/>
    <s v="ST27"/>
    <s v="West"/>
    <s v="P39"/>
    <s v="Accessories"/>
    <n v="1"/>
    <n v="895.99"/>
    <n v="25"/>
    <n v="454.25"/>
    <x v="1"/>
    <s v="Cash"/>
    <n v="671.99250000000006"/>
    <n v="217.74250000000006"/>
    <s v="Wednesday"/>
    <b v="0"/>
    <x v="2"/>
  </r>
  <r>
    <s v="NV2922"/>
    <d v="2025-09-27T00:00:00"/>
    <s v="ST26"/>
    <s v="North"/>
    <s v="P109"/>
    <s v="Shoes"/>
    <n v="5"/>
    <n v="2306.77"/>
    <n v="0"/>
    <n v="1164.17"/>
    <x v="1"/>
    <s v="Card"/>
    <n v="11533.85"/>
    <n v="5713"/>
    <s v="Saturday"/>
    <b v="1"/>
    <x v="6"/>
  </r>
  <r>
    <s v="NV2923"/>
    <d v="2025-05-18T00:00:00"/>
    <s v="ST57"/>
    <s v="East"/>
    <s v="P175"/>
    <s v="Clothing"/>
    <n v="4"/>
    <n v="2576.98"/>
    <n v="10"/>
    <n v="1108.8800000000001"/>
    <x v="1"/>
    <s v="Cash"/>
    <n v="9277.1280000000006"/>
    <n v="4841.6080000000002"/>
    <s v="Sunday"/>
    <b v="1"/>
    <x v="9"/>
  </r>
  <r>
    <s v="NV2924"/>
    <d v="2024-07-04T00:00:00"/>
    <s v="ST56"/>
    <s v="North"/>
    <s v="P277"/>
    <s v="Accessories"/>
    <n v="4"/>
    <n v="1542.64"/>
    <n v="20"/>
    <n v="951.36"/>
    <x v="1"/>
    <s v="Cash"/>
    <n v="4936.4480000000003"/>
    <n v="1131.0080000000003"/>
    <s v="Thursday"/>
    <b v="0"/>
    <x v="4"/>
  </r>
  <r>
    <s v="NV2925"/>
    <d v="2024-06-28T00:00:00"/>
    <s v="ST48"/>
    <s v="North"/>
    <s v="P87"/>
    <s v="Clothing"/>
    <n v="5"/>
    <n v="752.29"/>
    <n v="5"/>
    <n v="489.7"/>
    <x v="0"/>
    <s v="Digital"/>
    <n v="3573.3774999999996"/>
    <n v="1124.8774999999996"/>
    <s v="Friday"/>
    <b v="0"/>
    <x v="0"/>
  </r>
  <r>
    <s v="NV2926"/>
    <d v="2024-01-23T00:00:00"/>
    <s v="ST22"/>
    <s v="West"/>
    <s v="P47"/>
    <s v="Clothing"/>
    <n v="1"/>
    <n v="1566.51"/>
    <n v="10"/>
    <n v="1018.59"/>
    <x v="1"/>
    <s v="Cash"/>
    <n v="1409.8589999999999"/>
    <n v="391.26899999999989"/>
    <s v="Tuesday"/>
    <b v="0"/>
    <x v="10"/>
  </r>
  <r>
    <s v="NV2927"/>
    <d v="2024-08-19T00:00:00"/>
    <s v="ST8"/>
    <s v="West"/>
    <s v="P165"/>
    <s v="Clothing"/>
    <n v="2"/>
    <n v="2535.2399999999998"/>
    <n v="0"/>
    <n v="1451.5"/>
    <x v="1"/>
    <s v="Digital"/>
    <n v="5070.4799999999996"/>
    <n v="2167.4799999999996"/>
    <s v="Monday"/>
    <b v="0"/>
    <x v="5"/>
  </r>
  <r>
    <s v="NV2928"/>
    <d v="2025-06-03T00:00:00"/>
    <s v="ST54"/>
    <s v="West"/>
    <s v="P175"/>
    <s v="Accessories"/>
    <n v="1"/>
    <n v="1117.8499999999999"/>
    <n v="5"/>
    <n v="748.12"/>
    <x v="1"/>
    <s v="Card"/>
    <n v="1061.9574999999998"/>
    <n v="313.83749999999975"/>
    <s v="Tuesday"/>
    <b v="0"/>
    <x v="0"/>
  </r>
  <r>
    <s v="NV2929"/>
    <d v="2024-08-12T00:00:00"/>
    <s v="ST46"/>
    <s v="West"/>
    <s v="P79"/>
    <s v="Clothing"/>
    <n v="4"/>
    <n v="1951.86"/>
    <n v="20"/>
    <n v="971.51"/>
    <x v="1"/>
    <s v="Card"/>
    <n v="6245.9520000000002"/>
    <n v="2359.9120000000003"/>
    <s v="Monday"/>
    <b v="0"/>
    <x v="5"/>
  </r>
  <r>
    <s v="NV2930"/>
    <d v="2025-01-28T00:00:00"/>
    <s v="ST1"/>
    <s v="West"/>
    <s v="P209"/>
    <s v="Clothing"/>
    <n v="2"/>
    <n v="1003.3"/>
    <n v="10"/>
    <n v="666.57"/>
    <x v="1"/>
    <s v="Digital"/>
    <n v="1805.94"/>
    <n v="472.79999999999995"/>
    <s v="Tuesday"/>
    <b v="0"/>
    <x v="10"/>
  </r>
  <r>
    <s v="NV2931"/>
    <d v="2024-04-30T00:00:00"/>
    <s v="ST41"/>
    <s v="West"/>
    <s v="P204"/>
    <s v="Accessories"/>
    <n v="2"/>
    <n v="2621.78"/>
    <n v="10"/>
    <n v="1814.62"/>
    <x v="1"/>
    <s v="Card"/>
    <n v="4719.2040000000006"/>
    <n v="1089.9640000000009"/>
    <s v="Tuesday"/>
    <b v="0"/>
    <x v="8"/>
  </r>
  <r>
    <s v="NV2932"/>
    <d v="2025-03-07T00:00:00"/>
    <s v="ST36"/>
    <s v="South"/>
    <s v="P242"/>
    <s v="Shoes"/>
    <n v="3"/>
    <n v="2876.58"/>
    <n v="20"/>
    <n v="1702.81"/>
    <x v="1"/>
    <s v="Card"/>
    <n v="6903.7920000000004"/>
    <n v="1795.3620000000001"/>
    <s v="Friday"/>
    <b v="0"/>
    <x v="7"/>
  </r>
  <r>
    <s v="NV2933"/>
    <d v="2025-01-24T00:00:00"/>
    <s v="ST22"/>
    <s v="East"/>
    <s v="P147"/>
    <s v="Clothing"/>
    <n v="5"/>
    <n v="306.45"/>
    <n v="5"/>
    <n v="170.86"/>
    <x v="0"/>
    <s v="Cash"/>
    <n v="1455.6375"/>
    <n v="601.33749999999998"/>
    <s v="Friday"/>
    <b v="0"/>
    <x v="10"/>
  </r>
  <r>
    <s v="NV2934"/>
    <d v="2025-11-28T00:00:00"/>
    <s v="ST47"/>
    <s v="West"/>
    <s v="P132"/>
    <s v="Shoes"/>
    <n v="5"/>
    <n v="316.86"/>
    <n v="10"/>
    <n v="175.59"/>
    <x v="0"/>
    <s v="Digital"/>
    <n v="1425.8700000000001"/>
    <n v="547.92000000000007"/>
    <s v="Friday"/>
    <b v="0"/>
    <x v="1"/>
  </r>
  <r>
    <s v="NV2935"/>
    <d v="2024-12-11T00:00:00"/>
    <s v="ST31"/>
    <s v="South"/>
    <s v="P230"/>
    <s v="Shoes"/>
    <n v="2"/>
    <n v="2241.8000000000002"/>
    <n v="20"/>
    <n v="1279.8900000000001"/>
    <x v="1"/>
    <s v="Digital"/>
    <n v="3586.8800000000006"/>
    <n v="1027.1000000000004"/>
    <s v="Wednesday"/>
    <b v="0"/>
    <x v="11"/>
  </r>
  <r>
    <s v="NV2936"/>
    <d v="2024-01-30T00:00:00"/>
    <s v="ST35"/>
    <s v="East"/>
    <s v="P300"/>
    <s v="Shoes"/>
    <n v="3"/>
    <n v="398.89"/>
    <n v="5"/>
    <n v="162.68"/>
    <x v="0"/>
    <s v="Card"/>
    <n v="1136.8365000000001"/>
    <n v="648.79650000000015"/>
    <s v="Tuesday"/>
    <b v="0"/>
    <x v="10"/>
  </r>
  <r>
    <s v="NV2937"/>
    <d v="2024-03-08T00:00:00"/>
    <s v="ST21"/>
    <s v="South"/>
    <s v="P117"/>
    <s v="Accessories"/>
    <n v="4"/>
    <n v="2968.19"/>
    <n v="5"/>
    <n v="1219.1400000000001"/>
    <x v="0"/>
    <s v="Cash"/>
    <n v="11279.121999999999"/>
    <n v="6402.561999999999"/>
    <s v="Friday"/>
    <b v="0"/>
    <x v="7"/>
  </r>
  <r>
    <s v="NV2938"/>
    <d v="2024-06-02T00:00:00"/>
    <s v="ST30"/>
    <s v="North"/>
    <s v="P239"/>
    <s v="Accessories"/>
    <n v="3"/>
    <n v="1830.46"/>
    <n v="10"/>
    <n v="773.75"/>
    <x v="1"/>
    <s v="Cash"/>
    <n v="4942.2420000000002"/>
    <n v="2620.9920000000002"/>
    <s v="Sunday"/>
    <b v="1"/>
    <x v="0"/>
  </r>
  <r>
    <s v="NV2939"/>
    <d v="2024-12-11T00:00:00"/>
    <s v="ST27"/>
    <s v="West"/>
    <s v="P275"/>
    <s v="Accessories"/>
    <n v="5"/>
    <n v="1424.04"/>
    <n v="25"/>
    <n v="780.9"/>
    <x v="1"/>
    <s v="Card"/>
    <n v="5340.15"/>
    <n v="1435.6499999999996"/>
    <s v="Wednesday"/>
    <b v="0"/>
    <x v="11"/>
  </r>
  <r>
    <s v="NV2940"/>
    <d v="2025-06-20T00:00:00"/>
    <s v="ST20"/>
    <s v="North"/>
    <s v="P38"/>
    <s v="Accessories"/>
    <n v="4"/>
    <n v="1223.79"/>
    <n v="5"/>
    <n v="538.54999999999995"/>
    <x v="0"/>
    <s v="Digital"/>
    <n v="4650.402"/>
    <n v="2496.2020000000002"/>
    <s v="Friday"/>
    <b v="0"/>
    <x v="0"/>
  </r>
  <r>
    <s v="NV2941"/>
    <d v="2025-05-23T00:00:00"/>
    <s v="ST32"/>
    <s v="East"/>
    <s v="P100"/>
    <s v="Clothing"/>
    <n v="1"/>
    <n v="2613.06"/>
    <n v="15"/>
    <n v="1576.89"/>
    <x v="0"/>
    <s v="Digital"/>
    <n v="2221.1010000000001"/>
    <n v="644.21100000000001"/>
    <s v="Friday"/>
    <b v="0"/>
    <x v="9"/>
  </r>
  <r>
    <s v="NV2942"/>
    <d v="2025-08-30T00:00:00"/>
    <s v="ST20"/>
    <s v="North"/>
    <s v="P72"/>
    <s v="Accessories"/>
    <n v="5"/>
    <n v="391.06"/>
    <n v="25"/>
    <n v="256.56"/>
    <x v="0"/>
    <s v="Digital"/>
    <n v="1466.4749999999999"/>
    <n v="183.67499999999995"/>
    <s v="Saturday"/>
    <b v="1"/>
    <x v="5"/>
  </r>
  <r>
    <s v="NV2943"/>
    <d v="2025-04-14T00:00:00"/>
    <s v="ST28"/>
    <s v="East"/>
    <s v="P102"/>
    <s v="Clothing"/>
    <n v="4"/>
    <n v="1498.49"/>
    <n v="10"/>
    <n v="830.53"/>
    <x v="1"/>
    <s v="Cash"/>
    <n v="5394.5640000000003"/>
    <n v="2072.4440000000004"/>
    <s v="Monday"/>
    <b v="0"/>
    <x v="8"/>
  </r>
  <r>
    <s v="NV2944"/>
    <d v="2024-11-30T00:00:00"/>
    <s v="ST29"/>
    <s v="East"/>
    <s v="P297"/>
    <s v="Accessories"/>
    <n v="1"/>
    <n v="839.06"/>
    <n v="0"/>
    <n v="435.94"/>
    <x v="0"/>
    <s v="Card"/>
    <n v="839.06"/>
    <n v="403.11999999999995"/>
    <s v="Saturday"/>
    <b v="1"/>
    <x v="1"/>
  </r>
  <r>
    <s v="NV2945"/>
    <d v="2025-11-08T00:00:00"/>
    <s v="ST57"/>
    <s v="South"/>
    <s v="P155"/>
    <s v="Clothing"/>
    <n v="1"/>
    <n v="1645.11"/>
    <n v="20"/>
    <n v="932.04"/>
    <x v="0"/>
    <s v="Digital"/>
    <n v="1316.088"/>
    <n v="384.048"/>
    <s v="Saturday"/>
    <b v="1"/>
    <x v="1"/>
  </r>
  <r>
    <s v="NV2946"/>
    <d v="2024-01-21T00:00:00"/>
    <s v="ST21"/>
    <s v="East"/>
    <s v="P202"/>
    <s v="Clothing"/>
    <n v="4"/>
    <n v="1933.27"/>
    <n v="10"/>
    <n v="1147"/>
    <x v="0"/>
    <s v="Card"/>
    <n v="6959.7719999999999"/>
    <n v="2371.7719999999999"/>
    <s v="Sunday"/>
    <b v="1"/>
    <x v="10"/>
  </r>
  <r>
    <s v="NV2947"/>
    <d v="2025-01-14T00:00:00"/>
    <s v="ST25"/>
    <s v="South"/>
    <s v="P194"/>
    <s v="Clothing"/>
    <n v="3"/>
    <n v="1767.69"/>
    <n v="0"/>
    <n v="1090.54"/>
    <x v="1"/>
    <s v="Cash"/>
    <n v="5303.07"/>
    <n v="2031.4499999999998"/>
    <s v="Tuesday"/>
    <b v="0"/>
    <x v="10"/>
  </r>
  <r>
    <s v="NV2948"/>
    <d v="2024-08-04T00:00:00"/>
    <s v="ST55"/>
    <s v="West"/>
    <s v="P97"/>
    <s v="Clothing"/>
    <n v="2"/>
    <n v="2350.77"/>
    <n v="30"/>
    <n v="1096.5"/>
    <x v="1"/>
    <s v="Cash"/>
    <n v="3291.078"/>
    <n v="1098.078"/>
    <s v="Sunday"/>
    <b v="1"/>
    <x v="5"/>
  </r>
  <r>
    <s v="NV2949"/>
    <d v="2025-10-01T00:00:00"/>
    <s v="ST39"/>
    <s v="South"/>
    <s v="P150"/>
    <s v="Clothing"/>
    <n v="5"/>
    <n v="679.71"/>
    <n v="5"/>
    <n v="403.58"/>
    <x v="1"/>
    <s v="Digital"/>
    <n v="3228.6224999999999"/>
    <n v="1210.7225000000001"/>
    <s v="Wednesday"/>
    <b v="0"/>
    <x v="2"/>
  </r>
  <r>
    <s v="NV2950"/>
    <d v="2025-02-06T00:00:00"/>
    <s v="ST6"/>
    <s v="South"/>
    <s v="P296"/>
    <s v="Shoes"/>
    <n v="2"/>
    <n v="2459.31"/>
    <n v="5"/>
    <n v="1678.32"/>
    <x v="0"/>
    <s v="Cash"/>
    <n v="4672.6889999999994"/>
    <n v="1316.0489999999995"/>
    <s v="Thursday"/>
    <b v="0"/>
    <x v="3"/>
  </r>
  <r>
    <s v="NV2951"/>
    <d v="2025-07-07T00:00:00"/>
    <s v="ST37"/>
    <s v="West"/>
    <s v="P232"/>
    <s v="Clothing"/>
    <n v="5"/>
    <n v="628.35"/>
    <n v="5"/>
    <n v="350.4"/>
    <x v="1"/>
    <s v="Cash"/>
    <n v="2984.6624999999999"/>
    <n v="1232.6624999999999"/>
    <s v="Monday"/>
    <b v="0"/>
    <x v="4"/>
  </r>
  <r>
    <s v="NV2952"/>
    <d v="2025-08-12T00:00:00"/>
    <s v="ST5"/>
    <s v="North"/>
    <s v="P298"/>
    <s v="Clothing"/>
    <n v="1"/>
    <n v="1628.78"/>
    <n v="30"/>
    <n v="652.52"/>
    <x v="1"/>
    <s v="Digital"/>
    <n v="1140.146"/>
    <n v="487.62599999999998"/>
    <s v="Tuesday"/>
    <b v="0"/>
    <x v="5"/>
  </r>
  <r>
    <s v="NV2953"/>
    <d v="2024-08-27T00:00:00"/>
    <s v="ST41"/>
    <s v="West"/>
    <s v="P120"/>
    <s v="Clothing"/>
    <n v="1"/>
    <n v="2099.5"/>
    <n v="10"/>
    <n v="933.27"/>
    <x v="1"/>
    <s v="Card"/>
    <n v="1889.55"/>
    <n v="956.28"/>
    <s v="Tuesday"/>
    <b v="0"/>
    <x v="5"/>
  </r>
  <r>
    <s v="NV2954"/>
    <d v="2024-03-27T00:00:00"/>
    <s v="ST21"/>
    <s v="South"/>
    <s v="P123"/>
    <s v="Accessories"/>
    <n v="5"/>
    <n v="1978.71"/>
    <n v="15"/>
    <n v="1191.02"/>
    <x v="0"/>
    <s v="Card"/>
    <n v="8409.5174999999999"/>
    <n v="2454.4174999999996"/>
    <s v="Wednesday"/>
    <b v="0"/>
    <x v="7"/>
  </r>
  <r>
    <s v="NV2955"/>
    <d v="2025-08-15T00:00:00"/>
    <s v="ST20"/>
    <s v="North"/>
    <s v="P232"/>
    <s v="Shoes"/>
    <n v="1"/>
    <n v="1750.04"/>
    <n v="25"/>
    <n v="1102.6300000000001"/>
    <x v="0"/>
    <s v="Card"/>
    <n v="1312.53"/>
    <n v="209.89999999999986"/>
    <s v="Friday"/>
    <b v="0"/>
    <x v="5"/>
  </r>
  <r>
    <s v="NV2956"/>
    <d v="2024-06-14T00:00:00"/>
    <s v="ST28"/>
    <s v="North"/>
    <s v="P104"/>
    <s v="Clothing"/>
    <n v="3"/>
    <n v="1061.5"/>
    <n v="15"/>
    <n v="583.84"/>
    <x v="0"/>
    <s v="Digital"/>
    <n v="2706.8249999999998"/>
    <n v="955.30499999999984"/>
    <s v="Friday"/>
    <b v="0"/>
    <x v="0"/>
  </r>
  <r>
    <s v="NV2957"/>
    <d v="2025-10-20T00:00:00"/>
    <s v="ST3"/>
    <s v="East"/>
    <s v="P81"/>
    <s v="Shoes"/>
    <n v="4"/>
    <n v="371.84"/>
    <n v="10"/>
    <n v="224.76"/>
    <x v="0"/>
    <s v="Card"/>
    <n v="1338.624"/>
    <n v="439.58400000000006"/>
    <s v="Monday"/>
    <b v="0"/>
    <x v="2"/>
  </r>
  <r>
    <s v="NV2958"/>
    <d v="2025-10-19T00:00:00"/>
    <s v="ST51"/>
    <s v="North"/>
    <s v="P96"/>
    <s v="Accessories"/>
    <n v="4"/>
    <n v="2854.56"/>
    <n v="25"/>
    <n v="1230.56"/>
    <x v="1"/>
    <s v="Digital"/>
    <n v="8563.68"/>
    <n v="3641.4400000000005"/>
    <s v="Sunday"/>
    <b v="1"/>
    <x v="2"/>
  </r>
  <r>
    <s v="NV2959"/>
    <d v="2024-05-13T00:00:00"/>
    <s v="ST48"/>
    <s v="North"/>
    <s v="P129"/>
    <s v="Accessories"/>
    <n v="2"/>
    <n v="481.38"/>
    <n v="20"/>
    <n v="227.58"/>
    <x v="1"/>
    <s v="Cash"/>
    <n v="770.20800000000008"/>
    <n v="315.04800000000006"/>
    <s v="Monday"/>
    <b v="0"/>
    <x v="9"/>
  </r>
  <r>
    <s v="NV2960"/>
    <d v="2025-10-21T00:00:00"/>
    <s v="ST30"/>
    <s v="East"/>
    <s v="P94"/>
    <s v="Clothing"/>
    <n v="1"/>
    <n v="2589.66"/>
    <n v="5"/>
    <n v="1470.49"/>
    <x v="0"/>
    <s v="Card"/>
    <n v="2460.1769999999997"/>
    <n v="989.68699999999967"/>
    <s v="Tuesday"/>
    <b v="0"/>
    <x v="2"/>
  </r>
  <r>
    <s v="NV2961"/>
    <d v="2025-09-23T00:00:00"/>
    <s v="ST15"/>
    <s v="South"/>
    <s v="P292"/>
    <s v="Shoes"/>
    <n v="4"/>
    <n v="1414.19"/>
    <n v="5"/>
    <n v="839.93"/>
    <x v="0"/>
    <s v="Digital"/>
    <n v="5373.9219999999996"/>
    <n v="2014.2019999999998"/>
    <s v="Tuesday"/>
    <b v="0"/>
    <x v="6"/>
  </r>
  <r>
    <s v="NV2962"/>
    <d v="2025-08-01T00:00:00"/>
    <s v="ST48"/>
    <s v="West"/>
    <s v="P181"/>
    <s v="Accessories"/>
    <n v="4"/>
    <n v="2054.11"/>
    <n v="0"/>
    <n v="1140.21"/>
    <x v="1"/>
    <s v="Digital"/>
    <n v="8216.44"/>
    <n v="3655.6000000000004"/>
    <s v="Friday"/>
    <b v="0"/>
    <x v="5"/>
  </r>
  <r>
    <s v="NV2963"/>
    <d v="2025-09-01T00:00:00"/>
    <s v="ST47"/>
    <s v="East"/>
    <s v="P54"/>
    <s v="Shoes"/>
    <n v="2"/>
    <n v="1652.01"/>
    <n v="10"/>
    <n v="759.76"/>
    <x v="0"/>
    <s v="Cash"/>
    <n v="2973.6179999999999"/>
    <n v="1454.098"/>
    <s v="Monday"/>
    <b v="0"/>
    <x v="6"/>
  </r>
  <r>
    <s v="NV2964"/>
    <d v="2025-02-05T00:00:00"/>
    <s v="ST6"/>
    <s v="West"/>
    <s v="P64"/>
    <s v="Shoes"/>
    <n v="3"/>
    <n v="541.19000000000005"/>
    <n v="10"/>
    <n v="305.2"/>
    <x v="0"/>
    <s v="Digital"/>
    <n v="1461.2130000000002"/>
    <n v="545.61300000000028"/>
    <s v="Wednesday"/>
    <b v="0"/>
    <x v="3"/>
  </r>
  <r>
    <s v="NV2965"/>
    <d v="2025-01-08T00:00:00"/>
    <s v="ST31"/>
    <s v="South"/>
    <s v="P242"/>
    <s v="Accessories"/>
    <n v="1"/>
    <n v="592.51"/>
    <n v="20"/>
    <n v="352.13"/>
    <x v="0"/>
    <s v="Card"/>
    <n v="474.00800000000004"/>
    <n v="121.87800000000004"/>
    <s v="Wednesday"/>
    <b v="0"/>
    <x v="10"/>
  </r>
  <r>
    <s v="NV2966"/>
    <d v="2025-08-13T00:00:00"/>
    <s v="ST24"/>
    <s v="South"/>
    <s v="P216"/>
    <s v="Shoes"/>
    <n v="4"/>
    <n v="1402.29"/>
    <n v="10"/>
    <n v="976.7"/>
    <x v="1"/>
    <s v="Card"/>
    <n v="5048.2439999999997"/>
    <n v="1141.4439999999995"/>
    <s v="Wednesday"/>
    <b v="0"/>
    <x v="5"/>
  </r>
  <r>
    <s v="NV2967"/>
    <d v="2025-08-06T00:00:00"/>
    <s v="ST30"/>
    <s v="South"/>
    <s v="P224"/>
    <s v="Shoes"/>
    <n v="2"/>
    <n v="2551.52"/>
    <n v="20"/>
    <n v="1503.61"/>
    <x v="0"/>
    <s v="Cash"/>
    <n v="4082.4320000000002"/>
    <n v="1075.2120000000004"/>
    <s v="Wednesday"/>
    <b v="0"/>
    <x v="5"/>
  </r>
  <r>
    <s v="NV2968"/>
    <d v="2025-11-15T00:00:00"/>
    <s v="ST60"/>
    <s v="West"/>
    <s v="P114"/>
    <s v="Clothing"/>
    <n v="2"/>
    <n v="1335.29"/>
    <n v="20"/>
    <n v="634.66"/>
    <x v="0"/>
    <s v="Card"/>
    <n v="2136.4639999999999"/>
    <n v="867.14400000000001"/>
    <s v="Saturday"/>
    <b v="1"/>
    <x v="1"/>
  </r>
  <r>
    <s v="NV2969"/>
    <d v="2025-09-02T00:00:00"/>
    <s v="ST47"/>
    <s v="East"/>
    <s v="P78"/>
    <s v="Shoes"/>
    <n v="3"/>
    <n v="2731.19"/>
    <n v="15"/>
    <n v="1535.04"/>
    <x v="0"/>
    <s v="Cash"/>
    <n v="6964.5344999999998"/>
    <n v="2359.4144999999999"/>
    <s v="Tuesday"/>
    <b v="0"/>
    <x v="6"/>
  </r>
  <r>
    <s v="NV2970"/>
    <d v="2025-09-10T00:00:00"/>
    <s v="ST41"/>
    <s v="South"/>
    <s v="P159"/>
    <s v="Accessories"/>
    <n v="3"/>
    <n v="974.85"/>
    <n v="10"/>
    <n v="613.17999999999995"/>
    <x v="1"/>
    <s v="Cash"/>
    <n v="2632.0950000000003"/>
    <n v="792.55500000000029"/>
    <s v="Wednesday"/>
    <b v="0"/>
    <x v="6"/>
  </r>
  <r>
    <s v="NV2971"/>
    <d v="2025-03-30T00:00:00"/>
    <s v="ST22"/>
    <s v="North"/>
    <s v="P225"/>
    <s v="Accessories"/>
    <n v="2"/>
    <n v="2003.88"/>
    <n v="5"/>
    <n v="1236.05"/>
    <x v="0"/>
    <s v="Digital"/>
    <n v="3807.3719999999998"/>
    <n v="1335.2719999999999"/>
    <s v="Sunday"/>
    <b v="1"/>
    <x v="7"/>
  </r>
  <r>
    <s v="NV2972"/>
    <d v="2025-02-17T00:00:00"/>
    <s v="ST14"/>
    <s v="South"/>
    <s v="P142"/>
    <s v="Clothing"/>
    <n v="5"/>
    <n v="2894.6"/>
    <n v="5"/>
    <n v="1432.09"/>
    <x v="0"/>
    <s v="Digital"/>
    <n v="13749.349999999999"/>
    <n v="6588.8999999999987"/>
    <s v="Monday"/>
    <b v="0"/>
    <x v="3"/>
  </r>
  <r>
    <s v="NV2973"/>
    <d v="2025-11-16T00:00:00"/>
    <s v="ST27"/>
    <s v="East"/>
    <s v="P268"/>
    <s v="Accessories"/>
    <n v="5"/>
    <n v="2767.44"/>
    <n v="20"/>
    <n v="1509.65"/>
    <x v="1"/>
    <s v="Digital"/>
    <n v="11069.760000000002"/>
    <n v="3521.510000000002"/>
    <s v="Sunday"/>
    <b v="1"/>
    <x v="1"/>
  </r>
  <r>
    <s v="NV2974"/>
    <d v="2025-05-10T00:00:00"/>
    <s v="ST60"/>
    <s v="North"/>
    <s v="P120"/>
    <s v="Clothing"/>
    <n v="2"/>
    <n v="2379.11"/>
    <n v="20"/>
    <n v="1309.1500000000001"/>
    <x v="0"/>
    <s v="Card"/>
    <n v="3806.5760000000005"/>
    <n v="1188.2760000000003"/>
    <s v="Saturday"/>
    <b v="1"/>
    <x v="9"/>
  </r>
  <r>
    <s v="NV2975"/>
    <d v="2025-05-24T00:00:00"/>
    <s v="ST27"/>
    <s v="West"/>
    <s v="P130"/>
    <s v="Accessories"/>
    <n v="4"/>
    <n v="2587.21"/>
    <n v="10"/>
    <n v="1219.95"/>
    <x v="1"/>
    <s v="Card"/>
    <n v="9313.9560000000001"/>
    <n v="4434.1559999999999"/>
    <s v="Saturday"/>
    <b v="1"/>
    <x v="9"/>
  </r>
  <r>
    <s v="NV2976"/>
    <d v="2024-07-27T00:00:00"/>
    <s v="ST30"/>
    <s v="North"/>
    <s v="P257"/>
    <s v="Accessories"/>
    <n v="2"/>
    <n v="504.94"/>
    <n v="10"/>
    <n v="314.35000000000002"/>
    <x v="1"/>
    <s v="Cash"/>
    <n v="908.89200000000005"/>
    <n v="280.19200000000001"/>
    <s v="Saturday"/>
    <b v="1"/>
    <x v="4"/>
  </r>
  <r>
    <s v="NV2977"/>
    <d v="2025-02-01T00:00:00"/>
    <s v="ST34"/>
    <s v="East"/>
    <s v="P256"/>
    <s v="Shoes"/>
    <n v="5"/>
    <n v="2048.5"/>
    <n v="30"/>
    <n v="1277.32"/>
    <x v="0"/>
    <s v="Card"/>
    <n v="7169.75"/>
    <n v="783.15000000000055"/>
    <s v="Saturday"/>
    <b v="1"/>
    <x v="3"/>
  </r>
  <r>
    <s v="NV2978"/>
    <d v="2025-03-16T00:00:00"/>
    <s v="ST23"/>
    <s v="North"/>
    <s v="P296"/>
    <s v="Accessories"/>
    <n v="3"/>
    <n v="2714.29"/>
    <n v="0"/>
    <n v="1776.6"/>
    <x v="1"/>
    <s v="Digital"/>
    <n v="8142.87"/>
    <n v="2813.0700000000006"/>
    <s v="Sunday"/>
    <b v="1"/>
    <x v="7"/>
  </r>
  <r>
    <s v="NV2979"/>
    <d v="2024-11-27T00:00:00"/>
    <s v="ST37"/>
    <s v="North"/>
    <s v="P176"/>
    <s v="Clothing"/>
    <n v="3"/>
    <n v="2542.02"/>
    <n v="15"/>
    <n v="1736.63"/>
    <x v="1"/>
    <s v="Card"/>
    <n v="6482.1509999999998"/>
    <n v="1272.2609999999995"/>
    <s v="Wednesday"/>
    <b v="0"/>
    <x v="1"/>
  </r>
  <r>
    <s v="NV2980"/>
    <d v="2025-06-29T00:00:00"/>
    <s v="ST2"/>
    <s v="North"/>
    <s v="P58"/>
    <s v="Shoes"/>
    <n v="2"/>
    <n v="2245.67"/>
    <n v="20"/>
    <n v="1183.44"/>
    <x v="0"/>
    <s v="Cash"/>
    <n v="3593.0720000000001"/>
    <n v="1226.192"/>
    <s v="Sunday"/>
    <b v="1"/>
    <x v="0"/>
  </r>
  <r>
    <s v="NV2981"/>
    <d v="2024-11-13T00:00:00"/>
    <s v="ST41"/>
    <s v="East"/>
    <s v="P25"/>
    <s v="Shoes"/>
    <n v="3"/>
    <n v="992.31"/>
    <n v="30"/>
    <n v="591.64"/>
    <x v="1"/>
    <s v="Digital"/>
    <n v="2083.8509999999997"/>
    <n v="308.93099999999959"/>
    <s v="Wednesday"/>
    <b v="0"/>
    <x v="1"/>
  </r>
  <r>
    <s v="NV2982"/>
    <d v="2024-12-19T00:00:00"/>
    <s v="ST28"/>
    <s v="North"/>
    <s v="P265"/>
    <s v="Clothing"/>
    <n v="4"/>
    <n v="2200.79"/>
    <n v="15"/>
    <n v="1179.53"/>
    <x v="0"/>
    <s v="Cash"/>
    <n v="7482.6859999999997"/>
    <n v="2764.5659999999998"/>
    <s v="Thursday"/>
    <b v="0"/>
    <x v="11"/>
  </r>
  <r>
    <s v="NV2983"/>
    <d v="2025-07-17T00:00:00"/>
    <s v="ST36"/>
    <s v="East"/>
    <s v="P251"/>
    <s v="Accessories"/>
    <n v="5"/>
    <n v="870.25"/>
    <n v="25"/>
    <n v="394.84"/>
    <x v="1"/>
    <s v="Card"/>
    <n v="3263.4375"/>
    <n v="1289.2375000000002"/>
    <s v="Thursday"/>
    <b v="0"/>
    <x v="4"/>
  </r>
  <r>
    <s v="NV2984"/>
    <d v="2025-06-10T00:00:00"/>
    <s v="ST48"/>
    <s v="North"/>
    <s v="P71"/>
    <s v="Accessories"/>
    <n v="5"/>
    <n v="2364.7600000000002"/>
    <n v="15"/>
    <n v="1110.4100000000001"/>
    <x v="0"/>
    <s v="Digital"/>
    <n v="10050.230000000001"/>
    <n v="4498.1800000000012"/>
    <s v="Tuesday"/>
    <b v="0"/>
    <x v="0"/>
  </r>
  <r>
    <s v="NV2985"/>
    <d v="2024-04-20T00:00:00"/>
    <s v="ST26"/>
    <s v="West"/>
    <s v="P156"/>
    <s v="Accessories"/>
    <n v="2"/>
    <n v="449.81"/>
    <n v="0"/>
    <n v="241.26"/>
    <x v="0"/>
    <s v="Digital"/>
    <n v="899.62"/>
    <n v="417.1"/>
    <s v="Saturday"/>
    <b v="1"/>
    <x v="8"/>
  </r>
  <r>
    <s v="NV2986"/>
    <d v="2025-07-09T00:00:00"/>
    <s v="ST40"/>
    <s v="South"/>
    <s v="P237"/>
    <s v="Clothing"/>
    <n v="3"/>
    <n v="334.89"/>
    <n v="5"/>
    <n v="230.19"/>
    <x v="0"/>
    <s v="Card"/>
    <n v="954.43649999999991"/>
    <n v="263.86649999999997"/>
    <s v="Wednesday"/>
    <b v="0"/>
    <x v="4"/>
  </r>
  <r>
    <s v="NV2987"/>
    <d v="2025-02-24T00:00:00"/>
    <s v="ST57"/>
    <s v="South"/>
    <s v="P4"/>
    <s v="Clothing"/>
    <n v="5"/>
    <n v="319.83999999999997"/>
    <n v="5"/>
    <n v="150.52000000000001"/>
    <x v="1"/>
    <s v="Digital"/>
    <n v="1519.2399999999998"/>
    <n v="766.63999999999976"/>
    <s v="Monday"/>
    <b v="0"/>
    <x v="3"/>
  </r>
  <r>
    <s v="NV2988"/>
    <d v="2024-04-03T00:00:00"/>
    <s v="ST41"/>
    <s v="West"/>
    <s v="P173"/>
    <s v="Accessories"/>
    <n v="3"/>
    <n v="553.36"/>
    <n v="10"/>
    <n v="285.85000000000002"/>
    <x v="0"/>
    <s v="Card"/>
    <n v="1494.0719999999999"/>
    <n v="636.52199999999982"/>
    <s v="Wednesday"/>
    <b v="0"/>
    <x v="8"/>
  </r>
  <r>
    <s v="NV2989"/>
    <d v="2024-03-10T00:00:00"/>
    <s v="ST59"/>
    <s v="East"/>
    <s v="P195"/>
    <s v="Shoes"/>
    <n v="2"/>
    <n v="2880.16"/>
    <n v="30"/>
    <n v="1893.75"/>
    <x v="1"/>
    <s v="Cash"/>
    <n v="4032.2239999999997"/>
    <n v="244.72399999999971"/>
    <s v="Sunday"/>
    <b v="1"/>
    <x v="7"/>
  </r>
  <r>
    <s v="NV2990"/>
    <d v="2024-12-31T00:00:00"/>
    <s v="ST26"/>
    <s v="East"/>
    <s v="P166"/>
    <s v="Shoes"/>
    <n v="3"/>
    <n v="1337.47"/>
    <n v="25"/>
    <n v="639.91"/>
    <x v="1"/>
    <s v="Digital"/>
    <n v="3009.3074999999999"/>
    <n v="1089.5774999999999"/>
    <s v="Tuesday"/>
    <b v="0"/>
    <x v="11"/>
  </r>
  <r>
    <s v="NV2991"/>
    <d v="2024-03-24T00:00:00"/>
    <s v="ST51"/>
    <s v="South"/>
    <s v="P47"/>
    <s v="Shoes"/>
    <n v="4"/>
    <n v="2357.9"/>
    <n v="5"/>
    <n v="1381.59"/>
    <x v="1"/>
    <s v="Card"/>
    <n v="8960.02"/>
    <n v="3433.6600000000008"/>
    <s v="Sunday"/>
    <b v="1"/>
    <x v="7"/>
  </r>
  <r>
    <s v="NV2992"/>
    <d v="2024-03-30T00:00:00"/>
    <s v="ST26"/>
    <s v="North"/>
    <s v="P268"/>
    <s v="Clothing"/>
    <n v="2"/>
    <n v="1281.44"/>
    <n v="20"/>
    <n v="594.30999999999995"/>
    <x v="1"/>
    <s v="Card"/>
    <n v="2050.3040000000001"/>
    <n v="861.6840000000002"/>
    <s v="Saturday"/>
    <b v="1"/>
    <x v="7"/>
  </r>
  <r>
    <s v="NV2993"/>
    <d v="2024-10-21T00:00:00"/>
    <s v="ST24"/>
    <s v="North"/>
    <s v="P91"/>
    <s v="Shoes"/>
    <n v="5"/>
    <n v="635.27"/>
    <n v="5"/>
    <n v="255.88"/>
    <x v="1"/>
    <s v="Card"/>
    <n v="3017.5324999999998"/>
    <n v="1738.1324999999997"/>
    <s v="Monday"/>
    <b v="0"/>
    <x v="2"/>
  </r>
  <r>
    <s v="NV2994"/>
    <d v="2025-04-03T00:00:00"/>
    <s v="ST8"/>
    <s v="East"/>
    <s v="P33"/>
    <s v="Accessories"/>
    <n v="5"/>
    <n v="1350.75"/>
    <n v="30"/>
    <n v="690.68"/>
    <x v="1"/>
    <s v="Cash"/>
    <n v="4727.625"/>
    <n v="1274.2250000000004"/>
    <s v="Thursday"/>
    <b v="0"/>
    <x v="8"/>
  </r>
  <r>
    <s v="NV2995"/>
    <d v="2025-11-08T00:00:00"/>
    <s v="ST20"/>
    <s v="East"/>
    <s v="P98"/>
    <s v="Clothing"/>
    <n v="1"/>
    <n v="898.45"/>
    <n v="30"/>
    <n v="558.13"/>
    <x v="1"/>
    <s v="Digital"/>
    <n v="628.91499999999996"/>
    <n v="70.784999999999968"/>
    <s v="Saturday"/>
    <b v="1"/>
    <x v="1"/>
  </r>
  <r>
    <s v="NV2996"/>
    <d v="2025-08-16T00:00:00"/>
    <s v="ST42"/>
    <s v="South"/>
    <s v="P164"/>
    <s v="Accessories"/>
    <n v="4"/>
    <n v="642.75"/>
    <n v="0"/>
    <n v="413"/>
    <x v="1"/>
    <s v="Cash"/>
    <n v="2571"/>
    <n v="919"/>
    <s v="Saturday"/>
    <b v="1"/>
    <x v="5"/>
  </r>
  <r>
    <s v="NV2997"/>
    <d v="2024-03-08T00:00:00"/>
    <s v="ST27"/>
    <s v="West"/>
    <s v="P251"/>
    <s v="Accessories"/>
    <n v="3"/>
    <n v="1147.67"/>
    <n v="30"/>
    <n v="768.1"/>
    <x v="0"/>
    <s v="Card"/>
    <n v="2410.107"/>
    <n v="105.80699999999979"/>
    <s v="Friday"/>
    <b v="0"/>
    <x v="7"/>
  </r>
  <r>
    <s v="NV2998"/>
    <d v="2024-10-26T00:00:00"/>
    <s v="ST28"/>
    <s v="South"/>
    <s v="P216"/>
    <s v="Accessories"/>
    <n v="5"/>
    <n v="981.88"/>
    <n v="0"/>
    <n v="558.69000000000005"/>
    <x v="0"/>
    <s v="Digital"/>
    <n v="4909.3999999999996"/>
    <n v="2115.9499999999994"/>
    <s v="Saturday"/>
    <b v="1"/>
    <x v="2"/>
  </r>
  <r>
    <s v="NV2999"/>
    <d v="2024-05-04T00:00:00"/>
    <s v="ST52"/>
    <s v="West"/>
    <s v="P34"/>
    <s v="Clothing"/>
    <n v="5"/>
    <n v="2411.4299999999998"/>
    <n v="5"/>
    <n v="1067.75"/>
    <x v="0"/>
    <s v="Cash"/>
    <n v="11454.2925"/>
    <n v="6115.5424999999996"/>
    <s v="Saturday"/>
    <b v="1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D3CCDC-30D5-4CBA-83E1-66839EDB3129}" name="PivotTable5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6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E1EAA-DEB1-4FD6-95E2-4944441B2235}" name="PivotTable8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StoreID">
  <location ref="A3:C64" firstHeaderRow="0" firstDataRow="1" firstDataCol="1"/>
  <pivotFields count="16">
    <pivotField showAll="0"/>
    <pivotField numFmtId="14" showAll="0"/>
    <pivotField axis="axisRow" showAll="0">
      <items count="61">
        <item x="23"/>
        <item x="0"/>
        <item x="30"/>
        <item x="17"/>
        <item x="10"/>
        <item x="56"/>
        <item x="20"/>
        <item x="11"/>
        <item x="26"/>
        <item x="51"/>
        <item x="36"/>
        <item x="3"/>
        <item x="52"/>
        <item x="53"/>
        <item x="4"/>
        <item x="15"/>
        <item x="40"/>
        <item x="38"/>
        <item x="13"/>
        <item x="16"/>
        <item x="5"/>
        <item x="32"/>
        <item x="45"/>
        <item x="29"/>
        <item x="41"/>
        <item x="37"/>
        <item x="34"/>
        <item x="14"/>
        <item x="24"/>
        <item x="28"/>
        <item x="31"/>
        <item x="1"/>
        <item x="6"/>
        <item x="33"/>
        <item x="47"/>
        <item x="9"/>
        <item x="2"/>
        <item x="12"/>
        <item x="21"/>
        <item x="50"/>
        <item x="59"/>
        <item x="42"/>
        <item x="25"/>
        <item x="19"/>
        <item x="7"/>
        <item x="58"/>
        <item x="18"/>
        <item x="43"/>
        <item x="39"/>
        <item x="46"/>
        <item x="57"/>
        <item x="48"/>
        <item x="22"/>
        <item x="44"/>
        <item x="49"/>
        <item x="8"/>
        <item x="54"/>
        <item x="27"/>
        <item x="35"/>
        <item x="55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</pivotFields>
  <rowFields count="1">
    <field x="2"/>
  </rowFields>
  <rowItems count="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/>
    </i>
  </rowItems>
  <colFields count="1">
    <field x="-2"/>
  </colFields>
  <colItems count="2">
    <i>
      <x/>
    </i>
    <i i="1">
      <x v="1"/>
    </i>
  </colItems>
  <dataFields count="2">
    <dataField name=" Revenue" fld="12" baseField="2" baseItem="0" numFmtId="1"/>
    <dataField name="  Profit" fld="13" baseField="2" baseItem="0" numFmtId="1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65C247-D452-40E3-A93E-E4472E464ABF}" name="PivotTable9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Months">
  <location ref="A3:B16" firstHeaderRow="1" firstDataRow="1" firstDataCol="1"/>
  <pivotFields count="17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3">
        <item x="10"/>
        <item x="3"/>
        <item x="7"/>
        <item x="8"/>
        <item x="9"/>
        <item x="0"/>
        <item x="4"/>
        <item x="5"/>
        <item x="6"/>
        <item x="2"/>
        <item x="1"/>
        <item x="11"/>
        <item t="default"/>
      </items>
    </pivotField>
  </pivotFields>
  <rowFields count="1">
    <field x="1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   Revenue" fld="12" baseField="16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0E75B1-12D0-4E29-A3D0-1E1A6D95FCD3}" name="PivotTable10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ustomer_Type">
  <location ref="A3:B6" firstHeaderRow="1" firstDataRow="1" firstDataCol="1"/>
  <pivotFields count="17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Revenue " fld="12" baseField="10" baseItem="0" numFmtId="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092F5B-920C-45EC-BFB4-17F743212837}" name="PivotTable4" cacheId="2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3" rowHeaderCaption="sWeekend">
  <location ref="A3:B5" firstHeaderRow="1" firstDataRow="1" firstDataCol="1"/>
  <pivotFields count="16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15"/>
  </rowFields>
  <rowItems count="2">
    <i>
      <x/>
    </i>
    <i>
      <x v="1"/>
    </i>
  </rowItems>
  <colItems count="1">
    <i/>
  </colItems>
  <dataFields count="1">
    <dataField name="Sum of Revenue" fld="12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BC61ED-FB89-4E3A-A3B7-99331905CBC7}" name="PivotTable6" cacheId="2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2" rowHeaderCaption="Category">
  <location ref="A3:C6" firstHeaderRow="0" firstDataRow="1" firstDataCol="1"/>
  <pivotFields count="16">
    <pivotField showAll="0"/>
    <pivotField numFmtId="14"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</pivotFields>
  <rowFields count="1">
    <field x="5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 Revenue" fld="12" baseField="5" baseItem="0" numFmtId="1"/>
    <dataField name=" Profit" fld="13" baseField="5" baseItem="0" numFmtId="1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0DD794-BDD3-4792-B1AF-34773AEF3D30}" name="PivotTable7" cacheId="2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 rowHeaderCaption="Discount">
  <location ref="A3:C10" firstHeaderRow="0" firstDataRow="1" firstDataCol="1"/>
  <pivotFields count="16"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6"/>
        <item x="2"/>
        <item x="3"/>
        <item x="4"/>
        <item x="1"/>
        <item x="5"/>
        <item x="0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-2"/>
  </colFields>
  <colItems count="2">
    <i>
      <x/>
    </i>
    <i i="1">
      <x v="1"/>
    </i>
  </colItems>
  <dataFields count="2">
    <dataField name="  Profit" fld="13" baseField="8" baseItem="0" numFmtId="1"/>
    <dataField name="    Revenue" fld="12" baseField="8" baseItem="0" numFmtId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EAAF8-E90E-49B1-B59D-F5451E5DC769}">
  <dimension ref="A1:Q2001"/>
  <sheetViews>
    <sheetView tabSelected="1" workbookViewId="0">
      <selection activeCell="B9" sqref="B9"/>
    </sheetView>
  </sheetViews>
  <sheetFormatPr defaultRowHeight="14.6" x14ac:dyDescent="0.4"/>
  <cols>
    <col min="1" max="1" width="11.3828125" bestFit="1" customWidth="1"/>
    <col min="2" max="2" width="10.07421875" bestFit="1" customWidth="1"/>
    <col min="3" max="3" width="9.23046875" bestFit="1" customWidth="1"/>
    <col min="4" max="4" width="8.69140625" bestFit="1" customWidth="1"/>
    <col min="5" max="5" width="11.3046875" bestFit="1" customWidth="1"/>
    <col min="6" max="6" width="10.3828125" bestFit="1" customWidth="1"/>
    <col min="7" max="7" width="10.3046875" bestFit="1" customWidth="1"/>
    <col min="8" max="8" width="10.61328125" bestFit="1" customWidth="1"/>
    <col min="9" max="9" width="10.3046875" bestFit="1" customWidth="1"/>
    <col min="10" max="10" width="12.921875" bestFit="1" customWidth="1"/>
    <col min="11" max="11" width="15.15234375" bestFit="1" customWidth="1"/>
    <col min="12" max="12" width="15.23046875" bestFit="1" customWidth="1"/>
    <col min="15" max="15" width="10.53515625" bestFit="1" customWidth="1"/>
    <col min="17" max="17" width="13.765625" bestFit="1" customWidth="1"/>
  </cols>
  <sheetData>
    <row r="1" spans="1:1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2383</v>
      </c>
      <c r="N1" t="s">
        <v>2384</v>
      </c>
      <c r="O1" t="s">
        <v>2385</v>
      </c>
      <c r="P1" t="s">
        <v>2386</v>
      </c>
      <c r="Q1" t="s">
        <v>2396</v>
      </c>
    </row>
    <row r="2" spans="1:17" x14ac:dyDescent="0.4">
      <c r="A2" t="s">
        <v>12</v>
      </c>
      <c r="B2" s="1">
        <v>45449</v>
      </c>
      <c r="C2" t="s">
        <v>13</v>
      </c>
      <c r="D2" t="s">
        <v>14</v>
      </c>
      <c r="E2" t="s">
        <v>15</v>
      </c>
      <c r="F2" t="s">
        <v>16</v>
      </c>
      <c r="G2">
        <v>3</v>
      </c>
      <c r="H2">
        <v>2345.19</v>
      </c>
      <c r="I2">
        <v>30</v>
      </c>
      <c r="J2">
        <v>1197.98</v>
      </c>
      <c r="K2" t="s">
        <v>17</v>
      </c>
      <c r="L2" t="s">
        <v>18</v>
      </c>
      <c r="M2">
        <f>G2 * H2 * (1 - I2/100)</f>
        <v>4924.8989999999994</v>
      </c>
      <c r="N2">
        <f>M2 - (J2 * G2)</f>
        <v>1330.9589999999994</v>
      </c>
      <c r="O2" t="str">
        <f>TEXT(B2,"dddd")</f>
        <v>Thursday</v>
      </c>
      <c r="P2" t="b">
        <f>OR(TEXT(B2,"ddd")="Sat", TEXT(B2,"ddd")="Sun")</f>
        <v>0</v>
      </c>
      <c r="Q2" t="str">
        <f>TEXT(B2,"mmmm")</f>
        <v>June</v>
      </c>
    </row>
    <row r="3" spans="1:17" x14ac:dyDescent="0.4">
      <c r="A3" t="s">
        <v>19</v>
      </c>
      <c r="B3" s="1">
        <v>45609</v>
      </c>
      <c r="C3" t="s">
        <v>20</v>
      </c>
      <c r="D3" t="s">
        <v>21</v>
      </c>
      <c r="E3" t="s">
        <v>22</v>
      </c>
      <c r="F3" t="s">
        <v>23</v>
      </c>
      <c r="G3">
        <v>2</v>
      </c>
      <c r="H3">
        <v>1397.45</v>
      </c>
      <c r="I3">
        <v>20</v>
      </c>
      <c r="J3">
        <v>714.69</v>
      </c>
      <c r="K3" t="s">
        <v>24</v>
      </c>
      <c r="L3" t="s">
        <v>18</v>
      </c>
      <c r="M3">
        <f t="shared" ref="M3:M66" si="0">G3 * H3 * (1 - I3/100)</f>
        <v>2235.92</v>
      </c>
      <c r="N3">
        <f t="shared" ref="N3:N66" si="1">M3 - (J3 * G3)</f>
        <v>806.54</v>
      </c>
      <c r="O3" t="str">
        <f t="shared" ref="O3:O66" si="2">TEXT(B3,"dddd")</f>
        <v>Wednesday</v>
      </c>
      <c r="P3" t="b">
        <f t="shared" ref="P3:P66" si="3">OR(TEXT(B3,"ddd")="Sat", TEXT(B3,"ddd")="Sun")</f>
        <v>0</v>
      </c>
      <c r="Q3" t="str">
        <f t="shared" ref="Q3:Q66" si="4">TEXT(B3,"mmmm")</f>
        <v>November</v>
      </c>
    </row>
    <row r="4" spans="1:17" x14ac:dyDescent="0.4">
      <c r="A4" t="s">
        <v>25</v>
      </c>
      <c r="B4" s="1">
        <v>45595</v>
      </c>
      <c r="C4" t="s">
        <v>26</v>
      </c>
      <c r="D4" t="s">
        <v>21</v>
      </c>
      <c r="E4" t="s">
        <v>27</v>
      </c>
      <c r="F4" t="s">
        <v>28</v>
      </c>
      <c r="G4">
        <v>5</v>
      </c>
      <c r="H4">
        <v>2460.81</v>
      </c>
      <c r="I4">
        <v>5</v>
      </c>
      <c r="J4">
        <v>1073.5999999999999</v>
      </c>
      <c r="K4" t="s">
        <v>17</v>
      </c>
      <c r="L4" t="s">
        <v>18</v>
      </c>
      <c r="M4">
        <f t="shared" si="0"/>
        <v>11688.847499999998</v>
      </c>
      <c r="N4">
        <f t="shared" si="1"/>
        <v>6320.847499999998</v>
      </c>
      <c r="O4" t="str">
        <f t="shared" si="2"/>
        <v>Wednesday</v>
      </c>
      <c r="P4" t="b">
        <f t="shared" si="3"/>
        <v>0</v>
      </c>
      <c r="Q4" t="str">
        <f t="shared" si="4"/>
        <v>October</v>
      </c>
    </row>
    <row r="5" spans="1:17" x14ac:dyDescent="0.4">
      <c r="A5" t="s">
        <v>29</v>
      </c>
      <c r="B5" s="1">
        <v>45459</v>
      </c>
      <c r="C5" t="s">
        <v>30</v>
      </c>
      <c r="D5" t="s">
        <v>31</v>
      </c>
      <c r="E5" t="s">
        <v>32</v>
      </c>
      <c r="F5" t="s">
        <v>28</v>
      </c>
      <c r="G5">
        <v>5</v>
      </c>
      <c r="H5">
        <v>331.84</v>
      </c>
      <c r="I5">
        <v>30</v>
      </c>
      <c r="J5">
        <v>196.54</v>
      </c>
      <c r="K5" t="s">
        <v>17</v>
      </c>
      <c r="L5" t="s">
        <v>33</v>
      </c>
      <c r="M5">
        <f t="shared" si="0"/>
        <v>1161.4399999999998</v>
      </c>
      <c r="N5">
        <f t="shared" si="1"/>
        <v>178.7399999999999</v>
      </c>
      <c r="O5" t="str">
        <f t="shared" si="2"/>
        <v>Sunday</v>
      </c>
      <c r="P5" t="b">
        <f t="shared" si="3"/>
        <v>1</v>
      </c>
      <c r="Q5" t="str">
        <f t="shared" si="4"/>
        <v>June</v>
      </c>
    </row>
    <row r="6" spans="1:17" x14ac:dyDescent="0.4">
      <c r="A6" t="s">
        <v>34</v>
      </c>
      <c r="B6" s="1">
        <v>45450</v>
      </c>
      <c r="C6" t="s">
        <v>35</v>
      </c>
      <c r="D6" t="s">
        <v>31</v>
      </c>
      <c r="E6" t="s">
        <v>36</v>
      </c>
      <c r="F6" t="s">
        <v>16</v>
      </c>
      <c r="G6">
        <v>3</v>
      </c>
      <c r="H6">
        <v>2248.9499999999998</v>
      </c>
      <c r="I6">
        <v>10</v>
      </c>
      <c r="J6">
        <v>1224.6500000000001</v>
      </c>
      <c r="K6" t="s">
        <v>17</v>
      </c>
      <c r="L6" t="s">
        <v>37</v>
      </c>
      <c r="M6">
        <f t="shared" si="0"/>
        <v>6072.165</v>
      </c>
      <c r="N6">
        <f t="shared" si="1"/>
        <v>2398.2149999999997</v>
      </c>
      <c r="O6" t="str">
        <f t="shared" si="2"/>
        <v>Friday</v>
      </c>
      <c r="P6" t="b">
        <f t="shared" si="3"/>
        <v>0</v>
      </c>
      <c r="Q6" t="str">
        <f t="shared" si="4"/>
        <v>June</v>
      </c>
    </row>
    <row r="7" spans="1:17" x14ac:dyDescent="0.4">
      <c r="A7" t="s">
        <v>38</v>
      </c>
      <c r="B7" s="1">
        <v>45696</v>
      </c>
      <c r="C7" t="s">
        <v>39</v>
      </c>
      <c r="D7" t="s">
        <v>14</v>
      </c>
      <c r="E7" t="s">
        <v>40</v>
      </c>
      <c r="F7" t="s">
        <v>23</v>
      </c>
      <c r="G7">
        <v>5</v>
      </c>
      <c r="H7">
        <v>2328.6</v>
      </c>
      <c r="I7">
        <v>30</v>
      </c>
      <c r="J7">
        <v>976.15</v>
      </c>
      <c r="K7" t="s">
        <v>17</v>
      </c>
      <c r="L7" t="s">
        <v>37</v>
      </c>
      <c r="M7">
        <f t="shared" si="0"/>
        <v>8150.0999999999995</v>
      </c>
      <c r="N7">
        <f t="shared" si="1"/>
        <v>3269.3499999999995</v>
      </c>
      <c r="O7" t="str">
        <f t="shared" si="2"/>
        <v>Saturday</v>
      </c>
      <c r="P7" t="b">
        <f t="shared" si="3"/>
        <v>1</v>
      </c>
      <c r="Q7" t="str">
        <f t="shared" si="4"/>
        <v>February</v>
      </c>
    </row>
    <row r="8" spans="1:17" x14ac:dyDescent="0.4">
      <c r="A8" t="s">
        <v>41</v>
      </c>
      <c r="B8" s="1">
        <v>45582</v>
      </c>
      <c r="C8" t="s">
        <v>42</v>
      </c>
      <c r="D8" t="s">
        <v>31</v>
      </c>
      <c r="E8" t="s">
        <v>43</v>
      </c>
      <c r="F8" t="s">
        <v>23</v>
      </c>
      <c r="G8">
        <v>2</v>
      </c>
      <c r="H8">
        <v>2310.58</v>
      </c>
      <c r="I8">
        <v>15</v>
      </c>
      <c r="J8">
        <v>1523.42</v>
      </c>
      <c r="K8" t="s">
        <v>24</v>
      </c>
      <c r="L8" t="s">
        <v>33</v>
      </c>
      <c r="M8">
        <f t="shared" si="0"/>
        <v>3927.9859999999999</v>
      </c>
      <c r="N8">
        <f t="shared" si="1"/>
        <v>881.14599999999973</v>
      </c>
      <c r="O8" t="str">
        <f t="shared" si="2"/>
        <v>Thursday</v>
      </c>
      <c r="P8" t="b">
        <f t="shared" si="3"/>
        <v>0</v>
      </c>
      <c r="Q8" t="str">
        <f t="shared" si="4"/>
        <v>October</v>
      </c>
    </row>
    <row r="9" spans="1:17" x14ac:dyDescent="0.4">
      <c r="A9" t="s">
        <v>44</v>
      </c>
      <c r="B9" s="1">
        <v>45862</v>
      </c>
      <c r="C9" t="s">
        <v>45</v>
      </c>
      <c r="D9" t="s">
        <v>46</v>
      </c>
      <c r="E9" t="s">
        <v>47</v>
      </c>
      <c r="F9" t="s">
        <v>23</v>
      </c>
      <c r="G9">
        <v>1</v>
      </c>
      <c r="H9">
        <v>1150.3599999999999</v>
      </c>
      <c r="I9">
        <v>15</v>
      </c>
      <c r="J9">
        <v>550.09</v>
      </c>
      <c r="K9" t="s">
        <v>17</v>
      </c>
      <c r="L9" t="s">
        <v>33</v>
      </c>
      <c r="M9">
        <f t="shared" si="0"/>
        <v>977.80599999999993</v>
      </c>
      <c r="N9">
        <f t="shared" si="1"/>
        <v>427.71599999999989</v>
      </c>
      <c r="O9" t="str">
        <f t="shared" si="2"/>
        <v>Thursday</v>
      </c>
      <c r="P9" t="b">
        <f t="shared" si="3"/>
        <v>0</v>
      </c>
      <c r="Q9" t="str">
        <f t="shared" si="4"/>
        <v>July</v>
      </c>
    </row>
    <row r="10" spans="1:17" x14ac:dyDescent="0.4">
      <c r="A10" t="s">
        <v>48</v>
      </c>
      <c r="B10" s="1">
        <v>45820</v>
      </c>
      <c r="C10" t="s">
        <v>26</v>
      </c>
      <c r="D10" t="s">
        <v>31</v>
      </c>
      <c r="E10" t="s">
        <v>49</v>
      </c>
      <c r="F10" t="s">
        <v>23</v>
      </c>
      <c r="G10">
        <v>3</v>
      </c>
      <c r="H10">
        <v>2405.5</v>
      </c>
      <c r="I10">
        <v>10</v>
      </c>
      <c r="J10">
        <v>1387.78</v>
      </c>
      <c r="K10" t="s">
        <v>17</v>
      </c>
      <c r="L10" t="s">
        <v>33</v>
      </c>
      <c r="M10">
        <f t="shared" si="0"/>
        <v>6494.85</v>
      </c>
      <c r="N10">
        <f t="shared" si="1"/>
        <v>2331.5100000000002</v>
      </c>
      <c r="O10" t="str">
        <f t="shared" si="2"/>
        <v>Thursday</v>
      </c>
      <c r="P10" t="b">
        <f t="shared" si="3"/>
        <v>0</v>
      </c>
      <c r="Q10" t="str">
        <f t="shared" si="4"/>
        <v>June</v>
      </c>
    </row>
    <row r="11" spans="1:17" x14ac:dyDescent="0.4">
      <c r="A11" t="s">
        <v>50</v>
      </c>
      <c r="B11" s="1">
        <v>45950</v>
      </c>
      <c r="C11" t="s">
        <v>51</v>
      </c>
      <c r="D11" t="s">
        <v>21</v>
      </c>
      <c r="E11" t="s">
        <v>52</v>
      </c>
      <c r="F11" t="s">
        <v>23</v>
      </c>
      <c r="G11">
        <v>1</v>
      </c>
      <c r="H11">
        <v>1426.53</v>
      </c>
      <c r="I11">
        <v>25</v>
      </c>
      <c r="J11">
        <v>863.43</v>
      </c>
      <c r="K11" t="s">
        <v>17</v>
      </c>
      <c r="L11" t="s">
        <v>37</v>
      </c>
      <c r="M11">
        <f t="shared" si="0"/>
        <v>1069.8975</v>
      </c>
      <c r="N11">
        <f t="shared" si="1"/>
        <v>206.46750000000009</v>
      </c>
      <c r="O11" t="str">
        <f t="shared" si="2"/>
        <v>Monday</v>
      </c>
      <c r="P11" t="b">
        <f t="shared" si="3"/>
        <v>0</v>
      </c>
      <c r="Q11" t="str">
        <f t="shared" si="4"/>
        <v>October</v>
      </c>
    </row>
    <row r="12" spans="1:17" x14ac:dyDescent="0.4">
      <c r="A12" t="s">
        <v>53</v>
      </c>
      <c r="B12" s="1">
        <v>45454</v>
      </c>
      <c r="C12" t="s">
        <v>54</v>
      </c>
      <c r="D12" t="s">
        <v>31</v>
      </c>
      <c r="E12" t="s">
        <v>55</v>
      </c>
      <c r="F12" t="s">
        <v>16</v>
      </c>
      <c r="G12">
        <v>1</v>
      </c>
      <c r="H12">
        <v>349.26</v>
      </c>
      <c r="I12">
        <v>15</v>
      </c>
      <c r="J12">
        <v>150.21</v>
      </c>
      <c r="K12" t="s">
        <v>24</v>
      </c>
      <c r="L12" t="s">
        <v>33</v>
      </c>
      <c r="M12">
        <f t="shared" si="0"/>
        <v>296.87099999999998</v>
      </c>
      <c r="N12">
        <f t="shared" si="1"/>
        <v>146.66099999999997</v>
      </c>
      <c r="O12" t="str">
        <f t="shared" si="2"/>
        <v>Tuesday</v>
      </c>
      <c r="P12" t="b">
        <f t="shared" si="3"/>
        <v>0</v>
      </c>
      <c r="Q12" t="str">
        <f t="shared" si="4"/>
        <v>June</v>
      </c>
    </row>
    <row r="13" spans="1:17" x14ac:dyDescent="0.4">
      <c r="A13" t="s">
        <v>56</v>
      </c>
      <c r="B13" s="1">
        <v>45871</v>
      </c>
      <c r="C13" t="s">
        <v>39</v>
      </c>
      <c r="D13" t="s">
        <v>21</v>
      </c>
      <c r="E13" t="s">
        <v>57</v>
      </c>
      <c r="F13" t="s">
        <v>16</v>
      </c>
      <c r="G13">
        <v>2</v>
      </c>
      <c r="H13">
        <v>744.92</v>
      </c>
      <c r="I13">
        <v>0</v>
      </c>
      <c r="J13">
        <v>416.81</v>
      </c>
      <c r="K13" t="s">
        <v>17</v>
      </c>
      <c r="L13" t="s">
        <v>18</v>
      </c>
      <c r="M13">
        <f t="shared" si="0"/>
        <v>1489.84</v>
      </c>
      <c r="N13">
        <f t="shared" si="1"/>
        <v>656.21999999999991</v>
      </c>
      <c r="O13" t="str">
        <f t="shared" si="2"/>
        <v>Saturday</v>
      </c>
      <c r="P13" t="b">
        <f t="shared" si="3"/>
        <v>1</v>
      </c>
      <c r="Q13" t="str">
        <f t="shared" si="4"/>
        <v>August</v>
      </c>
    </row>
    <row r="14" spans="1:17" x14ac:dyDescent="0.4">
      <c r="A14" t="s">
        <v>58</v>
      </c>
      <c r="B14" s="1">
        <v>45512</v>
      </c>
      <c r="C14" t="s">
        <v>59</v>
      </c>
      <c r="D14" t="s">
        <v>31</v>
      </c>
      <c r="E14" t="s">
        <v>60</v>
      </c>
      <c r="F14" t="s">
        <v>23</v>
      </c>
      <c r="G14">
        <v>4</v>
      </c>
      <c r="H14">
        <v>350.75</v>
      </c>
      <c r="I14">
        <v>20</v>
      </c>
      <c r="J14">
        <v>237.38</v>
      </c>
      <c r="K14" t="s">
        <v>17</v>
      </c>
      <c r="L14" t="s">
        <v>37</v>
      </c>
      <c r="M14">
        <f t="shared" si="0"/>
        <v>1122.4000000000001</v>
      </c>
      <c r="N14">
        <f t="shared" si="1"/>
        <v>172.88000000000011</v>
      </c>
      <c r="O14" t="str">
        <f t="shared" si="2"/>
        <v>Thursday</v>
      </c>
      <c r="P14" t="b">
        <f t="shared" si="3"/>
        <v>0</v>
      </c>
      <c r="Q14" t="str">
        <f t="shared" si="4"/>
        <v>August</v>
      </c>
    </row>
    <row r="15" spans="1:17" x14ac:dyDescent="0.4">
      <c r="A15" t="s">
        <v>61</v>
      </c>
      <c r="B15" s="1">
        <v>45559</v>
      </c>
      <c r="C15" t="s">
        <v>62</v>
      </c>
      <c r="D15" t="s">
        <v>46</v>
      </c>
      <c r="E15" t="s">
        <v>63</v>
      </c>
      <c r="F15" t="s">
        <v>28</v>
      </c>
      <c r="G15">
        <v>4</v>
      </c>
      <c r="H15">
        <v>641.65</v>
      </c>
      <c r="I15">
        <v>25</v>
      </c>
      <c r="J15">
        <v>430.19</v>
      </c>
      <c r="K15" t="s">
        <v>17</v>
      </c>
      <c r="L15" t="s">
        <v>33</v>
      </c>
      <c r="M15">
        <f t="shared" si="0"/>
        <v>1924.9499999999998</v>
      </c>
      <c r="N15">
        <f t="shared" si="1"/>
        <v>204.18999999999983</v>
      </c>
      <c r="O15" t="str">
        <f t="shared" si="2"/>
        <v>Tuesday</v>
      </c>
      <c r="P15" t="b">
        <f t="shared" si="3"/>
        <v>0</v>
      </c>
      <c r="Q15" t="str">
        <f t="shared" si="4"/>
        <v>September</v>
      </c>
    </row>
    <row r="16" spans="1:17" x14ac:dyDescent="0.4">
      <c r="A16" t="s">
        <v>64</v>
      </c>
      <c r="B16" s="1">
        <v>45819</v>
      </c>
      <c r="C16" t="s">
        <v>65</v>
      </c>
      <c r="D16" t="s">
        <v>46</v>
      </c>
      <c r="E16" t="s">
        <v>66</v>
      </c>
      <c r="F16" t="s">
        <v>23</v>
      </c>
      <c r="G16">
        <v>4</v>
      </c>
      <c r="H16">
        <v>2938.67</v>
      </c>
      <c r="I16">
        <v>0</v>
      </c>
      <c r="J16">
        <v>1329.18</v>
      </c>
      <c r="K16" t="s">
        <v>17</v>
      </c>
      <c r="L16" t="s">
        <v>37</v>
      </c>
      <c r="M16">
        <f t="shared" si="0"/>
        <v>11754.68</v>
      </c>
      <c r="N16">
        <f t="shared" si="1"/>
        <v>6437.96</v>
      </c>
      <c r="O16" t="str">
        <f t="shared" si="2"/>
        <v>Wednesday</v>
      </c>
      <c r="P16" t="b">
        <f t="shared" si="3"/>
        <v>0</v>
      </c>
      <c r="Q16" t="str">
        <f t="shared" si="4"/>
        <v>June</v>
      </c>
    </row>
    <row r="17" spans="1:17" x14ac:dyDescent="0.4">
      <c r="A17" t="s">
        <v>67</v>
      </c>
      <c r="B17" s="1">
        <v>45885</v>
      </c>
      <c r="C17" t="s">
        <v>68</v>
      </c>
      <c r="D17" t="s">
        <v>14</v>
      </c>
      <c r="E17" t="s">
        <v>69</v>
      </c>
      <c r="F17" t="s">
        <v>28</v>
      </c>
      <c r="G17">
        <v>1</v>
      </c>
      <c r="H17">
        <v>689.93</v>
      </c>
      <c r="I17">
        <v>25</v>
      </c>
      <c r="J17">
        <v>355</v>
      </c>
      <c r="K17" t="s">
        <v>24</v>
      </c>
      <c r="L17" t="s">
        <v>18</v>
      </c>
      <c r="M17">
        <f t="shared" si="0"/>
        <v>517.44749999999999</v>
      </c>
      <c r="N17">
        <f t="shared" si="1"/>
        <v>162.44749999999999</v>
      </c>
      <c r="O17" t="str">
        <f t="shared" si="2"/>
        <v>Saturday</v>
      </c>
      <c r="P17" t="b">
        <f t="shared" si="3"/>
        <v>1</v>
      </c>
      <c r="Q17" t="str">
        <f t="shared" si="4"/>
        <v>August</v>
      </c>
    </row>
    <row r="18" spans="1:17" x14ac:dyDescent="0.4">
      <c r="A18" t="s">
        <v>70</v>
      </c>
      <c r="B18" s="1">
        <v>45528</v>
      </c>
      <c r="C18" t="s">
        <v>71</v>
      </c>
      <c r="D18" t="s">
        <v>14</v>
      </c>
      <c r="E18" t="s">
        <v>72</v>
      </c>
      <c r="F18" t="s">
        <v>28</v>
      </c>
      <c r="G18">
        <v>5</v>
      </c>
      <c r="H18">
        <v>2793.78</v>
      </c>
      <c r="I18">
        <v>20</v>
      </c>
      <c r="J18">
        <v>1808.77</v>
      </c>
      <c r="K18" t="s">
        <v>17</v>
      </c>
      <c r="L18" t="s">
        <v>18</v>
      </c>
      <c r="M18">
        <f t="shared" si="0"/>
        <v>11175.120000000003</v>
      </c>
      <c r="N18">
        <f t="shared" si="1"/>
        <v>2131.2700000000023</v>
      </c>
      <c r="O18" t="str">
        <f t="shared" si="2"/>
        <v>Saturday</v>
      </c>
      <c r="P18" t="b">
        <f t="shared" si="3"/>
        <v>1</v>
      </c>
      <c r="Q18" t="str">
        <f t="shared" si="4"/>
        <v>August</v>
      </c>
    </row>
    <row r="19" spans="1:17" x14ac:dyDescent="0.4">
      <c r="A19" t="s">
        <v>73</v>
      </c>
      <c r="B19" s="1">
        <v>45336</v>
      </c>
      <c r="C19" t="s">
        <v>74</v>
      </c>
      <c r="D19" t="s">
        <v>21</v>
      </c>
      <c r="E19" t="s">
        <v>75</v>
      </c>
      <c r="F19" t="s">
        <v>16</v>
      </c>
      <c r="G19">
        <v>1</v>
      </c>
      <c r="H19">
        <v>2067.4499999999998</v>
      </c>
      <c r="I19">
        <v>15</v>
      </c>
      <c r="J19">
        <v>1226.54</v>
      </c>
      <c r="K19" t="s">
        <v>24</v>
      </c>
      <c r="L19" t="s">
        <v>18</v>
      </c>
      <c r="M19">
        <f t="shared" si="0"/>
        <v>1757.3324999999998</v>
      </c>
      <c r="N19">
        <f t="shared" si="1"/>
        <v>530.79249999999979</v>
      </c>
      <c r="O19" t="str">
        <f t="shared" si="2"/>
        <v>Wednesday</v>
      </c>
      <c r="P19" t="b">
        <f t="shared" si="3"/>
        <v>0</v>
      </c>
      <c r="Q19" t="str">
        <f t="shared" si="4"/>
        <v>February</v>
      </c>
    </row>
    <row r="20" spans="1:17" x14ac:dyDescent="0.4">
      <c r="A20" t="s">
        <v>76</v>
      </c>
      <c r="B20" s="1">
        <v>45737</v>
      </c>
      <c r="C20" t="s">
        <v>77</v>
      </c>
      <c r="D20" t="s">
        <v>46</v>
      </c>
      <c r="E20" t="s">
        <v>78</v>
      </c>
      <c r="F20" t="s">
        <v>16</v>
      </c>
      <c r="G20">
        <v>1</v>
      </c>
      <c r="H20">
        <v>1434.93</v>
      </c>
      <c r="I20">
        <v>15</v>
      </c>
      <c r="J20">
        <v>739.97</v>
      </c>
      <c r="K20" t="s">
        <v>17</v>
      </c>
      <c r="L20" t="s">
        <v>18</v>
      </c>
      <c r="M20">
        <f t="shared" si="0"/>
        <v>1219.6904999999999</v>
      </c>
      <c r="N20">
        <f t="shared" si="1"/>
        <v>479.7204999999999</v>
      </c>
      <c r="O20" t="str">
        <f t="shared" si="2"/>
        <v>Friday</v>
      </c>
      <c r="P20" t="b">
        <f t="shared" si="3"/>
        <v>0</v>
      </c>
      <c r="Q20" t="str">
        <f t="shared" si="4"/>
        <v>March</v>
      </c>
    </row>
    <row r="21" spans="1:17" x14ac:dyDescent="0.4">
      <c r="A21" t="s">
        <v>79</v>
      </c>
      <c r="B21" s="1">
        <v>45590</v>
      </c>
      <c r="C21" t="s">
        <v>77</v>
      </c>
      <c r="D21" t="s">
        <v>46</v>
      </c>
      <c r="E21" t="s">
        <v>80</v>
      </c>
      <c r="F21" t="s">
        <v>16</v>
      </c>
      <c r="G21">
        <v>2</v>
      </c>
      <c r="H21">
        <v>595.11</v>
      </c>
      <c r="I21">
        <v>30</v>
      </c>
      <c r="J21">
        <v>319.2</v>
      </c>
      <c r="K21" t="s">
        <v>24</v>
      </c>
      <c r="L21" t="s">
        <v>33</v>
      </c>
      <c r="M21">
        <f t="shared" si="0"/>
        <v>833.154</v>
      </c>
      <c r="N21">
        <f t="shared" si="1"/>
        <v>194.75400000000002</v>
      </c>
      <c r="O21" t="str">
        <f t="shared" si="2"/>
        <v>Friday</v>
      </c>
      <c r="P21" t="b">
        <f t="shared" si="3"/>
        <v>0</v>
      </c>
      <c r="Q21" t="str">
        <f t="shared" si="4"/>
        <v>October</v>
      </c>
    </row>
    <row r="22" spans="1:17" x14ac:dyDescent="0.4">
      <c r="A22" t="s">
        <v>81</v>
      </c>
      <c r="B22" s="1">
        <v>45842</v>
      </c>
      <c r="C22" t="s">
        <v>35</v>
      </c>
      <c r="D22" t="s">
        <v>14</v>
      </c>
      <c r="E22" t="s">
        <v>82</v>
      </c>
      <c r="F22" t="s">
        <v>28</v>
      </c>
      <c r="G22">
        <v>5</v>
      </c>
      <c r="H22">
        <v>1019.28</v>
      </c>
      <c r="I22">
        <v>25</v>
      </c>
      <c r="J22">
        <v>442.2</v>
      </c>
      <c r="K22" t="s">
        <v>24</v>
      </c>
      <c r="L22" t="s">
        <v>18</v>
      </c>
      <c r="M22">
        <f t="shared" si="0"/>
        <v>3822.2999999999997</v>
      </c>
      <c r="N22">
        <f t="shared" si="1"/>
        <v>1611.2999999999997</v>
      </c>
      <c r="O22" t="str">
        <f t="shared" si="2"/>
        <v>Friday</v>
      </c>
      <c r="P22" t="b">
        <f t="shared" si="3"/>
        <v>0</v>
      </c>
      <c r="Q22" t="str">
        <f t="shared" si="4"/>
        <v>July</v>
      </c>
    </row>
    <row r="23" spans="1:17" x14ac:dyDescent="0.4">
      <c r="A23" t="s">
        <v>83</v>
      </c>
      <c r="B23" s="1">
        <v>45860</v>
      </c>
      <c r="C23" t="s">
        <v>84</v>
      </c>
      <c r="D23" t="s">
        <v>46</v>
      </c>
      <c r="E23" t="s">
        <v>63</v>
      </c>
      <c r="F23" t="s">
        <v>28</v>
      </c>
      <c r="G23">
        <v>1</v>
      </c>
      <c r="H23">
        <v>2649.47</v>
      </c>
      <c r="I23">
        <v>20</v>
      </c>
      <c r="J23">
        <v>1390.12</v>
      </c>
      <c r="K23" t="s">
        <v>17</v>
      </c>
      <c r="L23" t="s">
        <v>18</v>
      </c>
      <c r="M23">
        <f t="shared" si="0"/>
        <v>2119.576</v>
      </c>
      <c r="N23">
        <f t="shared" si="1"/>
        <v>729.45600000000013</v>
      </c>
      <c r="O23" t="str">
        <f t="shared" si="2"/>
        <v>Tuesday</v>
      </c>
      <c r="P23" t="b">
        <f t="shared" si="3"/>
        <v>0</v>
      </c>
      <c r="Q23" t="str">
        <f t="shared" si="4"/>
        <v>July</v>
      </c>
    </row>
    <row r="24" spans="1:17" x14ac:dyDescent="0.4">
      <c r="A24" t="s">
        <v>85</v>
      </c>
      <c r="B24" s="1">
        <v>45702</v>
      </c>
      <c r="C24" t="s">
        <v>86</v>
      </c>
      <c r="D24" t="s">
        <v>31</v>
      </c>
      <c r="E24" t="s">
        <v>87</v>
      </c>
      <c r="F24" t="s">
        <v>23</v>
      </c>
      <c r="G24">
        <v>5</v>
      </c>
      <c r="H24">
        <v>2062.7199999999998</v>
      </c>
      <c r="I24">
        <v>20</v>
      </c>
      <c r="J24">
        <v>1059.3499999999999</v>
      </c>
      <c r="K24" t="s">
        <v>17</v>
      </c>
      <c r="L24" t="s">
        <v>18</v>
      </c>
      <c r="M24">
        <f t="shared" si="0"/>
        <v>8250.8799999999992</v>
      </c>
      <c r="N24">
        <f t="shared" si="1"/>
        <v>2954.1299999999992</v>
      </c>
      <c r="O24" t="str">
        <f t="shared" si="2"/>
        <v>Friday</v>
      </c>
      <c r="P24" t="b">
        <f t="shared" si="3"/>
        <v>0</v>
      </c>
      <c r="Q24" t="str">
        <f t="shared" si="4"/>
        <v>February</v>
      </c>
    </row>
    <row r="25" spans="1:17" x14ac:dyDescent="0.4">
      <c r="A25" t="s">
        <v>88</v>
      </c>
      <c r="B25" s="1">
        <v>45592</v>
      </c>
      <c r="C25" t="s">
        <v>89</v>
      </c>
      <c r="D25" t="s">
        <v>21</v>
      </c>
      <c r="E25" t="s">
        <v>90</v>
      </c>
      <c r="F25" t="s">
        <v>23</v>
      </c>
      <c r="G25">
        <v>4</v>
      </c>
      <c r="H25">
        <v>413.65</v>
      </c>
      <c r="I25">
        <v>10</v>
      </c>
      <c r="J25">
        <v>166.63</v>
      </c>
      <c r="K25" t="s">
        <v>17</v>
      </c>
      <c r="L25" t="s">
        <v>37</v>
      </c>
      <c r="M25">
        <f t="shared" si="0"/>
        <v>1489.1399999999999</v>
      </c>
      <c r="N25">
        <f t="shared" si="1"/>
        <v>822.61999999999989</v>
      </c>
      <c r="O25" t="str">
        <f t="shared" si="2"/>
        <v>Sunday</v>
      </c>
      <c r="P25" t="b">
        <f t="shared" si="3"/>
        <v>1</v>
      </c>
      <c r="Q25" t="str">
        <f t="shared" si="4"/>
        <v>October</v>
      </c>
    </row>
    <row r="26" spans="1:17" x14ac:dyDescent="0.4">
      <c r="A26" t="s">
        <v>91</v>
      </c>
      <c r="B26" s="1">
        <v>45529</v>
      </c>
      <c r="C26" t="s">
        <v>92</v>
      </c>
      <c r="D26" t="s">
        <v>14</v>
      </c>
      <c r="E26" t="s">
        <v>93</v>
      </c>
      <c r="F26" t="s">
        <v>28</v>
      </c>
      <c r="G26">
        <v>5</v>
      </c>
      <c r="H26">
        <v>1099.75</v>
      </c>
      <c r="I26">
        <v>0</v>
      </c>
      <c r="J26">
        <v>546.54999999999995</v>
      </c>
      <c r="K26" t="s">
        <v>24</v>
      </c>
      <c r="L26" t="s">
        <v>18</v>
      </c>
      <c r="M26">
        <f t="shared" si="0"/>
        <v>5498.75</v>
      </c>
      <c r="N26">
        <f t="shared" si="1"/>
        <v>2766</v>
      </c>
      <c r="O26" t="str">
        <f t="shared" si="2"/>
        <v>Sunday</v>
      </c>
      <c r="P26" t="b">
        <f t="shared" si="3"/>
        <v>1</v>
      </c>
      <c r="Q26" t="str">
        <f t="shared" si="4"/>
        <v>August</v>
      </c>
    </row>
    <row r="27" spans="1:17" x14ac:dyDescent="0.4">
      <c r="A27" t="s">
        <v>94</v>
      </c>
      <c r="B27" s="1">
        <v>45817</v>
      </c>
      <c r="C27" t="s">
        <v>95</v>
      </c>
      <c r="D27" t="s">
        <v>21</v>
      </c>
      <c r="E27" t="s">
        <v>96</v>
      </c>
      <c r="F27" t="s">
        <v>23</v>
      </c>
      <c r="G27">
        <v>1</v>
      </c>
      <c r="H27">
        <v>2567.17</v>
      </c>
      <c r="I27">
        <v>20</v>
      </c>
      <c r="J27">
        <v>1037.44</v>
      </c>
      <c r="K27" t="s">
        <v>17</v>
      </c>
      <c r="L27" t="s">
        <v>18</v>
      </c>
      <c r="M27">
        <f t="shared" si="0"/>
        <v>2053.7360000000003</v>
      </c>
      <c r="N27">
        <f t="shared" si="1"/>
        <v>1016.2960000000003</v>
      </c>
      <c r="O27" t="str">
        <f t="shared" si="2"/>
        <v>Monday</v>
      </c>
      <c r="P27" t="b">
        <f t="shared" si="3"/>
        <v>0</v>
      </c>
      <c r="Q27" t="str">
        <f t="shared" si="4"/>
        <v>June</v>
      </c>
    </row>
    <row r="28" spans="1:17" x14ac:dyDescent="0.4">
      <c r="A28" t="s">
        <v>97</v>
      </c>
      <c r="B28" s="1">
        <v>45578</v>
      </c>
      <c r="C28" t="s">
        <v>98</v>
      </c>
      <c r="D28" t="s">
        <v>21</v>
      </c>
      <c r="E28" t="s">
        <v>80</v>
      </c>
      <c r="F28" t="s">
        <v>23</v>
      </c>
      <c r="G28">
        <v>3</v>
      </c>
      <c r="H28">
        <v>2671.47</v>
      </c>
      <c r="I28">
        <v>25</v>
      </c>
      <c r="J28">
        <v>1342.7</v>
      </c>
      <c r="K28" t="s">
        <v>24</v>
      </c>
      <c r="L28" t="s">
        <v>18</v>
      </c>
      <c r="M28">
        <f t="shared" si="0"/>
        <v>6010.8074999999999</v>
      </c>
      <c r="N28">
        <f t="shared" si="1"/>
        <v>1982.7074999999995</v>
      </c>
      <c r="O28" t="str">
        <f t="shared" si="2"/>
        <v>Sunday</v>
      </c>
      <c r="P28" t="b">
        <f t="shared" si="3"/>
        <v>1</v>
      </c>
      <c r="Q28" t="str">
        <f t="shared" si="4"/>
        <v>October</v>
      </c>
    </row>
    <row r="29" spans="1:17" x14ac:dyDescent="0.4">
      <c r="A29" t="s">
        <v>99</v>
      </c>
      <c r="B29" s="1">
        <v>45591</v>
      </c>
      <c r="C29" t="s">
        <v>100</v>
      </c>
      <c r="D29" t="s">
        <v>31</v>
      </c>
      <c r="E29" t="s">
        <v>101</v>
      </c>
      <c r="F29" t="s">
        <v>23</v>
      </c>
      <c r="G29">
        <v>2</v>
      </c>
      <c r="H29">
        <v>1335.44</v>
      </c>
      <c r="I29">
        <v>10</v>
      </c>
      <c r="J29">
        <v>576.03</v>
      </c>
      <c r="K29" t="s">
        <v>17</v>
      </c>
      <c r="L29" t="s">
        <v>33</v>
      </c>
      <c r="M29">
        <f t="shared" si="0"/>
        <v>2403.7920000000004</v>
      </c>
      <c r="N29">
        <f t="shared" si="1"/>
        <v>1251.7320000000004</v>
      </c>
      <c r="O29" t="str">
        <f t="shared" si="2"/>
        <v>Saturday</v>
      </c>
      <c r="P29" t="b">
        <f t="shared" si="3"/>
        <v>1</v>
      </c>
      <c r="Q29" t="str">
        <f t="shared" si="4"/>
        <v>October</v>
      </c>
    </row>
    <row r="30" spans="1:17" x14ac:dyDescent="0.4">
      <c r="A30" t="s">
        <v>102</v>
      </c>
      <c r="B30" s="1">
        <v>45752</v>
      </c>
      <c r="C30" t="s">
        <v>13</v>
      </c>
      <c r="D30" t="s">
        <v>21</v>
      </c>
      <c r="E30" t="s">
        <v>103</v>
      </c>
      <c r="F30" t="s">
        <v>16</v>
      </c>
      <c r="G30">
        <v>1</v>
      </c>
      <c r="H30">
        <v>2886.18</v>
      </c>
      <c r="I30">
        <v>25</v>
      </c>
      <c r="J30">
        <v>1469.23</v>
      </c>
      <c r="K30" t="s">
        <v>24</v>
      </c>
      <c r="L30" t="s">
        <v>18</v>
      </c>
      <c r="M30">
        <f t="shared" si="0"/>
        <v>2164.6349999999998</v>
      </c>
      <c r="N30">
        <f t="shared" si="1"/>
        <v>695.40499999999975</v>
      </c>
      <c r="O30" t="str">
        <f t="shared" si="2"/>
        <v>Saturday</v>
      </c>
      <c r="P30" t="b">
        <f t="shared" si="3"/>
        <v>1</v>
      </c>
      <c r="Q30" t="str">
        <f t="shared" si="4"/>
        <v>April</v>
      </c>
    </row>
    <row r="31" spans="1:17" x14ac:dyDescent="0.4">
      <c r="A31" t="s">
        <v>104</v>
      </c>
      <c r="B31" s="1">
        <v>45576</v>
      </c>
      <c r="C31" t="s">
        <v>95</v>
      </c>
      <c r="D31" t="s">
        <v>21</v>
      </c>
      <c r="E31" t="s">
        <v>105</v>
      </c>
      <c r="F31" t="s">
        <v>23</v>
      </c>
      <c r="G31">
        <v>3</v>
      </c>
      <c r="H31">
        <v>2201.08</v>
      </c>
      <c r="I31">
        <v>20</v>
      </c>
      <c r="J31">
        <v>1361.08</v>
      </c>
      <c r="K31" t="s">
        <v>17</v>
      </c>
      <c r="L31" t="s">
        <v>37</v>
      </c>
      <c r="M31">
        <f t="shared" si="0"/>
        <v>5282.5920000000006</v>
      </c>
      <c r="N31">
        <f t="shared" si="1"/>
        <v>1199.3520000000008</v>
      </c>
      <c r="O31" t="str">
        <f t="shared" si="2"/>
        <v>Friday</v>
      </c>
      <c r="P31" t="b">
        <f t="shared" si="3"/>
        <v>0</v>
      </c>
      <c r="Q31" t="str">
        <f t="shared" si="4"/>
        <v>October</v>
      </c>
    </row>
    <row r="32" spans="1:17" x14ac:dyDescent="0.4">
      <c r="A32" t="s">
        <v>106</v>
      </c>
      <c r="B32" s="1">
        <v>45566</v>
      </c>
      <c r="C32" t="s">
        <v>68</v>
      </c>
      <c r="D32" t="s">
        <v>21</v>
      </c>
      <c r="E32" t="s">
        <v>107</v>
      </c>
      <c r="F32" t="s">
        <v>23</v>
      </c>
      <c r="G32">
        <v>2</v>
      </c>
      <c r="H32">
        <v>2961.78</v>
      </c>
      <c r="I32">
        <v>30</v>
      </c>
      <c r="J32">
        <v>1398.95</v>
      </c>
      <c r="K32" t="s">
        <v>17</v>
      </c>
      <c r="L32" t="s">
        <v>18</v>
      </c>
      <c r="M32">
        <f t="shared" si="0"/>
        <v>4146.4920000000002</v>
      </c>
      <c r="N32">
        <f t="shared" si="1"/>
        <v>1348.5920000000001</v>
      </c>
      <c r="O32" t="str">
        <f t="shared" si="2"/>
        <v>Tuesday</v>
      </c>
      <c r="P32" t="b">
        <f t="shared" si="3"/>
        <v>0</v>
      </c>
      <c r="Q32" t="str">
        <f t="shared" si="4"/>
        <v>October</v>
      </c>
    </row>
    <row r="33" spans="1:17" x14ac:dyDescent="0.4">
      <c r="A33" t="s">
        <v>108</v>
      </c>
      <c r="B33" s="1">
        <v>45435</v>
      </c>
      <c r="C33" t="s">
        <v>109</v>
      </c>
      <c r="D33" t="s">
        <v>31</v>
      </c>
      <c r="E33" t="s">
        <v>110</v>
      </c>
      <c r="F33" t="s">
        <v>16</v>
      </c>
      <c r="G33">
        <v>3</v>
      </c>
      <c r="H33">
        <v>2961.48</v>
      </c>
      <c r="I33">
        <v>25</v>
      </c>
      <c r="J33">
        <v>1358.15</v>
      </c>
      <c r="K33" t="s">
        <v>24</v>
      </c>
      <c r="L33" t="s">
        <v>18</v>
      </c>
      <c r="M33">
        <f t="shared" si="0"/>
        <v>6663.33</v>
      </c>
      <c r="N33">
        <f t="shared" si="1"/>
        <v>2588.8799999999997</v>
      </c>
      <c r="O33" t="str">
        <f t="shared" si="2"/>
        <v>Thursday</v>
      </c>
      <c r="P33" t="b">
        <f t="shared" si="3"/>
        <v>0</v>
      </c>
      <c r="Q33" t="str">
        <f t="shared" si="4"/>
        <v>May</v>
      </c>
    </row>
    <row r="34" spans="1:17" x14ac:dyDescent="0.4">
      <c r="A34" t="s">
        <v>111</v>
      </c>
      <c r="B34" s="1">
        <v>45985</v>
      </c>
      <c r="C34" t="s">
        <v>74</v>
      </c>
      <c r="D34" t="s">
        <v>46</v>
      </c>
      <c r="E34" t="s">
        <v>112</v>
      </c>
      <c r="F34" t="s">
        <v>28</v>
      </c>
      <c r="G34">
        <v>4</v>
      </c>
      <c r="H34">
        <v>2225.71</v>
      </c>
      <c r="I34">
        <v>5</v>
      </c>
      <c r="J34">
        <v>1035</v>
      </c>
      <c r="K34" t="s">
        <v>17</v>
      </c>
      <c r="L34" t="s">
        <v>18</v>
      </c>
      <c r="M34">
        <f t="shared" si="0"/>
        <v>8457.6980000000003</v>
      </c>
      <c r="N34">
        <f t="shared" si="1"/>
        <v>4317.6980000000003</v>
      </c>
      <c r="O34" t="str">
        <f t="shared" si="2"/>
        <v>Monday</v>
      </c>
      <c r="P34" t="b">
        <f t="shared" si="3"/>
        <v>0</v>
      </c>
      <c r="Q34" t="str">
        <f t="shared" si="4"/>
        <v>November</v>
      </c>
    </row>
    <row r="35" spans="1:17" x14ac:dyDescent="0.4">
      <c r="A35" t="s">
        <v>113</v>
      </c>
      <c r="B35" s="1">
        <v>45675</v>
      </c>
      <c r="C35" t="s">
        <v>114</v>
      </c>
      <c r="D35" t="s">
        <v>46</v>
      </c>
      <c r="E35" t="s">
        <v>115</v>
      </c>
      <c r="F35" t="s">
        <v>28</v>
      </c>
      <c r="G35">
        <v>5</v>
      </c>
      <c r="H35">
        <v>1127.08</v>
      </c>
      <c r="I35">
        <v>5</v>
      </c>
      <c r="J35">
        <v>465.71</v>
      </c>
      <c r="K35" t="s">
        <v>24</v>
      </c>
      <c r="L35" t="s">
        <v>37</v>
      </c>
      <c r="M35">
        <f t="shared" si="0"/>
        <v>5353.6299999999992</v>
      </c>
      <c r="N35">
        <f t="shared" si="1"/>
        <v>3025.0799999999995</v>
      </c>
      <c r="O35" t="str">
        <f t="shared" si="2"/>
        <v>Saturday</v>
      </c>
      <c r="P35" t="b">
        <f t="shared" si="3"/>
        <v>1</v>
      </c>
      <c r="Q35" t="str">
        <f t="shared" si="4"/>
        <v>January</v>
      </c>
    </row>
    <row r="36" spans="1:17" x14ac:dyDescent="0.4">
      <c r="A36" t="s">
        <v>116</v>
      </c>
      <c r="B36" s="1">
        <v>45717</v>
      </c>
      <c r="C36" t="s">
        <v>86</v>
      </c>
      <c r="D36" t="s">
        <v>14</v>
      </c>
      <c r="E36" t="s">
        <v>117</v>
      </c>
      <c r="F36" t="s">
        <v>16</v>
      </c>
      <c r="G36">
        <v>3</v>
      </c>
      <c r="H36">
        <v>2052.5300000000002</v>
      </c>
      <c r="I36">
        <v>25</v>
      </c>
      <c r="J36">
        <v>922.53</v>
      </c>
      <c r="K36" t="s">
        <v>17</v>
      </c>
      <c r="L36" t="s">
        <v>18</v>
      </c>
      <c r="M36">
        <f t="shared" si="0"/>
        <v>4618.1925000000001</v>
      </c>
      <c r="N36">
        <f t="shared" si="1"/>
        <v>1850.6025</v>
      </c>
      <c r="O36" t="str">
        <f t="shared" si="2"/>
        <v>Saturday</v>
      </c>
      <c r="P36" t="b">
        <f t="shared" si="3"/>
        <v>1</v>
      </c>
      <c r="Q36" t="str">
        <f t="shared" si="4"/>
        <v>March</v>
      </c>
    </row>
    <row r="37" spans="1:17" x14ac:dyDescent="0.4">
      <c r="A37" t="s">
        <v>118</v>
      </c>
      <c r="B37" s="1">
        <v>45842</v>
      </c>
      <c r="C37" t="s">
        <v>119</v>
      </c>
      <c r="D37" t="s">
        <v>31</v>
      </c>
      <c r="E37" t="s">
        <v>120</v>
      </c>
      <c r="F37" t="s">
        <v>28</v>
      </c>
      <c r="G37">
        <v>5</v>
      </c>
      <c r="H37">
        <v>1411.76</v>
      </c>
      <c r="I37">
        <v>20</v>
      </c>
      <c r="J37">
        <v>718.32</v>
      </c>
      <c r="K37" t="s">
        <v>24</v>
      </c>
      <c r="L37" t="s">
        <v>33</v>
      </c>
      <c r="M37">
        <f t="shared" si="0"/>
        <v>5647.0400000000009</v>
      </c>
      <c r="N37">
        <f t="shared" si="1"/>
        <v>2055.4400000000005</v>
      </c>
      <c r="O37" t="str">
        <f t="shared" si="2"/>
        <v>Friday</v>
      </c>
      <c r="P37" t="b">
        <f t="shared" si="3"/>
        <v>0</v>
      </c>
      <c r="Q37" t="str">
        <f t="shared" si="4"/>
        <v>July</v>
      </c>
    </row>
    <row r="38" spans="1:17" x14ac:dyDescent="0.4">
      <c r="A38" t="s">
        <v>121</v>
      </c>
      <c r="B38" s="1">
        <v>45905</v>
      </c>
      <c r="C38" t="s">
        <v>122</v>
      </c>
      <c r="D38" t="s">
        <v>31</v>
      </c>
      <c r="E38" t="s">
        <v>123</v>
      </c>
      <c r="F38" t="s">
        <v>23</v>
      </c>
      <c r="G38">
        <v>2</v>
      </c>
      <c r="H38">
        <v>1748.13</v>
      </c>
      <c r="I38">
        <v>15</v>
      </c>
      <c r="J38">
        <v>862.42</v>
      </c>
      <c r="K38" t="s">
        <v>17</v>
      </c>
      <c r="L38" t="s">
        <v>33</v>
      </c>
      <c r="M38">
        <f t="shared" si="0"/>
        <v>2971.8209999999999</v>
      </c>
      <c r="N38">
        <f t="shared" si="1"/>
        <v>1246.981</v>
      </c>
      <c r="O38" t="str">
        <f t="shared" si="2"/>
        <v>Friday</v>
      </c>
      <c r="P38" t="b">
        <f t="shared" si="3"/>
        <v>0</v>
      </c>
      <c r="Q38" t="str">
        <f t="shared" si="4"/>
        <v>September</v>
      </c>
    </row>
    <row r="39" spans="1:17" x14ac:dyDescent="0.4">
      <c r="A39" t="s">
        <v>124</v>
      </c>
      <c r="B39" s="1">
        <v>45690</v>
      </c>
      <c r="C39" t="s">
        <v>125</v>
      </c>
      <c r="D39" t="s">
        <v>14</v>
      </c>
      <c r="E39" t="s">
        <v>126</v>
      </c>
      <c r="F39" t="s">
        <v>16</v>
      </c>
      <c r="G39">
        <v>2</v>
      </c>
      <c r="H39">
        <v>705.5</v>
      </c>
      <c r="I39">
        <v>20</v>
      </c>
      <c r="J39">
        <v>293.02999999999997</v>
      </c>
      <c r="K39" t="s">
        <v>17</v>
      </c>
      <c r="L39" t="s">
        <v>37</v>
      </c>
      <c r="M39">
        <f t="shared" si="0"/>
        <v>1128.8</v>
      </c>
      <c r="N39">
        <f t="shared" si="1"/>
        <v>542.74</v>
      </c>
      <c r="O39" t="str">
        <f t="shared" si="2"/>
        <v>Sunday</v>
      </c>
      <c r="P39" t="b">
        <f t="shared" si="3"/>
        <v>1</v>
      </c>
      <c r="Q39" t="str">
        <f t="shared" si="4"/>
        <v>February</v>
      </c>
    </row>
    <row r="40" spans="1:17" x14ac:dyDescent="0.4">
      <c r="A40" t="s">
        <v>127</v>
      </c>
      <c r="B40" s="1">
        <v>45297</v>
      </c>
      <c r="C40" t="s">
        <v>128</v>
      </c>
      <c r="D40" t="s">
        <v>46</v>
      </c>
      <c r="E40" t="s">
        <v>129</v>
      </c>
      <c r="F40" t="s">
        <v>23</v>
      </c>
      <c r="G40">
        <v>2</v>
      </c>
      <c r="H40">
        <v>1646.75</v>
      </c>
      <c r="I40">
        <v>5</v>
      </c>
      <c r="J40">
        <v>962.41</v>
      </c>
      <c r="K40" t="s">
        <v>17</v>
      </c>
      <c r="L40" t="s">
        <v>18</v>
      </c>
      <c r="M40">
        <f t="shared" si="0"/>
        <v>3128.8249999999998</v>
      </c>
      <c r="N40">
        <f t="shared" si="1"/>
        <v>1204.0049999999999</v>
      </c>
      <c r="O40" t="str">
        <f t="shared" si="2"/>
        <v>Saturday</v>
      </c>
      <c r="P40" t="b">
        <f t="shared" si="3"/>
        <v>1</v>
      </c>
      <c r="Q40" t="str">
        <f t="shared" si="4"/>
        <v>January</v>
      </c>
    </row>
    <row r="41" spans="1:17" x14ac:dyDescent="0.4">
      <c r="A41" t="s">
        <v>130</v>
      </c>
      <c r="B41" s="1">
        <v>45690</v>
      </c>
      <c r="C41" t="s">
        <v>109</v>
      </c>
      <c r="D41" t="s">
        <v>31</v>
      </c>
      <c r="E41" t="s">
        <v>129</v>
      </c>
      <c r="F41" t="s">
        <v>16</v>
      </c>
      <c r="G41">
        <v>1</v>
      </c>
      <c r="H41">
        <v>1114.46</v>
      </c>
      <c r="I41">
        <v>20</v>
      </c>
      <c r="J41">
        <v>542.96</v>
      </c>
      <c r="K41" t="s">
        <v>24</v>
      </c>
      <c r="L41" t="s">
        <v>33</v>
      </c>
      <c r="M41">
        <f t="shared" si="0"/>
        <v>891.5680000000001</v>
      </c>
      <c r="N41">
        <f t="shared" si="1"/>
        <v>348.60800000000006</v>
      </c>
      <c r="O41" t="str">
        <f t="shared" si="2"/>
        <v>Sunday</v>
      </c>
      <c r="P41" t="b">
        <f t="shared" si="3"/>
        <v>1</v>
      </c>
      <c r="Q41" t="str">
        <f t="shared" si="4"/>
        <v>February</v>
      </c>
    </row>
    <row r="42" spans="1:17" x14ac:dyDescent="0.4">
      <c r="A42" t="s">
        <v>131</v>
      </c>
      <c r="B42" s="1">
        <v>45476</v>
      </c>
      <c r="C42" t="s">
        <v>114</v>
      </c>
      <c r="D42" t="s">
        <v>31</v>
      </c>
      <c r="E42" t="s">
        <v>132</v>
      </c>
      <c r="F42" t="s">
        <v>23</v>
      </c>
      <c r="G42">
        <v>3</v>
      </c>
      <c r="H42">
        <v>1278.4100000000001</v>
      </c>
      <c r="I42">
        <v>15</v>
      </c>
      <c r="J42">
        <v>828.73</v>
      </c>
      <c r="K42" t="s">
        <v>17</v>
      </c>
      <c r="L42" t="s">
        <v>18</v>
      </c>
      <c r="M42">
        <f t="shared" si="0"/>
        <v>3259.9455000000003</v>
      </c>
      <c r="N42">
        <f t="shared" si="1"/>
        <v>773.75550000000021</v>
      </c>
      <c r="O42" t="str">
        <f t="shared" si="2"/>
        <v>Wednesday</v>
      </c>
      <c r="P42" t="b">
        <f t="shared" si="3"/>
        <v>0</v>
      </c>
      <c r="Q42" t="str">
        <f t="shared" si="4"/>
        <v>July</v>
      </c>
    </row>
    <row r="43" spans="1:17" x14ac:dyDescent="0.4">
      <c r="A43" t="s">
        <v>133</v>
      </c>
      <c r="B43" s="1">
        <v>45825</v>
      </c>
      <c r="C43" t="s">
        <v>26</v>
      </c>
      <c r="D43" t="s">
        <v>21</v>
      </c>
      <c r="E43" t="s">
        <v>134</v>
      </c>
      <c r="F43" t="s">
        <v>16</v>
      </c>
      <c r="G43">
        <v>3</v>
      </c>
      <c r="H43">
        <v>1867.16</v>
      </c>
      <c r="I43">
        <v>0</v>
      </c>
      <c r="J43">
        <v>813.77</v>
      </c>
      <c r="K43" t="s">
        <v>17</v>
      </c>
      <c r="L43" t="s">
        <v>18</v>
      </c>
      <c r="M43">
        <f t="shared" si="0"/>
        <v>5601.4800000000005</v>
      </c>
      <c r="N43">
        <f t="shared" si="1"/>
        <v>3160.1700000000005</v>
      </c>
      <c r="O43" t="str">
        <f t="shared" si="2"/>
        <v>Tuesday</v>
      </c>
      <c r="P43" t="b">
        <f t="shared" si="3"/>
        <v>0</v>
      </c>
      <c r="Q43" t="str">
        <f t="shared" si="4"/>
        <v>June</v>
      </c>
    </row>
    <row r="44" spans="1:17" x14ac:dyDescent="0.4">
      <c r="A44" t="s">
        <v>135</v>
      </c>
      <c r="B44" s="1">
        <v>45415</v>
      </c>
      <c r="C44" t="s">
        <v>20</v>
      </c>
      <c r="D44" t="s">
        <v>14</v>
      </c>
      <c r="E44" t="s">
        <v>27</v>
      </c>
      <c r="F44" t="s">
        <v>28</v>
      </c>
      <c r="G44">
        <v>4</v>
      </c>
      <c r="H44">
        <v>2991.66</v>
      </c>
      <c r="I44">
        <v>15</v>
      </c>
      <c r="J44">
        <v>1274.01</v>
      </c>
      <c r="K44" t="s">
        <v>24</v>
      </c>
      <c r="L44" t="s">
        <v>33</v>
      </c>
      <c r="M44">
        <f t="shared" si="0"/>
        <v>10171.643999999998</v>
      </c>
      <c r="N44">
        <f t="shared" si="1"/>
        <v>5075.6039999999985</v>
      </c>
      <c r="O44" t="str">
        <f t="shared" si="2"/>
        <v>Friday</v>
      </c>
      <c r="P44" t="b">
        <f t="shared" si="3"/>
        <v>0</v>
      </c>
      <c r="Q44" t="str">
        <f t="shared" si="4"/>
        <v>May</v>
      </c>
    </row>
    <row r="45" spans="1:17" x14ac:dyDescent="0.4">
      <c r="A45" t="s">
        <v>136</v>
      </c>
      <c r="B45" s="1">
        <v>45829</v>
      </c>
      <c r="C45" t="s">
        <v>122</v>
      </c>
      <c r="D45" t="s">
        <v>14</v>
      </c>
      <c r="E45" t="s">
        <v>137</v>
      </c>
      <c r="F45" t="s">
        <v>16</v>
      </c>
      <c r="G45">
        <v>1</v>
      </c>
      <c r="H45">
        <v>2316.62</v>
      </c>
      <c r="I45">
        <v>0</v>
      </c>
      <c r="J45">
        <v>1145.03</v>
      </c>
      <c r="K45" t="s">
        <v>24</v>
      </c>
      <c r="L45" t="s">
        <v>37</v>
      </c>
      <c r="M45">
        <f t="shared" si="0"/>
        <v>2316.62</v>
      </c>
      <c r="N45">
        <f t="shared" si="1"/>
        <v>1171.5899999999999</v>
      </c>
      <c r="O45" t="str">
        <f t="shared" si="2"/>
        <v>Saturday</v>
      </c>
      <c r="P45" t="b">
        <f t="shared" si="3"/>
        <v>1</v>
      </c>
      <c r="Q45" t="str">
        <f t="shared" si="4"/>
        <v>June</v>
      </c>
    </row>
    <row r="46" spans="1:17" x14ac:dyDescent="0.4">
      <c r="A46" t="s">
        <v>138</v>
      </c>
      <c r="B46" s="1">
        <v>45760</v>
      </c>
      <c r="C46" t="s">
        <v>139</v>
      </c>
      <c r="D46" t="s">
        <v>31</v>
      </c>
      <c r="E46" t="s">
        <v>140</v>
      </c>
      <c r="F46" t="s">
        <v>16</v>
      </c>
      <c r="G46">
        <v>2</v>
      </c>
      <c r="H46">
        <v>2823.24</v>
      </c>
      <c r="I46">
        <v>30</v>
      </c>
      <c r="J46">
        <v>1483.21</v>
      </c>
      <c r="K46" t="s">
        <v>17</v>
      </c>
      <c r="L46" t="s">
        <v>37</v>
      </c>
      <c r="M46">
        <f t="shared" si="0"/>
        <v>3952.5359999999996</v>
      </c>
      <c r="N46">
        <f t="shared" si="1"/>
        <v>986.11599999999953</v>
      </c>
      <c r="O46" t="str">
        <f t="shared" si="2"/>
        <v>Sunday</v>
      </c>
      <c r="P46" t="b">
        <f t="shared" si="3"/>
        <v>1</v>
      </c>
      <c r="Q46" t="str">
        <f t="shared" si="4"/>
        <v>April</v>
      </c>
    </row>
    <row r="47" spans="1:17" x14ac:dyDescent="0.4">
      <c r="A47" t="s">
        <v>141</v>
      </c>
      <c r="B47" s="1">
        <v>45500</v>
      </c>
      <c r="C47" t="s">
        <v>114</v>
      </c>
      <c r="D47" t="s">
        <v>14</v>
      </c>
      <c r="E47" t="s">
        <v>142</v>
      </c>
      <c r="F47" t="s">
        <v>23</v>
      </c>
      <c r="G47">
        <v>4</v>
      </c>
      <c r="H47">
        <v>868.87</v>
      </c>
      <c r="I47">
        <v>20</v>
      </c>
      <c r="J47">
        <v>443.61</v>
      </c>
      <c r="K47" t="s">
        <v>24</v>
      </c>
      <c r="L47" t="s">
        <v>33</v>
      </c>
      <c r="M47">
        <f t="shared" si="0"/>
        <v>2780.384</v>
      </c>
      <c r="N47">
        <f t="shared" si="1"/>
        <v>1005.944</v>
      </c>
      <c r="O47" t="str">
        <f t="shared" si="2"/>
        <v>Saturday</v>
      </c>
      <c r="P47" t="b">
        <f t="shared" si="3"/>
        <v>1</v>
      </c>
      <c r="Q47" t="str">
        <f t="shared" si="4"/>
        <v>July</v>
      </c>
    </row>
    <row r="48" spans="1:17" x14ac:dyDescent="0.4">
      <c r="A48" t="s">
        <v>143</v>
      </c>
      <c r="B48" s="1">
        <v>45968</v>
      </c>
      <c r="C48" t="s">
        <v>144</v>
      </c>
      <c r="D48" t="s">
        <v>31</v>
      </c>
      <c r="E48" t="s">
        <v>27</v>
      </c>
      <c r="F48" t="s">
        <v>23</v>
      </c>
      <c r="G48">
        <v>3</v>
      </c>
      <c r="H48">
        <v>2624.58</v>
      </c>
      <c r="I48">
        <v>25</v>
      </c>
      <c r="J48">
        <v>1236.45</v>
      </c>
      <c r="K48" t="s">
        <v>17</v>
      </c>
      <c r="L48" t="s">
        <v>37</v>
      </c>
      <c r="M48">
        <f t="shared" si="0"/>
        <v>5905.3050000000003</v>
      </c>
      <c r="N48">
        <f t="shared" si="1"/>
        <v>2195.9549999999999</v>
      </c>
      <c r="O48" t="str">
        <f t="shared" si="2"/>
        <v>Friday</v>
      </c>
      <c r="P48" t="b">
        <f t="shared" si="3"/>
        <v>0</v>
      </c>
      <c r="Q48" t="str">
        <f t="shared" si="4"/>
        <v>November</v>
      </c>
    </row>
    <row r="49" spans="1:17" x14ac:dyDescent="0.4">
      <c r="A49" t="s">
        <v>145</v>
      </c>
      <c r="B49" s="1">
        <v>45447</v>
      </c>
      <c r="C49" t="s">
        <v>146</v>
      </c>
      <c r="D49" t="s">
        <v>21</v>
      </c>
      <c r="E49" t="s">
        <v>147</v>
      </c>
      <c r="F49" t="s">
        <v>16</v>
      </c>
      <c r="G49">
        <v>4</v>
      </c>
      <c r="H49">
        <v>2976.06</v>
      </c>
      <c r="I49">
        <v>10</v>
      </c>
      <c r="J49">
        <v>1746.71</v>
      </c>
      <c r="K49" t="s">
        <v>24</v>
      </c>
      <c r="L49" t="s">
        <v>37</v>
      </c>
      <c r="M49">
        <f t="shared" si="0"/>
        <v>10713.816000000001</v>
      </c>
      <c r="N49">
        <f t="shared" si="1"/>
        <v>3726.9760000000006</v>
      </c>
      <c r="O49" t="str">
        <f t="shared" si="2"/>
        <v>Tuesday</v>
      </c>
      <c r="P49" t="b">
        <f t="shared" si="3"/>
        <v>0</v>
      </c>
      <c r="Q49" t="str">
        <f t="shared" si="4"/>
        <v>June</v>
      </c>
    </row>
    <row r="50" spans="1:17" x14ac:dyDescent="0.4">
      <c r="A50" t="s">
        <v>148</v>
      </c>
      <c r="B50" s="1">
        <v>45344</v>
      </c>
      <c r="C50" t="s">
        <v>149</v>
      </c>
      <c r="D50" t="s">
        <v>21</v>
      </c>
      <c r="E50" t="s">
        <v>150</v>
      </c>
      <c r="F50" t="s">
        <v>28</v>
      </c>
      <c r="G50">
        <v>3</v>
      </c>
      <c r="H50">
        <v>1870.32</v>
      </c>
      <c r="I50">
        <v>30</v>
      </c>
      <c r="J50">
        <v>1211</v>
      </c>
      <c r="K50" t="s">
        <v>24</v>
      </c>
      <c r="L50" t="s">
        <v>37</v>
      </c>
      <c r="M50">
        <f t="shared" si="0"/>
        <v>3927.6719999999996</v>
      </c>
      <c r="N50">
        <f t="shared" si="1"/>
        <v>294.67199999999957</v>
      </c>
      <c r="O50" t="str">
        <f t="shared" si="2"/>
        <v>Thursday</v>
      </c>
      <c r="P50" t="b">
        <f t="shared" si="3"/>
        <v>0</v>
      </c>
      <c r="Q50" t="str">
        <f t="shared" si="4"/>
        <v>February</v>
      </c>
    </row>
    <row r="51" spans="1:17" x14ac:dyDescent="0.4">
      <c r="A51" t="s">
        <v>151</v>
      </c>
      <c r="B51" s="1">
        <v>45604</v>
      </c>
      <c r="C51" t="s">
        <v>152</v>
      </c>
      <c r="D51" t="s">
        <v>14</v>
      </c>
      <c r="E51" t="s">
        <v>153</v>
      </c>
      <c r="F51" t="s">
        <v>16</v>
      </c>
      <c r="G51">
        <v>3</v>
      </c>
      <c r="H51">
        <v>678.8</v>
      </c>
      <c r="I51">
        <v>20</v>
      </c>
      <c r="J51">
        <v>306.85000000000002</v>
      </c>
      <c r="K51" t="s">
        <v>17</v>
      </c>
      <c r="L51" t="s">
        <v>37</v>
      </c>
      <c r="M51">
        <f t="shared" si="0"/>
        <v>1629.12</v>
      </c>
      <c r="N51">
        <f t="shared" si="1"/>
        <v>708.56999999999982</v>
      </c>
      <c r="O51" t="str">
        <f t="shared" si="2"/>
        <v>Friday</v>
      </c>
      <c r="P51" t="b">
        <f t="shared" si="3"/>
        <v>0</v>
      </c>
      <c r="Q51" t="str">
        <f t="shared" si="4"/>
        <v>November</v>
      </c>
    </row>
    <row r="52" spans="1:17" x14ac:dyDescent="0.4">
      <c r="A52" t="s">
        <v>154</v>
      </c>
      <c r="B52" s="1">
        <v>45325</v>
      </c>
      <c r="C52" t="s">
        <v>114</v>
      </c>
      <c r="D52" t="s">
        <v>21</v>
      </c>
      <c r="E52" t="s">
        <v>155</v>
      </c>
      <c r="F52" t="s">
        <v>23</v>
      </c>
      <c r="G52">
        <v>2</v>
      </c>
      <c r="H52">
        <v>660.76</v>
      </c>
      <c r="I52">
        <v>20</v>
      </c>
      <c r="J52">
        <v>277.81</v>
      </c>
      <c r="K52" t="s">
        <v>24</v>
      </c>
      <c r="L52" t="s">
        <v>18</v>
      </c>
      <c r="M52">
        <f t="shared" si="0"/>
        <v>1057.2160000000001</v>
      </c>
      <c r="N52">
        <f t="shared" si="1"/>
        <v>501.59600000000012</v>
      </c>
      <c r="O52" t="str">
        <f t="shared" si="2"/>
        <v>Saturday</v>
      </c>
      <c r="P52" t="b">
        <f t="shared" si="3"/>
        <v>1</v>
      </c>
      <c r="Q52" t="str">
        <f t="shared" si="4"/>
        <v>February</v>
      </c>
    </row>
    <row r="53" spans="1:17" x14ac:dyDescent="0.4">
      <c r="A53" t="s">
        <v>156</v>
      </c>
      <c r="B53" s="1">
        <v>45444</v>
      </c>
      <c r="C53" t="s">
        <v>54</v>
      </c>
      <c r="D53" t="s">
        <v>14</v>
      </c>
      <c r="E53" t="s">
        <v>157</v>
      </c>
      <c r="F53" t="s">
        <v>16</v>
      </c>
      <c r="G53">
        <v>5</v>
      </c>
      <c r="H53">
        <v>1299.05</v>
      </c>
      <c r="I53">
        <v>25</v>
      </c>
      <c r="J53">
        <v>695.12</v>
      </c>
      <c r="K53" t="s">
        <v>24</v>
      </c>
      <c r="L53" t="s">
        <v>18</v>
      </c>
      <c r="M53">
        <f t="shared" si="0"/>
        <v>4871.4375</v>
      </c>
      <c r="N53">
        <f t="shared" si="1"/>
        <v>1395.8375000000001</v>
      </c>
      <c r="O53" t="str">
        <f t="shared" si="2"/>
        <v>Saturday</v>
      </c>
      <c r="P53" t="b">
        <f t="shared" si="3"/>
        <v>1</v>
      </c>
      <c r="Q53" t="str">
        <f t="shared" si="4"/>
        <v>June</v>
      </c>
    </row>
    <row r="54" spans="1:17" x14ac:dyDescent="0.4">
      <c r="A54" t="s">
        <v>158</v>
      </c>
      <c r="B54" s="1">
        <v>45405</v>
      </c>
      <c r="C54" t="s">
        <v>159</v>
      </c>
      <c r="D54" t="s">
        <v>46</v>
      </c>
      <c r="E54" t="s">
        <v>160</v>
      </c>
      <c r="F54" t="s">
        <v>23</v>
      </c>
      <c r="G54">
        <v>5</v>
      </c>
      <c r="H54">
        <v>1793.2</v>
      </c>
      <c r="I54">
        <v>30</v>
      </c>
      <c r="J54">
        <v>743.11</v>
      </c>
      <c r="K54" t="s">
        <v>17</v>
      </c>
      <c r="L54" t="s">
        <v>18</v>
      </c>
      <c r="M54">
        <f t="shared" si="0"/>
        <v>6276.2</v>
      </c>
      <c r="N54">
        <f t="shared" si="1"/>
        <v>2560.6499999999996</v>
      </c>
      <c r="O54" t="str">
        <f t="shared" si="2"/>
        <v>Tuesday</v>
      </c>
      <c r="P54" t="b">
        <f t="shared" si="3"/>
        <v>0</v>
      </c>
      <c r="Q54" t="str">
        <f t="shared" si="4"/>
        <v>April</v>
      </c>
    </row>
    <row r="55" spans="1:17" x14ac:dyDescent="0.4">
      <c r="A55" t="s">
        <v>161</v>
      </c>
      <c r="B55" s="1">
        <v>45388</v>
      </c>
      <c r="C55" t="s">
        <v>54</v>
      </c>
      <c r="D55" t="s">
        <v>46</v>
      </c>
      <c r="E55" t="s">
        <v>162</v>
      </c>
      <c r="F55" t="s">
        <v>28</v>
      </c>
      <c r="G55">
        <v>3</v>
      </c>
      <c r="H55">
        <v>2613.54</v>
      </c>
      <c r="I55">
        <v>25</v>
      </c>
      <c r="J55">
        <v>1485.05</v>
      </c>
      <c r="K55" t="s">
        <v>17</v>
      </c>
      <c r="L55" t="s">
        <v>18</v>
      </c>
      <c r="M55">
        <f t="shared" si="0"/>
        <v>5880.4650000000001</v>
      </c>
      <c r="N55">
        <f t="shared" si="1"/>
        <v>1425.3150000000005</v>
      </c>
      <c r="O55" t="str">
        <f t="shared" si="2"/>
        <v>Saturday</v>
      </c>
      <c r="P55" t="b">
        <f t="shared" si="3"/>
        <v>1</v>
      </c>
      <c r="Q55" t="str">
        <f t="shared" si="4"/>
        <v>April</v>
      </c>
    </row>
    <row r="56" spans="1:17" x14ac:dyDescent="0.4">
      <c r="A56" t="s">
        <v>163</v>
      </c>
      <c r="B56" s="1">
        <v>45931</v>
      </c>
      <c r="C56" t="s">
        <v>144</v>
      </c>
      <c r="D56" t="s">
        <v>21</v>
      </c>
      <c r="E56" t="s">
        <v>164</v>
      </c>
      <c r="F56" t="s">
        <v>16</v>
      </c>
      <c r="G56">
        <v>2</v>
      </c>
      <c r="H56">
        <v>491.52</v>
      </c>
      <c r="I56">
        <v>5</v>
      </c>
      <c r="J56">
        <v>218.83</v>
      </c>
      <c r="K56" t="s">
        <v>17</v>
      </c>
      <c r="L56" t="s">
        <v>37</v>
      </c>
      <c r="M56">
        <f t="shared" si="0"/>
        <v>933.88799999999992</v>
      </c>
      <c r="N56">
        <f t="shared" si="1"/>
        <v>496.22799999999989</v>
      </c>
      <c r="O56" t="str">
        <f t="shared" si="2"/>
        <v>Wednesday</v>
      </c>
      <c r="P56" t="b">
        <f t="shared" si="3"/>
        <v>0</v>
      </c>
      <c r="Q56" t="str">
        <f t="shared" si="4"/>
        <v>October</v>
      </c>
    </row>
    <row r="57" spans="1:17" x14ac:dyDescent="0.4">
      <c r="A57" t="s">
        <v>165</v>
      </c>
      <c r="B57" s="1">
        <v>45459</v>
      </c>
      <c r="C57" t="s">
        <v>59</v>
      </c>
      <c r="D57" t="s">
        <v>14</v>
      </c>
      <c r="E57" t="s">
        <v>15</v>
      </c>
      <c r="F57" t="s">
        <v>23</v>
      </c>
      <c r="G57">
        <v>5</v>
      </c>
      <c r="H57">
        <v>2863.81</v>
      </c>
      <c r="I57">
        <v>25</v>
      </c>
      <c r="J57">
        <v>1193.6099999999999</v>
      </c>
      <c r="K57" t="s">
        <v>24</v>
      </c>
      <c r="L57" t="s">
        <v>37</v>
      </c>
      <c r="M57">
        <f t="shared" si="0"/>
        <v>10739.287499999999</v>
      </c>
      <c r="N57">
        <f t="shared" si="1"/>
        <v>4771.2374999999993</v>
      </c>
      <c r="O57" t="str">
        <f t="shared" si="2"/>
        <v>Sunday</v>
      </c>
      <c r="P57" t="b">
        <f t="shared" si="3"/>
        <v>1</v>
      </c>
      <c r="Q57" t="str">
        <f t="shared" si="4"/>
        <v>June</v>
      </c>
    </row>
    <row r="58" spans="1:17" x14ac:dyDescent="0.4">
      <c r="A58" t="s">
        <v>166</v>
      </c>
      <c r="B58" s="1">
        <v>45540</v>
      </c>
      <c r="C58" t="s">
        <v>92</v>
      </c>
      <c r="D58" t="s">
        <v>14</v>
      </c>
      <c r="E58" t="s">
        <v>167</v>
      </c>
      <c r="F58" t="s">
        <v>16</v>
      </c>
      <c r="G58">
        <v>1</v>
      </c>
      <c r="H58">
        <v>1969.19</v>
      </c>
      <c r="I58">
        <v>15</v>
      </c>
      <c r="J58">
        <v>1353.17</v>
      </c>
      <c r="K58" t="s">
        <v>17</v>
      </c>
      <c r="L58" t="s">
        <v>37</v>
      </c>
      <c r="M58">
        <f t="shared" si="0"/>
        <v>1673.8115</v>
      </c>
      <c r="N58">
        <f t="shared" si="1"/>
        <v>320.64149999999995</v>
      </c>
      <c r="O58" t="str">
        <f t="shared" si="2"/>
        <v>Thursday</v>
      </c>
      <c r="P58" t="b">
        <f t="shared" si="3"/>
        <v>0</v>
      </c>
      <c r="Q58" t="str">
        <f t="shared" si="4"/>
        <v>September</v>
      </c>
    </row>
    <row r="59" spans="1:17" x14ac:dyDescent="0.4">
      <c r="A59" t="s">
        <v>168</v>
      </c>
      <c r="B59" s="1">
        <v>45484</v>
      </c>
      <c r="C59" t="s">
        <v>122</v>
      </c>
      <c r="D59" t="s">
        <v>46</v>
      </c>
      <c r="E59" t="s">
        <v>169</v>
      </c>
      <c r="F59" t="s">
        <v>23</v>
      </c>
      <c r="G59">
        <v>3</v>
      </c>
      <c r="H59">
        <v>1462.51</v>
      </c>
      <c r="I59">
        <v>25</v>
      </c>
      <c r="J59">
        <v>712.12</v>
      </c>
      <c r="K59" t="s">
        <v>24</v>
      </c>
      <c r="L59" t="s">
        <v>37</v>
      </c>
      <c r="M59">
        <f t="shared" si="0"/>
        <v>3290.6475</v>
      </c>
      <c r="N59">
        <f t="shared" si="1"/>
        <v>1154.2874999999999</v>
      </c>
      <c r="O59" t="str">
        <f t="shared" si="2"/>
        <v>Thursday</v>
      </c>
      <c r="P59" t="b">
        <f t="shared" si="3"/>
        <v>0</v>
      </c>
      <c r="Q59" t="str">
        <f t="shared" si="4"/>
        <v>July</v>
      </c>
    </row>
    <row r="60" spans="1:17" x14ac:dyDescent="0.4">
      <c r="A60" t="s">
        <v>170</v>
      </c>
      <c r="B60" s="1">
        <v>45608</v>
      </c>
      <c r="C60" t="s">
        <v>171</v>
      </c>
      <c r="D60" t="s">
        <v>21</v>
      </c>
      <c r="E60" t="s">
        <v>172</v>
      </c>
      <c r="F60" t="s">
        <v>16</v>
      </c>
      <c r="G60">
        <v>4</v>
      </c>
      <c r="H60">
        <v>2177.25</v>
      </c>
      <c r="I60">
        <v>30</v>
      </c>
      <c r="J60">
        <v>884.94</v>
      </c>
      <c r="K60" t="s">
        <v>17</v>
      </c>
      <c r="L60" t="s">
        <v>18</v>
      </c>
      <c r="M60">
        <f t="shared" si="0"/>
        <v>6096.2999999999993</v>
      </c>
      <c r="N60">
        <f t="shared" si="1"/>
        <v>2556.5399999999991</v>
      </c>
      <c r="O60" t="str">
        <f t="shared" si="2"/>
        <v>Tuesday</v>
      </c>
      <c r="P60" t="b">
        <f t="shared" si="3"/>
        <v>0</v>
      </c>
      <c r="Q60" t="str">
        <f t="shared" si="4"/>
        <v>November</v>
      </c>
    </row>
    <row r="61" spans="1:17" x14ac:dyDescent="0.4">
      <c r="A61" t="s">
        <v>173</v>
      </c>
      <c r="B61" s="1">
        <v>45505</v>
      </c>
      <c r="C61" t="s">
        <v>174</v>
      </c>
      <c r="D61" t="s">
        <v>14</v>
      </c>
      <c r="E61" t="s">
        <v>175</v>
      </c>
      <c r="F61" t="s">
        <v>23</v>
      </c>
      <c r="G61">
        <v>3</v>
      </c>
      <c r="H61">
        <v>482.46</v>
      </c>
      <c r="I61">
        <v>20</v>
      </c>
      <c r="J61">
        <v>266.37</v>
      </c>
      <c r="K61" t="s">
        <v>17</v>
      </c>
      <c r="L61" t="s">
        <v>37</v>
      </c>
      <c r="M61">
        <f t="shared" si="0"/>
        <v>1157.904</v>
      </c>
      <c r="N61">
        <f t="shared" si="1"/>
        <v>358.79399999999998</v>
      </c>
      <c r="O61" t="str">
        <f t="shared" si="2"/>
        <v>Thursday</v>
      </c>
      <c r="P61" t="b">
        <f t="shared" si="3"/>
        <v>0</v>
      </c>
      <c r="Q61" t="str">
        <f t="shared" si="4"/>
        <v>August</v>
      </c>
    </row>
    <row r="62" spans="1:17" x14ac:dyDescent="0.4">
      <c r="A62" t="s">
        <v>176</v>
      </c>
      <c r="B62" s="1">
        <v>45409</v>
      </c>
      <c r="C62" t="s">
        <v>71</v>
      </c>
      <c r="D62" t="s">
        <v>21</v>
      </c>
      <c r="E62" t="s">
        <v>177</v>
      </c>
      <c r="F62" t="s">
        <v>16</v>
      </c>
      <c r="G62">
        <v>3</v>
      </c>
      <c r="H62">
        <v>1251.3</v>
      </c>
      <c r="I62">
        <v>30</v>
      </c>
      <c r="J62">
        <v>704.24</v>
      </c>
      <c r="K62" t="s">
        <v>24</v>
      </c>
      <c r="L62" t="s">
        <v>37</v>
      </c>
      <c r="M62">
        <f t="shared" si="0"/>
        <v>2627.7299999999996</v>
      </c>
      <c r="N62">
        <f t="shared" si="1"/>
        <v>515.00999999999931</v>
      </c>
      <c r="O62" t="str">
        <f t="shared" si="2"/>
        <v>Saturday</v>
      </c>
      <c r="P62" t="b">
        <f t="shared" si="3"/>
        <v>1</v>
      </c>
      <c r="Q62" t="str">
        <f t="shared" si="4"/>
        <v>April</v>
      </c>
    </row>
    <row r="63" spans="1:17" x14ac:dyDescent="0.4">
      <c r="A63" t="s">
        <v>178</v>
      </c>
      <c r="B63" s="1">
        <v>45702</v>
      </c>
      <c r="C63" t="s">
        <v>179</v>
      </c>
      <c r="D63" t="s">
        <v>31</v>
      </c>
      <c r="E63" t="s">
        <v>180</v>
      </c>
      <c r="F63" t="s">
        <v>16</v>
      </c>
      <c r="G63">
        <v>3</v>
      </c>
      <c r="H63">
        <v>1099.93</v>
      </c>
      <c r="I63">
        <v>20</v>
      </c>
      <c r="J63">
        <v>625.34</v>
      </c>
      <c r="K63" t="s">
        <v>17</v>
      </c>
      <c r="L63" t="s">
        <v>33</v>
      </c>
      <c r="M63">
        <f t="shared" si="0"/>
        <v>2639.8320000000003</v>
      </c>
      <c r="N63">
        <f t="shared" si="1"/>
        <v>763.81200000000035</v>
      </c>
      <c r="O63" t="str">
        <f t="shared" si="2"/>
        <v>Friday</v>
      </c>
      <c r="P63" t="b">
        <f t="shared" si="3"/>
        <v>0</v>
      </c>
      <c r="Q63" t="str">
        <f t="shared" si="4"/>
        <v>February</v>
      </c>
    </row>
    <row r="64" spans="1:17" x14ac:dyDescent="0.4">
      <c r="A64" t="s">
        <v>181</v>
      </c>
      <c r="B64" s="1">
        <v>45406</v>
      </c>
      <c r="C64" t="s">
        <v>182</v>
      </c>
      <c r="D64" t="s">
        <v>31</v>
      </c>
      <c r="E64" t="s">
        <v>183</v>
      </c>
      <c r="F64" t="s">
        <v>16</v>
      </c>
      <c r="G64">
        <v>3</v>
      </c>
      <c r="H64">
        <v>626.9</v>
      </c>
      <c r="I64">
        <v>0</v>
      </c>
      <c r="J64">
        <v>398.37</v>
      </c>
      <c r="K64" t="s">
        <v>24</v>
      </c>
      <c r="L64" t="s">
        <v>37</v>
      </c>
      <c r="M64">
        <f t="shared" si="0"/>
        <v>1880.6999999999998</v>
      </c>
      <c r="N64">
        <f t="shared" si="1"/>
        <v>685.58999999999969</v>
      </c>
      <c r="O64" t="str">
        <f t="shared" si="2"/>
        <v>Wednesday</v>
      </c>
      <c r="P64" t="b">
        <f t="shared" si="3"/>
        <v>0</v>
      </c>
      <c r="Q64" t="str">
        <f t="shared" si="4"/>
        <v>April</v>
      </c>
    </row>
    <row r="65" spans="1:17" x14ac:dyDescent="0.4">
      <c r="A65" t="s">
        <v>184</v>
      </c>
      <c r="B65" s="1">
        <v>45810</v>
      </c>
      <c r="C65" t="s">
        <v>185</v>
      </c>
      <c r="D65" t="s">
        <v>21</v>
      </c>
      <c r="E65" t="s">
        <v>186</v>
      </c>
      <c r="F65" t="s">
        <v>23</v>
      </c>
      <c r="G65">
        <v>3</v>
      </c>
      <c r="H65">
        <v>1479.58</v>
      </c>
      <c r="I65">
        <v>25</v>
      </c>
      <c r="J65">
        <v>700.58</v>
      </c>
      <c r="K65" t="s">
        <v>24</v>
      </c>
      <c r="L65" t="s">
        <v>18</v>
      </c>
      <c r="M65">
        <f t="shared" si="0"/>
        <v>3329.0549999999998</v>
      </c>
      <c r="N65">
        <f t="shared" si="1"/>
        <v>1227.3149999999996</v>
      </c>
      <c r="O65" t="str">
        <f t="shared" si="2"/>
        <v>Monday</v>
      </c>
      <c r="P65" t="b">
        <f t="shared" si="3"/>
        <v>0</v>
      </c>
      <c r="Q65" t="str">
        <f t="shared" si="4"/>
        <v>June</v>
      </c>
    </row>
    <row r="66" spans="1:17" x14ac:dyDescent="0.4">
      <c r="A66" t="s">
        <v>187</v>
      </c>
      <c r="B66" s="1">
        <v>45762</v>
      </c>
      <c r="C66" t="s">
        <v>128</v>
      </c>
      <c r="D66" t="s">
        <v>46</v>
      </c>
      <c r="E66" t="s">
        <v>188</v>
      </c>
      <c r="F66" t="s">
        <v>23</v>
      </c>
      <c r="G66">
        <v>2</v>
      </c>
      <c r="H66">
        <v>776.93</v>
      </c>
      <c r="I66">
        <v>15</v>
      </c>
      <c r="J66">
        <v>382.95</v>
      </c>
      <c r="K66" t="s">
        <v>17</v>
      </c>
      <c r="L66" t="s">
        <v>37</v>
      </c>
      <c r="M66">
        <f t="shared" si="0"/>
        <v>1320.7809999999999</v>
      </c>
      <c r="N66">
        <f t="shared" si="1"/>
        <v>554.88099999999997</v>
      </c>
      <c r="O66" t="str">
        <f t="shared" si="2"/>
        <v>Tuesday</v>
      </c>
      <c r="P66" t="b">
        <f t="shared" si="3"/>
        <v>0</v>
      </c>
      <c r="Q66" t="str">
        <f t="shared" si="4"/>
        <v>April</v>
      </c>
    </row>
    <row r="67" spans="1:17" x14ac:dyDescent="0.4">
      <c r="A67" t="s">
        <v>189</v>
      </c>
      <c r="B67" s="1">
        <v>45910</v>
      </c>
      <c r="C67" t="s">
        <v>190</v>
      </c>
      <c r="D67" t="s">
        <v>46</v>
      </c>
      <c r="E67" t="s">
        <v>191</v>
      </c>
      <c r="F67" t="s">
        <v>16</v>
      </c>
      <c r="G67">
        <v>2</v>
      </c>
      <c r="H67">
        <v>950.36</v>
      </c>
      <c r="I67">
        <v>20</v>
      </c>
      <c r="J67">
        <v>430.38</v>
      </c>
      <c r="K67" t="s">
        <v>17</v>
      </c>
      <c r="L67" t="s">
        <v>37</v>
      </c>
      <c r="M67">
        <f t="shared" ref="M67:M130" si="5">G67 * H67 * (1 - I67/100)</f>
        <v>1520.576</v>
      </c>
      <c r="N67">
        <f t="shared" ref="N67:N130" si="6">M67 - (J67 * G67)</f>
        <v>659.81600000000003</v>
      </c>
      <c r="O67" t="str">
        <f t="shared" ref="O67:O130" si="7">TEXT(B67,"dddd")</f>
        <v>Wednesday</v>
      </c>
      <c r="P67" t="b">
        <f t="shared" ref="P67:P130" si="8">OR(TEXT(B67,"ddd")="Sat", TEXT(B67,"ddd")="Sun")</f>
        <v>0</v>
      </c>
      <c r="Q67" t="str">
        <f t="shared" ref="Q67:Q130" si="9">TEXT(B67,"mmmm")</f>
        <v>September</v>
      </c>
    </row>
    <row r="68" spans="1:17" x14ac:dyDescent="0.4">
      <c r="A68" t="s">
        <v>192</v>
      </c>
      <c r="B68" s="1">
        <v>45673</v>
      </c>
      <c r="C68" t="s">
        <v>193</v>
      </c>
      <c r="D68" t="s">
        <v>14</v>
      </c>
      <c r="E68" t="s">
        <v>194</v>
      </c>
      <c r="F68" t="s">
        <v>28</v>
      </c>
      <c r="G68">
        <v>2</v>
      </c>
      <c r="H68">
        <v>2210.2399999999998</v>
      </c>
      <c r="I68">
        <v>5</v>
      </c>
      <c r="J68">
        <v>1196.27</v>
      </c>
      <c r="K68" t="s">
        <v>24</v>
      </c>
      <c r="L68" t="s">
        <v>18</v>
      </c>
      <c r="M68">
        <f t="shared" si="5"/>
        <v>4199.4559999999992</v>
      </c>
      <c r="N68">
        <f t="shared" si="6"/>
        <v>1806.9159999999993</v>
      </c>
      <c r="O68" t="str">
        <f t="shared" si="7"/>
        <v>Thursday</v>
      </c>
      <c r="P68" t="b">
        <f t="shared" si="8"/>
        <v>0</v>
      </c>
      <c r="Q68" t="str">
        <f t="shared" si="9"/>
        <v>January</v>
      </c>
    </row>
    <row r="69" spans="1:17" x14ac:dyDescent="0.4">
      <c r="A69" t="s">
        <v>195</v>
      </c>
      <c r="B69" s="1">
        <v>45783</v>
      </c>
      <c r="C69" t="s">
        <v>42</v>
      </c>
      <c r="D69" t="s">
        <v>46</v>
      </c>
      <c r="E69" t="s">
        <v>196</v>
      </c>
      <c r="F69" t="s">
        <v>23</v>
      </c>
      <c r="G69">
        <v>1</v>
      </c>
      <c r="H69">
        <v>848.32</v>
      </c>
      <c r="I69">
        <v>20</v>
      </c>
      <c r="J69">
        <v>566.14</v>
      </c>
      <c r="K69" t="s">
        <v>17</v>
      </c>
      <c r="L69" t="s">
        <v>33</v>
      </c>
      <c r="M69">
        <f t="shared" si="5"/>
        <v>678.65600000000006</v>
      </c>
      <c r="N69">
        <f t="shared" si="6"/>
        <v>112.51600000000008</v>
      </c>
      <c r="O69" t="str">
        <f t="shared" si="7"/>
        <v>Tuesday</v>
      </c>
      <c r="P69" t="b">
        <f t="shared" si="8"/>
        <v>0</v>
      </c>
      <c r="Q69" t="str">
        <f t="shared" si="9"/>
        <v>May</v>
      </c>
    </row>
    <row r="70" spans="1:17" x14ac:dyDescent="0.4">
      <c r="A70" t="s">
        <v>197</v>
      </c>
      <c r="B70" s="1">
        <v>45745</v>
      </c>
      <c r="C70" t="s">
        <v>86</v>
      </c>
      <c r="D70" t="s">
        <v>21</v>
      </c>
      <c r="E70" t="s">
        <v>198</v>
      </c>
      <c r="F70" t="s">
        <v>16</v>
      </c>
      <c r="G70">
        <v>4</v>
      </c>
      <c r="H70">
        <v>1047.29</v>
      </c>
      <c r="I70">
        <v>20</v>
      </c>
      <c r="J70">
        <v>535.01</v>
      </c>
      <c r="K70" t="s">
        <v>24</v>
      </c>
      <c r="L70" t="s">
        <v>37</v>
      </c>
      <c r="M70">
        <f t="shared" si="5"/>
        <v>3351.328</v>
      </c>
      <c r="N70">
        <f t="shared" si="6"/>
        <v>1211.288</v>
      </c>
      <c r="O70" t="str">
        <f t="shared" si="7"/>
        <v>Saturday</v>
      </c>
      <c r="P70" t="b">
        <f t="shared" si="8"/>
        <v>1</v>
      </c>
      <c r="Q70" t="str">
        <f t="shared" si="9"/>
        <v>March</v>
      </c>
    </row>
    <row r="71" spans="1:17" x14ac:dyDescent="0.4">
      <c r="A71" t="s">
        <v>199</v>
      </c>
      <c r="B71" s="1">
        <v>45846</v>
      </c>
      <c r="C71" t="s">
        <v>26</v>
      </c>
      <c r="D71" t="s">
        <v>14</v>
      </c>
      <c r="E71" t="s">
        <v>200</v>
      </c>
      <c r="F71" t="s">
        <v>23</v>
      </c>
      <c r="G71">
        <v>1</v>
      </c>
      <c r="H71">
        <v>2876.49</v>
      </c>
      <c r="I71">
        <v>5</v>
      </c>
      <c r="J71">
        <v>1387.84</v>
      </c>
      <c r="K71" t="s">
        <v>24</v>
      </c>
      <c r="L71" t="s">
        <v>37</v>
      </c>
      <c r="M71">
        <f t="shared" si="5"/>
        <v>2732.6654999999996</v>
      </c>
      <c r="N71">
        <f t="shared" si="6"/>
        <v>1344.8254999999997</v>
      </c>
      <c r="O71" t="str">
        <f t="shared" si="7"/>
        <v>Tuesday</v>
      </c>
      <c r="P71" t="b">
        <f t="shared" si="8"/>
        <v>0</v>
      </c>
      <c r="Q71" t="str">
        <f t="shared" si="9"/>
        <v>July</v>
      </c>
    </row>
    <row r="72" spans="1:17" x14ac:dyDescent="0.4">
      <c r="A72" t="s">
        <v>201</v>
      </c>
      <c r="B72" s="1">
        <v>45442</v>
      </c>
      <c r="C72" t="s">
        <v>128</v>
      </c>
      <c r="D72" t="s">
        <v>21</v>
      </c>
      <c r="E72" t="s">
        <v>202</v>
      </c>
      <c r="F72" t="s">
        <v>16</v>
      </c>
      <c r="G72">
        <v>5</v>
      </c>
      <c r="H72">
        <v>2424.1</v>
      </c>
      <c r="I72">
        <v>0</v>
      </c>
      <c r="J72">
        <v>1277.3800000000001</v>
      </c>
      <c r="K72" t="s">
        <v>17</v>
      </c>
      <c r="L72" t="s">
        <v>33</v>
      </c>
      <c r="M72">
        <f t="shared" si="5"/>
        <v>12120.5</v>
      </c>
      <c r="N72">
        <f t="shared" si="6"/>
        <v>5733.5999999999995</v>
      </c>
      <c r="O72" t="str">
        <f t="shared" si="7"/>
        <v>Thursday</v>
      </c>
      <c r="P72" t="b">
        <f t="shared" si="8"/>
        <v>0</v>
      </c>
      <c r="Q72" t="str">
        <f t="shared" si="9"/>
        <v>May</v>
      </c>
    </row>
    <row r="73" spans="1:17" x14ac:dyDescent="0.4">
      <c r="A73" t="s">
        <v>203</v>
      </c>
      <c r="B73" s="1">
        <v>45721</v>
      </c>
      <c r="C73" t="s">
        <v>95</v>
      </c>
      <c r="D73" t="s">
        <v>31</v>
      </c>
      <c r="E73" t="s">
        <v>43</v>
      </c>
      <c r="F73" t="s">
        <v>28</v>
      </c>
      <c r="G73">
        <v>4</v>
      </c>
      <c r="H73">
        <v>1781.86</v>
      </c>
      <c r="I73">
        <v>0</v>
      </c>
      <c r="J73">
        <v>960.74</v>
      </c>
      <c r="K73" t="s">
        <v>17</v>
      </c>
      <c r="L73" t="s">
        <v>33</v>
      </c>
      <c r="M73">
        <f t="shared" si="5"/>
        <v>7127.44</v>
      </c>
      <c r="N73">
        <f t="shared" si="6"/>
        <v>3284.4799999999996</v>
      </c>
      <c r="O73" t="str">
        <f t="shared" si="7"/>
        <v>Wednesday</v>
      </c>
      <c r="P73" t="b">
        <f t="shared" si="8"/>
        <v>0</v>
      </c>
      <c r="Q73" t="str">
        <f t="shared" si="9"/>
        <v>March</v>
      </c>
    </row>
    <row r="74" spans="1:17" x14ac:dyDescent="0.4">
      <c r="A74" t="s">
        <v>204</v>
      </c>
      <c r="B74" s="1">
        <v>45413</v>
      </c>
      <c r="C74" t="s">
        <v>205</v>
      </c>
      <c r="D74" t="s">
        <v>31</v>
      </c>
      <c r="E74" t="s">
        <v>206</v>
      </c>
      <c r="F74" t="s">
        <v>28</v>
      </c>
      <c r="G74">
        <v>3</v>
      </c>
      <c r="H74">
        <v>408.8</v>
      </c>
      <c r="I74">
        <v>20</v>
      </c>
      <c r="J74">
        <v>225.99</v>
      </c>
      <c r="K74" t="s">
        <v>24</v>
      </c>
      <c r="L74" t="s">
        <v>18</v>
      </c>
      <c r="M74">
        <f t="shared" si="5"/>
        <v>981.12000000000012</v>
      </c>
      <c r="N74">
        <f t="shared" si="6"/>
        <v>303.15000000000009</v>
      </c>
      <c r="O74" t="str">
        <f t="shared" si="7"/>
        <v>Wednesday</v>
      </c>
      <c r="P74" t="b">
        <f t="shared" si="8"/>
        <v>0</v>
      </c>
      <c r="Q74" t="str">
        <f t="shared" si="9"/>
        <v>May</v>
      </c>
    </row>
    <row r="75" spans="1:17" x14ac:dyDescent="0.4">
      <c r="A75" t="s">
        <v>207</v>
      </c>
      <c r="B75" s="1">
        <v>45588</v>
      </c>
      <c r="C75" t="s">
        <v>193</v>
      </c>
      <c r="D75" t="s">
        <v>31</v>
      </c>
      <c r="E75" t="s">
        <v>208</v>
      </c>
      <c r="F75" t="s">
        <v>16</v>
      </c>
      <c r="G75">
        <v>2</v>
      </c>
      <c r="H75">
        <v>2567.9</v>
      </c>
      <c r="I75">
        <v>5</v>
      </c>
      <c r="J75">
        <v>1075.68</v>
      </c>
      <c r="K75" t="s">
        <v>24</v>
      </c>
      <c r="L75" t="s">
        <v>33</v>
      </c>
      <c r="M75">
        <f t="shared" si="5"/>
        <v>4879.01</v>
      </c>
      <c r="N75">
        <f t="shared" si="6"/>
        <v>2727.65</v>
      </c>
      <c r="O75" t="str">
        <f t="shared" si="7"/>
        <v>Wednesday</v>
      </c>
      <c r="P75" t="b">
        <f t="shared" si="8"/>
        <v>0</v>
      </c>
      <c r="Q75" t="str">
        <f t="shared" si="9"/>
        <v>October</v>
      </c>
    </row>
    <row r="76" spans="1:17" x14ac:dyDescent="0.4">
      <c r="A76" t="s">
        <v>209</v>
      </c>
      <c r="B76" s="1">
        <v>45509</v>
      </c>
      <c r="C76" t="s">
        <v>205</v>
      </c>
      <c r="D76" t="s">
        <v>14</v>
      </c>
      <c r="E76" t="s">
        <v>210</v>
      </c>
      <c r="F76" t="s">
        <v>28</v>
      </c>
      <c r="G76">
        <v>2</v>
      </c>
      <c r="H76">
        <v>968.87</v>
      </c>
      <c r="I76">
        <v>25</v>
      </c>
      <c r="J76">
        <v>498.58</v>
      </c>
      <c r="K76" t="s">
        <v>24</v>
      </c>
      <c r="L76" t="s">
        <v>18</v>
      </c>
      <c r="M76">
        <f t="shared" si="5"/>
        <v>1453.3050000000001</v>
      </c>
      <c r="N76">
        <f t="shared" si="6"/>
        <v>456.1450000000001</v>
      </c>
      <c r="O76" t="str">
        <f t="shared" si="7"/>
        <v>Monday</v>
      </c>
      <c r="P76" t="b">
        <f t="shared" si="8"/>
        <v>0</v>
      </c>
      <c r="Q76" t="str">
        <f t="shared" si="9"/>
        <v>August</v>
      </c>
    </row>
    <row r="77" spans="1:17" x14ac:dyDescent="0.4">
      <c r="A77" t="s">
        <v>211</v>
      </c>
      <c r="B77" s="1">
        <v>45679</v>
      </c>
      <c r="C77" t="s">
        <v>193</v>
      </c>
      <c r="D77" t="s">
        <v>14</v>
      </c>
      <c r="E77" t="s">
        <v>212</v>
      </c>
      <c r="F77" t="s">
        <v>28</v>
      </c>
      <c r="G77">
        <v>1</v>
      </c>
      <c r="H77">
        <v>1566.14</v>
      </c>
      <c r="I77">
        <v>20</v>
      </c>
      <c r="J77">
        <v>1090.77</v>
      </c>
      <c r="K77" t="s">
        <v>17</v>
      </c>
      <c r="L77" t="s">
        <v>37</v>
      </c>
      <c r="M77">
        <f t="shared" si="5"/>
        <v>1252.9120000000003</v>
      </c>
      <c r="N77">
        <f t="shared" si="6"/>
        <v>162.14200000000028</v>
      </c>
      <c r="O77" t="str">
        <f t="shared" si="7"/>
        <v>Wednesday</v>
      </c>
      <c r="P77" t="b">
        <f t="shared" si="8"/>
        <v>0</v>
      </c>
      <c r="Q77" t="str">
        <f t="shared" si="9"/>
        <v>January</v>
      </c>
    </row>
    <row r="78" spans="1:17" x14ac:dyDescent="0.4">
      <c r="A78" t="s">
        <v>213</v>
      </c>
      <c r="B78" s="1">
        <v>45940</v>
      </c>
      <c r="C78" t="s">
        <v>149</v>
      </c>
      <c r="D78" t="s">
        <v>31</v>
      </c>
      <c r="E78" t="s">
        <v>214</v>
      </c>
      <c r="F78" t="s">
        <v>23</v>
      </c>
      <c r="G78">
        <v>1</v>
      </c>
      <c r="H78">
        <v>557.03</v>
      </c>
      <c r="I78">
        <v>15</v>
      </c>
      <c r="J78">
        <v>323.89999999999998</v>
      </c>
      <c r="K78" t="s">
        <v>24</v>
      </c>
      <c r="L78" t="s">
        <v>33</v>
      </c>
      <c r="M78">
        <f t="shared" si="5"/>
        <v>473.47549999999995</v>
      </c>
      <c r="N78">
        <f t="shared" si="6"/>
        <v>149.57549999999998</v>
      </c>
      <c r="O78" t="str">
        <f t="shared" si="7"/>
        <v>Friday</v>
      </c>
      <c r="P78" t="b">
        <f t="shared" si="8"/>
        <v>0</v>
      </c>
      <c r="Q78" t="str">
        <f t="shared" si="9"/>
        <v>October</v>
      </c>
    </row>
    <row r="79" spans="1:17" x14ac:dyDescent="0.4">
      <c r="A79" t="s">
        <v>215</v>
      </c>
      <c r="B79" s="1">
        <v>45410</v>
      </c>
      <c r="C79" t="s">
        <v>98</v>
      </c>
      <c r="D79" t="s">
        <v>46</v>
      </c>
      <c r="E79" t="s">
        <v>216</v>
      </c>
      <c r="F79" t="s">
        <v>16</v>
      </c>
      <c r="G79">
        <v>3</v>
      </c>
      <c r="H79">
        <v>1037.49</v>
      </c>
      <c r="I79">
        <v>10</v>
      </c>
      <c r="J79">
        <v>472.09</v>
      </c>
      <c r="K79" t="s">
        <v>17</v>
      </c>
      <c r="L79" t="s">
        <v>33</v>
      </c>
      <c r="M79">
        <f t="shared" si="5"/>
        <v>2801.2230000000004</v>
      </c>
      <c r="N79">
        <f t="shared" si="6"/>
        <v>1384.9530000000004</v>
      </c>
      <c r="O79" t="str">
        <f t="shared" si="7"/>
        <v>Sunday</v>
      </c>
      <c r="P79" t="b">
        <f t="shared" si="8"/>
        <v>1</v>
      </c>
      <c r="Q79" t="str">
        <f t="shared" si="9"/>
        <v>April</v>
      </c>
    </row>
    <row r="80" spans="1:17" x14ac:dyDescent="0.4">
      <c r="A80" t="s">
        <v>217</v>
      </c>
      <c r="B80" s="1">
        <v>45606</v>
      </c>
      <c r="C80" t="s">
        <v>125</v>
      </c>
      <c r="D80" t="s">
        <v>31</v>
      </c>
      <c r="E80" t="s">
        <v>218</v>
      </c>
      <c r="F80" t="s">
        <v>28</v>
      </c>
      <c r="G80">
        <v>5</v>
      </c>
      <c r="H80">
        <v>2665.38</v>
      </c>
      <c r="I80">
        <v>0</v>
      </c>
      <c r="J80">
        <v>1646.66</v>
      </c>
      <c r="K80" t="s">
        <v>24</v>
      </c>
      <c r="L80" t="s">
        <v>37</v>
      </c>
      <c r="M80">
        <f t="shared" si="5"/>
        <v>13326.900000000001</v>
      </c>
      <c r="N80">
        <f t="shared" si="6"/>
        <v>5093.6000000000004</v>
      </c>
      <c r="O80" t="str">
        <f t="shared" si="7"/>
        <v>Sunday</v>
      </c>
      <c r="P80" t="b">
        <f t="shared" si="8"/>
        <v>1</v>
      </c>
      <c r="Q80" t="str">
        <f t="shared" si="9"/>
        <v>November</v>
      </c>
    </row>
    <row r="81" spans="1:17" x14ac:dyDescent="0.4">
      <c r="A81" t="s">
        <v>219</v>
      </c>
      <c r="B81" s="1">
        <v>45961</v>
      </c>
      <c r="C81" t="s">
        <v>20</v>
      </c>
      <c r="D81" t="s">
        <v>46</v>
      </c>
      <c r="E81" t="s">
        <v>220</v>
      </c>
      <c r="F81" t="s">
        <v>28</v>
      </c>
      <c r="G81">
        <v>5</v>
      </c>
      <c r="H81">
        <v>801.47</v>
      </c>
      <c r="I81">
        <v>30</v>
      </c>
      <c r="J81">
        <v>515.75</v>
      </c>
      <c r="K81" t="s">
        <v>17</v>
      </c>
      <c r="L81" t="s">
        <v>37</v>
      </c>
      <c r="M81">
        <f t="shared" si="5"/>
        <v>2805.145</v>
      </c>
      <c r="N81">
        <f t="shared" si="6"/>
        <v>226.39499999999998</v>
      </c>
      <c r="O81" t="str">
        <f t="shared" si="7"/>
        <v>Friday</v>
      </c>
      <c r="P81" t="b">
        <f t="shared" si="8"/>
        <v>0</v>
      </c>
      <c r="Q81" t="str">
        <f t="shared" si="9"/>
        <v>October</v>
      </c>
    </row>
    <row r="82" spans="1:17" x14ac:dyDescent="0.4">
      <c r="A82" t="s">
        <v>221</v>
      </c>
      <c r="B82" s="1">
        <v>45714</v>
      </c>
      <c r="C82" t="s">
        <v>182</v>
      </c>
      <c r="D82" t="s">
        <v>14</v>
      </c>
      <c r="E82" t="s">
        <v>222</v>
      </c>
      <c r="F82" t="s">
        <v>23</v>
      </c>
      <c r="G82">
        <v>3</v>
      </c>
      <c r="H82">
        <v>1944.1</v>
      </c>
      <c r="I82">
        <v>10</v>
      </c>
      <c r="J82">
        <v>952.58</v>
      </c>
      <c r="K82" t="s">
        <v>24</v>
      </c>
      <c r="L82" t="s">
        <v>18</v>
      </c>
      <c r="M82">
        <f t="shared" si="5"/>
        <v>5249.07</v>
      </c>
      <c r="N82">
        <f t="shared" si="6"/>
        <v>2391.3299999999995</v>
      </c>
      <c r="O82" t="str">
        <f t="shared" si="7"/>
        <v>Wednesday</v>
      </c>
      <c r="P82" t="b">
        <f t="shared" si="8"/>
        <v>0</v>
      </c>
      <c r="Q82" t="str">
        <f t="shared" si="9"/>
        <v>February</v>
      </c>
    </row>
    <row r="83" spans="1:17" x14ac:dyDescent="0.4">
      <c r="A83" t="s">
        <v>223</v>
      </c>
      <c r="B83" s="1">
        <v>45527</v>
      </c>
      <c r="C83" t="s">
        <v>224</v>
      </c>
      <c r="D83" t="s">
        <v>46</v>
      </c>
      <c r="E83" t="s">
        <v>214</v>
      </c>
      <c r="F83" t="s">
        <v>23</v>
      </c>
      <c r="G83">
        <v>5</v>
      </c>
      <c r="H83">
        <v>2269.36</v>
      </c>
      <c r="I83">
        <v>15</v>
      </c>
      <c r="J83">
        <v>1533.21</v>
      </c>
      <c r="K83" t="s">
        <v>24</v>
      </c>
      <c r="L83" t="s">
        <v>33</v>
      </c>
      <c r="M83">
        <f t="shared" si="5"/>
        <v>9644.7800000000007</v>
      </c>
      <c r="N83">
        <f t="shared" si="6"/>
        <v>1978.7300000000005</v>
      </c>
      <c r="O83" t="str">
        <f t="shared" si="7"/>
        <v>Friday</v>
      </c>
      <c r="P83" t="b">
        <f t="shared" si="8"/>
        <v>0</v>
      </c>
      <c r="Q83" t="str">
        <f t="shared" si="9"/>
        <v>August</v>
      </c>
    </row>
    <row r="84" spans="1:17" x14ac:dyDescent="0.4">
      <c r="A84" t="s">
        <v>225</v>
      </c>
      <c r="B84" s="1">
        <v>45326</v>
      </c>
      <c r="C84" t="s">
        <v>226</v>
      </c>
      <c r="D84" t="s">
        <v>21</v>
      </c>
      <c r="E84" t="s">
        <v>227</v>
      </c>
      <c r="F84" t="s">
        <v>28</v>
      </c>
      <c r="G84">
        <v>4</v>
      </c>
      <c r="H84">
        <v>1541.29</v>
      </c>
      <c r="I84">
        <v>25</v>
      </c>
      <c r="J84">
        <v>625.97</v>
      </c>
      <c r="K84" t="s">
        <v>24</v>
      </c>
      <c r="L84" t="s">
        <v>37</v>
      </c>
      <c r="M84">
        <f t="shared" si="5"/>
        <v>4623.87</v>
      </c>
      <c r="N84">
        <f t="shared" si="6"/>
        <v>2119.9899999999998</v>
      </c>
      <c r="O84" t="str">
        <f t="shared" si="7"/>
        <v>Sunday</v>
      </c>
      <c r="P84" t="b">
        <f t="shared" si="8"/>
        <v>1</v>
      </c>
      <c r="Q84" t="str">
        <f t="shared" si="9"/>
        <v>February</v>
      </c>
    </row>
    <row r="85" spans="1:17" x14ac:dyDescent="0.4">
      <c r="A85" t="s">
        <v>228</v>
      </c>
      <c r="B85" s="1">
        <v>45488</v>
      </c>
      <c r="C85" t="s">
        <v>51</v>
      </c>
      <c r="D85" t="s">
        <v>14</v>
      </c>
      <c r="E85" t="s">
        <v>229</v>
      </c>
      <c r="F85" t="s">
        <v>28</v>
      </c>
      <c r="G85">
        <v>3</v>
      </c>
      <c r="H85">
        <v>2571.4299999999998</v>
      </c>
      <c r="I85">
        <v>5</v>
      </c>
      <c r="J85">
        <v>1349.83</v>
      </c>
      <c r="K85" t="s">
        <v>24</v>
      </c>
      <c r="L85" t="s">
        <v>18</v>
      </c>
      <c r="M85">
        <f t="shared" si="5"/>
        <v>7328.575499999999</v>
      </c>
      <c r="N85">
        <f t="shared" si="6"/>
        <v>3279.0854999999992</v>
      </c>
      <c r="O85" t="str">
        <f t="shared" si="7"/>
        <v>Monday</v>
      </c>
      <c r="P85" t="b">
        <f t="shared" si="8"/>
        <v>0</v>
      </c>
      <c r="Q85" t="str">
        <f t="shared" si="9"/>
        <v>July</v>
      </c>
    </row>
    <row r="86" spans="1:17" x14ac:dyDescent="0.4">
      <c r="A86" t="s">
        <v>230</v>
      </c>
      <c r="B86" s="1">
        <v>45699</v>
      </c>
      <c r="C86" t="s">
        <v>62</v>
      </c>
      <c r="D86" t="s">
        <v>31</v>
      </c>
      <c r="E86" t="s">
        <v>231</v>
      </c>
      <c r="F86" t="s">
        <v>28</v>
      </c>
      <c r="G86">
        <v>5</v>
      </c>
      <c r="H86">
        <v>357.76</v>
      </c>
      <c r="I86">
        <v>25</v>
      </c>
      <c r="J86">
        <v>214.79</v>
      </c>
      <c r="K86" t="s">
        <v>24</v>
      </c>
      <c r="L86" t="s">
        <v>37</v>
      </c>
      <c r="M86">
        <f t="shared" si="5"/>
        <v>1341.6</v>
      </c>
      <c r="N86">
        <f t="shared" si="6"/>
        <v>267.64999999999986</v>
      </c>
      <c r="O86" t="str">
        <f t="shared" si="7"/>
        <v>Tuesday</v>
      </c>
      <c r="P86" t="b">
        <f t="shared" si="8"/>
        <v>0</v>
      </c>
      <c r="Q86" t="str">
        <f t="shared" si="9"/>
        <v>February</v>
      </c>
    </row>
    <row r="87" spans="1:17" x14ac:dyDescent="0.4">
      <c r="A87" t="s">
        <v>232</v>
      </c>
      <c r="B87" s="1">
        <v>45352</v>
      </c>
      <c r="C87" t="s">
        <v>42</v>
      </c>
      <c r="D87" t="s">
        <v>14</v>
      </c>
      <c r="E87" t="s">
        <v>233</v>
      </c>
      <c r="F87" t="s">
        <v>23</v>
      </c>
      <c r="G87">
        <v>1</v>
      </c>
      <c r="H87">
        <v>2331.4499999999998</v>
      </c>
      <c r="I87">
        <v>30</v>
      </c>
      <c r="J87">
        <v>1159.3699999999999</v>
      </c>
      <c r="K87" t="s">
        <v>24</v>
      </c>
      <c r="L87" t="s">
        <v>37</v>
      </c>
      <c r="M87">
        <f t="shared" si="5"/>
        <v>1632.0149999999999</v>
      </c>
      <c r="N87">
        <f t="shared" si="6"/>
        <v>472.64499999999998</v>
      </c>
      <c r="O87" t="str">
        <f t="shared" si="7"/>
        <v>Friday</v>
      </c>
      <c r="P87" t="b">
        <f t="shared" si="8"/>
        <v>0</v>
      </c>
      <c r="Q87" t="str">
        <f t="shared" si="9"/>
        <v>March</v>
      </c>
    </row>
    <row r="88" spans="1:17" x14ac:dyDescent="0.4">
      <c r="A88" t="s">
        <v>234</v>
      </c>
      <c r="B88" s="1">
        <v>45664</v>
      </c>
      <c r="C88" t="s">
        <v>77</v>
      </c>
      <c r="D88" t="s">
        <v>46</v>
      </c>
      <c r="E88" t="s">
        <v>235</v>
      </c>
      <c r="F88" t="s">
        <v>23</v>
      </c>
      <c r="G88">
        <v>1</v>
      </c>
      <c r="H88">
        <v>563.24</v>
      </c>
      <c r="I88">
        <v>30</v>
      </c>
      <c r="J88">
        <v>338.46</v>
      </c>
      <c r="K88" t="s">
        <v>17</v>
      </c>
      <c r="L88" t="s">
        <v>37</v>
      </c>
      <c r="M88">
        <f t="shared" si="5"/>
        <v>394.26799999999997</v>
      </c>
      <c r="N88">
        <f t="shared" si="6"/>
        <v>55.807999999999993</v>
      </c>
      <c r="O88" t="str">
        <f t="shared" si="7"/>
        <v>Tuesday</v>
      </c>
      <c r="P88" t="b">
        <f t="shared" si="8"/>
        <v>0</v>
      </c>
      <c r="Q88" t="str">
        <f t="shared" si="9"/>
        <v>January</v>
      </c>
    </row>
    <row r="89" spans="1:17" x14ac:dyDescent="0.4">
      <c r="A89" t="s">
        <v>236</v>
      </c>
      <c r="B89" s="1">
        <v>45792</v>
      </c>
      <c r="C89" t="s">
        <v>152</v>
      </c>
      <c r="D89" t="s">
        <v>14</v>
      </c>
      <c r="E89" t="s">
        <v>155</v>
      </c>
      <c r="F89" t="s">
        <v>28</v>
      </c>
      <c r="G89">
        <v>2</v>
      </c>
      <c r="H89">
        <v>2097.27</v>
      </c>
      <c r="I89">
        <v>5</v>
      </c>
      <c r="J89">
        <v>1208.68</v>
      </c>
      <c r="K89" t="s">
        <v>24</v>
      </c>
      <c r="L89" t="s">
        <v>37</v>
      </c>
      <c r="M89">
        <f t="shared" si="5"/>
        <v>3984.8129999999996</v>
      </c>
      <c r="N89">
        <f t="shared" si="6"/>
        <v>1567.4529999999995</v>
      </c>
      <c r="O89" t="str">
        <f t="shared" si="7"/>
        <v>Thursday</v>
      </c>
      <c r="P89" t="b">
        <f t="shared" si="8"/>
        <v>0</v>
      </c>
      <c r="Q89" t="str">
        <f t="shared" si="9"/>
        <v>May</v>
      </c>
    </row>
    <row r="90" spans="1:17" x14ac:dyDescent="0.4">
      <c r="A90" t="s">
        <v>237</v>
      </c>
      <c r="B90" s="1">
        <v>45740</v>
      </c>
      <c r="C90" t="s">
        <v>95</v>
      </c>
      <c r="D90" t="s">
        <v>31</v>
      </c>
      <c r="E90" t="s">
        <v>238</v>
      </c>
      <c r="F90" t="s">
        <v>16</v>
      </c>
      <c r="G90">
        <v>1</v>
      </c>
      <c r="H90">
        <v>1179.8699999999999</v>
      </c>
      <c r="I90">
        <v>10</v>
      </c>
      <c r="J90">
        <v>790.38</v>
      </c>
      <c r="K90" t="s">
        <v>17</v>
      </c>
      <c r="L90" t="s">
        <v>33</v>
      </c>
      <c r="M90">
        <f t="shared" si="5"/>
        <v>1061.883</v>
      </c>
      <c r="N90">
        <f t="shared" si="6"/>
        <v>271.50300000000004</v>
      </c>
      <c r="O90" t="str">
        <f t="shared" si="7"/>
        <v>Monday</v>
      </c>
      <c r="P90" t="b">
        <f t="shared" si="8"/>
        <v>0</v>
      </c>
      <c r="Q90" t="str">
        <f t="shared" si="9"/>
        <v>March</v>
      </c>
    </row>
    <row r="91" spans="1:17" x14ac:dyDescent="0.4">
      <c r="A91" t="s">
        <v>239</v>
      </c>
      <c r="B91" s="1">
        <v>45613</v>
      </c>
      <c r="C91" t="s">
        <v>193</v>
      </c>
      <c r="D91" t="s">
        <v>21</v>
      </c>
      <c r="E91" t="s">
        <v>105</v>
      </c>
      <c r="F91" t="s">
        <v>23</v>
      </c>
      <c r="G91">
        <v>5</v>
      </c>
      <c r="H91">
        <v>326.57</v>
      </c>
      <c r="I91">
        <v>5</v>
      </c>
      <c r="J91">
        <v>190.76</v>
      </c>
      <c r="K91" t="s">
        <v>17</v>
      </c>
      <c r="L91" t="s">
        <v>18</v>
      </c>
      <c r="M91">
        <f t="shared" si="5"/>
        <v>1551.2074999999998</v>
      </c>
      <c r="N91">
        <f t="shared" si="6"/>
        <v>597.4074999999998</v>
      </c>
      <c r="O91" t="str">
        <f t="shared" si="7"/>
        <v>Sunday</v>
      </c>
      <c r="P91" t="b">
        <f t="shared" si="8"/>
        <v>1</v>
      </c>
      <c r="Q91" t="str">
        <f t="shared" si="9"/>
        <v>November</v>
      </c>
    </row>
    <row r="92" spans="1:17" x14ac:dyDescent="0.4">
      <c r="A92" t="s">
        <v>240</v>
      </c>
      <c r="B92" s="1">
        <v>45745</v>
      </c>
      <c r="C92" t="s">
        <v>241</v>
      </c>
      <c r="D92" t="s">
        <v>21</v>
      </c>
      <c r="E92" t="s">
        <v>210</v>
      </c>
      <c r="F92" t="s">
        <v>28</v>
      </c>
      <c r="G92">
        <v>4</v>
      </c>
      <c r="H92">
        <v>2127.39</v>
      </c>
      <c r="I92">
        <v>15</v>
      </c>
      <c r="J92">
        <v>1158.8699999999999</v>
      </c>
      <c r="K92" t="s">
        <v>17</v>
      </c>
      <c r="L92" t="s">
        <v>18</v>
      </c>
      <c r="M92">
        <f t="shared" si="5"/>
        <v>7233.1259999999993</v>
      </c>
      <c r="N92">
        <f t="shared" si="6"/>
        <v>2597.6459999999997</v>
      </c>
      <c r="O92" t="str">
        <f t="shared" si="7"/>
        <v>Saturday</v>
      </c>
      <c r="P92" t="b">
        <f t="shared" si="8"/>
        <v>1</v>
      </c>
      <c r="Q92" t="str">
        <f t="shared" si="9"/>
        <v>March</v>
      </c>
    </row>
    <row r="93" spans="1:17" x14ac:dyDescent="0.4">
      <c r="A93" t="s">
        <v>242</v>
      </c>
      <c r="B93" s="1">
        <v>45392</v>
      </c>
      <c r="C93" t="s">
        <v>92</v>
      </c>
      <c r="D93" t="s">
        <v>46</v>
      </c>
      <c r="E93" t="s">
        <v>243</v>
      </c>
      <c r="F93" t="s">
        <v>28</v>
      </c>
      <c r="G93">
        <v>5</v>
      </c>
      <c r="H93">
        <v>2133.9899999999998</v>
      </c>
      <c r="I93">
        <v>10</v>
      </c>
      <c r="J93">
        <v>1158.81</v>
      </c>
      <c r="K93" t="s">
        <v>24</v>
      </c>
      <c r="L93" t="s">
        <v>37</v>
      </c>
      <c r="M93">
        <f t="shared" si="5"/>
        <v>9602.9549999999999</v>
      </c>
      <c r="N93">
        <f t="shared" si="6"/>
        <v>3808.9050000000007</v>
      </c>
      <c r="O93" t="str">
        <f t="shared" si="7"/>
        <v>Wednesday</v>
      </c>
      <c r="P93" t="b">
        <f t="shared" si="8"/>
        <v>0</v>
      </c>
      <c r="Q93" t="str">
        <f t="shared" si="9"/>
        <v>April</v>
      </c>
    </row>
    <row r="94" spans="1:17" x14ac:dyDescent="0.4">
      <c r="A94" t="s">
        <v>244</v>
      </c>
      <c r="B94" s="1">
        <v>45486</v>
      </c>
      <c r="C94" t="s">
        <v>35</v>
      </c>
      <c r="D94" t="s">
        <v>21</v>
      </c>
      <c r="E94" t="s">
        <v>212</v>
      </c>
      <c r="F94" t="s">
        <v>23</v>
      </c>
      <c r="G94">
        <v>3</v>
      </c>
      <c r="H94">
        <v>2951.71</v>
      </c>
      <c r="I94">
        <v>0</v>
      </c>
      <c r="J94">
        <v>1524.17</v>
      </c>
      <c r="K94" t="s">
        <v>17</v>
      </c>
      <c r="L94" t="s">
        <v>18</v>
      </c>
      <c r="M94">
        <f t="shared" si="5"/>
        <v>8855.130000000001</v>
      </c>
      <c r="N94">
        <f t="shared" si="6"/>
        <v>4282.6200000000008</v>
      </c>
      <c r="O94" t="str">
        <f t="shared" si="7"/>
        <v>Saturday</v>
      </c>
      <c r="P94" t="b">
        <f t="shared" si="8"/>
        <v>1</v>
      </c>
      <c r="Q94" t="str">
        <f t="shared" si="9"/>
        <v>July</v>
      </c>
    </row>
    <row r="95" spans="1:17" x14ac:dyDescent="0.4">
      <c r="A95" t="s">
        <v>245</v>
      </c>
      <c r="B95" s="1">
        <v>45792</v>
      </c>
      <c r="C95" t="s">
        <v>100</v>
      </c>
      <c r="D95" t="s">
        <v>14</v>
      </c>
      <c r="E95" t="s">
        <v>246</v>
      </c>
      <c r="F95" t="s">
        <v>23</v>
      </c>
      <c r="G95">
        <v>3</v>
      </c>
      <c r="H95">
        <v>756.75</v>
      </c>
      <c r="I95">
        <v>0</v>
      </c>
      <c r="J95">
        <v>427.87</v>
      </c>
      <c r="K95" t="s">
        <v>17</v>
      </c>
      <c r="L95" t="s">
        <v>33</v>
      </c>
      <c r="M95">
        <f t="shared" si="5"/>
        <v>2270.25</v>
      </c>
      <c r="N95">
        <f t="shared" si="6"/>
        <v>986.63999999999987</v>
      </c>
      <c r="O95" t="str">
        <f t="shared" si="7"/>
        <v>Thursday</v>
      </c>
      <c r="P95" t="b">
        <f t="shared" si="8"/>
        <v>0</v>
      </c>
      <c r="Q95" t="str">
        <f t="shared" si="9"/>
        <v>May</v>
      </c>
    </row>
    <row r="96" spans="1:17" x14ac:dyDescent="0.4">
      <c r="A96" t="s">
        <v>247</v>
      </c>
      <c r="B96" s="1">
        <v>45840</v>
      </c>
      <c r="C96" t="s">
        <v>30</v>
      </c>
      <c r="D96" t="s">
        <v>14</v>
      </c>
      <c r="E96" t="s">
        <v>22</v>
      </c>
      <c r="F96" t="s">
        <v>16</v>
      </c>
      <c r="G96">
        <v>4</v>
      </c>
      <c r="H96">
        <v>2022</v>
      </c>
      <c r="I96">
        <v>10</v>
      </c>
      <c r="J96">
        <v>845.55</v>
      </c>
      <c r="K96" t="s">
        <v>17</v>
      </c>
      <c r="L96" t="s">
        <v>18</v>
      </c>
      <c r="M96">
        <f t="shared" si="5"/>
        <v>7279.2</v>
      </c>
      <c r="N96">
        <f t="shared" si="6"/>
        <v>3897</v>
      </c>
      <c r="O96" t="str">
        <f t="shared" si="7"/>
        <v>Wednesday</v>
      </c>
      <c r="P96" t="b">
        <f t="shared" si="8"/>
        <v>0</v>
      </c>
      <c r="Q96" t="str">
        <f t="shared" si="9"/>
        <v>July</v>
      </c>
    </row>
    <row r="97" spans="1:17" x14ac:dyDescent="0.4">
      <c r="A97" t="s">
        <v>248</v>
      </c>
      <c r="B97" s="1">
        <v>45805</v>
      </c>
      <c r="C97" t="s">
        <v>144</v>
      </c>
      <c r="D97" t="s">
        <v>21</v>
      </c>
      <c r="E97" t="s">
        <v>249</v>
      </c>
      <c r="F97" t="s">
        <v>28</v>
      </c>
      <c r="G97">
        <v>1</v>
      </c>
      <c r="H97">
        <v>1960.63</v>
      </c>
      <c r="I97">
        <v>5</v>
      </c>
      <c r="J97">
        <v>1282.7</v>
      </c>
      <c r="K97" t="s">
        <v>24</v>
      </c>
      <c r="L97" t="s">
        <v>33</v>
      </c>
      <c r="M97">
        <f t="shared" si="5"/>
        <v>1862.5985000000001</v>
      </c>
      <c r="N97">
        <f t="shared" si="6"/>
        <v>579.89850000000001</v>
      </c>
      <c r="O97" t="str">
        <f t="shared" si="7"/>
        <v>Wednesday</v>
      </c>
      <c r="P97" t="b">
        <f t="shared" si="8"/>
        <v>0</v>
      </c>
      <c r="Q97" t="str">
        <f t="shared" si="9"/>
        <v>May</v>
      </c>
    </row>
    <row r="98" spans="1:17" x14ac:dyDescent="0.4">
      <c r="A98" t="s">
        <v>250</v>
      </c>
      <c r="B98" s="1">
        <v>45900</v>
      </c>
      <c r="C98" t="s">
        <v>251</v>
      </c>
      <c r="D98" t="s">
        <v>14</v>
      </c>
      <c r="E98" t="s">
        <v>120</v>
      </c>
      <c r="F98" t="s">
        <v>16</v>
      </c>
      <c r="G98">
        <v>3</v>
      </c>
      <c r="H98">
        <v>2638.5</v>
      </c>
      <c r="I98">
        <v>20</v>
      </c>
      <c r="J98">
        <v>1693.79</v>
      </c>
      <c r="K98" t="s">
        <v>17</v>
      </c>
      <c r="L98" t="s">
        <v>18</v>
      </c>
      <c r="M98">
        <f t="shared" si="5"/>
        <v>6332.4000000000005</v>
      </c>
      <c r="N98">
        <f t="shared" si="6"/>
        <v>1251.0300000000007</v>
      </c>
      <c r="O98" t="str">
        <f t="shared" si="7"/>
        <v>Sunday</v>
      </c>
      <c r="P98" t="b">
        <f t="shared" si="8"/>
        <v>1</v>
      </c>
      <c r="Q98" t="str">
        <f t="shared" si="9"/>
        <v>August</v>
      </c>
    </row>
    <row r="99" spans="1:17" x14ac:dyDescent="0.4">
      <c r="A99" t="s">
        <v>252</v>
      </c>
      <c r="B99" s="1">
        <v>45950</v>
      </c>
      <c r="C99" t="s">
        <v>253</v>
      </c>
      <c r="D99" t="s">
        <v>31</v>
      </c>
      <c r="E99" t="s">
        <v>254</v>
      </c>
      <c r="F99" t="s">
        <v>16</v>
      </c>
      <c r="G99">
        <v>1</v>
      </c>
      <c r="H99">
        <v>2828.09</v>
      </c>
      <c r="I99">
        <v>25</v>
      </c>
      <c r="J99">
        <v>1951.94</v>
      </c>
      <c r="K99" t="s">
        <v>17</v>
      </c>
      <c r="L99" t="s">
        <v>18</v>
      </c>
      <c r="M99">
        <f t="shared" si="5"/>
        <v>2121.0675000000001</v>
      </c>
      <c r="N99">
        <f t="shared" si="6"/>
        <v>169.12750000000005</v>
      </c>
      <c r="O99" t="str">
        <f t="shared" si="7"/>
        <v>Monday</v>
      </c>
      <c r="P99" t="b">
        <f t="shared" si="8"/>
        <v>0</v>
      </c>
      <c r="Q99" t="str">
        <f t="shared" si="9"/>
        <v>October</v>
      </c>
    </row>
    <row r="100" spans="1:17" x14ac:dyDescent="0.4">
      <c r="A100" t="s">
        <v>255</v>
      </c>
      <c r="B100" s="1">
        <v>45462</v>
      </c>
      <c r="C100" t="s">
        <v>171</v>
      </c>
      <c r="D100" t="s">
        <v>21</v>
      </c>
      <c r="E100" t="s">
        <v>256</v>
      </c>
      <c r="F100" t="s">
        <v>16</v>
      </c>
      <c r="G100">
        <v>4</v>
      </c>
      <c r="H100">
        <v>2211.65</v>
      </c>
      <c r="I100">
        <v>0</v>
      </c>
      <c r="J100">
        <v>1350.7</v>
      </c>
      <c r="K100" t="s">
        <v>24</v>
      </c>
      <c r="L100" t="s">
        <v>37</v>
      </c>
      <c r="M100">
        <f t="shared" si="5"/>
        <v>8846.6</v>
      </c>
      <c r="N100">
        <f t="shared" si="6"/>
        <v>3443.8</v>
      </c>
      <c r="O100" t="str">
        <f t="shared" si="7"/>
        <v>Wednesday</v>
      </c>
      <c r="P100" t="b">
        <f t="shared" si="8"/>
        <v>0</v>
      </c>
      <c r="Q100" t="str">
        <f t="shared" si="9"/>
        <v>June</v>
      </c>
    </row>
    <row r="101" spans="1:17" x14ac:dyDescent="0.4">
      <c r="A101" t="s">
        <v>257</v>
      </c>
      <c r="B101" s="1">
        <v>45534</v>
      </c>
      <c r="C101" t="s">
        <v>45</v>
      </c>
      <c r="D101" t="s">
        <v>14</v>
      </c>
      <c r="E101" t="s">
        <v>258</v>
      </c>
      <c r="F101" t="s">
        <v>28</v>
      </c>
      <c r="G101">
        <v>1</v>
      </c>
      <c r="H101">
        <v>815.17</v>
      </c>
      <c r="I101">
        <v>5</v>
      </c>
      <c r="J101">
        <v>418.67</v>
      </c>
      <c r="K101" t="s">
        <v>17</v>
      </c>
      <c r="L101" t="s">
        <v>33</v>
      </c>
      <c r="M101">
        <f t="shared" si="5"/>
        <v>774.41149999999993</v>
      </c>
      <c r="N101">
        <f t="shared" si="6"/>
        <v>355.74149999999992</v>
      </c>
      <c r="O101" t="str">
        <f t="shared" si="7"/>
        <v>Friday</v>
      </c>
      <c r="P101" t="b">
        <f t="shared" si="8"/>
        <v>0</v>
      </c>
      <c r="Q101" t="str">
        <f t="shared" si="9"/>
        <v>August</v>
      </c>
    </row>
    <row r="102" spans="1:17" x14ac:dyDescent="0.4">
      <c r="A102" t="s">
        <v>259</v>
      </c>
      <c r="B102" s="1">
        <v>45630</v>
      </c>
      <c r="C102" t="s">
        <v>125</v>
      </c>
      <c r="D102" t="s">
        <v>46</v>
      </c>
      <c r="E102" t="s">
        <v>260</v>
      </c>
      <c r="F102" t="s">
        <v>23</v>
      </c>
      <c r="G102">
        <v>5</v>
      </c>
      <c r="H102">
        <v>1971.94</v>
      </c>
      <c r="I102">
        <v>15</v>
      </c>
      <c r="J102">
        <v>1310.08</v>
      </c>
      <c r="K102" t="s">
        <v>17</v>
      </c>
      <c r="L102" t="s">
        <v>37</v>
      </c>
      <c r="M102">
        <f t="shared" si="5"/>
        <v>8380.7450000000008</v>
      </c>
      <c r="N102">
        <f t="shared" si="6"/>
        <v>1830.3450000000012</v>
      </c>
      <c r="O102" t="str">
        <f t="shared" si="7"/>
        <v>Wednesday</v>
      </c>
      <c r="P102" t="b">
        <f t="shared" si="8"/>
        <v>0</v>
      </c>
      <c r="Q102" t="str">
        <f t="shared" si="9"/>
        <v>December</v>
      </c>
    </row>
    <row r="103" spans="1:17" x14ac:dyDescent="0.4">
      <c r="A103" t="s">
        <v>261</v>
      </c>
      <c r="B103" s="1">
        <v>45558</v>
      </c>
      <c r="C103" t="s">
        <v>146</v>
      </c>
      <c r="D103" t="s">
        <v>46</v>
      </c>
      <c r="E103" t="s">
        <v>262</v>
      </c>
      <c r="F103" t="s">
        <v>28</v>
      </c>
      <c r="G103">
        <v>2</v>
      </c>
      <c r="H103">
        <v>1304.26</v>
      </c>
      <c r="I103">
        <v>5</v>
      </c>
      <c r="J103">
        <v>616.77</v>
      </c>
      <c r="K103" t="s">
        <v>17</v>
      </c>
      <c r="L103" t="s">
        <v>33</v>
      </c>
      <c r="M103">
        <f t="shared" si="5"/>
        <v>2478.0940000000001</v>
      </c>
      <c r="N103">
        <f t="shared" si="6"/>
        <v>1244.5540000000001</v>
      </c>
      <c r="O103" t="str">
        <f t="shared" si="7"/>
        <v>Monday</v>
      </c>
      <c r="P103" t="b">
        <f t="shared" si="8"/>
        <v>0</v>
      </c>
      <c r="Q103" t="str">
        <f t="shared" si="9"/>
        <v>September</v>
      </c>
    </row>
    <row r="104" spans="1:17" x14ac:dyDescent="0.4">
      <c r="A104" t="s">
        <v>263</v>
      </c>
      <c r="B104" s="1">
        <v>45569</v>
      </c>
      <c r="C104" t="s">
        <v>68</v>
      </c>
      <c r="D104" t="s">
        <v>31</v>
      </c>
      <c r="E104" t="s">
        <v>27</v>
      </c>
      <c r="F104" t="s">
        <v>23</v>
      </c>
      <c r="G104">
        <v>3</v>
      </c>
      <c r="H104">
        <v>2821.41</v>
      </c>
      <c r="I104">
        <v>5</v>
      </c>
      <c r="J104">
        <v>1852.16</v>
      </c>
      <c r="K104" t="s">
        <v>17</v>
      </c>
      <c r="L104" t="s">
        <v>33</v>
      </c>
      <c r="M104">
        <f t="shared" si="5"/>
        <v>8041.0184999999992</v>
      </c>
      <c r="N104">
        <f t="shared" si="6"/>
        <v>2484.5384999999987</v>
      </c>
      <c r="O104" t="str">
        <f t="shared" si="7"/>
        <v>Friday</v>
      </c>
      <c r="P104" t="b">
        <f t="shared" si="8"/>
        <v>0</v>
      </c>
      <c r="Q104" t="str">
        <f t="shared" si="9"/>
        <v>October</v>
      </c>
    </row>
    <row r="105" spans="1:17" x14ac:dyDescent="0.4">
      <c r="A105" t="s">
        <v>264</v>
      </c>
      <c r="B105" s="1">
        <v>45327</v>
      </c>
      <c r="C105" t="s">
        <v>62</v>
      </c>
      <c r="D105" t="s">
        <v>31</v>
      </c>
      <c r="E105" t="s">
        <v>265</v>
      </c>
      <c r="F105" t="s">
        <v>16</v>
      </c>
      <c r="G105">
        <v>5</v>
      </c>
      <c r="H105">
        <v>598.08000000000004</v>
      </c>
      <c r="I105">
        <v>15</v>
      </c>
      <c r="J105">
        <v>323.16000000000003</v>
      </c>
      <c r="K105" t="s">
        <v>17</v>
      </c>
      <c r="L105" t="s">
        <v>18</v>
      </c>
      <c r="M105">
        <f t="shared" si="5"/>
        <v>2541.84</v>
      </c>
      <c r="N105">
        <f t="shared" si="6"/>
        <v>926.04</v>
      </c>
      <c r="O105" t="str">
        <f t="shared" si="7"/>
        <v>Monday</v>
      </c>
      <c r="P105" t="b">
        <f t="shared" si="8"/>
        <v>0</v>
      </c>
      <c r="Q105" t="str">
        <f t="shared" si="9"/>
        <v>February</v>
      </c>
    </row>
    <row r="106" spans="1:17" x14ac:dyDescent="0.4">
      <c r="A106" t="s">
        <v>266</v>
      </c>
      <c r="B106" s="1">
        <v>45321</v>
      </c>
      <c r="C106" t="s">
        <v>267</v>
      </c>
      <c r="D106" t="s">
        <v>46</v>
      </c>
      <c r="E106" t="s">
        <v>134</v>
      </c>
      <c r="F106" t="s">
        <v>23</v>
      </c>
      <c r="G106">
        <v>3</v>
      </c>
      <c r="H106">
        <v>1425.22</v>
      </c>
      <c r="I106">
        <v>20</v>
      </c>
      <c r="J106">
        <v>758.23</v>
      </c>
      <c r="K106" t="s">
        <v>24</v>
      </c>
      <c r="L106" t="s">
        <v>37</v>
      </c>
      <c r="M106">
        <f t="shared" si="5"/>
        <v>3420.5280000000002</v>
      </c>
      <c r="N106">
        <f t="shared" si="6"/>
        <v>1145.8380000000002</v>
      </c>
      <c r="O106" t="str">
        <f t="shared" si="7"/>
        <v>Tuesday</v>
      </c>
      <c r="P106" t="b">
        <f t="shared" si="8"/>
        <v>0</v>
      </c>
      <c r="Q106" t="str">
        <f t="shared" si="9"/>
        <v>January</v>
      </c>
    </row>
    <row r="107" spans="1:17" x14ac:dyDescent="0.4">
      <c r="A107" t="s">
        <v>268</v>
      </c>
      <c r="B107" s="1">
        <v>45431</v>
      </c>
      <c r="C107" t="s">
        <v>269</v>
      </c>
      <c r="D107" t="s">
        <v>46</v>
      </c>
      <c r="E107" t="s">
        <v>270</v>
      </c>
      <c r="F107" t="s">
        <v>23</v>
      </c>
      <c r="G107">
        <v>3</v>
      </c>
      <c r="H107">
        <v>2874.19</v>
      </c>
      <c r="I107">
        <v>0</v>
      </c>
      <c r="J107">
        <v>1945.05</v>
      </c>
      <c r="K107" t="s">
        <v>17</v>
      </c>
      <c r="L107" t="s">
        <v>33</v>
      </c>
      <c r="M107">
        <f t="shared" si="5"/>
        <v>8622.57</v>
      </c>
      <c r="N107">
        <f t="shared" si="6"/>
        <v>2787.42</v>
      </c>
      <c r="O107" t="str">
        <f t="shared" si="7"/>
        <v>Sunday</v>
      </c>
      <c r="P107" t="b">
        <f t="shared" si="8"/>
        <v>1</v>
      </c>
      <c r="Q107" t="str">
        <f t="shared" si="9"/>
        <v>May</v>
      </c>
    </row>
    <row r="108" spans="1:17" x14ac:dyDescent="0.4">
      <c r="A108" t="s">
        <v>271</v>
      </c>
      <c r="B108" s="1">
        <v>45920</v>
      </c>
      <c r="C108" t="s">
        <v>84</v>
      </c>
      <c r="D108" t="s">
        <v>14</v>
      </c>
      <c r="E108" t="s">
        <v>186</v>
      </c>
      <c r="F108" t="s">
        <v>23</v>
      </c>
      <c r="G108">
        <v>5</v>
      </c>
      <c r="H108">
        <v>669.7</v>
      </c>
      <c r="I108">
        <v>25</v>
      </c>
      <c r="J108">
        <v>307</v>
      </c>
      <c r="K108" t="s">
        <v>24</v>
      </c>
      <c r="L108" t="s">
        <v>37</v>
      </c>
      <c r="M108">
        <f t="shared" si="5"/>
        <v>2511.375</v>
      </c>
      <c r="N108">
        <f t="shared" si="6"/>
        <v>976.375</v>
      </c>
      <c r="O108" t="str">
        <f t="shared" si="7"/>
        <v>Saturday</v>
      </c>
      <c r="P108" t="b">
        <f t="shared" si="8"/>
        <v>1</v>
      </c>
      <c r="Q108" t="str">
        <f t="shared" si="9"/>
        <v>September</v>
      </c>
    </row>
    <row r="109" spans="1:17" x14ac:dyDescent="0.4">
      <c r="A109" t="s">
        <v>272</v>
      </c>
      <c r="B109" s="1">
        <v>45481</v>
      </c>
      <c r="C109" t="s">
        <v>273</v>
      </c>
      <c r="D109" t="s">
        <v>31</v>
      </c>
      <c r="E109" t="s">
        <v>274</v>
      </c>
      <c r="F109" t="s">
        <v>23</v>
      </c>
      <c r="G109">
        <v>5</v>
      </c>
      <c r="H109">
        <v>1827.55</v>
      </c>
      <c r="I109">
        <v>25</v>
      </c>
      <c r="J109">
        <v>1142.23</v>
      </c>
      <c r="K109" t="s">
        <v>17</v>
      </c>
      <c r="L109" t="s">
        <v>18</v>
      </c>
      <c r="M109">
        <f t="shared" si="5"/>
        <v>6853.3125</v>
      </c>
      <c r="N109">
        <f t="shared" si="6"/>
        <v>1142.1625000000004</v>
      </c>
      <c r="O109" t="str">
        <f t="shared" si="7"/>
        <v>Monday</v>
      </c>
      <c r="P109" t="b">
        <f t="shared" si="8"/>
        <v>0</v>
      </c>
      <c r="Q109" t="str">
        <f t="shared" si="9"/>
        <v>July</v>
      </c>
    </row>
    <row r="110" spans="1:17" x14ac:dyDescent="0.4">
      <c r="A110" t="s">
        <v>275</v>
      </c>
      <c r="B110" s="1">
        <v>45673</v>
      </c>
      <c r="C110" t="s">
        <v>146</v>
      </c>
      <c r="D110" t="s">
        <v>21</v>
      </c>
      <c r="E110" t="s">
        <v>276</v>
      </c>
      <c r="F110" t="s">
        <v>16</v>
      </c>
      <c r="G110">
        <v>2</v>
      </c>
      <c r="H110">
        <v>2853.51</v>
      </c>
      <c r="I110">
        <v>25</v>
      </c>
      <c r="J110">
        <v>1555.03</v>
      </c>
      <c r="K110" t="s">
        <v>17</v>
      </c>
      <c r="L110" t="s">
        <v>33</v>
      </c>
      <c r="M110">
        <f t="shared" si="5"/>
        <v>4280.2650000000003</v>
      </c>
      <c r="N110">
        <f t="shared" si="6"/>
        <v>1170.2050000000004</v>
      </c>
      <c r="O110" t="str">
        <f t="shared" si="7"/>
        <v>Thursday</v>
      </c>
      <c r="P110" t="b">
        <f t="shared" si="8"/>
        <v>0</v>
      </c>
      <c r="Q110" t="str">
        <f t="shared" si="9"/>
        <v>January</v>
      </c>
    </row>
    <row r="111" spans="1:17" x14ac:dyDescent="0.4">
      <c r="A111" t="s">
        <v>277</v>
      </c>
      <c r="B111" s="1">
        <v>45578</v>
      </c>
      <c r="C111" t="s">
        <v>278</v>
      </c>
      <c r="D111" t="s">
        <v>31</v>
      </c>
      <c r="E111" t="s">
        <v>153</v>
      </c>
      <c r="F111" t="s">
        <v>28</v>
      </c>
      <c r="G111">
        <v>4</v>
      </c>
      <c r="H111">
        <v>437.46</v>
      </c>
      <c r="I111">
        <v>5</v>
      </c>
      <c r="J111">
        <v>289.92</v>
      </c>
      <c r="K111" t="s">
        <v>17</v>
      </c>
      <c r="L111" t="s">
        <v>18</v>
      </c>
      <c r="M111">
        <f t="shared" si="5"/>
        <v>1662.348</v>
      </c>
      <c r="N111">
        <f t="shared" si="6"/>
        <v>502.66799999999989</v>
      </c>
      <c r="O111" t="str">
        <f t="shared" si="7"/>
        <v>Sunday</v>
      </c>
      <c r="P111" t="b">
        <f t="shared" si="8"/>
        <v>1</v>
      </c>
      <c r="Q111" t="str">
        <f t="shared" si="9"/>
        <v>October</v>
      </c>
    </row>
    <row r="112" spans="1:17" x14ac:dyDescent="0.4">
      <c r="A112" t="s">
        <v>279</v>
      </c>
      <c r="B112" s="1">
        <v>45719</v>
      </c>
      <c r="C112" t="s">
        <v>51</v>
      </c>
      <c r="D112" t="s">
        <v>31</v>
      </c>
      <c r="E112" t="s">
        <v>280</v>
      </c>
      <c r="F112" t="s">
        <v>23</v>
      </c>
      <c r="G112">
        <v>2</v>
      </c>
      <c r="H112">
        <v>1542.62</v>
      </c>
      <c r="I112">
        <v>5</v>
      </c>
      <c r="J112">
        <v>864.42</v>
      </c>
      <c r="K112" t="s">
        <v>17</v>
      </c>
      <c r="L112" t="s">
        <v>18</v>
      </c>
      <c r="M112">
        <f t="shared" si="5"/>
        <v>2930.9779999999996</v>
      </c>
      <c r="N112">
        <f t="shared" si="6"/>
        <v>1202.1379999999997</v>
      </c>
      <c r="O112" t="str">
        <f t="shared" si="7"/>
        <v>Monday</v>
      </c>
      <c r="P112" t="b">
        <f t="shared" si="8"/>
        <v>0</v>
      </c>
      <c r="Q112" t="str">
        <f t="shared" si="9"/>
        <v>March</v>
      </c>
    </row>
    <row r="113" spans="1:17" x14ac:dyDescent="0.4">
      <c r="A113" t="s">
        <v>281</v>
      </c>
      <c r="B113" s="1">
        <v>45544</v>
      </c>
      <c r="C113" t="s">
        <v>54</v>
      </c>
      <c r="D113" t="s">
        <v>46</v>
      </c>
      <c r="E113" t="s">
        <v>282</v>
      </c>
      <c r="F113" t="s">
        <v>23</v>
      </c>
      <c r="G113">
        <v>4</v>
      </c>
      <c r="H113">
        <v>1134.8699999999999</v>
      </c>
      <c r="I113">
        <v>20</v>
      </c>
      <c r="J113">
        <v>478.54</v>
      </c>
      <c r="K113" t="s">
        <v>24</v>
      </c>
      <c r="L113" t="s">
        <v>37</v>
      </c>
      <c r="M113">
        <f t="shared" si="5"/>
        <v>3631.5839999999998</v>
      </c>
      <c r="N113">
        <f t="shared" si="6"/>
        <v>1717.4239999999998</v>
      </c>
      <c r="O113" t="str">
        <f t="shared" si="7"/>
        <v>Monday</v>
      </c>
      <c r="P113" t="b">
        <f t="shared" si="8"/>
        <v>0</v>
      </c>
      <c r="Q113" t="str">
        <f t="shared" si="9"/>
        <v>September</v>
      </c>
    </row>
    <row r="114" spans="1:17" x14ac:dyDescent="0.4">
      <c r="A114" t="s">
        <v>283</v>
      </c>
      <c r="B114" s="1">
        <v>45948</v>
      </c>
      <c r="C114" t="s">
        <v>128</v>
      </c>
      <c r="D114" t="s">
        <v>46</v>
      </c>
      <c r="E114" t="s">
        <v>284</v>
      </c>
      <c r="F114" t="s">
        <v>16</v>
      </c>
      <c r="G114">
        <v>1</v>
      </c>
      <c r="H114">
        <v>830.51</v>
      </c>
      <c r="I114">
        <v>30</v>
      </c>
      <c r="J114">
        <v>507.11</v>
      </c>
      <c r="K114" t="s">
        <v>17</v>
      </c>
      <c r="L114" t="s">
        <v>37</v>
      </c>
      <c r="M114">
        <f t="shared" si="5"/>
        <v>581.35699999999997</v>
      </c>
      <c r="N114">
        <f t="shared" si="6"/>
        <v>74.246999999999957</v>
      </c>
      <c r="O114" t="str">
        <f t="shared" si="7"/>
        <v>Saturday</v>
      </c>
      <c r="P114" t="b">
        <f t="shared" si="8"/>
        <v>1</v>
      </c>
      <c r="Q114" t="str">
        <f t="shared" si="9"/>
        <v>October</v>
      </c>
    </row>
    <row r="115" spans="1:17" x14ac:dyDescent="0.4">
      <c r="A115" t="s">
        <v>285</v>
      </c>
      <c r="B115" s="1">
        <v>45777</v>
      </c>
      <c r="C115" t="s">
        <v>286</v>
      </c>
      <c r="D115" t="s">
        <v>31</v>
      </c>
      <c r="E115" t="s">
        <v>287</v>
      </c>
      <c r="F115" t="s">
        <v>28</v>
      </c>
      <c r="G115">
        <v>1</v>
      </c>
      <c r="H115">
        <v>1614.68</v>
      </c>
      <c r="I115">
        <v>30</v>
      </c>
      <c r="J115">
        <v>1081.96</v>
      </c>
      <c r="K115" t="s">
        <v>24</v>
      </c>
      <c r="L115" t="s">
        <v>18</v>
      </c>
      <c r="M115">
        <f t="shared" si="5"/>
        <v>1130.2760000000001</v>
      </c>
      <c r="N115">
        <f t="shared" si="6"/>
        <v>48.316000000000031</v>
      </c>
      <c r="O115" t="str">
        <f t="shared" si="7"/>
        <v>Wednesday</v>
      </c>
      <c r="P115" t="b">
        <f t="shared" si="8"/>
        <v>0</v>
      </c>
      <c r="Q115" t="str">
        <f t="shared" si="9"/>
        <v>April</v>
      </c>
    </row>
    <row r="116" spans="1:17" x14ac:dyDescent="0.4">
      <c r="A116" t="s">
        <v>288</v>
      </c>
      <c r="B116" s="1">
        <v>45496</v>
      </c>
      <c r="C116" t="s">
        <v>86</v>
      </c>
      <c r="D116" t="s">
        <v>21</v>
      </c>
      <c r="E116" t="s">
        <v>289</v>
      </c>
      <c r="F116" t="s">
        <v>16</v>
      </c>
      <c r="G116">
        <v>1</v>
      </c>
      <c r="H116">
        <v>1225.0999999999999</v>
      </c>
      <c r="I116">
        <v>20</v>
      </c>
      <c r="J116">
        <v>747.62</v>
      </c>
      <c r="K116" t="s">
        <v>17</v>
      </c>
      <c r="L116" t="s">
        <v>37</v>
      </c>
      <c r="M116">
        <f t="shared" si="5"/>
        <v>980.07999999999993</v>
      </c>
      <c r="N116">
        <f t="shared" si="6"/>
        <v>232.45999999999992</v>
      </c>
      <c r="O116" t="str">
        <f t="shared" si="7"/>
        <v>Tuesday</v>
      </c>
      <c r="P116" t="b">
        <f t="shared" si="8"/>
        <v>0</v>
      </c>
      <c r="Q116" t="str">
        <f t="shared" si="9"/>
        <v>July</v>
      </c>
    </row>
    <row r="117" spans="1:17" x14ac:dyDescent="0.4">
      <c r="A117" t="s">
        <v>290</v>
      </c>
      <c r="B117" s="1">
        <v>45917</v>
      </c>
      <c r="C117" t="s">
        <v>98</v>
      </c>
      <c r="D117" t="s">
        <v>21</v>
      </c>
      <c r="E117" t="s">
        <v>291</v>
      </c>
      <c r="F117" t="s">
        <v>28</v>
      </c>
      <c r="G117">
        <v>4</v>
      </c>
      <c r="H117">
        <v>490.48</v>
      </c>
      <c r="I117">
        <v>5</v>
      </c>
      <c r="J117">
        <v>283.13</v>
      </c>
      <c r="K117" t="s">
        <v>17</v>
      </c>
      <c r="L117" t="s">
        <v>37</v>
      </c>
      <c r="M117">
        <f t="shared" si="5"/>
        <v>1863.8240000000001</v>
      </c>
      <c r="N117">
        <f t="shared" si="6"/>
        <v>731.30400000000009</v>
      </c>
      <c r="O117" t="str">
        <f t="shared" si="7"/>
        <v>Wednesday</v>
      </c>
      <c r="P117" t="b">
        <f t="shared" si="8"/>
        <v>0</v>
      </c>
      <c r="Q117" t="str">
        <f t="shared" si="9"/>
        <v>September</v>
      </c>
    </row>
    <row r="118" spans="1:17" x14ac:dyDescent="0.4">
      <c r="A118" t="s">
        <v>292</v>
      </c>
      <c r="B118" s="1">
        <v>45401</v>
      </c>
      <c r="C118" t="s">
        <v>42</v>
      </c>
      <c r="D118" t="s">
        <v>21</v>
      </c>
      <c r="E118" t="s">
        <v>220</v>
      </c>
      <c r="F118" t="s">
        <v>16</v>
      </c>
      <c r="G118">
        <v>2</v>
      </c>
      <c r="H118">
        <v>2252.79</v>
      </c>
      <c r="I118">
        <v>5</v>
      </c>
      <c r="J118">
        <v>1018.64</v>
      </c>
      <c r="K118" t="s">
        <v>17</v>
      </c>
      <c r="L118" t="s">
        <v>33</v>
      </c>
      <c r="M118">
        <f t="shared" si="5"/>
        <v>4280.3009999999995</v>
      </c>
      <c r="N118">
        <f t="shared" si="6"/>
        <v>2243.0209999999997</v>
      </c>
      <c r="O118" t="str">
        <f t="shared" si="7"/>
        <v>Friday</v>
      </c>
      <c r="P118" t="b">
        <f t="shared" si="8"/>
        <v>0</v>
      </c>
      <c r="Q118" t="str">
        <f t="shared" si="9"/>
        <v>April</v>
      </c>
    </row>
    <row r="119" spans="1:17" x14ac:dyDescent="0.4">
      <c r="A119" t="s">
        <v>293</v>
      </c>
      <c r="B119" s="1">
        <v>45962</v>
      </c>
      <c r="C119" t="s">
        <v>144</v>
      </c>
      <c r="D119" t="s">
        <v>21</v>
      </c>
      <c r="E119" t="s">
        <v>294</v>
      </c>
      <c r="F119" t="s">
        <v>28</v>
      </c>
      <c r="G119">
        <v>2</v>
      </c>
      <c r="H119">
        <v>1748.17</v>
      </c>
      <c r="I119">
        <v>15</v>
      </c>
      <c r="J119">
        <v>1106.75</v>
      </c>
      <c r="K119" t="s">
        <v>24</v>
      </c>
      <c r="L119" t="s">
        <v>37</v>
      </c>
      <c r="M119">
        <f t="shared" si="5"/>
        <v>2971.8890000000001</v>
      </c>
      <c r="N119">
        <f t="shared" si="6"/>
        <v>758.38900000000012</v>
      </c>
      <c r="O119" t="str">
        <f t="shared" si="7"/>
        <v>Saturday</v>
      </c>
      <c r="P119" t="b">
        <f t="shared" si="8"/>
        <v>1</v>
      </c>
      <c r="Q119" t="str">
        <f t="shared" si="9"/>
        <v>November</v>
      </c>
    </row>
    <row r="120" spans="1:17" x14ac:dyDescent="0.4">
      <c r="A120" t="s">
        <v>295</v>
      </c>
      <c r="B120" s="1">
        <v>45650</v>
      </c>
      <c r="C120" t="s">
        <v>296</v>
      </c>
      <c r="D120" t="s">
        <v>31</v>
      </c>
      <c r="E120" t="s">
        <v>164</v>
      </c>
      <c r="F120" t="s">
        <v>23</v>
      </c>
      <c r="G120">
        <v>5</v>
      </c>
      <c r="H120">
        <v>1359.37</v>
      </c>
      <c r="I120">
        <v>15</v>
      </c>
      <c r="J120">
        <v>681.67</v>
      </c>
      <c r="K120" t="s">
        <v>24</v>
      </c>
      <c r="L120" t="s">
        <v>37</v>
      </c>
      <c r="M120">
        <f t="shared" si="5"/>
        <v>5777.3224999999993</v>
      </c>
      <c r="N120">
        <f t="shared" si="6"/>
        <v>2368.9724999999994</v>
      </c>
      <c r="O120" t="str">
        <f t="shared" si="7"/>
        <v>Tuesday</v>
      </c>
      <c r="P120" t="b">
        <f t="shared" si="8"/>
        <v>0</v>
      </c>
      <c r="Q120" t="str">
        <f t="shared" si="9"/>
        <v>December</v>
      </c>
    </row>
    <row r="121" spans="1:17" x14ac:dyDescent="0.4">
      <c r="A121" t="s">
        <v>297</v>
      </c>
      <c r="B121" s="1">
        <v>45311</v>
      </c>
      <c r="C121" t="s">
        <v>286</v>
      </c>
      <c r="D121" t="s">
        <v>21</v>
      </c>
      <c r="E121" t="s">
        <v>282</v>
      </c>
      <c r="F121" t="s">
        <v>28</v>
      </c>
      <c r="G121">
        <v>4</v>
      </c>
      <c r="H121">
        <v>1254.32</v>
      </c>
      <c r="I121">
        <v>25</v>
      </c>
      <c r="J121">
        <v>836.71</v>
      </c>
      <c r="K121" t="s">
        <v>24</v>
      </c>
      <c r="L121" t="s">
        <v>33</v>
      </c>
      <c r="M121">
        <f t="shared" si="5"/>
        <v>3762.96</v>
      </c>
      <c r="N121">
        <f t="shared" si="6"/>
        <v>416.11999999999989</v>
      </c>
      <c r="O121" t="str">
        <f t="shared" si="7"/>
        <v>Saturday</v>
      </c>
      <c r="P121" t="b">
        <f t="shared" si="8"/>
        <v>1</v>
      </c>
      <c r="Q121" t="str">
        <f t="shared" si="9"/>
        <v>January</v>
      </c>
    </row>
    <row r="122" spans="1:17" x14ac:dyDescent="0.4">
      <c r="A122" t="s">
        <v>298</v>
      </c>
      <c r="B122" s="1">
        <v>45518</v>
      </c>
      <c r="C122" t="s">
        <v>51</v>
      </c>
      <c r="D122" t="s">
        <v>14</v>
      </c>
      <c r="E122" t="s">
        <v>299</v>
      </c>
      <c r="F122" t="s">
        <v>16</v>
      </c>
      <c r="G122">
        <v>4</v>
      </c>
      <c r="H122">
        <v>2604.25</v>
      </c>
      <c r="I122">
        <v>5</v>
      </c>
      <c r="J122">
        <v>1752.79</v>
      </c>
      <c r="K122" t="s">
        <v>17</v>
      </c>
      <c r="L122" t="s">
        <v>33</v>
      </c>
      <c r="M122">
        <f t="shared" si="5"/>
        <v>9896.15</v>
      </c>
      <c r="N122">
        <f t="shared" si="6"/>
        <v>2884.99</v>
      </c>
      <c r="O122" t="str">
        <f t="shared" si="7"/>
        <v>Wednesday</v>
      </c>
      <c r="P122" t="b">
        <f t="shared" si="8"/>
        <v>0</v>
      </c>
      <c r="Q122" t="str">
        <f t="shared" si="9"/>
        <v>August</v>
      </c>
    </row>
    <row r="123" spans="1:17" x14ac:dyDescent="0.4">
      <c r="A123" t="s">
        <v>300</v>
      </c>
      <c r="B123" s="1">
        <v>45922</v>
      </c>
      <c r="C123" t="s">
        <v>128</v>
      </c>
      <c r="D123" t="s">
        <v>46</v>
      </c>
      <c r="E123" t="s">
        <v>69</v>
      </c>
      <c r="F123" t="s">
        <v>28</v>
      </c>
      <c r="G123">
        <v>5</v>
      </c>
      <c r="H123">
        <v>1482.51</v>
      </c>
      <c r="I123">
        <v>0</v>
      </c>
      <c r="J123">
        <v>741.97</v>
      </c>
      <c r="K123" t="s">
        <v>17</v>
      </c>
      <c r="L123" t="s">
        <v>37</v>
      </c>
      <c r="M123">
        <f t="shared" si="5"/>
        <v>7412.55</v>
      </c>
      <c r="N123">
        <f t="shared" si="6"/>
        <v>3702.7</v>
      </c>
      <c r="O123" t="str">
        <f t="shared" si="7"/>
        <v>Monday</v>
      </c>
      <c r="P123" t="b">
        <f t="shared" si="8"/>
        <v>0</v>
      </c>
      <c r="Q123" t="str">
        <f t="shared" si="9"/>
        <v>September</v>
      </c>
    </row>
    <row r="124" spans="1:17" x14ac:dyDescent="0.4">
      <c r="A124" t="s">
        <v>301</v>
      </c>
      <c r="B124" s="1">
        <v>45567</v>
      </c>
      <c r="C124" t="s">
        <v>302</v>
      </c>
      <c r="D124" t="s">
        <v>46</v>
      </c>
      <c r="E124" t="s">
        <v>303</v>
      </c>
      <c r="F124" t="s">
        <v>23</v>
      </c>
      <c r="G124">
        <v>3</v>
      </c>
      <c r="H124">
        <v>540.78</v>
      </c>
      <c r="I124">
        <v>10</v>
      </c>
      <c r="J124">
        <v>332.38</v>
      </c>
      <c r="K124" t="s">
        <v>17</v>
      </c>
      <c r="L124" t="s">
        <v>33</v>
      </c>
      <c r="M124">
        <f t="shared" si="5"/>
        <v>1460.106</v>
      </c>
      <c r="N124">
        <f t="shared" si="6"/>
        <v>462.96600000000001</v>
      </c>
      <c r="O124" t="str">
        <f t="shared" si="7"/>
        <v>Wednesday</v>
      </c>
      <c r="P124" t="b">
        <f t="shared" si="8"/>
        <v>0</v>
      </c>
      <c r="Q124" t="str">
        <f t="shared" si="9"/>
        <v>October</v>
      </c>
    </row>
    <row r="125" spans="1:17" x14ac:dyDescent="0.4">
      <c r="A125" t="s">
        <v>304</v>
      </c>
      <c r="B125" s="1">
        <v>45502</v>
      </c>
      <c r="C125" t="s">
        <v>77</v>
      </c>
      <c r="D125" t="s">
        <v>21</v>
      </c>
      <c r="E125" t="s">
        <v>305</v>
      </c>
      <c r="F125" t="s">
        <v>23</v>
      </c>
      <c r="G125">
        <v>3</v>
      </c>
      <c r="H125">
        <v>2271.23</v>
      </c>
      <c r="I125">
        <v>15</v>
      </c>
      <c r="J125">
        <v>1160.82</v>
      </c>
      <c r="K125" t="s">
        <v>17</v>
      </c>
      <c r="L125" t="s">
        <v>33</v>
      </c>
      <c r="M125">
        <f t="shared" si="5"/>
        <v>5791.6365000000005</v>
      </c>
      <c r="N125">
        <f t="shared" si="6"/>
        <v>2309.1765000000005</v>
      </c>
      <c r="O125" t="str">
        <f t="shared" si="7"/>
        <v>Monday</v>
      </c>
      <c r="P125" t="b">
        <f t="shared" si="8"/>
        <v>0</v>
      </c>
      <c r="Q125" t="str">
        <f t="shared" si="9"/>
        <v>July</v>
      </c>
    </row>
    <row r="126" spans="1:17" x14ac:dyDescent="0.4">
      <c r="A126" t="s">
        <v>306</v>
      </c>
      <c r="B126" s="1">
        <v>45516</v>
      </c>
      <c r="C126" t="s">
        <v>179</v>
      </c>
      <c r="D126" t="s">
        <v>21</v>
      </c>
      <c r="E126" t="s">
        <v>307</v>
      </c>
      <c r="F126" t="s">
        <v>16</v>
      </c>
      <c r="G126">
        <v>2</v>
      </c>
      <c r="H126">
        <v>1968.77</v>
      </c>
      <c r="I126">
        <v>5</v>
      </c>
      <c r="J126">
        <v>1137.81</v>
      </c>
      <c r="K126" t="s">
        <v>17</v>
      </c>
      <c r="L126" t="s">
        <v>33</v>
      </c>
      <c r="M126">
        <f t="shared" si="5"/>
        <v>3740.663</v>
      </c>
      <c r="N126">
        <f t="shared" si="6"/>
        <v>1465.0430000000001</v>
      </c>
      <c r="O126" t="str">
        <f t="shared" si="7"/>
        <v>Monday</v>
      </c>
      <c r="P126" t="b">
        <f t="shared" si="8"/>
        <v>0</v>
      </c>
      <c r="Q126" t="str">
        <f t="shared" si="9"/>
        <v>August</v>
      </c>
    </row>
    <row r="127" spans="1:17" x14ac:dyDescent="0.4">
      <c r="A127" t="s">
        <v>308</v>
      </c>
      <c r="B127" s="1">
        <v>45315</v>
      </c>
      <c r="C127" t="s">
        <v>309</v>
      </c>
      <c r="D127" t="s">
        <v>21</v>
      </c>
      <c r="E127" t="s">
        <v>299</v>
      </c>
      <c r="F127" t="s">
        <v>28</v>
      </c>
      <c r="G127">
        <v>5</v>
      </c>
      <c r="H127">
        <v>2797.2</v>
      </c>
      <c r="I127">
        <v>10</v>
      </c>
      <c r="J127">
        <v>1539.61</v>
      </c>
      <c r="K127" t="s">
        <v>17</v>
      </c>
      <c r="L127" t="s">
        <v>37</v>
      </c>
      <c r="M127">
        <f t="shared" si="5"/>
        <v>12587.4</v>
      </c>
      <c r="N127">
        <f t="shared" si="6"/>
        <v>4889.3500000000004</v>
      </c>
      <c r="O127" t="str">
        <f t="shared" si="7"/>
        <v>Wednesday</v>
      </c>
      <c r="P127" t="b">
        <f t="shared" si="8"/>
        <v>0</v>
      </c>
      <c r="Q127" t="str">
        <f t="shared" si="9"/>
        <v>January</v>
      </c>
    </row>
    <row r="128" spans="1:17" x14ac:dyDescent="0.4">
      <c r="A128" t="s">
        <v>310</v>
      </c>
      <c r="B128" s="1">
        <v>45302</v>
      </c>
      <c r="C128" t="s">
        <v>86</v>
      </c>
      <c r="D128" t="s">
        <v>14</v>
      </c>
      <c r="E128" t="s">
        <v>311</v>
      </c>
      <c r="F128" t="s">
        <v>23</v>
      </c>
      <c r="G128">
        <v>4</v>
      </c>
      <c r="H128">
        <v>1439.27</v>
      </c>
      <c r="I128">
        <v>10</v>
      </c>
      <c r="J128">
        <v>647.4</v>
      </c>
      <c r="K128" t="s">
        <v>17</v>
      </c>
      <c r="L128" t="s">
        <v>37</v>
      </c>
      <c r="M128">
        <f t="shared" si="5"/>
        <v>5181.3720000000003</v>
      </c>
      <c r="N128">
        <f t="shared" si="6"/>
        <v>2591.7720000000004</v>
      </c>
      <c r="O128" t="str">
        <f t="shared" si="7"/>
        <v>Thursday</v>
      </c>
      <c r="P128" t="b">
        <f t="shared" si="8"/>
        <v>0</v>
      </c>
      <c r="Q128" t="str">
        <f t="shared" si="9"/>
        <v>January</v>
      </c>
    </row>
    <row r="129" spans="1:17" x14ac:dyDescent="0.4">
      <c r="A129" t="s">
        <v>312</v>
      </c>
      <c r="B129" s="1">
        <v>45655</v>
      </c>
      <c r="C129" t="s">
        <v>20</v>
      </c>
      <c r="D129" t="s">
        <v>14</v>
      </c>
      <c r="E129" t="s">
        <v>313</v>
      </c>
      <c r="F129" t="s">
        <v>23</v>
      </c>
      <c r="G129">
        <v>2</v>
      </c>
      <c r="H129">
        <v>1494.81</v>
      </c>
      <c r="I129">
        <v>5</v>
      </c>
      <c r="J129">
        <v>610.74</v>
      </c>
      <c r="K129" t="s">
        <v>17</v>
      </c>
      <c r="L129" t="s">
        <v>33</v>
      </c>
      <c r="M129">
        <f t="shared" si="5"/>
        <v>2840.1389999999997</v>
      </c>
      <c r="N129">
        <f t="shared" si="6"/>
        <v>1618.6589999999997</v>
      </c>
      <c r="O129" t="str">
        <f t="shared" si="7"/>
        <v>Sunday</v>
      </c>
      <c r="P129" t="b">
        <f t="shared" si="8"/>
        <v>1</v>
      </c>
      <c r="Q129" t="str">
        <f t="shared" si="9"/>
        <v>December</v>
      </c>
    </row>
    <row r="130" spans="1:17" x14ac:dyDescent="0.4">
      <c r="A130" t="s">
        <v>314</v>
      </c>
      <c r="B130" s="1">
        <v>45604</v>
      </c>
      <c r="C130" t="s">
        <v>54</v>
      </c>
      <c r="D130" t="s">
        <v>21</v>
      </c>
      <c r="E130" t="s">
        <v>315</v>
      </c>
      <c r="F130" t="s">
        <v>28</v>
      </c>
      <c r="G130">
        <v>5</v>
      </c>
      <c r="H130">
        <v>607.29999999999995</v>
      </c>
      <c r="I130">
        <v>0</v>
      </c>
      <c r="J130">
        <v>352.79</v>
      </c>
      <c r="K130" t="s">
        <v>24</v>
      </c>
      <c r="L130" t="s">
        <v>33</v>
      </c>
      <c r="M130">
        <f t="shared" si="5"/>
        <v>3036.5</v>
      </c>
      <c r="N130">
        <f t="shared" si="6"/>
        <v>1272.55</v>
      </c>
      <c r="O130" t="str">
        <f t="shared" si="7"/>
        <v>Friday</v>
      </c>
      <c r="P130" t="b">
        <f t="shared" si="8"/>
        <v>0</v>
      </c>
      <c r="Q130" t="str">
        <f t="shared" si="9"/>
        <v>November</v>
      </c>
    </row>
    <row r="131" spans="1:17" x14ac:dyDescent="0.4">
      <c r="A131" t="s">
        <v>316</v>
      </c>
      <c r="B131" s="1">
        <v>45410</v>
      </c>
      <c r="C131" t="s">
        <v>278</v>
      </c>
      <c r="D131" t="s">
        <v>46</v>
      </c>
      <c r="E131" t="s">
        <v>317</v>
      </c>
      <c r="F131" t="s">
        <v>28</v>
      </c>
      <c r="G131">
        <v>2</v>
      </c>
      <c r="H131">
        <v>1238.99</v>
      </c>
      <c r="I131">
        <v>15</v>
      </c>
      <c r="J131">
        <v>863.07</v>
      </c>
      <c r="K131" t="s">
        <v>24</v>
      </c>
      <c r="L131" t="s">
        <v>37</v>
      </c>
      <c r="M131">
        <f t="shared" ref="M131:M194" si="10">G131 * H131 * (1 - I131/100)</f>
        <v>2106.2829999999999</v>
      </c>
      <c r="N131">
        <f t="shared" ref="N131:N194" si="11">M131 - (J131 * G131)</f>
        <v>380.1429999999998</v>
      </c>
      <c r="O131" t="str">
        <f t="shared" ref="O131:O194" si="12">TEXT(B131,"dddd")</f>
        <v>Sunday</v>
      </c>
      <c r="P131" t="b">
        <f t="shared" ref="P131:P194" si="13">OR(TEXT(B131,"ddd")="Sat", TEXT(B131,"ddd")="Sun")</f>
        <v>1</v>
      </c>
      <c r="Q131" t="str">
        <f t="shared" ref="Q131:Q194" si="14">TEXT(B131,"mmmm")</f>
        <v>April</v>
      </c>
    </row>
    <row r="132" spans="1:17" x14ac:dyDescent="0.4">
      <c r="A132" t="s">
        <v>318</v>
      </c>
      <c r="B132" s="1">
        <v>45661</v>
      </c>
      <c r="C132" t="s">
        <v>39</v>
      </c>
      <c r="D132" t="s">
        <v>21</v>
      </c>
      <c r="E132" t="s">
        <v>164</v>
      </c>
      <c r="F132" t="s">
        <v>16</v>
      </c>
      <c r="G132">
        <v>4</v>
      </c>
      <c r="H132">
        <v>408.53</v>
      </c>
      <c r="I132">
        <v>15</v>
      </c>
      <c r="J132">
        <v>224.35</v>
      </c>
      <c r="K132" t="s">
        <v>17</v>
      </c>
      <c r="L132" t="s">
        <v>18</v>
      </c>
      <c r="M132">
        <f t="shared" si="10"/>
        <v>1389.002</v>
      </c>
      <c r="N132">
        <f t="shared" si="11"/>
        <v>491.60199999999998</v>
      </c>
      <c r="O132" t="str">
        <f t="shared" si="12"/>
        <v>Saturday</v>
      </c>
      <c r="P132" t="b">
        <f t="shared" si="13"/>
        <v>1</v>
      </c>
      <c r="Q132" t="str">
        <f t="shared" si="14"/>
        <v>January</v>
      </c>
    </row>
    <row r="133" spans="1:17" x14ac:dyDescent="0.4">
      <c r="A133" t="s">
        <v>319</v>
      </c>
      <c r="B133" s="1">
        <v>45935</v>
      </c>
      <c r="C133" t="s">
        <v>152</v>
      </c>
      <c r="D133" t="s">
        <v>21</v>
      </c>
      <c r="E133" t="s">
        <v>52</v>
      </c>
      <c r="F133" t="s">
        <v>23</v>
      </c>
      <c r="G133">
        <v>4</v>
      </c>
      <c r="H133">
        <v>1946.77</v>
      </c>
      <c r="I133">
        <v>5</v>
      </c>
      <c r="J133">
        <v>842.69</v>
      </c>
      <c r="K133" t="s">
        <v>17</v>
      </c>
      <c r="L133" t="s">
        <v>33</v>
      </c>
      <c r="M133">
        <f t="shared" si="10"/>
        <v>7397.7259999999997</v>
      </c>
      <c r="N133">
        <f t="shared" si="11"/>
        <v>4026.9659999999994</v>
      </c>
      <c r="O133" t="str">
        <f t="shared" si="12"/>
        <v>Sunday</v>
      </c>
      <c r="P133" t="b">
        <f t="shared" si="13"/>
        <v>1</v>
      </c>
      <c r="Q133" t="str">
        <f t="shared" si="14"/>
        <v>October</v>
      </c>
    </row>
    <row r="134" spans="1:17" x14ac:dyDescent="0.4">
      <c r="A134" t="s">
        <v>320</v>
      </c>
      <c r="B134" s="1">
        <v>45960</v>
      </c>
      <c r="C134" t="s">
        <v>139</v>
      </c>
      <c r="D134" t="s">
        <v>21</v>
      </c>
      <c r="E134" t="s">
        <v>307</v>
      </c>
      <c r="F134" t="s">
        <v>16</v>
      </c>
      <c r="G134">
        <v>2</v>
      </c>
      <c r="H134">
        <v>1317.78</v>
      </c>
      <c r="I134">
        <v>20</v>
      </c>
      <c r="J134">
        <v>741.99</v>
      </c>
      <c r="K134" t="s">
        <v>17</v>
      </c>
      <c r="L134" t="s">
        <v>18</v>
      </c>
      <c r="M134">
        <f t="shared" si="10"/>
        <v>2108.4479999999999</v>
      </c>
      <c r="N134">
        <f t="shared" si="11"/>
        <v>624.46799999999985</v>
      </c>
      <c r="O134" t="str">
        <f t="shared" si="12"/>
        <v>Thursday</v>
      </c>
      <c r="P134" t="b">
        <f t="shared" si="13"/>
        <v>0</v>
      </c>
      <c r="Q134" t="str">
        <f t="shared" si="14"/>
        <v>October</v>
      </c>
    </row>
    <row r="135" spans="1:17" x14ac:dyDescent="0.4">
      <c r="A135" t="s">
        <v>321</v>
      </c>
      <c r="B135" s="1">
        <v>45815</v>
      </c>
      <c r="C135" t="s">
        <v>122</v>
      </c>
      <c r="D135" t="s">
        <v>14</v>
      </c>
      <c r="E135" t="s">
        <v>322</v>
      </c>
      <c r="F135" t="s">
        <v>23</v>
      </c>
      <c r="G135">
        <v>1</v>
      </c>
      <c r="H135">
        <v>736.08</v>
      </c>
      <c r="I135">
        <v>20</v>
      </c>
      <c r="J135">
        <v>419.94</v>
      </c>
      <c r="K135" t="s">
        <v>24</v>
      </c>
      <c r="L135" t="s">
        <v>37</v>
      </c>
      <c r="M135">
        <f t="shared" si="10"/>
        <v>588.86400000000003</v>
      </c>
      <c r="N135">
        <f t="shared" si="11"/>
        <v>168.92400000000004</v>
      </c>
      <c r="O135" t="str">
        <f t="shared" si="12"/>
        <v>Saturday</v>
      </c>
      <c r="P135" t="b">
        <f t="shared" si="13"/>
        <v>1</v>
      </c>
      <c r="Q135" t="str">
        <f t="shared" si="14"/>
        <v>June</v>
      </c>
    </row>
    <row r="136" spans="1:17" x14ac:dyDescent="0.4">
      <c r="A136" t="s">
        <v>323</v>
      </c>
      <c r="B136" s="1">
        <v>45883</v>
      </c>
      <c r="C136" t="s">
        <v>77</v>
      </c>
      <c r="D136" t="s">
        <v>46</v>
      </c>
      <c r="E136" t="s">
        <v>324</v>
      </c>
      <c r="F136" t="s">
        <v>28</v>
      </c>
      <c r="G136">
        <v>4</v>
      </c>
      <c r="H136">
        <v>1467.1</v>
      </c>
      <c r="I136">
        <v>15</v>
      </c>
      <c r="J136">
        <v>887.54</v>
      </c>
      <c r="K136" t="s">
        <v>17</v>
      </c>
      <c r="L136" t="s">
        <v>33</v>
      </c>
      <c r="M136">
        <f t="shared" si="10"/>
        <v>4988.1399999999994</v>
      </c>
      <c r="N136">
        <f t="shared" si="11"/>
        <v>1437.9799999999996</v>
      </c>
      <c r="O136" t="str">
        <f t="shared" si="12"/>
        <v>Thursday</v>
      </c>
      <c r="P136" t="b">
        <f t="shared" si="13"/>
        <v>0</v>
      </c>
      <c r="Q136" t="str">
        <f t="shared" si="14"/>
        <v>August</v>
      </c>
    </row>
    <row r="137" spans="1:17" x14ac:dyDescent="0.4">
      <c r="A137" t="s">
        <v>325</v>
      </c>
      <c r="B137" s="1">
        <v>45985</v>
      </c>
      <c r="C137" t="s">
        <v>185</v>
      </c>
      <c r="D137" t="s">
        <v>31</v>
      </c>
      <c r="E137" t="s">
        <v>326</v>
      </c>
      <c r="F137" t="s">
        <v>16</v>
      </c>
      <c r="G137">
        <v>2</v>
      </c>
      <c r="H137">
        <v>2776.74</v>
      </c>
      <c r="I137">
        <v>0</v>
      </c>
      <c r="J137">
        <v>1172.31</v>
      </c>
      <c r="K137" t="s">
        <v>17</v>
      </c>
      <c r="L137" t="s">
        <v>33</v>
      </c>
      <c r="M137">
        <f t="shared" si="10"/>
        <v>5553.48</v>
      </c>
      <c r="N137">
        <f t="shared" si="11"/>
        <v>3208.8599999999997</v>
      </c>
      <c r="O137" t="str">
        <f t="shared" si="12"/>
        <v>Monday</v>
      </c>
      <c r="P137" t="b">
        <f t="shared" si="13"/>
        <v>0</v>
      </c>
      <c r="Q137" t="str">
        <f t="shared" si="14"/>
        <v>November</v>
      </c>
    </row>
    <row r="138" spans="1:17" x14ac:dyDescent="0.4">
      <c r="A138" t="s">
        <v>327</v>
      </c>
      <c r="B138" s="1">
        <v>45495</v>
      </c>
      <c r="C138" t="s">
        <v>139</v>
      </c>
      <c r="D138" t="s">
        <v>14</v>
      </c>
      <c r="E138" t="s">
        <v>328</v>
      </c>
      <c r="F138" t="s">
        <v>28</v>
      </c>
      <c r="G138">
        <v>2</v>
      </c>
      <c r="H138">
        <v>1489.83</v>
      </c>
      <c r="I138">
        <v>10</v>
      </c>
      <c r="J138">
        <v>711.67</v>
      </c>
      <c r="K138" t="s">
        <v>24</v>
      </c>
      <c r="L138" t="s">
        <v>18</v>
      </c>
      <c r="M138">
        <f t="shared" si="10"/>
        <v>2681.694</v>
      </c>
      <c r="N138">
        <f t="shared" si="11"/>
        <v>1258.354</v>
      </c>
      <c r="O138" t="str">
        <f t="shared" si="12"/>
        <v>Monday</v>
      </c>
      <c r="P138" t="b">
        <f t="shared" si="13"/>
        <v>0</v>
      </c>
      <c r="Q138" t="str">
        <f t="shared" si="14"/>
        <v>July</v>
      </c>
    </row>
    <row r="139" spans="1:17" x14ac:dyDescent="0.4">
      <c r="A139" t="s">
        <v>329</v>
      </c>
      <c r="B139" s="1">
        <v>45957</v>
      </c>
      <c r="C139" t="s">
        <v>179</v>
      </c>
      <c r="D139" t="s">
        <v>21</v>
      </c>
      <c r="E139" t="s">
        <v>330</v>
      </c>
      <c r="F139" t="s">
        <v>23</v>
      </c>
      <c r="G139">
        <v>1</v>
      </c>
      <c r="H139">
        <v>1915.7</v>
      </c>
      <c r="I139">
        <v>25</v>
      </c>
      <c r="J139">
        <v>953.78</v>
      </c>
      <c r="K139" t="s">
        <v>24</v>
      </c>
      <c r="L139" t="s">
        <v>37</v>
      </c>
      <c r="M139">
        <f t="shared" si="10"/>
        <v>1436.7750000000001</v>
      </c>
      <c r="N139">
        <f t="shared" si="11"/>
        <v>482.99500000000012</v>
      </c>
      <c r="O139" t="str">
        <f t="shared" si="12"/>
        <v>Monday</v>
      </c>
      <c r="P139" t="b">
        <f t="shared" si="13"/>
        <v>0</v>
      </c>
      <c r="Q139" t="str">
        <f t="shared" si="14"/>
        <v>October</v>
      </c>
    </row>
    <row r="140" spans="1:17" x14ac:dyDescent="0.4">
      <c r="A140" t="s">
        <v>331</v>
      </c>
      <c r="B140" s="1">
        <v>45600</v>
      </c>
      <c r="C140" t="s">
        <v>273</v>
      </c>
      <c r="D140" t="s">
        <v>46</v>
      </c>
      <c r="E140" t="s">
        <v>332</v>
      </c>
      <c r="F140" t="s">
        <v>16</v>
      </c>
      <c r="G140">
        <v>4</v>
      </c>
      <c r="H140">
        <v>1866.5</v>
      </c>
      <c r="I140">
        <v>0</v>
      </c>
      <c r="J140">
        <v>924.8</v>
      </c>
      <c r="K140" t="s">
        <v>17</v>
      </c>
      <c r="L140" t="s">
        <v>37</v>
      </c>
      <c r="M140">
        <f t="shared" si="10"/>
        <v>7466</v>
      </c>
      <c r="N140">
        <f t="shared" si="11"/>
        <v>3766.8</v>
      </c>
      <c r="O140" t="str">
        <f t="shared" si="12"/>
        <v>Monday</v>
      </c>
      <c r="P140" t="b">
        <f t="shared" si="13"/>
        <v>0</v>
      </c>
      <c r="Q140" t="str">
        <f t="shared" si="14"/>
        <v>November</v>
      </c>
    </row>
    <row r="141" spans="1:17" x14ac:dyDescent="0.4">
      <c r="A141" t="s">
        <v>333</v>
      </c>
      <c r="B141" s="1">
        <v>45747</v>
      </c>
      <c r="C141" t="s">
        <v>273</v>
      </c>
      <c r="D141" t="s">
        <v>21</v>
      </c>
      <c r="E141" t="s">
        <v>334</v>
      </c>
      <c r="F141" t="s">
        <v>28</v>
      </c>
      <c r="G141">
        <v>4</v>
      </c>
      <c r="H141">
        <v>2195.58</v>
      </c>
      <c r="I141">
        <v>10</v>
      </c>
      <c r="J141">
        <v>986.91</v>
      </c>
      <c r="K141" t="s">
        <v>17</v>
      </c>
      <c r="L141" t="s">
        <v>37</v>
      </c>
      <c r="M141">
        <f t="shared" si="10"/>
        <v>7904.0879999999997</v>
      </c>
      <c r="N141">
        <f t="shared" si="11"/>
        <v>3956.4479999999999</v>
      </c>
      <c r="O141" t="str">
        <f t="shared" si="12"/>
        <v>Monday</v>
      </c>
      <c r="P141" t="b">
        <f t="shared" si="13"/>
        <v>0</v>
      </c>
      <c r="Q141" t="str">
        <f t="shared" si="14"/>
        <v>March</v>
      </c>
    </row>
    <row r="142" spans="1:17" x14ac:dyDescent="0.4">
      <c r="A142" t="s">
        <v>335</v>
      </c>
      <c r="B142" s="1">
        <v>45296</v>
      </c>
      <c r="C142" t="s">
        <v>98</v>
      </c>
      <c r="D142" t="s">
        <v>21</v>
      </c>
      <c r="E142" t="s">
        <v>336</v>
      </c>
      <c r="F142" t="s">
        <v>23</v>
      </c>
      <c r="G142">
        <v>4</v>
      </c>
      <c r="H142">
        <v>815.65</v>
      </c>
      <c r="I142">
        <v>30</v>
      </c>
      <c r="J142">
        <v>445.28</v>
      </c>
      <c r="K142" t="s">
        <v>17</v>
      </c>
      <c r="L142" t="s">
        <v>37</v>
      </c>
      <c r="M142">
        <f t="shared" si="10"/>
        <v>2283.8199999999997</v>
      </c>
      <c r="N142">
        <f t="shared" si="11"/>
        <v>502.69999999999982</v>
      </c>
      <c r="O142" t="str">
        <f t="shared" si="12"/>
        <v>Friday</v>
      </c>
      <c r="P142" t="b">
        <f t="shared" si="13"/>
        <v>0</v>
      </c>
      <c r="Q142" t="str">
        <f t="shared" si="14"/>
        <v>January</v>
      </c>
    </row>
    <row r="143" spans="1:17" x14ac:dyDescent="0.4">
      <c r="A143" t="s">
        <v>337</v>
      </c>
      <c r="B143" s="1">
        <v>45758</v>
      </c>
      <c r="C143" t="s">
        <v>119</v>
      </c>
      <c r="D143" t="s">
        <v>14</v>
      </c>
      <c r="E143" t="s">
        <v>338</v>
      </c>
      <c r="F143" t="s">
        <v>23</v>
      </c>
      <c r="G143">
        <v>5</v>
      </c>
      <c r="H143">
        <v>308.27999999999997</v>
      </c>
      <c r="I143">
        <v>30</v>
      </c>
      <c r="J143">
        <v>186.92</v>
      </c>
      <c r="K143" t="s">
        <v>24</v>
      </c>
      <c r="L143" t="s">
        <v>18</v>
      </c>
      <c r="M143">
        <f t="shared" si="10"/>
        <v>1078.9799999999998</v>
      </c>
      <c r="N143">
        <f t="shared" si="11"/>
        <v>144.37999999999988</v>
      </c>
      <c r="O143" t="str">
        <f t="shared" si="12"/>
        <v>Friday</v>
      </c>
      <c r="P143" t="b">
        <f t="shared" si="13"/>
        <v>0</v>
      </c>
      <c r="Q143" t="str">
        <f t="shared" si="14"/>
        <v>April</v>
      </c>
    </row>
    <row r="144" spans="1:17" x14ac:dyDescent="0.4">
      <c r="A144" t="s">
        <v>339</v>
      </c>
      <c r="B144" s="1">
        <v>45981</v>
      </c>
      <c r="C144" t="s">
        <v>92</v>
      </c>
      <c r="D144" t="s">
        <v>31</v>
      </c>
      <c r="E144" t="s">
        <v>340</v>
      </c>
      <c r="F144" t="s">
        <v>16</v>
      </c>
      <c r="G144">
        <v>5</v>
      </c>
      <c r="H144">
        <v>1194.3900000000001</v>
      </c>
      <c r="I144">
        <v>0</v>
      </c>
      <c r="J144">
        <v>513.41</v>
      </c>
      <c r="K144" t="s">
        <v>24</v>
      </c>
      <c r="L144" t="s">
        <v>18</v>
      </c>
      <c r="M144">
        <f t="shared" si="10"/>
        <v>5971.9500000000007</v>
      </c>
      <c r="N144">
        <f t="shared" si="11"/>
        <v>3404.900000000001</v>
      </c>
      <c r="O144" t="str">
        <f t="shared" si="12"/>
        <v>Thursday</v>
      </c>
      <c r="P144" t="b">
        <f t="shared" si="13"/>
        <v>0</v>
      </c>
      <c r="Q144" t="str">
        <f t="shared" si="14"/>
        <v>November</v>
      </c>
    </row>
    <row r="145" spans="1:17" x14ac:dyDescent="0.4">
      <c r="A145" t="s">
        <v>341</v>
      </c>
      <c r="B145" s="1">
        <v>45856</v>
      </c>
      <c r="C145" t="s">
        <v>84</v>
      </c>
      <c r="D145" t="s">
        <v>31</v>
      </c>
      <c r="E145" t="s">
        <v>75</v>
      </c>
      <c r="F145" t="s">
        <v>16</v>
      </c>
      <c r="G145">
        <v>1</v>
      </c>
      <c r="H145">
        <v>2259.21</v>
      </c>
      <c r="I145">
        <v>20</v>
      </c>
      <c r="J145">
        <v>1547.93</v>
      </c>
      <c r="K145" t="s">
        <v>17</v>
      </c>
      <c r="L145" t="s">
        <v>33</v>
      </c>
      <c r="M145">
        <f t="shared" si="10"/>
        <v>1807.3680000000002</v>
      </c>
      <c r="N145">
        <f t="shared" si="11"/>
        <v>259.4380000000001</v>
      </c>
      <c r="O145" t="str">
        <f t="shared" si="12"/>
        <v>Friday</v>
      </c>
      <c r="P145" t="b">
        <f t="shared" si="13"/>
        <v>0</v>
      </c>
      <c r="Q145" t="str">
        <f t="shared" si="14"/>
        <v>July</v>
      </c>
    </row>
    <row r="146" spans="1:17" x14ac:dyDescent="0.4">
      <c r="A146" t="s">
        <v>342</v>
      </c>
      <c r="B146" s="1">
        <v>45950</v>
      </c>
      <c r="C146" t="s">
        <v>20</v>
      </c>
      <c r="D146" t="s">
        <v>21</v>
      </c>
      <c r="E146" t="s">
        <v>343</v>
      </c>
      <c r="F146" t="s">
        <v>28</v>
      </c>
      <c r="G146">
        <v>2</v>
      </c>
      <c r="H146">
        <v>459.06</v>
      </c>
      <c r="I146">
        <v>15</v>
      </c>
      <c r="J146">
        <v>265.02999999999997</v>
      </c>
      <c r="K146" t="s">
        <v>24</v>
      </c>
      <c r="L146" t="s">
        <v>33</v>
      </c>
      <c r="M146">
        <f t="shared" si="10"/>
        <v>780.40199999999993</v>
      </c>
      <c r="N146">
        <f t="shared" si="11"/>
        <v>250.34199999999998</v>
      </c>
      <c r="O146" t="str">
        <f t="shared" si="12"/>
        <v>Monday</v>
      </c>
      <c r="P146" t="b">
        <f t="shared" si="13"/>
        <v>0</v>
      </c>
      <c r="Q146" t="str">
        <f t="shared" si="14"/>
        <v>October</v>
      </c>
    </row>
    <row r="147" spans="1:17" x14ac:dyDescent="0.4">
      <c r="A147" t="s">
        <v>344</v>
      </c>
      <c r="B147" s="1">
        <v>45716</v>
      </c>
      <c r="C147" t="s">
        <v>77</v>
      </c>
      <c r="D147" t="s">
        <v>46</v>
      </c>
      <c r="E147" t="s">
        <v>36</v>
      </c>
      <c r="F147" t="s">
        <v>16</v>
      </c>
      <c r="G147">
        <v>1</v>
      </c>
      <c r="H147">
        <v>2088.35</v>
      </c>
      <c r="I147">
        <v>10</v>
      </c>
      <c r="J147">
        <v>902.76</v>
      </c>
      <c r="K147" t="s">
        <v>24</v>
      </c>
      <c r="L147" t="s">
        <v>18</v>
      </c>
      <c r="M147">
        <f t="shared" si="10"/>
        <v>1879.5149999999999</v>
      </c>
      <c r="N147">
        <f t="shared" si="11"/>
        <v>976.75499999999988</v>
      </c>
      <c r="O147" t="str">
        <f t="shared" si="12"/>
        <v>Friday</v>
      </c>
      <c r="P147" t="b">
        <f t="shared" si="13"/>
        <v>0</v>
      </c>
      <c r="Q147" t="str">
        <f t="shared" si="14"/>
        <v>February</v>
      </c>
    </row>
    <row r="148" spans="1:17" x14ac:dyDescent="0.4">
      <c r="A148" t="s">
        <v>345</v>
      </c>
      <c r="B148" s="1">
        <v>45948</v>
      </c>
      <c r="C148" t="s">
        <v>146</v>
      </c>
      <c r="D148" t="s">
        <v>31</v>
      </c>
      <c r="E148" t="s">
        <v>346</v>
      </c>
      <c r="F148" t="s">
        <v>16</v>
      </c>
      <c r="G148">
        <v>4</v>
      </c>
      <c r="H148">
        <v>630.37</v>
      </c>
      <c r="I148">
        <v>20</v>
      </c>
      <c r="J148">
        <v>325.08</v>
      </c>
      <c r="K148" t="s">
        <v>24</v>
      </c>
      <c r="L148" t="s">
        <v>37</v>
      </c>
      <c r="M148">
        <f t="shared" si="10"/>
        <v>2017.1840000000002</v>
      </c>
      <c r="N148">
        <f t="shared" si="11"/>
        <v>716.86400000000026</v>
      </c>
      <c r="O148" t="str">
        <f t="shared" si="12"/>
        <v>Saturday</v>
      </c>
      <c r="P148" t="b">
        <f t="shared" si="13"/>
        <v>1</v>
      </c>
      <c r="Q148" t="str">
        <f t="shared" si="14"/>
        <v>October</v>
      </c>
    </row>
    <row r="149" spans="1:17" x14ac:dyDescent="0.4">
      <c r="A149" t="s">
        <v>347</v>
      </c>
      <c r="B149" s="1">
        <v>45769</v>
      </c>
      <c r="C149" t="s">
        <v>119</v>
      </c>
      <c r="D149" t="s">
        <v>46</v>
      </c>
      <c r="E149" t="s">
        <v>348</v>
      </c>
      <c r="F149" t="s">
        <v>16</v>
      </c>
      <c r="G149">
        <v>5</v>
      </c>
      <c r="H149">
        <v>2151.19</v>
      </c>
      <c r="I149">
        <v>5</v>
      </c>
      <c r="J149">
        <v>1302.8</v>
      </c>
      <c r="K149" t="s">
        <v>17</v>
      </c>
      <c r="L149" t="s">
        <v>37</v>
      </c>
      <c r="M149">
        <f t="shared" si="10"/>
        <v>10218.1525</v>
      </c>
      <c r="N149">
        <f t="shared" si="11"/>
        <v>3704.1525000000001</v>
      </c>
      <c r="O149" t="str">
        <f t="shared" si="12"/>
        <v>Tuesday</v>
      </c>
      <c r="P149" t="b">
        <f t="shared" si="13"/>
        <v>0</v>
      </c>
      <c r="Q149" t="str">
        <f t="shared" si="14"/>
        <v>April</v>
      </c>
    </row>
    <row r="150" spans="1:17" x14ac:dyDescent="0.4">
      <c r="A150" t="s">
        <v>349</v>
      </c>
      <c r="B150" s="1">
        <v>45567</v>
      </c>
      <c r="C150" t="s">
        <v>253</v>
      </c>
      <c r="D150" t="s">
        <v>21</v>
      </c>
      <c r="E150" t="s">
        <v>222</v>
      </c>
      <c r="F150" t="s">
        <v>23</v>
      </c>
      <c r="G150">
        <v>5</v>
      </c>
      <c r="H150">
        <v>2069.6999999999998</v>
      </c>
      <c r="I150">
        <v>10</v>
      </c>
      <c r="J150">
        <v>1437.92</v>
      </c>
      <c r="K150" t="s">
        <v>24</v>
      </c>
      <c r="L150" t="s">
        <v>18</v>
      </c>
      <c r="M150">
        <f t="shared" si="10"/>
        <v>9313.65</v>
      </c>
      <c r="N150">
        <f t="shared" si="11"/>
        <v>2124.0499999999993</v>
      </c>
      <c r="O150" t="str">
        <f t="shared" si="12"/>
        <v>Wednesday</v>
      </c>
      <c r="P150" t="b">
        <f t="shared" si="13"/>
        <v>0</v>
      </c>
      <c r="Q150" t="str">
        <f t="shared" si="14"/>
        <v>October</v>
      </c>
    </row>
    <row r="151" spans="1:17" x14ac:dyDescent="0.4">
      <c r="A151" t="s">
        <v>350</v>
      </c>
      <c r="B151" s="1">
        <v>45687</v>
      </c>
      <c r="C151" t="s">
        <v>59</v>
      </c>
      <c r="D151" t="s">
        <v>21</v>
      </c>
      <c r="E151" t="s">
        <v>299</v>
      </c>
      <c r="F151" t="s">
        <v>28</v>
      </c>
      <c r="G151">
        <v>4</v>
      </c>
      <c r="H151">
        <v>938.93</v>
      </c>
      <c r="I151">
        <v>15</v>
      </c>
      <c r="J151">
        <v>503.81</v>
      </c>
      <c r="K151" t="s">
        <v>17</v>
      </c>
      <c r="L151" t="s">
        <v>37</v>
      </c>
      <c r="M151">
        <f t="shared" si="10"/>
        <v>3192.3619999999996</v>
      </c>
      <c r="N151">
        <f t="shared" si="11"/>
        <v>1177.1219999999996</v>
      </c>
      <c r="O151" t="str">
        <f t="shared" si="12"/>
        <v>Thursday</v>
      </c>
      <c r="P151" t="b">
        <f t="shared" si="13"/>
        <v>0</v>
      </c>
      <c r="Q151" t="str">
        <f t="shared" si="14"/>
        <v>January</v>
      </c>
    </row>
    <row r="152" spans="1:17" x14ac:dyDescent="0.4">
      <c r="A152" t="s">
        <v>351</v>
      </c>
      <c r="B152" s="1">
        <v>45497</v>
      </c>
      <c r="C152" t="s">
        <v>30</v>
      </c>
      <c r="D152" t="s">
        <v>46</v>
      </c>
      <c r="E152" t="s">
        <v>352</v>
      </c>
      <c r="F152" t="s">
        <v>23</v>
      </c>
      <c r="G152">
        <v>2</v>
      </c>
      <c r="H152">
        <v>1342.71</v>
      </c>
      <c r="I152">
        <v>5</v>
      </c>
      <c r="J152">
        <v>865.89</v>
      </c>
      <c r="K152" t="s">
        <v>17</v>
      </c>
      <c r="L152" t="s">
        <v>33</v>
      </c>
      <c r="M152">
        <f t="shared" si="10"/>
        <v>2551.1489999999999</v>
      </c>
      <c r="N152">
        <f t="shared" si="11"/>
        <v>819.36899999999991</v>
      </c>
      <c r="O152" t="str">
        <f t="shared" si="12"/>
        <v>Wednesday</v>
      </c>
      <c r="P152" t="b">
        <f t="shared" si="13"/>
        <v>0</v>
      </c>
      <c r="Q152" t="str">
        <f t="shared" si="14"/>
        <v>July</v>
      </c>
    </row>
    <row r="153" spans="1:17" x14ac:dyDescent="0.4">
      <c r="A153" t="s">
        <v>353</v>
      </c>
      <c r="B153" s="1">
        <v>45616</v>
      </c>
      <c r="C153" t="s">
        <v>190</v>
      </c>
      <c r="D153" t="s">
        <v>14</v>
      </c>
      <c r="E153" t="s">
        <v>354</v>
      </c>
      <c r="F153" t="s">
        <v>23</v>
      </c>
      <c r="G153">
        <v>4</v>
      </c>
      <c r="H153">
        <v>1331.55</v>
      </c>
      <c r="I153">
        <v>0</v>
      </c>
      <c r="J153">
        <v>546.16</v>
      </c>
      <c r="K153" t="s">
        <v>17</v>
      </c>
      <c r="L153" t="s">
        <v>33</v>
      </c>
      <c r="M153">
        <f t="shared" si="10"/>
        <v>5326.2</v>
      </c>
      <c r="N153">
        <f t="shared" si="11"/>
        <v>3141.56</v>
      </c>
      <c r="O153" t="str">
        <f t="shared" si="12"/>
        <v>Wednesday</v>
      </c>
      <c r="P153" t="b">
        <f t="shared" si="13"/>
        <v>0</v>
      </c>
      <c r="Q153" t="str">
        <f t="shared" si="14"/>
        <v>November</v>
      </c>
    </row>
    <row r="154" spans="1:17" x14ac:dyDescent="0.4">
      <c r="A154" t="s">
        <v>355</v>
      </c>
      <c r="B154" s="1">
        <v>45293</v>
      </c>
      <c r="C154" t="s">
        <v>302</v>
      </c>
      <c r="D154" t="s">
        <v>21</v>
      </c>
      <c r="E154" t="s">
        <v>249</v>
      </c>
      <c r="F154" t="s">
        <v>23</v>
      </c>
      <c r="G154">
        <v>3</v>
      </c>
      <c r="H154">
        <v>2293.23</v>
      </c>
      <c r="I154">
        <v>30</v>
      </c>
      <c r="J154">
        <v>1197.82</v>
      </c>
      <c r="K154" t="s">
        <v>17</v>
      </c>
      <c r="L154" t="s">
        <v>37</v>
      </c>
      <c r="M154">
        <f t="shared" si="10"/>
        <v>4815.7830000000004</v>
      </c>
      <c r="N154">
        <f t="shared" si="11"/>
        <v>1222.3230000000003</v>
      </c>
      <c r="O154" t="str">
        <f t="shared" si="12"/>
        <v>Tuesday</v>
      </c>
      <c r="P154" t="b">
        <f t="shared" si="13"/>
        <v>0</v>
      </c>
      <c r="Q154" t="str">
        <f t="shared" si="14"/>
        <v>January</v>
      </c>
    </row>
    <row r="155" spans="1:17" x14ac:dyDescent="0.4">
      <c r="A155" t="s">
        <v>356</v>
      </c>
      <c r="B155" s="1">
        <v>45433</v>
      </c>
      <c r="C155" t="s">
        <v>109</v>
      </c>
      <c r="D155" t="s">
        <v>21</v>
      </c>
      <c r="E155" t="s">
        <v>357</v>
      </c>
      <c r="F155" t="s">
        <v>28</v>
      </c>
      <c r="G155">
        <v>2</v>
      </c>
      <c r="H155">
        <v>2830.44</v>
      </c>
      <c r="I155">
        <v>30</v>
      </c>
      <c r="J155">
        <v>1257.1300000000001</v>
      </c>
      <c r="K155" t="s">
        <v>24</v>
      </c>
      <c r="L155" t="s">
        <v>18</v>
      </c>
      <c r="M155">
        <f t="shared" si="10"/>
        <v>3962.616</v>
      </c>
      <c r="N155">
        <f t="shared" si="11"/>
        <v>1448.3559999999998</v>
      </c>
      <c r="O155" t="str">
        <f t="shared" si="12"/>
        <v>Tuesday</v>
      </c>
      <c r="P155" t="b">
        <f t="shared" si="13"/>
        <v>0</v>
      </c>
      <c r="Q155" t="str">
        <f t="shared" si="14"/>
        <v>May</v>
      </c>
    </row>
    <row r="156" spans="1:17" x14ac:dyDescent="0.4">
      <c r="A156" t="s">
        <v>358</v>
      </c>
      <c r="B156" s="1">
        <v>45458</v>
      </c>
      <c r="C156" t="s">
        <v>30</v>
      </c>
      <c r="D156" t="s">
        <v>14</v>
      </c>
      <c r="E156" t="s">
        <v>326</v>
      </c>
      <c r="F156" t="s">
        <v>28</v>
      </c>
      <c r="G156">
        <v>4</v>
      </c>
      <c r="H156">
        <v>1965.17</v>
      </c>
      <c r="I156">
        <v>15</v>
      </c>
      <c r="J156">
        <v>1241.5</v>
      </c>
      <c r="K156" t="s">
        <v>24</v>
      </c>
      <c r="L156" t="s">
        <v>37</v>
      </c>
      <c r="M156">
        <f t="shared" si="10"/>
        <v>6681.5780000000004</v>
      </c>
      <c r="N156">
        <f t="shared" si="11"/>
        <v>1715.5780000000004</v>
      </c>
      <c r="O156" t="str">
        <f t="shared" si="12"/>
        <v>Saturday</v>
      </c>
      <c r="P156" t="b">
        <f t="shared" si="13"/>
        <v>1</v>
      </c>
      <c r="Q156" t="str">
        <f t="shared" si="14"/>
        <v>June</v>
      </c>
    </row>
    <row r="157" spans="1:17" x14ac:dyDescent="0.4">
      <c r="A157" t="s">
        <v>359</v>
      </c>
      <c r="B157" s="1">
        <v>45636</v>
      </c>
      <c r="C157" t="s">
        <v>241</v>
      </c>
      <c r="D157" t="s">
        <v>14</v>
      </c>
      <c r="E157" t="s">
        <v>55</v>
      </c>
      <c r="F157" t="s">
        <v>23</v>
      </c>
      <c r="G157">
        <v>1</v>
      </c>
      <c r="H157">
        <v>2083.12</v>
      </c>
      <c r="I157">
        <v>10</v>
      </c>
      <c r="J157">
        <v>1185.4100000000001</v>
      </c>
      <c r="K157" t="s">
        <v>24</v>
      </c>
      <c r="L157" t="s">
        <v>37</v>
      </c>
      <c r="M157">
        <f t="shared" si="10"/>
        <v>1874.808</v>
      </c>
      <c r="N157">
        <f t="shared" si="11"/>
        <v>689.39799999999991</v>
      </c>
      <c r="O157" t="str">
        <f t="shared" si="12"/>
        <v>Tuesday</v>
      </c>
      <c r="P157" t="b">
        <f t="shared" si="13"/>
        <v>0</v>
      </c>
      <c r="Q157" t="str">
        <f t="shared" si="14"/>
        <v>December</v>
      </c>
    </row>
    <row r="158" spans="1:17" x14ac:dyDescent="0.4">
      <c r="A158" t="s">
        <v>360</v>
      </c>
      <c r="B158" s="1">
        <v>45797</v>
      </c>
      <c r="C158" t="s">
        <v>114</v>
      </c>
      <c r="D158" t="s">
        <v>31</v>
      </c>
      <c r="E158" t="s">
        <v>361</v>
      </c>
      <c r="F158" t="s">
        <v>28</v>
      </c>
      <c r="G158">
        <v>3</v>
      </c>
      <c r="H158">
        <v>882.39</v>
      </c>
      <c r="I158">
        <v>10</v>
      </c>
      <c r="J158">
        <v>568.86</v>
      </c>
      <c r="K158" t="s">
        <v>24</v>
      </c>
      <c r="L158" t="s">
        <v>18</v>
      </c>
      <c r="M158">
        <f t="shared" si="10"/>
        <v>2382.453</v>
      </c>
      <c r="N158">
        <f t="shared" si="11"/>
        <v>675.87300000000005</v>
      </c>
      <c r="O158" t="str">
        <f t="shared" si="12"/>
        <v>Tuesday</v>
      </c>
      <c r="P158" t="b">
        <f t="shared" si="13"/>
        <v>0</v>
      </c>
      <c r="Q158" t="str">
        <f t="shared" si="14"/>
        <v>May</v>
      </c>
    </row>
    <row r="159" spans="1:17" x14ac:dyDescent="0.4">
      <c r="A159" t="s">
        <v>362</v>
      </c>
      <c r="B159" s="1">
        <v>45814</v>
      </c>
      <c r="C159" t="s">
        <v>146</v>
      </c>
      <c r="D159" t="s">
        <v>21</v>
      </c>
      <c r="E159" t="s">
        <v>343</v>
      </c>
      <c r="F159" t="s">
        <v>23</v>
      </c>
      <c r="G159">
        <v>5</v>
      </c>
      <c r="H159">
        <v>2622.17</v>
      </c>
      <c r="I159">
        <v>25</v>
      </c>
      <c r="J159">
        <v>1297.28</v>
      </c>
      <c r="K159" t="s">
        <v>24</v>
      </c>
      <c r="L159" t="s">
        <v>33</v>
      </c>
      <c r="M159">
        <f t="shared" si="10"/>
        <v>9833.1375000000007</v>
      </c>
      <c r="N159">
        <f t="shared" si="11"/>
        <v>3346.7375000000011</v>
      </c>
      <c r="O159" t="str">
        <f t="shared" si="12"/>
        <v>Friday</v>
      </c>
      <c r="P159" t="b">
        <f t="shared" si="13"/>
        <v>0</v>
      </c>
      <c r="Q159" t="str">
        <f t="shared" si="14"/>
        <v>June</v>
      </c>
    </row>
    <row r="160" spans="1:17" x14ac:dyDescent="0.4">
      <c r="A160" t="s">
        <v>363</v>
      </c>
      <c r="B160" s="1">
        <v>45974</v>
      </c>
      <c r="C160" t="s">
        <v>51</v>
      </c>
      <c r="D160" t="s">
        <v>46</v>
      </c>
      <c r="E160" t="s">
        <v>364</v>
      </c>
      <c r="F160" t="s">
        <v>16</v>
      </c>
      <c r="G160">
        <v>2</v>
      </c>
      <c r="H160">
        <v>2819.92</v>
      </c>
      <c r="I160">
        <v>20</v>
      </c>
      <c r="J160">
        <v>1335.27</v>
      </c>
      <c r="K160" t="s">
        <v>24</v>
      </c>
      <c r="L160" t="s">
        <v>37</v>
      </c>
      <c r="M160">
        <f t="shared" si="10"/>
        <v>4511.8720000000003</v>
      </c>
      <c r="N160">
        <f t="shared" si="11"/>
        <v>1841.3320000000003</v>
      </c>
      <c r="O160" t="str">
        <f t="shared" si="12"/>
        <v>Thursday</v>
      </c>
      <c r="P160" t="b">
        <f t="shared" si="13"/>
        <v>0</v>
      </c>
      <c r="Q160" t="str">
        <f t="shared" si="14"/>
        <v>November</v>
      </c>
    </row>
    <row r="161" spans="1:17" x14ac:dyDescent="0.4">
      <c r="A161" t="s">
        <v>365</v>
      </c>
      <c r="B161" s="1">
        <v>45426</v>
      </c>
      <c r="C161" t="s">
        <v>45</v>
      </c>
      <c r="D161" t="s">
        <v>14</v>
      </c>
      <c r="E161" t="s">
        <v>137</v>
      </c>
      <c r="F161" t="s">
        <v>28</v>
      </c>
      <c r="G161">
        <v>3</v>
      </c>
      <c r="H161">
        <v>2651.64</v>
      </c>
      <c r="I161">
        <v>20</v>
      </c>
      <c r="J161">
        <v>1165.58</v>
      </c>
      <c r="K161" t="s">
        <v>17</v>
      </c>
      <c r="L161" t="s">
        <v>33</v>
      </c>
      <c r="M161">
        <f t="shared" si="10"/>
        <v>6363.9360000000006</v>
      </c>
      <c r="N161">
        <f t="shared" si="11"/>
        <v>2867.1960000000008</v>
      </c>
      <c r="O161" t="str">
        <f t="shared" si="12"/>
        <v>Tuesday</v>
      </c>
      <c r="P161" t="b">
        <f t="shared" si="13"/>
        <v>0</v>
      </c>
      <c r="Q161" t="str">
        <f t="shared" si="14"/>
        <v>May</v>
      </c>
    </row>
    <row r="162" spans="1:17" x14ac:dyDescent="0.4">
      <c r="A162" t="s">
        <v>366</v>
      </c>
      <c r="B162" s="1">
        <v>45604</v>
      </c>
      <c r="C162" t="s">
        <v>251</v>
      </c>
      <c r="D162" t="s">
        <v>46</v>
      </c>
      <c r="E162" t="s">
        <v>164</v>
      </c>
      <c r="F162" t="s">
        <v>23</v>
      </c>
      <c r="G162">
        <v>2</v>
      </c>
      <c r="H162">
        <v>2731.84</v>
      </c>
      <c r="I162">
        <v>5</v>
      </c>
      <c r="J162">
        <v>1742.73</v>
      </c>
      <c r="K162" t="s">
        <v>24</v>
      </c>
      <c r="L162" t="s">
        <v>18</v>
      </c>
      <c r="M162">
        <f t="shared" si="10"/>
        <v>5190.4960000000001</v>
      </c>
      <c r="N162">
        <f t="shared" si="11"/>
        <v>1705.0360000000001</v>
      </c>
      <c r="O162" t="str">
        <f t="shared" si="12"/>
        <v>Friday</v>
      </c>
      <c r="P162" t="b">
        <f t="shared" si="13"/>
        <v>0</v>
      </c>
      <c r="Q162" t="str">
        <f t="shared" si="14"/>
        <v>November</v>
      </c>
    </row>
    <row r="163" spans="1:17" x14ac:dyDescent="0.4">
      <c r="A163" t="s">
        <v>367</v>
      </c>
      <c r="B163" s="1">
        <v>45387</v>
      </c>
      <c r="C163" t="s">
        <v>65</v>
      </c>
      <c r="D163" t="s">
        <v>21</v>
      </c>
      <c r="E163" t="s">
        <v>43</v>
      </c>
      <c r="F163" t="s">
        <v>23</v>
      </c>
      <c r="G163">
        <v>4</v>
      </c>
      <c r="H163">
        <v>446.51</v>
      </c>
      <c r="I163">
        <v>20</v>
      </c>
      <c r="J163">
        <v>297.10000000000002</v>
      </c>
      <c r="K163" t="s">
        <v>17</v>
      </c>
      <c r="L163" t="s">
        <v>18</v>
      </c>
      <c r="M163">
        <f t="shared" si="10"/>
        <v>1428.8320000000001</v>
      </c>
      <c r="N163">
        <f t="shared" si="11"/>
        <v>240.43200000000002</v>
      </c>
      <c r="O163" t="str">
        <f t="shared" si="12"/>
        <v>Friday</v>
      </c>
      <c r="P163" t="b">
        <f t="shared" si="13"/>
        <v>0</v>
      </c>
      <c r="Q163" t="str">
        <f t="shared" si="14"/>
        <v>April</v>
      </c>
    </row>
    <row r="164" spans="1:17" x14ac:dyDescent="0.4">
      <c r="A164" t="s">
        <v>368</v>
      </c>
      <c r="B164" s="1">
        <v>45408</v>
      </c>
      <c r="C164" t="s">
        <v>273</v>
      </c>
      <c r="D164" t="s">
        <v>46</v>
      </c>
      <c r="E164" t="s">
        <v>369</v>
      </c>
      <c r="F164" t="s">
        <v>16</v>
      </c>
      <c r="G164">
        <v>4</v>
      </c>
      <c r="H164">
        <v>555.80999999999995</v>
      </c>
      <c r="I164">
        <v>20</v>
      </c>
      <c r="J164">
        <v>315.06</v>
      </c>
      <c r="K164" t="s">
        <v>17</v>
      </c>
      <c r="L164" t="s">
        <v>33</v>
      </c>
      <c r="M164">
        <f t="shared" si="10"/>
        <v>1778.5919999999999</v>
      </c>
      <c r="N164">
        <f t="shared" si="11"/>
        <v>518.35199999999986</v>
      </c>
      <c r="O164" t="str">
        <f t="shared" si="12"/>
        <v>Friday</v>
      </c>
      <c r="P164" t="b">
        <f t="shared" si="13"/>
        <v>0</v>
      </c>
      <c r="Q164" t="str">
        <f t="shared" si="14"/>
        <v>April</v>
      </c>
    </row>
    <row r="165" spans="1:17" x14ac:dyDescent="0.4">
      <c r="A165" t="s">
        <v>370</v>
      </c>
      <c r="B165" s="1">
        <v>45688</v>
      </c>
      <c r="C165" t="s">
        <v>273</v>
      </c>
      <c r="D165" t="s">
        <v>46</v>
      </c>
      <c r="E165" t="s">
        <v>371</v>
      </c>
      <c r="F165" t="s">
        <v>23</v>
      </c>
      <c r="G165">
        <v>5</v>
      </c>
      <c r="H165">
        <v>2588.44</v>
      </c>
      <c r="I165">
        <v>0</v>
      </c>
      <c r="J165">
        <v>1226.5</v>
      </c>
      <c r="K165" t="s">
        <v>24</v>
      </c>
      <c r="L165" t="s">
        <v>33</v>
      </c>
      <c r="M165">
        <f t="shared" si="10"/>
        <v>12942.2</v>
      </c>
      <c r="N165">
        <f t="shared" si="11"/>
        <v>6809.7000000000007</v>
      </c>
      <c r="O165" t="str">
        <f t="shared" si="12"/>
        <v>Friday</v>
      </c>
      <c r="P165" t="b">
        <f t="shared" si="13"/>
        <v>0</v>
      </c>
      <c r="Q165" t="str">
        <f t="shared" si="14"/>
        <v>January</v>
      </c>
    </row>
    <row r="166" spans="1:17" x14ac:dyDescent="0.4">
      <c r="A166" t="s">
        <v>372</v>
      </c>
      <c r="B166" s="1">
        <v>45737</v>
      </c>
      <c r="C166" t="s">
        <v>171</v>
      </c>
      <c r="D166" t="s">
        <v>21</v>
      </c>
      <c r="E166" t="s">
        <v>186</v>
      </c>
      <c r="F166" t="s">
        <v>28</v>
      </c>
      <c r="G166">
        <v>2</v>
      </c>
      <c r="H166">
        <v>1685.48</v>
      </c>
      <c r="I166">
        <v>15</v>
      </c>
      <c r="J166">
        <v>976.51</v>
      </c>
      <c r="K166" t="s">
        <v>17</v>
      </c>
      <c r="L166" t="s">
        <v>18</v>
      </c>
      <c r="M166">
        <f t="shared" si="10"/>
        <v>2865.3159999999998</v>
      </c>
      <c r="N166">
        <f t="shared" si="11"/>
        <v>912.29599999999982</v>
      </c>
      <c r="O166" t="str">
        <f t="shared" si="12"/>
        <v>Friday</v>
      </c>
      <c r="P166" t="b">
        <f t="shared" si="13"/>
        <v>0</v>
      </c>
      <c r="Q166" t="str">
        <f t="shared" si="14"/>
        <v>March</v>
      </c>
    </row>
    <row r="167" spans="1:17" x14ac:dyDescent="0.4">
      <c r="A167" t="s">
        <v>373</v>
      </c>
      <c r="B167" s="1">
        <v>45986</v>
      </c>
      <c r="C167" t="s">
        <v>45</v>
      </c>
      <c r="D167" t="s">
        <v>31</v>
      </c>
      <c r="E167" t="s">
        <v>196</v>
      </c>
      <c r="F167" t="s">
        <v>16</v>
      </c>
      <c r="G167">
        <v>2</v>
      </c>
      <c r="H167">
        <v>1395.35</v>
      </c>
      <c r="I167">
        <v>30</v>
      </c>
      <c r="J167">
        <v>876.12</v>
      </c>
      <c r="K167" t="s">
        <v>24</v>
      </c>
      <c r="L167" t="s">
        <v>18</v>
      </c>
      <c r="M167">
        <f t="shared" si="10"/>
        <v>1953.4899999999998</v>
      </c>
      <c r="N167">
        <f t="shared" si="11"/>
        <v>201.24999999999977</v>
      </c>
      <c r="O167" t="str">
        <f t="shared" si="12"/>
        <v>Tuesday</v>
      </c>
      <c r="P167" t="b">
        <f t="shared" si="13"/>
        <v>0</v>
      </c>
      <c r="Q167" t="str">
        <f t="shared" si="14"/>
        <v>November</v>
      </c>
    </row>
    <row r="168" spans="1:17" x14ac:dyDescent="0.4">
      <c r="A168" t="s">
        <v>374</v>
      </c>
      <c r="B168" s="1">
        <v>45378</v>
      </c>
      <c r="C168" t="s">
        <v>375</v>
      </c>
      <c r="D168" t="s">
        <v>14</v>
      </c>
      <c r="E168" t="s">
        <v>52</v>
      </c>
      <c r="F168" t="s">
        <v>16</v>
      </c>
      <c r="G168">
        <v>3</v>
      </c>
      <c r="H168">
        <v>2941.6</v>
      </c>
      <c r="I168">
        <v>10</v>
      </c>
      <c r="J168">
        <v>1839.72</v>
      </c>
      <c r="K168" t="s">
        <v>17</v>
      </c>
      <c r="L168" t="s">
        <v>37</v>
      </c>
      <c r="M168">
        <f t="shared" si="10"/>
        <v>7942.32</v>
      </c>
      <c r="N168">
        <f t="shared" si="11"/>
        <v>2423.16</v>
      </c>
      <c r="O168" t="str">
        <f t="shared" si="12"/>
        <v>Wednesday</v>
      </c>
      <c r="P168" t="b">
        <f t="shared" si="13"/>
        <v>0</v>
      </c>
      <c r="Q168" t="str">
        <f t="shared" si="14"/>
        <v>March</v>
      </c>
    </row>
    <row r="169" spans="1:17" x14ac:dyDescent="0.4">
      <c r="A169" t="s">
        <v>376</v>
      </c>
      <c r="B169" s="1">
        <v>45446</v>
      </c>
      <c r="C169" t="s">
        <v>84</v>
      </c>
      <c r="D169" t="s">
        <v>14</v>
      </c>
      <c r="E169" t="s">
        <v>377</v>
      </c>
      <c r="F169" t="s">
        <v>16</v>
      </c>
      <c r="G169">
        <v>3</v>
      </c>
      <c r="H169">
        <v>1744.31</v>
      </c>
      <c r="I169">
        <v>25</v>
      </c>
      <c r="J169">
        <v>1098.71</v>
      </c>
      <c r="K169" t="s">
        <v>17</v>
      </c>
      <c r="L169" t="s">
        <v>18</v>
      </c>
      <c r="M169">
        <f t="shared" si="10"/>
        <v>3924.6975000000002</v>
      </c>
      <c r="N169">
        <f t="shared" si="11"/>
        <v>628.56750000000011</v>
      </c>
      <c r="O169" t="str">
        <f t="shared" si="12"/>
        <v>Monday</v>
      </c>
      <c r="P169" t="b">
        <f t="shared" si="13"/>
        <v>0</v>
      </c>
      <c r="Q169" t="str">
        <f t="shared" si="14"/>
        <v>June</v>
      </c>
    </row>
    <row r="170" spans="1:17" x14ac:dyDescent="0.4">
      <c r="A170" t="s">
        <v>378</v>
      </c>
      <c r="B170" s="1">
        <v>45479</v>
      </c>
      <c r="C170" t="s">
        <v>89</v>
      </c>
      <c r="D170" t="s">
        <v>14</v>
      </c>
      <c r="E170" t="s">
        <v>379</v>
      </c>
      <c r="F170" t="s">
        <v>23</v>
      </c>
      <c r="G170">
        <v>3</v>
      </c>
      <c r="H170">
        <v>653.61</v>
      </c>
      <c r="I170">
        <v>5</v>
      </c>
      <c r="J170">
        <v>265.98</v>
      </c>
      <c r="K170" t="s">
        <v>17</v>
      </c>
      <c r="L170" t="s">
        <v>18</v>
      </c>
      <c r="M170">
        <f t="shared" si="10"/>
        <v>1862.7884999999999</v>
      </c>
      <c r="N170">
        <f t="shared" si="11"/>
        <v>1064.8484999999998</v>
      </c>
      <c r="O170" t="str">
        <f t="shared" si="12"/>
        <v>Saturday</v>
      </c>
      <c r="P170" t="b">
        <f t="shared" si="13"/>
        <v>1</v>
      </c>
      <c r="Q170" t="str">
        <f t="shared" si="14"/>
        <v>July</v>
      </c>
    </row>
    <row r="171" spans="1:17" x14ac:dyDescent="0.4">
      <c r="A171" t="s">
        <v>380</v>
      </c>
      <c r="B171" s="1">
        <v>45949</v>
      </c>
      <c r="C171" t="s">
        <v>26</v>
      </c>
      <c r="D171" t="s">
        <v>14</v>
      </c>
      <c r="E171" t="s">
        <v>381</v>
      </c>
      <c r="F171" t="s">
        <v>23</v>
      </c>
      <c r="G171">
        <v>4</v>
      </c>
      <c r="H171">
        <v>1816.2</v>
      </c>
      <c r="I171">
        <v>10</v>
      </c>
      <c r="J171">
        <v>1242.56</v>
      </c>
      <c r="K171" t="s">
        <v>24</v>
      </c>
      <c r="L171" t="s">
        <v>33</v>
      </c>
      <c r="M171">
        <f t="shared" si="10"/>
        <v>6538.3200000000006</v>
      </c>
      <c r="N171">
        <f t="shared" si="11"/>
        <v>1568.0800000000008</v>
      </c>
      <c r="O171" t="str">
        <f t="shared" si="12"/>
        <v>Sunday</v>
      </c>
      <c r="P171" t="b">
        <f t="shared" si="13"/>
        <v>1</v>
      </c>
      <c r="Q171" t="str">
        <f t="shared" si="14"/>
        <v>October</v>
      </c>
    </row>
    <row r="172" spans="1:17" x14ac:dyDescent="0.4">
      <c r="A172" t="s">
        <v>382</v>
      </c>
      <c r="B172" s="1">
        <v>45368</v>
      </c>
      <c r="C172" t="s">
        <v>119</v>
      </c>
      <c r="D172" t="s">
        <v>14</v>
      </c>
      <c r="E172" t="s">
        <v>169</v>
      </c>
      <c r="F172" t="s">
        <v>23</v>
      </c>
      <c r="G172">
        <v>5</v>
      </c>
      <c r="H172">
        <v>2335.25</v>
      </c>
      <c r="I172">
        <v>20</v>
      </c>
      <c r="J172">
        <v>1508.18</v>
      </c>
      <c r="K172" t="s">
        <v>24</v>
      </c>
      <c r="L172" t="s">
        <v>33</v>
      </c>
      <c r="M172">
        <f t="shared" si="10"/>
        <v>9341</v>
      </c>
      <c r="N172">
        <f t="shared" si="11"/>
        <v>1800.0999999999995</v>
      </c>
      <c r="O172" t="str">
        <f t="shared" si="12"/>
        <v>Sunday</v>
      </c>
      <c r="P172" t="b">
        <f t="shared" si="13"/>
        <v>1</v>
      </c>
      <c r="Q172" t="str">
        <f t="shared" si="14"/>
        <v>March</v>
      </c>
    </row>
    <row r="173" spans="1:17" x14ac:dyDescent="0.4">
      <c r="A173" t="s">
        <v>383</v>
      </c>
      <c r="B173" s="1">
        <v>45562</v>
      </c>
      <c r="C173" t="s">
        <v>152</v>
      </c>
      <c r="D173" t="s">
        <v>46</v>
      </c>
      <c r="E173" t="s">
        <v>384</v>
      </c>
      <c r="F173" t="s">
        <v>28</v>
      </c>
      <c r="G173">
        <v>3</v>
      </c>
      <c r="H173">
        <v>1731.05</v>
      </c>
      <c r="I173">
        <v>10</v>
      </c>
      <c r="J173">
        <v>994.43</v>
      </c>
      <c r="K173" t="s">
        <v>17</v>
      </c>
      <c r="L173" t="s">
        <v>37</v>
      </c>
      <c r="M173">
        <f t="shared" si="10"/>
        <v>4673.835</v>
      </c>
      <c r="N173">
        <f t="shared" si="11"/>
        <v>1690.5450000000001</v>
      </c>
      <c r="O173" t="str">
        <f t="shared" si="12"/>
        <v>Friday</v>
      </c>
      <c r="P173" t="b">
        <f t="shared" si="13"/>
        <v>0</v>
      </c>
      <c r="Q173" t="str">
        <f t="shared" si="14"/>
        <v>September</v>
      </c>
    </row>
    <row r="174" spans="1:17" x14ac:dyDescent="0.4">
      <c r="A174" t="s">
        <v>385</v>
      </c>
      <c r="B174" s="1">
        <v>45476</v>
      </c>
      <c r="C174" t="s">
        <v>119</v>
      </c>
      <c r="D174" t="s">
        <v>21</v>
      </c>
      <c r="E174" t="s">
        <v>214</v>
      </c>
      <c r="F174" t="s">
        <v>23</v>
      </c>
      <c r="G174">
        <v>1</v>
      </c>
      <c r="H174">
        <v>2105.5700000000002</v>
      </c>
      <c r="I174">
        <v>10</v>
      </c>
      <c r="J174">
        <v>1315.94</v>
      </c>
      <c r="K174" t="s">
        <v>24</v>
      </c>
      <c r="L174" t="s">
        <v>18</v>
      </c>
      <c r="M174">
        <f t="shared" si="10"/>
        <v>1895.0130000000001</v>
      </c>
      <c r="N174">
        <f t="shared" si="11"/>
        <v>579.07300000000009</v>
      </c>
      <c r="O174" t="str">
        <f t="shared" si="12"/>
        <v>Wednesday</v>
      </c>
      <c r="P174" t="b">
        <f t="shared" si="13"/>
        <v>0</v>
      </c>
      <c r="Q174" t="str">
        <f t="shared" si="14"/>
        <v>July</v>
      </c>
    </row>
    <row r="175" spans="1:17" x14ac:dyDescent="0.4">
      <c r="A175" t="s">
        <v>386</v>
      </c>
      <c r="B175" s="1">
        <v>45589</v>
      </c>
      <c r="C175" t="s">
        <v>89</v>
      </c>
      <c r="D175" t="s">
        <v>14</v>
      </c>
      <c r="E175" t="s">
        <v>387</v>
      </c>
      <c r="F175" t="s">
        <v>23</v>
      </c>
      <c r="G175">
        <v>1</v>
      </c>
      <c r="H175">
        <v>459.86</v>
      </c>
      <c r="I175">
        <v>5</v>
      </c>
      <c r="J175">
        <v>295.64</v>
      </c>
      <c r="K175" t="s">
        <v>24</v>
      </c>
      <c r="L175" t="s">
        <v>18</v>
      </c>
      <c r="M175">
        <f t="shared" si="10"/>
        <v>436.86700000000002</v>
      </c>
      <c r="N175">
        <f t="shared" si="11"/>
        <v>141.22700000000003</v>
      </c>
      <c r="O175" t="str">
        <f t="shared" si="12"/>
        <v>Thursday</v>
      </c>
      <c r="P175" t="b">
        <f t="shared" si="13"/>
        <v>0</v>
      </c>
      <c r="Q175" t="str">
        <f t="shared" si="14"/>
        <v>October</v>
      </c>
    </row>
    <row r="176" spans="1:17" x14ac:dyDescent="0.4">
      <c r="A176" t="s">
        <v>388</v>
      </c>
      <c r="B176" s="1">
        <v>45395</v>
      </c>
      <c r="C176" t="s">
        <v>179</v>
      </c>
      <c r="D176" t="s">
        <v>46</v>
      </c>
      <c r="E176" t="s">
        <v>117</v>
      </c>
      <c r="F176" t="s">
        <v>28</v>
      </c>
      <c r="G176">
        <v>4</v>
      </c>
      <c r="H176">
        <v>590.41999999999996</v>
      </c>
      <c r="I176">
        <v>20</v>
      </c>
      <c r="J176">
        <v>240.58</v>
      </c>
      <c r="K176" t="s">
        <v>17</v>
      </c>
      <c r="L176" t="s">
        <v>33</v>
      </c>
      <c r="M176">
        <f t="shared" si="10"/>
        <v>1889.3440000000001</v>
      </c>
      <c r="N176">
        <f t="shared" si="11"/>
        <v>927.024</v>
      </c>
      <c r="O176" t="str">
        <f t="shared" si="12"/>
        <v>Saturday</v>
      </c>
      <c r="P176" t="b">
        <f t="shared" si="13"/>
        <v>1</v>
      </c>
      <c r="Q176" t="str">
        <f t="shared" si="14"/>
        <v>April</v>
      </c>
    </row>
    <row r="177" spans="1:17" x14ac:dyDescent="0.4">
      <c r="A177" t="s">
        <v>389</v>
      </c>
      <c r="B177" s="1">
        <v>45618</v>
      </c>
      <c r="C177" t="s">
        <v>273</v>
      </c>
      <c r="D177" t="s">
        <v>46</v>
      </c>
      <c r="E177" t="s">
        <v>390</v>
      </c>
      <c r="F177" t="s">
        <v>16</v>
      </c>
      <c r="G177">
        <v>2</v>
      </c>
      <c r="H177">
        <v>2854.07</v>
      </c>
      <c r="I177">
        <v>20</v>
      </c>
      <c r="J177">
        <v>1762.31</v>
      </c>
      <c r="K177" t="s">
        <v>24</v>
      </c>
      <c r="L177" t="s">
        <v>18</v>
      </c>
      <c r="M177">
        <f t="shared" si="10"/>
        <v>4566.5120000000006</v>
      </c>
      <c r="N177">
        <f t="shared" si="11"/>
        <v>1041.8920000000007</v>
      </c>
      <c r="O177" t="str">
        <f t="shared" si="12"/>
        <v>Friday</v>
      </c>
      <c r="P177" t="b">
        <f t="shared" si="13"/>
        <v>0</v>
      </c>
      <c r="Q177" t="str">
        <f t="shared" si="14"/>
        <v>November</v>
      </c>
    </row>
    <row r="178" spans="1:17" x14ac:dyDescent="0.4">
      <c r="A178" t="s">
        <v>391</v>
      </c>
      <c r="B178" s="1">
        <v>45422</v>
      </c>
      <c r="C178" t="s">
        <v>51</v>
      </c>
      <c r="D178" t="s">
        <v>21</v>
      </c>
      <c r="E178" t="s">
        <v>392</v>
      </c>
      <c r="F178" t="s">
        <v>16</v>
      </c>
      <c r="G178">
        <v>4</v>
      </c>
      <c r="H178">
        <v>2490.1999999999998</v>
      </c>
      <c r="I178">
        <v>15</v>
      </c>
      <c r="J178">
        <v>1601.13</v>
      </c>
      <c r="K178" t="s">
        <v>24</v>
      </c>
      <c r="L178" t="s">
        <v>37</v>
      </c>
      <c r="M178">
        <f t="shared" si="10"/>
        <v>8466.6799999999985</v>
      </c>
      <c r="N178">
        <f t="shared" si="11"/>
        <v>2062.159999999998</v>
      </c>
      <c r="O178" t="str">
        <f t="shared" si="12"/>
        <v>Friday</v>
      </c>
      <c r="P178" t="b">
        <f t="shared" si="13"/>
        <v>0</v>
      </c>
      <c r="Q178" t="str">
        <f t="shared" si="14"/>
        <v>May</v>
      </c>
    </row>
    <row r="179" spans="1:17" x14ac:dyDescent="0.4">
      <c r="A179" t="s">
        <v>393</v>
      </c>
      <c r="B179" s="1">
        <v>45305</v>
      </c>
      <c r="C179" t="s">
        <v>89</v>
      </c>
      <c r="D179" t="s">
        <v>14</v>
      </c>
      <c r="E179" t="s">
        <v>394</v>
      </c>
      <c r="F179" t="s">
        <v>23</v>
      </c>
      <c r="G179">
        <v>5</v>
      </c>
      <c r="H179">
        <v>1176.07</v>
      </c>
      <c r="I179">
        <v>15</v>
      </c>
      <c r="J179">
        <v>497.78</v>
      </c>
      <c r="K179" t="s">
        <v>24</v>
      </c>
      <c r="L179" t="s">
        <v>37</v>
      </c>
      <c r="M179">
        <f t="shared" si="10"/>
        <v>4998.2974999999997</v>
      </c>
      <c r="N179">
        <f t="shared" si="11"/>
        <v>2509.3975</v>
      </c>
      <c r="O179" t="str">
        <f t="shared" si="12"/>
        <v>Sunday</v>
      </c>
      <c r="P179" t="b">
        <f t="shared" si="13"/>
        <v>1</v>
      </c>
      <c r="Q179" t="str">
        <f t="shared" si="14"/>
        <v>January</v>
      </c>
    </row>
    <row r="180" spans="1:17" x14ac:dyDescent="0.4">
      <c r="A180" t="s">
        <v>395</v>
      </c>
      <c r="B180" s="1">
        <v>45939</v>
      </c>
      <c r="C180" t="s">
        <v>20</v>
      </c>
      <c r="D180" t="s">
        <v>46</v>
      </c>
      <c r="E180" t="s">
        <v>110</v>
      </c>
      <c r="F180" t="s">
        <v>28</v>
      </c>
      <c r="G180">
        <v>4</v>
      </c>
      <c r="H180">
        <v>2200.2199999999998</v>
      </c>
      <c r="I180">
        <v>20</v>
      </c>
      <c r="J180">
        <v>1245.55</v>
      </c>
      <c r="K180" t="s">
        <v>24</v>
      </c>
      <c r="L180" t="s">
        <v>18</v>
      </c>
      <c r="M180">
        <f t="shared" si="10"/>
        <v>7040.7039999999997</v>
      </c>
      <c r="N180">
        <f t="shared" si="11"/>
        <v>2058.5039999999999</v>
      </c>
      <c r="O180" t="str">
        <f t="shared" si="12"/>
        <v>Thursday</v>
      </c>
      <c r="P180" t="b">
        <f t="shared" si="13"/>
        <v>0</v>
      </c>
      <c r="Q180" t="str">
        <f t="shared" si="14"/>
        <v>October</v>
      </c>
    </row>
    <row r="181" spans="1:17" x14ac:dyDescent="0.4">
      <c r="A181" t="s">
        <v>396</v>
      </c>
      <c r="B181" s="1">
        <v>45747</v>
      </c>
      <c r="C181" t="s">
        <v>241</v>
      </c>
      <c r="D181" t="s">
        <v>46</v>
      </c>
      <c r="E181" t="s">
        <v>332</v>
      </c>
      <c r="F181" t="s">
        <v>28</v>
      </c>
      <c r="G181">
        <v>2</v>
      </c>
      <c r="H181">
        <v>455.96</v>
      </c>
      <c r="I181">
        <v>25</v>
      </c>
      <c r="J181">
        <v>231.71</v>
      </c>
      <c r="K181" t="s">
        <v>17</v>
      </c>
      <c r="L181" t="s">
        <v>33</v>
      </c>
      <c r="M181">
        <f t="shared" si="10"/>
        <v>683.93999999999994</v>
      </c>
      <c r="N181">
        <f t="shared" si="11"/>
        <v>220.51999999999992</v>
      </c>
      <c r="O181" t="str">
        <f t="shared" si="12"/>
        <v>Monday</v>
      </c>
      <c r="P181" t="b">
        <f t="shared" si="13"/>
        <v>0</v>
      </c>
      <c r="Q181" t="str">
        <f t="shared" si="14"/>
        <v>March</v>
      </c>
    </row>
    <row r="182" spans="1:17" x14ac:dyDescent="0.4">
      <c r="A182" t="s">
        <v>397</v>
      </c>
      <c r="B182" s="1">
        <v>45784</v>
      </c>
      <c r="C182" t="s">
        <v>92</v>
      </c>
      <c r="D182" t="s">
        <v>31</v>
      </c>
      <c r="E182" t="s">
        <v>398</v>
      </c>
      <c r="F182" t="s">
        <v>16</v>
      </c>
      <c r="G182">
        <v>4</v>
      </c>
      <c r="H182">
        <v>2291.4299999999998</v>
      </c>
      <c r="I182">
        <v>15</v>
      </c>
      <c r="J182">
        <v>1454.93</v>
      </c>
      <c r="K182" t="s">
        <v>17</v>
      </c>
      <c r="L182" t="s">
        <v>37</v>
      </c>
      <c r="M182">
        <f t="shared" si="10"/>
        <v>7790.8619999999992</v>
      </c>
      <c r="N182">
        <f t="shared" si="11"/>
        <v>1971.1419999999989</v>
      </c>
      <c r="O182" t="str">
        <f t="shared" si="12"/>
        <v>Wednesday</v>
      </c>
      <c r="P182" t="b">
        <f t="shared" si="13"/>
        <v>0</v>
      </c>
      <c r="Q182" t="str">
        <f t="shared" si="14"/>
        <v>May</v>
      </c>
    </row>
    <row r="183" spans="1:17" x14ac:dyDescent="0.4">
      <c r="A183" t="s">
        <v>399</v>
      </c>
      <c r="B183" s="1">
        <v>45721</v>
      </c>
      <c r="C183" t="s">
        <v>182</v>
      </c>
      <c r="D183" t="s">
        <v>21</v>
      </c>
      <c r="E183" t="s">
        <v>334</v>
      </c>
      <c r="F183" t="s">
        <v>28</v>
      </c>
      <c r="G183">
        <v>4</v>
      </c>
      <c r="H183">
        <v>2717.33</v>
      </c>
      <c r="I183">
        <v>15</v>
      </c>
      <c r="J183">
        <v>1544.13</v>
      </c>
      <c r="K183" t="s">
        <v>17</v>
      </c>
      <c r="L183" t="s">
        <v>33</v>
      </c>
      <c r="M183">
        <f t="shared" si="10"/>
        <v>9238.9219999999987</v>
      </c>
      <c r="N183">
        <f t="shared" si="11"/>
        <v>3062.4019999999982</v>
      </c>
      <c r="O183" t="str">
        <f t="shared" si="12"/>
        <v>Wednesday</v>
      </c>
      <c r="P183" t="b">
        <f t="shared" si="13"/>
        <v>0</v>
      </c>
      <c r="Q183" t="str">
        <f t="shared" si="14"/>
        <v>March</v>
      </c>
    </row>
    <row r="184" spans="1:17" x14ac:dyDescent="0.4">
      <c r="A184" t="s">
        <v>400</v>
      </c>
      <c r="B184" s="1">
        <v>45886</v>
      </c>
      <c r="C184" t="s">
        <v>98</v>
      </c>
      <c r="D184" t="s">
        <v>46</v>
      </c>
      <c r="E184" t="s">
        <v>401</v>
      </c>
      <c r="F184" t="s">
        <v>28</v>
      </c>
      <c r="G184">
        <v>3</v>
      </c>
      <c r="H184">
        <v>1546.83</v>
      </c>
      <c r="I184">
        <v>15</v>
      </c>
      <c r="J184">
        <v>991.57</v>
      </c>
      <c r="K184" t="s">
        <v>24</v>
      </c>
      <c r="L184" t="s">
        <v>37</v>
      </c>
      <c r="M184">
        <f t="shared" si="10"/>
        <v>3944.4164999999998</v>
      </c>
      <c r="N184">
        <f t="shared" si="11"/>
        <v>969.70649999999978</v>
      </c>
      <c r="O184" t="str">
        <f t="shared" si="12"/>
        <v>Sunday</v>
      </c>
      <c r="P184" t="b">
        <f t="shared" si="13"/>
        <v>1</v>
      </c>
      <c r="Q184" t="str">
        <f t="shared" si="14"/>
        <v>August</v>
      </c>
    </row>
    <row r="185" spans="1:17" x14ac:dyDescent="0.4">
      <c r="A185" t="s">
        <v>402</v>
      </c>
      <c r="B185" s="1">
        <v>45342</v>
      </c>
      <c r="C185" t="s">
        <v>179</v>
      </c>
      <c r="D185" t="s">
        <v>31</v>
      </c>
      <c r="E185" t="s">
        <v>167</v>
      </c>
      <c r="F185" t="s">
        <v>16</v>
      </c>
      <c r="G185">
        <v>3</v>
      </c>
      <c r="H185">
        <v>2465.19</v>
      </c>
      <c r="I185">
        <v>25</v>
      </c>
      <c r="J185">
        <v>1675.38</v>
      </c>
      <c r="K185" t="s">
        <v>17</v>
      </c>
      <c r="L185" t="s">
        <v>37</v>
      </c>
      <c r="M185">
        <f t="shared" si="10"/>
        <v>5546.6774999999998</v>
      </c>
      <c r="N185">
        <f t="shared" si="11"/>
        <v>520.53749999999945</v>
      </c>
      <c r="O185" t="str">
        <f t="shared" si="12"/>
        <v>Tuesday</v>
      </c>
      <c r="P185" t="b">
        <f t="shared" si="13"/>
        <v>0</v>
      </c>
      <c r="Q185" t="str">
        <f t="shared" si="14"/>
        <v>February</v>
      </c>
    </row>
    <row r="186" spans="1:17" x14ac:dyDescent="0.4">
      <c r="A186" t="s">
        <v>403</v>
      </c>
      <c r="B186" s="1">
        <v>45791</v>
      </c>
      <c r="C186" t="s">
        <v>26</v>
      </c>
      <c r="D186" t="s">
        <v>21</v>
      </c>
      <c r="E186" t="s">
        <v>69</v>
      </c>
      <c r="F186" t="s">
        <v>16</v>
      </c>
      <c r="G186">
        <v>3</v>
      </c>
      <c r="H186">
        <v>2063.6799999999998</v>
      </c>
      <c r="I186">
        <v>0</v>
      </c>
      <c r="J186">
        <v>1353.54</v>
      </c>
      <c r="K186" t="s">
        <v>24</v>
      </c>
      <c r="L186" t="s">
        <v>37</v>
      </c>
      <c r="M186">
        <f t="shared" si="10"/>
        <v>6191.0399999999991</v>
      </c>
      <c r="N186">
        <f t="shared" si="11"/>
        <v>2130.4199999999992</v>
      </c>
      <c r="O186" t="str">
        <f t="shared" si="12"/>
        <v>Wednesday</v>
      </c>
      <c r="P186" t="b">
        <f t="shared" si="13"/>
        <v>0</v>
      </c>
      <c r="Q186" t="str">
        <f t="shared" si="14"/>
        <v>May</v>
      </c>
    </row>
    <row r="187" spans="1:17" x14ac:dyDescent="0.4">
      <c r="A187" t="s">
        <v>404</v>
      </c>
      <c r="B187" s="1">
        <v>45833</v>
      </c>
      <c r="C187" t="s">
        <v>146</v>
      </c>
      <c r="D187" t="s">
        <v>14</v>
      </c>
      <c r="E187" t="s">
        <v>153</v>
      </c>
      <c r="F187" t="s">
        <v>28</v>
      </c>
      <c r="G187">
        <v>1</v>
      </c>
      <c r="H187">
        <v>2885.24</v>
      </c>
      <c r="I187">
        <v>5</v>
      </c>
      <c r="J187">
        <v>1800.79</v>
      </c>
      <c r="K187" t="s">
        <v>24</v>
      </c>
      <c r="L187" t="s">
        <v>37</v>
      </c>
      <c r="M187">
        <f t="shared" si="10"/>
        <v>2740.9779999999996</v>
      </c>
      <c r="N187">
        <f t="shared" si="11"/>
        <v>940.18799999999965</v>
      </c>
      <c r="O187" t="str">
        <f t="shared" si="12"/>
        <v>Wednesday</v>
      </c>
      <c r="P187" t="b">
        <f t="shared" si="13"/>
        <v>0</v>
      </c>
      <c r="Q187" t="str">
        <f t="shared" si="14"/>
        <v>June</v>
      </c>
    </row>
    <row r="188" spans="1:17" x14ac:dyDescent="0.4">
      <c r="A188" t="s">
        <v>405</v>
      </c>
      <c r="B188" s="1">
        <v>45449</v>
      </c>
      <c r="C188" t="s">
        <v>185</v>
      </c>
      <c r="D188" t="s">
        <v>14</v>
      </c>
      <c r="E188" t="s">
        <v>406</v>
      </c>
      <c r="F188" t="s">
        <v>23</v>
      </c>
      <c r="G188">
        <v>5</v>
      </c>
      <c r="H188">
        <v>540.30999999999995</v>
      </c>
      <c r="I188">
        <v>15</v>
      </c>
      <c r="J188">
        <v>231.65</v>
      </c>
      <c r="K188" t="s">
        <v>17</v>
      </c>
      <c r="L188" t="s">
        <v>33</v>
      </c>
      <c r="M188">
        <f t="shared" si="10"/>
        <v>2296.3174999999997</v>
      </c>
      <c r="N188">
        <f t="shared" si="11"/>
        <v>1138.0674999999997</v>
      </c>
      <c r="O188" t="str">
        <f t="shared" si="12"/>
        <v>Thursday</v>
      </c>
      <c r="P188" t="b">
        <f t="shared" si="13"/>
        <v>0</v>
      </c>
      <c r="Q188" t="str">
        <f t="shared" si="14"/>
        <v>June</v>
      </c>
    </row>
    <row r="189" spans="1:17" x14ac:dyDescent="0.4">
      <c r="A189" t="s">
        <v>407</v>
      </c>
      <c r="B189" s="1">
        <v>45673</v>
      </c>
      <c r="C189" t="s">
        <v>100</v>
      </c>
      <c r="D189" t="s">
        <v>14</v>
      </c>
      <c r="E189" t="s">
        <v>47</v>
      </c>
      <c r="F189" t="s">
        <v>23</v>
      </c>
      <c r="G189">
        <v>2</v>
      </c>
      <c r="H189">
        <v>1102.6600000000001</v>
      </c>
      <c r="I189">
        <v>10</v>
      </c>
      <c r="J189">
        <v>583.23</v>
      </c>
      <c r="K189" t="s">
        <v>17</v>
      </c>
      <c r="L189" t="s">
        <v>37</v>
      </c>
      <c r="M189">
        <f t="shared" si="10"/>
        <v>1984.7880000000002</v>
      </c>
      <c r="N189">
        <f t="shared" si="11"/>
        <v>818.3280000000002</v>
      </c>
      <c r="O189" t="str">
        <f t="shared" si="12"/>
        <v>Thursday</v>
      </c>
      <c r="P189" t="b">
        <f t="shared" si="13"/>
        <v>0</v>
      </c>
      <c r="Q189" t="str">
        <f t="shared" si="14"/>
        <v>January</v>
      </c>
    </row>
    <row r="190" spans="1:17" x14ac:dyDescent="0.4">
      <c r="A190" t="s">
        <v>408</v>
      </c>
      <c r="B190" s="1">
        <v>45665</v>
      </c>
      <c r="C190" t="s">
        <v>39</v>
      </c>
      <c r="D190" t="s">
        <v>14</v>
      </c>
      <c r="E190" t="s">
        <v>409</v>
      </c>
      <c r="F190" t="s">
        <v>28</v>
      </c>
      <c r="G190">
        <v>4</v>
      </c>
      <c r="H190">
        <v>2499.9899999999998</v>
      </c>
      <c r="I190">
        <v>15</v>
      </c>
      <c r="J190">
        <v>1413.44</v>
      </c>
      <c r="K190" t="s">
        <v>17</v>
      </c>
      <c r="L190" t="s">
        <v>33</v>
      </c>
      <c r="M190">
        <f t="shared" si="10"/>
        <v>8499.9659999999985</v>
      </c>
      <c r="N190">
        <f t="shared" si="11"/>
        <v>2846.2059999999983</v>
      </c>
      <c r="O190" t="str">
        <f t="shared" si="12"/>
        <v>Wednesday</v>
      </c>
      <c r="P190" t="b">
        <f t="shared" si="13"/>
        <v>0</v>
      </c>
      <c r="Q190" t="str">
        <f t="shared" si="14"/>
        <v>January</v>
      </c>
    </row>
    <row r="191" spans="1:17" x14ac:dyDescent="0.4">
      <c r="A191" t="s">
        <v>410</v>
      </c>
      <c r="B191" s="1">
        <v>45947</v>
      </c>
      <c r="C191" t="s">
        <v>39</v>
      </c>
      <c r="D191" t="s">
        <v>46</v>
      </c>
      <c r="E191" t="s">
        <v>411</v>
      </c>
      <c r="F191" t="s">
        <v>16</v>
      </c>
      <c r="G191">
        <v>2</v>
      </c>
      <c r="H191">
        <v>1801.96</v>
      </c>
      <c r="I191">
        <v>30</v>
      </c>
      <c r="J191">
        <v>775.98</v>
      </c>
      <c r="K191" t="s">
        <v>17</v>
      </c>
      <c r="L191" t="s">
        <v>37</v>
      </c>
      <c r="M191">
        <f t="shared" si="10"/>
        <v>2522.7439999999997</v>
      </c>
      <c r="N191">
        <f t="shared" si="11"/>
        <v>970.78399999999965</v>
      </c>
      <c r="O191" t="str">
        <f t="shared" si="12"/>
        <v>Friday</v>
      </c>
      <c r="P191" t="b">
        <f t="shared" si="13"/>
        <v>0</v>
      </c>
      <c r="Q191" t="str">
        <f t="shared" si="14"/>
        <v>October</v>
      </c>
    </row>
    <row r="192" spans="1:17" x14ac:dyDescent="0.4">
      <c r="A192" t="s">
        <v>412</v>
      </c>
      <c r="B192" s="1">
        <v>45414</v>
      </c>
      <c r="C192" t="s">
        <v>84</v>
      </c>
      <c r="D192" t="s">
        <v>31</v>
      </c>
      <c r="E192" t="s">
        <v>90</v>
      </c>
      <c r="F192" t="s">
        <v>16</v>
      </c>
      <c r="G192">
        <v>3</v>
      </c>
      <c r="H192">
        <v>1818.35</v>
      </c>
      <c r="I192">
        <v>0</v>
      </c>
      <c r="J192">
        <v>889.64</v>
      </c>
      <c r="K192" t="s">
        <v>17</v>
      </c>
      <c r="L192" t="s">
        <v>33</v>
      </c>
      <c r="M192">
        <f t="shared" si="10"/>
        <v>5455.0499999999993</v>
      </c>
      <c r="N192">
        <f t="shared" si="11"/>
        <v>2786.1299999999992</v>
      </c>
      <c r="O192" t="str">
        <f t="shared" si="12"/>
        <v>Thursday</v>
      </c>
      <c r="P192" t="b">
        <f t="shared" si="13"/>
        <v>0</v>
      </c>
      <c r="Q192" t="str">
        <f t="shared" si="14"/>
        <v>May</v>
      </c>
    </row>
    <row r="193" spans="1:17" x14ac:dyDescent="0.4">
      <c r="A193" t="s">
        <v>413</v>
      </c>
      <c r="B193" s="1">
        <v>45985</v>
      </c>
      <c r="C193" t="s">
        <v>13</v>
      </c>
      <c r="D193" t="s">
        <v>46</v>
      </c>
      <c r="E193" t="s">
        <v>414</v>
      </c>
      <c r="F193" t="s">
        <v>28</v>
      </c>
      <c r="G193">
        <v>2</v>
      </c>
      <c r="H193">
        <v>2809.17</v>
      </c>
      <c r="I193">
        <v>10</v>
      </c>
      <c r="J193">
        <v>1766.34</v>
      </c>
      <c r="K193" t="s">
        <v>17</v>
      </c>
      <c r="L193" t="s">
        <v>33</v>
      </c>
      <c r="M193">
        <f t="shared" si="10"/>
        <v>5056.5060000000003</v>
      </c>
      <c r="N193">
        <f t="shared" si="11"/>
        <v>1523.8260000000005</v>
      </c>
      <c r="O193" t="str">
        <f t="shared" si="12"/>
        <v>Monday</v>
      </c>
      <c r="P193" t="b">
        <f t="shared" si="13"/>
        <v>0</v>
      </c>
      <c r="Q193" t="str">
        <f t="shared" si="14"/>
        <v>November</v>
      </c>
    </row>
    <row r="194" spans="1:17" x14ac:dyDescent="0.4">
      <c r="A194" t="s">
        <v>415</v>
      </c>
      <c r="B194" s="1">
        <v>45686</v>
      </c>
      <c r="C194" t="s">
        <v>224</v>
      </c>
      <c r="D194" t="s">
        <v>21</v>
      </c>
      <c r="E194" t="s">
        <v>49</v>
      </c>
      <c r="F194" t="s">
        <v>23</v>
      </c>
      <c r="G194">
        <v>3</v>
      </c>
      <c r="H194">
        <v>467.66</v>
      </c>
      <c r="I194">
        <v>15</v>
      </c>
      <c r="J194">
        <v>255.98</v>
      </c>
      <c r="K194" t="s">
        <v>24</v>
      </c>
      <c r="L194" t="s">
        <v>18</v>
      </c>
      <c r="M194">
        <f t="shared" si="10"/>
        <v>1192.5329999999999</v>
      </c>
      <c r="N194">
        <f t="shared" si="11"/>
        <v>424.59299999999996</v>
      </c>
      <c r="O194" t="str">
        <f t="shared" si="12"/>
        <v>Wednesday</v>
      </c>
      <c r="P194" t="b">
        <f t="shared" si="13"/>
        <v>0</v>
      </c>
      <c r="Q194" t="str">
        <f t="shared" si="14"/>
        <v>January</v>
      </c>
    </row>
    <row r="195" spans="1:17" x14ac:dyDescent="0.4">
      <c r="A195" t="s">
        <v>416</v>
      </c>
      <c r="B195" s="1">
        <v>45342</v>
      </c>
      <c r="C195" t="s">
        <v>251</v>
      </c>
      <c r="D195" t="s">
        <v>21</v>
      </c>
      <c r="E195" t="s">
        <v>289</v>
      </c>
      <c r="F195" t="s">
        <v>23</v>
      </c>
      <c r="G195">
        <v>4</v>
      </c>
      <c r="H195">
        <v>2979.88</v>
      </c>
      <c r="I195">
        <v>30</v>
      </c>
      <c r="J195">
        <v>1979.62</v>
      </c>
      <c r="K195" t="s">
        <v>17</v>
      </c>
      <c r="L195" t="s">
        <v>33</v>
      </c>
      <c r="M195">
        <f t="shared" ref="M195:M258" si="15">G195 * H195 * (1 - I195/100)</f>
        <v>8343.6640000000007</v>
      </c>
      <c r="N195">
        <f t="shared" ref="N195:N258" si="16">M195 - (J195 * G195)</f>
        <v>425.18400000000111</v>
      </c>
      <c r="O195" t="str">
        <f t="shared" ref="O195:O258" si="17">TEXT(B195,"dddd")</f>
        <v>Tuesday</v>
      </c>
      <c r="P195" t="b">
        <f t="shared" ref="P195:P258" si="18">OR(TEXT(B195,"ddd")="Sat", TEXT(B195,"ddd")="Sun")</f>
        <v>0</v>
      </c>
      <c r="Q195" t="str">
        <f t="shared" ref="Q195:Q258" si="19">TEXT(B195,"mmmm")</f>
        <v>February</v>
      </c>
    </row>
    <row r="196" spans="1:17" x14ac:dyDescent="0.4">
      <c r="A196" t="s">
        <v>417</v>
      </c>
      <c r="B196" s="1">
        <v>45524</v>
      </c>
      <c r="C196" t="s">
        <v>174</v>
      </c>
      <c r="D196" t="s">
        <v>31</v>
      </c>
      <c r="E196" t="s">
        <v>260</v>
      </c>
      <c r="F196" t="s">
        <v>28</v>
      </c>
      <c r="G196">
        <v>1</v>
      </c>
      <c r="H196">
        <v>1085.6199999999999</v>
      </c>
      <c r="I196">
        <v>10</v>
      </c>
      <c r="J196">
        <v>502.91</v>
      </c>
      <c r="K196" t="s">
        <v>24</v>
      </c>
      <c r="L196" t="s">
        <v>37</v>
      </c>
      <c r="M196">
        <f t="shared" si="15"/>
        <v>977.05799999999988</v>
      </c>
      <c r="N196">
        <f t="shared" si="16"/>
        <v>474.14799999999985</v>
      </c>
      <c r="O196" t="str">
        <f t="shared" si="17"/>
        <v>Tuesday</v>
      </c>
      <c r="P196" t="b">
        <f t="shared" si="18"/>
        <v>0</v>
      </c>
      <c r="Q196" t="str">
        <f t="shared" si="19"/>
        <v>August</v>
      </c>
    </row>
    <row r="197" spans="1:17" x14ac:dyDescent="0.4">
      <c r="A197" t="s">
        <v>418</v>
      </c>
      <c r="B197" s="1">
        <v>45796</v>
      </c>
      <c r="C197" t="s">
        <v>273</v>
      </c>
      <c r="D197" t="s">
        <v>21</v>
      </c>
      <c r="E197" t="s">
        <v>419</v>
      </c>
      <c r="F197" t="s">
        <v>28</v>
      </c>
      <c r="G197">
        <v>2</v>
      </c>
      <c r="H197">
        <v>2976.64</v>
      </c>
      <c r="I197">
        <v>0</v>
      </c>
      <c r="J197">
        <v>1984.59</v>
      </c>
      <c r="K197" t="s">
        <v>24</v>
      </c>
      <c r="L197" t="s">
        <v>37</v>
      </c>
      <c r="M197">
        <f t="shared" si="15"/>
        <v>5953.28</v>
      </c>
      <c r="N197">
        <f t="shared" si="16"/>
        <v>1984.1</v>
      </c>
      <c r="O197" t="str">
        <f t="shared" si="17"/>
        <v>Monday</v>
      </c>
      <c r="P197" t="b">
        <f t="shared" si="18"/>
        <v>0</v>
      </c>
      <c r="Q197" t="str">
        <f t="shared" si="19"/>
        <v>May</v>
      </c>
    </row>
    <row r="198" spans="1:17" x14ac:dyDescent="0.4">
      <c r="A198" t="s">
        <v>420</v>
      </c>
      <c r="B198" s="1">
        <v>45423</v>
      </c>
      <c r="C198" t="s">
        <v>149</v>
      </c>
      <c r="D198" t="s">
        <v>14</v>
      </c>
      <c r="E198" t="s">
        <v>348</v>
      </c>
      <c r="F198" t="s">
        <v>28</v>
      </c>
      <c r="G198">
        <v>2</v>
      </c>
      <c r="H198">
        <v>1407.71</v>
      </c>
      <c r="I198">
        <v>5</v>
      </c>
      <c r="J198">
        <v>774.92</v>
      </c>
      <c r="K198" t="s">
        <v>17</v>
      </c>
      <c r="L198" t="s">
        <v>37</v>
      </c>
      <c r="M198">
        <f t="shared" si="15"/>
        <v>2674.6489999999999</v>
      </c>
      <c r="N198">
        <f t="shared" si="16"/>
        <v>1124.809</v>
      </c>
      <c r="O198" t="str">
        <f t="shared" si="17"/>
        <v>Saturday</v>
      </c>
      <c r="P198" t="b">
        <f t="shared" si="18"/>
        <v>1</v>
      </c>
      <c r="Q198" t="str">
        <f t="shared" si="19"/>
        <v>May</v>
      </c>
    </row>
    <row r="199" spans="1:17" x14ac:dyDescent="0.4">
      <c r="A199" t="s">
        <v>421</v>
      </c>
      <c r="B199" s="1">
        <v>45871</v>
      </c>
      <c r="C199" t="s">
        <v>139</v>
      </c>
      <c r="D199" t="s">
        <v>31</v>
      </c>
      <c r="E199" t="s">
        <v>411</v>
      </c>
      <c r="F199" t="s">
        <v>23</v>
      </c>
      <c r="G199">
        <v>3</v>
      </c>
      <c r="H199">
        <v>2419.36</v>
      </c>
      <c r="I199">
        <v>5</v>
      </c>
      <c r="J199">
        <v>1483.59</v>
      </c>
      <c r="K199" t="s">
        <v>17</v>
      </c>
      <c r="L199" t="s">
        <v>33</v>
      </c>
      <c r="M199">
        <f t="shared" si="15"/>
        <v>6895.1759999999995</v>
      </c>
      <c r="N199">
        <f t="shared" si="16"/>
        <v>2444.4059999999999</v>
      </c>
      <c r="O199" t="str">
        <f t="shared" si="17"/>
        <v>Saturday</v>
      </c>
      <c r="P199" t="b">
        <f t="shared" si="18"/>
        <v>1</v>
      </c>
      <c r="Q199" t="str">
        <f t="shared" si="19"/>
        <v>August</v>
      </c>
    </row>
    <row r="200" spans="1:17" x14ac:dyDescent="0.4">
      <c r="A200" t="s">
        <v>422</v>
      </c>
      <c r="B200" s="1">
        <v>45812</v>
      </c>
      <c r="C200" t="s">
        <v>98</v>
      </c>
      <c r="D200" t="s">
        <v>31</v>
      </c>
      <c r="E200" t="s">
        <v>343</v>
      </c>
      <c r="F200" t="s">
        <v>23</v>
      </c>
      <c r="G200">
        <v>5</v>
      </c>
      <c r="H200">
        <v>2216.0100000000002</v>
      </c>
      <c r="I200">
        <v>10</v>
      </c>
      <c r="J200">
        <v>1377.33</v>
      </c>
      <c r="K200" t="s">
        <v>17</v>
      </c>
      <c r="L200" t="s">
        <v>37</v>
      </c>
      <c r="M200">
        <f t="shared" si="15"/>
        <v>9972.0450000000019</v>
      </c>
      <c r="N200">
        <f t="shared" si="16"/>
        <v>3085.3950000000023</v>
      </c>
      <c r="O200" t="str">
        <f t="shared" si="17"/>
        <v>Wednesday</v>
      </c>
      <c r="P200" t="b">
        <f t="shared" si="18"/>
        <v>0</v>
      </c>
      <c r="Q200" t="str">
        <f t="shared" si="19"/>
        <v>June</v>
      </c>
    </row>
    <row r="201" spans="1:17" x14ac:dyDescent="0.4">
      <c r="A201" t="s">
        <v>423</v>
      </c>
      <c r="B201" s="1">
        <v>45515</v>
      </c>
      <c r="C201" t="s">
        <v>128</v>
      </c>
      <c r="D201" t="s">
        <v>46</v>
      </c>
      <c r="E201" t="s">
        <v>352</v>
      </c>
      <c r="F201" t="s">
        <v>28</v>
      </c>
      <c r="G201">
        <v>3</v>
      </c>
      <c r="H201">
        <v>2677.98</v>
      </c>
      <c r="I201">
        <v>25</v>
      </c>
      <c r="J201">
        <v>1608.99</v>
      </c>
      <c r="K201" t="s">
        <v>24</v>
      </c>
      <c r="L201" t="s">
        <v>33</v>
      </c>
      <c r="M201">
        <f t="shared" si="15"/>
        <v>6025.4549999999999</v>
      </c>
      <c r="N201">
        <f t="shared" si="16"/>
        <v>1198.4849999999997</v>
      </c>
      <c r="O201" t="str">
        <f t="shared" si="17"/>
        <v>Sunday</v>
      </c>
      <c r="P201" t="b">
        <f t="shared" si="18"/>
        <v>1</v>
      </c>
      <c r="Q201" t="str">
        <f t="shared" si="19"/>
        <v>August</v>
      </c>
    </row>
    <row r="202" spans="1:17" x14ac:dyDescent="0.4">
      <c r="A202" t="s">
        <v>424</v>
      </c>
      <c r="B202" s="1">
        <v>45432</v>
      </c>
      <c r="C202" t="s">
        <v>114</v>
      </c>
      <c r="D202" t="s">
        <v>31</v>
      </c>
      <c r="E202" t="s">
        <v>425</v>
      </c>
      <c r="F202" t="s">
        <v>28</v>
      </c>
      <c r="G202">
        <v>2</v>
      </c>
      <c r="H202">
        <v>993.02</v>
      </c>
      <c r="I202">
        <v>0</v>
      </c>
      <c r="J202">
        <v>645.99</v>
      </c>
      <c r="K202" t="s">
        <v>24</v>
      </c>
      <c r="L202" t="s">
        <v>37</v>
      </c>
      <c r="M202">
        <f t="shared" si="15"/>
        <v>1986.04</v>
      </c>
      <c r="N202">
        <f t="shared" si="16"/>
        <v>694.06</v>
      </c>
      <c r="O202" t="str">
        <f t="shared" si="17"/>
        <v>Monday</v>
      </c>
      <c r="P202" t="b">
        <f t="shared" si="18"/>
        <v>0</v>
      </c>
      <c r="Q202" t="str">
        <f t="shared" si="19"/>
        <v>May</v>
      </c>
    </row>
    <row r="203" spans="1:17" x14ac:dyDescent="0.4">
      <c r="A203" t="s">
        <v>426</v>
      </c>
      <c r="B203" s="1">
        <v>45300</v>
      </c>
      <c r="C203" t="s">
        <v>375</v>
      </c>
      <c r="D203" t="s">
        <v>46</v>
      </c>
      <c r="E203" t="s">
        <v>103</v>
      </c>
      <c r="F203" t="s">
        <v>28</v>
      </c>
      <c r="G203">
        <v>2</v>
      </c>
      <c r="H203">
        <v>567.94000000000005</v>
      </c>
      <c r="I203">
        <v>25</v>
      </c>
      <c r="J203">
        <v>264.81</v>
      </c>
      <c r="K203" t="s">
        <v>17</v>
      </c>
      <c r="L203" t="s">
        <v>18</v>
      </c>
      <c r="M203">
        <f t="shared" si="15"/>
        <v>851.91000000000008</v>
      </c>
      <c r="N203">
        <f t="shared" si="16"/>
        <v>322.29000000000008</v>
      </c>
      <c r="O203" t="str">
        <f t="shared" si="17"/>
        <v>Tuesday</v>
      </c>
      <c r="P203" t="b">
        <f t="shared" si="18"/>
        <v>0</v>
      </c>
      <c r="Q203" t="str">
        <f t="shared" si="19"/>
        <v>January</v>
      </c>
    </row>
    <row r="204" spans="1:17" x14ac:dyDescent="0.4">
      <c r="A204" t="s">
        <v>427</v>
      </c>
      <c r="B204" s="1">
        <v>45799</v>
      </c>
      <c r="C204" t="s">
        <v>86</v>
      </c>
      <c r="D204" t="s">
        <v>31</v>
      </c>
      <c r="E204" t="s">
        <v>428</v>
      </c>
      <c r="F204" t="s">
        <v>28</v>
      </c>
      <c r="G204">
        <v>5</v>
      </c>
      <c r="H204">
        <v>1141.73</v>
      </c>
      <c r="I204">
        <v>0</v>
      </c>
      <c r="J204">
        <v>749.54</v>
      </c>
      <c r="K204" t="s">
        <v>24</v>
      </c>
      <c r="L204" t="s">
        <v>18</v>
      </c>
      <c r="M204">
        <f t="shared" si="15"/>
        <v>5708.65</v>
      </c>
      <c r="N204">
        <f t="shared" si="16"/>
        <v>1960.9499999999998</v>
      </c>
      <c r="O204" t="str">
        <f t="shared" si="17"/>
        <v>Thursday</v>
      </c>
      <c r="P204" t="b">
        <f t="shared" si="18"/>
        <v>0</v>
      </c>
      <c r="Q204" t="str">
        <f t="shared" si="19"/>
        <v>May</v>
      </c>
    </row>
    <row r="205" spans="1:17" x14ac:dyDescent="0.4">
      <c r="A205" t="s">
        <v>429</v>
      </c>
      <c r="B205" s="1">
        <v>45311</v>
      </c>
      <c r="C205" t="s">
        <v>139</v>
      </c>
      <c r="D205" t="s">
        <v>21</v>
      </c>
      <c r="E205" t="s">
        <v>430</v>
      </c>
      <c r="F205" t="s">
        <v>28</v>
      </c>
      <c r="G205">
        <v>4</v>
      </c>
      <c r="H205">
        <v>2692.92</v>
      </c>
      <c r="I205">
        <v>10</v>
      </c>
      <c r="J205">
        <v>1657.42</v>
      </c>
      <c r="K205" t="s">
        <v>24</v>
      </c>
      <c r="L205" t="s">
        <v>18</v>
      </c>
      <c r="M205">
        <f t="shared" si="15"/>
        <v>9694.5120000000006</v>
      </c>
      <c r="N205">
        <f t="shared" si="16"/>
        <v>3064.8320000000003</v>
      </c>
      <c r="O205" t="str">
        <f t="shared" si="17"/>
        <v>Saturday</v>
      </c>
      <c r="P205" t="b">
        <f t="shared" si="18"/>
        <v>1</v>
      </c>
      <c r="Q205" t="str">
        <f t="shared" si="19"/>
        <v>January</v>
      </c>
    </row>
    <row r="206" spans="1:17" x14ac:dyDescent="0.4">
      <c r="A206" t="s">
        <v>431</v>
      </c>
      <c r="B206" s="1">
        <v>45463</v>
      </c>
      <c r="C206" t="s">
        <v>65</v>
      </c>
      <c r="D206" t="s">
        <v>21</v>
      </c>
      <c r="E206" t="s">
        <v>432</v>
      </c>
      <c r="F206" t="s">
        <v>28</v>
      </c>
      <c r="G206">
        <v>1</v>
      </c>
      <c r="H206">
        <v>1322.95</v>
      </c>
      <c r="I206">
        <v>25</v>
      </c>
      <c r="J206">
        <v>783.24</v>
      </c>
      <c r="K206" t="s">
        <v>24</v>
      </c>
      <c r="L206" t="s">
        <v>18</v>
      </c>
      <c r="M206">
        <f t="shared" si="15"/>
        <v>992.21250000000009</v>
      </c>
      <c r="N206">
        <f t="shared" si="16"/>
        <v>208.97250000000008</v>
      </c>
      <c r="O206" t="str">
        <f t="shared" si="17"/>
        <v>Thursday</v>
      </c>
      <c r="P206" t="b">
        <f t="shared" si="18"/>
        <v>0</v>
      </c>
      <c r="Q206" t="str">
        <f t="shared" si="19"/>
        <v>June</v>
      </c>
    </row>
    <row r="207" spans="1:17" x14ac:dyDescent="0.4">
      <c r="A207" t="s">
        <v>433</v>
      </c>
      <c r="B207" s="1">
        <v>45433</v>
      </c>
      <c r="C207" t="s">
        <v>149</v>
      </c>
      <c r="D207" t="s">
        <v>14</v>
      </c>
      <c r="E207" t="s">
        <v>115</v>
      </c>
      <c r="F207" t="s">
        <v>23</v>
      </c>
      <c r="G207">
        <v>3</v>
      </c>
      <c r="H207">
        <v>465.03</v>
      </c>
      <c r="I207">
        <v>5</v>
      </c>
      <c r="J207">
        <v>249.25</v>
      </c>
      <c r="K207" t="s">
        <v>24</v>
      </c>
      <c r="L207" t="s">
        <v>37</v>
      </c>
      <c r="M207">
        <f t="shared" si="15"/>
        <v>1325.3354999999999</v>
      </c>
      <c r="N207">
        <f t="shared" si="16"/>
        <v>577.58549999999991</v>
      </c>
      <c r="O207" t="str">
        <f t="shared" si="17"/>
        <v>Tuesday</v>
      </c>
      <c r="P207" t="b">
        <f t="shared" si="18"/>
        <v>0</v>
      </c>
      <c r="Q207" t="str">
        <f t="shared" si="19"/>
        <v>May</v>
      </c>
    </row>
    <row r="208" spans="1:17" x14ac:dyDescent="0.4">
      <c r="A208" t="s">
        <v>434</v>
      </c>
      <c r="B208" s="1">
        <v>45929</v>
      </c>
      <c r="C208" t="s">
        <v>205</v>
      </c>
      <c r="D208" t="s">
        <v>46</v>
      </c>
      <c r="E208" t="s">
        <v>435</v>
      </c>
      <c r="F208" t="s">
        <v>28</v>
      </c>
      <c r="G208">
        <v>4</v>
      </c>
      <c r="H208">
        <v>2311.08</v>
      </c>
      <c r="I208">
        <v>5</v>
      </c>
      <c r="J208">
        <v>1111.29</v>
      </c>
      <c r="K208" t="s">
        <v>24</v>
      </c>
      <c r="L208" t="s">
        <v>33</v>
      </c>
      <c r="M208">
        <f t="shared" si="15"/>
        <v>8782.1039999999994</v>
      </c>
      <c r="N208">
        <f t="shared" si="16"/>
        <v>4336.9439999999995</v>
      </c>
      <c r="O208" t="str">
        <f t="shared" si="17"/>
        <v>Monday</v>
      </c>
      <c r="P208" t="b">
        <f t="shared" si="18"/>
        <v>0</v>
      </c>
      <c r="Q208" t="str">
        <f t="shared" si="19"/>
        <v>September</v>
      </c>
    </row>
    <row r="209" spans="1:17" x14ac:dyDescent="0.4">
      <c r="A209" t="s">
        <v>436</v>
      </c>
      <c r="B209" s="1">
        <v>45349</v>
      </c>
      <c r="C209" t="s">
        <v>309</v>
      </c>
      <c r="D209" t="s">
        <v>46</v>
      </c>
      <c r="E209" t="s">
        <v>243</v>
      </c>
      <c r="F209" t="s">
        <v>16</v>
      </c>
      <c r="G209">
        <v>2</v>
      </c>
      <c r="H209">
        <v>2379.5100000000002</v>
      </c>
      <c r="I209">
        <v>5</v>
      </c>
      <c r="J209">
        <v>1093.79</v>
      </c>
      <c r="K209" t="s">
        <v>24</v>
      </c>
      <c r="L209" t="s">
        <v>37</v>
      </c>
      <c r="M209">
        <f t="shared" si="15"/>
        <v>4521.0690000000004</v>
      </c>
      <c r="N209">
        <f t="shared" si="16"/>
        <v>2333.4890000000005</v>
      </c>
      <c r="O209" t="str">
        <f t="shared" si="17"/>
        <v>Tuesday</v>
      </c>
      <c r="P209" t="b">
        <f t="shared" si="18"/>
        <v>0</v>
      </c>
      <c r="Q209" t="str">
        <f t="shared" si="19"/>
        <v>February</v>
      </c>
    </row>
    <row r="210" spans="1:17" x14ac:dyDescent="0.4">
      <c r="A210" t="s">
        <v>437</v>
      </c>
      <c r="B210" s="1">
        <v>45775</v>
      </c>
      <c r="C210" t="s">
        <v>89</v>
      </c>
      <c r="D210" t="s">
        <v>46</v>
      </c>
      <c r="E210" t="s">
        <v>438</v>
      </c>
      <c r="F210" t="s">
        <v>28</v>
      </c>
      <c r="G210">
        <v>1</v>
      </c>
      <c r="H210">
        <v>2747.03</v>
      </c>
      <c r="I210">
        <v>10</v>
      </c>
      <c r="J210">
        <v>1282.28</v>
      </c>
      <c r="K210" t="s">
        <v>24</v>
      </c>
      <c r="L210" t="s">
        <v>18</v>
      </c>
      <c r="M210">
        <f t="shared" si="15"/>
        <v>2472.3270000000002</v>
      </c>
      <c r="N210">
        <f t="shared" si="16"/>
        <v>1190.0470000000003</v>
      </c>
      <c r="O210" t="str">
        <f t="shared" si="17"/>
        <v>Monday</v>
      </c>
      <c r="P210" t="b">
        <f t="shared" si="18"/>
        <v>0</v>
      </c>
      <c r="Q210" t="str">
        <f t="shared" si="19"/>
        <v>April</v>
      </c>
    </row>
    <row r="211" spans="1:17" x14ac:dyDescent="0.4">
      <c r="A211" t="s">
        <v>439</v>
      </c>
      <c r="B211" s="1">
        <v>45356</v>
      </c>
      <c r="C211" t="s">
        <v>125</v>
      </c>
      <c r="D211" t="s">
        <v>21</v>
      </c>
      <c r="E211" t="s">
        <v>55</v>
      </c>
      <c r="F211" t="s">
        <v>16</v>
      </c>
      <c r="G211">
        <v>4</v>
      </c>
      <c r="H211">
        <v>1929.28</v>
      </c>
      <c r="I211">
        <v>20</v>
      </c>
      <c r="J211">
        <v>1268.08</v>
      </c>
      <c r="K211" t="s">
        <v>17</v>
      </c>
      <c r="L211" t="s">
        <v>37</v>
      </c>
      <c r="M211">
        <f t="shared" si="15"/>
        <v>6173.6959999999999</v>
      </c>
      <c r="N211">
        <f t="shared" si="16"/>
        <v>1101.3760000000002</v>
      </c>
      <c r="O211" t="str">
        <f t="shared" si="17"/>
        <v>Tuesday</v>
      </c>
      <c r="P211" t="b">
        <f t="shared" si="18"/>
        <v>0</v>
      </c>
      <c r="Q211" t="str">
        <f t="shared" si="19"/>
        <v>March</v>
      </c>
    </row>
    <row r="212" spans="1:17" x14ac:dyDescent="0.4">
      <c r="A212" t="s">
        <v>440</v>
      </c>
      <c r="B212" s="1">
        <v>45358</v>
      </c>
      <c r="C212" t="s">
        <v>65</v>
      </c>
      <c r="D212" t="s">
        <v>21</v>
      </c>
      <c r="E212" t="s">
        <v>361</v>
      </c>
      <c r="F212" t="s">
        <v>28</v>
      </c>
      <c r="G212">
        <v>5</v>
      </c>
      <c r="H212">
        <v>792.64</v>
      </c>
      <c r="I212">
        <v>0</v>
      </c>
      <c r="J212">
        <v>531.16999999999996</v>
      </c>
      <c r="K212" t="s">
        <v>17</v>
      </c>
      <c r="L212" t="s">
        <v>37</v>
      </c>
      <c r="M212">
        <f t="shared" si="15"/>
        <v>3963.2</v>
      </c>
      <c r="N212">
        <f t="shared" si="16"/>
        <v>1307.3499999999999</v>
      </c>
      <c r="O212" t="str">
        <f t="shared" si="17"/>
        <v>Thursday</v>
      </c>
      <c r="P212" t="b">
        <f t="shared" si="18"/>
        <v>0</v>
      </c>
      <c r="Q212" t="str">
        <f t="shared" si="19"/>
        <v>March</v>
      </c>
    </row>
    <row r="213" spans="1:17" x14ac:dyDescent="0.4">
      <c r="A213" t="s">
        <v>441</v>
      </c>
      <c r="B213" s="1">
        <v>45858</v>
      </c>
      <c r="C213" t="s">
        <v>42</v>
      </c>
      <c r="D213" t="s">
        <v>46</v>
      </c>
      <c r="E213" t="s">
        <v>442</v>
      </c>
      <c r="F213" t="s">
        <v>16</v>
      </c>
      <c r="G213">
        <v>2</v>
      </c>
      <c r="H213">
        <v>1527.16</v>
      </c>
      <c r="I213">
        <v>15</v>
      </c>
      <c r="J213">
        <v>700.74</v>
      </c>
      <c r="K213" t="s">
        <v>24</v>
      </c>
      <c r="L213" t="s">
        <v>37</v>
      </c>
      <c r="M213">
        <f t="shared" si="15"/>
        <v>2596.172</v>
      </c>
      <c r="N213">
        <f t="shared" si="16"/>
        <v>1194.692</v>
      </c>
      <c r="O213" t="str">
        <f t="shared" si="17"/>
        <v>Sunday</v>
      </c>
      <c r="P213" t="b">
        <f t="shared" si="18"/>
        <v>1</v>
      </c>
      <c r="Q213" t="str">
        <f t="shared" si="19"/>
        <v>July</v>
      </c>
    </row>
    <row r="214" spans="1:17" x14ac:dyDescent="0.4">
      <c r="A214" t="s">
        <v>443</v>
      </c>
      <c r="B214" s="1">
        <v>45757</v>
      </c>
      <c r="C214" t="s">
        <v>241</v>
      </c>
      <c r="D214" t="s">
        <v>46</v>
      </c>
      <c r="E214" t="s">
        <v>444</v>
      </c>
      <c r="F214" t="s">
        <v>16</v>
      </c>
      <c r="G214">
        <v>3</v>
      </c>
      <c r="H214">
        <v>2759.71</v>
      </c>
      <c r="I214">
        <v>20</v>
      </c>
      <c r="J214">
        <v>1662.4</v>
      </c>
      <c r="K214" t="s">
        <v>17</v>
      </c>
      <c r="L214" t="s">
        <v>33</v>
      </c>
      <c r="M214">
        <f t="shared" si="15"/>
        <v>6623.304000000001</v>
      </c>
      <c r="N214">
        <f t="shared" si="16"/>
        <v>1636.1040000000003</v>
      </c>
      <c r="O214" t="str">
        <f t="shared" si="17"/>
        <v>Thursday</v>
      </c>
      <c r="P214" t="b">
        <f t="shared" si="18"/>
        <v>0</v>
      </c>
      <c r="Q214" t="str">
        <f t="shared" si="19"/>
        <v>April</v>
      </c>
    </row>
    <row r="215" spans="1:17" x14ac:dyDescent="0.4">
      <c r="A215" t="s">
        <v>445</v>
      </c>
      <c r="B215" s="1">
        <v>45881</v>
      </c>
      <c r="C215" t="s">
        <v>190</v>
      </c>
      <c r="D215" t="s">
        <v>31</v>
      </c>
      <c r="E215" t="s">
        <v>442</v>
      </c>
      <c r="F215" t="s">
        <v>23</v>
      </c>
      <c r="G215">
        <v>3</v>
      </c>
      <c r="H215">
        <v>2222.1999999999998</v>
      </c>
      <c r="I215">
        <v>5</v>
      </c>
      <c r="J215">
        <v>1492.15</v>
      </c>
      <c r="K215" t="s">
        <v>24</v>
      </c>
      <c r="L215" t="s">
        <v>37</v>
      </c>
      <c r="M215">
        <f t="shared" si="15"/>
        <v>6333.2699999999995</v>
      </c>
      <c r="N215">
        <f t="shared" si="16"/>
        <v>1856.8199999999988</v>
      </c>
      <c r="O215" t="str">
        <f t="shared" si="17"/>
        <v>Tuesday</v>
      </c>
      <c r="P215" t="b">
        <f t="shared" si="18"/>
        <v>0</v>
      </c>
      <c r="Q215" t="str">
        <f t="shared" si="19"/>
        <v>August</v>
      </c>
    </row>
    <row r="216" spans="1:17" x14ac:dyDescent="0.4">
      <c r="A216" t="s">
        <v>446</v>
      </c>
      <c r="B216" s="1">
        <v>45820</v>
      </c>
      <c r="C216" t="s">
        <v>109</v>
      </c>
      <c r="D216" t="s">
        <v>46</v>
      </c>
      <c r="E216" t="s">
        <v>447</v>
      </c>
      <c r="F216" t="s">
        <v>16</v>
      </c>
      <c r="G216">
        <v>1</v>
      </c>
      <c r="H216">
        <v>1792.32</v>
      </c>
      <c r="I216">
        <v>25</v>
      </c>
      <c r="J216">
        <v>773.51</v>
      </c>
      <c r="K216" t="s">
        <v>17</v>
      </c>
      <c r="L216" t="s">
        <v>37</v>
      </c>
      <c r="M216">
        <f t="shared" si="15"/>
        <v>1344.24</v>
      </c>
      <c r="N216">
        <f t="shared" si="16"/>
        <v>570.73</v>
      </c>
      <c r="O216" t="str">
        <f t="shared" si="17"/>
        <v>Thursday</v>
      </c>
      <c r="P216" t="b">
        <f t="shared" si="18"/>
        <v>0</v>
      </c>
      <c r="Q216" t="str">
        <f t="shared" si="19"/>
        <v>June</v>
      </c>
    </row>
    <row r="217" spans="1:17" x14ac:dyDescent="0.4">
      <c r="A217" t="s">
        <v>448</v>
      </c>
      <c r="B217" s="1">
        <v>45567</v>
      </c>
      <c r="C217" t="s">
        <v>226</v>
      </c>
      <c r="D217" t="s">
        <v>31</v>
      </c>
      <c r="E217" t="s">
        <v>117</v>
      </c>
      <c r="F217" t="s">
        <v>23</v>
      </c>
      <c r="G217">
        <v>3</v>
      </c>
      <c r="H217">
        <v>2114.35</v>
      </c>
      <c r="I217">
        <v>25</v>
      </c>
      <c r="J217">
        <v>1479.91</v>
      </c>
      <c r="K217" t="s">
        <v>17</v>
      </c>
      <c r="L217" t="s">
        <v>37</v>
      </c>
      <c r="M217">
        <f t="shared" si="15"/>
        <v>4757.2874999999995</v>
      </c>
      <c r="N217">
        <f t="shared" si="16"/>
        <v>317.55749999999898</v>
      </c>
      <c r="O217" t="str">
        <f t="shared" si="17"/>
        <v>Wednesday</v>
      </c>
      <c r="P217" t="b">
        <f t="shared" si="18"/>
        <v>0</v>
      </c>
      <c r="Q217" t="str">
        <f t="shared" si="19"/>
        <v>October</v>
      </c>
    </row>
    <row r="218" spans="1:17" x14ac:dyDescent="0.4">
      <c r="A218" t="s">
        <v>449</v>
      </c>
      <c r="B218" s="1">
        <v>45344</v>
      </c>
      <c r="C218" t="s">
        <v>84</v>
      </c>
      <c r="D218" t="s">
        <v>31</v>
      </c>
      <c r="E218" t="s">
        <v>450</v>
      </c>
      <c r="F218" t="s">
        <v>28</v>
      </c>
      <c r="G218">
        <v>2</v>
      </c>
      <c r="H218">
        <v>2397.87</v>
      </c>
      <c r="I218">
        <v>0</v>
      </c>
      <c r="J218">
        <v>1134.1099999999999</v>
      </c>
      <c r="K218" t="s">
        <v>17</v>
      </c>
      <c r="L218" t="s">
        <v>33</v>
      </c>
      <c r="M218">
        <f t="shared" si="15"/>
        <v>4795.74</v>
      </c>
      <c r="N218">
        <f t="shared" si="16"/>
        <v>2527.52</v>
      </c>
      <c r="O218" t="str">
        <f t="shared" si="17"/>
        <v>Thursday</v>
      </c>
      <c r="P218" t="b">
        <f t="shared" si="18"/>
        <v>0</v>
      </c>
      <c r="Q218" t="str">
        <f t="shared" si="19"/>
        <v>February</v>
      </c>
    </row>
    <row r="219" spans="1:17" x14ac:dyDescent="0.4">
      <c r="A219" t="s">
        <v>451</v>
      </c>
      <c r="B219" s="1">
        <v>45380</v>
      </c>
      <c r="C219" t="s">
        <v>122</v>
      </c>
      <c r="D219" t="s">
        <v>31</v>
      </c>
      <c r="E219" t="s">
        <v>452</v>
      </c>
      <c r="F219" t="s">
        <v>16</v>
      </c>
      <c r="G219">
        <v>1</v>
      </c>
      <c r="H219">
        <v>901.28</v>
      </c>
      <c r="I219">
        <v>5</v>
      </c>
      <c r="J219">
        <v>601.17999999999995</v>
      </c>
      <c r="K219" t="s">
        <v>17</v>
      </c>
      <c r="L219" t="s">
        <v>18</v>
      </c>
      <c r="M219">
        <f t="shared" si="15"/>
        <v>856.21599999999989</v>
      </c>
      <c r="N219">
        <f t="shared" si="16"/>
        <v>255.03599999999994</v>
      </c>
      <c r="O219" t="str">
        <f t="shared" si="17"/>
        <v>Friday</v>
      </c>
      <c r="P219" t="b">
        <f t="shared" si="18"/>
        <v>0</v>
      </c>
      <c r="Q219" t="str">
        <f t="shared" si="19"/>
        <v>March</v>
      </c>
    </row>
    <row r="220" spans="1:17" x14ac:dyDescent="0.4">
      <c r="A220" t="s">
        <v>453</v>
      </c>
      <c r="B220" s="1">
        <v>45614</v>
      </c>
      <c r="C220" t="s">
        <v>185</v>
      </c>
      <c r="D220" t="s">
        <v>31</v>
      </c>
      <c r="E220" t="s">
        <v>454</v>
      </c>
      <c r="F220" t="s">
        <v>23</v>
      </c>
      <c r="G220">
        <v>5</v>
      </c>
      <c r="H220">
        <v>2841.39</v>
      </c>
      <c r="I220">
        <v>10</v>
      </c>
      <c r="J220">
        <v>1564.13</v>
      </c>
      <c r="K220" t="s">
        <v>17</v>
      </c>
      <c r="L220" t="s">
        <v>18</v>
      </c>
      <c r="M220">
        <f t="shared" si="15"/>
        <v>12786.254999999999</v>
      </c>
      <c r="N220">
        <f t="shared" si="16"/>
        <v>4965.6049999999987</v>
      </c>
      <c r="O220" t="str">
        <f t="shared" si="17"/>
        <v>Monday</v>
      </c>
      <c r="P220" t="b">
        <f t="shared" si="18"/>
        <v>0</v>
      </c>
      <c r="Q220" t="str">
        <f t="shared" si="19"/>
        <v>November</v>
      </c>
    </row>
    <row r="221" spans="1:17" x14ac:dyDescent="0.4">
      <c r="A221" t="s">
        <v>455</v>
      </c>
      <c r="B221" s="1">
        <v>45785</v>
      </c>
      <c r="C221" t="s">
        <v>114</v>
      </c>
      <c r="D221" t="s">
        <v>21</v>
      </c>
      <c r="E221" t="s">
        <v>336</v>
      </c>
      <c r="F221" t="s">
        <v>28</v>
      </c>
      <c r="G221">
        <v>5</v>
      </c>
      <c r="H221">
        <v>1441.93</v>
      </c>
      <c r="I221">
        <v>30</v>
      </c>
      <c r="J221">
        <v>897.26</v>
      </c>
      <c r="K221" t="s">
        <v>24</v>
      </c>
      <c r="L221" t="s">
        <v>18</v>
      </c>
      <c r="M221">
        <f t="shared" si="15"/>
        <v>5046.7550000000001</v>
      </c>
      <c r="N221">
        <f t="shared" si="16"/>
        <v>560.45499999999993</v>
      </c>
      <c r="O221" t="str">
        <f t="shared" si="17"/>
        <v>Thursday</v>
      </c>
      <c r="P221" t="b">
        <f t="shared" si="18"/>
        <v>0</v>
      </c>
      <c r="Q221" t="str">
        <f t="shared" si="19"/>
        <v>May</v>
      </c>
    </row>
    <row r="222" spans="1:17" x14ac:dyDescent="0.4">
      <c r="A222" t="s">
        <v>456</v>
      </c>
      <c r="B222" s="1">
        <v>45317</v>
      </c>
      <c r="C222" t="s">
        <v>457</v>
      </c>
      <c r="D222" t="s">
        <v>31</v>
      </c>
      <c r="E222" t="s">
        <v>458</v>
      </c>
      <c r="F222" t="s">
        <v>28</v>
      </c>
      <c r="G222">
        <v>2</v>
      </c>
      <c r="H222">
        <v>377.33</v>
      </c>
      <c r="I222">
        <v>10</v>
      </c>
      <c r="J222">
        <v>214.66</v>
      </c>
      <c r="K222" t="s">
        <v>17</v>
      </c>
      <c r="L222" t="s">
        <v>37</v>
      </c>
      <c r="M222">
        <f t="shared" si="15"/>
        <v>679.19399999999996</v>
      </c>
      <c r="N222">
        <f t="shared" si="16"/>
        <v>249.87399999999997</v>
      </c>
      <c r="O222" t="str">
        <f t="shared" si="17"/>
        <v>Friday</v>
      </c>
      <c r="P222" t="b">
        <f t="shared" si="18"/>
        <v>0</v>
      </c>
      <c r="Q222" t="str">
        <f t="shared" si="19"/>
        <v>January</v>
      </c>
    </row>
    <row r="223" spans="1:17" x14ac:dyDescent="0.4">
      <c r="A223" t="s">
        <v>459</v>
      </c>
      <c r="B223" s="1">
        <v>45485</v>
      </c>
      <c r="C223" t="s">
        <v>42</v>
      </c>
      <c r="D223" t="s">
        <v>46</v>
      </c>
      <c r="E223" t="s">
        <v>15</v>
      </c>
      <c r="F223" t="s">
        <v>23</v>
      </c>
      <c r="G223">
        <v>2</v>
      </c>
      <c r="H223">
        <v>582.14</v>
      </c>
      <c r="I223">
        <v>15</v>
      </c>
      <c r="J223">
        <v>273.29000000000002</v>
      </c>
      <c r="K223" t="s">
        <v>17</v>
      </c>
      <c r="L223" t="s">
        <v>37</v>
      </c>
      <c r="M223">
        <f t="shared" si="15"/>
        <v>989.63799999999992</v>
      </c>
      <c r="N223">
        <f t="shared" si="16"/>
        <v>443.05799999999988</v>
      </c>
      <c r="O223" t="str">
        <f t="shared" si="17"/>
        <v>Friday</v>
      </c>
      <c r="P223" t="b">
        <f t="shared" si="18"/>
        <v>0</v>
      </c>
      <c r="Q223" t="str">
        <f t="shared" si="19"/>
        <v>July</v>
      </c>
    </row>
    <row r="224" spans="1:17" x14ac:dyDescent="0.4">
      <c r="A224" t="s">
        <v>460</v>
      </c>
      <c r="B224" s="1">
        <v>45449</v>
      </c>
      <c r="C224" t="s">
        <v>13</v>
      </c>
      <c r="D224" t="s">
        <v>31</v>
      </c>
      <c r="E224" t="s">
        <v>461</v>
      </c>
      <c r="F224" t="s">
        <v>28</v>
      </c>
      <c r="G224">
        <v>1</v>
      </c>
      <c r="H224">
        <v>1334.52</v>
      </c>
      <c r="I224">
        <v>0</v>
      </c>
      <c r="J224">
        <v>897.45</v>
      </c>
      <c r="K224" t="s">
        <v>17</v>
      </c>
      <c r="L224" t="s">
        <v>18</v>
      </c>
      <c r="M224">
        <f t="shared" si="15"/>
        <v>1334.52</v>
      </c>
      <c r="N224">
        <f t="shared" si="16"/>
        <v>437.06999999999994</v>
      </c>
      <c r="O224" t="str">
        <f t="shared" si="17"/>
        <v>Thursday</v>
      </c>
      <c r="P224" t="b">
        <f t="shared" si="18"/>
        <v>0</v>
      </c>
      <c r="Q224" t="str">
        <f t="shared" si="19"/>
        <v>June</v>
      </c>
    </row>
    <row r="225" spans="1:17" x14ac:dyDescent="0.4">
      <c r="A225" t="s">
        <v>462</v>
      </c>
      <c r="B225" s="1">
        <v>45826</v>
      </c>
      <c r="C225" t="s">
        <v>463</v>
      </c>
      <c r="D225" t="s">
        <v>46</v>
      </c>
      <c r="E225" t="s">
        <v>464</v>
      </c>
      <c r="F225" t="s">
        <v>16</v>
      </c>
      <c r="G225">
        <v>4</v>
      </c>
      <c r="H225">
        <v>941.1</v>
      </c>
      <c r="I225">
        <v>5</v>
      </c>
      <c r="J225">
        <v>520.75</v>
      </c>
      <c r="K225" t="s">
        <v>17</v>
      </c>
      <c r="L225" t="s">
        <v>37</v>
      </c>
      <c r="M225">
        <f t="shared" si="15"/>
        <v>3576.18</v>
      </c>
      <c r="N225">
        <f t="shared" si="16"/>
        <v>1493.1799999999998</v>
      </c>
      <c r="O225" t="str">
        <f t="shared" si="17"/>
        <v>Wednesday</v>
      </c>
      <c r="P225" t="b">
        <f t="shared" si="18"/>
        <v>0</v>
      </c>
      <c r="Q225" t="str">
        <f t="shared" si="19"/>
        <v>June</v>
      </c>
    </row>
    <row r="226" spans="1:17" x14ac:dyDescent="0.4">
      <c r="A226" t="s">
        <v>465</v>
      </c>
      <c r="B226" s="1">
        <v>45649</v>
      </c>
      <c r="C226" t="s">
        <v>174</v>
      </c>
      <c r="D226" t="s">
        <v>46</v>
      </c>
      <c r="E226" t="s">
        <v>155</v>
      </c>
      <c r="F226" t="s">
        <v>23</v>
      </c>
      <c r="G226">
        <v>5</v>
      </c>
      <c r="H226">
        <v>608.79999999999995</v>
      </c>
      <c r="I226">
        <v>15</v>
      </c>
      <c r="J226">
        <v>321.31</v>
      </c>
      <c r="K226" t="s">
        <v>17</v>
      </c>
      <c r="L226" t="s">
        <v>37</v>
      </c>
      <c r="M226">
        <f t="shared" si="15"/>
        <v>2587.4</v>
      </c>
      <c r="N226">
        <f t="shared" si="16"/>
        <v>980.85000000000014</v>
      </c>
      <c r="O226" t="str">
        <f t="shared" si="17"/>
        <v>Monday</v>
      </c>
      <c r="P226" t="b">
        <f t="shared" si="18"/>
        <v>0</v>
      </c>
      <c r="Q226" t="str">
        <f t="shared" si="19"/>
        <v>December</v>
      </c>
    </row>
    <row r="227" spans="1:17" x14ac:dyDescent="0.4">
      <c r="A227" t="s">
        <v>466</v>
      </c>
      <c r="B227" s="1">
        <v>45531</v>
      </c>
      <c r="C227" t="s">
        <v>273</v>
      </c>
      <c r="D227" t="s">
        <v>31</v>
      </c>
      <c r="E227" t="s">
        <v>467</v>
      </c>
      <c r="F227" t="s">
        <v>28</v>
      </c>
      <c r="G227">
        <v>4</v>
      </c>
      <c r="H227">
        <v>376.15</v>
      </c>
      <c r="I227">
        <v>0</v>
      </c>
      <c r="J227">
        <v>229.02</v>
      </c>
      <c r="K227" t="s">
        <v>17</v>
      </c>
      <c r="L227" t="s">
        <v>18</v>
      </c>
      <c r="M227">
        <f t="shared" si="15"/>
        <v>1504.6</v>
      </c>
      <c r="N227">
        <f t="shared" si="16"/>
        <v>588.51999999999987</v>
      </c>
      <c r="O227" t="str">
        <f t="shared" si="17"/>
        <v>Tuesday</v>
      </c>
      <c r="P227" t="b">
        <f t="shared" si="18"/>
        <v>0</v>
      </c>
      <c r="Q227" t="str">
        <f t="shared" si="19"/>
        <v>August</v>
      </c>
    </row>
    <row r="228" spans="1:17" x14ac:dyDescent="0.4">
      <c r="A228" t="s">
        <v>468</v>
      </c>
      <c r="B228" s="1">
        <v>45519</v>
      </c>
      <c r="C228" t="s">
        <v>224</v>
      </c>
      <c r="D228" t="s">
        <v>14</v>
      </c>
      <c r="E228" t="s">
        <v>469</v>
      </c>
      <c r="F228" t="s">
        <v>28</v>
      </c>
      <c r="G228">
        <v>1</v>
      </c>
      <c r="H228">
        <v>2493.62</v>
      </c>
      <c r="I228">
        <v>0</v>
      </c>
      <c r="J228">
        <v>1223.56</v>
      </c>
      <c r="K228" t="s">
        <v>24</v>
      </c>
      <c r="L228" t="s">
        <v>33</v>
      </c>
      <c r="M228">
        <f t="shared" si="15"/>
        <v>2493.62</v>
      </c>
      <c r="N228">
        <f t="shared" si="16"/>
        <v>1270.06</v>
      </c>
      <c r="O228" t="str">
        <f t="shared" si="17"/>
        <v>Thursday</v>
      </c>
      <c r="P228" t="b">
        <f t="shared" si="18"/>
        <v>0</v>
      </c>
      <c r="Q228" t="str">
        <f t="shared" si="19"/>
        <v>August</v>
      </c>
    </row>
    <row r="229" spans="1:17" x14ac:dyDescent="0.4">
      <c r="A229" t="s">
        <v>470</v>
      </c>
      <c r="B229" s="1">
        <v>45469</v>
      </c>
      <c r="C229" t="s">
        <v>95</v>
      </c>
      <c r="D229" t="s">
        <v>21</v>
      </c>
      <c r="E229" t="s">
        <v>129</v>
      </c>
      <c r="F229" t="s">
        <v>28</v>
      </c>
      <c r="G229">
        <v>4</v>
      </c>
      <c r="H229">
        <v>924.65</v>
      </c>
      <c r="I229">
        <v>15</v>
      </c>
      <c r="J229">
        <v>522.26</v>
      </c>
      <c r="K229" t="s">
        <v>17</v>
      </c>
      <c r="L229" t="s">
        <v>18</v>
      </c>
      <c r="M229">
        <f t="shared" si="15"/>
        <v>3143.81</v>
      </c>
      <c r="N229">
        <f t="shared" si="16"/>
        <v>1054.77</v>
      </c>
      <c r="O229" t="str">
        <f t="shared" si="17"/>
        <v>Wednesday</v>
      </c>
      <c r="P229" t="b">
        <f t="shared" si="18"/>
        <v>0</v>
      </c>
      <c r="Q229" t="str">
        <f t="shared" si="19"/>
        <v>June</v>
      </c>
    </row>
    <row r="230" spans="1:17" x14ac:dyDescent="0.4">
      <c r="A230" t="s">
        <v>471</v>
      </c>
      <c r="B230" s="1">
        <v>45629</v>
      </c>
      <c r="C230" t="s">
        <v>125</v>
      </c>
      <c r="D230" t="s">
        <v>31</v>
      </c>
      <c r="E230" t="s">
        <v>22</v>
      </c>
      <c r="F230" t="s">
        <v>28</v>
      </c>
      <c r="G230">
        <v>2</v>
      </c>
      <c r="H230">
        <v>495.99</v>
      </c>
      <c r="I230">
        <v>15</v>
      </c>
      <c r="J230">
        <v>259.33999999999997</v>
      </c>
      <c r="K230" t="s">
        <v>24</v>
      </c>
      <c r="L230" t="s">
        <v>37</v>
      </c>
      <c r="M230">
        <f t="shared" si="15"/>
        <v>843.18299999999999</v>
      </c>
      <c r="N230">
        <f t="shared" si="16"/>
        <v>324.50300000000004</v>
      </c>
      <c r="O230" t="str">
        <f t="shared" si="17"/>
        <v>Tuesday</v>
      </c>
      <c r="P230" t="b">
        <f t="shared" si="18"/>
        <v>0</v>
      </c>
      <c r="Q230" t="str">
        <f t="shared" si="19"/>
        <v>December</v>
      </c>
    </row>
    <row r="231" spans="1:17" x14ac:dyDescent="0.4">
      <c r="A231" t="s">
        <v>472</v>
      </c>
      <c r="B231" s="1">
        <v>45535</v>
      </c>
      <c r="C231" t="s">
        <v>86</v>
      </c>
      <c r="D231" t="s">
        <v>46</v>
      </c>
      <c r="E231" t="s">
        <v>220</v>
      </c>
      <c r="F231" t="s">
        <v>16</v>
      </c>
      <c r="G231">
        <v>2</v>
      </c>
      <c r="H231">
        <v>316.06</v>
      </c>
      <c r="I231">
        <v>15</v>
      </c>
      <c r="J231">
        <v>149.79</v>
      </c>
      <c r="K231" t="s">
        <v>17</v>
      </c>
      <c r="L231" t="s">
        <v>18</v>
      </c>
      <c r="M231">
        <f t="shared" si="15"/>
        <v>537.30200000000002</v>
      </c>
      <c r="N231">
        <f t="shared" si="16"/>
        <v>237.72200000000004</v>
      </c>
      <c r="O231" t="str">
        <f t="shared" si="17"/>
        <v>Saturday</v>
      </c>
      <c r="P231" t="b">
        <f t="shared" si="18"/>
        <v>1</v>
      </c>
      <c r="Q231" t="str">
        <f t="shared" si="19"/>
        <v>August</v>
      </c>
    </row>
    <row r="232" spans="1:17" x14ac:dyDescent="0.4">
      <c r="A232" t="s">
        <v>473</v>
      </c>
      <c r="B232" s="1">
        <v>45795</v>
      </c>
      <c r="C232" t="s">
        <v>253</v>
      </c>
      <c r="D232" t="s">
        <v>21</v>
      </c>
      <c r="E232" t="s">
        <v>66</v>
      </c>
      <c r="F232" t="s">
        <v>28</v>
      </c>
      <c r="G232">
        <v>2</v>
      </c>
      <c r="H232">
        <v>2693.5</v>
      </c>
      <c r="I232">
        <v>30</v>
      </c>
      <c r="J232">
        <v>1583.84</v>
      </c>
      <c r="K232" t="s">
        <v>24</v>
      </c>
      <c r="L232" t="s">
        <v>18</v>
      </c>
      <c r="M232">
        <f t="shared" si="15"/>
        <v>3770.8999999999996</v>
      </c>
      <c r="N232">
        <f t="shared" si="16"/>
        <v>603.2199999999998</v>
      </c>
      <c r="O232" t="str">
        <f t="shared" si="17"/>
        <v>Sunday</v>
      </c>
      <c r="P232" t="b">
        <f t="shared" si="18"/>
        <v>1</v>
      </c>
      <c r="Q232" t="str">
        <f t="shared" si="19"/>
        <v>May</v>
      </c>
    </row>
    <row r="233" spans="1:17" x14ac:dyDescent="0.4">
      <c r="A233" t="s">
        <v>474</v>
      </c>
      <c r="B233" s="1">
        <v>45371</v>
      </c>
      <c r="C233" t="s">
        <v>68</v>
      </c>
      <c r="D233" t="s">
        <v>46</v>
      </c>
      <c r="E233" t="s">
        <v>475</v>
      </c>
      <c r="F233" t="s">
        <v>23</v>
      </c>
      <c r="G233">
        <v>2</v>
      </c>
      <c r="H233">
        <v>696.85</v>
      </c>
      <c r="I233">
        <v>25</v>
      </c>
      <c r="J233">
        <v>380.48</v>
      </c>
      <c r="K233" t="s">
        <v>24</v>
      </c>
      <c r="L233" t="s">
        <v>33</v>
      </c>
      <c r="M233">
        <f t="shared" si="15"/>
        <v>1045.2750000000001</v>
      </c>
      <c r="N233">
        <f t="shared" si="16"/>
        <v>284.31500000000005</v>
      </c>
      <c r="O233" t="str">
        <f t="shared" si="17"/>
        <v>Wednesday</v>
      </c>
      <c r="P233" t="b">
        <f t="shared" si="18"/>
        <v>0</v>
      </c>
      <c r="Q233" t="str">
        <f t="shared" si="19"/>
        <v>March</v>
      </c>
    </row>
    <row r="234" spans="1:17" x14ac:dyDescent="0.4">
      <c r="A234" t="s">
        <v>476</v>
      </c>
      <c r="B234" s="1">
        <v>45923</v>
      </c>
      <c r="C234" t="s">
        <v>51</v>
      </c>
      <c r="D234" t="s">
        <v>21</v>
      </c>
      <c r="E234" t="s">
        <v>477</v>
      </c>
      <c r="F234" t="s">
        <v>23</v>
      </c>
      <c r="G234">
        <v>4</v>
      </c>
      <c r="H234">
        <v>1098.0999999999999</v>
      </c>
      <c r="I234">
        <v>10</v>
      </c>
      <c r="J234">
        <v>732.04</v>
      </c>
      <c r="K234" t="s">
        <v>24</v>
      </c>
      <c r="L234" t="s">
        <v>37</v>
      </c>
      <c r="M234">
        <f t="shared" si="15"/>
        <v>3953.16</v>
      </c>
      <c r="N234">
        <f t="shared" si="16"/>
        <v>1025</v>
      </c>
      <c r="O234" t="str">
        <f t="shared" si="17"/>
        <v>Tuesday</v>
      </c>
      <c r="P234" t="b">
        <f t="shared" si="18"/>
        <v>0</v>
      </c>
      <c r="Q234" t="str">
        <f t="shared" si="19"/>
        <v>September</v>
      </c>
    </row>
    <row r="235" spans="1:17" x14ac:dyDescent="0.4">
      <c r="A235" t="s">
        <v>478</v>
      </c>
      <c r="B235" s="1">
        <v>45317</v>
      </c>
      <c r="C235" t="s">
        <v>54</v>
      </c>
      <c r="D235" t="s">
        <v>46</v>
      </c>
      <c r="E235" t="s">
        <v>162</v>
      </c>
      <c r="F235" t="s">
        <v>16</v>
      </c>
      <c r="G235">
        <v>4</v>
      </c>
      <c r="H235">
        <v>605.27</v>
      </c>
      <c r="I235">
        <v>10</v>
      </c>
      <c r="J235">
        <v>257.48</v>
      </c>
      <c r="K235" t="s">
        <v>24</v>
      </c>
      <c r="L235" t="s">
        <v>18</v>
      </c>
      <c r="M235">
        <f t="shared" si="15"/>
        <v>2178.9720000000002</v>
      </c>
      <c r="N235">
        <f t="shared" si="16"/>
        <v>1149.0520000000001</v>
      </c>
      <c r="O235" t="str">
        <f t="shared" si="17"/>
        <v>Friday</v>
      </c>
      <c r="P235" t="b">
        <f t="shared" si="18"/>
        <v>0</v>
      </c>
      <c r="Q235" t="str">
        <f t="shared" si="19"/>
        <v>January</v>
      </c>
    </row>
    <row r="236" spans="1:17" x14ac:dyDescent="0.4">
      <c r="A236" t="s">
        <v>479</v>
      </c>
      <c r="B236" s="1">
        <v>45915</v>
      </c>
      <c r="C236" t="s">
        <v>457</v>
      </c>
      <c r="D236" t="s">
        <v>14</v>
      </c>
      <c r="E236" t="s">
        <v>364</v>
      </c>
      <c r="F236" t="s">
        <v>23</v>
      </c>
      <c r="G236">
        <v>3</v>
      </c>
      <c r="H236">
        <v>1318.08</v>
      </c>
      <c r="I236">
        <v>0</v>
      </c>
      <c r="J236">
        <v>676.13</v>
      </c>
      <c r="K236" t="s">
        <v>17</v>
      </c>
      <c r="L236" t="s">
        <v>37</v>
      </c>
      <c r="M236">
        <f t="shared" si="15"/>
        <v>3954.24</v>
      </c>
      <c r="N236">
        <f t="shared" si="16"/>
        <v>1925.85</v>
      </c>
      <c r="O236" t="str">
        <f t="shared" si="17"/>
        <v>Monday</v>
      </c>
      <c r="P236" t="b">
        <f t="shared" si="18"/>
        <v>0</v>
      </c>
      <c r="Q236" t="str">
        <f t="shared" si="19"/>
        <v>September</v>
      </c>
    </row>
    <row r="237" spans="1:17" x14ac:dyDescent="0.4">
      <c r="A237" t="s">
        <v>480</v>
      </c>
      <c r="B237" s="1">
        <v>45720</v>
      </c>
      <c r="C237" t="s">
        <v>114</v>
      </c>
      <c r="D237" t="s">
        <v>21</v>
      </c>
      <c r="E237" t="s">
        <v>481</v>
      </c>
      <c r="F237" t="s">
        <v>28</v>
      </c>
      <c r="G237">
        <v>1</v>
      </c>
      <c r="H237">
        <v>1783.77</v>
      </c>
      <c r="I237">
        <v>0</v>
      </c>
      <c r="J237">
        <v>749.04</v>
      </c>
      <c r="K237" t="s">
        <v>24</v>
      </c>
      <c r="L237" t="s">
        <v>33</v>
      </c>
      <c r="M237">
        <f t="shared" si="15"/>
        <v>1783.77</v>
      </c>
      <c r="N237">
        <f t="shared" si="16"/>
        <v>1034.73</v>
      </c>
      <c r="O237" t="str">
        <f t="shared" si="17"/>
        <v>Tuesday</v>
      </c>
      <c r="P237" t="b">
        <f t="shared" si="18"/>
        <v>0</v>
      </c>
      <c r="Q237" t="str">
        <f t="shared" si="19"/>
        <v>March</v>
      </c>
    </row>
    <row r="238" spans="1:17" x14ac:dyDescent="0.4">
      <c r="A238" t="s">
        <v>482</v>
      </c>
      <c r="B238" s="1">
        <v>45674</v>
      </c>
      <c r="C238" t="s">
        <v>128</v>
      </c>
      <c r="D238" t="s">
        <v>14</v>
      </c>
      <c r="E238" t="s">
        <v>164</v>
      </c>
      <c r="F238" t="s">
        <v>23</v>
      </c>
      <c r="G238">
        <v>3</v>
      </c>
      <c r="H238">
        <v>2135.59</v>
      </c>
      <c r="I238">
        <v>15</v>
      </c>
      <c r="J238">
        <v>1438.28</v>
      </c>
      <c r="K238" t="s">
        <v>17</v>
      </c>
      <c r="L238" t="s">
        <v>37</v>
      </c>
      <c r="M238">
        <f t="shared" si="15"/>
        <v>5445.7545</v>
      </c>
      <c r="N238">
        <f t="shared" si="16"/>
        <v>1130.9144999999999</v>
      </c>
      <c r="O238" t="str">
        <f t="shared" si="17"/>
        <v>Friday</v>
      </c>
      <c r="P238" t="b">
        <f t="shared" si="18"/>
        <v>0</v>
      </c>
      <c r="Q238" t="str">
        <f t="shared" si="19"/>
        <v>January</v>
      </c>
    </row>
    <row r="239" spans="1:17" x14ac:dyDescent="0.4">
      <c r="A239" t="s">
        <v>483</v>
      </c>
      <c r="B239" s="1">
        <v>45752</v>
      </c>
      <c r="C239" t="s">
        <v>119</v>
      </c>
      <c r="D239" t="s">
        <v>14</v>
      </c>
      <c r="E239" t="s">
        <v>291</v>
      </c>
      <c r="F239" t="s">
        <v>23</v>
      </c>
      <c r="G239">
        <v>2</v>
      </c>
      <c r="H239">
        <v>2538.94</v>
      </c>
      <c r="I239">
        <v>25</v>
      </c>
      <c r="J239">
        <v>1690.69</v>
      </c>
      <c r="K239" t="s">
        <v>17</v>
      </c>
      <c r="L239" t="s">
        <v>37</v>
      </c>
      <c r="M239">
        <f t="shared" si="15"/>
        <v>3808.41</v>
      </c>
      <c r="N239">
        <f t="shared" si="16"/>
        <v>427.02999999999975</v>
      </c>
      <c r="O239" t="str">
        <f t="shared" si="17"/>
        <v>Saturday</v>
      </c>
      <c r="P239" t="b">
        <f t="shared" si="18"/>
        <v>1</v>
      </c>
      <c r="Q239" t="str">
        <f t="shared" si="19"/>
        <v>April</v>
      </c>
    </row>
    <row r="240" spans="1:17" x14ac:dyDescent="0.4">
      <c r="A240" t="s">
        <v>484</v>
      </c>
      <c r="B240" s="1">
        <v>45314</v>
      </c>
      <c r="C240" t="s">
        <v>114</v>
      </c>
      <c r="D240" t="s">
        <v>14</v>
      </c>
      <c r="E240" t="s">
        <v>377</v>
      </c>
      <c r="F240" t="s">
        <v>16</v>
      </c>
      <c r="G240">
        <v>2</v>
      </c>
      <c r="H240">
        <v>549.76</v>
      </c>
      <c r="I240">
        <v>0</v>
      </c>
      <c r="J240">
        <v>283.7</v>
      </c>
      <c r="K240" t="s">
        <v>24</v>
      </c>
      <c r="L240" t="s">
        <v>18</v>
      </c>
      <c r="M240">
        <f t="shared" si="15"/>
        <v>1099.52</v>
      </c>
      <c r="N240">
        <f t="shared" si="16"/>
        <v>532.12</v>
      </c>
      <c r="O240" t="str">
        <f t="shared" si="17"/>
        <v>Tuesday</v>
      </c>
      <c r="P240" t="b">
        <f t="shared" si="18"/>
        <v>0</v>
      </c>
      <c r="Q240" t="str">
        <f t="shared" si="19"/>
        <v>January</v>
      </c>
    </row>
    <row r="241" spans="1:17" x14ac:dyDescent="0.4">
      <c r="A241" t="s">
        <v>485</v>
      </c>
      <c r="B241" s="1">
        <v>45361</v>
      </c>
      <c r="C241" t="s">
        <v>95</v>
      </c>
      <c r="D241" t="s">
        <v>21</v>
      </c>
      <c r="E241" t="s">
        <v>188</v>
      </c>
      <c r="F241" t="s">
        <v>16</v>
      </c>
      <c r="G241">
        <v>4</v>
      </c>
      <c r="H241">
        <v>1034.53</v>
      </c>
      <c r="I241">
        <v>5</v>
      </c>
      <c r="J241">
        <v>421.45</v>
      </c>
      <c r="K241" t="s">
        <v>17</v>
      </c>
      <c r="L241" t="s">
        <v>37</v>
      </c>
      <c r="M241">
        <f t="shared" si="15"/>
        <v>3931.2139999999995</v>
      </c>
      <c r="N241">
        <f t="shared" si="16"/>
        <v>2245.4139999999998</v>
      </c>
      <c r="O241" t="str">
        <f t="shared" si="17"/>
        <v>Sunday</v>
      </c>
      <c r="P241" t="b">
        <f t="shared" si="18"/>
        <v>1</v>
      </c>
      <c r="Q241" t="str">
        <f t="shared" si="19"/>
        <v>March</v>
      </c>
    </row>
    <row r="242" spans="1:17" x14ac:dyDescent="0.4">
      <c r="A242" t="s">
        <v>486</v>
      </c>
      <c r="B242" s="1">
        <v>45611</v>
      </c>
      <c r="C242" t="s">
        <v>193</v>
      </c>
      <c r="D242" t="s">
        <v>46</v>
      </c>
      <c r="E242" t="s">
        <v>107</v>
      </c>
      <c r="F242" t="s">
        <v>28</v>
      </c>
      <c r="G242">
        <v>5</v>
      </c>
      <c r="H242">
        <v>2271.61</v>
      </c>
      <c r="I242">
        <v>10</v>
      </c>
      <c r="J242">
        <v>1155.2</v>
      </c>
      <c r="K242" t="s">
        <v>24</v>
      </c>
      <c r="L242" t="s">
        <v>37</v>
      </c>
      <c r="M242">
        <f t="shared" si="15"/>
        <v>10222.245000000001</v>
      </c>
      <c r="N242">
        <f t="shared" si="16"/>
        <v>4446.2450000000008</v>
      </c>
      <c r="O242" t="str">
        <f t="shared" si="17"/>
        <v>Friday</v>
      </c>
      <c r="P242" t="b">
        <f t="shared" si="18"/>
        <v>0</v>
      </c>
      <c r="Q242" t="str">
        <f t="shared" si="19"/>
        <v>November</v>
      </c>
    </row>
    <row r="243" spans="1:17" x14ac:dyDescent="0.4">
      <c r="A243" t="s">
        <v>487</v>
      </c>
      <c r="B243" s="1">
        <v>45494</v>
      </c>
      <c r="C243" t="s">
        <v>171</v>
      </c>
      <c r="D243" t="s">
        <v>21</v>
      </c>
      <c r="E243" t="s">
        <v>488</v>
      </c>
      <c r="F243" t="s">
        <v>28</v>
      </c>
      <c r="G243">
        <v>3</v>
      </c>
      <c r="H243">
        <v>1023.25</v>
      </c>
      <c r="I243">
        <v>30</v>
      </c>
      <c r="J243">
        <v>680.58</v>
      </c>
      <c r="K243" t="s">
        <v>24</v>
      </c>
      <c r="L243" t="s">
        <v>33</v>
      </c>
      <c r="M243">
        <f t="shared" si="15"/>
        <v>2148.8249999999998</v>
      </c>
      <c r="N243">
        <f t="shared" si="16"/>
        <v>107.08499999999958</v>
      </c>
      <c r="O243" t="str">
        <f t="shared" si="17"/>
        <v>Sunday</v>
      </c>
      <c r="P243" t="b">
        <f t="shared" si="18"/>
        <v>1</v>
      </c>
      <c r="Q243" t="str">
        <f t="shared" si="19"/>
        <v>July</v>
      </c>
    </row>
    <row r="244" spans="1:17" x14ac:dyDescent="0.4">
      <c r="A244" t="s">
        <v>489</v>
      </c>
      <c r="B244" s="1">
        <v>45301</v>
      </c>
      <c r="C244" t="s">
        <v>375</v>
      </c>
      <c r="D244" t="s">
        <v>14</v>
      </c>
      <c r="E244" t="s">
        <v>256</v>
      </c>
      <c r="F244" t="s">
        <v>28</v>
      </c>
      <c r="G244">
        <v>4</v>
      </c>
      <c r="H244">
        <v>972.53</v>
      </c>
      <c r="I244">
        <v>25</v>
      </c>
      <c r="J244">
        <v>577.48</v>
      </c>
      <c r="K244" t="s">
        <v>24</v>
      </c>
      <c r="L244" t="s">
        <v>18</v>
      </c>
      <c r="M244">
        <f t="shared" si="15"/>
        <v>2917.59</v>
      </c>
      <c r="N244">
        <f t="shared" si="16"/>
        <v>607.67000000000007</v>
      </c>
      <c r="O244" t="str">
        <f t="shared" si="17"/>
        <v>Wednesday</v>
      </c>
      <c r="P244" t="b">
        <f t="shared" si="18"/>
        <v>0</v>
      </c>
      <c r="Q244" t="str">
        <f t="shared" si="19"/>
        <v>January</v>
      </c>
    </row>
    <row r="245" spans="1:17" x14ac:dyDescent="0.4">
      <c r="A245" t="s">
        <v>490</v>
      </c>
      <c r="B245" s="1">
        <v>45559</v>
      </c>
      <c r="C245" t="s">
        <v>171</v>
      </c>
      <c r="D245" t="s">
        <v>46</v>
      </c>
      <c r="E245" t="s">
        <v>491</v>
      </c>
      <c r="F245" t="s">
        <v>16</v>
      </c>
      <c r="G245">
        <v>4</v>
      </c>
      <c r="H245">
        <v>2573.2600000000002</v>
      </c>
      <c r="I245">
        <v>20</v>
      </c>
      <c r="J245">
        <v>1403.18</v>
      </c>
      <c r="K245" t="s">
        <v>24</v>
      </c>
      <c r="L245" t="s">
        <v>33</v>
      </c>
      <c r="M245">
        <f t="shared" si="15"/>
        <v>8234.4320000000007</v>
      </c>
      <c r="N245">
        <f t="shared" si="16"/>
        <v>2621.7120000000004</v>
      </c>
      <c r="O245" t="str">
        <f t="shared" si="17"/>
        <v>Tuesday</v>
      </c>
      <c r="P245" t="b">
        <f t="shared" si="18"/>
        <v>0</v>
      </c>
      <c r="Q245" t="str">
        <f t="shared" si="19"/>
        <v>September</v>
      </c>
    </row>
    <row r="246" spans="1:17" x14ac:dyDescent="0.4">
      <c r="A246" t="s">
        <v>492</v>
      </c>
      <c r="B246" s="1">
        <v>45840</v>
      </c>
      <c r="C246" t="s">
        <v>253</v>
      </c>
      <c r="D246" t="s">
        <v>14</v>
      </c>
      <c r="E246" t="s">
        <v>493</v>
      </c>
      <c r="F246" t="s">
        <v>23</v>
      </c>
      <c r="G246">
        <v>4</v>
      </c>
      <c r="H246">
        <v>616.36</v>
      </c>
      <c r="I246">
        <v>30</v>
      </c>
      <c r="J246">
        <v>367.43</v>
      </c>
      <c r="K246" t="s">
        <v>24</v>
      </c>
      <c r="L246" t="s">
        <v>18</v>
      </c>
      <c r="M246">
        <f t="shared" si="15"/>
        <v>1725.808</v>
      </c>
      <c r="N246">
        <f t="shared" si="16"/>
        <v>256.08799999999997</v>
      </c>
      <c r="O246" t="str">
        <f t="shared" si="17"/>
        <v>Wednesday</v>
      </c>
      <c r="P246" t="b">
        <f t="shared" si="18"/>
        <v>0</v>
      </c>
      <c r="Q246" t="str">
        <f t="shared" si="19"/>
        <v>July</v>
      </c>
    </row>
    <row r="247" spans="1:17" x14ac:dyDescent="0.4">
      <c r="A247" t="s">
        <v>494</v>
      </c>
      <c r="B247" s="1">
        <v>45903</v>
      </c>
      <c r="C247" t="s">
        <v>45</v>
      </c>
      <c r="D247" t="s">
        <v>46</v>
      </c>
      <c r="E247" t="s">
        <v>57</v>
      </c>
      <c r="F247" t="s">
        <v>28</v>
      </c>
      <c r="G247">
        <v>1</v>
      </c>
      <c r="H247">
        <v>1432.79</v>
      </c>
      <c r="I247">
        <v>15</v>
      </c>
      <c r="J247">
        <v>665.44</v>
      </c>
      <c r="K247" t="s">
        <v>24</v>
      </c>
      <c r="L247" t="s">
        <v>18</v>
      </c>
      <c r="M247">
        <f t="shared" si="15"/>
        <v>1217.8715</v>
      </c>
      <c r="N247">
        <f t="shared" si="16"/>
        <v>552.43149999999991</v>
      </c>
      <c r="O247" t="str">
        <f t="shared" si="17"/>
        <v>Wednesday</v>
      </c>
      <c r="P247" t="b">
        <f t="shared" si="18"/>
        <v>0</v>
      </c>
      <c r="Q247" t="str">
        <f t="shared" si="19"/>
        <v>September</v>
      </c>
    </row>
    <row r="248" spans="1:17" x14ac:dyDescent="0.4">
      <c r="A248" t="s">
        <v>495</v>
      </c>
      <c r="B248" s="1">
        <v>45916</v>
      </c>
      <c r="C248" t="s">
        <v>171</v>
      </c>
      <c r="D248" t="s">
        <v>14</v>
      </c>
      <c r="E248" t="s">
        <v>496</v>
      </c>
      <c r="F248" t="s">
        <v>16</v>
      </c>
      <c r="G248">
        <v>1</v>
      </c>
      <c r="H248">
        <v>681.54</v>
      </c>
      <c r="I248">
        <v>5</v>
      </c>
      <c r="J248">
        <v>419.13</v>
      </c>
      <c r="K248" t="s">
        <v>17</v>
      </c>
      <c r="L248" t="s">
        <v>37</v>
      </c>
      <c r="M248">
        <f t="shared" si="15"/>
        <v>647.46299999999997</v>
      </c>
      <c r="N248">
        <f t="shared" si="16"/>
        <v>228.33299999999997</v>
      </c>
      <c r="O248" t="str">
        <f t="shared" si="17"/>
        <v>Tuesday</v>
      </c>
      <c r="P248" t="b">
        <f t="shared" si="18"/>
        <v>0</v>
      </c>
      <c r="Q248" t="str">
        <f t="shared" si="19"/>
        <v>September</v>
      </c>
    </row>
    <row r="249" spans="1:17" x14ac:dyDescent="0.4">
      <c r="A249" t="s">
        <v>497</v>
      </c>
      <c r="B249" s="1">
        <v>45606</v>
      </c>
      <c r="C249" t="s">
        <v>109</v>
      </c>
      <c r="D249" t="s">
        <v>46</v>
      </c>
      <c r="E249" t="s">
        <v>498</v>
      </c>
      <c r="F249" t="s">
        <v>16</v>
      </c>
      <c r="G249">
        <v>4</v>
      </c>
      <c r="H249">
        <v>2098.31</v>
      </c>
      <c r="I249">
        <v>30</v>
      </c>
      <c r="J249">
        <v>872.01</v>
      </c>
      <c r="K249" t="s">
        <v>24</v>
      </c>
      <c r="L249" t="s">
        <v>18</v>
      </c>
      <c r="M249">
        <f t="shared" si="15"/>
        <v>5875.2679999999991</v>
      </c>
      <c r="N249">
        <f t="shared" si="16"/>
        <v>2387.2279999999992</v>
      </c>
      <c r="O249" t="str">
        <f t="shared" si="17"/>
        <v>Sunday</v>
      </c>
      <c r="P249" t="b">
        <f t="shared" si="18"/>
        <v>1</v>
      </c>
      <c r="Q249" t="str">
        <f t="shared" si="19"/>
        <v>November</v>
      </c>
    </row>
    <row r="250" spans="1:17" x14ac:dyDescent="0.4">
      <c r="A250" t="s">
        <v>499</v>
      </c>
      <c r="B250" s="1">
        <v>45415</v>
      </c>
      <c r="C250" t="s">
        <v>39</v>
      </c>
      <c r="D250" t="s">
        <v>14</v>
      </c>
      <c r="E250" t="s">
        <v>210</v>
      </c>
      <c r="F250" t="s">
        <v>16</v>
      </c>
      <c r="G250">
        <v>1</v>
      </c>
      <c r="H250">
        <v>2555.63</v>
      </c>
      <c r="I250">
        <v>0</v>
      </c>
      <c r="J250">
        <v>1508.85</v>
      </c>
      <c r="K250" t="s">
        <v>17</v>
      </c>
      <c r="L250" t="s">
        <v>37</v>
      </c>
      <c r="M250">
        <f t="shared" si="15"/>
        <v>2555.63</v>
      </c>
      <c r="N250">
        <f t="shared" si="16"/>
        <v>1046.7800000000002</v>
      </c>
      <c r="O250" t="str">
        <f t="shared" si="17"/>
        <v>Friday</v>
      </c>
      <c r="P250" t="b">
        <f t="shared" si="18"/>
        <v>0</v>
      </c>
      <c r="Q250" t="str">
        <f t="shared" si="19"/>
        <v>May</v>
      </c>
    </row>
    <row r="251" spans="1:17" x14ac:dyDescent="0.4">
      <c r="A251" t="s">
        <v>500</v>
      </c>
      <c r="B251" s="1">
        <v>45563</v>
      </c>
      <c r="C251" t="s">
        <v>59</v>
      </c>
      <c r="D251" t="s">
        <v>14</v>
      </c>
      <c r="E251" t="s">
        <v>265</v>
      </c>
      <c r="F251" t="s">
        <v>28</v>
      </c>
      <c r="G251">
        <v>2</v>
      </c>
      <c r="H251">
        <v>1141.28</v>
      </c>
      <c r="I251">
        <v>0</v>
      </c>
      <c r="J251">
        <v>560.75</v>
      </c>
      <c r="K251" t="s">
        <v>17</v>
      </c>
      <c r="L251" t="s">
        <v>33</v>
      </c>
      <c r="M251">
        <f t="shared" si="15"/>
        <v>2282.56</v>
      </c>
      <c r="N251">
        <f t="shared" si="16"/>
        <v>1161.06</v>
      </c>
      <c r="O251" t="str">
        <f t="shared" si="17"/>
        <v>Saturday</v>
      </c>
      <c r="P251" t="b">
        <f t="shared" si="18"/>
        <v>1</v>
      </c>
      <c r="Q251" t="str">
        <f t="shared" si="19"/>
        <v>September</v>
      </c>
    </row>
    <row r="252" spans="1:17" x14ac:dyDescent="0.4">
      <c r="A252" t="s">
        <v>501</v>
      </c>
      <c r="B252" s="1">
        <v>45711</v>
      </c>
      <c r="C252" t="s">
        <v>185</v>
      </c>
      <c r="D252" t="s">
        <v>31</v>
      </c>
      <c r="E252" t="s">
        <v>260</v>
      </c>
      <c r="F252" t="s">
        <v>28</v>
      </c>
      <c r="G252">
        <v>5</v>
      </c>
      <c r="H252">
        <v>2071.4</v>
      </c>
      <c r="I252">
        <v>15</v>
      </c>
      <c r="J252">
        <v>1216.1300000000001</v>
      </c>
      <c r="K252" t="s">
        <v>17</v>
      </c>
      <c r="L252" t="s">
        <v>33</v>
      </c>
      <c r="M252">
        <f t="shared" si="15"/>
        <v>8803.4499999999989</v>
      </c>
      <c r="N252">
        <f t="shared" si="16"/>
        <v>2722.7999999999984</v>
      </c>
      <c r="O252" t="str">
        <f t="shared" si="17"/>
        <v>Sunday</v>
      </c>
      <c r="P252" t="b">
        <f t="shared" si="18"/>
        <v>1</v>
      </c>
      <c r="Q252" t="str">
        <f t="shared" si="19"/>
        <v>February</v>
      </c>
    </row>
    <row r="253" spans="1:17" x14ac:dyDescent="0.4">
      <c r="A253" t="s">
        <v>502</v>
      </c>
      <c r="B253" s="1">
        <v>45989</v>
      </c>
      <c r="C253" t="s">
        <v>20</v>
      </c>
      <c r="D253" t="s">
        <v>21</v>
      </c>
      <c r="E253" t="s">
        <v>270</v>
      </c>
      <c r="F253" t="s">
        <v>16</v>
      </c>
      <c r="G253">
        <v>1</v>
      </c>
      <c r="H253">
        <v>895.72</v>
      </c>
      <c r="I253">
        <v>5</v>
      </c>
      <c r="J253">
        <v>478.92</v>
      </c>
      <c r="K253" t="s">
        <v>24</v>
      </c>
      <c r="L253" t="s">
        <v>37</v>
      </c>
      <c r="M253">
        <f t="shared" si="15"/>
        <v>850.93399999999997</v>
      </c>
      <c r="N253">
        <f t="shared" si="16"/>
        <v>372.01399999999995</v>
      </c>
      <c r="O253" t="str">
        <f t="shared" si="17"/>
        <v>Friday</v>
      </c>
      <c r="P253" t="b">
        <f t="shared" si="18"/>
        <v>0</v>
      </c>
      <c r="Q253" t="str">
        <f t="shared" si="19"/>
        <v>November</v>
      </c>
    </row>
    <row r="254" spans="1:17" x14ac:dyDescent="0.4">
      <c r="A254" t="s">
        <v>503</v>
      </c>
      <c r="B254" s="1">
        <v>45490</v>
      </c>
      <c r="C254" t="s">
        <v>13</v>
      </c>
      <c r="D254" t="s">
        <v>14</v>
      </c>
      <c r="E254" t="s">
        <v>243</v>
      </c>
      <c r="F254" t="s">
        <v>16</v>
      </c>
      <c r="G254">
        <v>1</v>
      </c>
      <c r="H254">
        <v>1851.02</v>
      </c>
      <c r="I254">
        <v>0</v>
      </c>
      <c r="J254">
        <v>1124.33</v>
      </c>
      <c r="K254" t="s">
        <v>24</v>
      </c>
      <c r="L254" t="s">
        <v>33</v>
      </c>
      <c r="M254">
        <f t="shared" si="15"/>
        <v>1851.02</v>
      </c>
      <c r="N254">
        <f t="shared" si="16"/>
        <v>726.69</v>
      </c>
      <c r="O254" t="str">
        <f t="shared" si="17"/>
        <v>Wednesday</v>
      </c>
      <c r="P254" t="b">
        <f t="shared" si="18"/>
        <v>0</v>
      </c>
      <c r="Q254" t="str">
        <f t="shared" si="19"/>
        <v>July</v>
      </c>
    </row>
    <row r="255" spans="1:17" x14ac:dyDescent="0.4">
      <c r="A255" t="s">
        <v>504</v>
      </c>
      <c r="B255" s="1">
        <v>45769</v>
      </c>
      <c r="C255" t="s">
        <v>267</v>
      </c>
      <c r="D255" t="s">
        <v>46</v>
      </c>
      <c r="E255" t="s">
        <v>126</v>
      </c>
      <c r="F255" t="s">
        <v>16</v>
      </c>
      <c r="G255">
        <v>4</v>
      </c>
      <c r="H255">
        <v>2588.44</v>
      </c>
      <c r="I255">
        <v>20</v>
      </c>
      <c r="J255">
        <v>1537.43</v>
      </c>
      <c r="K255" t="s">
        <v>24</v>
      </c>
      <c r="L255" t="s">
        <v>33</v>
      </c>
      <c r="M255">
        <f t="shared" si="15"/>
        <v>8283.0079999999998</v>
      </c>
      <c r="N255">
        <f t="shared" si="16"/>
        <v>2133.2879999999996</v>
      </c>
      <c r="O255" t="str">
        <f t="shared" si="17"/>
        <v>Tuesday</v>
      </c>
      <c r="P255" t="b">
        <f t="shared" si="18"/>
        <v>0</v>
      </c>
      <c r="Q255" t="str">
        <f t="shared" si="19"/>
        <v>April</v>
      </c>
    </row>
    <row r="256" spans="1:17" x14ac:dyDescent="0.4">
      <c r="A256" t="s">
        <v>505</v>
      </c>
      <c r="B256" s="1">
        <v>45780</v>
      </c>
      <c r="C256" t="s">
        <v>122</v>
      </c>
      <c r="D256" t="s">
        <v>14</v>
      </c>
      <c r="E256" t="s">
        <v>322</v>
      </c>
      <c r="F256" t="s">
        <v>16</v>
      </c>
      <c r="G256">
        <v>4</v>
      </c>
      <c r="H256">
        <v>2020.28</v>
      </c>
      <c r="I256">
        <v>30</v>
      </c>
      <c r="J256">
        <v>893.34</v>
      </c>
      <c r="K256" t="s">
        <v>24</v>
      </c>
      <c r="L256" t="s">
        <v>18</v>
      </c>
      <c r="M256">
        <f t="shared" si="15"/>
        <v>5656.7839999999997</v>
      </c>
      <c r="N256">
        <f t="shared" si="16"/>
        <v>2083.4239999999995</v>
      </c>
      <c r="O256" t="str">
        <f t="shared" si="17"/>
        <v>Saturday</v>
      </c>
      <c r="P256" t="b">
        <f t="shared" si="18"/>
        <v>1</v>
      </c>
      <c r="Q256" t="str">
        <f t="shared" si="19"/>
        <v>May</v>
      </c>
    </row>
    <row r="257" spans="1:17" x14ac:dyDescent="0.4">
      <c r="A257" t="s">
        <v>506</v>
      </c>
      <c r="B257" s="1">
        <v>45859</v>
      </c>
      <c r="C257" t="s">
        <v>74</v>
      </c>
      <c r="D257" t="s">
        <v>31</v>
      </c>
      <c r="E257" t="s">
        <v>507</v>
      </c>
      <c r="F257" t="s">
        <v>23</v>
      </c>
      <c r="G257">
        <v>4</v>
      </c>
      <c r="H257">
        <v>1622.01</v>
      </c>
      <c r="I257">
        <v>25</v>
      </c>
      <c r="J257">
        <v>908.65</v>
      </c>
      <c r="K257" t="s">
        <v>17</v>
      </c>
      <c r="L257" t="s">
        <v>37</v>
      </c>
      <c r="M257">
        <f t="shared" si="15"/>
        <v>4866.03</v>
      </c>
      <c r="N257">
        <f t="shared" si="16"/>
        <v>1231.4299999999998</v>
      </c>
      <c r="O257" t="str">
        <f t="shared" si="17"/>
        <v>Monday</v>
      </c>
      <c r="P257" t="b">
        <f t="shared" si="18"/>
        <v>0</v>
      </c>
      <c r="Q257" t="str">
        <f t="shared" si="19"/>
        <v>July</v>
      </c>
    </row>
    <row r="258" spans="1:17" x14ac:dyDescent="0.4">
      <c r="A258" t="s">
        <v>508</v>
      </c>
      <c r="B258" s="1">
        <v>45515</v>
      </c>
      <c r="C258" t="s">
        <v>74</v>
      </c>
      <c r="D258" t="s">
        <v>31</v>
      </c>
      <c r="E258" t="s">
        <v>256</v>
      </c>
      <c r="F258" t="s">
        <v>16</v>
      </c>
      <c r="G258">
        <v>5</v>
      </c>
      <c r="H258">
        <v>1561.87</v>
      </c>
      <c r="I258">
        <v>20</v>
      </c>
      <c r="J258">
        <v>855.13</v>
      </c>
      <c r="K258" t="s">
        <v>17</v>
      </c>
      <c r="L258" t="s">
        <v>18</v>
      </c>
      <c r="M258">
        <f t="shared" si="15"/>
        <v>6247.48</v>
      </c>
      <c r="N258">
        <f t="shared" si="16"/>
        <v>1971.83</v>
      </c>
      <c r="O258" t="str">
        <f t="shared" si="17"/>
        <v>Sunday</v>
      </c>
      <c r="P258" t="b">
        <f t="shared" si="18"/>
        <v>1</v>
      </c>
      <c r="Q258" t="str">
        <f t="shared" si="19"/>
        <v>August</v>
      </c>
    </row>
    <row r="259" spans="1:17" x14ac:dyDescent="0.4">
      <c r="A259" t="s">
        <v>509</v>
      </c>
      <c r="B259" s="1">
        <v>45834</v>
      </c>
      <c r="C259" t="s">
        <v>39</v>
      </c>
      <c r="D259" t="s">
        <v>14</v>
      </c>
      <c r="E259" t="s">
        <v>510</v>
      </c>
      <c r="F259" t="s">
        <v>28</v>
      </c>
      <c r="G259">
        <v>4</v>
      </c>
      <c r="H259">
        <v>2541.1999999999998</v>
      </c>
      <c r="I259">
        <v>0</v>
      </c>
      <c r="J259">
        <v>1333.5</v>
      </c>
      <c r="K259" t="s">
        <v>24</v>
      </c>
      <c r="L259" t="s">
        <v>18</v>
      </c>
      <c r="M259">
        <f t="shared" ref="M259:M322" si="20">G259 * H259 * (1 - I259/100)</f>
        <v>10164.799999999999</v>
      </c>
      <c r="N259">
        <f t="shared" ref="N259:N322" si="21">M259 - (J259 * G259)</f>
        <v>4830.7999999999993</v>
      </c>
      <c r="O259" t="str">
        <f t="shared" ref="O259:O322" si="22">TEXT(B259,"dddd")</f>
        <v>Thursday</v>
      </c>
      <c r="P259" t="b">
        <f t="shared" ref="P259:P322" si="23">OR(TEXT(B259,"ddd")="Sat", TEXT(B259,"ddd")="Sun")</f>
        <v>0</v>
      </c>
      <c r="Q259" t="str">
        <f t="shared" ref="Q259:Q322" si="24">TEXT(B259,"mmmm")</f>
        <v>June</v>
      </c>
    </row>
    <row r="260" spans="1:17" x14ac:dyDescent="0.4">
      <c r="A260" t="s">
        <v>511</v>
      </c>
      <c r="B260" s="1">
        <v>45852</v>
      </c>
      <c r="C260" t="s">
        <v>149</v>
      </c>
      <c r="D260" t="s">
        <v>14</v>
      </c>
      <c r="E260" t="s">
        <v>512</v>
      </c>
      <c r="F260" t="s">
        <v>23</v>
      </c>
      <c r="G260">
        <v>1</v>
      </c>
      <c r="H260">
        <v>1306.79</v>
      </c>
      <c r="I260">
        <v>5</v>
      </c>
      <c r="J260">
        <v>662.75</v>
      </c>
      <c r="K260" t="s">
        <v>24</v>
      </c>
      <c r="L260" t="s">
        <v>18</v>
      </c>
      <c r="M260">
        <f t="shared" si="20"/>
        <v>1241.4504999999999</v>
      </c>
      <c r="N260">
        <f t="shared" si="21"/>
        <v>578.70049999999992</v>
      </c>
      <c r="O260" t="str">
        <f t="shared" si="22"/>
        <v>Monday</v>
      </c>
      <c r="P260" t="b">
        <f t="shared" si="23"/>
        <v>0</v>
      </c>
      <c r="Q260" t="str">
        <f t="shared" si="24"/>
        <v>July</v>
      </c>
    </row>
    <row r="261" spans="1:17" x14ac:dyDescent="0.4">
      <c r="A261" t="s">
        <v>513</v>
      </c>
      <c r="B261" s="1">
        <v>45383</v>
      </c>
      <c r="C261" t="s">
        <v>59</v>
      </c>
      <c r="D261" t="s">
        <v>21</v>
      </c>
      <c r="E261" t="s">
        <v>387</v>
      </c>
      <c r="F261" t="s">
        <v>28</v>
      </c>
      <c r="G261">
        <v>2</v>
      </c>
      <c r="H261">
        <v>2967.59</v>
      </c>
      <c r="I261">
        <v>15</v>
      </c>
      <c r="J261">
        <v>1951.29</v>
      </c>
      <c r="K261" t="s">
        <v>17</v>
      </c>
      <c r="L261" t="s">
        <v>33</v>
      </c>
      <c r="M261">
        <f t="shared" si="20"/>
        <v>5044.9030000000002</v>
      </c>
      <c r="N261">
        <f t="shared" si="21"/>
        <v>1142.3230000000003</v>
      </c>
      <c r="O261" t="str">
        <f t="shared" si="22"/>
        <v>Monday</v>
      </c>
      <c r="P261" t="b">
        <f t="shared" si="23"/>
        <v>0</v>
      </c>
      <c r="Q261" t="str">
        <f t="shared" si="24"/>
        <v>April</v>
      </c>
    </row>
    <row r="262" spans="1:17" x14ac:dyDescent="0.4">
      <c r="A262" t="s">
        <v>514</v>
      </c>
      <c r="B262" s="1">
        <v>45797</v>
      </c>
      <c r="C262" t="s">
        <v>463</v>
      </c>
      <c r="D262" t="s">
        <v>21</v>
      </c>
      <c r="E262" t="s">
        <v>361</v>
      </c>
      <c r="F262" t="s">
        <v>23</v>
      </c>
      <c r="G262">
        <v>4</v>
      </c>
      <c r="H262">
        <v>2850.56</v>
      </c>
      <c r="I262">
        <v>20</v>
      </c>
      <c r="J262">
        <v>1404.16</v>
      </c>
      <c r="K262" t="s">
        <v>24</v>
      </c>
      <c r="L262" t="s">
        <v>18</v>
      </c>
      <c r="M262">
        <f t="shared" si="20"/>
        <v>9121.7919999999995</v>
      </c>
      <c r="N262">
        <f t="shared" si="21"/>
        <v>3505.1519999999991</v>
      </c>
      <c r="O262" t="str">
        <f t="shared" si="22"/>
        <v>Tuesday</v>
      </c>
      <c r="P262" t="b">
        <f t="shared" si="23"/>
        <v>0</v>
      </c>
      <c r="Q262" t="str">
        <f t="shared" si="24"/>
        <v>May</v>
      </c>
    </row>
    <row r="263" spans="1:17" x14ac:dyDescent="0.4">
      <c r="A263" t="s">
        <v>515</v>
      </c>
      <c r="B263" s="1">
        <v>45486</v>
      </c>
      <c r="C263" t="s">
        <v>273</v>
      </c>
      <c r="D263" t="s">
        <v>14</v>
      </c>
      <c r="E263" t="s">
        <v>516</v>
      </c>
      <c r="F263" t="s">
        <v>16</v>
      </c>
      <c r="G263">
        <v>4</v>
      </c>
      <c r="H263">
        <v>475.26</v>
      </c>
      <c r="I263">
        <v>25</v>
      </c>
      <c r="J263">
        <v>207.4</v>
      </c>
      <c r="K263" t="s">
        <v>24</v>
      </c>
      <c r="L263" t="s">
        <v>37</v>
      </c>
      <c r="M263">
        <f t="shared" si="20"/>
        <v>1425.78</v>
      </c>
      <c r="N263">
        <f t="shared" si="21"/>
        <v>596.17999999999995</v>
      </c>
      <c r="O263" t="str">
        <f t="shared" si="22"/>
        <v>Saturday</v>
      </c>
      <c r="P263" t="b">
        <f t="shared" si="23"/>
        <v>1</v>
      </c>
      <c r="Q263" t="str">
        <f t="shared" si="24"/>
        <v>July</v>
      </c>
    </row>
    <row r="264" spans="1:17" x14ac:dyDescent="0.4">
      <c r="A264" t="s">
        <v>517</v>
      </c>
      <c r="B264" s="1">
        <v>45776</v>
      </c>
      <c r="C264" t="s">
        <v>71</v>
      </c>
      <c r="D264" t="s">
        <v>21</v>
      </c>
      <c r="E264" t="s">
        <v>36</v>
      </c>
      <c r="F264" t="s">
        <v>23</v>
      </c>
      <c r="G264">
        <v>3</v>
      </c>
      <c r="H264">
        <v>642.24</v>
      </c>
      <c r="I264">
        <v>30</v>
      </c>
      <c r="J264">
        <v>281.02</v>
      </c>
      <c r="K264" t="s">
        <v>17</v>
      </c>
      <c r="L264" t="s">
        <v>18</v>
      </c>
      <c r="M264">
        <f t="shared" si="20"/>
        <v>1348.704</v>
      </c>
      <c r="N264">
        <f t="shared" si="21"/>
        <v>505.64400000000001</v>
      </c>
      <c r="O264" t="str">
        <f t="shared" si="22"/>
        <v>Tuesday</v>
      </c>
      <c r="P264" t="b">
        <f t="shared" si="23"/>
        <v>0</v>
      </c>
      <c r="Q264" t="str">
        <f t="shared" si="24"/>
        <v>April</v>
      </c>
    </row>
    <row r="265" spans="1:17" x14ac:dyDescent="0.4">
      <c r="A265" t="s">
        <v>518</v>
      </c>
      <c r="B265" s="1">
        <v>45718</v>
      </c>
      <c r="C265" t="s">
        <v>39</v>
      </c>
      <c r="D265" t="s">
        <v>21</v>
      </c>
      <c r="E265" t="s">
        <v>519</v>
      </c>
      <c r="F265" t="s">
        <v>23</v>
      </c>
      <c r="G265">
        <v>4</v>
      </c>
      <c r="H265">
        <v>374.93</v>
      </c>
      <c r="I265">
        <v>0</v>
      </c>
      <c r="J265">
        <v>154.49</v>
      </c>
      <c r="K265" t="s">
        <v>24</v>
      </c>
      <c r="L265" t="s">
        <v>18</v>
      </c>
      <c r="M265">
        <f t="shared" si="20"/>
        <v>1499.72</v>
      </c>
      <c r="N265">
        <f t="shared" si="21"/>
        <v>881.76</v>
      </c>
      <c r="O265" t="str">
        <f t="shared" si="22"/>
        <v>Sunday</v>
      </c>
      <c r="P265" t="b">
        <f t="shared" si="23"/>
        <v>1</v>
      </c>
      <c r="Q265" t="str">
        <f t="shared" si="24"/>
        <v>March</v>
      </c>
    </row>
    <row r="266" spans="1:17" x14ac:dyDescent="0.4">
      <c r="A266" t="s">
        <v>520</v>
      </c>
      <c r="B266" s="1">
        <v>45714</v>
      </c>
      <c r="C266" t="s">
        <v>68</v>
      </c>
      <c r="D266" t="s">
        <v>14</v>
      </c>
      <c r="E266" t="s">
        <v>521</v>
      </c>
      <c r="F266" t="s">
        <v>23</v>
      </c>
      <c r="G266">
        <v>5</v>
      </c>
      <c r="H266">
        <v>673.32</v>
      </c>
      <c r="I266">
        <v>15</v>
      </c>
      <c r="J266">
        <v>274.8</v>
      </c>
      <c r="K266" t="s">
        <v>17</v>
      </c>
      <c r="L266" t="s">
        <v>18</v>
      </c>
      <c r="M266">
        <f t="shared" si="20"/>
        <v>2861.61</v>
      </c>
      <c r="N266">
        <f t="shared" si="21"/>
        <v>1487.6100000000001</v>
      </c>
      <c r="O266" t="str">
        <f t="shared" si="22"/>
        <v>Wednesday</v>
      </c>
      <c r="P266" t="b">
        <f t="shared" si="23"/>
        <v>0</v>
      </c>
      <c r="Q266" t="str">
        <f t="shared" si="24"/>
        <v>February</v>
      </c>
    </row>
    <row r="267" spans="1:17" x14ac:dyDescent="0.4">
      <c r="A267" t="s">
        <v>522</v>
      </c>
      <c r="B267" s="1">
        <v>45657</v>
      </c>
      <c r="C267" t="s">
        <v>144</v>
      </c>
      <c r="D267" t="s">
        <v>14</v>
      </c>
      <c r="E267" t="s">
        <v>66</v>
      </c>
      <c r="F267" t="s">
        <v>23</v>
      </c>
      <c r="G267">
        <v>4</v>
      </c>
      <c r="H267">
        <v>2173.91</v>
      </c>
      <c r="I267">
        <v>25</v>
      </c>
      <c r="J267">
        <v>1408.64</v>
      </c>
      <c r="K267" t="s">
        <v>24</v>
      </c>
      <c r="L267" t="s">
        <v>33</v>
      </c>
      <c r="M267">
        <f t="shared" si="20"/>
        <v>6521.73</v>
      </c>
      <c r="N267">
        <f t="shared" si="21"/>
        <v>887.16999999999916</v>
      </c>
      <c r="O267" t="str">
        <f t="shared" si="22"/>
        <v>Tuesday</v>
      </c>
      <c r="P267" t="b">
        <f t="shared" si="23"/>
        <v>0</v>
      </c>
      <c r="Q267" t="str">
        <f t="shared" si="24"/>
        <v>December</v>
      </c>
    </row>
    <row r="268" spans="1:17" x14ac:dyDescent="0.4">
      <c r="A268" t="s">
        <v>523</v>
      </c>
      <c r="B268" s="1">
        <v>45808</v>
      </c>
      <c r="C268" t="s">
        <v>109</v>
      </c>
      <c r="D268" t="s">
        <v>14</v>
      </c>
      <c r="E268" t="s">
        <v>435</v>
      </c>
      <c r="F268" t="s">
        <v>28</v>
      </c>
      <c r="G268">
        <v>4</v>
      </c>
      <c r="H268">
        <v>788.37</v>
      </c>
      <c r="I268">
        <v>5</v>
      </c>
      <c r="J268">
        <v>374.13</v>
      </c>
      <c r="K268" t="s">
        <v>17</v>
      </c>
      <c r="L268" t="s">
        <v>18</v>
      </c>
      <c r="M268">
        <f t="shared" si="20"/>
        <v>2995.806</v>
      </c>
      <c r="N268">
        <f t="shared" si="21"/>
        <v>1499.2860000000001</v>
      </c>
      <c r="O268" t="str">
        <f t="shared" si="22"/>
        <v>Saturday</v>
      </c>
      <c r="P268" t="b">
        <f t="shared" si="23"/>
        <v>1</v>
      </c>
      <c r="Q268" t="str">
        <f t="shared" si="24"/>
        <v>May</v>
      </c>
    </row>
    <row r="269" spans="1:17" x14ac:dyDescent="0.4">
      <c r="A269" t="s">
        <v>524</v>
      </c>
      <c r="B269" s="1">
        <v>45861</v>
      </c>
      <c r="C269" t="s">
        <v>144</v>
      </c>
      <c r="D269" t="s">
        <v>46</v>
      </c>
      <c r="E269" t="s">
        <v>379</v>
      </c>
      <c r="F269" t="s">
        <v>28</v>
      </c>
      <c r="G269">
        <v>1</v>
      </c>
      <c r="H269">
        <v>806.81</v>
      </c>
      <c r="I269">
        <v>5</v>
      </c>
      <c r="J269">
        <v>417.37</v>
      </c>
      <c r="K269" t="s">
        <v>24</v>
      </c>
      <c r="L269" t="s">
        <v>18</v>
      </c>
      <c r="M269">
        <f t="shared" si="20"/>
        <v>766.46949999999993</v>
      </c>
      <c r="N269">
        <f t="shared" si="21"/>
        <v>349.09949999999992</v>
      </c>
      <c r="O269" t="str">
        <f t="shared" si="22"/>
        <v>Wednesday</v>
      </c>
      <c r="P269" t="b">
        <f t="shared" si="23"/>
        <v>0</v>
      </c>
      <c r="Q269" t="str">
        <f t="shared" si="24"/>
        <v>July</v>
      </c>
    </row>
    <row r="270" spans="1:17" x14ac:dyDescent="0.4">
      <c r="A270" t="s">
        <v>525</v>
      </c>
      <c r="B270" s="1">
        <v>45800</v>
      </c>
      <c r="C270" t="s">
        <v>182</v>
      </c>
      <c r="D270" t="s">
        <v>31</v>
      </c>
      <c r="E270" t="s">
        <v>282</v>
      </c>
      <c r="F270" t="s">
        <v>28</v>
      </c>
      <c r="G270">
        <v>3</v>
      </c>
      <c r="H270">
        <v>602.9</v>
      </c>
      <c r="I270">
        <v>30</v>
      </c>
      <c r="J270">
        <v>284.89999999999998</v>
      </c>
      <c r="K270" t="s">
        <v>24</v>
      </c>
      <c r="L270" t="s">
        <v>18</v>
      </c>
      <c r="M270">
        <f t="shared" si="20"/>
        <v>1266.0899999999997</v>
      </c>
      <c r="N270">
        <f t="shared" si="21"/>
        <v>411.38999999999976</v>
      </c>
      <c r="O270" t="str">
        <f t="shared" si="22"/>
        <v>Friday</v>
      </c>
      <c r="P270" t="b">
        <f t="shared" si="23"/>
        <v>0</v>
      </c>
      <c r="Q270" t="str">
        <f t="shared" si="24"/>
        <v>May</v>
      </c>
    </row>
    <row r="271" spans="1:17" x14ac:dyDescent="0.4">
      <c r="A271" t="s">
        <v>526</v>
      </c>
      <c r="B271" s="1">
        <v>45671</v>
      </c>
      <c r="C271" t="s">
        <v>171</v>
      </c>
      <c r="D271" t="s">
        <v>31</v>
      </c>
      <c r="E271" t="s">
        <v>72</v>
      </c>
      <c r="F271" t="s">
        <v>16</v>
      </c>
      <c r="G271">
        <v>4</v>
      </c>
      <c r="H271">
        <v>2705.89</v>
      </c>
      <c r="I271">
        <v>25</v>
      </c>
      <c r="J271">
        <v>1658.13</v>
      </c>
      <c r="K271" t="s">
        <v>17</v>
      </c>
      <c r="L271" t="s">
        <v>33</v>
      </c>
      <c r="M271">
        <f t="shared" si="20"/>
        <v>8117.67</v>
      </c>
      <c r="N271">
        <f t="shared" si="21"/>
        <v>1485.1499999999996</v>
      </c>
      <c r="O271" t="str">
        <f t="shared" si="22"/>
        <v>Tuesday</v>
      </c>
      <c r="P271" t="b">
        <f t="shared" si="23"/>
        <v>0</v>
      </c>
      <c r="Q271" t="str">
        <f t="shared" si="24"/>
        <v>January</v>
      </c>
    </row>
    <row r="272" spans="1:17" x14ac:dyDescent="0.4">
      <c r="A272" t="s">
        <v>527</v>
      </c>
      <c r="B272" s="1">
        <v>45939</v>
      </c>
      <c r="C272" t="s">
        <v>122</v>
      </c>
      <c r="D272" t="s">
        <v>46</v>
      </c>
      <c r="E272" t="s">
        <v>528</v>
      </c>
      <c r="F272" t="s">
        <v>28</v>
      </c>
      <c r="G272">
        <v>2</v>
      </c>
      <c r="H272">
        <v>621.59</v>
      </c>
      <c r="I272">
        <v>20</v>
      </c>
      <c r="J272">
        <v>256.2</v>
      </c>
      <c r="K272" t="s">
        <v>24</v>
      </c>
      <c r="L272" t="s">
        <v>33</v>
      </c>
      <c r="M272">
        <f t="shared" si="20"/>
        <v>994.5440000000001</v>
      </c>
      <c r="N272">
        <f t="shared" si="21"/>
        <v>482.14400000000012</v>
      </c>
      <c r="O272" t="str">
        <f t="shared" si="22"/>
        <v>Thursday</v>
      </c>
      <c r="P272" t="b">
        <f t="shared" si="23"/>
        <v>0</v>
      </c>
      <c r="Q272" t="str">
        <f t="shared" si="24"/>
        <v>October</v>
      </c>
    </row>
    <row r="273" spans="1:17" x14ac:dyDescent="0.4">
      <c r="A273" t="s">
        <v>529</v>
      </c>
      <c r="B273" s="1">
        <v>45505</v>
      </c>
      <c r="C273" t="s">
        <v>30</v>
      </c>
      <c r="D273" t="s">
        <v>46</v>
      </c>
      <c r="E273" t="s">
        <v>260</v>
      </c>
      <c r="F273" t="s">
        <v>23</v>
      </c>
      <c r="G273">
        <v>5</v>
      </c>
      <c r="H273">
        <v>2372.96</v>
      </c>
      <c r="I273">
        <v>15</v>
      </c>
      <c r="J273">
        <v>1488.6</v>
      </c>
      <c r="K273" t="s">
        <v>24</v>
      </c>
      <c r="L273" t="s">
        <v>33</v>
      </c>
      <c r="M273">
        <f t="shared" si="20"/>
        <v>10085.08</v>
      </c>
      <c r="N273">
        <f t="shared" si="21"/>
        <v>2642.08</v>
      </c>
      <c r="O273" t="str">
        <f t="shared" si="22"/>
        <v>Thursday</v>
      </c>
      <c r="P273" t="b">
        <f t="shared" si="23"/>
        <v>0</v>
      </c>
      <c r="Q273" t="str">
        <f t="shared" si="24"/>
        <v>August</v>
      </c>
    </row>
    <row r="274" spans="1:17" x14ac:dyDescent="0.4">
      <c r="A274" t="s">
        <v>530</v>
      </c>
      <c r="B274" s="1">
        <v>45479</v>
      </c>
      <c r="C274" t="s">
        <v>146</v>
      </c>
      <c r="D274" t="s">
        <v>14</v>
      </c>
      <c r="E274" t="s">
        <v>233</v>
      </c>
      <c r="F274" t="s">
        <v>23</v>
      </c>
      <c r="G274">
        <v>1</v>
      </c>
      <c r="H274">
        <v>2589.29</v>
      </c>
      <c r="I274">
        <v>10</v>
      </c>
      <c r="J274">
        <v>1262.25</v>
      </c>
      <c r="K274" t="s">
        <v>17</v>
      </c>
      <c r="L274" t="s">
        <v>18</v>
      </c>
      <c r="M274">
        <f t="shared" si="20"/>
        <v>2330.3609999999999</v>
      </c>
      <c r="N274">
        <f t="shared" si="21"/>
        <v>1068.1109999999999</v>
      </c>
      <c r="O274" t="str">
        <f t="shared" si="22"/>
        <v>Saturday</v>
      </c>
      <c r="P274" t="b">
        <f t="shared" si="23"/>
        <v>1</v>
      </c>
      <c r="Q274" t="str">
        <f t="shared" si="24"/>
        <v>July</v>
      </c>
    </row>
    <row r="275" spans="1:17" x14ac:dyDescent="0.4">
      <c r="A275" t="s">
        <v>531</v>
      </c>
      <c r="B275" s="1">
        <v>45929</v>
      </c>
      <c r="C275" t="s">
        <v>122</v>
      </c>
      <c r="D275" t="s">
        <v>14</v>
      </c>
      <c r="E275" t="s">
        <v>532</v>
      </c>
      <c r="F275" t="s">
        <v>23</v>
      </c>
      <c r="G275">
        <v>5</v>
      </c>
      <c r="H275">
        <v>2093.5300000000002</v>
      </c>
      <c r="I275">
        <v>30</v>
      </c>
      <c r="J275">
        <v>871.35</v>
      </c>
      <c r="K275" t="s">
        <v>24</v>
      </c>
      <c r="L275" t="s">
        <v>37</v>
      </c>
      <c r="M275">
        <f t="shared" si="20"/>
        <v>7327.3550000000005</v>
      </c>
      <c r="N275">
        <f t="shared" si="21"/>
        <v>2970.6050000000005</v>
      </c>
      <c r="O275" t="str">
        <f t="shared" si="22"/>
        <v>Monday</v>
      </c>
      <c r="P275" t="b">
        <f t="shared" si="23"/>
        <v>0</v>
      </c>
      <c r="Q275" t="str">
        <f t="shared" si="24"/>
        <v>September</v>
      </c>
    </row>
    <row r="276" spans="1:17" x14ac:dyDescent="0.4">
      <c r="A276" t="s">
        <v>533</v>
      </c>
      <c r="B276" s="1">
        <v>45498</v>
      </c>
      <c r="C276" t="s">
        <v>159</v>
      </c>
      <c r="D276" t="s">
        <v>46</v>
      </c>
      <c r="E276" t="s">
        <v>534</v>
      </c>
      <c r="F276" t="s">
        <v>28</v>
      </c>
      <c r="G276">
        <v>5</v>
      </c>
      <c r="H276">
        <v>1061.44</v>
      </c>
      <c r="I276">
        <v>0</v>
      </c>
      <c r="J276">
        <v>562.61</v>
      </c>
      <c r="K276" t="s">
        <v>24</v>
      </c>
      <c r="L276" t="s">
        <v>33</v>
      </c>
      <c r="M276">
        <f t="shared" si="20"/>
        <v>5307.2000000000007</v>
      </c>
      <c r="N276">
        <f t="shared" si="21"/>
        <v>2494.1500000000005</v>
      </c>
      <c r="O276" t="str">
        <f t="shared" si="22"/>
        <v>Thursday</v>
      </c>
      <c r="P276" t="b">
        <f t="shared" si="23"/>
        <v>0</v>
      </c>
      <c r="Q276" t="str">
        <f t="shared" si="24"/>
        <v>July</v>
      </c>
    </row>
    <row r="277" spans="1:17" x14ac:dyDescent="0.4">
      <c r="A277" t="s">
        <v>535</v>
      </c>
      <c r="B277" s="1">
        <v>45657</v>
      </c>
      <c r="C277" t="s">
        <v>98</v>
      </c>
      <c r="D277" t="s">
        <v>46</v>
      </c>
      <c r="E277" t="s">
        <v>200</v>
      </c>
      <c r="F277" t="s">
        <v>28</v>
      </c>
      <c r="G277">
        <v>4</v>
      </c>
      <c r="H277">
        <v>1637.56</v>
      </c>
      <c r="I277">
        <v>30</v>
      </c>
      <c r="J277">
        <v>886.43</v>
      </c>
      <c r="K277" t="s">
        <v>24</v>
      </c>
      <c r="L277" t="s">
        <v>37</v>
      </c>
      <c r="M277">
        <f t="shared" si="20"/>
        <v>4585.1679999999997</v>
      </c>
      <c r="N277">
        <f t="shared" si="21"/>
        <v>1039.4479999999999</v>
      </c>
      <c r="O277" t="str">
        <f t="shared" si="22"/>
        <v>Tuesday</v>
      </c>
      <c r="P277" t="b">
        <f t="shared" si="23"/>
        <v>0</v>
      </c>
      <c r="Q277" t="str">
        <f t="shared" si="24"/>
        <v>December</v>
      </c>
    </row>
    <row r="278" spans="1:17" x14ac:dyDescent="0.4">
      <c r="A278" t="s">
        <v>536</v>
      </c>
      <c r="B278" s="1">
        <v>45951</v>
      </c>
      <c r="C278" t="s">
        <v>193</v>
      </c>
      <c r="D278" t="s">
        <v>14</v>
      </c>
      <c r="E278" t="s">
        <v>537</v>
      </c>
      <c r="F278" t="s">
        <v>28</v>
      </c>
      <c r="G278">
        <v>5</v>
      </c>
      <c r="H278">
        <v>2920.25</v>
      </c>
      <c r="I278">
        <v>0</v>
      </c>
      <c r="J278">
        <v>1836.66</v>
      </c>
      <c r="K278" t="s">
        <v>17</v>
      </c>
      <c r="L278" t="s">
        <v>37</v>
      </c>
      <c r="M278">
        <f t="shared" si="20"/>
        <v>14601.25</v>
      </c>
      <c r="N278">
        <f t="shared" si="21"/>
        <v>5417.9499999999989</v>
      </c>
      <c r="O278" t="str">
        <f t="shared" si="22"/>
        <v>Tuesday</v>
      </c>
      <c r="P278" t="b">
        <f t="shared" si="23"/>
        <v>0</v>
      </c>
      <c r="Q278" t="str">
        <f t="shared" si="24"/>
        <v>October</v>
      </c>
    </row>
    <row r="279" spans="1:17" x14ac:dyDescent="0.4">
      <c r="A279" t="s">
        <v>538</v>
      </c>
      <c r="B279" s="1">
        <v>45557</v>
      </c>
      <c r="C279" t="s">
        <v>273</v>
      </c>
      <c r="D279" t="s">
        <v>31</v>
      </c>
      <c r="E279" t="s">
        <v>394</v>
      </c>
      <c r="F279" t="s">
        <v>23</v>
      </c>
      <c r="G279">
        <v>1</v>
      </c>
      <c r="H279">
        <v>854.37</v>
      </c>
      <c r="I279">
        <v>15</v>
      </c>
      <c r="J279">
        <v>481.81</v>
      </c>
      <c r="K279" t="s">
        <v>24</v>
      </c>
      <c r="L279" t="s">
        <v>37</v>
      </c>
      <c r="M279">
        <f t="shared" si="20"/>
        <v>726.21449999999993</v>
      </c>
      <c r="N279">
        <f t="shared" si="21"/>
        <v>244.40449999999993</v>
      </c>
      <c r="O279" t="str">
        <f t="shared" si="22"/>
        <v>Sunday</v>
      </c>
      <c r="P279" t="b">
        <f t="shared" si="23"/>
        <v>1</v>
      </c>
      <c r="Q279" t="str">
        <f t="shared" si="24"/>
        <v>September</v>
      </c>
    </row>
    <row r="280" spans="1:17" x14ac:dyDescent="0.4">
      <c r="A280" t="s">
        <v>539</v>
      </c>
      <c r="B280" s="1">
        <v>45904</v>
      </c>
      <c r="C280" t="s">
        <v>463</v>
      </c>
      <c r="D280" t="s">
        <v>46</v>
      </c>
      <c r="E280" t="s">
        <v>188</v>
      </c>
      <c r="F280" t="s">
        <v>16</v>
      </c>
      <c r="G280">
        <v>2</v>
      </c>
      <c r="H280">
        <v>1320.38</v>
      </c>
      <c r="I280">
        <v>5</v>
      </c>
      <c r="J280">
        <v>805.81</v>
      </c>
      <c r="K280" t="s">
        <v>17</v>
      </c>
      <c r="L280" t="s">
        <v>18</v>
      </c>
      <c r="M280">
        <f t="shared" si="20"/>
        <v>2508.7220000000002</v>
      </c>
      <c r="N280">
        <f t="shared" si="21"/>
        <v>897.10200000000032</v>
      </c>
      <c r="O280" t="str">
        <f t="shared" si="22"/>
        <v>Thursday</v>
      </c>
      <c r="P280" t="b">
        <f t="shared" si="23"/>
        <v>0</v>
      </c>
      <c r="Q280" t="str">
        <f t="shared" si="24"/>
        <v>September</v>
      </c>
    </row>
    <row r="281" spans="1:17" x14ac:dyDescent="0.4">
      <c r="A281" t="s">
        <v>540</v>
      </c>
      <c r="B281" s="1">
        <v>45552</v>
      </c>
      <c r="C281" t="s">
        <v>149</v>
      </c>
      <c r="D281" t="s">
        <v>14</v>
      </c>
      <c r="E281" t="s">
        <v>206</v>
      </c>
      <c r="F281" t="s">
        <v>28</v>
      </c>
      <c r="G281">
        <v>1</v>
      </c>
      <c r="H281">
        <v>2479.2199999999998</v>
      </c>
      <c r="I281">
        <v>25</v>
      </c>
      <c r="J281">
        <v>1624.05</v>
      </c>
      <c r="K281" t="s">
        <v>17</v>
      </c>
      <c r="L281" t="s">
        <v>18</v>
      </c>
      <c r="M281">
        <f t="shared" si="20"/>
        <v>1859.415</v>
      </c>
      <c r="N281">
        <f t="shared" si="21"/>
        <v>235.36500000000001</v>
      </c>
      <c r="O281" t="str">
        <f t="shared" si="22"/>
        <v>Tuesday</v>
      </c>
      <c r="P281" t="b">
        <f t="shared" si="23"/>
        <v>0</v>
      </c>
      <c r="Q281" t="str">
        <f t="shared" si="24"/>
        <v>September</v>
      </c>
    </row>
    <row r="282" spans="1:17" x14ac:dyDescent="0.4">
      <c r="A282" t="s">
        <v>541</v>
      </c>
      <c r="B282" s="1">
        <v>45916</v>
      </c>
      <c r="C282" t="s">
        <v>152</v>
      </c>
      <c r="D282" t="s">
        <v>14</v>
      </c>
      <c r="E282" t="s">
        <v>542</v>
      </c>
      <c r="F282" t="s">
        <v>16</v>
      </c>
      <c r="G282">
        <v>1</v>
      </c>
      <c r="H282">
        <v>2735.76</v>
      </c>
      <c r="I282">
        <v>10</v>
      </c>
      <c r="J282">
        <v>1207.1500000000001</v>
      </c>
      <c r="K282" t="s">
        <v>17</v>
      </c>
      <c r="L282" t="s">
        <v>37</v>
      </c>
      <c r="M282">
        <f t="shared" si="20"/>
        <v>2462.1840000000002</v>
      </c>
      <c r="N282">
        <f t="shared" si="21"/>
        <v>1255.0340000000001</v>
      </c>
      <c r="O282" t="str">
        <f t="shared" si="22"/>
        <v>Tuesday</v>
      </c>
      <c r="P282" t="b">
        <f t="shared" si="23"/>
        <v>0</v>
      </c>
      <c r="Q282" t="str">
        <f t="shared" si="24"/>
        <v>September</v>
      </c>
    </row>
    <row r="283" spans="1:17" x14ac:dyDescent="0.4">
      <c r="A283" t="s">
        <v>543</v>
      </c>
      <c r="B283" s="1">
        <v>45809</v>
      </c>
      <c r="C283" t="s">
        <v>86</v>
      </c>
      <c r="D283" t="s">
        <v>31</v>
      </c>
      <c r="E283" t="s">
        <v>544</v>
      </c>
      <c r="F283" t="s">
        <v>28</v>
      </c>
      <c r="G283">
        <v>5</v>
      </c>
      <c r="H283">
        <v>2662.3</v>
      </c>
      <c r="I283">
        <v>15</v>
      </c>
      <c r="J283">
        <v>1547.94</v>
      </c>
      <c r="K283" t="s">
        <v>17</v>
      </c>
      <c r="L283" t="s">
        <v>37</v>
      </c>
      <c r="M283">
        <f t="shared" si="20"/>
        <v>11314.775</v>
      </c>
      <c r="N283">
        <f t="shared" si="21"/>
        <v>3575.0749999999989</v>
      </c>
      <c r="O283" t="str">
        <f t="shared" si="22"/>
        <v>Sunday</v>
      </c>
      <c r="P283" t="b">
        <f t="shared" si="23"/>
        <v>1</v>
      </c>
      <c r="Q283" t="str">
        <f t="shared" si="24"/>
        <v>June</v>
      </c>
    </row>
    <row r="284" spans="1:17" x14ac:dyDescent="0.4">
      <c r="A284" t="s">
        <v>545</v>
      </c>
      <c r="B284" s="1">
        <v>45311</v>
      </c>
      <c r="C284" t="s">
        <v>26</v>
      </c>
      <c r="D284" t="s">
        <v>14</v>
      </c>
      <c r="E284" t="s">
        <v>546</v>
      </c>
      <c r="F284" t="s">
        <v>28</v>
      </c>
      <c r="G284">
        <v>3</v>
      </c>
      <c r="H284">
        <v>381.72</v>
      </c>
      <c r="I284">
        <v>10</v>
      </c>
      <c r="J284">
        <v>212.96</v>
      </c>
      <c r="K284" t="s">
        <v>24</v>
      </c>
      <c r="L284" t="s">
        <v>18</v>
      </c>
      <c r="M284">
        <f t="shared" si="20"/>
        <v>1030.644</v>
      </c>
      <c r="N284">
        <f t="shared" si="21"/>
        <v>391.76400000000001</v>
      </c>
      <c r="O284" t="str">
        <f t="shared" si="22"/>
        <v>Saturday</v>
      </c>
      <c r="P284" t="b">
        <f t="shared" si="23"/>
        <v>1</v>
      </c>
      <c r="Q284" t="str">
        <f t="shared" si="24"/>
        <v>January</v>
      </c>
    </row>
    <row r="285" spans="1:17" x14ac:dyDescent="0.4">
      <c r="A285" t="s">
        <v>547</v>
      </c>
      <c r="B285" s="1">
        <v>45537</v>
      </c>
      <c r="C285" t="s">
        <v>253</v>
      </c>
      <c r="D285" t="s">
        <v>46</v>
      </c>
      <c r="E285" t="s">
        <v>354</v>
      </c>
      <c r="F285" t="s">
        <v>23</v>
      </c>
      <c r="G285">
        <v>2</v>
      </c>
      <c r="H285">
        <v>1751.63</v>
      </c>
      <c r="I285">
        <v>30</v>
      </c>
      <c r="J285">
        <v>997.86</v>
      </c>
      <c r="K285" t="s">
        <v>24</v>
      </c>
      <c r="L285" t="s">
        <v>33</v>
      </c>
      <c r="M285">
        <f t="shared" si="20"/>
        <v>2452.2820000000002</v>
      </c>
      <c r="N285">
        <f t="shared" si="21"/>
        <v>456.56200000000013</v>
      </c>
      <c r="O285" t="str">
        <f t="shared" si="22"/>
        <v>Monday</v>
      </c>
      <c r="P285" t="b">
        <f t="shared" si="23"/>
        <v>0</v>
      </c>
      <c r="Q285" t="str">
        <f t="shared" si="24"/>
        <v>September</v>
      </c>
    </row>
    <row r="286" spans="1:17" x14ac:dyDescent="0.4">
      <c r="A286" t="s">
        <v>548</v>
      </c>
      <c r="B286" s="1">
        <v>45628</v>
      </c>
      <c r="C286" t="s">
        <v>122</v>
      </c>
      <c r="D286" t="s">
        <v>14</v>
      </c>
      <c r="E286" t="s">
        <v>324</v>
      </c>
      <c r="F286" t="s">
        <v>16</v>
      </c>
      <c r="G286">
        <v>4</v>
      </c>
      <c r="H286">
        <v>1163.3399999999999</v>
      </c>
      <c r="I286">
        <v>0</v>
      </c>
      <c r="J286">
        <v>653.46</v>
      </c>
      <c r="K286" t="s">
        <v>24</v>
      </c>
      <c r="L286" t="s">
        <v>33</v>
      </c>
      <c r="M286">
        <f t="shared" si="20"/>
        <v>4653.3599999999997</v>
      </c>
      <c r="N286">
        <f t="shared" si="21"/>
        <v>2039.5199999999995</v>
      </c>
      <c r="O286" t="str">
        <f t="shared" si="22"/>
        <v>Monday</v>
      </c>
      <c r="P286" t="b">
        <f t="shared" si="23"/>
        <v>0</v>
      </c>
      <c r="Q286" t="str">
        <f t="shared" si="24"/>
        <v>December</v>
      </c>
    </row>
    <row r="287" spans="1:17" x14ac:dyDescent="0.4">
      <c r="A287" t="s">
        <v>549</v>
      </c>
      <c r="B287" s="1">
        <v>45825</v>
      </c>
      <c r="C287" t="s">
        <v>84</v>
      </c>
      <c r="D287" t="s">
        <v>31</v>
      </c>
      <c r="E287" t="s">
        <v>112</v>
      </c>
      <c r="F287" t="s">
        <v>23</v>
      </c>
      <c r="G287">
        <v>2</v>
      </c>
      <c r="H287">
        <v>1841.14</v>
      </c>
      <c r="I287">
        <v>20</v>
      </c>
      <c r="J287">
        <v>1168.3599999999999</v>
      </c>
      <c r="K287" t="s">
        <v>24</v>
      </c>
      <c r="L287" t="s">
        <v>18</v>
      </c>
      <c r="M287">
        <f t="shared" si="20"/>
        <v>2945.8240000000005</v>
      </c>
      <c r="N287">
        <f t="shared" si="21"/>
        <v>609.10400000000072</v>
      </c>
      <c r="O287" t="str">
        <f t="shared" si="22"/>
        <v>Tuesday</v>
      </c>
      <c r="P287" t="b">
        <f t="shared" si="23"/>
        <v>0</v>
      </c>
      <c r="Q287" t="str">
        <f t="shared" si="24"/>
        <v>June</v>
      </c>
    </row>
    <row r="288" spans="1:17" x14ac:dyDescent="0.4">
      <c r="A288" t="s">
        <v>550</v>
      </c>
      <c r="B288" s="1">
        <v>45955</v>
      </c>
      <c r="C288" t="s">
        <v>35</v>
      </c>
      <c r="D288" t="s">
        <v>21</v>
      </c>
      <c r="E288" t="s">
        <v>551</v>
      </c>
      <c r="F288" t="s">
        <v>16</v>
      </c>
      <c r="G288">
        <v>5</v>
      </c>
      <c r="H288">
        <v>969.41</v>
      </c>
      <c r="I288">
        <v>10</v>
      </c>
      <c r="J288">
        <v>608.33000000000004</v>
      </c>
      <c r="K288" t="s">
        <v>17</v>
      </c>
      <c r="L288" t="s">
        <v>37</v>
      </c>
      <c r="M288">
        <f t="shared" si="20"/>
        <v>4362.3450000000003</v>
      </c>
      <c r="N288">
        <f t="shared" si="21"/>
        <v>1320.6950000000002</v>
      </c>
      <c r="O288" t="str">
        <f t="shared" si="22"/>
        <v>Saturday</v>
      </c>
      <c r="P288" t="b">
        <f t="shared" si="23"/>
        <v>1</v>
      </c>
      <c r="Q288" t="str">
        <f t="shared" si="24"/>
        <v>October</v>
      </c>
    </row>
    <row r="289" spans="1:17" x14ac:dyDescent="0.4">
      <c r="A289" t="s">
        <v>552</v>
      </c>
      <c r="B289" s="1">
        <v>45521</v>
      </c>
      <c r="C289" t="s">
        <v>122</v>
      </c>
      <c r="D289" t="s">
        <v>31</v>
      </c>
      <c r="E289" t="s">
        <v>177</v>
      </c>
      <c r="F289" t="s">
        <v>23</v>
      </c>
      <c r="G289">
        <v>5</v>
      </c>
      <c r="H289">
        <v>1611.85</v>
      </c>
      <c r="I289">
        <v>0</v>
      </c>
      <c r="J289">
        <v>1121.5</v>
      </c>
      <c r="K289" t="s">
        <v>17</v>
      </c>
      <c r="L289" t="s">
        <v>37</v>
      </c>
      <c r="M289">
        <f t="shared" si="20"/>
        <v>8059.25</v>
      </c>
      <c r="N289">
        <f t="shared" si="21"/>
        <v>2451.75</v>
      </c>
      <c r="O289" t="str">
        <f t="shared" si="22"/>
        <v>Saturday</v>
      </c>
      <c r="P289" t="b">
        <f t="shared" si="23"/>
        <v>1</v>
      </c>
      <c r="Q289" t="str">
        <f t="shared" si="24"/>
        <v>August</v>
      </c>
    </row>
    <row r="290" spans="1:17" x14ac:dyDescent="0.4">
      <c r="A290" t="s">
        <v>553</v>
      </c>
      <c r="B290" s="1">
        <v>45781</v>
      </c>
      <c r="C290" t="s">
        <v>13</v>
      </c>
      <c r="D290" t="s">
        <v>46</v>
      </c>
      <c r="E290" t="s">
        <v>414</v>
      </c>
      <c r="F290" t="s">
        <v>23</v>
      </c>
      <c r="G290">
        <v>1</v>
      </c>
      <c r="H290">
        <v>406.63</v>
      </c>
      <c r="I290">
        <v>20</v>
      </c>
      <c r="J290">
        <v>223.3</v>
      </c>
      <c r="K290" t="s">
        <v>17</v>
      </c>
      <c r="L290" t="s">
        <v>37</v>
      </c>
      <c r="M290">
        <f t="shared" si="20"/>
        <v>325.30400000000003</v>
      </c>
      <c r="N290">
        <f t="shared" si="21"/>
        <v>102.00400000000002</v>
      </c>
      <c r="O290" t="str">
        <f t="shared" si="22"/>
        <v>Sunday</v>
      </c>
      <c r="P290" t="b">
        <f t="shared" si="23"/>
        <v>1</v>
      </c>
      <c r="Q290" t="str">
        <f t="shared" si="24"/>
        <v>May</v>
      </c>
    </row>
    <row r="291" spans="1:17" x14ac:dyDescent="0.4">
      <c r="A291" t="s">
        <v>554</v>
      </c>
      <c r="B291" s="1">
        <v>45354</v>
      </c>
      <c r="C291" t="s">
        <v>128</v>
      </c>
      <c r="D291" t="s">
        <v>21</v>
      </c>
      <c r="E291" t="s">
        <v>265</v>
      </c>
      <c r="F291" t="s">
        <v>28</v>
      </c>
      <c r="G291">
        <v>1</v>
      </c>
      <c r="H291">
        <v>1807.63</v>
      </c>
      <c r="I291">
        <v>0</v>
      </c>
      <c r="J291">
        <v>946.17</v>
      </c>
      <c r="K291" t="s">
        <v>24</v>
      </c>
      <c r="L291" t="s">
        <v>33</v>
      </c>
      <c r="M291">
        <f t="shared" si="20"/>
        <v>1807.63</v>
      </c>
      <c r="N291">
        <f t="shared" si="21"/>
        <v>861.46000000000015</v>
      </c>
      <c r="O291" t="str">
        <f t="shared" si="22"/>
        <v>Sunday</v>
      </c>
      <c r="P291" t="b">
        <f t="shared" si="23"/>
        <v>1</v>
      </c>
      <c r="Q291" t="str">
        <f t="shared" si="24"/>
        <v>March</v>
      </c>
    </row>
    <row r="292" spans="1:17" x14ac:dyDescent="0.4">
      <c r="A292" t="s">
        <v>555</v>
      </c>
      <c r="B292" s="1">
        <v>45923</v>
      </c>
      <c r="C292" t="s">
        <v>45</v>
      </c>
      <c r="D292" t="s">
        <v>46</v>
      </c>
      <c r="E292" t="s">
        <v>249</v>
      </c>
      <c r="F292" t="s">
        <v>16</v>
      </c>
      <c r="G292">
        <v>2</v>
      </c>
      <c r="H292">
        <v>1576.53</v>
      </c>
      <c r="I292">
        <v>15</v>
      </c>
      <c r="J292">
        <v>717.66</v>
      </c>
      <c r="K292" t="s">
        <v>24</v>
      </c>
      <c r="L292" t="s">
        <v>33</v>
      </c>
      <c r="M292">
        <f t="shared" si="20"/>
        <v>2680.1009999999997</v>
      </c>
      <c r="N292">
        <f t="shared" si="21"/>
        <v>1244.7809999999997</v>
      </c>
      <c r="O292" t="str">
        <f t="shared" si="22"/>
        <v>Tuesday</v>
      </c>
      <c r="P292" t="b">
        <f t="shared" si="23"/>
        <v>0</v>
      </c>
      <c r="Q292" t="str">
        <f t="shared" si="24"/>
        <v>September</v>
      </c>
    </row>
    <row r="293" spans="1:17" x14ac:dyDescent="0.4">
      <c r="A293" t="s">
        <v>556</v>
      </c>
      <c r="B293" s="1">
        <v>45750</v>
      </c>
      <c r="C293" t="s">
        <v>286</v>
      </c>
      <c r="D293" t="s">
        <v>21</v>
      </c>
      <c r="E293" t="s">
        <v>557</v>
      </c>
      <c r="F293" t="s">
        <v>23</v>
      </c>
      <c r="G293">
        <v>5</v>
      </c>
      <c r="H293">
        <v>2378.3000000000002</v>
      </c>
      <c r="I293">
        <v>0</v>
      </c>
      <c r="J293">
        <v>1434.7</v>
      </c>
      <c r="K293" t="s">
        <v>24</v>
      </c>
      <c r="L293" t="s">
        <v>18</v>
      </c>
      <c r="M293">
        <f t="shared" si="20"/>
        <v>11891.5</v>
      </c>
      <c r="N293">
        <f t="shared" si="21"/>
        <v>4718</v>
      </c>
      <c r="O293" t="str">
        <f t="shared" si="22"/>
        <v>Thursday</v>
      </c>
      <c r="P293" t="b">
        <f t="shared" si="23"/>
        <v>0</v>
      </c>
      <c r="Q293" t="str">
        <f t="shared" si="24"/>
        <v>April</v>
      </c>
    </row>
    <row r="294" spans="1:17" x14ac:dyDescent="0.4">
      <c r="A294" t="s">
        <v>558</v>
      </c>
      <c r="B294" s="1">
        <v>45934</v>
      </c>
      <c r="C294" t="s">
        <v>92</v>
      </c>
      <c r="D294" t="s">
        <v>14</v>
      </c>
      <c r="E294" t="s">
        <v>559</v>
      </c>
      <c r="F294" t="s">
        <v>28</v>
      </c>
      <c r="G294">
        <v>2</v>
      </c>
      <c r="H294">
        <v>2904.4</v>
      </c>
      <c r="I294">
        <v>30</v>
      </c>
      <c r="J294">
        <v>1794.54</v>
      </c>
      <c r="K294" t="s">
        <v>24</v>
      </c>
      <c r="L294" t="s">
        <v>37</v>
      </c>
      <c r="M294">
        <f t="shared" si="20"/>
        <v>4066.16</v>
      </c>
      <c r="N294">
        <f t="shared" si="21"/>
        <v>477.07999999999993</v>
      </c>
      <c r="O294" t="str">
        <f t="shared" si="22"/>
        <v>Saturday</v>
      </c>
      <c r="P294" t="b">
        <f t="shared" si="23"/>
        <v>1</v>
      </c>
      <c r="Q294" t="str">
        <f t="shared" si="24"/>
        <v>October</v>
      </c>
    </row>
    <row r="295" spans="1:17" x14ac:dyDescent="0.4">
      <c r="A295" t="s">
        <v>560</v>
      </c>
      <c r="B295" s="1">
        <v>45757</v>
      </c>
      <c r="C295" t="s">
        <v>463</v>
      </c>
      <c r="D295" t="s">
        <v>21</v>
      </c>
      <c r="E295" t="s">
        <v>561</v>
      </c>
      <c r="F295" t="s">
        <v>16</v>
      </c>
      <c r="G295">
        <v>2</v>
      </c>
      <c r="H295">
        <v>921.14</v>
      </c>
      <c r="I295">
        <v>25</v>
      </c>
      <c r="J295">
        <v>400.36</v>
      </c>
      <c r="K295" t="s">
        <v>24</v>
      </c>
      <c r="L295" t="s">
        <v>18</v>
      </c>
      <c r="M295">
        <f t="shared" si="20"/>
        <v>1381.71</v>
      </c>
      <c r="N295">
        <f t="shared" si="21"/>
        <v>580.99</v>
      </c>
      <c r="O295" t="str">
        <f t="shared" si="22"/>
        <v>Thursday</v>
      </c>
      <c r="P295" t="b">
        <f t="shared" si="23"/>
        <v>0</v>
      </c>
      <c r="Q295" t="str">
        <f t="shared" si="24"/>
        <v>April</v>
      </c>
    </row>
    <row r="296" spans="1:17" x14ac:dyDescent="0.4">
      <c r="A296" t="s">
        <v>562</v>
      </c>
      <c r="B296" s="1">
        <v>45680</v>
      </c>
      <c r="C296" t="s">
        <v>71</v>
      </c>
      <c r="D296" t="s">
        <v>31</v>
      </c>
      <c r="E296" t="s">
        <v>563</v>
      </c>
      <c r="F296" t="s">
        <v>23</v>
      </c>
      <c r="G296">
        <v>3</v>
      </c>
      <c r="H296">
        <v>1490.8</v>
      </c>
      <c r="I296">
        <v>0</v>
      </c>
      <c r="J296">
        <v>689.37</v>
      </c>
      <c r="K296" t="s">
        <v>17</v>
      </c>
      <c r="L296" t="s">
        <v>18</v>
      </c>
      <c r="M296">
        <f t="shared" si="20"/>
        <v>4472.3999999999996</v>
      </c>
      <c r="N296">
        <f t="shared" si="21"/>
        <v>2404.2899999999995</v>
      </c>
      <c r="O296" t="str">
        <f t="shared" si="22"/>
        <v>Thursday</v>
      </c>
      <c r="P296" t="b">
        <f t="shared" si="23"/>
        <v>0</v>
      </c>
      <c r="Q296" t="str">
        <f t="shared" si="24"/>
        <v>January</v>
      </c>
    </row>
    <row r="297" spans="1:17" x14ac:dyDescent="0.4">
      <c r="A297" t="s">
        <v>564</v>
      </c>
      <c r="B297" s="1">
        <v>45583</v>
      </c>
      <c r="C297" t="s">
        <v>84</v>
      </c>
      <c r="D297" t="s">
        <v>46</v>
      </c>
      <c r="E297" t="s">
        <v>282</v>
      </c>
      <c r="F297" t="s">
        <v>23</v>
      </c>
      <c r="G297">
        <v>1</v>
      </c>
      <c r="H297">
        <v>2521.21</v>
      </c>
      <c r="I297">
        <v>5</v>
      </c>
      <c r="J297">
        <v>1066.0999999999999</v>
      </c>
      <c r="K297" t="s">
        <v>17</v>
      </c>
      <c r="L297" t="s">
        <v>37</v>
      </c>
      <c r="M297">
        <f t="shared" si="20"/>
        <v>2395.1495</v>
      </c>
      <c r="N297">
        <f t="shared" si="21"/>
        <v>1329.0495000000001</v>
      </c>
      <c r="O297" t="str">
        <f t="shared" si="22"/>
        <v>Friday</v>
      </c>
      <c r="P297" t="b">
        <f t="shared" si="23"/>
        <v>0</v>
      </c>
      <c r="Q297" t="str">
        <f t="shared" si="24"/>
        <v>October</v>
      </c>
    </row>
    <row r="298" spans="1:17" x14ac:dyDescent="0.4">
      <c r="A298" t="s">
        <v>565</v>
      </c>
      <c r="B298" s="1">
        <v>45493</v>
      </c>
      <c r="C298" t="s">
        <v>45</v>
      </c>
      <c r="D298" t="s">
        <v>21</v>
      </c>
      <c r="E298" t="s">
        <v>409</v>
      </c>
      <c r="F298" t="s">
        <v>23</v>
      </c>
      <c r="G298">
        <v>1</v>
      </c>
      <c r="H298">
        <v>1986.86</v>
      </c>
      <c r="I298">
        <v>15</v>
      </c>
      <c r="J298">
        <v>1012.73</v>
      </c>
      <c r="K298" t="s">
        <v>17</v>
      </c>
      <c r="L298" t="s">
        <v>18</v>
      </c>
      <c r="M298">
        <f t="shared" si="20"/>
        <v>1688.8309999999999</v>
      </c>
      <c r="N298">
        <f t="shared" si="21"/>
        <v>676.10099999999989</v>
      </c>
      <c r="O298" t="str">
        <f t="shared" si="22"/>
        <v>Saturday</v>
      </c>
      <c r="P298" t="b">
        <f t="shared" si="23"/>
        <v>1</v>
      </c>
      <c r="Q298" t="str">
        <f t="shared" si="24"/>
        <v>July</v>
      </c>
    </row>
    <row r="299" spans="1:17" x14ac:dyDescent="0.4">
      <c r="A299" t="s">
        <v>566</v>
      </c>
      <c r="B299" s="1">
        <v>45297</v>
      </c>
      <c r="C299" t="s">
        <v>179</v>
      </c>
      <c r="D299" t="s">
        <v>31</v>
      </c>
      <c r="E299" t="s">
        <v>512</v>
      </c>
      <c r="F299" t="s">
        <v>28</v>
      </c>
      <c r="G299">
        <v>5</v>
      </c>
      <c r="H299">
        <v>1577.47</v>
      </c>
      <c r="I299">
        <v>15</v>
      </c>
      <c r="J299">
        <v>862.58</v>
      </c>
      <c r="K299" t="s">
        <v>24</v>
      </c>
      <c r="L299" t="s">
        <v>37</v>
      </c>
      <c r="M299">
        <f t="shared" si="20"/>
        <v>6704.2475000000004</v>
      </c>
      <c r="N299">
        <f t="shared" si="21"/>
        <v>2391.3474999999999</v>
      </c>
      <c r="O299" t="str">
        <f t="shared" si="22"/>
        <v>Saturday</v>
      </c>
      <c r="P299" t="b">
        <f t="shared" si="23"/>
        <v>1</v>
      </c>
      <c r="Q299" t="str">
        <f t="shared" si="24"/>
        <v>January</v>
      </c>
    </row>
    <row r="300" spans="1:17" x14ac:dyDescent="0.4">
      <c r="A300" t="s">
        <v>567</v>
      </c>
      <c r="B300" s="1">
        <v>45981</v>
      </c>
      <c r="C300" t="s">
        <v>45</v>
      </c>
      <c r="D300" t="s">
        <v>31</v>
      </c>
      <c r="E300" t="s">
        <v>194</v>
      </c>
      <c r="F300" t="s">
        <v>28</v>
      </c>
      <c r="G300">
        <v>1</v>
      </c>
      <c r="H300">
        <v>1056.1500000000001</v>
      </c>
      <c r="I300">
        <v>10</v>
      </c>
      <c r="J300">
        <v>664.42</v>
      </c>
      <c r="K300" t="s">
        <v>17</v>
      </c>
      <c r="L300" t="s">
        <v>18</v>
      </c>
      <c r="M300">
        <f t="shared" si="20"/>
        <v>950.53500000000008</v>
      </c>
      <c r="N300">
        <f t="shared" si="21"/>
        <v>286.11500000000012</v>
      </c>
      <c r="O300" t="str">
        <f t="shared" si="22"/>
        <v>Thursday</v>
      </c>
      <c r="P300" t="b">
        <f t="shared" si="23"/>
        <v>0</v>
      </c>
      <c r="Q300" t="str">
        <f t="shared" si="24"/>
        <v>November</v>
      </c>
    </row>
    <row r="301" spans="1:17" x14ac:dyDescent="0.4">
      <c r="A301" t="s">
        <v>568</v>
      </c>
      <c r="B301" s="1">
        <v>45403</v>
      </c>
      <c r="C301" t="s">
        <v>296</v>
      </c>
      <c r="D301" t="s">
        <v>21</v>
      </c>
      <c r="E301" t="s">
        <v>569</v>
      </c>
      <c r="F301" t="s">
        <v>16</v>
      </c>
      <c r="G301">
        <v>1</v>
      </c>
      <c r="H301">
        <v>1614.45</v>
      </c>
      <c r="I301">
        <v>10</v>
      </c>
      <c r="J301">
        <v>973.58</v>
      </c>
      <c r="K301" t="s">
        <v>17</v>
      </c>
      <c r="L301" t="s">
        <v>37</v>
      </c>
      <c r="M301">
        <f t="shared" si="20"/>
        <v>1453.0050000000001</v>
      </c>
      <c r="N301">
        <f t="shared" si="21"/>
        <v>479.42500000000007</v>
      </c>
      <c r="O301" t="str">
        <f t="shared" si="22"/>
        <v>Sunday</v>
      </c>
      <c r="P301" t="b">
        <f t="shared" si="23"/>
        <v>1</v>
      </c>
      <c r="Q301" t="str">
        <f t="shared" si="24"/>
        <v>April</v>
      </c>
    </row>
    <row r="302" spans="1:17" x14ac:dyDescent="0.4">
      <c r="A302" t="s">
        <v>570</v>
      </c>
      <c r="B302" s="1">
        <v>45871</v>
      </c>
      <c r="C302" t="s">
        <v>457</v>
      </c>
      <c r="D302" t="s">
        <v>31</v>
      </c>
      <c r="E302" t="s">
        <v>36</v>
      </c>
      <c r="F302" t="s">
        <v>16</v>
      </c>
      <c r="G302">
        <v>3</v>
      </c>
      <c r="H302">
        <v>846.81</v>
      </c>
      <c r="I302">
        <v>25</v>
      </c>
      <c r="J302">
        <v>536.77</v>
      </c>
      <c r="K302" t="s">
        <v>24</v>
      </c>
      <c r="L302" t="s">
        <v>37</v>
      </c>
      <c r="M302">
        <f t="shared" si="20"/>
        <v>1905.3224999999998</v>
      </c>
      <c r="N302">
        <f t="shared" si="21"/>
        <v>295.01249999999982</v>
      </c>
      <c r="O302" t="str">
        <f t="shared" si="22"/>
        <v>Saturday</v>
      </c>
      <c r="P302" t="b">
        <f t="shared" si="23"/>
        <v>1</v>
      </c>
      <c r="Q302" t="str">
        <f t="shared" si="24"/>
        <v>August</v>
      </c>
    </row>
    <row r="303" spans="1:17" x14ac:dyDescent="0.4">
      <c r="A303" t="s">
        <v>571</v>
      </c>
      <c r="B303" s="1">
        <v>45930</v>
      </c>
      <c r="C303" t="s">
        <v>122</v>
      </c>
      <c r="D303" t="s">
        <v>46</v>
      </c>
      <c r="E303" t="s">
        <v>551</v>
      </c>
      <c r="F303" t="s">
        <v>16</v>
      </c>
      <c r="G303">
        <v>5</v>
      </c>
      <c r="H303">
        <v>776.25</v>
      </c>
      <c r="I303">
        <v>10</v>
      </c>
      <c r="J303">
        <v>427.61</v>
      </c>
      <c r="K303" t="s">
        <v>17</v>
      </c>
      <c r="L303" t="s">
        <v>37</v>
      </c>
      <c r="M303">
        <f t="shared" si="20"/>
        <v>3493.125</v>
      </c>
      <c r="N303">
        <f t="shared" si="21"/>
        <v>1355.0749999999998</v>
      </c>
      <c r="O303" t="str">
        <f t="shared" si="22"/>
        <v>Tuesday</v>
      </c>
      <c r="P303" t="b">
        <f t="shared" si="23"/>
        <v>0</v>
      </c>
      <c r="Q303" t="str">
        <f t="shared" si="24"/>
        <v>September</v>
      </c>
    </row>
    <row r="304" spans="1:17" x14ac:dyDescent="0.4">
      <c r="A304" t="s">
        <v>572</v>
      </c>
      <c r="B304" s="1">
        <v>45491</v>
      </c>
      <c r="C304" t="s">
        <v>296</v>
      </c>
      <c r="D304" t="s">
        <v>31</v>
      </c>
      <c r="E304" t="s">
        <v>238</v>
      </c>
      <c r="F304" t="s">
        <v>16</v>
      </c>
      <c r="G304">
        <v>5</v>
      </c>
      <c r="H304">
        <v>2626.93</v>
      </c>
      <c r="I304">
        <v>20</v>
      </c>
      <c r="J304">
        <v>1731.38</v>
      </c>
      <c r="K304" t="s">
        <v>17</v>
      </c>
      <c r="L304" t="s">
        <v>33</v>
      </c>
      <c r="M304">
        <f t="shared" si="20"/>
        <v>10507.720000000001</v>
      </c>
      <c r="N304">
        <f t="shared" si="21"/>
        <v>1850.8199999999997</v>
      </c>
      <c r="O304" t="str">
        <f t="shared" si="22"/>
        <v>Thursday</v>
      </c>
      <c r="P304" t="b">
        <f t="shared" si="23"/>
        <v>0</v>
      </c>
      <c r="Q304" t="str">
        <f t="shared" si="24"/>
        <v>July</v>
      </c>
    </row>
    <row r="305" spans="1:17" x14ac:dyDescent="0.4">
      <c r="A305" t="s">
        <v>573</v>
      </c>
      <c r="B305" s="1">
        <v>45425</v>
      </c>
      <c r="C305" t="s">
        <v>286</v>
      </c>
      <c r="D305" t="s">
        <v>21</v>
      </c>
      <c r="E305" t="s">
        <v>574</v>
      </c>
      <c r="F305" t="s">
        <v>16</v>
      </c>
      <c r="G305">
        <v>5</v>
      </c>
      <c r="H305">
        <v>1002.58</v>
      </c>
      <c r="I305">
        <v>5</v>
      </c>
      <c r="J305">
        <v>657.12</v>
      </c>
      <c r="K305" t="s">
        <v>24</v>
      </c>
      <c r="L305" t="s">
        <v>37</v>
      </c>
      <c r="M305">
        <f t="shared" si="20"/>
        <v>4762.2550000000001</v>
      </c>
      <c r="N305">
        <f t="shared" si="21"/>
        <v>1476.6550000000002</v>
      </c>
      <c r="O305" t="str">
        <f t="shared" si="22"/>
        <v>Monday</v>
      </c>
      <c r="P305" t="b">
        <f t="shared" si="23"/>
        <v>0</v>
      </c>
      <c r="Q305" t="str">
        <f t="shared" si="24"/>
        <v>May</v>
      </c>
    </row>
    <row r="306" spans="1:17" x14ac:dyDescent="0.4">
      <c r="A306" t="s">
        <v>575</v>
      </c>
      <c r="B306" s="1">
        <v>45920</v>
      </c>
      <c r="C306" t="s">
        <v>253</v>
      </c>
      <c r="D306" t="s">
        <v>14</v>
      </c>
      <c r="E306" t="s">
        <v>175</v>
      </c>
      <c r="F306" t="s">
        <v>28</v>
      </c>
      <c r="G306">
        <v>4</v>
      </c>
      <c r="H306">
        <v>1330.95</v>
      </c>
      <c r="I306">
        <v>0</v>
      </c>
      <c r="J306">
        <v>839.03</v>
      </c>
      <c r="K306" t="s">
        <v>24</v>
      </c>
      <c r="L306" t="s">
        <v>37</v>
      </c>
      <c r="M306">
        <f t="shared" si="20"/>
        <v>5323.8</v>
      </c>
      <c r="N306">
        <f t="shared" si="21"/>
        <v>1967.6800000000003</v>
      </c>
      <c r="O306" t="str">
        <f t="shared" si="22"/>
        <v>Saturday</v>
      </c>
      <c r="P306" t="b">
        <f t="shared" si="23"/>
        <v>1</v>
      </c>
      <c r="Q306" t="str">
        <f t="shared" si="24"/>
        <v>September</v>
      </c>
    </row>
    <row r="307" spans="1:17" x14ac:dyDescent="0.4">
      <c r="A307" t="s">
        <v>576</v>
      </c>
      <c r="B307" s="1">
        <v>45375</v>
      </c>
      <c r="C307" t="s">
        <v>278</v>
      </c>
      <c r="D307" t="s">
        <v>46</v>
      </c>
      <c r="E307" t="s">
        <v>577</v>
      </c>
      <c r="F307" t="s">
        <v>23</v>
      </c>
      <c r="G307">
        <v>3</v>
      </c>
      <c r="H307">
        <v>2381.81</v>
      </c>
      <c r="I307">
        <v>5</v>
      </c>
      <c r="J307">
        <v>1394.5</v>
      </c>
      <c r="K307" t="s">
        <v>24</v>
      </c>
      <c r="L307" t="s">
        <v>18</v>
      </c>
      <c r="M307">
        <f t="shared" si="20"/>
        <v>6788.1584999999995</v>
      </c>
      <c r="N307">
        <f t="shared" si="21"/>
        <v>2604.6584999999995</v>
      </c>
      <c r="O307" t="str">
        <f t="shared" si="22"/>
        <v>Sunday</v>
      </c>
      <c r="P307" t="b">
        <f t="shared" si="23"/>
        <v>1</v>
      </c>
      <c r="Q307" t="str">
        <f t="shared" si="24"/>
        <v>March</v>
      </c>
    </row>
    <row r="308" spans="1:17" x14ac:dyDescent="0.4">
      <c r="A308" t="s">
        <v>578</v>
      </c>
      <c r="B308" s="1">
        <v>45496</v>
      </c>
      <c r="C308" t="s">
        <v>251</v>
      </c>
      <c r="D308" t="s">
        <v>14</v>
      </c>
      <c r="E308" t="s">
        <v>579</v>
      </c>
      <c r="F308" t="s">
        <v>28</v>
      </c>
      <c r="G308">
        <v>3</v>
      </c>
      <c r="H308">
        <v>2269</v>
      </c>
      <c r="I308">
        <v>0</v>
      </c>
      <c r="J308">
        <v>910.16</v>
      </c>
      <c r="K308" t="s">
        <v>24</v>
      </c>
      <c r="L308" t="s">
        <v>37</v>
      </c>
      <c r="M308">
        <f t="shared" si="20"/>
        <v>6807</v>
      </c>
      <c r="N308">
        <f t="shared" si="21"/>
        <v>4076.52</v>
      </c>
      <c r="O308" t="str">
        <f t="shared" si="22"/>
        <v>Tuesday</v>
      </c>
      <c r="P308" t="b">
        <f t="shared" si="23"/>
        <v>0</v>
      </c>
      <c r="Q308" t="str">
        <f t="shared" si="24"/>
        <v>July</v>
      </c>
    </row>
    <row r="309" spans="1:17" x14ac:dyDescent="0.4">
      <c r="A309" t="s">
        <v>580</v>
      </c>
      <c r="B309" s="1">
        <v>45557</v>
      </c>
      <c r="C309" t="s">
        <v>309</v>
      </c>
      <c r="D309" t="s">
        <v>46</v>
      </c>
      <c r="E309" t="s">
        <v>498</v>
      </c>
      <c r="F309" t="s">
        <v>23</v>
      </c>
      <c r="G309">
        <v>2</v>
      </c>
      <c r="H309">
        <v>2145.73</v>
      </c>
      <c r="I309">
        <v>0</v>
      </c>
      <c r="J309">
        <v>1415.41</v>
      </c>
      <c r="K309" t="s">
        <v>17</v>
      </c>
      <c r="L309" t="s">
        <v>18</v>
      </c>
      <c r="M309">
        <f t="shared" si="20"/>
        <v>4291.46</v>
      </c>
      <c r="N309">
        <f t="shared" si="21"/>
        <v>1460.6399999999999</v>
      </c>
      <c r="O309" t="str">
        <f t="shared" si="22"/>
        <v>Sunday</v>
      </c>
      <c r="P309" t="b">
        <f t="shared" si="23"/>
        <v>1</v>
      </c>
      <c r="Q309" t="str">
        <f t="shared" si="24"/>
        <v>September</v>
      </c>
    </row>
    <row r="310" spans="1:17" x14ac:dyDescent="0.4">
      <c r="A310" t="s">
        <v>581</v>
      </c>
      <c r="B310" s="1">
        <v>45949</v>
      </c>
      <c r="C310" t="s">
        <v>45</v>
      </c>
      <c r="D310" t="s">
        <v>21</v>
      </c>
      <c r="E310" t="s">
        <v>582</v>
      </c>
      <c r="F310" t="s">
        <v>28</v>
      </c>
      <c r="G310">
        <v>2</v>
      </c>
      <c r="H310">
        <v>1840.49</v>
      </c>
      <c r="I310">
        <v>15</v>
      </c>
      <c r="J310">
        <v>1275.57</v>
      </c>
      <c r="K310" t="s">
        <v>24</v>
      </c>
      <c r="L310" t="s">
        <v>33</v>
      </c>
      <c r="M310">
        <f t="shared" si="20"/>
        <v>3128.8330000000001</v>
      </c>
      <c r="N310">
        <f t="shared" si="21"/>
        <v>577.69300000000021</v>
      </c>
      <c r="O310" t="str">
        <f t="shared" si="22"/>
        <v>Sunday</v>
      </c>
      <c r="P310" t="b">
        <f t="shared" si="23"/>
        <v>1</v>
      </c>
      <c r="Q310" t="str">
        <f t="shared" si="24"/>
        <v>October</v>
      </c>
    </row>
    <row r="311" spans="1:17" x14ac:dyDescent="0.4">
      <c r="A311" t="s">
        <v>583</v>
      </c>
      <c r="B311" s="1">
        <v>45610</v>
      </c>
      <c r="C311" t="s">
        <v>125</v>
      </c>
      <c r="D311" t="s">
        <v>46</v>
      </c>
      <c r="E311" t="s">
        <v>107</v>
      </c>
      <c r="F311" t="s">
        <v>28</v>
      </c>
      <c r="G311">
        <v>1</v>
      </c>
      <c r="H311">
        <v>1404.88</v>
      </c>
      <c r="I311">
        <v>5</v>
      </c>
      <c r="J311">
        <v>912.68</v>
      </c>
      <c r="K311" t="s">
        <v>24</v>
      </c>
      <c r="L311" t="s">
        <v>18</v>
      </c>
      <c r="M311">
        <f t="shared" si="20"/>
        <v>1334.636</v>
      </c>
      <c r="N311">
        <f t="shared" si="21"/>
        <v>421.95600000000002</v>
      </c>
      <c r="O311" t="str">
        <f t="shared" si="22"/>
        <v>Thursday</v>
      </c>
      <c r="P311" t="b">
        <f t="shared" si="23"/>
        <v>0</v>
      </c>
      <c r="Q311" t="str">
        <f t="shared" si="24"/>
        <v>November</v>
      </c>
    </row>
    <row r="312" spans="1:17" x14ac:dyDescent="0.4">
      <c r="A312" t="s">
        <v>584</v>
      </c>
      <c r="B312" s="1">
        <v>45308</v>
      </c>
      <c r="C312" t="s">
        <v>84</v>
      </c>
      <c r="D312" t="s">
        <v>31</v>
      </c>
      <c r="E312" t="s">
        <v>22</v>
      </c>
      <c r="F312" t="s">
        <v>23</v>
      </c>
      <c r="G312">
        <v>2</v>
      </c>
      <c r="H312">
        <v>645.69000000000005</v>
      </c>
      <c r="I312">
        <v>10</v>
      </c>
      <c r="J312">
        <v>416.17</v>
      </c>
      <c r="K312" t="s">
        <v>24</v>
      </c>
      <c r="L312" t="s">
        <v>33</v>
      </c>
      <c r="M312">
        <f t="shared" si="20"/>
        <v>1162.2420000000002</v>
      </c>
      <c r="N312">
        <f t="shared" si="21"/>
        <v>329.90200000000016</v>
      </c>
      <c r="O312" t="str">
        <f t="shared" si="22"/>
        <v>Wednesday</v>
      </c>
      <c r="P312" t="b">
        <f t="shared" si="23"/>
        <v>0</v>
      </c>
      <c r="Q312" t="str">
        <f t="shared" si="24"/>
        <v>January</v>
      </c>
    </row>
    <row r="313" spans="1:17" x14ac:dyDescent="0.4">
      <c r="A313" t="s">
        <v>585</v>
      </c>
      <c r="B313" s="1">
        <v>45377</v>
      </c>
      <c r="C313" t="s">
        <v>51</v>
      </c>
      <c r="D313" t="s">
        <v>14</v>
      </c>
      <c r="E313" t="s">
        <v>243</v>
      </c>
      <c r="F313" t="s">
        <v>23</v>
      </c>
      <c r="G313">
        <v>2</v>
      </c>
      <c r="H313">
        <v>2391.9699999999998</v>
      </c>
      <c r="I313">
        <v>0</v>
      </c>
      <c r="J313">
        <v>1156.4100000000001</v>
      </c>
      <c r="K313" t="s">
        <v>24</v>
      </c>
      <c r="L313" t="s">
        <v>37</v>
      </c>
      <c r="M313">
        <f t="shared" si="20"/>
        <v>4783.9399999999996</v>
      </c>
      <c r="N313">
        <f t="shared" si="21"/>
        <v>2471.1199999999994</v>
      </c>
      <c r="O313" t="str">
        <f t="shared" si="22"/>
        <v>Tuesday</v>
      </c>
      <c r="P313" t="b">
        <f t="shared" si="23"/>
        <v>0</v>
      </c>
      <c r="Q313" t="str">
        <f t="shared" si="24"/>
        <v>March</v>
      </c>
    </row>
    <row r="314" spans="1:17" x14ac:dyDescent="0.4">
      <c r="A314" t="s">
        <v>586</v>
      </c>
      <c r="B314" s="1">
        <v>45529</v>
      </c>
      <c r="C314" t="s">
        <v>39</v>
      </c>
      <c r="D314" t="s">
        <v>46</v>
      </c>
      <c r="E314" t="s">
        <v>587</v>
      </c>
      <c r="F314" t="s">
        <v>28</v>
      </c>
      <c r="G314">
        <v>2</v>
      </c>
      <c r="H314">
        <v>781.36</v>
      </c>
      <c r="I314">
        <v>5</v>
      </c>
      <c r="J314">
        <v>404.62</v>
      </c>
      <c r="K314" t="s">
        <v>24</v>
      </c>
      <c r="L314" t="s">
        <v>33</v>
      </c>
      <c r="M314">
        <f t="shared" si="20"/>
        <v>1484.5840000000001</v>
      </c>
      <c r="N314">
        <f t="shared" si="21"/>
        <v>675.34400000000005</v>
      </c>
      <c r="O314" t="str">
        <f t="shared" si="22"/>
        <v>Sunday</v>
      </c>
      <c r="P314" t="b">
        <f t="shared" si="23"/>
        <v>1</v>
      </c>
      <c r="Q314" t="str">
        <f t="shared" si="24"/>
        <v>August</v>
      </c>
    </row>
    <row r="315" spans="1:17" x14ac:dyDescent="0.4">
      <c r="A315" t="s">
        <v>588</v>
      </c>
      <c r="B315" s="1">
        <v>45903</v>
      </c>
      <c r="C315" t="s">
        <v>86</v>
      </c>
      <c r="D315" t="s">
        <v>21</v>
      </c>
      <c r="E315" t="s">
        <v>589</v>
      </c>
      <c r="F315" t="s">
        <v>16</v>
      </c>
      <c r="G315">
        <v>1</v>
      </c>
      <c r="H315">
        <v>773.02</v>
      </c>
      <c r="I315">
        <v>25</v>
      </c>
      <c r="J315">
        <v>510.01</v>
      </c>
      <c r="K315" t="s">
        <v>17</v>
      </c>
      <c r="L315" t="s">
        <v>18</v>
      </c>
      <c r="M315">
        <f t="shared" si="20"/>
        <v>579.76499999999999</v>
      </c>
      <c r="N315">
        <f t="shared" si="21"/>
        <v>69.754999999999995</v>
      </c>
      <c r="O315" t="str">
        <f t="shared" si="22"/>
        <v>Wednesday</v>
      </c>
      <c r="P315" t="b">
        <f t="shared" si="23"/>
        <v>0</v>
      </c>
      <c r="Q315" t="str">
        <f t="shared" si="24"/>
        <v>September</v>
      </c>
    </row>
    <row r="316" spans="1:17" x14ac:dyDescent="0.4">
      <c r="A316" t="s">
        <v>590</v>
      </c>
      <c r="B316" s="1">
        <v>45685</v>
      </c>
      <c r="C316" t="s">
        <v>109</v>
      </c>
      <c r="D316" t="s">
        <v>46</v>
      </c>
      <c r="E316" t="s">
        <v>591</v>
      </c>
      <c r="F316" t="s">
        <v>16</v>
      </c>
      <c r="G316">
        <v>4</v>
      </c>
      <c r="H316">
        <v>2363.8200000000002</v>
      </c>
      <c r="I316">
        <v>30</v>
      </c>
      <c r="J316">
        <v>1558.34</v>
      </c>
      <c r="K316" t="s">
        <v>17</v>
      </c>
      <c r="L316" t="s">
        <v>37</v>
      </c>
      <c r="M316">
        <f t="shared" si="20"/>
        <v>6618.6959999999999</v>
      </c>
      <c r="N316">
        <f t="shared" si="21"/>
        <v>385.33600000000024</v>
      </c>
      <c r="O316" t="str">
        <f t="shared" si="22"/>
        <v>Tuesday</v>
      </c>
      <c r="P316" t="b">
        <f t="shared" si="23"/>
        <v>0</v>
      </c>
      <c r="Q316" t="str">
        <f t="shared" si="24"/>
        <v>January</v>
      </c>
    </row>
    <row r="317" spans="1:17" x14ac:dyDescent="0.4">
      <c r="A317" t="s">
        <v>592</v>
      </c>
      <c r="B317" s="1">
        <v>45835</v>
      </c>
      <c r="C317" t="s">
        <v>144</v>
      </c>
      <c r="D317" t="s">
        <v>14</v>
      </c>
      <c r="E317" t="s">
        <v>442</v>
      </c>
      <c r="F317" t="s">
        <v>16</v>
      </c>
      <c r="G317">
        <v>4</v>
      </c>
      <c r="H317">
        <v>715.55</v>
      </c>
      <c r="I317">
        <v>10</v>
      </c>
      <c r="J317">
        <v>354.18</v>
      </c>
      <c r="K317" t="s">
        <v>24</v>
      </c>
      <c r="L317" t="s">
        <v>18</v>
      </c>
      <c r="M317">
        <f t="shared" si="20"/>
        <v>2575.98</v>
      </c>
      <c r="N317">
        <f t="shared" si="21"/>
        <v>1159.26</v>
      </c>
      <c r="O317" t="str">
        <f t="shared" si="22"/>
        <v>Friday</v>
      </c>
      <c r="P317" t="b">
        <f t="shared" si="23"/>
        <v>0</v>
      </c>
      <c r="Q317" t="str">
        <f t="shared" si="24"/>
        <v>June</v>
      </c>
    </row>
    <row r="318" spans="1:17" x14ac:dyDescent="0.4">
      <c r="A318" t="s">
        <v>593</v>
      </c>
      <c r="B318" s="1">
        <v>45679</v>
      </c>
      <c r="C318" t="s">
        <v>375</v>
      </c>
      <c r="D318" t="s">
        <v>46</v>
      </c>
      <c r="E318" t="s">
        <v>305</v>
      </c>
      <c r="F318" t="s">
        <v>23</v>
      </c>
      <c r="G318">
        <v>3</v>
      </c>
      <c r="H318">
        <v>1381.95</v>
      </c>
      <c r="I318">
        <v>30</v>
      </c>
      <c r="J318">
        <v>611.78</v>
      </c>
      <c r="K318" t="s">
        <v>24</v>
      </c>
      <c r="L318" t="s">
        <v>18</v>
      </c>
      <c r="M318">
        <f t="shared" si="20"/>
        <v>2902.0950000000003</v>
      </c>
      <c r="N318">
        <f t="shared" si="21"/>
        <v>1066.7550000000003</v>
      </c>
      <c r="O318" t="str">
        <f t="shared" si="22"/>
        <v>Wednesday</v>
      </c>
      <c r="P318" t="b">
        <f t="shared" si="23"/>
        <v>0</v>
      </c>
      <c r="Q318" t="str">
        <f t="shared" si="24"/>
        <v>January</v>
      </c>
    </row>
    <row r="319" spans="1:17" x14ac:dyDescent="0.4">
      <c r="A319" t="s">
        <v>594</v>
      </c>
      <c r="B319" s="1">
        <v>45953</v>
      </c>
      <c r="C319" t="s">
        <v>269</v>
      </c>
      <c r="D319" t="s">
        <v>21</v>
      </c>
      <c r="E319" t="s">
        <v>346</v>
      </c>
      <c r="F319" t="s">
        <v>23</v>
      </c>
      <c r="G319">
        <v>3</v>
      </c>
      <c r="H319">
        <v>2269.41</v>
      </c>
      <c r="I319">
        <v>0</v>
      </c>
      <c r="J319">
        <v>1399.69</v>
      </c>
      <c r="K319" t="s">
        <v>17</v>
      </c>
      <c r="L319" t="s">
        <v>33</v>
      </c>
      <c r="M319">
        <f t="shared" si="20"/>
        <v>6808.23</v>
      </c>
      <c r="N319">
        <f t="shared" si="21"/>
        <v>2609.16</v>
      </c>
      <c r="O319" t="str">
        <f t="shared" si="22"/>
        <v>Thursday</v>
      </c>
      <c r="P319" t="b">
        <f t="shared" si="23"/>
        <v>0</v>
      </c>
      <c r="Q319" t="str">
        <f t="shared" si="24"/>
        <v>October</v>
      </c>
    </row>
    <row r="320" spans="1:17" x14ac:dyDescent="0.4">
      <c r="A320" t="s">
        <v>595</v>
      </c>
      <c r="B320" s="1">
        <v>45608</v>
      </c>
      <c r="C320" t="s">
        <v>152</v>
      </c>
      <c r="D320" t="s">
        <v>14</v>
      </c>
      <c r="E320" t="s">
        <v>596</v>
      </c>
      <c r="F320" t="s">
        <v>23</v>
      </c>
      <c r="G320">
        <v>4</v>
      </c>
      <c r="H320">
        <v>1454.51</v>
      </c>
      <c r="I320">
        <v>0</v>
      </c>
      <c r="J320">
        <v>747.19</v>
      </c>
      <c r="K320" t="s">
        <v>17</v>
      </c>
      <c r="L320" t="s">
        <v>18</v>
      </c>
      <c r="M320">
        <f t="shared" si="20"/>
        <v>5818.04</v>
      </c>
      <c r="N320">
        <f t="shared" si="21"/>
        <v>2829.2799999999997</v>
      </c>
      <c r="O320" t="str">
        <f t="shared" si="22"/>
        <v>Tuesday</v>
      </c>
      <c r="P320" t="b">
        <f t="shared" si="23"/>
        <v>0</v>
      </c>
      <c r="Q320" t="str">
        <f t="shared" si="24"/>
        <v>November</v>
      </c>
    </row>
    <row r="321" spans="1:17" x14ac:dyDescent="0.4">
      <c r="A321" t="s">
        <v>597</v>
      </c>
      <c r="B321" s="1">
        <v>45845</v>
      </c>
      <c r="C321" t="s">
        <v>84</v>
      </c>
      <c r="D321" t="s">
        <v>14</v>
      </c>
      <c r="E321" t="s">
        <v>249</v>
      </c>
      <c r="F321" t="s">
        <v>23</v>
      </c>
      <c r="G321">
        <v>4</v>
      </c>
      <c r="H321">
        <v>2910.25</v>
      </c>
      <c r="I321">
        <v>20</v>
      </c>
      <c r="J321">
        <v>1505.73</v>
      </c>
      <c r="K321" t="s">
        <v>17</v>
      </c>
      <c r="L321" t="s">
        <v>37</v>
      </c>
      <c r="M321">
        <f t="shared" si="20"/>
        <v>9312.8000000000011</v>
      </c>
      <c r="N321">
        <f t="shared" si="21"/>
        <v>3289.880000000001</v>
      </c>
      <c r="O321" t="str">
        <f t="shared" si="22"/>
        <v>Monday</v>
      </c>
      <c r="P321" t="b">
        <f t="shared" si="23"/>
        <v>0</v>
      </c>
      <c r="Q321" t="str">
        <f t="shared" si="24"/>
        <v>July</v>
      </c>
    </row>
    <row r="322" spans="1:17" x14ac:dyDescent="0.4">
      <c r="A322" t="s">
        <v>598</v>
      </c>
      <c r="B322" s="1">
        <v>45934</v>
      </c>
      <c r="C322" t="s">
        <v>182</v>
      </c>
      <c r="D322" t="s">
        <v>14</v>
      </c>
      <c r="E322" t="s">
        <v>599</v>
      </c>
      <c r="F322" t="s">
        <v>16</v>
      </c>
      <c r="G322">
        <v>5</v>
      </c>
      <c r="H322">
        <v>1099.1500000000001</v>
      </c>
      <c r="I322">
        <v>25</v>
      </c>
      <c r="J322">
        <v>661.51</v>
      </c>
      <c r="K322" t="s">
        <v>24</v>
      </c>
      <c r="L322" t="s">
        <v>37</v>
      </c>
      <c r="M322">
        <f t="shared" si="20"/>
        <v>4121.8125</v>
      </c>
      <c r="N322">
        <f t="shared" si="21"/>
        <v>814.26249999999982</v>
      </c>
      <c r="O322" t="str">
        <f t="shared" si="22"/>
        <v>Saturday</v>
      </c>
      <c r="P322" t="b">
        <f t="shared" si="23"/>
        <v>1</v>
      </c>
      <c r="Q322" t="str">
        <f t="shared" si="24"/>
        <v>October</v>
      </c>
    </row>
    <row r="323" spans="1:17" x14ac:dyDescent="0.4">
      <c r="A323" t="s">
        <v>600</v>
      </c>
      <c r="B323" s="1">
        <v>45741</v>
      </c>
      <c r="C323" t="s">
        <v>71</v>
      </c>
      <c r="D323" t="s">
        <v>31</v>
      </c>
      <c r="E323" t="s">
        <v>481</v>
      </c>
      <c r="F323" t="s">
        <v>23</v>
      </c>
      <c r="G323">
        <v>1</v>
      </c>
      <c r="H323">
        <v>2803.28</v>
      </c>
      <c r="I323">
        <v>10</v>
      </c>
      <c r="J323">
        <v>1193.54</v>
      </c>
      <c r="K323" t="s">
        <v>24</v>
      </c>
      <c r="L323" t="s">
        <v>18</v>
      </c>
      <c r="M323">
        <f t="shared" ref="M323:M386" si="25">G323 * H323 * (1 - I323/100)</f>
        <v>2522.9520000000002</v>
      </c>
      <c r="N323">
        <f t="shared" ref="N323:N386" si="26">M323 - (J323 * G323)</f>
        <v>1329.4120000000003</v>
      </c>
      <c r="O323" t="str">
        <f t="shared" ref="O323:O386" si="27">TEXT(B323,"dddd")</f>
        <v>Tuesday</v>
      </c>
      <c r="P323" t="b">
        <f t="shared" ref="P323:P386" si="28">OR(TEXT(B323,"ddd")="Sat", TEXT(B323,"ddd")="Sun")</f>
        <v>0</v>
      </c>
      <c r="Q323" t="str">
        <f t="shared" ref="Q323:Q386" si="29">TEXT(B323,"mmmm")</f>
        <v>March</v>
      </c>
    </row>
    <row r="324" spans="1:17" x14ac:dyDescent="0.4">
      <c r="A324" t="s">
        <v>601</v>
      </c>
      <c r="B324" s="1">
        <v>45352</v>
      </c>
      <c r="C324" t="s">
        <v>139</v>
      </c>
      <c r="D324" t="s">
        <v>21</v>
      </c>
      <c r="E324" t="s">
        <v>153</v>
      </c>
      <c r="F324" t="s">
        <v>16</v>
      </c>
      <c r="G324">
        <v>5</v>
      </c>
      <c r="H324">
        <v>2283.21</v>
      </c>
      <c r="I324">
        <v>30</v>
      </c>
      <c r="J324">
        <v>980.6</v>
      </c>
      <c r="K324" t="s">
        <v>17</v>
      </c>
      <c r="L324" t="s">
        <v>37</v>
      </c>
      <c r="M324">
        <f t="shared" si="25"/>
        <v>7991.2349999999988</v>
      </c>
      <c r="N324">
        <f t="shared" si="26"/>
        <v>3088.2349999999988</v>
      </c>
      <c r="O324" t="str">
        <f t="shared" si="27"/>
        <v>Friday</v>
      </c>
      <c r="P324" t="b">
        <f t="shared" si="28"/>
        <v>0</v>
      </c>
      <c r="Q324" t="str">
        <f t="shared" si="29"/>
        <v>March</v>
      </c>
    </row>
    <row r="325" spans="1:17" x14ac:dyDescent="0.4">
      <c r="A325" t="s">
        <v>602</v>
      </c>
      <c r="B325" s="1">
        <v>45354</v>
      </c>
      <c r="C325" t="s">
        <v>226</v>
      </c>
      <c r="D325" t="s">
        <v>31</v>
      </c>
      <c r="E325" t="s">
        <v>603</v>
      </c>
      <c r="F325" t="s">
        <v>16</v>
      </c>
      <c r="G325">
        <v>3</v>
      </c>
      <c r="H325">
        <v>2197.67</v>
      </c>
      <c r="I325">
        <v>0</v>
      </c>
      <c r="J325">
        <v>1046.3499999999999</v>
      </c>
      <c r="K325" t="s">
        <v>24</v>
      </c>
      <c r="L325" t="s">
        <v>33</v>
      </c>
      <c r="M325">
        <f t="shared" si="25"/>
        <v>6593.01</v>
      </c>
      <c r="N325">
        <f t="shared" si="26"/>
        <v>3453.9600000000005</v>
      </c>
      <c r="O325" t="str">
        <f t="shared" si="27"/>
        <v>Sunday</v>
      </c>
      <c r="P325" t="b">
        <f t="shared" si="28"/>
        <v>1</v>
      </c>
      <c r="Q325" t="str">
        <f t="shared" si="29"/>
        <v>March</v>
      </c>
    </row>
    <row r="326" spans="1:17" x14ac:dyDescent="0.4">
      <c r="A326" t="s">
        <v>604</v>
      </c>
      <c r="B326" s="1">
        <v>45423</v>
      </c>
      <c r="C326" t="s">
        <v>267</v>
      </c>
      <c r="D326" t="s">
        <v>46</v>
      </c>
      <c r="E326" t="s">
        <v>96</v>
      </c>
      <c r="F326" t="s">
        <v>16</v>
      </c>
      <c r="G326">
        <v>2</v>
      </c>
      <c r="H326">
        <v>1972.52</v>
      </c>
      <c r="I326">
        <v>5</v>
      </c>
      <c r="J326">
        <v>1284.8499999999999</v>
      </c>
      <c r="K326" t="s">
        <v>24</v>
      </c>
      <c r="L326" t="s">
        <v>18</v>
      </c>
      <c r="M326">
        <f t="shared" si="25"/>
        <v>3747.788</v>
      </c>
      <c r="N326">
        <f t="shared" si="26"/>
        <v>1178.0880000000002</v>
      </c>
      <c r="O326" t="str">
        <f t="shared" si="27"/>
        <v>Saturday</v>
      </c>
      <c r="P326" t="b">
        <f t="shared" si="28"/>
        <v>1</v>
      </c>
      <c r="Q326" t="str">
        <f t="shared" si="29"/>
        <v>May</v>
      </c>
    </row>
    <row r="327" spans="1:17" x14ac:dyDescent="0.4">
      <c r="A327" t="s">
        <v>605</v>
      </c>
      <c r="B327" s="1">
        <v>45307</v>
      </c>
      <c r="C327" t="s">
        <v>174</v>
      </c>
      <c r="D327" t="s">
        <v>14</v>
      </c>
      <c r="E327" t="s">
        <v>398</v>
      </c>
      <c r="F327" t="s">
        <v>23</v>
      </c>
      <c r="G327">
        <v>3</v>
      </c>
      <c r="H327">
        <v>785.75</v>
      </c>
      <c r="I327">
        <v>25</v>
      </c>
      <c r="J327">
        <v>345.3</v>
      </c>
      <c r="K327" t="s">
        <v>17</v>
      </c>
      <c r="L327" t="s">
        <v>33</v>
      </c>
      <c r="M327">
        <f t="shared" si="25"/>
        <v>1767.9375</v>
      </c>
      <c r="N327">
        <f t="shared" si="26"/>
        <v>732.03749999999991</v>
      </c>
      <c r="O327" t="str">
        <f t="shared" si="27"/>
        <v>Tuesday</v>
      </c>
      <c r="P327" t="b">
        <f t="shared" si="28"/>
        <v>0</v>
      </c>
      <c r="Q327" t="str">
        <f t="shared" si="29"/>
        <v>January</v>
      </c>
    </row>
    <row r="328" spans="1:17" x14ac:dyDescent="0.4">
      <c r="A328" t="s">
        <v>606</v>
      </c>
      <c r="B328" s="1">
        <v>45917</v>
      </c>
      <c r="C328" t="s">
        <v>77</v>
      </c>
      <c r="D328" t="s">
        <v>46</v>
      </c>
      <c r="E328" t="s">
        <v>120</v>
      </c>
      <c r="F328" t="s">
        <v>23</v>
      </c>
      <c r="G328">
        <v>3</v>
      </c>
      <c r="H328">
        <v>1540.62</v>
      </c>
      <c r="I328">
        <v>30</v>
      </c>
      <c r="J328">
        <v>784.46</v>
      </c>
      <c r="K328" t="s">
        <v>17</v>
      </c>
      <c r="L328" t="s">
        <v>33</v>
      </c>
      <c r="M328">
        <f t="shared" si="25"/>
        <v>3235.3019999999997</v>
      </c>
      <c r="N328">
        <f t="shared" si="26"/>
        <v>881.92199999999957</v>
      </c>
      <c r="O328" t="str">
        <f t="shared" si="27"/>
        <v>Wednesday</v>
      </c>
      <c r="P328" t="b">
        <f t="shared" si="28"/>
        <v>0</v>
      </c>
      <c r="Q328" t="str">
        <f t="shared" si="29"/>
        <v>September</v>
      </c>
    </row>
    <row r="329" spans="1:17" x14ac:dyDescent="0.4">
      <c r="A329" t="s">
        <v>607</v>
      </c>
      <c r="B329" s="1">
        <v>45476</v>
      </c>
      <c r="C329" t="s">
        <v>30</v>
      </c>
      <c r="D329" t="s">
        <v>31</v>
      </c>
      <c r="E329" t="s">
        <v>137</v>
      </c>
      <c r="F329" t="s">
        <v>28</v>
      </c>
      <c r="G329">
        <v>2</v>
      </c>
      <c r="H329">
        <v>2146.48</v>
      </c>
      <c r="I329">
        <v>0</v>
      </c>
      <c r="J329">
        <v>1156.4000000000001</v>
      </c>
      <c r="K329" t="s">
        <v>17</v>
      </c>
      <c r="L329" t="s">
        <v>33</v>
      </c>
      <c r="M329">
        <f t="shared" si="25"/>
        <v>4292.96</v>
      </c>
      <c r="N329">
        <f t="shared" si="26"/>
        <v>1980.1599999999999</v>
      </c>
      <c r="O329" t="str">
        <f t="shared" si="27"/>
        <v>Wednesday</v>
      </c>
      <c r="P329" t="b">
        <f t="shared" si="28"/>
        <v>0</v>
      </c>
      <c r="Q329" t="str">
        <f t="shared" si="29"/>
        <v>July</v>
      </c>
    </row>
    <row r="330" spans="1:17" x14ac:dyDescent="0.4">
      <c r="A330" t="s">
        <v>608</v>
      </c>
      <c r="B330" s="1">
        <v>45589</v>
      </c>
      <c r="C330" t="s">
        <v>35</v>
      </c>
      <c r="D330" t="s">
        <v>21</v>
      </c>
      <c r="E330" t="s">
        <v>150</v>
      </c>
      <c r="F330" t="s">
        <v>16</v>
      </c>
      <c r="G330">
        <v>2</v>
      </c>
      <c r="H330">
        <v>1281.1500000000001</v>
      </c>
      <c r="I330">
        <v>25</v>
      </c>
      <c r="J330">
        <v>664.77</v>
      </c>
      <c r="K330" t="s">
        <v>17</v>
      </c>
      <c r="L330" t="s">
        <v>33</v>
      </c>
      <c r="M330">
        <f t="shared" si="25"/>
        <v>1921.7250000000001</v>
      </c>
      <c r="N330">
        <f t="shared" si="26"/>
        <v>592.18500000000017</v>
      </c>
      <c r="O330" t="str">
        <f t="shared" si="27"/>
        <v>Thursday</v>
      </c>
      <c r="P330" t="b">
        <f t="shared" si="28"/>
        <v>0</v>
      </c>
      <c r="Q330" t="str">
        <f t="shared" si="29"/>
        <v>October</v>
      </c>
    </row>
    <row r="331" spans="1:17" x14ac:dyDescent="0.4">
      <c r="A331" t="s">
        <v>609</v>
      </c>
      <c r="B331" s="1">
        <v>45521</v>
      </c>
      <c r="C331" t="s">
        <v>286</v>
      </c>
      <c r="D331" t="s">
        <v>21</v>
      </c>
      <c r="E331" t="s">
        <v>469</v>
      </c>
      <c r="F331" t="s">
        <v>28</v>
      </c>
      <c r="G331">
        <v>3</v>
      </c>
      <c r="H331">
        <v>1416.04</v>
      </c>
      <c r="I331">
        <v>10</v>
      </c>
      <c r="J331">
        <v>590.84</v>
      </c>
      <c r="K331" t="s">
        <v>24</v>
      </c>
      <c r="L331" t="s">
        <v>37</v>
      </c>
      <c r="M331">
        <f t="shared" si="25"/>
        <v>3823.308</v>
      </c>
      <c r="N331">
        <f t="shared" si="26"/>
        <v>2050.788</v>
      </c>
      <c r="O331" t="str">
        <f t="shared" si="27"/>
        <v>Saturday</v>
      </c>
      <c r="P331" t="b">
        <f t="shared" si="28"/>
        <v>1</v>
      </c>
      <c r="Q331" t="str">
        <f t="shared" si="29"/>
        <v>August</v>
      </c>
    </row>
    <row r="332" spans="1:17" x14ac:dyDescent="0.4">
      <c r="A332" t="s">
        <v>610</v>
      </c>
      <c r="B332" s="1">
        <v>45396</v>
      </c>
      <c r="C332" t="s">
        <v>296</v>
      </c>
      <c r="D332" t="s">
        <v>14</v>
      </c>
      <c r="E332" t="s">
        <v>611</v>
      </c>
      <c r="F332" t="s">
        <v>23</v>
      </c>
      <c r="G332">
        <v>4</v>
      </c>
      <c r="H332">
        <v>1428.44</v>
      </c>
      <c r="I332">
        <v>30</v>
      </c>
      <c r="J332">
        <v>931.8</v>
      </c>
      <c r="K332" t="s">
        <v>24</v>
      </c>
      <c r="L332" t="s">
        <v>37</v>
      </c>
      <c r="M332">
        <f t="shared" si="25"/>
        <v>3999.6320000000001</v>
      </c>
      <c r="N332">
        <f t="shared" si="26"/>
        <v>272.43200000000024</v>
      </c>
      <c r="O332" t="str">
        <f t="shared" si="27"/>
        <v>Sunday</v>
      </c>
      <c r="P332" t="b">
        <f t="shared" si="28"/>
        <v>1</v>
      </c>
      <c r="Q332" t="str">
        <f t="shared" si="29"/>
        <v>April</v>
      </c>
    </row>
    <row r="333" spans="1:17" x14ac:dyDescent="0.4">
      <c r="A333" t="s">
        <v>612</v>
      </c>
      <c r="B333" s="1">
        <v>45639</v>
      </c>
      <c r="C333" t="s">
        <v>193</v>
      </c>
      <c r="D333" t="s">
        <v>14</v>
      </c>
      <c r="E333" t="s">
        <v>613</v>
      </c>
      <c r="F333" t="s">
        <v>28</v>
      </c>
      <c r="G333">
        <v>2</v>
      </c>
      <c r="H333">
        <v>2951.9</v>
      </c>
      <c r="I333">
        <v>20</v>
      </c>
      <c r="J333">
        <v>1229.0999999999999</v>
      </c>
      <c r="K333" t="s">
        <v>17</v>
      </c>
      <c r="L333" t="s">
        <v>37</v>
      </c>
      <c r="M333">
        <f t="shared" si="25"/>
        <v>4723.04</v>
      </c>
      <c r="N333">
        <f t="shared" si="26"/>
        <v>2264.84</v>
      </c>
      <c r="O333" t="str">
        <f t="shared" si="27"/>
        <v>Friday</v>
      </c>
      <c r="P333" t="b">
        <f t="shared" si="28"/>
        <v>0</v>
      </c>
      <c r="Q333" t="str">
        <f t="shared" si="29"/>
        <v>December</v>
      </c>
    </row>
    <row r="334" spans="1:17" x14ac:dyDescent="0.4">
      <c r="A334" t="s">
        <v>614</v>
      </c>
      <c r="B334" s="1">
        <v>45418</v>
      </c>
      <c r="C334" t="s">
        <v>74</v>
      </c>
      <c r="D334" t="s">
        <v>14</v>
      </c>
      <c r="E334" t="s">
        <v>352</v>
      </c>
      <c r="F334" t="s">
        <v>23</v>
      </c>
      <c r="G334">
        <v>1</v>
      </c>
      <c r="H334">
        <v>2426.1999999999998</v>
      </c>
      <c r="I334">
        <v>0</v>
      </c>
      <c r="J334">
        <v>1258.8399999999999</v>
      </c>
      <c r="K334" t="s">
        <v>24</v>
      </c>
      <c r="L334" t="s">
        <v>33</v>
      </c>
      <c r="M334">
        <f t="shared" si="25"/>
        <v>2426.1999999999998</v>
      </c>
      <c r="N334">
        <f t="shared" si="26"/>
        <v>1167.3599999999999</v>
      </c>
      <c r="O334" t="str">
        <f t="shared" si="27"/>
        <v>Monday</v>
      </c>
      <c r="P334" t="b">
        <f t="shared" si="28"/>
        <v>0</v>
      </c>
      <c r="Q334" t="str">
        <f t="shared" si="29"/>
        <v>May</v>
      </c>
    </row>
    <row r="335" spans="1:17" x14ac:dyDescent="0.4">
      <c r="A335" t="s">
        <v>615</v>
      </c>
      <c r="B335" s="1">
        <v>45460</v>
      </c>
      <c r="C335" t="s">
        <v>457</v>
      </c>
      <c r="D335" t="s">
        <v>21</v>
      </c>
      <c r="E335" t="s">
        <v>262</v>
      </c>
      <c r="F335" t="s">
        <v>28</v>
      </c>
      <c r="G335">
        <v>1</v>
      </c>
      <c r="H335">
        <v>669.45</v>
      </c>
      <c r="I335">
        <v>0</v>
      </c>
      <c r="J335">
        <v>276.76</v>
      </c>
      <c r="K335" t="s">
        <v>17</v>
      </c>
      <c r="L335" t="s">
        <v>37</v>
      </c>
      <c r="M335">
        <f t="shared" si="25"/>
        <v>669.45</v>
      </c>
      <c r="N335">
        <f t="shared" si="26"/>
        <v>392.69000000000005</v>
      </c>
      <c r="O335" t="str">
        <f t="shared" si="27"/>
        <v>Monday</v>
      </c>
      <c r="P335" t="b">
        <f t="shared" si="28"/>
        <v>0</v>
      </c>
      <c r="Q335" t="str">
        <f t="shared" si="29"/>
        <v>June</v>
      </c>
    </row>
    <row r="336" spans="1:17" x14ac:dyDescent="0.4">
      <c r="A336" t="s">
        <v>616</v>
      </c>
      <c r="B336" s="1">
        <v>45990</v>
      </c>
      <c r="C336" t="s">
        <v>77</v>
      </c>
      <c r="D336" t="s">
        <v>46</v>
      </c>
      <c r="E336" t="s">
        <v>216</v>
      </c>
      <c r="F336" t="s">
        <v>28</v>
      </c>
      <c r="G336">
        <v>5</v>
      </c>
      <c r="H336">
        <v>2138.66</v>
      </c>
      <c r="I336">
        <v>25</v>
      </c>
      <c r="J336">
        <v>1488.03</v>
      </c>
      <c r="K336" t="s">
        <v>24</v>
      </c>
      <c r="L336" t="s">
        <v>33</v>
      </c>
      <c r="M336">
        <f t="shared" si="25"/>
        <v>8019.9749999999995</v>
      </c>
      <c r="N336">
        <f t="shared" si="26"/>
        <v>579.82499999999982</v>
      </c>
      <c r="O336" t="str">
        <f t="shared" si="27"/>
        <v>Saturday</v>
      </c>
      <c r="P336" t="b">
        <f t="shared" si="28"/>
        <v>1</v>
      </c>
      <c r="Q336" t="str">
        <f t="shared" si="29"/>
        <v>November</v>
      </c>
    </row>
    <row r="337" spans="1:17" x14ac:dyDescent="0.4">
      <c r="A337" t="s">
        <v>617</v>
      </c>
      <c r="B337" s="1">
        <v>45545</v>
      </c>
      <c r="C337" t="s">
        <v>224</v>
      </c>
      <c r="D337" t="s">
        <v>21</v>
      </c>
      <c r="E337" t="s">
        <v>303</v>
      </c>
      <c r="F337" t="s">
        <v>28</v>
      </c>
      <c r="G337">
        <v>4</v>
      </c>
      <c r="H337">
        <v>2426.62</v>
      </c>
      <c r="I337">
        <v>30</v>
      </c>
      <c r="J337">
        <v>1471.12</v>
      </c>
      <c r="K337" t="s">
        <v>17</v>
      </c>
      <c r="L337" t="s">
        <v>33</v>
      </c>
      <c r="M337">
        <f t="shared" si="25"/>
        <v>6794.5359999999991</v>
      </c>
      <c r="N337">
        <f t="shared" si="26"/>
        <v>910.05599999999959</v>
      </c>
      <c r="O337" t="str">
        <f t="shared" si="27"/>
        <v>Tuesday</v>
      </c>
      <c r="P337" t="b">
        <f t="shared" si="28"/>
        <v>0</v>
      </c>
      <c r="Q337" t="str">
        <f t="shared" si="29"/>
        <v>September</v>
      </c>
    </row>
    <row r="338" spans="1:17" x14ac:dyDescent="0.4">
      <c r="A338" t="s">
        <v>618</v>
      </c>
      <c r="B338" s="1">
        <v>45746</v>
      </c>
      <c r="C338" t="s">
        <v>302</v>
      </c>
      <c r="D338" t="s">
        <v>14</v>
      </c>
      <c r="E338" t="s">
        <v>36</v>
      </c>
      <c r="F338" t="s">
        <v>23</v>
      </c>
      <c r="G338">
        <v>3</v>
      </c>
      <c r="H338">
        <v>1060.58</v>
      </c>
      <c r="I338">
        <v>15</v>
      </c>
      <c r="J338">
        <v>586.27</v>
      </c>
      <c r="K338" t="s">
        <v>17</v>
      </c>
      <c r="L338" t="s">
        <v>18</v>
      </c>
      <c r="M338">
        <f t="shared" si="25"/>
        <v>2704.4789999999998</v>
      </c>
      <c r="N338">
        <f t="shared" si="26"/>
        <v>945.66899999999987</v>
      </c>
      <c r="O338" t="str">
        <f t="shared" si="27"/>
        <v>Sunday</v>
      </c>
      <c r="P338" t="b">
        <f t="shared" si="28"/>
        <v>1</v>
      </c>
      <c r="Q338" t="str">
        <f t="shared" si="29"/>
        <v>March</v>
      </c>
    </row>
    <row r="339" spans="1:17" x14ac:dyDescent="0.4">
      <c r="A339" t="s">
        <v>619</v>
      </c>
      <c r="B339" s="1">
        <v>45940</v>
      </c>
      <c r="C339" t="s">
        <v>77</v>
      </c>
      <c r="D339" t="s">
        <v>46</v>
      </c>
      <c r="E339" t="s">
        <v>381</v>
      </c>
      <c r="F339" t="s">
        <v>23</v>
      </c>
      <c r="G339">
        <v>4</v>
      </c>
      <c r="H339">
        <v>2816.79</v>
      </c>
      <c r="I339">
        <v>25</v>
      </c>
      <c r="J339">
        <v>1648.95</v>
      </c>
      <c r="K339" t="s">
        <v>17</v>
      </c>
      <c r="L339" t="s">
        <v>33</v>
      </c>
      <c r="M339">
        <f t="shared" si="25"/>
        <v>8450.369999999999</v>
      </c>
      <c r="N339">
        <f t="shared" si="26"/>
        <v>1854.5699999999988</v>
      </c>
      <c r="O339" t="str">
        <f t="shared" si="27"/>
        <v>Friday</v>
      </c>
      <c r="P339" t="b">
        <f t="shared" si="28"/>
        <v>0</v>
      </c>
      <c r="Q339" t="str">
        <f t="shared" si="29"/>
        <v>October</v>
      </c>
    </row>
    <row r="340" spans="1:17" x14ac:dyDescent="0.4">
      <c r="A340" t="s">
        <v>620</v>
      </c>
      <c r="B340" s="1">
        <v>45705</v>
      </c>
      <c r="C340" t="s">
        <v>205</v>
      </c>
      <c r="D340" t="s">
        <v>31</v>
      </c>
      <c r="E340" t="s">
        <v>621</v>
      </c>
      <c r="F340" t="s">
        <v>28</v>
      </c>
      <c r="G340">
        <v>4</v>
      </c>
      <c r="H340">
        <v>785.65</v>
      </c>
      <c r="I340">
        <v>20</v>
      </c>
      <c r="J340">
        <v>495.13</v>
      </c>
      <c r="K340" t="s">
        <v>17</v>
      </c>
      <c r="L340" t="s">
        <v>37</v>
      </c>
      <c r="M340">
        <f t="shared" si="25"/>
        <v>2514.08</v>
      </c>
      <c r="N340">
        <f t="shared" si="26"/>
        <v>533.55999999999995</v>
      </c>
      <c r="O340" t="str">
        <f t="shared" si="27"/>
        <v>Monday</v>
      </c>
      <c r="P340" t="b">
        <f t="shared" si="28"/>
        <v>0</v>
      </c>
      <c r="Q340" t="str">
        <f t="shared" si="29"/>
        <v>February</v>
      </c>
    </row>
    <row r="341" spans="1:17" x14ac:dyDescent="0.4">
      <c r="A341" t="s">
        <v>622</v>
      </c>
      <c r="B341" s="1">
        <v>45466</v>
      </c>
      <c r="C341" t="s">
        <v>463</v>
      </c>
      <c r="D341" t="s">
        <v>21</v>
      </c>
      <c r="E341" t="s">
        <v>307</v>
      </c>
      <c r="F341" t="s">
        <v>28</v>
      </c>
      <c r="G341">
        <v>4</v>
      </c>
      <c r="H341">
        <v>2924.72</v>
      </c>
      <c r="I341">
        <v>15</v>
      </c>
      <c r="J341">
        <v>1577.58</v>
      </c>
      <c r="K341" t="s">
        <v>17</v>
      </c>
      <c r="L341" t="s">
        <v>37</v>
      </c>
      <c r="M341">
        <f t="shared" si="25"/>
        <v>9944.0479999999989</v>
      </c>
      <c r="N341">
        <f t="shared" si="26"/>
        <v>3633.7279999999992</v>
      </c>
      <c r="O341" t="str">
        <f t="shared" si="27"/>
        <v>Sunday</v>
      </c>
      <c r="P341" t="b">
        <f t="shared" si="28"/>
        <v>1</v>
      </c>
      <c r="Q341" t="str">
        <f t="shared" si="29"/>
        <v>June</v>
      </c>
    </row>
    <row r="342" spans="1:17" x14ac:dyDescent="0.4">
      <c r="A342" t="s">
        <v>623</v>
      </c>
      <c r="B342" s="1">
        <v>45984</v>
      </c>
      <c r="C342" t="s">
        <v>89</v>
      </c>
      <c r="D342" t="s">
        <v>31</v>
      </c>
      <c r="E342" t="s">
        <v>32</v>
      </c>
      <c r="F342" t="s">
        <v>23</v>
      </c>
      <c r="G342">
        <v>5</v>
      </c>
      <c r="H342">
        <v>647.66</v>
      </c>
      <c r="I342">
        <v>25</v>
      </c>
      <c r="J342">
        <v>409.83</v>
      </c>
      <c r="K342" t="s">
        <v>17</v>
      </c>
      <c r="L342" t="s">
        <v>37</v>
      </c>
      <c r="M342">
        <f t="shared" si="25"/>
        <v>2428.7249999999999</v>
      </c>
      <c r="N342">
        <f t="shared" si="26"/>
        <v>379.57499999999982</v>
      </c>
      <c r="O342" t="str">
        <f t="shared" si="27"/>
        <v>Sunday</v>
      </c>
      <c r="P342" t="b">
        <f t="shared" si="28"/>
        <v>1</v>
      </c>
      <c r="Q342" t="str">
        <f t="shared" si="29"/>
        <v>November</v>
      </c>
    </row>
    <row r="343" spans="1:17" x14ac:dyDescent="0.4">
      <c r="A343" t="s">
        <v>624</v>
      </c>
      <c r="B343" s="1">
        <v>45420</v>
      </c>
      <c r="C343" t="s">
        <v>92</v>
      </c>
      <c r="D343" t="s">
        <v>21</v>
      </c>
      <c r="E343" t="s">
        <v>625</v>
      </c>
      <c r="F343" t="s">
        <v>28</v>
      </c>
      <c r="G343">
        <v>3</v>
      </c>
      <c r="H343">
        <v>2706.52</v>
      </c>
      <c r="I343">
        <v>20</v>
      </c>
      <c r="J343">
        <v>1673.78</v>
      </c>
      <c r="K343" t="s">
        <v>24</v>
      </c>
      <c r="L343" t="s">
        <v>33</v>
      </c>
      <c r="M343">
        <f t="shared" si="25"/>
        <v>6495.6480000000001</v>
      </c>
      <c r="N343">
        <f t="shared" si="26"/>
        <v>1474.308</v>
      </c>
      <c r="O343" t="str">
        <f t="shared" si="27"/>
        <v>Wednesday</v>
      </c>
      <c r="P343" t="b">
        <f t="shared" si="28"/>
        <v>0</v>
      </c>
      <c r="Q343" t="str">
        <f t="shared" si="29"/>
        <v>May</v>
      </c>
    </row>
    <row r="344" spans="1:17" x14ac:dyDescent="0.4">
      <c r="A344" t="s">
        <v>626</v>
      </c>
      <c r="B344" s="1">
        <v>45643</v>
      </c>
      <c r="C344" t="s">
        <v>152</v>
      </c>
      <c r="D344" t="s">
        <v>14</v>
      </c>
      <c r="E344" t="s">
        <v>627</v>
      </c>
      <c r="F344" t="s">
        <v>28</v>
      </c>
      <c r="G344">
        <v>5</v>
      </c>
      <c r="H344">
        <v>1558.82</v>
      </c>
      <c r="I344">
        <v>30</v>
      </c>
      <c r="J344">
        <v>832.77</v>
      </c>
      <c r="K344" t="s">
        <v>17</v>
      </c>
      <c r="L344" t="s">
        <v>33</v>
      </c>
      <c r="M344">
        <f t="shared" si="25"/>
        <v>5455.869999999999</v>
      </c>
      <c r="N344">
        <f t="shared" si="26"/>
        <v>1292.0199999999986</v>
      </c>
      <c r="O344" t="str">
        <f t="shared" si="27"/>
        <v>Tuesday</v>
      </c>
      <c r="P344" t="b">
        <f t="shared" si="28"/>
        <v>0</v>
      </c>
      <c r="Q344" t="str">
        <f t="shared" si="29"/>
        <v>December</v>
      </c>
    </row>
    <row r="345" spans="1:17" x14ac:dyDescent="0.4">
      <c r="A345" t="s">
        <v>628</v>
      </c>
      <c r="B345" s="1">
        <v>45926</v>
      </c>
      <c r="C345" t="s">
        <v>309</v>
      </c>
      <c r="D345" t="s">
        <v>31</v>
      </c>
      <c r="E345" t="s">
        <v>629</v>
      </c>
      <c r="F345" t="s">
        <v>16</v>
      </c>
      <c r="G345">
        <v>1</v>
      </c>
      <c r="H345">
        <v>2413.3200000000002</v>
      </c>
      <c r="I345">
        <v>20</v>
      </c>
      <c r="J345">
        <v>1511.75</v>
      </c>
      <c r="K345" t="s">
        <v>17</v>
      </c>
      <c r="L345" t="s">
        <v>33</v>
      </c>
      <c r="M345">
        <f t="shared" si="25"/>
        <v>1930.6560000000002</v>
      </c>
      <c r="N345">
        <f t="shared" si="26"/>
        <v>418.90600000000018</v>
      </c>
      <c r="O345" t="str">
        <f t="shared" si="27"/>
        <v>Friday</v>
      </c>
      <c r="P345" t="b">
        <f t="shared" si="28"/>
        <v>0</v>
      </c>
      <c r="Q345" t="str">
        <f t="shared" si="29"/>
        <v>September</v>
      </c>
    </row>
    <row r="346" spans="1:17" x14ac:dyDescent="0.4">
      <c r="A346" t="s">
        <v>630</v>
      </c>
      <c r="B346" s="1">
        <v>45735</v>
      </c>
      <c r="C346" t="s">
        <v>125</v>
      </c>
      <c r="D346" t="s">
        <v>46</v>
      </c>
      <c r="E346" t="s">
        <v>361</v>
      </c>
      <c r="F346" t="s">
        <v>16</v>
      </c>
      <c r="G346">
        <v>3</v>
      </c>
      <c r="H346">
        <v>1188.6300000000001</v>
      </c>
      <c r="I346">
        <v>15</v>
      </c>
      <c r="J346">
        <v>774.05</v>
      </c>
      <c r="K346" t="s">
        <v>17</v>
      </c>
      <c r="L346" t="s">
        <v>18</v>
      </c>
      <c r="M346">
        <f t="shared" si="25"/>
        <v>3031.0065000000004</v>
      </c>
      <c r="N346">
        <f t="shared" si="26"/>
        <v>708.85650000000078</v>
      </c>
      <c r="O346" t="str">
        <f t="shared" si="27"/>
        <v>Wednesday</v>
      </c>
      <c r="P346" t="b">
        <f t="shared" si="28"/>
        <v>0</v>
      </c>
      <c r="Q346" t="str">
        <f t="shared" si="29"/>
        <v>March</v>
      </c>
    </row>
    <row r="347" spans="1:17" x14ac:dyDescent="0.4">
      <c r="A347" t="s">
        <v>631</v>
      </c>
      <c r="B347" s="1">
        <v>45629</v>
      </c>
      <c r="C347" t="s">
        <v>125</v>
      </c>
      <c r="D347" t="s">
        <v>14</v>
      </c>
      <c r="E347" t="s">
        <v>142</v>
      </c>
      <c r="F347" t="s">
        <v>16</v>
      </c>
      <c r="G347">
        <v>5</v>
      </c>
      <c r="H347">
        <v>516.09</v>
      </c>
      <c r="I347">
        <v>10</v>
      </c>
      <c r="J347">
        <v>239.85</v>
      </c>
      <c r="K347" t="s">
        <v>17</v>
      </c>
      <c r="L347" t="s">
        <v>18</v>
      </c>
      <c r="M347">
        <f t="shared" si="25"/>
        <v>2322.4050000000002</v>
      </c>
      <c r="N347">
        <f t="shared" si="26"/>
        <v>1123.1550000000002</v>
      </c>
      <c r="O347" t="str">
        <f t="shared" si="27"/>
        <v>Tuesday</v>
      </c>
      <c r="P347" t="b">
        <f t="shared" si="28"/>
        <v>0</v>
      </c>
      <c r="Q347" t="str">
        <f t="shared" si="29"/>
        <v>December</v>
      </c>
    </row>
    <row r="348" spans="1:17" x14ac:dyDescent="0.4">
      <c r="A348" t="s">
        <v>632</v>
      </c>
      <c r="B348" s="1">
        <v>45775</v>
      </c>
      <c r="C348" t="s">
        <v>144</v>
      </c>
      <c r="D348" t="s">
        <v>21</v>
      </c>
      <c r="E348" t="s">
        <v>369</v>
      </c>
      <c r="F348" t="s">
        <v>23</v>
      </c>
      <c r="G348">
        <v>1</v>
      </c>
      <c r="H348">
        <v>1980.75</v>
      </c>
      <c r="I348">
        <v>0</v>
      </c>
      <c r="J348">
        <v>991.77</v>
      </c>
      <c r="K348" t="s">
        <v>24</v>
      </c>
      <c r="L348" t="s">
        <v>33</v>
      </c>
      <c r="M348">
        <f t="shared" si="25"/>
        <v>1980.75</v>
      </c>
      <c r="N348">
        <f t="shared" si="26"/>
        <v>988.98</v>
      </c>
      <c r="O348" t="str">
        <f t="shared" si="27"/>
        <v>Monday</v>
      </c>
      <c r="P348" t="b">
        <f t="shared" si="28"/>
        <v>0</v>
      </c>
      <c r="Q348" t="str">
        <f t="shared" si="29"/>
        <v>April</v>
      </c>
    </row>
    <row r="349" spans="1:17" x14ac:dyDescent="0.4">
      <c r="A349" t="s">
        <v>633</v>
      </c>
      <c r="B349" s="1">
        <v>45981</v>
      </c>
      <c r="C349" t="s">
        <v>144</v>
      </c>
      <c r="D349" t="s">
        <v>31</v>
      </c>
      <c r="E349" t="s">
        <v>634</v>
      </c>
      <c r="F349" t="s">
        <v>23</v>
      </c>
      <c r="G349">
        <v>5</v>
      </c>
      <c r="H349">
        <v>442.57</v>
      </c>
      <c r="I349">
        <v>15</v>
      </c>
      <c r="J349">
        <v>262.76</v>
      </c>
      <c r="K349" t="s">
        <v>24</v>
      </c>
      <c r="L349" t="s">
        <v>37</v>
      </c>
      <c r="M349">
        <f t="shared" si="25"/>
        <v>1880.9224999999999</v>
      </c>
      <c r="N349">
        <f t="shared" si="26"/>
        <v>567.12249999999995</v>
      </c>
      <c r="O349" t="str">
        <f t="shared" si="27"/>
        <v>Thursday</v>
      </c>
      <c r="P349" t="b">
        <f t="shared" si="28"/>
        <v>0</v>
      </c>
      <c r="Q349" t="str">
        <f t="shared" si="29"/>
        <v>November</v>
      </c>
    </row>
    <row r="350" spans="1:17" x14ac:dyDescent="0.4">
      <c r="A350" t="s">
        <v>635</v>
      </c>
      <c r="B350" s="1">
        <v>45953</v>
      </c>
      <c r="C350" t="s">
        <v>71</v>
      </c>
      <c r="D350" t="s">
        <v>14</v>
      </c>
      <c r="E350" t="s">
        <v>78</v>
      </c>
      <c r="F350" t="s">
        <v>28</v>
      </c>
      <c r="G350">
        <v>5</v>
      </c>
      <c r="H350">
        <v>2308.16</v>
      </c>
      <c r="I350">
        <v>10</v>
      </c>
      <c r="J350">
        <v>1097.32</v>
      </c>
      <c r="K350" t="s">
        <v>24</v>
      </c>
      <c r="L350" t="s">
        <v>18</v>
      </c>
      <c r="M350">
        <f t="shared" si="25"/>
        <v>10386.719999999999</v>
      </c>
      <c r="N350">
        <f t="shared" si="26"/>
        <v>4900.12</v>
      </c>
      <c r="O350" t="str">
        <f t="shared" si="27"/>
        <v>Thursday</v>
      </c>
      <c r="P350" t="b">
        <f t="shared" si="28"/>
        <v>0</v>
      </c>
      <c r="Q350" t="str">
        <f t="shared" si="29"/>
        <v>October</v>
      </c>
    </row>
    <row r="351" spans="1:17" x14ac:dyDescent="0.4">
      <c r="A351" t="s">
        <v>636</v>
      </c>
      <c r="B351" s="1">
        <v>45980</v>
      </c>
      <c r="C351" t="s">
        <v>39</v>
      </c>
      <c r="D351" t="s">
        <v>46</v>
      </c>
      <c r="E351" t="s">
        <v>637</v>
      </c>
      <c r="F351" t="s">
        <v>28</v>
      </c>
      <c r="G351">
        <v>3</v>
      </c>
      <c r="H351">
        <v>2004.72</v>
      </c>
      <c r="I351">
        <v>30</v>
      </c>
      <c r="J351">
        <v>885.86</v>
      </c>
      <c r="K351" t="s">
        <v>24</v>
      </c>
      <c r="L351" t="s">
        <v>33</v>
      </c>
      <c r="M351">
        <f t="shared" si="25"/>
        <v>4209.9119999999994</v>
      </c>
      <c r="N351">
        <f t="shared" si="26"/>
        <v>1552.3319999999994</v>
      </c>
      <c r="O351" t="str">
        <f t="shared" si="27"/>
        <v>Wednesday</v>
      </c>
      <c r="P351" t="b">
        <f t="shared" si="28"/>
        <v>0</v>
      </c>
      <c r="Q351" t="str">
        <f t="shared" si="29"/>
        <v>November</v>
      </c>
    </row>
    <row r="352" spans="1:17" x14ac:dyDescent="0.4">
      <c r="A352" t="s">
        <v>638</v>
      </c>
      <c r="B352" s="1">
        <v>45783</v>
      </c>
      <c r="C352" t="s">
        <v>125</v>
      </c>
      <c r="D352" t="s">
        <v>21</v>
      </c>
      <c r="E352" t="s">
        <v>603</v>
      </c>
      <c r="F352" t="s">
        <v>16</v>
      </c>
      <c r="G352">
        <v>4</v>
      </c>
      <c r="H352">
        <v>1293.99</v>
      </c>
      <c r="I352">
        <v>5</v>
      </c>
      <c r="J352">
        <v>732.22</v>
      </c>
      <c r="K352" t="s">
        <v>24</v>
      </c>
      <c r="L352" t="s">
        <v>18</v>
      </c>
      <c r="M352">
        <f t="shared" si="25"/>
        <v>4917.1619999999994</v>
      </c>
      <c r="N352">
        <f t="shared" si="26"/>
        <v>1988.2819999999992</v>
      </c>
      <c r="O352" t="str">
        <f t="shared" si="27"/>
        <v>Tuesday</v>
      </c>
      <c r="P352" t="b">
        <f t="shared" si="28"/>
        <v>0</v>
      </c>
      <c r="Q352" t="str">
        <f t="shared" si="29"/>
        <v>May</v>
      </c>
    </row>
    <row r="353" spans="1:17" x14ac:dyDescent="0.4">
      <c r="A353" t="s">
        <v>639</v>
      </c>
      <c r="B353" s="1">
        <v>45841</v>
      </c>
      <c r="C353" t="s">
        <v>125</v>
      </c>
      <c r="D353" t="s">
        <v>14</v>
      </c>
      <c r="E353" t="s">
        <v>36</v>
      </c>
      <c r="F353" t="s">
        <v>16</v>
      </c>
      <c r="G353">
        <v>3</v>
      </c>
      <c r="H353">
        <v>2958.96</v>
      </c>
      <c r="I353">
        <v>10</v>
      </c>
      <c r="J353">
        <v>1391.26</v>
      </c>
      <c r="K353" t="s">
        <v>24</v>
      </c>
      <c r="L353" t="s">
        <v>33</v>
      </c>
      <c r="M353">
        <f t="shared" si="25"/>
        <v>7989.1920000000009</v>
      </c>
      <c r="N353">
        <f t="shared" si="26"/>
        <v>3815.4120000000012</v>
      </c>
      <c r="O353" t="str">
        <f t="shared" si="27"/>
        <v>Thursday</v>
      </c>
      <c r="P353" t="b">
        <f t="shared" si="28"/>
        <v>0</v>
      </c>
      <c r="Q353" t="str">
        <f t="shared" si="29"/>
        <v>July</v>
      </c>
    </row>
    <row r="354" spans="1:17" x14ac:dyDescent="0.4">
      <c r="A354" t="s">
        <v>640</v>
      </c>
      <c r="B354" s="1">
        <v>45499</v>
      </c>
      <c r="C354" t="s">
        <v>146</v>
      </c>
      <c r="D354" t="s">
        <v>21</v>
      </c>
      <c r="E354" t="s">
        <v>210</v>
      </c>
      <c r="F354" t="s">
        <v>16</v>
      </c>
      <c r="G354">
        <v>3</v>
      </c>
      <c r="H354">
        <v>1348.35</v>
      </c>
      <c r="I354">
        <v>20</v>
      </c>
      <c r="J354">
        <v>601.89</v>
      </c>
      <c r="K354" t="s">
        <v>24</v>
      </c>
      <c r="L354" t="s">
        <v>37</v>
      </c>
      <c r="M354">
        <f t="shared" si="25"/>
        <v>3236.04</v>
      </c>
      <c r="N354">
        <f t="shared" si="26"/>
        <v>1430.37</v>
      </c>
      <c r="O354" t="str">
        <f t="shared" si="27"/>
        <v>Friday</v>
      </c>
      <c r="P354" t="b">
        <f t="shared" si="28"/>
        <v>0</v>
      </c>
      <c r="Q354" t="str">
        <f t="shared" si="29"/>
        <v>July</v>
      </c>
    </row>
    <row r="355" spans="1:17" x14ac:dyDescent="0.4">
      <c r="A355" t="s">
        <v>641</v>
      </c>
      <c r="B355" s="1">
        <v>45959</v>
      </c>
      <c r="C355" t="s">
        <v>241</v>
      </c>
      <c r="D355" t="s">
        <v>31</v>
      </c>
      <c r="E355" t="s">
        <v>101</v>
      </c>
      <c r="F355" t="s">
        <v>28</v>
      </c>
      <c r="G355">
        <v>2</v>
      </c>
      <c r="H355">
        <v>2161.88</v>
      </c>
      <c r="I355">
        <v>5</v>
      </c>
      <c r="J355">
        <v>1502.93</v>
      </c>
      <c r="K355" t="s">
        <v>17</v>
      </c>
      <c r="L355" t="s">
        <v>18</v>
      </c>
      <c r="M355">
        <f t="shared" si="25"/>
        <v>4107.5720000000001</v>
      </c>
      <c r="N355">
        <f t="shared" si="26"/>
        <v>1101.712</v>
      </c>
      <c r="O355" t="str">
        <f t="shared" si="27"/>
        <v>Wednesday</v>
      </c>
      <c r="P355" t="b">
        <f t="shared" si="28"/>
        <v>0</v>
      </c>
      <c r="Q355" t="str">
        <f t="shared" si="29"/>
        <v>October</v>
      </c>
    </row>
    <row r="356" spans="1:17" x14ac:dyDescent="0.4">
      <c r="A356" t="s">
        <v>642</v>
      </c>
      <c r="B356" s="1">
        <v>45743</v>
      </c>
      <c r="C356" t="s">
        <v>13</v>
      </c>
      <c r="D356" t="s">
        <v>14</v>
      </c>
      <c r="E356" t="s">
        <v>381</v>
      </c>
      <c r="F356" t="s">
        <v>23</v>
      </c>
      <c r="G356">
        <v>4</v>
      </c>
      <c r="H356">
        <v>2135.7800000000002</v>
      </c>
      <c r="I356">
        <v>5</v>
      </c>
      <c r="J356">
        <v>1106.04</v>
      </c>
      <c r="K356" t="s">
        <v>17</v>
      </c>
      <c r="L356" t="s">
        <v>18</v>
      </c>
      <c r="M356">
        <f t="shared" si="25"/>
        <v>8115.9639999999999</v>
      </c>
      <c r="N356">
        <f t="shared" si="26"/>
        <v>3691.8040000000001</v>
      </c>
      <c r="O356" t="str">
        <f t="shared" si="27"/>
        <v>Thursday</v>
      </c>
      <c r="P356" t="b">
        <f t="shared" si="28"/>
        <v>0</v>
      </c>
      <c r="Q356" t="str">
        <f t="shared" si="29"/>
        <v>March</v>
      </c>
    </row>
    <row r="357" spans="1:17" x14ac:dyDescent="0.4">
      <c r="A357" t="s">
        <v>643</v>
      </c>
      <c r="B357" s="1">
        <v>45921</v>
      </c>
      <c r="C357" t="s">
        <v>114</v>
      </c>
      <c r="D357" t="s">
        <v>21</v>
      </c>
      <c r="E357" t="s">
        <v>557</v>
      </c>
      <c r="F357" t="s">
        <v>16</v>
      </c>
      <c r="G357">
        <v>2</v>
      </c>
      <c r="H357">
        <v>2452.9</v>
      </c>
      <c r="I357">
        <v>5</v>
      </c>
      <c r="J357">
        <v>1526.95</v>
      </c>
      <c r="K357" t="s">
        <v>24</v>
      </c>
      <c r="L357" t="s">
        <v>37</v>
      </c>
      <c r="M357">
        <f t="shared" si="25"/>
        <v>4660.51</v>
      </c>
      <c r="N357">
        <f t="shared" si="26"/>
        <v>1606.6100000000001</v>
      </c>
      <c r="O357" t="str">
        <f t="shared" si="27"/>
        <v>Sunday</v>
      </c>
      <c r="P357" t="b">
        <f t="shared" si="28"/>
        <v>1</v>
      </c>
      <c r="Q357" t="str">
        <f t="shared" si="29"/>
        <v>September</v>
      </c>
    </row>
    <row r="358" spans="1:17" x14ac:dyDescent="0.4">
      <c r="A358" t="s">
        <v>644</v>
      </c>
      <c r="B358" s="1">
        <v>45935</v>
      </c>
      <c r="C358" t="s">
        <v>45</v>
      </c>
      <c r="D358" t="s">
        <v>31</v>
      </c>
      <c r="E358" t="s">
        <v>36</v>
      </c>
      <c r="F358" t="s">
        <v>28</v>
      </c>
      <c r="G358">
        <v>5</v>
      </c>
      <c r="H358">
        <v>328.75</v>
      </c>
      <c r="I358">
        <v>20</v>
      </c>
      <c r="J358">
        <v>210.34</v>
      </c>
      <c r="K358" t="s">
        <v>17</v>
      </c>
      <c r="L358" t="s">
        <v>18</v>
      </c>
      <c r="M358">
        <f t="shared" si="25"/>
        <v>1315</v>
      </c>
      <c r="N358">
        <f t="shared" si="26"/>
        <v>263.29999999999995</v>
      </c>
      <c r="O358" t="str">
        <f t="shared" si="27"/>
        <v>Sunday</v>
      </c>
      <c r="P358" t="b">
        <f t="shared" si="28"/>
        <v>1</v>
      </c>
      <c r="Q358" t="str">
        <f t="shared" si="29"/>
        <v>October</v>
      </c>
    </row>
    <row r="359" spans="1:17" x14ac:dyDescent="0.4">
      <c r="A359" t="s">
        <v>645</v>
      </c>
      <c r="B359" s="1">
        <v>45854</v>
      </c>
      <c r="C359" t="s">
        <v>119</v>
      </c>
      <c r="D359" t="s">
        <v>14</v>
      </c>
      <c r="E359" t="s">
        <v>432</v>
      </c>
      <c r="F359" t="s">
        <v>23</v>
      </c>
      <c r="G359">
        <v>3</v>
      </c>
      <c r="H359">
        <v>1369.16</v>
      </c>
      <c r="I359">
        <v>20</v>
      </c>
      <c r="J359">
        <v>581.66</v>
      </c>
      <c r="K359" t="s">
        <v>24</v>
      </c>
      <c r="L359" t="s">
        <v>37</v>
      </c>
      <c r="M359">
        <f t="shared" si="25"/>
        <v>3285.9840000000004</v>
      </c>
      <c r="N359">
        <f t="shared" si="26"/>
        <v>1541.0040000000004</v>
      </c>
      <c r="O359" t="str">
        <f t="shared" si="27"/>
        <v>Wednesday</v>
      </c>
      <c r="P359" t="b">
        <f t="shared" si="28"/>
        <v>0</v>
      </c>
      <c r="Q359" t="str">
        <f t="shared" si="29"/>
        <v>July</v>
      </c>
    </row>
    <row r="360" spans="1:17" x14ac:dyDescent="0.4">
      <c r="A360" t="s">
        <v>646</v>
      </c>
      <c r="B360" s="1">
        <v>45597</v>
      </c>
      <c r="C360" t="s">
        <v>185</v>
      </c>
      <c r="D360" t="s">
        <v>46</v>
      </c>
      <c r="E360" t="s">
        <v>461</v>
      </c>
      <c r="F360" t="s">
        <v>23</v>
      </c>
      <c r="G360">
        <v>2</v>
      </c>
      <c r="H360">
        <v>1059.23</v>
      </c>
      <c r="I360">
        <v>10</v>
      </c>
      <c r="J360">
        <v>447.09</v>
      </c>
      <c r="K360" t="s">
        <v>24</v>
      </c>
      <c r="L360" t="s">
        <v>33</v>
      </c>
      <c r="M360">
        <f t="shared" si="25"/>
        <v>1906.614</v>
      </c>
      <c r="N360">
        <f t="shared" si="26"/>
        <v>1012.4340000000001</v>
      </c>
      <c r="O360" t="str">
        <f t="shared" si="27"/>
        <v>Friday</v>
      </c>
      <c r="P360" t="b">
        <f t="shared" si="28"/>
        <v>0</v>
      </c>
      <c r="Q360" t="str">
        <f t="shared" si="29"/>
        <v>November</v>
      </c>
    </row>
    <row r="361" spans="1:17" x14ac:dyDescent="0.4">
      <c r="A361" t="s">
        <v>647</v>
      </c>
      <c r="B361" s="1">
        <v>45783</v>
      </c>
      <c r="C361" t="s">
        <v>30</v>
      </c>
      <c r="D361" t="s">
        <v>31</v>
      </c>
      <c r="E361" t="s">
        <v>303</v>
      </c>
      <c r="F361" t="s">
        <v>16</v>
      </c>
      <c r="G361">
        <v>4</v>
      </c>
      <c r="H361">
        <v>2609.1799999999998</v>
      </c>
      <c r="I361">
        <v>15</v>
      </c>
      <c r="J361">
        <v>1211.27</v>
      </c>
      <c r="K361" t="s">
        <v>17</v>
      </c>
      <c r="L361" t="s">
        <v>18</v>
      </c>
      <c r="M361">
        <f t="shared" si="25"/>
        <v>8871.2119999999995</v>
      </c>
      <c r="N361">
        <f t="shared" si="26"/>
        <v>4026.1319999999996</v>
      </c>
      <c r="O361" t="str">
        <f t="shared" si="27"/>
        <v>Tuesday</v>
      </c>
      <c r="P361" t="b">
        <f t="shared" si="28"/>
        <v>0</v>
      </c>
      <c r="Q361" t="str">
        <f t="shared" si="29"/>
        <v>May</v>
      </c>
    </row>
    <row r="362" spans="1:17" x14ac:dyDescent="0.4">
      <c r="A362" t="s">
        <v>648</v>
      </c>
      <c r="B362" s="1">
        <v>45641</v>
      </c>
      <c r="C362" t="s">
        <v>205</v>
      </c>
      <c r="D362" t="s">
        <v>21</v>
      </c>
      <c r="E362" t="s">
        <v>307</v>
      </c>
      <c r="F362" t="s">
        <v>16</v>
      </c>
      <c r="G362">
        <v>3</v>
      </c>
      <c r="H362">
        <v>2420.87</v>
      </c>
      <c r="I362">
        <v>30</v>
      </c>
      <c r="J362">
        <v>1573.33</v>
      </c>
      <c r="K362" t="s">
        <v>17</v>
      </c>
      <c r="L362" t="s">
        <v>18</v>
      </c>
      <c r="M362">
        <f t="shared" si="25"/>
        <v>5083.8269999999993</v>
      </c>
      <c r="N362">
        <f t="shared" si="26"/>
        <v>363.83699999999953</v>
      </c>
      <c r="O362" t="str">
        <f t="shared" si="27"/>
        <v>Sunday</v>
      </c>
      <c r="P362" t="b">
        <f t="shared" si="28"/>
        <v>1</v>
      </c>
      <c r="Q362" t="str">
        <f t="shared" si="29"/>
        <v>December</v>
      </c>
    </row>
    <row r="363" spans="1:17" x14ac:dyDescent="0.4">
      <c r="A363" t="s">
        <v>649</v>
      </c>
      <c r="B363" s="1">
        <v>45883</v>
      </c>
      <c r="C363" t="s">
        <v>241</v>
      </c>
      <c r="D363" t="s">
        <v>14</v>
      </c>
      <c r="E363" t="s">
        <v>491</v>
      </c>
      <c r="F363" t="s">
        <v>28</v>
      </c>
      <c r="G363">
        <v>1</v>
      </c>
      <c r="H363">
        <v>1333.79</v>
      </c>
      <c r="I363">
        <v>20</v>
      </c>
      <c r="J363">
        <v>770.85</v>
      </c>
      <c r="K363" t="s">
        <v>17</v>
      </c>
      <c r="L363" t="s">
        <v>18</v>
      </c>
      <c r="M363">
        <f t="shared" si="25"/>
        <v>1067.0319999999999</v>
      </c>
      <c r="N363">
        <f t="shared" si="26"/>
        <v>296.1819999999999</v>
      </c>
      <c r="O363" t="str">
        <f t="shared" si="27"/>
        <v>Thursday</v>
      </c>
      <c r="P363" t="b">
        <f t="shared" si="28"/>
        <v>0</v>
      </c>
      <c r="Q363" t="str">
        <f t="shared" si="29"/>
        <v>August</v>
      </c>
    </row>
    <row r="364" spans="1:17" x14ac:dyDescent="0.4">
      <c r="A364" t="s">
        <v>650</v>
      </c>
      <c r="B364" s="1">
        <v>45587</v>
      </c>
      <c r="C364" t="s">
        <v>174</v>
      </c>
      <c r="D364" t="s">
        <v>31</v>
      </c>
      <c r="E364" t="s">
        <v>516</v>
      </c>
      <c r="F364" t="s">
        <v>28</v>
      </c>
      <c r="G364">
        <v>4</v>
      </c>
      <c r="H364">
        <v>2386.64</v>
      </c>
      <c r="I364">
        <v>25</v>
      </c>
      <c r="J364">
        <v>1221.8599999999999</v>
      </c>
      <c r="K364" t="s">
        <v>17</v>
      </c>
      <c r="L364" t="s">
        <v>18</v>
      </c>
      <c r="M364">
        <f t="shared" si="25"/>
        <v>7159.92</v>
      </c>
      <c r="N364">
        <f t="shared" si="26"/>
        <v>2272.4800000000005</v>
      </c>
      <c r="O364" t="str">
        <f t="shared" si="27"/>
        <v>Tuesday</v>
      </c>
      <c r="P364" t="b">
        <f t="shared" si="28"/>
        <v>0</v>
      </c>
      <c r="Q364" t="str">
        <f t="shared" si="29"/>
        <v>October</v>
      </c>
    </row>
    <row r="365" spans="1:17" x14ac:dyDescent="0.4">
      <c r="A365" t="s">
        <v>651</v>
      </c>
      <c r="B365" s="1">
        <v>45596</v>
      </c>
      <c r="C365" t="s">
        <v>100</v>
      </c>
      <c r="D365" t="s">
        <v>14</v>
      </c>
      <c r="E365" t="s">
        <v>652</v>
      </c>
      <c r="F365" t="s">
        <v>16</v>
      </c>
      <c r="G365">
        <v>5</v>
      </c>
      <c r="H365">
        <v>2490.77</v>
      </c>
      <c r="I365">
        <v>0</v>
      </c>
      <c r="J365">
        <v>1195.1400000000001</v>
      </c>
      <c r="K365" t="s">
        <v>17</v>
      </c>
      <c r="L365" t="s">
        <v>18</v>
      </c>
      <c r="M365">
        <f t="shared" si="25"/>
        <v>12453.85</v>
      </c>
      <c r="N365">
        <f t="shared" si="26"/>
        <v>6478.15</v>
      </c>
      <c r="O365" t="str">
        <f t="shared" si="27"/>
        <v>Thursday</v>
      </c>
      <c r="P365" t="b">
        <f t="shared" si="28"/>
        <v>0</v>
      </c>
      <c r="Q365" t="str">
        <f t="shared" si="29"/>
        <v>October</v>
      </c>
    </row>
    <row r="366" spans="1:17" x14ac:dyDescent="0.4">
      <c r="A366" t="s">
        <v>653</v>
      </c>
      <c r="B366" s="1">
        <v>45790</v>
      </c>
      <c r="C366" t="s">
        <v>77</v>
      </c>
      <c r="D366" t="s">
        <v>14</v>
      </c>
      <c r="E366" t="s">
        <v>27</v>
      </c>
      <c r="F366" t="s">
        <v>16</v>
      </c>
      <c r="G366">
        <v>5</v>
      </c>
      <c r="H366">
        <v>1111.45</v>
      </c>
      <c r="I366">
        <v>30</v>
      </c>
      <c r="J366">
        <v>517.03</v>
      </c>
      <c r="K366" t="s">
        <v>17</v>
      </c>
      <c r="L366" t="s">
        <v>18</v>
      </c>
      <c r="M366">
        <f t="shared" si="25"/>
        <v>3890.0749999999998</v>
      </c>
      <c r="N366">
        <f t="shared" si="26"/>
        <v>1304.9250000000002</v>
      </c>
      <c r="O366" t="str">
        <f t="shared" si="27"/>
        <v>Tuesday</v>
      </c>
      <c r="P366" t="b">
        <f t="shared" si="28"/>
        <v>0</v>
      </c>
      <c r="Q366" t="str">
        <f t="shared" si="29"/>
        <v>May</v>
      </c>
    </row>
    <row r="367" spans="1:17" x14ac:dyDescent="0.4">
      <c r="A367" t="s">
        <v>654</v>
      </c>
      <c r="B367" s="1">
        <v>45660</v>
      </c>
      <c r="C367" t="s">
        <v>182</v>
      </c>
      <c r="D367" t="s">
        <v>46</v>
      </c>
      <c r="E367" t="s">
        <v>655</v>
      </c>
      <c r="F367" t="s">
        <v>28</v>
      </c>
      <c r="G367">
        <v>1</v>
      </c>
      <c r="H367">
        <v>559.35</v>
      </c>
      <c r="I367">
        <v>30</v>
      </c>
      <c r="J367">
        <v>267.02</v>
      </c>
      <c r="K367" t="s">
        <v>17</v>
      </c>
      <c r="L367" t="s">
        <v>37</v>
      </c>
      <c r="M367">
        <f t="shared" si="25"/>
        <v>391.54500000000002</v>
      </c>
      <c r="N367">
        <f t="shared" si="26"/>
        <v>124.52500000000003</v>
      </c>
      <c r="O367" t="str">
        <f t="shared" si="27"/>
        <v>Friday</v>
      </c>
      <c r="P367" t="b">
        <f t="shared" si="28"/>
        <v>0</v>
      </c>
      <c r="Q367" t="str">
        <f t="shared" si="29"/>
        <v>January</v>
      </c>
    </row>
    <row r="368" spans="1:17" x14ac:dyDescent="0.4">
      <c r="A368" t="s">
        <v>656</v>
      </c>
      <c r="B368" s="1">
        <v>45638</v>
      </c>
      <c r="C368" t="s">
        <v>149</v>
      </c>
      <c r="D368" t="s">
        <v>46</v>
      </c>
      <c r="E368" t="s">
        <v>243</v>
      </c>
      <c r="F368" t="s">
        <v>23</v>
      </c>
      <c r="G368">
        <v>1</v>
      </c>
      <c r="H368">
        <v>1240.1600000000001</v>
      </c>
      <c r="I368">
        <v>25</v>
      </c>
      <c r="J368">
        <v>637.77</v>
      </c>
      <c r="K368" t="s">
        <v>24</v>
      </c>
      <c r="L368" t="s">
        <v>18</v>
      </c>
      <c r="M368">
        <f t="shared" si="25"/>
        <v>930.12000000000012</v>
      </c>
      <c r="N368">
        <f t="shared" si="26"/>
        <v>292.35000000000014</v>
      </c>
      <c r="O368" t="str">
        <f t="shared" si="27"/>
        <v>Thursday</v>
      </c>
      <c r="P368" t="b">
        <f t="shared" si="28"/>
        <v>0</v>
      </c>
      <c r="Q368" t="str">
        <f t="shared" si="29"/>
        <v>December</v>
      </c>
    </row>
    <row r="369" spans="1:17" x14ac:dyDescent="0.4">
      <c r="A369" t="s">
        <v>657</v>
      </c>
      <c r="B369" s="1">
        <v>45303</v>
      </c>
      <c r="C369" t="s">
        <v>146</v>
      </c>
      <c r="D369" t="s">
        <v>46</v>
      </c>
      <c r="E369" t="s">
        <v>658</v>
      </c>
      <c r="F369" t="s">
        <v>28</v>
      </c>
      <c r="G369">
        <v>5</v>
      </c>
      <c r="H369">
        <v>2289.9699999999998</v>
      </c>
      <c r="I369">
        <v>25</v>
      </c>
      <c r="J369">
        <v>1065.5899999999999</v>
      </c>
      <c r="K369" t="s">
        <v>24</v>
      </c>
      <c r="L369" t="s">
        <v>37</v>
      </c>
      <c r="M369">
        <f t="shared" si="25"/>
        <v>8587.3874999999989</v>
      </c>
      <c r="N369">
        <f t="shared" si="26"/>
        <v>3259.4374999999991</v>
      </c>
      <c r="O369" t="str">
        <f t="shared" si="27"/>
        <v>Friday</v>
      </c>
      <c r="P369" t="b">
        <f t="shared" si="28"/>
        <v>0</v>
      </c>
      <c r="Q369" t="str">
        <f t="shared" si="29"/>
        <v>January</v>
      </c>
    </row>
    <row r="370" spans="1:17" x14ac:dyDescent="0.4">
      <c r="A370" t="s">
        <v>659</v>
      </c>
      <c r="B370" s="1">
        <v>45765</v>
      </c>
      <c r="C370" t="s">
        <v>95</v>
      </c>
      <c r="D370" t="s">
        <v>31</v>
      </c>
      <c r="E370" t="s">
        <v>401</v>
      </c>
      <c r="F370" t="s">
        <v>16</v>
      </c>
      <c r="G370">
        <v>3</v>
      </c>
      <c r="H370">
        <v>2027.1</v>
      </c>
      <c r="I370">
        <v>30</v>
      </c>
      <c r="J370">
        <v>1127.57</v>
      </c>
      <c r="K370" t="s">
        <v>17</v>
      </c>
      <c r="L370" t="s">
        <v>37</v>
      </c>
      <c r="M370">
        <f t="shared" si="25"/>
        <v>4256.9099999999989</v>
      </c>
      <c r="N370">
        <f t="shared" si="26"/>
        <v>874.19999999999891</v>
      </c>
      <c r="O370" t="str">
        <f t="shared" si="27"/>
        <v>Friday</v>
      </c>
      <c r="P370" t="b">
        <f t="shared" si="28"/>
        <v>0</v>
      </c>
      <c r="Q370" t="str">
        <f t="shared" si="29"/>
        <v>April</v>
      </c>
    </row>
    <row r="371" spans="1:17" x14ac:dyDescent="0.4">
      <c r="A371" t="s">
        <v>660</v>
      </c>
      <c r="B371" s="1">
        <v>45860</v>
      </c>
      <c r="C371" t="s">
        <v>375</v>
      </c>
      <c r="D371" t="s">
        <v>14</v>
      </c>
      <c r="E371" t="s">
        <v>559</v>
      </c>
      <c r="F371" t="s">
        <v>23</v>
      </c>
      <c r="G371">
        <v>5</v>
      </c>
      <c r="H371">
        <v>672.19</v>
      </c>
      <c r="I371">
        <v>25</v>
      </c>
      <c r="J371">
        <v>463.98</v>
      </c>
      <c r="K371" t="s">
        <v>24</v>
      </c>
      <c r="L371" t="s">
        <v>37</v>
      </c>
      <c r="M371">
        <f t="shared" si="25"/>
        <v>2520.7125000000001</v>
      </c>
      <c r="N371">
        <f t="shared" si="26"/>
        <v>200.8125</v>
      </c>
      <c r="O371" t="str">
        <f t="shared" si="27"/>
        <v>Tuesday</v>
      </c>
      <c r="P371" t="b">
        <f t="shared" si="28"/>
        <v>0</v>
      </c>
      <c r="Q371" t="str">
        <f t="shared" si="29"/>
        <v>July</v>
      </c>
    </row>
    <row r="372" spans="1:17" x14ac:dyDescent="0.4">
      <c r="A372" t="s">
        <v>661</v>
      </c>
      <c r="B372" s="1">
        <v>45627</v>
      </c>
      <c r="C372" t="s">
        <v>84</v>
      </c>
      <c r="D372" t="s">
        <v>21</v>
      </c>
      <c r="E372" t="s">
        <v>662</v>
      </c>
      <c r="F372" t="s">
        <v>28</v>
      </c>
      <c r="G372">
        <v>2</v>
      </c>
      <c r="H372">
        <v>2442.0300000000002</v>
      </c>
      <c r="I372">
        <v>10</v>
      </c>
      <c r="J372">
        <v>1622.6</v>
      </c>
      <c r="K372" t="s">
        <v>17</v>
      </c>
      <c r="L372" t="s">
        <v>18</v>
      </c>
      <c r="M372">
        <f t="shared" si="25"/>
        <v>4395.6540000000005</v>
      </c>
      <c r="N372">
        <f t="shared" si="26"/>
        <v>1150.4540000000006</v>
      </c>
      <c r="O372" t="str">
        <f t="shared" si="27"/>
        <v>Sunday</v>
      </c>
      <c r="P372" t="b">
        <f t="shared" si="28"/>
        <v>1</v>
      </c>
      <c r="Q372" t="str">
        <f t="shared" si="29"/>
        <v>December</v>
      </c>
    </row>
    <row r="373" spans="1:17" x14ac:dyDescent="0.4">
      <c r="A373" t="s">
        <v>663</v>
      </c>
      <c r="B373" s="1">
        <v>45665</v>
      </c>
      <c r="C373" t="s">
        <v>278</v>
      </c>
      <c r="D373" t="s">
        <v>46</v>
      </c>
      <c r="E373" t="s">
        <v>198</v>
      </c>
      <c r="F373" t="s">
        <v>28</v>
      </c>
      <c r="G373">
        <v>2</v>
      </c>
      <c r="H373">
        <v>2089.06</v>
      </c>
      <c r="I373">
        <v>10</v>
      </c>
      <c r="J373">
        <v>1263.0999999999999</v>
      </c>
      <c r="K373" t="s">
        <v>24</v>
      </c>
      <c r="L373" t="s">
        <v>37</v>
      </c>
      <c r="M373">
        <f t="shared" si="25"/>
        <v>3760.308</v>
      </c>
      <c r="N373">
        <f t="shared" si="26"/>
        <v>1234.1080000000002</v>
      </c>
      <c r="O373" t="str">
        <f t="shared" si="27"/>
        <v>Wednesday</v>
      </c>
      <c r="P373" t="b">
        <f t="shared" si="28"/>
        <v>0</v>
      </c>
      <c r="Q373" t="str">
        <f t="shared" si="29"/>
        <v>January</v>
      </c>
    </row>
    <row r="374" spans="1:17" x14ac:dyDescent="0.4">
      <c r="A374" t="s">
        <v>664</v>
      </c>
      <c r="B374" s="1">
        <v>45868</v>
      </c>
      <c r="C374" t="s">
        <v>302</v>
      </c>
      <c r="D374" t="s">
        <v>31</v>
      </c>
      <c r="E374" t="s">
        <v>665</v>
      </c>
      <c r="F374" t="s">
        <v>16</v>
      </c>
      <c r="G374">
        <v>1</v>
      </c>
      <c r="H374">
        <v>1180.97</v>
      </c>
      <c r="I374">
        <v>10</v>
      </c>
      <c r="J374">
        <v>634.26</v>
      </c>
      <c r="K374" t="s">
        <v>24</v>
      </c>
      <c r="L374" t="s">
        <v>37</v>
      </c>
      <c r="M374">
        <f t="shared" si="25"/>
        <v>1062.873</v>
      </c>
      <c r="N374">
        <f t="shared" si="26"/>
        <v>428.61300000000006</v>
      </c>
      <c r="O374" t="str">
        <f t="shared" si="27"/>
        <v>Wednesday</v>
      </c>
      <c r="P374" t="b">
        <f t="shared" si="28"/>
        <v>0</v>
      </c>
      <c r="Q374" t="str">
        <f t="shared" si="29"/>
        <v>July</v>
      </c>
    </row>
    <row r="375" spans="1:17" x14ac:dyDescent="0.4">
      <c r="A375" t="s">
        <v>666</v>
      </c>
      <c r="B375" s="1">
        <v>45539</v>
      </c>
      <c r="C375" t="s">
        <v>149</v>
      </c>
      <c r="D375" t="s">
        <v>14</v>
      </c>
      <c r="E375" t="s">
        <v>667</v>
      </c>
      <c r="F375" t="s">
        <v>28</v>
      </c>
      <c r="G375">
        <v>3</v>
      </c>
      <c r="H375">
        <v>2112.1999999999998</v>
      </c>
      <c r="I375">
        <v>25</v>
      </c>
      <c r="J375">
        <v>1062.03</v>
      </c>
      <c r="K375" t="s">
        <v>17</v>
      </c>
      <c r="L375" t="s">
        <v>18</v>
      </c>
      <c r="M375">
        <f t="shared" si="25"/>
        <v>4752.45</v>
      </c>
      <c r="N375">
        <f t="shared" si="26"/>
        <v>1566.3599999999997</v>
      </c>
      <c r="O375" t="str">
        <f t="shared" si="27"/>
        <v>Wednesday</v>
      </c>
      <c r="P375" t="b">
        <f t="shared" si="28"/>
        <v>0</v>
      </c>
      <c r="Q375" t="str">
        <f t="shared" si="29"/>
        <v>September</v>
      </c>
    </row>
    <row r="376" spans="1:17" x14ac:dyDescent="0.4">
      <c r="A376" t="s">
        <v>668</v>
      </c>
      <c r="B376" s="1">
        <v>45400</v>
      </c>
      <c r="C376" t="s">
        <v>51</v>
      </c>
      <c r="D376" t="s">
        <v>46</v>
      </c>
      <c r="E376" t="s">
        <v>354</v>
      </c>
      <c r="F376" t="s">
        <v>23</v>
      </c>
      <c r="G376">
        <v>5</v>
      </c>
      <c r="H376">
        <v>2297.54</v>
      </c>
      <c r="I376">
        <v>15</v>
      </c>
      <c r="J376">
        <v>1364.81</v>
      </c>
      <c r="K376" t="s">
        <v>17</v>
      </c>
      <c r="L376" t="s">
        <v>18</v>
      </c>
      <c r="M376">
        <f t="shared" si="25"/>
        <v>9764.5450000000001</v>
      </c>
      <c r="N376">
        <f t="shared" si="26"/>
        <v>2940.4950000000008</v>
      </c>
      <c r="O376" t="str">
        <f t="shared" si="27"/>
        <v>Thursday</v>
      </c>
      <c r="P376" t="b">
        <f t="shared" si="28"/>
        <v>0</v>
      </c>
      <c r="Q376" t="str">
        <f t="shared" si="29"/>
        <v>April</v>
      </c>
    </row>
    <row r="377" spans="1:17" x14ac:dyDescent="0.4">
      <c r="A377" t="s">
        <v>669</v>
      </c>
      <c r="B377" s="1">
        <v>45851</v>
      </c>
      <c r="C377" t="s">
        <v>65</v>
      </c>
      <c r="D377" t="s">
        <v>21</v>
      </c>
      <c r="E377" t="s">
        <v>670</v>
      </c>
      <c r="F377" t="s">
        <v>23</v>
      </c>
      <c r="G377">
        <v>4</v>
      </c>
      <c r="H377">
        <v>1467.82</v>
      </c>
      <c r="I377">
        <v>10</v>
      </c>
      <c r="J377">
        <v>964.22</v>
      </c>
      <c r="K377" t="s">
        <v>17</v>
      </c>
      <c r="L377" t="s">
        <v>18</v>
      </c>
      <c r="M377">
        <f t="shared" si="25"/>
        <v>5284.152</v>
      </c>
      <c r="N377">
        <f t="shared" si="26"/>
        <v>1427.2719999999999</v>
      </c>
      <c r="O377" t="str">
        <f t="shared" si="27"/>
        <v>Sunday</v>
      </c>
      <c r="P377" t="b">
        <f t="shared" si="28"/>
        <v>1</v>
      </c>
      <c r="Q377" t="str">
        <f t="shared" si="29"/>
        <v>July</v>
      </c>
    </row>
    <row r="378" spans="1:17" x14ac:dyDescent="0.4">
      <c r="A378" t="s">
        <v>671</v>
      </c>
      <c r="B378" s="1">
        <v>45884</v>
      </c>
      <c r="C378" t="s">
        <v>174</v>
      </c>
      <c r="D378" t="s">
        <v>46</v>
      </c>
      <c r="E378" t="s">
        <v>419</v>
      </c>
      <c r="F378" t="s">
        <v>16</v>
      </c>
      <c r="G378">
        <v>1</v>
      </c>
      <c r="H378">
        <v>2378.5100000000002</v>
      </c>
      <c r="I378">
        <v>25</v>
      </c>
      <c r="J378">
        <v>1136.07</v>
      </c>
      <c r="K378" t="s">
        <v>24</v>
      </c>
      <c r="L378" t="s">
        <v>33</v>
      </c>
      <c r="M378">
        <f t="shared" si="25"/>
        <v>1783.8825000000002</v>
      </c>
      <c r="N378">
        <f t="shared" si="26"/>
        <v>647.81250000000023</v>
      </c>
      <c r="O378" t="str">
        <f t="shared" si="27"/>
        <v>Friday</v>
      </c>
      <c r="P378" t="b">
        <f t="shared" si="28"/>
        <v>0</v>
      </c>
      <c r="Q378" t="str">
        <f t="shared" si="29"/>
        <v>August</v>
      </c>
    </row>
    <row r="379" spans="1:17" x14ac:dyDescent="0.4">
      <c r="A379" t="s">
        <v>672</v>
      </c>
      <c r="B379" s="1">
        <v>45551</v>
      </c>
      <c r="C379" t="s">
        <v>35</v>
      </c>
      <c r="D379" t="s">
        <v>14</v>
      </c>
      <c r="E379" t="s">
        <v>673</v>
      </c>
      <c r="F379" t="s">
        <v>28</v>
      </c>
      <c r="G379">
        <v>4</v>
      </c>
      <c r="H379">
        <v>2300.81</v>
      </c>
      <c r="I379">
        <v>30</v>
      </c>
      <c r="J379">
        <v>1264.74</v>
      </c>
      <c r="K379" t="s">
        <v>24</v>
      </c>
      <c r="L379" t="s">
        <v>37</v>
      </c>
      <c r="M379">
        <f t="shared" si="25"/>
        <v>6442.2679999999991</v>
      </c>
      <c r="N379">
        <f t="shared" si="26"/>
        <v>1383.3079999999991</v>
      </c>
      <c r="O379" t="str">
        <f t="shared" si="27"/>
        <v>Monday</v>
      </c>
      <c r="P379" t="b">
        <f t="shared" si="28"/>
        <v>0</v>
      </c>
      <c r="Q379" t="str">
        <f t="shared" si="29"/>
        <v>September</v>
      </c>
    </row>
    <row r="380" spans="1:17" x14ac:dyDescent="0.4">
      <c r="A380" t="s">
        <v>674</v>
      </c>
      <c r="B380" s="1">
        <v>45822</v>
      </c>
      <c r="C380" t="s">
        <v>45</v>
      </c>
      <c r="D380" t="s">
        <v>14</v>
      </c>
      <c r="E380" t="s">
        <v>521</v>
      </c>
      <c r="F380" t="s">
        <v>16</v>
      </c>
      <c r="G380">
        <v>3</v>
      </c>
      <c r="H380">
        <v>970.63</v>
      </c>
      <c r="I380">
        <v>30</v>
      </c>
      <c r="J380">
        <v>645.28</v>
      </c>
      <c r="K380" t="s">
        <v>24</v>
      </c>
      <c r="L380" t="s">
        <v>18</v>
      </c>
      <c r="M380">
        <f t="shared" si="25"/>
        <v>2038.3229999999999</v>
      </c>
      <c r="N380">
        <f t="shared" si="26"/>
        <v>102.48299999999995</v>
      </c>
      <c r="O380" t="str">
        <f t="shared" si="27"/>
        <v>Saturday</v>
      </c>
      <c r="P380" t="b">
        <f t="shared" si="28"/>
        <v>1</v>
      </c>
      <c r="Q380" t="str">
        <f t="shared" si="29"/>
        <v>June</v>
      </c>
    </row>
    <row r="381" spans="1:17" x14ac:dyDescent="0.4">
      <c r="A381" t="s">
        <v>675</v>
      </c>
      <c r="B381" s="1">
        <v>45894</v>
      </c>
      <c r="C381" t="s">
        <v>109</v>
      </c>
      <c r="D381" t="s">
        <v>21</v>
      </c>
      <c r="E381" t="s">
        <v>591</v>
      </c>
      <c r="F381" t="s">
        <v>23</v>
      </c>
      <c r="G381">
        <v>2</v>
      </c>
      <c r="H381">
        <v>1885.8</v>
      </c>
      <c r="I381">
        <v>30</v>
      </c>
      <c r="J381">
        <v>990.74</v>
      </c>
      <c r="K381" t="s">
        <v>17</v>
      </c>
      <c r="L381" t="s">
        <v>18</v>
      </c>
      <c r="M381">
        <f t="shared" si="25"/>
        <v>2640.12</v>
      </c>
      <c r="N381">
        <f t="shared" si="26"/>
        <v>658.63999999999987</v>
      </c>
      <c r="O381" t="str">
        <f t="shared" si="27"/>
        <v>Monday</v>
      </c>
      <c r="P381" t="b">
        <f t="shared" si="28"/>
        <v>0</v>
      </c>
      <c r="Q381" t="str">
        <f t="shared" si="29"/>
        <v>August</v>
      </c>
    </row>
    <row r="382" spans="1:17" x14ac:dyDescent="0.4">
      <c r="A382" t="s">
        <v>676</v>
      </c>
      <c r="B382" s="1">
        <v>45357</v>
      </c>
      <c r="C382" t="s">
        <v>62</v>
      </c>
      <c r="D382" t="s">
        <v>46</v>
      </c>
      <c r="E382" t="s">
        <v>322</v>
      </c>
      <c r="F382" t="s">
        <v>23</v>
      </c>
      <c r="G382">
        <v>4</v>
      </c>
      <c r="H382">
        <v>768.22</v>
      </c>
      <c r="I382">
        <v>20</v>
      </c>
      <c r="J382">
        <v>374.17</v>
      </c>
      <c r="K382" t="s">
        <v>24</v>
      </c>
      <c r="L382" t="s">
        <v>18</v>
      </c>
      <c r="M382">
        <f t="shared" si="25"/>
        <v>2458.3040000000001</v>
      </c>
      <c r="N382">
        <f t="shared" si="26"/>
        <v>961.62400000000002</v>
      </c>
      <c r="O382" t="str">
        <f t="shared" si="27"/>
        <v>Wednesday</v>
      </c>
      <c r="P382" t="b">
        <f t="shared" si="28"/>
        <v>0</v>
      </c>
      <c r="Q382" t="str">
        <f t="shared" si="29"/>
        <v>March</v>
      </c>
    </row>
    <row r="383" spans="1:17" x14ac:dyDescent="0.4">
      <c r="A383" t="s">
        <v>677</v>
      </c>
      <c r="B383" s="1">
        <v>45830</v>
      </c>
      <c r="C383" t="s">
        <v>190</v>
      </c>
      <c r="D383" t="s">
        <v>21</v>
      </c>
      <c r="E383" t="s">
        <v>336</v>
      </c>
      <c r="F383" t="s">
        <v>28</v>
      </c>
      <c r="G383">
        <v>2</v>
      </c>
      <c r="H383">
        <v>2614.9899999999998</v>
      </c>
      <c r="I383">
        <v>25</v>
      </c>
      <c r="J383">
        <v>1223.5899999999999</v>
      </c>
      <c r="K383" t="s">
        <v>24</v>
      </c>
      <c r="L383" t="s">
        <v>33</v>
      </c>
      <c r="M383">
        <f t="shared" si="25"/>
        <v>3922.4849999999997</v>
      </c>
      <c r="N383">
        <f t="shared" si="26"/>
        <v>1475.3049999999998</v>
      </c>
      <c r="O383" t="str">
        <f t="shared" si="27"/>
        <v>Sunday</v>
      </c>
      <c r="P383" t="b">
        <f t="shared" si="28"/>
        <v>1</v>
      </c>
      <c r="Q383" t="str">
        <f t="shared" si="29"/>
        <v>June</v>
      </c>
    </row>
    <row r="384" spans="1:17" x14ac:dyDescent="0.4">
      <c r="A384" t="s">
        <v>678</v>
      </c>
      <c r="B384" s="1">
        <v>45986</v>
      </c>
      <c r="C384" t="s">
        <v>193</v>
      </c>
      <c r="D384" t="s">
        <v>21</v>
      </c>
      <c r="E384" t="s">
        <v>496</v>
      </c>
      <c r="F384" t="s">
        <v>16</v>
      </c>
      <c r="G384">
        <v>2</v>
      </c>
      <c r="H384">
        <v>716.34</v>
      </c>
      <c r="I384">
        <v>10</v>
      </c>
      <c r="J384">
        <v>359.33</v>
      </c>
      <c r="K384" t="s">
        <v>24</v>
      </c>
      <c r="L384" t="s">
        <v>37</v>
      </c>
      <c r="M384">
        <f t="shared" si="25"/>
        <v>1289.412</v>
      </c>
      <c r="N384">
        <f t="shared" si="26"/>
        <v>570.75200000000007</v>
      </c>
      <c r="O384" t="str">
        <f t="shared" si="27"/>
        <v>Tuesday</v>
      </c>
      <c r="P384" t="b">
        <f t="shared" si="28"/>
        <v>0</v>
      </c>
      <c r="Q384" t="str">
        <f t="shared" si="29"/>
        <v>November</v>
      </c>
    </row>
    <row r="385" spans="1:17" x14ac:dyDescent="0.4">
      <c r="A385" t="s">
        <v>679</v>
      </c>
      <c r="B385" s="1">
        <v>45386</v>
      </c>
      <c r="C385" t="s">
        <v>278</v>
      </c>
      <c r="D385" t="s">
        <v>21</v>
      </c>
      <c r="E385" t="s">
        <v>680</v>
      </c>
      <c r="F385" t="s">
        <v>23</v>
      </c>
      <c r="G385">
        <v>5</v>
      </c>
      <c r="H385">
        <v>583.41</v>
      </c>
      <c r="I385">
        <v>30</v>
      </c>
      <c r="J385">
        <v>274.47000000000003</v>
      </c>
      <c r="K385" t="s">
        <v>24</v>
      </c>
      <c r="L385" t="s">
        <v>18</v>
      </c>
      <c r="M385">
        <f t="shared" si="25"/>
        <v>2041.9349999999997</v>
      </c>
      <c r="N385">
        <f t="shared" si="26"/>
        <v>669.58499999999958</v>
      </c>
      <c r="O385" t="str">
        <f t="shared" si="27"/>
        <v>Thursday</v>
      </c>
      <c r="P385" t="b">
        <f t="shared" si="28"/>
        <v>0</v>
      </c>
      <c r="Q385" t="str">
        <f t="shared" si="29"/>
        <v>April</v>
      </c>
    </row>
    <row r="386" spans="1:17" x14ac:dyDescent="0.4">
      <c r="A386" t="s">
        <v>681</v>
      </c>
      <c r="B386" s="1">
        <v>45394</v>
      </c>
      <c r="C386" t="s">
        <v>253</v>
      </c>
      <c r="D386" t="s">
        <v>14</v>
      </c>
      <c r="E386" t="s">
        <v>254</v>
      </c>
      <c r="F386" t="s">
        <v>23</v>
      </c>
      <c r="G386">
        <v>4</v>
      </c>
      <c r="H386">
        <v>435.28</v>
      </c>
      <c r="I386">
        <v>30</v>
      </c>
      <c r="J386">
        <v>179.33</v>
      </c>
      <c r="K386" t="s">
        <v>24</v>
      </c>
      <c r="L386" t="s">
        <v>37</v>
      </c>
      <c r="M386">
        <f t="shared" si="25"/>
        <v>1218.7839999999999</v>
      </c>
      <c r="N386">
        <f t="shared" si="26"/>
        <v>501.46399999999983</v>
      </c>
      <c r="O386" t="str">
        <f t="shared" si="27"/>
        <v>Friday</v>
      </c>
      <c r="P386" t="b">
        <f t="shared" si="28"/>
        <v>0</v>
      </c>
      <c r="Q386" t="str">
        <f t="shared" si="29"/>
        <v>April</v>
      </c>
    </row>
    <row r="387" spans="1:17" x14ac:dyDescent="0.4">
      <c r="A387" t="s">
        <v>682</v>
      </c>
      <c r="B387" s="1">
        <v>45302</v>
      </c>
      <c r="C387" t="s">
        <v>267</v>
      </c>
      <c r="D387" t="s">
        <v>31</v>
      </c>
      <c r="E387" t="s">
        <v>175</v>
      </c>
      <c r="F387" t="s">
        <v>16</v>
      </c>
      <c r="G387">
        <v>3</v>
      </c>
      <c r="H387">
        <v>780.61</v>
      </c>
      <c r="I387">
        <v>30</v>
      </c>
      <c r="J387">
        <v>482.22</v>
      </c>
      <c r="K387" t="s">
        <v>17</v>
      </c>
      <c r="L387" t="s">
        <v>37</v>
      </c>
      <c r="M387">
        <f t="shared" ref="M387:M450" si="30">G387 * H387 * (1 - I387/100)</f>
        <v>1639.2809999999999</v>
      </c>
      <c r="N387">
        <f t="shared" ref="N387:N450" si="31">M387 - (J387 * G387)</f>
        <v>192.62099999999987</v>
      </c>
      <c r="O387" t="str">
        <f t="shared" ref="O387:O450" si="32">TEXT(B387,"dddd")</f>
        <v>Thursday</v>
      </c>
      <c r="P387" t="b">
        <f t="shared" ref="P387:P450" si="33">OR(TEXT(B387,"ddd")="Sat", TEXT(B387,"ddd")="Sun")</f>
        <v>0</v>
      </c>
      <c r="Q387" t="str">
        <f t="shared" ref="Q387:Q450" si="34">TEXT(B387,"mmmm")</f>
        <v>January</v>
      </c>
    </row>
    <row r="388" spans="1:17" x14ac:dyDescent="0.4">
      <c r="A388" t="s">
        <v>683</v>
      </c>
      <c r="B388" s="1">
        <v>45683</v>
      </c>
      <c r="C388" t="s">
        <v>51</v>
      </c>
      <c r="D388" t="s">
        <v>31</v>
      </c>
      <c r="E388" t="s">
        <v>667</v>
      </c>
      <c r="F388" t="s">
        <v>23</v>
      </c>
      <c r="G388">
        <v>4</v>
      </c>
      <c r="H388">
        <v>1919.57</v>
      </c>
      <c r="I388">
        <v>0</v>
      </c>
      <c r="J388">
        <v>1017.06</v>
      </c>
      <c r="K388" t="s">
        <v>24</v>
      </c>
      <c r="L388" t="s">
        <v>37</v>
      </c>
      <c r="M388">
        <f t="shared" si="30"/>
        <v>7678.28</v>
      </c>
      <c r="N388">
        <f t="shared" si="31"/>
        <v>3610.04</v>
      </c>
      <c r="O388" t="str">
        <f t="shared" si="32"/>
        <v>Sunday</v>
      </c>
      <c r="P388" t="b">
        <f t="shared" si="33"/>
        <v>1</v>
      </c>
      <c r="Q388" t="str">
        <f t="shared" si="34"/>
        <v>January</v>
      </c>
    </row>
    <row r="389" spans="1:17" x14ac:dyDescent="0.4">
      <c r="A389" t="s">
        <v>684</v>
      </c>
      <c r="B389" s="1">
        <v>45359</v>
      </c>
      <c r="C389" t="s">
        <v>286</v>
      </c>
      <c r="D389" t="s">
        <v>14</v>
      </c>
      <c r="E389" t="s">
        <v>528</v>
      </c>
      <c r="F389" t="s">
        <v>16</v>
      </c>
      <c r="G389">
        <v>5</v>
      </c>
      <c r="H389">
        <v>2297.9899999999998</v>
      </c>
      <c r="I389">
        <v>15</v>
      </c>
      <c r="J389">
        <v>1426.91</v>
      </c>
      <c r="K389" t="s">
        <v>17</v>
      </c>
      <c r="L389" t="s">
        <v>33</v>
      </c>
      <c r="M389">
        <f t="shared" si="30"/>
        <v>9766.4574999999986</v>
      </c>
      <c r="N389">
        <f t="shared" si="31"/>
        <v>2631.9074999999984</v>
      </c>
      <c r="O389" t="str">
        <f t="shared" si="32"/>
        <v>Friday</v>
      </c>
      <c r="P389" t="b">
        <f t="shared" si="33"/>
        <v>0</v>
      </c>
      <c r="Q389" t="str">
        <f t="shared" si="34"/>
        <v>March</v>
      </c>
    </row>
    <row r="390" spans="1:17" x14ac:dyDescent="0.4">
      <c r="A390" t="s">
        <v>685</v>
      </c>
      <c r="B390" s="1">
        <v>45554</v>
      </c>
      <c r="C390" t="s">
        <v>54</v>
      </c>
      <c r="D390" t="s">
        <v>46</v>
      </c>
      <c r="E390" t="s">
        <v>686</v>
      </c>
      <c r="F390" t="s">
        <v>16</v>
      </c>
      <c r="G390">
        <v>1</v>
      </c>
      <c r="H390">
        <v>2347.5100000000002</v>
      </c>
      <c r="I390">
        <v>0</v>
      </c>
      <c r="J390">
        <v>1327.92</v>
      </c>
      <c r="K390" t="s">
        <v>17</v>
      </c>
      <c r="L390" t="s">
        <v>33</v>
      </c>
      <c r="M390">
        <f t="shared" si="30"/>
        <v>2347.5100000000002</v>
      </c>
      <c r="N390">
        <f t="shared" si="31"/>
        <v>1019.5900000000001</v>
      </c>
      <c r="O390" t="str">
        <f t="shared" si="32"/>
        <v>Thursday</v>
      </c>
      <c r="P390" t="b">
        <f t="shared" si="33"/>
        <v>0</v>
      </c>
      <c r="Q390" t="str">
        <f t="shared" si="34"/>
        <v>September</v>
      </c>
    </row>
    <row r="391" spans="1:17" x14ac:dyDescent="0.4">
      <c r="A391" t="s">
        <v>687</v>
      </c>
      <c r="B391" s="1">
        <v>45826</v>
      </c>
      <c r="C391" t="s">
        <v>205</v>
      </c>
      <c r="D391" t="s">
        <v>21</v>
      </c>
      <c r="E391" t="s">
        <v>72</v>
      </c>
      <c r="F391" t="s">
        <v>28</v>
      </c>
      <c r="G391">
        <v>2</v>
      </c>
      <c r="H391">
        <v>534.84</v>
      </c>
      <c r="I391">
        <v>15</v>
      </c>
      <c r="J391">
        <v>230.64</v>
      </c>
      <c r="K391" t="s">
        <v>24</v>
      </c>
      <c r="L391" t="s">
        <v>37</v>
      </c>
      <c r="M391">
        <f t="shared" si="30"/>
        <v>909.22800000000007</v>
      </c>
      <c r="N391">
        <f t="shared" si="31"/>
        <v>447.94800000000009</v>
      </c>
      <c r="O391" t="str">
        <f t="shared" si="32"/>
        <v>Wednesday</v>
      </c>
      <c r="P391" t="b">
        <f t="shared" si="33"/>
        <v>0</v>
      </c>
      <c r="Q391" t="str">
        <f t="shared" si="34"/>
        <v>June</v>
      </c>
    </row>
    <row r="392" spans="1:17" x14ac:dyDescent="0.4">
      <c r="A392" t="s">
        <v>688</v>
      </c>
      <c r="B392" s="1">
        <v>45849</v>
      </c>
      <c r="C392" t="s">
        <v>193</v>
      </c>
      <c r="D392" t="s">
        <v>31</v>
      </c>
      <c r="E392" t="s">
        <v>390</v>
      </c>
      <c r="F392" t="s">
        <v>28</v>
      </c>
      <c r="G392">
        <v>4</v>
      </c>
      <c r="H392">
        <v>1735</v>
      </c>
      <c r="I392">
        <v>25</v>
      </c>
      <c r="J392">
        <v>1169.6600000000001</v>
      </c>
      <c r="K392" t="s">
        <v>17</v>
      </c>
      <c r="L392" t="s">
        <v>37</v>
      </c>
      <c r="M392">
        <f t="shared" si="30"/>
        <v>5205</v>
      </c>
      <c r="N392">
        <f t="shared" si="31"/>
        <v>526.35999999999967</v>
      </c>
      <c r="O392" t="str">
        <f t="shared" si="32"/>
        <v>Friday</v>
      </c>
      <c r="P392" t="b">
        <f t="shared" si="33"/>
        <v>0</v>
      </c>
      <c r="Q392" t="str">
        <f t="shared" si="34"/>
        <v>July</v>
      </c>
    </row>
    <row r="393" spans="1:17" x14ac:dyDescent="0.4">
      <c r="A393" t="s">
        <v>689</v>
      </c>
      <c r="B393" s="1">
        <v>45388</v>
      </c>
      <c r="C393" t="s">
        <v>20</v>
      </c>
      <c r="D393" t="s">
        <v>31</v>
      </c>
      <c r="E393" t="s">
        <v>690</v>
      </c>
      <c r="F393" t="s">
        <v>23</v>
      </c>
      <c r="G393">
        <v>1</v>
      </c>
      <c r="H393">
        <v>906.02</v>
      </c>
      <c r="I393">
        <v>30</v>
      </c>
      <c r="J393">
        <v>535.19000000000005</v>
      </c>
      <c r="K393" t="s">
        <v>17</v>
      </c>
      <c r="L393" t="s">
        <v>33</v>
      </c>
      <c r="M393">
        <f t="shared" si="30"/>
        <v>634.21399999999994</v>
      </c>
      <c r="N393">
        <f t="shared" si="31"/>
        <v>99.023999999999887</v>
      </c>
      <c r="O393" t="str">
        <f t="shared" si="32"/>
        <v>Saturday</v>
      </c>
      <c r="P393" t="b">
        <f t="shared" si="33"/>
        <v>1</v>
      </c>
      <c r="Q393" t="str">
        <f t="shared" si="34"/>
        <v>April</v>
      </c>
    </row>
    <row r="394" spans="1:17" x14ac:dyDescent="0.4">
      <c r="A394" t="s">
        <v>691</v>
      </c>
      <c r="B394" s="1">
        <v>45812</v>
      </c>
      <c r="C394" t="s">
        <v>159</v>
      </c>
      <c r="D394" t="s">
        <v>31</v>
      </c>
      <c r="E394" t="s">
        <v>78</v>
      </c>
      <c r="F394" t="s">
        <v>16</v>
      </c>
      <c r="G394">
        <v>1</v>
      </c>
      <c r="H394">
        <v>1084.47</v>
      </c>
      <c r="I394">
        <v>10</v>
      </c>
      <c r="J394">
        <v>436.24</v>
      </c>
      <c r="K394" t="s">
        <v>24</v>
      </c>
      <c r="L394" t="s">
        <v>33</v>
      </c>
      <c r="M394">
        <f t="shared" si="30"/>
        <v>976.02300000000002</v>
      </c>
      <c r="N394">
        <f t="shared" si="31"/>
        <v>539.78300000000002</v>
      </c>
      <c r="O394" t="str">
        <f t="shared" si="32"/>
        <v>Wednesday</v>
      </c>
      <c r="P394" t="b">
        <f t="shared" si="33"/>
        <v>0</v>
      </c>
      <c r="Q394" t="str">
        <f t="shared" si="34"/>
        <v>June</v>
      </c>
    </row>
    <row r="395" spans="1:17" x14ac:dyDescent="0.4">
      <c r="A395" t="s">
        <v>692</v>
      </c>
      <c r="B395" s="1">
        <v>45847</v>
      </c>
      <c r="C395" t="s">
        <v>39</v>
      </c>
      <c r="D395" t="s">
        <v>31</v>
      </c>
      <c r="E395" t="s">
        <v>693</v>
      </c>
      <c r="F395" t="s">
        <v>28</v>
      </c>
      <c r="G395">
        <v>3</v>
      </c>
      <c r="H395">
        <v>1977.7</v>
      </c>
      <c r="I395">
        <v>30</v>
      </c>
      <c r="J395">
        <v>978.33</v>
      </c>
      <c r="K395" t="s">
        <v>17</v>
      </c>
      <c r="L395" t="s">
        <v>18</v>
      </c>
      <c r="M395">
        <f t="shared" si="30"/>
        <v>4153.17</v>
      </c>
      <c r="N395">
        <f t="shared" si="31"/>
        <v>1218.1799999999998</v>
      </c>
      <c r="O395" t="str">
        <f t="shared" si="32"/>
        <v>Wednesday</v>
      </c>
      <c r="P395" t="b">
        <f t="shared" si="33"/>
        <v>0</v>
      </c>
      <c r="Q395" t="str">
        <f t="shared" si="34"/>
        <v>July</v>
      </c>
    </row>
    <row r="396" spans="1:17" x14ac:dyDescent="0.4">
      <c r="A396" t="s">
        <v>694</v>
      </c>
      <c r="B396" s="1">
        <v>45327</v>
      </c>
      <c r="C396" t="s">
        <v>273</v>
      </c>
      <c r="D396" t="s">
        <v>31</v>
      </c>
      <c r="E396" t="s">
        <v>294</v>
      </c>
      <c r="F396" t="s">
        <v>28</v>
      </c>
      <c r="G396">
        <v>1</v>
      </c>
      <c r="H396">
        <v>662.84</v>
      </c>
      <c r="I396">
        <v>25</v>
      </c>
      <c r="J396">
        <v>423.14</v>
      </c>
      <c r="K396" t="s">
        <v>24</v>
      </c>
      <c r="L396" t="s">
        <v>33</v>
      </c>
      <c r="M396">
        <f t="shared" si="30"/>
        <v>497.13</v>
      </c>
      <c r="N396">
        <f t="shared" si="31"/>
        <v>73.990000000000009</v>
      </c>
      <c r="O396" t="str">
        <f t="shared" si="32"/>
        <v>Monday</v>
      </c>
      <c r="P396" t="b">
        <f t="shared" si="33"/>
        <v>0</v>
      </c>
      <c r="Q396" t="str">
        <f t="shared" si="34"/>
        <v>February</v>
      </c>
    </row>
    <row r="397" spans="1:17" x14ac:dyDescent="0.4">
      <c r="A397" t="s">
        <v>695</v>
      </c>
      <c r="B397" s="1">
        <v>45407</v>
      </c>
      <c r="C397" t="s">
        <v>457</v>
      </c>
      <c r="D397" t="s">
        <v>14</v>
      </c>
      <c r="E397" t="s">
        <v>105</v>
      </c>
      <c r="F397" t="s">
        <v>16</v>
      </c>
      <c r="G397">
        <v>1</v>
      </c>
      <c r="H397">
        <v>1198.6400000000001</v>
      </c>
      <c r="I397">
        <v>0</v>
      </c>
      <c r="J397">
        <v>795.47</v>
      </c>
      <c r="K397" t="s">
        <v>24</v>
      </c>
      <c r="L397" t="s">
        <v>33</v>
      </c>
      <c r="M397">
        <f t="shared" si="30"/>
        <v>1198.6400000000001</v>
      </c>
      <c r="N397">
        <f t="shared" si="31"/>
        <v>403.17000000000007</v>
      </c>
      <c r="O397" t="str">
        <f t="shared" si="32"/>
        <v>Thursday</v>
      </c>
      <c r="P397" t="b">
        <f t="shared" si="33"/>
        <v>0</v>
      </c>
      <c r="Q397" t="str">
        <f t="shared" si="34"/>
        <v>April</v>
      </c>
    </row>
    <row r="398" spans="1:17" x14ac:dyDescent="0.4">
      <c r="A398" t="s">
        <v>696</v>
      </c>
      <c r="B398" s="1">
        <v>45586</v>
      </c>
      <c r="C398" t="s">
        <v>205</v>
      </c>
      <c r="D398" t="s">
        <v>31</v>
      </c>
      <c r="E398" t="s">
        <v>379</v>
      </c>
      <c r="F398" t="s">
        <v>23</v>
      </c>
      <c r="G398">
        <v>4</v>
      </c>
      <c r="H398">
        <v>887.43</v>
      </c>
      <c r="I398">
        <v>0</v>
      </c>
      <c r="J398">
        <v>434.1</v>
      </c>
      <c r="K398" t="s">
        <v>17</v>
      </c>
      <c r="L398" t="s">
        <v>33</v>
      </c>
      <c r="M398">
        <f t="shared" si="30"/>
        <v>3549.72</v>
      </c>
      <c r="N398">
        <f t="shared" si="31"/>
        <v>1813.3199999999997</v>
      </c>
      <c r="O398" t="str">
        <f t="shared" si="32"/>
        <v>Monday</v>
      </c>
      <c r="P398" t="b">
        <f t="shared" si="33"/>
        <v>0</v>
      </c>
      <c r="Q398" t="str">
        <f t="shared" si="34"/>
        <v>October</v>
      </c>
    </row>
    <row r="399" spans="1:17" x14ac:dyDescent="0.4">
      <c r="A399" t="s">
        <v>697</v>
      </c>
      <c r="B399" s="1">
        <v>45546</v>
      </c>
      <c r="C399" t="s">
        <v>273</v>
      </c>
      <c r="D399" t="s">
        <v>31</v>
      </c>
      <c r="E399" t="s">
        <v>377</v>
      </c>
      <c r="F399" t="s">
        <v>28</v>
      </c>
      <c r="G399">
        <v>5</v>
      </c>
      <c r="H399">
        <v>2782.27</v>
      </c>
      <c r="I399">
        <v>10</v>
      </c>
      <c r="J399">
        <v>1470.83</v>
      </c>
      <c r="K399" t="s">
        <v>24</v>
      </c>
      <c r="L399" t="s">
        <v>18</v>
      </c>
      <c r="M399">
        <f t="shared" si="30"/>
        <v>12520.215</v>
      </c>
      <c r="N399">
        <f t="shared" si="31"/>
        <v>5166.0650000000005</v>
      </c>
      <c r="O399" t="str">
        <f t="shared" si="32"/>
        <v>Wednesday</v>
      </c>
      <c r="P399" t="b">
        <f t="shared" si="33"/>
        <v>0</v>
      </c>
      <c r="Q399" t="str">
        <f t="shared" si="34"/>
        <v>September</v>
      </c>
    </row>
    <row r="400" spans="1:17" x14ac:dyDescent="0.4">
      <c r="A400" t="s">
        <v>698</v>
      </c>
      <c r="B400" s="1">
        <v>45945</v>
      </c>
      <c r="C400" t="s">
        <v>119</v>
      </c>
      <c r="D400" t="s">
        <v>31</v>
      </c>
      <c r="E400" t="s">
        <v>637</v>
      </c>
      <c r="F400" t="s">
        <v>28</v>
      </c>
      <c r="G400">
        <v>5</v>
      </c>
      <c r="H400">
        <v>437.13</v>
      </c>
      <c r="I400">
        <v>10</v>
      </c>
      <c r="J400">
        <v>284.56</v>
      </c>
      <c r="K400" t="s">
        <v>17</v>
      </c>
      <c r="L400" t="s">
        <v>18</v>
      </c>
      <c r="M400">
        <f t="shared" si="30"/>
        <v>1967.085</v>
      </c>
      <c r="N400">
        <f t="shared" si="31"/>
        <v>544.28500000000008</v>
      </c>
      <c r="O400" t="str">
        <f t="shared" si="32"/>
        <v>Wednesday</v>
      </c>
      <c r="P400" t="b">
        <f t="shared" si="33"/>
        <v>0</v>
      </c>
      <c r="Q400" t="str">
        <f t="shared" si="34"/>
        <v>October</v>
      </c>
    </row>
    <row r="401" spans="1:17" x14ac:dyDescent="0.4">
      <c r="A401" t="s">
        <v>699</v>
      </c>
      <c r="B401" s="1">
        <v>45712</v>
      </c>
      <c r="C401" t="s">
        <v>54</v>
      </c>
      <c r="D401" t="s">
        <v>14</v>
      </c>
      <c r="E401" t="s">
        <v>36</v>
      </c>
      <c r="F401" t="s">
        <v>23</v>
      </c>
      <c r="G401">
        <v>2</v>
      </c>
      <c r="H401">
        <v>1592.43</v>
      </c>
      <c r="I401">
        <v>25</v>
      </c>
      <c r="J401">
        <v>698.47</v>
      </c>
      <c r="K401" t="s">
        <v>24</v>
      </c>
      <c r="L401" t="s">
        <v>18</v>
      </c>
      <c r="M401">
        <f t="shared" si="30"/>
        <v>2388.645</v>
      </c>
      <c r="N401">
        <f t="shared" si="31"/>
        <v>991.70499999999993</v>
      </c>
      <c r="O401" t="str">
        <f t="shared" si="32"/>
        <v>Monday</v>
      </c>
      <c r="P401" t="b">
        <f t="shared" si="33"/>
        <v>0</v>
      </c>
      <c r="Q401" t="str">
        <f t="shared" si="34"/>
        <v>February</v>
      </c>
    </row>
    <row r="402" spans="1:17" x14ac:dyDescent="0.4">
      <c r="A402" t="s">
        <v>700</v>
      </c>
      <c r="B402" s="1">
        <v>45860</v>
      </c>
      <c r="C402" t="s">
        <v>174</v>
      </c>
      <c r="D402" t="s">
        <v>46</v>
      </c>
      <c r="E402" t="s">
        <v>551</v>
      </c>
      <c r="F402" t="s">
        <v>23</v>
      </c>
      <c r="G402">
        <v>4</v>
      </c>
      <c r="H402">
        <v>781.37</v>
      </c>
      <c r="I402">
        <v>10</v>
      </c>
      <c r="J402">
        <v>407.24</v>
      </c>
      <c r="K402" t="s">
        <v>17</v>
      </c>
      <c r="L402" t="s">
        <v>37</v>
      </c>
      <c r="M402">
        <f t="shared" si="30"/>
        <v>2812.9320000000002</v>
      </c>
      <c r="N402">
        <f t="shared" si="31"/>
        <v>1183.9720000000002</v>
      </c>
      <c r="O402" t="str">
        <f t="shared" si="32"/>
        <v>Tuesday</v>
      </c>
      <c r="P402" t="b">
        <f t="shared" si="33"/>
        <v>0</v>
      </c>
      <c r="Q402" t="str">
        <f t="shared" si="34"/>
        <v>July</v>
      </c>
    </row>
    <row r="403" spans="1:17" x14ac:dyDescent="0.4">
      <c r="A403" t="s">
        <v>701</v>
      </c>
      <c r="B403" s="1">
        <v>45607</v>
      </c>
      <c r="C403" t="s">
        <v>39</v>
      </c>
      <c r="D403" t="s">
        <v>14</v>
      </c>
      <c r="E403" t="s">
        <v>563</v>
      </c>
      <c r="F403" t="s">
        <v>23</v>
      </c>
      <c r="G403">
        <v>3</v>
      </c>
      <c r="H403">
        <v>2332.34</v>
      </c>
      <c r="I403">
        <v>5</v>
      </c>
      <c r="J403">
        <v>970.43</v>
      </c>
      <c r="K403" t="s">
        <v>17</v>
      </c>
      <c r="L403" t="s">
        <v>37</v>
      </c>
      <c r="M403">
        <f t="shared" si="30"/>
        <v>6647.1689999999999</v>
      </c>
      <c r="N403">
        <f t="shared" si="31"/>
        <v>3735.8789999999999</v>
      </c>
      <c r="O403" t="str">
        <f t="shared" si="32"/>
        <v>Monday</v>
      </c>
      <c r="P403" t="b">
        <f t="shared" si="33"/>
        <v>0</v>
      </c>
      <c r="Q403" t="str">
        <f t="shared" si="34"/>
        <v>November</v>
      </c>
    </row>
    <row r="404" spans="1:17" x14ac:dyDescent="0.4">
      <c r="A404" t="s">
        <v>702</v>
      </c>
      <c r="B404" s="1">
        <v>45425</v>
      </c>
      <c r="C404" t="s">
        <v>278</v>
      </c>
      <c r="D404" t="s">
        <v>14</v>
      </c>
      <c r="E404" t="s">
        <v>703</v>
      </c>
      <c r="F404" t="s">
        <v>23</v>
      </c>
      <c r="G404">
        <v>2</v>
      </c>
      <c r="H404">
        <v>2932.09</v>
      </c>
      <c r="I404">
        <v>25</v>
      </c>
      <c r="J404">
        <v>1670.74</v>
      </c>
      <c r="K404" t="s">
        <v>17</v>
      </c>
      <c r="L404" t="s">
        <v>33</v>
      </c>
      <c r="M404">
        <f t="shared" si="30"/>
        <v>4398.1350000000002</v>
      </c>
      <c r="N404">
        <f t="shared" si="31"/>
        <v>1056.6550000000002</v>
      </c>
      <c r="O404" t="str">
        <f t="shared" si="32"/>
        <v>Monday</v>
      </c>
      <c r="P404" t="b">
        <f t="shared" si="33"/>
        <v>0</v>
      </c>
      <c r="Q404" t="str">
        <f t="shared" si="34"/>
        <v>May</v>
      </c>
    </row>
    <row r="405" spans="1:17" x14ac:dyDescent="0.4">
      <c r="A405" t="s">
        <v>704</v>
      </c>
      <c r="B405" s="1">
        <v>45965</v>
      </c>
      <c r="C405" t="s">
        <v>296</v>
      </c>
      <c r="D405" t="s">
        <v>31</v>
      </c>
      <c r="E405" t="s">
        <v>398</v>
      </c>
      <c r="F405" t="s">
        <v>23</v>
      </c>
      <c r="G405">
        <v>5</v>
      </c>
      <c r="H405">
        <v>1844.05</v>
      </c>
      <c r="I405">
        <v>5</v>
      </c>
      <c r="J405">
        <v>825.24</v>
      </c>
      <c r="K405" t="s">
        <v>17</v>
      </c>
      <c r="L405" t="s">
        <v>33</v>
      </c>
      <c r="M405">
        <f t="shared" si="30"/>
        <v>8759.2374999999993</v>
      </c>
      <c r="N405">
        <f t="shared" si="31"/>
        <v>4633.0374999999995</v>
      </c>
      <c r="O405" t="str">
        <f t="shared" si="32"/>
        <v>Tuesday</v>
      </c>
      <c r="P405" t="b">
        <f t="shared" si="33"/>
        <v>0</v>
      </c>
      <c r="Q405" t="str">
        <f t="shared" si="34"/>
        <v>November</v>
      </c>
    </row>
    <row r="406" spans="1:17" x14ac:dyDescent="0.4">
      <c r="A406" t="s">
        <v>705</v>
      </c>
      <c r="B406" s="1">
        <v>45522</v>
      </c>
      <c r="C406" t="s">
        <v>35</v>
      </c>
      <c r="D406" t="s">
        <v>46</v>
      </c>
      <c r="E406" t="s">
        <v>621</v>
      </c>
      <c r="F406" t="s">
        <v>28</v>
      </c>
      <c r="G406">
        <v>1</v>
      </c>
      <c r="H406">
        <v>587.04999999999995</v>
      </c>
      <c r="I406">
        <v>15</v>
      </c>
      <c r="J406">
        <v>371.38</v>
      </c>
      <c r="K406" t="s">
        <v>17</v>
      </c>
      <c r="L406" t="s">
        <v>37</v>
      </c>
      <c r="M406">
        <f t="shared" si="30"/>
        <v>498.99249999999995</v>
      </c>
      <c r="N406">
        <f t="shared" si="31"/>
        <v>127.61249999999995</v>
      </c>
      <c r="O406" t="str">
        <f t="shared" si="32"/>
        <v>Sunday</v>
      </c>
      <c r="P406" t="b">
        <f t="shared" si="33"/>
        <v>1</v>
      </c>
      <c r="Q406" t="str">
        <f t="shared" si="34"/>
        <v>August</v>
      </c>
    </row>
    <row r="407" spans="1:17" x14ac:dyDescent="0.4">
      <c r="A407" t="s">
        <v>706</v>
      </c>
      <c r="B407" s="1">
        <v>45693</v>
      </c>
      <c r="C407" t="s">
        <v>20</v>
      </c>
      <c r="D407" t="s">
        <v>21</v>
      </c>
      <c r="E407" t="s">
        <v>469</v>
      </c>
      <c r="F407" t="s">
        <v>23</v>
      </c>
      <c r="G407">
        <v>4</v>
      </c>
      <c r="H407">
        <v>2065.52</v>
      </c>
      <c r="I407">
        <v>25</v>
      </c>
      <c r="J407">
        <v>915.05</v>
      </c>
      <c r="K407" t="s">
        <v>24</v>
      </c>
      <c r="L407" t="s">
        <v>33</v>
      </c>
      <c r="M407">
        <f t="shared" si="30"/>
        <v>6196.5599999999995</v>
      </c>
      <c r="N407">
        <f t="shared" si="31"/>
        <v>2536.3599999999997</v>
      </c>
      <c r="O407" t="str">
        <f t="shared" si="32"/>
        <v>Wednesday</v>
      </c>
      <c r="P407" t="b">
        <f t="shared" si="33"/>
        <v>0</v>
      </c>
      <c r="Q407" t="str">
        <f t="shared" si="34"/>
        <v>February</v>
      </c>
    </row>
    <row r="408" spans="1:17" x14ac:dyDescent="0.4">
      <c r="A408" t="s">
        <v>707</v>
      </c>
      <c r="B408" s="1">
        <v>45485</v>
      </c>
      <c r="C408" t="s">
        <v>190</v>
      </c>
      <c r="D408" t="s">
        <v>46</v>
      </c>
      <c r="E408" t="s">
        <v>338</v>
      </c>
      <c r="F408" t="s">
        <v>23</v>
      </c>
      <c r="G408">
        <v>1</v>
      </c>
      <c r="H408">
        <v>2998.32</v>
      </c>
      <c r="I408">
        <v>30</v>
      </c>
      <c r="J408">
        <v>1631.19</v>
      </c>
      <c r="K408" t="s">
        <v>24</v>
      </c>
      <c r="L408" t="s">
        <v>33</v>
      </c>
      <c r="M408">
        <f t="shared" si="30"/>
        <v>2098.8240000000001</v>
      </c>
      <c r="N408">
        <f t="shared" si="31"/>
        <v>467.63400000000001</v>
      </c>
      <c r="O408" t="str">
        <f t="shared" si="32"/>
        <v>Friday</v>
      </c>
      <c r="P408" t="b">
        <f t="shared" si="33"/>
        <v>0</v>
      </c>
      <c r="Q408" t="str">
        <f t="shared" si="34"/>
        <v>July</v>
      </c>
    </row>
    <row r="409" spans="1:17" x14ac:dyDescent="0.4">
      <c r="A409" t="s">
        <v>708</v>
      </c>
      <c r="B409" s="1">
        <v>45600</v>
      </c>
      <c r="C409" t="s">
        <v>269</v>
      </c>
      <c r="D409" t="s">
        <v>14</v>
      </c>
      <c r="E409" t="s">
        <v>110</v>
      </c>
      <c r="F409" t="s">
        <v>28</v>
      </c>
      <c r="G409">
        <v>1</v>
      </c>
      <c r="H409">
        <v>2427.9299999999998</v>
      </c>
      <c r="I409">
        <v>15</v>
      </c>
      <c r="J409">
        <v>1235.6099999999999</v>
      </c>
      <c r="K409" t="s">
        <v>17</v>
      </c>
      <c r="L409" t="s">
        <v>37</v>
      </c>
      <c r="M409">
        <f t="shared" si="30"/>
        <v>2063.7404999999999</v>
      </c>
      <c r="N409">
        <f t="shared" si="31"/>
        <v>828.13049999999998</v>
      </c>
      <c r="O409" t="str">
        <f t="shared" si="32"/>
        <v>Monday</v>
      </c>
      <c r="P409" t="b">
        <f t="shared" si="33"/>
        <v>0</v>
      </c>
      <c r="Q409" t="str">
        <f t="shared" si="34"/>
        <v>November</v>
      </c>
    </row>
    <row r="410" spans="1:17" x14ac:dyDescent="0.4">
      <c r="A410" t="s">
        <v>709</v>
      </c>
      <c r="B410" s="1">
        <v>45567</v>
      </c>
      <c r="C410" t="s">
        <v>278</v>
      </c>
      <c r="D410" t="s">
        <v>31</v>
      </c>
      <c r="E410" t="s">
        <v>428</v>
      </c>
      <c r="F410" t="s">
        <v>16</v>
      </c>
      <c r="G410">
        <v>1</v>
      </c>
      <c r="H410">
        <v>2529.8200000000002</v>
      </c>
      <c r="I410">
        <v>0</v>
      </c>
      <c r="J410">
        <v>1249.07</v>
      </c>
      <c r="K410" t="s">
        <v>24</v>
      </c>
      <c r="L410" t="s">
        <v>37</v>
      </c>
      <c r="M410">
        <f t="shared" si="30"/>
        <v>2529.8200000000002</v>
      </c>
      <c r="N410">
        <f t="shared" si="31"/>
        <v>1280.7500000000002</v>
      </c>
      <c r="O410" t="str">
        <f t="shared" si="32"/>
        <v>Wednesday</v>
      </c>
      <c r="P410" t="b">
        <f t="shared" si="33"/>
        <v>0</v>
      </c>
      <c r="Q410" t="str">
        <f t="shared" si="34"/>
        <v>October</v>
      </c>
    </row>
    <row r="411" spans="1:17" x14ac:dyDescent="0.4">
      <c r="A411" t="s">
        <v>710</v>
      </c>
      <c r="B411" s="1">
        <v>45778</v>
      </c>
      <c r="C411" t="s">
        <v>146</v>
      </c>
      <c r="D411" t="s">
        <v>14</v>
      </c>
      <c r="E411" t="s">
        <v>369</v>
      </c>
      <c r="F411" t="s">
        <v>23</v>
      </c>
      <c r="G411">
        <v>5</v>
      </c>
      <c r="H411">
        <v>1348.05</v>
      </c>
      <c r="I411">
        <v>30</v>
      </c>
      <c r="J411">
        <v>579.46</v>
      </c>
      <c r="K411" t="s">
        <v>24</v>
      </c>
      <c r="L411" t="s">
        <v>37</v>
      </c>
      <c r="M411">
        <f t="shared" si="30"/>
        <v>4718.1749999999993</v>
      </c>
      <c r="N411">
        <f t="shared" si="31"/>
        <v>1820.8749999999991</v>
      </c>
      <c r="O411" t="str">
        <f t="shared" si="32"/>
        <v>Thursday</v>
      </c>
      <c r="P411" t="b">
        <f t="shared" si="33"/>
        <v>0</v>
      </c>
      <c r="Q411" t="str">
        <f t="shared" si="34"/>
        <v>May</v>
      </c>
    </row>
    <row r="412" spans="1:17" x14ac:dyDescent="0.4">
      <c r="A412" t="s">
        <v>711</v>
      </c>
      <c r="B412" s="1">
        <v>45429</v>
      </c>
      <c r="C412" t="s">
        <v>42</v>
      </c>
      <c r="D412" t="s">
        <v>31</v>
      </c>
      <c r="E412" t="s">
        <v>690</v>
      </c>
      <c r="F412" t="s">
        <v>23</v>
      </c>
      <c r="G412">
        <v>3</v>
      </c>
      <c r="H412">
        <v>979.52</v>
      </c>
      <c r="I412">
        <v>25</v>
      </c>
      <c r="J412">
        <v>398.73</v>
      </c>
      <c r="K412" t="s">
        <v>17</v>
      </c>
      <c r="L412" t="s">
        <v>33</v>
      </c>
      <c r="M412">
        <f t="shared" si="30"/>
        <v>2203.92</v>
      </c>
      <c r="N412">
        <f t="shared" si="31"/>
        <v>1007.73</v>
      </c>
      <c r="O412" t="str">
        <f t="shared" si="32"/>
        <v>Friday</v>
      </c>
      <c r="P412" t="b">
        <f t="shared" si="33"/>
        <v>0</v>
      </c>
      <c r="Q412" t="str">
        <f t="shared" si="34"/>
        <v>May</v>
      </c>
    </row>
    <row r="413" spans="1:17" x14ac:dyDescent="0.4">
      <c r="A413" t="s">
        <v>712</v>
      </c>
      <c r="B413" s="1">
        <v>45860</v>
      </c>
      <c r="C413" t="s">
        <v>62</v>
      </c>
      <c r="D413" t="s">
        <v>31</v>
      </c>
      <c r="E413" t="s">
        <v>512</v>
      </c>
      <c r="F413" t="s">
        <v>28</v>
      </c>
      <c r="G413">
        <v>5</v>
      </c>
      <c r="H413">
        <v>1152.4100000000001</v>
      </c>
      <c r="I413">
        <v>20</v>
      </c>
      <c r="J413">
        <v>667.54</v>
      </c>
      <c r="K413" t="s">
        <v>17</v>
      </c>
      <c r="L413" t="s">
        <v>18</v>
      </c>
      <c r="M413">
        <f t="shared" si="30"/>
        <v>4609.6400000000003</v>
      </c>
      <c r="N413">
        <f t="shared" si="31"/>
        <v>1271.9400000000005</v>
      </c>
      <c r="O413" t="str">
        <f t="shared" si="32"/>
        <v>Tuesday</v>
      </c>
      <c r="P413" t="b">
        <f t="shared" si="33"/>
        <v>0</v>
      </c>
      <c r="Q413" t="str">
        <f t="shared" si="34"/>
        <v>July</v>
      </c>
    </row>
    <row r="414" spans="1:17" x14ac:dyDescent="0.4">
      <c r="A414" t="s">
        <v>713</v>
      </c>
      <c r="B414" s="1">
        <v>45462</v>
      </c>
      <c r="C414" t="s">
        <v>139</v>
      </c>
      <c r="D414" t="s">
        <v>31</v>
      </c>
      <c r="E414" t="s">
        <v>220</v>
      </c>
      <c r="F414" t="s">
        <v>16</v>
      </c>
      <c r="G414">
        <v>5</v>
      </c>
      <c r="H414">
        <v>1488.53</v>
      </c>
      <c r="I414">
        <v>15</v>
      </c>
      <c r="J414">
        <v>749.6</v>
      </c>
      <c r="K414" t="s">
        <v>24</v>
      </c>
      <c r="L414" t="s">
        <v>33</v>
      </c>
      <c r="M414">
        <f t="shared" si="30"/>
        <v>6326.2524999999996</v>
      </c>
      <c r="N414">
        <f t="shared" si="31"/>
        <v>2578.2524999999996</v>
      </c>
      <c r="O414" t="str">
        <f t="shared" si="32"/>
        <v>Wednesday</v>
      </c>
      <c r="P414" t="b">
        <f t="shared" si="33"/>
        <v>0</v>
      </c>
      <c r="Q414" t="str">
        <f t="shared" si="34"/>
        <v>June</v>
      </c>
    </row>
    <row r="415" spans="1:17" x14ac:dyDescent="0.4">
      <c r="A415" t="s">
        <v>714</v>
      </c>
      <c r="B415" s="1">
        <v>45668</v>
      </c>
      <c r="C415" t="s">
        <v>267</v>
      </c>
      <c r="D415" t="s">
        <v>21</v>
      </c>
      <c r="E415" t="s">
        <v>498</v>
      </c>
      <c r="F415" t="s">
        <v>23</v>
      </c>
      <c r="G415">
        <v>5</v>
      </c>
      <c r="H415">
        <v>454.28</v>
      </c>
      <c r="I415">
        <v>5</v>
      </c>
      <c r="J415">
        <v>213.91</v>
      </c>
      <c r="K415" t="s">
        <v>24</v>
      </c>
      <c r="L415" t="s">
        <v>37</v>
      </c>
      <c r="M415">
        <f t="shared" si="30"/>
        <v>2157.8299999999995</v>
      </c>
      <c r="N415">
        <f t="shared" si="31"/>
        <v>1088.2799999999995</v>
      </c>
      <c r="O415" t="str">
        <f t="shared" si="32"/>
        <v>Saturday</v>
      </c>
      <c r="P415" t="b">
        <f t="shared" si="33"/>
        <v>1</v>
      </c>
      <c r="Q415" t="str">
        <f t="shared" si="34"/>
        <v>January</v>
      </c>
    </row>
    <row r="416" spans="1:17" x14ac:dyDescent="0.4">
      <c r="A416" t="s">
        <v>715</v>
      </c>
      <c r="B416" s="1">
        <v>45569</v>
      </c>
      <c r="C416" t="s">
        <v>251</v>
      </c>
      <c r="D416" t="s">
        <v>31</v>
      </c>
      <c r="E416" t="s">
        <v>249</v>
      </c>
      <c r="F416" t="s">
        <v>23</v>
      </c>
      <c r="G416">
        <v>3</v>
      </c>
      <c r="H416">
        <v>2385.96</v>
      </c>
      <c r="I416">
        <v>0</v>
      </c>
      <c r="J416">
        <v>1569.33</v>
      </c>
      <c r="K416" t="s">
        <v>17</v>
      </c>
      <c r="L416" t="s">
        <v>18</v>
      </c>
      <c r="M416">
        <f t="shared" si="30"/>
        <v>7157.88</v>
      </c>
      <c r="N416">
        <f t="shared" si="31"/>
        <v>2449.8900000000003</v>
      </c>
      <c r="O416" t="str">
        <f t="shared" si="32"/>
        <v>Friday</v>
      </c>
      <c r="P416" t="b">
        <f t="shared" si="33"/>
        <v>0</v>
      </c>
      <c r="Q416" t="str">
        <f t="shared" si="34"/>
        <v>October</v>
      </c>
    </row>
    <row r="417" spans="1:17" x14ac:dyDescent="0.4">
      <c r="A417" t="s">
        <v>716</v>
      </c>
      <c r="B417" s="1">
        <v>45642</v>
      </c>
      <c r="C417" t="s">
        <v>122</v>
      </c>
      <c r="D417" t="s">
        <v>14</v>
      </c>
      <c r="E417" t="s">
        <v>662</v>
      </c>
      <c r="F417" t="s">
        <v>23</v>
      </c>
      <c r="G417">
        <v>2</v>
      </c>
      <c r="H417">
        <v>2113.71</v>
      </c>
      <c r="I417">
        <v>20</v>
      </c>
      <c r="J417">
        <v>1344.54</v>
      </c>
      <c r="K417" t="s">
        <v>17</v>
      </c>
      <c r="L417" t="s">
        <v>18</v>
      </c>
      <c r="M417">
        <f t="shared" si="30"/>
        <v>3381.9360000000001</v>
      </c>
      <c r="N417">
        <f t="shared" si="31"/>
        <v>692.85600000000022</v>
      </c>
      <c r="O417" t="str">
        <f t="shared" si="32"/>
        <v>Monday</v>
      </c>
      <c r="P417" t="b">
        <f t="shared" si="33"/>
        <v>0</v>
      </c>
      <c r="Q417" t="str">
        <f t="shared" si="34"/>
        <v>December</v>
      </c>
    </row>
    <row r="418" spans="1:17" x14ac:dyDescent="0.4">
      <c r="A418" t="s">
        <v>717</v>
      </c>
      <c r="B418" s="1">
        <v>45724</v>
      </c>
      <c r="C418" t="s">
        <v>42</v>
      </c>
      <c r="D418" t="s">
        <v>31</v>
      </c>
      <c r="E418" t="s">
        <v>220</v>
      </c>
      <c r="F418" t="s">
        <v>23</v>
      </c>
      <c r="G418">
        <v>5</v>
      </c>
      <c r="H418">
        <v>733.31</v>
      </c>
      <c r="I418">
        <v>0</v>
      </c>
      <c r="J418">
        <v>480.82</v>
      </c>
      <c r="K418" t="s">
        <v>17</v>
      </c>
      <c r="L418" t="s">
        <v>18</v>
      </c>
      <c r="M418">
        <f t="shared" si="30"/>
        <v>3666.5499999999997</v>
      </c>
      <c r="N418">
        <f t="shared" si="31"/>
        <v>1262.4499999999998</v>
      </c>
      <c r="O418" t="str">
        <f t="shared" si="32"/>
        <v>Saturday</v>
      </c>
      <c r="P418" t="b">
        <f t="shared" si="33"/>
        <v>1</v>
      </c>
      <c r="Q418" t="str">
        <f t="shared" si="34"/>
        <v>March</v>
      </c>
    </row>
    <row r="419" spans="1:17" x14ac:dyDescent="0.4">
      <c r="A419" t="s">
        <v>718</v>
      </c>
      <c r="B419" s="1">
        <v>45671</v>
      </c>
      <c r="C419" t="s">
        <v>273</v>
      </c>
      <c r="D419" t="s">
        <v>14</v>
      </c>
      <c r="E419" t="s">
        <v>276</v>
      </c>
      <c r="F419" t="s">
        <v>28</v>
      </c>
      <c r="G419">
        <v>1</v>
      </c>
      <c r="H419">
        <v>818.67</v>
      </c>
      <c r="I419">
        <v>15</v>
      </c>
      <c r="J419">
        <v>380.81</v>
      </c>
      <c r="K419" t="s">
        <v>24</v>
      </c>
      <c r="L419" t="s">
        <v>18</v>
      </c>
      <c r="M419">
        <f t="shared" si="30"/>
        <v>695.8694999999999</v>
      </c>
      <c r="N419">
        <f t="shared" si="31"/>
        <v>315.0594999999999</v>
      </c>
      <c r="O419" t="str">
        <f t="shared" si="32"/>
        <v>Tuesday</v>
      </c>
      <c r="P419" t="b">
        <f t="shared" si="33"/>
        <v>0</v>
      </c>
      <c r="Q419" t="str">
        <f t="shared" si="34"/>
        <v>January</v>
      </c>
    </row>
    <row r="420" spans="1:17" x14ac:dyDescent="0.4">
      <c r="A420" t="s">
        <v>719</v>
      </c>
      <c r="B420" s="1">
        <v>45559</v>
      </c>
      <c r="C420" t="s">
        <v>149</v>
      </c>
      <c r="D420" t="s">
        <v>21</v>
      </c>
      <c r="E420" t="s">
        <v>637</v>
      </c>
      <c r="F420" t="s">
        <v>28</v>
      </c>
      <c r="G420">
        <v>1</v>
      </c>
      <c r="H420">
        <v>2542.56</v>
      </c>
      <c r="I420">
        <v>15</v>
      </c>
      <c r="J420">
        <v>1078.8699999999999</v>
      </c>
      <c r="K420" t="s">
        <v>17</v>
      </c>
      <c r="L420" t="s">
        <v>33</v>
      </c>
      <c r="M420">
        <f t="shared" si="30"/>
        <v>2161.1759999999999</v>
      </c>
      <c r="N420">
        <f t="shared" si="31"/>
        <v>1082.306</v>
      </c>
      <c r="O420" t="str">
        <f t="shared" si="32"/>
        <v>Tuesday</v>
      </c>
      <c r="P420" t="b">
        <f t="shared" si="33"/>
        <v>0</v>
      </c>
      <c r="Q420" t="str">
        <f t="shared" si="34"/>
        <v>September</v>
      </c>
    </row>
    <row r="421" spans="1:17" x14ac:dyDescent="0.4">
      <c r="A421" t="s">
        <v>720</v>
      </c>
      <c r="B421" s="1">
        <v>45395</v>
      </c>
      <c r="C421" t="s">
        <v>179</v>
      </c>
      <c r="D421" t="s">
        <v>31</v>
      </c>
      <c r="E421" t="s">
        <v>322</v>
      </c>
      <c r="F421" t="s">
        <v>23</v>
      </c>
      <c r="G421">
        <v>3</v>
      </c>
      <c r="H421">
        <v>2994.37</v>
      </c>
      <c r="I421">
        <v>30</v>
      </c>
      <c r="J421">
        <v>1216.97</v>
      </c>
      <c r="K421" t="s">
        <v>24</v>
      </c>
      <c r="L421" t="s">
        <v>18</v>
      </c>
      <c r="M421">
        <f t="shared" si="30"/>
        <v>6288.1769999999997</v>
      </c>
      <c r="N421">
        <f t="shared" si="31"/>
        <v>2637.2669999999998</v>
      </c>
      <c r="O421" t="str">
        <f t="shared" si="32"/>
        <v>Saturday</v>
      </c>
      <c r="P421" t="b">
        <f t="shared" si="33"/>
        <v>1</v>
      </c>
      <c r="Q421" t="str">
        <f t="shared" si="34"/>
        <v>April</v>
      </c>
    </row>
    <row r="422" spans="1:17" x14ac:dyDescent="0.4">
      <c r="A422" t="s">
        <v>721</v>
      </c>
      <c r="B422" s="1">
        <v>45731</v>
      </c>
      <c r="C422" t="s">
        <v>269</v>
      </c>
      <c r="D422" t="s">
        <v>14</v>
      </c>
      <c r="E422" t="s">
        <v>582</v>
      </c>
      <c r="F422" t="s">
        <v>23</v>
      </c>
      <c r="G422">
        <v>3</v>
      </c>
      <c r="H422">
        <v>1950.04</v>
      </c>
      <c r="I422">
        <v>10</v>
      </c>
      <c r="J422">
        <v>1348.45</v>
      </c>
      <c r="K422" t="s">
        <v>24</v>
      </c>
      <c r="L422" t="s">
        <v>37</v>
      </c>
      <c r="M422">
        <f t="shared" si="30"/>
        <v>5265.1080000000002</v>
      </c>
      <c r="N422">
        <f t="shared" si="31"/>
        <v>1219.7579999999998</v>
      </c>
      <c r="O422" t="str">
        <f t="shared" si="32"/>
        <v>Saturday</v>
      </c>
      <c r="P422" t="b">
        <f t="shared" si="33"/>
        <v>1</v>
      </c>
      <c r="Q422" t="str">
        <f t="shared" si="34"/>
        <v>March</v>
      </c>
    </row>
    <row r="423" spans="1:17" x14ac:dyDescent="0.4">
      <c r="A423" t="s">
        <v>722</v>
      </c>
      <c r="B423" s="1">
        <v>45509</v>
      </c>
      <c r="C423" t="s">
        <v>45</v>
      </c>
      <c r="D423" t="s">
        <v>14</v>
      </c>
      <c r="E423" t="s">
        <v>528</v>
      </c>
      <c r="F423" t="s">
        <v>28</v>
      </c>
      <c r="G423">
        <v>3</v>
      </c>
      <c r="H423">
        <v>2639.8</v>
      </c>
      <c r="I423">
        <v>25</v>
      </c>
      <c r="J423">
        <v>1133.46</v>
      </c>
      <c r="K423" t="s">
        <v>24</v>
      </c>
      <c r="L423" t="s">
        <v>33</v>
      </c>
      <c r="M423">
        <f t="shared" si="30"/>
        <v>5939.55</v>
      </c>
      <c r="N423">
        <f t="shared" si="31"/>
        <v>2539.17</v>
      </c>
      <c r="O423" t="str">
        <f t="shared" si="32"/>
        <v>Monday</v>
      </c>
      <c r="P423" t="b">
        <f t="shared" si="33"/>
        <v>0</v>
      </c>
      <c r="Q423" t="str">
        <f t="shared" si="34"/>
        <v>August</v>
      </c>
    </row>
    <row r="424" spans="1:17" x14ac:dyDescent="0.4">
      <c r="A424" t="s">
        <v>723</v>
      </c>
      <c r="B424" s="1">
        <v>45567</v>
      </c>
      <c r="C424" t="s">
        <v>65</v>
      </c>
      <c r="D424" t="s">
        <v>46</v>
      </c>
      <c r="E424" t="s">
        <v>557</v>
      </c>
      <c r="F424" t="s">
        <v>16</v>
      </c>
      <c r="G424">
        <v>5</v>
      </c>
      <c r="H424">
        <v>304.8</v>
      </c>
      <c r="I424">
        <v>20</v>
      </c>
      <c r="J424">
        <v>170.84</v>
      </c>
      <c r="K424" t="s">
        <v>17</v>
      </c>
      <c r="L424" t="s">
        <v>37</v>
      </c>
      <c r="M424">
        <f t="shared" si="30"/>
        <v>1219.2</v>
      </c>
      <c r="N424">
        <f t="shared" si="31"/>
        <v>365</v>
      </c>
      <c r="O424" t="str">
        <f t="shared" si="32"/>
        <v>Wednesday</v>
      </c>
      <c r="P424" t="b">
        <f t="shared" si="33"/>
        <v>0</v>
      </c>
      <c r="Q424" t="str">
        <f t="shared" si="34"/>
        <v>October</v>
      </c>
    </row>
    <row r="425" spans="1:17" x14ac:dyDescent="0.4">
      <c r="A425" t="s">
        <v>724</v>
      </c>
      <c r="B425" s="1">
        <v>45786</v>
      </c>
      <c r="C425" t="s">
        <v>65</v>
      </c>
      <c r="D425" t="s">
        <v>21</v>
      </c>
      <c r="E425" t="s">
        <v>587</v>
      </c>
      <c r="F425" t="s">
        <v>16</v>
      </c>
      <c r="G425">
        <v>4</v>
      </c>
      <c r="H425">
        <v>406.96</v>
      </c>
      <c r="I425">
        <v>15</v>
      </c>
      <c r="J425">
        <v>217.29</v>
      </c>
      <c r="K425" t="s">
        <v>17</v>
      </c>
      <c r="L425" t="s">
        <v>18</v>
      </c>
      <c r="M425">
        <f t="shared" si="30"/>
        <v>1383.664</v>
      </c>
      <c r="N425">
        <f t="shared" si="31"/>
        <v>514.50400000000002</v>
      </c>
      <c r="O425" t="str">
        <f t="shared" si="32"/>
        <v>Friday</v>
      </c>
      <c r="P425" t="b">
        <f t="shared" si="33"/>
        <v>0</v>
      </c>
      <c r="Q425" t="str">
        <f t="shared" si="34"/>
        <v>May</v>
      </c>
    </row>
    <row r="426" spans="1:17" x14ac:dyDescent="0.4">
      <c r="A426" t="s">
        <v>725</v>
      </c>
      <c r="B426" s="1">
        <v>45619</v>
      </c>
      <c r="C426" t="s">
        <v>463</v>
      </c>
      <c r="D426" t="s">
        <v>14</v>
      </c>
      <c r="E426" t="s">
        <v>55</v>
      </c>
      <c r="F426" t="s">
        <v>16</v>
      </c>
      <c r="G426">
        <v>3</v>
      </c>
      <c r="H426">
        <v>1728.95</v>
      </c>
      <c r="I426">
        <v>0</v>
      </c>
      <c r="J426">
        <v>726.34</v>
      </c>
      <c r="K426" t="s">
        <v>24</v>
      </c>
      <c r="L426" t="s">
        <v>33</v>
      </c>
      <c r="M426">
        <f t="shared" si="30"/>
        <v>5186.8500000000004</v>
      </c>
      <c r="N426">
        <f t="shared" si="31"/>
        <v>3007.8300000000004</v>
      </c>
      <c r="O426" t="str">
        <f t="shared" si="32"/>
        <v>Saturday</v>
      </c>
      <c r="P426" t="b">
        <f t="shared" si="33"/>
        <v>1</v>
      </c>
      <c r="Q426" t="str">
        <f t="shared" si="34"/>
        <v>November</v>
      </c>
    </row>
    <row r="427" spans="1:17" x14ac:dyDescent="0.4">
      <c r="A427" t="s">
        <v>726</v>
      </c>
      <c r="B427" s="1">
        <v>45734</v>
      </c>
      <c r="C427" t="s">
        <v>302</v>
      </c>
      <c r="D427" t="s">
        <v>21</v>
      </c>
      <c r="E427" t="s">
        <v>512</v>
      </c>
      <c r="F427" t="s">
        <v>23</v>
      </c>
      <c r="G427">
        <v>4</v>
      </c>
      <c r="H427">
        <v>779.56</v>
      </c>
      <c r="I427">
        <v>25</v>
      </c>
      <c r="J427">
        <v>321.52999999999997</v>
      </c>
      <c r="K427" t="s">
        <v>17</v>
      </c>
      <c r="L427" t="s">
        <v>18</v>
      </c>
      <c r="M427">
        <f t="shared" si="30"/>
        <v>2338.6799999999998</v>
      </c>
      <c r="N427">
        <f t="shared" si="31"/>
        <v>1052.56</v>
      </c>
      <c r="O427" t="str">
        <f t="shared" si="32"/>
        <v>Tuesday</v>
      </c>
      <c r="P427" t="b">
        <f t="shared" si="33"/>
        <v>0</v>
      </c>
      <c r="Q427" t="str">
        <f t="shared" si="34"/>
        <v>March</v>
      </c>
    </row>
    <row r="428" spans="1:17" x14ac:dyDescent="0.4">
      <c r="A428" t="s">
        <v>727</v>
      </c>
      <c r="B428" s="1">
        <v>45548</v>
      </c>
      <c r="C428" t="s">
        <v>74</v>
      </c>
      <c r="D428" t="s">
        <v>14</v>
      </c>
      <c r="E428" t="s">
        <v>180</v>
      </c>
      <c r="F428" t="s">
        <v>16</v>
      </c>
      <c r="G428">
        <v>3</v>
      </c>
      <c r="H428">
        <v>855.76</v>
      </c>
      <c r="I428">
        <v>25</v>
      </c>
      <c r="J428">
        <v>554.76</v>
      </c>
      <c r="K428" t="s">
        <v>24</v>
      </c>
      <c r="L428" t="s">
        <v>37</v>
      </c>
      <c r="M428">
        <f t="shared" si="30"/>
        <v>1925.4599999999998</v>
      </c>
      <c r="N428">
        <f t="shared" si="31"/>
        <v>261.17999999999984</v>
      </c>
      <c r="O428" t="str">
        <f t="shared" si="32"/>
        <v>Friday</v>
      </c>
      <c r="P428" t="b">
        <f t="shared" si="33"/>
        <v>0</v>
      </c>
      <c r="Q428" t="str">
        <f t="shared" si="34"/>
        <v>September</v>
      </c>
    </row>
    <row r="429" spans="1:17" x14ac:dyDescent="0.4">
      <c r="A429" t="s">
        <v>728</v>
      </c>
      <c r="B429" s="1">
        <v>45534</v>
      </c>
      <c r="C429" t="s">
        <v>309</v>
      </c>
      <c r="D429" t="s">
        <v>46</v>
      </c>
      <c r="E429" t="s">
        <v>491</v>
      </c>
      <c r="F429" t="s">
        <v>16</v>
      </c>
      <c r="G429">
        <v>2</v>
      </c>
      <c r="H429">
        <v>1825.17</v>
      </c>
      <c r="I429">
        <v>15</v>
      </c>
      <c r="J429">
        <v>1065.1400000000001</v>
      </c>
      <c r="K429" t="s">
        <v>17</v>
      </c>
      <c r="L429" t="s">
        <v>18</v>
      </c>
      <c r="M429">
        <f t="shared" si="30"/>
        <v>3102.7890000000002</v>
      </c>
      <c r="N429">
        <f t="shared" si="31"/>
        <v>972.50900000000001</v>
      </c>
      <c r="O429" t="str">
        <f t="shared" si="32"/>
        <v>Friday</v>
      </c>
      <c r="P429" t="b">
        <f t="shared" si="33"/>
        <v>0</v>
      </c>
      <c r="Q429" t="str">
        <f t="shared" si="34"/>
        <v>August</v>
      </c>
    </row>
    <row r="430" spans="1:17" x14ac:dyDescent="0.4">
      <c r="A430" t="s">
        <v>729</v>
      </c>
      <c r="B430" s="1">
        <v>45764</v>
      </c>
      <c r="C430" t="s">
        <v>251</v>
      </c>
      <c r="D430" t="s">
        <v>14</v>
      </c>
      <c r="E430" t="s">
        <v>730</v>
      </c>
      <c r="F430" t="s">
        <v>16</v>
      </c>
      <c r="G430">
        <v>3</v>
      </c>
      <c r="H430">
        <v>1684.02</v>
      </c>
      <c r="I430">
        <v>25</v>
      </c>
      <c r="J430">
        <v>812.45</v>
      </c>
      <c r="K430" t="s">
        <v>24</v>
      </c>
      <c r="L430" t="s">
        <v>37</v>
      </c>
      <c r="M430">
        <f t="shared" si="30"/>
        <v>3789.0449999999996</v>
      </c>
      <c r="N430">
        <f t="shared" si="31"/>
        <v>1351.6949999999993</v>
      </c>
      <c r="O430" t="str">
        <f t="shared" si="32"/>
        <v>Thursday</v>
      </c>
      <c r="P430" t="b">
        <f t="shared" si="33"/>
        <v>0</v>
      </c>
      <c r="Q430" t="str">
        <f t="shared" si="34"/>
        <v>April</v>
      </c>
    </row>
    <row r="431" spans="1:17" x14ac:dyDescent="0.4">
      <c r="A431" t="s">
        <v>731</v>
      </c>
      <c r="B431" s="1">
        <v>45645</v>
      </c>
      <c r="C431" t="s">
        <v>35</v>
      </c>
      <c r="D431" t="s">
        <v>21</v>
      </c>
      <c r="E431" t="s">
        <v>732</v>
      </c>
      <c r="F431" t="s">
        <v>28</v>
      </c>
      <c r="G431">
        <v>1</v>
      </c>
      <c r="H431">
        <v>2010.59</v>
      </c>
      <c r="I431">
        <v>15</v>
      </c>
      <c r="J431">
        <v>1388.21</v>
      </c>
      <c r="K431" t="s">
        <v>24</v>
      </c>
      <c r="L431" t="s">
        <v>33</v>
      </c>
      <c r="M431">
        <f t="shared" si="30"/>
        <v>1709.0014999999999</v>
      </c>
      <c r="N431">
        <f t="shared" si="31"/>
        <v>320.79149999999981</v>
      </c>
      <c r="O431" t="str">
        <f t="shared" si="32"/>
        <v>Thursday</v>
      </c>
      <c r="P431" t="b">
        <f t="shared" si="33"/>
        <v>0</v>
      </c>
      <c r="Q431" t="str">
        <f t="shared" si="34"/>
        <v>December</v>
      </c>
    </row>
    <row r="432" spans="1:17" x14ac:dyDescent="0.4">
      <c r="A432" t="s">
        <v>733</v>
      </c>
      <c r="B432" s="1">
        <v>45569</v>
      </c>
      <c r="C432" t="s">
        <v>92</v>
      </c>
      <c r="D432" t="s">
        <v>14</v>
      </c>
      <c r="E432" t="s">
        <v>258</v>
      </c>
      <c r="F432" t="s">
        <v>23</v>
      </c>
      <c r="G432">
        <v>5</v>
      </c>
      <c r="H432">
        <v>1946.72</v>
      </c>
      <c r="I432">
        <v>15</v>
      </c>
      <c r="J432">
        <v>1002.78</v>
      </c>
      <c r="K432" t="s">
        <v>17</v>
      </c>
      <c r="L432" t="s">
        <v>33</v>
      </c>
      <c r="M432">
        <f t="shared" si="30"/>
        <v>8273.56</v>
      </c>
      <c r="N432">
        <f t="shared" si="31"/>
        <v>3259.66</v>
      </c>
      <c r="O432" t="str">
        <f t="shared" si="32"/>
        <v>Friday</v>
      </c>
      <c r="P432" t="b">
        <f t="shared" si="33"/>
        <v>0</v>
      </c>
      <c r="Q432" t="str">
        <f t="shared" si="34"/>
        <v>October</v>
      </c>
    </row>
    <row r="433" spans="1:17" x14ac:dyDescent="0.4">
      <c r="A433" t="s">
        <v>734</v>
      </c>
      <c r="B433" s="1">
        <v>45512</v>
      </c>
      <c r="C433" t="s">
        <v>269</v>
      </c>
      <c r="D433" t="s">
        <v>46</v>
      </c>
      <c r="E433" t="s">
        <v>36</v>
      </c>
      <c r="F433" t="s">
        <v>16</v>
      </c>
      <c r="G433">
        <v>3</v>
      </c>
      <c r="H433">
        <v>2308.75</v>
      </c>
      <c r="I433">
        <v>20</v>
      </c>
      <c r="J433">
        <v>1375.08</v>
      </c>
      <c r="K433" t="s">
        <v>24</v>
      </c>
      <c r="L433" t="s">
        <v>37</v>
      </c>
      <c r="M433">
        <f t="shared" si="30"/>
        <v>5541</v>
      </c>
      <c r="N433">
        <f t="shared" si="31"/>
        <v>1415.7600000000002</v>
      </c>
      <c r="O433" t="str">
        <f t="shared" si="32"/>
        <v>Thursday</v>
      </c>
      <c r="P433" t="b">
        <f t="shared" si="33"/>
        <v>0</v>
      </c>
      <c r="Q433" t="str">
        <f t="shared" si="34"/>
        <v>August</v>
      </c>
    </row>
    <row r="434" spans="1:17" x14ac:dyDescent="0.4">
      <c r="A434" t="s">
        <v>735</v>
      </c>
      <c r="B434" s="1">
        <v>45942</v>
      </c>
      <c r="C434" t="s">
        <v>65</v>
      </c>
      <c r="D434" t="s">
        <v>14</v>
      </c>
      <c r="E434" t="s">
        <v>435</v>
      </c>
      <c r="F434" t="s">
        <v>28</v>
      </c>
      <c r="G434">
        <v>1</v>
      </c>
      <c r="H434">
        <v>1717.08</v>
      </c>
      <c r="I434">
        <v>0</v>
      </c>
      <c r="J434">
        <v>1000.05</v>
      </c>
      <c r="K434" t="s">
        <v>24</v>
      </c>
      <c r="L434" t="s">
        <v>37</v>
      </c>
      <c r="M434">
        <f t="shared" si="30"/>
        <v>1717.08</v>
      </c>
      <c r="N434">
        <f t="shared" si="31"/>
        <v>717.03</v>
      </c>
      <c r="O434" t="str">
        <f t="shared" si="32"/>
        <v>Sunday</v>
      </c>
      <c r="P434" t="b">
        <f t="shared" si="33"/>
        <v>1</v>
      </c>
      <c r="Q434" t="str">
        <f t="shared" si="34"/>
        <v>October</v>
      </c>
    </row>
    <row r="435" spans="1:17" x14ac:dyDescent="0.4">
      <c r="A435" t="s">
        <v>736</v>
      </c>
      <c r="B435" s="1">
        <v>45388</v>
      </c>
      <c r="C435" t="s">
        <v>92</v>
      </c>
      <c r="D435" t="s">
        <v>46</v>
      </c>
      <c r="E435" t="s">
        <v>216</v>
      </c>
      <c r="F435" t="s">
        <v>23</v>
      </c>
      <c r="G435">
        <v>4</v>
      </c>
      <c r="H435">
        <v>1894.68</v>
      </c>
      <c r="I435">
        <v>30</v>
      </c>
      <c r="J435">
        <v>852.3</v>
      </c>
      <c r="K435" t="s">
        <v>24</v>
      </c>
      <c r="L435" t="s">
        <v>18</v>
      </c>
      <c r="M435">
        <f t="shared" si="30"/>
        <v>5305.1040000000003</v>
      </c>
      <c r="N435">
        <f t="shared" si="31"/>
        <v>1895.9040000000005</v>
      </c>
      <c r="O435" t="str">
        <f t="shared" si="32"/>
        <v>Saturday</v>
      </c>
      <c r="P435" t="b">
        <f t="shared" si="33"/>
        <v>1</v>
      </c>
      <c r="Q435" t="str">
        <f t="shared" si="34"/>
        <v>April</v>
      </c>
    </row>
    <row r="436" spans="1:17" x14ac:dyDescent="0.4">
      <c r="A436" t="s">
        <v>737</v>
      </c>
      <c r="B436" s="1">
        <v>45914</v>
      </c>
      <c r="C436" t="s">
        <v>253</v>
      </c>
      <c r="D436" t="s">
        <v>31</v>
      </c>
      <c r="E436" t="s">
        <v>464</v>
      </c>
      <c r="F436" t="s">
        <v>28</v>
      </c>
      <c r="G436">
        <v>1</v>
      </c>
      <c r="H436">
        <v>2297.5100000000002</v>
      </c>
      <c r="I436">
        <v>20</v>
      </c>
      <c r="J436">
        <v>1120.69</v>
      </c>
      <c r="K436" t="s">
        <v>17</v>
      </c>
      <c r="L436" t="s">
        <v>18</v>
      </c>
      <c r="M436">
        <f t="shared" si="30"/>
        <v>1838.0080000000003</v>
      </c>
      <c r="N436">
        <f t="shared" si="31"/>
        <v>717.31800000000021</v>
      </c>
      <c r="O436" t="str">
        <f t="shared" si="32"/>
        <v>Sunday</v>
      </c>
      <c r="P436" t="b">
        <f t="shared" si="33"/>
        <v>1</v>
      </c>
      <c r="Q436" t="str">
        <f t="shared" si="34"/>
        <v>September</v>
      </c>
    </row>
    <row r="437" spans="1:17" x14ac:dyDescent="0.4">
      <c r="A437" t="s">
        <v>738</v>
      </c>
      <c r="B437" s="1">
        <v>45746</v>
      </c>
      <c r="C437" t="s">
        <v>128</v>
      </c>
      <c r="D437" t="s">
        <v>46</v>
      </c>
      <c r="E437" t="s">
        <v>546</v>
      </c>
      <c r="F437" t="s">
        <v>23</v>
      </c>
      <c r="G437">
        <v>5</v>
      </c>
      <c r="H437">
        <v>1599.85</v>
      </c>
      <c r="I437">
        <v>30</v>
      </c>
      <c r="J437">
        <v>686.39</v>
      </c>
      <c r="K437" t="s">
        <v>17</v>
      </c>
      <c r="L437" t="s">
        <v>37</v>
      </c>
      <c r="M437">
        <f t="shared" si="30"/>
        <v>5599.4749999999995</v>
      </c>
      <c r="N437">
        <f t="shared" si="31"/>
        <v>2167.5249999999996</v>
      </c>
      <c r="O437" t="str">
        <f t="shared" si="32"/>
        <v>Sunday</v>
      </c>
      <c r="P437" t="b">
        <f t="shared" si="33"/>
        <v>1</v>
      </c>
      <c r="Q437" t="str">
        <f t="shared" si="34"/>
        <v>March</v>
      </c>
    </row>
    <row r="438" spans="1:17" x14ac:dyDescent="0.4">
      <c r="A438" t="s">
        <v>739</v>
      </c>
      <c r="B438" s="1">
        <v>45470</v>
      </c>
      <c r="C438" t="s">
        <v>89</v>
      </c>
      <c r="D438" t="s">
        <v>21</v>
      </c>
      <c r="E438" t="s">
        <v>265</v>
      </c>
      <c r="F438" t="s">
        <v>16</v>
      </c>
      <c r="G438">
        <v>2</v>
      </c>
      <c r="H438">
        <v>731.15</v>
      </c>
      <c r="I438">
        <v>15</v>
      </c>
      <c r="J438">
        <v>398.16</v>
      </c>
      <c r="K438" t="s">
        <v>17</v>
      </c>
      <c r="L438" t="s">
        <v>33</v>
      </c>
      <c r="M438">
        <f t="shared" si="30"/>
        <v>1242.9549999999999</v>
      </c>
      <c r="N438">
        <f t="shared" si="31"/>
        <v>446.63499999999988</v>
      </c>
      <c r="O438" t="str">
        <f t="shared" si="32"/>
        <v>Thursday</v>
      </c>
      <c r="P438" t="b">
        <f t="shared" si="33"/>
        <v>0</v>
      </c>
      <c r="Q438" t="str">
        <f t="shared" si="34"/>
        <v>June</v>
      </c>
    </row>
    <row r="439" spans="1:17" x14ac:dyDescent="0.4">
      <c r="A439" t="s">
        <v>740</v>
      </c>
      <c r="B439" s="1">
        <v>45341</v>
      </c>
      <c r="C439" t="s">
        <v>253</v>
      </c>
      <c r="D439" t="s">
        <v>46</v>
      </c>
      <c r="E439" t="s">
        <v>741</v>
      </c>
      <c r="F439" t="s">
        <v>16</v>
      </c>
      <c r="G439">
        <v>5</v>
      </c>
      <c r="H439">
        <v>1579.22</v>
      </c>
      <c r="I439">
        <v>15</v>
      </c>
      <c r="J439">
        <v>997.62</v>
      </c>
      <c r="K439" t="s">
        <v>24</v>
      </c>
      <c r="L439" t="s">
        <v>18</v>
      </c>
      <c r="M439">
        <f t="shared" si="30"/>
        <v>6711.6850000000004</v>
      </c>
      <c r="N439">
        <f t="shared" si="31"/>
        <v>1723.585</v>
      </c>
      <c r="O439" t="str">
        <f t="shared" si="32"/>
        <v>Monday</v>
      </c>
      <c r="P439" t="b">
        <f t="shared" si="33"/>
        <v>0</v>
      </c>
      <c r="Q439" t="str">
        <f t="shared" si="34"/>
        <v>February</v>
      </c>
    </row>
    <row r="440" spans="1:17" x14ac:dyDescent="0.4">
      <c r="A440" t="s">
        <v>742</v>
      </c>
      <c r="B440" s="1">
        <v>45332</v>
      </c>
      <c r="C440" t="s">
        <v>20</v>
      </c>
      <c r="D440" t="s">
        <v>31</v>
      </c>
      <c r="E440" t="s">
        <v>196</v>
      </c>
      <c r="F440" t="s">
        <v>28</v>
      </c>
      <c r="G440">
        <v>1</v>
      </c>
      <c r="H440">
        <v>2095.1999999999998</v>
      </c>
      <c r="I440">
        <v>20</v>
      </c>
      <c r="J440">
        <v>936.56</v>
      </c>
      <c r="K440" t="s">
        <v>17</v>
      </c>
      <c r="L440" t="s">
        <v>18</v>
      </c>
      <c r="M440">
        <f t="shared" si="30"/>
        <v>1676.1599999999999</v>
      </c>
      <c r="N440">
        <f t="shared" si="31"/>
        <v>739.59999999999991</v>
      </c>
      <c r="O440" t="str">
        <f t="shared" si="32"/>
        <v>Saturday</v>
      </c>
      <c r="P440" t="b">
        <f t="shared" si="33"/>
        <v>1</v>
      </c>
      <c r="Q440" t="str">
        <f t="shared" si="34"/>
        <v>February</v>
      </c>
    </row>
    <row r="441" spans="1:17" x14ac:dyDescent="0.4">
      <c r="A441" t="s">
        <v>743</v>
      </c>
      <c r="B441" s="1">
        <v>45547</v>
      </c>
      <c r="C441" t="s">
        <v>286</v>
      </c>
      <c r="D441" t="s">
        <v>31</v>
      </c>
      <c r="E441" t="s">
        <v>419</v>
      </c>
      <c r="F441" t="s">
        <v>23</v>
      </c>
      <c r="G441">
        <v>2</v>
      </c>
      <c r="H441">
        <v>2872.06</v>
      </c>
      <c r="I441">
        <v>10</v>
      </c>
      <c r="J441">
        <v>1716.8</v>
      </c>
      <c r="K441" t="s">
        <v>24</v>
      </c>
      <c r="L441" t="s">
        <v>33</v>
      </c>
      <c r="M441">
        <f t="shared" si="30"/>
        <v>5169.7079999999996</v>
      </c>
      <c r="N441">
        <f t="shared" si="31"/>
        <v>1736.1079999999997</v>
      </c>
      <c r="O441" t="str">
        <f t="shared" si="32"/>
        <v>Thursday</v>
      </c>
      <c r="P441" t="b">
        <f t="shared" si="33"/>
        <v>0</v>
      </c>
      <c r="Q441" t="str">
        <f t="shared" si="34"/>
        <v>September</v>
      </c>
    </row>
    <row r="442" spans="1:17" x14ac:dyDescent="0.4">
      <c r="A442" t="s">
        <v>744</v>
      </c>
      <c r="B442" s="1">
        <v>45865</v>
      </c>
      <c r="C442" t="s">
        <v>278</v>
      </c>
      <c r="D442" t="s">
        <v>46</v>
      </c>
      <c r="E442" t="s">
        <v>544</v>
      </c>
      <c r="F442" t="s">
        <v>16</v>
      </c>
      <c r="G442">
        <v>4</v>
      </c>
      <c r="H442">
        <v>2614.85</v>
      </c>
      <c r="I442">
        <v>5</v>
      </c>
      <c r="J442">
        <v>1674.18</v>
      </c>
      <c r="K442" t="s">
        <v>17</v>
      </c>
      <c r="L442" t="s">
        <v>37</v>
      </c>
      <c r="M442">
        <f t="shared" si="30"/>
        <v>9936.4299999999985</v>
      </c>
      <c r="N442">
        <f t="shared" si="31"/>
        <v>3239.7099999999982</v>
      </c>
      <c r="O442" t="str">
        <f t="shared" si="32"/>
        <v>Sunday</v>
      </c>
      <c r="P442" t="b">
        <f t="shared" si="33"/>
        <v>1</v>
      </c>
      <c r="Q442" t="str">
        <f t="shared" si="34"/>
        <v>July</v>
      </c>
    </row>
    <row r="443" spans="1:17" x14ac:dyDescent="0.4">
      <c r="A443" t="s">
        <v>745</v>
      </c>
      <c r="B443" s="1">
        <v>45786</v>
      </c>
      <c r="C443" t="s">
        <v>144</v>
      </c>
      <c r="D443" t="s">
        <v>14</v>
      </c>
      <c r="E443" t="s">
        <v>357</v>
      </c>
      <c r="F443" t="s">
        <v>16</v>
      </c>
      <c r="G443">
        <v>5</v>
      </c>
      <c r="H443">
        <v>477</v>
      </c>
      <c r="I443">
        <v>5</v>
      </c>
      <c r="J443">
        <v>310.94</v>
      </c>
      <c r="K443" t="s">
        <v>24</v>
      </c>
      <c r="L443" t="s">
        <v>37</v>
      </c>
      <c r="M443">
        <f t="shared" si="30"/>
        <v>2265.75</v>
      </c>
      <c r="N443">
        <f t="shared" si="31"/>
        <v>711.05</v>
      </c>
      <c r="O443" t="str">
        <f t="shared" si="32"/>
        <v>Friday</v>
      </c>
      <c r="P443" t="b">
        <f t="shared" si="33"/>
        <v>0</v>
      </c>
      <c r="Q443" t="str">
        <f t="shared" si="34"/>
        <v>May</v>
      </c>
    </row>
    <row r="444" spans="1:17" x14ac:dyDescent="0.4">
      <c r="A444" t="s">
        <v>746</v>
      </c>
      <c r="B444" s="1">
        <v>45870</v>
      </c>
      <c r="C444" t="s">
        <v>463</v>
      </c>
      <c r="D444" t="s">
        <v>14</v>
      </c>
      <c r="E444" t="s">
        <v>732</v>
      </c>
      <c r="F444" t="s">
        <v>23</v>
      </c>
      <c r="G444">
        <v>1</v>
      </c>
      <c r="H444">
        <v>2814.31</v>
      </c>
      <c r="I444">
        <v>10</v>
      </c>
      <c r="J444">
        <v>1862.64</v>
      </c>
      <c r="K444" t="s">
        <v>24</v>
      </c>
      <c r="L444" t="s">
        <v>37</v>
      </c>
      <c r="M444">
        <f t="shared" si="30"/>
        <v>2532.8789999999999</v>
      </c>
      <c r="N444">
        <f t="shared" si="31"/>
        <v>670.23899999999981</v>
      </c>
      <c r="O444" t="str">
        <f t="shared" si="32"/>
        <v>Friday</v>
      </c>
      <c r="P444" t="b">
        <f t="shared" si="33"/>
        <v>0</v>
      </c>
      <c r="Q444" t="str">
        <f t="shared" si="34"/>
        <v>August</v>
      </c>
    </row>
    <row r="445" spans="1:17" x14ac:dyDescent="0.4">
      <c r="A445" t="s">
        <v>747</v>
      </c>
      <c r="B445" s="1">
        <v>45921</v>
      </c>
      <c r="C445" t="s">
        <v>159</v>
      </c>
      <c r="D445" t="s">
        <v>14</v>
      </c>
      <c r="E445" t="s">
        <v>748</v>
      </c>
      <c r="F445" t="s">
        <v>16</v>
      </c>
      <c r="G445">
        <v>4</v>
      </c>
      <c r="H445">
        <v>1586.43</v>
      </c>
      <c r="I445">
        <v>10</v>
      </c>
      <c r="J445">
        <v>694.23</v>
      </c>
      <c r="K445" t="s">
        <v>24</v>
      </c>
      <c r="L445" t="s">
        <v>37</v>
      </c>
      <c r="M445">
        <f t="shared" si="30"/>
        <v>5711.1480000000001</v>
      </c>
      <c r="N445">
        <f t="shared" si="31"/>
        <v>2934.2280000000001</v>
      </c>
      <c r="O445" t="str">
        <f t="shared" si="32"/>
        <v>Sunday</v>
      </c>
      <c r="P445" t="b">
        <f t="shared" si="33"/>
        <v>1</v>
      </c>
      <c r="Q445" t="str">
        <f t="shared" si="34"/>
        <v>September</v>
      </c>
    </row>
    <row r="446" spans="1:17" x14ac:dyDescent="0.4">
      <c r="A446" t="s">
        <v>749</v>
      </c>
      <c r="B446" s="1">
        <v>45938</v>
      </c>
      <c r="C446" t="s">
        <v>125</v>
      </c>
      <c r="D446" t="s">
        <v>31</v>
      </c>
      <c r="E446" t="s">
        <v>532</v>
      </c>
      <c r="F446" t="s">
        <v>28</v>
      </c>
      <c r="G446">
        <v>5</v>
      </c>
      <c r="H446">
        <v>2611.29</v>
      </c>
      <c r="I446">
        <v>15</v>
      </c>
      <c r="J446">
        <v>1686.2</v>
      </c>
      <c r="K446" t="s">
        <v>24</v>
      </c>
      <c r="L446" t="s">
        <v>18</v>
      </c>
      <c r="M446">
        <f t="shared" si="30"/>
        <v>11097.9825</v>
      </c>
      <c r="N446">
        <f t="shared" si="31"/>
        <v>2666.9825000000001</v>
      </c>
      <c r="O446" t="str">
        <f t="shared" si="32"/>
        <v>Wednesday</v>
      </c>
      <c r="P446" t="b">
        <f t="shared" si="33"/>
        <v>0</v>
      </c>
      <c r="Q446" t="str">
        <f t="shared" si="34"/>
        <v>October</v>
      </c>
    </row>
    <row r="447" spans="1:17" x14ac:dyDescent="0.4">
      <c r="A447" t="s">
        <v>750</v>
      </c>
      <c r="B447" s="1">
        <v>45978</v>
      </c>
      <c r="C447" t="s">
        <v>251</v>
      </c>
      <c r="D447" t="s">
        <v>21</v>
      </c>
      <c r="E447" t="s">
        <v>354</v>
      </c>
      <c r="F447" t="s">
        <v>28</v>
      </c>
      <c r="G447">
        <v>1</v>
      </c>
      <c r="H447">
        <v>1440.46</v>
      </c>
      <c r="I447">
        <v>30</v>
      </c>
      <c r="J447">
        <v>973.76</v>
      </c>
      <c r="K447" t="s">
        <v>17</v>
      </c>
      <c r="L447" t="s">
        <v>37</v>
      </c>
      <c r="M447">
        <f t="shared" si="30"/>
        <v>1008.322</v>
      </c>
      <c r="N447">
        <f t="shared" si="31"/>
        <v>34.562000000000012</v>
      </c>
      <c r="O447" t="str">
        <f t="shared" si="32"/>
        <v>Monday</v>
      </c>
      <c r="P447" t="b">
        <f t="shared" si="33"/>
        <v>0</v>
      </c>
      <c r="Q447" t="str">
        <f t="shared" si="34"/>
        <v>November</v>
      </c>
    </row>
    <row r="448" spans="1:17" x14ac:dyDescent="0.4">
      <c r="A448" t="s">
        <v>751</v>
      </c>
      <c r="B448" s="1">
        <v>45519</v>
      </c>
      <c r="C448" t="s">
        <v>59</v>
      </c>
      <c r="D448" t="s">
        <v>46</v>
      </c>
      <c r="E448" t="s">
        <v>627</v>
      </c>
      <c r="F448" t="s">
        <v>28</v>
      </c>
      <c r="G448">
        <v>4</v>
      </c>
      <c r="H448">
        <v>744.79</v>
      </c>
      <c r="I448">
        <v>10</v>
      </c>
      <c r="J448">
        <v>509.37</v>
      </c>
      <c r="K448" t="s">
        <v>24</v>
      </c>
      <c r="L448" t="s">
        <v>33</v>
      </c>
      <c r="M448">
        <f t="shared" si="30"/>
        <v>2681.2440000000001</v>
      </c>
      <c r="N448">
        <f t="shared" si="31"/>
        <v>643.76400000000012</v>
      </c>
      <c r="O448" t="str">
        <f t="shared" si="32"/>
        <v>Thursday</v>
      </c>
      <c r="P448" t="b">
        <f t="shared" si="33"/>
        <v>0</v>
      </c>
      <c r="Q448" t="str">
        <f t="shared" si="34"/>
        <v>August</v>
      </c>
    </row>
    <row r="449" spans="1:17" x14ac:dyDescent="0.4">
      <c r="A449" t="s">
        <v>752</v>
      </c>
      <c r="B449" s="1">
        <v>45663</v>
      </c>
      <c r="C449" t="s">
        <v>84</v>
      </c>
      <c r="D449" t="s">
        <v>31</v>
      </c>
      <c r="E449" t="s">
        <v>753</v>
      </c>
      <c r="F449" t="s">
        <v>23</v>
      </c>
      <c r="G449">
        <v>4</v>
      </c>
      <c r="H449">
        <v>1427.28</v>
      </c>
      <c r="I449">
        <v>20</v>
      </c>
      <c r="J449">
        <v>669.67</v>
      </c>
      <c r="K449" t="s">
        <v>17</v>
      </c>
      <c r="L449" t="s">
        <v>18</v>
      </c>
      <c r="M449">
        <f t="shared" si="30"/>
        <v>4567.2960000000003</v>
      </c>
      <c r="N449">
        <f t="shared" si="31"/>
        <v>1888.6160000000004</v>
      </c>
      <c r="O449" t="str">
        <f t="shared" si="32"/>
        <v>Monday</v>
      </c>
      <c r="P449" t="b">
        <f t="shared" si="33"/>
        <v>0</v>
      </c>
      <c r="Q449" t="str">
        <f t="shared" si="34"/>
        <v>January</v>
      </c>
    </row>
    <row r="450" spans="1:17" x14ac:dyDescent="0.4">
      <c r="A450" t="s">
        <v>754</v>
      </c>
      <c r="B450" s="1">
        <v>45930</v>
      </c>
      <c r="C450" t="s">
        <v>84</v>
      </c>
      <c r="D450" t="s">
        <v>46</v>
      </c>
      <c r="E450" t="s">
        <v>322</v>
      </c>
      <c r="F450" t="s">
        <v>16</v>
      </c>
      <c r="G450">
        <v>2</v>
      </c>
      <c r="H450">
        <v>1329.73</v>
      </c>
      <c r="I450">
        <v>25</v>
      </c>
      <c r="J450">
        <v>891.48</v>
      </c>
      <c r="K450" t="s">
        <v>24</v>
      </c>
      <c r="L450" t="s">
        <v>33</v>
      </c>
      <c r="M450">
        <f t="shared" si="30"/>
        <v>1994.595</v>
      </c>
      <c r="N450">
        <f t="shared" si="31"/>
        <v>211.63499999999999</v>
      </c>
      <c r="O450" t="str">
        <f t="shared" si="32"/>
        <v>Tuesday</v>
      </c>
      <c r="P450" t="b">
        <f t="shared" si="33"/>
        <v>0</v>
      </c>
      <c r="Q450" t="str">
        <f t="shared" si="34"/>
        <v>September</v>
      </c>
    </row>
    <row r="451" spans="1:17" x14ac:dyDescent="0.4">
      <c r="A451" t="s">
        <v>755</v>
      </c>
      <c r="B451" s="1">
        <v>45800</v>
      </c>
      <c r="C451" t="s">
        <v>30</v>
      </c>
      <c r="D451" t="s">
        <v>14</v>
      </c>
      <c r="E451" t="s">
        <v>435</v>
      </c>
      <c r="F451" t="s">
        <v>23</v>
      </c>
      <c r="G451">
        <v>5</v>
      </c>
      <c r="H451">
        <v>1476.04</v>
      </c>
      <c r="I451">
        <v>0</v>
      </c>
      <c r="J451">
        <v>767.77</v>
      </c>
      <c r="K451" t="s">
        <v>17</v>
      </c>
      <c r="L451" t="s">
        <v>37</v>
      </c>
      <c r="M451">
        <f t="shared" ref="M451:M514" si="35">G451 * H451 * (1 - I451/100)</f>
        <v>7380.2</v>
      </c>
      <c r="N451">
        <f t="shared" ref="N451:N514" si="36">M451 - (J451 * G451)</f>
        <v>3541.35</v>
      </c>
      <c r="O451" t="str">
        <f t="shared" ref="O451:O514" si="37">TEXT(B451,"dddd")</f>
        <v>Friday</v>
      </c>
      <c r="P451" t="b">
        <f t="shared" ref="P451:P514" si="38">OR(TEXT(B451,"ddd")="Sat", TEXT(B451,"ddd")="Sun")</f>
        <v>0</v>
      </c>
      <c r="Q451" t="str">
        <f t="shared" ref="Q451:Q514" si="39">TEXT(B451,"mmmm")</f>
        <v>May</v>
      </c>
    </row>
    <row r="452" spans="1:17" x14ac:dyDescent="0.4">
      <c r="A452" t="s">
        <v>756</v>
      </c>
      <c r="B452" s="1">
        <v>45403</v>
      </c>
      <c r="C452" t="s">
        <v>171</v>
      </c>
      <c r="D452" t="s">
        <v>31</v>
      </c>
      <c r="E452" t="s">
        <v>757</v>
      </c>
      <c r="F452" t="s">
        <v>16</v>
      </c>
      <c r="G452">
        <v>2</v>
      </c>
      <c r="H452">
        <v>1073.92</v>
      </c>
      <c r="I452">
        <v>5</v>
      </c>
      <c r="J452">
        <v>745.41</v>
      </c>
      <c r="K452" t="s">
        <v>24</v>
      </c>
      <c r="L452" t="s">
        <v>18</v>
      </c>
      <c r="M452">
        <f t="shared" si="35"/>
        <v>2040.4480000000001</v>
      </c>
      <c r="N452">
        <f t="shared" si="36"/>
        <v>549.62800000000016</v>
      </c>
      <c r="O452" t="str">
        <f t="shared" si="37"/>
        <v>Sunday</v>
      </c>
      <c r="P452" t="b">
        <f t="shared" si="38"/>
        <v>1</v>
      </c>
      <c r="Q452" t="str">
        <f t="shared" si="39"/>
        <v>April</v>
      </c>
    </row>
    <row r="453" spans="1:17" x14ac:dyDescent="0.4">
      <c r="A453" t="s">
        <v>758</v>
      </c>
      <c r="B453" s="1">
        <v>45320</v>
      </c>
      <c r="C453" t="s">
        <v>45</v>
      </c>
      <c r="D453" t="s">
        <v>21</v>
      </c>
      <c r="E453" t="s">
        <v>60</v>
      </c>
      <c r="F453" t="s">
        <v>16</v>
      </c>
      <c r="G453">
        <v>4</v>
      </c>
      <c r="H453">
        <v>1881.31</v>
      </c>
      <c r="I453">
        <v>5</v>
      </c>
      <c r="J453">
        <v>811.13</v>
      </c>
      <c r="K453" t="s">
        <v>17</v>
      </c>
      <c r="L453" t="s">
        <v>37</v>
      </c>
      <c r="M453">
        <f t="shared" si="35"/>
        <v>7148.9779999999992</v>
      </c>
      <c r="N453">
        <f t="shared" si="36"/>
        <v>3904.4579999999992</v>
      </c>
      <c r="O453" t="str">
        <f t="shared" si="37"/>
        <v>Monday</v>
      </c>
      <c r="P453" t="b">
        <f t="shared" si="38"/>
        <v>0</v>
      </c>
      <c r="Q453" t="str">
        <f t="shared" si="39"/>
        <v>January</v>
      </c>
    </row>
    <row r="454" spans="1:17" x14ac:dyDescent="0.4">
      <c r="A454" t="s">
        <v>759</v>
      </c>
      <c r="B454" s="1">
        <v>45770</v>
      </c>
      <c r="C454" t="s">
        <v>253</v>
      </c>
      <c r="D454" t="s">
        <v>46</v>
      </c>
      <c r="E454" t="s">
        <v>760</v>
      </c>
      <c r="F454" t="s">
        <v>23</v>
      </c>
      <c r="G454">
        <v>5</v>
      </c>
      <c r="H454">
        <v>2767.69</v>
      </c>
      <c r="I454">
        <v>20</v>
      </c>
      <c r="J454">
        <v>1380.14</v>
      </c>
      <c r="K454" t="s">
        <v>24</v>
      </c>
      <c r="L454" t="s">
        <v>33</v>
      </c>
      <c r="M454">
        <f t="shared" si="35"/>
        <v>11070.760000000002</v>
      </c>
      <c r="N454">
        <f t="shared" si="36"/>
        <v>4170.0600000000013</v>
      </c>
      <c r="O454" t="str">
        <f t="shared" si="37"/>
        <v>Wednesday</v>
      </c>
      <c r="P454" t="b">
        <f t="shared" si="38"/>
        <v>0</v>
      </c>
      <c r="Q454" t="str">
        <f t="shared" si="39"/>
        <v>April</v>
      </c>
    </row>
    <row r="455" spans="1:17" x14ac:dyDescent="0.4">
      <c r="A455" t="s">
        <v>761</v>
      </c>
      <c r="B455" s="1">
        <v>45913</v>
      </c>
      <c r="C455" t="s">
        <v>98</v>
      </c>
      <c r="D455" t="s">
        <v>46</v>
      </c>
      <c r="E455" t="s">
        <v>467</v>
      </c>
      <c r="F455" t="s">
        <v>23</v>
      </c>
      <c r="G455">
        <v>2</v>
      </c>
      <c r="H455">
        <v>500.56</v>
      </c>
      <c r="I455">
        <v>25</v>
      </c>
      <c r="J455">
        <v>264.52999999999997</v>
      </c>
      <c r="K455" t="s">
        <v>24</v>
      </c>
      <c r="L455" t="s">
        <v>37</v>
      </c>
      <c r="M455">
        <f t="shared" si="35"/>
        <v>750.84</v>
      </c>
      <c r="N455">
        <f t="shared" si="36"/>
        <v>221.78000000000009</v>
      </c>
      <c r="O455" t="str">
        <f t="shared" si="37"/>
        <v>Saturday</v>
      </c>
      <c r="P455" t="b">
        <f t="shared" si="38"/>
        <v>1</v>
      </c>
      <c r="Q455" t="str">
        <f t="shared" si="39"/>
        <v>September</v>
      </c>
    </row>
    <row r="456" spans="1:17" x14ac:dyDescent="0.4">
      <c r="A456" t="s">
        <v>762</v>
      </c>
      <c r="B456" s="1">
        <v>45296</v>
      </c>
      <c r="C456" t="s">
        <v>185</v>
      </c>
      <c r="D456" t="s">
        <v>14</v>
      </c>
      <c r="E456" t="s">
        <v>763</v>
      </c>
      <c r="F456" t="s">
        <v>28</v>
      </c>
      <c r="G456">
        <v>3</v>
      </c>
      <c r="H456">
        <v>1534.59</v>
      </c>
      <c r="I456">
        <v>5</v>
      </c>
      <c r="J456">
        <v>993.82</v>
      </c>
      <c r="K456" t="s">
        <v>24</v>
      </c>
      <c r="L456" t="s">
        <v>33</v>
      </c>
      <c r="M456">
        <f t="shared" si="35"/>
        <v>4373.5814999999993</v>
      </c>
      <c r="N456">
        <f t="shared" si="36"/>
        <v>1392.1214999999993</v>
      </c>
      <c r="O456" t="str">
        <f t="shared" si="37"/>
        <v>Friday</v>
      </c>
      <c r="P456" t="b">
        <f t="shared" si="38"/>
        <v>0</v>
      </c>
      <c r="Q456" t="str">
        <f t="shared" si="39"/>
        <v>January</v>
      </c>
    </row>
    <row r="457" spans="1:17" x14ac:dyDescent="0.4">
      <c r="A457" t="s">
        <v>764</v>
      </c>
      <c r="B457" s="1">
        <v>45851</v>
      </c>
      <c r="C457" t="s">
        <v>226</v>
      </c>
      <c r="D457" t="s">
        <v>21</v>
      </c>
      <c r="E457" t="s">
        <v>703</v>
      </c>
      <c r="F457" t="s">
        <v>16</v>
      </c>
      <c r="G457">
        <v>2</v>
      </c>
      <c r="H457">
        <v>2642.54</v>
      </c>
      <c r="I457">
        <v>5</v>
      </c>
      <c r="J457">
        <v>1810.07</v>
      </c>
      <c r="K457" t="s">
        <v>17</v>
      </c>
      <c r="L457" t="s">
        <v>37</v>
      </c>
      <c r="M457">
        <f t="shared" si="35"/>
        <v>5020.826</v>
      </c>
      <c r="N457">
        <f t="shared" si="36"/>
        <v>1400.6860000000001</v>
      </c>
      <c r="O457" t="str">
        <f t="shared" si="37"/>
        <v>Sunday</v>
      </c>
      <c r="P457" t="b">
        <f t="shared" si="38"/>
        <v>1</v>
      </c>
      <c r="Q457" t="str">
        <f t="shared" si="39"/>
        <v>July</v>
      </c>
    </row>
    <row r="458" spans="1:17" x14ac:dyDescent="0.4">
      <c r="A458" t="s">
        <v>765</v>
      </c>
      <c r="B458" s="1">
        <v>45330</v>
      </c>
      <c r="C458" t="s">
        <v>205</v>
      </c>
      <c r="D458" t="s">
        <v>21</v>
      </c>
      <c r="E458" t="s">
        <v>766</v>
      </c>
      <c r="F458" t="s">
        <v>23</v>
      </c>
      <c r="G458">
        <v>1</v>
      </c>
      <c r="H458">
        <v>958.66</v>
      </c>
      <c r="I458">
        <v>25</v>
      </c>
      <c r="J458">
        <v>559.89</v>
      </c>
      <c r="K458" t="s">
        <v>24</v>
      </c>
      <c r="L458" t="s">
        <v>37</v>
      </c>
      <c r="M458">
        <f t="shared" si="35"/>
        <v>718.995</v>
      </c>
      <c r="N458">
        <f t="shared" si="36"/>
        <v>159.10500000000002</v>
      </c>
      <c r="O458" t="str">
        <f t="shared" si="37"/>
        <v>Thursday</v>
      </c>
      <c r="P458" t="b">
        <f t="shared" si="38"/>
        <v>0</v>
      </c>
      <c r="Q458" t="str">
        <f t="shared" si="39"/>
        <v>February</v>
      </c>
    </row>
    <row r="459" spans="1:17" x14ac:dyDescent="0.4">
      <c r="A459" t="s">
        <v>767</v>
      </c>
      <c r="B459" s="1">
        <v>45590</v>
      </c>
      <c r="C459" t="s">
        <v>253</v>
      </c>
      <c r="D459" t="s">
        <v>46</v>
      </c>
      <c r="E459" t="s">
        <v>768</v>
      </c>
      <c r="F459" t="s">
        <v>23</v>
      </c>
      <c r="G459">
        <v>1</v>
      </c>
      <c r="H459">
        <v>2740.36</v>
      </c>
      <c r="I459">
        <v>0</v>
      </c>
      <c r="J459">
        <v>1500.71</v>
      </c>
      <c r="K459" t="s">
        <v>24</v>
      </c>
      <c r="L459" t="s">
        <v>33</v>
      </c>
      <c r="M459">
        <f t="shared" si="35"/>
        <v>2740.36</v>
      </c>
      <c r="N459">
        <f t="shared" si="36"/>
        <v>1239.6500000000001</v>
      </c>
      <c r="O459" t="str">
        <f t="shared" si="37"/>
        <v>Friday</v>
      </c>
      <c r="P459" t="b">
        <f t="shared" si="38"/>
        <v>0</v>
      </c>
      <c r="Q459" t="str">
        <f t="shared" si="39"/>
        <v>October</v>
      </c>
    </row>
    <row r="460" spans="1:17" x14ac:dyDescent="0.4">
      <c r="A460" t="s">
        <v>769</v>
      </c>
      <c r="B460" s="1">
        <v>45719</v>
      </c>
      <c r="C460" t="s">
        <v>54</v>
      </c>
      <c r="D460" t="s">
        <v>46</v>
      </c>
      <c r="E460" t="s">
        <v>667</v>
      </c>
      <c r="F460" t="s">
        <v>23</v>
      </c>
      <c r="G460">
        <v>1</v>
      </c>
      <c r="H460">
        <v>2880.49</v>
      </c>
      <c r="I460">
        <v>10</v>
      </c>
      <c r="J460">
        <v>1489.41</v>
      </c>
      <c r="K460" t="s">
        <v>24</v>
      </c>
      <c r="L460" t="s">
        <v>37</v>
      </c>
      <c r="M460">
        <f t="shared" si="35"/>
        <v>2592.4409999999998</v>
      </c>
      <c r="N460">
        <f t="shared" si="36"/>
        <v>1103.0309999999997</v>
      </c>
      <c r="O460" t="str">
        <f t="shared" si="37"/>
        <v>Monday</v>
      </c>
      <c r="P460" t="b">
        <f t="shared" si="38"/>
        <v>0</v>
      </c>
      <c r="Q460" t="str">
        <f t="shared" si="39"/>
        <v>March</v>
      </c>
    </row>
    <row r="461" spans="1:17" x14ac:dyDescent="0.4">
      <c r="A461" t="s">
        <v>770</v>
      </c>
      <c r="B461" s="1">
        <v>45449</v>
      </c>
      <c r="C461" t="s">
        <v>251</v>
      </c>
      <c r="D461" t="s">
        <v>31</v>
      </c>
      <c r="E461" t="s">
        <v>276</v>
      </c>
      <c r="F461" t="s">
        <v>16</v>
      </c>
      <c r="G461">
        <v>4</v>
      </c>
      <c r="H461">
        <v>2655.9</v>
      </c>
      <c r="I461">
        <v>20</v>
      </c>
      <c r="J461">
        <v>1164.93</v>
      </c>
      <c r="K461" t="s">
        <v>24</v>
      </c>
      <c r="L461" t="s">
        <v>18</v>
      </c>
      <c r="M461">
        <f t="shared" si="35"/>
        <v>8498.880000000001</v>
      </c>
      <c r="N461">
        <f t="shared" si="36"/>
        <v>3839.1600000000008</v>
      </c>
      <c r="O461" t="str">
        <f t="shared" si="37"/>
        <v>Thursday</v>
      </c>
      <c r="P461" t="b">
        <f t="shared" si="38"/>
        <v>0</v>
      </c>
      <c r="Q461" t="str">
        <f t="shared" si="39"/>
        <v>June</v>
      </c>
    </row>
    <row r="462" spans="1:17" x14ac:dyDescent="0.4">
      <c r="A462" t="s">
        <v>771</v>
      </c>
      <c r="B462" s="1">
        <v>45929</v>
      </c>
      <c r="C462" t="s">
        <v>100</v>
      </c>
      <c r="D462" t="s">
        <v>46</v>
      </c>
      <c r="E462" t="s">
        <v>258</v>
      </c>
      <c r="F462" t="s">
        <v>23</v>
      </c>
      <c r="G462">
        <v>1</v>
      </c>
      <c r="H462">
        <v>2590.71</v>
      </c>
      <c r="I462">
        <v>10</v>
      </c>
      <c r="J462">
        <v>1745.49</v>
      </c>
      <c r="K462" t="s">
        <v>24</v>
      </c>
      <c r="L462" t="s">
        <v>33</v>
      </c>
      <c r="M462">
        <f t="shared" si="35"/>
        <v>2331.6390000000001</v>
      </c>
      <c r="N462">
        <f t="shared" si="36"/>
        <v>586.14900000000011</v>
      </c>
      <c r="O462" t="str">
        <f t="shared" si="37"/>
        <v>Monday</v>
      </c>
      <c r="P462" t="b">
        <f t="shared" si="38"/>
        <v>0</v>
      </c>
      <c r="Q462" t="str">
        <f t="shared" si="39"/>
        <v>September</v>
      </c>
    </row>
    <row r="463" spans="1:17" x14ac:dyDescent="0.4">
      <c r="A463" t="s">
        <v>772</v>
      </c>
      <c r="B463" s="1">
        <v>45738</v>
      </c>
      <c r="C463" t="s">
        <v>71</v>
      </c>
      <c r="D463" t="s">
        <v>46</v>
      </c>
      <c r="E463" t="s">
        <v>352</v>
      </c>
      <c r="F463" t="s">
        <v>16</v>
      </c>
      <c r="G463">
        <v>4</v>
      </c>
      <c r="H463">
        <v>1824.21</v>
      </c>
      <c r="I463">
        <v>20</v>
      </c>
      <c r="J463">
        <v>774.85</v>
      </c>
      <c r="K463" t="s">
        <v>24</v>
      </c>
      <c r="L463" t="s">
        <v>33</v>
      </c>
      <c r="M463">
        <f t="shared" si="35"/>
        <v>5837.4720000000007</v>
      </c>
      <c r="N463">
        <f t="shared" si="36"/>
        <v>2738.0720000000006</v>
      </c>
      <c r="O463" t="str">
        <f t="shared" si="37"/>
        <v>Saturday</v>
      </c>
      <c r="P463" t="b">
        <f t="shared" si="38"/>
        <v>1</v>
      </c>
      <c r="Q463" t="str">
        <f t="shared" si="39"/>
        <v>March</v>
      </c>
    </row>
    <row r="464" spans="1:17" x14ac:dyDescent="0.4">
      <c r="A464" t="s">
        <v>773</v>
      </c>
      <c r="B464" s="1">
        <v>45900</v>
      </c>
      <c r="C464" t="s">
        <v>42</v>
      </c>
      <c r="D464" t="s">
        <v>31</v>
      </c>
      <c r="E464" t="s">
        <v>419</v>
      </c>
      <c r="F464" t="s">
        <v>23</v>
      </c>
      <c r="G464">
        <v>5</v>
      </c>
      <c r="H464">
        <v>2527.9899999999998</v>
      </c>
      <c r="I464">
        <v>5</v>
      </c>
      <c r="J464">
        <v>1265.75</v>
      </c>
      <c r="K464" t="s">
        <v>17</v>
      </c>
      <c r="L464" t="s">
        <v>33</v>
      </c>
      <c r="M464">
        <f t="shared" si="35"/>
        <v>12007.952499999998</v>
      </c>
      <c r="N464">
        <f t="shared" si="36"/>
        <v>5679.2024999999976</v>
      </c>
      <c r="O464" t="str">
        <f t="shared" si="37"/>
        <v>Sunday</v>
      </c>
      <c r="P464" t="b">
        <f t="shared" si="38"/>
        <v>1</v>
      </c>
      <c r="Q464" t="str">
        <f t="shared" si="39"/>
        <v>August</v>
      </c>
    </row>
    <row r="465" spans="1:17" x14ac:dyDescent="0.4">
      <c r="A465" t="s">
        <v>774</v>
      </c>
      <c r="B465" s="1">
        <v>45436</v>
      </c>
      <c r="C465" t="s">
        <v>241</v>
      </c>
      <c r="D465" t="s">
        <v>31</v>
      </c>
      <c r="E465" t="s">
        <v>105</v>
      </c>
      <c r="F465" t="s">
        <v>16</v>
      </c>
      <c r="G465">
        <v>5</v>
      </c>
      <c r="H465">
        <v>2796.55</v>
      </c>
      <c r="I465">
        <v>15</v>
      </c>
      <c r="J465">
        <v>1475.04</v>
      </c>
      <c r="K465" t="s">
        <v>24</v>
      </c>
      <c r="L465" t="s">
        <v>37</v>
      </c>
      <c r="M465">
        <f t="shared" si="35"/>
        <v>11885.3375</v>
      </c>
      <c r="N465">
        <f t="shared" si="36"/>
        <v>4510.1374999999998</v>
      </c>
      <c r="O465" t="str">
        <f t="shared" si="37"/>
        <v>Friday</v>
      </c>
      <c r="P465" t="b">
        <f t="shared" si="38"/>
        <v>0</v>
      </c>
      <c r="Q465" t="str">
        <f t="shared" si="39"/>
        <v>May</v>
      </c>
    </row>
    <row r="466" spans="1:17" x14ac:dyDescent="0.4">
      <c r="A466" t="s">
        <v>775</v>
      </c>
      <c r="B466" s="1">
        <v>45632</v>
      </c>
      <c r="C466" t="s">
        <v>95</v>
      </c>
      <c r="D466" t="s">
        <v>31</v>
      </c>
      <c r="E466" t="s">
        <v>532</v>
      </c>
      <c r="F466" t="s">
        <v>16</v>
      </c>
      <c r="G466">
        <v>4</v>
      </c>
      <c r="H466">
        <v>312.45</v>
      </c>
      <c r="I466">
        <v>25</v>
      </c>
      <c r="J466">
        <v>203.25</v>
      </c>
      <c r="K466" t="s">
        <v>17</v>
      </c>
      <c r="L466" t="s">
        <v>18</v>
      </c>
      <c r="M466">
        <f t="shared" si="35"/>
        <v>937.34999999999991</v>
      </c>
      <c r="N466">
        <f t="shared" si="36"/>
        <v>124.34999999999991</v>
      </c>
      <c r="O466" t="str">
        <f t="shared" si="37"/>
        <v>Friday</v>
      </c>
      <c r="P466" t="b">
        <f t="shared" si="38"/>
        <v>0</v>
      </c>
      <c r="Q466" t="str">
        <f t="shared" si="39"/>
        <v>December</v>
      </c>
    </row>
    <row r="467" spans="1:17" x14ac:dyDescent="0.4">
      <c r="A467" t="s">
        <v>776</v>
      </c>
      <c r="B467" s="1">
        <v>45318</v>
      </c>
      <c r="C467" t="s">
        <v>84</v>
      </c>
      <c r="D467" t="s">
        <v>21</v>
      </c>
      <c r="E467" t="s">
        <v>425</v>
      </c>
      <c r="F467" t="s">
        <v>16</v>
      </c>
      <c r="G467">
        <v>3</v>
      </c>
      <c r="H467">
        <v>2889.39</v>
      </c>
      <c r="I467">
        <v>30</v>
      </c>
      <c r="J467">
        <v>1507.61</v>
      </c>
      <c r="K467" t="s">
        <v>17</v>
      </c>
      <c r="L467" t="s">
        <v>33</v>
      </c>
      <c r="M467">
        <f t="shared" si="35"/>
        <v>6067.7190000000001</v>
      </c>
      <c r="N467">
        <f t="shared" si="36"/>
        <v>1544.8890000000001</v>
      </c>
      <c r="O467" t="str">
        <f t="shared" si="37"/>
        <v>Saturday</v>
      </c>
      <c r="P467" t="b">
        <f t="shared" si="38"/>
        <v>1</v>
      </c>
      <c r="Q467" t="str">
        <f t="shared" si="39"/>
        <v>January</v>
      </c>
    </row>
    <row r="468" spans="1:17" x14ac:dyDescent="0.4">
      <c r="A468" t="s">
        <v>777</v>
      </c>
      <c r="B468" s="1">
        <v>45882</v>
      </c>
      <c r="C468" t="s">
        <v>182</v>
      </c>
      <c r="D468" t="s">
        <v>21</v>
      </c>
      <c r="E468" t="s">
        <v>216</v>
      </c>
      <c r="F468" t="s">
        <v>28</v>
      </c>
      <c r="G468">
        <v>3</v>
      </c>
      <c r="H468">
        <v>937.14</v>
      </c>
      <c r="I468">
        <v>20</v>
      </c>
      <c r="J468">
        <v>580.30999999999995</v>
      </c>
      <c r="K468" t="s">
        <v>17</v>
      </c>
      <c r="L468" t="s">
        <v>33</v>
      </c>
      <c r="M468">
        <f t="shared" si="35"/>
        <v>2249.136</v>
      </c>
      <c r="N468">
        <f t="shared" si="36"/>
        <v>508.20600000000013</v>
      </c>
      <c r="O468" t="str">
        <f t="shared" si="37"/>
        <v>Wednesday</v>
      </c>
      <c r="P468" t="b">
        <f t="shared" si="38"/>
        <v>0</v>
      </c>
      <c r="Q468" t="str">
        <f t="shared" si="39"/>
        <v>August</v>
      </c>
    </row>
    <row r="469" spans="1:17" x14ac:dyDescent="0.4">
      <c r="A469" t="s">
        <v>778</v>
      </c>
      <c r="B469" s="1">
        <v>45368</v>
      </c>
      <c r="C469" t="s">
        <v>193</v>
      </c>
      <c r="D469" t="s">
        <v>21</v>
      </c>
      <c r="E469" t="s">
        <v>348</v>
      </c>
      <c r="F469" t="s">
        <v>16</v>
      </c>
      <c r="G469">
        <v>3</v>
      </c>
      <c r="H469">
        <v>1211.07</v>
      </c>
      <c r="I469">
        <v>25</v>
      </c>
      <c r="J469">
        <v>810.39</v>
      </c>
      <c r="K469" t="s">
        <v>24</v>
      </c>
      <c r="L469" t="s">
        <v>18</v>
      </c>
      <c r="M469">
        <f t="shared" si="35"/>
        <v>2724.9075000000003</v>
      </c>
      <c r="N469">
        <f t="shared" si="36"/>
        <v>293.73750000000018</v>
      </c>
      <c r="O469" t="str">
        <f t="shared" si="37"/>
        <v>Sunday</v>
      </c>
      <c r="P469" t="b">
        <f t="shared" si="38"/>
        <v>1</v>
      </c>
      <c r="Q469" t="str">
        <f t="shared" si="39"/>
        <v>March</v>
      </c>
    </row>
    <row r="470" spans="1:17" x14ac:dyDescent="0.4">
      <c r="A470" t="s">
        <v>779</v>
      </c>
      <c r="B470" s="1">
        <v>45416</v>
      </c>
      <c r="C470" t="s">
        <v>119</v>
      </c>
      <c r="D470" t="s">
        <v>14</v>
      </c>
      <c r="E470" t="s">
        <v>780</v>
      </c>
      <c r="F470" t="s">
        <v>16</v>
      </c>
      <c r="G470">
        <v>5</v>
      </c>
      <c r="H470">
        <v>2462.46</v>
      </c>
      <c r="I470">
        <v>0</v>
      </c>
      <c r="J470">
        <v>1052.52</v>
      </c>
      <c r="K470" t="s">
        <v>24</v>
      </c>
      <c r="L470" t="s">
        <v>18</v>
      </c>
      <c r="M470">
        <f t="shared" si="35"/>
        <v>12312.3</v>
      </c>
      <c r="N470">
        <f t="shared" si="36"/>
        <v>7049.6999999999989</v>
      </c>
      <c r="O470" t="str">
        <f t="shared" si="37"/>
        <v>Saturday</v>
      </c>
      <c r="P470" t="b">
        <f t="shared" si="38"/>
        <v>1</v>
      </c>
      <c r="Q470" t="str">
        <f t="shared" si="39"/>
        <v>May</v>
      </c>
    </row>
    <row r="471" spans="1:17" x14ac:dyDescent="0.4">
      <c r="A471" t="s">
        <v>781</v>
      </c>
      <c r="B471" s="1">
        <v>45594</v>
      </c>
      <c r="C471" t="s">
        <v>302</v>
      </c>
      <c r="D471" t="s">
        <v>21</v>
      </c>
      <c r="E471" t="s">
        <v>186</v>
      </c>
      <c r="F471" t="s">
        <v>23</v>
      </c>
      <c r="G471">
        <v>2</v>
      </c>
      <c r="H471">
        <v>364.39</v>
      </c>
      <c r="I471">
        <v>15</v>
      </c>
      <c r="J471">
        <v>247.85</v>
      </c>
      <c r="K471" t="s">
        <v>17</v>
      </c>
      <c r="L471" t="s">
        <v>18</v>
      </c>
      <c r="M471">
        <f t="shared" si="35"/>
        <v>619.46299999999997</v>
      </c>
      <c r="N471">
        <f t="shared" si="36"/>
        <v>123.76299999999998</v>
      </c>
      <c r="O471" t="str">
        <f t="shared" si="37"/>
        <v>Tuesday</v>
      </c>
      <c r="P471" t="b">
        <f t="shared" si="38"/>
        <v>0</v>
      </c>
      <c r="Q471" t="str">
        <f t="shared" si="39"/>
        <v>October</v>
      </c>
    </row>
    <row r="472" spans="1:17" x14ac:dyDescent="0.4">
      <c r="A472" t="s">
        <v>782</v>
      </c>
      <c r="B472" s="1">
        <v>45575</v>
      </c>
      <c r="C472" t="s">
        <v>77</v>
      </c>
      <c r="D472" t="s">
        <v>46</v>
      </c>
      <c r="E472" t="s">
        <v>766</v>
      </c>
      <c r="F472" t="s">
        <v>23</v>
      </c>
      <c r="G472">
        <v>2</v>
      </c>
      <c r="H472">
        <v>1191.28</v>
      </c>
      <c r="I472">
        <v>10</v>
      </c>
      <c r="J472">
        <v>666.14</v>
      </c>
      <c r="K472" t="s">
        <v>24</v>
      </c>
      <c r="L472" t="s">
        <v>18</v>
      </c>
      <c r="M472">
        <f t="shared" si="35"/>
        <v>2144.3040000000001</v>
      </c>
      <c r="N472">
        <f t="shared" si="36"/>
        <v>812.02400000000011</v>
      </c>
      <c r="O472" t="str">
        <f t="shared" si="37"/>
        <v>Thursday</v>
      </c>
      <c r="P472" t="b">
        <f t="shared" si="38"/>
        <v>0</v>
      </c>
      <c r="Q472" t="str">
        <f t="shared" si="39"/>
        <v>October</v>
      </c>
    </row>
    <row r="473" spans="1:17" x14ac:dyDescent="0.4">
      <c r="A473" t="s">
        <v>783</v>
      </c>
      <c r="B473" s="1">
        <v>45639</v>
      </c>
      <c r="C473" t="s">
        <v>251</v>
      </c>
      <c r="D473" t="s">
        <v>31</v>
      </c>
      <c r="E473" t="s">
        <v>392</v>
      </c>
      <c r="F473" t="s">
        <v>28</v>
      </c>
      <c r="G473">
        <v>2</v>
      </c>
      <c r="H473">
        <v>1275.73</v>
      </c>
      <c r="I473">
        <v>5</v>
      </c>
      <c r="J473">
        <v>877.29</v>
      </c>
      <c r="K473" t="s">
        <v>17</v>
      </c>
      <c r="L473" t="s">
        <v>18</v>
      </c>
      <c r="M473">
        <f t="shared" si="35"/>
        <v>2423.8869999999997</v>
      </c>
      <c r="N473">
        <f t="shared" si="36"/>
        <v>669.30699999999979</v>
      </c>
      <c r="O473" t="str">
        <f t="shared" si="37"/>
        <v>Friday</v>
      </c>
      <c r="P473" t="b">
        <f t="shared" si="38"/>
        <v>0</v>
      </c>
      <c r="Q473" t="str">
        <f t="shared" si="39"/>
        <v>December</v>
      </c>
    </row>
    <row r="474" spans="1:17" x14ac:dyDescent="0.4">
      <c r="A474" t="s">
        <v>784</v>
      </c>
      <c r="B474" s="1">
        <v>45296</v>
      </c>
      <c r="C474" t="s">
        <v>114</v>
      </c>
      <c r="D474" t="s">
        <v>46</v>
      </c>
      <c r="E474" t="s">
        <v>336</v>
      </c>
      <c r="F474" t="s">
        <v>23</v>
      </c>
      <c r="G474">
        <v>4</v>
      </c>
      <c r="H474">
        <v>1641.07</v>
      </c>
      <c r="I474">
        <v>10</v>
      </c>
      <c r="J474">
        <v>1131.06</v>
      </c>
      <c r="K474" t="s">
        <v>17</v>
      </c>
      <c r="L474" t="s">
        <v>37</v>
      </c>
      <c r="M474">
        <f t="shared" si="35"/>
        <v>5907.8519999999999</v>
      </c>
      <c r="N474">
        <f t="shared" si="36"/>
        <v>1383.6120000000001</v>
      </c>
      <c r="O474" t="str">
        <f t="shared" si="37"/>
        <v>Friday</v>
      </c>
      <c r="P474" t="b">
        <f t="shared" si="38"/>
        <v>0</v>
      </c>
      <c r="Q474" t="str">
        <f t="shared" si="39"/>
        <v>January</v>
      </c>
    </row>
    <row r="475" spans="1:17" x14ac:dyDescent="0.4">
      <c r="A475" t="s">
        <v>785</v>
      </c>
      <c r="B475" s="1">
        <v>45958</v>
      </c>
      <c r="C475" t="s">
        <v>375</v>
      </c>
      <c r="D475" t="s">
        <v>14</v>
      </c>
      <c r="E475" t="s">
        <v>435</v>
      </c>
      <c r="F475" t="s">
        <v>28</v>
      </c>
      <c r="G475">
        <v>3</v>
      </c>
      <c r="H475">
        <v>1840.87</v>
      </c>
      <c r="I475">
        <v>10</v>
      </c>
      <c r="J475">
        <v>1042.17</v>
      </c>
      <c r="K475" t="s">
        <v>24</v>
      </c>
      <c r="L475" t="s">
        <v>18</v>
      </c>
      <c r="M475">
        <f t="shared" si="35"/>
        <v>4970.3490000000002</v>
      </c>
      <c r="N475">
        <f t="shared" si="36"/>
        <v>1843.8389999999999</v>
      </c>
      <c r="O475" t="str">
        <f t="shared" si="37"/>
        <v>Tuesday</v>
      </c>
      <c r="P475" t="b">
        <f t="shared" si="38"/>
        <v>0</v>
      </c>
      <c r="Q475" t="str">
        <f t="shared" si="39"/>
        <v>October</v>
      </c>
    </row>
    <row r="476" spans="1:17" x14ac:dyDescent="0.4">
      <c r="A476" t="s">
        <v>786</v>
      </c>
      <c r="B476" s="1">
        <v>45848</v>
      </c>
      <c r="C476" t="s">
        <v>159</v>
      </c>
      <c r="D476" t="s">
        <v>14</v>
      </c>
      <c r="E476" t="s">
        <v>153</v>
      </c>
      <c r="F476" t="s">
        <v>23</v>
      </c>
      <c r="G476">
        <v>3</v>
      </c>
      <c r="H476">
        <v>2696.74</v>
      </c>
      <c r="I476">
        <v>30</v>
      </c>
      <c r="J476">
        <v>1377.25</v>
      </c>
      <c r="K476" t="s">
        <v>17</v>
      </c>
      <c r="L476" t="s">
        <v>18</v>
      </c>
      <c r="M476">
        <f t="shared" si="35"/>
        <v>5663.1539999999995</v>
      </c>
      <c r="N476">
        <f t="shared" si="36"/>
        <v>1531.4039999999995</v>
      </c>
      <c r="O476" t="str">
        <f t="shared" si="37"/>
        <v>Thursday</v>
      </c>
      <c r="P476" t="b">
        <f t="shared" si="38"/>
        <v>0</v>
      </c>
      <c r="Q476" t="str">
        <f t="shared" si="39"/>
        <v>July</v>
      </c>
    </row>
    <row r="477" spans="1:17" x14ac:dyDescent="0.4">
      <c r="A477" t="s">
        <v>787</v>
      </c>
      <c r="B477" s="1">
        <v>45698</v>
      </c>
      <c r="C477" t="s">
        <v>119</v>
      </c>
      <c r="D477" t="s">
        <v>46</v>
      </c>
      <c r="E477" t="s">
        <v>348</v>
      </c>
      <c r="F477" t="s">
        <v>16</v>
      </c>
      <c r="G477">
        <v>1</v>
      </c>
      <c r="H477">
        <v>683.52</v>
      </c>
      <c r="I477">
        <v>10</v>
      </c>
      <c r="J477">
        <v>362.72</v>
      </c>
      <c r="K477" t="s">
        <v>24</v>
      </c>
      <c r="L477" t="s">
        <v>18</v>
      </c>
      <c r="M477">
        <f t="shared" si="35"/>
        <v>615.16800000000001</v>
      </c>
      <c r="N477">
        <f t="shared" si="36"/>
        <v>252.44799999999998</v>
      </c>
      <c r="O477" t="str">
        <f t="shared" si="37"/>
        <v>Monday</v>
      </c>
      <c r="P477" t="b">
        <f t="shared" si="38"/>
        <v>0</v>
      </c>
      <c r="Q477" t="str">
        <f t="shared" si="39"/>
        <v>February</v>
      </c>
    </row>
    <row r="478" spans="1:17" x14ac:dyDescent="0.4">
      <c r="A478" t="s">
        <v>788</v>
      </c>
      <c r="B478" s="1">
        <v>45387</v>
      </c>
      <c r="C478" t="s">
        <v>159</v>
      </c>
      <c r="D478" t="s">
        <v>46</v>
      </c>
      <c r="E478" t="s">
        <v>280</v>
      </c>
      <c r="F478" t="s">
        <v>16</v>
      </c>
      <c r="G478">
        <v>3</v>
      </c>
      <c r="H478">
        <v>2972.02</v>
      </c>
      <c r="I478">
        <v>25</v>
      </c>
      <c r="J478">
        <v>1760.72</v>
      </c>
      <c r="K478" t="s">
        <v>17</v>
      </c>
      <c r="L478" t="s">
        <v>37</v>
      </c>
      <c r="M478">
        <f t="shared" si="35"/>
        <v>6687.0450000000001</v>
      </c>
      <c r="N478">
        <f t="shared" si="36"/>
        <v>1404.8850000000002</v>
      </c>
      <c r="O478" t="str">
        <f t="shared" si="37"/>
        <v>Friday</v>
      </c>
      <c r="P478" t="b">
        <f t="shared" si="38"/>
        <v>0</v>
      </c>
      <c r="Q478" t="str">
        <f t="shared" si="39"/>
        <v>April</v>
      </c>
    </row>
    <row r="479" spans="1:17" x14ac:dyDescent="0.4">
      <c r="A479" t="s">
        <v>789</v>
      </c>
      <c r="B479" s="1">
        <v>45853</v>
      </c>
      <c r="C479" t="s">
        <v>193</v>
      </c>
      <c r="D479" t="s">
        <v>14</v>
      </c>
      <c r="E479" t="s">
        <v>348</v>
      </c>
      <c r="F479" t="s">
        <v>28</v>
      </c>
      <c r="G479">
        <v>2</v>
      </c>
      <c r="H479">
        <v>2980.6</v>
      </c>
      <c r="I479">
        <v>30</v>
      </c>
      <c r="J479">
        <v>1891.23</v>
      </c>
      <c r="K479" t="s">
        <v>24</v>
      </c>
      <c r="L479" t="s">
        <v>33</v>
      </c>
      <c r="M479">
        <f t="shared" si="35"/>
        <v>4172.8399999999992</v>
      </c>
      <c r="N479">
        <f t="shared" si="36"/>
        <v>390.3799999999992</v>
      </c>
      <c r="O479" t="str">
        <f t="shared" si="37"/>
        <v>Tuesday</v>
      </c>
      <c r="P479" t="b">
        <f t="shared" si="38"/>
        <v>0</v>
      </c>
      <c r="Q479" t="str">
        <f t="shared" si="39"/>
        <v>July</v>
      </c>
    </row>
    <row r="480" spans="1:17" x14ac:dyDescent="0.4">
      <c r="A480" t="s">
        <v>790</v>
      </c>
      <c r="B480" s="1">
        <v>45739</v>
      </c>
      <c r="C480" t="s">
        <v>185</v>
      </c>
      <c r="D480" t="s">
        <v>21</v>
      </c>
      <c r="E480" t="s">
        <v>282</v>
      </c>
      <c r="F480" t="s">
        <v>28</v>
      </c>
      <c r="G480">
        <v>1</v>
      </c>
      <c r="H480">
        <v>1191.81</v>
      </c>
      <c r="I480">
        <v>20</v>
      </c>
      <c r="J480">
        <v>727.59</v>
      </c>
      <c r="K480" t="s">
        <v>17</v>
      </c>
      <c r="L480" t="s">
        <v>33</v>
      </c>
      <c r="M480">
        <f t="shared" si="35"/>
        <v>953.44799999999998</v>
      </c>
      <c r="N480">
        <f t="shared" si="36"/>
        <v>225.85799999999995</v>
      </c>
      <c r="O480" t="str">
        <f t="shared" si="37"/>
        <v>Sunday</v>
      </c>
      <c r="P480" t="b">
        <f t="shared" si="38"/>
        <v>1</v>
      </c>
      <c r="Q480" t="str">
        <f t="shared" si="39"/>
        <v>March</v>
      </c>
    </row>
    <row r="481" spans="1:17" x14ac:dyDescent="0.4">
      <c r="A481" t="s">
        <v>791</v>
      </c>
      <c r="B481" s="1">
        <v>45478</v>
      </c>
      <c r="C481" t="s">
        <v>45</v>
      </c>
      <c r="D481" t="s">
        <v>21</v>
      </c>
      <c r="E481" t="s">
        <v>792</v>
      </c>
      <c r="F481" t="s">
        <v>23</v>
      </c>
      <c r="G481">
        <v>3</v>
      </c>
      <c r="H481">
        <v>2759.9</v>
      </c>
      <c r="I481">
        <v>20</v>
      </c>
      <c r="J481">
        <v>1709.54</v>
      </c>
      <c r="K481" t="s">
        <v>24</v>
      </c>
      <c r="L481" t="s">
        <v>33</v>
      </c>
      <c r="M481">
        <f t="shared" si="35"/>
        <v>6623.7600000000011</v>
      </c>
      <c r="N481">
        <f t="shared" si="36"/>
        <v>1495.1400000000012</v>
      </c>
      <c r="O481" t="str">
        <f t="shared" si="37"/>
        <v>Friday</v>
      </c>
      <c r="P481" t="b">
        <f t="shared" si="38"/>
        <v>0</v>
      </c>
      <c r="Q481" t="str">
        <f t="shared" si="39"/>
        <v>July</v>
      </c>
    </row>
    <row r="482" spans="1:17" x14ac:dyDescent="0.4">
      <c r="A482" t="s">
        <v>793</v>
      </c>
      <c r="B482" s="1">
        <v>45556</v>
      </c>
      <c r="C482" t="s">
        <v>59</v>
      </c>
      <c r="D482" t="s">
        <v>46</v>
      </c>
      <c r="E482" t="s">
        <v>766</v>
      </c>
      <c r="F482" t="s">
        <v>16</v>
      </c>
      <c r="G482">
        <v>1</v>
      </c>
      <c r="H482">
        <v>1845.32</v>
      </c>
      <c r="I482">
        <v>15</v>
      </c>
      <c r="J482">
        <v>1088.6300000000001</v>
      </c>
      <c r="K482" t="s">
        <v>17</v>
      </c>
      <c r="L482" t="s">
        <v>18</v>
      </c>
      <c r="M482">
        <f t="shared" si="35"/>
        <v>1568.5219999999999</v>
      </c>
      <c r="N482">
        <f t="shared" si="36"/>
        <v>479.89199999999983</v>
      </c>
      <c r="O482" t="str">
        <f t="shared" si="37"/>
        <v>Saturday</v>
      </c>
      <c r="P482" t="b">
        <f t="shared" si="38"/>
        <v>1</v>
      </c>
      <c r="Q482" t="str">
        <f t="shared" si="39"/>
        <v>September</v>
      </c>
    </row>
    <row r="483" spans="1:17" x14ac:dyDescent="0.4">
      <c r="A483" t="s">
        <v>794</v>
      </c>
      <c r="B483" s="1">
        <v>45456</v>
      </c>
      <c r="C483" t="s">
        <v>253</v>
      </c>
      <c r="D483" t="s">
        <v>46</v>
      </c>
      <c r="E483" t="s">
        <v>792</v>
      </c>
      <c r="F483" t="s">
        <v>16</v>
      </c>
      <c r="G483">
        <v>3</v>
      </c>
      <c r="H483">
        <v>755.33</v>
      </c>
      <c r="I483">
        <v>30</v>
      </c>
      <c r="J483">
        <v>345.01</v>
      </c>
      <c r="K483" t="s">
        <v>17</v>
      </c>
      <c r="L483" t="s">
        <v>18</v>
      </c>
      <c r="M483">
        <f t="shared" si="35"/>
        <v>1586.193</v>
      </c>
      <c r="N483">
        <f t="shared" si="36"/>
        <v>551.16300000000001</v>
      </c>
      <c r="O483" t="str">
        <f t="shared" si="37"/>
        <v>Thursday</v>
      </c>
      <c r="P483" t="b">
        <f t="shared" si="38"/>
        <v>0</v>
      </c>
      <c r="Q483" t="str">
        <f t="shared" si="39"/>
        <v>June</v>
      </c>
    </row>
    <row r="484" spans="1:17" x14ac:dyDescent="0.4">
      <c r="A484" t="s">
        <v>795</v>
      </c>
      <c r="B484" s="1">
        <v>45740</v>
      </c>
      <c r="C484" t="s">
        <v>109</v>
      </c>
      <c r="D484" t="s">
        <v>46</v>
      </c>
      <c r="E484" t="s">
        <v>796</v>
      </c>
      <c r="F484" t="s">
        <v>23</v>
      </c>
      <c r="G484">
        <v>5</v>
      </c>
      <c r="H484">
        <v>2887.53</v>
      </c>
      <c r="I484">
        <v>25</v>
      </c>
      <c r="J484">
        <v>1908.67</v>
      </c>
      <c r="K484" t="s">
        <v>17</v>
      </c>
      <c r="L484" t="s">
        <v>18</v>
      </c>
      <c r="M484">
        <f t="shared" si="35"/>
        <v>10828.237500000001</v>
      </c>
      <c r="N484">
        <f t="shared" si="36"/>
        <v>1284.8875000000007</v>
      </c>
      <c r="O484" t="str">
        <f t="shared" si="37"/>
        <v>Monday</v>
      </c>
      <c r="P484" t="b">
        <f t="shared" si="38"/>
        <v>0</v>
      </c>
      <c r="Q484" t="str">
        <f t="shared" si="39"/>
        <v>March</v>
      </c>
    </row>
    <row r="485" spans="1:17" x14ac:dyDescent="0.4">
      <c r="A485" t="s">
        <v>797</v>
      </c>
      <c r="B485" s="1">
        <v>45318</v>
      </c>
      <c r="C485" t="s">
        <v>144</v>
      </c>
      <c r="D485" t="s">
        <v>14</v>
      </c>
      <c r="E485" t="s">
        <v>686</v>
      </c>
      <c r="F485" t="s">
        <v>23</v>
      </c>
      <c r="G485">
        <v>5</v>
      </c>
      <c r="H485">
        <v>1301.98</v>
      </c>
      <c r="I485">
        <v>30</v>
      </c>
      <c r="J485">
        <v>877.39</v>
      </c>
      <c r="K485" t="s">
        <v>17</v>
      </c>
      <c r="L485" t="s">
        <v>18</v>
      </c>
      <c r="M485">
        <f t="shared" si="35"/>
        <v>4556.9299999999994</v>
      </c>
      <c r="N485">
        <f t="shared" si="36"/>
        <v>169.97999999999956</v>
      </c>
      <c r="O485" t="str">
        <f t="shared" si="37"/>
        <v>Saturday</v>
      </c>
      <c r="P485" t="b">
        <f t="shared" si="38"/>
        <v>1</v>
      </c>
      <c r="Q485" t="str">
        <f t="shared" si="39"/>
        <v>January</v>
      </c>
    </row>
    <row r="486" spans="1:17" x14ac:dyDescent="0.4">
      <c r="A486" t="s">
        <v>798</v>
      </c>
      <c r="B486" s="1">
        <v>45339</v>
      </c>
      <c r="C486" t="s">
        <v>92</v>
      </c>
      <c r="D486" t="s">
        <v>31</v>
      </c>
      <c r="E486" t="s">
        <v>799</v>
      </c>
      <c r="F486" t="s">
        <v>28</v>
      </c>
      <c r="G486">
        <v>5</v>
      </c>
      <c r="H486">
        <v>1196.6300000000001</v>
      </c>
      <c r="I486">
        <v>5</v>
      </c>
      <c r="J486">
        <v>783.17</v>
      </c>
      <c r="K486" t="s">
        <v>24</v>
      </c>
      <c r="L486" t="s">
        <v>37</v>
      </c>
      <c r="M486">
        <f t="shared" si="35"/>
        <v>5683.9925000000003</v>
      </c>
      <c r="N486">
        <f t="shared" si="36"/>
        <v>1768.1425000000004</v>
      </c>
      <c r="O486" t="str">
        <f t="shared" si="37"/>
        <v>Saturday</v>
      </c>
      <c r="P486" t="b">
        <f t="shared" si="38"/>
        <v>1</v>
      </c>
      <c r="Q486" t="str">
        <f t="shared" si="39"/>
        <v>February</v>
      </c>
    </row>
    <row r="487" spans="1:17" x14ac:dyDescent="0.4">
      <c r="A487" t="s">
        <v>800</v>
      </c>
      <c r="B487" s="1">
        <v>45769</v>
      </c>
      <c r="C487" t="s">
        <v>86</v>
      </c>
      <c r="D487" t="s">
        <v>14</v>
      </c>
      <c r="E487" t="s">
        <v>222</v>
      </c>
      <c r="F487" t="s">
        <v>28</v>
      </c>
      <c r="G487">
        <v>4</v>
      </c>
      <c r="H487">
        <v>1987.17</v>
      </c>
      <c r="I487">
        <v>25</v>
      </c>
      <c r="J487">
        <v>1125.67</v>
      </c>
      <c r="K487" t="s">
        <v>17</v>
      </c>
      <c r="L487" t="s">
        <v>33</v>
      </c>
      <c r="M487">
        <f t="shared" si="35"/>
        <v>5961.51</v>
      </c>
      <c r="N487">
        <f t="shared" si="36"/>
        <v>1458.83</v>
      </c>
      <c r="O487" t="str">
        <f t="shared" si="37"/>
        <v>Tuesday</v>
      </c>
      <c r="P487" t="b">
        <f t="shared" si="38"/>
        <v>0</v>
      </c>
      <c r="Q487" t="str">
        <f t="shared" si="39"/>
        <v>April</v>
      </c>
    </row>
    <row r="488" spans="1:17" x14ac:dyDescent="0.4">
      <c r="A488" t="s">
        <v>801</v>
      </c>
      <c r="B488" s="1">
        <v>45539</v>
      </c>
      <c r="C488" t="s">
        <v>253</v>
      </c>
      <c r="D488" t="s">
        <v>31</v>
      </c>
      <c r="E488" t="s">
        <v>336</v>
      </c>
      <c r="F488" t="s">
        <v>28</v>
      </c>
      <c r="G488">
        <v>3</v>
      </c>
      <c r="H488">
        <v>1320.37</v>
      </c>
      <c r="I488">
        <v>30</v>
      </c>
      <c r="J488">
        <v>587.46</v>
      </c>
      <c r="K488" t="s">
        <v>24</v>
      </c>
      <c r="L488" t="s">
        <v>18</v>
      </c>
      <c r="M488">
        <f t="shared" si="35"/>
        <v>2772.7769999999996</v>
      </c>
      <c r="N488">
        <f t="shared" si="36"/>
        <v>1010.3969999999995</v>
      </c>
      <c r="O488" t="str">
        <f t="shared" si="37"/>
        <v>Wednesday</v>
      </c>
      <c r="P488" t="b">
        <f t="shared" si="38"/>
        <v>0</v>
      </c>
      <c r="Q488" t="str">
        <f t="shared" si="39"/>
        <v>September</v>
      </c>
    </row>
    <row r="489" spans="1:17" x14ac:dyDescent="0.4">
      <c r="A489" t="s">
        <v>802</v>
      </c>
      <c r="B489" s="1">
        <v>45910</v>
      </c>
      <c r="C489" t="s">
        <v>193</v>
      </c>
      <c r="D489" t="s">
        <v>14</v>
      </c>
      <c r="E489" t="s">
        <v>534</v>
      </c>
      <c r="F489" t="s">
        <v>23</v>
      </c>
      <c r="G489">
        <v>1</v>
      </c>
      <c r="H489">
        <v>2396.09</v>
      </c>
      <c r="I489">
        <v>25</v>
      </c>
      <c r="J489">
        <v>1655.51</v>
      </c>
      <c r="K489" t="s">
        <v>17</v>
      </c>
      <c r="L489" t="s">
        <v>18</v>
      </c>
      <c r="M489">
        <f t="shared" si="35"/>
        <v>1797.0675000000001</v>
      </c>
      <c r="N489">
        <f t="shared" si="36"/>
        <v>141.55750000000012</v>
      </c>
      <c r="O489" t="str">
        <f t="shared" si="37"/>
        <v>Wednesday</v>
      </c>
      <c r="P489" t="b">
        <f t="shared" si="38"/>
        <v>0</v>
      </c>
      <c r="Q489" t="str">
        <f t="shared" si="39"/>
        <v>September</v>
      </c>
    </row>
    <row r="490" spans="1:17" x14ac:dyDescent="0.4">
      <c r="A490" t="s">
        <v>803</v>
      </c>
      <c r="B490" s="1">
        <v>45641</v>
      </c>
      <c r="C490" t="s">
        <v>39</v>
      </c>
      <c r="D490" t="s">
        <v>21</v>
      </c>
      <c r="E490" t="s">
        <v>317</v>
      </c>
      <c r="F490" t="s">
        <v>28</v>
      </c>
      <c r="G490">
        <v>4</v>
      </c>
      <c r="H490">
        <v>713.91</v>
      </c>
      <c r="I490">
        <v>0</v>
      </c>
      <c r="J490">
        <v>381.57</v>
      </c>
      <c r="K490" t="s">
        <v>17</v>
      </c>
      <c r="L490" t="s">
        <v>18</v>
      </c>
      <c r="M490">
        <f t="shared" si="35"/>
        <v>2855.64</v>
      </c>
      <c r="N490">
        <f t="shared" si="36"/>
        <v>1329.36</v>
      </c>
      <c r="O490" t="str">
        <f t="shared" si="37"/>
        <v>Sunday</v>
      </c>
      <c r="P490" t="b">
        <f t="shared" si="38"/>
        <v>1</v>
      </c>
      <c r="Q490" t="str">
        <f t="shared" si="39"/>
        <v>December</v>
      </c>
    </row>
    <row r="491" spans="1:17" x14ac:dyDescent="0.4">
      <c r="A491" t="s">
        <v>804</v>
      </c>
      <c r="B491" s="1">
        <v>45882</v>
      </c>
      <c r="C491" t="s">
        <v>174</v>
      </c>
      <c r="D491" t="s">
        <v>46</v>
      </c>
      <c r="E491" t="s">
        <v>265</v>
      </c>
      <c r="F491" t="s">
        <v>23</v>
      </c>
      <c r="G491">
        <v>5</v>
      </c>
      <c r="H491">
        <v>1704.53</v>
      </c>
      <c r="I491">
        <v>10</v>
      </c>
      <c r="J491">
        <v>1012.26</v>
      </c>
      <c r="K491" t="s">
        <v>17</v>
      </c>
      <c r="L491" t="s">
        <v>18</v>
      </c>
      <c r="M491">
        <f t="shared" si="35"/>
        <v>7670.3850000000002</v>
      </c>
      <c r="N491">
        <f t="shared" si="36"/>
        <v>2609.085</v>
      </c>
      <c r="O491" t="str">
        <f t="shared" si="37"/>
        <v>Wednesday</v>
      </c>
      <c r="P491" t="b">
        <f t="shared" si="38"/>
        <v>0</v>
      </c>
      <c r="Q491" t="str">
        <f t="shared" si="39"/>
        <v>August</v>
      </c>
    </row>
    <row r="492" spans="1:17" x14ac:dyDescent="0.4">
      <c r="A492" t="s">
        <v>805</v>
      </c>
      <c r="B492" s="1">
        <v>45710</v>
      </c>
      <c r="C492" t="s">
        <v>302</v>
      </c>
      <c r="D492" t="s">
        <v>46</v>
      </c>
      <c r="E492" t="s">
        <v>730</v>
      </c>
      <c r="F492" t="s">
        <v>28</v>
      </c>
      <c r="G492">
        <v>2</v>
      </c>
      <c r="H492">
        <v>2254.6</v>
      </c>
      <c r="I492">
        <v>5</v>
      </c>
      <c r="J492">
        <v>903.52</v>
      </c>
      <c r="K492" t="s">
        <v>17</v>
      </c>
      <c r="L492" t="s">
        <v>37</v>
      </c>
      <c r="M492">
        <f t="shared" si="35"/>
        <v>4283.74</v>
      </c>
      <c r="N492">
        <f t="shared" si="36"/>
        <v>2476.6999999999998</v>
      </c>
      <c r="O492" t="str">
        <f t="shared" si="37"/>
        <v>Saturday</v>
      </c>
      <c r="P492" t="b">
        <f t="shared" si="38"/>
        <v>1</v>
      </c>
      <c r="Q492" t="str">
        <f t="shared" si="39"/>
        <v>February</v>
      </c>
    </row>
    <row r="493" spans="1:17" x14ac:dyDescent="0.4">
      <c r="A493" t="s">
        <v>806</v>
      </c>
      <c r="B493" s="1">
        <v>45401</v>
      </c>
      <c r="C493" t="s">
        <v>65</v>
      </c>
      <c r="D493" t="s">
        <v>46</v>
      </c>
      <c r="E493" t="s">
        <v>807</v>
      </c>
      <c r="F493" t="s">
        <v>16</v>
      </c>
      <c r="G493">
        <v>2</v>
      </c>
      <c r="H493">
        <v>1415.28</v>
      </c>
      <c r="I493">
        <v>30</v>
      </c>
      <c r="J493">
        <v>977.52</v>
      </c>
      <c r="K493" t="s">
        <v>17</v>
      </c>
      <c r="L493" t="s">
        <v>18</v>
      </c>
      <c r="M493">
        <f t="shared" si="35"/>
        <v>1981.3919999999998</v>
      </c>
      <c r="N493">
        <f t="shared" si="36"/>
        <v>26.351999999999862</v>
      </c>
      <c r="O493" t="str">
        <f t="shared" si="37"/>
        <v>Friday</v>
      </c>
      <c r="P493" t="b">
        <f t="shared" si="38"/>
        <v>0</v>
      </c>
      <c r="Q493" t="str">
        <f t="shared" si="39"/>
        <v>April</v>
      </c>
    </row>
    <row r="494" spans="1:17" x14ac:dyDescent="0.4">
      <c r="A494" t="s">
        <v>808</v>
      </c>
      <c r="B494" s="1">
        <v>45498</v>
      </c>
      <c r="C494" t="s">
        <v>302</v>
      </c>
      <c r="D494" t="s">
        <v>14</v>
      </c>
      <c r="E494" t="s">
        <v>599</v>
      </c>
      <c r="F494" t="s">
        <v>23</v>
      </c>
      <c r="G494">
        <v>1</v>
      </c>
      <c r="H494">
        <v>1031.78</v>
      </c>
      <c r="I494">
        <v>20</v>
      </c>
      <c r="J494">
        <v>627.1</v>
      </c>
      <c r="K494" t="s">
        <v>17</v>
      </c>
      <c r="L494" t="s">
        <v>18</v>
      </c>
      <c r="M494">
        <f t="shared" si="35"/>
        <v>825.42399999999998</v>
      </c>
      <c r="N494">
        <f t="shared" si="36"/>
        <v>198.32399999999996</v>
      </c>
      <c r="O494" t="str">
        <f t="shared" si="37"/>
        <v>Thursday</v>
      </c>
      <c r="P494" t="b">
        <f t="shared" si="38"/>
        <v>0</v>
      </c>
      <c r="Q494" t="str">
        <f t="shared" si="39"/>
        <v>July</v>
      </c>
    </row>
    <row r="495" spans="1:17" x14ac:dyDescent="0.4">
      <c r="A495" t="s">
        <v>809</v>
      </c>
      <c r="B495" s="1">
        <v>45551</v>
      </c>
      <c r="C495" t="s">
        <v>74</v>
      </c>
      <c r="D495" t="s">
        <v>21</v>
      </c>
      <c r="E495" t="s">
        <v>258</v>
      </c>
      <c r="F495" t="s">
        <v>28</v>
      </c>
      <c r="G495">
        <v>1</v>
      </c>
      <c r="H495">
        <v>2839.94</v>
      </c>
      <c r="I495">
        <v>25</v>
      </c>
      <c r="J495">
        <v>1666.89</v>
      </c>
      <c r="K495" t="s">
        <v>24</v>
      </c>
      <c r="L495" t="s">
        <v>33</v>
      </c>
      <c r="M495">
        <f t="shared" si="35"/>
        <v>2129.9549999999999</v>
      </c>
      <c r="N495">
        <f t="shared" si="36"/>
        <v>463.06499999999983</v>
      </c>
      <c r="O495" t="str">
        <f t="shared" si="37"/>
        <v>Monday</v>
      </c>
      <c r="P495" t="b">
        <f t="shared" si="38"/>
        <v>0</v>
      </c>
      <c r="Q495" t="str">
        <f t="shared" si="39"/>
        <v>September</v>
      </c>
    </row>
    <row r="496" spans="1:17" x14ac:dyDescent="0.4">
      <c r="A496" t="s">
        <v>810</v>
      </c>
      <c r="B496" s="1">
        <v>45347</v>
      </c>
      <c r="C496" t="s">
        <v>92</v>
      </c>
      <c r="D496" t="s">
        <v>46</v>
      </c>
      <c r="E496" t="s">
        <v>126</v>
      </c>
      <c r="F496" t="s">
        <v>16</v>
      </c>
      <c r="G496">
        <v>1</v>
      </c>
      <c r="H496">
        <v>2240.52</v>
      </c>
      <c r="I496">
        <v>25</v>
      </c>
      <c r="J496">
        <v>1356.99</v>
      </c>
      <c r="K496" t="s">
        <v>17</v>
      </c>
      <c r="L496" t="s">
        <v>37</v>
      </c>
      <c r="M496">
        <f t="shared" si="35"/>
        <v>1680.3899999999999</v>
      </c>
      <c r="N496">
        <f t="shared" si="36"/>
        <v>323.39999999999986</v>
      </c>
      <c r="O496" t="str">
        <f t="shared" si="37"/>
        <v>Sunday</v>
      </c>
      <c r="P496" t="b">
        <f t="shared" si="38"/>
        <v>1</v>
      </c>
      <c r="Q496" t="str">
        <f t="shared" si="39"/>
        <v>February</v>
      </c>
    </row>
    <row r="497" spans="1:17" x14ac:dyDescent="0.4">
      <c r="A497" t="s">
        <v>811</v>
      </c>
      <c r="B497" s="1">
        <v>45795</v>
      </c>
      <c r="C497" t="s">
        <v>54</v>
      </c>
      <c r="D497" t="s">
        <v>14</v>
      </c>
      <c r="E497" t="s">
        <v>27</v>
      </c>
      <c r="F497" t="s">
        <v>23</v>
      </c>
      <c r="G497">
        <v>5</v>
      </c>
      <c r="H497">
        <v>1855.14</v>
      </c>
      <c r="I497">
        <v>30</v>
      </c>
      <c r="J497">
        <v>1230.96</v>
      </c>
      <c r="K497" t="s">
        <v>24</v>
      </c>
      <c r="L497" t="s">
        <v>33</v>
      </c>
      <c r="M497">
        <f t="shared" si="35"/>
        <v>6492.99</v>
      </c>
      <c r="N497">
        <f t="shared" si="36"/>
        <v>338.1899999999996</v>
      </c>
      <c r="O497" t="str">
        <f t="shared" si="37"/>
        <v>Sunday</v>
      </c>
      <c r="P497" t="b">
        <f t="shared" si="38"/>
        <v>1</v>
      </c>
      <c r="Q497" t="str">
        <f t="shared" si="39"/>
        <v>May</v>
      </c>
    </row>
    <row r="498" spans="1:17" x14ac:dyDescent="0.4">
      <c r="A498" t="s">
        <v>812</v>
      </c>
      <c r="B498" s="1">
        <v>45904</v>
      </c>
      <c r="C498" t="s">
        <v>152</v>
      </c>
      <c r="D498" t="s">
        <v>21</v>
      </c>
      <c r="E498" t="s">
        <v>813</v>
      </c>
      <c r="F498" t="s">
        <v>28</v>
      </c>
      <c r="G498">
        <v>4</v>
      </c>
      <c r="H498">
        <v>749.71</v>
      </c>
      <c r="I498">
        <v>10</v>
      </c>
      <c r="J498">
        <v>475.28</v>
      </c>
      <c r="K498" t="s">
        <v>17</v>
      </c>
      <c r="L498" t="s">
        <v>37</v>
      </c>
      <c r="M498">
        <f t="shared" si="35"/>
        <v>2698.9560000000001</v>
      </c>
      <c r="N498">
        <f t="shared" si="36"/>
        <v>797.83600000000024</v>
      </c>
      <c r="O498" t="str">
        <f t="shared" si="37"/>
        <v>Thursday</v>
      </c>
      <c r="P498" t="b">
        <f t="shared" si="38"/>
        <v>0</v>
      </c>
      <c r="Q498" t="str">
        <f t="shared" si="39"/>
        <v>September</v>
      </c>
    </row>
    <row r="499" spans="1:17" x14ac:dyDescent="0.4">
      <c r="A499" t="s">
        <v>814</v>
      </c>
      <c r="B499" s="1">
        <v>45444</v>
      </c>
      <c r="C499" t="s">
        <v>100</v>
      </c>
      <c r="D499" t="s">
        <v>14</v>
      </c>
      <c r="E499" t="s">
        <v>491</v>
      </c>
      <c r="F499" t="s">
        <v>23</v>
      </c>
      <c r="G499">
        <v>5</v>
      </c>
      <c r="H499">
        <v>1357.68</v>
      </c>
      <c r="I499">
        <v>10</v>
      </c>
      <c r="J499">
        <v>761.24</v>
      </c>
      <c r="K499" t="s">
        <v>24</v>
      </c>
      <c r="L499" t="s">
        <v>37</v>
      </c>
      <c r="M499">
        <f t="shared" si="35"/>
        <v>6109.56</v>
      </c>
      <c r="N499">
        <f t="shared" si="36"/>
        <v>2303.3600000000006</v>
      </c>
      <c r="O499" t="str">
        <f t="shared" si="37"/>
        <v>Saturday</v>
      </c>
      <c r="P499" t="b">
        <f t="shared" si="38"/>
        <v>1</v>
      </c>
      <c r="Q499" t="str">
        <f t="shared" si="39"/>
        <v>June</v>
      </c>
    </row>
    <row r="500" spans="1:17" x14ac:dyDescent="0.4">
      <c r="A500" t="s">
        <v>815</v>
      </c>
      <c r="B500" s="1">
        <v>45496</v>
      </c>
      <c r="C500" t="s">
        <v>296</v>
      </c>
      <c r="D500" t="s">
        <v>31</v>
      </c>
      <c r="E500" t="s">
        <v>561</v>
      </c>
      <c r="F500" t="s">
        <v>23</v>
      </c>
      <c r="G500">
        <v>1</v>
      </c>
      <c r="H500">
        <v>1437.62</v>
      </c>
      <c r="I500">
        <v>5</v>
      </c>
      <c r="J500">
        <v>937.93</v>
      </c>
      <c r="K500" t="s">
        <v>17</v>
      </c>
      <c r="L500" t="s">
        <v>33</v>
      </c>
      <c r="M500">
        <f t="shared" si="35"/>
        <v>1365.7389999999998</v>
      </c>
      <c r="N500">
        <f t="shared" si="36"/>
        <v>427.80899999999986</v>
      </c>
      <c r="O500" t="str">
        <f t="shared" si="37"/>
        <v>Tuesday</v>
      </c>
      <c r="P500" t="b">
        <f t="shared" si="38"/>
        <v>0</v>
      </c>
      <c r="Q500" t="str">
        <f t="shared" si="39"/>
        <v>July</v>
      </c>
    </row>
    <row r="501" spans="1:17" x14ac:dyDescent="0.4">
      <c r="A501" t="s">
        <v>816</v>
      </c>
      <c r="B501" s="1">
        <v>45594</v>
      </c>
      <c r="C501" t="s">
        <v>296</v>
      </c>
      <c r="D501" t="s">
        <v>46</v>
      </c>
      <c r="E501" t="s">
        <v>153</v>
      </c>
      <c r="F501" t="s">
        <v>23</v>
      </c>
      <c r="G501">
        <v>2</v>
      </c>
      <c r="H501">
        <v>1906</v>
      </c>
      <c r="I501">
        <v>5</v>
      </c>
      <c r="J501">
        <v>1050.32</v>
      </c>
      <c r="K501" t="s">
        <v>17</v>
      </c>
      <c r="L501" t="s">
        <v>37</v>
      </c>
      <c r="M501">
        <f t="shared" si="35"/>
        <v>3621.3999999999996</v>
      </c>
      <c r="N501">
        <f t="shared" si="36"/>
        <v>1520.7599999999998</v>
      </c>
      <c r="O501" t="str">
        <f t="shared" si="37"/>
        <v>Tuesday</v>
      </c>
      <c r="P501" t="b">
        <f t="shared" si="38"/>
        <v>0</v>
      </c>
      <c r="Q501" t="str">
        <f t="shared" si="39"/>
        <v>October</v>
      </c>
    </row>
    <row r="502" spans="1:17" x14ac:dyDescent="0.4">
      <c r="A502" t="s">
        <v>817</v>
      </c>
      <c r="B502" s="1">
        <v>45496</v>
      </c>
      <c r="C502" t="s">
        <v>375</v>
      </c>
      <c r="D502" t="s">
        <v>31</v>
      </c>
      <c r="E502" t="s">
        <v>276</v>
      </c>
      <c r="F502" t="s">
        <v>23</v>
      </c>
      <c r="G502">
        <v>5</v>
      </c>
      <c r="H502">
        <v>472.27</v>
      </c>
      <c r="I502">
        <v>25</v>
      </c>
      <c r="J502">
        <v>275.66000000000003</v>
      </c>
      <c r="K502" t="s">
        <v>17</v>
      </c>
      <c r="L502" t="s">
        <v>33</v>
      </c>
      <c r="M502">
        <f t="shared" si="35"/>
        <v>1771.0124999999998</v>
      </c>
      <c r="N502">
        <f t="shared" si="36"/>
        <v>392.71249999999964</v>
      </c>
      <c r="O502" t="str">
        <f t="shared" si="37"/>
        <v>Tuesday</v>
      </c>
      <c r="P502" t="b">
        <f t="shared" si="38"/>
        <v>0</v>
      </c>
      <c r="Q502" t="str">
        <f t="shared" si="39"/>
        <v>July</v>
      </c>
    </row>
    <row r="503" spans="1:17" x14ac:dyDescent="0.4">
      <c r="A503" t="s">
        <v>818</v>
      </c>
      <c r="B503" s="1">
        <v>45728</v>
      </c>
      <c r="C503" t="s">
        <v>39</v>
      </c>
      <c r="D503" t="s">
        <v>14</v>
      </c>
      <c r="E503" t="s">
        <v>75</v>
      </c>
      <c r="F503" t="s">
        <v>23</v>
      </c>
      <c r="G503">
        <v>2</v>
      </c>
      <c r="H503">
        <v>2061.7199999999998</v>
      </c>
      <c r="I503">
        <v>15</v>
      </c>
      <c r="J503">
        <v>1129.28</v>
      </c>
      <c r="K503" t="s">
        <v>24</v>
      </c>
      <c r="L503" t="s">
        <v>33</v>
      </c>
      <c r="M503">
        <f t="shared" si="35"/>
        <v>3504.9239999999995</v>
      </c>
      <c r="N503">
        <f t="shared" si="36"/>
        <v>1246.3639999999996</v>
      </c>
      <c r="O503" t="str">
        <f t="shared" si="37"/>
        <v>Wednesday</v>
      </c>
      <c r="P503" t="b">
        <f t="shared" si="38"/>
        <v>0</v>
      </c>
      <c r="Q503" t="str">
        <f t="shared" si="39"/>
        <v>March</v>
      </c>
    </row>
    <row r="504" spans="1:17" x14ac:dyDescent="0.4">
      <c r="A504" t="s">
        <v>819</v>
      </c>
      <c r="B504" s="1">
        <v>45726</v>
      </c>
      <c r="C504" t="s">
        <v>84</v>
      </c>
      <c r="D504" t="s">
        <v>14</v>
      </c>
      <c r="E504" t="s">
        <v>260</v>
      </c>
      <c r="F504" t="s">
        <v>23</v>
      </c>
      <c r="G504">
        <v>2</v>
      </c>
      <c r="H504">
        <v>2132.39</v>
      </c>
      <c r="I504">
        <v>0</v>
      </c>
      <c r="J504">
        <v>997.81</v>
      </c>
      <c r="K504" t="s">
        <v>24</v>
      </c>
      <c r="L504" t="s">
        <v>37</v>
      </c>
      <c r="M504">
        <f t="shared" si="35"/>
        <v>4264.78</v>
      </c>
      <c r="N504">
        <f t="shared" si="36"/>
        <v>2269.16</v>
      </c>
      <c r="O504" t="str">
        <f t="shared" si="37"/>
        <v>Monday</v>
      </c>
      <c r="P504" t="b">
        <f t="shared" si="38"/>
        <v>0</v>
      </c>
      <c r="Q504" t="str">
        <f t="shared" si="39"/>
        <v>March</v>
      </c>
    </row>
    <row r="505" spans="1:17" x14ac:dyDescent="0.4">
      <c r="A505" t="s">
        <v>820</v>
      </c>
      <c r="B505" s="1">
        <v>45566</v>
      </c>
      <c r="C505" t="s">
        <v>139</v>
      </c>
      <c r="D505" t="s">
        <v>46</v>
      </c>
      <c r="E505" t="s">
        <v>36</v>
      </c>
      <c r="F505" t="s">
        <v>23</v>
      </c>
      <c r="G505">
        <v>3</v>
      </c>
      <c r="H505">
        <v>960.45</v>
      </c>
      <c r="I505">
        <v>0</v>
      </c>
      <c r="J505">
        <v>565.41</v>
      </c>
      <c r="K505" t="s">
        <v>24</v>
      </c>
      <c r="L505" t="s">
        <v>18</v>
      </c>
      <c r="M505">
        <f t="shared" si="35"/>
        <v>2881.3500000000004</v>
      </c>
      <c r="N505">
        <f t="shared" si="36"/>
        <v>1185.1200000000003</v>
      </c>
      <c r="O505" t="str">
        <f t="shared" si="37"/>
        <v>Tuesday</v>
      </c>
      <c r="P505" t="b">
        <f t="shared" si="38"/>
        <v>0</v>
      </c>
      <c r="Q505" t="str">
        <f t="shared" si="39"/>
        <v>October</v>
      </c>
    </row>
    <row r="506" spans="1:17" x14ac:dyDescent="0.4">
      <c r="A506" t="s">
        <v>821</v>
      </c>
      <c r="B506" s="1">
        <v>45425</v>
      </c>
      <c r="C506" t="s">
        <v>205</v>
      </c>
      <c r="D506" t="s">
        <v>31</v>
      </c>
      <c r="E506" t="s">
        <v>532</v>
      </c>
      <c r="F506" t="s">
        <v>16</v>
      </c>
      <c r="G506">
        <v>3</v>
      </c>
      <c r="H506">
        <v>1708</v>
      </c>
      <c r="I506">
        <v>30</v>
      </c>
      <c r="J506">
        <v>928.83</v>
      </c>
      <c r="K506" t="s">
        <v>24</v>
      </c>
      <c r="L506" t="s">
        <v>33</v>
      </c>
      <c r="M506">
        <f t="shared" si="35"/>
        <v>3586.7999999999997</v>
      </c>
      <c r="N506">
        <f t="shared" si="36"/>
        <v>800.30999999999949</v>
      </c>
      <c r="O506" t="str">
        <f t="shared" si="37"/>
        <v>Monday</v>
      </c>
      <c r="P506" t="b">
        <f t="shared" si="38"/>
        <v>0</v>
      </c>
      <c r="Q506" t="str">
        <f t="shared" si="39"/>
        <v>May</v>
      </c>
    </row>
    <row r="507" spans="1:17" x14ac:dyDescent="0.4">
      <c r="A507" t="s">
        <v>822</v>
      </c>
      <c r="B507" s="1">
        <v>45621</v>
      </c>
      <c r="C507" t="s">
        <v>13</v>
      </c>
      <c r="D507" t="s">
        <v>14</v>
      </c>
      <c r="E507" t="s">
        <v>280</v>
      </c>
      <c r="F507" t="s">
        <v>16</v>
      </c>
      <c r="G507">
        <v>3</v>
      </c>
      <c r="H507">
        <v>308.14</v>
      </c>
      <c r="I507">
        <v>15</v>
      </c>
      <c r="J507">
        <v>176.06</v>
      </c>
      <c r="K507" t="s">
        <v>24</v>
      </c>
      <c r="L507" t="s">
        <v>33</v>
      </c>
      <c r="M507">
        <f t="shared" si="35"/>
        <v>785.75699999999995</v>
      </c>
      <c r="N507">
        <f t="shared" si="36"/>
        <v>257.57699999999988</v>
      </c>
      <c r="O507" t="str">
        <f t="shared" si="37"/>
        <v>Monday</v>
      </c>
      <c r="P507" t="b">
        <f t="shared" si="38"/>
        <v>0</v>
      </c>
      <c r="Q507" t="str">
        <f t="shared" si="39"/>
        <v>November</v>
      </c>
    </row>
    <row r="508" spans="1:17" x14ac:dyDescent="0.4">
      <c r="A508" t="s">
        <v>823</v>
      </c>
      <c r="B508" s="1">
        <v>45719</v>
      </c>
      <c r="C508" t="s">
        <v>205</v>
      </c>
      <c r="D508" t="s">
        <v>31</v>
      </c>
      <c r="E508" t="s">
        <v>103</v>
      </c>
      <c r="F508" t="s">
        <v>16</v>
      </c>
      <c r="G508">
        <v>3</v>
      </c>
      <c r="H508">
        <v>2675.13</v>
      </c>
      <c r="I508">
        <v>0</v>
      </c>
      <c r="J508">
        <v>1529.11</v>
      </c>
      <c r="K508" t="s">
        <v>24</v>
      </c>
      <c r="L508" t="s">
        <v>33</v>
      </c>
      <c r="M508">
        <f t="shared" si="35"/>
        <v>8025.39</v>
      </c>
      <c r="N508">
        <f t="shared" si="36"/>
        <v>3438.0600000000004</v>
      </c>
      <c r="O508" t="str">
        <f t="shared" si="37"/>
        <v>Monday</v>
      </c>
      <c r="P508" t="b">
        <f t="shared" si="38"/>
        <v>0</v>
      </c>
      <c r="Q508" t="str">
        <f t="shared" si="39"/>
        <v>March</v>
      </c>
    </row>
    <row r="509" spans="1:17" x14ac:dyDescent="0.4">
      <c r="A509" t="s">
        <v>824</v>
      </c>
      <c r="B509" s="1">
        <v>45992</v>
      </c>
      <c r="C509" t="s">
        <v>92</v>
      </c>
      <c r="D509" t="s">
        <v>31</v>
      </c>
      <c r="E509" t="s">
        <v>87</v>
      </c>
      <c r="F509" t="s">
        <v>28</v>
      </c>
      <c r="G509">
        <v>5</v>
      </c>
      <c r="H509">
        <v>2294.92</v>
      </c>
      <c r="I509">
        <v>0</v>
      </c>
      <c r="J509">
        <v>1576.55</v>
      </c>
      <c r="K509" t="s">
        <v>17</v>
      </c>
      <c r="L509" t="s">
        <v>37</v>
      </c>
      <c r="M509">
        <f t="shared" si="35"/>
        <v>11474.6</v>
      </c>
      <c r="N509">
        <f t="shared" si="36"/>
        <v>3591.8500000000004</v>
      </c>
      <c r="O509" t="str">
        <f t="shared" si="37"/>
        <v>Monday</v>
      </c>
      <c r="P509" t="b">
        <f t="shared" si="38"/>
        <v>0</v>
      </c>
      <c r="Q509" t="str">
        <f t="shared" si="39"/>
        <v>December</v>
      </c>
    </row>
    <row r="510" spans="1:17" x14ac:dyDescent="0.4">
      <c r="A510" t="s">
        <v>825</v>
      </c>
      <c r="B510" s="1">
        <v>45354</v>
      </c>
      <c r="C510" t="s">
        <v>13</v>
      </c>
      <c r="D510" t="s">
        <v>31</v>
      </c>
      <c r="E510" t="s">
        <v>521</v>
      </c>
      <c r="F510" t="s">
        <v>16</v>
      </c>
      <c r="G510">
        <v>1</v>
      </c>
      <c r="H510">
        <v>2033.34</v>
      </c>
      <c r="I510">
        <v>15</v>
      </c>
      <c r="J510">
        <v>1161.68</v>
      </c>
      <c r="K510" t="s">
        <v>24</v>
      </c>
      <c r="L510" t="s">
        <v>18</v>
      </c>
      <c r="M510">
        <f t="shared" si="35"/>
        <v>1728.3389999999999</v>
      </c>
      <c r="N510">
        <f t="shared" si="36"/>
        <v>566.65899999999988</v>
      </c>
      <c r="O510" t="str">
        <f t="shared" si="37"/>
        <v>Sunday</v>
      </c>
      <c r="P510" t="b">
        <f t="shared" si="38"/>
        <v>1</v>
      </c>
      <c r="Q510" t="str">
        <f t="shared" si="39"/>
        <v>March</v>
      </c>
    </row>
    <row r="511" spans="1:17" x14ac:dyDescent="0.4">
      <c r="A511" t="s">
        <v>826</v>
      </c>
      <c r="B511" s="1">
        <v>45396</v>
      </c>
      <c r="C511" t="s">
        <v>179</v>
      </c>
      <c r="D511" t="s">
        <v>46</v>
      </c>
      <c r="E511" t="s">
        <v>132</v>
      </c>
      <c r="F511" t="s">
        <v>28</v>
      </c>
      <c r="G511">
        <v>1</v>
      </c>
      <c r="H511">
        <v>1790.69</v>
      </c>
      <c r="I511">
        <v>30</v>
      </c>
      <c r="J511">
        <v>872.71</v>
      </c>
      <c r="K511" t="s">
        <v>24</v>
      </c>
      <c r="L511" t="s">
        <v>33</v>
      </c>
      <c r="M511">
        <f t="shared" si="35"/>
        <v>1253.4829999999999</v>
      </c>
      <c r="N511">
        <f t="shared" si="36"/>
        <v>380.77299999999991</v>
      </c>
      <c r="O511" t="str">
        <f t="shared" si="37"/>
        <v>Sunday</v>
      </c>
      <c r="P511" t="b">
        <f t="shared" si="38"/>
        <v>1</v>
      </c>
      <c r="Q511" t="str">
        <f t="shared" si="39"/>
        <v>April</v>
      </c>
    </row>
    <row r="512" spans="1:17" x14ac:dyDescent="0.4">
      <c r="A512" t="s">
        <v>827</v>
      </c>
      <c r="B512" s="1">
        <v>45590</v>
      </c>
      <c r="C512" t="s">
        <v>139</v>
      </c>
      <c r="D512" t="s">
        <v>46</v>
      </c>
      <c r="E512" t="s">
        <v>115</v>
      </c>
      <c r="F512" t="s">
        <v>28</v>
      </c>
      <c r="G512">
        <v>5</v>
      </c>
      <c r="H512">
        <v>2642.06</v>
      </c>
      <c r="I512">
        <v>15</v>
      </c>
      <c r="J512">
        <v>1643.03</v>
      </c>
      <c r="K512" t="s">
        <v>17</v>
      </c>
      <c r="L512" t="s">
        <v>37</v>
      </c>
      <c r="M512">
        <f t="shared" si="35"/>
        <v>11228.754999999999</v>
      </c>
      <c r="N512">
        <f t="shared" si="36"/>
        <v>3013.6049999999996</v>
      </c>
      <c r="O512" t="str">
        <f t="shared" si="37"/>
        <v>Friday</v>
      </c>
      <c r="P512" t="b">
        <f t="shared" si="38"/>
        <v>0</v>
      </c>
      <c r="Q512" t="str">
        <f t="shared" si="39"/>
        <v>October</v>
      </c>
    </row>
    <row r="513" spans="1:17" x14ac:dyDescent="0.4">
      <c r="A513" t="s">
        <v>828</v>
      </c>
      <c r="B513" s="1">
        <v>45969</v>
      </c>
      <c r="C513" t="s">
        <v>68</v>
      </c>
      <c r="D513" t="s">
        <v>14</v>
      </c>
      <c r="E513" t="s">
        <v>807</v>
      </c>
      <c r="F513" t="s">
        <v>16</v>
      </c>
      <c r="G513">
        <v>3</v>
      </c>
      <c r="H513">
        <v>2720.53</v>
      </c>
      <c r="I513">
        <v>25</v>
      </c>
      <c r="J513">
        <v>1414.58</v>
      </c>
      <c r="K513" t="s">
        <v>24</v>
      </c>
      <c r="L513" t="s">
        <v>33</v>
      </c>
      <c r="M513">
        <f t="shared" si="35"/>
        <v>6121.1925000000001</v>
      </c>
      <c r="N513">
        <f t="shared" si="36"/>
        <v>1877.4525000000003</v>
      </c>
      <c r="O513" t="str">
        <f t="shared" si="37"/>
        <v>Saturday</v>
      </c>
      <c r="P513" t="b">
        <f t="shared" si="38"/>
        <v>1</v>
      </c>
      <c r="Q513" t="str">
        <f t="shared" si="39"/>
        <v>November</v>
      </c>
    </row>
    <row r="514" spans="1:17" x14ac:dyDescent="0.4">
      <c r="A514" t="s">
        <v>829</v>
      </c>
      <c r="B514" s="1">
        <v>45641</v>
      </c>
      <c r="C514" t="s">
        <v>42</v>
      </c>
      <c r="D514" t="s">
        <v>46</v>
      </c>
      <c r="E514" t="s">
        <v>561</v>
      </c>
      <c r="F514" t="s">
        <v>28</v>
      </c>
      <c r="G514">
        <v>4</v>
      </c>
      <c r="H514">
        <v>1983.25</v>
      </c>
      <c r="I514">
        <v>15</v>
      </c>
      <c r="J514">
        <v>886.5</v>
      </c>
      <c r="K514" t="s">
        <v>24</v>
      </c>
      <c r="L514" t="s">
        <v>37</v>
      </c>
      <c r="M514">
        <f t="shared" si="35"/>
        <v>6743.05</v>
      </c>
      <c r="N514">
        <f t="shared" si="36"/>
        <v>3197.05</v>
      </c>
      <c r="O514" t="str">
        <f t="shared" si="37"/>
        <v>Sunday</v>
      </c>
      <c r="P514" t="b">
        <f t="shared" si="38"/>
        <v>1</v>
      </c>
      <c r="Q514" t="str">
        <f t="shared" si="39"/>
        <v>December</v>
      </c>
    </row>
    <row r="515" spans="1:17" x14ac:dyDescent="0.4">
      <c r="A515" t="s">
        <v>830</v>
      </c>
      <c r="B515" s="1">
        <v>45882</v>
      </c>
      <c r="C515" t="s">
        <v>174</v>
      </c>
      <c r="D515" t="s">
        <v>31</v>
      </c>
      <c r="E515" t="s">
        <v>55</v>
      </c>
      <c r="F515" t="s">
        <v>23</v>
      </c>
      <c r="G515">
        <v>1</v>
      </c>
      <c r="H515">
        <v>2275.9</v>
      </c>
      <c r="I515">
        <v>10</v>
      </c>
      <c r="J515">
        <v>1214.58</v>
      </c>
      <c r="K515" t="s">
        <v>17</v>
      </c>
      <c r="L515" t="s">
        <v>33</v>
      </c>
      <c r="M515">
        <f t="shared" ref="M515:M578" si="40">G515 * H515 * (1 - I515/100)</f>
        <v>2048.31</v>
      </c>
      <c r="N515">
        <f t="shared" ref="N515:N578" si="41">M515 - (J515 * G515)</f>
        <v>833.73</v>
      </c>
      <c r="O515" t="str">
        <f t="shared" ref="O515:O578" si="42">TEXT(B515,"dddd")</f>
        <v>Wednesday</v>
      </c>
      <c r="P515" t="b">
        <f t="shared" ref="P515:P578" si="43">OR(TEXT(B515,"ddd")="Sat", TEXT(B515,"ddd")="Sun")</f>
        <v>0</v>
      </c>
      <c r="Q515" t="str">
        <f t="shared" ref="Q515:Q578" si="44">TEXT(B515,"mmmm")</f>
        <v>August</v>
      </c>
    </row>
    <row r="516" spans="1:17" x14ac:dyDescent="0.4">
      <c r="A516" t="s">
        <v>831</v>
      </c>
      <c r="B516" s="1">
        <v>45933</v>
      </c>
      <c r="C516" t="s">
        <v>122</v>
      </c>
      <c r="D516" t="s">
        <v>21</v>
      </c>
      <c r="E516" t="s">
        <v>328</v>
      </c>
      <c r="F516" t="s">
        <v>23</v>
      </c>
      <c r="G516">
        <v>3</v>
      </c>
      <c r="H516">
        <v>1535.91</v>
      </c>
      <c r="I516">
        <v>25</v>
      </c>
      <c r="J516">
        <v>823.12</v>
      </c>
      <c r="K516" t="s">
        <v>24</v>
      </c>
      <c r="L516" t="s">
        <v>33</v>
      </c>
      <c r="M516">
        <f t="shared" si="40"/>
        <v>3455.7975000000006</v>
      </c>
      <c r="N516">
        <f t="shared" si="41"/>
        <v>986.43750000000045</v>
      </c>
      <c r="O516" t="str">
        <f t="shared" si="42"/>
        <v>Friday</v>
      </c>
      <c r="P516" t="b">
        <f t="shared" si="43"/>
        <v>0</v>
      </c>
      <c r="Q516" t="str">
        <f t="shared" si="44"/>
        <v>October</v>
      </c>
    </row>
    <row r="517" spans="1:17" x14ac:dyDescent="0.4">
      <c r="A517" t="s">
        <v>832</v>
      </c>
      <c r="B517" s="1">
        <v>45781</v>
      </c>
      <c r="C517" t="s">
        <v>251</v>
      </c>
      <c r="D517" t="s">
        <v>31</v>
      </c>
      <c r="E517" t="s">
        <v>559</v>
      </c>
      <c r="F517" t="s">
        <v>28</v>
      </c>
      <c r="G517">
        <v>2</v>
      </c>
      <c r="H517">
        <v>2761.29</v>
      </c>
      <c r="I517">
        <v>10</v>
      </c>
      <c r="J517">
        <v>1495.58</v>
      </c>
      <c r="K517" t="s">
        <v>24</v>
      </c>
      <c r="L517" t="s">
        <v>33</v>
      </c>
      <c r="M517">
        <f t="shared" si="40"/>
        <v>4970.3220000000001</v>
      </c>
      <c r="N517">
        <f t="shared" si="41"/>
        <v>1979.1620000000003</v>
      </c>
      <c r="O517" t="str">
        <f t="shared" si="42"/>
        <v>Sunday</v>
      </c>
      <c r="P517" t="b">
        <f t="shared" si="43"/>
        <v>1</v>
      </c>
      <c r="Q517" t="str">
        <f t="shared" si="44"/>
        <v>May</v>
      </c>
    </row>
    <row r="518" spans="1:17" x14ac:dyDescent="0.4">
      <c r="A518" t="s">
        <v>833</v>
      </c>
      <c r="B518" s="1">
        <v>45972</v>
      </c>
      <c r="C518" t="s">
        <v>174</v>
      </c>
      <c r="D518" t="s">
        <v>14</v>
      </c>
      <c r="E518" t="s">
        <v>596</v>
      </c>
      <c r="F518" t="s">
        <v>28</v>
      </c>
      <c r="G518">
        <v>5</v>
      </c>
      <c r="H518">
        <v>1231.1600000000001</v>
      </c>
      <c r="I518">
        <v>25</v>
      </c>
      <c r="J518">
        <v>756.35</v>
      </c>
      <c r="K518" t="s">
        <v>17</v>
      </c>
      <c r="L518" t="s">
        <v>33</v>
      </c>
      <c r="M518">
        <f t="shared" si="40"/>
        <v>4616.8500000000004</v>
      </c>
      <c r="N518">
        <f t="shared" si="41"/>
        <v>835.10000000000036</v>
      </c>
      <c r="O518" t="str">
        <f t="shared" si="42"/>
        <v>Tuesday</v>
      </c>
      <c r="P518" t="b">
        <f t="shared" si="43"/>
        <v>0</v>
      </c>
      <c r="Q518" t="str">
        <f t="shared" si="44"/>
        <v>November</v>
      </c>
    </row>
    <row r="519" spans="1:17" x14ac:dyDescent="0.4">
      <c r="A519" t="s">
        <v>834</v>
      </c>
      <c r="B519" s="1">
        <v>45785</v>
      </c>
      <c r="C519" t="s">
        <v>45</v>
      </c>
      <c r="D519" t="s">
        <v>31</v>
      </c>
      <c r="E519" t="s">
        <v>93</v>
      </c>
      <c r="F519" t="s">
        <v>28</v>
      </c>
      <c r="G519">
        <v>1</v>
      </c>
      <c r="H519">
        <v>739.89</v>
      </c>
      <c r="I519">
        <v>10</v>
      </c>
      <c r="J519">
        <v>357.9</v>
      </c>
      <c r="K519" t="s">
        <v>24</v>
      </c>
      <c r="L519" t="s">
        <v>33</v>
      </c>
      <c r="M519">
        <f t="shared" si="40"/>
        <v>665.90099999999995</v>
      </c>
      <c r="N519">
        <f t="shared" si="41"/>
        <v>308.00099999999998</v>
      </c>
      <c r="O519" t="str">
        <f t="shared" si="42"/>
        <v>Thursday</v>
      </c>
      <c r="P519" t="b">
        <f t="shared" si="43"/>
        <v>0</v>
      </c>
      <c r="Q519" t="str">
        <f t="shared" si="44"/>
        <v>May</v>
      </c>
    </row>
    <row r="520" spans="1:17" x14ac:dyDescent="0.4">
      <c r="A520" t="s">
        <v>835</v>
      </c>
      <c r="B520" s="1">
        <v>45835</v>
      </c>
      <c r="C520" t="s">
        <v>144</v>
      </c>
      <c r="D520" t="s">
        <v>21</v>
      </c>
      <c r="E520" t="s">
        <v>227</v>
      </c>
      <c r="F520" t="s">
        <v>28</v>
      </c>
      <c r="G520">
        <v>4</v>
      </c>
      <c r="H520">
        <v>2671.98</v>
      </c>
      <c r="I520">
        <v>30</v>
      </c>
      <c r="J520">
        <v>1477.75</v>
      </c>
      <c r="K520" t="s">
        <v>24</v>
      </c>
      <c r="L520" t="s">
        <v>33</v>
      </c>
      <c r="M520">
        <f t="shared" si="40"/>
        <v>7481.5439999999999</v>
      </c>
      <c r="N520">
        <f t="shared" si="41"/>
        <v>1570.5439999999999</v>
      </c>
      <c r="O520" t="str">
        <f t="shared" si="42"/>
        <v>Friday</v>
      </c>
      <c r="P520" t="b">
        <f t="shared" si="43"/>
        <v>0</v>
      </c>
      <c r="Q520" t="str">
        <f t="shared" si="44"/>
        <v>June</v>
      </c>
    </row>
    <row r="521" spans="1:17" x14ac:dyDescent="0.4">
      <c r="A521" t="s">
        <v>836</v>
      </c>
      <c r="B521" s="1">
        <v>45923</v>
      </c>
      <c r="C521" t="s">
        <v>152</v>
      </c>
      <c r="D521" t="s">
        <v>14</v>
      </c>
      <c r="E521" t="s">
        <v>837</v>
      </c>
      <c r="F521" t="s">
        <v>16</v>
      </c>
      <c r="G521">
        <v>5</v>
      </c>
      <c r="H521">
        <v>2513.27</v>
      </c>
      <c r="I521">
        <v>10</v>
      </c>
      <c r="J521">
        <v>1373.33</v>
      </c>
      <c r="K521" t="s">
        <v>17</v>
      </c>
      <c r="L521" t="s">
        <v>37</v>
      </c>
      <c r="M521">
        <f t="shared" si="40"/>
        <v>11309.715</v>
      </c>
      <c r="N521">
        <f t="shared" si="41"/>
        <v>4443.0650000000005</v>
      </c>
      <c r="O521" t="str">
        <f t="shared" si="42"/>
        <v>Tuesday</v>
      </c>
      <c r="P521" t="b">
        <f t="shared" si="43"/>
        <v>0</v>
      </c>
      <c r="Q521" t="str">
        <f t="shared" si="44"/>
        <v>September</v>
      </c>
    </row>
    <row r="522" spans="1:17" x14ac:dyDescent="0.4">
      <c r="A522" t="s">
        <v>838</v>
      </c>
      <c r="B522" s="1">
        <v>45357</v>
      </c>
      <c r="C522" t="s">
        <v>125</v>
      </c>
      <c r="D522" t="s">
        <v>14</v>
      </c>
      <c r="E522" t="s">
        <v>270</v>
      </c>
      <c r="F522" t="s">
        <v>23</v>
      </c>
      <c r="G522">
        <v>5</v>
      </c>
      <c r="H522">
        <v>1771.35</v>
      </c>
      <c r="I522">
        <v>20</v>
      </c>
      <c r="J522">
        <v>1004.01</v>
      </c>
      <c r="K522" t="s">
        <v>17</v>
      </c>
      <c r="L522" t="s">
        <v>18</v>
      </c>
      <c r="M522">
        <f t="shared" si="40"/>
        <v>7085.4000000000005</v>
      </c>
      <c r="N522">
        <f t="shared" si="41"/>
        <v>2065.3500000000004</v>
      </c>
      <c r="O522" t="str">
        <f t="shared" si="42"/>
        <v>Wednesday</v>
      </c>
      <c r="P522" t="b">
        <f t="shared" si="43"/>
        <v>0</v>
      </c>
      <c r="Q522" t="str">
        <f t="shared" si="44"/>
        <v>March</v>
      </c>
    </row>
    <row r="523" spans="1:17" x14ac:dyDescent="0.4">
      <c r="A523" t="s">
        <v>839</v>
      </c>
      <c r="B523" s="1">
        <v>45789</v>
      </c>
      <c r="C523" t="s">
        <v>20</v>
      </c>
      <c r="D523" t="s">
        <v>46</v>
      </c>
      <c r="E523" t="s">
        <v>496</v>
      </c>
      <c r="F523" t="s">
        <v>16</v>
      </c>
      <c r="G523">
        <v>5</v>
      </c>
      <c r="H523">
        <v>2311.29</v>
      </c>
      <c r="I523">
        <v>10</v>
      </c>
      <c r="J523">
        <v>1087.26</v>
      </c>
      <c r="K523" t="s">
        <v>17</v>
      </c>
      <c r="L523" t="s">
        <v>37</v>
      </c>
      <c r="M523">
        <f t="shared" si="40"/>
        <v>10400.805</v>
      </c>
      <c r="N523">
        <f t="shared" si="41"/>
        <v>4964.5050000000001</v>
      </c>
      <c r="O523" t="str">
        <f t="shared" si="42"/>
        <v>Monday</v>
      </c>
      <c r="P523" t="b">
        <f t="shared" si="43"/>
        <v>0</v>
      </c>
      <c r="Q523" t="str">
        <f t="shared" si="44"/>
        <v>May</v>
      </c>
    </row>
    <row r="524" spans="1:17" x14ac:dyDescent="0.4">
      <c r="A524" t="s">
        <v>840</v>
      </c>
      <c r="B524" s="1">
        <v>45489</v>
      </c>
      <c r="C524" t="s">
        <v>457</v>
      </c>
      <c r="D524" t="s">
        <v>21</v>
      </c>
      <c r="E524" t="s">
        <v>841</v>
      </c>
      <c r="F524" t="s">
        <v>28</v>
      </c>
      <c r="G524">
        <v>5</v>
      </c>
      <c r="H524">
        <v>2173.36</v>
      </c>
      <c r="I524">
        <v>30</v>
      </c>
      <c r="J524">
        <v>959.83</v>
      </c>
      <c r="K524" t="s">
        <v>24</v>
      </c>
      <c r="L524" t="s">
        <v>37</v>
      </c>
      <c r="M524">
        <f t="shared" si="40"/>
        <v>7606.76</v>
      </c>
      <c r="N524">
        <f t="shared" si="41"/>
        <v>2807.6099999999997</v>
      </c>
      <c r="O524" t="str">
        <f t="shared" si="42"/>
        <v>Tuesday</v>
      </c>
      <c r="P524" t="b">
        <f t="shared" si="43"/>
        <v>0</v>
      </c>
      <c r="Q524" t="str">
        <f t="shared" si="44"/>
        <v>July</v>
      </c>
    </row>
    <row r="525" spans="1:17" x14ac:dyDescent="0.4">
      <c r="A525" t="s">
        <v>842</v>
      </c>
      <c r="B525" s="1">
        <v>45904</v>
      </c>
      <c r="C525" t="s">
        <v>296</v>
      </c>
      <c r="D525" t="s">
        <v>31</v>
      </c>
      <c r="E525" t="s">
        <v>843</v>
      </c>
      <c r="F525" t="s">
        <v>16</v>
      </c>
      <c r="G525">
        <v>2</v>
      </c>
      <c r="H525">
        <v>1040.53</v>
      </c>
      <c r="I525">
        <v>15</v>
      </c>
      <c r="J525">
        <v>692.76</v>
      </c>
      <c r="K525" t="s">
        <v>17</v>
      </c>
      <c r="L525" t="s">
        <v>37</v>
      </c>
      <c r="M525">
        <f t="shared" si="40"/>
        <v>1768.9009999999998</v>
      </c>
      <c r="N525">
        <f t="shared" si="41"/>
        <v>383.38099999999986</v>
      </c>
      <c r="O525" t="str">
        <f t="shared" si="42"/>
        <v>Thursday</v>
      </c>
      <c r="P525" t="b">
        <f t="shared" si="43"/>
        <v>0</v>
      </c>
      <c r="Q525" t="str">
        <f t="shared" si="44"/>
        <v>September</v>
      </c>
    </row>
    <row r="526" spans="1:17" x14ac:dyDescent="0.4">
      <c r="A526" t="s">
        <v>844</v>
      </c>
      <c r="B526" s="1">
        <v>45722</v>
      </c>
      <c r="C526" t="s">
        <v>375</v>
      </c>
      <c r="D526" t="s">
        <v>46</v>
      </c>
      <c r="E526" t="s">
        <v>563</v>
      </c>
      <c r="F526" t="s">
        <v>28</v>
      </c>
      <c r="G526">
        <v>5</v>
      </c>
      <c r="H526">
        <v>1314.3</v>
      </c>
      <c r="I526">
        <v>0</v>
      </c>
      <c r="J526">
        <v>723.99</v>
      </c>
      <c r="K526" t="s">
        <v>24</v>
      </c>
      <c r="L526" t="s">
        <v>18</v>
      </c>
      <c r="M526">
        <f t="shared" si="40"/>
        <v>6571.5</v>
      </c>
      <c r="N526">
        <f t="shared" si="41"/>
        <v>2951.55</v>
      </c>
      <c r="O526" t="str">
        <f t="shared" si="42"/>
        <v>Thursday</v>
      </c>
      <c r="P526" t="b">
        <f t="shared" si="43"/>
        <v>0</v>
      </c>
      <c r="Q526" t="str">
        <f t="shared" si="44"/>
        <v>March</v>
      </c>
    </row>
    <row r="527" spans="1:17" x14ac:dyDescent="0.4">
      <c r="A527" t="s">
        <v>845</v>
      </c>
      <c r="B527" s="1">
        <v>45962</v>
      </c>
      <c r="C527" t="s">
        <v>128</v>
      </c>
      <c r="D527" t="s">
        <v>21</v>
      </c>
      <c r="E527" t="s">
        <v>846</v>
      </c>
      <c r="F527" t="s">
        <v>28</v>
      </c>
      <c r="G527">
        <v>5</v>
      </c>
      <c r="H527">
        <v>2436.84</v>
      </c>
      <c r="I527">
        <v>25</v>
      </c>
      <c r="J527">
        <v>1505.83</v>
      </c>
      <c r="K527" t="s">
        <v>24</v>
      </c>
      <c r="L527" t="s">
        <v>33</v>
      </c>
      <c r="M527">
        <f t="shared" si="40"/>
        <v>9138.1500000000015</v>
      </c>
      <c r="N527">
        <f t="shared" si="41"/>
        <v>1609.0000000000018</v>
      </c>
      <c r="O527" t="str">
        <f t="shared" si="42"/>
        <v>Saturday</v>
      </c>
      <c r="P527" t="b">
        <f t="shared" si="43"/>
        <v>1</v>
      </c>
      <c r="Q527" t="str">
        <f t="shared" si="44"/>
        <v>November</v>
      </c>
    </row>
    <row r="528" spans="1:17" x14ac:dyDescent="0.4">
      <c r="A528" t="s">
        <v>847</v>
      </c>
      <c r="B528" s="1">
        <v>45614</v>
      </c>
      <c r="C528" t="s">
        <v>159</v>
      </c>
      <c r="D528" t="s">
        <v>14</v>
      </c>
      <c r="E528" t="s">
        <v>369</v>
      </c>
      <c r="F528" t="s">
        <v>28</v>
      </c>
      <c r="G528">
        <v>4</v>
      </c>
      <c r="H528">
        <v>1706.16</v>
      </c>
      <c r="I528">
        <v>10</v>
      </c>
      <c r="J528">
        <v>880.51</v>
      </c>
      <c r="K528" t="s">
        <v>24</v>
      </c>
      <c r="L528" t="s">
        <v>37</v>
      </c>
      <c r="M528">
        <f t="shared" si="40"/>
        <v>6142.1760000000004</v>
      </c>
      <c r="N528">
        <f t="shared" si="41"/>
        <v>2620.1360000000004</v>
      </c>
      <c r="O528" t="str">
        <f t="shared" si="42"/>
        <v>Monday</v>
      </c>
      <c r="P528" t="b">
        <f t="shared" si="43"/>
        <v>0</v>
      </c>
      <c r="Q528" t="str">
        <f t="shared" si="44"/>
        <v>November</v>
      </c>
    </row>
    <row r="529" spans="1:17" x14ac:dyDescent="0.4">
      <c r="A529" t="s">
        <v>848</v>
      </c>
      <c r="B529" s="1">
        <v>45371</v>
      </c>
      <c r="C529" t="s">
        <v>100</v>
      </c>
      <c r="D529" t="s">
        <v>31</v>
      </c>
      <c r="E529" t="s">
        <v>233</v>
      </c>
      <c r="F529" t="s">
        <v>16</v>
      </c>
      <c r="G529">
        <v>4</v>
      </c>
      <c r="H529">
        <v>344.37</v>
      </c>
      <c r="I529">
        <v>5</v>
      </c>
      <c r="J529">
        <v>157.69999999999999</v>
      </c>
      <c r="K529" t="s">
        <v>24</v>
      </c>
      <c r="L529" t="s">
        <v>37</v>
      </c>
      <c r="M529">
        <f t="shared" si="40"/>
        <v>1308.606</v>
      </c>
      <c r="N529">
        <f t="shared" si="41"/>
        <v>677.80600000000004</v>
      </c>
      <c r="O529" t="str">
        <f t="shared" si="42"/>
        <v>Wednesday</v>
      </c>
      <c r="P529" t="b">
        <f t="shared" si="43"/>
        <v>0</v>
      </c>
      <c r="Q529" t="str">
        <f t="shared" si="44"/>
        <v>March</v>
      </c>
    </row>
    <row r="530" spans="1:17" x14ac:dyDescent="0.4">
      <c r="A530" t="s">
        <v>849</v>
      </c>
      <c r="B530" s="1">
        <v>45300</v>
      </c>
      <c r="C530" t="s">
        <v>273</v>
      </c>
      <c r="D530" t="s">
        <v>21</v>
      </c>
      <c r="E530" t="s">
        <v>850</v>
      </c>
      <c r="F530" t="s">
        <v>16</v>
      </c>
      <c r="G530">
        <v>4</v>
      </c>
      <c r="H530">
        <v>2258.81</v>
      </c>
      <c r="I530">
        <v>5</v>
      </c>
      <c r="J530">
        <v>1079.08</v>
      </c>
      <c r="K530" t="s">
        <v>17</v>
      </c>
      <c r="L530" t="s">
        <v>18</v>
      </c>
      <c r="M530">
        <f t="shared" si="40"/>
        <v>8583.4779999999992</v>
      </c>
      <c r="N530">
        <f t="shared" si="41"/>
        <v>4267.1579999999994</v>
      </c>
      <c r="O530" t="str">
        <f t="shared" si="42"/>
        <v>Tuesday</v>
      </c>
      <c r="P530" t="b">
        <f t="shared" si="43"/>
        <v>0</v>
      </c>
      <c r="Q530" t="str">
        <f t="shared" si="44"/>
        <v>January</v>
      </c>
    </row>
    <row r="531" spans="1:17" x14ac:dyDescent="0.4">
      <c r="A531" t="s">
        <v>851</v>
      </c>
      <c r="B531" s="1">
        <v>45399</v>
      </c>
      <c r="C531" t="s">
        <v>182</v>
      </c>
      <c r="D531" t="s">
        <v>31</v>
      </c>
      <c r="E531" t="s">
        <v>322</v>
      </c>
      <c r="F531" t="s">
        <v>23</v>
      </c>
      <c r="G531">
        <v>2</v>
      </c>
      <c r="H531">
        <v>2570.1799999999998</v>
      </c>
      <c r="I531">
        <v>5</v>
      </c>
      <c r="J531">
        <v>1066.45</v>
      </c>
      <c r="K531" t="s">
        <v>17</v>
      </c>
      <c r="L531" t="s">
        <v>33</v>
      </c>
      <c r="M531">
        <f t="shared" si="40"/>
        <v>4883.3419999999996</v>
      </c>
      <c r="N531">
        <f t="shared" si="41"/>
        <v>2750.4419999999996</v>
      </c>
      <c r="O531" t="str">
        <f t="shared" si="42"/>
        <v>Wednesday</v>
      </c>
      <c r="P531" t="b">
        <f t="shared" si="43"/>
        <v>0</v>
      </c>
      <c r="Q531" t="str">
        <f t="shared" si="44"/>
        <v>April</v>
      </c>
    </row>
    <row r="532" spans="1:17" x14ac:dyDescent="0.4">
      <c r="A532" t="s">
        <v>852</v>
      </c>
      <c r="B532" s="1">
        <v>45785</v>
      </c>
      <c r="C532" t="s">
        <v>128</v>
      </c>
      <c r="D532" t="s">
        <v>46</v>
      </c>
      <c r="E532" t="s">
        <v>853</v>
      </c>
      <c r="F532" t="s">
        <v>28</v>
      </c>
      <c r="G532">
        <v>5</v>
      </c>
      <c r="H532">
        <v>1979.16</v>
      </c>
      <c r="I532">
        <v>10</v>
      </c>
      <c r="J532">
        <v>1000.1</v>
      </c>
      <c r="K532" t="s">
        <v>24</v>
      </c>
      <c r="L532" t="s">
        <v>33</v>
      </c>
      <c r="M532">
        <f t="shared" si="40"/>
        <v>8906.2200000000012</v>
      </c>
      <c r="N532">
        <f t="shared" si="41"/>
        <v>3905.7200000000012</v>
      </c>
      <c r="O532" t="str">
        <f t="shared" si="42"/>
        <v>Thursday</v>
      </c>
      <c r="P532" t="b">
        <f t="shared" si="43"/>
        <v>0</v>
      </c>
      <c r="Q532" t="str">
        <f t="shared" si="44"/>
        <v>May</v>
      </c>
    </row>
    <row r="533" spans="1:17" x14ac:dyDescent="0.4">
      <c r="A533" t="s">
        <v>854</v>
      </c>
      <c r="B533" s="1">
        <v>45807</v>
      </c>
      <c r="C533" t="s">
        <v>68</v>
      </c>
      <c r="D533" t="s">
        <v>46</v>
      </c>
      <c r="E533" t="s">
        <v>855</v>
      </c>
      <c r="F533" t="s">
        <v>28</v>
      </c>
      <c r="G533">
        <v>4</v>
      </c>
      <c r="H533">
        <v>944.47</v>
      </c>
      <c r="I533">
        <v>30</v>
      </c>
      <c r="J533">
        <v>576.46</v>
      </c>
      <c r="K533" t="s">
        <v>24</v>
      </c>
      <c r="L533" t="s">
        <v>37</v>
      </c>
      <c r="M533">
        <f t="shared" si="40"/>
        <v>2644.5160000000001</v>
      </c>
      <c r="N533">
        <f t="shared" si="41"/>
        <v>338.67599999999993</v>
      </c>
      <c r="O533" t="str">
        <f t="shared" si="42"/>
        <v>Friday</v>
      </c>
      <c r="P533" t="b">
        <f t="shared" si="43"/>
        <v>0</v>
      </c>
      <c r="Q533" t="str">
        <f t="shared" si="44"/>
        <v>May</v>
      </c>
    </row>
    <row r="534" spans="1:17" x14ac:dyDescent="0.4">
      <c r="A534" t="s">
        <v>856</v>
      </c>
      <c r="B534" s="1">
        <v>45888</v>
      </c>
      <c r="C534" t="s">
        <v>185</v>
      </c>
      <c r="D534" t="s">
        <v>14</v>
      </c>
      <c r="E534" t="s">
        <v>340</v>
      </c>
      <c r="F534" t="s">
        <v>28</v>
      </c>
      <c r="G534">
        <v>1</v>
      </c>
      <c r="H534">
        <v>717.32</v>
      </c>
      <c r="I534">
        <v>10</v>
      </c>
      <c r="J534">
        <v>384.22</v>
      </c>
      <c r="K534" t="s">
        <v>24</v>
      </c>
      <c r="L534" t="s">
        <v>33</v>
      </c>
      <c r="M534">
        <f t="shared" si="40"/>
        <v>645.58800000000008</v>
      </c>
      <c r="N534">
        <f t="shared" si="41"/>
        <v>261.36800000000005</v>
      </c>
      <c r="O534" t="str">
        <f t="shared" si="42"/>
        <v>Tuesday</v>
      </c>
      <c r="P534" t="b">
        <f t="shared" si="43"/>
        <v>0</v>
      </c>
      <c r="Q534" t="str">
        <f t="shared" si="44"/>
        <v>August</v>
      </c>
    </row>
    <row r="535" spans="1:17" x14ac:dyDescent="0.4">
      <c r="A535" t="s">
        <v>857</v>
      </c>
      <c r="B535" s="1">
        <v>45340</v>
      </c>
      <c r="C535" t="s">
        <v>144</v>
      </c>
      <c r="D535" t="s">
        <v>21</v>
      </c>
      <c r="E535" t="s">
        <v>858</v>
      </c>
      <c r="F535" t="s">
        <v>16</v>
      </c>
      <c r="G535">
        <v>5</v>
      </c>
      <c r="H535">
        <v>1957.3</v>
      </c>
      <c r="I535">
        <v>10</v>
      </c>
      <c r="J535">
        <v>834.41</v>
      </c>
      <c r="K535" t="s">
        <v>24</v>
      </c>
      <c r="L535" t="s">
        <v>18</v>
      </c>
      <c r="M535">
        <f t="shared" si="40"/>
        <v>8807.85</v>
      </c>
      <c r="N535">
        <f t="shared" si="41"/>
        <v>4635.8</v>
      </c>
      <c r="O535" t="str">
        <f t="shared" si="42"/>
        <v>Sunday</v>
      </c>
      <c r="P535" t="b">
        <f t="shared" si="43"/>
        <v>1</v>
      </c>
      <c r="Q535" t="str">
        <f t="shared" si="44"/>
        <v>February</v>
      </c>
    </row>
    <row r="536" spans="1:17" x14ac:dyDescent="0.4">
      <c r="A536" t="s">
        <v>859</v>
      </c>
      <c r="B536" s="1">
        <v>45433</v>
      </c>
      <c r="C536" t="s">
        <v>45</v>
      </c>
      <c r="D536" t="s">
        <v>21</v>
      </c>
      <c r="E536" t="s">
        <v>177</v>
      </c>
      <c r="F536" t="s">
        <v>23</v>
      </c>
      <c r="G536">
        <v>1</v>
      </c>
      <c r="H536">
        <v>2562.61</v>
      </c>
      <c r="I536">
        <v>30</v>
      </c>
      <c r="J536">
        <v>1494.27</v>
      </c>
      <c r="K536" t="s">
        <v>17</v>
      </c>
      <c r="L536" t="s">
        <v>33</v>
      </c>
      <c r="M536">
        <f t="shared" si="40"/>
        <v>1793.827</v>
      </c>
      <c r="N536">
        <f t="shared" si="41"/>
        <v>299.55700000000002</v>
      </c>
      <c r="O536" t="str">
        <f t="shared" si="42"/>
        <v>Tuesday</v>
      </c>
      <c r="P536" t="b">
        <f t="shared" si="43"/>
        <v>0</v>
      </c>
      <c r="Q536" t="str">
        <f t="shared" si="44"/>
        <v>May</v>
      </c>
    </row>
    <row r="537" spans="1:17" x14ac:dyDescent="0.4">
      <c r="A537" t="s">
        <v>860</v>
      </c>
      <c r="B537" s="1">
        <v>45393</v>
      </c>
      <c r="C537" t="s">
        <v>42</v>
      </c>
      <c r="D537" t="s">
        <v>21</v>
      </c>
      <c r="E537" t="s">
        <v>611</v>
      </c>
      <c r="F537" t="s">
        <v>23</v>
      </c>
      <c r="G537">
        <v>2</v>
      </c>
      <c r="H537">
        <v>1117.79</v>
      </c>
      <c r="I537">
        <v>15</v>
      </c>
      <c r="J537">
        <v>629.19000000000005</v>
      </c>
      <c r="K537" t="s">
        <v>24</v>
      </c>
      <c r="L537" t="s">
        <v>33</v>
      </c>
      <c r="M537">
        <f t="shared" si="40"/>
        <v>1900.2429999999999</v>
      </c>
      <c r="N537">
        <f t="shared" si="41"/>
        <v>641.86299999999983</v>
      </c>
      <c r="O537" t="str">
        <f t="shared" si="42"/>
        <v>Thursday</v>
      </c>
      <c r="P537" t="b">
        <f t="shared" si="43"/>
        <v>0</v>
      </c>
      <c r="Q537" t="str">
        <f t="shared" si="44"/>
        <v>April</v>
      </c>
    </row>
    <row r="538" spans="1:17" x14ac:dyDescent="0.4">
      <c r="A538" t="s">
        <v>861</v>
      </c>
      <c r="B538" s="1">
        <v>45809</v>
      </c>
      <c r="C538" t="s">
        <v>13</v>
      </c>
      <c r="D538" t="s">
        <v>31</v>
      </c>
      <c r="E538" t="s">
        <v>274</v>
      </c>
      <c r="F538" t="s">
        <v>23</v>
      </c>
      <c r="G538">
        <v>5</v>
      </c>
      <c r="H538">
        <v>1080.46</v>
      </c>
      <c r="I538">
        <v>0</v>
      </c>
      <c r="J538">
        <v>705.89</v>
      </c>
      <c r="K538" t="s">
        <v>17</v>
      </c>
      <c r="L538" t="s">
        <v>18</v>
      </c>
      <c r="M538">
        <f t="shared" si="40"/>
        <v>5402.3</v>
      </c>
      <c r="N538">
        <f t="shared" si="41"/>
        <v>1872.8500000000004</v>
      </c>
      <c r="O538" t="str">
        <f t="shared" si="42"/>
        <v>Sunday</v>
      </c>
      <c r="P538" t="b">
        <f t="shared" si="43"/>
        <v>1</v>
      </c>
      <c r="Q538" t="str">
        <f t="shared" si="44"/>
        <v>June</v>
      </c>
    </row>
    <row r="539" spans="1:17" x14ac:dyDescent="0.4">
      <c r="A539" t="s">
        <v>862</v>
      </c>
      <c r="B539" s="1">
        <v>45933</v>
      </c>
      <c r="C539" t="s">
        <v>84</v>
      </c>
      <c r="D539" t="s">
        <v>14</v>
      </c>
      <c r="E539" t="s">
        <v>63</v>
      </c>
      <c r="F539" t="s">
        <v>16</v>
      </c>
      <c r="G539">
        <v>4</v>
      </c>
      <c r="H539">
        <v>1312.72</v>
      </c>
      <c r="I539">
        <v>15</v>
      </c>
      <c r="J539">
        <v>857.2</v>
      </c>
      <c r="K539" t="s">
        <v>17</v>
      </c>
      <c r="L539" t="s">
        <v>37</v>
      </c>
      <c r="M539">
        <f t="shared" si="40"/>
        <v>4463.2479999999996</v>
      </c>
      <c r="N539">
        <f t="shared" si="41"/>
        <v>1034.4479999999994</v>
      </c>
      <c r="O539" t="str">
        <f t="shared" si="42"/>
        <v>Friday</v>
      </c>
      <c r="P539" t="b">
        <f t="shared" si="43"/>
        <v>0</v>
      </c>
      <c r="Q539" t="str">
        <f t="shared" si="44"/>
        <v>October</v>
      </c>
    </row>
    <row r="540" spans="1:17" x14ac:dyDescent="0.4">
      <c r="A540" t="s">
        <v>863</v>
      </c>
      <c r="B540" s="1">
        <v>45416</v>
      </c>
      <c r="C540" t="s">
        <v>86</v>
      </c>
      <c r="D540" t="s">
        <v>31</v>
      </c>
      <c r="E540" t="s">
        <v>132</v>
      </c>
      <c r="F540" t="s">
        <v>28</v>
      </c>
      <c r="G540">
        <v>3</v>
      </c>
      <c r="H540">
        <v>2057.2800000000002</v>
      </c>
      <c r="I540">
        <v>0</v>
      </c>
      <c r="J540">
        <v>1234.02</v>
      </c>
      <c r="K540" t="s">
        <v>24</v>
      </c>
      <c r="L540" t="s">
        <v>37</v>
      </c>
      <c r="M540">
        <f t="shared" si="40"/>
        <v>6171.84</v>
      </c>
      <c r="N540">
        <f t="shared" si="41"/>
        <v>2469.7800000000002</v>
      </c>
      <c r="O540" t="str">
        <f t="shared" si="42"/>
        <v>Saturday</v>
      </c>
      <c r="P540" t="b">
        <f t="shared" si="43"/>
        <v>1</v>
      </c>
      <c r="Q540" t="str">
        <f t="shared" si="44"/>
        <v>May</v>
      </c>
    </row>
    <row r="541" spans="1:17" x14ac:dyDescent="0.4">
      <c r="A541" t="s">
        <v>864</v>
      </c>
      <c r="B541" s="1">
        <v>45865</v>
      </c>
      <c r="C541" t="s">
        <v>65</v>
      </c>
      <c r="D541" t="s">
        <v>46</v>
      </c>
      <c r="E541" t="s">
        <v>855</v>
      </c>
      <c r="F541" t="s">
        <v>28</v>
      </c>
      <c r="G541">
        <v>3</v>
      </c>
      <c r="H541">
        <v>2096.91</v>
      </c>
      <c r="I541">
        <v>20</v>
      </c>
      <c r="J541">
        <v>1200.5999999999999</v>
      </c>
      <c r="K541" t="s">
        <v>24</v>
      </c>
      <c r="L541" t="s">
        <v>18</v>
      </c>
      <c r="M541">
        <f t="shared" si="40"/>
        <v>5032.5839999999998</v>
      </c>
      <c r="N541">
        <f t="shared" si="41"/>
        <v>1430.7840000000001</v>
      </c>
      <c r="O541" t="str">
        <f t="shared" si="42"/>
        <v>Sunday</v>
      </c>
      <c r="P541" t="b">
        <f t="shared" si="43"/>
        <v>1</v>
      </c>
      <c r="Q541" t="str">
        <f t="shared" si="44"/>
        <v>July</v>
      </c>
    </row>
    <row r="542" spans="1:17" x14ac:dyDescent="0.4">
      <c r="A542" t="s">
        <v>865</v>
      </c>
      <c r="B542" s="1">
        <v>45565</v>
      </c>
      <c r="C542" t="s">
        <v>241</v>
      </c>
      <c r="D542" t="s">
        <v>31</v>
      </c>
      <c r="E542" t="s">
        <v>519</v>
      </c>
      <c r="F542" t="s">
        <v>23</v>
      </c>
      <c r="G542">
        <v>3</v>
      </c>
      <c r="H542">
        <v>1690.24</v>
      </c>
      <c r="I542">
        <v>20</v>
      </c>
      <c r="J542">
        <v>782.75</v>
      </c>
      <c r="K542" t="s">
        <v>24</v>
      </c>
      <c r="L542" t="s">
        <v>18</v>
      </c>
      <c r="M542">
        <f t="shared" si="40"/>
        <v>4056.5760000000005</v>
      </c>
      <c r="N542">
        <f t="shared" si="41"/>
        <v>1708.3260000000005</v>
      </c>
      <c r="O542" t="str">
        <f t="shared" si="42"/>
        <v>Monday</v>
      </c>
      <c r="P542" t="b">
        <f t="shared" si="43"/>
        <v>0</v>
      </c>
      <c r="Q542" t="str">
        <f t="shared" si="44"/>
        <v>September</v>
      </c>
    </row>
    <row r="543" spans="1:17" x14ac:dyDescent="0.4">
      <c r="A543" t="s">
        <v>866</v>
      </c>
      <c r="B543" s="1">
        <v>45462</v>
      </c>
      <c r="C543" t="s">
        <v>302</v>
      </c>
      <c r="D543" t="s">
        <v>31</v>
      </c>
      <c r="E543" t="s">
        <v>843</v>
      </c>
      <c r="F543" t="s">
        <v>23</v>
      </c>
      <c r="G543">
        <v>2</v>
      </c>
      <c r="H543">
        <v>2401.4899999999998</v>
      </c>
      <c r="I543">
        <v>25</v>
      </c>
      <c r="J543">
        <v>1285.48</v>
      </c>
      <c r="K543" t="s">
        <v>24</v>
      </c>
      <c r="L543" t="s">
        <v>33</v>
      </c>
      <c r="M543">
        <f t="shared" si="40"/>
        <v>3602.2349999999997</v>
      </c>
      <c r="N543">
        <f t="shared" si="41"/>
        <v>1031.2749999999996</v>
      </c>
      <c r="O543" t="str">
        <f t="shared" si="42"/>
        <v>Wednesday</v>
      </c>
      <c r="P543" t="b">
        <f t="shared" si="43"/>
        <v>0</v>
      </c>
      <c r="Q543" t="str">
        <f t="shared" si="44"/>
        <v>June</v>
      </c>
    </row>
    <row r="544" spans="1:17" x14ac:dyDescent="0.4">
      <c r="A544" t="s">
        <v>867</v>
      </c>
      <c r="B544" s="1">
        <v>45848</v>
      </c>
      <c r="C544" t="s">
        <v>286</v>
      </c>
      <c r="D544" t="s">
        <v>46</v>
      </c>
      <c r="E544" t="s">
        <v>15</v>
      </c>
      <c r="F544" t="s">
        <v>28</v>
      </c>
      <c r="G544">
        <v>2</v>
      </c>
      <c r="H544">
        <v>1693.36</v>
      </c>
      <c r="I544">
        <v>0</v>
      </c>
      <c r="J544">
        <v>977.1</v>
      </c>
      <c r="K544" t="s">
        <v>24</v>
      </c>
      <c r="L544" t="s">
        <v>37</v>
      </c>
      <c r="M544">
        <f t="shared" si="40"/>
        <v>3386.72</v>
      </c>
      <c r="N544">
        <f t="shared" si="41"/>
        <v>1432.5199999999998</v>
      </c>
      <c r="O544" t="str">
        <f t="shared" si="42"/>
        <v>Thursday</v>
      </c>
      <c r="P544" t="b">
        <f t="shared" si="43"/>
        <v>0</v>
      </c>
      <c r="Q544" t="str">
        <f t="shared" si="44"/>
        <v>July</v>
      </c>
    </row>
    <row r="545" spans="1:17" x14ac:dyDescent="0.4">
      <c r="A545" t="s">
        <v>868</v>
      </c>
      <c r="B545" s="1">
        <v>45714</v>
      </c>
      <c r="C545" t="s">
        <v>296</v>
      </c>
      <c r="D545" t="s">
        <v>46</v>
      </c>
      <c r="E545" t="s">
        <v>516</v>
      </c>
      <c r="F545" t="s">
        <v>23</v>
      </c>
      <c r="G545">
        <v>5</v>
      </c>
      <c r="H545">
        <v>2424.12</v>
      </c>
      <c r="I545">
        <v>25</v>
      </c>
      <c r="J545">
        <v>1572.34</v>
      </c>
      <c r="K545" t="s">
        <v>24</v>
      </c>
      <c r="L545" t="s">
        <v>18</v>
      </c>
      <c r="M545">
        <f t="shared" si="40"/>
        <v>9090.4499999999989</v>
      </c>
      <c r="N545">
        <f t="shared" si="41"/>
        <v>1228.7499999999991</v>
      </c>
      <c r="O545" t="str">
        <f t="shared" si="42"/>
        <v>Wednesday</v>
      </c>
      <c r="P545" t="b">
        <f t="shared" si="43"/>
        <v>0</v>
      </c>
      <c r="Q545" t="str">
        <f t="shared" si="44"/>
        <v>February</v>
      </c>
    </row>
    <row r="546" spans="1:17" x14ac:dyDescent="0.4">
      <c r="A546" t="s">
        <v>869</v>
      </c>
      <c r="B546" s="1">
        <v>45753</v>
      </c>
      <c r="C546" t="s">
        <v>278</v>
      </c>
      <c r="D546" t="s">
        <v>31</v>
      </c>
      <c r="E546" t="s">
        <v>591</v>
      </c>
      <c r="F546" t="s">
        <v>16</v>
      </c>
      <c r="G546">
        <v>1</v>
      </c>
      <c r="H546">
        <v>2833.27</v>
      </c>
      <c r="I546">
        <v>15</v>
      </c>
      <c r="J546">
        <v>1812.97</v>
      </c>
      <c r="K546" t="s">
        <v>24</v>
      </c>
      <c r="L546" t="s">
        <v>37</v>
      </c>
      <c r="M546">
        <f t="shared" si="40"/>
        <v>2408.2795000000001</v>
      </c>
      <c r="N546">
        <f t="shared" si="41"/>
        <v>595.30950000000007</v>
      </c>
      <c r="O546" t="str">
        <f t="shared" si="42"/>
        <v>Sunday</v>
      </c>
      <c r="P546" t="b">
        <f t="shared" si="43"/>
        <v>1</v>
      </c>
      <c r="Q546" t="str">
        <f t="shared" si="44"/>
        <v>April</v>
      </c>
    </row>
    <row r="547" spans="1:17" x14ac:dyDescent="0.4">
      <c r="A547" t="s">
        <v>870</v>
      </c>
      <c r="B547" s="1">
        <v>45585</v>
      </c>
      <c r="C547" t="s">
        <v>193</v>
      </c>
      <c r="D547" t="s">
        <v>46</v>
      </c>
      <c r="E547" t="s">
        <v>280</v>
      </c>
      <c r="F547" t="s">
        <v>23</v>
      </c>
      <c r="G547">
        <v>5</v>
      </c>
      <c r="H547">
        <v>1559.5</v>
      </c>
      <c r="I547">
        <v>10</v>
      </c>
      <c r="J547">
        <v>719.84</v>
      </c>
      <c r="K547" t="s">
        <v>17</v>
      </c>
      <c r="L547" t="s">
        <v>37</v>
      </c>
      <c r="M547">
        <f t="shared" si="40"/>
        <v>7017.75</v>
      </c>
      <c r="N547">
        <f t="shared" si="41"/>
        <v>3418.5499999999997</v>
      </c>
      <c r="O547" t="str">
        <f t="shared" si="42"/>
        <v>Sunday</v>
      </c>
      <c r="P547" t="b">
        <f t="shared" si="43"/>
        <v>1</v>
      </c>
      <c r="Q547" t="str">
        <f t="shared" si="44"/>
        <v>October</v>
      </c>
    </row>
    <row r="548" spans="1:17" x14ac:dyDescent="0.4">
      <c r="A548" t="s">
        <v>871</v>
      </c>
      <c r="B548" s="1">
        <v>45338</v>
      </c>
      <c r="C548" t="s">
        <v>77</v>
      </c>
      <c r="D548" t="s">
        <v>31</v>
      </c>
      <c r="E548" t="s">
        <v>254</v>
      </c>
      <c r="F548" t="s">
        <v>16</v>
      </c>
      <c r="G548">
        <v>5</v>
      </c>
      <c r="H548">
        <v>2068.4499999999998</v>
      </c>
      <c r="I548">
        <v>5</v>
      </c>
      <c r="J548">
        <v>864.62</v>
      </c>
      <c r="K548" t="s">
        <v>17</v>
      </c>
      <c r="L548" t="s">
        <v>33</v>
      </c>
      <c r="M548">
        <f t="shared" si="40"/>
        <v>9825.1374999999989</v>
      </c>
      <c r="N548">
        <f t="shared" si="41"/>
        <v>5502.0374999999985</v>
      </c>
      <c r="O548" t="str">
        <f t="shared" si="42"/>
        <v>Friday</v>
      </c>
      <c r="P548" t="b">
        <f t="shared" si="43"/>
        <v>0</v>
      </c>
      <c r="Q548" t="str">
        <f t="shared" si="44"/>
        <v>February</v>
      </c>
    </row>
    <row r="549" spans="1:17" x14ac:dyDescent="0.4">
      <c r="A549" t="s">
        <v>872</v>
      </c>
      <c r="B549" s="1">
        <v>45531</v>
      </c>
      <c r="C549" t="s">
        <v>179</v>
      </c>
      <c r="D549" t="s">
        <v>46</v>
      </c>
      <c r="E549" t="s">
        <v>394</v>
      </c>
      <c r="F549" t="s">
        <v>28</v>
      </c>
      <c r="G549">
        <v>1</v>
      </c>
      <c r="H549">
        <v>1728.13</v>
      </c>
      <c r="I549">
        <v>5</v>
      </c>
      <c r="J549">
        <v>1087.83</v>
      </c>
      <c r="K549" t="s">
        <v>24</v>
      </c>
      <c r="L549" t="s">
        <v>37</v>
      </c>
      <c r="M549">
        <f t="shared" si="40"/>
        <v>1641.7235000000001</v>
      </c>
      <c r="N549">
        <f t="shared" si="41"/>
        <v>553.89350000000013</v>
      </c>
      <c r="O549" t="str">
        <f t="shared" si="42"/>
        <v>Tuesday</v>
      </c>
      <c r="P549" t="b">
        <f t="shared" si="43"/>
        <v>0</v>
      </c>
      <c r="Q549" t="str">
        <f t="shared" si="44"/>
        <v>August</v>
      </c>
    </row>
    <row r="550" spans="1:17" x14ac:dyDescent="0.4">
      <c r="A550" t="s">
        <v>873</v>
      </c>
      <c r="B550" s="1">
        <v>45369</v>
      </c>
      <c r="C550" t="s">
        <v>144</v>
      </c>
      <c r="D550" t="s">
        <v>31</v>
      </c>
      <c r="E550" t="s">
        <v>874</v>
      </c>
      <c r="F550" t="s">
        <v>16</v>
      </c>
      <c r="G550">
        <v>4</v>
      </c>
      <c r="H550">
        <v>319.68</v>
      </c>
      <c r="I550">
        <v>5</v>
      </c>
      <c r="J550">
        <v>142.94999999999999</v>
      </c>
      <c r="K550" t="s">
        <v>24</v>
      </c>
      <c r="L550" t="s">
        <v>37</v>
      </c>
      <c r="M550">
        <f t="shared" si="40"/>
        <v>1214.7839999999999</v>
      </c>
      <c r="N550">
        <f t="shared" si="41"/>
        <v>642.98399999999992</v>
      </c>
      <c r="O550" t="str">
        <f t="shared" si="42"/>
        <v>Monday</v>
      </c>
      <c r="P550" t="b">
        <f t="shared" si="43"/>
        <v>0</v>
      </c>
      <c r="Q550" t="str">
        <f t="shared" si="44"/>
        <v>March</v>
      </c>
    </row>
    <row r="551" spans="1:17" x14ac:dyDescent="0.4">
      <c r="A551" t="s">
        <v>875</v>
      </c>
      <c r="B551" s="1">
        <v>45389</v>
      </c>
      <c r="C551" t="s">
        <v>59</v>
      </c>
      <c r="D551" t="s">
        <v>46</v>
      </c>
      <c r="E551" t="s">
        <v>129</v>
      </c>
      <c r="F551" t="s">
        <v>23</v>
      </c>
      <c r="G551">
        <v>2</v>
      </c>
      <c r="H551">
        <v>2543.44</v>
      </c>
      <c r="I551">
        <v>20</v>
      </c>
      <c r="J551">
        <v>1220.22</v>
      </c>
      <c r="K551" t="s">
        <v>17</v>
      </c>
      <c r="L551" t="s">
        <v>33</v>
      </c>
      <c r="M551">
        <f t="shared" si="40"/>
        <v>4069.5040000000004</v>
      </c>
      <c r="N551">
        <f t="shared" si="41"/>
        <v>1629.0640000000003</v>
      </c>
      <c r="O551" t="str">
        <f t="shared" si="42"/>
        <v>Sunday</v>
      </c>
      <c r="P551" t="b">
        <f t="shared" si="43"/>
        <v>1</v>
      </c>
      <c r="Q551" t="str">
        <f t="shared" si="44"/>
        <v>April</v>
      </c>
    </row>
    <row r="552" spans="1:17" x14ac:dyDescent="0.4">
      <c r="A552" t="s">
        <v>876</v>
      </c>
      <c r="B552" s="1">
        <v>45901</v>
      </c>
      <c r="C552" t="s">
        <v>95</v>
      </c>
      <c r="D552" t="s">
        <v>46</v>
      </c>
      <c r="E552" t="s">
        <v>477</v>
      </c>
      <c r="F552" t="s">
        <v>16</v>
      </c>
      <c r="G552">
        <v>1</v>
      </c>
      <c r="H552">
        <v>1962.06</v>
      </c>
      <c r="I552">
        <v>15</v>
      </c>
      <c r="J552">
        <v>1042.46</v>
      </c>
      <c r="K552" t="s">
        <v>24</v>
      </c>
      <c r="L552" t="s">
        <v>18</v>
      </c>
      <c r="M552">
        <f t="shared" si="40"/>
        <v>1667.751</v>
      </c>
      <c r="N552">
        <f t="shared" si="41"/>
        <v>625.29099999999994</v>
      </c>
      <c r="O552" t="str">
        <f t="shared" si="42"/>
        <v>Monday</v>
      </c>
      <c r="P552" t="b">
        <f t="shared" si="43"/>
        <v>0</v>
      </c>
      <c r="Q552" t="str">
        <f t="shared" si="44"/>
        <v>September</v>
      </c>
    </row>
    <row r="553" spans="1:17" x14ac:dyDescent="0.4">
      <c r="A553" t="s">
        <v>877</v>
      </c>
      <c r="B553" s="1">
        <v>45453</v>
      </c>
      <c r="C553" t="s">
        <v>174</v>
      </c>
      <c r="D553" t="s">
        <v>46</v>
      </c>
      <c r="E553" t="s">
        <v>703</v>
      </c>
      <c r="F553" t="s">
        <v>28</v>
      </c>
      <c r="G553">
        <v>3</v>
      </c>
      <c r="H553">
        <v>2634.14</v>
      </c>
      <c r="I553">
        <v>15</v>
      </c>
      <c r="J553">
        <v>1778.17</v>
      </c>
      <c r="K553" t="s">
        <v>24</v>
      </c>
      <c r="L553" t="s">
        <v>18</v>
      </c>
      <c r="M553">
        <f t="shared" si="40"/>
        <v>6717.0569999999998</v>
      </c>
      <c r="N553">
        <f t="shared" si="41"/>
        <v>1382.5469999999996</v>
      </c>
      <c r="O553" t="str">
        <f t="shared" si="42"/>
        <v>Monday</v>
      </c>
      <c r="P553" t="b">
        <f t="shared" si="43"/>
        <v>0</v>
      </c>
      <c r="Q553" t="str">
        <f t="shared" si="44"/>
        <v>June</v>
      </c>
    </row>
    <row r="554" spans="1:17" x14ac:dyDescent="0.4">
      <c r="A554" t="s">
        <v>878</v>
      </c>
      <c r="B554" s="1">
        <v>45964</v>
      </c>
      <c r="C554" t="s">
        <v>267</v>
      </c>
      <c r="D554" t="s">
        <v>31</v>
      </c>
      <c r="E554" t="s">
        <v>361</v>
      </c>
      <c r="F554" t="s">
        <v>28</v>
      </c>
      <c r="G554">
        <v>4</v>
      </c>
      <c r="H554">
        <v>1588.42</v>
      </c>
      <c r="I554">
        <v>5</v>
      </c>
      <c r="J554">
        <v>762.35</v>
      </c>
      <c r="K554" t="s">
        <v>17</v>
      </c>
      <c r="L554" t="s">
        <v>18</v>
      </c>
      <c r="M554">
        <f t="shared" si="40"/>
        <v>6035.9960000000001</v>
      </c>
      <c r="N554">
        <f t="shared" si="41"/>
        <v>2986.596</v>
      </c>
      <c r="O554" t="str">
        <f t="shared" si="42"/>
        <v>Monday</v>
      </c>
      <c r="P554" t="b">
        <f t="shared" si="43"/>
        <v>0</v>
      </c>
      <c r="Q554" t="str">
        <f t="shared" si="44"/>
        <v>November</v>
      </c>
    </row>
    <row r="555" spans="1:17" x14ac:dyDescent="0.4">
      <c r="A555" t="s">
        <v>879</v>
      </c>
      <c r="B555" s="1">
        <v>45367</v>
      </c>
      <c r="C555" t="s">
        <v>179</v>
      </c>
      <c r="D555" t="s">
        <v>14</v>
      </c>
      <c r="E555" t="s">
        <v>599</v>
      </c>
      <c r="F555" t="s">
        <v>16</v>
      </c>
      <c r="G555">
        <v>2</v>
      </c>
      <c r="H555">
        <v>1365.66</v>
      </c>
      <c r="I555">
        <v>30</v>
      </c>
      <c r="J555">
        <v>879.13</v>
      </c>
      <c r="K555" t="s">
        <v>17</v>
      </c>
      <c r="L555" t="s">
        <v>33</v>
      </c>
      <c r="M555">
        <f t="shared" si="40"/>
        <v>1911.924</v>
      </c>
      <c r="N555">
        <f t="shared" si="41"/>
        <v>153.66399999999999</v>
      </c>
      <c r="O555" t="str">
        <f t="shared" si="42"/>
        <v>Saturday</v>
      </c>
      <c r="P555" t="b">
        <f t="shared" si="43"/>
        <v>1</v>
      </c>
      <c r="Q555" t="str">
        <f t="shared" si="44"/>
        <v>March</v>
      </c>
    </row>
    <row r="556" spans="1:17" x14ac:dyDescent="0.4">
      <c r="A556" t="s">
        <v>880</v>
      </c>
      <c r="B556" s="1">
        <v>45949</v>
      </c>
      <c r="C556" t="s">
        <v>273</v>
      </c>
      <c r="D556" t="s">
        <v>14</v>
      </c>
      <c r="E556" t="s">
        <v>191</v>
      </c>
      <c r="F556" t="s">
        <v>23</v>
      </c>
      <c r="G556">
        <v>5</v>
      </c>
      <c r="H556">
        <v>2806.46</v>
      </c>
      <c r="I556">
        <v>10</v>
      </c>
      <c r="J556">
        <v>1662.49</v>
      </c>
      <c r="K556" t="s">
        <v>24</v>
      </c>
      <c r="L556" t="s">
        <v>33</v>
      </c>
      <c r="M556">
        <f t="shared" si="40"/>
        <v>12629.07</v>
      </c>
      <c r="N556">
        <f t="shared" si="41"/>
        <v>4316.619999999999</v>
      </c>
      <c r="O556" t="str">
        <f t="shared" si="42"/>
        <v>Sunday</v>
      </c>
      <c r="P556" t="b">
        <f t="shared" si="43"/>
        <v>1</v>
      </c>
      <c r="Q556" t="str">
        <f t="shared" si="44"/>
        <v>October</v>
      </c>
    </row>
    <row r="557" spans="1:17" x14ac:dyDescent="0.4">
      <c r="A557" t="s">
        <v>881</v>
      </c>
      <c r="B557" s="1">
        <v>45513</v>
      </c>
      <c r="C557" t="s">
        <v>185</v>
      </c>
      <c r="D557" t="s">
        <v>46</v>
      </c>
      <c r="E557" t="s">
        <v>680</v>
      </c>
      <c r="F557" t="s">
        <v>23</v>
      </c>
      <c r="G557">
        <v>1</v>
      </c>
      <c r="H557">
        <v>2023.05</v>
      </c>
      <c r="I557">
        <v>0</v>
      </c>
      <c r="J557">
        <v>874.89</v>
      </c>
      <c r="K557" t="s">
        <v>17</v>
      </c>
      <c r="L557" t="s">
        <v>33</v>
      </c>
      <c r="M557">
        <f t="shared" si="40"/>
        <v>2023.05</v>
      </c>
      <c r="N557">
        <f t="shared" si="41"/>
        <v>1148.1599999999999</v>
      </c>
      <c r="O557" t="str">
        <f t="shared" si="42"/>
        <v>Friday</v>
      </c>
      <c r="P557" t="b">
        <f t="shared" si="43"/>
        <v>0</v>
      </c>
      <c r="Q557" t="str">
        <f t="shared" si="44"/>
        <v>August</v>
      </c>
    </row>
    <row r="558" spans="1:17" x14ac:dyDescent="0.4">
      <c r="A558" t="s">
        <v>882</v>
      </c>
      <c r="B558" s="1">
        <v>45842</v>
      </c>
      <c r="C558" t="s">
        <v>62</v>
      </c>
      <c r="D558" t="s">
        <v>21</v>
      </c>
      <c r="E558" t="s">
        <v>191</v>
      </c>
      <c r="F558" t="s">
        <v>16</v>
      </c>
      <c r="G558">
        <v>2</v>
      </c>
      <c r="H558">
        <v>970.76</v>
      </c>
      <c r="I558">
        <v>25</v>
      </c>
      <c r="J558">
        <v>585.92999999999995</v>
      </c>
      <c r="K558" t="s">
        <v>17</v>
      </c>
      <c r="L558" t="s">
        <v>18</v>
      </c>
      <c r="M558">
        <f t="shared" si="40"/>
        <v>1456.1399999999999</v>
      </c>
      <c r="N558">
        <f t="shared" si="41"/>
        <v>284.27999999999997</v>
      </c>
      <c r="O558" t="str">
        <f t="shared" si="42"/>
        <v>Friday</v>
      </c>
      <c r="P558" t="b">
        <f t="shared" si="43"/>
        <v>0</v>
      </c>
      <c r="Q558" t="str">
        <f t="shared" si="44"/>
        <v>July</v>
      </c>
    </row>
    <row r="559" spans="1:17" x14ac:dyDescent="0.4">
      <c r="A559" t="s">
        <v>883</v>
      </c>
      <c r="B559" s="1">
        <v>45886</v>
      </c>
      <c r="C559" t="s">
        <v>174</v>
      </c>
      <c r="D559" t="s">
        <v>14</v>
      </c>
      <c r="E559" t="s">
        <v>330</v>
      </c>
      <c r="F559" t="s">
        <v>16</v>
      </c>
      <c r="G559">
        <v>5</v>
      </c>
      <c r="H559">
        <v>2822.14</v>
      </c>
      <c r="I559">
        <v>15</v>
      </c>
      <c r="J559">
        <v>1603.15</v>
      </c>
      <c r="K559" t="s">
        <v>24</v>
      </c>
      <c r="L559" t="s">
        <v>33</v>
      </c>
      <c r="M559">
        <f t="shared" si="40"/>
        <v>11994.094999999999</v>
      </c>
      <c r="N559">
        <f t="shared" si="41"/>
        <v>3978.3449999999993</v>
      </c>
      <c r="O559" t="str">
        <f t="shared" si="42"/>
        <v>Sunday</v>
      </c>
      <c r="P559" t="b">
        <f t="shared" si="43"/>
        <v>1</v>
      </c>
      <c r="Q559" t="str">
        <f t="shared" si="44"/>
        <v>August</v>
      </c>
    </row>
    <row r="560" spans="1:17" x14ac:dyDescent="0.4">
      <c r="A560" t="s">
        <v>884</v>
      </c>
      <c r="B560" s="1">
        <v>45402</v>
      </c>
      <c r="C560" t="s">
        <v>45</v>
      </c>
      <c r="D560" t="s">
        <v>46</v>
      </c>
      <c r="E560" t="s">
        <v>75</v>
      </c>
      <c r="F560" t="s">
        <v>16</v>
      </c>
      <c r="G560">
        <v>2</v>
      </c>
      <c r="H560">
        <v>641.94000000000005</v>
      </c>
      <c r="I560">
        <v>5</v>
      </c>
      <c r="J560">
        <v>292.68</v>
      </c>
      <c r="K560" t="s">
        <v>17</v>
      </c>
      <c r="L560" t="s">
        <v>37</v>
      </c>
      <c r="M560">
        <f t="shared" si="40"/>
        <v>1219.6860000000001</v>
      </c>
      <c r="N560">
        <f t="shared" si="41"/>
        <v>634.32600000000014</v>
      </c>
      <c r="O560" t="str">
        <f t="shared" si="42"/>
        <v>Saturday</v>
      </c>
      <c r="P560" t="b">
        <f t="shared" si="43"/>
        <v>1</v>
      </c>
      <c r="Q560" t="str">
        <f t="shared" si="44"/>
        <v>April</v>
      </c>
    </row>
    <row r="561" spans="1:17" x14ac:dyDescent="0.4">
      <c r="A561" t="s">
        <v>885</v>
      </c>
      <c r="B561" s="1">
        <v>45602</v>
      </c>
      <c r="C561" t="s">
        <v>89</v>
      </c>
      <c r="D561" t="s">
        <v>21</v>
      </c>
      <c r="E561" t="s">
        <v>328</v>
      </c>
      <c r="F561" t="s">
        <v>16</v>
      </c>
      <c r="G561">
        <v>4</v>
      </c>
      <c r="H561">
        <v>2480.2800000000002</v>
      </c>
      <c r="I561">
        <v>20</v>
      </c>
      <c r="J561">
        <v>1374.82</v>
      </c>
      <c r="K561" t="s">
        <v>24</v>
      </c>
      <c r="L561" t="s">
        <v>18</v>
      </c>
      <c r="M561">
        <f t="shared" si="40"/>
        <v>7936.8960000000006</v>
      </c>
      <c r="N561">
        <f t="shared" si="41"/>
        <v>2437.6160000000009</v>
      </c>
      <c r="O561" t="str">
        <f t="shared" si="42"/>
        <v>Wednesday</v>
      </c>
      <c r="P561" t="b">
        <f t="shared" si="43"/>
        <v>0</v>
      </c>
      <c r="Q561" t="str">
        <f t="shared" si="44"/>
        <v>November</v>
      </c>
    </row>
    <row r="562" spans="1:17" x14ac:dyDescent="0.4">
      <c r="A562" t="s">
        <v>886</v>
      </c>
      <c r="B562" s="1">
        <v>45747</v>
      </c>
      <c r="C562" t="s">
        <v>152</v>
      </c>
      <c r="D562" t="s">
        <v>31</v>
      </c>
      <c r="E562" t="s">
        <v>392</v>
      </c>
      <c r="F562" t="s">
        <v>16</v>
      </c>
      <c r="G562">
        <v>5</v>
      </c>
      <c r="H562">
        <v>1872.19</v>
      </c>
      <c r="I562">
        <v>30</v>
      </c>
      <c r="J562">
        <v>882.28</v>
      </c>
      <c r="K562" t="s">
        <v>24</v>
      </c>
      <c r="L562" t="s">
        <v>18</v>
      </c>
      <c r="M562">
        <f t="shared" si="40"/>
        <v>6552.665</v>
      </c>
      <c r="N562">
        <f t="shared" si="41"/>
        <v>2141.2650000000003</v>
      </c>
      <c r="O562" t="str">
        <f t="shared" si="42"/>
        <v>Monday</v>
      </c>
      <c r="P562" t="b">
        <f t="shared" si="43"/>
        <v>0</v>
      </c>
      <c r="Q562" t="str">
        <f t="shared" si="44"/>
        <v>March</v>
      </c>
    </row>
    <row r="563" spans="1:17" x14ac:dyDescent="0.4">
      <c r="A563" t="s">
        <v>887</v>
      </c>
      <c r="B563" s="1">
        <v>45420</v>
      </c>
      <c r="C563" t="s">
        <v>205</v>
      </c>
      <c r="D563" t="s">
        <v>31</v>
      </c>
      <c r="E563" t="s">
        <v>348</v>
      </c>
      <c r="F563" t="s">
        <v>23</v>
      </c>
      <c r="G563">
        <v>1</v>
      </c>
      <c r="H563">
        <v>984.11</v>
      </c>
      <c r="I563">
        <v>20</v>
      </c>
      <c r="J563">
        <v>585.39</v>
      </c>
      <c r="K563" t="s">
        <v>24</v>
      </c>
      <c r="L563" t="s">
        <v>37</v>
      </c>
      <c r="M563">
        <f t="shared" si="40"/>
        <v>787.28800000000001</v>
      </c>
      <c r="N563">
        <f t="shared" si="41"/>
        <v>201.89800000000002</v>
      </c>
      <c r="O563" t="str">
        <f t="shared" si="42"/>
        <v>Wednesday</v>
      </c>
      <c r="P563" t="b">
        <f t="shared" si="43"/>
        <v>0</v>
      </c>
      <c r="Q563" t="str">
        <f t="shared" si="44"/>
        <v>May</v>
      </c>
    </row>
    <row r="564" spans="1:17" x14ac:dyDescent="0.4">
      <c r="A564" t="s">
        <v>888</v>
      </c>
      <c r="B564" s="1">
        <v>45868</v>
      </c>
      <c r="C564" t="s">
        <v>89</v>
      </c>
      <c r="D564" t="s">
        <v>31</v>
      </c>
      <c r="E564" t="s">
        <v>813</v>
      </c>
      <c r="F564" t="s">
        <v>23</v>
      </c>
      <c r="G564">
        <v>2</v>
      </c>
      <c r="H564">
        <v>2745.92</v>
      </c>
      <c r="I564">
        <v>25</v>
      </c>
      <c r="J564">
        <v>1840.65</v>
      </c>
      <c r="K564" t="s">
        <v>24</v>
      </c>
      <c r="L564" t="s">
        <v>18</v>
      </c>
      <c r="M564">
        <f t="shared" si="40"/>
        <v>4118.88</v>
      </c>
      <c r="N564">
        <f t="shared" si="41"/>
        <v>437.57999999999993</v>
      </c>
      <c r="O564" t="str">
        <f t="shared" si="42"/>
        <v>Wednesday</v>
      </c>
      <c r="P564" t="b">
        <f t="shared" si="43"/>
        <v>0</v>
      </c>
      <c r="Q564" t="str">
        <f t="shared" si="44"/>
        <v>July</v>
      </c>
    </row>
    <row r="565" spans="1:17" x14ac:dyDescent="0.4">
      <c r="A565" t="s">
        <v>889</v>
      </c>
      <c r="B565" s="1">
        <v>45616</v>
      </c>
      <c r="C565" t="s">
        <v>74</v>
      </c>
      <c r="D565" t="s">
        <v>46</v>
      </c>
      <c r="E565" t="s">
        <v>194</v>
      </c>
      <c r="F565" t="s">
        <v>28</v>
      </c>
      <c r="G565">
        <v>1</v>
      </c>
      <c r="H565">
        <v>1463.04</v>
      </c>
      <c r="I565">
        <v>5</v>
      </c>
      <c r="J565">
        <v>1017.53</v>
      </c>
      <c r="K565" t="s">
        <v>17</v>
      </c>
      <c r="L565" t="s">
        <v>37</v>
      </c>
      <c r="M565">
        <f t="shared" si="40"/>
        <v>1389.8879999999999</v>
      </c>
      <c r="N565">
        <f t="shared" si="41"/>
        <v>372.35799999999995</v>
      </c>
      <c r="O565" t="str">
        <f t="shared" si="42"/>
        <v>Wednesday</v>
      </c>
      <c r="P565" t="b">
        <f t="shared" si="43"/>
        <v>0</v>
      </c>
      <c r="Q565" t="str">
        <f t="shared" si="44"/>
        <v>November</v>
      </c>
    </row>
    <row r="566" spans="1:17" x14ac:dyDescent="0.4">
      <c r="A566" t="s">
        <v>890</v>
      </c>
      <c r="B566" s="1">
        <v>45817</v>
      </c>
      <c r="C566" t="s">
        <v>286</v>
      </c>
      <c r="D566" t="s">
        <v>14</v>
      </c>
      <c r="E566" t="s">
        <v>891</v>
      </c>
      <c r="F566" t="s">
        <v>23</v>
      </c>
      <c r="G566">
        <v>3</v>
      </c>
      <c r="H566">
        <v>318.55</v>
      </c>
      <c r="I566">
        <v>0</v>
      </c>
      <c r="J566">
        <v>136.04</v>
      </c>
      <c r="K566" t="s">
        <v>24</v>
      </c>
      <c r="L566" t="s">
        <v>18</v>
      </c>
      <c r="M566">
        <f t="shared" si="40"/>
        <v>955.65000000000009</v>
      </c>
      <c r="N566">
        <f t="shared" si="41"/>
        <v>547.53000000000009</v>
      </c>
      <c r="O566" t="str">
        <f t="shared" si="42"/>
        <v>Monday</v>
      </c>
      <c r="P566" t="b">
        <f t="shared" si="43"/>
        <v>0</v>
      </c>
      <c r="Q566" t="str">
        <f t="shared" si="44"/>
        <v>June</v>
      </c>
    </row>
    <row r="567" spans="1:17" x14ac:dyDescent="0.4">
      <c r="A567" t="s">
        <v>892</v>
      </c>
      <c r="B567" s="1">
        <v>45741</v>
      </c>
      <c r="C567" t="s">
        <v>286</v>
      </c>
      <c r="D567" t="s">
        <v>46</v>
      </c>
      <c r="E567" t="s">
        <v>191</v>
      </c>
      <c r="F567" t="s">
        <v>23</v>
      </c>
      <c r="G567">
        <v>5</v>
      </c>
      <c r="H567">
        <v>2985.54</v>
      </c>
      <c r="I567">
        <v>10</v>
      </c>
      <c r="J567">
        <v>1422.3</v>
      </c>
      <c r="K567" t="s">
        <v>24</v>
      </c>
      <c r="L567" t="s">
        <v>18</v>
      </c>
      <c r="M567">
        <f t="shared" si="40"/>
        <v>13434.93</v>
      </c>
      <c r="N567">
        <f t="shared" si="41"/>
        <v>6323.43</v>
      </c>
      <c r="O567" t="str">
        <f t="shared" si="42"/>
        <v>Tuesday</v>
      </c>
      <c r="P567" t="b">
        <f t="shared" si="43"/>
        <v>0</v>
      </c>
      <c r="Q567" t="str">
        <f t="shared" si="44"/>
        <v>March</v>
      </c>
    </row>
    <row r="568" spans="1:17" x14ac:dyDescent="0.4">
      <c r="A568" t="s">
        <v>893</v>
      </c>
      <c r="B568" s="1">
        <v>45541</v>
      </c>
      <c r="C568" t="s">
        <v>109</v>
      </c>
      <c r="D568" t="s">
        <v>14</v>
      </c>
      <c r="E568" t="s">
        <v>447</v>
      </c>
      <c r="F568" t="s">
        <v>16</v>
      </c>
      <c r="G568">
        <v>3</v>
      </c>
      <c r="H568">
        <v>822.98</v>
      </c>
      <c r="I568">
        <v>5</v>
      </c>
      <c r="J568">
        <v>362.14</v>
      </c>
      <c r="K568" t="s">
        <v>17</v>
      </c>
      <c r="L568" t="s">
        <v>18</v>
      </c>
      <c r="M568">
        <f t="shared" si="40"/>
        <v>2345.4929999999999</v>
      </c>
      <c r="N568">
        <f t="shared" si="41"/>
        <v>1259.0729999999999</v>
      </c>
      <c r="O568" t="str">
        <f t="shared" si="42"/>
        <v>Friday</v>
      </c>
      <c r="P568" t="b">
        <f t="shared" si="43"/>
        <v>0</v>
      </c>
      <c r="Q568" t="str">
        <f t="shared" si="44"/>
        <v>September</v>
      </c>
    </row>
    <row r="569" spans="1:17" x14ac:dyDescent="0.4">
      <c r="A569" t="s">
        <v>894</v>
      </c>
      <c r="B569" s="1">
        <v>45654</v>
      </c>
      <c r="C569" t="s">
        <v>13</v>
      </c>
      <c r="D569" t="s">
        <v>31</v>
      </c>
      <c r="E569" t="s">
        <v>265</v>
      </c>
      <c r="F569" t="s">
        <v>23</v>
      </c>
      <c r="G569">
        <v>4</v>
      </c>
      <c r="H569">
        <v>707.16</v>
      </c>
      <c r="I569">
        <v>30</v>
      </c>
      <c r="J569">
        <v>468.15</v>
      </c>
      <c r="K569" t="s">
        <v>24</v>
      </c>
      <c r="L569" t="s">
        <v>18</v>
      </c>
      <c r="M569">
        <f t="shared" si="40"/>
        <v>1980.0479999999998</v>
      </c>
      <c r="N569">
        <f t="shared" si="41"/>
        <v>107.44799999999987</v>
      </c>
      <c r="O569" t="str">
        <f t="shared" si="42"/>
        <v>Saturday</v>
      </c>
      <c r="P569" t="b">
        <f t="shared" si="43"/>
        <v>1</v>
      </c>
      <c r="Q569" t="str">
        <f t="shared" si="44"/>
        <v>December</v>
      </c>
    </row>
    <row r="570" spans="1:17" x14ac:dyDescent="0.4">
      <c r="A570" t="s">
        <v>895</v>
      </c>
      <c r="B570" s="1">
        <v>45828</v>
      </c>
      <c r="C570" t="s">
        <v>98</v>
      </c>
      <c r="D570" t="s">
        <v>31</v>
      </c>
      <c r="E570" t="s">
        <v>105</v>
      </c>
      <c r="F570" t="s">
        <v>16</v>
      </c>
      <c r="G570">
        <v>5</v>
      </c>
      <c r="H570">
        <v>970.13</v>
      </c>
      <c r="I570">
        <v>25</v>
      </c>
      <c r="J570">
        <v>436.46</v>
      </c>
      <c r="K570" t="s">
        <v>17</v>
      </c>
      <c r="L570" t="s">
        <v>37</v>
      </c>
      <c r="M570">
        <f t="shared" si="40"/>
        <v>3637.9874999999997</v>
      </c>
      <c r="N570">
        <f t="shared" si="41"/>
        <v>1455.6875</v>
      </c>
      <c r="O570" t="str">
        <f t="shared" si="42"/>
        <v>Friday</v>
      </c>
      <c r="P570" t="b">
        <f t="shared" si="43"/>
        <v>0</v>
      </c>
      <c r="Q570" t="str">
        <f t="shared" si="44"/>
        <v>June</v>
      </c>
    </row>
    <row r="571" spans="1:17" x14ac:dyDescent="0.4">
      <c r="A571" t="s">
        <v>896</v>
      </c>
      <c r="B571" s="1">
        <v>45679</v>
      </c>
      <c r="C571" t="s">
        <v>302</v>
      </c>
      <c r="D571" t="s">
        <v>46</v>
      </c>
      <c r="E571" t="s">
        <v>15</v>
      </c>
      <c r="F571" t="s">
        <v>28</v>
      </c>
      <c r="G571">
        <v>3</v>
      </c>
      <c r="H571">
        <v>2507.4899999999998</v>
      </c>
      <c r="I571">
        <v>5</v>
      </c>
      <c r="J571">
        <v>1526.49</v>
      </c>
      <c r="K571" t="s">
        <v>17</v>
      </c>
      <c r="L571" t="s">
        <v>18</v>
      </c>
      <c r="M571">
        <f t="shared" si="40"/>
        <v>7146.3464999999987</v>
      </c>
      <c r="N571">
        <f t="shared" si="41"/>
        <v>2566.8764999999985</v>
      </c>
      <c r="O571" t="str">
        <f t="shared" si="42"/>
        <v>Wednesday</v>
      </c>
      <c r="P571" t="b">
        <f t="shared" si="43"/>
        <v>0</v>
      </c>
      <c r="Q571" t="str">
        <f t="shared" si="44"/>
        <v>January</v>
      </c>
    </row>
    <row r="572" spans="1:17" x14ac:dyDescent="0.4">
      <c r="A572" t="s">
        <v>897</v>
      </c>
      <c r="B572" s="1">
        <v>45857</v>
      </c>
      <c r="C572" t="s">
        <v>224</v>
      </c>
      <c r="D572" t="s">
        <v>46</v>
      </c>
      <c r="E572" t="s">
        <v>766</v>
      </c>
      <c r="F572" t="s">
        <v>16</v>
      </c>
      <c r="G572">
        <v>5</v>
      </c>
      <c r="H572">
        <v>2846.88</v>
      </c>
      <c r="I572">
        <v>30</v>
      </c>
      <c r="J572">
        <v>1267.3900000000001</v>
      </c>
      <c r="K572" t="s">
        <v>24</v>
      </c>
      <c r="L572" t="s">
        <v>33</v>
      </c>
      <c r="M572">
        <f t="shared" si="40"/>
        <v>9964.08</v>
      </c>
      <c r="N572">
        <f t="shared" si="41"/>
        <v>3627.1299999999992</v>
      </c>
      <c r="O572" t="str">
        <f t="shared" si="42"/>
        <v>Saturday</v>
      </c>
      <c r="P572" t="b">
        <f t="shared" si="43"/>
        <v>1</v>
      </c>
      <c r="Q572" t="str">
        <f t="shared" si="44"/>
        <v>July</v>
      </c>
    </row>
    <row r="573" spans="1:17" x14ac:dyDescent="0.4">
      <c r="A573" t="s">
        <v>898</v>
      </c>
      <c r="B573" s="1">
        <v>45310</v>
      </c>
      <c r="C573" t="s">
        <v>273</v>
      </c>
      <c r="D573" t="s">
        <v>21</v>
      </c>
      <c r="E573" t="s">
        <v>222</v>
      </c>
      <c r="F573" t="s">
        <v>23</v>
      </c>
      <c r="G573">
        <v>4</v>
      </c>
      <c r="H573">
        <v>2127.34</v>
      </c>
      <c r="I573">
        <v>25</v>
      </c>
      <c r="J573">
        <v>1409</v>
      </c>
      <c r="K573" t="s">
        <v>17</v>
      </c>
      <c r="L573" t="s">
        <v>33</v>
      </c>
      <c r="M573">
        <f t="shared" si="40"/>
        <v>6382.02</v>
      </c>
      <c r="N573">
        <f t="shared" si="41"/>
        <v>746.02000000000044</v>
      </c>
      <c r="O573" t="str">
        <f t="shared" si="42"/>
        <v>Friday</v>
      </c>
      <c r="P573" t="b">
        <f t="shared" si="43"/>
        <v>0</v>
      </c>
      <c r="Q573" t="str">
        <f t="shared" si="44"/>
        <v>January</v>
      </c>
    </row>
    <row r="574" spans="1:17" x14ac:dyDescent="0.4">
      <c r="A574" t="s">
        <v>899</v>
      </c>
      <c r="B574" s="1">
        <v>45737</v>
      </c>
      <c r="C574" t="s">
        <v>171</v>
      </c>
      <c r="D574" t="s">
        <v>31</v>
      </c>
      <c r="E574" t="s">
        <v>900</v>
      </c>
      <c r="F574" t="s">
        <v>28</v>
      </c>
      <c r="G574">
        <v>4</v>
      </c>
      <c r="H574">
        <v>849.08</v>
      </c>
      <c r="I574">
        <v>15</v>
      </c>
      <c r="J574">
        <v>487.83</v>
      </c>
      <c r="K574" t="s">
        <v>24</v>
      </c>
      <c r="L574" t="s">
        <v>37</v>
      </c>
      <c r="M574">
        <f t="shared" si="40"/>
        <v>2886.8719999999998</v>
      </c>
      <c r="N574">
        <f t="shared" si="41"/>
        <v>935.55199999999991</v>
      </c>
      <c r="O574" t="str">
        <f t="shared" si="42"/>
        <v>Friday</v>
      </c>
      <c r="P574" t="b">
        <f t="shared" si="43"/>
        <v>0</v>
      </c>
      <c r="Q574" t="str">
        <f t="shared" si="44"/>
        <v>March</v>
      </c>
    </row>
    <row r="575" spans="1:17" x14ac:dyDescent="0.4">
      <c r="A575" t="s">
        <v>901</v>
      </c>
      <c r="B575" s="1">
        <v>45578</v>
      </c>
      <c r="C575" t="s">
        <v>171</v>
      </c>
      <c r="D575" t="s">
        <v>46</v>
      </c>
      <c r="E575" t="s">
        <v>411</v>
      </c>
      <c r="F575" t="s">
        <v>23</v>
      </c>
      <c r="G575">
        <v>3</v>
      </c>
      <c r="H575">
        <v>1353.9</v>
      </c>
      <c r="I575">
        <v>15</v>
      </c>
      <c r="J575">
        <v>603.21</v>
      </c>
      <c r="K575" t="s">
        <v>17</v>
      </c>
      <c r="L575" t="s">
        <v>37</v>
      </c>
      <c r="M575">
        <f t="shared" si="40"/>
        <v>3452.4450000000002</v>
      </c>
      <c r="N575">
        <f t="shared" si="41"/>
        <v>1642.8150000000001</v>
      </c>
      <c r="O575" t="str">
        <f t="shared" si="42"/>
        <v>Sunday</v>
      </c>
      <c r="P575" t="b">
        <f t="shared" si="43"/>
        <v>1</v>
      </c>
      <c r="Q575" t="str">
        <f t="shared" si="44"/>
        <v>October</v>
      </c>
    </row>
    <row r="576" spans="1:17" x14ac:dyDescent="0.4">
      <c r="A576" t="s">
        <v>902</v>
      </c>
      <c r="B576" s="1">
        <v>45666</v>
      </c>
      <c r="C576" t="s">
        <v>241</v>
      </c>
      <c r="D576" t="s">
        <v>14</v>
      </c>
      <c r="E576" t="s">
        <v>22</v>
      </c>
      <c r="F576" t="s">
        <v>28</v>
      </c>
      <c r="G576">
        <v>4</v>
      </c>
      <c r="H576">
        <v>1927.5</v>
      </c>
      <c r="I576">
        <v>5</v>
      </c>
      <c r="J576">
        <v>1003.4</v>
      </c>
      <c r="K576" t="s">
        <v>17</v>
      </c>
      <c r="L576" t="s">
        <v>18</v>
      </c>
      <c r="M576">
        <f t="shared" si="40"/>
        <v>7324.5</v>
      </c>
      <c r="N576">
        <f t="shared" si="41"/>
        <v>3310.9</v>
      </c>
      <c r="O576" t="str">
        <f t="shared" si="42"/>
        <v>Thursday</v>
      </c>
      <c r="P576" t="b">
        <f t="shared" si="43"/>
        <v>0</v>
      </c>
      <c r="Q576" t="str">
        <f t="shared" si="44"/>
        <v>January</v>
      </c>
    </row>
    <row r="577" spans="1:17" x14ac:dyDescent="0.4">
      <c r="A577" t="s">
        <v>903</v>
      </c>
      <c r="B577" s="1">
        <v>45955</v>
      </c>
      <c r="C577" t="s">
        <v>174</v>
      </c>
      <c r="D577" t="s">
        <v>21</v>
      </c>
      <c r="E577" t="s">
        <v>322</v>
      </c>
      <c r="F577" t="s">
        <v>16</v>
      </c>
      <c r="G577">
        <v>5</v>
      </c>
      <c r="H577">
        <v>533.30999999999995</v>
      </c>
      <c r="I577">
        <v>10</v>
      </c>
      <c r="J577">
        <v>250.4</v>
      </c>
      <c r="K577" t="s">
        <v>24</v>
      </c>
      <c r="L577" t="s">
        <v>37</v>
      </c>
      <c r="M577">
        <f t="shared" si="40"/>
        <v>2399.895</v>
      </c>
      <c r="N577">
        <f t="shared" si="41"/>
        <v>1147.895</v>
      </c>
      <c r="O577" t="str">
        <f t="shared" si="42"/>
        <v>Saturday</v>
      </c>
      <c r="P577" t="b">
        <f t="shared" si="43"/>
        <v>1</v>
      </c>
      <c r="Q577" t="str">
        <f t="shared" si="44"/>
        <v>October</v>
      </c>
    </row>
    <row r="578" spans="1:17" x14ac:dyDescent="0.4">
      <c r="A578" t="s">
        <v>904</v>
      </c>
      <c r="B578" s="1">
        <v>45767</v>
      </c>
      <c r="C578" t="s">
        <v>84</v>
      </c>
      <c r="D578" t="s">
        <v>31</v>
      </c>
      <c r="E578" t="s">
        <v>180</v>
      </c>
      <c r="F578" t="s">
        <v>28</v>
      </c>
      <c r="G578">
        <v>5</v>
      </c>
      <c r="H578">
        <v>348.07</v>
      </c>
      <c r="I578">
        <v>5</v>
      </c>
      <c r="J578">
        <v>225.07</v>
      </c>
      <c r="K578" t="s">
        <v>17</v>
      </c>
      <c r="L578" t="s">
        <v>37</v>
      </c>
      <c r="M578">
        <f t="shared" si="40"/>
        <v>1653.3324999999998</v>
      </c>
      <c r="N578">
        <f t="shared" si="41"/>
        <v>527.98249999999985</v>
      </c>
      <c r="O578" t="str">
        <f t="shared" si="42"/>
        <v>Sunday</v>
      </c>
      <c r="P578" t="b">
        <f t="shared" si="43"/>
        <v>1</v>
      </c>
      <c r="Q578" t="str">
        <f t="shared" si="44"/>
        <v>April</v>
      </c>
    </row>
    <row r="579" spans="1:17" x14ac:dyDescent="0.4">
      <c r="A579" t="s">
        <v>905</v>
      </c>
      <c r="B579" s="1">
        <v>45396</v>
      </c>
      <c r="C579" t="s">
        <v>54</v>
      </c>
      <c r="D579" t="s">
        <v>21</v>
      </c>
      <c r="E579" t="s">
        <v>110</v>
      </c>
      <c r="F579" t="s">
        <v>16</v>
      </c>
      <c r="G579">
        <v>5</v>
      </c>
      <c r="H579">
        <v>830.91</v>
      </c>
      <c r="I579">
        <v>10</v>
      </c>
      <c r="J579">
        <v>453.2</v>
      </c>
      <c r="K579" t="s">
        <v>17</v>
      </c>
      <c r="L579" t="s">
        <v>37</v>
      </c>
      <c r="M579">
        <f t="shared" ref="M579:M642" si="45">G579 * H579 * (1 - I579/100)</f>
        <v>3739.0950000000003</v>
      </c>
      <c r="N579">
        <f t="shared" ref="N579:N642" si="46">M579 - (J579 * G579)</f>
        <v>1473.0950000000003</v>
      </c>
      <c r="O579" t="str">
        <f t="shared" ref="O579:O642" si="47">TEXT(B579,"dddd")</f>
        <v>Sunday</v>
      </c>
      <c r="P579" t="b">
        <f t="shared" ref="P579:P642" si="48">OR(TEXT(B579,"ddd")="Sat", TEXT(B579,"ddd")="Sun")</f>
        <v>1</v>
      </c>
      <c r="Q579" t="str">
        <f t="shared" ref="Q579:Q642" si="49">TEXT(B579,"mmmm")</f>
        <v>April</v>
      </c>
    </row>
    <row r="580" spans="1:17" x14ac:dyDescent="0.4">
      <c r="A580" t="s">
        <v>906</v>
      </c>
      <c r="B580" s="1">
        <v>45419</v>
      </c>
      <c r="C580" t="s">
        <v>62</v>
      </c>
      <c r="D580" t="s">
        <v>14</v>
      </c>
      <c r="E580" t="s">
        <v>284</v>
      </c>
      <c r="F580" t="s">
        <v>23</v>
      </c>
      <c r="G580">
        <v>1</v>
      </c>
      <c r="H580">
        <v>2079.37</v>
      </c>
      <c r="I580">
        <v>15</v>
      </c>
      <c r="J580">
        <v>1093.98</v>
      </c>
      <c r="K580" t="s">
        <v>17</v>
      </c>
      <c r="L580" t="s">
        <v>33</v>
      </c>
      <c r="M580">
        <f t="shared" si="45"/>
        <v>1767.4644999999998</v>
      </c>
      <c r="N580">
        <f t="shared" si="46"/>
        <v>673.4844999999998</v>
      </c>
      <c r="O580" t="str">
        <f t="shared" si="47"/>
        <v>Tuesday</v>
      </c>
      <c r="P580" t="b">
        <f t="shared" si="48"/>
        <v>0</v>
      </c>
      <c r="Q580" t="str">
        <f t="shared" si="49"/>
        <v>May</v>
      </c>
    </row>
    <row r="581" spans="1:17" x14ac:dyDescent="0.4">
      <c r="A581" t="s">
        <v>907</v>
      </c>
      <c r="B581" s="1">
        <v>45825</v>
      </c>
      <c r="C581" t="s">
        <v>89</v>
      </c>
      <c r="D581" t="s">
        <v>31</v>
      </c>
      <c r="E581" t="s">
        <v>270</v>
      </c>
      <c r="F581" t="s">
        <v>23</v>
      </c>
      <c r="G581">
        <v>1</v>
      </c>
      <c r="H581">
        <v>2137.9499999999998</v>
      </c>
      <c r="I581">
        <v>5</v>
      </c>
      <c r="J581">
        <v>953.81</v>
      </c>
      <c r="K581" t="s">
        <v>17</v>
      </c>
      <c r="L581" t="s">
        <v>33</v>
      </c>
      <c r="M581">
        <f t="shared" si="45"/>
        <v>2031.0524999999998</v>
      </c>
      <c r="N581">
        <f t="shared" si="46"/>
        <v>1077.2424999999998</v>
      </c>
      <c r="O581" t="str">
        <f t="shared" si="47"/>
        <v>Tuesday</v>
      </c>
      <c r="P581" t="b">
        <f t="shared" si="48"/>
        <v>0</v>
      </c>
      <c r="Q581" t="str">
        <f t="shared" si="49"/>
        <v>June</v>
      </c>
    </row>
    <row r="582" spans="1:17" x14ac:dyDescent="0.4">
      <c r="A582" t="s">
        <v>908</v>
      </c>
      <c r="B582" s="1">
        <v>45551</v>
      </c>
      <c r="C582" t="s">
        <v>84</v>
      </c>
      <c r="D582" t="s">
        <v>21</v>
      </c>
      <c r="E582" t="s">
        <v>229</v>
      </c>
      <c r="F582" t="s">
        <v>23</v>
      </c>
      <c r="G582">
        <v>3</v>
      </c>
      <c r="H582">
        <v>2092.54</v>
      </c>
      <c r="I582">
        <v>25</v>
      </c>
      <c r="J582">
        <v>1284.98</v>
      </c>
      <c r="K582" t="s">
        <v>17</v>
      </c>
      <c r="L582" t="s">
        <v>18</v>
      </c>
      <c r="M582">
        <f t="shared" si="45"/>
        <v>4708.2150000000001</v>
      </c>
      <c r="N582">
        <f t="shared" si="46"/>
        <v>853.27500000000009</v>
      </c>
      <c r="O582" t="str">
        <f t="shared" si="47"/>
        <v>Monday</v>
      </c>
      <c r="P582" t="b">
        <f t="shared" si="48"/>
        <v>0</v>
      </c>
      <c r="Q582" t="str">
        <f t="shared" si="49"/>
        <v>September</v>
      </c>
    </row>
    <row r="583" spans="1:17" x14ac:dyDescent="0.4">
      <c r="A583" t="s">
        <v>909</v>
      </c>
      <c r="B583" s="1">
        <v>45981</v>
      </c>
      <c r="C583" t="s">
        <v>42</v>
      </c>
      <c r="D583" t="s">
        <v>21</v>
      </c>
      <c r="E583" t="s">
        <v>101</v>
      </c>
      <c r="F583" t="s">
        <v>23</v>
      </c>
      <c r="G583">
        <v>4</v>
      </c>
      <c r="H583">
        <v>2366.02</v>
      </c>
      <c r="I583">
        <v>10</v>
      </c>
      <c r="J583">
        <v>1007.79</v>
      </c>
      <c r="K583" t="s">
        <v>24</v>
      </c>
      <c r="L583" t="s">
        <v>33</v>
      </c>
      <c r="M583">
        <f t="shared" si="45"/>
        <v>8517.6720000000005</v>
      </c>
      <c r="N583">
        <f t="shared" si="46"/>
        <v>4486.5120000000006</v>
      </c>
      <c r="O583" t="str">
        <f t="shared" si="47"/>
        <v>Thursday</v>
      </c>
      <c r="P583" t="b">
        <f t="shared" si="48"/>
        <v>0</v>
      </c>
      <c r="Q583" t="str">
        <f t="shared" si="49"/>
        <v>November</v>
      </c>
    </row>
    <row r="584" spans="1:17" x14ac:dyDescent="0.4">
      <c r="A584" t="s">
        <v>910</v>
      </c>
      <c r="B584" s="1">
        <v>45505</v>
      </c>
      <c r="C584" t="s">
        <v>30</v>
      </c>
      <c r="D584" t="s">
        <v>21</v>
      </c>
      <c r="E584" t="s">
        <v>911</v>
      </c>
      <c r="F584" t="s">
        <v>16</v>
      </c>
      <c r="G584">
        <v>5</v>
      </c>
      <c r="H584">
        <v>2332.66</v>
      </c>
      <c r="I584">
        <v>15</v>
      </c>
      <c r="J584">
        <v>1021.85</v>
      </c>
      <c r="K584" t="s">
        <v>24</v>
      </c>
      <c r="L584" t="s">
        <v>37</v>
      </c>
      <c r="M584">
        <f t="shared" si="45"/>
        <v>9913.8049999999985</v>
      </c>
      <c r="N584">
        <f t="shared" si="46"/>
        <v>4804.5549999999985</v>
      </c>
      <c r="O584" t="str">
        <f t="shared" si="47"/>
        <v>Thursday</v>
      </c>
      <c r="P584" t="b">
        <f t="shared" si="48"/>
        <v>0</v>
      </c>
      <c r="Q584" t="str">
        <f t="shared" si="49"/>
        <v>August</v>
      </c>
    </row>
    <row r="585" spans="1:17" x14ac:dyDescent="0.4">
      <c r="A585" t="s">
        <v>912</v>
      </c>
      <c r="B585" s="1">
        <v>45294</v>
      </c>
      <c r="C585" t="s">
        <v>86</v>
      </c>
      <c r="D585" t="s">
        <v>46</v>
      </c>
      <c r="E585" t="s">
        <v>730</v>
      </c>
      <c r="F585" t="s">
        <v>23</v>
      </c>
      <c r="G585">
        <v>2</v>
      </c>
      <c r="H585">
        <v>1795.57</v>
      </c>
      <c r="I585">
        <v>0</v>
      </c>
      <c r="J585">
        <v>866.87</v>
      </c>
      <c r="K585" t="s">
        <v>24</v>
      </c>
      <c r="L585" t="s">
        <v>18</v>
      </c>
      <c r="M585">
        <f t="shared" si="45"/>
        <v>3591.14</v>
      </c>
      <c r="N585">
        <f t="shared" si="46"/>
        <v>1857.3999999999999</v>
      </c>
      <c r="O585" t="str">
        <f t="shared" si="47"/>
        <v>Wednesday</v>
      </c>
      <c r="P585" t="b">
        <f t="shared" si="48"/>
        <v>0</v>
      </c>
      <c r="Q585" t="str">
        <f t="shared" si="49"/>
        <v>January</v>
      </c>
    </row>
    <row r="586" spans="1:17" x14ac:dyDescent="0.4">
      <c r="A586" t="s">
        <v>913</v>
      </c>
      <c r="B586" s="1">
        <v>45362</v>
      </c>
      <c r="C586" t="s">
        <v>86</v>
      </c>
      <c r="D586" t="s">
        <v>14</v>
      </c>
      <c r="E586" t="s">
        <v>243</v>
      </c>
      <c r="F586" t="s">
        <v>23</v>
      </c>
      <c r="G586">
        <v>5</v>
      </c>
      <c r="H586">
        <v>986.27</v>
      </c>
      <c r="I586">
        <v>5</v>
      </c>
      <c r="J586">
        <v>402.6</v>
      </c>
      <c r="K586" t="s">
        <v>17</v>
      </c>
      <c r="L586" t="s">
        <v>18</v>
      </c>
      <c r="M586">
        <f t="shared" si="45"/>
        <v>4684.7825000000003</v>
      </c>
      <c r="N586">
        <f t="shared" si="46"/>
        <v>2671.7825000000003</v>
      </c>
      <c r="O586" t="str">
        <f t="shared" si="47"/>
        <v>Monday</v>
      </c>
      <c r="P586" t="b">
        <f t="shared" si="48"/>
        <v>0</v>
      </c>
      <c r="Q586" t="str">
        <f t="shared" si="49"/>
        <v>March</v>
      </c>
    </row>
    <row r="587" spans="1:17" x14ac:dyDescent="0.4">
      <c r="A587" t="s">
        <v>914</v>
      </c>
      <c r="B587" s="1">
        <v>45380</v>
      </c>
      <c r="C587" t="s">
        <v>269</v>
      </c>
      <c r="D587" t="s">
        <v>14</v>
      </c>
      <c r="E587" t="s">
        <v>454</v>
      </c>
      <c r="F587" t="s">
        <v>28</v>
      </c>
      <c r="G587">
        <v>1</v>
      </c>
      <c r="H587">
        <v>1843.85</v>
      </c>
      <c r="I587">
        <v>15</v>
      </c>
      <c r="J587">
        <v>1248.97</v>
      </c>
      <c r="K587" t="s">
        <v>17</v>
      </c>
      <c r="L587" t="s">
        <v>37</v>
      </c>
      <c r="M587">
        <f t="shared" si="45"/>
        <v>1567.2724999999998</v>
      </c>
      <c r="N587">
        <f t="shared" si="46"/>
        <v>318.30249999999978</v>
      </c>
      <c r="O587" t="str">
        <f t="shared" si="47"/>
        <v>Friday</v>
      </c>
      <c r="P587" t="b">
        <f t="shared" si="48"/>
        <v>0</v>
      </c>
      <c r="Q587" t="str">
        <f t="shared" si="49"/>
        <v>March</v>
      </c>
    </row>
    <row r="588" spans="1:17" x14ac:dyDescent="0.4">
      <c r="A588" t="s">
        <v>915</v>
      </c>
      <c r="B588" s="1">
        <v>45560</v>
      </c>
      <c r="C588" t="s">
        <v>278</v>
      </c>
      <c r="D588" t="s">
        <v>14</v>
      </c>
      <c r="E588" t="s">
        <v>916</v>
      </c>
      <c r="F588" t="s">
        <v>16</v>
      </c>
      <c r="G588">
        <v>5</v>
      </c>
      <c r="H588">
        <v>2390.67</v>
      </c>
      <c r="I588">
        <v>0</v>
      </c>
      <c r="J588">
        <v>1326.87</v>
      </c>
      <c r="K588" t="s">
        <v>24</v>
      </c>
      <c r="L588" t="s">
        <v>18</v>
      </c>
      <c r="M588">
        <f t="shared" si="45"/>
        <v>11953.35</v>
      </c>
      <c r="N588">
        <f t="shared" si="46"/>
        <v>5319.0000000000009</v>
      </c>
      <c r="O588" t="str">
        <f t="shared" si="47"/>
        <v>Wednesday</v>
      </c>
      <c r="P588" t="b">
        <f t="shared" si="48"/>
        <v>0</v>
      </c>
      <c r="Q588" t="str">
        <f t="shared" si="49"/>
        <v>September</v>
      </c>
    </row>
    <row r="589" spans="1:17" x14ac:dyDescent="0.4">
      <c r="A589" t="s">
        <v>917</v>
      </c>
      <c r="B589" s="1">
        <v>45574</v>
      </c>
      <c r="C589" t="s">
        <v>59</v>
      </c>
      <c r="D589" t="s">
        <v>14</v>
      </c>
      <c r="E589" t="s">
        <v>265</v>
      </c>
      <c r="F589" t="s">
        <v>16</v>
      </c>
      <c r="G589">
        <v>5</v>
      </c>
      <c r="H589">
        <v>735.78</v>
      </c>
      <c r="I589">
        <v>0</v>
      </c>
      <c r="J589">
        <v>387.8</v>
      </c>
      <c r="K589" t="s">
        <v>17</v>
      </c>
      <c r="L589" t="s">
        <v>18</v>
      </c>
      <c r="M589">
        <f t="shared" si="45"/>
        <v>3678.8999999999996</v>
      </c>
      <c r="N589">
        <f t="shared" si="46"/>
        <v>1739.8999999999996</v>
      </c>
      <c r="O589" t="str">
        <f t="shared" si="47"/>
        <v>Wednesday</v>
      </c>
      <c r="P589" t="b">
        <f t="shared" si="48"/>
        <v>0</v>
      </c>
      <c r="Q589" t="str">
        <f t="shared" si="49"/>
        <v>October</v>
      </c>
    </row>
    <row r="590" spans="1:17" x14ac:dyDescent="0.4">
      <c r="A590" t="s">
        <v>918</v>
      </c>
      <c r="B590" s="1">
        <v>45498</v>
      </c>
      <c r="C590" t="s">
        <v>95</v>
      </c>
      <c r="D590" t="s">
        <v>21</v>
      </c>
      <c r="E590" t="s">
        <v>569</v>
      </c>
      <c r="F590" t="s">
        <v>23</v>
      </c>
      <c r="G590">
        <v>1</v>
      </c>
      <c r="H590">
        <v>1038.95</v>
      </c>
      <c r="I590">
        <v>10</v>
      </c>
      <c r="J590">
        <v>682.07</v>
      </c>
      <c r="K590" t="s">
        <v>24</v>
      </c>
      <c r="L590" t="s">
        <v>33</v>
      </c>
      <c r="M590">
        <f t="shared" si="45"/>
        <v>935.05500000000006</v>
      </c>
      <c r="N590">
        <f t="shared" si="46"/>
        <v>252.98500000000001</v>
      </c>
      <c r="O590" t="str">
        <f t="shared" si="47"/>
        <v>Thursday</v>
      </c>
      <c r="P590" t="b">
        <f t="shared" si="48"/>
        <v>0</v>
      </c>
      <c r="Q590" t="str">
        <f t="shared" si="49"/>
        <v>July</v>
      </c>
    </row>
    <row r="591" spans="1:17" x14ac:dyDescent="0.4">
      <c r="A591" t="s">
        <v>919</v>
      </c>
      <c r="B591" s="1">
        <v>45966</v>
      </c>
      <c r="C591" t="s">
        <v>62</v>
      </c>
      <c r="D591" t="s">
        <v>21</v>
      </c>
      <c r="E591" t="s">
        <v>198</v>
      </c>
      <c r="F591" t="s">
        <v>23</v>
      </c>
      <c r="G591">
        <v>4</v>
      </c>
      <c r="H591">
        <v>1166.23</v>
      </c>
      <c r="I591">
        <v>10</v>
      </c>
      <c r="J591">
        <v>652.49</v>
      </c>
      <c r="K591" t="s">
        <v>17</v>
      </c>
      <c r="L591" t="s">
        <v>33</v>
      </c>
      <c r="M591">
        <f t="shared" si="45"/>
        <v>4198.4279999999999</v>
      </c>
      <c r="N591">
        <f t="shared" si="46"/>
        <v>1588.4679999999998</v>
      </c>
      <c r="O591" t="str">
        <f t="shared" si="47"/>
        <v>Wednesday</v>
      </c>
      <c r="P591" t="b">
        <f t="shared" si="48"/>
        <v>0</v>
      </c>
      <c r="Q591" t="str">
        <f t="shared" si="49"/>
        <v>November</v>
      </c>
    </row>
    <row r="592" spans="1:17" x14ac:dyDescent="0.4">
      <c r="A592" t="s">
        <v>920</v>
      </c>
      <c r="B592" s="1">
        <v>45571</v>
      </c>
      <c r="C592" t="s">
        <v>152</v>
      </c>
      <c r="D592" t="s">
        <v>46</v>
      </c>
      <c r="E592" t="s">
        <v>510</v>
      </c>
      <c r="F592" t="s">
        <v>23</v>
      </c>
      <c r="G592">
        <v>5</v>
      </c>
      <c r="H592">
        <v>2208.2199999999998</v>
      </c>
      <c r="I592">
        <v>25</v>
      </c>
      <c r="J592">
        <v>1376.6</v>
      </c>
      <c r="K592" t="s">
        <v>24</v>
      </c>
      <c r="L592" t="s">
        <v>37</v>
      </c>
      <c r="M592">
        <f t="shared" si="45"/>
        <v>8280.8249999999989</v>
      </c>
      <c r="N592">
        <f t="shared" si="46"/>
        <v>1397.8249999999989</v>
      </c>
      <c r="O592" t="str">
        <f t="shared" si="47"/>
        <v>Sunday</v>
      </c>
      <c r="P592" t="b">
        <f t="shared" si="48"/>
        <v>1</v>
      </c>
      <c r="Q592" t="str">
        <f t="shared" si="49"/>
        <v>October</v>
      </c>
    </row>
    <row r="593" spans="1:17" x14ac:dyDescent="0.4">
      <c r="A593" t="s">
        <v>921</v>
      </c>
      <c r="B593" s="1">
        <v>45759</v>
      </c>
      <c r="C593" t="s">
        <v>224</v>
      </c>
      <c r="D593" t="s">
        <v>31</v>
      </c>
      <c r="E593" t="s">
        <v>753</v>
      </c>
      <c r="F593" t="s">
        <v>28</v>
      </c>
      <c r="G593">
        <v>4</v>
      </c>
      <c r="H593">
        <v>2980.34</v>
      </c>
      <c r="I593">
        <v>5</v>
      </c>
      <c r="J593">
        <v>1758.68</v>
      </c>
      <c r="K593" t="s">
        <v>24</v>
      </c>
      <c r="L593" t="s">
        <v>18</v>
      </c>
      <c r="M593">
        <f t="shared" si="45"/>
        <v>11325.291999999999</v>
      </c>
      <c r="N593">
        <f t="shared" si="46"/>
        <v>4290.5719999999992</v>
      </c>
      <c r="O593" t="str">
        <f t="shared" si="47"/>
        <v>Saturday</v>
      </c>
      <c r="P593" t="b">
        <f t="shared" si="48"/>
        <v>1</v>
      </c>
      <c r="Q593" t="str">
        <f t="shared" si="49"/>
        <v>April</v>
      </c>
    </row>
    <row r="594" spans="1:17" x14ac:dyDescent="0.4">
      <c r="A594" t="s">
        <v>922</v>
      </c>
      <c r="B594" s="1">
        <v>45461</v>
      </c>
      <c r="C594" t="s">
        <v>35</v>
      </c>
      <c r="D594" t="s">
        <v>31</v>
      </c>
      <c r="E594" t="s">
        <v>194</v>
      </c>
      <c r="F594" t="s">
        <v>23</v>
      </c>
      <c r="G594">
        <v>3</v>
      </c>
      <c r="H594">
        <v>1183.52</v>
      </c>
      <c r="I594">
        <v>10</v>
      </c>
      <c r="J594">
        <v>696.42</v>
      </c>
      <c r="K594" t="s">
        <v>24</v>
      </c>
      <c r="L594" t="s">
        <v>33</v>
      </c>
      <c r="M594">
        <f t="shared" si="45"/>
        <v>3195.5039999999999</v>
      </c>
      <c r="N594">
        <f t="shared" si="46"/>
        <v>1106.2440000000001</v>
      </c>
      <c r="O594" t="str">
        <f t="shared" si="47"/>
        <v>Tuesday</v>
      </c>
      <c r="P594" t="b">
        <f t="shared" si="48"/>
        <v>0</v>
      </c>
      <c r="Q594" t="str">
        <f t="shared" si="49"/>
        <v>June</v>
      </c>
    </row>
    <row r="595" spans="1:17" x14ac:dyDescent="0.4">
      <c r="A595" t="s">
        <v>923</v>
      </c>
      <c r="B595" s="1">
        <v>45570</v>
      </c>
      <c r="C595" t="s">
        <v>171</v>
      </c>
      <c r="D595" t="s">
        <v>46</v>
      </c>
      <c r="E595" t="s">
        <v>557</v>
      </c>
      <c r="F595" t="s">
        <v>16</v>
      </c>
      <c r="G595">
        <v>3</v>
      </c>
      <c r="H595">
        <v>1219.07</v>
      </c>
      <c r="I595">
        <v>10</v>
      </c>
      <c r="J595">
        <v>824.6</v>
      </c>
      <c r="K595" t="s">
        <v>24</v>
      </c>
      <c r="L595" t="s">
        <v>37</v>
      </c>
      <c r="M595">
        <f t="shared" si="45"/>
        <v>3291.489</v>
      </c>
      <c r="N595">
        <f t="shared" si="46"/>
        <v>817.68899999999985</v>
      </c>
      <c r="O595" t="str">
        <f t="shared" si="47"/>
        <v>Saturday</v>
      </c>
      <c r="P595" t="b">
        <f t="shared" si="48"/>
        <v>1</v>
      </c>
      <c r="Q595" t="str">
        <f t="shared" si="49"/>
        <v>October</v>
      </c>
    </row>
    <row r="596" spans="1:17" x14ac:dyDescent="0.4">
      <c r="A596" t="s">
        <v>924</v>
      </c>
      <c r="B596" s="1">
        <v>45876</v>
      </c>
      <c r="C596" t="s">
        <v>309</v>
      </c>
      <c r="D596" t="s">
        <v>31</v>
      </c>
      <c r="E596" t="s">
        <v>202</v>
      </c>
      <c r="F596" t="s">
        <v>28</v>
      </c>
      <c r="G596">
        <v>5</v>
      </c>
      <c r="H596">
        <v>468.04</v>
      </c>
      <c r="I596">
        <v>0</v>
      </c>
      <c r="J596">
        <v>225.6</v>
      </c>
      <c r="K596" t="s">
        <v>17</v>
      </c>
      <c r="L596" t="s">
        <v>37</v>
      </c>
      <c r="M596">
        <f t="shared" si="45"/>
        <v>2340.2000000000003</v>
      </c>
      <c r="N596">
        <f t="shared" si="46"/>
        <v>1212.2000000000003</v>
      </c>
      <c r="O596" t="str">
        <f t="shared" si="47"/>
        <v>Thursday</v>
      </c>
      <c r="P596" t="b">
        <f t="shared" si="48"/>
        <v>0</v>
      </c>
      <c r="Q596" t="str">
        <f t="shared" si="49"/>
        <v>August</v>
      </c>
    </row>
    <row r="597" spans="1:17" x14ac:dyDescent="0.4">
      <c r="A597" t="s">
        <v>925</v>
      </c>
      <c r="B597" s="1">
        <v>45949</v>
      </c>
      <c r="C597" t="s">
        <v>92</v>
      </c>
      <c r="D597" t="s">
        <v>31</v>
      </c>
      <c r="E597" t="s">
        <v>280</v>
      </c>
      <c r="F597" t="s">
        <v>23</v>
      </c>
      <c r="G597">
        <v>3</v>
      </c>
      <c r="H597">
        <v>520.78</v>
      </c>
      <c r="I597">
        <v>25</v>
      </c>
      <c r="J597">
        <v>307.12</v>
      </c>
      <c r="K597" t="s">
        <v>17</v>
      </c>
      <c r="L597" t="s">
        <v>18</v>
      </c>
      <c r="M597">
        <f t="shared" si="45"/>
        <v>1171.7549999999999</v>
      </c>
      <c r="N597">
        <f t="shared" si="46"/>
        <v>250.39499999999987</v>
      </c>
      <c r="O597" t="str">
        <f t="shared" si="47"/>
        <v>Sunday</v>
      </c>
      <c r="P597" t="b">
        <f t="shared" si="48"/>
        <v>1</v>
      </c>
      <c r="Q597" t="str">
        <f t="shared" si="49"/>
        <v>October</v>
      </c>
    </row>
    <row r="598" spans="1:17" x14ac:dyDescent="0.4">
      <c r="A598" t="s">
        <v>926</v>
      </c>
      <c r="B598" s="1">
        <v>45785</v>
      </c>
      <c r="C598" t="s">
        <v>182</v>
      </c>
      <c r="D598" t="s">
        <v>21</v>
      </c>
      <c r="E598" t="s">
        <v>569</v>
      </c>
      <c r="F598" t="s">
        <v>16</v>
      </c>
      <c r="G598">
        <v>3</v>
      </c>
      <c r="H598">
        <v>1491.55</v>
      </c>
      <c r="I598">
        <v>20</v>
      </c>
      <c r="J598">
        <v>1003.33</v>
      </c>
      <c r="K598" t="s">
        <v>17</v>
      </c>
      <c r="L598" t="s">
        <v>33</v>
      </c>
      <c r="M598">
        <f t="shared" si="45"/>
        <v>3579.72</v>
      </c>
      <c r="N598">
        <f t="shared" si="46"/>
        <v>569.72999999999956</v>
      </c>
      <c r="O598" t="str">
        <f t="shared" si="47"/>
        <v>Thursday</v>
      </c>
      <c r="P598" t="b">
        <f t="shared" si="48"/>
        <v>0</v>
      </c>
      <c r="Q598" t="str">
        <f t="shared" si="49"/>
        <v>May</v>
      </c>
    </row>
    <row r="599" spans="1:17" x14ac:dyDescent="0.4">
      <c r="A599" t="s">
        <v>927</v>
      </c>
      <c r="B599" s="1">
        <v>45657</v>
      </c>
      <c r="C599" t="s">
        <v>89</v>
      </c>
      <c r="D599" t="s">
        <v>46</v>
      </c>
      <c r="E599" t="s">
        <v>557</v>
      </c>
      <c r="F599" t="s">
        <v>23</v>
      </c>
      <c r="G599">
        <v>2</v>
      </c>
      <c r="H599">
        <v>491.46</v>
      </c>
      <c r="I599">
        <v>25</v>
      </c>
      <c r="J599">
        <v>198.75</v>
      </c>
      <c r="K599" t="s">
        <v>17</v>
      </c>
      <c r="L599" t="s">
        <v>18</v>
      </c>
      <c r="M599">
        <f t="shared" si="45"/>
        <v>737.18999999999994</v>
      </c>
      <c r="N599">
        <f t="shared" si="46"/>
        <v>339.68999999999994</v>
      </c>
      <c r="O599" t="str">
        <f t="shared" si="47"/>
        <v>Tuesday</v>
      </c>
      <c r="P599" t="b">
        <f t="shared" si="48"/>
        <v>0</v>
      </c>
      <c r="Q599" t="str">
        <f t="shared" si="49"/>
        <v>December</v>
      </c>
    </row>
    <row r="600" spans="1:17" x14ac:dyDescent="0.4">
      <c r="A600" t="s">
        <v>928</v>
      </c>
      <c r="B600" s="1">
        <v>45377</v>
      </c>
      <c r="C600" t="s">
        <v>77</v>
      </c>
      <c r="D600" t="s">
        <v>46</v>
      </c>
      <c r="E600" t="s">
        <v>172</v>
      </c>
      <c r="F600" t="s">
        <v>16</v>
      </c>
      <c r="G600">
        <v>1</v>
      </c>
      <c r="H600">
        <v>517.77</v>
      </c>
      <c r="I600">
        <v>10</v>
      </c>
      <c r="J600">
        <v>321.95</v>
      </c>
      <c r="K600" t="s">
        <v>24</v>
      </c>
      <c r="L600" t="s">
        <v>18</v>
      </c>
      <c r="M600">
        <f t="shared" si="45"/>
        <v>465.99299999999999</v>
      </c>
      <c r="N600">
        <f t="shared" si="46"/>
        <v>144.04300000000001</v>
      </c>
      <c r="O600" t="str">
        <f t="shared" si="47"/>
        <v>Tuesday</v>
      </c>
      <c r="P600" t="b">
        <f t="shared" si="48"/>
        <v>0</v>
      </c>
      <c r="Q600" t="str">
        <f t="shared" si="49"/>
        <v>March</v>
      </c>
    </row>
    <row r="601" spans="1:17" x14ac:dyDescent="0.4">
      <c r="A601" t="s">
        <v>929</v>
      </c>
      <c r="B601" s="1">
        <v>45813</v>
      </c>
      <c r="C601" t="s">
        <v>185</v>
      </c>
      <c r="D601" t="s">
        <v>21</v>
      </c>
      <c r="E601" t="s">
        <v>799</v>
      </c>
      <c r="F601" t="s">
        <v>16</v>
      </c>
      <c r="G601">
        <v>2</v>
      </c>
      <c r="H601">
        <v>849.85</v>
      </c>
      <c r="I601">
        <v>10</v>
      </c>
      <c r="J601">
        <v>382.97</v>
      </c>
      <c r="K601" t="s">
        <v>17</v>
      </c>
      <c r="L601" t="s">
        <v>33</v>
      </c>
      <c r="M601">
        <f t="shared" si="45"/>
        <v>1529.73</v>
      </c>
      <c r="N601">
        <f t="shared" si="46"/>
        <v>763.79</v>
      </c>
      <c r="O601" t="str">
        <f t="shared" si="47"/>
        <v>Thursday</v>
      </c>
      <c r="P601" t="b">
        <f t="shared" si="48"/>
        <v>0</v>
      </c>
      <c r="Q601" t="str">
        <f t="shared" si="49"/>
        <v>June</v>
      </c>
    </row>
    <row r="602" spans="1:17" x14ac:dyDescent="0.4">
      <c r="A602" t="s">
        <v>930</v>
      </c>
      <c r="B602" s="1">
        <v>45579</v>
      </c>
      <c r="C602" t="s">
        <v>128</v>
      </c>
      <c r="D602" t="s">
        <v>21</v>
      </c>
      <c r="E602" t="s">
        <v>392</v>
      </c>
      <c r="F602" t="s">
        <v>23</v>
      </c>
      <c r="G602">
        <v>4</v>
      </c>
      <c r="H602">
        <v>2934.88</v>
      </c>
      <c r="I602">
        <v>15</v>
      </c>
      <c r="J602">
        <v>1578.13</v>
      </c>
      <c r="K602" t="s">
        <v>17</v>
      </c>
      <c r="L602" t="s">
        <v>37</v>
      </c>
      <c r="M602">
        <f t="shared" si="45"/>
        <v>9978.5920000000006</v>
      </c>
      <c r="N602">
        <f t="shared" si="46"/>
        <v>3666.0720000000001</v>
      </c>
      <c r="O602" t="str">
        <f t="shared" si="47"/>
        <v>Monday</v>
      </c>
      <c r="P602" t="b">
        <f t="shared" si="48"/>
        <v>0</v>
      </c>
      <c r="Q602" t="str">
        <f t="shared" si="49"/>
        <v>October</v>
      </c>
    </row>
    <row r="603" spans="1:17" x14ac:dyDescent="0.4">
      <c r="A603" t="s">
        <v>931</v>
      </c>
      <c r="B603" s="1">
        <v>45525</v>
      </c>
      <c r="C603" t="s">
        <v>174</v>
      </c>
      <c r="D603" t="s">
        <v>31</v>
      </c>
      <c r="E603" t="s">
        <v>164</v>
      </c>
      <c r="F603" t="s">
        <v>16</v>
      </c>
      <c r="G603">
        <v>4</v>
      </c>
      <c r="H603">
        <v>2611.73</v>
      </c>
      <c r="I603">
        <v>10</v>
      </c>
      <c r="J603">
        <v>1364.01</v>
      </c>
      <c r="K603" t="s">
        <v>24</v>
      </c>
      <c r="L603" t="s">
        <v>33</v>
      </c>
      <c r="M603">
        <f t="shared" si="45"/>
        <v>9402.228000000001</v>
      </c>
      <c r="N603">
        <f t="shared" si="46"/>
        <v>3946.188000000001</v>
      </c>
      <c r="O603" t="str">
        <f t="shared" si="47"/>
        <v>Wednesday</v>
      </c>
      <c r="P603" t="b">
        <f t="shared" si="48"/>
        <v>0</v>
      </c>
      <c r="Q603" t="str">
        <f t="shared" si="49"/>
        <v>August</v>
      </c>
    </row>
    <row r="604" spans="1:17" x14ac:dyDescent="0.4">
      <c r="A604" t="s">
        <v>932</v>
      </c>
      <c r="B604" s="1">
        <v>45758</v>
      </c>
      <c r="C604" t="s">
        <v>174</v>
      </c>
      <c r="D604" t="s">
        <v>21</v>
      </c>
      <c r="E604" t="s">
        <v>177</v>
      </c>
      <c r="F604" t="s">
        <v>16</v>
      </c>
      <c r="G604">
        <v>1</v>
      </c>
      <c r="H604">
        <v>1239.2</v>
      </c>
      <c r="I604">
        <v>0</v>
      </c>
      <c r="J604">
        <v>829.37</v>
      </c>
      <c r="K604" t="s">
        <v>24</v>
      </c>
      <c r="L604" t="s">
        <v>18</v>
      </c>
      <c r="M604">
        <f t="shared" si="45"/>
        <v>1239.2</v>
      </c>
      <c r="N604">
        <f t="shared" si="46"/>
        <v>409.83000000000004</v>
      </c>
      <c r="O604" t="str">
        <f t="shared" si="47"/>
        <v>Friday</v>
      </c>
      <c r="P604" t="b">
        <f t="shared" si="48"/>
        <v>0</v>
      </c>
      <c r="Q604" t="str">
        <f t="shared" si="49"/>
        <v>April</v>
      </c>
    </row>
    <row r="605" spans="1:17" x14ac:dyDescent="0.4">
      <c r="A605" t="s">
        <v>933</v>
      </c>
      <c r="B605" s="1">
        <v>45678</v>
      </c>
      <c r="C605" t="s">
        <v>241</v>
      </c>
      <c r="D605" t="s">
        <v>21</v>
      </c>
      <c r="E605" t="s">
        <v>690</v>
      </c>
      <c r="F605" t="s">
        <v>28</v>
      </c>
      <c r="G605">
        <v>4</v>
      </c>
      <c r="H605">
        <v>1249.55</v>
      </c>
      <c r="I605">
        <v>0</v>
      </c>
      <c r="J605">
        <v>685.15</v>
      </c>
      <c r="K605" t="s">
        <v>24</v>
      </c>
      <c r="L605" t="s">
        <v>37</v>
      </c>
      <c r="M605">
        <f t="shared" si="45"/>
        <v>4998.2</v>
      </c>
      <c r="N605">
        <f t="shared" si="46"/>
        <v>2257.6</v>
      </c>
      <c r="O605" t="str">
        <f t="shared" si="47"/>
        <v>Tuesday</v>
      </c>
      <c r="P605" t="b">
        <f t="shared" si="48"/>
        <v>0</v>
      </c>
      <c r="Q605" t="str">
        <f t="shared" si="49"/>
        <v>January</v>
      </c>
    </row>
    <row r="606" spans="1:17" x14ac:dyDescent="0.4">
      <c r="A606" t="s">
        <v>934</v>
      </c>
      <c r="B606" s="1">
        <v>45858</v>
      </c>
      <c r="C606" t="s">
        <v>84</v>
      </c>
      <c r="D606" t="s">
        <v>14</v>
      </c>
      <c r="E606" t="s">
        <v>227</v>
      </c>
      <c r="F606" t="s">
        <v>23</v>
      </c>
      <c r="G606">
        <v>4</v>
      </c>
      <c r="H606">
        <v>592.66</v>
      </c>
      <c r="I606">
        <v>5</v>
      </c>
      <c r="J606">
        <v>326.89999999999998</v>
      </c>
      <c r="K606" t="s">
        <v>24</v>
      </c>
      <c r="L606" t="s">
        <v>37</v>
      </c>
      <c r="M606">
        <f t="shared" si="45"/>
        <v>2252.1079999999997</v>
      </c>
      <c r="N606">
        <f t="shared" si="46"/>
        <v>944.50799999999981</v>
      </c>
      <c r="O606" t="str">
        <f t="shared" si="47"/>
        <v>Sunday</v>
      </c>
      <c r="P606" t="b">
        <f t="shared" si="48"/>
        <v>1</v>
      </c>
      <c r="Q606" t="str">
        <f t="shared" si="49"/>
        <v>July</v>
      </c>
    </row>
    <row r="607" spans="1:17" x14ac:dyDescent="0.4">
      <c r="A607" t="s">
        <v>935</v>
      </c>
      <c r="B607" s="1">
        <v>45582</v>
      </c>
      <c r="C607" t="s">
        <v>89</v>
      </c>
      <c r="D607" t="s">
        <v>21</v>
      </c>
      <c r="E607" t="s">
        <v>936</v>
      </c>
      <c r="F607" t="s">
        <v>16</v>
      </c>
      <c r="G607">
        <v>3</v>
      </c>
      <c r="H607">
        <v>1468.53</v>
      </c>
      <c r="I607">
        <v>5</v>
      </c>
      <c r="J607">
        <v>990.98</v>
      </c>
      <c r="K607" t="s">
        <v>24</v>
      </c>
      <c r="L607" t="s">
        <v>18</v>
      </c>
      <c r="M607">
        <f t="shared" si="45"/>
        <v>4185.3104999999996</v>
      </c>
      <c r="N607">
        <f t="shared" si="46"/>
        <v>1212.3704999999995</v>
      </c>
      <c r="O607" t="str">
        <f t="shared" si="47"/>
        <v>Thursday</v>
      </c>
      <c r="P607" t="b">
        <f t="shared" si="48"/>
        <v>0</v>
      </c>
      <c r="Q607" t="str">
        <f t="shared" si="49"/>
        <v>October</v>
      </c>
    </row>
    <row r="608" spans="1:17" x14ac:dyDescent="0.4">
      <c r="A608" t="s">
        <v>937</v>
      </c>
      <c r="B608" s="1">
        <v>45823</v>
      </c>
      <c r="C608" t="s">
        <v>152</v>
      </c>
      <c r="D608" t="s">
        <v>21</v>
      </c>
      <c r="E608" t="s">
        <v>938</v>
      </c>
      <c r="F608" t="s">
        <v>16</v>
      </c>
      <c r="G608">
        <v>1</v>
      </c>
      <c r="H608">
        <v>1856.6</v>
      </c>
      <c r="I608">
        <v>30</v>
      </c>
      <c r="J608">
        <v>1240.78</v>
      </c>
      <c r="K608" t="s">
        <v>24</v>
      </c>
      <c r="L608" t="s">
        <v>33</v>
      </c>
      <c r="M608">
        <f t="shared" si="45"/>
        <v>1299.6199999999999</v>
      </c>
      <c r="N608">
        <f t="shared" si="46"/>
        <v>58.839999999999918</v>
      </c>
      <c r="O608" t="str">
        <f t="shared" si="47"/>
        <v>Sunday</v>
      </c>
      <c r="P608" t="b">
        <f t="shared" si="48"/>
        <v>1</v>
      </c>
      <c r="Q608" t="str">
        <f t="shared" si="49"/>
        <v>June</v>
      </c>
    </row>
    <row r="609" spans="1:17" x14ac:dyDescent="0.4">
      <c r="A609" t="s">
        <v>939</v>
      </c>
      <c r="B609" s="1">
        <v>45902</v>
      </c>
      <c r="C609" t="s">
        <v>128</v>
      </c>
      <c r="D609" t="s">
        <v>31</v>
      </c>
      <c r="E609" t="s">
        <v>634</v>
      </c>
      <c r="F609" t="s">
        <v>16</v>
      </c>
      <c r="G609">
        <v>1</v>
      </c>
      <c r="H609">
        <v>1854.98</v>
      </c>
      <c r="I609">
        <v>25</v>
      </c>
      <c r="J609">
        <v>1162.73</v>
      </c>
      <c r="K609" t="s">
        <v>24</v>
      </c>
      <c r="L609" t="s">
        <v>33</v>
      </c>
      <c r="M609">
        <f t="shared" si="45"/>
        <v>1391.2350000000001</v>
      </c>
      <c r="N609">
        <f t="shared" si="46"/>
        <v>228.50500000000011</v>
      </c>
      <c r="O609" t="str">
        <f t="shared" si="47"/>
        <v>Tuesday</v>
      </c>
      <c r="P609" t="b">
        <f t="shared" si="48"/>
        <v>0</v>
      </c>
      <c r="Q609" t="str">
        <f t="shared" si="49"/>
        <v>September</v>
      </c>
    </row>
    <row r="610" spans="1:17" x14ac:dyDescent="0.4">
      <c r="A610" t="s">
        <v>940</v>
      </c>
      <c r="B610" s="1">
        <v>45468</v>
      </c>
      <c r="C610" t="s">
        <v>45</v>
      </c>
      <c r="D610" t="s">
        <v>31</v>
      </c>
      <c r="E610" t="s">
        <v>274</v>
      </c>
      <c r="F610" t="s">
        <v>16</v>
      </c>
      <c r="G610">
        <v>2</v>
      </c>
      <c r="H610">
        <v>1069.5999999999999</v>
      </c>
      <c r="I610">
        <v>10</v>
      </c>
      <c r="J610">
        <v>725.64</v>
      </c>
      <c r="K610" t="s">
        <v>17</v>
      </c>
      <c r="L610" t="s">
        <v>33</v>
      </c>
      <c r="M610">
        <f t="shared" si="45"/>
        <v>1925.28</v>
      </c>
      <c r="N610">
        <f t="shared" si="46"/>
        <v>474</v>
      </c>
      <c r="O610" t="str">
        <f t="shared" si="47"/>
        <v>Tuesday</v>
      </c>
      <c r="P610" t="b">
        <f t="shared" si="48"/>
        <v>0</v>
      </c>
      <c r="Q610" t="str">
        <f t="shared" si="49"/>
        <v>June</v>
      </c>
    </row>
    <row r="611" spans="1:17" x14ac:dyDescent="0.4">
      <c r="A611" t="s">
        <v>941</v>
      </c>
      <c r="B611" s="1">
        <v>45841</v>
      </c>
      <c r="C611" t="s">
        <v>84</v>
      </c>
      <c r="D611" t="s">
        <v>46</v>
      </c>
      <c r="E611" t="s">
        <v>381</v>
      </c>
      <c r="F611" t="s">
        <v>28</v>
      </c>
      <c r="G611">
        <v>3</v>
      </c>
      <c r="H611">
        <v>549.86</v>
      </c>
      <c r="I611">
        <v>5</v>
      </c>
      <c r="J611">
        <v>290.33999999999997</v>
      </c>
      <c r="K611" t="s">
        <v>24</v>
      </c>
      <c r="L611" t="s">
        <v>18</v>
      </c>
      <c r="M611">
        <f t="shared" si="45"/>
        <v>1567.1009999999999</v>
      </c>
      <c r="N611">
        <f t="shared" si="46"/>
        <v>696.0809999999999</v>
      </c>
      <c r="O611" t="str">
        <f t="shared" si="47"/>
        <v>Thursday</v>
      </c>
      <c r="P611" t="b">
        <f t="shared" si="48"/>
        <v>0</v>
      </c>
      <c r="Q611" t="str">
        <f t="shared" si="49"/>
        <v>July</v>
      </c>
    </row>
    <row r="612" spans="1:17" x14ac:dyDescent="0.4">
      <c r="A612" t="s">
        <v>942</v>
      </c>
      <c r="B612" s="1">
        <v>45923</v>
      </c>
      <c r="C612" t="s">
        <v>65</v>
      </c>
      <c r="D612" t="s">
        <v>46</v>
      </c>
      <c r="E612" t="s">
        <v>137</v>
      </c>
      <c r="F612" t="s">
        <v>16</v>
      </c>
      <c r="G612">
        <v>5</v>
      </c>
      <c r="H612">
        <v>2639.82</v>
      </c>
      <c r="I612">
        <v>30</v>
      </c>
      <c r="J612">
        <v>1741.31</v>
      </c>
      <c r="K612" t="s">
        <v>17</v>
      </c>
      <c r="L612" t="s">
        <v>18</v>
      </c>
      <c r="M612">
        <f t="shared" si="45"/>
        <v>9239.369999999999</v>
      </c>
      <c r="N612">
        <f t="shared" si="46"/>
        <v>532.81999999999971</v>
      </c>
      <c r="O612" t="str">
        <f t="shared" si="47"/>
        <v>Tuesday</v>
      </c>
      <c r="P612" t="b">
        <f t="shared" si="48"/>
        <v>0</v>
      </c>
      <c r="Q612" t="str">
        <f t="shared" si="49"/>
        <v>September</v>
      </c>
    </row>
    <row r="613" spans="1:17" x14ac:dyDescent="0.4">
      <c r="A613" t="s">
        <v>943</v>
      </c>
      <c r="B613" s="1">
        <v>45322</v>
      </c>
      <c r="C613" t="s">
        <v>185</v>
      </c>
      <c r="D613" t="s">
        <v>21</v>
      </c>
      <c r="E613" t="s">
        <v>379</v>
      </c>
      <c r="F613" t="s">
        <v>16</v>
      </c>
      <c r="G613">
        <v>4</v>
      </c>
      <c r="H613">
        <v>2678.17</v>
      </c>
      <c r="I613">
        <v>5</v>
      </c>
      <c r="J613">
        <v>1371.4</v>
      </c>
      <c r="K613" t="s">
        <v>24</v>
      </c>
      <c r="L613" t="s">
        <v>37</v>
      </c>
      <c r="M613">
        <f t="shared" si="45"/>
        <v>10177.046</v>
      </c>
      <c r="N613">
        <f t="shared" si="46"/>
        <v>4691.4459999999999</v>
      </c>
      <c r="O613" t="str">
        <f t="shared" si="47"/>
        <v>Wednesday</v>
      </c>
      <c r="P613" t="b">
        <f t="shared" si="48"/>
        <v>0</v>
      </c>
      <c r="Q613" t="str">
        <f t="shared" si="49"/>
        <v>January</v>
      </c>
    </row>
    <row r="614" spans="1:17" x14ac:dyDescent="0.4">
      <c r="A614" t="s">
        <v>944</v>
      </c>
      <c r="B614" s="1">
        <v>45408</v>
      </c>
      <c r="C614" t="s">
        <v>125</v>
      </c>
      <c r="D614" t="s">
        <v>21</v>
      </c>
      <c r="E614" t="s">
        <v>945</v>
      </c>
      <c r="F614" t="s">
        <v>16</v>
      </c>
      <c r="G614">
        <v>1</v>
      </c>
      <c r="H614">
        <v>2617.7600000000002</v>
      </c>
      <c r="I614">
        <v>15</v>
      </c>
      <c r="J614">
        <v>1261.1400000000001</v>
      </c>
      <c r="K614" t="s">
        <v>24</v>
      </c>
      <c r="L614" t="s">
        <v>33</v>
      </c>
      <c r="M614">
        <f t="shared" si="45"/>
        <v>2225.096</v>
      </c>
      <c r="N614">
        <f t="shared" si="46"/>
        <v>963.9559999999999</v>
      </c>
      <c r="O614" t="str">
        <f t="shared" si="47"/>
        <v>Friday</v>
      </c>
      <c r="P614" t="b">
        <f t="shared" si="48"/>
        <v>0</v>
      </c>
      <c r="Q614" t="str">
        <f t="shared" si="49"/>
        <v>April</v>
      </c>
    </row>
    <row r="615" spans="1:17" x14ac:dyDescent="0.4">
      <c r="A615" t="s">
        <v>946</v>
      </c>
      <c r="B615" s="1">
        <v>45526</v>
      </c>
      <c r="C615" t="s">
        <v>95</v>
      </c>
      <c r="D615" t="s">
        <v>31</v>
      </c>
      <c r="E615" t="s">
        <v>262</v>
      </c>
      <c r="F615" t="s">
        <v>28</v>
      </c>
      <c r="G615">
        <v>3</v>
      </c>
      <c r="H615">
        <v>2712.83</v>
      </c>
      <c r="I615">
        <v>30</v>
      </c>
      <c r="J615">
        <v>1243.46</v>
      </c>
      <c r="K615" t="s">
        <v>17</v>
      </c>
      <c r="L615" t="s">
        <v>37</v>
      </c>
      <c r="M615">
        <f t="shared" si="45"/>
        <v>5696.9429999999993</v>
      </c>
      <c r="N615">
        <f t="shared" si="46"/>
        <v>1966.5629999999992</v>
      </c>
      <c r="O615" t="str">
        <f t="shared" si="47"/>
        <v>Thursday</v>
      </c>
      <c r="P615" t="b">
        <f t="shared" si="48"/>
        <v>0</v>
      </c>
      <c r="Q615" t="str">
        <f t="shared" si="49"/>
        <v>August</v>
      </c>
    </row>
    <row r="616" spans="1:17" x14ac:dyDescent="0.4">
      <c r="A616" t="s">
        <v>947</v>
      </c>
      <c r="B616" s="1">
        <v>45321</v>
      </c>
      <c r="C616" t="s">
        <v>62</v>
      </c>
      <c r="D616" t="s">
        <v>46</v>
      </c>
      <c r="E616" t="s">
        <v>948</v>
      </c>
      <c r="F616" t="s">
        <v>16</v>
      </c>
      <c r="G616">
        <v>3</v>
      </c>
      <c r="H616">
        <v>1108.24</v>
      </c>
      <c r="I616">
        <v>10</v>
      </c>
      <c r="J616">
        <v>773.44</v>
      </c>
      <c r="K616" t="s">
        <v>24</v>
      </c>
      <c r="L616" t="s">
        <v>33</v>
      </c>
      <c r="M616">
        <f t="shared" si="45"/>
        <v>2992.2480000000005</v>
      </c>
      <c r="N616">
        <f t="shared" si="46"/>
        <v>671.92800000000034</v>
      </c>
      <c r="O616" t="str">
        <f t="shared" si="47"/>
        <v>Tuesday</v>
      </c>
      <c r="P616" t="b">
        <f t="shared" si="48"/>
        <v>0</v>
      </c>
      <c r="Q616" t="str">
        <f t="shared" si="49"/>
        <v>January</v>
      </c>
    </row>
    <row r="617" spans="1:17" x14ac:dyDescent="0.4">
      <c r="A617" t="s">
        <v>949</v>
      </c>
      <c r="B617" s="1">
        <v>45332</v>
      </c>
      <c r="C617" t="s">
        <v>86</v>
      </c>
      <c r="D617" t="s">
        <v>31</v>
      </c>
      <c r="E617" t="s">
        <v>336</v>
      </c>
      <c r="F617" t="s">
        <v>16</v>
      </c>
      <c r="G617">
        <v>1</v>
      </c>
      <c r="H617">
        <v>1739.81</v>
      </c>
      <c r="I617">
        <v>5</v>
      </c>
      <c r="J617">
        <v>869.53</v>
      </c>
      <c r="K617" t="s">
        <v>17</v>
      </c>
      <c r="L617" t="s">
        <v>37</v>
      </c>
      <c r="M617">
        <f t="shared" si="45"/>
        <v>1652.8194999999998</v>
      </c>
      <c r="N617">
        <f t="shared" si="46"/>
        <v>783.28949999999986</v>
      </c>
      <c r="O617" t="str">
        <f t="shared" si="47"/>
        <v>Saturday</v>
      </c>
      <c r="P617" t="b">
        <f t="shared" si="48"/>
        <v>1</v>
      </c>
      <c r="Q617" t="str">
        <f t="shared" si="49"/>
        <v>February</v>
      </c>
    </row>
    <row r="618" spans="1:17" x14ac:dyDescent="0.4">
      <c r="A618" t="s">
        <v>950</v>
      </c>
      <c r="B618" s="1">
        <v>45912</v>
      </c>
      <c r="C618" t="s">
        <v>119</v>
      </c>
      <c r="D618" t="s">
        <v>46</v>
      </c>
      <c r="E618" t="s">
        <v>115</v>
      </c>
      <c r="F618" t="s">
        <v>23</v>
      </c>
      <c r="G618">
        <v>3</v>
      </c>
      <c r="H618">
        <v>632.25</v>
      </c>
      <c r="I618">
        <v>25</v>
      </c>
      <c r="J618">
        <v>368.17</v>
      </c>
      <c r="K618" t="s">
        <v>24</v>
      </c>
      <c r="L618" t="s">
        <v>37</v>
      </c>
      <c r="M618">
        <f t="shared" si="45"/>
        <v>1422.5625</v>
      </c>
      <c r="N618">
        <f t="shared" si="46"/>
        <v>318.05250000000001</v>
      </c>
      <c r="O618" t="str">
        <f t="shared" si="47"/>
        <v>Friday</v>
      </c>
      <c r="P618" t="b">
        <f t="shared" si="48"/>
        <v>0</v>
      </c>
      <c r="Q618" t="str">
        <f t="shared" si="49"/>
        <v>September</v>
      </c>
    </row>
    <row r="619" spans="1:17" x14ac:dyDescent="0.4">
      <c r="A619" t="s">
        <v>951</v>
      </c>
      <c r="B619" s="1">
        <v>45890</v>
      </c>
      <c r="C619" t="s">
        <v>95</v>
      </c>
      <c r="D619" t="s">
        <v>21</v>
      </c>
      <c r="E619" t="s">
        <v>80</v>
      </c>
      <c r="F619" t="s">
        <v>23</v>
      </c>
      <c r="G619">
        <v>1</v>
      </c>
      <c r="H619">
        <v>2394.11</v>
      </c>
      <c r="I619">
        <v>10</v>
      </c>
      <c r="J619">
        <v>1250.5899999999999</v>
      </c>
      <c r="K619" t="s">
        <v>24</v>
      </c>
      <c r="L619" t="s">
        <v>33</v>
      </c>
      <c r="M619">
        <f t="shared" si="45"/>
        <v>2154.6990000000001</v>
      </c>
      <c r="N619">
        <f t="shared" si="46"/>
        <v>904.10900000000015</v>
      </c>
      <c r="O619" t="str">
        <f t="shared" si="47"/>
        <v>Thursday</v>
      </c>
      <c r="P619" t="b">
        <f t="shared" si="48"/>
        <v>0</v>
      </c>
      <c r="Q619" t="str">
        <f t="shared" si="49"/>
        <v>August</v>
      </c>
    </row>
    <row r="620" spans="1:17" x14ac:dyDescent="0.4">
      <c r="A620" t="s">
        <v>952</v>
      </c>
      <c r="B620" s="1">
        <v>45487</v>
      </c>
      <c r="C620" t="s">
        <v>62</v>
      </c>
      <c r="D620" t="s">
        <v>31</v>
      </c>
      <c r="E620" t="s">
        <v>900</v>
      </c>
      <c r="F620" t="s">
        <v>23</v>
      </c>
      <c r="G620">
        <v>1</v>
      </c>
      <c r="H620">
        <v>523.6</v>
      </c>
      <c r="I620">
        <v>20</v>
      </c>
      <c r="J620">
        <v>354.13</v>
      </c>
      <c r="K620" t="s">
        <v>17</v>
      </c>
      <c r="L620" t="s">
        <v>37</v>
      </c>
      <c r="M620">
        <f t="shared" si="45"/>
        <v>418.88000000000005</v>
      </c>
      <c r="N620">
        <f t="shared" si="46"/>
        <v>64.750000000000057</v>
      </c>
      <c r="O620" t="str">
        <f t="shared" si="47"/>
        <v>Sunday</v>
      </c>
      <c r="P620" t="b">
        <f t="shared" si="48"/>
        <v>1</v>
      </c>
      <c r="Q620" t="str">
        <f t="shared" si="49"/>
        <v>July</v>
      </c>
    </row>
    <row r="621" spans="1:17" x14ac:dyDescent="0.4">
      <c r="A621" t="s">
        <v>953</v>
      </c>
      <c r="B621" s="1">
        <v>45423</v>
      </c>
      <c r="C621" t="s">
        <v>26</v>
      </c>
      <c r="D621" t="s">
        <v>14</v>
      </c>
      <c r="E621" t="s">
        <v>563</v>
      </c>
      <c r="F621" t="s">
        <v>23</v>
      </c>
      <c r="G621">
        <v>1</v>
      </c>
      <c r="H621">
        <v>532</v>
      </c>
      <c r="I621">
        <v>10</v>
      </c>
      <c r="J621">
        <v>315.33999999999997</v>
      </c>
      <c r="K621" t="s">
        <v>24</v>
      </c>
      <c r="L621" t="s">
        <v>18</v>
      </c>
      <c r="M621">
        <f t="shared" si="45"/>
        <v>478.8</v>
      </c>
      <c r="N621">
        <f t="shared" si="46"/>
        <v>163.46000000000004</v>
      </c>
      <c r="O621" t="str">
        <f t="shared" si="47"/>
        <v>Saturday</v>
      </c>
      <c r="P621" t="b">
        <f t="shared" si="48"/>
        <v>1</v>
      </c>
      <c r="Q621" t="str">
        <f t="shared" si="49"/>
        <v>May</v>
      </c>
    </row>
    <row r="622" spans="1:17" x14ac:dyDescent="0.4">
      <c r="A622" t="s">
        <v>954</v>
      </c>
      <c r="B622" s="1">
        <v>45672</v>
      </c>
      <c r="C622" t="s">
        <v>54</v>
      </c>
      <c r="D622" t="s">
        <v>21</v>
      </c>
      <c r="E622" t="s">
        <v>955</v>
      </c>
      <c r="F622" t="s">
        <v>23</v>
      </c>
      <c r="G622">
        <v>5</v>
      </c>
      <c r="H622">
        <v>572.07000000000005</v>
      </c>
      <c r="I622">
        <v>0</v>
      </c>
      <c r="J622">
        <v>291.77999999999997</v>
      </c>
      <c r="K622" t="s">
        <v>17</v>
      </c>
      <c r="L622" t="s">
        <v>37</v>
      </c>
      <c r="M622">
        <f t="shared" si="45"/>
        <v>2860.3500000000004</v>
      </c>
      <c r="N622">
        <f t="shared" si="46"/>
        <v>1401.4500000000005</v>
      </c>
      <c r="O622" t="str">
        <f t="shared" si="47"/>
        <v>Wednesday</v>
      </c>
      <c r="P622" t="b">
        <f t="shared" si="48"/>
        <v>0</v>
      </c>
      <c r="Q622" t="str">
        <f t="shared" si="49"/>
        <v>January</v>
      </c>
    </row>
    <row r="623" spans="1:17" x14ac:dyDescent="0.4">
      <c r="A623" t="s">
        <v>956</v>
      </c>
      <c r="B623" s="1">
        <v>45411</v>
      </c>
      <c r="C623" t="s">
        <v>179</v>
      </c>
      <c r="D623" t="s">
        <v>14</v>
      </c>
      <c r="E623" t="s">
        <v>686</v>
      </c>
      <c r="F623" t="s">
        <v>23</v>
      </c>
      <c r="G623">
        <v>2</v>
      </c>
      <c r="H623">
        <v>1789.26</v>
      </c>
      <c r="I623">
        <v>15</v>
      </c>
      <c r="J623">
        <v>950.54</v>
      </c>
      <c r="K623" t="s">
        <v>24</v>
      </c>
      <c r="L623" t="s">
        <v>37</v>
      </c>
      <c r="M623">
        <f t="shared" si="45"/>
        <v>3041.7419999999997</v>
      </c>
      <c r="N623">
        <f t="shared" si="46"/>
        <v>1140.6619999999998</v>
      </c>
      <c r="O623" t="str">
        <f t="shared" si="47"/>
        <v>Monday</v>
      </c>
      <c r="P623" t="b">
        <f t="shared" si="48"/>
        <v>0</v>
      </c>
      <c r="Q623" t="str">
        <f t="shared" si="49"/>
        <v>April</v>
      </c>
    </row>
    <row r="624" spans="1:17" x14ac:dyDescent="0.4">
      <c r="A624" t="s">
        <v>957</v>
      </c>
      <c r="B624" s="1">
        <v>45885</v>
      </c>
      <c r="C624" t="s">
        <v>146</v>
      </c>
      <c r="D624" t="s">
        <v>14</v>
      </c>
      <c r="E624" t="s">
        <v>958</v>
      </c>
      <c r="F624" t="s">
        <v>16</v>
      </c>
      <c r="G624">
        <v>5</v>
      </c>
      <c r="H624">
        <v>846.46</v>
      </c>
      <c r="I624">
        <v>25</v>
      </c>
      <c r="J624">
        <v>437.44</v>
      </c>
      <c r="K624" t="s">
        <v>17</v>
      </c>
      <c r="L624" t="s">
        <v>33</v>
      </c>
      <c r="M624">
        <f t="shared" si="45"/>
        <v>3174.2250000000004</v>
      </c>
      <c r="N624">
        <f t="shared" si="46"/>
        <v>987.02500000000055</v>
      </c>
      <c r="O624" t="str">
        <f t="shared" si="47"/>
        <v>Saturday</v>
      </c>
      <c r="P624" t="b">
        <f t="shared" si="48"/>
        <v>1</v>
      </c>
      <c r="Q624" t="str">
        <f t="shared" si="49"/>
        <v>August</v>
      </c>
    </row>
    <row r="625" spans="1:17" x14ac:dyDescent="0.4">
      <c r="A625" t="s">
        <v>959</v>
      </c>
      <c r="B625" s="1">
        <v>45850</v>
      </c>
      <c r="C625" t="s">
        <v>185</v>
      </c>
      <c r="D625" t="s">
        <v>21</v>
      </c>
      <c r="E625" t="s">
        <v>340</v>
      </c>
      <c r="F625" t="s">
        <v>28</v>
      </c>
      <c r="G625">
        <v>3</v>
      </c>
      <c r="H625">
        <v>950.36</v>
      </c>
      <c r="I625">
        <v>25</v>
      </c>
      <c r="J625">
        <v>384.38</v>
      </c>
      <c r="K625" t="s">
        <v>24</v>
      </c>
      <c r="L625" t="s">
        <v>18</v>
      </c>
      <c r="M625">
        <f t="shared" si="45"/>
        <v>2138.31</v>
      </c>
      <c r="N625">
        <f t="shared" si="46"/>
        <v>985.17000000000007</v>
      </c>
      <c r="O625" t="str">
        <f t="shared" si="47"/>
        <v>Saturday</v>
      </c>
      <c r="P625" t="b">
        <f t="shared" si="48"/>
        <v>1</v>
      </c>
      <c r="Q625" t="str">
        <f t="shared" si="49"/>
        <v>July</v>
      </c>
    </row>
    <row r="626" spans="1:17" x14ac:dyDescent="0.4">
      <c r="A626" t="s">
        <v>960</v>
      </c>
      <c r="B626" s="1">
        <v>45939</v>
      </c>
      <c r="C626" t="s">
        <v>13</v>
      </c>
      <c r="D626" t="s">
        <v>31</v>
      </c>
      <c r="E626" t="s">
        <v>212</v>
      </c>
      <c r="F626" t="s">
        <v>28</v>
      </c>
      <c r="G626">
        <v>5</v>
      </c>
      <c r="H626">
        <v>2963.29</v>
      </c>
      <c r="I626">
        <v>30</v>
      </c>
      <c r="J626">
        <v>1365.8</v>
      </c>
      <c r="K626" t="s">
        <v>24</v>
      </c>
      <c r="L626" t="s">
        <v>18</v>
      </c>
      <c r="M626">
        <f t="shared" si="45"/>
        <v>10371.514999999999</v>
      </c>
      <c r="N626">
        <f t="shared" si="46"/>
        <v>3542.5149999999994</v>
      </c>
      <c r="O626" t="str">
        <f t="shared" si="47"/>
        <v>Thursday</v>
      </c>
      <c r="P626" t="b">
        <f t="shared" si="48"/>
        <v>0</v>
      </c>
      <c r="Q626" t="str">
        <f t="shared" si="49"/>
        <v>October</v>
      </c>
    </row>
    <row r="627" spans="1:17" x14ac:dyDescent="0.4">
      <c r="A627" t="s">
        <v>961</v>
      </c>
      <c r="B627" s="1">
        <v>45952</v>
      </c>
      <c r="C627" t="s">
        <v>77</v>
      </c>
      <c r="D627" t="s">
        <v>46</v>
      </c>
      <c r="E627" t="s">
        <v>294</v>
      </c>
      <c r="F627" t="s">
        <v>16</v>
      </c>
      <c r="G627">
        <v>4</v>
      </c>
      <c r="H627">
        <v>2665.06</v>
      </c>
      <c r="I627">
        <v>10</v>
      </c>
      <c r="J627">
        <v>1667.37</v>
      </c>
      <c r="K627" t="s">
        <v>24</v>
      </c>
      <c r="L627" t="s">
        <v>37</v>
      </c>
      <c r="M627">
        <f t="shared" si="45"/>
        <v>9594.2160000000003</v>
      </c>
      <c r="N627">
        <f t="shared" si="46"/>
        <v>2924.7360000000008</v>
      </c>
      <c r="O627" t="str">
        <f t="shared" si="47"/>
        <v>Wednesday</v>
      </c>
      <c r="P627" t="b">
        <f t="shared" si="48"/>
        <v>0</v>
      </c>
      <c r="Q627" t="str">
        <f t="shared" si="49"/>
        <v>October</v>
      </c>
    </row>
    <row r="628" spans="1:17" x14ac:dyDescent="0.4">
      <c r="A628" t="s">
        <v>962</v>
      </c>
      <c r="B628" s="1">
        <v>45943</v>
      </c>
      <c r="C628" t="s">
        <v>13</v>
      </c>
      <c r="D628" t="s">
        <v>21</v>
      </c>
      <c r="E628" t="s">
        <v>401</v>
      </c>
      <c r="F628" t="s">
        <v>23</v>
      </c>
      <c r="G628">
        <v>4</v>
      </c>
      <c r="H628">
        <v>2337.9699999999998</v>
      </c>
      <c r="I628">
        <v>0</v>
      </c>
      <c r="J628">
        <v>1311.5</v>
      </c>
      <c r="K628" t="s">
        <v>24</v>
      </c>
      <c r="L628" t="s">
        <v>18</v>
      </c>
      <c r="M628">
        <f t="shared" si="45"/>
        <v>9351.8799999999992</v>
      </c>
      <c r="N628">
        <f t="shared" si="46"/>
        <v>4105.8799999999992</v>
      </c>
      <c r="O628" t="str">
        <f t="shared" si="47"/>
        <v>Monday</v>
      </c>
      <c r="P628" t="b">
        <f t="shared" si="48"/>
        <v>0</v>
      </c>
      <c r="Q628" t="str">
        <f t="shared" si="49"/>
        <v>October</v>
      </c>
    </row>
    <row r="629" spans="1:17" x14ac:dyDescent="0.4">
      <c r="A629" t="s">
        <v>963</v>
      </c>
      <c r="B629" s="1">
        <v>45732</v>
      </c>
      <c r="C629" t="s">
        <v>45</v>
      </c>
      <c r="D629" t="s">
        <v>14</v>
      </c>
      <c r="E629" t="s">
        <v>43</v>
      </c>
      <c r="F629" t="s">
        <v>28</v>
      </c>
      <c r="G629">
        <v>1</v>
      </c>
      <c r="H629">
        <v>828.83</v>
      </c>
      <c r="I629">
        <v>5</v>
      </c>
      <c r="J629">
        <v>488.49</v>
      </c>
      <c r="K629" t="s">
        <v>17</v>
      </c>
      <c r="L629" t="s">
        <v>18</v>
      </c>
      <c r="M629">
        <f t="shared" si="45"/>
        <v>787.38850000000002</v>
      </c>
      <c r="N629">
        <f t="shared" si="46"/>
        <v>298.89850000000001</v>
      </c>
      <c r="O629" t="str">
        <f t="shared" si="47"/>
        <v>Sunday</v>
      </c>
      <c r="P629" t="b">
        <f t="shared" si="48"/>
        <v>1</v>
      </c>
      <c r="Q629" t="str">
        <f t="shared" si="49"/>
        <v>March</v>
      </c>
    </row>
    <row r="630" spans="1:17" x14ac:dyDescent="0.4">
      <c r="A630" t="s">
        <v>964</v>
      </c>
      <c r="B630" s="1">
        <v>45381</v>
      </c>
      <c r="C630" t="s">
        <v>205</v>
      </c>
      <c r="D630" t="s">
        <v>31</v>
      </c>
      <c r="E630" t="s">
        <v>965</v>
      </c>
      <c r="F630" t="s">
        <v>23</v>
      </c>
      <c r="G630">
        <v>3</v>
      </c>
      <c r="H630">
        <v>1600.56</v>
      </c>
      <c r="I630">
        <v>20</v>
      </c>
      <c r="J630">
        <v>860.47</v>
      </c>
      <c r="K630" t="s">
        <v>17</v>
      </c>
      <c r="L630" t="s">
        <v>33</v>
      </c>
      <c r="M630">
        <f t="shared" si="45"/>
        <v>3841.3440000000005</v>
      </c>
      <c r="N630">
        <f t="shared" si="46"/>
        <v>1259.9340000000007</v>
      </c>
      <c r="O630" t="str">
        <f t="shared" si="47"/>
        <v>Saturday</v>
      </c>
      <c r="P630" t="b">
        <f t="shared" si="48"/>
        <v>1</v>
      </c>
      <c r="Q630" t="str">
        <f t="shared" si="49"/>
        <v>March</v>
      </c>
    </row>
    <row r="631" spans="1:17" x14ac:dyDescent="0.4">
      <c r="A631" t="s">
        <v>966</v>
      </c>
      <c r="B631" s="1">
        <v>45444</v>
      </c>
      <c r="C631" t="s">
        <v>226</v>
      </c>
      <c r="D631" t="s">
        <v>31</v>
      </c>
      <c r="E631" t="s">
        <v>75</v>
      </c>
      <c r="F631" t="s">
        <v>16</v>
      </c>
      <c r="G631">
        <v>2</v>
      </c>
      <c r="H631">
        <v>2205.04</v>
      </c>
      <c r="I631">
        <v>10</v>
      </c>
      <c r="J631">
        <v>1354.93</v>
      </c>
      <c r="K631" t="s">
        <v>24</v>
      </c>
      <c r="L631" t="s">
        <v>18</v>
      </c>
      <c r="M631">
        <f t="shared" si="45"/>
        <v>3969.0720000000001</v>
      </c>
      <c r="N631">
        <f t="shared" si="46"/>
        <v>1259.212</v>
      </c>
      <c r="O631" t="str">
        <f t="shared" si="47"/>
        <v>Saturday</v>
      </c>
      <c r="P631" t="b">
        <f t="shared" si="48"/>
        <v>1</v>
      </c>
      <c r="Q631" t="str">
        <f t="shared" si="49"/>
        <v>June</v>
      </c>
    </row>
    <row r="632" spans="1:17" x14ac:dyDescent="0.4">
      <c r="A632" t="s">
        <v>967</v>
      </c>
      <c r="B632" s="1">
        <v>45949</v>
      </c>
      <c r="C632" t="s">
        <v>125</v>
      </c>
      <c r="D632" t="s">
        <v>14</v>
      </c>
      <c r="E632" t="s">
        <v>55</v>
      </c>
      <c r="F632" t="s">
        <v>23</v>
      </c>
      <c r="G632">
        <v>3</v>
      </c>
      <c r="H632">
        <v>653.74</v>
      </c>
      <c r="I632">
        <v>15</v>
      </c>
      <c r="J632">
        <v>374.86</v>
      </c>
      <c r="K632" t="s">
        <v>17</v>
      </c>
      <c r="L632" t="s">
        <v>18</v>
      </c>
      <c r="M632">
        <f t="shared" si="45"/>
        <v>1667.037</v>
      </c>
      <c r="N632">
        <f t="shared" si="46"/>
        <v>542.45700000000011</v>
      </c>
      <c r="O632" t="str">
        <f t="shared" si="47"/>
        <v>Sunday</v>
      </c>
      <c r="P632" t="b">
        <f t="shared" si="48"/>
        <v>1</v>
      </c>
      <c r="Q632" t="str">
        <f t="shared" si="49"/>
        <v>October</v>
      </c>
    </row>
    <row r="633" spans="1:17" x14ac:dyDescent="0.4">
      <c r="A633" t="s">
        <v>968</v>
      </c>
      <c r="B633" s="1">
        <v>45923</v>
      </c>
      <c r="C633" t="s">
        <v>205</v>
      </c>
      <c r="D633" t="s">
        <v>21</v>
      </c>
      <c r="E633" t="s">
        <v>311</v>
      </c>
      <c r="F633" t="s">
        <v>28</v>
      </c>
      <c r="G633">
        <v>2</v>
      </c>
      <c r="H633">
        <v>1788.27</v>
      </c>
      <c r="I633">
        <v>10</v>
      </c>
      <c r="J633">
        <v>1051.6300000000001</v>
      </c>
      <c r="K633" t="s">
        <v>24</v>
      </c>
      <c r="L633" t="s">
        <v>33</v>
      </c>
      <c r="M633">
        <f t="shared" si="45"/>
        <v>3218.886</v>
      </c>
      <c r="N633">
        <f t="shared" si="46"/>
        <v>1115.6259999999997</v>
      </c>
      <c r="O633" t="str">
        <f t="shared" si="47"/>
        <v>Tuesday</v>
      </c>
      <c r="P633" t="b">
        <f t="shared" si="48"/>
        <v>0</v>
      </c>
      <c r="Q633" t="str">
        <f t="shared" si="49"/>
        <v>September</v>
      </c>
    </row>
    <row r="634" spans="1:17" x14ac:dyDescent="0.4">
      <c r="A634" t="s">
        <v>969</v>
      </c>
      <c r="B634" s="1">
        <v>45638</v>
      </c>
      <c r="C634" t="s">
        <v>309</v>
      </c>
      <c r="D634" t="s">
        <v>31</v>
      </c>
      <c r="E634" t="s">
        <v>599</v>
      </c>
      <c r="F634" t="s">
        <v>16</v>
      </c>
      <c r="G634">
        <v>1</v>
      </c>
      <c r="H634">
        <v>764.44</v>
      </c>
      <c r="I634">
        <v>0</v>
      </c>
      <c r="J634">
        <v>474.48</v>
      </c>
      <c r="K634" t="s">
        <v>17</v>
      </c>
      <c r="L634" t="s">
        <v>18</v>
      </c>
      <c r="M634">
        <f t="shared" si="45"/>
        <v>764.44</v>
      </c>
      <c r="N634">
        <f t="shared" si="46"/>
        <v>289.96000000000004</v>
      </c>
      <c r="O634" t="str">
        <f t="shared" si="47"/>
        <v>Thursday</v>
      </c>
      <c r="P634" t="b">
        <f t="shared" si="48"/>
        <v>0</v>
      </c>
      <c r="Q634" t="str">
        <f t="shared" si="49"/>
        <v>December</v>
      </c>
    </row>
    <row r="635" spans="1:17" x14ac:dyDescent="0.4">
      <c r="A635" t="s">
        <v>970</v>
      </c>
      <c r="B635" s="1">
        <v>45488</v>
      </c>
      <c r="C635" t="s">
        <v>146</v>
      </c>
      <c r="D635" t="s">
        <v>31</v>
      </c>
      <c r="E635" t="s">
        <v>467</v>
      </c>
      <c r="F635" t="s">
        <v>16</v>
      </c>
      <c r="G635">
        <v>1</v>
      </c>
      <c r="H635">
        <v>2692.05</v>
      </c>
      <c r="I635">
        <v>20</v>
      </c>
      <c r="J635">
        <v>1303.1199999999999</v>
      </c>
      <c r="K635" t="s">
        <v>17</v>
      </c>
      <c r="L635" t="s">
        <v>33</v>
      </c>
      <c r="M635">
        <f t="shared" si="45"/>
        <v>2153.6400000000003</v>
      </c>
      <c r="N635">
        <f t="shared" si="46"/>
        <v>850.52000000000044</v>
      </c>
      <c r="O635" t="str">
        <f t="shared" si="47"/>
        <v>Monday</v>
      </c>
      <c r="P635" t="b">
        <f t="shared" si="48"/>
        <v>0</v>
      </c>
      <c r="Q635" t="str">
        <f t="shared" si="49"/>
        <v>July</v>
      </c>
    </row>
    <row r="636" spans="1:17" x14ac:dyDescent="0.4">
      <c r="A636" t="s">
        <v>971</v>
      </c>
      <c r="B636" s="1">
        <v>45669</v>
      </c>
      <c r="C636" t="s">
        <v>224</v>
      </c>
      <c r="D636" t="s">
        <v>31</v>
      </c>
      <c r="E636" t="s">
        <v>477</v>
      </c>
      <c r="F636" t="s">
        <v>28</v>
      </c>
      <c r="G636">
        <v>5</v>
      </c>
      <c r="H636">
        <v>2234.2600000000002</v>
      </c>
      <c r="I636">
        <v>0</v>
      </c>
      <c r="J636">
        <v>1297.77</v>
      </c>
      <c r="K636" t="s">
        <v>17</v>
      </c>
      <c r="L636" t="s">
        <v>33</v>
      </c>
      <c r="M636">
        <f t="shared" si="45"/>
        <v>11171.300000000001</v>
      </c>
      <c r="N636">
        <f t="shared" si="46"/>
        <v>4682.4500000000007</v>
      </c>
      <c r="O636" t="str">
        <f t="shared" si="47"/>
        <v>Sunday</v>
      </c>
      <c r="P636" t="b">
        <f t="shared" si="48"/>
        <v>1</v>
      </c>
      <c r="Q636" t="str">
        <f t="shared" si="49"/>
        <v>January</v>
      </c>
    </row>
    <row r="637" spans="1:17" x14ac:dyDescent="0.4">
      <c r="A637" t="s">
        <v>972</v>
      </c>
      <c r="B637" s="1">
        <v>45522</v>
      </c>
      <c r="C637" t="s">
        <v>86</v>
      </c>
      <c r="D637" t="s">
        <v>21</v>
      </c>
      <c r="E637" t="s">
        <v>973</v>
      </c>
      <c r="F637" t="s">
        <v>16</v>
      </c>
      <c r="G637">
        <v>4</v>
      </c>
      <c r="H637">
        <v>2258.63</v>
      </c>
      <c r="I637">
        <v>5</v>
      </c>
      <c r="J637">
        <v>982.68</v>
      </c>
      <c r="K637" t="s">
        <v>24</v>
      </c>
      <c r="L637" t="s">
        <v>37</v>
      </c>
      <c r="M637">
        <f t="shared" si="45"/>
        <v>8582.7939999999999</v>
      </c>
      <c r="N637">
        <f t="shared" si="46"/>
        <v>4652.0740000000005</v>
      </c>
      <c r="O637" t="str">
        <f t="shared" si="47"/>
        <v>Sunday</v>
      </c>
      <c r="P637" t="b">
        <f t="shared" si="48"/>
        <v>1</v>
      </c>
      <c r="Q637" t="str">
        <f t="shared" si="49"/>
        <v>August</v>
      </c>
    </row>
    <row r="638" spans="1:17" x14ac:dyDescent="0.4">
      <c r="A638" t="s">
        <v>974</v>
      </c>
      <c r="B638" s="1">
        <v>45551</v>
      </c>
      <c r="C638" t="s">
        <v>171</v>
      </c>
      <c r="D638" t="s">
        <v>46</v>
      </c>
      <c r="E638" t="s">
        <v>438</v>
      </c>
      <c r="F638" t="s">
        <v>16</v>
      </c>
      <c r="G638">
        <v>2</v>
      </c>
      <c r="H638">
        <v>2909.34</v>
      </c>
      <c r="I638">
        <v>10</v>
      </c>
      <c r="J638">
        <v>1320.28</v>
      </c>
      <c r="K638" t="s">
        <v>24</v>
      </c>
      <c r="L638" t="s">
        <v>18</v>
      </c>
      <c r="M638">
        <f t="shared" si="45"/>
        <v>5236.8120000000008</v>
      </c>
      <c r="N638">
        <f t="shared" si="46"/>
        <v>2596.2520000000009</v>
      </c>
      <c r="O638" t="str">
        <f t="shared" si="47"/>
        <v>Monday</v>
      </c>
      <c r="P638" t="b">
        <f t="shared" si="48"/>
        <v>0</v>
      </c>
      <c r="Q638" t="str">
        <f t="shared" si="49"/>
        <v>September</v>
      </c>
    </row>
    <row r="639" spans="1:17" x14ac:dyDescent="0.4">
      <c r="A639" t="s">
        <v>975</v>
      </c>
      <c r="B639" s="1">
        <v>45480</v>
      </c>
      <c r="C639" t="s">
        <v>241</v>
      </c>
      <c r="D639" t="s">
        <v>31</v>
      </c>
      <c r="E639" t="s">
        <v>544</v>
      </c>
      <c r="F639" t="s">
        <v>23</v>
      </c>
      <c r="G639">
        <v>3</v>
      </c>
      <c r="H639">
        <v>850.86</v>
      </c>
      <c r="I639">
        <v>15</v>
      </c>
      <c r="J639">
        <v>439.78</v>
      </c>
      <c r="K639" t="s">
        <v>17</v>
      </c>
      <c r="L639" t="s">
        <v>33</v>
      </c>
      <c r="M639">
        <f t="shared" si="45"/>
        <v>2169.6929999999998</v>
      </c>
      <c r="N639">
        <f t="shared" si="46"/>
        <v>850.35299999999984</v>
      </c>
      <c r="O639" t="str">
        <f t="shared" si="47"/>
        <v>Sunday</v>
      </c>
      <c r="P639" t="b">
        <f t="shared" si="48"/>
        <v>1</v>
      </c>
      <c r="Q639" t="str">
        <f t="shared" si="49"/>
        <v>July</v>
      </c>
    </row>
    <row r="640" spans="1:17" x14ac:dyDescent="0.4">
      <c r="A640" t="s">
        <v>976</v>
      </c>
      <c r="B640" s="1">
        <v>45657</v>
      </c>
      <c r="C640" t="s">
        <v>59</v>
      </c>
      <c r="D640" t="s">
        <v>31</v>
      </c>
      <c r="E640" t="s">
        <v>977</v>
      </c>
      <c r="F640" t="s">
        <v>23</v>
      </c>
      <c r="G640">
        <v>3</v>
      </c>
      <c r="H640">
        <v>879.01</v>
      </c>
      <c r="I640">
        <v>5</v>
      </c>
      <c r="J640">
        <v>557.6</v>
      </c>
      <c r="K640" t="s">
        <v>17</v>
      </c>
      <c r="L640" t="s">
        <v>18</v>
      </c>
      <c r="M640">
        <f t="shared" si="45"/>
        <v>2505.1784999999995</v>
      </c>
      <c r="N640">
        <f t="shared" si="46"/>
        <v>832.37849999999935</v>
      </c>
      <c r="O640" t="str">
        <f t="shared" si="47"/>
        <v>Tuesday</v>
      </c>
      <c r="P640" t="b">
        <f t="shared" si="48"/>
        <v>0</v>
      </c>
      <c r="Q640" t="str">
        <f t="shared" si="49"/>
        <v>December</v>
      </c>
    </row>
    <row r="641" spans="1:17" x14ac:dyDescent="0.4">
      <c r="A641" t="s">
        <v>978</v>
      </c>
      <c r="B641" s="1">
        <v>45294</v>
      </c>
      <c r="C641" t="s">
        <v>86</v>
      </c>
      <c r="D641" t="s">
        <v>21</v>
      </c>
      <c r="E641" t="s">
        <v>80</v>
      </c>
      <c r="F641" t="s">
        <v>16</v>
      </c>
      <c r="G641">
        <v>1</v>
      </c>
      <c r="H641">
        <v>1987.73</v>
      </c>
      <c r="I641">
        <v>5</v>
      </c>
      <c r="J641">
        <v>1020.45</v>
      </c>
      <c r="K641" t="s">
        <v>24</v>
      </c>
      <c r="L641" t="s">
        <v>33</v>
      </c>
      <c r="M641">
        <f t="shared" si="45"/>
        <v>1888.3434999999999</v>
      </c>
      <c r="N641">
        <f t="shared" si="46"/>
        <v>867.8934999999999</v>
      </c>
      <c r="O641" t="str">
        <f t="shared" si="47"/>
        <v>Wednesday</v>
      </c>
      <c r="P641" t="b">
        <f t="shared" si="48"/>
        <v>0</v>
      </c>
      <c r="Q641" t="str">
        <f t="shared" si="49"/>
        <v>January</v>
      </c>
    </row>
    <row r="642" spans="1:17" x14ac:dyDescent="0.4">
      <c r="A642" t="s">
        <v>979</v>
      </c>
      <c r="B642" s="1">
        <v>45967</v>
      </c>
      <c r="C642" t="s">
        <v>174</v>
      </c>
      <c r="D642" t="s">
        <v>31</v>
      </c>
      <c r="E642" t="s">
        <v>519</v>
      </c>
      <c r="F642" t="s">
        <v>16</v>
      </c>
      <c r="G642">
        <v>3</v>
      </c>
      <c r="H642">
        <v>451.47</v>
      </c>
      <c r="I642">
        <v>0</v>
      </c>
      <c r="J642">
        <v>269.05</v>
      </c>
      <c r="K642" t="s">
        <v>24</v>
      </c>
      <c r="L642" t="s">
        <v>33</v>
      </c>
      <c r="M642">
        <f t="shared" si="45"/>
        <v>1354.41</v>
      </c>
      <c r="N642">
        <f t="shared" si="46"/>
        <v>547.26</v>
      </c>
      <c r="O642" t="str">
        <f t="shared" si="47"/>
        <v>Thursday</v>
      </c>
      <c r="P642" t="b">
        <f t="shared" si="48"/>
        <v>0</v>
      </c>
      <c r="Q642" t="str">
        <f t="shared" si="49"/>
        <v>November</v>
      </c>
    </row>
    <row r="643" spans="1:17" x14ac:dyDescent="0.4">
      <c r="A643" t="s">
        <v>980</v>
      </c>
      <c r="B643" s="1">
        <v>45817</v>
      </c>
      <c r="C643" t="s">
        <v>77</v>
      </c>
      <c r="D643" t="s">
        <v>14</v>
      </c>
      <c r="E643" t="s">
        <v>307</v>
      </c>
      <c r="F643" t="s">
        <v>28</v>
      </c>
      <c r="G643">
        <v>4</v>
      </c>
      <c r="H643">
        <v>2390.67</v>
      </c>
      <c r="I643">
        <v>30</v>
      </c>
      <c r="J643">
        <v>1176.79</v>
      </c>
      <c r="K643" t="s">
        <v>24</v>
      </c>
      <c r="L643" t="s">
        <v>18</v>
      </c>
      <c r="M643">
        <f t="shared" ref="M643:M706" si="50">G643 * H643 * (1 - I643/100)</f>
        <v>6693.8760000000002</v>
      </c>
      <c r="N643">
        <f t="shared" ref="N643:N706" si="51">M643 - (J643 * G643)</f>
        <v>1986.7160000000003</v>
      </c>
      <c r="O643" t="str">
        <f t="shared" ref="O643:O706" si="52">TEXT(B643,"dddd")</f>
        <v>Monday</v>
      </c>
      <c r="P643" t="b">
        <f t="shared" ref="P643:P706" si="53">OR(TEXT(B643,"ddd")="Sat", TEXT(B643,"ddd")="Sun")</f>
        <v>0</v>
      </c>
      <c r="Q643" t="str">
        <f t="shared" ref="Q643:Q706" si="54">TEXT(B643,"mmmm")</f>
        <v>June</v>
      </c>
    </row>
    <row r="644" spans="1:17" x14ac:dyDescent="0.4">
      <c r="A644" t="s">
        <v>981</v>
      </c>
      <c r="B644" s="1">
        <v>45339</v>
      </c>
      <c r="C644" t="s">
        <v>190</v>
      </c>
      <c r="D644" t="s">
        <v>14</v>
      </c>
      <c r="E644" t="s">
        <v>587</v>
      </c>
      <c r="F644" t="s">
        <v>23</v>
      </c>
      <c r="G644">
        <v>3</v>
      </c>
      <c r="H644">
        <v>2897.51</v>
      </c>
      <c r="I644">
        <v>10</v>
      </c>
      <c r="J644">
        <v>1500.67</v>
      </c>
      <c r="K644" t="s">
        <v>17</v>
      </c>
      <c r="L644" t="s">
        <v>37</v>
      </c>
      <c r="M644">
        <f t="shared" si="50"/>
        <v>7823.277000000001</v>
      </c>
      <c r="N644">
        <f t="shared" si="51"/>
        <v>3321.2670000000007</v>
      </c>
      <c r="O644" t="str">
        <f t="shared" si="52"/>
        <v>Saturday</v>
      </c>
      <c r="P644" t="b">
        <f t="shared" si="53"/>
        <v>1</v>
      </c>
      <c r="Q644" t="str">
        <f t="shared" si="54"/>
        <v>February</v>
      </c>
    </row>
    <row r="645" spans="1:17" x14ac:dyDescent="0.4">
      <c r="A645" t="s">
        <v>982</v>
      </c>
      <c r="B645" s="1">
        <v>45928</v>
      </c>
      <c r="C645" t="s">
        <v>109</v>
      </c>
      <c r="D645" t="s">
        <v>31</v>
      </c>
      <c r="E645" t="s">
        <v>142</v>
      </c>
      <c r="F645" t="s">
        <v>28</v>
      </c>
      <c r="G645">
        <v>3</v>
      </c>
      <c r="H645">
        <v>1950.39</v>
      </c>
      <c r="I645">
        <v>30</v>
      </c>
      <c r="J645">
        <v>786.05</v>
      </c>
      <c r="K645" t="s">
        <v>17</v>
      </c>
      <c r="L645" t="s">
        <v>18</v>
      </c>
      <c r="M645">
        <f t="shared" si="50"/>
        <v>4095.819</v>
      </c>
      <c r="N645">
        <f t="shared" si="51"/>
        <v>1737.6690000000003</v>
      </c>
      <c r="O645" t="str">
        <f t="shared" si="52"/>
        <v>Sunday</v>
      </c>
      <c r="P645" t="b">
        <f t="shared" si="53"/>
        <v>1</v>
      </c>
      <c r="Q645" t="str">
        <f t="shared" si="54"/>
        <v>September</v>
      </c>
    </row>
    <row r="646" spans="1:17" x14ac:dyDescent="0.4">
      <c r="A646" t="s">
        <v>983</v>
      </c>
      <c r="B646" s="1">
        <v>45810</v>
      </c>
      <c r="C646" t="s">
        <v>269</v>
      </c>
      <c r="D646" t="s">
        <v>31</v>
      </c>
      <c r="E646" t="s">
        <v>519</v>
      </c>
      <c r="F646" t="s">
        <v>16</v>
      </c>
      <c r="G646">
        <v>4</v>
      </c>
      <c r="H646">
        <v>1216.8499999999999</v>
      </c>
      <c r="I646">
        <v>30</v>
      </c>
      <c r="J646">
        <v>638.41</v>
      </c>
      <c r="K646" t="s">
        <v>17</v>
      </c>
      <c r="L646" t="s">
        <v>37</v>
      </c>
      <c r="M646">
        <f t="shared" si="50"/>
        <v>3407.1799999999994</v>
      </c>
      <c r="N646">
        <f t="shared" si="51"/>
        <v>853.53999999999951</v>
      </c>
      <c r="O646" t="str">
        <f t="shared" si="52"/>
        <v>Monday</v>
      </c>
      <c r="P646" t="b">
        <f t="shared" si="53"/>
        <v>0</v>
      </c>
      <c r="Q646" t="str">
        <f t="shared" si="54"/>
        <v>June</v>
      </c>
    </row>
    <row r="647" spans="1:17" x14ac:dyDescent="0.4">
      <c r="A647" t="s">
        <v>984</v>
      </c>
      <c r="B647" s="1">
        <v>45835</v>
      </c>
      <c r="C647" t="s">
        <v>86</v>
      </c>
      <c r="D647" t="s">
        <v>31</v>
      </c>
      <c r="E647" t="s">
        <v>760</v>
      </c>
      <c r="F647" t="s">
        <v>28</v>
      </c>
      <c r="G647">
        <v>4</v>
      </c>
      <c r="H647">
        <v>2712.19</v>
      </c>
      <c r="I647">
        <v>5</v>
      </c>
      <c r="J647">
        <v>1298.52</v>
      </c>
      <c r="K647" t="s">
        <v>17</v>
      </c>
      <c r="L647" t="s">
        <v>33</v>
      </c>
      <c r="M647">
        <f t="shared" si="50"/>
        <v>10306.322</v>
      </c>
      <c r="N647">
        <f t="shared" si="51"/>
        <v>5112.2420000000002</v>
      </c>
      <c r="O647" t="str">
        <f t="shared" si="52"/>
        <v>Friday</v>
      </c>
      <c r="P647" t="b">
        <f t="shared" si="53"/>
        <v>0</v>
      </c>
      <c r="Q647" t="str">
        <f t="shared" si="54"/>
        <v>June</v>
      </c>
    </row>
    <row r="648" spans="1:17" x14ac:dyDescent="0.4">
      <c r="A648" t="s">
        <v>985</v>
      </c>
      <c r="B648" s="1">
        <v>45351</v>
      </c>
      <c r="C648" t="s">
        <v>51</v>
      </c>
      <c r="D648" t="s">
        <v>21</v>
      </c>
      <c r="E648" t="s">
        <v>662</v>
      </c>
      <c r="F648" t="s">
        <v>16</v>
      </c>
      <c r="G648">
        <v>4</v>
      </c>
      <c r="H648">
        <v>2729.07</v>
      </c>
      <c r="I648">
        <v>10</v>
      </c>
      <c r="J648">
        <v>1227.26</v>
      </c>
      <c r="K648" t="s">
        <v>17</v>
      </c>
      <c r="L648" t="s">
        <v>18</v>
      </c>
      <c r="M648">
        <f t="shared" si="50"/>
        <v>9824.652</v>
      </c>
      <c r="N648">
        <f t="shared" si="51"/>
        <v>4915.6120000000001</v>
      </c>
      <c r="O648" t="str">
        <f t="shared" si="52"/>
        <v>Thursday</v>
      </c>
      <c r="P648" t="b">
        <f t="shared" si="53"/>
        <v>0</v>
      </c>
      <c r="Q648" t="str">
        <f t="shared" si="54"/>
        <v>February</v>
      </c>
    </row>
    <row r="649" spans="1:17" x14ac:dyDescent="0.4">
      <c r="A649" t="s">
        <v>986</v>
      </c>
      <c r="B649" s="1">
        <v>45586</v>
      </c>
      <c r="C649" t="s">
        <v>100</v>
      </c>
      <c r="D649" t="s">
        <v>14</v>
      </c>
      <c r="E649" t="s">
        <v>544</v>
      </c>
      <c r="F649" t="s">
        <v>16</v>
      </c>
      <c r="G649">
        <v>3</v>
      </c>
      <c r="H649">
        <v>928.71</v>
      </c>
      <c r="I649">
        <v>10</v>
      </c>
      <c r="J649">
        <v>537.66</v>
      </c>
      <c r="K649" t="s">
        <v>24</v>
      </c>
      <c r="L649" t="s">
        <v>37</v>
      </c>
      <c r="M649">
        <f t="shared" si="50"/>
        <v>2507.5170000000003</v>
      </c>
      <c r="N649">
        <f t="shared" si="51"/>
        <v>894.53700000000026</v>
      </c>
      <c r="O649" t="str">
        <f t="shared" si="52"/>
        <v>Monday</v>
      </c>
      <c r="P649" t="b">
        <f t="shared" si="53"/>
        <v>0</v>
      </c>
      <c r="Q649" t="str">
        <f t="shared" si="54"/>
        <v>October</v>
      </c>
    </row>
    <row r="650" spans="1:17" x14ac:dyDescent="0.4">
      <c r="A650" t="s">
        <v>987</v>
      </c>
      <c r="B650" s="1">
        <v>45815</v>
      </c>
      <c r="C650" t="s">
        <v>309</v>
      </c>
      <c r="D650" t="s">
        <v>31</v>
      </c>
      <c r="E650" t="s">
        <v>49</v>
      </c>
      <c r="F650" t="s">
        <v>16</v>
      </c>
      <c r="G650">
        <v>5</v>
      </c>
      <c r="H650">
        <v>861.77</v>
      </c>
      <c r="I650">
        <v>25</v>
      </c>
      <c r="J650">
        <v>357.68</v>
      </c>
      <c r="K650" t="s">
        <v>17</v>
      </c>
      <c r="L650" t="s">
        <v>33</v>
      </c>
      <c r="M650">
        <f t="shared" si="50"/>
        <v>3231.6375000000003</v>
      </c>
      <c r="N650">
        <f t="shared" si="51"/>
        <v>1443.2375000000002</v>
      </c>
      <c r="O650" t="str">
        <f t="shared" si="52"/>
        <v>Saturday</v>
      </c>
      <c r="P650" t="b">
        <f t="shared" si="53"/>
        <v>1</v>
      </c>
      <c r="Q650" t="str">
        <f t="shared" si="54"/>
        <v>June</v>
      </c>
    </row>
    <row r="651" spans="1:17" x14ac:dyDescent="0.4">
      <c r="A651" t="s">
        <v>988</v>
      </c>
      <c r="B651" s="1">
        <v>45821</v>
      </c>
      <c r="C651" t="s">
        <v>128</v>
      </c>
      <c r="D651" t="s">
        <v>46</v>
      </c>
      <c r="E651" t="s">
        <v>147</v>
      </c>
      <c r="F651" t="s">
        <v>23</v>
      </c>
      <c r="G651">
        <v>3</v>
      </c>
      <c r="H651">
        <v>1646.9</v>
      </c>
      <c r="I651">
        <v>25</v>
      </c>
      <c r="J651">
        <v>1080.5899999999999</v>
      </c>
      <c r="K651" t="s">
        <v>17</v>
      </c>
      <c r="L651" t="s">
        <v>18</v>
      </c>
      <c r="M651">
        <f t="shared" si="50"/>
        <v>3705.5250000000005</v>
      </c>
      <c r="N651">
        <f t="shared" si="51"/>
        <v>463.75500000000102</v>
      </c>
      <c r="O651" t="str">
        <f t="shared" si="52"/>
        <v>Friday</v>
      </c>
      <c r="P651" t="b">
        <f t="shared" si="53"/>
        <v>0</v>
      </c>
      <c r="Q651" t="str">
        <f t="shared" si="54"/>
        <v>June</v>
      </c>
    </row>
    <row r="652" spans="1:17" x14ac:dyDescent="0.4">
      <c r="A652" t="s">
        <v>989</v>
      </c>
      <c r="B652" s="1">
        <v>45475</v>
      </c>
      <c r="C652" t="s">
        <v>241</v>
      </c>
      <c r="D652" t="s">
        <v>31</v>
      </c>
      <c r="E652" t="s">
        <v>858</v>
      </c>
      <c r="F652" t="s">
        <v>28</v>
      </c>
      <c r="G652">
        <v>5</v>
      </c>
      <c r="H652">
        <v>2971.91</v>
      </c>
      <c r="I652">
        <v>25</v>
      </c>
      <c r="J652">
        <v>2069.79</v>
      </c>
      <c r="K652" t="s">
        <v>24</v>
      </c>
      <c r="L652" t="s">
        <v>33</v>
      </c>
      <c r="M652">
        <f t="shared" si="50"/>
        <v>11144.662499999999</v>
      </c>
      <c r="N652">
        <f t="shared" si="51"/>
        <v>795.71249999999782</v>
      </c>
      <c r="O652" t="str">
        <f t="shared" si="52"/>
        <v>Tuesday</v>
      </c>
      <c r="P652" t="b">
        <f t="shared" si="53"/>
        <v>0</v>
      </c>
      <c r="Q652" t="str">
        <f t="shared" si="54"/>
        <v>July</v>
      </c>
    </row>
    <row r="653" spans="1:17" x14ac:dyDescent="0.4">
      <c r="A653" t="s">
        <v>990</v>
      </c>
      <c r="B653" s="1">
        <v>45424</v>
      </c>
      <c r="C653" t="s">
        <v>30</v>
      </c>
      <c r="D653" t="s">
        <v>31</v>
      </c>
      <c r="E653" t="s">
        <v>299</v>
      </c>
      <c r="F653" t="s">
        <v>16</v>
      </c>
      <c r="G653">
        <v>2</v>
      </c>
      <c r="H653">
        <v>2119.1999999999998</v>
      </c>
      <c r="I653">
        <v>5</v>
      </c>
      <c r="J653">
        <v>1025.97</v>
      </c>
      <c r="K653" t="s">
        <v>24</v>
      </c>
      <c r="L653" t="s">
        <v>33</v>
      </c>
      <c r="M653">
        <f t="shared" si="50"/>
        <v>4026.4799999999996</v>
      </c>
      <c r="N653">
        <f t="shared" si="51"/>
        <v>1974.5399999999995</v>
      </c>
      <c r="O653" t="str">
        <f t="shared" si="52"/>
        <v>Sunday</v>
      </c>
      <c r="P653" t="b">
        <f t="shared" si="53"/>
        <v>1</v>
      </c>
      <c r="Q653" t="str">
        <f t="shared" si="54"/>
        <v>May</v>
      </c>
    </row>
    <row r="654" spans="1:17" x14ac:dyDescent="0.4">
      <c r="A654" t="s">
        <v>991</v>
      </c>
      <c r="B654" s="1">
        <v>45671</v>
      </c>
      <c r="C654" t="s">
        <v>84</v>
      </c>
      <c r="D654" t="s">
        <v>31</v>
      </c>
      <c r="E654" t="s">
        <v>243</v>
      </c>
      <c r="F654" t="s">
        <v>16</v>
      </c>
      <c r="G654">
        <v>1</v>
      </c>
      <c r="H654">
        <v>2627.39</v>
      </c>
      <c r="I654">
        <v>15</v>
      </c>
      <c r="J654">
        <v>1273.27</v>
      </c>
      <c r="K654" t="s">
        <v>24</v>
      </c>
      <c r="L654" t="s">
        <v>37</v>
      </c>
      <c r="M654">
        <f t="shared" si="50"/>
        <v>2233.2815000000001</v>
      </c>
      <c r="N654">
        <f t="shared" si="51"/>
        <v>960.01150000000007</v>
      </c>
      <c r="O654" t="str">
        <f t="shared" si="52"/>
        <v>Tuesday</v>
      </c>
      <c r="P654" t="b">
        <f t="shared" si="53"/>
        <v>0</v>
      </c>
      <c r="Q654" t="str">
        <f t="shared" si="54"/>
        <v>January</v>
      </c>
    </row>
    <row r="655" spans="1:17" x14ac:dyDescent="0.4">
      <c r="A655" t="s">
        <v>992</v>
      </c>
      <c r="B655" s="1">
        <v>45541</v>
      </c>
      <c r="C655" t="s">
        <v>463</v>
      </c>
      <c r="D655" t="s">
        <v>31</v>
      </c>
      <c r="E655" t="s">
        <v>132</v>
      </c>
      <c r="F655" t="s">
        <v>23</v>
      </c>
      <c r="G655">
        <v>5</v>
      </c>
      <c r="H655">
        <v>773.23</v>
      </c>
      <c r="I655">
        <v>15</v>
      </c>
      <c r="J655">
        <v>411.12</v>
      </c>
      <c r="K655" t="s">
        <v>17</v>
      </c>
      <c r="L655" t="s">
        <v>18</v>
      </c>
      <c r="M655">
        <f t="shared" si="50"/>
        <v>3286.2275</v>
      </c>
      <c r="N655">
        <f t="shared" si="51"/>
        <v>1230.6275000000001</v>
      </c>
      <c r="O655" t="str">
        <f t="shared" si="52"/>
        <v>Friday</v>
      </c>
      <c r="P655" t="b">
        <f t="shared" si="53"/>
        <v>0</v>
      </c>
      <c r="Q655" t="str">
        <f t="shared" si="54"/>
        <v>September</v>
      </c>
    </row>
    <row r="656" spans="1:17" x14ac:dyDescent="0.4">
      <c r="A656" t="s">
        <v>993</v>
      </c>
      <c r="B656" s="1">
        <v>45806</v>
      </c>
      <c r="C656" t="s">
        <v>190</v>
      </c>
      <c r="D656" t="s">
        <v>31</v>
      </c>
      <c r="E656" t="s">
        <v>414</v>
      </c>
      <c r="F656" t="s">
        <v>23</v>
      </c>
      <c r="G656">
        <v>5</v>
      </c>
      <c r="H656">
        <v>2848.42</v>
      </c>
      <c r="I656">
        <v>10</v>
      </c>
      <c r="J656">
        <v>1528.25</v>
      </c>
      <c r="K656" t="s">
        <v>17</v>
      </c>
      <c r="L656" t="s">
        <v>37</v>
      </c>
      <c r="M656">
        <f t="shared" si="50"/>
        <v>12817.890000000001</v>
      </c>
      <c r="N656">
        <f t="shared" si="51"/>
        <v>5176.6400000000012</v>
      </c>
      <c r="O656" t="str">
        <f t="shared" si="52"/>
        <v>Thursday</v>
      </c>
      <c r="P656" t="b">
        <f t="shared" si="53"/>
        <v>0</v>
      </c>
      <c r="Q656" t="str">
        <f t="shared" si="54"/>
        <v>May</v>
      </c>
    </row>
    <row r="657" spans="1:17" x14ac:dyDescent="0.4">
      <c r="A657" t="s">
        <v>994</v>
      </c>
      <c r="B657" s="1">
        <v>45412</v>
      </c>
      <c r="C657" t="s">
        <v>253</v>
      </c>
      <c r="D657" t="s">
        <v>31</v>
      </c>
      <c r="E657" t="s">
        <v>377</v>
      </c>
      <c r="F657" t="s">
        <v>23</v>
      </c>
      <c r="G657">
        <v>1</v>
      </c>
      <c r="H657">
        <v>1422.9</v>
      </c>
      <c r="I657">
        <v>15</v>
      </c>
      <c r="J657">
        <v>863.75</v>
      </c>
      <c r="K657" t="s">
        <v>17</v>
      </c>
      <c r="L657" t="s">
        <v>37</v>
      </c>
      <c r="M657">
        <f t="shared" si="50"/>
        <v>1209.4650000000001</v>
      </c>
      <c r="N657">
        <f t="shared" si="51"/>
        <v>345.71500000000015</v>
      </c>
      <c r="O657" t="str">
        <f t="shared" si="52"/>
        <v>Tuesday</v>
      </c>
      <c r="P657" t="b">
        <f t="shared" si="53"/>
        <v>0</v>
      </c>
      <c r="Q657" t="str">
        <f t="shared" si="54"/>
        <v>April</v>
      </c>
    </row>
    <row r="658" spans="1:17" x14ac:dyDescent="0.4">
      <c r="A658" t="s">
        <v>995</v>
      </c>
      <c r="B658" s="1">
        <v>45705</v>
      </c>
      <c r="C658" t="s">
        <v>273</v>
      </c>
      <c r="D658" t="s">
        <v>21</v>
      </c>
      <c r="E658" t="s">
        <v>996</v>
      </c>
      <c r="F658" t="s">
        <v>28</v>
      </c>
      <c r="G658">
        <v>1</v>
      </c>
      <c r="H658">
        <v>1835.7</v>
      </c>
      <c r="I658">
        <v>5</v>
      </c>
      <c r="J658">
        <v>947.4</v>
      </c>
      <c r="K658" t="s">
        <v>17</v>
      </c>
      <c r="L658" t="s">
        <v>37</v>
      </c>
      <c r="M658">
        <f t="shared" si="50"/>
        <v>1743.915</v>
      </c>
      <c r="N658">
        <f t="shared" si="51"/>
        <v>796.51499999999999</v>
      </c>
      <c r="O658" t="str">
        <f t="shared" si="52"/>
        <v>Monday</v>
      </c>
      <c r="P658" t="b">
        <f t="shared" si="53"/>
        <v>0</v>
      </c>
      <c r="Q658" t="str">
        <f t="shared" si="54"/>
        <v>February</v>
      </c>
    </row>
    <row r="659" spans="1:17" x14ac:dyDescent="0.4">
      <c r="A659" t="s">
        <v>997</v>
      </c>
      <c r="B659" s="1">
        <v>45956</v>
      </c>
      <c r="C659" t="s">
        <v>42</v>
      </c>
      <c r="D659" t="s">
        <v>21</v>
      </c>
      <c r="E659" t="s">
        <v>444</v>
      </c>
      <c r="F659" t="s">
        <v>28</v>
      </c>
      <c r="G659">
        <v>3</v>
      </c>
      <c r="H659">
        <v>2050.89</v>
      </c>
      <c r="I659">
        <v>30</v>
      </c>
      <c r="J659">
        <v>1290.57</v>
      </c>
      <c r="K659" t="s">
        <v>24</v>
      </c>
      <c r="L659" t="s">
        <v>33</v>
      </c>
      <c r="M659">
        <f t="shared" si="50"/>
        <v>4306.8689999999997</v>
      </c>
      <c r="N659">
        <f t="shared" si="51"/>
        <v>435.15899999999965</v>
      </c>
      <c r="O659" t="str">
        <f t="shared" si="52"/>
        <v>Sunday</v>
      </c>
      <c r="P659" t="b">
        <f t="shared" si="53"/>
        <v>1</v>
      </c>
      <c r="Q659" t="str">
        <f t="shared" si="54"/>
        <v>October</v>
      </c>
    </row>
    <row r="660" spans="1:17" x14ac:dyDescent="0.4">
      <c r="A660" t="s">
        <v>998</v>
      </c>
      <c r="B660" s="1">
        <v>45596</v>
      </c>
      <c r="C660" t="s">
        <v>251</v>
      </c>
      <c r="D660" t="s">
        <v>31</v>
      </c>
      <c r="E660" t="s">
        <v>317</v>
      </c>
      <c r="F660" t="s">
        <v>16</v>
      </c>
      <c r="G660">
        <v>3</v>
      </c>
      <c r="H660">
        <v>748.53</v>
      </c>
      <c r="I660">
        <v>30</v>
      </c>
      <c r="J660">
        <v>424.36</v>
      </c>
      <c r="K660" t="s">
        <v>24</v>
      </c>
      <c r="L660" t="s">
        <v>33</v>
      </c>
      <c r="M660">
        <f t="shared" si="50"/>
        <v>1571.913</v>
      </c>
      <c r="N660">
        <f t="shared" si="51"/>
        <v>298.83300000000008</v>
      </c>
      <c r="O660" t="str">
        <f t="shared" si="52"/>
        <v>Thursday</v>
      </c>
      <c r="P660" t="b">
        <f t="shared" si="53"/>
        <v>0</v>
      </c>
      <c r="Q660" t="str">
        <f t="shared" si="54"/>
        <v>October</v>
      </c>
    </row>
    <row r="661" spans="1:17" x14ac:dyDescent="0.4">
      <c r="A661" t="s">
        <v>999</v>
      </c>
      <c r="B661" s="1">
        <v>45960</v>
      </c>
      <c r="C661" t="s">
        <v>26</v>
      </c>
      <c r="D661" t="s">
        <v>46</v>
      </c>
      <c r="E661" t="s">
        <v>621</v>
      </c>
      <c r="F661" t="s">
        <v>28</v>
      </c>
      <c r="G661">
        <v>1</v>
      </c>
      <c r="H661">
        <v>1537.9</v>
      </c>
      <c r="I661">
        <v>0</v>
      </c>
      <c r="J661">
        <v>681.73</v>
      </c>
      <c r="K661" t="s">
        <v>17</v>
      </c>
      <c r="L661" t="s">
        <v>33</v>
      </c>
      <c r="M661">
        <f t="shared" si="50"/>
        <v>1537.9</v>
      </c>
      <c r="N661">
        <f t="shared" si="51"/>
        <v>856.17000000000007</v>
      </c>
      <c r="O661" t="str">
        <f t="shared" si="52"/>
        <v>Thursday</v>
      </c>
      <c r="P661" t="b">
        <f t="shared" si="53"/>
        <v>0</v>
      </c>
      <c r="Q661" t="str">
        <f t="shared" si="54"/>
        <v>October</v>
      </c>
    </row>
    <row r="662" spans="1:17" x14ac:dyDescent="0.4">
      <c r="A662" t="s">
        <v>1000</v>
      </c>
      <c r="B662" s="1">
        <v>45566</v>
      </c>
      <c r="C662" t="s">
        <v>84</v>
      </c>
      <c r="D662" t="s">
        <v>46</v>
      </c>
      <c r="E662" t="s">
        <v>390</v>
      </c>
      <c r="F662" t="s">
        <v>28</v>
      </c>
      <c r="G662">
        <v>1</v>
      </c>
      <c r="H662">
        <v>2116.65</v>
      </c>
      <c r="I662">
        <v>15</v>
      </c>
      <c r="J662">
        <v>1000.89</v>
      </c>
      <c r="K662" t="s">
        <v>17</v>
      </c>
      <c r="L662" t="s">
        <v>37</v>
      </c>
      <c r="M662">
        <f t="shared" si="50"/>
        <v>1799.1524999999999</v>
      </c>
      <c r="N662">
        <f t="shared" si="51"/>
        <v>798.26249999999993</v>
      </c>
      <c r="O662" t="str">
        <f t="shared" si="52"/>
        <v>Tuesday</v>
      </c>
      <c r="P662" t="b">
        <f t="shared" si="53"/>
        <v>0</v>
      </c>
      <c r="Q662" t="str">
        <f t="shared" si="54"/>
        <v>October</v>
      </c>
    </row>
    <row r="663" spans="1:17" x14ac:dyDescent="0.4">
      <c r="A663" t="s">
        <v>1001</v>
      </c>
      <c r="B663" s="1">
        <v>45570</v>
      </c>
      <c r="C663" t="s">
        <v>253</v>
      </c>
      <c r="D663" t="s">
        <v>14</v>
      </c>
      <c r="E663" t="s">
        <v>175</v>
      </c>
      <c r="F663" t="s">
        <v>28</v>
      </c>
      <c r="G663">
        <v>3</v>
      </c>
      <c r="H663">
        <v>2706.25</v>
      </c>
      <c r="I663">
        <v>10</v>
      </c>
      <c r="J663">
        <v>1085.08</v>
      </c>
      <c r="K663" t="s">
        <v>24</v>
      </c>
      <c r="L663" t="s">
        <v>33</v>
      </c>
      <c r="M663">
        <f t="shared" si="50"/>
        <v>7306.875</v>
      </c>
      <c r="N663">
        <f t="shared" si="51"/>
        <v>4051.6350000000002</v>
      </c>
      <c r="O663" t="str">
        <f t="shared" si="52"/>
        <v>Saturday</v>
      </c>
      <c r="P663" t="b">
        <f t="shared" si="53"/>
        <v>1</v>
      </c>
      <c r="Q663" t="str">
        <f t="shared" si="54"/>
        <v>October</v>
      </c>
    </row>
    <row r="664" spans="1:17" x14ac:dyDescent="0.4">
      <c r="A664" t="s">
        <v>1002</v>
      </c>
      <c r="B664" s="1">
        <v>45366</v>
      </c>
      <c r="C664" t="s">
        <v>226</v>
      </c>
      <c r="D664" t="s">
        <v>21</v>
      </c>
      <c r="E664" t="s">
        <v>196</v>
      </c>
      <c r="F664" t="s">
        <v>28</v>
      </c>
      <c r="G664">
        <v>3</v>
      </c>
      <c r="H664">
        <v>327.97</v>
      </c>
      <c r="I664">
        <v>15</v>
      </c>
      <c r="J664">
        <v>163.32</v>
      </c>
      <c r="K664" t="s">
        <v>24</v>
      </c>
      <c r="L664" t="s">
        <v>33</v>
      </c>
      <c r="M664">
        <f t="shared" si="50"/>
        <v>836.32350000000008</v>
      </c>
      <c r="N664">
        <f t="shared" si="51"/>
        <v>346.3635000000001</v>
      </c>
      <c r="O664" t="str">
        <f t="shared" si="52"/>
        <v>Friday</v>
      </c>
      <c r="P664" t="b">
        <f t="shared" si="53"/>
        <v>0</v>
      </c>
      <c r="Q664" t="str">
        <f t="shared" si="54"/>
        <v>March</v>
      </c>
    </row>
    <row r="665" spans="1:17" x14ac:dyDescent="0.4">
      <c r="A665" t="s">
        <v>1003</v>
      </c>
      <c r="B665" s="1">
        <v>45989</v>
      </c>
      <c r="C665" t="s">
        <v>125</v>
      </c>
      <c r="D665" t="s">
        <v>46</v>
      </c>
      <c r="E665" t="s">
        <v>394</v>
      </c>
      <c r="F665" t="s">
        <v>23</v>
      </c>
      <c r="G665">
        <v>1</v>
      </c>
      <c r="H665">
        <v>713.91</v>
      </c>
      <c r="I665">
        <v>20</v>
      </c>
      <c r="J665">
        <v>286.42</v>
      </c>
      <c r="K665" t="s">
        <v>17</v>
      </c>
      <c r="L665" t="s">
        <v>18</v>
      </c>
      <c r="M665">
        <f t="shared" si="50"/>
        <v>571.12800000000004</v>
      </c>
      <c r="N665">
        <f t="shared" si="51"/>
        <v>284.70800000000003</v>
      </c>
      <c r="O665" t="str">
        <f t="shared" si="52"/>
        <v>Friday</v>
      </c>
      <c r="P665" t="b">
        <f t="shared" si="53"/>
        <v>0</v>
      </c>
      <c r="Q665" t="str">
        <f t="shared" si="54"/>
        <v>November</v>
      </c>
    </row>
    <row r="666" spans="1:17" x14ac:dyDescent="0.4">
      <c r="A666" t="s">
        <v>1004</v>
      </c>
      <c r="B666" s="1">
        <v>45461</v>
      </c>
      <c r="C666" t="s">
        <v>77</v>
      </c>
      <c r="D666" t="s">
        <v>14</v>
      </c>
      <c r="E666" t="s">
        <v>419</v>
      </c>
      <c r="F666" t="s">
        <v>16</v>
      </c>
      <c r="G666">
        <v>1</v>
      </c>
      <c r="H666">
        <v>2207.42</v>
      </c>
      <c r="I666">
        <v>10</v>
      </c>
      <c r="J666">
        <v>965.91</v>
      </c>
      <c r="K666" t="s">
        <v>17</v>
      </c>
      <c r="L666" t="s">
        <v>37</v>
      </c>
      <c r="M666">
        <f t="shared" si="50"/>
        <v>1986.6780000000001</v>
      </c>
      <c r="N666">
        <f t="shared" si="51"/>
        <v>1020.7680000000001</v>
      </c>
      <c r="O666" t="str">
        <f t="shared" si="52"/>
        <v>Tuesday</v>
      </c>
      <c r="P666" t="b">
        <f t="shared" si="53"/>
        <v>0</v>
      </c>
      <c r="Q666" t="str">
        <f t="shared" si="54"/>
        <v>June</v>
      </c>
    </row>
    <row r="667" spans="1:17" x14ac:dyDescent="0.4">
      <c r="A667" t="s">
        <v>1005</v>
      </c>
      <c r="B667" s="1">
        <v>45323</v>
      </c>
      <c r="C667" t="s">
        <v>278</v>
      </c>
      <c r="D667" t="s">
        <v>46</v>
      </c>
      <c r="E667" t="s">
        <v>948</v>
      </c>
      <c r="F667" t="s">
        <v>28</v>
      </c>
      <c r="G667">
        <v>3</v>
      </c>
      <c r="H667">
        <v>2101.39</v>
      </c>
      <c r="I667">
        <v>20</v>
      </c>
      <c r="J667">
        <v>1112.8599999999999</v>
      </c>
      <c r="K667" t="s">
        <v>24</v>
      </c>
      <c r="L667" t="s">
        <v>37</v>
      </c>
      <c r="M667">
        <f t="shared" si="50"/>
        <v>5043.3360000000002</v>
      </c>
      <c r="N667">
        <f t="shared" si="51"/>
        <v>1704.7560000000003</v>
      </c>
      <c r="O667" t="str">
        <f t="shared" si="52"/>
        <v>Thursday</v>
      </c>
      <c r="P667" t="b">
        <f t="shared" si="53"/>
        <v>0</v>
      </c>
      <c r="Q667" t="str">
        <f t="shared" si="54"/>
        <v>February</v>
      </c>
    </row>
    <row r="668" spans="1:17" x14ac:dyDescent="0.4">
      <c r="A668" t="s">
        <v>1006</v>
      </c>
      <c r="B668" s="1">
        <v>45975</v>
      </c>
      <c r="C668" t="s">
        <v>77</v>
      </c>
      <c r="D668" t="s">
        <v>46</v>
      </c>
      <c r="E668" t="s">
        <v>377</v>
      </c>
      <c r="F668" t="s">
        <v>16</v>
      </c>
      <c r="G668">
        <v>2</v>
      </c>
      <c r="H668">
        <v>1489.19</v>
      </c>
      <c r="I668">
        <v>0</v>
      </c>
      <c r="J668">
        <v>641.29999999999995</v>
      </c>
      <c r="K668" t="s">
        <v>17</v>
      </c>
      <c r="L668" t="s">
        <v>18</v>
      </c>
      <c r="M668">
        <f t="shared" si="50"/>
        <v>2978.38</v>
      </c>
      <c r="N668">
        <f t="shared" si="51"/>
        <v>1695.7800000000002</v>
      </c>
      <c r="O668" t="str">
        <f t="shared" si="52"/>
        <v>Friday</v>
      </c>
      <c r="P668" t="b">
        <f t="shared" si="53"/>
        <v>0</v>
      </c>
      <c r="Q668" t="str">
        <f t="shared" si="54"/>
        <v>November</v>
      </c>
    </row>
    <row r="669" spans="1:17" x14ac:dyDescent="0.4">
      <c r="A669" t="s">
        <v>1007</v>
      </c>
      <c r="B669" s="1">
        <v>45716</v>
      </c>
      <c r="C669" t="s">
        <v>241</v>
      </c>
      <c r="D669" t="s">
        <v>14</v>
      </c>
      <c r="E669" t="s">
        <v>1008</v>
      </c>
      <c r="F669" t="s">
        <v>16</v>
      </c>
      <c r="G669">
        <v>4</v>
      </c>
      <c r="H669">
        <v>2042.45</v>
      </c>
      <c r="I669">
        <v>30</v>
      </c>
      <c r="J669">
        <v>1199.04</v>
      </c>
      <c r="K669" t="s">
        <v>24</v>
      </c>
      <c r="L669" t="s">
        <v>18</v>
      </c>
      <c r="M669">
        <f t="shared" si="50"/>
        <v>5718.86</v>
      </c>
      <c r="N669">
        <f t="shared" si="51"/>
        <v>922.69999999999982</v>
      </c>
      <c r="O669" t="str">
        <f t="shared" si="52"/>
        <v>Friday</v>
      </c>
      <c r="P669" t="b">
        <f t="shared" si="53"/>
        <v>0</v>
      </c>
      <c r="Q669" t="str">
        <f t="shared" si="54"/>
        <v>February</v>
      </c>
    </row>
    <row r="670" spans="1:17" x14ac:dyDescent="0.4">
      <c r="A670" t="s">
        <v>1009</v>
      </c>
      <c r="B670" s="1">
        <v>45796</v>
      </c>
      <c r="C670" t="s">
        <v>205</v>
      </c>
      <c r="D670" t="s">
        <v>46</v>
      </c>
      <c r="E670" t="s">
        <v>425</v>
      </c>
      <c r="F670" t="s">
        <v>23</v>
      </c>
      <c r="G670">
        <v>2</v>
      </c>
      <c r="H670">
        <v>1898.56</v>
      </c>
      <c r="I670">
        <v>20</v>
      </c>
      <c r="J670">
        <v>1151.6400000000001</v>
      </c>
      <c r="K670" t="s">
        <v>24</v>
      </c>
      <c r="L670" t="s">
        <v>33</v>
      </c>
      <c r="M670">
        <f t="shared" si="50"/>
        <v>3037.6959999999999</v>
      </c>
      <c r="N670">
        <f t="shared" si="51"/>
        <v>734.41599999999971</v>
      </c>
      <c r="O670" t="str">
        <f t="shared" si="52"/>
        <v>Monday</v>
      </c>
      <c r="P670" t="b">
        <f t="shared" si="53"/>
        <v>0</v>
      </c>
      <c r="Q670" t="str">
        <f t="shared" si="54"/>
        <v>May</v>
      </c>
    </row>
    <row r="671" spans="1:17" x14ac:dyDescent="0.4">
      <c r="A671" t="s">
        <v>1010</v>
      </c>
      <c r="B671" s="1">
        <v>45958</v>
      </c>
      <c r="C671" t="s">
        <v>273</v>
      </c>
      <c r="D671" t="s">
        <v>31</v>
      </c>
      <c r="E671" t="s">
        <v>613</v>
      </c>
      <c r="F671" t="s">
        <v>16</v>
      </c>
      <c r="G671">
        <v>2</v>
      </c>
      <c r="H671">
        <v>489.38</v>
      </c>
      <c r="I671">
        <v>30</v>
      </c>
      <c r="J671">
        <v>328.08</v>
      </c>
      <c r="K671" t="s">
        <v>24</v>
      </c>
      <c r="L671" t="s">
        <v>33</v>
      </c>
      <c r="M671">
        <f t="shared" si="50"/>
        <v>685.13199999999995</v>
      </c>
      <c r="N671">
        <f t="shared" si="51"/>
        <v>28.97199999999998</v>
      </c>
      <c r="O671" t="str">
        <f t="shared" si="52"/>
        <v>Tuesday</v>
      </c>
      <c r="P671" t="b">
        <f t="shared" si="53"/>
        <v>0</v>
      </c>
      <c r="Q671" t="str">
        <f t="shared" si="54"/>
        <v>October</v>
      </c>
    </row>
    <row r="672" spans="1:17" x14ac:dyDescent="0.4">
      <c r="A672" t="s">
        <v>1011</v>
      </c>
      <c r="B672" s="1">
        <v>45541</v>
      </c>
      <c r="C672" t="s">
        <v>251</v>
      </c>
      <c r="D672" t="s">
        <v>14</v>
      </c>
      <c r="E672" t="s">
        <v>153</v>
      </c>
      <c r="F672" t="s">
        <v>16</v>
      </c>
      <c r="G672">
        <v>2</v>
      </c>
      <c r="H672">
        <v>916.26</v>
      </c>
      <c r="I672">
        <v>25</v>
      </c>
      <c r="J672">
        <v>522.6</v>
      </c>
      <c r="K672" t="s">
        <v>24</v>
      </c>
      <c r="L672" t="s">
        <v>37</v>
      </c>
      <c r="M672">
        <f t="shared" si="50"/>
        <v>1374.3899999999999</v>
      </c>
      <c r="N672">
        <f t="shared" si="51"/>
        <v>329.18999999999983</v>
      </c>
      <c r="O672" t="str">
        <f t="shared" si="52"/>
        <v>Friday</v>
      </c>
      <c r="P672" t="b">
        <f t="shared" si="53"/>
        <v>0</v>
      </c>
      <c r="Q672" t="str">
        <f t="shared" si="54"/>
        <v>September</v>
      </c>
    </row>
    <row r="673" spans="1:17" x14ac:dyDescent="0.4">
      <c r="A673" t="s">
        <v>1012</v>
      </c>
      <c r="B673" s="1">
        <v>45698</v>
      </c>
      <c r="C673" t="s">
        <v>205</v>
      </c>
      <c r="D673" t="s">
        <v>46</v>
      </c>
      <c r="E673" t="s">
        <v>330</v>
      </c>
      <c r="F673" t="s">
        <v>28</v>
      </c>
      <c r="G673">
        <v>2</v>
      </c>
      <c r="H673">
        <v>1010.24</v>
      </c>
      <c r="I673">
        <v>5</v>
      </c>
      <c r="J673">
        <v>482.23</v>
      </c>
      <c r="K673" t="s">
        <v>17</v>
      </c>
      <c r="L673" t="s">
        <v>18</v>
      </c>
      <c r="M673">
        <f t="shared" si="50"/>
        <v>1919.4559999999999</v>
      </c>
      <c r="N673">
        <f t="shared" si="51"/>
        <v>954.99599999999987</v>
      </c>
      <c r="O673" t="str">
        <f t="shared" si="52"/>
        <v>Monday</v>
      </c>
      <c r="P673" t="b">
        <f t="shared" si="53"/>
        <v>0</v>
      </c>
      <c r="Q673" t="str">
        <f t="shared" si="54"/>
        <v>February</v>
      </c>
    </row>
    <row r="674" spans="1:17" x14ac:dyDescent="0.4">
      <c r="A674" t="s">
        <v>1013</v>
      </c>
      <c r="B674" s="1">
        <v>45759</v>
      </c>
      <c r="C674" t="s">
        <v>296</v>
      </c>
      <c r="D674" t="s">
        <v>21</v>
      </c>
      <c r="E674" t="s">
        <v>996</v>
      </c>
      <c r="F674" t="s">
        <v>16</v>
      </c>
      <c r="G674">
        <v>5</v>
      </c>
      <c r="H674">
        <v>2204.13</v>
      </c>
      <c r="I674">
        <v>10</v>
      </c>
      <c r="J674">
        <v>1015.98</v>
      </c>
      <c r="K674" t="s">
        <v>17</v>
      </c>
      <c r="L674" t="s">
        <v>37</v>
      </c>
      <c r="M674">
        <f t="shared" si="50"/>
        <v>9918.5850000000009</v>
      </c>
      <c r="N674">
        <f t="shared" si="51"/>
        <v>4838.6850000000013</v>
      </c>
      <c r="O674" t="str">
        <f t="shared" si="52"/>
        <v>Saturday</v>
      </c>
      <c r="P674" t="b">
        <f t="shared" si="53"/>
        <v>1</v>
      </c>
      <c r="Q674" t="str">
        <f t="shared" si="54"/>
        <v>April</v>
      </c>
    </row>
    <row r="675" spans="1:17" x14ac:dyDescent="0.4">
      <c r="A675" t="s">
        <v>1014</v>
      </c>
      <c r="B675" s="1">
        <v>45293</v>
      </c>
      <c r="C675" t="s">
        <v>109</v>
      </c>
      <c r="D675" t="s">
        <v>46</v>
      </c>
      <c r="E675" t="s">
        <v>938</v>
      </c>
      <c r="F675" t="s">
        <v>23</v>
      </c>
      <c r="G675">
        <v>4</v>
      </c>
      <c r="H675">
        <v>2596.35</v>
      </c>
      <c r="I675">
        <v>20</v>
      </c>
      <c r="J675">
        <v>1792.49</v>
      </c>
      <c r="K675" t="s">
        <v>24</v>
      </c>
      <c r="L675" t="s">
        <v>18</v>
      </c>
      <c r="M675">
        <f t="shared" si="50"/>
        <v>8308.32</v>
      </c>
      <c r="N675">
        <f t="shared" si="51"/>
        <v>1138.3599999999997</v>
      </c>
      <c r="O675" t="str">
        <f t="shared" si="52"/>
        <v>Tuesday</v>
      </c>
      <c r="P675" t="b">
        <f t="shared" si="53"/>
        <v>0</v>
      </c>
      <c r="Q675" t="str">
        <f t="shared" si="54"/>
        <v>January</v>
      </c>
    </row>
    <row r="676" spans="1:17" x14ac:dyDescent="0.4">
      <c r="A676" t="s">
        <v>1015</v>
      </c>
      <c r="B676" s="1">
        <v>45690</v>
      </c>
      <c r="C676" t="s">
        <v>71</v>
      </c>
      <c r="D676" t="s">
        <v>14</v>
      </c>
      <c r="E676" t="s">
        <v>1016</v>
      </c>
      <c r="F676" t="s">
        <v>23</v>
      </c>
      <c r="G676">
        <v>5</v>
      </c>
      <c r="H676">
        <v>392.77</v>
      </c>
      <c r="I676">
        <v>5</v>
      </c>
      <c r="J676">
        <v>248.21</v>
      </c>
      <c r="K676" t="s">
        <v>24</v>
      </c>
      <c r="L676" t="s">
        <v>18</v>
      </c>
      <c r="M676">
        <f t="shared" si="50"/>
        <v>1865.6574999999998</v>
      </c>
      <c r="N676">
        <f t="shared" si="51"/>
        <v>624.60749999999985</v>
      </c>
      <c r="O676" t="str">
        <f t="shared" si="52"/>
        <v>Sunday</v>
      </c>
      <c r="P676" t="b">
        <f t="shared" si="53"/>
        <v>1</v>
      </c>
      <c r="Q676" t="str">
        <f t="shared" si="54"/>
        <v>February</v>
      </c>
    </row>
    <row r="677" spans="1:17" x14ac:dyDescent="0.4">
      <c r="A677" t="s">
        <v>1017</v>
      </c>
      <c r="B677" s="1">
        <v>45356</v>
      </c>
      <c r="C677" t="s">
        <v>20</v>
      </c>
      <c r="D677" t="s">
        <v>46</v>
      </c>
      <c r="E677" t="s">
        <v>945</v>
      </c>
      <c r="F677" t="s">
        <v>16</v>
      </c>
      <c r="G677">
        <v>4</v>
      </c>
      <c r="H677">
        <v>958.59</v>
      </c>
      <c r="I677">
        <v>20</v>
      </c>
      <c r="J677">
        <v>504.27</v>
      </c>
      <c r="K677" t="s">
        <v>24</v>
      </c>
      <c r="L677" t="s">
        <v>37</v>
      </c>
      <c r="M677">
        <f t="shared" si="50"/>
        <v>3067.4880000000003</v>
      </c>
      <c r="N677">
        <f t="shared" si="51"/>
        <v>1050.4080000000004</v>
      </c>
      <c r="O677" t="str">
        <f t="shared" si="52"/>
        <v>Tuesday</v>
      </c>
      <c r="P677" t="b">
        <f t="shared" si="53"/>
        <v>0</v>
      </c>
      <c r="Q677" t="str">
        <f t="shared" si="54"/>
        <v>March</v>
      </c>
    </row>
    <row r="678" spans="1:17" x14ac:dyDescent="0.4">
      <c r="A678" t="s">
        <v>1018</v>
      </c>
      <c r="B678" s="1">
        <v>45474</v>
      </c>
      <c r="C678" t="s">
        <v>119</v>
      </c>
      <c r="D678" t="s">
        <v>21</v>
      </c>
      <c r="E678" t="s">
        <v>1019</v>
      </c>
      <c r="F678" t="s">
        <v>28</v>
      </c>
      <c r="G678">
        <v>4</v>
      </c>
      <c r="H678">
        <v>2182.5100000000002</v>
      </c>
      <c r="I678">
        <v>10</v>
      </c>
      <c r="J678">
        <v>1415.96</v>
      </c>
      <c r="K678" t="s">
        <v>17</v>
      </c>
      <c r="L678" t="s">
        <v>37</v>
      </c>
      <c r="M678">
        <f t="shared" si="50"/>
        <v>7857.036000000001</v>
      </c>
      <c r="N678">
        <f t="shared" si="51"/>
        <v>2193.1960000000008</v>
      </c>
      <c r="O678" t="str">
        <f t="shared" si="52"/>
        <v>Monday</v>
      </c>
      <c r="P678" t="b">
        <f t="shared" si="53"/>
        <v>0</v>
      </c>
      <c r="Q678" t="str">
        <f t="shared" si="54"/>
        <v>July</v>
      </c>
    </row>
    <row r="679" spans="1:17" x14ac:dyDescent="0.4">
      <c r="A679" t="s">
        <v>1020</v>
      </c>
      <c r="B679" s="1">
        <v>45859</v>
      </c>
      <c r="C679" t="s">
        <v>286</v>
      </c>
      <c r="D679" t="s">
        <v>14</v>
      </c>
      <c r="E679" t="s">
        <v>569</v>
      </c>
      <c r="F679" t="s">
        <v>23</v>
      </c>
      <c r="G679">
        <v>1</v>
      </c>
      <c r="H679">
        <v>1270.5</v>
      </c>
      <c r="I679">
        <v>25</v>
      </c>
      <c r="J679">
        <v>756.47</v>
      </c>
      <c r="K679" t="s">
        <v>17</v>
      </c>
      <c r="L679" t="s">
        <v>33</v>
      </c>
      <c r="M679">
        <f t="shared" si="50"/>
        <v>952.875</v>
      </c>
      <c r="N679">
        <f t="shared" si="51"/>
        <v>196.40499999999997</v>
      </c>
      <c r="O679" t="str">
        <f t="shared" si="52"/>
        <v>Monday</v>
      </c>
      <c r="P679" t="b">
        <f t="shared" si="53"/>
        <v>0</v>
      </c>
      <c r="Q679" t="str">
        <f t="shared" si="54"/>
        <v>July</v>
      </c>
    </row>
    <row r="680" spans="1:17" x14ac:dyDescent="0.4">
      <c r="A680" t="s">
        <v>1021</v>
      </c>
      <c r="B680" s="1">
        <v>45371</v>
      </c>
      <c r="C680" t="s">
        <v>174</v>
      </c>
      <c r="D680" t="s">
        <v>14</v>
      </c>
      <c r="E680" t="s">
        <v>461</v>
      </c>
      <c r="F680" t="s">
        <v>28</v>
      </c>
      <c r="G680">
        <v>4</v>
      </c>
      <c r="H680">
        <v>2196.7800000000002</v>
      </c>
      <c r="I680">
        <v>30</v>
      </c>
      <c r="J680">
        <v>1461.18</v>
      </c>
      <c r="K680" t="s">
        <v>17</v>
      </c>
      <c r="L680" t="s">
        <v>18</v>
      </c>
      <c r="M680">
        <f t="shared" si="50"/>
        <v>6150.9840000000004</v>
      </c>
      <c r="N680">
        <f t="shared" si="51"/>
        <v>306.26400000000012</v>
      </c>
      <c r="O680" t="str">
        <f t="shared" si="52"/>
        <v>Wednesday</v>
      </c>
      <c r="P680" t="b">
        <f t="shared" si="53"/>
        <v>0</v>
      </c>
      <c r="Q680" t="str">
        <f t="shared" si="54"/>
        <v>March</v>
      </c>
    </row>
    <row r="681" spans="1:17" x14ac:dyDescent="0.4">
      <c r="A681" t="s">
        <v>1022</v>
      </c>
      <c r="B681" s="1">
        <v>45880</v>
      </c>
      <c r="C681" t="s">
        <v>278</v>
      </c>
      <c r="D681" t="s">
        <v>14</v>
      </c>
      <c r="E681" t="s">
        <v>258</v>
      </c>
      <c r="F681" t="s">
        <v>16</v>
      </c>
      <c r="G681">
        <v>4</v>
      </c>
      <c r="H681">
        <v>2065.29</v>
      </c>
      <c r="I681">
        <v>15</v>
      </c>
      <c r="J681">
        <v>974.25</v>
      </c>
      <c r="K681" t="s">
        <v>24</v>
      </c>
      <c r="L681" t="s">
        <v>37</v>
      </c>
      <c r="M681">
        <f t="shared" si="50"/>
        <v>7021.9859999999999</v>
      </c>
      <c r="N681">
        <f t="shared" si="51"/>
        <v>3124.9859999999999</v>
      </c>
      <c r="O681" t="str">
        <f t="shared" si="52"/>
        <v>Monday</v>
      </c>
      <c r="P681" t="b">
        <f t="shared" si="53"/>
        <v>0</v>
      </c>
      <c r="Q681" t="str">
        <f t="shared" si="54"/>
        <v>August</v>
      </c>
    </row>
    <row r="682" spans="1:17" x14ac:dyDescent="0.4">
      <c r="A682" t="s">
        <v>1023</v>
      </c>
      <c r="B682" s="1">
        <v>45905</v>
      </c>
      <c r="C682" t="s">
        <v>128</v>
      </c>
      <c r="D682" t="s">
        <v>14</v>
      </c>
      <c r="E682" t="s">
        <v>690</v>
      </c>
      <c r="F682" t="s">
        <v>23</v>
      </c>
      <c r="G682">
        <v>5</v>
      </c>
      <c r="H682">
        <v>2280.44</v>
      </c>
      <c r="I682">
        <v>5</v>
      </c>
      <c r="J682">
        <v>1148.75</v>
      </c>
      <c r="K682" t="s">
        <v>17</v>
      </c>
      <c r="L682" t="s">
        <v>33</v>
      </c>
      <c r="M682">
        <f t="shared" si="50"/>
        <v>10832.09</v>
      </c>
      <c r="N682">
        <f t="shared" si="51"/>
        <v>5088.34</v>
      </c>
      <c r="O682" t="str">
        <f t="shared" si="52"/>
        <v>Friday</v>
      </c>
      <c r="P682" t="b">
        <f t="shared" si="53"/>
        <v>0</v>
      </c>
      <c r="Q682" t="str">
        <f t="shared" si="54"/>
        <v>September</v>
      </c>
    </row>
    <row r="683" spans="1:17" x14ac:dyDescent="0.4">
      <c r="A683" t="s">
        <v>1024</v>
      </c>
      <c r="B683" s="1">
        <v>45615</v>
      </c>
      <c r="C683" t="s">
        <v>144</v>
      </c>
      <c r="D683" t="s">
        <v>46</v>
      </c>
      <c r="E683" t="s">
        <v>220</v>
      </c>
      <c r="F683" t="s">
        <v>16</v>
      </c>
      <c r="G683">
        <v>5</v>
      </c>
      <c r="H683">
        <v>2817.39</v>
      </c>
      <c r="I683">
        <v>30</v>
      </c>
      <c r="J683">
        <v>1695.92</v>
      </c>
      <c r="K683" t="s">
        <v>24</v>
      </c>
      <c r="L683" t="s">
        <v>18</v>
      </c>
      <c r="M683">
        <f t="shared" si="50"/>
        <v>9860.864999999998</v>
      </c>
      <c r="N683">
        <f t="shared" si="51"/>
        <v>1381.2649999999976</v>
      </c>
      <c r="O683" t="str">
        <f t="shared" si="52"/>
        <v>Tuesday</v>
      </c>
      <c r="P683" t="b">
        <f t="shared" si="53"/>
        <v>0</v>
      </c>
      <c r="Q683" t="str">
        <f t="shared" si="54"/>
        <v>November</v>
      </c>
    </row>
    <row r="684" spans="1:17" x14ac:dyDescent="0.4">
      <c r="A684" t="s">
        <v>1025</v>
      </c>
      <c r="B684" s="1">
        <v>45554</v>
      </c>
      <c r="C684" t="s">
        <v>59</v>
      </c>
      <c r="D684" t="s">
        <v>14</v>
      </c>
      <c r="E684" t="s">
        <v>577</v>
      </c>
      <c r="F684" t="s">
        <v>16</v>
      </c>
      <c r="G684">
        <v>2</v>
      </c>
      <c r="H684">
        <v>2762.04</v>
      </c>
      <c r="I684">
        <v>30</v>
      </c>
      <c r="J684">
        <v>1869.03</v>
      </c>
      <c r="K684" t="s">
        <v>24</v>
      </c>
      <c r="L684" t="s">
        <v>37</v>
      </c>
      <c r="M684">
        <f t="shared" si="50"/>
        <v>3866.8559999999998</v>
      </c>
      <c r="N684">
        <f t="shared" si="51"/>
        <v>128.79599999999982</v>
      </c>
      <c r="O684" t="str">
        <f t="shared" si="52"/>
        <v>Thursday</v>
      </c>
      <c r="P684" t="b">
        <f t="shared" si="53"/>
        <v>0</v>
      </c>
      <c r="Q684" t="str">
        <f t="shared" si="54"/>
        <v>September</v>
      </c>
    </row>
    <row r="685" spans="1:17" x14ac:dyDescent="0.4">
      <c r="A685" t="s">
        <v>1026</v>
      </c>
      <c r="B685" s="1">
        <v>45678</v>
      </c>
      <c r="C685" t="s">
        <v>45</v>
      </c>
      <c r="D685" t="s">
        <v>14</v>
      </c>
      <c r="E685" t="s">
        <v>55</v>
      </c>
      <c r="F685" t="s">
        <v>16</v>
      </c>
      <c r="G685">
        <v>1</v>
      </c>
      <c r="H685">
        <v>1624.43</v>
      </c>
      <c r="I685">
        <v>15</v>
      </c>
      <c r="J685">
        <v>974.9</v>
      </c>
      <c r="K685" t="s">
        <v>17</v>
      </c>
      <c r="L685" t="s">
        <v>37</v>
      </c>
      <c r="M685">
        <f t="shared" si="50"/>
        <v>1380.7655</v>
      </c>
      <c r="N685">
        <f t="shared" si="51"/>
        <v>405.8655</v>
      </c>
      <c r="O685" t="str">
        <f t="shared" si="52"/>
        <v>Tuesday</v>
      </c>
      <c r="P685" t="b">
        <f t="shared" si="53"/>
        <v>0</v>
      </c>
      <c r="Q685" t="str">
        <f t="shared" si="54"/>
        <v>January</v>
      </c>
    </row>
    <row r="686" spans="1:17" x14ac:dyDescent="0.4">
      <c r="A686" t="s">
        <v>1027</v>
      </c>
      <c r="B686" s="1">
        <v>45345</v>
      </c>
      <c r="C686" t="s">
        <v>86</v>
      </c>
      <c r="D686" t="s">
        <v>14</v>
      </c>
      <c r="E686" t="s">
        <v>766</v>
      </c>
      <c r="F686" t="s">
        <v>23</v>
      </c>
      <c r="G686">
        <v>3</v>
      </c>
      <c r="H686">
        <v>2130.67</v>
      </c>
      <c r="I686">
        <v>0</v>
      </c>
      <c r="J686">
        <v>1253.45</v>
      </c>
      <c r="K686" t="s">
        <v>17</v>
      </c>
      <c r="L686" t="s">
        <v>33</v>
      </c>
      <c r="M686">
        <f t="shared" si="50"/>
        <v>6392.01</v>
      </c>
      <c r="N686">
        <f t="shared" si="51"/>
        <v>2631.66</v>
      </c>
      <c r="O686" t="str">
        <f t="shared" si="52"/>
        <v>Friday</v>
      </c>
      <c r="P686" t="b">
        <f t="shared" si="53"/>
        <v>0</v>
      </c>
      <c r="Q686" t="str">
        <f t="shared" si="54"/>
        <v>February</v>
      </c>
    </row>
    <row r="687" spans="1:17" x14ac:dyDescent="0.4">
      <c r="A687" t="s">
        <v>1028</v>
      </c>
      <c r="B687" s="1">
        <v>45448</v>
      </c>
      <c r="C687" t="s">
        <v>149</v>
      </c>
      <c r="D687" t="s">
        <v>31</v>
      </c>
      <c r="E687" t="s">
        <v>491</v>
      </c>
      <c r="F687" t="s">
        <v>16</v>
      </c>
      <c r="G687">
        <v>5</v>
      </c>
      <c r="H687">
        <v>1993.37</v>
      </c>
      <c r="I687">
        <v>0</v>
      </c>
      <c r="J687">
        <v>900.38</v>
      </c>
      <c r="K687" t="s">
        <v>24</v>
      </c>
      <c r="L687" t="s">
        <v>33</v>
      </c>
      <c r="M687">
        <f t="shared" si="50"/>
        <v>9966.8499999999985</v>
      </c>
      <c r="N687">
        <f t="shared" si="51"/>
        <v>5464.9499999999989</v>
      </c>
      <c r="O687" t="str">
        <f t="shared" si="52"/>
        <v>Wednesday</v>
      </c>
      <c r="P687" t="b">
        <f t="shared" si="53"/>
        <v>0</v>
      </c>
      <c r="Q687" t="str">
        <f t="shared" si="54"/>
        <v>June</v>
      </c>
    </row>
    <row r="688" spans="1:17" x14ac:dyDescent="0.4">
      <c r="A688" t="s">
        <v>1029</v>
      </c>
      <c r="B688" s="1">
        <v>45598</v>
      </c>
      <c r="C688" t="s">
        <v>174</v>
      </c>
      <c r="D688" t="s">
        <v>14</v>
      </c>
      <c r="E688" t="s">
        <v>544</v>
      </c>
      <c r="F688" t="s">
        <v>23</v>
      </c>
      <c r="G688">
        <v>5</v>
      </c>
      <c r="H688">
        <v>1084.73</v>
      </c>
      <c r="I688">
        <v>0</v>
      </c>
      <c r="J688">
        <v>702.01</v>
      </c>
      <c r="K688" t="s">
        <v>17</v>
      </c>
      <c r="L688" t="s">
        <v>37</v>
      </c>
      <c r="M688">
        <f t="shared" si="50"/>
        <v>5423.65</v>
      </c>
      <c r="N688">
        <f t="shared" si="51"/>
        <v>1913.5999999999995</v>
      </c>
      <c r="O688" t="str">
        <f t="shared" si="52"/>
        <v>Saturday</v>
      </c>
      <c r="P688" t="b">
        <f t="shared" si="53"/>
        <v>1</v>
      </c>
      <c r="Q688" t="str">
        <f t="shared" si="54"/>
        <v>November</v>
      </c>
    </row>
    <row r="689" spans="1:17" x14ac:dyDescent="0.4">
      <c r="A689" t="s">
        <v>1030</v>
      </c>
      <c r="B689" s="1">
        <v>45663</v>
      </c>
      <c r="C689" t="s">
        <v>171</v>
      </c>
      <c r="D689" t="s">
        <v>21</v>
      </c>
      <c r="E689" t="s">
        <v>409</v>
      </c>
      <c r="F689" t="s">
        <v>28</v>
      </c>
      <c r="G689">
        <v>5</v>
      </c>
      <c r="H689">
        <v>967.45</v>
      </c>
      <c r="I689">
        <v>5</v>
      </c>
      <c r="J689">
        <v>578.23</v>
      </c>
      <c r="K689" t="s">
        <v>24</v>
      </c>
      <c r="L689" t="s">
        <v>37</v>
      </c>
      <c r="M689">
        <f t="shared" si="50"/>
        <v>4595.3874999999998</v>
      </c>
      <c r="N689">
        <f t="shared" si="51"/>
        <v>1704.2374999999997</v>
      </c>
      <c r="O689" t="str">
        <f t="shared" si="52"/>
        <v>Monday</v>
      </c>
      <c r="P689" t="b">
        <f t="shared" si="53"/>
        <v>0</v>
      </c>
      <c r="Q689" t="str">
        <f t="shared" si="54"/>
        <v>January</v>
      </c>
    </row>
    <row r="690" spans="1:17" x14ac:dyDescent="0.4">
      <c r="A690" t="s">
        <v>1031</v>
      </c>
      <c r="B690" s="1">
        <v>45574</v>
      </c>
      <c r="C690" t="s">
        <v>171</v>
      </c>
      <c r="D690" t="s">
        <v>46</v>
      </c>
      <c r="E690" t="s">
        <v>430</v>
      </c>
      <c r="F690" t="s">
        <v>23</v>
      </c>
      <c r="G690">
        <v>2</v>
      </c>
      <c r="H690">
        <v>1440.5</v>
      </c>
      <c r="I690">
        <v>30</v>
      </c>
      <c r="J690">
        <v>773.19</v>
      </c>
      <c r="K690" t="s">
        <v>17</v>
      </c>
      <c r="L690" t="s">
        <v>18</v>
      </c>
      <c r="M690">
        <f t="shared" si="50"/>
        <v>2016.6999999999998</v>
      </c>
      <c r="N690">
        <f t="shared" si="51"/>
        <v>470.31999999999971</v>
      </c>
      <c r="O690" t="str">
        <f t="shared" si="52"/>
        <v>Wednesday</v>
      </c>
      <c r="P690" t="b">
        <f t="shared" si="53"/>
        <v>0</v>
      </c>
      <c r="Q690" t="str">
        <f t="shared" si="54"/>
        <v>October</v>
      </c>
    </row>
    <row r="691" spans="1:17" x14ac:dyDescent="0.4">
      <c r="A691" t="s">
        <v>1032</v>
      </c>
      <c r="B691" s="1">
        <v>45546</v>
      </c>
      <c r="C691" t="s">
        <v>182</v>
      </c>
      <c r="D691" t="s">
        <v>14</v>
      </c>
      <c r="E691" t="s">
        <v>243</v>
      </c>
      <c r="F691" t="s">
        <v>28</v>
      </c>
      <c r="G691">
        <v>4</v>
      </c>
      <c r="H691">
        <v>332.97</v>
      </c>
      <c r="I691">
        <v>10</v>
      </c>
      <c r="J691">
        <v>209.03</v>
      </c>
      <c r="K691" t="s">
        <v>17</v>
      </c>
      <c r="L691" t="s">
        <v>37</v>
      </c>
      <c r="M691">
        <f t="shared" si="50"/>
        <v>1198.6920000000002</v>
      </c>
      <c r="N691">
        <f t="shared" si="51"/>
        <v>362.57200000000023</v>
      </c>
      <c r="O691" t="str">
        <f t="shared" si="52"/>
        <v>Wednesday</v>
      </c>
      <c r="P691" t="b">
        <f t="shared" si="53"/>
        <v>0</v>
      </c>
      <c r="Q691" t="str">
        <f t="shared" si="54"/>
        <v>September</v>
      </c>
    </row>
    <row r="692" spans="1:17" x14ac:dyDescent="0.4">
      <c r="A692" t="s">
        <v>1033</v>
      </c>
      <c r="B692" s="1">
        <v>45382</v>
      </c>
      <c r="C692" t="s">
        <v>109</v>
      </c>
      <c r="D692" t="s">
        <v>46</v>
      </c>
      <c r="E692" t="s">
        <v>256</v>
      </c>
      <c r="F692" t="s">
        <v>23</v>
      </c>
      <c r="G692">
        <v>3</v>
      </c>
      <c r="H692">
        <v>503.8</v>
      </c>
      <c r="I692">
        <v>15</v>
      </c>
      <c r="J692">
        <v>302.52</v>
      </c>
      <c r="K692" t="s">
        <v>24</v>
      </c>
      <c r="L692" t="s">
        <v>37</v>
      </c>
      <c r="M692">
        <f t="shared" si="50"/>
        <v>1284.69</v>
      </c>
      <c r="N692">
        <f t="shared" si="51"/>
        <v>377.13000000000011</v>
      </c>
      <c r="O692" t="str">
        <f t="shared" si="52"/>
        <v>Sunday</v>
      </c>
      <c r="P692" t="b">
        <f t="shared" si="53"/>
        <v>1</v>
      </c>
      <c r="Q692" t="str">
        <f t="shared" si="54"/>
        <v>March</v>
      </c>
    </row>
    <row r="693" spans="1:17" x14ac:dyDescent="0.4">
      <c r="A693" t="s">
        <v>1034</v>
      </c>
      <c r="B693" s="1">
        <v>45671</v>
      </c>
      <c r="C693" t="s">
        <v>59</v>
      </c>
      <c r="D693" t="s">
        <v>14</v>
      </c>
      <c r="E693" t="s">
        <v>587</v>
      </c>
      <c r="F693" t="s">
        <v>16</v>
      </c>
      <c r="G693">
        <v>1</v>
      </c>
      <c r="H693">
        <v>2802.91</v>
      </c>
      <c r="I693">
        <v>10</v>
      </c>
      <c r="J693">
        <v>1132.3399999999999</v>
      </c>
      <c r="K693" t="s">
        <v>24</v>
      </c>
      <c r="L693" t="s">
        <v>18</v>
      </c>
      <c r="M693">
        <f t="shared" si="50"/>
        <v>2522.6190000000001</v>
      </c>
      <c r="N693">
        <f t="shared" si="51"/>
        <v>1390.2790000000002</v>
      </c>
      <c r="O693" t="str">
        <f t="shared" si="52"/>
        <v>Tuesday</v>
      </c>
      <c r="P693" t="b">
        <f t="shared" si="53"/>
        <v>0</v>
      </c>
      <c r="Q693" t="str">
        <f t="shared" si="54"/>
        <v>January</v>
      </c>
    </row>
    <row r="694" spans="1:17" x14ac:dyDescent="0.4">
      <c r="A694" t="s">
        <v>1035</v>
      </c>
      <c r="B694" s="1">
        <v>45619</v>
      </c>
      <c r="C694" t="s">
        <v>251</v>
      </c>
      <c r="D694" t="s">
        <v>14</v>
      </c>
      <c r="E694" t="s">
        <v>481</v>
      </c>
      <c r="F694" t="s">
        <v>23</v>
      </c>
      <c r="G694">
        <v>5</v>
      </c>
      <c r="H694">
        <v>2463.6</v>
      </c>
      <c r="I694">
        <v>30</v>
      </c>
      <c r="J694">
        <v>1665.65</v>
      </c>
      <c r="K694" t="s">
        <v>24</v>
      </c>
      <c r="L694" t="s">
        <v>37</v>
      </c>
      <c r="M694">
        <f t="shared" si="50"/>
        <v>8622.5999999999985</v>
      </c>
      <c r="N694">
        <f t="shared" si="51"/>
        <v>294.34999999999854</v>
      </c>
      <c r="O694" t="str">
        <f t="shared" si="52"/>
        <v>Saturday</v>
      </c>
      <c r="P694" t="b">
        <f t="shared" si="53"/>
        <v>1</v>
      </c>
      <c r="Q694" t="str">
        <f t="shared" si="54"/>
        <v>November</v>
      </c>
    </row>
    <row r="695" spans="1:17" x14ac:dyDescent="0.4">
      <c r="A695" t="s">
        <v>1036</v>
      </c>
      <c r="B695" s="1">
        <v>45484</v>
      </c>
      <c r="C695" t="s">
        <v>35</v>
      </c>
      <c r="D695" t="s">
        <v>31</v>
      </c>
      <c r="E695" t="s">
        <v>1037</v>
      </c>
      <c r="F695" t="s">
        <v>23</v>
      </c>
      <c r="G695">
        <v>4</v>
      </c>
      <c r="H695">
        <v>1885.84</v>
      </c>
      <c r="I695">
        <v>10</v>
      </c>
      <c r="J695">
        <v>1279.27</v>
      </c>
      <c r="K695" t="s">
        <v>24</v>
      </c>
      <c r="L695" t="s">
        <v>37</v>
      </c>
      <c r="M695">
        <f t="shared" si="50"/>
        <v>6789.0239999999994</v>
      </c>
      <c r="N695">
        <f t="shared" si="51"/>
        <v>1671.9439999999995</v>
      </c>
      <c r="O695" t="str">
        <f t="shared" si="52"/>
        <v>Thursday</v>
      </c>
      <c r="P695" t="b">
        <f t="shared" si="53"/>
        <v>0</v>
      </c>
      <c r="Q695" t="str">
        <f t="shared" si="54"/>
        <v>July</v>
      </c>
    </row>
    <row r="696" spans="1:17" x14ac:dyDescent="0.4">
      <c r="A696" t="s">
        <v>1038</v>
      </c>
      <c r="B696" s="1">
        <v>45602</v>
      </c>
      <c r="C696" t="s">
        <v>269</v>
      </c>
      <c r="D696" t="s">
        <v>21</v>
      </c>
      <c r="E696" t="s">
        <v>977</v>
      </c>
      <c r="F696" t="s">
        <v>28</v>
      </c>
      <c r="G696">
        <v>4</v>
      </c>
      <c r="H696">
        <v>1324.89</v>
      </c>
      <c r="I696">
        <v>30</v>
      </c>
      <c r="J696">
        <v>689.98</v>
      </c>
      <c r="K696" t="s">
        <v>24</v>
      </c>
      <c r="L696" t="s">
        <v>37</v>
      </c>
      <c r="M696">
        <f t="shared" si="50"/>
        <v>3709.692</v>
      </c>
      <c r="N696">
        <f t="shared" si="51"/>
        <v>949.77199999999993</v>
      </c>
      <c r="O696" t="str">
        <f t="shared" si="52"/>
        <v>Wednesday</v>
      </c>
      <c r="P696" t="b">
        <f t="shared" si="53"/>
        <v>0</v>
      </c>
      <c r="Q696" t="str">
        <f t="shared" si="54"/>
        <v>November</v>
      </c>
    </row>
    <row r="697" spans="1:17" x14ac:dyDescent="0.4">
      <c r="A697" t="s">
        <v>1039</v>
      </c>
      <c r="B697" s="1">
        <v>45853</v>
      </c>
      <c r="C697" t="s">
        <v>171</v>
      </c>
      <c r="D697" t="s">
        <v>21</v>
      </c>
      <c r="E697" t="s">
        <v>117</v>
      </c>
      <c r="F697" t="s">
        <v>28</v>
      </c>
      <c r="G697">
        <v>3</v>
      </c>
      <c r="H697">
        <v>1964.28</v>
      </c>
      <c r="I697">
        <v>0</v>
      </c>
      <c r="J697">
        <v>1270.3399999999999</v>
      </c>
      <c r="K697" t="s">
        <v>17</v>
      </c>
      <c r="L697" t="s">
        <v>33</v>
      </c>
      <c r="M697">
        <f t="shared" si="50"/>
        <v>5892.84</v>
      </c>
      <c r="N697">
        <f t="shared" si="51"/>
        <v>2081.8200000000006</v>
      </c>
      <c r="O697" t="str">
        <f t="shared" si="52"/>
        <v>Tuesday</v>
      </c>
      <c r="P697" t="b">
        <f t="shared" si="53"/>
        <v>0</v>
      </c>
      <c r="Q697" t="str">
        <f t="shared" si="54"/>
        <v>July</v>
      </c>
    </row>
    <row r="698" spans="1:17" x14ac:dyDescent="0.4">
      <c r="A698" t="s">
        <v>1040</v>
      </c>
      <c r="B698" s="1">
        <v>45698</v>
      </c>
      <c r="C698" t="s">
        <v>179</v>
      </c>
      <c r="D698" t="s">
        <v>46</v>
      </c>
      <c r="E698" t="s">
        <v>1041</v>
      </c>
      <c r="F698" t="s">
        <v>23</v>
      </c>
      <c r="G698">
        <v>4</v>
      </c>
      <c r="H698">
        <v>2106.64</v>
      </c>
      <c r="I698">
        <v>15</v>
      </c>
      <c r="J698">
        <v>1030.78</v>
      </c>
      <c r="K698" t="s">
        <v>24</v>
      </c>
      <c r="L698" t="s">
        <v>37</v>
      </c>
      <c r="M698">
        <f t="shared" si="50"/>
        <v>7162.5759999999991</v>
      </c>
      <c r="N698">
        <f t="shared" si="51"/>
        <v>3039.4559999999992</v>
      </c>
      <c r="O698" t="str">
        <f t="shared" si="52"/>
        <v>Monday</v>
      </c>
      <c r="P698" t="b">
        <f t="shared" si="53"/>
        <v>0</v>
      </c>
      <c r="Q698" t="str">
        <f t="shared" si="54"/>
        <v>February</v>
      </c>
    </row>
    <row r="699" spans="1:17" x14ac:dyDescent="0.4">
      <c r="A699" t="s">
        <v>1042</v>
      </c>
      <c r="B699" s="1">
        <v>45429</v>
      </c>
      <c r="C699" t="s">
        <v>109</v>
      </c>
      <c r="D699" t="s">
        <v>21</v>
      </c>
      <c r="E699" t="s">
        <v>394</v>
      </c>
      <c r="F699" t="s">
        <v>16</v>
      </c>
      <c r="G699">
        <v>2</v>
      </c>
      <c r="H699">
        <v>722.2</v>
      </c>
      <c r="I699">
        <v>25</v>
      </c>
      <c r="J699">
        <v>382.69</v>
      </c>
      <c r="K699" t="s">
        <v>17</v>
      </c>
      <c r="L699" t="s">
        <v>33</v>
      </c>
      <c r="M699">
        <f t="shared" si="50"/>
        <v>1083.3000000000002</v>
      </c>
      <c r="N699">
        <f t="shared" si="51"/>
        <v>317.92000000000019</v>
      </c>
      <c r="O699" t="str">
        <f t="shared" si="52"/>
        <v>Friday</v>
      </c>
      <c r="P699" t="b">
        <f t="shared" si="53"/>
        <v>0</v>
      </c>
      <c r="Q699" t="str">
        <f t="shared" si="54"/>
        <v>May</v>
      </c>
    </row>
    <row r="700" spans="1:17" x14ac:dyDescent="0.4">
      <c r="A700" t="s">
        <v>1043</v>
      </c>
      <c r="B700" s="1">
        <v>45501</v>
      </c>
      <c r="C700" t="s">
        <v>185</v>
      </c>
      <c r="D700" t="s">
        <v>31</v>
      </c>
      <c r="E700" t="s">
        <v>542</v>
      </c>
      <c r="F700" t="s">
        <v>16</v>
      </c>
      <c r="G700">
        <v>2</v>
      </c>
      <c r="H700">
        <v>2670.42</v>
      </c>
      <c r="I700">
        <v>20</v>
      </c>
      <c r="J700">
        <v>1696.61</v>
      </c>
      <c r="K700" t="s">
        <v>24</v>
      </c>
      <c r="L700" t="s">
        <v>18</v>
      </c>
      <c r="M700">
        <f t="shared" si="50"/>
        <v>4272.6720000000005</v>
      </c>
      <c r="N700">
        <f t="shared" si="51"/>
        <v>879.45200000000068</v>
      </c>
      <c r="O700" t="str">
        <f t="shared" si="52"/>
        <v>Sunday</v>
      </c>
      <c r="P700" t="b">
        <f t="shared" si="53"/>
        <v>1</v>
      </c>
      <c r="Q700" t="str">
        <f t="shared" si="54"/>
        <v>July</v>
      </c>
    </row>
    <row r="701" spans="1:17" x14ac:dyDescent="0.4">
      <c r="A701" t="s">
        <v>1044</v>
      </c>
      <c r="B701" s="1">
        <v>45408</v>
      </c>
      <c r="C701" t="s">
        <v>122</v>
      </c>
      <c r="D701" t="s">
        <v>21</v>
      </c>
      <c r="E701" t="s">
        <v>258</v>
      </c>
      <c r="F701" t="s">
        <v>23</v>
      </c>
      <c r="G701">
        <v>3</v>
      </c>
      <c r="H701">
        <v>1049.53</v>
      </c>
      <c r="I701">
        <v>25</v>
      </c>
      <c r="J701">
        <v>476.69</v>
      </c>
      <c r="K701" t="s">
        <v>17</v>
      </c>
      <c r="L701" t="s">
        <v>37</v>
      </c>
      <c r="M701">
        <f t="shared" si="50"/>
        <v>2361.4425000000001</v>
      </c>
      <c r="N701">
        <f t="shared" si="51"/>
        <v>931.37250000000017</v>
      </c>
      <c r="O701" t="str">
        <f t="shared" si="52"/>
        <v>Friday</v>
      </c>
      <c r="P701" t="b">
        <f t="shared" si="53"/>
        <v>0</v>
      </c>
      <c r="Q701" t="str">
        <f t="shared" si="54"/>
        <v>April</v>
      </c>
    </row>
    <row r="702" spans="1:17" x14ac:dyDescent="0.4">
      <c r="A702" t="s">
        <v>1045</v>
      </c>
      <c r="B702" s="1">
        <v>45843</v>
      </c>
      <c r="C702" t="s">
        <v>224</v>
      </c>
      <c r="D702" t="s">
        <v>31</v>
      </c>
      <c r="E702" t="s">
        <v>147</v>
      </c>
      <c r="F702" t="s">
        <v>23</v>
      </c>
      <c r="G702">
        <v>1</v>
      </c>
      <c r="H702">
        <v>1910</v>
      </c>
      <c r="I702">
        <v>15</v>
      </c>
      <c r="J702">
        <v>1025.3699999999999</v>
      </c>
      <c r="K702" t="s">
        <v>17</v>
      </c>
      <c r="L702" t="s">
        <v>37</v>
      </c>
      <c r="M702">
        <f t="shared" si="50"/>
        <v>1623.5</v>
      </c>
      <c r="N702">
        <f t="shared" si="51"/>
        <v>598.13000000000011</v>
      </c>
      <c r="O702" t="str">
        <f t="shared" si="52"/>
        <v>Saturday</v>
      </c>
      <c r="P702" t="b">
        <f t="shared" si="53"/>
        <v>1</v>
      </c>
      <c r="Q702" t="str">
        <f t="shared" si="54"/>
        <v>July</v>
      </c>
    </row>
    <row r="703" spans="1:17" x14ac:dyDescent="0.4">
      <c r="A703" t="s">
        <v>1046</v>
      </c>
      <c r="B703" s="1">
        <v>45921</v>
      </c>
      <c r="C703" t="s">
        <v>174</v>
      </c>
      <c r="D703" t="s">
        <v>14</v>
      </c>
      <c r="E703" t="s">
        <v>348</v>
      </c>
      <c r="F703" t="s">
        <v>16</v>
      </c>
      <c r="G703">
        <v>1</v>
      </c>
      <c r="H703">
        <v>2133.35</v>
      </c>
      <c r="I703">
        <v>30</v>
      </c>
      <c r="J703">
        <v>1450.03</v>
      </c>
      <c r="K703" t="s">
        <v>24</v>
      </c>
      <c r="L703" t="s">
        <v>37</v>
      </c>
      <c r="M703">
        <f t="shared" si="50"/>
        <v>1493.3449999999998</v>
      </c>
      <c r="N703">
        <f t="shared" si="51"/>
        <v>43.314999999999827</v>
      </c>
      <c r="O703" t="str">
        <f t="shared" si="52"/>
        <v>Sunday</v>
      </c>
      <c r="P703" t="b">
        <f t="shared" si="53"/>
        <v>1</v>
      </c>
      <c r="Q703" t="str">
        <f t="shared" si="54"/>
        <v>September</v>
      </c>
    </row>
    <row r="704" spans="1:17" x14ac:dyDescent="0.4">
      <c r="A704" t="s">
        <v>1047</v>
      </c>
      <c r="B704" s="1">
        <v>45792</v>
      </c>
      <c r="C704" t="s">
        <v>89</v>
      </c>
      <c r="D704" t="s">
        <v>46</v>
      </c>
      <c r="E704" t="s">
        <v>132</v>
      </c>
      <c r="F704" t="s">
        <v>16</v>
      </c>
      <c r="G704">
        <v>4</v>
      </c>
      <c r="H704">
        <v>825.35</v>
      </c>
      <c r="I704">
        <v>30</v>
      </c>
      <c r="J704">
        <v>435.39</v>
      </c>
      <c r="K704" t="s">
        <v>17</v>
      </c>
      <c r="L704" t="s">
        <v>37</v>
      </c>
      <c r="M704">
        <f t="shared" si="50"/>
        <v>2310.98</v>
      </c>
      <c r="N704">
        <f t="shared" si="51"/>
        <v>569.42000000000007</v>
      </c>
      <c r="O704" t="str">
        <f t="shared" si="52"/>
        <v>Thursday</v>
      </c>
      <c r="P704" t="b">
        <f t="shared" si="53"/>
        <v>0</v>
      </c>
      <c r="Q704" t="str">
        <f t="shared" si="54"/>
        <v>May</v>
      </c>
    </row>
    <row r="705" spans="1:17" x14ac:dyDescent="0.4">
      <c r="A705" t="s">
        <v>1048</v>
      </c>
      <c r="B705" s="1">
        <v>45358</v>
      </c>
      <c r="C705" t="s">
        <v>226</v>
      </c>
      <c r="D705" t="s">
        <v>46</v>
      </c>
      <c r="E705" t="s">
        <v>43</v>
      </c>
      <c r="F705" t="s">
        <v>28</v>
      </c>
      <c r="G705">
        <v>4</v>
      </c>
      <c r="H705">
        <v>2294.2399999999998</v>
      </c>
      <c r="I705">
        <v>20</v>
      </c>
      <c r="J705">
        <v>1257.9000000000001</v>
      </c>
      <c r="K705" t="s">
        <v>24</v>
      </c>
      <c r="L705" t="s">
        <v>18</v>
      </c>
      <c r="M705">
        <f t="shared" si="50"/>
        <v>7341.5679999999993</v>
      </c>
      <c r="N705">
        <f t="shared" si="51"/>
        <v>2309.9679999999989</v>
      </c>
      <c r="O705" t="str">
        <f t="shared" si="52"/>
        <v>Thursday</v>
      </c>
      <c r="P705" t="b">
        <f t="shared" si="53"/>
        <v>0</v>
      </c>
      <c r="Q705" t="str">
        <f t="shared" si="54"/>
        <v>March</v>
      </c>
    </row>
    <row r="706" spans="1:17" x14ac:dyDescent="0.4">
      <c r="A706" t="s">
        <v>1049</v>
      </c>
      <c r="B706" s="1">
        <v>45516</v>
      </c>
      <c r="C706" t="s">
        <v>26</v>
      </c>
      <c r="D706" t="s">
        <v>46</v>
      </c>
      <c r="E706" t="s">
        <v>137</v>
      </c>
      <c r="F706" t="s">
        <v>23</v>
      </c>
      <c r="G706">
        <v>5</v>
      </c>
      <c r="H706">
        <v>1465.29</v>
      </c>
      <c r="I706">
        <v>5</v>
      </c>
      <c r="J706">
        <v>956.14</v>
      </c>
      <c r="K706" t="s">
        <v>17</v>
      </c>
      <c r="L706" t="s">
        <v>37</v>
      </c>
      <c r="M706">
        <f t="shared" si="50"/>
        <v>6960.1274999999996</v>
      </c>
      <c r="N706">
        <f t="shared" si="51"/>
        <v>2179.4274999999998</v>
      </c>
      <c r="O706" t="str">
        <f t="shared" si="52"/>
        <v>Monday</v>
      </c>
      <c r="P706" t="b">
        <f t="shared" si="53"/>
        <v>0</v>
      </c>
      <c r="Q706" t="str">
        <f t="shared" si="54"/>
        <v>August</v>
      </c>
    </row>
    <row r="707" spans="1:17" x14ac:dyDescent="0.4">
      <c r="A707" t="s">
        <v>1050</v>
      </c>
      <c r="B707" s="1">
        <v>45703</v>
      </c>
      <c r="C707" t="s">
        <v>86</v>
      </c>
      <c r="D707" t="s">
        <v>14</v>
      </c>
      <c r="E707" t="s">
        <v>394</v>
      </c>
      <c r="F707" t="s">
        <v>16</v>
      </c>
      <c r="G707">
        <v>5</v>
      </c>
      <c r="H707">
        <v>548.70000000000005</v>
      </c>
      <c r="I707">
        <v>10</v>
      </c>
      <c r="J707">
        <v>325.14</v>
      </c>
      <c r="K707" t="s">
        <v>24</v>
      </c>
      <c r="L707" t="s">
        <v>33</v>
      </c>
      <c r="M707">
        <f t="shared" ref="M707:M770" si="55">G707 * H707 * (1 - I707/100)</f>
        <v>2469.15</v>
      </c>
      <c r="N707">
        <f t="shared" ref="N707:N770" si="56">M707 - (J707 * G707)</f>
        <v>843.45000000000027</v>
      </c>
      <c r="O707" t="str">
        <f t="shared" ref="O707:O770" si="57">TEXT(B707,"dddd")</f>
        <v>Saturday</v>
      </c>
      <c r="P707" t="b">
        <f t="shared" ref="P707:P770" si="58">OR(TEXT(B707,"ddd")="Sat", TEXT(B707,"ddd")="Sun")</f>
        <v>1</v>
      </c>
      <c r="Q707" t="str">
        <f t="shared" ref="Q707:Q770" si="59">TEXT(B707,"mmmm")</f>
        <v>February</v>
      </c>
    </row>
    <row r="708" spans="1:17" x14ac:dyDescent="0.4">
      <c r="A708" t="s">
        <v>1051</v>
      </c>
      <c r="B708" s="1">
        <v>45812</v>
      </c>
      <c r="C708" t="s">
        <v>100</v>
      </c>
      <c r="D708" t="s">
        <v>14</v>
      </c>
      <c r="E708" t="s">
        <v>613</v>
      </c>
      <c r="F708" t="s">
        <v>28</v>
      </c>
      <c r="G708">
        <v>4</v>
      </c>
      <c r="H708">
        <v>892.86</v>
      </c>
      <c r="I708">
        <v>20</v>
      </c>
      <c r="J708">
        <v>554.80999999999995</v>
      </c>
      <c r="K708" t="s">
        <v>24</v>
      </c>
      <c r="L708" t="s">
        <v>33</v>
      </c>
      <c r="M708">
        <f t="shared" si="55"/>
        <v>2857.152</v>
      </c>
      <c r="N708">
        <f t="shared" si="56"/>
        <v>637.91200000000026</v>
      </c>
      <c r="O708" t="str">
        <f t="shared" si="57"/>
        <v>Wednesday</v>
      </c>
      <c r="P708" t="b">
        <f t="shared" si="58"/>
        <v>0</v>
      </c>
      <c r="Q708" t="str">
        <f t="shared" si="59"/>
        <v>June</v>
      </c>
    </row>
    <row r="709" spans="1:17" x14ac:dyDescent="0.4">
      <c r="A709" t="s">
        <v>1052</v>
      </c>
      <c r="B709" s="1">
        <v>45905</v>
      </c>
      <c r="C709" t="s">
        <v>226</v>
      </c>
      <c r="D709" t="s">
        <v>21</v>
      </c>
      <c r="E709" t="s">
        <v>160</v>
      </c>
      <c r="F709" t="s">
        <v>28</v>
      </c>
      <c r="G709">
        <v>2</v>
      </c>
      <c r="H709">
        <v>2990.4</v>
      </c>
      <c r="I709">
        <v>10</v>
      </c>
      <c r="J709">
        <v>1727.97</v>
      </c>
      <c r="K709" t="s">
        <v>24</v>
      </c>
      <c r="L709" t="s">
        <v>18</v>
      </c>
      <c r="M709">
        <f t="shared" si="55"/>
        <v>5382.72</v>
      </c>
      <c r="N709">
        <f t="shared" si="56"/>
        <v>1926.7800000000002</v>
      </c>
      <c r="O709" t="str">
        <f t="shared" si="57"/>
        <v>Friday</v>
      </c>
      <c r="P709" t="b">
        <f t="shared" si="58"/>
        <v>0</v>
      </c>
      <c r="Q709" t="str">
        <f t="shared" si="59"/>
        <v>September</v>
      </c>
    </row>
    <row r="710" spans="1:17" x14ac:dyDescent="0.4">
      <c r="A710" t="s">
        <v>1053</v>
      </c>
      <c r="B710" s="1">
        <v>45730</v>
      </c>
      <c r="C710" t="s">
        <v>171</v>
      </c>
      <c r="D710" t="s">
        <v>31</v>
      </c>
      <c r="E710" t="s">
        <v>846</v>
      </c>
      <c r="F710" t="s">
        <v>28</v>
      </c>
      <c r="G710">
        <v>4</v>
      </c>
      <c r="H710">
        <v>2764.21</v>
      </c>
      <c r="I710">
        <v>0</v>
      </c>
      <c r="J710">
        <v>1418.16</v>
      </c>
      <c r="K710" t="s">
        <v>24</v>
      </c>
      <c r="L710" t="s">
        <v>33</v>
      </c>
      <c r="M710">
        <f t="shared" si="55"/>
        <v>11056.84</v>
      </c>
      <c r="N710">
        <f t="shared" si="56"/>
        <v>5384.2</v>
      </c>
      <c r="O710" t="str">
        <f t="shared" si="57"/>
        <v>Friday</v>
      </c>
      <c r="P710" t="b">
        <f t="shared" si="58"/>
        <v>0</v>
      </c>
      <c r="Q710" t="str">
        <f t="shared" si="59"/>
        <v>March</v>
      </c>
    </row>
    <row r="711" spans="1:17" x14ac:dyDescent="0.4">
      <c r="A711" t="s">
        <v>1054</v>
      </c>
      <c r="B711" s="1">
        <v>45700</v>
      </c>
      <c r="C711" t="s">
        <v>114</v>
      </c>
      <c r="D711" t="s">
        <v>21</v>
      </c>
      <c r="E711" t="s">
        <v>1055</v>
      </c>
      <c r="F711" t="s">
        <v>16</v>
      </c>
      <c r="G711">
        <v>2</v>
      </c>
      <c r="H711">
        <v>2203.3200000000002</v>
      </c>
      <c r="I711">
        <v>5</v>
      </c>
      <c r="J711">
        <v>1039.3</v>
      </c>
      <c r="K711" t="s">
        <v>17</v>
      </c>
      <c r="L711" t="s">
        <v>18</v>
      </c>
      <c r="M711">
        <f t="shared" si="55"/>
        <v>4186.308</v>
      </c>
      <c r="N711">
        <f t="shared" si="56"/>
        <v>2107.7080000000001</v>
      </c>
      <c r="O711" t="str">
        <f t="shared" si="57"/>
        <v>Wednesday</v>
      </c>
      <c r="P711" t="b">
        <f t="shared" si="58"/>
        <v>0</v>
      </c>
      <c r="Q711" t="str">
        <f t="shared" si="59"/>
        <v>February</v>
      </c>
    </row>
    <row r="712" spans="1:17" x14ac:dyDescent="0.4">
      <c r="A712" t="s">
        <v>1056</v>
      </c>
      <c r="B712" s="1">
        <v>45475</v>
      </c>
      <c r="C712" t="s">
        <v>13</v>
      </c>
      <c r="D712" t="s">
        <v>14</v>
      </c>
      <c r="E712" t="s">
        <v>1057</v>
      </c>
      <c r="F712" t="s">
        <v>28</v>
      </c>
      <c r="G712">
        <v>5</v>
      </c>
      <c r="H712">
        <v>1308.1400000000001</v>
      </c>
      <c r="I712">
        <v>0</v>
      </c>
      <c r="J712">
        <v>885.75</v>
      </c>
      <c r="K712" t="s">
        <v>17</v>
      </c>
      <c r="L712" t="s">
        <v>18</v>
      </c>
      <c r="M712">
        <f t="shared" si="55"/>
        <v>6540.7000000000007</v>
      </c>
      <c r="N712">
        <f t="shared" si="56"/>
        <v>2111.9500000000007</v>
      </c>
      <c r="O712" t="str">
        <f t="shared" si="57"/>
        <v>Tuesday</v>
      </c>
      <c r="P712" t="b">
        <f t="shared" si="58"/>
        <v>0</v>
      </c>
      <c r="Q712" t="str">
        <f t="shared" si="59"/>
        <v>July</v>
      </c>
    </row>
    <row r="713" spans="1:17" x14ac:dyDescent="0.4">
      <c r="A713" t="s">
        <v>1058</v>
      </c>
      <c r="B713" s="1">
        <v>45423</v>
      </c>
      <c r="C713" t="s">
        <v>159</v>
      </c>
      <c r="D713" t="s">
        <v>14</v>
      </c>
      <c r="E713" t="s">
        <v>361</v>
      </c>
      <c r="F713" t="s">
        <v>23</v>
      </c>
      <c r="G713">
        <v>3</v>
      </c>
      <c r="H713">
        <v>414.37</v>
      </c>
      <c r="I713">
        <v>0</v>
      </c>
      <c r="J713">
        <v>172.89</v>
      </c>
      <c r="K713" t="s">
        <v>17</v>
      </c>
      <c r="L713" t="s">
        <v>37</v>
      </c>
      <c r="M713">
        <f t="shared" si="55"/>
        <v>1243.1100000000001</v>
      </c>
      <c r="N713">
        <f t="shared" si="56"/>
        <v>724.44000000000017</v>
      </c>
      <c r="O713" t="str">
        <f t="shared" si="57"/>
        <v>Saturday</v>
      </c>
      <c r="P713" t="b">
        <f t="shared" si="58"/>
        <v>1</v>
      </c>
      <c r="Q713" t="str">
        <f t="shared" si="59"/>
        <v>May</v>
      </c>
    </row>
    <row r="714" spans="1:17" x14ac:dyDescent="0.4">
      <c r="A714" t="s">
        <v>1059</v>
      </c>
      <c r="B714" s="1">
        <v>45709</v>
      </c>
      <c r="C714" t="s">
        <v>30</v>
      </c>
      <c r="D714" t="s">
        <v>46</v>
      </c>
      <c r="E714" t="s">
        <v>200</v>
      </c>
      <c r="F714" t="s">
        <v>16</v>
      </c>
      <c r="G714">
        <v>4</v>
      </c>
      <c r="H714">
        <v>1827.28</v>
      </c>
      <c r="I714">
        <v>5</v>
      </c>
      <c r="J714">
        <v>1024.8499999999999</v>
      </c>
      <c r="K714" t="s">
        <v>24</v>
      </c>
      <c r="L714" t="s">
        <v>33</v>
      </c>
      <c r="M714">
        <f t="shared" si="55"/>
        <v>6943.6639999999998</v>
      </c>
      <c r="N714">
        <f t="shared" si="56"/>
        <v>2844.2640000000001</v>
      </c>
      <c r="O714" t="str">
        <f t="shared" si="57"/>
        <v>Friday</v>
      </c>
      <c r="P714" t="b">
        <f t="shared" si="58"/>
        <v>0</v>
      </c>
      <c r="Q714" t="str">
        <f t="shared" si="59"/>
        <v>February</v>
      </c>
    </row>
    <row r="715" spans="1:17" x14ac:dyDescent="0.4">
      <c r="A715" t="s">
        <v>1060</v>
      </c>
      <c r="B715" s="1">
        <v>45374</v>
      </c>
      <c r="C715" t="s">
        <v>92</v>
      </c>
      <c r="D715" t="s">
        <v>46</v>
      </c>
      <c r="E715" t="s">
        <v>289</v>
      </c>
      <c r="F715" t="s">
        <v>23</v>
      </c>
      <c r="G715">
        <v>3</v>
      </c>
      <c r="H715">
        <v>982.98</v>
      </c>
      <c r="I715">
        <v>25</v>
      </c>
      <c r="J715">
        <v>552.99</v>
      </c>
      <c r="K715" t="s">
        <v>24</v>
      </c>
      <c r="L715" t="s">
        <v>18</v>
      </c>
      <c r="M715">
        <f t="shared" si="55"/>
        <v>2211.7049999999999</v>
      </c>
      <c r="N715">
        <f t="shared" si="56"/>
        <v>552.7349999999999</v>
      </c>
      <c r="O715" t="str">
        <f t="shared" si="57"/>
        <v>Saturday</v>
      </c>
      <c r="P715" t="b">
        <f t="shared" si="58"/>
        <v>1</v>
      </c>
      <c r="Q715" t="str">
        <f t="shared" si="59"/>
        <v>March</v>
      </c>
    </row>
    <row r="716" spans="1:17" x14ac:dyDescent="0.4">
      <c r="A716" t="s">
        <v>1061</v>
      </c>
      <c r="B716" s="1">
        <v>45974</v>
      </c>
      <c r="C716" t="s">
        <v>114</v>
      </c>
      <c r="D716" t="s">
        <v>31</v>
      </c>
      <c r="E716" t="s">
        <v>1062</v>
      </c>
      <c r="F716" t="s">
        <v>23</v>
      </c>
      <c r="G716">
        <v>1</v>
      </c>
      <c r="H716">
        <v>568.72</v>
      </c>
      <c r="I716">
        <v>25</v>
      </c>
      <c r="J716">
        <v>286.26</v>
      </c>
      <c r="K716" t="s">
        <v>17</v>
      </c>
      <c r="L716" t="s">
        <v>33</v>
      </c>
      <c r="M716">
        <f t="shared" si="55"/>
        <v>426.54</v>
      </c>
      <c r="N716">
        <f t="shared" si="56"/>
        <v>140.28000000000003</v>
      </c>
      <c r="O716" t="str">
        <f t="shared" si="57"/>
        <v>Thursday</v>
      </c>
      <c r="P716" t="b">
        <f t="shared" si="58"/>
        <v>0</v>
      </c>
      <c r="Q716" t="str">
        <f t="shared" si="59"/>
        <v>November</v>
      </c>
    </row>
    <row r="717" spans="1:17" x14ac:dyDescent="0.4">
      <c r="A717" t="s">
        <v>1063</v>
      </c>
      <c r="B717" s="1">
        <v>45679</v>
      </c>
      <c r="C717" t="s">
        <v>152</v>
      </c>
      <c r="D717" t="s">
        <v>21</v>
      </c>
      <c r="E717" t="s">
        <v>384</v>
      </c>
      <c r="F717" t="s">
        <v>28</v>
      </c>
      <c r="G717">
        <v>1</v>
      </c>
      <c r="H717">
        <v>1710.68</v>
      </c>
      <c r="I717">
        <v>20</v>
      </c>
      <c r="J717">
        <v>996.1</v>
      </c>
      <c r="K717" t="s">
        <v>24</v>
      </c>
      <c r="L717" t="s">
        <v>33</v>
      </c>
      <c r="M717">
        <f t="shared" si="55"/>
        <v>1368.5440000000001</v>
      </c>
      <c r="N717">
        <f t="shared" si="56"/>
        <v>372.44400000000007</v>
      </c>
      <c r="O717" t="str">
        <f t="shared" si="57"/>
        <v>Wednesday</v>
      </c>
      <c r="P717" t="b">
        <f t="shared" si="58"/>
        <v>0</v>
      </c>
      <c r="Q717" t="str">
        <f t="shared" si="59"/>
        <v>January</v>
      </c>
    </row>
    <row r="718" spans="1:17" x14ac:dyDescent="0.4">
      <c r="A718" t="s">
        <v>1064</v>
      </c>
      <c r="B718" s="1">
        <v>45977</v>
      </c>
      <c r="C718" t="s">
        <v>13</v>
      </c>
      <c r="D718" t="s">
        <v>46</v>
      </c>
      <c r="E718" t="s">
        <v>1065</v>
      </c>
      <c r="F718" t="s">
        <v>16</v>
      </c>
      <c r="G718">
        <v>5</v>
      </c>
      <c r="H718">
        <v>1622.78</v>
      </c>
      <c r="I718">
        <v>0</v>
      </c>
      <c r="J718">
        <v>1091.96</v>
      </c>
      <c r="K718" t="s">
        <v>17</v>
      </c>
      <c r="L718" t="s">
        <v>37</v>
      </c>
      <c r="M718">
        <f t="shared" si="55"/>
        <v>8113.9</v>
      </c>
      <c r="N718">
        <f t="shared" si="56"/>
        <v>2654.0999999999995</v>
      </c>
      <c r="O718" t="str">
        <f t="shared" si="57"/>
        <v>Sunday</v>
      </c>
      <c r="P718" t="b">
        <f t="shared" si="58"/>
        <v>1</v>
      </c>
      <c r="Q718" t="str">
        <f t="shared" si="59"/>
        <v>November</v>
      </c>
    </row>
    <row r="719" spans="1:17" x14ac:dyDescent="0.4">
      <c r="A719" t="s">
        <v>1066</v>
      </c>
      <c r="B719" s="1">
        <v>45513</v>
      </c>
      <c r="C719" t="s">
        <v>269</v>
      </c>
      <c r="D719" t="s">
        <v>14</v>
      </c>
      <c r="E719" t="s">
        <v>958</v>
      </c>
      <c r="F719" t="s">
        <v>23</v>
      </c>
      <c r="G719">
        <v>2</v>
      </c>
      <c r="H719">
        <v>470.98</v>
      </c>
      <c r="I719">
        <v>30</v>
      </c>
      <c r="J719">
        <v>252.62</v>
      </c>
      <c r="K719" t="s">
        <v>17</v>
      </c>
      <c r="L719" t="s">
        <v>33</v>
      </c>
      <c r="M719">
        <f t="shared" si="55"/>
        <v>659.37199999999996</v>
      </c>
      <c r="N719">
        <f t="shared" si="56"/>
        <v>154.13199999999995</v>
      </c>
      <c r="O719" t="str">
        <f t="shared" si="57"/>
        <v>Friday</v>
      </c>
      <c r="P719" t="b">
        <f t="shared" si="58"/>
        <v>0</v>
      </c>
      <c r="Q719" t="str">
        <f t="shared" si="59"/>
        <v>August</v>
      </c>
    </row>
    <row r="720" spans="1:17" x14ac:dyDescent="0.4">
      <c r="A720" t="s">
        <v>1067</v>
      </c>
      <c r="B720" s="1">
        <v>45724</v>
      </c>
      <c r="C720" t="s">
        <v>146</v>
      </c>
      <c r="D720" t="s">
        <v>21</v>
      </c>
      <c r="E720" t="s">
        <v>596</v>
      </c>
      <c r="F720" t="s">
        <v>23</v>
      </c>
      <c r="G720">
        <v>2</v>
      </c>
      <c r="H720">
        <v>1005.9</v>
      </c>
      <c r="I720">
        <v>0</v>
      </c>
      <c r="J720">
        <v>599.79999999999995</v>
      </c>
      <c r="K720" t="s">
        <v>17</v>
      </c>
      <c r="L720" t="s">
        <v>18</v>
      </c>
      <c r="M720">
        <f t="shared" si="55"/>
        <v>2011.8</v>
      </c>
      <c r="N720">
        <f t="shared" si="56"/>
        <v>812.2</v>
      </c>
      <c r="O720" t="str">
        <f t="shared" si="57"/>
        <v>Saturday</v>
      </c>
      <c r="P720" t="b">
        <f t="shared" si="58"/>
        <v>1</v>
      </c>
      <c r="Q720" t="str">
        <f t="shared" si="59"/>
        <v>March</v>
      </c>
    </row>
    <row r="721" spans="1:17" x14ac:dyDescent="0.4">
      <c r="A721" t="s">
        <v>1068</v>
      </c>
      <c r="B721" s="1">
        <v>45897</v>
      </c>
      <c r="C721" t="s">
        <v>267</v>
      </c>
      <c r="D721" t="s">
        <v>14</v>
      </c>
      <c r="E721" t="s">
        <v>354</v>
      </c>
      <c r="F721" t="s">
        <v>16</v>
      </c>
      <c r="G721">
        <v>5</v>
      </c>
      <c r="H721">
        <v>1123.5899999999999</v>
      </c>
      <c r="I721">
        <v>0</v>
      </c>
      <c r="J721">
        <v>598.39</v>
      </c>
      <c r="K721" t="s">
        <v>17</v>
      </c>
      <c r="L721" t="s">
        <v>37</v>
      </c>
      <c r="M721">
        <f t="shared" si="55"/>
        <v>5617.95</v>
      </c>
      <c r="N721">
        <f t="shared" si="56"/>
        <v>2626</v>
      </c>
      <c r="O721" t="str">
        <f t="shared" si="57"/>
        <v>Thursday</v>
      </c>
      <c r="P721" t="b">
        <f t="shared" si="58"/>
        <v>0</v>
      </c>
      <c r="Q721" t="str">
        <f t="shared" si="59"/>
        <v>August</v>
      </c>
    </row>
    <row r="722" spans="1:17" x14ac:dyDescent="0.4">
      <c r="A722" t="s">
        <v>1069</v>
      </c>
      <c r="B722" s="1">
        <v>45981</v>
      </c>
      <c r="C722" t="s">
        <v>51</v>
      </c>
      <c r="D722" t="s">
        <v>21</v>
      </c>
      <c r="E722" t="s">
        <v>75</v>
      </c>
      <c r="F722" t="s">
        <v>16</v>
      </c>
      <c r="G722">
        <v>4</v>
      </c>
      <c r="H722">
        <v>1071.03</v>
      </c>
      <c r="I722">
        <v>30</v>
      </c>
      <c r="J722">
        <v>538.30999999999995</v>
      </c>
      <c r="K722" t="s">
        <v>17</v>
      </c>
      <c r="L722" t="s">
        <v>37</v>
      </c>
      <c r="M722">
        <f t="shared" si="55"/>
        <v>2998.8839999999996</v>
      </c>
      <c r="N722">
        <f t="shared" si="56"/>
        <v>845.64399999999978</v>
      </c>
      <c r="O722" t="str">
        <f t="shared" si="57"/>
        <v>Thursday</v>
      </c>
      <c r="P722" t="b">
        <f t="shared" si="58"/>
        <v>0</v>
      </c>
      <c r="Q722" t="str">
        <f t="shared" si="59"/>
        <v>November</v>
      </c>
    </row>
    <row r="723" spans="1:17" x14ac:dyDescent="0.4">
      <c r="A723" t="s">
        <v>1070</v>
      </c>
      <c r="B723" s="1">
        <v>45489</v>
      </c>
      <c r="C723" t="s">
        <v>13</v>
      </c>
      <c r="D723" t="s">
        <v>46</v>
      </c>
      <c r="E723" t="s">
        <v>212</v>
      </c>
      <c r="F723" t="s">
        <v>23</v>
      </c>
      <c r="G723">
        <v>5</v>
      </c>
      <c r="H723">
        <v>2155.77</v>
      </c>
      <c r="I723">
        <v>10</v>
      </c>
      <c r="J723">
        <v>943.43</v>
      </c>
      <c r="K723" t="s">
        <v>17</v>
      </c>
      <c r="L723" t="s">
        <v>33</v>
      </c>
      <c r="M723">
        <f t="shared" si="55"/>
        <v>9700.9650000000001</v>
      </c>
      <c r="N723">
        <f t="shared" si="56"/>
        <v>4983.8150000000005</v>
      </c>
      <c r="O723" t="str">
        <f t="shared" si="57"/>
        <v>Tuesday</v>
      </c>
      <c r="P723" t="b">
        <f t="shared" si="58"/>
        <v>0</v>
      </c>
      <c r="Q723" t="str">
        <f t="shared" si="59"/>
        <v>July</v>
      </c>
    </row>
    <row r="724" spans="1:17" x14ac:dyDescent="0.4">
      <c r="A724" t="s">
        <v>1071</v>
      </c>
      <c r="B724" s="1">
        <v>45726</v>
      </c>
      <c r="C724" t="s">
        <v>159</v>
      </c>
      <c r="D724" t="s">
        <v>21</v>
      </c>
      <c r="E724" t="s">
        <v>667</v>
      </c>
      <c r="F724" t="s">
        <v>16</v>
      </c>
      <c r="G724">
        <v>3</v>
      </c>
      <c r="H724">
        <v>770.52</v>
      </c>
      <c r="I724">
        <v>20</v>
      </c>
      <c r="J724">
        <v>322.70999999999998</v>
      </c>
      <c r="K724" t="s">
        <v>17</v>
      </c>
      <c r="L724" t="s">
        <v>18</v>
      </c>
      <c r="M724">
        <f t="shared" si="55"/>
        <v>1849.248</v>
      </c>
      <c r="N724">
        <f t="shared" si="56"/>
        <v>881.11800000000017</v>
      </c>
      <c r="O724" t="str">
        <f t="shared" si="57"/>
        <v>Monday</v>
      </c>
      <c r="P724" t="b">
        <f t="shared" si="58"/>
        <v>0</v>
      </c>
      <c r="Q724" t="str">
        <f t="shared" si="59"/>
        <v>March</v>
      </c>
    </row>
    <row r="725" spans="1:17" x14ac:dyDescent="0.4">
      <c r="A725" t="s">
        <v>1072</v>
      </c>
      <c r="B725" s="1">
        <v>45709</v>
      </c>
      <c r="C725" t="s">
        <v>302</v>
      </c>
      <c r="D725" t="s">
        <v>21</v>
      </c>
      <c r="E725" t="s">
        <v>596</v>
      </c>
      <c r="F725" t="s">
        <v>28</v>
      </c>
      <c r="G725">
        <v>1</v>
      </c>
      <c r="H725">
        <v>1923.49</v>
      </c>
      <c r="I725">
        <v>5</v>
      </c>
      <c r="J725">
        <v>852.16</v>
      </c>
      <c r="K725" t="s">
        <v>17</v>
      </c>
      <c r="L725" t="s">
        <v>18</v>
      </c>
      <c r="M725">
        <f t="shared" si="55"/>
        <v>1827.3154999999999</v>
      </c>
      <c r="N725">
        <f t="shared" si="56"/>
        <v>975.15549999999996</v>
      </c>
      <c r="O725" t="str">
        <f t="shared" si="57"/>
        <v>Friday</v>
      </c>
      <c r="P725" t="b">
        <f t="shared" si="58"/>
        <v>0</v>
      </c>
      <c r="Q725" t="str">
        <f t="shared" si="59"/>
        <v>February</v>
      </c>
    </row>
    <row r="726" spans="1:17" x14ac:dyDescent="0.4">
      <c r="A726" t="s">
        <v>1073</v>
      </c>
      <c r="B726" s="1">
        <v>45299</v>
      </c>
      <c r="C726" t="s">
        <v>13</v>
      </c>
      <c r="D726" t="s">
        <v>21</v>
      </c>
      <c r="E726" t="s">
        <v>1074</v>
      </c>
      <c r="F726" t="s">
        <v>28</v>
      </c>
      <c r="G726">
        <v>1</v>
      </c>
      <c r="H726">
        <v>1655.62</v>
      </c>
      <c r="I726">
        <v>20</v>
      </c>
      <c r="J726">
        <v>1155.01</v>
      </c>
      <c r="K726" t="s">
        <v>17</v>
      </c>
      <c r="L726" t="s">
        <v>37</v>
      </c>
      <c r="M726">
        <f t="shared" si="55"/>
        <v>1324.4960000000001</v>
      </c>
      <c r="N726">
        <f t="shared" si="56"/>
        <v>169.4860000000001</v>
      </c>
      <c r="O726" t="str">
        <f t="shared" si="57"/>
        <v>Monday</v>
      </c>
      <c r="P726" t="b">
        <f t="shared" si="58"/>
        <v>0</v>
      </c>
      <c r="Q726" t="str">
        <f t="shared" si="59"/>
        <v>January</v>
      </c>
    </row>
    <row r="727" spans="1:17" x14ac:dyDescent="0.4">
      <c r="A727" t="s">
        <v>1075</v>
      </c>
      <c r="B727" s="1">
        <v>45557</v>
      </c>
      <c r="C727" t="s">
        <v>171</v>
      </c>
      <c r="D727" t="s">
        <v>21</v>
      </c>
      <c r="E727" t="s">
        <v>289</v>
      </c>
      <c r="F727" t="s">
        <v>28</v>
      </c>
      <c r="G727">
        <v>1</v>
      </c>
      <c r="H727">
        <v>1711.56</v>
      </c>
      <c r="I727">
        <v>5</v>
      </c>
      <c r="J727">
        <v>1025.26</v>
      </c>
      <c r="K727" t="s">
        <v>17</v>
      </c>
      <c r="L727" t="s">
        <v>37</v>
      </c>
      <c r="M727">
        <f t="shared" si="55"/>
        <v>1625.982</v>
      </c>
      <c r="N727">
        <f t="shared" si="56"/>
        <v>600.72199999999998</v>
      </c>
      <c r="O727" t="str">
        <f t="shared" si="57"/>
        <v>Sunday</v>
      </c>
      <c r="P727" t="b">
        <f t="shared" si="58"/>
        <v>1</v>
      </c>
      <c r="Q727" t="str">
        <f t="shared" si="59"/>
        <v>September</v>
      </c>
    </row>
    <row r="728" spans="1:17" x14ac:dyDescent="0.4">
      <c r="A728" t="s">
        <v>1076</v>
      </c>
      <c r="B728" s="1">
        <v>45929</v>
      </c>
      <c r="C728" t="s">
        <v>109</v>
      </c>
      <c r="D728" t="s">
        <v>46</v>
      </c>
      <c r="E728" t="s">
        <v>172</v>
      </c>
      <c r="F728" t="s">
        <v>28</v>
      </c>
      <c r="G728">
        <v>5</v>
      </c>
      <c r="H728">
        <v>1301.17</v>
      </c>
      <c r="I728">
        <v>15</v>
      </c>
      <c r="J728">
        <v>716.7</v>
      </c>
      <c r="K728" t="s">
        <v>24</v>
      </c>
      <c r="L728" t="s">
        <v>18</v>
      </c>
      <c r="M728">
        <f t="shared" si="55"/>
        <v>5529.9724999999999</v>
      </c>
      <c r="N728">
        <f t="shared" si="56"/>
        <v>1946.4724999999999</v>
      </c>
      <c r="O728" t="str">
        <f t="shared" si="57"/>
        <v>Monday</v>
      </c>
      <c r="P728" t="b">
        <f t="shared" si="58"/>
        <v>0</v>
      </c>
      <c r="Q728" t="str">
        <f t="shared" si="59"/>
        <v>September</v>
      </c>
    </row>
    <row r="729" spans="1:17" x14ac:dyDescent="0.4">
      <c r="A729" t="s">
        <v>1077</v>
      </c>
      <c r="B729" s="1">
        <v>45472</v>
      </c>
      <c r="C729" t="s">
        <v>68</v>
      </c>
      <c r="D729" t="s">
        <v>21</v>
      </c>
      <c r="E729" t="s">
        <v>75</v>
      </c>
      <c r="F729" t="s">
        <v>23</v>
      </c>
      <c r="G729">
        <v>3</v>
      </c>
      <c r="H729">
        <v>2231.89</v>
      </c>
      <c r="I729">
        <v>30</v>
      </c>
      <c r="J729">
        <v>927.16</v>
      </c>
      <c r="K729" t="s">
        <v>17</v>
      </c>
      <c r="L729" t="s">
        <v>18</v>
      </c>
      <c r="M729">
        <f t="shared" si="55"/>
        <v>4686.9690000000001</v>
      </c>
      <c r="N729">
        <f t="shared" si="56"/>
        <v>1905.489</v>
      </c>
      <c r="O729" t="str">
        <f t="shared" si="57"/>
        <v>Saturday</v>
      </c>
      <c r="P729" t="b">
        <f t="shared" si="58"/>
        <v>1</v>
      </c>
      <c r="Q729" t="str">
        <f t="shared" si="59"/>
        <v>June</v>
      </c>
    </row>
    <row r="730" spans="1:17" x14ac:dyDescent="0.4">
      <c r="A730" t="s">
        <v>1078</v>
      </c>
      <c r="B730" s="1">
        <v>45538</v>
      </c>
      <c r="C730" t="s">
        <v>159</v>
      </c>
      <c r="D730" t="s">
        <v>46</v>
      </c>
      <c r="E730" t="s">
        <v>361</v>
      </c>
      <c r="F730" t="s">
        <v>23</v>
      </c>
      <c r="G730">
        <v>4</v>
      </c>
      <c r="H730">
        <v>1932.6</v>
      </c>
      <c r="I730">
        <v>10</v>
      </c>
      <c r="J730">
        <v>893.5</v>
      </c>
      <c r="K730" t="s">
        <v>17</v>
      </c>
      <c r="L730" t="s">
        <v>37</v>
      </c>
      <c r="M730">
        <f t="shared" si="55"/>
        <v>6957.36</v>
      </c>
      <c r="N730">
        <f t="shared" si="56"/>
        <v>3383.3599999999997</v>
      </c>
      <c r="O730" t="str">
        <f t="shared" si="57"/>
        <v>Tuesday</v>
      </c>
      <c r="P730" t="b">
        <f t="shared" si="58"/>
        <v>0</v>
      </c>
      <c r="Q730" t="str">
        <f t="shared" si="59"/>
        <v>September</v>
      </c>
    </row>
    <row r="731" spans="1:17" x14ac:dyDescent="0.4">
      <c r="A731" t="s">
        <v>1079</v>
      </c>
      <c r="B731" s="1">
        <v>45646</v>
      </c>
      <c r="C731" t="s">
        <v>171</v>
      </c>
      <c r="D731" t="s">
        <v>14</v>
      </c>
      <c r="E731" t="s">
        <v>432</v>
      </c>
      <c r="F731" t="s">
        <v>16</v>
      </c>
      <c r="G731">
        <v>2</v>
      </c>
      <c r="H731">
        <v>689.93</v>
      </c>
      <c r="I731">
        <v>20</v>
      </c>
      <c r="J731">
        <v>405.61</v>
      </c>
      <c r="K731" t="s">
        <v>24</v>
      </c>
      <c r="L731" t="s">
        <v>18</v>
      </c>
      <c r="M731">
        <f t="shared" si="55"/>
        <v>1103.8879999999999</v>
      </c>
      <c r="N731">
        <f t="shared" si="56"/>
        <v>292.66799999999989</v>
      </c>
      <c r="O731" t="str">
        <f t="shared" si="57"/>
        <v>Friday</v>
      </c>
      <c r="P731" t="b">
        <f t="shared" si="58"/>
        <v>0</v>
      </c>
      <c r="Q731" t="str">
        <f t="shared" si="59"/>
        <v>December</v>
      </c>
    </row>
    <row r="732" spans="1:17" x14ac:dyDescent="0.4">
      <c r="A732" t="s">
        <v>1080</v>
      </c>
      <c r="B732" s="1">
        <v>45365</v>
      </c>
      <c r="C732" t="s">
        <v>109</v>
      </c>
      <c r="D732" t="s">
        <v>21</v>
      </c>
      <c r="E732" t="s">
        <v>945</v>
      </c>
      <c r="F732" t="s">
        <v>28</v>
      </c>
      <c r="G732">
        <v>4</v>
      </c>
      <c r="H732">
        <v>997.79</v>
      </c>
      <c r="I732">
        <v>30</v>
      </c>
      <c r="J732">
        <v>655.61</v>
      </c>
      <c r="K732" t="s">
        <v>17</v>
      </c>
      <c r="L732" t="s">
        <v>33</v>
      </c>
      <c r="M732">
        <f t="shared" si="55"/>
        <v>2793.8119999999999</v>
      </c>
      <c r="N732">
        <f t="shared" si="56"/>
        <v>171.37199999999984</v>
      </c>
      <c r="O732" t="str">
        <f t="shared" si="57"/>
        <v>Thursday</v>
      </c>
      <c r="P732" t="b">
        <f t="shared" si="58"/>
        <v>0</v>
      </c>
      <c r="Q732" t="str">
        <f t="shared" si="59"/>
        <v>March</v>
      </c>
    </row>
    <row r="733" spans="1:17" x14ac:dyDescent="0.4">
      <c r="A733" t="s">
        <v>1081</v>
      </c>
      <c r="B733" s="1">
        <v>45748</v>
      </c>
      <c r="C733" t="s">
        <v>174</v>
      </c>
      <c r="D733" t="s">
        <v>21</v>
      </c>
      <c r="E733" t="s">
        <v>1057</v>
      </c>
      <c r="F733" t="s">
        <v>28</v>
      </c>
      <c r="G733">
        <v>3</v>
      </c>
      <c r="H733">
        <v>2736.75</v>
      </c>
      <c r="I733">
        <v>0</v>
      </c>
      <c r="J733">
        <v>1262.26</v>
      </c>
      <c r="K733" t="s">
        <v>24</v>
      </c>
      <c r="L733" t="s">
        <v>33</v>
      </c>
      <c r="M733">
        <f t="shared" si="55"/>
        <v>8210.25</v>
      </c>
      <c r="N733">
        <f t="shared" si="56"/>
        <v>4423.47</v>
      </c>
      <c r="O733" t="str">
        <f t="shared" si="57"/>
        <v>Tuesday</v>
      </c>
      <c r="P733" t="b">
        <f t="shared" si="58"/>
        <v>0</v>
      </c>
      <c r="Q733" t="str">
        <f t="shared" si="59"/>
        <v>April</v>
      </c>
    </row>
    <row r="734" spans="1:17" x14ac:dyDescent="0.4">
      <c r="A734" t="s">
        <v>1082</v>
      </c>
      <c r="B734" s="1">
        <v>45777</v>
      </c>
      <c r="C734" t="s">
        <v>62</v>
      </c>
      <c r="D734" t="s">
        <v>46</v>
      </c>
      <c r="E734" t="s">
        <v>254</v>
      </c>
      <c r="F734" t="s">
        <v>16</v>
      </c>
      <c r="G734">
        <v>3</v>
      </c>
      <c r="H734">
        <v>312.49</v>
      </c>
      <c r="I734">
        <v>25</v>
      </c>
      <c r="J734">
        <v>166.93</v>
      </c>
      <c r="K734" t="s">
        <v>24</v>
      </c>
      <c r="L734" t="s">
        <v>37</v>
      </c>
      <c r="M734">
        <f t="shared" si="55"/>
        <v>703.10249999999996</v>
      </c>
      <c r="N734">
        <f t="shared" si="56"/>
        <v>202.31249999999994</v>
      </c>
      <c r="O734" t="str">
        <f t="shared" si="57"/>
        <v>Wednesday</v>
      </c>
      <c r="P734" t="b">
        <f t="shared" si="58"/>
        <v>0</v>
      </c>
      <c r="Q734" t="str">
        <f t="shared" si="59"/>
        <v>April</v>
      </c>
    </row>
    <row r="735" spans="1:17" x14ac:dyDescent="0.4">
      <c r="A735" t="s">
        <v>1083</v>
      </c>
      <c r="B735" s="1">
        <v>45805</v>
      </c>
      <c r="C735" t="s">
        <v>273</v>
      </c>
      <c r="D735" t="s">
        <v>21</v>
      </c>
      <c r="E735" t="s">
        <v>196</v>
      </c>
      <c r="F735" t="s">
        <v>16</v>
      </c>
      <c r="G735">
        <v>1</v>
      </c>
      <c r="H735">
        <v>1802.67</v>
      </c>
      <c r="I735">
        <v>0</v>
      </c>
      <c r="J735">
        <v>940.95</v>
      </c>
      <c r="K735" t="s">
        <v>24</v>
      </c>
      <c r="L735" t="s">
        <v>18</v>
      </c>
      <c r="M735">
        <f t="shared" si="55"/>
        <v>1802.67</v>
      </c>
      <c r="N735">
        <f t="shared" si="56"/>
        <v>861.72</v>
      </c>
      <c r="O735" t="str">
        <f t="shared" si="57"/>
        <v>Wednesday</v>
      </c>
      <c r="P735" t="b">
        <f t="shared" si="58"/>
        <v>0</v>
      </c>
      <c r="Q735" t="str">
        <f t="shared" si="59"/>
        <v>May</v>
      </c>
    </row>
    <row r="736" spans="1:17" x14ac:dyDescent="0.4">
      <c r="A736" t="s">
        <v>1084</v>
      </c>
      <c r="B736" s="1">
        <v>45589</v>
      </c>
      <c r="C736" t="s">
        <v>224</v>
      </c>
      <c r="D736" t="s">
        <v>31</v>
      </c>
      <c r="E736" t="s">
        <v>336</v>
      </c>
      <c r="F736" t="s">
        <v>16</v>
      </c>
      <c r="G736">
        <v>1</v>
      </c>
      <c r="H736">
        <v>2042.77</v>
      </c>
      <c r="I736">
        <v>20</v>
      </c>
      <c r="J736">
        <v>1344.35</v>
      </c>
      <c r="K736" t="s">
        <v>17</v>
      </c>
      <c r="L736" t="s">
        <v>33</v>
      </c>
      <c r="M736">
        <f t="shared" si="55"/>
        <v>1634.2160000000001</v>
      </c>
      <c r="N736">
        <f t="shared" si="56"/>
        <v>289.86600000000021</v>
      </c>
      <c r="O736" t="str">
        <f t="shared" si="57"/>
        <v>Thursday</v>
      </c>
      <c r="P736" t="b">
        <f t="shared" si="58"/>
        <v>0</v>
      </c>
      <c r="Q736" t="str">
        <f t="shared" si="59"/>
        <v>October</v>
      </c>
    </row>
    <row r="737" spans="1:17" x14ac:dyDescent="0.4">
      <c r="A737" t="s">
        <v>1085</v>
      </c>
      <c r="B737" s="1">
        <v>45457</v>
      </c>
      <c r="C737" t="s">
        <v>278</v>
      </c>
      <c r="D737" t="s">
        <v>31</v>
      </c>
      <c r="E737" t="s">
        <v>101</v>
      </c>
      <c r="F737" t="s">
        <v>16</v>
      </c>
      <c r="G737">
        <v>5</v>
      </c>
      <c r="H737">
        <v>1887.83</v>
      </c>
      <c r="I737">
        <v>10</v>
      </c>
      <c r="J737">
        <v>1067.02</v>
      </c>
      <c r="K737" t="s">
        <v>24</v>
      </c>
      <c r="L737" t="s">
        <v>33</v>
      </c>
      <c r="M737">
        <f t="shared" si="55"/>
        <v>8495.2350000000006</v>
      </c>
      <c r="N737">
        <f t="shared" si="56"/>
        <v>3160.1350000000002</v>
      </c>
      <c r="O737" t="str">
        <f t="shared" si="57"/>
        <v>Friday</v>
      </c>
      <c r="P737" t="b">
        <f t="shared" si="58"/>
        <v>0</v>
      </c>
      <c r="Q737" t="str">
        <f t="shared" si="59"/>
        <v>June</v>
      </c>
    </row>
    <row r="738" spans="1:17" x14ac:dyDescent="0.4">
      <c r="A738" t="s">
        <v>1086</v>
      </c>
      <c r="B738" s="1">
        <v>45408</v>
      </c>
      <c r="C738" t="s">
        <v>226</v>
      </c>
      <c r="D738" t="s">
        <v>46</v>
      </c>
      <c r="E738" t="s">
        <v>27</v>
      </c>
      <c r="F738" t="s">
        <v>16</v>
      </c>
      <c r="G738">
        <v>5</v>
      </c>
      <c r="H738">
        <v>2425.4299999999998</v>
      </c>
      <c r="I738">
        <v>10</v>
      </c>
      <c r="J738">
        <v>1580.01</v>
      </c>
      <c r="K738" t="s">
        <v>17</v>
      </c>
      <c r="L738" t="s">
        <v>33</v>
      </c>
      <c r="M738">
        <f t="shared" si="55"/>
        <v>10914.434999999999</v>
      </c>
      <c r="N738">
        <f t="shared" si="56"/>
        <v>3014.3849999999993</v>
      </c>
      <c r="O738" t="str">
        <f t="shared" si="57"/>
        <v>Friday</v>
      </c>
      <c r="P738" t="b">
        <f t="shared" si="58"/>
        <v>0</v>
      </c>
      <c r="Q738" t="str">
        <f t="shared" si="59"/>
        <v>April</v>
      </c>
    </row>
    <row r="739" spans="1:17" x14ac:dyDescent="0.4">
      <c r="A739" t="s">
        <v>1087</v>
      </c>
      <c r="B739" s="1">
        <v>45703</v>
      </c>
      <c r="C739" t="s">
        <v>463</v>
      </c>
      <c r="D739" t="s">
        <v>21</v>
      </c>
      <c r="E739" t="s">
        <v>591</v>
      </c>
      <c r="F739" t="s">
        <v>28</v>
      </c>
      <c r="G739">
        <v>3</v>
      </c>
      <c r="H739">
        <v>643.53</v>
      </c>
      <c r="I739">
        <v>5</v>
      </c>
      <c r="J739">
        <v>389.7</v>
      </c>
      <c r="K739" t="s">
        <v>24</v>
      </c>
      <c r="L739" t="s">
        <v>33</v>
      </c>
      <c r="M739">
        <f t="shared" si="55"/>
        <v>1834.0604999999998</v>
      </c>
      <c r="N739">
        <f t="shared" si="56"/>
        <v>664.96049999999991</v>
      </c>
      <c r="O739" t="str">
        <f t="shared" si="57"/>
        <v>Saturday</v>
      </c>
      <c r="P739" t="b">
        <f t="shared" si="58"/>
        <v>1</v>
      </c>
      <c r="Q739" t="str">
        <f t="shared" si="59"/>
        <v>February</v>
      </c>
    </row>
    <row r="740" spans="1:17" x14ac:dyDescent="0.4">
      <c r="A740" t="s">
        <v>1088</v>
      </c>
      <c r="B740" s="1">
        <v>45737</v>
      </c>
      <c r="C740" t="s">
        <v>26</v>
      </c>
      <c r="D740" t="s">
        <v>31</v>
      </c>
      <c r="E740" t="s">
        <v>763</v>
      </c>
      <c r="F740" t="s">
        <v>23</v>
      </c>
      <c r="G740">
        <v>5</v>
      </c>
      <c r="H740">
        <v>2843.43</v>
      </c>
      <c r="I740">
        <v>15</v>
      </c>
      <c r="J740">
        <v>1434.35</v>
      </c>
      <c r="K740" t="s">
        <v>24</v>
      </c>
      <c r="L740" t="s">
        <v>18</v>
      </c>
      <c r="M740">
        <f t="shared" si="55"/>
        <v>12084.577499999999</v>
      </c>
      <c r="N740">
        <f t="shared" si="56"/>
        <v>4912.8274999999994</v>
      </c>
      <c r="O740" t="str">
        <f t="shared" si="57"/>
        <v>Friday</v>
      </c>
      <c r="P740" t="b">
        <f t="shared" si="58"/>
        <v>0</v>
      </c>
      <c r="Q740" t="str">
        <f t="shared" si="59"/>
        <v>March</v>
      </c>
    </row>
    <row r="741" spans="1:17" x14ac:dyDescent="0.4">
      <c r="A741" t="s">
        <v>1089</v>
      </c>
      <c r="B741" s="1">
        <v>45510</v>
      </c>
      <c r="C741" t="s">
        <v>286</v>
      </c>
      <c r="D741" t="s">
        <v>31</v>
      </c>
      <c r="E741" t="s">
        <v>216</v>
      </c>
      <c r="F741" t="s">
        <v>28</v>
      </c>
      <c r="G741">
        <v>3</v>
      </c>
      <c r="H741">
        <v>1663.07</v>
      </c>
      <c r="I741">
        <v>10</v>
      </c>
      <c r="J741">
        <v>697.14</v>
      </c>
      <c r="K741" t="s">
        <v>17</v>
      </c>
      <c r="L741" t="s">
        <v>37</v>
      </c>
      <c r="M741">
        <f t="shared" si="55"/>
        <v>4490.2889999999998</v>
      </c>
      <c r="N741">
        <f t="shared" si="56"/>
        <v>2398.8689999999997</v>
      </c>
      <c r="O741" t="str">
        <f t="shared" si="57"/>
        <v>Tuesday</v>
      </c>
      <c r="P741" t="b">
        <f t="shared" si="58"/>
        <v>0</v>
      </c>
      <c r="Q741" t="str">
        <f t="shared" si="59"/>
        <v>August</v>
      </c>
    </row>
    <row r="742" spans="1:17" x14ac:dyDescent="0.4">
      <c r="A742" t="s">
        <v>1090</v>
      </c>
      <c r="B742" s="1">
        <v>45792</v>
      </c>
      <c r="C742" t="s">
        <v>286</v>
      </c>
      <c r="D742" t="s">
        <v>46</v>
      </c>
      <c r="E742" t="s">
        <v>491</v>
      </c>
      <c r="F742" t="s">
        <v>28</v>
      </c>
      <c r="G742">
        <v>3</v>
      </c>
      <c r="H742">
        <v>1123.67</v>
      </c>
      <c r="I742">
        <v>25</v>
      </c>
      <c r="J742">
        <v>526.23</v>
      </c>
      <c r="K742" t="s">
        <v>24</v>
      </c>
      <c r="L742" t="s">
        <v>33</v>
      </c>
      <c r="M742">
        <f t="shared" si="55"/>
        <v>2528.2575000000002</v>
      </c>
      <c r="N742">
        <f t="shared" si="56"/>
        <v>949.56750000000011</v>
      </c>
      <c r="O742" t="str">
        <f t="shared" si="57"/>
        <v>Thursday</v>
      </c>
      <c r="P742" t="b">
        <f t="shared" si="58"/>
        <v>0</v>
      </c>
      <c r="Q742" t="str">
        <f t="shared" si="59"/>
        <v>May</v>
      </c>
    </row>
    <row r="743" spans="1:17" x14ac:dyDescent="0.4">
      <c r="A743" t="s">
        <v>1091</v>
      </c>
      <c r="B743" s="1">
        <v>45801</v>
      </c>
      <c r="C743" t="s">
        <v>74</v>
      </c>
      <c r="D743" t="s">
        <v>46</v>
      </c>
      <c r="E743" t="s">
        <v>621</v>
      </c>
      <c r="F743" t="s">
        <v>16</v>
      </c>
      <c r="G743">
        <v>2</v>
      </c>
      <c r="H743">
        <v>1459.16</v>
      </c>
      <c r="I743">
        <v>20</v>
      </c>
      <c r="J743">
        <v>679.7</v>
      </c>
      <c r="K743" t="s">
        <v>24</v>
      </c>
      <c r="L743" t="s">
        <v>18</v>
      </c>
      <c r="M743">
        <f t="shared" si="55"/>
        <v>2334.6560000000004</v>
      </c>
      <c r="N743">
        <f t="shared" si="56"/>
        <v>975.25600000000031</v>
      </c>
      <c r="O743" t="str">
        <f t="shared" si="57"/>
        <v>Saturday</v>
      </c>
      <c r="P743" t="b">
        <f t="shared" si="58"/>
        <v>1</v>
      </c>
      <c r="Q743" t="str">
        <f t="shared" si="59"/>
        <v>May</v>
      </c>
    </row>
    <row r="744" spans="1:17" x14ac:dyDescent="0.4">
      <c r="A744" t="s">
        <v>1092</v>
      </c>
      <c r="B744" s="1">
        <v>45845</v>
      </c>
      <c r="C744" t="s">
        <v>128</v>
      </c>
      <c r="D744" t="s">
        <v>31</v>
      </c>
      <c r="E744" t="s">
        <v>464</v>
      </c>
      <c r="F744" t="s">
        <v>16</v>
      </c>
      <c r="G744">
        <v>3</v>
      </c>
      <c r="H744">
        <v>1521.3</v>
      </c>
      <c r="I744">
        <v>20</v>
      </c>
      <c r="J744">
        <v>984.21</v>
      </c>
      <c r="K744" t="s">
        <v>24</v>
      </c>
      <c r="L744" t="s">
        <v>18</v>
      </c>
      <c r="M744">
        <f t="shared" si="55"/>
        <v>3651.12</v>
      </c>
      <c r="N744">
        <f t="shared" si="56"/>
        <v>698.48999999999978</v>
      </c>
      <c r="O744" t="str">
        <f t="shared" si="57"/>
        <v>Monday</v>
      </c>
      <c r="P744" t="b">
        <f t="shared" si="58"/>
        <v>0</v>
      </c>
      <c r="Q744" t="str">
        <f t="shared" si="59"/>
        <v>July</v>
      </c>
    </row>
    <row r="745" spans="1:17" x14ac:dyDescent="0.4">
      <c r="A745" t="s">
        <v>1093</v>
      </c>
      <c r="B745" s="1">
        <v>45436</v>
      </c>
      <c r="C745" t="s">
        <v>457</v>
      </c>
      <c r="D745" t="s">
        <v>21</v>
      </c>
      <c r="E745" t="s">
        <v>394</v>
      </c>
      <c r="F745" t="s">
        <v>23</v>
      </c>
      <c r="G745">
        <v>3</v>
      </c>
      <c r="H745">
        <v>829.89</v>
      </c>
      <c r="I745">
        <v>15</v>
      </c>
      <c r="J745">
        <v>579.4</v>
      </c>
      <c r="K745" t="s">
        <v>17</v>
      </c>
      <c r="L745" t="s">
        <v>37</v>
      </c>
      <c r="M745">
        <f t="shared" si="55"/>
        <v>2116.2195000000002</v>
      </c>
      <c r="N745">
        <f t="shared" si="56"/>
        <v>378.01950000000033</v>
      </c>
      <c r="O745" t="str">
        <f t="shared" si="57"/>
        <v>Friday</v>
      </c>
      <c r="P745" t="b">
        <f t="shared" si="58"/>
        <v>0</v>
      </c>
      <c r="Q745" t="str">
        <f t="shared" si="59"/>
        <v>May</v>
      </c>
    </row>
    <row r="746" spans="1:17" x14ac:dyDescent="0.4">
      <c r="A746" t="s">
        <v>1094</v>
      </c>
      <c r="B746" s="1">
        <v>45726</v>
      </c>
      <c r="C746" t="s">
        <v>98</v>
      </c>
      <c r="D746" t="s">
        <v>46</v>
      </c>
      <c r="E746" t="s">
        <v>147</v>
      </c>
      <c r="F746" t="s">
        <v>16</v>
      </c>
      <c r="G746">
        <v>3</v>
      </c>
      <c r="H746">
        <v>2061.12</v>
      </c>
      <c r="I746">
        <v>20</v>
      </c>
      <c r="J746">
        <v>1043.33</v>
      </c>
      <c r="K746" t="s">
        <v>24</v>
      </c>
      <c r="L746" t="s">
        <v>37</v>
      </c>
      <c r="M746">
        <f t="shared" si="55"/>
        <v>4946.6880000000001</v>
      </c>
      <c r="N746">
        <f t="shared" si="56"/>
        <v>1816.6980000000003</v>
      </c>
      <c r="O746" t="str">
        <f t="shared" si="57"/>
        <v>Monday</v>
      </c>
      <c r="P746" t="b">
        <f t="shared" si="58"/>
        <v>0</v>
      </c>
      <c r="Q746" t="str">
        <f t="shared" si="59"/>
        <v>March</v>
      </c>
    </row>
    <row r="747" spans="1:17" x14ac:dyDescent="0.4">
      <c r="A747" t="s">
        <v>1095</v>
      </c>
      <c r="B747" s="1">
        <v>45348</v>
      </c>
      <c r="C747" t="s">
        <v>251</v>
      </c>
      <c r="D747" t="s">
        <v>14</v>
      </c>
      <c r="E747" t="s">
        <v>191</v>
      </c>
      <c r="F747" t="s">
        <v>16</v>
      </c>
      <c r="G747">
        <v>5</v>
      </c>
      <c r="H747">
        <v>2692.95</v>
      </c>
      <c r="I747">
        <v>5</v>
      </c>
      <c r="J747">
        <v>1498.27</v>
      </c>
      <c r="K747" t="s">
        <v>24</v>
      </c>
      <c r="L747" t="s">
        <v>18</v>
      </c>
      <c r="M747">
        <f t="shared" si="55"/>
        <v>12791.512499999999</v>
      </c>
      <c r="N747">
        <f t="shared" si="56"/>
        <v>5300.1624999999985</v>
      </c>
      <c r="O747" t="str">
        <f t="shared" si="57"/>
        <v>Monday</v>
      </c>
      <c r="P747" t="b">
        <f t="shared" si="58"/>
        <v>0</v>
      </c>
      <c r="Q747" t="str">
        <f t="shared" si="59"/>
        <v>February</v>
      </c>
    </row>
    <row r="748" spans="1:17" x14ac:dyDescent="0.4">
      <c r="A748" t="s">
        <v>1096</v>
      </c>
      <c r="B748" s="1">
        <v>45788</v>
      </c>
      <c r="C748" t="s">
        <v>89</v>
      </c>
      <c r="D748" t="s">
        <v>31</v>
      </c>
      <c r="E748" t="s">
        <v>1097</v>
      </c>
      <c r="F748" t="s">
        <v>28</v>
      </c>
      <c r="G748">
        <v>2</v>
      </c>
      <c r="H748">
        <v>2425.98</v>
      </c>
      <c r="I748">
        <v>0</v>
      </c>
      <c r="J748">
        <v>1664.91</v>
      </c>
      <c r="K748" t="s">
        <v>17</v>
      </c>
      <c r="L748" t="s">
        <v>33</v>
      </c>
      <c r="M748">
        <f t="shared" si="55"/>
        <v>4851.96</v>
      </c>
      <c r="N748">
        <f t="shared" si="56"/>
        <v>1522.1399999999999</v>
      </c>
      <c r="O748" t="str">
        <f t="shared" si="57"/>
        <v>Sunday</v>
      </c>
      <c r="P748" t="b">
        <f t="shared" si="58"/>
        <v>1</v>
      </c>
      <c r="Q748" t="str">
        <f t="shared" si="59"/>
        <v>May</v>
      </c>
    </row>
    <row r="749" spans="1:17" x14ac:dyDescent="0.4">
      <c r="A749" t="s">
        <v>1098</v>
      </c>
      <c r="B749" s="1">
        <v>45882</v>
      </c>
      <c r="C749" t="s">
        <v>273</v>
      </c>
      <c r="D749" t="s">
        <v>21</v>
      </c>
      <c r="E749" t="s">
        <v>512</v>
      </c>
      <c r="F749" t="s">
        <v>28</v>
      </c>
      <c r="G749">
        <v>2</v>
      </c>
      <c r="H749">
        <v>1105.78</v>
      </c>
      <c r="I749">
        <v>0</v>
      </c>
      <c r="J749">
        <v>457.95</v>
      </c>
      <c r="K749" t="s">
        <v>17</v>
      </c>
      <c r="L749" t="s">
        <v>37</v>
      </c>
      <c r="M749">
        <f t="shared" si="55"/>
        <v>2211.56</v>
      </c>
      <c r="N749">
        <f t="shared" si="56"/>
        <v>1295.6599999999999</v>
      </c>
      <c r="O749" t="str">
        <f t="shared" si="57"/>
        <v>Wednesday</v>
      </c>
      <c r="P749" t="b">
        <f t="shared" si="58"/>
        <v>0</v>
      </c>
      <c r="Q749" t="str">
        <f t="shared" si="59"/>
        <v>August</v>
      </c>
    </row>
    <row r="750" spans="1:17" x14ac:dyDescent="0.4">
      <c r="A750" t="s">
        <v>1099</v>
      </c>
      <c r="B750" s="1">
        <v>45780</v>
      </c>
      <c r="C750" t="s">
        <v>273</v>
      </c>
      <c r="D750" t="s">
        <v>21</v>
      </c>
      <c r="E750" t="s">
        <v>732</v>
      </c>
      <c r="F750" t="s">
        <v>28</v>
      </c>
      <c r="G750">
        <v>1</v>
      </c>
      <c r="H750">
        <v>387.41</v>
      </c>
      <c r="I750">
        <v>30</v>
      </c>
      <c r="J750">
        <v>221.9</v>
      </c>
      <c r="K750" t="s">
        <v>17</v>
      </c>
      <c r="L750" t="s">
        <v>18</v>
      </c>
      <c r="M750">
        <f t="shared" si="55"/>
        <v>271.18700000000001</v>
      </c>
      <c r="N750">
        <f t="shared" si="56"/>
        <v>49.287000000000006</v>
      </c>
      <c r="O750" t="str">
        <f t="shared" si="57"/>
        <v>Saturday</v>
      </c>
      <c r="P750" t="b">
        <f t="shared" si="58"/>
        <v>1</v>
      </c>
      <c r="Q750" t="str">
        <f t="shared" si="59"/>
        <v>May</v>
      </c>
    </row>
    <row r="751" spans="1:17" x14ac:dyDescent="0.4">
      <c r="A751" t="s">
        <v>1100</v>
      </c>
      <c r="B751" s="1">
        <v>45850</v>
      </c>
      <c r="C751" t="s">
        <v>89</v>
      </c>
      <c r="D751" t="s">
        <v>21</v>
      </c>
      <c r="E751" t="s">
        <v>96</v>
      </c>
      <c r="F751" t="s">
        <v>16</v>
      </c>
      <c r="G751">
        <v>2</v>
      </c>
      <c r="H751">
        <v>2799</v>
      </c>
      <c r="I751">
        <v>5</v>
      </c>
      <c r="J751">
        <v>1344.1</v>
      </c>
      <c r="K751" t="s">
        <v>17</v>
      </c>
      <c r="L751" t="s">
        <v>18</v>
      </c>
      <c r="M751">
        <f t="shared" si="55"/>
        <v>5318.0999999999995</v>
      </c>
      <c r="N751">
        <f t="shared" si="56"/>
        <v>2629.8999999999996</v>
      </c>
      <c r="O751" t="str">
        <f t="shared" si="57"/>
        <v>Saturday</v>
      </c>
      <c r="P751" t="b">
        <f t="shared" si="58"/>
        <v>1</v>
      </c>
      <c r="Q751" t="str">
        <f t="shared" si="59"/>
        <v>July</v>
      </c>
    </row>
    <row r="752" spans="1:17" x14ac:dyDescent="0.4">
      <c r="A752" t="s">
        <v>1101</v>
      </c>
      <c r="B752" s="1">
        <v>45321</v>
      </c>
      <c r="C752" t="s">
        <v>182</v>
      </c>
      <c r="D752" t="s">
        <v>31</v>
      </c>
      <c r="E752" t="s">
        <v>1102</v>
      </c>
      <c r="F752" t="s">
        <v>16</v>
      </c>
      <c r="G752">
        <v>5</v>
      </c>
      <c r="H752">
        <v>2411.64</v>
      </c>
      <c r="I752">
        <v>15</v>
      </c>
      <c r="J752">
        <v>1098.1600000000001</v>
      </c>
      <c r="K752" t="s">
        <v>24</v>
      </c>
      <c r="L752" t="s">
        <v>18</v>
      </c>
      <c r="M752">
        <f t="shared" si="55"/>
        <v>10249.469999999999</v>
      </c>
      <c r="N752">
        <f t="shared" si="56"/>
        <v>4758.6699999999992</v>
      </c>
      <c r="O752" t="str">
        <f t="shared" si="57"/>
        <v>Tuesday</v>
      </c>
      <c r="P752" t="b">
        <f t="shared" si="58"/>
        <v>0</v>
      </c>
      <c r="Q752" t="str">
        <f t="shared" si="59"/>
        <v>January</v>
      </c>
    </row>
    <row r="753" spans="1:17" x14ac:dyDescent="0.4">
      <c r="A753" t="s">
        <v>1103</v>
      </c>
      <c r="B753" s="1">
        <v>45729</v>
      </c>
      <c r="C753" t="s">
        <v>109</v>
      </c>
      <c r="D753" t="s">
        <v>31</v>
      </c>
      <c r="E753" t="s">
        <v>229</v>
      </c>
      <c r="F753" t="s">
        <v>23</v>
      </c>
      <c r="G753">
        <v>3</v>
      </c>
      <c r="H753">
        <v>2040.75</v>
      </c>
      <c r="I753">
        <v>5</v>
      </c>
      <c r="J753">
        <v>979.77</v>
      </c>
      <c r="K753" t="s">
        <v>24</v>
      </c>
      <c r="L753" t="s">
        <v>37</v>
      </c>
      <c r="M753">
        <f t="shared" si="55"/>
        <v>5816.1374999999998</v>
      </c>
      <c r="N753">
        <f t="shared" si="56"/>
        <v>2876.8274999999999</v>
      </c>
      <c r="O753" t="str">
        <f t="shared" si="57"/>
        <v>Thursday</v>
      </c>
      <c r="P753" t="b">
        <f t="shared" si="58"/>
        <v>0</v>
      </c>
      <c r="Q753" t="str">
        <f t="shared" si="59"/>
        <v>March</v>
      </c>
    </row>
    <row r="754" spans="1:17" x14ac:dyDescent="0.4">
      <c r="A754" t="s">
        <v>1104</v>
      </c>
      <c r="B754" s="1">
        <v>45923</v>
      </c>
      <c r="C754" t="s">
        <v>205</v>
      </c>
      <c r="D754" t="s">
        <v>31</v>
      </c>
      <c r="E754" t="s">
        <v>270</v>
      </c>
      <c r="F754" t="s">
        <v>16</v>
      </c>
      <c r="G754">
        <v>4</v>
      </c>
      <c r="H754">
        <v>2689.35</v>
      </c>
      <c r="I754">
        <v>0</v>
      </c>
      <c r="J754">
        <v>1879.95</v>
      </c>
      <c r="K754" t="s">
        <v>17</v>
      </c>
      <c r="L754" t="s">
        <v>37</v>
      </c>
      <c r="M754">
        <f t="shared" si="55"/>
        <v>10757.4</v>
      </c>
      <c r="N754">
        <f t="shared" si="56"/>
        <v>3237.5999999999995</v>
      </c>
      <c r="O754" t="str">
        <f t="shared" si="57"/>
        <v>Tuesday</v>
      </c>
      <c r="P754" t="b">
        <f t="shared" si="58"/>
        <v>0</v>
      </c>
      <c r="Q754" t="str">
        <f t="shared" si="59"/>
        <v>September</v>
      </c>
    </row>
    <row r="755" spans="1:17" x14ac:dyDescent="0.4">
      <c r="A755" t="s">
        <v>1105</v>
      </c>
      <c r="B755" s="1">
        <v>45427</v>
      </c>
      <c r="C755" t="s">
        <v>149</v>
      </c>
      <c r="D755" t="s">
        <v>14</v>
      </c>
      <c r="E755" t="s">
        <v>1016</v>
      </c>
      <c r="F755" t="s">
        <v>23</v>
      </c>
      <c r="G755">
        <v>3</v>
      </c>
      <c r="H755">
        <v>1071.58</v>
      </c>
      <c r="I755">
        <v>20</v>
      </c>
      <c r="J755">
        <v>632.30999999999995</v>
      </c>
      <c r="K755" t="s">
        <v>17</v>
      </c>
      <c r="L755" t="s">
        <v>18</v>
      </c>
      <c r="M755">
        <f t="shared" si="55"/>
        <v>2571.7919999999999</v>
      </c>
      <c r="N755">
        <f t="shared" si="56"/>
        <v>674.86200000000008</v>
      </c>
      <c r="O755" t="str">
        <f t="shared" si="57"/>
        <v>Wednesday</v>
      </c>
      <c r="P755" t="b">
        <f t="shared" si="58"/>
        <v>0</v>
      </c>
      <c r="Q755" t="str">
        <f t="shared" si="59"/>
        <v>May</v>
      </c>
    </row>
    <row r="756" spans="1:17" x14ac:dyDescent="0.4">
      <c r="A756" t="s">
        <v>1106</v>
      </c>
      <c r="B756" s="1">
        <v>45516</v>
      </c>
      <c r="C756" t="s">
        <v>119</v>
      </c>
      <c r="D756" t="s">
        <v>14</v>
      </c>
      <c r="E756" t="s">
        <v>1107</v>
      </c>
      <c r="F756" t="s">
        <v>23</v>
      </c>
      <c r="G756">
        <v>5</v>
      </c>
      <c r="H756">
        <v>1518.84</v>
      </c>
      <c r="I756">
        <v>20</v>
      </c>
      <c r="J756">
        <v>797.67</v>
      </c>
      <c r="K756" t="s">
        <v>17</v>
      </c>
      <c r="L756" t="s">
        <v>37</v>
      </c>
      <c r="M756">
        <f t="shared" si="55"/>
        <v>6075.3600000000006</v>
      </c>
      <c r="N756">
        <f t="shared" si="56"/>
        <v>2087.0100000000007</v>
      </c>
      <c r="O756" t="str">
        <f t="shared" si="57"/>
        <v>Monday</v>
      </c>
      <c r="P756" t="b">
        <f t="shared" si="58"/>
        <v>0</v>
      </c>
      <c r="Q756" t="str">
        <f t="shared" si="59"/>
        <v>August</v>
      </c>
    </row>
    <row r="757" spans="1:17" x14ac:dyDescent="0.4">
      <c r="A757" t="s">
        <v>1108</v>
      </c>
      <c r="B757" s="1">
        <v>45375</v>
      </c>
      <c r="C757" t="s">
        <v>251</v>
      </c>
      <c r="D757" t="s">
        <v>21</v>
      </c>
      <c r="E757" t="s">
        <v>354</v>
      </c>
      <c r="F757" t="s">
        <v>28</v>
      </c>
      <c r="G757">
        <v>3</v>
      </c>
      <c r="H757">
        <v>821.65</v>
      </c>
      <c r="I757">
        <v>5</v>
      </c>
      <c r="J757">
        <v>549.49</v>
      </c>
      <c r="K757" t="s">
        <v>24</v>
      </c>
      <c r="L757" t="s">
        <v>33</v>
      </c>
      <c r="M757">
        <f t="shared" si="55"/>
        <v>2341.7024999999999</v>
      </c>
      <c r="N757">
        <f t="shared" si="56"/>
        <v>693.23249999999985</v>
      </c>
      <c r="O757" t="str">
        <f t="shared" si="57"/>
        <v>Sunday</v>
      </c>
      <c r="P757" t="b">
        <f t="shared" si="58"/>
        <v>1</v>
      </c>
      <c r="Q757" t="str">
        <f t="shared" si="59"/>
        <v>March</v>
      </c>
    </row>
    <row r="758" spans="1:17" x14ac:dyDescent="0.4">
      <c r="A758" t="s">
        <v>1109</v>
      </c>
      <c r="B758" s="1">
        <v>45758</v>
      </c>
      <c r="C758" t="s">
        <v>144</v>
      </c>
      <c r="D758" t="s">
        <v>14</v>
      </c>
      <c r="E758" t="s">
        <v>66</v>
      </c>
      <c r="F758" t="s">
        <v>23</v>
      </c>
      <c r="G758">
        <v>1</v>
      </c>
      <c r="H758">
        <v>2196.0100000000002</v>
      </c>
      <c r="I758">
        <v>15</v>
      </c>
      <c r="J758">
        <v>1221.4100000000001</v>
      </c>
      <c r="K758" t="s">
        <v>24</v>
      </c>
      <c r="L758" t="s">
        <v>18</v>
      </c>
      <c r="M758">
        <f t="shared" si="55"/>
        <v>1866.6085</v>
      </c>
      <c r="N758">
        <f t="shared" si="56"/>
        <v>645.19849999999997</v>
      </c>
      <c r="O758" t="str">
        <f t="shared" si="57"/>
        <v>Friday</v>
      </c>
      <c r="P758" t="b">
        <f t="shared" si="58"/>
        <v>0</v>
      </c>
      <c r="Q758" t="str">
        <f t="shared" si="59"/>
        <v>April</v>
      </c>
    </row>
    <row r="759" spans="1:17" x14ac:dyDescent="0.4">
      <c r="A759" t="s">
        <v>1110</v>
      </c>
      <c r="B759" s="1">
        <v>45939</v>
      </c>
      <c r="C759" t="s">
        <v>20</v>
      </c>
      <c r="D759" t="s">
        <v>31</v>
      </c>
      <c r="E759" t="s">
        <v>66</v>
      </c>
      <c r="F759" t="s">
        <v>28</v>
      </c>
      <c r="G759">
        <v>2</v>
      </c>
      <c r="H759">
        <v>437.68</v>
      </c>
      <c r="I759">
        <v>20</v>
      </c>
      <c r="J759">
        <v>201.67</v>
      </c>
      <c r="K759" t="s">
        <v>24</v>
      </c>
      <c r="L759" t="s">
        <v>18</v>
      </c>
      <c r="M759">
        <f t="shared" si="55"/>
        <v>700.28800000000001</v>
      </c>
      <c r="N759">
        <f t="shared" si="56"/>
        <v>296.94800000000004</v>
      </c>
      <c r="O759" t="str">
        <f t="shared" si="57"/>
        <v>Thursday</v>
      </c>
      <c r="P759" t="b">
        <f t="shared" si="58"/>
        <v>0</v>
      </c>
      <c r="Q759" t="str">
        <f t="shared" si="59"/>
        <v>October</v>
      </c>
    </row>
    <row r="760" spans="1:17" x14ac:dyDescent="0.4">
      <c r="A760" t="s">
        <v>1111</v>
      </c>
      <c r="B760" s="1">
        <v>45931</v>
      </c>
      <c r="C760" t="s">
        <v>100</v>
      </c>
      <c r="D760" t="s">
        <v>14</v>
      </c>
      <c r="E760" t="s">
        <v>315</v>
      </c>
      <c r="F760" t="s">
        <v>28</v>
      </c>
      <c r="G760">
        <v>1</v>
      </c>
      <c r="H760">
        <v>1903.77</v>
      </c>
      <c r="I760">
        <v>5</v>
      </c>
      <c r="J760">
        <v>1330.57</v>
      </c>
      <c r="K760" t="s">
        <v>24</v>
      </c>
      <c r="L760" t="s">
        <v>18</v>
      </c>
      <c r="M760">
        <f t="shared" si="55"/>
        <v>1808.5815</v>
      </c>
      <c r="N760">
        <f t="shared" si="56"/>
        <v>478.01150000000007</v>
      </c>
      <c r="O760" t="str">
        <f t="shared" si="57"/>
        <v>Wednesday</v>
      </c>
      <c r="P760" t="b">
        <f t="shared" si="58"/>
        <v>0</v>
      </c>
      <c r="Q760" t="str">
        <f t="shared" si="59"/>
        <v>October</v>
      </c>
    </row>
    <row r="761" spans="1:17" x14ac:dyDescent="0.4">
      <c r="A761" t="s">
        <v>1112</v>
      </c>
      <c r="B761" s="1">
        <v>45882</v>
      </c>
      <c r="C761" t="s">
        <v>174</v>
      </c>
      <c r="D761" t="s">
        <v>21</v>
      </c>
      <c r="E761" t="s">
        <v>175</v>
      </c>
      <c r="F761" t="s">
        <v>23</v>
      </c>
      <c r="G761">
        <v>5</v>
      </c>
      <c r="H761">
        <v>1668.89</v>
      </c>
      <c r="I761">
        <v>10</v>
      </c>
      <c r="J761">
        <v>667.78</v>
      </c>
      <c r="K761" t="s">
        <v>17</v>
      </c>
      <c r="L761" t="s">
        <v>18</v>
      </c>
      <c r="M761">
        <f t="shared" si="55"/>
        <v>7510.005000000001</v>
      </c>
      <c r="N761">
        <f t="shared" si="56"/>
        <v>4171.1050000000014</v>
      </c>
      <c r="O761" t="str">
        <f t="shared" si="57"/>
        <v>Wednesday</v>
      </c>
      <c r="P761" t="b">
        <f t="shared" si="58"/>
        <v>0</v>
      </c>
      <c r="Q761" t="str">
        <f t="shared" si="59"/>
        <v>August</v>
      </c>
    </row>
    <row r="762" spans="1:17" x14ac:dyDescent="0.4">
      <c r="A762" t="s">
        <v>1113</v>
      </c>
      <c r="B762" s="1">
        <v>45764</v>
      </c>
      <c r="C762" t="s">
        <v>174</v>
      </c>
      <c r="D762" t="s">
        <v>14</v>
      </c>
      <c r="E762" t="s">
        <v>57</v>
      </c>
      <c r="F762" t="s">
        <v>23</v>
      </c>
      <c r="G762">
        <v>5</v>
      </c>
      <c r="H762">
        <v>327.64999999999998</v>
      </c>
      <c r="I762">
        <v>20</v>
      </c>
      <c r="J762">
        <v>191.36</v>
      </c>
      <c r="K762" t="s">
        <v>17</v>
      </c>
      <c r="L762" t="s">
        <v>33</v>
      </c>
      <c r="M762">
        <f t="shared" si="55"/>
        <v>1310.6000000000001</v>
      </c>
      <c r="N762">
        <f t="shared" si="56"/>
        <v>353.80000000000007</v>
      </c>
      <c r="O762" t="str">
        <f t="shared" si="57"/>
        <v>Thursday</v>
      </c>
      <c r="P762" t="b">
        <f t="shared" si="58"/>
        <v>0</v>
      </c>
      <c r="Q762" t="str">
        <f t="shared" si="59"/>
        <v>April</v>
      </c>
    </row>
    <row r="763" spans="1:17" x14ac:dyDescent="0.4">
      <c r="A763" t="s">
        <v>1114</v>
      </c>
      <c r="B763" s="1">
        <v>45413</v>
      </c>
      <c r="C763" t="s">
        <v>286</v>
      </c>
      <c r="D763" t="s">
        <v>31</v>
      </c>
      <c r="E763" t="s">
        <v>336</v>
      </c>
      <c r="F763" t="s">
        <v>16</v>
      </c>
      <c r="G763">
        <v>3</v>
      </c>
      <c r="H763">
        <v>318.92</v>
      </c>
      <c r="I763">
        <v>0</v>
      </c>
      <c r="J763">
        <v>150.97</v>
      </c>
      <c r="K763" t="s">
        <v>17</v>
      </c>
      <c r="L763" t="s">
        <v>37</v>
      </c>
      <c r="M763">
        <f t="shared" si="55"/>
        <v>956.76</v>
      </c>
      <c r="N763">
        <f t="shared" si="56"/>
        <v>503.85</v>
      </c>
      <c r="O763" t="str">
        <f t="shared" si="57"/>
        <v>Wednesday</v>
      </c>
      <c r="P763" t="b">
        <f t="shared" si="58"/>
        <v>0</v>
      </c>
      <c r="Q763" t="str">
        <f t="shared" si="59"/>
        <v>May</v>
      </c>
    </row>
    <row r="764" spans="1:17" x14ac:dyDescent="0.4">
      <c r="A764" t="s">
        <v>1115</v>
      </c>
      <c r="B764" s="1">
        <v>45467</v>
      </c>
      <c r="C764" t="s">
        <v>286</v>
      </c>
      <c r="D764" t="s">
        <v>31</v>
      </c>
      <c r="E764" t="s">
        <v>210</v>
      </c>
      <c r="F764" t="s">
        <v>16</v>
      </c>
      <c r="G764">
        <v>4</v>
      </c>
      <c r="H764">
        <v>2418.2800000000002</v>
      </c>
      <c r="I764">
        <v>30</v>
      </c>
      <c r="J764">
        <v>1656.96</v>
      </c>
      <c r="K764" t="s">
        <v>24</v>
      </c>
      <c r="L764" t="s">
        <v>37</v>
      </c>
      <c r="M764">
        <f t="shared" si="55"/>
        <v>6771.1840000000002</v>
      </c>
      <c r="N764">
        <f t="shared" si="56"/>
        <v>143.34400000000005</v>
      </c>
      <c r="O764" t="str">
        <f t="shared" si="57"/>
        <v>Monday</v>
      </c>
      <c r="P764" t="b">
        <f t="shared" si="58"/>
        <v>0</v>
      </c>
      <c r="Q764" t="str">
        <f t="shared" si="59"/>
        <v>June</v>
      </c>
    </row>
    <row r="765" spans="1:17" x14ac:dyDescent="0.4">
      <c r="A765" t="s">
        <v>1116</v>
      </c>
      <c r="B765" s="1">
        <v>45455</v>
      </c>
      <c r="C765" t="s">
        <v>253</v>
      </c>
      <c r="D765" t="s">
        <v>14</v>
      </c>
      <c r="E765" t="s">
        <v>569</v>
      </c>
      <c r="F765" t="s">
        <v>28</v>
      </c>
      <c r="G765">
        <v>3</v>
      </c>
      <c r="H765">
        <v>2807.79</v>
      </c>
      <c r="I765">
        <v>20</v>
      </c>
      <c r="J765">
        <v>1561.35</v>
      </c>
      <c r="K765" t="s">
        <v>17</v>
      </c>
      <c r="L765" t="s">
        <v>18</v>
      </c>
      <c r="M765">
        <f t="shared" si="55"/>
        <v>6738.6959999999999</v>
      </c>
      <c r="N765">
        <f t="shared" si="56"/>
        <v>2054.6460000000006</v>
      </c>
      <c r="O765" t="str">
        <f t="shared" si="57"/>
        <v>Wednesday</v>
      </c>
      <c r="P765" t="b">
        <f t="shared" si="58"/>
        <v>0</v>
      </c>
      <c r="Q765" t="str">
        <f t="shared" si="59"/>
        <v>June</v>
      </c>
    </row>
    <row r="766" spans="1:17" x14ac:dyDescent="0.4">
      <c r="A766" t="s">
        <v>1117</v>
      </c>
      <c r="B766" s="1">
        <v>45738</v>
      </c>
      <c r="C766" t="s">
        <v>74</v>
      </c>
      <c r="D766" t="s">
        <v>14</v>
      </c>
      <c r="E766" t="s">
        <v>1118</v>
      </c>
      <c r="F766" t="s">
        <v>28</v>
      </c>
      <c r="G766">
        <v>2</v>
      </c>
      <c r="H766">
        <v>325.48</v>
      </c>
      <c r="I766">
        <v>15</v>
      </c>
      <c r="J766">
        <v>227.66</v>
      </c>
      <c r="K766" t="s">
        <v>17</v>
      </c>
      <c r="L766" t="s">
        <v>37</v>
      </c>
      <c r="M766">
        <f t="shared" si="55"/>
        <v>553.31600000000003</v>
      </c>
      <c r="N766">
        <f t="shared" si="56"/>
        <v>97.996000000000038</v>
      </c>
      <c r="O766" t="str">
        <f t="shared" si="57"/>
        <v>Saturday</v>
      </c>
      <c r="P766" t="b">
        <f t="shared" si="58"/>
        <v>1</v>
      </c>
      <c r="Q766" t="str">
        <f t="shared" si="59"/>
        <v>March</v>
      </c>
    </row>
    <row r="767" spans="1:17" x14ac:dyDescent="0.4">
      <c r="A767" t="s">
        <v>1119</v>
      </c>
      <c r="B767" s="1">
        <v>45897</v>
      </c>
      <c r="C767" t="s">
        <v>74</v>
      </c>
      <c r="D767" t="s">
        <v>21</v>
      </c>
      <c r="E767" t="s">
        <v>357</v>
      </c>
      <c r="F767" t="s">
        <v>16</v>
      </c>
      <c r="G767">
        <v>3</v>
      </c>
      <c r="H767">
        <v>2500.1799999999998</v>
      </c>
      <c r="I767">
        <v>10</v>
      </c>
      <c r="J767">
        <v>1612.62</v>
      </c>
      <c r="K767" t="s">
        <v>17</v>
      </c>
      <c r="L767" t="s">
        <v>33</v>
      </c>
      <c r="M767">
        <f t="shared" si="55"/>
        <v>6750.485999999999</v>
      </c>
      <c r="N767">
        <f t="shared" si="56"/>
        <v>1912.6259999999993</v>
      </c>
      <c r="O767" t="str">
        <f t="shared" si="57"/>
        <v>Thursday</v>
      </c>
      <c r="P767" t="b">
        <f t="shared" si="58"/>
        <v>0</v>
      </c>
      <c r="Q767" t="str">
        <f t="shared" si="59"/>
        <v>August</v>
      </c>
    </row>
    <row r="768" spans="1:17" x14ac:dyDescent="0.4">
      <c r="A768" t="s">
        <v>1120</v>
      </c>
      <c r="B768" s="1">
        <v>45457</v>
      </c>
      <c r="C768" t="s">
        <v>457</v>
      </c>
      <c r="D768" t="s">
        <v>31</v>
      </c>
      <c r="E768" t="s">
        <v>799</v>
      </c>
      <c r="F768" t="s">
        <v>28</v>
      </c>
      <c r="G768">
        <v>4</v>
      </c>
      <c r="H768">
        <v>384.32</v>
      </c>
      <c r="I768">
        <v>5</v>
      </c>
      <c r="J768">
        <v>203.81</v>
      </c>
      <c r="K768" t="s">
        <v>24</v>
      </c>
      <c r="L768" t="s">
        <v>18</v>
      </c>
      <c r="M768">
        <f t="shared" si="55"/>
        <v>1460.4159999999999</v>
      </c>
      <c r="N768">
        <f t="shared" si="56"/>
        <v>645.17599999999993</v>
      </c>
      <c r="O768" t="str">
        <f t="shared" si="57"/>
        <v>Friday</v>
      </c>
      <c r="P768" t="b">
        <f t="shared" si="58"/>
        <v>0</v>
      </c>
      <c r="Q768" t="str">
        <f t="shared" si="59"/>
        <v>June</v>
      </c>
    </row>
    <row r="769" spans="1:17" x14ac:dyDescent="0.4">
      <c r="A769" t="s">
        <v>1121</v>
      </c>
      <c r="B769" s="1">
        <v>45300</v>
      </c>
      <c r="C769" t="s">
        <v>45</v>
      </c>
      <c r="D769" t="s">
        <v>46</v>
      </c>
      <c r="E769" t="s">
        <v>357</v>
      </c>
      <c r="F769" t="s">
        <v>23</v>
      </c>
      <c r="G769">
        <v>2</v>
      </c>
      <c r="H769">
        <v>2849.31</v>
      </c>
      <c r="I769">
        <v>30</v>
      </c>
      <c r="J769">
        <v>1471.42</v>
      </c>
      <c r="K769" t="s">
        <v>24</v>
      </c>
      <c r="L769" t="s">
        <v>37</v>
      </c>
      <c r="M769">
        <f t="shared" si="55"/>
        <v>3989.0339999999997</v>
      </c>
      <c r="N769">
        <f t="shared" si="56"/>
        <v>1046.1939999999995</v>
      </c>
      <c r="O769" t="str">
        <f t="shared" si="57"/>
        <v>Tuesday</v>
      </c>
      <c r="P769" t="b">
        <f t="shared" si="58"/>
        <v>0</v>
      </c>
      <c r="Q769" t="str">
        <f t="shared" si="59"/>
        <v>January</v>
      </c>
    </row>
    <row r="770" spans="1:17" x14ac:dyDescent="0.4">
      <c r="A770" t="s">
        <v>1122</v>
      </c>
      <c r="B770" s="1">
        <v>45840</v>
      </c>
      <c r="C770" t="s">
        <v>144</v>
      </c>
      <c r="D770" t="s">
        <v>46</v>
      </c>
      <c r="E770" t="s">
        <v>294</v>
      </c>
      <c r="F770" t="s">
        <v>28</v>
      </c>
      <c r="G770">
        <v>2</v>
      </c>
      <c r="H770">
        <v>1472.5</v>
      </c>
      <c r="I770">
        <v>0</v>
      </c>
      <c r="J770">
        <v>1028.22</v>
      </c>
      <c r="K770" t="s">
        <v>17</v>
      </c>
      <c r="L770" t="s">
        <v>33</v>
      </c>
      <c r="M770">
        <f t="shared" si="55"/>
        <v>2945</v>
      </c>
      <c r="N770">
        <f t="shared" si="56"/>
        <v>888.56</v>
      </c>
      <c r="O770" t="str">
        <f t="shared" si="57"/>
        <v>Wednesday</v>
      </c>
      <c r="P770" t="b">
        <f t="shared" si="58"/>
        <v>0</v>
      </c>
      <c r="Q770" t="str">
        <f t="shared" si="59"/>
        <v>July</v>
      </c>
    </row>
    <row r="771" spans="1:17" x14ac:dyDescent="0.4">
      <c r="A771" t="s">
        <v>1123</v>
      </c>
      <c r="B771" s="1">
        <v>45788</v>
      </c>
      <c r="C771" t="s">
        <v>267</v>
      </c>
      <c r="D771" t="s">
        <v>21</v>
      </c>
      <c r="E771" t="s">
        <v>813</v>
      </c>
      <c r="F771" t="s">
        <v>23</v>
      </c>
      <c r="G771">
        <v>2</v>
      </c>
      <c r="H771">
        <v>643.76</v>
      </c>
      <c r="I771">
        <v>0</v>
      </c>
      <c r="J771">
        <v>331.03</v>
      </c>
      <c r="K771" t="s">
        <v>24</v>
      </c>
      <c r="L771" t="s">
        <v>37</v>
      </c>
      <c r="M771">
        <f t="shared" ref="M771:M834" si="60">G771 * H771 * (1 - I771/100)</f>
        <v>1287.52</v>
      </c>
      <c r="N771">
        <f t="shared" ref="N771:N834" si="61">M771 - (J771 * G771)</f>
        <v>625.46</v>
      </c>
      <c r="O771" t="str">
        <f t="shared" ref="O771:O834" si="62">TEXT(B771,"dddd")</f>
        <v>Sunday</v>
      </c>
      <c r="P771" t="b">
        <f t="shared" ref="P771:P834" si="63">OR(TEXT(B771,"ddd")="Sat", TEXT(B771,"ddd")="Sun")</f>
        <v>1</v>
      </c>
      <c r="Q771" t="str">
        <f t="shared" ref="Q771:Q834" si="64">TEXT(B771,"mmmm")</f>
        <v>May</v>
      </c>
    </row>
    <row r="772" spans="1:17" x14ac:dyDescent="0.4">
      <c r="A772" t="s">
        <v>1124</v>
      </c>
      <c r="B772" s="1">
        <v>45361</v>
      </c>
      <c r="C772" t="s">
        <v>241</v>
      </c>
      <c r="D772" t="s">
        <v>46</v>
      </c>
      <c r="E772" t="s">
        <v>753</v>
      </c>
      <c r="F772" t="s">
        <v>28</v>
      </c>
      <c r="G772">
        <v>4</v>
      </c>
      <c r="H772">
        <v>1564.69</v>
      </c>
      <c r="I772">
        <v>5</v>
      </c>
      <c r="J772">
        <v>726.43</v>
      </c>
      <c r="K772" t="s">
        <v>17</v>
      </c>
      <c r="L772" t="s">
        <v>33</v>
      </c>
      <c r="M772">
        <f t="shared" si="60"/>
        <v>5945.8220000000001</v>
      </c>
      <c r="N772">
        <f t="shared" si="61"/>
        <v>3040.1020000000003</v>
      </c>
      <c r="O772" t="str">
        <f t="shared" si="62"/>
        <v>Sunday</v>
      </c>
      <c r="P772" t="b">
        <f t="shared" si="63"/>
        <v>1</v>
      </c>
      <c r="Q772" t="str">
        <f t="shared" si="64"/>
        <v>March</v>
      </c>
    </row>
    <row r="773" spans="1:17" x14ac:dyDescent="0.4">
      <c r="A773" t="s">
        <v>1125</v>
      </c>
      <c r="B773" s="1">
        <v>45369</v>
      </c>
      <c r="C773" t="s">
        <v>149</v>
      </c>
      <c r="D773" t="s">
        <v>14</v>
      </c>
      <c r="E773" t="s">
        <v>730</v>
      </c>
      <c r="F773" t="s">
        <v>28</v>
      </c>
      <c r="G773">
        <v>3</v>
      </c>
      <c r="H773">
        <v>1542.12</v>
      </c>
      <c r="I773">
        <v>20</v>
      </c>
      <c r="J773">
        <v>686.39</v>
      </c>
      <c r="K773" t="s">
        <v>24</v>
      </c>
      <c r="L773" t="s">
        <v>37</v>
      </c>
      <c r="M773">
        <f t="shared" si="60"/>
        <v>3701.0879999999997</v>
      </c>
      <c r="N773">
        <f t="shared" si="61"/>
        <v>1641.9179999999997</v>
      </c>
      <c r="O773" t="str">
        <f t="shared" si="62"/>
        <v>Monday</v>
      </c>
      <c r="P773" t="b">
        <f t="shared" si="63"/>
        <v>0</v>
      </c>
      <c r="Q773" t="str">
        <f t="shared" si="64"/>
        <v>March</v>
      </c>
    </row>
    <row r="774" spans="1:17" x14ac:dyDescent="0.4">
      <c r="A774" t="s">
        <v>1126</v>
      </c>
      <c r="B774" s="1">
        <v>45976</v>
      </c>
      <c r="C774" t="s">
        <v>182</v>
      </c>
      <c r="D774" t="s">
        <v>46</v>
      </c>
      <c r="E774" t="s">
        <v>519</v>
      </c>
      <c r="F774" t="s">
        <v>16</v>
      </c>
      <c r="G774">
        <v>1</v>
      </c>
      <c r="H774">
        <v>1529.8</v>
      </c>
      <c r="I774">
        <v>5</v>
      </c>
      <c r="J774">
        <v>919.65</v>
      </c>
      <c r="K774" t="s">
        <v>24</v>
      </c>
      <c r="L774" t="s">
        <v>33</v>
      </c>
      <c r="M774">
        <f t="shared" si="60"/>
        <v>1453.31</v>
      </c>
      <c r="N774">
        <f t="shared" si="61"/>
        <v>533.66</v>
      </c>
      <c r="O774" t="str">
        <f t="shared" si="62"/>
        <v>Saturday</v>
      </c>
      <c r="P774" t="b">
        <f t="shared" si="63"/>
        <v>1</v>
      </c>
      <c r="Q774" t="str">
        <f t="shared" si="64"/>
        <v>November</v>
      </c>
    </row>
    <row r="775" spans="1:17" x14ac:dyDescent="0.4">
      <c r="A775" t="s">
        <v>1127</v>
      </c>
      <c r="B775" s="1">
        <v>45329</v>
      </c>
      <c r="C775" t="s">
        <v>68</v>
      </c>
      <c r="D775" t="s">
        <v>31</v>
      </c>
      <c r="E775" t="s">
        <v>955</v>
      </c>
      <c r="F775" t="s">
        <v>28</v>
      </c>
      <c r="G775">
        <v>5</v>
      </c>
      <c r="H775">
        <v>2696.46</v>
      </c>
      <c r="I775">
        <v>15</v>
      </c>
      <c r="J775">
        <v>1782.39</v>
      </c>
      <c r="K775" t="s">
        <v>24</v>
      </c>
      <c r="L775" t="s">
        <v>37</v>
      </c>
      <c r="M775">
        <f t="shared" si="60"/>
        <v>11459.955</v>
      </c>
      <c r="N775">
        <f t="shared" si="61"/>
        <v>2548.0049999999992</v>
      </c>
      <c r="O775" t="str">
        <f t="shared" si="62"/>
        <v>Wednesday</v>
      </c>
      <c r="P775" t="b">
        <f t="shared" si="63"/>
        <v>0</v>
      </c>
      <c r="Q775" t="str">
        <f t="shared" si="64"/>
        <v>February</v>
      </c>
    </row>
    <row r="776" spans="1:17" x14ac:dyDescent="0.4">
      <c r="A776" t="s">
        <v>1128</v>
      </c>
      <c r="B776" s="1">
        <v>45519</v>
      </c>
      <c r="C776" t="s">
        <v>278</v>
      </c>
      <c r="D776" t="s">
        <v>31</v>
      </c>
      <c r="E776" t="s">
        <v>1129</v>
      </c>
      <c r="F776" t="s">
        <v>23</v>
      </c>
      <c r="G776">
        <v>2</v>
      </c>
      <c r="H776">
        <v>2792.02</v>
      </c>
      <c r="I776">
        <v>5</v>
      </c>
      <c r="J776">
        <v>1397.71</v>
      </c>
      <c r="K776" t="s">
        <v>24</v>
      </c>
      <c r="L776" t="s">
        <v>18</v>
      </c>
      <c r="M776">
        <f t="shared" si="60"/>
        <v>5304.8379999999997</v>
      </c>
      <c r="N776">
        <f t="shared" si="61"/>
        <v>2509.4179999999997</v>
      </c>
      <c r="O776" t="str">
        <f t="shared" si="62"/>
        <v>Thursday</v>
      </c>
      <c r="P776" t="b">
        <f t="shared" si="63"/>
        <v>0</v>
      </c>
      <c r="Q776" t="str">
        <f t="shared" si="64"/>
        <v>August</v>
      </c>
    </row>
    <row r="777" spans="1:17" x14ac:dyDescent="0.4">
      <c r="A777" t="s">
        <v>1130</v>
      </c>
      <c r="B777" s="1">
        <v>45339</v>
      </c>
      <c r="C777" t="s">
        <v>375</v>
      </c>
      <c r="D777" t="s">
        <v>46</v>
      </c>
      <c r="E777" t="s">
        <v>853</v>
      </c>
      <c r="F777" t="s">
        <v>23</v>
      </c>
      <c r="G777">
        <v>4</v>
      </c>
      <c r="H777">
        <v>2081.9299999999998</v>
      </c>
      <c r="I777">
        <v>20</v>
      </c>
      <c r="J777">
        <v>928.81</v>
      </c>
      <c r="K777" t="s">
        <v>24</v>
      </c>
      <c r="L777" t="s">
        <v>18</v>
      </c>
      <c r="M777">
        <f t="shared" si="60"/>
        <v>6662.1759999999995</v>
      </c>
      <c r="N777">
        <f t="shared" si="61"/>
        <v>2946.9359999999997</v>
      </c>
      <c r="O777" t="str">
        <f t="shared" si="62"/>
        <v>Saturday</v>
      </c>
      <c r="P777" t="b">
        <f t="shared" si="63"/>
        <v>1</v>
      </c>
      <c r="Q777" t="str">
        <f t="shared" si="64"/>
        <v>February</v>
      </c>
    </row>
    <row r="778" spans="1:17" x14ac:dyDescent="0.4">
      <c r="A778" t="s">
        <v>1131</v>
      </c>
      <c r="B778" s="1">
        <v>45880</v>
      </c>
      <c r="C778" t="s">
        <v>71</v>
      </c>
      <c r="D778" t="s">
        <v>14</v>
      </c>
      <c r="E778" t="s">
        <v>611</v>
      </c>
      <c r="F778" t="s">
        <v>16</v>
      </c>
      <c r="G778">
        <v>5</v>
      </c>
      <c r="H778">
        <v>944.05</v>
      </c>
      <c r="I778">
        <v>5</v>
      </c>
      <c r="J778">
        <v>420.33</v>
      </c>
      <c r="K778" t="s">
        <v>24</v>
      </c>
      <c r="L778" t="s">
        <v>18</v>
      </c>
      <c r="M778">
        <f t="shared" si="60"/>
        <v>4484.2375000000002</v>
      </c>
      <c r="N778">
        <f t="shared" si="61"/>
        <v>2382.5875000000001</v>
      </c>
      <c r="O778" t="str">
        <f t="shared" si="62"/>
        <v>Monday</v>
      </c>
      <c r="P778" t="b">
        <f t="shared" si="63"/>
        <v>0</v>
      </c>
      <c r="Q778" t="str">
        <f t="shared" si="64"/>
        <v>August</v>
      </c>
    </row>
    <row r="779" spans="1:17" x14ac:dyDescent="0.4">
      <c r="A779" t="s">
        <v>1132</v>
      </c>
      <c r="B779" s="1">
        <v>45639</v>
      </c>
      <c r="C779" t="s">
        <v>128</v>
      </c>
      <c r="D779" t="s">
        <v>21</v>
      </c>
      <c r="E779" t="s">
        <v>843</v>
      </c>
      <c r="F779" t="s">
        <v>28</v>
      </c>
      <c r="G779">
        <v>3</v>
      </c>
      <c r="H779">
        <v>2601.8200000000002</v>
      </c>
      <c r="I779">
        <v>20</v>
      </c>
      <c r="J779">
        <v>1709.15</v>
      </c>
      <c r="K779" t="s">
        <v>17</v>
      </c>
      <c r="L779" t="s">
        <v>37</v>
      </c>
      <c r="M779">
        <f t="shared" si="60"/>
        <v>6244.3680000000013</v>
      </c>
      <c r="N779">
        <f t="shared" si="61"/>
        <v>1116.9180000000006</v>
      </c>
      <c r="O779" t="str">
        <f t="shared" si="62"/>
        <v>Friday</v>
      </c>
      <c r="P779" t="b">
        <f t="shared" si="63"/>
        <v>0</v>
      </c>
      <c r="Q779" t="str">
        <f t="shared" si="64"/>
        <v>December</v>
      </c>
    </row>
    <row r="780" spans="1:17" x14ac:dyDescent="0.4">
      <c r="A780" t="s">
        <v>1133</v>
      </c>
      <c r="B780" s="1">
        <v>45808</v>
      </c>
      <c r="C780" t="s">
        <v>30</v>
      </c>
      <c r="D780" t="s">
        <v>21</v>
      </c>
      <c r="E780" t="s">
        <v>1134</v>
      </c>
      <c r="F780" t="s">
        <v>23</v>
      </c>
      <c r="G780">
        <v>5</v>
      </c>
      <c r="H780">
        <v>896.62</v>
      </c>
      <c r="I780">
        <v>0</v>
      </c>
      <c r="J780">
        <v>455.57</v>
      </c>
      <c r="K780" t="s">
        <v>17</v>
      </c>
      <c r="L780" t="s">
        <v>33</v>
      </c>
      <c r="M780">
        <f t="shared" si="60"/>
        <v>4483.1000000000004</v>
      </c>
      <c r="N780">
        <f t="shared" si="61"/>
        <v>2205.2500000000005</v>
      </c>
      <c r="O780" t="str">
        <f t="shared" si="62"/>
        <v>Saturday</v>
      </c>
      <c r="P780" t="b">
        <f t="shared" si="63"/>
        <v>1</v>
      </c>
      <c r="Q780" t="str">
        <f t="shared" si="64"/>
        <v>May</v>
      </c>
    </row>
    <row r="781" spans="1:17" x14ac:dyDescent="0.4">
      <c r="A781" t="s">
        <v>1135</v>
      </c>
      <c r="B781" s="1">
        <v>45513</v>
      </c>
      <c r="C781" t="s">
        <v>457</v>
      </c>
      <c r="D781" t="s">
        <v>31</v>
      </c>
      <c r="E781" t="s">
        <v>1136</v>
      </c>
      <c r="F781" t="s">
        <v>16</v>
      </c>
      <c r="G781">
        <v>3</v>
      </c>
      <c r="H781">
        <v>2819.3</v>
      </c>
      <c r="I781">
        <v>10</v>
      </c>
      <c r="J781">
        <v>1865.31</v>
      </c>
      <c r="K781" t="s">
        <v>24</v>
      </c>
      <c r="L781" t="s">
        <v>33</v>
      </c>
      <c r="M781">
        <f t="shared" si="60"/>
        <v>7612.1100000000015</v>
      </c>
      <c r="N781">
        <f t="shared" si="61"/>
        <v>2016.1800000000012</v>
      </c>
      <c r="O781" t="str">
        <f t="shared" si="62"/>
        <v>Friday</v>
      </c>
      <c r="P781" t="b">
        <f t="shared" si="63"/>
        <v>0</v>
      </c>
      <c r="Q781" t="str">
        <f t="shared" si="64"/>
        <v>August</v>
      </c>
    </row>
    <row r="782" spans="1:17" x14ac:dyDescent="0.4">
      <c r="A782" t="s">
        <v>1137</v>
      </c>
      <c r="B782" s="1">
        <v>45988</v>
      </c>
      <c r="C782" t="s">
        <v>273</v>
      </c>
      <c r="D782" t="s">
        <v>14</v>
      </c>
      <c r="E782" t="s">
        <v>599</v>
      </c>
      <c r="F782" t="s">
        <v>16</v>
      </c>
      <c r="G782">
        <v>3</v>
      </c>
      <c r="H782">
        <v>963.87</v>
      </c>
      <c r="I782">
        <v>15</v>
      </c>
      <c r="J782">
        <v>605.14</v>
      </c>
      <c r="K782" t="s">
        <v>24</v>
      </c>
      <c r="L782" t="s">
        <v>33</v>
      </c>
      <c r="M782">
        <f t="shared" si="60"/>
        <v>2457.8685</v>
      </c>
      <c r="N782">
        <f t="shared" si="61"/>
        <v>642.44849999999997</v>
      </c>
      <c r="O782" t="str">
        <f t="shared" si="62"/>
        <v>Thursday</v>
      </c>
      <c r="P782" t="b">
        <f t="shared" si="63"/>
        <v>0</v>
      </c>
      <c r="Q782" t="str">
        <f t="shared" si="64"/>
        <v>November</v>
      </c>
    </row>
    <row r="783" spans="1:17" x14ac:dyDescent="0.4">
      <c r="A783" t="s">
        <v>1138</v>
      </c>
      <c r="B783" s="1">
        <v>45545</v>
      </c>
      <c r="C783" t="s">
        <v>182</v>
      </c>
      <c r="D783" t="s">
        <v>31</v>
      </c>
      <c r="E783" t="s">
        <v>186</v>
      </c>
      <c r="F783" t="s">
        <v>28</v>
      </c>
      <c r="G783">
        <v>3</v>
      </c>
      <c r="H783">
        <v>728.16</v>
      </c>
      <c r="I783">
        <v>15</v>
      </c>
      <c r="J783">
        <v>476.48</v>
      </c>
      <c r="K783" t="s">
        <v>17</v>
      </c>
      <c r="L783" t="s">
        <v>37</v>
      </c>
      <c r="M783">
        <f t="shared" si="60"/>
        <v>1856.808</v>
      </c>
      <c r="N783">
        <f t="shared" si="61"/>
        <v>427.36799999999994</v>
      </c>
      <c r="O783" t="str">
        <f t="shared" si="62"/>
        <v>Tuesday</v>
      </c>
      <c r="P783" t="b">
        <f t="shared" si="63"/>
        <v>0</v>
      </c>
      <c r="Q783" t="str">
        <f t="shared" si="64"/>
        <v>September</v>
      </c>
    </row>
    <row r="784" spans="1:17" x14ac:dyDescent="0.4">
      <c r="A784" t="s">
        <v>1139</v>
      </c>
      <c r="B784" s="1">
        <v>45804</v>
      </c>
      <c r="C784" t="s">
        <v>273</v>
      </c>
      <c r="D784" t="s">
        <v>46</v>
      </c>
      <c r="E784" t="s">
        <v>134</v>
      </c>
      <c r="F784" t="s">
        <v>28</v>
      </c>
      <c r="G784">
        <v>2</v>
      </c>
      <c r="H784">
        <v>1496.42</v>
      </c>
      <c r="I784">
        <v>20</v>
      </c>
      <c r="J784">
        <v>709.12</v>
      </c>
      <c r="K784" t="s">
        <v>24</v>
      </c>
      <c r="L784" t="s">
        <v>18</v>
      </c>
      <c r="M784">
        <f t="shared" si="60"/>
        <v>2394.2720000000004</v>
      </c>
      <c r="N784">
        <f t="shared" si="61"/>
        <v>976.03200000000038</v>
      </c>
      <c r="O784" t="str">
        <f t="shared" si="62"/>
        <v>Tuesday</v>
      </c>
      <c r="P784" t="b">
        <f t="shared" si="63"/>
        <v>0</v>
      </c>
      <c r="Q784" t="str">
        <f t="shared" si="64"/>
        <v>May</v>
      </c>
    </row>
    <row r="785" spans="1:17" x14ac:dyDescent="0.4">
      <c r="A785" t="s">
        <v>1140</v>
      </c>
      <c r="B785" s="1">
        <v>45947</v>
      </c>
      <c r="C785" t="s">
        <v>125</v>
      </c>
      <c r="D785" t="s">
        <v>46</v>
      </c>
      <c r="E785" t="s">
        <v>167</v>
      </c>
      <c r="F785" t="s">
        <v>28</v>
      </c>
      <c r="G785">
        <v>4</v>
      </c>
      <c r="H785">
        <v>1348.88</v>
      </c>
      <c r="I785">
        <v>0</v>
      </c>
      <c r="J785">
        <v>848.01</v>
      </c>
      <c r="K785" t="s">
        <v>17</v>
      </c>
      <c r="L785" t="s">
        <v>18</v>
      </c>
      <c r="M785">
        <f t="shared" si="60"/>
        <v>5395.52</v>
      </c>
      <c r="N785">
        <f t="shared" si="61"/>
        <v>2003.4800000000005</v>
      </c>
      <c r="O785" t="str">
        <f t="shared" si="62"/>
        <v>Friday</v>
      </c>
      <c r="P785" t="b">
        <f t="shared" si="63"/>
        <v>0</v>
      </c>
      <c r="Q785" t="str">
        <f t="shared" si="64"/>
        <v>October</v>
      </c>
    </row>
    <row r="786" spans="1:17" x14ac:dyDescent="0.4">
      <c r="A786" t="s">
        <v>1141</v>
      </c>
      <c r="B786" s="1">
        <v>45862</v>
      </c>
      <c r="C786" t="s">
        <v>35</v>
      </c>
      <c r="D786" t="s">
        <v>14</v>
      </c>
      <c r="E786" t="s">
        <v>599</v>
      </c>
      <c r="F786" t="s">
        <v>23</v>
      </c>
      <c r="G786">
        <v>2</v>
      </c>
      <c r="H786">
        <v>1567</v>
      </c>
      <c r="I786">
        <v>20</v>
      </c>
      <c r="J786">
        <v>913.21</v>
      </c>
      <c r="K786" t="s">
        <v>24</v>
      </c>
      <c r="L786" t="s">
        <v>37</v>
      </c>
      <c r="M786">
        <f t="shared" si="60"/>
        <v>2507.2000000000003</v>
      </c>
      <c r="N786">
        <f t="shared" si="61"/>
        <v>680.7800000000002</v>
      </c>
      <c r="O786" t="str">
        <f t="shared" si="62"/>
        <v>Thursday</v>
      </c>
      <c r="P786" t="b">
        <f t="shared" si="63"/>
        <v>0</v>
      </c>
      <c r="Q786" t="str">
        <f t="shared" si="64"/>
        <v>July</v>
      </c>
    </row>
    <row r="787" spans="1:17" x14ac:dyDescent="0.4">
      <c r="A787" t="s">
        <v>1142</v>
      </c>
      <c r="B787" s="1">
        <v>45951</v>
      </c>
      <c r="C787" t="s">
        <v>146</v>
      </c>
      <c r="D787" t="s">
        <v>14</v>
      </c>
      <c r="E787" t="s">
        <v>438</v>
      </c>
      <c r="F787" t="s">
        <v>28</v>
      </c>
      <c r="G787">
        <v>4</v>
      </c>
      <c r="H787">
        <v>1882.25</v>
      </c>
      <c r="I787">
        <v>5</v>
      </c>
      <c r="J787">
        <v>1134.21</v>
      </c>
      <c r="K787" t="s">
        <v>17</v>
      </c>
      <c r="L787" t="s">
        <v>18</v>
      </c>
      <c r="M787">
        <f t="shared" si="60"/>
        <v>7152.5499999999993</v>
      </c>
      <c r="N787">
        <f t="shared" si="61"/>
        <v>2615.7099999999991</v>
      </c>
      <c r="O787" t="str">
        <f t="shared" si="62"/>
        <v>Tuesday</v>
      </c>
      <c r="P787" t="b">
        <f t="shared" si="63"/>
        <v>0</v>
      </c>
      <c r="Q787" t="str">
        <f t="shared" si="64"/>
        <v>October</v>
      </c>
    </row>
    <row r="788" spans="1:17" x14ac:dyDescent="0.4">
      <c r="A788" t="s">
        <v>1143</v>
      </c>
      <c r="B788" s="1">
        <v>45547</v>
      </c>
      <c r="C788" t="s">
        <v>302</v>
      </c>
      <c r="D788" t="s">
        <v>14</v>
      </c>
      <c r="E788" t="s">
        <v>357</v>
      </c>
      <c r="F788" t="s">
        <v>16</v>
      </c>
      <c r="G788">
        <v>3</v>
      </c>
      <c r="H788">
        <v>1437.6</v>
      </c>
      <c r="I788">
        <v>25</v>
      </c>
      <c r="J788">
        <v>601.58000000000004</v>
      </c>
      <c r="K788" t="s">
        <v>17</v>
      </c>
      <c r="L788" t="s">
        <v>18</v>
      </c>
      <c r="M788">
        <f t="shared" si="60"/>
        <v>3234.5999999999995</v>
      </c>
      <c r="N788">
        <f t="shared" si="61"/>
        <v>1429.8599999999992</v>
      </c>
      <c r="O788" t="str">
        <f t="shared" si="62"/>
        <v>Thursday</v>
      </c>
      <c r="P788" t="b">
        <f t="shared" si="63"/>
        <v>0</v>
      </c>
      <c r="Q788" t="str">
        <f t="shared" si="64"/>
        <v>September</v>
      </c>
    </row>
    <row r="789" spans="1:17" x14ac:dyDescent="0.4">
      <c r="A789" t="s">
        <v>1144</v>
      </c>
      <c r="B789" s="1">
        <v>45316</v>
      </c>
      <c r="C789" t="s">
        <v>182</v>
      </c>
      <c r="D789" t="s">
        <v>46</v>
      </c>
      <c r="E789" t="s">
        <v>123</v>
      </c>
      <c r="F789" t="s">
        <v>28</v>
      </c>
      <c r="G789">
        <v>2</v>
      </c>
      <c r="H789">
        <v>549.04</v>
      </c>
      <c r="I789">
        <v>10</v>
      </c>
      <c r="J789">
        <v>316.66000000000003</v>
      </c>
      <c r="K789" t="s">
        <v>24</v>
      </c>
      <c r="L789" t="s">
        <v>33</v>
      </c>
      <c r="M789">
        <f t="shared" si="60"/>
        <v>988.27199999999993</v>
      </c>
      <c r="N789">
        <f t="shared" si="61"/>
        <v>354.95199999999988</v>
      </c>
      <c r="O789" t="str">
        <f t="shared" si="62"/>
        <v>Thursday</v>
      </c>
      <c r="P789" t="b">
        <f t="shared" si="63"/>
        <v>0</v>
      </c>
      <c r="Q789" t="str">
        <f t="shared" si="64"/>
        <v>January</v>
      </c>
    </row>
    <row r="790" spans="1:17" x14ac:dyDescent="0.4">
      <c r="A790" t="s">
        <v>1145</v>
      </c>
      <c r="B790" s="1">
        <v>45713</v>
      </c>
      <c r="C790" t="s">
        <v>54</v>
      </c>
      <c r="D790" t="s">
        <v>14</v>
      </c>
      <c r="E790" t="s">
        <v>1065</v>
      </c>
      <c r="F790" t="s">
        <v>23</v>
      </c>
      <c r="G790">
        <v>3</v>
      </c>
      <c r="H790">
        <v>1312.65</v>
      </c>
      <c r="I790">
        <v>30</v>
      </c>
      <c r="J790">
        <v>536.1</v>
      </c>
      <c r="K790" t="s">
        <v>17</v>
      </c>
      <c r="L790" t="s">
        <v>33</v>
      </c>
      <c r="M790">
        <f t="shared" si="60"/>
        <v>2756.5650000000001</v>
      </c>
      <c r="N790">
        <f t="shared" si="61"/>
        <v>1148.2649999999999</v>
      </c>
      <c r="O790" t="str">
        <f t="shared" si="62"/>
        <v>Tuesday</v>
      </c>
      <c r="P790" t="b">
        <f t="shared" si="63"/>
        <v>0</v>
      </c>
      <c r="Q790" t="str">
        <f t="shared" si="64"/>
        <v>February</v>
      </c>
    </row>
    <row r="791" spans="1:17" x14ac:dyDescent="0.4">
      <c r="A791" t="s">
        <v>1146</v>
      </c>
      <c r="B791" s="1">
        <v>45602</v>
      </c>
      <c r="C791" t="s">
        <v>109</v>
      </c>
      <c r="D791" t="s">
        <v>14</v>
      </c>
      <c r="E791" t="s">
        <v>458</v>
      </c>
      <c r="F791" t="s">
        <v>23</v>
      </c>
      <c r="G791">
        <v>1</v>
      </c>
      <c r="H791">
        <v>2116.9499999999998</v>
      </c>
      <c r="I791">
        <v>25</v>
      </c>
      <c r="J791">
        <v>1205.6099999999999</v>
      </c>
      <c r="K791" t="s">
        <v>24</v>
      </c>
      <c r="L791" t="s">
        <v>33</v>
      </c>
      <c r="M791">
        <f t="shared" si="60"/>
        <v>1587.7124999999999</v>
      </c>
      <c r="N791">
        <f t="shared" si="61"/>
        <v>382.10249999999996</v>
      </c>
      <c r="O791" t="str">
        <f t="shared" si="62"/>
        <v>Wednesday</v>
      </c>
      <c r="P791" t="b">
        <f t="shared" si="63"/>
        <v>0</v>
      </c>
      <c r="Q791" t="str">
        <f t="shared" si="64"/>
        <v>November</v>
      </c>
    </row>
    <row r="792" spans="1:17" x14ac:dyDescent="0.4">
      <c r="A792" t="s">
        <v>1147</v>
      </c>
      <c r="B792" s="1">
        <v>45603</v>
      </c>
      <c r="C792" t="s">
        <v>26</v>
      </c>
      <c r="D792" t="s">
        <v>46</v>
      </c>
      <c r="E792" t="s">
        <v>231</v>
      </c>
      <c r="F792" t="s">
        <v>28</v>
      </c>
      <c r="G792">
        <v>3</v>
      </c>
      <c r="H792">
        <v>2455.8000000000002</v>
      </c>
      <c r="I792">
        <v>30</v>
      </c>
      <c r="J792">
        <v>1420.61</v>
      </c>
      <c r="K792" t="s">
        <v>24</v>
      </c>
      <c r="L792" t="s">
        <v>37</v>
      </c>
      <c r="M792">
        <f t="shared" si="60"/>
        <v>5157.18</v>
      </c>
      <c r="N792">
        <f t="shared" si="61"/>
        <v>895.35000000000036</v>
      </c>
      <c r="O792" t="str">
        <f t="shared" si="62"/>
        <v>Thursday</v>
      </c>
      <c r="P792" t="b">
        <f t="shared" si="63"/>
        <v>0</v>
      </c>
      <c r="Q792" t="str">
        <f t="shared" si="64"/>
        <v>November</v>
      </c>
    </row>
    <row r="793" spans="1:17" x14ac:dyDescent="0.4">
      <c r="A793" t="s">
        <v>1148</v>
      </c>
      <c r="B793" s="1">
        <v>45339</v>
      </c>
      <c r="C793" t="s">
        <v>42</v>
      </c>
      <c r="D793" t="s">
        <v>21</v>
      </c>
      <c r="E793" t="s">
        <v>577</v>
      </c>
      <c r="F793" t="s">
        <v>16</v>
      </c>
      <c r="G793">
        <v>5</v>
      </c>
      <c r="H793">
        <v>2736.09</v>
      </c>
      <c r="I793">
        <v>30</v>
      </c>
      <c r="J793">
        <v>1900.17</v>
      </c>
      <c r="K793" t="s">
        <v>17</v>
      </c>
      <c r="L793" t="s">
        <v>33</v>
      </c>
      <c r="M793">
        <f t="shared" si="60"/>
        <v>9576.3150000000005</v>
      </c>
      <c r="N793">
        <f t="shared" si="61"/>
        <v>75.465000000000146</v>
      </c>
      <c r="O793" t="str">
        <f t="shared" si="62"/>
        <v>Saturday</v>
      </c>
      <c r="P793" t="b">
        <f t="shared" si="63"/>
        <v>1</v>
      </c>
      <c r="Q793" t="str">
        <f t="shared" si="64"/>
        <v>February</v>
      </c>
    </row>
    <row r="794" spans="1:17" x14ac:dyDescent="0.4">
      <c r="A794" t="s">
        <v>1149</v>
      </c>
      <c r="B794" s="1">
        <v>45986</v>
      </c>
      <c r="C794" t="s">
        <v>309</v>
      </c>
      <c r="D794" t="s">
        <v>21</v>
      </c>
      <c r="E794" t="s">
        <v>507</v>
      </c>
      <c r="F794" t="s">
        <v>28</v>
      </c>
      <c r="G794">
        <v>4</v>
      </c>
      <c r="H794">
        <v>1777.9</v>
      </c>
      <c r="I794">
        <v>0</v>
      </c>
      <c r="J794">
        <v>955.53</v>
      </c>
      <c r="K794" t="s">
        <v>17</v>
      </c>
      <c r="L794" t="s">
        <v>18</v>
      </c>
      <c r="M794">
        <f t="shared" si="60"/>
        <v>7111.6</v>
      </c>
      <c r="N794">
        <f t="shared" si="61"/>
        <v>3289.4800000000005</v>
      </c>
      <c r="O794" t="str">
        <f t="shared" si="62"/>
        <v>Tuesday</v>
      </c>
      <c r="P794" t="b">
        <f t="shared" si="63"/>
        <v>0</v>
      </c>
      <c r="Q794" t="str">
        <f t="shared" si="64"/>
        <v>November</v>
      </c>
    </row>
    <row r="795" spans="1:17" x14ac:dyDescent="0.4">
      <c r="A795" t="s">
        <v>1150</v>
      </c>
      <c r="B795" s="1">
        <v>45724</v>
      </c>
      <c r="C795" t="s">
        <v>39</v>
      </c>
      <c r="D795" t="s">
        <v>31</v>
      </c>
      <c r="E795" t="s">
        <v>690</v>
      </c>
      <c r="F795" t="s">
        <v>23</v>
      </c>
      <c r="G795">
        <v>2</v>
      </c>
      <c r="H795">
        <v>2553.06</v>
      </c>
      <c r="I795">
        <v>25</v>
      </c>
      <c r="J795">
        <v>1704.62</v>
      </c>
      <c r="K795" t="s">
        <v>17</v>
      </c>
      <c r="L795" t="s">
        <v>33</v>
      </c>
      <c r="M795">
        <f t="shared" si="60"/>
        <v>3829.59</v>
      </c>
      <c r="N795">
        <f t="shared" si="61"/>
        <v>420.35000000000036</v>
      </c>
      <c r="O795" t="str">
        <f t="shared" si="62"/>
        <v>Saturday</v>
      </c>
      <c r="P795" t="b">
        <f t="shared" si="63"/>
        <v>1</v>
      </c>
      <c r="Q795" t="str">
        <f t="shared" si="64"/>
        <v>March</v>
      </c>
    </row>
    <row r="796" spans="1:17" x14ac:dyDescent="0.4">
      <c r="A796" t="s">
        <v>1151</v>
      </c>
      <c r="B796" s="1">
        <v>45570</v>
      </c>
      <c r="C796" t="s">
        <v>84</v>
      </c>
      <c r="D796" t="s">
        <v>21</v>
      </c>
      <c r="E796" t="s">
        <v>249</v>
      </c>
      <c r="F796" t="s">
        <v>16</v>
      </c>
      <c r="G796">
        <v>1</v>
      </c>
      <c r="H796">
        <v>1453.73</v>
      </c>
      <c r="I796">
        <v>10</v>
      </c>
      <c r="J796">
        <v>938.66</v>
      </c>
      <c r="K796" t="s">
        <v>24</v>
      </c>
      <c r="L796" t="s">
        <v>18</v>
      </c>
      <c r="M796">
        <f t="shared" si="60"/>
        <v>1308.357</v>
      </c>
      <c r="N796">
        <f t="shared" si="61"/>
        <v>369.697</v>
      </c>
      <c r="O796" t="str">
        <f t="shared" si="62"/>
        <v>Saturday</v>
      </c>
      <c r="P796" t="b">
        <f t="shared" si="63"/>
        <v>1</v>
      </c>
      <c r="Q796" t="str">
        <f t="shared" si="64"/>
        <v>October</v>
      </c>
    </row>
    <row r="797" spans="1:17" x14ac:dyDescent="0.4">
      <c r="A797" t="s">
        <v>1152</v>
      </c>
      <c r="B797" s="1">
        <v>45474</v>
      </c>
      <c r="C797" t="s">
        <v>92</v>
      </c>
      <c r="D797" t="s">
        <v>46</v>
      </c>
      <c r="E797" t="s">
        <v>346</v>
      </c>
      <c r="F797" t="s">
        <v>28</v>
      </c>
      <c r="G797">
        <v>2</v>
      </c>
      <c r="H797">
        <v>609.62</v>
      </c>
      <c r="I797">
        <v>25</v>
      </c>
      <c r="J797">
        <v>283.99</v>
      </c>
      <c r="K797" t="s">
        <v>17</v>
      </c>
      <c r="L797" t="s">
        <v>18</v>
      </c>
      <c r="M797">
        <f t="shared" si="60"/>
        <v>914.43000000000006</v>
      </c>
      <c r="N797">
        <f t="shared" si="61"/>
        <v>346.45000000000005</v>
      </c>
      <c r="O797" t="str">
        <f t="shared" si="62"/>
        <v>Monday</v>
      </c>
      <c r="P797" t="b">
        <f t="shared" si="63"/>
        <v>0</v>
      </c>
      <c r="Q797" t="str">
        <f t="shared" si="64"/>
        <v>July</v>
      </c>
    </row>
    <row r="798" spans="1:17" x14ac:dyDescent="0.4">
      <c r="A798" t="s">
        <v>1153</v>
      </c>
      <c r="B798" s="1">
        <v>45370</v>
      </c>
      <c r="C798" t="s">
        <v>59</v>
      </c>
      <c r="D798" t="s">
        <v>21</v>
      </c>
      <c r="E798" t="s">
        <v>1154</v>
      </c>
      <c r="F798" t="s">
        <v>23</v>
      </c>
      <c r="G798">
        <v>1</v>
      </c>
      <c r="H798">
        <v>1437.72</v>
      </c>
      <c r="I798">
        <v>30</v>
      </c>
      <c r="J798">
        <v>902.22</v>
      </c>
      <c r="K798" t="s">
        <v>24</v>
      </c>
      <c r="L798" t="s">
        <v>37</v>
      </c>
      <c r="M798">
        <f t="shared" si="60"/>
        <v>1006.404</v>
      </c>
      <c r="N798">
        <f t="shared" si="61"/>
        <v>104.18399999999997</v>
      </c>
      <c r="O798" t="str">
        <f t="shared" si="62"/>
        <v>Tuesday</v>
      </c>
      <c r="P798" t="b">
        <f t="shared" si="63"/>
        <v>0</v>
      </c>
      <c r="Q798" t="str">
        <f t="shared" si="64"/>
        <v>March</v>
      </c>
    </row>
    <row r="799" spans="1:17" x14ac:dyDescent="0.4">
      <c r="A799" t="s">
        <v>1155</v>
      </c>
      <c r="B799" s="1">
        <v>45431</v>
      </c>
      <c r="C799" t="s">
        <v>95</v>
      </c>
      <c r="D799" t="s">
        <v>46</v>
      </c>
      <c r="E799" t="s">
        <v>741</v>
      </c>
      <c r="F799" t="s">
        <v>23</v>
      </c>
      <c r="G799">
        <v>4</v>
      </c>
      <c r="H799">
        <v>1678.57</v>
      </c>
      <c r="I799">
        <v>20</v>
      </c>
      <c r="J799">
        <v>1161.6400000000001</v>
      </c>
      <c r="K799" t="s">
        <v>24</v>
      </c>
      <c r="L799" t="s">
        <v>37</v>
      </c>
      <c r="M799">
        <f t="shared" si="60"/>
        <v>5371.424</v>
      </c>
      <c r="N799">
        <f t="shared" si="61"/>
        <v>724.86399999999958</v>
      </c>
      <c r="O799" t="str">
        <f t="shared" si="62"/>
        <v>Sunday</v>
      </c>
      <c r="P799" t="b">
        <f t="shared" si="63"/>
        <v>1</v>
      </c>
      <c r="Q799" t="str">
        <f t="shared" si="64"/>
        <v>May</v>
      </c>
    </row>
    <row r="800" spans="1:17" x14ac:dyDescent="0.4">
      <c r="A800" t="s">
        <v>1156</v>
      </c>
      <c r="B800" s="1">
        <v>45398</v>
      </c>
      <c r="C800" t="s">
        <v>457</v>
      </c>
      <c r="D800" t="s">
        <v>46</v>
      </c>
      <c r="E800" t="s">
        <v>322</v>
      </c>
      <c r="F800" t="s">
        <v>16</v>
      </c>
      <c r="G800">
        <v>1</v>
      </c>
      <c r="H800">
        <v>2847.55</v>
      </c>
      <c r="I800">
        <v>5</v>
      </c>
      <c r="J800">
        <v>1571.55</v>
      </c>
      <c r="K800" t="s">
        <v>17</v>
      </c>
      <c r="L800" t="s">
        <v>33</v>
      </c>
      <c r="M800">
        <f t="shared" si="60"/>
        <v>2705.1725000000001</v>
      </c>
      <c r="N800">
        <f t="shared" si="61"/>
        <v>1133.6225000000002</v>
      </c>
      <c r="O800" t="str">
        <f t="shared" si="62"/>
        <v>Tuesday</v>
      </c>
      <c r="P800" t="b">
        <f t="shared" si="63"/>
        <v>0</v>
      </c>
      <c r="Q800" t="str">
        <f t="shared" si="64"/>
        <v>April</v>
      </c>
    </row>
    <row r="801" spans="1:17" x14ac:dyDescent="0.4">
      <c r="A801" t="s">
        <v>1157</v>
      </c>
      <c r="B801" s="1">
        <v>45928</v>
      </c>
      <c r="C801" t="s">
        <v>253</v>
      </c>
      <c r="D801" t="s">
        <v>31</v>
      </c>
      <c r="E801" t="s">
        <v>75</v>
      </c>
      <c r="F801" t="s">
        <v>23</v>
      </c>
      <c r="G801">
        <v>4</v>
      </c>
      <c r="H801">
        <v>975.48</v>
      </c>
      <c r="I801">
        <v>15</v>
      </c>
      <c r="J801">
        <v>607.59</v>
      </c>
      <c r="K801" t="s">
        <v>17</v>
      </c>
      <c r="L801" t="s">
        <v>18</v>
      </c>
      <c r="M801">
        <f t="shared" si="60"/>
        <v>3316.6320000000001</v>
      </c>
      <c r="N801">
        <f t="shared" si="61"/>
        <v>886.27199999999993</v>
      </c>
      <c r="O801" t="str">
        <f t="shared" si="62"/>
        <v>Sunday</v>
      </c>
      <c r="P801" t="b">
        <f t="shared" si="63"/>
        <v>1</v>
      </c>
      <c r="Q801" t="str">
        <f t="shared" si="64"/>
        <v>September</v>
      </c>
    </row>
    <row r="802" spans="1:17" x14ac:dyDescent="0.4">
      <c r="A802" t="s">
        <v>1158</v>
      </c>
      <c r="B802" s="1">
        <v>45339</v>
      </c>
      <c r="C802" t="s">
        <v>375</v>
      </c>
      <c r="D802" t="s">
        <v>46</v>
      </c>
      <c r="E802" t="s">
        <v>311</v>
      </c>
      <c r="F802" t="s">
        <v>23</v>
      </c>
      <c r="G802">
        <v>3</v>
      </c>
      <c r="H802">
        <v>1068</v>
      </c>
      <c r="I802">
        <v>25</v>
      </c>
      <c r="J802">
        <v>680.68</v>
      </c>
      <c r="K802" t="s">
        <v>17</v>
      </c>
      <c r="L802" t="s">
        <v>37</v>
      </c>
      <c r="M802">
        <f t="shared" si="60"/>
        <v>2403</v>
      </c>
      <c r="N802">
        <f t="shared" si="61"/>
        <v>360.96000000000004</v>
      </c>
      <c r="O802" t="str">
        <f t="shared" si="62"/>
        <v>Saturday</v>
      </c>
      <c r="P802" t="b">
        <f t="shared" si="63"/>
        <v>1</v>
      </c>
      <c r="Q802" t="str">
        <f t="shared" si="64"/>
        <v>February</v>
      </c>
    </row>
    <row r="803" spans="1:17" x14ac:dyDescent="0.4">
      <c r="A803" t="s">
        <v>1159</v>
      </c>
      <c r="B803" s="1">
        <v>45474</v>
      </c>
      <c r="C803" t="s">
        <v>267</v>
      </c>
      <c r="D803" t="s">
        <v>46</v>
      </c>
      <c r="E803" t="s">
        <v>1160</v>
      </c>
      <c r="F803" t="s">
        <v>28</v>
      </c>
      <c r="G803">
        <v>4</v>
      </c>
      <c r="H803">
        <v>2628.97</v>
      </c>
      <c r="I803">
        <v>10</v>
      </c>
      <c r="J803">
        <v>1266.6300000000001</v>
      </c>
      <c r="K803" t="s">
        <v>17</v>
      </c>
      <c r="L803" t="s">
        <v>37</v>
      </c>
      <c r="M803">
        <f t="shared" si="60"/>
        <v>9464.2919999999995</v>
      </c>
      <c r="N803">
        <f t="shared" si="61"/>
        <v>4397.771999999999</v>
      </c>
      <c r="O803" t="str">
        <f t="shared" si="62"/>
        <v>Monday</v>
      </c>
      <c r="P803" t="b">
        <f t="shared" si="63"/>
        <v>0</v>
      </c>
      <c r="Q803" t="str">
        <f t="shared" si="64"/>
        <v>July</v>
      </c>
    </row>
    <row r="804" spans="1:17" x14ac:dyDescent="0.4">
      <c r="A804" t="s">
        <v>1161</v>
      </c>
      <c r="B804" s="1">
        <v>45983</v>
      </c>
      <c r="C804" t="s">
        <v>114</v>
      </c>
      <c r="D804" t="s">
        <v>21</v>
      </c>
      <c r="E804" t="s">
        <v>757</v>
      </c>
      <c r="F804" t="s">
        <v>28</v>
      </c>
      <c r="G804">
        <v>4</v>
      </c>
      <c r="H804">
        <v>340.79</v>
      </c>
      <c r="I804">
        <v>10</v>
      </c>
      <c r="J804">
        <v>190.55</v>
      </c>
      <c r="K804" t="s">
        <v>17</v>
      </c>
      <c r="L804" t="s">
        <v>33</v>
      </c>
      <c r="M804">
        <f t="shared" si="60"/>
        <v>1226.8440000000001</v>
      </c>
      <c r="N804">
        <f t="shared" si="61"/>
        <v>464.64400000000001</v>
      </c>
      <c r="O804" t="str">
        <f t="shared" si="62"/>
        <v>Saturday</v>
      </c>
      <c r="P804" t="b">
        <f t="shared" si="63"/>
        <v>1</v>
      </c>
      <c r="Q804" t="str">
        <f t="shared" si="64"/>
        <v>November</v>
      </c>
    </row>
    <row r="805" spans="1:17" x14ac:dyDescent="0.4">
      <c r="A805" t="s">
        <v>1162</v>
      </c>
      <c r="B805" s="1">
        <v>45944</v>
      </c>
      <c r="C805" t="s">
        <v>149</v>
      </c>
      <c r="D805" t="s">
        <v>31</v>
      </c>
      <c r="E805" t="s">
        <v>425</v>
      </c>
      <c r="F805" t="s">
        <v>16</v>
      </c>
      <c r="G805">
        <v>4</v>
      </c>
      <c r="H805">
        <v>557.29</v>
      </c>
      <c r="I805">
        <v>15</v>
      </c>
      <c r="J805">
        <v>273.77999999999997</v>
      </c>
      <c r="K805" t="s">
        <v>17</v>
      </c>
      <c r="L805" t="s">
        <v>18</v>
      </c>
      <c r="M805">
        <f t="shared" si="60"/>
        <v>1894.7859999999998</v>
      </c>
      <c r="N805">
        <f t="shared" si="61"/>
        <v>799.66599999999994</v>
      </c>
      <c r="O805" t="str">
        <f t="shared" si="62"/>
        <v>Tuesday</v>
      </c>
      <c r="P805" t="b">
        <f t="shared" si="63"/>
        <v>0</v>
      </c>
      <c r="Q805" t="str">
        <f t="shared" si="64"/>
        <v>October</v>
      </c>
    </row>
    <row r="806" spans="1:17" x14ac:dyDescent="0.4">
      <c r="A806" t="s">
        <v>1163</v>
      </c>
      <c r="B806" s="1">
        <v>45893</v>
      </c>
      <c r="C806" t="s">
        <v>71</v>
      </c>
      <c r="D806" t="s">
        <v>31</v>
      </c>
      <c r="E806" t="s">
        <v>1164</v>
      </c>
      <c r="F806" t="s">
        <v>23</v>
      </c>
      <c r="G806">
        <v>4</v>
      </c>
      <c r="H806">
        <v>2930.08</v>
      </c>
      <c r="I806">
        <v>5</v>
      </c>
      <c r="J806">
        <v>1401.32</v>
      </c>
      <c r="K806" t="s">
        <v>24</v>
      </c>
      <c r="L806" t="s">
        <v>18</v>
      </c>
      <c r="M806">
        <f t="shared" si="60"/>
        <v>11134.304</v>
      </c>
      <c r="N806">
        <f t="shared" si="61"/>
        <v>5529.0240000000003</v>
      </c>
      <c r="O806" t="str">
        <f t="shared" si="62"/>
        <v>Sunday</v>
      </c>
      <c r="P806" t="b">
        <f t="shared" si="63"/>
        <v>1</v>
      </c>
      <c r="Q806" t="str">
        <f t="shared" si="64"/>
        <v>August</v>
      </c>
    </row>
    <row r="807" spans="1:17" x14ac:dyDescent="0.4">
      <c r="A807" t="s">
        <v>1165</v>
      </c>
      <c r="B807" s="1">
        <v>45666</v>
      </c>
      <c r="C807" t="s">
        <v>182</v>
      </c>
      <c r="D807" t="s">
        <v>31</v>
      </c>
      <c r="E807" t="s">
        <v>354</v>
      </c>
      <c r="F807" t="s">
        <v>28</v>
      </c>
      <c r="G807">
        <v>4</v>
      </c>
      <c r="H807">
        <v>1311.57</v>
      </c>
      <c r="I807">
        <v>15</v>
      </c>
      <c r="J807">
        <v>779.44</v>
      </c>
      <c r="K807" t="s">
        <v>17</v>
      </c>
      <c r="L807" t="s">
        <v>18</v>
      </c>
      <c r="M807">
        <f t="shared" si="60"/>
        <v>4459.3379999999997</v>
      </c>
      <c r="N807">
        <f t="shared" si="61"/>
        <v>1341.5779999999995</v>
      </c>
      <c r="O807" t="str">
        <f t="shared" si="62"/>
        <v>Thursday</v>
      </c>
      <c r="P807" t="b">
        <f t="shared" si="63"/>
        <v>0</v>
      </c>
      <c r="Q807" t="str">
        <f t="shared" si="64"/>
        <v>January</v>
      </c>
    </row>
    <row r="808" spans="1:17" x14ac:dyDescent="0.4">
      <c r="A808" t="s">
        <v>1166</v>
      </c>
      <c r="B808" s="1">
        <v>45298</v>
      </c>
      <c r="C808" t="s">
        <v>89</v>
      </c>
      <c r="D808" t="s">
        <v>31</v>
      </c>
      <c r="E808" t="s">
        <v>846</v>
      </c>
      <c r="F808" t="s">
        <v>16</v>
      </c>
      <c r="G808">
        <v>4</v>
      </c>
      <c r="H808">
        <v>951.82</v>
      </c>
      <c r="I808">
        <v>15</v>
      </c>
      <c r="J808">
        <v>589.86</v>
      </c>
      <c r="K808" t="s">
        <v>24</v>
      </c>
      <c r="L808" t="s">
        <v>18</v>
      </c>
      <c r="M808">
        <f t="shared" si="60"/>
        <v>3236.1880000000001</v>
      </c>
      <c r="N808">
        <f t="shared" si="61"/>
        <v>876.74800000000005</v>
      </c>
      <c r="O808" t="str">
        <f t="shared" si="62"/>
        <v>Sunday</v>
      </c>
      <c r="P808" t="b">
        <f t="shared" si="63"/>
        <v>1</v>
      </c>
      <c r="Q808" t="str">
        <f t="shared" si="64"/>
        <v>January</v>
      </c>
    </row>
    <row r="809" spans="1:17" x14ac:dyDescent="0.4">
      <c r="A809" t="s">
        <v>1167</v>
      </c>
      <c r="B809" s="1">
        <v>45363</v>
      </c>
      <c r="C809" t="s">
        <v>144</v>
      </c>
      <c r="D809" t="s">
        <v>46</v>
      </c>
      <c r="E809" t="s">
        <v>837</v>
      </c>
      <c r="F809" t="s">
        <v>23</v>
      </c>
      <c r="G809">
        <v>1</v>
      </c>
      <c r="H809">
        <v>1508.6</v>
      </c>
      <c r="I809">
        <v>25</v>
      </c>
      <c r="J809">
        <v>737.29</v>
      </c>
      <c r="K809" t="s">
        <v>17</v>
      </c>
      <c r="L809" t="s">
        <v>37</v>
      </c>
      <c r="M809">
        <f t="shared" si="60"/>
        <v>1131.4499999999998</v>
      </c>
      <c r="N809">
        <f t="shared" si="61"/>
        <v>394.15999999999985</v>
      </c>
      <c r="O809" t="str">
        <f t="shared" si="62"/>
        <v>Tuesday</v>
      </c>
      <c r="P809" t="b">
        <f t="shared" si="63"/>
        <v>0</v>
      </c>
      <c r="Q809" t="str">
        <f t="shared" si="64"/>
        <v>March</v>
      </c>
    </row>
    <row r="810" spans="1:17" x14ac:dyDescent="0.4">
      <c r="A810" t="s">
        <v>1168</v>
      </c>
      <c r="B810" s="1">
        <v>45440</v>
      </c>
      <c r="C810" t="s">
        <v>273</v>
      </c>
      <c r="D810" t="s">
        <v>14</v>
      </c>
      <c r="E810" t="s">
        <v>72</v>
      </c>
      <c r="F810" t="s">
        <v>28</v>
      </c>
      <c r="G810">
        <v>3</v>
      </c>
      <c r="H810">
        <v>1026.31</v>
      </c>
      <c r="I810">
        <v>10</v>
      </c>
      <c r="J810">
        <v>591.98</v>
      </c>
      <c r="K810" t="s">
        <v>17</v>
      </c>
      <c r="L810" t="s">
        <v>37</v>
      </c>
      <c r="M810">
        <f t="shared" si="60"/>
        <v>2771.0369999999998</v>
      </c>
      <c r="N810">
        <f t="shared" si="61"/>
        <v>995.09699999999975</v>
      </c>
      <c r="O810" t="str">
        <f t="shared" si="62"/>
        <v>Tuesday</v>
      </c>
      <c r="P810" t="b">
        <f t="shared" si="63"/>
        <v>0</v>
      </c>
      <c r="Q810" t="str">
        <f t="shared" si="64"/>
        <v>May</v>
      </c>
    </row>
    <row r="811" spans="1:17" x14ac:dyDescent="0.4">
      <c r="A811" t="s">
        <v>1169</v>
      </c>
      <c r="B811" s="1">
        <v>45677</v>
      </c>
      <c r="C811" t="s">
        <v>35</v>
      </c>
      <c r="D811" t="s">
        <v>21</v>
      </c>
      <c r="E811" t="s">
        <v>1170</v>
      </c>
      <c r="F811" t="s">
        <v>23</v>
      </c>
      <c r="G811">
        <v>5</v>
      </c>
      <c r="H811">
        <v>1627.84</v>
      </c>
      <c r="I811">
        <v>20</v>
      </c>
      <c r="J811">
        <v>763.31</v>
      </c>
      <c r="K811" t="s">
        <v>24</v>
      </c>
      <c r="L811" t="s">
        <v>37</v>
      </c>
      <c r="M811">
        <f t="shared" si="60"/>
        <v>6511.3600000000006</v>
      </c>
      <c r="N811">
        <f t="shared" si="61"/>
        <v>2694.8100000000009</v>
      </c>
      <c r="O811" t="str">
        <f t="shared" si="62"/>
        <v>Monday</v>
      </c>
      <c r="P811" t="b">
        <f t="shared" si="63"/>
        <v>0</v>
      </c>
      <c r="Q811" t="str">
        <f t="shared" si="64"/>
        <v>January</v>
      </c>
    </row>
    <row r="812" spans="1:17" x14ac:dyDescent="0.4">
      <c r="A812" t="s">
        <v>1171</v>
      </c>
      <c r="B812" s="1">
        <v>45477</v>
      </c>
      <c r="C812" t="s">
        <v>20</v>
      </c>
      <c r="D812" t="s">
        <v>14</v>
      </c>
      <c r="E812" t="s">
        <v>843</v>
      </c>
      <c r="F812" t="s">
        <v>23</v>
      </c>
      <c r="G812">
        <v>4</v>
      </c>
      <c r="H812">
        <v>2907.28</v>
      </c>
      <c r="I812">
        <v>10</v>
      </c>
      <c r="J812">
        <v>1253.3</v>
      </c>
      <c r="K812" t="s">
        <v>24</v>
      </c>
      <c r="L812" t="s">
        <v>33</v>
      </c>
      <c r="M812">
        <f t="shared" si="60"/>
        <v>10466.208000000001</v>
      </c>
      <c r="N812">
        <f t="shared" si="61"/>
        <v>5453.0080000000007</v>
      </c>
      <c r="O812" t="str">
        <f t="shared" si="62"/>
        <v>Thursday</v>
      </c>
      <c r="P812" t="b">
        <f t="shared" si="63"/>
        <v>0</v>
      </c>
      <c r="Q812" t="str">
        <f t="shared" si="64"/>
        <v>July</v>
      </c>
    </row>
    <row r="813" spans="1:17" x14ac:dyDescent="0.4">
      <c r="A813" t="s">
        <v>1172</v>
      </c>
      <c r="B813" s="1">
        <v>45747</v>
      </c>
      <c r="C813" t="s">
        <v>182</v>
      </c>
      <c r="D813" t="s">
        <v>31</v>
      </c>
      <c r="E813" t="s">
        <v>346</v>
      </c>
      <c r="F813" t="s">
        <v>28</v>
      </c>
      <c r="G813">
        <v>5</v>
      </c>
      <c r="H813">
        <v>2190.38</v>
      </c>
      <c r="I813">
        <v>10</v>
      </c>
      <c r="J813">
        <v>945.05</v>
      </c>
      <c r="K813" t="s">
        <v>24</v>
      </c>
      <c r="L813" t="s">
        <v>18</v>
      </c>
      <c r="M813">
        <f t="shared" si="60"/>
        <v>9856.7100000000009</v>
      </c>
      <c r="N813">
        <f t="shared" si="61"/>
        <v>5131.4600000000009</v>
      </c>
      <c r="O813" t="str">
        <f t="shared" si="62"/>
        <v>Monday</v>
      </c>
      <c r="P813" t="b">
        <f t="shared" si="63"/>
        <v>0</v>
      </c>
      <c r="Q813" t="str">
        <f t="shared" si="64"/>
        <v>March</v>
      </c>
    </row>
    <row r="814" spans="1:17" x14ac:dyDescent="0.4">
      <c r="A814" t="s">
        <v>1173</v>
      </c>
      <c r="B814" s="1">
        <v>45635</v>
      </c>
      <c r="C814" t="s">
        <v>457</v>
      </c>
      <c r="D814" t="s">
        <v>14</v>
      </c>
      <c r="E814" t="s">
        <v>546</v>
      </c>
      <c r="F814" t="s">
        <v>28</v>
      </c>
      <c r="G814">
        <v>1</v>
      </c>
      <c r="H814">
        <v>462.88</v>
      </c>
      <c r="I814">
        <v>5</v>
      </c>
      <c r="J814">
        <v>249.26</v>
      </c>
      <c r="K814" t="s">
        <v>24</v>
      </c>
      <c r="L814" t="s">
        <v>37</v>
      </c>
      <c r="M814">
        <f t="shared" si="60"/>
        <v>439.73599999999999</v>
      </c>
      <c r="N814">
        <f t="shared" si="61"/>
        <v>190.476</v>
      </c>
      <c r="O814" t="str">
        <f t="shared" si="62"/>
        <v>Monday</v>
      </c>
      <c r="P814" t="b">
        <f t="shared" si="63"/>
        <v>0</v>
      </c>
      <c r="Q814" t="str">
        <f t="shared" si="64"/>
        <v>December</v>
      </c>
    </row>
    <row r="815" spans="1:17" x14ac:dyDescent="0.4">
      <c r="A815" t="s">
        <v>1174</v>
      </c>
      <c r="B815" s="1">
        <v>45855</v>
      </c>
      <c r="C815" t="s">
        <v>42</v>
      </c>
      <c r="D815" t="s">
        <v>31</v>
      </c>
      <c r="E815" t="s">
        <v>1175</v>
      </c>
      <c r="F815" t="s">
        <v>23</v>
      </c>
      <c r="G815">
        <v>4</v>
      </c>
      <c r="H815">
        <v>1202.6099999999999</v>
      </c>
      <c r="I815">
        <v>10</v>
      </c>
      <c r="J815">
        <v>808.84</v>
      </c>
      <c r="K815" t="s">
        <v>24</v>
      </c>
      <c r="L815" t="s">
        <v>33</v>
      </c>
      <c r="M815">
        <f t="shared" si="60"/>
        <v>4329.3959999999997</v>
      </c>
      <c r="N815">
        <f t="shared" si="61"/>
        <v>1094.0359999999996</v>
      </c>
      <c r="O815" t="str">
        <f t="shared" si="62"/>
        <v>Thursday</v>
      </c>
      <c r="P815" t="b">
        <f t="shared" si="63"/>
        <v>0</v>
      </c>
      <c r="Q815" t="str">
        <f t="shared" si="64"/>
        <v>July</v>
      </c>
    </row>
    <row r="816" spans="1:17" x14ac:dyDescent="0.4">
      <c r="A816" t="s">
        <v>1176</v>
      </c>
      <c r="B816" s="1">
        <v>45571</v>
      </c>
      <c r="C816" t="s">
        <v>278</v>
      </c>
      <c r="D816" t="s">
        <v>46</v>
      </c>
      <c r="E816" t="s">
        <v>216</v>
      </c>
      <c r="F816" t="s">
        <v>16</v>
      </c>
      <c r="G816">
        <v>5</v>
      </c>
      <c r="H816">
        <v>2975.52</v>
      </c>
      <c r="I816">
        <v>0</v>
      </c>
      <c r="J816">
        <v>1293.1099999999999</v>
      </c>
      <c r="K816" t="s">
        <v>17</v>
      </c>
      <c r="L816" t="s">
        <v>33</v>
      </c>
      <c r="M816">
        <f t="shared" si="60"/>
        <v>14877.6</v>
      </c>
      <c r="N816">
        <f t="shared" si="61"/>
        <v>8412.0500000000011</v>
      </c>
      <c r="O816" t="str">
        <f t="shared" si="62"/>
        <v>Sunday</v>
      </c>
      <c r="P816" t="b">
        <f t="shared" si="63"/>
        <v>1</v>
      </c>
      <c r="Q816" t="str">
        <f t="shared" si="64"/>
        <v>October</v>
      </c>
    </row>
    <row r="817" spans="1:17" x14ac:dyDescent="0.4">
      <c r="A817" t="s">
        <v>1177</v>
      </c>
      <c r="B817" s="1">
        <v>45595</v>
      </c>
      <c r="C817" t="s">
        <v>375</v>
      </c>
      <c r="D817" t="s">
        <v>21</v>
      </c>
      <c r="E817" t="s">
        <v>1170</v>
      </c>
      <c r="F817" t="s">
        <v>16</v>
      </c>
      <c r="G817">
        <v>2</v>
      </c>
      <c r="H817">
        <v>2804.1</v>
      </c>
      <c r="I817">
        <v>10</v>
      </c>
      <c r="J817">
        <v>1174.76</v>
      </c>
      <c r="K817" t="s">
        <v>24</v>
      </c>
      <c r="L817" t="s">
        <v>37</v>
      </c>
      <c r="M817">
        <f t="shared" si="60"/>
        <v>5047.38</v>
      </c>
      <c r="N817">
        <f t="shared" si="61"/>
        <v>2697.86</v>
      </c>
      <c r="O817" t="str">
        <f t="shared" si="62"/>
        <v>Wednesday</v>
      </c>
      <c r="P817" t="b">
        <f t="shared" si="63"/>
        <v>0</v>
      </c>
      <c r="Q817" t="str">
        <f t="shared" si="64"/>
        <v>October</v>
      </c>
    </row>
    <row r="818" spans="1:17" x14ac:dyDescent="0.4">
      <c r="A818" t="s">
        <v>1178</v>
      </c>
      <c r="B818" s="1">
        <v>45622</v>
      </c>
      <c r="C818" t="s">
        <v>190</v>
      </c>
      <c r="D818" t="s">
        <v>46</v>
      </c>
      <c r="E818" t="s">
        <v>780</v>
      </c>
      <c r="F818" t="s">
        <v>23</v>
      </c>
      <c r="G818">
        <v>2</v>
      </c>
      <c r="H818">
        <v>2970.15</v>
      </c>
      <c r="I818">
        <v>15</v>
      </c>
      <c r="J818">
        <v>1397.95</v>
      </c>
      <c r="K818" t="s">
        <v>24</v>
      </c>
      <c r="L818" t="s">
        <v>18</v>
      </c>
      <c r="M818">
        <f t="shared" si="60"/>
        <v>5049.2550000000001</v>
      </c>
      <c r="N818">
        <f t="shared" si="61"/>
        <v>2253.355</v>
      </c>
      <c r="O818" t="str">
        <f t="shared" si="62"/>
        <v>Tuesday</v>
      </c>
      <c r="P818" t="b">
        <f t="shared" si="63"/>
        <v>0</v>
      </c>
      <c r="Q818" t="str">
        <f t="shared" si="64"/>
        <v>November</v>
      </c>
    </row>
    <row r="819" spans="1:17" x14ac:dyDescent="0.4">
      <c r="A819" t="s">
        <v>1179</v>
      </c>
      <c r="B819" s="1">
        <v>45551</v>
      </c>
      <c r="C819" t="s">
        <v>100</v>
      </c>
      <c r="D819" t="s">
        <v>31</v>
      </c>
      <c r="E819" t="s">
        <v>142</v>
      </c>
      <c r="F819" t="s">
        <v>28</v>
      </c>
      <c r="G819">
        <v>2</v>
      </c>
      <c r="H819">
        <v>1388.15</v>
      </c>
      <c r="I819">
        <v>25</v>
      </c>
      <c r="J819">
        <v>872.71</v>
      </c>
      <c r="K819" t="s">
        <v>24</v>
      </c>
      <c r="L819" t="s">
        <v>33</v>
      </c>
      <c r="M819">
        <f t="shared" si="60"/>
        <v>2082.2250000000004</v>
      </c>
      <c r="N819">
        <f t="shared" si="61"/>
        <v>336.80500000000029</v>
      </c>
      <c r="O819" t="str">
        <f t="shared" si="62"/>
        <v>Monday</v>
      </c>
      <c r="P819" t="b">
        <f t="shared" si="63"/>
        <v>0</v>
      </c>
      <c r="Q819" t="str">
        <f t="shared" si="64"/>
        <v>September</v>
      </c>
    </row>
    <row r="820" spans="1:17" x14ac:dyDescent="0.4">
      <c r="A820" t="s">
        <v>1180</v>
      </c>
      <c r="B820" s="1">
        <v>45909</v>
      </c>
      <c r="C820" t="s">
        <v>302</v>
      </c>
      <c r="D820" t="s">
        <v>14</v>
      </c>
      <c r="E820" t="s">
        <v>72</v>
      </c>
      <c r="F820" t="s">
        <v>23</v>
      </c>
      <c r="G820">
        <v>4</v>
      </c>
      <c r="H820">
        <v>1481.19</v>
      </c>
      <c r="I820">
        <v>5</v>
      </c>
      <c r="J820">
        <v>1013.23</v>
      </c>
      <c r="K820" t="s">
        <v>17</v>
      </c>
      <c r="L820" t="s">
        <v>33</v>
      </c>
      <c r="M820">
        <f t="shared" si="60"/>
        <v>5628.5219999999999</v>
      </c>
      <c r="N820">
        <f t="shared" si="61"/>
        <v>1575.6019999999999</v>
      </c>
      <c r="O820" t="str">
        <f t="shared" si="62"/>
        <v>Tuesday</v>
      </c>
      <c r="P820" t="b">
        <f t="shared" si="63"/>
        <v>0</v>
      </c>
      <c r="Q820" t="str">
        <f t="shared" si="64"/>
        <v>September</v>
      </c>
    </row>
    <row r="821" spans="1:17" x14ac:dyDescent="0.4">
      <c r="A821" t="s">
        <v>1181</v>
      </c>
      <c r="B821" s="1">
        <v>45488</v>
      </c>
      <c r="C821" t="s">
        <v>54</v>
      </c>
      <c r="D821" t="s">
        <v>21</v>
      </c>
      <c r="E821" t="s">
        <v>1182</v>
      </c>
      <c r="F821" t="s">
        <v>28</v>
      </c>
      <c r="G821">
        <v>4</v>
      </c>
      <c r="H821">
        <v>1443.63</v>
      </c>
      <c r="I821">
        <v>15</v>
      </c>
      <c r="J821">
        <v>932.1</v>
      </c>
      <c r="K821" t="s">
        <v>24</v>
      </c>
      <c r="L821" t="s">
        <v>33</v>
      </c>
      <c r="M821">
        <f t="shared" si="60"/>
        <v>4908.3420000000006</v>
      </c>
      <c r="N821">
        <f t="shared" si="61"/>
        <v>1179.9420000000005</v>
      </c>
      <c r="O821" t="str">
        <f t="shared" si="62"/>
        <v>Monday</v>
      </c>
      <c r="P821" t="b">
        <f t="shared" si="63"/>
        <v>0</v>
      </c>
      <c r="Q821" t="str">
        <f t="shared" si="64"/>
        <v>July</v>
      </c>
    </row>
    <row r="822" spans="1:17" x14ac:dyDescent="0.4">
      <c r="A822" t="s">
        <v>1183</v>
      </c>
      <c r="B822" s="1">
        <v>45912</v>
      </c>
      <c r="C822" t="s">
        <v>74</v>
      </c>
      <c r="D822" t="s">
        <v>21</v>
      </c>
      <c r="E822" t="s">
        <v>103</v>
      </c>
      <c r="F822" t="s">
        <v>16</v>
      </c>
      <c r="G822">
        <v>3</v>
      </c>
      <c r="H822">
        <v>843.47</v>
      </c>
      <c r="I822">
        <v>15</v>
      </c>
      <c r="J822">
        <v>488.87</v>
      </c>
      <c r="K822" t="s">
        <v>24</v>
      </c>
      <c r="L822" t="s">
        <v>18</v>
      </c>
      <c r="M822">
        <f t="shared" si="60"/>
        <v>2150.8484999999996</v>
      </c>
      <c r="N822">
        <f t="shared" si="61"/>
        <v>684.23849999999948</v>
      </c>
      <c r="O822" t="str">
        <f t="shared" si="62"/>
        <v>Friday</v>
      </c>
      <c r="P822" t="b">
        <f t="shared" si="63"/>
        <v>0</v>
      </c>
      <c r="Q822" t="str">
        <f t="shared" si="64"/>
        <v>September</v>
      </c>
    </row>
    <row r="823" spans="1:17" x14ac:dyDescent="0.4">
      <c r="A823" t="s">
        <v>1184</v>
      </c>
      <c r="B823" s="1">
        <v>45497</v>
      </c>
      <c r="C823" t="s">
        <v>95</v>
      </c>
      <c r="D823" t="s">
        <v>14</v>
      </c>
      <c r="E823" t="s">
        <v>379</v>
      </c>
      <c r="F823" t="s">
        <v>23</v>
      </c>
      <c r="G823">
        <v>5</v>
      </c>
      <c r="H823">
        <v>1687.16</v>
      </c>
      <c r="I823">
        <v>25</v>
      </c>
      <c r="J823">
        <v>702.93</v>
      </c>
      <c r="K823" t="s">
        <v>17</v>
      </c>
      <c r="L823" t="s">
        <v>18</v>
      </c>
      <c r="M823">
        <f t="shared" si="60"/>
        <v>6326.85</v>
      </c>
      <c r="N823">
        <f t="shared" si="61"/>
        <v>2812.2000000000007</v>
      </c>
      <c r="O823" t="str">
        <f t="shared" si="62"/>
        <v>Wednesday</v>
      </c>
      <c r="P823" t="b">
        <f t="shared" si="63"/>
        <v>0</v>
      </c>
      <c r="Q823" t="str">
        <f t="shared" si="64"/>
        <v>July</v>
      </c>
    </row>
    <row r="824" spans="1:17" x14ac:dyDescent="0.4">
      <c r="A824" t="s">
        <v>1185</v>
      </c>
      <c r="B824" s="1">
        <v>45760</v>
      </c>
      <c r="C824" t="s">
        <v>54</v>
      </c>
      <c r="D824" t="s">
        <v>31</v>
      </c>
      <c r="E824" t="s">
        <v>447</v>
      </c>
      <c r="F824" t="s">
        <v>28</v>
      </c>
      <c r="G824">
        <v>5</v>
      </c>
      <c r="H824">
        <v>2858.93</v>
      </c>
      <c r="I824">
        <v>10</v>
      </c>
      <c r="J824">
        <v>1724.59</v>
      </c>
      <c r="K824" t="s">
        <v>24</v>
      </c>
      <c r="L824" t="s">
        <v>33</v>
      </c>
      <c r="M824">
        <f t="shared" si="60"/>
        <v>12865.184999999999</v>
      </c>
      <c r="N824">
        <f t="shared" si="61"/>
        <v>4242.2350000000006</v>
      </c>
      <c r="O824" t="str">
        <f t="shared" si="62"/>
        <v>Sunday</v>
      </c>
      <c r="P824" t="b">
        <f t="shared" si="63"/>
        <v>1</v>
      </c>
      <c r="Q824" t="str">
        <f t="shared" si="64"/>
        <v>April</v>
      </c>
    </row>
    <row r="825" spans="1:17" x14ac:dyDescent="0.4">
      <c r="A825" t="s">
        <v>1186</v>
      </c>
      <c r="B825" s="1">
        <v>45881</v>
      </c>
      <c r="C825" t="s">
        <v>35</v>
      </c>
      <c r="D825" t="s">
        <v>31</v>
      </c>
      <c r="E825" t="s">
        <v>1019</v>
      </c>
      <c r="F825" t="s">
        <v>16</v>
      </c>
      <c r="G825">
        <v>4</v>
      </c>
      <c r="H825">
        <v>1965.72</v>
      </c>
      <c r="I825">
        <v>5</v>
      </c>
      <c r="J825">
        <v>1323.69</v>
      </c>
      <c r="K825" t="s">
        <v>24</v>
      </c>
      <c r="L825" t="s">
        <v>37</v>
      </c>
      <c r="M825">
        <f t="shared" si="60"/>
        <v>7469.7359999999999</v>
      </c>
      <c r="N825">
        <f t="shared" si="61"/>
        <v>2174.9759999999997</v>
      </c>
      <c r="O825" t="str">
        <f t="shared" si="62"/>
        <v>Tuesday</v>
      </c>
      <c r="P825" t="b">
        <f t="shared" si="63"/>
        <v>0</v>
      </c>
      <c r="Q825" t="str">
        <f t="shared" si="64"/>
        <v>August</v>
      </c>
    </row>
    <row r="826" spans="1:17" x14ac:dyDescent="0.4">
      <c r="A826" t="s">
        <v>1187</v>
      </c>
      <c r="B826" s="1">
        <v>45326</v>
      </c>
      <c r="C826" t="s">
        <v>54</v>
      </c>
      <c r="D826" t="s">
        <v>21</v>
      </c>
      <c r="E826" t="s">
        <v>27</v>
      </c>
      <c r="F826" t="s">
        <v>28</v>
      </c>
      <c r="G826">
        <v>3</v>
      </c>
      <c r="H826">
        <v>1946.09</v>
      </c>
      <c r="I826">
        <v>20</v>
      </c>
      <c r="J826">
        <v>978.2</v>
      </c>
      <c r="K826" t="s">
        <v>24</v>
      </c>
      <c r="L826" t="s">
        <v>33</v>
      </c>
      <c r="M826">
        <f t="shared" si="60"/>
        <v>4670.616</v>
      </c>
      <c r="N826">
        <f t="shared" si="61"/>
        <v>1736.0159999999996</v>
      </c>
      <c r="O826" t="str">
        <f t="shared" si="62"/>
        <v>Sunday</v>
      </c>
      <c r="P826" t="b">
        <f t="shared" si="63"/>
        <v>1</v>
      </c>
      <c r="Q826" t="str">
        <f t="shared" si="64"/>
        <v>February</v>
      </c>
    </row>
    <row r="827" spans="1:17" x14ac:dyDescent="0.4">
      <c r="A827" t="s">
        <v>1188</v>
      </c>
      <c r="B827" s="1">
        <v>45789</v>
      </c>
      <c r="C827" t="s">
        <v>309</v>
      </c>
      <c r="D827" t="s">
        <v>21</v>
      </c>
      <c r="E827" t="s">
        <v>837</v>
      </c>
      <c r="F827" t="s">
        <v>23</v>
      </c>
      <c r="G827">
        <v>5</v>
      </c>
      <c r="H827">
        <v>2190.65</v>
      </c>
      <c r="I827">
        <v>0</v>
      </c>
      <c r="J827">
        <v>1379.63</v>
      </c>
      <c r="K827" t="s">
        <v>17</v>
      </c>
      <c r="L827" t="s">
        <v>37</v>
      </c>
      <c r="M827">
        <f t="shared" si="60"/>
        <v>10953.25</v>
      </c>
      <c r="N827">
        <f t="shared" si="61"/>
        <v>4055.0999999999995</v>
      </c>
      <c r="O827" t="str">
        <f t="shared" si="62"/>
        <v>Monday</v>
      </c>
      <c r="P827" t="b">
        <f t="shared" si="63"/>
        <v>0</v>
      </c>
      <c r="Q827" t="str">
        <f t="shared" si="64"/>
        <v>May</v>
      </c>
    </row>
    <row r="828" spans="1:17" x14ac:dyDescent="0.4">
      <c r="A828" t="s">
        <v>1189</v>
      </c>
      <c r="B828" s="1">
        <v>45431</v>
      </c>
      <c r="C828" t="s">
        <v>42</v>
      </c>
      <c r="D828" t="s">
        <v>14</v>
      </c>
      <c r="E828" t="s">
        <v>1008</v>
      </c>
      <c r="F828" t="s">
        <v>28</v>
      </c>
      <c r="G828">
        <v>4</v>
      </c>
      <c r="H828">
        <v>739.4</v>
      </c>
      <c r="I828">
        <v>20</v>
      </c>
      <c r="J828">
        <v>454.3</v>
      </c>
      <c r="K828" t="s">
        <v>24</v>
      </c>
      <c r="L828" t="s">
        <v>37</v>
      </c>
      <c r="M828">
        <f t="shared" si="60"/>
        <v>2366.08</v>
      </c>
      <c r="N828">
        <f t="shared" si="61"/>
        <v>548.87999999999988</v>
      </c>
      <c r="O828" t="str">
        <f t="shared" si="62"/>
        <v>Sunday</v>
      </c>
      <c r="P828" t="b">
        <f t="shared" si="63"/>
        <v>1</v>
      </c>
      <c r="Q828" t="str">
        <f t="shared" si="64"/>
        <v>May</v>
      </c>
    </row>
    <row r="829" spans="1:17" x14ac:dyDescent="0.4">
      <c r="A829" t="s">
        <v>1190</v>
      </c>
      <c r="B829" s="1">
        <v>45980</v>
      </c>
      <c r="C829" t="s">
        <v>114</v>
      </c>
      <c r="D829" t="s">
        <v>14</v>
      </c>
      <c r="E829" t="s">
        <v>348</v>
      </c>
      <c r="F829" t="s">
        <v>16</v>
      </c>
      <c r="G829">
        <v>1</v>
      </c>
      <c r="H829">
        <v>1096.4100000000001</v>
      </c>
      <c r="I829">
        <v>15</v>
      </c>
      <c r="J829">
        <v>597.30999999999995</v>
      </c>
      <c r="K829" t="s">
        <v>24</v>
      </c>
      <c r="L829" t="s">
        <v>37</v>
      </c>
      <c r="M829">
        <f t="shared" si="60"/>
        <v>931.94850000000008</v>
      </c>
      <c r="N829">
        <f t="shared" si="61"/>
        <v>334.63850000000014</v>
      </c>
      <c r="O829" t="str">
        <f t="shared" si="62"/>
        <v>Wednesday</v>
      </c>
      <c r="P829" t="b">
        <f t="shared" si="63"/>
        <v>0</v>
      </c>
      <c r="Q829" t="str">
        <f t="shared" si="64"/>
        <v>November</v>
      </c>
    </row>
    <row r="830" spans="1:17" x14ac:dyDescent="0.4">
      <c r="A830" t="s">
        <v>1191</v>
      </c>
      <c r="B830" s="1">
        <v>45856</v>
      </c>
      <c r="C830" t="s">
        <v>253</v>
      </c>
      <c r="D830" t="s">
        <v>14</v>
      </c>
      <c r="E830" t="s">
        <v>274</v>
      </c>
      <c r="F830" t="s">
        <v>16</v>
      </c>
      <c r="G830">
        <v>5</v>
      </c>
      <c r="H830">
        <v>2238.91</v>
      </c>
      <c r="I830">
        <v>0</v>
      </c>
      <c r="J830">
        <v>1313.8</v>
      </c>
      <c r="K830" t="s">
        <v>24</v>
      </c>
      <c r="L830" t="s">
        <v>18</v>
      </c>
      <c r="M830">
        <f t="shared" si="60"/>
        <v>11194.55</v>
      </c>
      <c r="N830">
        <f t="shared" si="61"/>
        <v>4625.5499999999993</v>
      </c>
      <c r="O830" t="str">
        <f t="shared" si="62"/>
        <v>Friday</v>
      </c>
      <c r="P830" t="b">
        <f t="shared" si="63"/>
        <v>0</v>
      </c>
      <c r="Q830" t="str">
        <f t="shared" si="64"/>
        <v>July</v>
      </c>
    </row>
    <row r="831" spans="1:17" x14ac:dyDescent="0.4">
      <c r="A831" t="s">
        <v>1192</v>
      </c>
      <c r="B831" s="1">
        <v>45857</v>
      </c>
      <c r="C831" t="s">
        <v>309</v>
      </c>
      <c r="D831" t="s">
        <v>21</v>
      </c>
      <c r="E831" t="s">
        <v>167</v>
      </c>
      <c r="F831" t="s">
        <v>23</v>
      </c>
      <c r="G831">
        <v>4</v>
      </c>
      <c r="H831">
        <v>2751.81</v>
      </c>
      <c r="I831">
        <v>30</v>
      </c>
      <c r="J831">
        <v>1305.48</v>
      </c>
      <c r="K831" t="s">
        <v>24</v>
      </c>
      <c r="L831" t="s">
        <v>18</v>
      </c>
      <c r="M831">
        <f t="shared" si="60"/>
        <v>7705.0679999999993</v>
      </c>
      <c r="N831">
        <f t="shared" si="61"/>
        <v>2483.1479999999992</v>
      </c>
      <c r="O831" t="str">
        <f t="shared" si="62"/>
        <v>Saturday</v>
      </c>
      <c r="P831" t="b">
        <f t="shared" si="63"/>
        <v>1</v>
      </c>
      <c r="Q831" t="str">
        <f t="shared" si="64"/>
        <v>July</v>
      </c>
    </row>
    <row r="832" spans="1:17" x14ac:dyDescent="0.4">
      <c r="A832" t="s">
        <v>1193</v>
      </c>
      <c r="B832" s="1">
        <v>45475</v>
      </c>
      <c r="C832" t="s">
        <v>45</v>
      </c>
      <c r="D832" t="s">
        <v>46</v>
      </c>
      <c r="E832" t="s">
        <v>447</v>
      </c>
      <c r="F832" t="s">
        <v>28</v>
      </c>
      <c r="G832">
        <v>5</v>
      </c>
      <c r="H832">
        <v>1490.13</v>
      </c>
      <c r="I832">
        <v>30</v>
      </c>
      <c r="J832">
        <v>714.69</v>
      </c>
      <c r="K832" t="s">
        <v>24</v>
      </c>
      <c r="L832" t="s">
        <v>33</v>
      </c>
      <c r="M832">
        <f t="shared" si="60"/>
        <v>5215.4549999999999</v>
      </c>
      <c r="N832">
        <f t="shared" si="61"/>
        <v>1642.0049999999997</v>
      </c>
      <c r="O832" t="str">
        <f t="shared" si="62"/>
        <v>Tuesday</v>
      </c>
      <c r="P832" t="b">
        <f t="shared" si="63"/>
        <v>0</v>
      </c>
      <c r="Q832" t="str">
        <f t="shared" si="64"/>
        <v>July</v>
      </c>
    </row>
    <row r="833" spans="1:17" x14ac:dyDescent="0.4">
      <c r="A833" t="s">
        <v>1194</v>
      </c>
      <c r="B833" s="1">
        <v>45439</v>
      </c>
      <c r="C833" t="s">
        <v>251</v>
      </c>
      <c r="D833" t="s">
        <v>14</v>
      </c>
      <c r="E833" t="s">
        <v>1195</v>
      </c>
      <c r="F833" t="s">
        <v>16</v>
      </c>
      <c r="G833">
        <v>3</v>
      </c>
      <c r="H833">
        <v>1352.96</v>
      </c>
      <c r="I833">
        <v>10</v>
      </c>
      <c r="J833">
        <v>695.43</v>
      </c>
      <c r="K833" t="s">
        <v>24</v>
      </c>
      <c r="L833" t="s">
        <v>33</v>
      </c>
      <c r="M833">
        <f t="shared" si="60"/>
        <v>3652.9920000000002</v>
      </c>
      <c r="N833">
        <f t="shared" si="61"/>
        <v>1566.7020000000002</v>
      </c>
      <c r="O833" t="str">
        <f t="shared" si="62"/>
        <v>Monday</v>
      </c>
      <c r="P833" t="b">
        <f t="shared" si="63"/>
        <v>0</v>
      </c>
      <c r="Q833" t="str">
        <f t="shared" si="64"/>
        <v>May</v>
      </c>
    </row>
    <row r="834" spans="1:17" x14ac:dyDescent="0.4">
      <c r="A834" t="s">
        <v>1196</v>
      </c>
      <c r="B834" s="1">
        <v>45329</v>
      </c>
      <c r="C834" t="s">
        <v>185</v>
      </c>
      <c r="D834" t="s">
        <v>21</v>
      </c>
      <c r="E834" t="s">
        <v>1118</v>
      </c>
      <c r="F834" t="s">
        <v>28</v>
      </c>
      <c r="G834">
        <v>5</v>
      </c>
      <c r="H834">
        <v>950.29</v>
      </c>
      <c r="I834">
        <v>20</v>
      </c>
      <c r="J834">
        <v>563.71</v>
      </c>
      <c r="K834" t="s">
        <v>24</v>
      </c>
      <c r="L834" t="s">
        <v>37</v>
      </c>
      <c r="M834">
        <f t="shared" si="60"/>
        <v>3801.16</v>
      </c>
      <c r="N834">
        <f t="shared" si="61"/>
        <v>982.60999999999967</v>
      </c>
      <c r="O834" t="str">
        <f t="shared" si="62"/>
        <v>Wednesday</v>
      </c>
      <c r="P834" t="b">
        <f t="shared" si="63"/>
        <v>0</v>
      </c>
      <c r="Q834" t="str">
        <f t="shared" si="64"/>
        <v>February</v>
      </c>
    </row>
    <row r="835" spans="1:17" x14ac:dyDescent="0.4">
      <c r="A835" t="s">
        <v>1197</v>
      </c>
      <c r="B835" s="1">
        <v>45365</v>
      </c>
      <c r="C835" t="s">
        <v>59</v>
      </c>
      <c r="D835" t="s">
        <v>14</v>
      </c>
      <c r="E835" t="s">
        <v>732</v>
      </c>
      <c r="F835" t="s">
        <v>16</v>
      </c>
      <c r="G835">
        <v>2</v>
      </c>
      <c r="H835">
        <v>693.4</v>
      </c>
      <c r="I835">
        <v>15</v>
      </c>
      <c r="J835">
        <v>301.72000000000003</v>
      </c>
      <c r="K835" t="s">
        <v>24</v>
      </c>
      <c r="L835" t="s">
        <v>37</v>
      </c>
      <c r="M835">
        <f t="shared" ref="M835:M898" si="65">G835 * H835 * (1 - I835/100)</f>
        <v>1178.78</v>
      </c>
      <c r="N835">
        <f t="shared" ref="N835:N898" si="66">M835 - (J835 * G835)</f>
        <v>575.33999999999992</v>
      </c>
      <c r="O835" t="str">
        <f t="shared" ref="O835:O898" si="67">TEXT(B835,"dddd")</f>
        <v>Thursday</v>
      </c>
      <c r="P835" t="b">
        <f t="shared" ref="P835:P898" si="68">OR(TEXT(B835,"ddd")="Sat", TEXT(B835,"ddd")="Sun")</f>
        <v>0</v>
      </c>
      <c r="Q835" t="str">
        <f t="shared" ref="Q835:Q898" si="69">TEXT(B835,"mmmm")</f>
        <v>March</v>
      </c>
    </row>
    <row r="836" spans="1:17" x14ac:dyDescent="0.4">
      <c r="A836" t="s">
        <v>1198</v>
      </c>
      <c r="B836" s="1">
        <v>45319</v>
      </c>
      <c r="C836" t="s">
        <v>95</v>
      </c>
      <c r="D836" t="s">
        <v>21</v>
      </c>
      <c r="E836" t="s">
        <v>328</v>
      </c>
      <c r="F836" t="s">
        <v>16</v>
      </c>
      <c r="G836">
        <v>5</v>
      </c>
      <c r="H836">
        <v>954.41</v>
      </c>
      <c r="I836">
        <v>5</v>
      </c>
      <c r="J836">
        <v>510.48</v>
      </c>
      <c r="K836" t="s">
        <v>17</v>
      </c>
      <c r="L836" t="s">
        <v>18</v>
      </c>
      <c r="M836">
        <f t="shared" si="65"/>
        <v>4533.4475000000002</v>
      </c>
      <c r="N836">
        <f t="shared" si="66"/>
        <v>1981.0475000000001</v>
      </c>
      <c r="O836" t="str">
        <f t="shared" si="67"/>
        <v>Sunday</v>
      </c>
      <c r="P836" t="b">
        <f t="shared" si="68"/>
        <v>1</v>
      </c>
      <c r="Q836" t="str">
        <f t="shared" si="69"/>
        <v>January</v>
      </c>
    </row>
    <row r="837" spans="1:17" x14ac:dyDescent="0.4">
      <c r="A837" t="s">
        <v>1199</v>
      </c>
      <c r="B837" s="1">
        <v>45622</v>
      </c>
      <c r="C837" t="s">
        <v>273</v>
      </c>
      <c r="D837" t="s">
        <v>46</v>
      </c>
      <c r="E837" t="s">
        <v>334</v>
      </c>
      <c r="F837" t="s">
        <v>23</v>
      </c>
      <c r="G837">
        <v>3</v>
      </c>
      <c r="H837">
        <v>2541.9299999999998</v>
      </c>
      <c r="I837">
        <v>10</v>
      </c>
      <c r="J837">
        <v>1578.37</v>
      </c>
      <c r="K837" t="s">
        <v>17</v>
      </c>
      <c r="L837" t="s">
        <v>37</v>
      </c>
      <c r="M837">
        <f t="shared" si="65"/>
        <v>6863.2109999999993</v>
      </c>
      <c r="N837">
        <f t="shared" si="66"/>
        <v>2128.1009999999997</v>
      </c>
      <c r="O837" t="str">
        <f t="shared" si="67"/>
        <v>Tuesday</v>
      </c>
      <c r="P837" t="b">
        <f t="shared" si="68"/>
        <v>0</v>
      </c>
      <c r="Q837" t="str">
        <f t="shared" si="69"/>
        <v>November</v>
      </c>
    </row>
    <row r="838" spans="1:17" x14ac:dyDescent="0.4">
      <c r="A838" t="s">
        <v>1200</v>
      </c>
      <c r="B838" s="1">
        <v>45763</v>
      </c>
      <c r="C838" t="s">
        <v>92</v>
      </c>
      <c r="D838" t="s">
        <v>21</v>
      </c>
      <c r="E838" t="s">
        <v>338</v>
      </c>
      <c r="F838" t="s">
        <v>16</v>
      </c>
      <c r="G838">
        <v>5</v>
      </c>
      <c r="H838">
        <v>2136.0500000000002</v>
      </c>
      <c r="I838">
        <v>30</v>
      </c>
      <c r="J838">
        <v>1331.95</v>
      </c>
      <c r="K838" t="s">
        <v>24</v>
      </c>
      <c r="L838" t="s">
        <v>37</v>
      </c>
      <c r="M838">
        <f t="shared" si="65"/>
        <v>7476.1749999999993</v>
      </c>
      <c r="N838">
        <f t="shared" si="66"/>
        <v>816.42499999999927</v>
      </c>
      <c r="O838" t="str">
        <f t="shared" si="67"/>
        <v>Wednesday</v>
      </c>
      <c r="P838" t="b">
        <f t="shared" si="68"/>
        <v>0</v>
      </c>
      <c r="Q838" t="str">
        <f t="shared" si="69"/>
        <v>April</v>
      </c>
    </row>
    <row r="839" spans="1:17" x14ac:dyDescent="0.4">
      <c r="A839" t="s">
        <v>1201</v>
      </c>
      <c r="B839" s="1">
        <v>45354</v>
      </c>
      <c r="C839" t="s">
        <v>152</v>
      </c>
      <c r="D839" t="s">
        <v>14</v>
      </c>
      <c r="E839" t="s">
        <v>307</v>
      </c>
      <c r="F839" t="s">
        <v>23</v>
      </c>
      <c r="G839">
        <v>4</v>
      </c>
      <c r="H839">
        <v>1089.08</v>
      </c>
      <c r="I839">
        <v>5</v>
      </c>
      <c r="J839">
        <v>681.42</v>
      </c>
      <c r="K839" t="s">
        <v>17</v>
      </c>
      <c r="L839" t="s">
        <v>37</v>
      </c>
      <c r="M839">
        <f t="shared" si="65"/>
        <v>4138.5039999999999</v>
      </c>
      <c r="N839">
        <f t="shared" si="66"/>
        <v>1412.8240000000001</v>
      </c>
      <c r="O839" t="str">
        <f t="shared" si="67"/>
        <v>Sunday</v>
      </c>
      <c r="P839" t="b">
        <f t="shared" si="68"/>
        <v>1</v>
      </c>
      <c r="Q839" t="str">
        <f t="shared" si="69"/>
        <v>March</v>
      </c>
    </row>
    <row r="840" spans="1:17" x14ac:dyDescent="0.4">
      <c r="A840" t="s">
        <v>1202</v>
      </c>
      <c r="B840" s="1">
        <v>45947</v>
      </c>
      <c r="C840" t="s">
        <v>26</v>
      </c>
      <c r="D840" t="s">
        <v>21</v>
      </c>
      <c r="E840" t="s">
        <v>454</v>
      </c>
      <c r="F840" t="s">
        <v>16</v>
      </c>
      <c r="G840">
        <v>5</v>
      </c>
      <c r="H840">
        <v>2129.62</v>
      </c>
      <c r="I840">
        <v>15</v>
      </c>
      <c r="J840">
        <v>1275.76</v>
      </c>
      <c r="K840" t="s">
        <v>17</v>
      </c>
      <c r="L840" t="s">
        <v>37</v>
      </c>
      <c r="M840">
        <f t="shared" si="65"/>
        <v>9050.8849999999984</v>
      </c>
      <c r="N840">
        <f t="shared" si="66"/>
        <v>2672.0849999999982</v>
      </c>
      <c r="O840" t="str">
        <f t="shared" si="67"/>
        <v>Friday</v>
      </c>
      <c r="P840" t="b">
        <f t="shared" si="68"/>
        <v>0</v>
      </c>
      <c r="Q840" t="str">
        <f t="shared" si="69"/>
        <v>October</v>
      </c>
    </row>
    <row r="841" spans="1:17" x14ac:dyDescent="0.4">
      <c r="A841" t="s">
        <v>1203</v>
      </c>
      <c r="B841" s="1">
        <v>45932</v>
      </c>
      <c r="C841" t="s">
        <v>152</v>
      </c>
      <c r="D841" t="s">
        <v>31</v>
      </c>
      <c r="E841" t="s">
        <v>336</v>
      </c>
      <c r="F841" t="s">
        <v>23</v>
      </c>
      <c r="G841">
        <v>3</v>
      </c>
      <c r="H841">
        <v>1128.1600000000001</v>
      </c>
      <c r="I841">
        <v>15</v>
      </c>
      <c r="J841">
        <v>477.68</v>
      </c>
      <c r="K841" t="s">
        <v>24</v>
      </c>
      <c r="L841" t="s">
        <v>33</v>
      </c>
      <c r="M841">
        <f t="shared" si="65"/>
        <v>2876.8080000000004</v>
      </c>
      <c r="N841">
        <f t="shared" si="66"/>
        <v>1443.7680000000005</v>
      </c>
      <c r="O841" t="str">
        <f t="shared" si="67"/>
        <v>Thursday</v>
      </c>
      <c r="P841" t="b">
        <f t="shared" si="68"/>
        <v>0</v>
      </c>
      <c r="Q841" t="str">
        <f t="shared" si="69"/>
        <v>October</v>
      </c>
    </row>
    <row r="842" spans="1:17" x14ac:dyDescent="0.4">
      <c r="A842" t="s">
        <v>1204</v>
      </c>
      <c r="B842" s="1">
        <v>45694</v>
      </c>
      <c r="C842" t="s">
        <v>86</v>
      </c>
      <c r="D842" t="s">
        <v>46</v>
      </c>
      <c r="E842" t="s">
        <v>813</v>
      </c>
      <c r="F842" t="s">
        <v>28</v>
      </c>
      <c r="G842">
        <v>4</v>
      </c>
      <c r="H842">
        <v>820.49</v>
      </c>
      <c r="I842">
        <v>0</v>
      </c>
      <c r="J842">
        <v>347.78</v>
      </c>
      <c r="K842" t="s">
        <v>24</v>
      </c>
      <c r="L842" t="s">
        <v>18</v>
      </c>
      <c r="M842">
        <f t="shared" si="65"/>
        <v>3281.96</v>
      </c>
      <c r="N842">
        <f t="shared" si="66"/>
        <v>1890.8400000000001</v>
      </c>
      <c r="O842" t="str">
        <f t="shared" si="67"/>
        <v>Thursday</v>
      </c>
      <c r="P842" t="b">
        <f t="shared" si="68"/>
        <v>0</v>
      </c>
      <c r="Q842" t="str">
        <f t="shared" si="69"/>
        <v>February</v>
      </c>
    </row>
    <row r="843" spans="1:17" x14ac:dyDescent="0.4">
      <c r="A843" t="s">
        <v>1205</v>
      </c>
      <c r="B843" s="1">
        <v>45437</v>
      </c>
      <c r="C843" t="s">
        <v>26</v>
      </c>
      <c r="D843" t="s">
        <v>21</v>
      </c>
      <c r="E843" t="s">
        <v>105</v>
      </c>
      <c r="F843" t="s">
        <v>23</v>
      </c>
      <c r="G843">
        <v>1</v>
      </c>
      <c r="H843">
        <v>878.03</v>
      </c>
      <c r="I843">
        <v>20</v>
      </c>
      <c r="J843">
        <v>445.47</v>
      </c>
      <c r="K843" t="s">
        <v>17</v>
      </c>
      <c r="L843" t="s">
        <v>33</v>
      </c>
      <c r="M843">
        <f t="shared" si="65"/>
        <v>702.42399999999998</v>
      </c>
      <c r="N843">
        <f t="shared" si="66"/>
        <v>256.95399999999995</v>
      </c>
      <c r="O843" t="str">
        <f t="shared" si="67"/>
        <v>Saturday</v>
      </c>
      <c r="P843" t="b">
        <f t="shared" si="68"/>
        <v>1</v>
      </c>
      <c r="Q843" t="str">
        <f t="shared" si="69"/>
        <v>May</v>
      </c>
    </row>
    <row r="844" spans="1:17" x14ac:dyDescent="0.4">
      <c r="A844" t="s">
        <v>1206</v>
      </c>
      <c r="B844" s="1">
        <v>45851</v>
      </c>
      <c r="C844" t="s">
        <v>226</v>
      </c>
      <c r="D844" t="s">
        <v>14</v>
      </c>
      <c r="E844" t="s">
        <v>634</v>
      </c>
      <c r="F844" t="s">
        <v>16</v>
      </c>
      <c r="G844">
        <v>4</v>
      </c>
      <c r="H844">
        <v>2844.91</v>
      </c>
      <c r="I844">
        <v>30</v>
      </c>
      <c r="J844">
        <v>1923.18</v>
      </c>
      <c r="K844" t="s">
        <v>17</v>
      </c>
      <c r="L844" t="s">
        <v>18</v>
      </c>
      <c r="M844">
        <f t="shared" si="65"/>
        <v>7965.7479999999987</v>
      </c>
      <c r="N844">
        <f t="shared" si="66"/>
        <v>273.02799999999843</v>
      </c>
      <c r="O844" t="str">
        <f t="shared" si="67"/>
        <v>Sunday</v>
      </c>
      <c r="P844" t="b">
        <f t="shared" si="68"/>
        <v>1</v>
      </c>
      <c r="Q844" t="str">
        <f t="shared" si="69"/>
        <v>July</v>
      </c>
    </row>
    <row r="845" spans="1:17" x14ac:dyDescent="0.4">
      <c r="A845" t="s">
        <v>1207</v>
      </c>
      <c r="B845" s="1">
        <v>45789</v>
      </c>
      <c r="C845" t="s">
        <v>86</v>
      </c>
      <c r="D845" t="s">
        <v>21</v>
      </c>
      <c r="E845" t="s">
        <v>167</v>
      </c>
      <c r="F845" t="s">
        <v>16</v>
      </c>
      <c r="G845">
        <v>3</v>
      </c>
      <c r="H845">
        <v>1081.08</v>
      </c>
      <c r="I845">
        <v>0</v>
      </c>
      <c r="J845">
        <v>583.09</v>
      </c>
      <c r="K845" t="s">
        <v>17</v>
      </c>
      <c r="L845" t="s">
        <v>33</v>
      </c>
      <c r="M845">
        <f t="shared" si="65"/>
        <v>3243.24</v>
      </c>
      <c r="N845">
        <f t="shared" si="66"/>
        <v>1493.9699999999998</v>
      </c>
      <c r="O845" t="str">
        <f t="shared" si="67"/>
        <v>Monday</v>
      </c>
      <c r="P845" t="b">
        <f t="shared" si="68"/>
        <v>0</v>
      </c>
      <c r="Q845" t="str">
        <f t="shared" si="69"/>
        <v>May</v>
      </c>
    </row>
    <row r="846" spans="1:17" x14ac:dyDescent="0.4">
      <c r="A846" t="s">
        <v>1208</v>
      </c>
      <c r="B846" s="1">
        <v>45864</v>
      </c>
      <c r="C846" t="s">
        <v>174</v>
      </c>
      <c r="D846" t="s">
        <v>31</v>
      </c>
      <c r="E846" t="s">
        <v>965</v>
      </c>
      <c r="F846" t="s">
        <v>28</v>
      </c>
      <c r="G846">
        <v>2</v>
      </c>
      <c r="H846">
        <v>339.72</v>
      </c>
      <c r="I846">
        <v>30</v>
      </c>
      <c r="J846">
        <v>173.14</v>
      </c>
      <c r="K846" t="s">
        <v>17</v>
      </c>
      <c r="L846" t="s">
        <v>33</v>
      </c>
      <c r="M846">
        <f t="shared" si="65"/>
        <v>475.608</v>
      </c>
      <c r="N846">
        <f t="shared" si="66"/>
        <v>129.32800000000003</v>
      </c>
      <c r="O846" t="str">
        <f t="shared" si="67"/>
        <v>Saturday</v>
      </c>
      <c r="P846" t="b">
        <f t="shared" si="68"/>
        <v>1</v>
      </c>
      <c r="Q846" t="str">
        <f t="shared" si="69"/>
        <v>July</v>
      </c>
    </row>
    <row r="847" spans="1:17" x14ac:dyDescent="0.4">
      <c r="A847" t="s">
        <v>1209</v>
      </c>
      <c r="B847" s="1">
        <v>45758</v>
      </c>
      <c r="C847" t="s">
        <v>45</v>
      </c>
      <c r="D847" t="s">
        <v>31</v>
      </c>
      <c r="E847" t="s">
        <v>270</v>
      </c>
      <c r="F847" t="s">
        <v>28</v>
      </c>
      <c r="G847">
        <v>5</v>
      </c>
      <c r="H847">
        <v>1082.95</v>
      </c>
      <c r="I847">
        <v>25</v>
      </c>
      <c r="J847">
        <v>448.58</v>
      </c>
      <c r="K847" t="s">
        <v>17</v>
      </c>
      <c r="L847" t="s">
        <v>33</v>
      </c>
      <c r="M847">
        <f t="shared" si="65"/>
        <v>4061.0625</v>
      </c>
      <c r="N847">
        <f t="shared" si="66"/>
        <v>1818.1624999999999</v>
      </c>
      <c r="O847" t="str">
        <f t="shared" si="67"/>
        <v>Friday</v>
      </c>
      <c r="P847" t="b">
        <f t="shared" si="68"/>
        <v>0</v>
      </c>
      <c r="Q847" t="str">
        <f t="shared" si="69"/>
        <v>April</v>
      </c>
    </row>
    <row r="848" spans="1:17" x14ac:dyDescent="0.4">
      <c r="A848" t="s">
        <v>1210</v>
      </c>
      <c r="B848" s="1">
        <v>45337</v>
      </c>
      <c r="C848" t="s">
        <v>89</v>
      </c>
      <c r="D848" t="s">
        <v>46</v>
      </c>
      <c r="E848" t="s">
        <v>693</v>
      </c>
      <c r="F848" t="s">
        <v>16</v>
      </c>
      <c r="G848">
        <v>2</v>
      </c>
      <c r="H848">
        <v>1361.37</v>
      </c>
      <c r="I848">
        <v>30</v>
      </c>
      <c r="J848">
        <v>779.06</v>
      </c>
      <c r="K848" t="s">
        <v>24</v>
      </c>
      <c r="L848" t="s">
        <v>33</v>
      </c>
      <c r="M848">
        <f t="shared" si="65"/>
        <v>1905.9179999999997</v>
      </c>
      <c r="N848">
        <f t="shared" si="66"/>
        <v>347.79799999999977</v>
      </c>
      <c r="O848" t="str">
        <f t="shared" si="67"/>
        <v>Thursday</v>
      </c>
      <c r="P848" t="b">
        <f t="shared" si="68"/>
        <v>0</v>
      </c>
      <c r="Q848" t="str">
        <f t="shared" si="69"/>
        <v>February</v>
      </c>
    </row>
    <row r="849" spans="1:17" x14ac:dyDescent="0.4">
      <c r="A849" t="s">
        <v>1211</v>
      </c>
      <c r="B849" s="1">
        <v>45829</v>
      </c>
      <c r="C849" t="s">
        <v>226</v>
      </c>
      <c r="D849" t="s">
        <v>31</v>
      </c>
      <c r="E849" t="s">
        <v>123</v>
      </c>
      <c r="F849" t="s">
        <v>28</v>
      </c>
      <c r="G849">
        <v>2</v>
      </c>
      <c r="H849">
        <v>1001.05</v>
      </c>
      <c r="I849">
        <v>5</v>
      </c>
      <c r="J849">
        <v>427.31</v>
      </c>
      <c r="K849" t="s">
        <v>24</v>
      </c>
      <c r="L849" t="s">
        <v>37</v>
      </c>
      <c r="M849">
        <f t="shared" si="65"/>
        <v>1901.9949999999999</v>
      </c>
      <c r="N849">
        <f t="shared" si="66"/>
        <v>1047.375</v>
      </c>
      <c r="O849" t="str">
        <f t="shared" si="67"/>
        <v>Saturday</v>
      </c>
      <c r="P849" t="b">
        <f t="shared" si="68"/>
        <v>1</v>
      </c>
      <c r="Q849" t="str">
        <f t="shared" si="69"/>
        <v>June</v>
      </c>
    </row>
    <row r="850" spans="1:17" x14ac:dyDescent="0.4">
      <c r="A850" t="s">
        <v>1212</v>
      </c>
      <c r="B850" s="1">
        <v>45866</v>
      </c>
      <c r="C850" t="s">
        <v>139</v>
      </c>
      <c r="D850" t="s">
        <v>31</v>
      </c>
      <c r="E850" t="s">
        <v>180</v>
      </c>
      <c r="F850" t="s">
        <v>28</v>
      </c>
      <c r="G850">
        <v>1</v>
      </c>
      <c r="H850">
        <v>1077.3399999999999</v>
      </c>
      <c r="I850">
        <v>5</v>
      </c>
      <c r="J850">
        <v>732.05</v>
      </c>
      <c r="K850" t="s">
        <v>17</v>
      </c>
      <c r="L850" t="s">
        <v>37</v>
      </c>
      <c r="M850">
        <f t="shared" si="65"/>
        <v>1023.4729999999998</v>
      </c>
      <c r="N850">
        <f t="shared" si="66"/>
        <v>291.42299999999989</v>
      </c>
      <c r="O850" t="str">
        <f t="shared" si="67"/>
        <v>Monday</v>
      </c>
      <c r="P850" t="b">
        <f t="shared" si="68"/>
        <v>0</v>
      </c>
      <c r="Q850" t="str">
        <f t="shared" si="69"/>
        <v>July</v>
      </c>
    </row>
    <row r="851" spans="1:17" x14ac:dyDescent="0.4">
      <c r="A851" t="s">
        <v>1213</v>
      </c>
      <c r="B851" s="1">
        <v>45971</v>
      </c>
      <c r="C851" t="s">
        <v>39</v>
      </c>
      <c r="D851" t="s">
        <v>46</v>
      </c>
      <c r="E851" t="s">
        <v>1214</v>
      </c>
      <c r="F851" t="s">
        <v>23</v>
      </c>
      <c r="G851">
        <v>1</v>
      </c>
      <c r="H851">
        <v>478.09</v>
      </c>
      <c r="I851">
        <v>20</v>
      </c>
      <c r="J851">
        <v>272.43</v>
      </c>
      <c r="K851" t="s">
        <v>17</v>
      </c>
      <c r="L851" t="s">
        <v>18</v>
      </c>
      <c r="M851">
        <f t="shared" si="65"/>
        <v>382.47199999999998</v>
      </c>
      <c r="N851">
        <f t="shared" si="66"/>
        <v>110.04199999999997</v>
      </c>
      <c r="O851" t="str">
        <f t="shared" si="67"/>
        <v>Monday</v>
      </c>
      <c r="P851" t="b">
        <f t="shared" si="68"/>
        <v>0</v>
      </c>
      <c r="Q851" t="str">
        <f t="shared" si="69"/>
        <v>November</v>
      </c>
    </row>
    <row r="852" spans="1:17" x14ac:dyDescent="0.4">
      <c r="A852" t="s">
        <v>1215</v>
      </c>
      <c r="B852" s="1">
        <v>45781</v>
      </c>
      <c r="C852" t="s">
        <v>35</v>
      </c>
      <c r="D852" t="s">
        <v>21</v>
      </c>
      <c r="E852" t="s">
        <v>596</v>
      </c>
      <c r="F852" t="s">
        <v>28</v>
      </c>
      <c r="G852">
        <v>5</v>
      </c>
      <c r="H852">
        <v>2452.2800000000002</v>
      </c>
      <c r="I852">
        <v>0</v>
      </c>
      <c r="J852">
        <v>1353.6</v>
      </c>
      <c r="K852" t="s">
        <v>24</v>
      </c>
      <c r="L852" t="s">
        <v>18</v>
      </c>
      <c r="M852">
        <f t="shared" si="65"/>
        <v>12261.400000000001</v>
      </c>
      <c r="N852">
        <f t="shared" si="66"/>
        <v>5493.4000000000015</v>
      </c>
      <c r="O852" t="str">
        <f t="shared" si="67"/>
        <v>Sunday</v>
      </c>
      <c r="P852" t="b">
        <f t="shared" si="68"/>
        <v>1</v>
      </c>
      <c r="Q852" t="str">
        <f t="shared" si="69"/>
        <v>May</v>
      </c>
    </row>
    <row r="853" spans="1:17" x14ac:dyDescent="0.4">
      <c r="A853" t="s">
        <v>1216</v>
      </c>
      <c r="B853" s="1">
        <v>45419</v>
      </c>
      <c r="C853" t="s">
        <v>267</v>
      </c>
      <c r="D853" t="s">
        <v>14</v>
      </c>
      <c r="E853" t="s">
        <v>315</v>
      </c>
      <c r="F853" t="s">
        <v>16</v>
      </c>
      <c r="G853">
        <v>4</v>
      </c>
      <c r="H853">
        <v>1526.85</v>
      </c>
      <c r="I853">
        <v>15</v>
      </c>
      <c r="J853">
        <v>851.05</v>
      </c>
      <c r="K853" t="s">
        <v>17</v>
      </c>
      <c r="L853" t="s">
        <v>33</v>
      </c>
      <c r="M853">
        <f t="shared" si="65"/>
        <v>5191.29</v>
      </c>
      <c r="N853">
        <f t="shared" si="66"/>
        <v>1787.0900000000001</v>
      </c>
      <c r="O853" t="str">
        <f t="shared" si="67"/>
        <v>Tuesday</v>
      </c>
      <c r="P853" t="b">
        <f t="shared" si="68"/>
        <v>0</v>
      </c>
      <c r="Q853" t="str">
        <f t="shared" si="69"/>
        <v>May</v>
      </c>
    </row>
    <row r="854" spans="1:17" x14ac:dyDescent="0.4">
      <c r="A854" t="s">
        <v>1217</v>
      </c>
      <c r="B854" s="1">
        <v>45815</v>
      </c>
      <c r="C854" t="s">
        <v>125</v>
      </c>
      <c r="D854" t="s">
        <v>31</v>
      </c>
      <c r="E854" t="s">
        <v>78</v>
      </c>
      <c r="F854" t="s">
        <v>23</v>
      </c>
      <c r="G854">
        <v>5</v>
      </c>
      <c r="H854">
        <v>2246.35</v>
      </c>
      <c r="I854">
        <v>30</v>
      </c>
      <c r="J854">
        <v>1242.03</v>
      </c>
      <c r="K854" t="s">
        <v>17</v>
      </c>
      <c r="L854" t="s">
        <v>18</v>
      </c>
      <c r="M854">
        <f t="shared" si="65"/>
        <v>7862.2249999999995</v>
      </c>
      <c r="N854">
        <f t="shared" si="66"/>
        <v>1652.0749999999998</v>
      </c>
      <c r="O854" t="str">
        <f t="shared" si="67"/>
        <v>Saturday</v>
      </c>
      <c r="P854" t="b">
        <f t="shared" si="68"/>
        <v>1</v>
      </c>
      <c r="Q854" t="str">
        <f t="shared" si="69"/>
        <v>June</v>
      </c>
    </row>
    <row r="855" spans="1:17" x14ac:dyDescent="0.4">
      <c r="A855" t="s">
        <v>1218</v>
      </c>
      <c r="B855" s="1">
        <v>45415</v>
      </c>
      <c r="C855" t="s">
        <v>463</v>
      </c>
      <c r="D855" t="s">
        <v>14</v>
      </c>
      <c r="E855" t="s">
        <v>670</v>
      </c>
      <c r="F855" t="s">
        <v>23</v>
      </c>
      <c r="G855">
        <v>5</v>
      </c>
      <c r="H855">
        <v>2490.7399999999998</v>
      </c>
      <c r="I855">
        <v>10</v>
      </c>
      <c r="J855">
        <v>1395.97</v>
      </c>
      <c r="K855" t="s">
        <v>24</v>
      </c>
      <c r="L855" t="s">
        <v>18</v>
      </c>
      <c r="M855">
        <f t="shared" si="65"/>
        <v>11208.33</v>
      </c>
      <c r="N855">
        <f t="shared" si="66"/>
        <v>4228.4799999999996</v>
      </c>
      <c r="O855" t="str">
        <f t="shared" si="67"/>
        <v>Friday</v>
      </c>
      <c r="P855" t="b">
        <f t="shared" si="68"/>
        <v>0</v>
      </c>
      <c r="Q855" t="str">
        <f t="shared" si="69"/>
        <v>May</v>
      </c>
    </row>
    <row r="856" spans="1:17" x14ac:dyDescent="0.4">
      <c r="A856" t="s">
        <v>1219</v>
      </c>
      <c r="B856" s="1">
        <v>45522</v>
      </c>
      <c r="C856" t="s">
        <v>51</v>
      </c>
      <c r="D856" t="s">
        <v>46</v>
      </c>
      <c r="E856" t="s">
        <v>574</v>
      </c>
      <c r="F856" t="s">
        <v>23</v>
      </c>
      <c r="G856">
        <v>2</v>
      </c>
      <c r="H856">
        <v>2110.39</v>
      </c>
      <c r="I856">
        <v>15</v>
      </c>
      <c r="J856">
        <v>1455.66</v>
      </c>
      <c r="K856" t="s">
        <v>24</v>
      </c>
      <c r="L856" t="s">
        <v>33</v>
      </c>
      <c r="M856">
        <f t="shared" si="65"/>
        <v>3587.6629999999996</v>
      </c>
      <c r="N856">
        <f t="shared" si="66"/>
        <v>676.34299999999939</v>
      </c>
      <c r="O856" t="str">
        <f t="shared" si="67"/>
        <v>Sunday</v>
      </c>
      <c r="P856" t="b">
        <f t="shared" si="68"/>
        <v>1</v>
      </c>
      <c r="Q856" t="str">
        <f t="shared" si="69"/>
        <v>August</v>
      </c>
    </row>
    <row r="857" spans="1:17" x14ac:dyDescent="0.4">
      <c r="A857" t="s">
        <v>1220</v>
      </c>
      <c r="B857" s="1">
        <v>45520</v>
      </c>
      <c r="C857" t="s">
        <v>65</v>
      </c>
      <c r="D857" t="s">
        <v>31</v>
      </c>
      <c r="E857" t="s">
        <v>432</v>
      </c>
      <c r="F857" t="s">
        <v>16</v>
      </c>
      <c r="G857">
        <v>2</v>
      </c>
      <c r="H857">
        <v>2915.65</v>
      </c>
      <c r="I857">
        <v>5</v>
      </c>
      <c r="J857">
        <v>1341.29</v>
      </c>
      <c r="K857" t="s">
        <v>24</v>
      </c>
      <c r="L857" t="s">
        <v>33</v>
      </c>
      <c r="M857">
        <f t="shared" si="65"/>
        <v>5539.7349999999997</v>
      </c>
      <c r="N857">
        <f t="shared" si="66"/>
        <v>2857.1549999999997</v>
      </c>
      <c r="O857" t="str">
        <f t="shared" si="67"/>
        <v>Friday</v>
      </c>
      <c r="P857" t="b">
        <f t="shared" si="68"/>
        <v>0</v>
      </c>
      <c r="Q857" t="str">
        <f t="shared" si="69"/>
        <v>August</v>
      </c>
    </row>
    <row r="858" spans="1:17" x14ac:dyDescent="0.4">
      <c r="A858" t="s">
        <v>1221</v>
      </c>
      <c r="B858" s="1">
        <v>45454</v>
      </c>
      <c r="C858" t="s">
        <v>241</v>
      </c>
      <c r="D858" t="s">
        <v>46</v>
      </c>
      <c r="E858" t="s">
        <v>591</v>
      </c>
      <c r="F858" t="s">
        <v>16</v>
      </c>
      <c r="G858">
        <v>4</v>
      </c>
      <c r="H858">
        <v>1636.69</v>
      </c>
      <c r="I858">
        <v>5</v>
      </c>
      <c r="J858">
        <v>1065.43</v>
      </c>
      <c r="K858" t="s">
        <v>17</v>
      </c>
      <c r="L858" t="s">
        <v>33</v>
      </c>
      <c r="M858">
        <f t="shared" si="65"/>
        <v>6219.4219999999996</v>
      </c>
      <c r="N858">
        <f t="shared" si="66"/>
        <v>1957.7019999999993</v>
      </c>
      <c r="O858" t="str">
        <f t="shared" si="67"/>
        <v>Tuesday</v>
      </c>
      <c r="P858" t="b">
        <f t="shared" si="68"/>
        <v>0</v>
      </c>
      <c r="Q858" t="str">
        <f t="shared" si="69"/>
        <v>June</v>
      </c>
    </row>
    <row r="859" spans="1:17" x14ac:dyDescent="0.4">
      <c r="A859" t="s">
        <v>1222</v>
      </c>
      <c r="B859" s="1">
        <v>45294</v>
      </c>
      <c r="C859" t="s">
        <v>86</v>
      </c>
      <c r="D859" t="s">
        <v>31</v>
      </c>
      <c r="E859" t="s">
        <v>150</v>
      </c>
      <c r="F859" t="s">
        <v>28</v>
      </c>
      <c r="G859">
        <v>5</v>
      </c>
      <c r="H859">
        <v>440.03</v>
      </c>
      <c r="I859">
        <v>0</v>
      </c>
      <c r="J859">
        <v>215.89</v>
      </c>
      <c r="K859" t="s">
        <v>17</v>
      </c>
      <c r="L859" t="s">
        <v>18</v>
      </c>
      <c r="M859">
        <f t="shared" si="65"/>
        <v>2200.1499999999996</v>
      </c>
      <c r="N859">
        <f t="shared" si="66"/>
        <v>1120.6999999999998</v>
      </c>
      <c r="O859" t="str">
        <f t="shared" si="67"/>
        <v>Wednesday</v>
      </c>
      <c r="P859" t="b">
        <f t="shared" si="68"/>
        <v>0</v>
      </c>
      <c r="Q859" t="str">
        <f t="shared" si="69"/>
        <v>January</v>
      </c>
    </row>
    <row r="860" spans="1:17" x14ac:dyDescent="0.4">
      <c r="A860" t="s">
        <v>1223</v>
      </c>
      <c r="B860" s="1">
        <v>45658</v>
      </c>
      <c r="C860" t="s">
        <v>278</v>
      </c>
      <c r="D860" t="s">
        <v>14</v>
      </c>
      <c r="E860" t="s">
        <v>126</v>
      </c>
      <c r="F860" t="s">
        <v>23</v>
      </c>
      <c r="G860">
        <v>3</v>
      </c>
      <c r="H860">
        <v>1390.36</v>
      </c>
      <c r="I860">
        <v>30</v>
      </c>
      <c r="J860">
        <v>936.43</v>
      </c>
      <c r="K860" t="s">
        <v>24</v>
      </c>
      <c r="L860" t="s">
        <v>37</v>
      </c>
      <c r="M860">
        <f t="shared" si="65"/>
        <v>2919.7559999999999</v>
      </c>
      <c r="N860">
        <f t="shared" si="66"/>
        <v>110.46599999999989</v>
      </c>
      <c r="O860" t="str">
        <f t="shared" si="67"/>
        <v>Wednesday</v>
      </c>
      <c r="P860" t="b">
        <f t="shared" si="68"/>
        <v>0</v>
      </c>
      <c r="Q860" t="str">
        <f t="shared" si="69"/>
        <v>January</v>
      </c>
    </row>
    <row r="861" spans="1:17" x14ac:dyDescent="0.4">
      <c r="A861" t="s">
        <v>1224</v>
      </c>
      <c r="B861" s="1">
        <v>45367</v>
      </c>
      <c r="C861" t="s">
        <v>159</v>
      </c>
      <c r="D861" t="s">
        <v>14</v>
      </c>
      <c r="E861" t="s">
        <v>996</v>
      </c>
      <c r="F861" t="s">
        <v>23</v>
      </c>
      <c r="G861">
        <v>1</v>
      </c>
      <c r="H861">
        <v>1720.5</v>
      </c>
      <c r="I861">
        <v>0</v>
      </c>
      <c r="J861">
        <v>804.16</v>
      </c>
      <c r="K861" t="s">
        <v>17</v>
      </c>
      <c r="L861" t="s">
        <v>37</v>
      </c>
      <c r="M861">
        <f t="shared" si="65"/>
        <v>1720.5</v>
      </c>
      <c r="N861">
        <f t="shared" si="66"/>
        <v>916.34</v>
      </c>
      <c r="O861" t="str">
        <f t="shared" si="67"/>
        <v>Saturday</v>
      </c>
      <c r="P861" t="b">
        <f t="shared" si="68"/>
        <v>1</v>
      </c>
      <c r="Q861" t="str">
        <f t="shared" si="69"/>
        <v>March</v>
      </c>
    </row>
    <row r="862" spans="1:17" x14ac:dyDescent="0.4">
      <c r="A862" t="s">
        <v>1225</v>
      </c>
      <c r="B862" s="1">
        <v>45453</v>
      </c>
      <c r="C862" t="s">
        <v>39</v>
      </c>
      <c r="D862" t="s">
        <v>21</v>
      </c>
      <c r="E862" t="s">
        <v>357</v>
      </c>
      <c r="F862" t="s">
        <v>23</v>
      </c>
      <c r="G862">
        <v>2</v>
      </c>
      <c r="H862">
        <v>2497.73</v>
      </c>
      <c r="I862">
        <v>10</v>
      </c>
      <c r="J862">
        <v>1144.4100000000001</v>
      </c>
      <c r="K862" t="s">
        <v>24</v>
      </c>
      <c r="L862" t="s">
        <v>33</v>
      </c>
      <c r="M862">
        <f t="shared" si="65"/>
        <v>4495.9139999999998</v>
      </c>
      <c r="N862">
        <f t="shared" si="66"/>
        <v>2207.0939999999996</v>
      </c>
      <c r="O862" t="str">
        <f t="shared" si="67"/>
        <v>Monday</v>
      </c>
      <c r="P862" t="b">
        <f t="shared" si="68"/>
        <v>0</v>
      </c>
      <c r="Q862" t="str">
        <f t="shared" si="69"/>
        <v>June</v>
      </c>
    </row>
    <row r="863" spans="1:17" x14ac:dyDescent="0.4">
      <c r="A863" t="s">
        <v>1226</v>
      </c>
      <c r="B863" s="1">
        <v>45358</v>
      </c>
      <c r="C863" t="s">
        <v>139</v>
      </c>
      <c r="D863" t="s">
        <v>46</v>
      </c>
      <c r="E863" t="s">
        <v>343</v>
      </c>
      <c r="F863" t="s">
        <v>28</v>
      </c>
      <c r="G863">
        <v>2</v>
      </c>
      <c r="H863">
        <v>2807.27</v>
      </c>
      <c r="I863">
        <v>25</v>
      </c>
      <c r="J863">
        <v>1298.72</v>
      </c>
      <c r="K863" t="s">
        <v>17</v>
      </c>
      <c r="L863" t="s">
        <v>18</v>
      </c>
      <c r="M863">
        <f t="shared" si="65"/>
        <v>4210.9049999999997</v>
      </c>
      <c r="N863">
        <f t="shared" si="66"/>
        <v>1613.4649999999997</v>
      </c>
      <c r="O863" t="str">
        <f t="shared" si="67"/>
        <v>Thursday</v>
      </c>
      <c r="P863" t="b">
        <f t="shared" si="68"/>
        <v>0</v>
      </c>
      <c r="Q863" t="str">
        <f t="shared" si="69"/>
        <v>March</v>
      </c>
    </row>
    <row r="864" spans="1:17" x14ac:dyDescent="0.4">
      <c r="A864" t="s">
        <v>1227</v>
      </c>
      <c r="B864" s="1">
        <v>45883</v>
      </c>
      <c r="C864" t="s">
        <v>241</v>
      </c>
      <c r="D864" t="s">
        <v>21</v>
      </c>
      <c r="E864" t="s">
        <v>447</v>
      </c>
      <c r="F864" t="s">
        <v>16</v>
      </c>
      <c r="G864">
        <v>1</v>
      </c>
      <c r="H864">
        <v>2185.5100000000002</v>
      </c>
      <c r="I864">
        <v>10</v>
      </c>
      <c r="J864">
        <v>906.04</v>
      </c>
      <c r="K864" t="s">
        <v>24</v>
      </c>
      <c r="L864" t="s">
        <v>37</v>
      </c>
      <c r="M864">
        <f t="shared" si="65"/>
        <v>1966.9590000000003</v>
      </c>
      <c r="N864">
        <f t="shared" si="66"/>
        <v>1060.9190000000003</v>
      </c>
      <c r="O864" t="str">
        <f t="shared" si="67"/>
        <v>Thursday</v>
      </c>
      <c r="P864" t="b">
        <f t="shared" si="68"/>
        <v>0</v>
      </c>
      <c r="Q864" t="str">
        <f t="shared" si="69"/>
        <v>August</v>
      </c>
    </row>
    <row r="865" spans="1:17" x14ac:dyDescent="0.4">
      <c r="A865" t="s">
        <v>1228</v>
      </c>
      <c r="B865" s="1">
        <v>45665</v>
      </c>
      <c r="C865" t="s">
        <v>463</v>
      </c>
      <c r="D865" t="s">
        <v>31</v>
      </c>
      <c r="E865" t="s">
        <v>254</v>
      </c>
      <c r="F865" t="s">
        <v>16</v>
      </c>
      <c r="G865">
        <v>2</v>
      </c>
      <c r="H865">
        <v>2373.7199999999998</v>
      </c>
      <c r="I865">
        <v>0</v>
      </c>
      <c r="J865">
        <v>1587.16</v>
      </c>
      <c r="K865" t="s">
        <v>17</v>
      </c>
      <c r="L865" t="s">
        <v>37</v>
      </c>
      <c r="M865">
        <f t="shared" si="65"/>
        <v>4747.4399999999996</v>
      </c>
      <c r="N865">
        <f t="shared" si="66"/>
        <v>1573.1199999999994</v>
      </c>
      <c r="O865" t="str">
        <f t="shared" si="67"/>
        <v>Wednesday</v>
      </c>
      <c r="P865" t="b">
        <f t="shared" si="68"/>
        <v>0</v>
      </c>
      <c r="Q865" t="str">
        <f t="shared" si="69"/>
        <v>January</v>
      </c>
    </row>
    <row r="866" spans="1:17" x14ac:dyDescent="0.4">
      <c r="A866" t="s">
        <v>1229</v>
      </c>
      <c r="B866" s="1">
        <v>45856</v>
      </c>
      <c r="C866" t="s">
        <v>152</v>
      </c>
      <c r="D866" t="s">
        <v>46</v>
      </c>
      <c r="E866" t="s">
        <v>162</v>
      </c>
      <c r="F866" t="s">
        <v>16</v>
      </c>
      <c r="G866">
        <v>5</v>
      </c>
      <c r="H866">
        <v>1415.53</v>
      </c>
      <c r="I866">
        <v>15</v>
      </c>
      <c r="J866">
        <v>853.6</v>
      </c>
      <c r="K866" t="s">
        <v>17</v>
      </c>
      <c r="L866" t="s">
        <v>33</v>
      </c>
      <c r="M866">
        <f t="shared" si="65"/>
        <v>6016.0024999999996</v>
      </c>
      <c r="N866">
        <f t="shared" si="66"/>
        <v>1748.0024999999996</v>
      </c>
      <c r="O866" t="str">
        <f t="shared" si="67"/>
        <v>Friday</v>
      </c>
      <c r="P866" t="b">
        <f t="shared" si="68"/>
        <v>0</v>
      </c>
      <c r="Q866" t="str">
        <f t="shared" si="69"/>
        <v>July</v>
      </c>
    </row>
    <row r="867" spans="1:17" x14ac:dyDescent="0.4">
      <c r="A867" t="s">
        <v>1230</v>
      </c>
      <c r="B867" s="1">
        <v>45836</v>
      </c>
      <c r="C867" t="s">
        <v>278</v>
      </c>
      <c r="D867" t="s">
        <v>31</v>
      </c>
      <c r="E867" t="s">
        <v>780</v>
      </c>
      <c r="F867" t="s">
        <v>16</v>
      </c>
      <c r="G867">
        <v>4</v>
      </c>
      <c r="H867">
        <v>2531.59</v>
      </c>
      <c r="I867">
        <v>15</v>
      </c>
      <c r="J867">
        <v>1232.06</v>
      </c>
      <c r="K867" t="s">
        <v>24</v>
      </c>
      <c r="L867" t="s">
        <v>18</v>
      </c>
      <c r="M867">
        <f t="shared" si="65"/>
        <v>8607.4060000000009</v>
      </c>
      <c r="N867">
        <f t="shared" si="66"/>
        <v>3679.1660000000011</v>
      </c>
      <c r="O867" t="str">
        <f t="shared" si="67"/>
        <v>Saturday</v>
      </c>
      <c r="P867" t="b">
        <f t="shared" si="68"/>
        <v>1</v>
      </c>
      <c r="Q867" t="str">
        <f t="shared" si="69"/>
        <v>June</v>
      </c>
    </row>
    <row r="868" spans="1:17" x14ac:dyDescent="0.4">
      <c r="A868" t="s">
        <v>1231</v>
      </c>
      <c r="B868" s="1">
        <v>45617</v>
      </c>
      <c r="C868" t="s">
        <v>159</v>
      </c>
      <c r="D868" t="s">
        <v>31</v>
      </c>
      <c r="E868" t="s">
        <v>369</v>
      </c>
      <c r="F868" t="s">
        <v>23</v>
      </c>
      <c r="G868">
        <v>5</v>
      </c>
      <c r="H868">
        <v>2181.8000000000002</v>
      </c>
      <c r="I868">
        <v>5</v>
      </c>
      <c r="J868">
        <v>1142.04</v>
      </c>
      <c r="K868" t="s">
        <v>24</v>
      </c>
      <c r="L868" t="s">
        <v>37</v>
      </c>
      <c r="M868">
        <f t="shared" si="65"/>
        <v>10363.549999999999</v>
      </c>
      <c r="N868">
        <f t="shared" si="66"/>
        <v>4653.3499999999995</v>
      </c>
      <c r="O868" t="str">
        <f t="shared" si="67"/>
        <v>Thursday</v>
      </c>
      <c r="P868" t="b">
        <f t="shared" si="68"/>
        <v>0</v>
      </c>
      <c r="Q868" t="str">
        <f t="shared" si="69"/>
        <v>November</v>
      </c>
    </row>
    <row r="869" spans="1:17" x14ac:dyDescent="0.4">
      <c r="A869" t="s">
        <v>1232</v>
      </c>
      <c r="B869" s="1">
        <v>45572</v>
      </c>
      <c r="C869" t="s">
        <v>128</v>
      </c>
      <c r="D869" t="s">
        <v>31</v>
      </c>
      <c r="E869" t="s">
        <v>452</v>
      </c>
      <c r="F869" t="s">
        <v>16</v>
      </c>
      <c r="G869">
        <v>5</v>
      </c>
      <c r="H869">
        <v>1103.6199999999999</v>
      </c>
      <c r="I869">
        <v>20</v>
      </c>
      <c r="J869">
        <v>483.81</v>
      </c>
      <c r="K869" t="s">
        <v>17</v>
      </c>
      <c r="L869" t="s">
        <v>18</v>
      </c>
      <c r="M869">
        <f t="shared" si="65"/>
        <v>4414.4799999999996</v>
      </c>
      <c r="N869">
        <f t="shared" si="66"/>
        <v>1995.4299999999994</v>
      </c>
      <c r="O869" t="str">
        <f t="shared" si="67"/>
        <v>Monday</v>
      </c>
      <c r="P869" t="b">
        <f t="shared" si="68"/>
        <v>0</v>
      </c>
      <c r="Q869" t="str">
        <f t="shared" si="69"/>
        <v>October</v>
      </c>
    </row>
    <row r="870" spans="1:17" x14ac:dyDescent="0.4">
      <c r="A870" t="s">
        <v>1233</v>
      </c>
      <c r="B870" s="1">
        <v>45928</v>
      </c>
      <c r="C870" t="s">
        <v>30</v>
      </c>
      <c r="D870" t="s">
        <v>31</v>
      </c>
      <c r="E870" t="s">
        <v>75</v>
      </c>
      <c r="F870" t="s">
        <v>28</v>
      </c>
      <c r="G870">
        <v>5</v>
      </c>
      <c r="H870">
        <v>924.74</v>
      </c>
      <c r="I870">
        <v>5</v>
      </c>
      <c r="J870">
        <v>407.76</v>
      </c>
      <c r="K870" t="s">
        <v>17</v>
      </c>
      <c r="L870" t="s">
        <v>18</v>
      </c>
      <c r="M870">
        <f t="shared" si="65"/>
        <v>4392.5149999999994</v>
      </c>
      <c r="N870">
        <f t="shared" si="66"/>
        <v>2353.7149999999992</v>
      </c>
      <c r="O870" t="str">
        <f t="shared" si="67"/>
        <v>Sunday</v>
      </c>
      <c r="P870" t="b">
        <f t="shared" si="68"/>
        <v>1</v>
      </c>
      <c r="Q870" t="str">
        <f t="shared" si="69"/>
        <v>September</v>
      </c>
    </row>
    <row r="871" spans="1:17" x14ac:dyDescent="0.4">
      <c r="A871" t="s">
        <v>1234</v>
      </c>
      <c r="B871" s="1">
        <v>45638</v>
      </c>
      <c r="C871" t="s">
        <v>59</v>
      </c>
      <c r="D871" t="s">
        <v>14</v>
      </c>
      <c r="E871" t="s">
        <v>1235</v>
      </c>
      <c r="F871" t="s">
        <v>28</v>
      </c>
      <c r="G871">
        <v>4</v>
      </c>
      <c r="H871">
        <v>1443.5</v>
      </c>
      <c r="I871">
        <v>25</v>
      </c>
      <c r="J871">
        <v>658.35</v>
      </c>
      <c r="K871" t="s">
        <v>17</v>
      </c>
      <c r="L871" t="s">
        <v>37</v>
      </c>
      <c r="M871">
        <f t="shared" si="65"/>
        <v>4330.5</v>
      </c>
      <c r="N871">
        <f t="shared" si="66"/>
        <v>1697.1</v>
      </c>
      <c r="O871" t="str">
        <f t="shared" si="67"/>
        <v>Thursday</v>
      </c>
      <c r="P871" t="b">
        <f t="shared" si="68"/>
        <v>0</v>
      </c>
      <c r="Q871" t="str">
        <f t="shared" si="69"/>
        <v>December</v>
      </c>
    </row>
    <row r="872" spans="1:17" x14ac:dyDescent="0.4">
      <c r="A872" t="s">
        <v>1236</v>
      </c>
      <c r="B872" s="1">
        <v>45316</v>
      </c>
      <c r="C872" t="s">
        <v>13</v>
      </c>
      <c r="D872" t="s">
        <v>46</v>
      </c>
      <c r="E872" t="s">
        <v>891</v>
      </c>
      <c r="F872" t="s">
        <v>16</v>
      </c>
      <c r="G872">
        <v>5</v>
      </c>
      <c r="H872">
        <v>2613.9699999999998</v>
      </c>
      <c r="I872">
        <v>5</v>
      </c>
      <c r="J872">
        <v>1053.48</v>
      </c>
      <c r="K872" t="s">
        <v>17</v>
      </c>
      <c r="L872" t="s">
        <v>33</v>
      </c>
      <c r="M872">
        <f t="shared" si="65"/>
        <v>12416.357499999998</v>
      </c>
      <c r="N872">
        <f t="shared" si="66"/>
        <v>7148.9574999999986</v>
      </c>
      <c r="O872" t="str">
        <f t="shared" si="67"/>
        <v>Thursday</v>
      </c>
      <c r="P872" t="b">
        <f t="shared" si="68"/>
        <v>0</v>
      </c>
      <c r="Q872" t="str">
        <f t="shared" si="69"/>
        <v>January</v>
      </c>
    </row>
    <row r="873" spans="1:17" x14ac:dyDescent="0.4">
      <c r="A873" t="s">
        <v>1237</v>
      </c>
      <c r="B873" s="1">
        <v>45650</v>
      </c>
      <c r="C873" t="s">
        <v>273</v>
      </c>
      <c r="D873" t="s">
        <v>31</v>
      </c>
      <c r="E873" t="s">
        <v>662</v>
      </c>
      <c r="F873" t="s">
        <v>16</v>
      </c>
      <c r="G873">
        <v>3</v>
      </c>
      <c r="H873">
        <v>856.71</v>
      </c>
      <c r="I873">
        <v>20</v>
      </c>
      <c r="J873">
        <v>378.43</v>
      </c>
      <c r="K873" t="s">
        <v>24</v>
      </c>
      <c r="L873" t="s">
        <v>33</v>
      </c>
      <c r="M873">
        <f t="shared" si="65"/>
        <v>2056.1040000000003</v>
      </c>
      <c r="N873">
        <f t="shared" si="66"/>
        <v>920.81400000000031</v>
      </c>
      <c r="O873" t="str">
        <f t="shared" si="67"/>
        <v>Tuesday</v>
      </c>
      <c r="P873" t="b">
        <f t="shared" si="68"/>
        <v>0</v>
      </c>
      <c r="Q873" t="str">
        <f t="shared" si="69"/>
        <v>December</v>
      </c>
    </row>
    <row r="874" spans="1:17" x14ac:dyDescent="0.4">
      <c r="A874" t="s">
        <v>1238</v>
      </c>
      <c r="B874" s="1">
        <v>45498</v>
      </c>
      <c r="C874" t="s">
        <v>193</v>
      </c>
      <c r="D874" t="s">
        <v>14</v>
      </c>
      <c r="E874" t="s">
        <v>322</v>
      </c>
      <c r="F874" t="s">
        <v>23</v>
      </c>
      <c r="G874">
        <v>4</v>
      </c>
      <c r="H874">
        <v>1215.81</v>
      </c>
      <c r="I874">
        <v>5</v>
      </c>
      <c r="J874">
        <v>496.44</v>
      </c>
      <c r="K874" t="s">
        <v>24</v>
      </c>
      <c r="L874" t="s">
        <v>18</v>
      </c>
      <c r="M874">
        <f t="shared" si="65"/>
        <v>4620.0779999999995</v>
      </c>
      <c r="N874">
        <f t="shared" si="66"/>
        <v>2634.3179999999993</v>
      </c>
      <c r="O874" t="str">
        <f t="shared" si="67"/>
        <v>Thursday</v>
      </c>
      <c r="P874" t="b">
        <f t="shared" si="68"/>
        <v>0</v>
      </c>
      <c r="Q874" t="str">
        <f t="shared" si="69"/>
        <v>July</v>
      </c>
    </row>
    <row r="875" spans="1:17" x14ac:dyDescent="0.4">
      <c r="A875" t="s">
        <v>1239</v>
      </c>
      <c r="B875" s="1">
        <v>45977</v>
      </c>
      <c r="C875" t="s">
        <v>100</v>
      </c>
      <c r="D875" t="s">
        <v>21</v>
      </c>
      <c r="E875" t="s">
        <v>1240</v>
      </c>
      <c r="F875" t="s">
        <v>23</v>
      </c>
      <c r="G875">
        <v>5</v>
      </c>
      <c r="H875">
        <v>2282.0500000000002</v>
      </c>
      <c r="I875">
        <v>5</v>
      </c>
      <c r="J875">
        <v>1259.6500000000001</v>
      </c>
      <c r="K875" t="s">
        <v>17</v>
      </c>
      <c r="L875" t="s">
        <v>33</v>
      </c>
      <c r="M875">
        <f t="shared" si="65"/>
        <v>10839.737499999999</v>
      </c>
      <c r="N875">
        <f t="shared" si="66"/>
        <v>4541.4874999999993</v>
      </c>
      <c r="O875" t="str">
        <f t="shared" si="67"/>
        <v>Sunday</v>
      </c>
      <c r="P875" t="b">
        <f t="shared" si="68"/>
        <v>1</v>
      </c>
      <c r="Q875" t="str">
        <f t="shared" si="69"/>
        <v>November</v>
      </c>
    </row>
    <row r="876" spans="1:17" x14ac:dyDescent="0.4">
      <c r="A876" t="s">
        <v>1241</v>
      </c>
      <c r="B876" s="1">
        <v>45619</v>
      </c>
      <c r="C876" t="s">
        <v>89</v>
      </c>
      <c r="D876" t="s">
        <v>14</v>
      </c>
      <c r="E876" t="s">
        <v>855</v>
      </c>
      <c r="F876" t="s">
        <v>16</v>
      </c>
      <c r="G876">
        <v>3</v>
      </c>
      <c r="H876">
        <v>2296.09</v>
      </c>
      <c r="I876">
        <v>10</v>
      </c>
      <c r="J876">
        <v>1098.25</v>
      </c>
      <c r="K876" t="s">
        <v>24</v>
      </c>
      <c r="L876" t="s">
        <v>18</v>
      </c>
      <c r="M876">
        <f t="shared" si="65"/>
        <v>6199.4430000000002</v>
      </c>
      <c r="N876">
        <f t="shared" si="66"/>
        <v>2904.6930000000002</v>
      </c>
      <c r="O876" t="str">
        <f t="shared" si="67"/>
        <v>Saturday</v>
      </c>
      <c r="P876" t="b">
        <f t="shared" si="68"/>
        <v>1</v>
      </c>
      <c r="Q876" t="str">
        <f t="shared" si="69"/>
        <v>November</v>
      </c>
    </row>
    <row r="877" spans="1:17" x14ac:dyDescent="0.4">
      <c r="A877" t="s">
        <v>1242</v>
      </c>
      <c r="B877" s="1">
        <v>45680</v>
      </c>
      <c r="C877" t="s">
        <v>146</v>
      </c>
      <c r="D877" t="s">
        <v>21</v>
      </c>
      <c r="E877" t="s">
        <v>175</v>
      </c>
      <c r="F877" t="s">
        <v>16</v>
      </c>
      <c r="G877">
        <v>3</v>
      </c>
      <c r="H877">
        <v>1428.26</v>
      </c>
      <c r="I877">
        <v>0</v>
      </c>
      <c r="J877">
        <v>926.76</v>
      </c>
      <c r="K877" t="s">
        <v>24</v>
      </c>
      <c r="L877" t="s">
        <v>18</v>
      </c>
      <c r="M877">
        <f t="shared" si="65"/>
        <v>4284.78</v>
      </c>
      <c r="N877">
        <f t="shared" si="66"/>
        <v>1504.5</v>
      </c>
      <c r="O877" t="str">
        <f t="shared" si="67"/>
        <v>Thursday</v>
      </c>
      <c r="P877" t="b">
        <f t="shared" si="68"/>
        <v>0</v>
      </c>
      <c r="Q877" t="str">
        <f t="shared" si="69"/>
        <v>January</v>
      </c>
    </row>
    <row r="878" spans="1:17" x14ac:dyDescent="0.4">
      <c r="A878" t="s">
        <v>1243</v>
      </c>
      <c r="B878" s="1">
        <v>45457</v>
      </c>
      <c r="C878" t="s">
        <v>125</v>
      </c>
      <c r="D878" t="s">
        <v>21</v>
      </c>
      <c r="E878" t="s">
        <v>202</v>
      </c>
      <c r="F878" t="s">
        <v>28</v>
      </c>
      <c r="G878">
        <v>3</v>
      </c>
      <c r="H878">
        <v>1566.59</v>
      </c>
      <c r="I878">
        <v>20</v>
      </c>
      <c r="J878">
        <v>631.62</v>
      </c>
      <c r="K878" t="s">
        <v>24</v>
      </c>
      <c r="L878" t="s">
        <v>33</v>
      </c>
      <c r="M878">
        <f t="shared" si="65"/>
        <v>3759.8159999999998</v>
      </c>
      <c r="N878">
        <f t="shared" si="66"/>
        <v>1864.9559999999997</v>
      </c>
      <c r="O878" t="str">
        <f t="shared" si="67"/>
        <v>Friday</v>
      </c>
      <c r="P878" t="b">
        <f t="shared" si="68"/>
        <v>0</v>
      </c>
      <c r="Q878" t="str">
        <f t="shared" si="69"/>
        <v>June</v>
      </c>
    </row>
    <row r="879" spans="1:17" x14ac:dyDescent="0.4">
      <c r="A879" t="s">
        <v>1244</v>
      </c>
      <c r="B879" s="1">
        <v>45495</v>
      </c>
      <c r="C879" t="s">
        <v>226</v>
      </c>
      <c r="D879" t="s">
        <v>46</v>
      </c>
      <c r="E879" t="s">
        <v>435</v>
      </c>
      <c r="F879" t="s">
        <v>28</v>
      </c>
      <c r="G879">
        <v>1</v>
      </c>
      <c r="H879">
        <v>1889.65</v>
      </c>
      <c r="I879">
        <v>0</v>
      </c>
      <c r="J879">
        <v>1290.8599999999999</v>
      </c>
      <c r="K879" t="s">
        <v>24</v>
      </c>
      <c r="L879" t="s">
        <v>18</v>
      </c>
      <c r="M879">
        <f t="shared" si="65"/>
        <v>1889.65</v>
      </c>
      <c r="N879">
        <f t="shared" si="66"/>
        <v>598.79000000000019</v>
      </c>
      <c r="O879" t="str">
        <f t="shared" si="67"/>
        <v>Monday</v>
      </c>
      <c r="P879" t="b">
        <f t="shared" si="68"/>
        <v>0</v>
      </c>
      <c r="Q879" t="str">
        <f t="shared" si="69"/>
        <v>July</v>
      </c>
    </row>
    <row r="880" spans="1:17" x14ac:dyDescent="0.4">
      <c r="A880" t="s">
        <v>1245</v>
      </c>
      <c r="B880" s="1">
        <v>45676</v>
      </c>
      <c r="C880" t="s">
        <v>128</v>
      </c>
      <c r="D880" t="s">
        <v>14</v>
      </c>
      <c r="E880" t="s">
        <v>900</v>
      </c>
      <c r="F880" t="s">
        <v>23</v>
      </c>
      <c r="G880">
        <v>4</v>
      </c>
      <c r="H880">
        <v>911.76</v>
      </c>
      <c r="I880">
        <v>10</v>
      </c>
      <c r="J880">
        <v>556.66</v>
      </c>
      <c r="K880" t="s">
        <v>17</v>
      </c>
      <c r="L880" t="s">
        <v>33</v>
      </c>
      <c r="M880">
        <f t="shared" si="65"/>
        <v>3282.3360000000002</v>
      </c>
      <c r="N880">
        <f t="shared" si="66"/>
        <v>1055.6960000000004</v>
      </c>
      <c r="O880" t="str">
        <f t="shared" si="67"/>
        <v>Sunday</v>
      </c>
      <c r="P880" t="b">
        <f t="shared" si="68"/>
        <v>1</v>
      </c>
      <c r="Q880" t="str">
        <f t="shared" si="69"/>
        <v>January</v>
      </c>
    </row>
    <row r="881" spans="1:17" x14ac:dyDescent="0.4">
      <c r="A881" t="s">
        <v>1246</v>
      </c>
      <c r="B881" s="1">
        <v>45361</v>
      </c>
      <c r="C881" t="s">
        <v>224</v>
      </c>
      <c r="D881" t="s">
        <v>21</v>
      </c>
      <c r="E881" t="s">
        <v>210</v>
      </c>
      <c r="F881" t="s">
        <v>23</v>
      </c>
      <c r="G881">
        <v>1</v>
      </c>
      <c r="H881">
        <v>442.29</v>
      </c>
      <c r="I881">
        <v>0</v>
      </c>
      <c r="J881">
        <v>178.27</v>
      </c>
      <c r="K881" t="s">
        <v>24</v>
      </c>
      <c r="L881" t="s">
        <v>18</v>
      </c>
      <c r="M881">
        <f t="shared" si="65"/>
        <v>442.29</v>
      </c>
      <c r="N881">
        <f t="shared" si="66"/>
        <v>264.02</v>
      </c>
      <c r="O881" t="str">
        <f t="shared" si="67"/>
        <v>Sunday</v>
      </c>
      <c r="P881" t="b">
        <f t="shared" si="68"/>
        <v>1</v>
      </c>
      <c r="Q881" t="str">
        <f t="shared" si="69"/>
        <v>March</v>
      </c>
    </row>
    <row r="882" spans="1:17" x14ac:dyDescent="0.4">
      <c r="A882" t="s">
        <v>1247</v>
      </c>
      <c r="B882" s="1">
        <v>45321</v>
      </c>
      <c r="C882" t="s">
        <v>122</v>
      </c>
      <c r="D882" t="s">
        <v>31</v>
      </c>
      <c r="E882" t="s">
        <v>1248</v>
      </c>
      <c r="F882" t="s">
        <v>16</v>
      </c>
      <c r="G882">
        <v>1</v>
      </c>
      <c r="H882">
        <v>2945.93</v>
      </c>
      <c r="I882">
        <v>25</v>
      </c>
      <c r="J882">
        <v>2034.38</v>
      </c>
      <c r="K882" t="s">
        <v>24</v>
      </c>
      <c r="L882" t="s">
        <v>33</v>
      </c>
      <c r="M882">
        <f t="shared" si="65"/>
        <v>2209.4474999999998</v>
      </c>
      <c r="N882">
        <f t="shared" si="66"/>
        <v>175.06749999999965</v>
      </c>
      <c r="O882" t="str">
        <f t="shared" si="67"/>
        <v>Tuesday</v>
      </c>
      <c r="P882" t="b">
        <f t="shared" si="68"/>
        <v>0</v>
      </c>
      <c r="Q882" t="str">
        <f t="shared" si="69"/>
        <v>January</v>
      </c>
    </row>
    <row r="883" spans="1:17" x14ac:dyDescent="0.4">
      <c r="A883" t="s">
        <v>1249</v>
      </c>
      <c r="B883" s="1">
        <v>45915</v>
      </c>
      <c r="C883" t="s">
        <v>224</v>
      </c>
      <c r="D883" t="s">
        <v>21</v>
      </c>
      <c r="E883" t="s">
        <v>1250</v>
      </c>
      <c r="F883" t="s">
        <v>28</v>
      </c>
      <c r="G883">
        <v>4</v>
      </c>
      <c r="H883">
        <v>2829.54</v>
      </c>
      <c r="I883">
        <v>20</v>
      </c>
      <c r="J883">
        <v>1915.94</v>
      </c>
      <c r="K883" t="s">
        <v>24</v>
      </c>
      <c r="L883" t="s">
        <v>33</v>
      </c>
      <c r="M883">
        <f t="shared" si="65"/>
        <v>9054.5280000000002</v>
      </c>
      <c r="N883">
        <f t="shared" si="66"/>
        <v>1390.768</v>
      </c>
      <c r="O883" t="str">
        <f t="shared" si="67"/>
        <v>Monday</v>
      </c>
      <c r="P883" t="b">
        <f t="shared" si="68"/>
        <v>0</v>
      </c>
      <c r="Q883" t="str">
        <f t="shared" si="69"/>
        <v>September</v>
      </c>
    </row>
    <row r="884" spans="1:17" x14ac:dyDescent="0.4">
      <c r="A884" t="s">
        <v>1251</v>
      </c>
      <c r="B884" s="1">
        <v>45573</v>
      </c>
      <c r="C884" t="s">
        <v>59</v>
      </c>
      <c r="D884" t="s">
        <v>14</v>
      </c>
      <c r="E884" t="s">
        <v>305</v>
      </c>
      <c r="F884" t="s">
        <v>23</v>
      </c>
      <c r="G884">
        <v>5</v>
      </c>
      <c r="H884">
        <v>2105.16</v>
      </c>
      <c r="I884">
        <v>10</v>
      </c>
      <c r="J884">
        <v>953.36</v>
      </c>
      <c r="K884" t="s">
        <v>17</v>
      </c>
      <c r="L884" t="s">
        <v>33</v>
      </c>
      <c r="M884">
        <f t="shared" si="65"/>
        <v>9473.2199999999993</v>
      </c>
      <c r="N884">
        <f t="shared" si="66"/>
        <v>4706.4199999999992</v>
      </c>
      <c r="O884" t="str">
        <f t="shared" si="67"/>
        <v>Tuesday</v>
      </c>
      <c r="P884" t="b">
        <f t="shared" si="68"/>
        <v>0</v>
      </c>
      <c r="Q884" t="str">
        <f t="shared" si="69"/>
        <v>October</v>
      </c>
    </row>
    <row r="885" spans="1:17" x14ac:dyDescent="0.4">
      <c r="A885" t="s">
        <v>1252</v>
      </c>
      <c r="B885" s="1">
        <v>45676</v>
      </c>
      <c r="C885" t="s">
        <v>139</v>
      </c>
      <c r="D885" t="s">
        <v>21</v>
      </c>
      <c r="E885" t="s">
        <v>371</v>
      </c>
      <c r="F885" t="s">
        <v>28</v>
      </c>
      <c r="G885">
        <v>5</v>
      </c>
      <c r="H885">
        <v>1517.03</v>
      </c>
      <c r="I885">
        <v>5</v>
      </c>
      <c r="J885">
        <v>831.94</v>
      </c>
      <c r="K885" t="s">
        <v>24</v>
      </c>
      <c r="L885" t="s">
        <v>18</v>
      </c>
      <c r="M885">
        <f t="shared" si="65"/>
        <v>7205.892499999999</v>
      </c>
      <c r="N885">
        <f t="shared" si="66"/>
        <v>3046.1924999999983</v>
      </c>
      <c r="O885" t="str">
        <f t="shared" si="67"/>
        <v>Sunday</v>
      </c>
      <c r="P885" t="b">
        <f t="shared" si="68"/>
        <v>1</v>
      </c>
      <c r="Q885" t="str">
        <f t="shared" si="69"/>
        <v>January</v>
      </c>
    </row>
    <row r="886" spans="1:17" x14ac:dyDescent="0.4">
      <c r="A886" t="s">
        <v>1253</v>
      </c>
      <c r="B886" s="1">
        <v>45669</v>
      </c>
      <c r="C886" t="s">
        <v>71</v>
      </c>
      <c r="D886" t="s">
        <v>14</v>
      </c>
      <c r="E886" t="s">
        <v>1254</v>
      </c>
      <c r="F886" t="s">
        <v>16</v>
      </c>
      <c r="G886">
        <v>1</v>
      </c>
      <c r="H886">
        <v>2439.44</v>
      </c>
      <c r="I886">
        <v>20</v>
      </c>
      <c r="J886">
        <v>1028.3599999999999</v>
      </c>
      <c r="K886" t="s">
        <v>24</v>
      </c>
      <c r="L886" t="s">
        <v>18</v>
      </c>
      <c r="M886">
        <f t="shared" si="65"/>
        <v>1951.5520000000001</v>
      </c>
      <c r="N886">
        <f t="shared" si="66"/>
        <v>923.19200000000023</v>
      </c>
      <c r="O886" t="str">
        <f t="shared" si="67"/>
        <v>Sunday</v>
      </c>
      <c r="P886" t="b">
        <f t="shared" si="68"/>
        <v>1</v>
      </c>
      <c r="Q886" t="str">
        <f t="shared" si="69"/>
        <v>January</v>
      </c>
    </row>
    <row r="887" spans="1:17" x14ac:dyDescent="0.4">
      <c r="A887" t="s">
        <v>1255</v>
      </c>
      <c r="B887" s="1">
        <v>45570</v>
      </c>
      <c r="C887" t="s">
        <v>68</v>
      </c>
      <c r="D887" t="s">
        <v>31</v>
      </c>
      <c r="E887" t="s">
        <v>238</v>
      </c>
      <c r="F887" t="s">
        <v>16</v>
      </c>
      <c r="G887">
        <v>3</v>
      </c>
      <c r="H887">
        <v>612.33000000000004</v>
      </c>
      <c r="I887">
        <v>0</v>
      </c>
      <c r="J887">
        <v>345.32</v>
      </c>
      <c r="K887" t="s">
        <v>17</v>
      </c>
      <c r="L887" t="s">
        <v>18</v>
      </c>
      <c r="M887">
        <f t="shared" si="65"/>
        <v>1836.9900000000002</v>
      </c>
      <c r="N887">
        <f t="shared" si="66"/>
        <v>801.0300000000002</v>
      </c>
      <c r="O887" t="str">
        <f t="shared" si="67"/>
        <v>Saturday</v>
      </c>
      <c r="P887" t="b">
        <f t="shared" si="68"/>
        <v>1</v>
      </c>
      <c r="Q887" t="str">
        <f t="shared" si="69"/>
        <v>October</v>
      </c>
    </row>
    <row r="888" spans="1:17" x14ac:dyDescent="0.4">
      <c r="A888" t="s">
        <v>1256</v>
      </c>
      <c r="B888" s="1">
        <v>45845</v>
      </c>
      <c r="C888" t="s">
        <v>89</v>
      </c>
      <c r="D888" t="s">
        <v>14</v>
      </c>
      <c r="E888" t="s">
        <v>115</v>
      </c>
      <c r="F888" t="s">
        <v>16</v>
      </c>
      <c r="G888">
        <v>1</v>
      </c>
      <c r="H888">
        <v>2163.84</v>
      </c>
      <c r="I888">
        <v>20</v>
      </c>
      <c r="J888">
        <v>1437.95</v>
      </c>
      <c r="K888" t="s">
        <v>24</v>
      </c>
      <c r="L888" t="s">
        <v>37</v>
      </c>
      <c r="M888">
        <f t="shared" si="65"/>
        <v>1731.0720000000001</v>
      </c>
      <c r="N888">
        <f t="shared" si="66"/>
        <v>293.12200000000007</v>
      </c>
      <c r="O888" t="str">
        <f t="shared" si="67"/>
        <v>Monday</v>
      </c>
      <c r="P888" t="b">
        <f t="shared" si="68"/>
        <v>0</v>
      </c>
      <c r="Q888" t="str">
        <f t="shared" si="69"/>
        <v>July</v>
      </c>
    </row>
    <row r="889" spans="1:17" x14ac:dyDescent="0.4">
      <c r="A889" t="s">
        <v>1257</v>
      </c>
      <c r="B889" s="1">
        <v>45645</v>
      </c>
      <c r="C889" t="s">
        <v>309</v>
      </c>
      <c r="D889" t="s">
        <v>31</v>
      </c>
      <c r="E889" t="s">
        <v>464</v>
      </c>
      <c r="F889" t="s">
        <v>28</v>
      </c>
      <c r="G889">
        <v>4</v>
      </c>
      <c r="H889">
        <v>798.69</v>
      </c>
      <c r="I889">
        <v>25</v>
      </c>
      <c r="J889">
        <v>486.98</v>
      </c>
      <c r="K889" t="s">
        <v>24</v>
      </c>
      <c r="L889" t="s">
        <v>33</v>
      </c>
      <c r="M889">
        <f t="shared" si="65"/>
        <v>2396.0700000000002</v>
      </c>
      <c r="N889">
        <f t="shared" si="66"/>
        <v>448.15000000000009</v>
      </c>
      <c r="O889" t="str">
        <f t="shared" si="67"/>
        <v>Thursday</v>
      </c>
      <c r="P889" t="b">
        <f t="shared" si="68"/>
        <v>0</v>
      </c>
      <c r="Q889" t="str">
        <f t="shared" si="69"/>
        <v>December</v>
      </c>
    </row>
    <row r="890" spans="1:17" x14ac:dyDescent="0.4">
      <c r="A890" t="s">
        <v>1258</v>
      </c>
      <c r="B890" s="1">
        <v>45876</v>
      </c>
      <c r="C890" t="s">
        <v>39</v>
      </c>
      <c r="D890" t="s">
        <v>31</v>
      </c>
      <c r="E890" t="s">
        <v>488</v>
      </c>
      <c r="F890" t="s">
        <v>16</v>
      </c>
      <c r="G890">
        <v>5</v>
      </c>
      <c r="H890">
        <v>1724.76</v>
      </c>
      <c r="I890">
        <v>10</v>
      </c>
      <c r="J890">
        <v>1131.6500000000001</v>
      </c>
      <c r="K890" t="s">
        <v>17</v>
      </c>
      <c r="L890" t="s">
        <v>18</v>
      </c>
      <c r="M890">
        <f t="shared" si="65"/>
        <v>7761.4199999999992</v>
      </c>
      <c r="N890">
        <f t="shared" si="66"/>
        <v>2103.1699999999992</v>
      </c>
      <c r="O890" t="str">
        <f t="shared" si="67"/>
        <v>Thursday</v>
      </c>
      <c r="P890" t="b">
        <f t="shared" si="68"/>
        <v>0</v>
      </c>
      <c r="Q890" t="str">
        <f t="shared" si="69"/>
        <v>August</v>
      </c>
    </row>
    <row r="891" spans="1:17" x14ac:dyDescent="0.4">
      <c r="A891" t="s">
        <v>1259</v>
      </c>
      <c r="B891" s="1">
        <v>45905</v>
      </c>
      <c r="C891" t="s">
        <v>190</v>
      </c>
      <c r="D891" t="s">
        <v>31</v>
      </c>
      <c r="E891" t="s">
        <v>90</v>
      </c>
      <c r="F891" t="s">
        <v>16</v>
      </c>
      <c r="G891">
        <v>5</v>
      </c>
      <c r="H891">
        <v>651.99</v>
      </c>
      <c r="I891">
        <v>25</v>
      </c>
      <c r="J891">
        <v>264.63</v>
      </c>
      <c r="K891" t="s">
        <v>24</v>
      </c>
      <c r="L891" t="s">
        <v>33</v>
      </c>
      <c r="M891">
        <f t="shared" si="65"/>
        <v>2444.9624999999996</v>
      </c>
      <c r="N891">
        <f t="shared" si="66"/>
        <v>1121.8124999999995</v>
      </c>
      <c r="O891" t="str">
        <f t="shared" si="67"/>
        <v>Friday</v>
      </c>
      <c r="P891" t="b">
        <f t="shared" si="68"/>
        <v>0</v>
      </c>
      <c r="Q891" t="str">
        <f t="shared" si="69"/>
        <v>September</v>
      </c>
    </row>
    <row r="892" spans="1:17" x14ac:dyDescent="0.4">
      <c r="A892" t="s">
        <v>1260</v>
      </c>
      <c r="B892" s="1">
        <v>45355</v>
      </c>
      <c r="C892" t="s">
        <v>13</v>
      </c>
      <c r="D892" t="s">
        <v>14</v>
      </c>
      <c r="E892" t="s">
        <v>858</v>
      </c>
      <c r="F892" t="s">
        <v>23</v>
      </c>
      <c r="G892">
        <v>1</v>
      </c>
      <c r="H892">
        <v>1529.3</v>
      </c>
      <c r="I892">
        <v>0</v>
      </c>
      <c r="J892">
        <v>994.47</v>
      </c>
      <c r="K892" t="s">
        <v>24</v>
      </c>
      <c r="L892" t="s">
        <v>33</v>
      </c>
      <c r="M892">
        <f t="shared" si="65"/>
        <v>1529.3</v>
      </c>
      <c r="N892">
        <f t="shared" si="66"/>
        <v>534.82999999999993</v>
      </c>
      <c r="O892" t="str">
        <f t="shared" si="67"/>
        <v>Monday</v>
      </c>
      <c r="P892" t="b">
        <f t="shared" si="68"/>
        <v>0</v>
      </c>
      <c r="Q892" t="str">
        <f t="shared" si="69"/>
        <v>March</v>
      </c>
    </row>
    <row r="893" spans="1:17" x14ac:dyDescent="0.4">
      <c r="A893" t="s">
        <v>1261</v>
      </c>
      <c r="B893" s="1">
        <v>45848</v>
      </c>
      <c r="C893" t="s">
        <v>30</v>
      </c>
      <c r="D893" t="s">
        <v>21</v>
      </c>
      <c r="E893" t="s">
        <v>603</v>
      </c>
      <c r="F893" t="s">
        <v>23</v>
      </c>
      <c r="G893">
        <v>5</v>
      </c>
      <c r="H893">
        <v>1919.41</v>
      </c>
      <c r="I893">
        <v>0</v>
      </c>
      <c r="J893">
        <v>1024</v>
      </c>
      <c r="K893" t="s">
        <v>24</v>
      </c>
      <c r="L893" t="s">
        <v>18</v>
      </c>
      <c r="M893">
        <f t="shared" si="65"/>
        <v>9597.0500000000011</v>
      </c>
      <c r="N893">
        <f t="shared" si="66"/>
        <v>4477.0500000000011</v>
      </c>
      <c r="O893" t="str">
        <f t="shared" si="67"/>
        <v>Thursday</v>
      </c>
      <c r="P893" t="b">
        <f t="shared" si="68"/>
        <v>0</v>
      </c>
      <c r="Q893" t="str">
        <f t="shared" si="69"/>
        <v>July</v>
      </c>
    </row>
    <row r="894" spans="1:17" x14ac:dyDescent="0.4">
      <c r="A894" t="s">
        <v>1262</v>
      </c>
      <c r="B894" s="1">
        <v>45935</v>
      </c>
      <c r="C894" t="s">
        <v>128</v>
      </c>
      <c r="D894" t="s">
        <v>21</v>
      </c>
      <c r="E894" t="s">
        <v>442</v>
      </c>
      <c r="F894" t="s">
        <v>28</v>
      </c>
      <c r="G894">
        <v>3</v>
      </c>
      <c r="H894">
        <v>2942.88</v>
      </c>
      <c r="I894">
        <v>15</v>
      </c>
      <c r="J894">
        <v>1977.19</v>
      </c>
      <c r="K894" t="s">
        <v>24</v>
      </c>
      <c r="L894" t="s">
        <v>33</v>
      </c>
      <c r="M894">
        <f t="shared" si="65"/>
        <v>7504.3439999999991</v>
      </c>
      <c r="N894">
        <f t="shared" si="66"/>
        <v>1572.7739999999994</v>
      </c>
      <c r="O894" t="str">
        <f t="shared" si="67"/>
        <v>Sunday</v>
      </c>
      <c r="P894" t="b">
        <f t="shared" si="68"/>
        <v>1</v>
      </c>
      <c r="Q894" t="str">
        <f t="shared" si="69"/>
        <v>October</v>
      </c>
    </row>
    <row r="895" spans="1:17" x14ac:dyDescent="0.4">
      <c r="A895" t="s">
        <v>1263</v>
      </c>
      <c r="B895" s="1">
        <v>45985</v>
      </c>
      <c r="C895" t="s">
        <v>174</v>
      </c>
      <c r="D895" t="s">
        <v>14</v>
      </c>
      <c r="E895" t="s">
        <v>1264</v>
      </c>
      <c r="F895" t="s">
        <v>28</v>
      </c>
      <c r="G895">
        <v>5</v>
      </c>
      <c r="H895">
        <v>1000.22</v>
      </c>
      <c r="I895">
        <v>25</v>
      </c>
      <c r="J895">
        <v>545.79</v>
      </c>
      <c r="K895" t="s">
        <v>17</v>
      </c>
      <c r="L895" t="s">
        <v>37</v>
      </c>
      <c r="M895">
        <f t="shared" si="65"/>
        <v>3750.8250000000003</v>
      </c>
      <c r="N895">
        <f t="shared" si="66"/>
        <v>1021.8750000000005</v>
      </c>
      <c r="O895" t="str">
        <f t="shared" si="67"/>
        <v>Monday</v>
      </c>
      <c r="P895" t="b">
        <f t="shared" si="68"/>
        <v>0</v>
      </c>
      <c r="Q895" t="str">
        <f t="shared" si="69"/>
        <v>November</v>
      </c>
    </row>
    <row r="896" spans="1:17" x14ac:dyDescent="0.4">
      <c r="A896" t="s">
        <v>1265</v>
      </c>
      <c r="B896" s="1">
        <v>45894</v>
      </c>
      <c r="C896" t="s">
        <v>286</v>
      </c>
      <c r="D896" t="s">
        <v>31</v>
      </c>
      <c r="E896" t="s">
        <v>377</v>
      </c>
      <c r="F896" t="s">
        <v>16</v>
      </c>
      <c r="G896">
        <v>4</v>
      </c>
      <c r="H896">
        <v>1624.07</v>
      </c>
      <c r="I896">
        <v>15</v>
      </c>
      <c r="J896">
        <v>718.66</v>
      </c>
      <c r="K896" t="s">
        <v>17</v>
      </c>
      <c r="L896" t="s">
        <v>37</v>
      </c>
      <c r="M896">
        <f t="shared" si="65"/>
        <v>5521.8379999999997</v>
      </c>
      <c r="N896">
        <f t="shared" si="66"/>
        <v>2647.1979999999999</v>
      </c>
      <c r="O896" t="str">
        <f t="shared" si="67"/>
        <v>Monday</v>
      </c>
      <c r="P896" t="b">
        <f t="shared" si="68"/>
        <v>0</v>
      </c>
      <c r="Q896" t="str">
        <f t="shared" si="69"/>
        <v>August</v>
      </c>
    </row>
    <row r="897" spans="1:17" x14ac:dyDescent="0.4">
      <c r="A897" t="s">
        <v>1266</v>
      </c>
      <c r="B897" s="1">
        <v>45908</v>
      </c>
      <c r="C897" t="s">
        <v>375</v>
      </c>
      <c r="D897" t="s">
        <v>46</v>
      </c>
      <c r="E897" t="s">
        <v>521</v>
      </c>
      <c r="F897" t="s">
        <v>16</v>
      </c>
      <c r="G897">
        <v>2</v>
      </c>
      <c r="H897">
        <v>2817.17</v>
      </c>
      <c r="I897">
        <v>0</v>
      </c>
      <c r="J897">
        <v>1762.58</v>
      </c>
      <c r="K897" t="s">
        <v>17</v>
      </c>
      <c r="L897" t="s">
        <v>37</v>
      </c>
      <c r="M897">
        <f t="shared" si="65"/>
        <v>5634.34</v>
      </c>
      <c r="N897">
        <f t="shared" si="66"/>
        <v>2109.1800000000003</v>
      </c>
      <c r="O897" t="str">
        <f t="shared" si="67"/>
        <v>Monday</v>
      </c>
      <c r="P897" t="b">
        <f t="shared" si="68"/>
        <v>0</v>
      </c>
      <c r="Q897" t="str">
        <f t="shared" si="69"/>
        <v>September</v>
      </c>
    </row>
    <row r="898" spans="1:17" x14ac:dyDescent="0.4">
      <c r="A898" t="s">
        <v>1267</v>
      </c>
      <c r="B898" s="1">
        <v>45524</v>
      </c>
      <c r="C898" t="s">
        <v>39</v>
      </c>
      <c r="D898" t="s">
        <v>31</v>
      </c>
      <c r="E898" t="s">
        <v>546</v>
      </c>
      <c r="F898" t="s">
        <v>16</v>
      </c>
      <c r="G898">
        <v>1</v>
      </c>
      <c r="H898">
        <v>1919.68</v>
      </c>
      <c r="I898">
        <v>10</v>
      </c>
      <c r="J898">
        <v>984.87</v>
      </c>
      <c r="K898" t="s">
        <v>17</v>
      </c>
      <c r="L898" t="s">
        <v>37</v>
      </c>
      <c r="M898">
        <f t="shared" si="65"/>
        <v>1727.712</v>
      </c>
      <c r="N898">
        <f t="shared" si="66"/>
        <v>742.84199999999998</v>
      </c>
      <c r="O898" t="str">
        <f t="shared" si="67"/>
        <v>Tuesday</v>
      </c>
      <c r="P898" t="b">
        <f t="shared" si="68"/>
        <v>0</v>
      </c>
      <c r="Q898" t="str">
        <f t="shared" si="69"/>
        <v>August</v>
      </c>
    </row>
    <row r="899" spans="1:17" x14ac:dyDescent="0.4">
      <c r="A899" t="s">
        <v>1268</v>
      </c>
      <c r="B899" s="1">
        <v>45496</v>
      </c>
      <c r="C899" t="s">
        <v>139</v>
      </c>
      <c r="D899" t="s">
        <v>14</v>
      </c>
      <c r="E899" t="s">
        <v>134</v>
      </c>
      <c r="F899" t="s">
        <v>28</v>
      </c>
      <c r="G899">
        <v>3</v>
      </c>
      <c r="H899">
        <v>1330.84</v>
      </c>
      <c r="I899">
        <v>0</v>
      </c>
      <c r="J899">
        <v>780.28</v>
      </c>
      <c r="K899" t="s">
        <v>24</v>
      </c>
      <c r="L899" t="s">
        <v>33</v>
      </c>
      <c r="M899">
        <f t="shared" ref="M899:M962" si="70">G899 * H899 * (1 - I899/100)</f>
        <v>3992.5199999999995</v>
      </c>
      <c r="N899">
        <f t="shared" ref="N899:N962" si="71">M899 - (J899 * G899)</f>
        <v>1651.6799999999994</v>
      </c>
      <c r="O899" t="str">
        <f t="shared" ref="O899:O962" si="72">TEXT(B899,"dddd")</f>
        <v>Tuesday</v>
      </c>
      <c r="P899" t="b">
        <f t="shared" ref="P899:P962" si="73">OR(TEXT(B899,"ddd")="Sat", TEXT(B899,"ddd")="Sun")</f>
        <v>0</v>
      </c>
      <c r="Q899" t="str">
        <f t="shared" ref="Q899:Q962" si="74">TEXT(B899,"mmmm")</f>
        <v>July</v>
      </c>
    </row>
    <row r="900" spans="1:17" x14ac:dyDescent="0.4">
      <c r="A900" t="s">
        <v>1269</v>
      </c>
      <c r="B900" s="1">
        <v>45511</v>
      </c>
      <c r="C900" t="s">
        <v>193</v>
      </c>
      <c r="D900" t="s">
        <v>14</v>
      </c>
      <c r="E900" t="s">
        <v>1016</v>
      </c>
      <c r="F900" t="s">
        <v>16</v>
      </c>
      <c r="G900">
        <v>4</v>
      </c>
      <c r="H900">
        <v>1972.66</v>
      </c>
      <c r="I900">
        <v>15</v>
      </c>
      <c r="J900">
        <v>802.4</v>
      </c>
      <c r="K900" t="s">
        <v>17</v>
      </c>
      <c r="L900" t="s">
        <v>37</v>
      </c>
      <c r="M900">
        <f t="shared" si="70"/>
        <v>6707.0439999999999</v>
      </c>
      <c r="N900">
        <f t="shared" si="71"/>
        <v>3497.444</v>
      </c>
      <c r="O900" t="str">
        <f t="shared" si="72"/>
        <v>Wednesday</v>
      </c>
      <c r="P900" t="b">
        <f t="shared" si="73"/>
        <v>0</v>
      </c>
      <c r="Q900" t="str">
        <f t="shared" si="74"/>
        <v>August</v>
      </c>
    </row>
    <row r="901" spans="1:17" x14ac:dyDescent="0.4">
      <c r="A901" t="s">
        <v>1270</v>
      </c>
      <c r="B901" s="1">
        <v>45775</v>
      </c>
      <c r="C901" t="s">
        <v>65</v>
      </c>
      <c r="D901" t="s">
        <v>31</v>
      </c>
      <c r="E901" t="s">
        <v>1129</v>
      </c>
      <c r="F901" t="s">
        <v>16</v>
      </c>
      <c r="G901">
        <v>4</v>
      </c>
      <c r="H901">
        <v>2519.92</v>
      </c>
      <c r="I901">
        <v>25</v>
      </c>
      <c r="J901">
        <v>1415.8</v>
      </c>
      <c r="K901" t="s">
        <v>24</v>
      </c>
      <c r="L901" t="s">
        <v>18</v>
      </c>
      <c r="M901">
        <f t="shared" si="70"/>
        <v>7559.76</v>
      </c>
      <c r="N901">
        <f t="shared" si="71"/>
        <v>1896.5600000000004</v>
      </c>
      <c r="O901" t="str">
        <f t="shared" si="72"/>
        <v>Monday</v>
      </c>
      <c r="P901" t="b">
        <f t="shared" si="73"/>
        <v>0</v>
      </c>
      <c r="Q901" t="str">
        <f t="shared" si="74"/>
        <v>April</v>
      </c>
    </row>
    <row r="902" spans="1:17" x14ac:dyDescent="0.4">
      <c r="A902" t="s">
        <v>1271</v>
      </c>
      <c r="B902" s="1">
        <v>45332</v>
      </c>
      <c r="C902" t="s">
        <v>190</v>
      </c>
      <c r="D902" t="s">
        <v>14</v>
      </c>
      <c r="E902" t="s">
        <v>352</v>
      </c>
      <c r="F902" t="s">
        <v>16</v>
      </c>
      <c r="G902">
        <v>1</v>
      </c>
      <c r="H902">
        <v>808.87</v>
      </c>
      <c r="I902">
        <v>0</v>
      </c>
      <c r="J902">
        <v>348.74</v>
      </c>
      <c r="K902" t="s">
        <v>24</v>
      </c>
      <c r="L902" t="s">
        <v>37</v>
      </c>
      <c r="M902">
        <f t="shared" si="70"/>
        <v>808.87</v>
      </c>
      <c r="N902">
        <f t="shared" si="71"/>
        <v>460.13</v>
      </c>
      <c r="O902" t="str">
        <f t="shared" si="72"/>
        <v>Saturday</v>
      </c>
      <c r="P902" t="b">
        <f t="shared" si="73"/>
        <v>1</v>
      </c>
      <c r="Q902" t="str">
        <f t="shared" si="74"/>
        <v>February</v>
      </c>
    </row>
    <row r="903" spans="1:17" x14ac:dyDescent="0.4">
      <c r="A903" t="s">
        <v>1272</v>
      </c>
      <c r="B903" s="1">
        <v>45303</v>
      </c>
      <c r="C903" t="s">
        <v>74</v>
      </c>
      <c r="D903" t="s">
        <v>14</v>
      </c>
      <c r="E903" t="s">
        <v>1273</v>
      </c>
      <c r="F903" t="s">
        <v>23</v>
      </c>
      <c r="G903">
        <v>1</v>
      </c>
      <c r="H903">
        <v>873.77</v>
      </c>
      <c r="I903">
        <v>15</v>
      </c>
      <c r="J903">
        <v>447.21</v>
      </c>
      <c r="K903" t="s">
        <v>17</v>
      </c>
      <c r="L903" t="s">
        <v>18</v>
      </c>
      <c r="M903">
        <f t="shared" si="70"/>
        <v>742.70449999999994</v>
      </c>
      <c r="N903">
        <f t="shared" si="71"/>
        <v>295.49449999999996</v>
      </c>
      <c r="O903" t="str">
        <f t="shared" si="72"/>
        <v>Friday</v>
      </c>
      <c r="P903" t="b">
        <f t="shared" si="73"/>
        <v>0</v>
      </c>
      <c r="Q903" t="str">
        <f t="shared" si="74"/>
        <v>January</v>
      </c>
    </row>
    <row r="904" spans="1:17" x14ac:dyDescent="0.4">
      <c r="A904" t="s">
        <v>1274</v>
      </c>
      <c r="B904" s="1">
        <v>45797</v>
      </c>
      <c r="C904" t="s">
        <v>286</v>
      </c>
      <c r="D904" t="s">
        <v>31</v>
      </c>
      <c r="E904" t="s">
        <v>80</v>
      </c>
      <c r="F904" t="s">
        <v>16</v>
      </c>
      <c r="G904">
        <v>4</v>
      </c>
      <c r="H904">
        <v>2358.02</v>
      </c>
      <c r="I904">
        <v>5</v>
      </c>
      <c r="J904">
        <v>1625.92</v>
      </c>
      <c r="K904" t="s">
        <v>17</v>
      </c>
      <c r="L904" t="s">
        <v>33</v>
      </c>
      <c r="M904">
        <f t="shared" si="70"/>
        <v>8960.4759999999987</v>
      </c>
      <c r="N904">
        <f t="shared" si="71"/>
        <v>2456.7959999999985</v>
      </c>
      <c r="O904" t="str">
        <f t="shared" si="72"/>
        <v>Tuesday</v>
      </c>
      <c r="P904" t="b">
        <f t="shared" si="73"/>
        <v>0</v>
      </c>
      <c r="Q904" t="str">
        <f t="shared" si="74"/>
        <v>May</v>
      </c>
    </row>
    <row r="905" spans="1:17" x14ac:dyDescent="0.4">
      <c r="A905" t="s">
        <v>1275</v>
      </c>
      <c r="B905" s="1">
        <v>45313</v>
      </c>
      <c r="C905" t="s">
        <v>68</v>
      </c>
      <c r="D905" t="s">
        <v>21</v>
      </c>
      <c r="E905" t="s">
        <v>238</v>
      </c>
      <c r="F905" t="s">
        <v>23</v>
      </c>
      <c r="G905">
        <v>4</v>
      </c>
      <c r="H905">
        <v>794.29</v>
      </c>
      <c r="I905">
        <v>25</v>
      </c>
      <c r="J905">
        <v>400.13</v>
      </c>
      <c r="K905" t="s">
        <v>17</v>
      </c>
      <c r="L905" t="s">
        <v>33</v>
      </c>
      <c r="M905">
        <f t="shared" si="70"/>
        <v>2382.87</v>
      </c>
      <c r="N905">
        <f t="shared" si="71"/>
        <v>782.34999999999991</v>
      </c>
      <c r="O905" t="str">
        <f t="shared" si="72"/>
        <v>Monday</v>
      </c>
      <c r="P905" t="b">
        <f t="shared" si="73"/>
        <v>0</v>
      </c>
      <c r="Q905" t="str">
        <f t="shared" si="74"/>
        <v>January</v>
      </c>
    </row>
    <row r="906" spans="1:17" x14ac:dyDescent="0.4">
      <c r="A906" t="s">
        <v>1276</v>
      </c>
      <c r="B906" s="1">
        <v>45451</v>
      </c>
      <c r="C906" t="s">
        <v>119</v>
      </c>
      <c r="D906" t="s">
        <v>46</v>
      </c>
      <c r="E906" t="s">
        <v>150</v>
      </c>
      <c r="F906" t="s">
        <v>23</v>
      </c>
      <c r="G906">
        <v>3</v>
      </c>
      <c r="H906">
        <v>560.05999999999995</v>
      </c>
      <c r="I906">
        <v>15</v>
      </c>
      <c r="J906">
        <v>263.25</v>
      </c>
      <c r="K906" t="s">
        <v>24</v>
      </c>
      <c r="L906" t="s">
        <v>18</v>
      </c>
      <c r="M906">
        <f t="shared" si="70"/>
        <v>1428.1529999999998</v>
      </c>
      <c r="N906">
        <f t="shared" si="71"/>
        <v>638.40299999999979</v>
      </c>
      <c r="O906" t="str">
        <f t="shared" si="72"/>
        <v>Saturday</v>
      </c>
      <c r="P906" t="b">
        <f t="shared" si="73"/>
        <v>1</v>
      </c>
      <c r="Q906" t="str">
        <f t="shared" si="74"/>
        <v>June</v>
      </c>
    </row>
    <row r="907" spans="1:17" x14ac:dyDescent="0.4">
      <c r="A907" t="s">
        <v>1277</v>
      </c>
      <c r="B907" s="1">
        <v>45738</v>
      </c>
      <c r="C907" t="s">
        <v>77</v>
      </c>
      <c r="D907" t="s">
        <v>46</v>
      </c>
      <c r="E907" t="s">
        <v>577</v>
      </c>
      <c r="F907" t="s">
        <v>16</v>
      </c>
      <c r="G907">
        <v>1</v>
      </c>
      <c r="H907">
        <v>699.03</v>
      </c>
      <c r="I907">
        <v>30</v>
      </c>
      <c r="J907">
        <v>468.33</v>
      </c>
      <c r="K907" t="s">
        <v>24</v>
      </c>
      <c r="L907" t="s">
        <v>18</v>
      </c>
      <c r="M907">
        <f t="shared" si="70"/>
        <v>489.32099999999997</v>
      </c>
      <c r="N907">
        <f t="shared" si="71"/>
        <v>20.990999999999985</v>
      </c>
      <c r="O907" t="str">
        <f t="shared" si="72"/>
        <v>Saturday</v>
      </c>
      <c r="P907" t="b">
        <f t="shared" si="73"/>
        <v>1</v>
      </c>
      <c r="Q907" t="str">
        <f t="shared" si="74"/>
        <v>March</v>
      </c>
    </row>
    <row r="908" spans="1:17" x14ac:dyDescent="0.4">
      <c r="A908" t="s">
        <v>1278</v>
      </c>
      <c r="B908" s="1">
        <v>45819</v>
      </c>
      <c r="C908" t="s">
        <v>42</v>
      </c>
      <c r="D908" t="s">
        <v>14</v>
      </c>
      <c r="E908" t="s">
        <v>621</v>
      </c>
      <c r="F908" t="s">
        <v>23</v>
      </c>
      <c r="G908">
        <v>2</v>
      </c>
      <c r="H908">
        <v>448.42</v>
      </c>
      <c r="I908">
        <v>15</v>
      </c>
      <c r="J908">
        <v>180.24</v>
      </c>
      <c r="K908" t="s">
        <v>24</v>
      </c>
      <c r="L908" t="s">
        <v>18</v>
      </c>
      <c r="M908">
        <f t="shared" si="70"/>
        <v>762.31399999999996</v>
      </c>
      <c r="N908">
        <f t="shared" si="71"/>
        <v>401.83399999999995</v>
      </c>
      <c r="O908" t="str">
        <f t="shared" si="72"/>
        <v>Wednesday</v>
      </c>
      <c r="P908" t="b">
        <f t="shared" si="73"/>
        <v>0</v>
      </c>
      <c r="Q908" t="str">
        <f t="shared" si="74"/>
        <v>June</v>
      </c>
    </row>
    <row r="909" spans="1:17" x14ac:dyDescent="0.4">
      <c r="A909" t="s">
        <v>1279</v>
      </c>
      <c r="B909" s="1">
        <v>45376</v>
      </c>
      <c r="C909" t="s">
        <v>114</v>
      </c>
      <c r="D909" t="s">
        <v>14</v>
      </c>
      <c r="E909" t="s">
        <v>270</v>
      </c>
      <c r="F909" t="s">
        <v>16</v>
      </c>
      <c r="G909">
        <v>1</v>
      </c>
      <c r="H909">
        <v>1229.8399999999999</v>
      </c>
      <c r="I909">
        <v>25</v>
      </c>
      <c r="J909">
        <v>718.98</v>
      </c>
      <c r="K909" t="s">
        <v>24</v>
      </c>
      <c r="L909" t="s">
        <v>33</v>
      </c>
      <c r="M909">
        <f t="shared" si="70"/>
        <v>922.37999999999988</v>
      </c>
      <c r="N909">
        <f t="shared" si="71"/>
        <v>203.39999999999986</v>
      </c>
      <c r="O909" t="str">
        <f t="shared" si="72"/>
        <v>Monday</v>
      </c>
      <c r="P909" t="b">
        <f t="shared" si="73"/>
        <v>0</v>
      </c>
      <c r="Q909" t="str">
        <f t="shared" si="74"/>
        <v>March</v>
      </c>
    </row>
    <row r="910" spans="1:17" x14ac:dyDescent="0.4">
      <c r="A910" t="s">
        <v>1280</v>
      </c>
      <c r="B910" s="1">
        <v>45320</v>
      </c>
      <c r="C910" t="s">
        <v>35</v>
      </c>
      <c r="D910" t="s">
        <v>14</v>
      </c>
      <c r="E910" t="s">
        <v>561</v>
      </c>
      <c r="F910" t="s">
        <v>28</v>
      </c>
      <c r="G910">
        <v>2</v>
      </c>
      <c r="H910">
        <v>366.63</v>
      </c>
      <c r="I910">
        <v>30</v>
      </c>
      <c r="J910">
        <v>206.03</v>
      </c>
      <c r="K910" t="s">
        <v>17</v>
      </c>
      <c r="L910" t="s">
        <v>37</v>
      </c>
      <c r="M910">
        <f t="shared" si="70"/>
        <v>513.28199999999993</v>
      </c>
      <c r="N910">
        <f t="shared" si="71"/>
        <v>101.22199999999992</v>
      </c>
      <c r="O910" t="str">
        <f t="shared" si="72"/>
        <v>Monday</v>
      </c>
      <c r="P910" t="b">
        <f t="shared" si="73"/>
        <v>0</v>
      </c>
      <c r="Q910" t="str">
        <f t="shared" si="74"/>
        <v>January</v>
      </c>
    </row>
    <row r="911" spans="1:17" x14ac:dyDescent="0.4">
      <c r="A911" t="s">
        <v>1281</v>
      </c>
      <c r="B911" s="1">
        <v>45881</v>
      </c>
      <c r="C911" t="s">
        <v>302</v>
      </c>
      <c r="D911" t="s">
        <v>31</v>
      </c>
      <c r="E911" t="s">
        <v>430</v>
      </c>
      <c r="F911" t="s">
        <v>23</v>
      </c>
      <c r="G911">
        <v>4</v>
      </c>
      <c r="H911">
        <v>2926.63</v>
      </c>
      <c r="I911">
        <v>20</v>
      </c>
      <c r="J911">
        <v>1486.04</v>
      </c>
      <c r="K911" t="s">
        <v>24</v>
      </c>
      <c r="L911" t="s">
        <v>33</v>
      </c>
      <c r="M911">
        <f t="shared" si="70"/>
        <v>9365.2160000000003</v>
      </c>
      <c r="N911">
        <f t="shared" si="71"/>
        <v>3421.0560000000005</v>
      </c>
      <c r="O911" t="str">
        <f t="shared" si="72"/>
        <v>Tuesday</v>
      </c>
      <c r="P911" t="b">
        <f t="shared" si="73"/>
        <v>0</v>
      </c>
      <c r="Q911" t="str">
        <f t="shared" si="74"/>
        <v>August</v>
      </c>
    </row>
    <row r="912" spans="1:17" x14ac:dyDescent="0.4">
      <c r="A912" t="s">
        <v>1282</v>
      </c>
      <c r="B912" s="1">
        <v>45618</v>
      </c>
      <c r="C912" t="s">
        <v>125</v>
      </c>
      <c r="D912" t="s">
        <v>14</v>
      </c>
      <c r="E912" t="s">
        <v>218</v>
      </c>
      <c r="F912" t="s">
        <v>16</v>
      </c>
      <c r="G912">
        <v>5</v>
      </c>
      <c r="H912">
        <v>1997.57</v>
      </c>
      <c r="I912">
        <v>15</v>
      </c>
      <c r="J912">
        <v>1099.6099999999999</v>
      </c>
      <c r="K912" t="s">
        <v>24</v>
      </c>
      <c r="L912" t="s">
        <v>18</v>
      </c>
      <c r="M912">
        <f t="shared" si="70"/>
        <v>8489.6725000000006</v>
      </c>
      <c r="N912">
        <f t="shared" si="71"/>
        <v>2991.6225000000013</v>
      </c>
      <c r="O912" t="str">
        <f t="shared" si="72"/>
        <v>Friday</v>
      </c>
      <c r="P912" t="b">
        <f t="shared" si="73"/>
        <v>0</v>
      </c>
      <c r="Q912" t="str">
        <f t="shared" si="74"/>
        <v>November</v>
      </c>
    </row>
    <row r="913" spans="1:17" x14ac:dyDescent="0.4">
      <c r="A913" t="s">
        <v>1283</v>
      </c>
      <c r="B913" s="1">
        <v>45369</v>
      </c>
      <c r="C913" t="s">
        <v>174</v>
      </c>
      <c r="D913" t="s">
        <v>31</v>
      </c>
      <c r="E913" t="s">
        <v>1284</v>
      </c>
      <c r="F913" t="s">
        <v>16</v>
      </c>
      <c r="G913">
        <v>1</v>
      </c>
      <c r="H913">
        <v>2183.2600000000002</v>
      </c>
      <c r="I913">
        <v>5</v>
      </c>
      <c r="J913">
        <v>1492.4</v>
      </c>
      <c r="K913" t="s">
        <v>17</v>
      </c>
      <c r="L913" t="s">
        <v>33</v>
      </c>
      <c r="M913">
        <f t="shared" si="70"/>
        <v>2074.0970000000002</v>
      </c>
      <c r="N913">
        <f t="shared" si="71"/>
        <v>581.69700000000012</v>
      </c>
      <c r="O913" t="str">
        <f t="shared" si="72"/>
        <v>Monday</v>
      </c>
      <c r="P913" t="b">
        <f t="shared" si="73"/>
        <v>0</v>
      </c>
      <c r="Q913" t="str">
        <f t="shared" si="74"/>
        <v>March</v>
      </c>
    </row>
    <row r="914" spans="1:17" x14ac:dyDescent="0.4">
      <c r="A914" t="s">
        <v>1285</v>
      </c>
      <c r="B914" s="1">
        <v>45795</v>
      </c>
      <c r="C914" t="s">
        <v>45</v>
      </c>
      <c r="D914" t="s">
        <v>21</v>
      </c>
      <c r="E914" t="s">
        <v>1235</v>
      </c>
      <c r="F914" t="s">
        <v>16</v>
      </c>
      <c r="G914">
        <v>5</v>
      </c>
      <c r="H914">
        <v>2145.17</v>
      </c>
      <c r="I914">
        <v>5</v>
      </c>
      <c r="J914">
        <v>881.02</v>
      </c>
      <c r="K914" t="s">
        <v>24</v>
      </c>
      <c r="L914" t="s">
        <v>18</v>
      </c>
      <c r="M914">
        <f t="shared" si="70"/>
        <v>10189.557499999999</v>
      </c>
      <c r="N914">
        <f t="shared" si="71"/>
        <v>5784.4574999999986</v>
      </c>
      <c r="O914" t="str">
        <f t="shared" si="72"/>
        <v>Sunday</v>
      </c>
      <c r="P914" t="b">
        <f t="shared" si="73"/>
        <v>1</v>
      </c>
      <c r="Q914" t="str">
        <f t="shared" si="74"/>
        <v>May</v>
      </c>
    </row>
    <row r="915" spans="1:17" x14ac:dyDescent="0.4">
      <c r="A915" t="s">
        <v>1286</v>
      </c>
      <c r="B915" s="1">
        <v>45480</v>
      </c>
      <c r="C915" t="s">
        <v>109</v>
      </c>
      <c r="D915" t="s">
        <v>46</v>
      </c>
      <c r="E915" t="s">
        <v>658</v>
      </c>
      <c r="F915" t="s">
        <v>23</v>
      </c>
      <c r="G915">
        <v>5</v>
      </c>
      <c r="H915">
        <v>1825.8</v>
      </c>
      <c r="I915">
        <v>20</v>
      </c>
      <c r="J915">
        <v>1126.99</v>
      </c>
      <c r="K915" t="s">
        <v>24</v>
      </c>
      <c r="L915" t="s">
        <v>33</v>
      </c>
      <c r="M915">
        <f t="shared" si="70"/>
        <v>7303.2000000000007</v>
      </c>
      <c r="N915">
        <f t="shared" si="71"/>
        <v>1668.2500000000009</v>
      </c>
      <c r="O915" t="str">
        <f t="shared" si="72"/>
        <v>Sunday</v>
      </c>
      <c r="P915" t="b">
        <f t="shared" si="73"/>
        <v>1</v>
      </c>
      <c r="Q915" t="str">
        <f t="shared" si="74"/>
        <v>July</v>
      </c>
    </row>
    <row r="916" spans="1:17" x14ac:dyDescent="0.4">
      <c r="A916" t="s">
        <v>1287</v>
      </c>
      <c r="B916" s="1">
        <v>45938</v>
      </c>
      <c r="C916" t="s">
        <v>190</v>
      </c>
      <c r="D916" t="s">
        <v>31</v>
      </c>
      <c r="E916" t="s">
        <v>167</v>
      </c>
      <c r="F916" t="s">
        <v>28</v>
      </c>
      <c r="G916">
        <v>5</v>
      </c>
      <c r="H916">
        <v>879.52</v>
      </c>
      <c r="I916">
        <v>0</v>
      </c>
      <c r="J916">
        <v>493.57</v>
      </c>
      <c r="K916" t="s">
        <v>17</v>
      </c>
      <c r="L916" t="s">
        <v>33</v>
      </c>
      <c r="M916">
        <f t="shared" si="70"/>
        <v>4397.6000000000004</v>
      </c>
      <c r="N916">
        <f t="shared" si="71"/>
        <v>1929.7500000000005</v>
      </c>
      <c r="O916" t="str">
        <f t="shared" si="72"/>
        <v>Wednesday</v>
      </c>
      <c r="P916" t="b">
        <f t="shared" si="73"/>
        <v>0</v>
      </c>
      <c r="Q916" t="str">
        <f t="shared" si="74"/>
        <v>October</v>
      </c>
    </row>
    <row r="917" spans="1:17" x14ac:dyDescent="0.4">
      <c r="A917" t="s">
        <v>1288</v>
      </c>
      <c r="B917" s="1">
        <v>45453</v>
      </c>
      <c r="C917" t="s">
        <v>251</v>
      </c>
      <c r="D917" t="s">
        <v>14</v>
      </c>
      <c r="E917" t="s">
        <v>569</v>
      </c>
      <c r="F917" t="s">
        <v>28</v>
      </c>
      <c r="G917">
        <v>1</v>
      </c>
      <c r="H917">
        <v>2763.77</v>
      </c>
      <c r="I917">
        <v>10</v>
      </c>
      <c r="J917">
        <v>1632.41</v>
      </c>
      <c r="K917" t="s">
        <v>17</v>
      </c>
      <c r="L917" t="s">
        <v>33</v>
      </c>
      <c r="M917">
        <f t="shared" si="70"/>
        <v>2487.393</v>
      </c>
      <c r="N917">
        <f t="shared" si="71"/>
        <v>854.98299999999995</v>
      </c>
      <c r="O917" t="str">
        <f t="shared" si="72"/>
        <v>Monday</v>
      </c>
      <c r="P917" t="b">
        <f t="shared" si="73"/>
        <v>0</v>
      </c>
      <c r="Q917" t="str">
        <f t="shared" si="74"/>
        <v>June</v>
      </c>
    </row>
    <row r="918" spans="1:17" x14ac:dyDescent="0.4">
      <c r="A918" t="s">
        <v>1289</v>
      </c>
      <c r="B918" s="1">
        <v>45787</v>
      </c>
      <c r="C918" t="s">
        <v>302</v>
      </c>
      <c r="D918" t="s">
        <v>14</v>
      </c>
      <c r="E918" t="s">
        <v>768</v>
      </c>
      <c r="F918" t="s">
        <v>23</v>
      </c>
      <c r="G918">
        <v>5</v>
      </c>
      <c r="H918">
        <v>344.75</v>
      </c>
      <c r="I918">
        <v>10</v>
      </c>
      <c r="J918">
        <v>226.94</v>
      </c>
      <c r="K918" t="s">
        <v>17</v>
      </c>
      <c r="L918" t="s">
        <v>18</v>
      </c>
      <c r="M918">
        <f t="shared" si="70"/>
        <v>1551.375</v>
      </c>
      <c r="N918">
        <f t="shared" si="71"/>
        <v>416.67499999999995</v>
      </c>
      <c r="O918" t="str">
        <f t="shared" si="72"/>
        <v>Saturday</v>
      </c>
      <c r="P918" t="b">
        <f t="shared" si="73"/>
        <v>1</v>
      </c>
      <c r="Q918" t="str">
        <f t="shared" si="74"/>
        <v>May</v>
      </c>
    </row>
    <row r="919" spans="1:17" x14ac:dyDescent="0.4">
      <c r="A919" t="s">
        <v>1290</v>
      </c>
      <c r="B919" s="1">
        <v>45378</v>
      </c>
      <c r="C919" t="s">
        <v>224</v>
      </c>
      <c r="D919" t="s">
        <v>46</v>
      </c>
      <c r="E919" t="s">
        <v>1291</v>
      </c>
      <c r="F919" t="s">
        <v>16</v>
      </c>
      <c r="G919">
        <v>1</v>
      </c>
      <c r="H919">
        <v>2892.35</v>
      </c>
      <c r="I919">
        <v>20</v>
      </c>
      <c r="J919">
        <v>1934.63</v>
      </c>
      <c r="K919" t="s">
        <v>24</v>
      </c>
      <c r="L919" t="s">
        <v>37</v>
      </c>
      <c r="M919">
        <f t="shared" si="70"/>
        <v>2313.88</v>
      </c>
      <c r="N919">
        <f t="shared" si="71"/>
        <v>379.25</v>
      </c>
      <c r="O919" t="str">
        <f t="shared" si="72"/>
        <v>Wednesday</v>
      </c>
      <c r="P919" t="b">
        <f t="shared" si="73"/>
        <v>0</v>
      </c>
      <c r="Q919" t="str">
        <f t="shared" si="74"/>
        <v>March</v>
      </c>
    </row>
    <row r="920" spans="1:17" x14ac:dyDescent="0.4">
      <c r="A920" t="s">
        <v>1292</v>
      </c>
      <c r="B920" s="1">
        <v>45606</v>
      </c>
      <c r="C920" t="s">
        <v>302</v>
      </c>
      <c r="D920" t="s">
        <v>31</v>
      </c>
      <c r="E920" t="s">
        <v>101</v>
      </c>
      <c r="F920" t="s">
        <v>16</v>
      </c>
      <c r="G920">
        <v>1</v>
      </c>
      <c r="H920">
        <v>2075.5</v>
      </c>
      <c r="I920">
        <v>5</v>
      </c>
      <c r="J920">
        <v>1187.53</v>
      </c>
      <c r="K920" t="s">
        <v>17</v>
      </c>
      <c r="L920" t="s">
        <v>33</v>
      </c>
      <c r="M920">
        <f t="shared" si="70"/>
        <v>1971.7249999999999</v>
      </c>
      <c r="N920">
        <f t="shared" si="71"/>
        <v>784.19499999999994</v>
      </c>
      <c r="O920" t="str">
        <f t="shared" si="72"/>
        <v>Sunday</v>
      </c>
      <c r="P920" t="b">
        <f t="shared" si="73"/>
        <v>1</v>
      </c>
      <c r="Q920" t="str">
        <f t="shared" si="74"/>
        <v>November</v>
      </c>
    </row>
    <row r="921" spans="1:17" x14ac:dyDescent="0.4">
      <c r="A921" t="s">
        <v>1293</v>
      </c>
      <c r="B921" s="1">
        <v>45676</v>
      </c>
      <c r="C921" t="s">
        <v>68</v>
      </c>
      <c r="D921" t="s">
        <v>14</v>
      </c>
      <c r="E921" t="s">
        <v>510</v>
      </c>
      <c r="F921" t="s">
        <v>16</v>
      </c>
      <c r="G921">
        <v>4</v>
      </c>
      <c r="H921">
        <v>1538.99</v>
      </c>
      <c r="I921">
        <v>0</v>
      </c>
      <c r="J921">
        <v>833.12</v>
      </c>
      <c r="K921" t="s">
        <v>24</v>
      </c>
      <c r="L921" t="s">
        <v>33</v>
      </c>
      <c r="M921">
        <f t="shared" si="70"/>
        <v>6155.96</v>
      </c>
      <c r="N921">
        <f t="shared" si="71"/>
        <v>2823.48</v>
      </c>
      <c r="O921" t="str">
        <f t="shared" si="72"/>
        <v>Sunday</v>
      </c>
      <c r="P921" t="b">
        <f t="shared" si="73"/>
        <v>1</v>
      </c>
      <c r="Q921" t="str">
        <f t="shared" si="74"/>
        <v>January</v>
      </c>
    </row>
    <row r="922" spans="1:17" x14ac:dyDescent="0.4">
      <c r="A922" t="s">
        <v>1294</v>
      </c>
      <c r="B922" s="1">
        <v>45927</v>
      </c>
      <c r="C922" t="s">
        <v>39</v>
      </c>
      <c r="D922" t="s">
        <v>14</v>
      </c>
      <c r="E922" t="s">
        <v>200</v>
      </c>
      <c r="F922" t="s">
        <v>23</v>
      </c>
      <c r="G922">
        <v>4</v>
      </c>
      <c r="H922">
        <v>2969.48</v>
      </c>
      <c r="I922">
        <v>5</v>
      </c>
      <c r="J922">
        <v>1569.55</v>
      </c>
      <c r="K922" t="s">
        <v>24</v>
      </c>
      <c r="L922" t="s">
        <v>37</v>
      </c>
      <c r="M922">
        <f t="shared" si="70"/>
        <v>11284.023999999999</v>
      </c>
      <c r="N922">
        <f t="shared" si="71"/>
        <v>5005.8239999999996</v>
      </c>
      <c r="O922" t="str">
        <f t="shared" si="72"/>
        <v>Saturday</v>
      </c>
      <c r="P922" t="b">
        <f t="shared" si="73"/>
        <v>1</v>
      </c>
      <c r="Q922" t="str">
        <f t="shared" si="74"/>
        <v>September</v>
      </c>
    </row>
    <row r="923" spans="1:17" x14ac:dyDescent="0.4">
      <c r="A923" t="s">
        <v>1295</v>
      </c>
      <c r="B923" s="1">
        <v>45594</v>
      </c>
      <c r="C923" t="s">
        <v>100</v>
      </c>
      <c r="D923" t="s">
        <v>31</v>
      </c>
      <c r="E923" t="s">
        <v>652</v>
      </c>
      <c r="F923" t="s">
        <v>23</v>
      </c>
      <c r="G923">
        <v>3</v>
      </c>
      <c r="H923">
        <v>2172.4299999999998</v>
      </c>
      <c r="I923">
        <v>20</v>
      </c>
      <c r="J923">
        <v>907.22</v>
      </c>
      <c r="K923" t="s">
        <v>24</v>
      </c>
      <c r="L923" t="s">
        <v>37</v>
      </c>
      <c r="M923">
        <f t="shared" si="70"/>
        <v>5213.8319999999994</v>
      </c>
      <c r="N923">
        <f t="shared" si="71"/>
        <v>2492.1719999999996</v>
      </c>
      <c r="O923" t="str">
        <f t="shared" si="72"/>
        <v>Tuesday</v>
      </c>
      <c r="P923" t="b">
        <f t="shared" si="73"/>
        <v>0</v>
      </c>
      <c r="Q923" t="str">
        <f t="shared" si="74"/>
        <v>October</v>
      </c>
    </row>
    <row r="924" spans="1:17" x14ac:dyDescent="0.4">
      <c r="A924" t="s">
        <v>1296</v>
      </c>
      <c r="B924" s="1">
        <v>45847</v>
      </c>
      <c r="C924" t="s">
        <v>296</v>
      </c>
      <c r="D924" t="s">
        <v>21</v>
      </c>
      <c r="E924" t="s">
        <v>414</v>
      </c>
      <c r="F924" t="s">
        <v>16</v>
      </c>
      <c r="G924">
        <v>3</v>
      </c>
      <c r="H924">
        <v>616.11</v>
      </c>
      <c r="I924">
        <v>15</v>
      </c>
      <c r="J924">
        <v>329.44</v>
      </c>
      <c r="K924" t="s">
        <v>17</v>
      </c>
      <c r="L924" t="s">
        <v>18</v>
      </c>
      <c r="M924">
        <f t="shared" si="70"/>
        <v>1571.0804999999998</v>
      </c>
      <c r="N924">
        <f t="shared" si="71"/>
        <v>582.76049999999987</v>
      </c>
      <c r="O924" t="str">
        <f t="shared" si="72"/>
        <v>Wednesday</v>
      </c>
      <c r="P924" t="b">
        <f t="shared" si="73"/>
        <v>0</v>
      </c>
      <c r="Q924" t="str">
        <f t="shared" si="74"/>
        <v>July</v>
      </c>
    </row>
    <row r="925" spans="1:17" x14ac:dyDescent="0.4">
      <c r="A925" t="s">
        <v>1297</v>
      </c>
      <c r="B925" s="1">
        <v>45729</v>
      </c>
      <c r="C925" t="s">
        <v>125</v>
      </c>
      <c r="D925" t="s">
        <v>46</v>
      </c>
      <c r="E925" t="s">
        <v>1214</v>
      </c>
      <c r="F925" t="s">
        <v>28</v>
      </c>
      <c r="G925">
        <v>5</v>
      </c>
      <c r="H925">
        <v>1175.77</v>
      </c>
      <c r="I925">
        <v>20</v>
      </c>
      <c r="J925">
        <v>511.12</v>
      </c>
      <c r="K925" t="s">
        <v>17</v>
      </c>
      <c r="L925" t="s">
        <v>33</v>
      </c>
      <c r="M925">
        <f t="shared" si="70"/>
        <v>4703.0800000000008</v>
      </c>
      <c r="N925">
        <f t="shared" si="71"/>
        <v>2147.4800000000009</v>
      </c>
      <c r="O925" t="str">
        <f t="shared" si="72"/>
        <v>Thursday</v>
      </c>
      <c r="P925" t="b">
        <f t="shared" si="73"/>
        <v>0</v>
      </c>
      <c r="Q925" t="str">
        <f t="shared" si="74"/>
        <v>March</v>
      </c>
    </row>
    <row r="926" spans="1:17" x14ac:dyDescent="0.4">
      <c r="A926" t="s">
        <v>1298</v>
      </c>
      <c r="B926" s="1">
        <v>45335</v>
      </c>
      <c r="C926" t="s">
        <v>269</v>
      </c>
      <c r="D926" t="s">
        <v>46</v>
      </c>
      <c r="E926" t="s">
        <v>87</v>
      </c>
      <c r="F926" t="s">
        <v>23</v>
      </c>
      <c r="G926">
        <v>4</v>
      </c>
      <c r="H926">
        <v>2436.9499999999998</v>
      </c>
      <c r="I926">
        <v>10</v>
      </c>
      <c r="J926">
        <v>1216.95</v>
      </c>
      <c r="K926" t="s">
        <v>24</v>
      </c>
      <c r="L926" t="s">
        <v>18</v>
      </c>
      <c r="M926">
        <f t="shared" si="70"/>
        <v>8773.02</v>
      </c>
      <c r="N926">
        <f t="shared" si="71"/>
        <v>3905.2200000000003</v>
      </c>
      <c r="O926" t="str">
        <f t="shared" si="72"/>
        <v>Tuesday</v>
      </c>
      <c r="P926" t="b">
        <f t="shared" si="73"/>
        <v>0</v>
      </c>
      <c r="Q926" t="str">
        <f t="shared" si="74"/>
        <v>February</v>
      </c>
    </row>
    <row r="927" spans="1:17" x14ac:dyDescent="0.4">
      <c r="A927" t="s">
        <v>1299</v>
      </c>
      <c r="B927" s="1">
        <v>45826</v>
      </c>
      <c r="C927" t="s">
        <v>144</v>
      </c>
      <c r="D927" t="s">
        <v>31</v>
      </c>
      <c r="E927" t="s">
        <v>126</v>
      </c>
      <c r="F927" t="s">
        <v>16</v>
      </c>
      <c r="G927">
        <v>5</v>
      </c>
      <c r="H927">
        <v>1765.36</v>
      </c>
      <c r="I927">
        <v>10</v>
      </c>
      <c r="J927">
        <v>1133.57</v>
      </c>
      <c r="K927" t="s">
        <v>17</v>
      </c>
      <c r="L927" t="s">
        <v>33</v>
      </c>
      <c r="M927">
        <f t="shared" si="70"/>
        <v>7944.12</v>
      </c>
      <c r="N927">
        <f t="shared" si="71"/>
        <v>2276.2700000000004</v>
      </c>
      <c r="O927" t="str">
        <f t="shared" si="72"/>
        <v>Wednesday</v>
      </c>
      <c r="P927" t="b">
        <f t="shared" si="73"/>
        <v>0</v>
      </c>
      <c r="Q927" t="str">
        <f t="shared" si="74"/>
        <v>June</v>
      </c>
    </row>
    <row r="928" spans="1:17" x14ac:dyDescent="0.4">
      <c r="A928" t="s">
        <v>1300</v>
      </c>
      <c r="B928" s="1">
        <v>45385</v>
      </c>
      <c r="C928" t="s">
        <v>74</v>
      </c>
      <c r="D928" t="s">
        <v>14</v>
      </c>
      <c r="E928" t="s">
        <v>134</v>
      </c>
      <c r="F928" t="s">
        <v>28</v>
      </c>
      <c r="G928">
        <v>5</v>
      </c>
      <c r="H928">
        <v>943.74</v>
      </c>
      <c r="I928">
        <v>5</v>
      </c>
      <c r="J928">
        <v>599.6</v>
      </c>
      <c r="K928" t="s">
        <v>17</v>
      </c>
      <c r="L928" t="s">
        <v>18</v>
      </c>
      <c r="M928">
        <f t="shared" si="70"/>
        <v>4482.7649999999994</v>
      </c>
      <c r="N928">
        <f t="shared" si="71"/>
        <v>1484.7649999999994</v>
      </c>
      <c r="O928" t="str">
        <f t="shared" si="72"/>
        <v>Wednesday</v>
      </c>
      <c r="P928" t="b">
        <f t="shared" si="73"/>
        <v>0</v>
      </c>
      <c r="Q928" t="str">
        <f t="shared" si="74"/>
        <v>April</v>
      </c>
    </row>
    <row r="929" spans="1:17" x14ac:dyDescent="0.4">
      <c r="A929" t="s">
        <v>1301</v>
      </c>
      <c r="B929" s="1">
        <v>45990</v>
      </c>
      <c r="C929" t="s">
        <v>45</v>
      </c>
      <c r="D929" t="s">
        <v>14</v>
      </c>
      <c r="E929" t="s">
        <v>216</v>
      </c>
      <c r="F929" t="s">
        <v>28</v>
      </c>
      <c r="G929">
        <v>2</v>
      </c>
      <c r="H929">
        <v>1089.18</v>
      </c>
      <c r="I929">
        <v>20</v>
      </c>
      <c r="J929">
        <v>564.48</v>
      </c>
      <c r="K929" t="s">
        <v>17</v>
      </c>
      <c r="L929" t="s">
        <v>37</v>
      </c>
      <c r="M929">
        <f t="shared" si="70"/>
        <v>1742.6880000000001</v>
      </c>
      <c r="N929">
        <f t="shared" si="71"/>
        <v>613.72800000000007</v>
      </c>
      <c r="O929" t="str">
        <f t="shared" si="72"/>
        <v>Saturday</v>
      </c>
      <c r="P929" t="b">
        <f t="shared" si="73"/>
        <v>1</v>
      </c>
      <c r="Q929" t="str">
        <f t="shared" si="74"/>
        <v>November</v>
      </c>
    </row>
    <row r="930" spans="1:17" x14ac:dyDescent="0.4">
      <c r="A930" t="s">
        <v>1302</v>
      </c>
      <c r="B930" s="1">
        <v>45388</v>
      </c>
      <c r="C930" t="s">
        <v>193</v>
      </c>
      <c r="D930" t="s">
        <v>21</v>
      </c>
      <c r="E930" t="s">
        <v>305</v>
      </c>
      <c r="F930" t="s">
        <v>16</v>
      </c>
      <c r="G930">
        <v>5</v>
      </c>
      <c r="H930">
        <v>2553.13</v>
      </c>
      <c r="I930">
        <v>25</v>
      </c>
      <c r="J930">
        <v>1099.23</v>
      </c>
      <c r="K930" t="s">
        <v>17</v>
      </c>
      <c r="L930" t="s">
        <v>37</v>
      </c>
      <c r="M930">
        <f t="shared" si="70"/>
        <v>9574.2375000000011</v>
      </c>
      <c r="N930">
        <f t="shared" si="71"/>
        <v>4078.0875000000015</v>
      </c>
      <c r="O930" t="str">
        <f t="shared" si="72"/>
        <v>Saturday</v>
      </c>
      <c r="P930" t="b">
        <f t="shared" si="73"/>
        <v>1</v>
      </c>
      <c r="Q930" t="str">
        <f t="shared" si="74"/>
        <v>April</v>
      </c>
    </row>
    <row r="931" spans="1:17" x14ac:dyDescent="0.4">
      <c r="A931" t="s">
        <v>1303</v>
      </c>
      <c r="B931" s="1">
        <v>45741</v>
      </c>
      <c r="C931" t="s">
        <v>77</v>
      </c>
      <c r="D931" t="s">
        <v>31</v>
      </c>
      <c r="E931" t="s">
        <v>123</v>
      </c>
      <c r="F931" t="s">
        <v>16</v>
      </c>
      <c r="G931">
        <v>2</v>
      </c>
      <c r="H931">
        <v>885.04</v>
      </c>
      <c r="I931">
        <v>5</v>
      </c>
      <c r="J931">
        <v>560.33000000000004</v>
      </c>
      <c r="K931" t="s">
        <v>17</v>
      </c>
      <c r="L931" t="s">
        <v>37</v>
      </c>
      <c r="M931">
        <f t="shared" si="70"/>
        <v>1681.5759999999998</v>
      </c>
      <c r="N931">
        <f t="shared" si="71"/>
        <v>560.91599999999971</v>
      </c>
      <c r="O931" t="str">
        <f t="shared" si="72"/>
        <v>Tuesday</v>
      </c>
      <c r="P931" t="b">
        <f t="shared" si="73"/>
        <v>0</v>
      </c>
      <c r="Q931" t="str">
        <f t="shared" si="74"/>
        <v>March</v>
      </c>
    </row>
    <row r="932" spans="1:17" x14ac:dyDescent="0.4">
      <c r="A932" t="s">
        <v>1304</v>
      </c>
      <c r="B932" s="1">
        <v>45566</v>
      </c>
      <c r="C932" t="s">
        <v>139</v>
      </c>
      <c r="D932" t="s">
        <v>21</v>
      </c>
      <c r="E932" t="s">
        <v>260</v>
      </c>
      <c r="F932" t="s">
        <v>16</v>
      </c>
      <c r="G932">
        <v>3</v>
      </c>
      <c r="H932">
        <v>1695.97</v>
      </c>
      <c r="I932">
        <v>10</v>
      </c>
      <c r="J932">
        <v>917.71</v>
      </c>
      <c r="K932" t="s">
        <v>24</v>
      </c>
      <c r="L932" t="s">
        <v>37</v>
      </c>
      <c r="M932">
        <f t="shared" si="70"/>
        <v>4579.1189999999997</v>
      </c>
      <c r="N932">
        <f t="shared" si="71"/>
        <v>1825.9889999999996</v>
      </c>
      <c r="O932" t="str">
        <f t="shared" si="72"/>
        <v>Tuesday</v>
      </c>
      <c r="P932" t="b">
        <f t="shared" si="73"/>
        <v>0</v>
      </c>
      <c r="Q932" t="str">
        <f t="shared" si="74"/>
        <v>October</v>
      </c>
    </row>
    <row r="933" spans="1:17" x14ac:dyDescent="0.4">
      <c r="A933" t="s">
        <v>1305</v>
      </c>
      <c r="B933" s="1">
        <v>45976</v>
      </c>
      <c r="C933" t="s">
        <v>309</v>
      </c>
      <c r="D933" t="s">
        <v>21</v>
      </c>
      <c r="E933" t="s">
        <v>498</v>
      </c>
      <c r="F933" t="s">
        <v>23</v>
      </c>
      <c r="G933">
        <v>2</v>
      </c>
      <c r="H933">
        <v>1389.62</v>
      </c>
      <c r="I933">
        <v>5</v>
      </c>
      <c r="J933">
        <v>846.58</v>
      </c>
      <c r="K933" t="s">
        <v>17</v>
      </c>
      <c r="L933" t="s">
        <v>37</v>
      </c>
      <c r="M933">
        <f t="shared" si="70"/>
        <v>2640.2779999999998</v>
      </c>
      <c r="N933">
        <f t="shared" si="71"/>
        <v>947.11799999999971</v>
      </c>
      <c r="O933" t="str">
        <f t="shared" si="72"/>
        <v>Saturday</v>
      </c>
      <c r="P933" t="b">
        <f t="shared" si="73"/>
        <v>1</v>
      </c>
      <c r="Q933" t="str">
        <f t="shared" si="74"/>
        <v>November</v>
      </c>
    </row>
    <row r="934" spans="1:17" x14ac:dyDescent="0.4">
      <c r="A934" t="s">
        <v>1306</v>
      </c>
      <c r="B934" s="1">
        <v>45478</v>
      </c>
      <c r="C934" t="s">
        <v>68</v>
      </c>
      <c r="D934" t="s">
        <v>46</v>
      </c>
      <c r="E934" t="s">
        <v>60</v>
      </c>
      <c r="F934" t="s">
        <v>16</v>
      </c>
      <c r="G934">
        <v>5</v>
      </c>
      <c r="H934">
        <v>2129.73</v>
      </c>
      <c r="I934">
        <v>5</v>
      </c>
      <c r="J934">
        <v>1031.71</v>
      </c>
      <c r="K934" t="s">
        <v>24</v>
      </c>
      <c r="L934" t="s">
        <v>18</v>
      </c>
      <c r="M934">
        <f t="shared" si="70"/>
        <v>10116.217499999999</v>
      </c>
      <c r="N934">
        <f t="shared" si="71"/>
        <v>4957.6674999999987</v>
      </c>
      <c r="O934" t="str">
        <f t="shared" si="72"/>
        <v>Friday</v>
      </c>
      <c r="P934" t="b">
        <f t="shared" si="73"/>
        <v>0</v>
      </c>
      <c r="Q934" t="str">
        <f t="shared" si="74"/>
        <v>July</v>
      </c>
    </row>
    <row r="935" spans="1:17" x14ac:dyDescent="0.4">
      <c r="A935" t="s">
        <v>1307</v>
      </c>
      <c r="B935" s="1">
        <v>45855</v>
      </c>
      <c r="C935" t="s">
        <v>109</v>
      </c>
      <c r="D935" t="s">
        <v>46</v>
      </c>
      <c r="E935" t="s">
        <v>175</v>
      </c>
      <c r="F935" t="s">
        <v>28</v>
      </c>
      <c r="G935">
        <v>3</v>
      </c>
      <c r="H935">
        <v>2984.46</v>
      </c>
      <c r="I935">
        <v>15</v>
      </c>
      <c r="J935">
        <v>1216.46</v>
      </c>
      <c r="K935" t="s">
        <v>24</v>
      </c>
      <c r="L935" t="s">
        <v>18</v>
      </c>
      <c r="M935">
        <f t="shared" si="70"/>
        <v>7610.3730000000005</v>
      </c>
      <c r="N935">
        <f t="shared" si="71"/>
        <v>3960.9930000000004</v>
      </c>
      <c r="O935" t="str">
        <f t="shared" si="72"/>
        <v>Thursday</v>
      </c>
      <c r="P935" t="b">
        <f t="shared" si="73"/>
        <v>0</v>
      </c>
      <c r="Q935" t="str">
        <f t="shared" si="74"/>
        <v>July</v>
      </c>
    </row>
    <row r="936" spans="1:17" x14ac:dyDescent="0.4">
      <c r="A936" t="s">
        <v>1308</v>
      </c>
      <c r="B936" s="1">
        <v>45605</v>
      </c>
      <c r="C936" t="s">
        <v>278</v>
      </c>
      <c r="D936" t="s">
        <v>21</v>
      </c>
      <c r="E936" t="s">
        <v>162</v>
      </c>
      <c r="F936" t="s">
        <v>16</v>
      </c>
      <c r="G936">
        <v>4</v>
      </c>
      <c r="H936">
        <v>1901.01</v>
      </c>
      <c r="I936">
        <v>20</v>
      </c>
      <c r="J936">
        <v>814.38</v>
      </c>
      <c r="K936" t="s">
        <v>24</v>
      </c>
      <c r="L936" t="s">
        <v>37</v>
      </c>
      <c r="M936">
        <f t="shared" si="70"/>
        <v>6083.232</v>
      </c>
      <c r="N936">
        <f t="shared" si="71"/>
        <v>2825.712</v>
      </c>
      <c r="O936" t="str">
        <f t="shared" si="72"/>
        <v>Saturday</v>
      </c>
      <c r="P936" t="b">
        <f t="shared" si="73"/>
        <v>1</v>
      </c>
      <c r="Q936" t="str">
        <f t="shared" si="74"/>
        <v>November</v>
      </c>
    </row>
    <row r="937" spans="1:17" x14ac:dyDescent="0.4">
      <c r="A937" t="s">
        <v>1309</v>
      </c>
      <c r="B937" s="1">
        <v>45506</v>
      </c>
      <c r="C937" t="s">
        <v>139</v>
      </c>
      <c r="D937" t="s">
        <v>21</v>
      </c>
      <c r="E937" t="s">
        <v>467</v>
      </c>
      <c r="F937" t="s">
        <v>23</v>
      </c>
      <c r="G937">
        <v>2</v>
      </c>
      <c r="H937">
        <v>1078.55</v>
      </c>
      <c r="I937">
        <v>30</v>
      </c>
      <c r="J937">
        <v>717.87</v>
      </c>
      <c r="K937" t="s">
        <v>17</v>
      </c>
      <c r="L937" t="s">
        <v>37</v>
      </c>
      <c r="M937">
        <f t="shared" si="70"/>
        <v>1509.9699999999998</v>
      </c>
      <c r="N937">
        <f t="shared" si="71"/>
        <v>74.229999999999791</v>
      </c>
      <c r="O937" t="str">
        <f t="shared" si="72"/>
        <v>Friday</v>
      </c>
      <c r="P937" t="b">
        <f t="shared" si="73"/>
        <v>0</v>
      </c>
      <c r="Q937" t="str">
        <f t="shared" si="74"/>
        <v>August</v>
      </c>
    </row>
    <row r="938" spans="1:17" x14ac:dyDescent="0.4">
      <c r="A938" t="s">
        <v>1310</v>
      </c>
      <c r="B938" s="1">
        <v>45559</v>
      </c>
      <c r="C938" t="s">
        <v>20</v>
      </c>
      <c r="D938" t="s">
        <v>31</v>
      </c>
      <c r="E938" t="s">
        <v>1235</v>
      </c>
      <c r="F938" t="s">
        <v>28</v>
      </c>
      <c r="G938">
        <v>3</v>
      </c>
      <c r="H938">
        <v>670.46</v>
      </c>
      <c r="I938">
        <v>15</v>
      </c>
      <c r="J938">
        <v>446.68</v>
      </c>
      <c r="K938" t="s">
        <v>24</v>
      </c>
      <c r="L938" t="s">
        <v>37</v>
      </c>
      <c r="M938">
        <f t="shared" si="70"/>
        <v>1709.673</v>
      </c>
      <c r="N938">
        <f t="shared" si="71"/>
        <v>369.63300000000004</v>
      </c>
      <c r="O938" t="str">
        <f t="shared" si="72"/>
        <v>Tuesday</v>
      </c>
      <c r="P938" t="b">
        <f t="shared" si="73"/>
        <v>0</v>
      </c>
      <c r="Q938" t="str">
        <f t="shared" si="74"/>
        <v>September</v>
      </c>
    </row>
    <row r="939" spans="1:17" x14ac:dyDescent="0.4">
      <c r="A939" t="s">
        <v>1311</v>
      </c>
      <c r="B939" s="1">
        <v>45354</v>
      </c>
      <c r="C939" t="s">
        <v>190</v>
      </c>
      <c r="D939" t="s">
        <v>46</v>
      </c>
      <c r="E939" t="s">
        <v>444</v>
      </c>
      <c r="F939" t="s">
        <v>28</v>
      </c>
      <c r="G939">
        <v>2</v>
      </c>
      <c r="H939">
        <v>2541.7199999999998</v>
      </c>
      <c r="I939">
        <v>20</v>
      </c>
      <c r="J939">
        <v>1764.96</v>
      </c>
      <c r="K939" t="s">
        <v>24</v>
      </c>
      <c r="L939" t="s">
        <v>37</v>
      </c>
      <c r="M939">
        <f t="shared" si="70"/>
        <v>4066.752</v>
      </c>
      <c r="N939">
        <f t="shared" si="71"/>
        <v>536.83199999999988</v>
      </c>
      <c r="O939" t="str">
        <f t="shared" si="72"/>
        <v>Sunday</v>
      </c>
      <c r="P939" t="b">
        <f t="shared" si="73"/>
        <v>1</v>
      </c>
      <c r="Q939" t="str">
        <f t="shared" si="74"/>
        <v>March</v>
      </c>
    </row>
    <row r="940" spans="1:17" x14ac:dyDescent="0.4">
      <c r="A940" t="s">
        <v>1312</v>
      </c>
      <c r="B940" s="1">
        <v>45679</v>
      </c>
      <c r="C940" t="s">
        <v>182</v>
      </c>
      <c r="D940" t="s">
        <v>21</v>
      </c>
      <c r="E940" t="s">
        <v>438</v>
      </c>
      <c r="F940" t="s">
        <v>28</v>
      </c>
      <c r="G940">
        <v>5</v>
      </c>
      <c r="H940">
        <v>2277.6</v>
      </c>
      <c r="I940">
        <v>15</v>
      </c>
      <c r="J940">
        <v>911.4</v>
      </c>
      <c r="K940" t="s">
        <v>17</v>
      </c>
      <c r="L940" t="s">
        <v>18</v>
      </c>
      <c r="M940">
        <f t="shared" si="70"/>
        <v>9679.7999999999993</v>
      </c>
      <c r="N940">
        <f t="shared" si="71"/>
        <v>5122.7999999999993</v>
      </c>
      <c r="O940" t="str">
        <f t="shared" si="72"/>
        <v>Wednesday</v>
      </c>
      <c r="P940" t="b">
        <f t="shared" si="73"/>
        <v>0</v>
      </c>
      <c r="Q940" t="str">
        <f t="shared" si="74"/>
        <v>January</v>
      </c>
    </row>
    <row r="941" spans="1:17" x14ac:dyDescent="0.4">
      <c r="A941" t="s">
        <v>1313</v>
      </c>
      <c r="B941" s="1">
        <v>45662</v>
      </c>
      <c r="C941" t="s">
        <v>457</v>
      </c>
      <c r="D941" t="s">
        <v>21</v>
      </c>
      <c r="E941" t="s">
        <v>532</v>
      </c>
      <c r="F941" t="s">
        <v>28</v>
      </c>
      <c r="G941">
        <v>4</v>
      </c>
      <c r="H941">
        <v>380.04</v>
      </c>
      <c r="I941">
        <v>30</v>
      </c>
      <c r="J941">
        <v>216.72</v>
      </c>
      <c r="K941" t="s">
        <v>17</v>
      </c>
      <c r="L941" t="s">
        <v>33</v>
      </c>
      <c r="M941">
        <f t="shared" si="70"/>
        <v>1064.1120000000001</v>
      </c>
      <c r="N941">
        <f t="shared" si="71"/>
        <v>197.23200000000008</v>
      </c>
      <c r="O941" t="str">
        <f t="shared" si="72"/>
        <v>Sunday</v>
      </c>
      <c r="P941" t="b">
        <f t="shared" si="73"/>
        <v>1</v>
      </c>
      <c r="Q941" t="str">
        <f t="shared" si="74"/>
        <v>January</v>
      </c>
    </row>
    <row r="942" spans="1:17" x14ac:dyDescent="0.4">
      <c r="A942" t="s">
        <v>1314</v>
      </c>
      <c r="B942" s="1">
        <v>45692</v>
      </c>
      <c r="C942" t="s">
        <v>71</v>
      </c>
      <c r="D942" t="s">
        <v>31</v>
      </c>
      <c r="E942" t="s">
        <v>202</v>
      </c>
      <c r="F942" t="s">
        <v>28</v>
      </c>
      <c r="G942">
        <v>3</v>
      </c>
      <c r="H942">
        <v>2048.06</v>
      </c>
      <c r="I942">
        <v>0</v>
      </c>
      <c r="J942">
        <v>977.91</v>
      </c>
      <c r="K942" t="s">
        <v>17</v>
      </c>
      <c r="L942" t="s">
        <v>33</v>
      </c>
      <c r="M942">
        <f t="shared" si="70"/>
        <v>6144.18</v>
      </c>
      <c r="N942">
        <f t="shared" si="71"/>
        <v>3210.4500000000003</v>
      </c>
      <c r="O942" t="str">
        <f t="shared" si="72"/>
        <v>Tuesday</v>
      </c>
      <c r="P942" t="b">
        <f t="shared" si="73"/>
        <v>0</v>
      </c>
      <c r="Q942" t="str">
        <f t="shared" si="74"/>
        <v>February</v>
      </c>
    </row>
    <row r="943" spans="1:17" x14ac:dyDescent="0.4">
      <c r="A943" t="s">
        <v>1315</v>
      </c>
      <c r="B943" s="1">
        <v>45983</v>
      </c>
      <c r="C943" t="s">
        <v>119</v>
      </c>
      <c r="D943" t="s">
        <v>21</v>
      </c>
      <c r="E943" t="s">
        <v>206</v>
      </c>
      <c r="F943" t="s">
        <v>23</v>
      </c>
      <c r="G943">
        <v>5</v>
      </c>
      <c r="H943">
        <v>1595.05</v>
      </c>
      <c r="I943">
        <v>15</v>
      </c>
      <c r="J943">
        <v>865.21</v>
      </c>
      <c r="K943" t="s">
        <v>17</v>
      </c>
      <c r="L943" t="s">
        <v>18</v>
      </c>
      <c r="M943">
        <f t="shared" si="70"/>
        <v>6778.9624999999996</v>
      </c>
      <c r="N943">
        <f t="shared" si="71"/>
        <v>2452.9124999999995</v>
      </c>
      <c r="O943" t="str">
        <f t="shared" si="72"/>
        <v>Saturday</v>
      </c>
      <c r="P943" t="b">
        <f t="shared" si="73"/>
        <v>1</v>
      </c>
      <c r="Q943" t="str">
        <f t="shared" si="74"/>
        <v>November</v>
      </c>
    </row>
    <row r="944" spans="1:17" x14ac:dyDescent="0.4">
      <c r="A944" t="s">
        <v>1316</v>
      </c>
      <c r="B944" s="1">
        <v>45834</v>
      </c>
      <c r="C944" t="s">
        <v>95</v>
      </c>
      <c r="D944" t="s">
        <v>46</v>
      </c>
      <c r="E944" t="s">
        <v>354</v>
      </c>
      <c r="F944" t="s">
        <v>28</v>
      </c>
      <c r="G944">
        <v>1</v>
      </c>
      <c r="H944">
        <v>2714.65</v>
      </c>
      <c r="I944">
        <v>30</v>
      </c>
      <c r="J944">
        <v>1493.63</v>
      </c>
      <c r="K944" t="s">
        <v>17</v>
      </c>
      <c r="L944" t="s">
        <v>37</v>
      </c>
      <c r="M944">
        <f t="shared" si="70"/>
        <v>1900.2549999999999</v>
      </c>
      <c r="N944">
        <f t="shared" si="71"/>
        <v>406.62499999999977</v>
      </c>
      <c r="O944" t="str">
        <f t="shared" si="72"/>
        <v>Thursday</v>
      </c>
      <c r="P944" t="b">
        <f t="shared" si="73"/>
        <v>0</v>
      </c>
      <c r="Q944" t="str">
        <f t="shared" si="74"/>
        <v>June</v>
      </c>
    </row>
    <row r="945" spans="1:17" x14ac:dyDescent="0.4">
      <c r="A945" t="s">
        <v>1317</v>
      </c>
      <c r="B945" s="1">
        <v>45659</v>
      </c>
      <c r="C945" t="s">
        <v>273</v>
      </c>
      <c r="D945" t="s">
        <v>46</v>
      </c>
      <c r="E945" t="s">
        <v>853</v>
      </c>
      <c r="F945" t="s">
        <v>28</v>
      </c>
      <c r="G945">
        <v>4</v>
      </c>
      <c r="H945">
        <v>720.41</v>
      </c>
      <c r="I945">
        <v>25</v>
      </c>
      <c r="J945">
        <v>312.35000000000002</v>
      </c>
      <c r="K945" t="s">
        <v>24</v>
      </c>
      <c r="L945" t="s">
        <v>33</v>
      </c>
      <c r="M945">
        <f t="shared" si="70"/>
        <v>2161.23</v>
      </c>
      <c r="N945">
        <f t="shared" si="71"/>
        <v>911.82999999999993</v>
      </c>
      <c r="O945" t="str">
        <f t="shared" si="72"/>
        <v>Thursday</v>
      </c>
      <c r="P945" t="b">
        <f t="shared" si="73"/>
        <v>0</v>
      </c>
      <c r="Q945" t="str">
        <f t="shared" si="74"/>
        <v>January</v>
      </c>
    </row>
    <row r="946" spans="1:17" x14ac:dyDescent="0.4">
      <c r="A946" t="s">
        <v>1318</v>
      </c>
      <c r="B946" s="1">
        <v>45942</v>
      </c>
      <c r="C946" t="s">
        <v>71</v>
      </c>
      <c r="D946" t="s">
        <v>46</v>
      </c>
      <c r="E946" t="s">
        <v>142</v>
      </c>
      <c r="F946" t="s">
        <v>23</v>
      </c>
      <c r="G946">
        <v>3</v>
      </c>
      <c r="H946">
        <v>1793.44</v>
      </c>
      <c r="I946">
        <v>0</v>
      </c>
      <c r="J946">
        <v>769.09</v>
      </c>
      <c r="K946" t="s">
        <v>17</v>
      </c>
      <c r="L946" t="s">
        <v>18</v>
      </c>
      <c r="M946">
        <f t="shared" si="70"/>
        <v>5380.32</v>
      </c>
      <c r="N946">
        <f t="shared" si="71"/>
        <v>3073.0499999999997</v>
      </c>
      <c r="O946" t="str">
        <f t="shared" si="72"/>
        <v>Sunday</v>
      </c>
      <c r="P946" t="b">
        <f t="shared" si="73"/>
        <v>1</v>
      </c>
      <c r="Q946" t="str">
        <f t="shared" si="74"/>
        <v>October</v>
      </c>
    </row>
    <row r="947" spans="1:17" x14ac:dyDescent="0.4">
      <c r="A947" t="s">
        <v>1319</v>
      </c>
      <c r="B947" s="1">
        <v>45476</v>
      </c>
      <c r="C947" t="s">
        <v>71</v>
      </c>
      <c r="D947" t="s">
        <v>14</v>
      </c>
      <c r="E947" t="s">
        <v>546</v>
      </c>
      <c r="F947" t="s">
        <v>16</v>
      </c>
      <c r="G947">
        <v>5</v>
      </c>
      <c r="H947">
        <v>2815.84</v>
      </c>
      <c r="I947">
        <v>0</v>
      </c>
      <c r="J947">
        <v>1465.78</v>
      </c>
      <c r="K947" t="s">
        <v>17</v>
      </c>
      <c r="L947" t="s">
        <v>33</v>
      </c>
      <c r="M947">
        <f t="shared" si="70"/>
        <v>14079.2</v>
      </c>
      <c r="N947">
        <f t="shared" si="71"/>
        <v>6750.3000000000011</v>
      </c>
      <c r="O947" t="str">
        <f t="shared" si="72"/>
        <v>Wednesday</v>
      </c>
      <c r="P947" t="b">
        <f t="shared" si="73"/>
        <v>0</v>
      </c>
      <c r="Q947" t="str">
        <f t="shared" si="74"/>
        <v>July</v>
      </c>
    </row>
    <row r="948" spans="1:17" x14ac:dyDescent="0.4">
      <c r="A948" t="s">
        <v>1320</v>
      </c>
      <c r="B948" s="1">
        <v>45749</v>
      </c>
      <c r="C948" t="s">
        <v>309</v>
      </c>
      <c r="D948" t="s">
        <v>31</v>
      </c>
      <c r="E948" t="s">
        <v>196</v>
      </c>
      <c r="F948" t="s">
        <v>16</v>
      </c>
      <c r="G948">
        <v>1</v>
      </c>
      <c r="H948">
        <v>562.78</v>
      </c>
      <c r="I948">
        <v>10</v>
      </c>
      <c r="J948">
        <v>252.94</v>
      </c>
      <c r="K948" t="s">
        <v>24</v>
      </c>
      <c r="L948" t="s">
        <v>37</v>
      </c>
      <c r="M948">
        <f t="shared" si="70"/>
        <v>506.50200000000001</v>
      </c>
      <c r="N948">
        <f t="shared" si="71"/>
        <v>253.56200000000001</v>
      </c>
      <c r="O948" t="str">
        <f t="shared" si="72"/>
        <v>Wednesday</v>
      </c>
      <c r="P948" t="b">
        <f t="shared" si="73"/>
        <v>0</v>
      </c>
      <c r="Q948" t="str">
        <f t="shared" si="74"/>
        <v>April</v>
      </c>
    </row>
    <row r="949" spans="1:17" x14ac:dyDescent="0.4">
      <c r="A949" t="s">
        <v>1321</v>
      </c>
      <c r="B949" s="1">
        <v>45368</v>
      </c>
      <c r="C949" t="s">
        <v>193</v>
      </c>
      <c r="D949" t="s">
        <v>31</v>
      </c>
      <c r="E949" t="s">
        <v>260</v>
      </c>
      <c r="F949" t="s">
        <v>16</v>
      </c>
      <c r="G949">
        <v>1</v>
      </c>
      <c r="H949">
        <v>2853.83</v>
      </c>
      <c r="I949">
        <v>10</v>
      </c>
      <c r="J949">
        <v>1243.45</v>
      </c>
      <c r="K949" t="s">
        <v>24</v>
      </c>
      <c r="L949" t="s">
        <v>37</v>
      </c>
      <c r="M949">
        <f t="shared" si="70"/>
        <v>2568.4470000000001</v>
      </c>
      <c r="N949">
        <f t="shared" si="71"/>
        <v>1324.9970000000001</v>
      </c>
      <c r="O949" t="str">
        <f t="shared" si="72"/>
        <v>Sunday</v>
      </c>
      <c r="P949" t="b">
        <f t="shared" si="73"/>
        <v>1</v>
      </c>
      <c r="Q949" t="str">
        <f t="shared" si="74"/>
        <v>March</v>
      </c>
    </row>
    <row r="950" spans="1:17" x14ac:dyDescent="0.4">
      <c r="A950" t="s">
        <v>1322</v>
      </c>
      <c r="B950" s="1">
        <v>45560</v>
      </c>
      <c r="C950" t="s">
        <v>84</v>
      </c>
      <c r="D950" t="s">
        <v>31</v>
      </c>
      <c r="E950" t="s">
        <v>66</v>
      </c>
      <c r="F950" t="s">
        <v>16</v>
      </c>
      <c r="G950">
        <v>4</v>
      </c>
      <c r="H950">
        <v>1974.85</v>
      </c>
      <c r="I950">
        <v>30</v>
      </c>
      <c r="J950">
        <v>1363.1</v>
      </c>
      <c r="K950" t="s">
        <v>17</v>
      </c>
      <c r="L950" t="s">
        <v>18</v>
      </c>
      <c r="M950">
        <f t="shared" si="70"/>
        <v>5529.579999999999</v>
      </c>
      <c r="N950">
        <f t="shared" si="71"/>
        <v>77.179999999999382</v>
      </c>
      <c r="O950" t="str">
        <f t="shared" si="72"/>
        <v>Wednesday</v>
      </c>
      <c r="P950" t="b">
        <f t="shared" si="73"/>
        <v>0</v>
      </c>
      <c r="Q950" t="str">
        <f t="shared" si="74"/>
        <v>September</v>
      </c>
    </row>
    <row r="951" spans="1:17" x14ac:dyDescent="0.4">
      <c r="A951" t="s">
        <v>1323</v>
      </c>
      <c r="B951" s="1">
        <v>45518</v>
      </c>
      <c r="C951" t="s">
        <v>224</v>
      </c>
      <c r="D951" t="s">
        <v>46</v>
      </c>
      <c r="E951" t="s">
        <v>496</v>
      </c>
      <c r="F951" t="s">
        <v>28</v>
      </c>
      <c r="G951">
        <v>1</v>
      </c>
      <c r="H951">
        <v>1125.48</v>
      </c>
      <c r="I951">
        <v>5</v>
      </c>
      <c r="J951">
        <v>488.95</v>
      </c>
      <c r="K951" t="s">
        <v>17</v>
      </c>
      <c r="L951" t="s">
        <v>33</v>
      </c>
      <c r="M951">
        <f t="shared" si="70"/>
        <v>1069.2059999999999</v>
      </c>
      <c r="N951">
        <f t="shared" si="71"/>
        <v>580.25599999999986</v>
      </c>
      <c r="O951" t="str">
        <f t="shared" si="72"/>
        <v>Wednesday</v>
      </c>
      <c r="P951" t="b">
        <f t="shared" si="73"/>
        <v>0</v>
      </c>
      <c r="Q951" t="str">
        <f t="shared" si="74"/>
        <v>August</v>
      </c>
    </row>
    <row r="952" spans="1:17" x14ac:dyDescent="0.4">
      <c r="A952" t="s">
        <v>1324</v>
      </c>
      <c r="B952" s="1">
        <v>45480</v>
      </c>
      <c r="C952" t="s">
        <v>251</v>
      </c>
      <c r="D952" t="s">
        <v>46</v>
      </c>
      <c r="E952" t="s">
        <v>354</v>
      </c>
      <c r="F952" t="s">
        <v>28</v>
      </c>
      <c r="G952">
        <v>2</v>
      </c>
      <c r="H952">
        <v>641.77</v>
      </c>
      <c r="I952">
        <v>0</v>
      </c>
      <c r="J952">
        <v>361.02</v>
      </c>
      <c r="K952" t="s">
        <v>24</v>
      </c>
      <c r="L952" t="s">
        <v>37</v>
      </c>
      <c r="M952">
        <f t="shared" si="70"/>
        <v>1283.54</v>
      </c>
      <c r="N952">
        <f t="shared" si="71"/>
        <v>561.5</v>
      </c>
      <c r="O952" t="str">
        <f t="shared" si="72"/>
        <v>Sunday</v>
      </c>
      <c r="P952" t="b">
        <f t="shared" si="73"/>
        <v>1</v>
      </c>
      <c r="Q952" t="str">
        <f t="shared" si="74"/>
        <v>July</v>
      </c>
    </row>
    <row r="953" spans="1:17" x14ac:dyDescent="0.4">
      <c r="A953" t="s">
        <v>1325</v>
      </c>
      <c r="B953" s="1">
        <v>45508</v>
      </c>
      <c r="C953" t="s">
        <v>39</v>
      </c>
      <c r="D953" t="s">
        <v>21</v>
      </c>
      <c r="E953" t="s">
        <v>621</v>
      </c>
      <c r="F953" t="s">
        <v>23</v>
      </c>
      <c r="G953">
        <v>4</v>
      </c>
      <c r="H953">
        <v>2323.58</v>
      </c>
      <c r="I953">
        <v>25</v>
      </c>
      <c r="J953">
        <v>1617.45</v>
      </c>
      <c r="K953" t="s">
        <v>24</v>
      </c>
      <c r="L953" t="s">
        <v>18</v>
      </c>
      <c r="M953">
        <f t="shared" si="70"/>
        <v>6970.74</v>
      </c>
      <c r="N953">
        <f t="shared" si="71"/>
        <v>500.9399999999996</v>
      </c>
      <c r="O953" t="str">
        <f t="shared" si="72"/>
        <v>Sunday</v>
      </c>
      <c r="P953" t="b">
        <f t="shared" si="73"/>
        <v>1</v>
      </c>
      <c r="Q953" t="str">
        <f t="shared" si="74"/>
        <v>August</v>
      </c>
    </row>
    <row r="954" spans="1:17" x14ac:dyDescent="0.4">
      <c r="A954" t="s">
        <v>1326</v>
      </c>
      <c r="B954" s="1">
        <v>45863</v>
      </c>
      <c r="C954" t="s">
        <v>84</v>
      </c>
      <c r="D954" t="s">
        <v>14</v>
      </c>
      <c r="E954" t="s">
        <v>387</v>
      </c>
      <c r="F954" t="s">
        <v>28</v>
      </c>
      <c r="G954">
        <v>1</v>
      </c>
      <c r="H954">
        <v>2435.4699999999998</v>
      </c>
      <c r="I954">
        <v>5</v>
      </c>
      <c r="J954">
        <v>1283.0899999999999</v>
      </c>
      <c r="K954" t="s">
        <v>24</v>
      </c>
      <c r="L954" t="s">
        <v>33</v>
      </c>
      <c r="M954">
        <f t="shared" si="70"/>
        <v>2313.6964999999996</v>
      </c>
      <c r="N954">
        <f t="shared" si="71"/>
        <v>1030.6064999999996</v>
      </c>
      <c r="O954" t="str">
        <f t="shared" si="72"/>
        <v>Friday</v>
      </c>
      <c r="P954" t="b">
        <f t="shared" si="73"/>
        <v>0</v>
      </c>
      <c r="Q954" t="str">
        <f t="shared" si="74"/>
        <v>July</v>
      </c>
    </row>
    <row r="955" spans="1:17" x14ac:dyDescent="0.4">
      <c r="A955" t="s">
        <v>1327</v>
      </c>
      <c r="B955" s="1">
        <v>45427</v>
      </c>
      <c r="C955" t="s">
        <v>65</v>
      </c>
      <c r="D955" t="s">
        <v>31</v>
      </c>
      <c r="E955" t="s">
        <v>493</v>
      </c>
      <c r="F955" t="s">
        <v>16</v>
      </c>
      <c r="G955">
        <v>4</v>
      </c>
      <c r="H955">
        <v>1906.56</v>
      </c>
      <c r="I955">
        <v>15</v>
      </c>
      <c r="J955">
        <v>1059.0999999999999</v>
      </c>
      <c r="K955" t="s">
        <v>17</v>
      </c>
      <c r="L955" t="s">
        <v>18</v>
      </c>
      <c r="M955">
        <f t="shared" si="70"/>
        <v>6482.3040000000001</v>
      </c>
      <c r="N955">
        <f t="shared" si="71"/>
        <v>2245.9040000000005</v>
      </c>
      <c r="O955" t="str">
        <f t="shared" si="72"/>
        <v>Wednesday</v>
      </c>
      <c r="P955" t="b">
        <f t="shared" si="73"/>
        <v>0</v>
      </c>
      <c r="Q955" t="str">
        <f t="shared" si="74"/>
        <v>May</v>
      </c>
    </row>
    <row r="956" spans="1:17" x14ac:dyDescent="0.4">
      <c r="A956" t="s">
        <v>1328</v>
      </c>
      <c r="B956" s="1">
        <v>45869</v>
      </c>
      <c r="C956" t="s">
        <v>125</v>
      </c>
      <c r="D956" t="s">
        <v>21</v>
      </c>
      <c r="E956" t="s">
        <v>703</v>
      </c>
      <c r="F956" t="s">
        <v>16</v>
      </c>
      <c r="G956">
        <v>2</v>
      </c>
      <c r="H956">
        <v>429.73</v>
      </c>
      <c r="I956">
        <v>15</v>
      </c>
      <c r="J956">
        <v>278.89</v>
      </c>
      <c r="K956" t="s">
        <v>17</v>
      </c>
      <c r="L956" t="s">
        <v>37</v>
      </c>
      <c r="M956">
        <f t="shared" si="70"/>
        <v>730.54100000000005</v>
      </c>
      <c r="N956">
        <f t="shared" si="71"/>
        <v>172.76100000000008</v>
      </c>
      <c r="O956" t="str">
        <f t="shared" si="72"/>
        <v>Thursday</v>
      </c>
      <c r="P956" t="b">
        <f t="shared" si="73"/>
        <v>0</v>
      </c>
      <c r="Q956" t="str">
        <f t="shared" si="74"/>
        <v>July</v>
      </c>
    </row>
    <row r="957" spans="1:17" x14ac:dyDescent="0.4">
      <c r="A957" t="s">
        <v>1329</v>
      </c>
      <c r="B957" s="1">
        <v>45737</v>
      </c>
      <c r="C957" t="s">
        <v>95</v>
      </c>
      <c r="D957" t="s">
        <v>14</v>
      </c>
      <c r="E957" t="s">
        <v>280</v>
      </c>
      <c r="F957" t="s">
        <v>23</v>
      </c>
      <c r="G957">
        <v>3</v>
      </c>
      <c r="H957">
        <v>1620.31</v>
      </c>
      <c r="I957">
        <v>10</v>
      </c>
      <c r="J957">
        <v>1022.28</v>
      </c>
      <c r="K957" t="s">
        <v>24</v>
      </c>
      <c r="L957" t="s">
        <v>18</v>
      </c>
      <c r="M957">
        <f t="shared" si="70"/>
        <v>4374.8370000000004</v>
      </c>
      <c r="N957">
        <f t="shared" si="71"/>
        <v>1307.9970000000003</v>
      </c>
      <c r="O957" t="str">
        <f t="shared" si="72"/>
        <v>Friday</v>
      </c>
      <c r="P957" t="b">
        <f t="shared" si="73"/>
        <v>0</v>
      </c>
      <c r="Q957" t="str">
        <f t="shared" si="74"/>
        <v>March</v>
      </c>
    </row>
    <row r="958" spans="1:17" x14ac:dyDescent="0.4">
      <c r="A958" t="s">
        <v>1330</v>
      </c>
      <c r="B958" s="1">
        <v>45848</v>
      </c>
      <c r="C958" t="s">
        <v>100</v>
      </c>
      <c r="D958" t="s">
        <v>14</v>
      </c>
      <c r="E958" t="s">
        <v>1240</v>
      </c>
      <c r="F958" t="s">
        <v>23</v>
      </c>
      <c r="G958">
        <v>1</v>
      </c>
      <c r="H958">
        <v>1960.56</v>
      </c>
      <c r="I958">
        <v>30</v>
      </c>
      <c r="J958">
        <v>831.24</v>
      </c>
      <c r="K958" t="s">
        <v>24</v>
      </c>
      <c r="L958" t="s">
        <v>18</v>
      </c>
      <c r="M958">
        <f t="shared" si="70"/>
        <v>1372.3919999999998</v>
      </c>
      <c r="N958">
        <f t="shared" si="71"/>
        <v>541.15199999999982</v>
      </c>
      <c r="O958" t="str">
        <f t="shared" si="72"/>
        <v>Thursday</v>
      </c>
      <c r="P958" t="b">
        <f t="shared" si="73"/>
        <v>0</v>
      </c>
      <c r="Q958" t="str">
        <f t="shared" si="74"/>
        <v>July</v>
      </c>
    </row>
    <row r="959" spans="1:17" x14ac:dyDescent="0.4">
      <c r="A959" t="s">
        <v>1331</v>
      </c>
      <c r="B959" s="1">
        <v>45668</v>
      </c>
      <c r="C959" t="s">
        <v>62</v>
      </c>
      <c r="D959" t="s">
        <v>14</v>
      </c>
      <c r="E959" t="s">
        <v>129</v>
      </c>
      <c r="F959" t="s">
        <v>28</v>
      </c>
      <c r="G959">
        <v>1</v>
      </c>
      <c r="H959">
        <v>2590.09</v>
      </c>
      <c r="I959">
        <v>15</v>
      </c>
      <c r="J959">
        <v>1118.48</v>
      </c>
      <c r="K959" t="s">
        <v>24</v>
      </c>
      <c r="L959" t="s">
        <v>18</v>
      </c>
      <c r="M959">
        <f t="shared" si="70"/>
        <v>2201.5765000000001</v>
      </c>
      <c r="N959">
        <f t="shared" si="71"/>
        <v>1083.0965000000001</v>
      </c>
      <c r="O959" t="str">
        <f t="shared" si="72"/>
        <v>Saturday</v>
      </c>
      <c r="P959" t="b">
        <f t="shared" si="73"/>
        <v>1</v>
      </c>
      <c r="Q959" t="str">
        <f t="shared" si="74"/>
        <v>January</v>
      </c>
    </row>
    <row r="960" spans="1:17" x14ac:dyDescent="0.4">
      <c r="A960" t="s">
        <v>1332</v>
      </c>
      <c r="B960" s="1">
        <v>45348</v>
      </c>
      <c r="C960" t="s">
        <v>149</v>
      </c>
      <c r="D960" t="s">
        <v>21</v>
      </c>
      <c r="E960" t="s">
        <v>101</v>
      </c>
      <c r="F960" t="s">
        <v>16</v>
      </c>
      <c r="G960">
        <v>3</v>
      </c>
      <c r="H960">
        <v>1205.98</v>
      </c>
      <c r="I960">
        <v>25</v>
      </c>
      <c r="J960">
        <v>671.97</v>
      </c>
      <c r="K960" t="s">
        <v>24</v>
      </c>
      <c r="L960" t="s">
        <v>33</v>
      </c>
      <c r="M960">
        <f t="shared" si="70"/>
        <v>2713.4549999999999</v>
      </c>
      <c r="N960">
        <f t="shared" si="71"/>
        <v>697.54499999999985</v>
      </c>
      <c r="O960" t="str">
        <f t="shared" si="72"/>
        <v>Monday</v>
      </c>
      <c r="P960" t="b">
        <f t="shared" si="73"/>
        <v>0</v>
      </c>
      <c r="Q960" t="str">
        <f t="shared" si="74"/>
        <v>February</v>
      </c>
    </row>
    <row r="961" spans="1:17" x14ac:dyDescent="0.4">
      <c r="A961" t="s">
        <v>1333</v>
      </c>
      <c r="B961" s="1">
        <v>45366</v>
      </c>
      <c r="C961" t="s">
        <v>84</v>
      </c>
      <c r="D961" t="s">
        <v>46</v>
      </c>
      <c r="E961" t="s">
        <v>1134</v>
      </c>
      <c r="F961" t="s">
        <v>16</v>
      </c>
      <c r="G961">
        <v>3</v>
      </c>
      <c r="H961">
        <v>2222.58</v>
      </c>
      <c r="I961">
        <v>15</v>
      </c>
      <c r="J961">
        <v>1413.85</v>
      </c>
      <c r="K961" t="s">
        <v>24</v>
      </c>
      <c r="L961" t="s">
        <v>37</v>
      </c>
      <c r="M961">
        <f t="shared" si="70"/>
        <v>5667.5789999999997</v>
      </c>
      <c r="N961">
        <f t="shared" si="71"/>
        <v>1426.0290000000005</v>
      </c>
      <c r="O961" t="str">
        <f t="shared" si="72"/>
        <v>Friday</v>
      </c>
      <c r="P961" t="b">
        <f t="shared" si="73"/>
        <v>0</v>
      </c>
      <c r="Q961" t="str">
        <f t="shared" si="74"/>
        <v>March</v>
      </c>
    </row>
    <row r="962" spans="1:17" x14ac:dyDescent="0.4">
      <c r="A962" t="s">
        <v>1334</v>
      </c>
      <c r="B962" s="1">
        <v>45685</v>
      </c>
      <c r="C962" t="s">
        <v>119</v>
      </c>
      <c r="D962" t="s">
        <v>31</v>
      </c>
      <c r="E962" t="s">
        <v>438</v>
      </c>
      <c r="F962" t="s">
        <v>16</v>
      </c>
      <c r="G962">
        <v>4</v>
      </c>
      <c r="H962">
        <v>2409.5</v>
      </c>
      <c r="I962">
        <v>25</v>
      </c>
      <c r="J962">
        <v>1338.35</v>
      </c>
      <c r="K962" t="s">
        <v>17</v>
      </c>
      <c r="L962" t="s">
        <v>18</v>
      </c>
      <c r="M962">
        <f t="shared" si="70"/>
        <v>7228.5</v>
      </c>
      <c r="N962">
        <f t="shared" si="71"/>
        <v>1875.1000000000004</v>
      </c>
      <c r="O962" t="str">
        <f t="shared" si="72"/>
        <v>Tuesday</v>
      </c>
      <c r="P962" t="b">
        <f t="shared" si="73"/>
        <v>0</v>
      </c>
      <c r="Q962" t="str">
        <f t="shared" si="74"/>
        <v>January</v>
      </c>
    </row>
    <row r="963" spans="1:17" x14ac:dyDescent="0.4">
      <c r="A963" t="s">
        <v>1335</v>
      </c>
      <c r="B963" s="1">
        <v>45296</v>
      </c>
      <c r="C963" t="s">
        <v>71</v>
      </c>
      <c r="D963" t="s">
        <v>46</v>
      </c>
      <c r="E963" t="s">
        <v>249</v>
      </c>
      <c r="F963" t="s">
        <v>23</v>
      </c>
      <c r="G963">
        <v>1</v>
      </c>
      <c r="H963">
        <v>2530.8200000000002</v>
      </c>
      <c r="I963">
        <v>10</v>
      </c>
      <c r="J963">
        <v>1128.82</v>
      </c>
      <c r="K963" t="s">
        <v>17</v>
      </c>
      <c r="L963" t="s">
        <v>18</v>
      </c>
      <c r="M963">
        <f t="shared" ref="M963:M1026" si="75">G963 * H963 * (1 - I963/100)</f>
        <v>2277.7380000000003</v>
      </c>
      <c r="N963">
        <f t="shared" ref="N963:N1026" si="76">M963 - (J963 * G963)</f>
        <v>1148.9180000000003</v>
      </c>
      <c r="O963" t="str">
        <f t="shared" ref="O963:O1026" si="77">TEXT(B963,"dddd")</f>
        <v>Friday</v>
      </c>
      <c r="P963" t="b">
        <f t="shared" ref="P963:P1026" si="78">OR(TEXT(B963,"ddd")="Sat", TEXT(B963,"ddd")="Sun")</f>
        <v>0</v>
      </c>
      <c r="Q963" t="str">
        <f t="shared" ref="Q963:Q1026" si="79">TEXT(B963,"mmmm")</f>
        <v>January</v>
      </c>
    </row>
    <row r="964" spans="1:17" x14ac:dyDescent="0.4">
      <c r="A964" t="s">
        <v>1336</v>
      </c>
      <c r="B964" s="1">
        <v>45856</v>
      </c>
      <c r="C964" t="s">
        <v>74</v>
      </c>
      <c r="D964" t="s">
        <v>14</v>
      </c>
      <c r="E964" t="s">
        <v>147</v>
      </c>
      <c r="F964" t="s">
        <v>28</v>
      </c>
      <c r="G964">
        <v>5</v>
      </c>
      <c r="H964">
        <v>2921.24</v>
      </c>
      <c r="I964">
        <v>30</v>
      </c>
      <c r="J964">
        <v>1312.39</v>
      </c>
      <c r="K964" t="s">
        <v>17</v>
      </c>
      <c r="L964" t="s">
        <v>33</v>
      </c>
      <c r="M964">
        <f t="shared" si="75"/>
        <v>10224.339999999998</v>
      </c>
      <c r="N964">
        <f t="shared" si="76"/>
        <v>3662.3899999999976</v>
      </c>
      <c r="O964" t="str">
        <f t="shared" si="77"/>
        <v>Friday</v>
      </c>
      <c r="P964" t="b">
        <f t="shared" si="78"/>
        <v>0</v>
      </c>
      <c r="Q964" t="str">
        <f t="shared" si="79"/>
        <v>July</v>
      </c>
    </row>
    <row r="965" spans="1:17" x14ac:dyDescent="0.4">
      <c r="A965" t="s">
        <v>1337</v>
      </c>
      <c r="B965" s="1">
        <v>45715</v>
      </c>
      <c r="C965" t="s">
        <v>119</v>
      </c>
      <c r="D965" t="s">
        <v>46</v>
      </c>
      <c r="E965" t="s">
        <v>1055</v>
      </c>
      <c r="F965" t="s">
        <v>23</v>
      </c>
      <c r="G965">
        <v>5</v>
      </c>
      <c r="H965">
        <v>1708.51</v>
      </c>
      <c r="I965">
        <v>30</v>
      </c>
      <c r="J965">
        <v>767.21</v>
      </c>
      <c r="K965" t="s">
        <v>17</v>
      </c>
      <c r="L965" t="s">
        <v>37</v>
      </c>
      <c r="M965">
        <f t="shared" si="75"/>
        <v>5979.7849999999989</v>
      </c>
      <c r="N965">
        <f t="shared" si="76"/>
        <v>2143.7349999999988</v>
      </c>
      <c r="O965" t="str">
        <f t="shared" si="77"/>
        <v>Thursday</v>
      </c>
      <c r="P965" t="b">
        <f t="shared" si="78"/>
        <v>0</v>
      </c>
      <c r="Q965" t="str">
        <f t="shared" si="79"/>
        <v>February</v>
      </c>
    </row>
    <row r="966" spans="1:17" x14ac:dyDescent="0.4">
      <c r="A966" t="s">
        <v>1338</v>
      </c>
      <c r="B966" s="1">
        <v>45639</v>
      </c>
      <c r="C966" t="s">
        <v>35</v>
      </c>
      <c r="D966" t="s">
        <v>21</v>
      </c>
      <c r="E966" t="s">
        <v>955</v>
      </c>
      <c r="F966" t="s">
        <v>23</v>
      </c>
      <c r="G966">
        <v>1</v>
      </c>
      <c r="H966">
        <v>672.37</v>
      </c>
      <c r="I966">
        <v>0</v>
      </c>
      <c r="J966">
        <v>390.83</v>
      </c>
      <c r="K966" t="s">
        <v>24</v>
      </c>
      <c r="L966" t="s">
        <v>37</v>
      </c>
      <c r="M966">
        <f t="shared" si="75"/>
        <v>672.37</v>
      </c>
      <c r="N966">
        <f t="shared" si="76"/>
        <v>281.54000000000002</v>
      </c>
      <c r="O966" t="str">
        <f t="shared" si="77"/>
        <v>Friday</v>
      </c>
      <c r="P966" t="b">
        <f t="shared" si="78"/>
        <v>0</v>
      </c>
      <c r="Q966" t="str">
        <f t="shared" si="79"/>
        <v>December</v>
      </c>
    </row>
    <row r="967" spans="1:17" x14ac:dyDescent="0.4">
      <c r="A967" t="s">
        <v>1339</v>
      </c>
      <c r="B967" s="1">
        <v>45650</v>
      </c>
      <c r="C967" t="s">
        <v>159</v>
      </c>
      <c r="D967" t="s">
        <v>14</v>
      </c>
      <c r="E967" t="s">
        <v>262</v>
      </c>
      <c r="F967" t="s">
        <v>23</v>
      </c>
      <c r="G967">
        <v>2</v>
      </c>
      <c r="H967">
        <v>2077.8000000000002</v>
      </c>
      <c r="I967">
        <v>5</v>
      </c>
      <c r="J967">
        <v>1063.54</v>
      </c>
      <c r="K967" t="s">
        <v>24</v>
      </c>
      <c r="L967" t="s">
        <v>18</v>
      </c>
      <c r="M967">
        <f t="shared" si="75"/>
        <v>3947.82</v>
      </c>
      <c r="N967">
        <f t="shared" si="76"/>
        <v>1820.7400000000002</v>
      </c>
      <c r="O967" t="str">
        <f t="shared" si="77"/>
        <v>Tuesday</v>
      </c>
      <c r="P967" t="b">
        <f t="shared" si="78"/>
        <v>0</v>
      </c>
      <c r="Q967" t="str">
        <f t="shared" si="79"/>
        <v>December</v>
      </c>
    </row>
    <row r="968" spans="1:17" x14ac:dyDescent="0.4">
      <c r="A968" t="s">
        <v>1340</v>
      </c>
      <c r="B968" s="1">
        <v>45794</v>
      </c>
      <c r="C968" t="s">
        <v>114</v>
      </c>
      <c r="D968" t="s">
        <v>21</v>
      </c>
      <c r="E968" t="s">
        <v>1065</v>
      </c>
      <c r="F968" t="s">
        <v>16</v>
      </c>
      <c r="G968">
        <v>5</v>
      </c>
      <c r="H968">
        <v>1988.66</v>
      </c>
      <c r="I968">
        <v>0</v>
      </c>
      <c r="J968">
        <v>1148.17</v>
      </c>
      <c r="K968" t="s">
        <v>17</v>
      </c>
      <c r="L968" t="s">
        <v>18</v>
      </c>
      <c r="M968">
        <f t="shared" si="75"/>
        <v>9943.3000000000011</v>
      </c>
      <c r="N968">
        <f t="shared" si="76"/>
        <v>4202.4500000000007</v>
      </c>
      <c r="O968" t="str">
        <f t="shared" si="77"/>
        <v>Saturday</v>
      </c>
      <c r="P968" t="b">
        <f t="shared" si="78"/>
        <v>1</v>
      </c>
      <c r="Q968" t="str">
        <f t="shared" si="79"/>
        <v>May</v>
      </c>
    </row>
    <row r="969" spans="1:17" x14ac:dyDescent="0.4">
      <c r="A969" t="s">
        <v>1341</v>
      </c>
      <c r="B969" s="1">
        <v>45799</v>
      </c>
      <c r="C969" t="s">
        <v>174</v>
      </c>
      <c r="D969" t="s">
        <v>21</v>
      </c>
      <c r="E969" t="s">
        <v>311</v>
      </c>
      <c r="F969" t="s">
        <v>23</v>
      </c>
      <c r="G969">
        <v>3</v>
      </c>
      <c r="H969">
        <v>1359.25</v>
      </c>
      <c r="I969">
        <v>20</v>
      </c>
      <c r="J969">
        <v>847.23</v>
      </c>
      <c r="K969" t="s">
        <v>17</v>
      </c>
      <c r="L969" t="s">
        <v>33</v>
      </c>
      <c r="M969">
        <f t="shared" si="75"/>
        <v>3262.2000000000003</v>
      </c>
      <c r="N969">
        <f t="shared" si="76"/>
        <v>720.51000000000022</v>
      </c>
      <c r="O969" t="str">
        <f t="shared" si="77"/>
        <v>Thursday</v>
      </c>
      <c r="P969" t="b">
        <f t="shared" si="78"/>
        <v>0</v>
      </c>
      <c r="Q969" t="str">
        <f t="shared" si="79"/>
        <v>May</v>
      </c>
    </row>
    <row r="970" spans="1:17" x14ac:dyDescent="0.4">
      <c r="A970" t="s">
        <v>1342</v>
      </c>
      <c r="B970" s="1">
        <v>45323</v>
      </c>
      <c r="C970" t="s">
        <v>375</v>
      </c>
      <c r="D970" t="s">
        <v>46</v>
      </c>
      <c r="E970" t="s">
        <v>442</v>
      </c>
      <c r="F970" t="s">
        <v>16</v>
      </c>
      <c r="G970">
        <v>5</v>
      </c>
      <c r="H970">
        <v>788.04</v>
      </c>
      <c r="I970">
        <v>0</v>
      </c>
      <c r="J970">
        <v>447.97</v>
      </c>
      <c r="K970" t="s">
        <v>24</v>
      </c>
      <c r="L970" t="s">
        <v>37</v>
      </c>
      <c r="M970">
        <f t="shared" si="75"/>
        <v>3940.2</v>
      </c>
      <c r="N970">
        <f t="shared" si="76"/>
        <v>1700.3499999999995</v>
      </c>
      <c r="O970" t="str">
        <f t="shared" si="77"/>
        <v>Thursday</v>
      </c>
      <c r="P970" t="b">
        <f t="shared" si="78"/>
        <v>0</v>
      </c>
      <c r="Q970" t="str">
        <f t="shared" si="79"/>
        <v>February</v>
      </c>
    </row>
    <row r="971" spans="1:17" x14ac:dyDescent="0.4">
      <c r="A971" t="s">
        <v>1343</v>
      </c>
      <c r="B971" s="1">
        <v>45741</v>
      </c>
      <c r="C971" t="s">
        <v>122</v>
      </c>
      <c r="D971" t="s">
        <v>46</v>
      </c>
      <c r="E971" t="s">
        <v>105</v>
      </c>
      <c r="F971" t="s">
        <v>16</v>
      </c>
      <c r="G971">
        <v>3</v>
      </c>
      <c r="H971">
        <v>2472.34</v>
      </c>
      <c r="I971">
        <v>20</v>
      </c>
      <c r="J971">
        <v>1715.81</v>
      </c>
      <c r="K971" t="s">
        <v>24</v>
      </c>
      <c r="L971" t="s">
        <v>37</v>
      </c>
      <c r="M971">
        <f t="shared" si="75"/>
        <v>5933.6160000000009</v>
      </c>
      <c r="N971">
        <f t="shared" si="76"/>
        <v>786.1860000000006</v>
      </c>
      <c r="O971" t="str">
        <f t="shared" si="77"/>
        <v>Tuesday</v>
      </c>
      <c r="P971" t="b">
        <f t="shared" si="78"/>
        <v>0</v>
      </c>
      <c r="Q971" t="str">
        <f t="shared" si="79"/>
        <v>March</v>
      </c>
    </row>
    <row r="972" spans="1:17" x14ac:dyDescent="0.4">
      <c r="A972" t="s">
        <v>1344</v>
      </c>
      <c r="B972" s="1">
        <v>45909</v>
      </c>
      <c r="C972" t="s">
        <v>71</v>
      </c>
      <c r="D972" t="s">
        <v>21</v>
      </c>
      <c r="E972" t="s">
        <v>172</v>
      </c>
      <c r="F972" t="s">
        <v>16</v>
      </c>
      <c r="G972">
        <v>3</v>
      </c>
      <c r="H972">
        <v>1083.6600000000001</v>
      </c>
      <c r="I972">
        <v>10</v>
      </c>
      <c r="J972">
        <v>700.37</v>
      </c>
      <c r="K972" t="s">
        <v>17</v>
      </c>
      <c r="L972" t="s">
        <v>18</v>
      </c>
      <c r="M972">
        <f t="shared" si="75"/>
        <v>2925.8820000000005</v>
      </c>
      <c r="N972">
        <f t="shared" si="76"/>
        <v>824.77200000000039</v>
      </c>
      <c r="O972" t="str">
        <f t="shared" si="77"/>
        <v>Tuesday</v>
      </c>
      <c r="P972" t="b">
        <f t="shared" si="78"/>
        <v>0</v>
      </c>
      <c r="Q972" t="str">
        <f t="shared" si="79"/>
        <v>September</v>
      </c>
    </row>
    <row r="973" spans="1:17" x14ac:dyDescent="0.4">
      <c r="A973" t="s">
        <v>1345</v>
      </c>
      <c r="B973" s="1">
        <v>45746</v>
      </c>
      <c r="C973" t="s">
        <v>35</v>
      </c>
      <c r="D973" t="s">
        <v>14</v>
      </c>
      <c r="E973" t="s">
        <v>760</v>
      </c>
      <c r="F973" t="s">
        <v>16</v>
      </c>
      <c r="G973">
        <v>5</v>
      </c>
      <c r="H973">
        <v>1692.7</v>
      </c>
      <c r="I973">
        <v>15</v>
      </c>
      <c r="J973">
        <v>991.73</v>
      </c>
      <c r="K973" t="s">
        <v>17</v>
      </c>
      <c r="L973" t="s">
        <v>33</v>
      </c>
      <c r="M973">
        <f t="shared" si="75"/>
        <v>7193.9749999999995</v>
      </c>
      <c r="N973">
        <f t="shared" si="76"/>
        <v>2235.3249999999998</v>
      </c>
      <c r="O973" t="str">
        <f t="shared" si="77"/>
        <v>Sunday</v>
      </c>
      <c r="P973" t="b">
        <f t="shared" si="78"/>
        <v>1</v>
      </c>
      <c r="Q973" t="str">
        <f t="shared" si="79"/>
        <v>March</v>
      </c>
    </row>
    <row r="974" spans="1:17" x14ac:dyDescent="0.4">
      <c r="A974" t="s">
        <v>1346</v>
      </c>
      <c r="B974" s="1">
        <v>45846</v>
      </c>
      <c r="C974" t="s">
        <v>152</v>
      </c>
      <c r="D974" t="s">
        <v>14</v>
      </c>
      <c r="E974" t="s">
        <v>1170</v>
      </c>
      <c r="F974" t="s">
        <v>16</v>
      </c>
      <c r="G974">
        <v>1</v>
      </c>
      <c r="H974">
        <v>1514.06</v>
      </c>
      <c r="I974">
        <v>0</v>
      </c>
      <c r="J974">
        <v>659.1</v>
      </c>
      <c r="K974" t="s">
        <v>17</v>
      </c>
      <c r="L974" t="s">
        <v>37</v>
      </c>
      <c r="M974">
        <f t="shared" si="75"/>
        <v>1514.06</v>
      </c>
      <c r="N974">
        <f t="shared" si="76"/>
        <v>854.95999999999992</v>
      </c>
      <c r="O974" t="str">
        <f t="shared" si="77"/>
        <v>Tuesday</v>
      </c>
      <c r="P974" t="b">
        <f t="shared" si="78"/>
        <v>0</v>
      </c>
      <c r="Q974" t="str">
        <f t="shared" si="79"/>
        <v>July</v>
      </c>
    </row>
    <row r="975" spans="1:17" x14ac:dyDescent="0.4">
      <c r="A975" t="s">
        <v>1347</v>
      </c>
      <c r="B975" s="1">
        <v>45747</v>
      </c>
      <c r="C975" t="s">
        <v>100</v>
      </c>
      <c r="D975" t="s">
        <v>31</v>
      </c>
      <c r="E975" t="s">
        <v>206</v>
      </c>
      <c r="F975" t="s">
        <v>23</v>
      </c>
      <c r="G975">
        <v>3</v>
      </c>
      <c r="H975">
        <v>1097.21</v>
      </c>
      <c r="I975">
        <v>30</v>
      </c>
      <c r="J975">
        <v>701.65</v>
      </c>
      <c r="K975" t="s">
        <v>17</v>
      </c>
      <c r="L975" t="s">
        <v>18</v>
      </c>
      <c r="M975">
        <f t="shared" si="75"/>
        <v>2304.1410000000001</v>
      </c>
      <c r="N975">
        <f t="shared" si="76"/>
        <v>199.19100000000026</v>
      </c>
      <c r="O975" t="str">
        <f t="shared" si="77"/>
        <v>Monday</v>
      </c>
      <c r="P975" t="b">
        <f t="shared" si="78"/>
        <v>0</v>
      </c>
      <c r="Q975" t="str">
        <f t="shared" si="79"/>
        <v>March</v>
      </c>
    </row>
    <row r="976" spans="1:17" x14ac:dyDescent="0.4">
      <c r="A976" t="s">
        <v>1348</v>
      </c>
      <c r="B976" s="1">
        <v>45697</v>
      </c>
      <c r="C976" t="s">
        <v>182</v>
      </c>
      <c r="D976" t="s">
        <v>31</v>
      </c>
      <c r="E976" t="s">
        <v>218</v>
      </c>
      <c r="F976" t="s">
        <v>16</v>
      </c>
      <c r="G976">
        <v>3</v>
      </c>
      <c r="H976">
        <v>2176.52</v>
      </c>
      <c r="I976">
        <v>30</v>
      </c>
      <c r="J976">
        <v>1007.7</v>
      </c>
      <c r="K976" t="s">
        <v>17</v>
      </c>
      <c r="L976" t="s">
        <v>37</v>
      </c>
      <c r="M976">
        <f t="shared" si="75"/>
        <v>4570.6919999999991</v>
      </c>
      <c r="N976">
        <f t="shared" si="76"/>
        <v>1547.5919999999987</v>
      </c>
      <c r="O976" t="str">
        <f t="shared" si="77"/>
        <v>Sunday</v>
      </c>
      <c r="P976" t="b">
        <f t="shared" si="78"/>
        <v>1</v>
      </c>
      <c r="Q976" t="str">
        <f t="shared" si="79"/>
        <v>February</v>
      </c>
    </row>
    <row r="977" spans="1:17" x14ac:dyDescent="0.4">
      <c r="A977" t="s">
        <v>1349</v>
      </c>
      <c r="B977" s="1">
        <v>45887</v>
      </c>
      <c r="C977" t="s">
        <v>144</v>
      </c>
      <c r="D977" t="s">
        <v>14</v>
      </c>
      <c r="E977" t="s">
        <v>274</v>
      </c>
      <c r="F977" t="s">
        <v>23</v>
      </c>
      <c r="G977">
        <v>3</v>
      </c>
      <c r="H977">
        <v>2154.5</v>
      </c>
      <c r="I977">
        <v>0</v>
      </c>
      <c r="J977">
        <v>1256.31</v>
      </c>
      <c r="K977" t="s">
        <v>17</v>
      </c>
      <c r="L977" t="s">
        <v>33</v>
      </c>
      <c r="M977">
        <f t="shared" si="75"/>
        <v>6463.5</v>
      </c>
      <c r="N977">
        <f t="shared" si="76"/>
        <v>2694.57</v>
      </c>
      <c r="O977" t="str">
        <f t="shared" si="77"/>
        <v>Monday</v>
      </c>
      <c r="P977" t="b">
        <f t="shared" si="78"/>
        <v>0</v>
      </c>
      <c r="Q977" t="str">
        <f t="shared" si="79"/>
        <v>August</v>
      </c>
    </row>
    <row r="978" spans="1:17" x14ac:dyDescent="0.4">
      <c r="A978" t="s">
        <v>1350</v>
      </c>
      <c r="B978" s="1">
        <v>45614</v>
      </c>
      <c r="C978" t="s">
        <v>171</v>
      </c>
      <c r="D978" t="s">
        <v>46</v>
      </c>
      <c r="E978" t="s">
        <v>183</v>
      </c>
      <c r="F978" t="s">
        <v>16</v>
      </c>
      <c r="G978">
        <v>1</v>
      </c>
      <c r="H978">
        <v>2051.7800000000002</v>
      </c>
      <c r="I978">
        <v>25</v>
      </c>
      <c r="J978">
        <v>970.63</v>
      </c>
      <c r="K978" t="s">
        <v>17</v>
      </c>
      <c r="L978" t="s">
        <v>37</v>
      </c>
      <c r="M978">
        <f t="shared" si="75"/>
        <v>1538.835</v>
      </c>
      <c r="N978">
        <f t="shared" si="76"/>
        <v>568.20500000000004</v>
      </c>
      <c r="O978" t="str">
        <f t="shared" si="77"/>
        <v>Monday</v>
      </c>
      <c r="P978" t="b">
        <f t="shared" si="78"/>
        <v>0</v>
      </c>
      <c r="Q978" t="str">
        <f t="shared" si="79"/>
        <v>November</v>
      </c>
    </row>
    <row r="979" spans="1:17" x14ac:dyDescent="0.4">
      <c r="A979" t="s">
        <v>1351</v>
      </c>
      <c r="B979" s="1">
        <v>45797</v>
      </c>
      <c r="C979" t="s">
        <v>45</v>
      </c>
      <c r="D979" t="s">
        <v>14</v>
      </c>
      <c r="E979" t="s">
        <v>101</v>
      </c>
      <c r="F979" t="s">
        <v>16</v>
      </c>
      <c r="G979">
        <v>2</v>
      </c>
      <c r="H979">
        <v>1625.41</v>
      </c>
      <c r="I979">
        <v>15</v>
      </c>
      <c r="J979">
        <v>957.48</v>
      </c>
      <c r="K979" t="s">
        <v>17</v>
      </c>
      <c r="L979" t="s">
        <v>18</v>
      </c>
      <c r="M979">
        <f t="shared" si="75"/>
        <v>2763.1970000000001</v>
      </c>
      <c r="N979">
        <f t="shared" si="76"/>
        <v>848.23700000000008</v>
      </c>
      <c r="O979" t="str">
        <f t="shared" si="77"/>
        <v>Tuesday</v>
      </c>
      <c r="P979" t="b">
        <f t="shared" si="78"/>
        <v>0</v>
      </c>
      <c r="Q979" t="str">
        <f t="shared" si="79"/>
        <v>May</v>
      </c>
    </row>
    <row r="980" spans="1:17" x14ac:dyDescent="0.4">
      <c r="A980" t="s">
        <v>1352</v>
      </c>
      <c r="B980" s="1">
        <v>45900</v>
      </c>
      <c r="C980" t="s">
        <v>128</v>
      </c>
      <c r="D980" t="s">
        <v>21</v>
      </c>
      <c r="E980" t="s">
        <v>66</v>
      </c>
      <c r="F980" t="s">
        <v>16</v>
      </c>
      <c r="G980">
        <v>4</v>
      </c>
      <c r="H980">
        <v>923.19</v>
      </c>
      <c r="I980">
        <v>25</v>
      </c>
      <c r="J980">
        <v>499.89</v>
      </c>
      <c r="K980" t="s">
        <v>24</v>
      </c>
      <c r="L980" t="s">
        <v>37</v>
      </c>
      <c r="M980">
        <f t="shared" si="75"/>
        <v>2769.57</v>
      </c>
      <c r="N980">
        <f t="shared" si="76"/>
        <v>770.01000000000022</v>
      </c>
      <c r="O980" t="str">
        <f t="shared" si="77"/>
        <v>Sunday</v>
      </c>
      <c r="P980" t="b">
        <f t="shared" si="78"/>
        <v>1</v>
      </c>
      <c r="Q980" t="str">
        <f t="shared" si="79"/>
        <v>August</v>
      </c>
    </row>
    <row r="981" spans="1:17" x14ac:dyDescent="0.4">
      <c r="A981" t="s">
        <v>1353</v>
      </c>
      <c r="B981" s="1">
        <v>45377</v>
      </c>
      <c r="C981" t="s">
        <v>193</v>
      </c>
      <c r="D981" t="s">
        <v>14</v>
      </c>
      <c r="E981" t="s">
        <v>343</v>
      </c>
      <c r="F981" t="s">
        <v>23</v>
      </c>
      <c r="G981">
        <v>1</v>
      </c>
      <c r="H981">
        <v>2314.27</v>
      </c>
      <c r="I981">
        <v>0</v>
      </c>
      <c r="J981">
        <v>1203.97</v>
      </c>
      <c r="K981" t="s">
        <v>24</v>
      </c>
      <c r="L981" t="s">
        <v>18</v>
      </c>
      <c r="M981">
        <f t="shared" si="75"/>
        <v>2314.27</v>
      </c>
      <c r="N981">
        <f t="shared" si="76"/>
        <v>1110.3</v>
      </c>
      <c r="O981" t="str">
        <f t="shared" si="77"/>
        <v>Tuesday</v>
      </c>
      <c r="P981" t="b">
        <f t="shared" si="78"/>
        <v>0</v>
      </c>
      <c r="Q981" t="str">
        <f t="shared" si="79"/>
        <v>March</v>
      </c>
    </row>
    <row r="982" spans="1:17" x14ac:dyDescent="0.4">
      <c r="A982" t="s">
        <v>1354</v>
      </c>
      <c r="B982" s="1">
        <v>45702</v>
      </c>
      <c r="C982" t="s">
        <v>159</v>
      </c>
      <c r="D982" t="s">
        <v>46</v>
      </c>
      <c r="E982" t="s">
        <v>637</v>
      </c>
      <c r="F982" t="s">
        <v>23</v>
      </c>
      <c r="G982">
        <v>4</v>
      </c>
      <c r="H982">
        <v>1016.24</v>
      </c>
      <c r="I982">
        <v>5</v>
      </c>
      <c r="J982">
        <v>620.54</v>
      </c>
      <c r="K982" t="s">
        <v>17</v>
      </c>
      <c r="L982" t="s">
        <v>33</v>
      </c>
      <c r="M982">
        <f t="shared" si="75"/>
        <v>3861.712</v>
      </c>
      <c r="N982">
        <f t="shared" si="76"/>
        <v>1379.5520000000001</v>
      </c>
      <c r="O982" t="str">
        <f t="shared" si="77"/>
        <v>Friday</v>
      </c>
      <c r="P982" t="b">
        <f t="shared" si="78"/>
        <v>0</v>
      </c>
      <c r="Q982" t="str">
        <f t="shared" si="79"/>
        <v>February</v>
      </c>
    </row>
    <row r="983" spans="1:17" x14ac:dyDescent="0.4">
      <c r="A983" t="s">
        <v>1355</v>
      </c>
      <c r="B983" s="1">
        <v>45700</v>
      </c>
      <c r="C983" t="s">
        <v>122</v>
      </c>
      <c r="D983" t="s">
        <v>31</v>
      </c>
      <c r="E983" t="s">
        <v>57</v>
      </c>
      <c r="F983" t="s">
        <v>23</v>
      </c>
      <c r="G983">
        <v>1</v>
      </c>
      <c r="H983">
        <v>2884.83</v>
      </c>
      <c r="I983">
        <v>20</v>
      </c>
      <c r="J983">
        <v>1536.81</v>
      </c>
      <c r="K983" t="s">
        <v>24</v>
      </c>
      <c r="L983" t="s">
        <v>37</v>
      </c>
      <c r="M983">
        <f t="shared" si="75"/>
        <v>2307.864</v>
      </c>
      <c r="N983">
        <f t="shared" si="76"/>
        <v>771.05400000000009</v>
      </c>
      <c r="O983" t="str">
        <f t="shared" si="77"/>
        <v>Wednesday</v>
      </c>
      <c r="P983" t="b">
        <f t="shared" si="78"/>
        <v>0</v>
      </c>
      <c r="Q983" t="str">
        <f t="shared" si="79"/>
        <v>February</v>
      </c>
    </row>
    <row r="984" spans="1:17" x14ac:dyDescent="0.4">
      <c r="A984" t="s">
        <v>1356</v>
      </c>
      <c r="B984" s="1">
        <v>45357</v>
      </c>
      <c r="C984" t="s">
        <v>159</v>
      </c>
      <c r="D984" t="s">
        <v>14</v>
      </c>
      <c r="E984" t="s">
        <v>948</v>
      </c>
      <c r="F984" t="s">
        <v>23</v>
      </c>
      <c r="G984">
        <v>5</v>
      </c>
      <c r="H984">
        <v>1795.66</v>
      </c>
      <c r="I984">
        <v>10</v>
      </c>
      <c r="J984">
        <v>1139.57</v>
      </c>
      <c r="K984" t="s">
        <v>17</v>
      </c>
      <c r="L984" t="s">
        <v>18</v>
      </c>
      <c r="M984">
        <f t="shared" si="75"/>
        <v>8080.4700000000012</v>
      </c>
      <c r="N984">
        <f t="shared" si="76"/>
        <v>2382.6200000000017</v>
      </c>
      <c r="O984" t="str">
        <f t="shared" si="77"/>
        <v>Wednesday</v>
      </c>
      <c r="P984" t="b">
        <f t="shared" si="78"/>
        <v>0</v>
      </c>
      <c r="Q984" t="str">
        <f t="shared" si="79"/>
        <v>March</v>
      </c>
    </row>
    <row r="985" spans="1:17" x14ac:dyDescent="0.4">
      <c r="A985" t="s">
        <v>1357</v>
      </c>
      <c r="B985" s="1">
        <v>45598</v>
      </c>
      <c r="C985" t="s">
        <v>253</v>
      </c>
      <c r="D985" t="s">
        <v>46</v>
      </c>
      <c r="E985" t="s">
        <v>160</v>
      </c>
      <c r="F985" t="s">
        <v>16</v>
      </c>
      <c r="G985">
        <v>5</v>
      </c>
      <c r="H985">
        <v>2482.62</v>
      </c>
      <c r="I985">
        <v>30</v>
      </c>
      <c r="J985">
        <v>1589.07</v>
      </c>
      <c r="K985" t="s">
        <v>24</v>
      </c>
      <c r="L985" t="s">
        <v>18</v>
      </c>
      <c r="M985">
        <f t="shared" si="75"/>
        <v>8689.1699999999983</v>
      </c>
      <c r="N985">
        <f t="shared" si="76"/>
        <v>743.8199999999988</v>
      </c>
      <c r="O985" t="str">
        <f t="shared" si="77"/>
        <v>Saturday</v>
      </c>
      <c r="P985" t="b">
        <f t="shared" si="78"/>
        <v>1</v>
      </c>
      <c r="Q985" t="str">
        <f t="shared" si="79"/>
        <v>November</v>
      </c>
    </row>
    <row r="986" spans="1:17" x14ac:dyDescent="0.4">
      <c r="A986" t="s">
        <v>1358</v>
      </c>
      <c r="B986" s="1">
        <v>45893</v>
      </c>
      <c r="C986" t="s">
        <v>296</v>
      </c>
      <c r="D986" t="s">
        <v>14</v>
      </c>
      <c r="E986" t="s">
        <v>338</v>
      </c>
      <c r="F986" t="s">
        <v>16</v>
      </c>
      <c r="G986">
        <v>2</v>
      </c>
      <c r="H986">
        <v>854.27</v>
      </c>
      <c r="I986">
        <v>15</v>
      </c>
      <c r="J986">
        <v>388.17</v>
      </c>
      <c r="K986" t="s">
        <v>17</v>
      </c>
      <c r="L986" t="s">
        <v>33</v>
      </c>
      <c r="M986">
        <f t="shared" si="75"/>
        <v>1452.259</v>
      </c>
      <c r="N986">
        <f t="shared" si="76"/>
        <v>675.91899999999998</v>
      </c>
      <c r="O986" t="str">
        <f t="shared" si="77"/>
        <v>Sunday</v>
      </c>
      <c r="P986" t="b">
        <f t="shared" si="78"/>
        <v>1</v>
      </c>
      <c r="Q986" t="str">
        <f t="shared" si="79"/>
        <v>August</v>
      </c>
    </row>
    <row r="987" spans="1:17" x14ac:dyDescent="0.4">
      <c r="A987" t="s">
        <v>1359</v>
      </c>
      <c r="B987" s="1">
        <v>45821</v>
      </c>
      <c r="C987" t="s">
        <v>114</v>
      </c>
      <c r="D987" t="s">
        <v>31</v>
      </c>
      <c r="E987" t="s">
        <v>120</v>
      </c>
      <c r="F987" t="s">
        <v>28</v>
      </c>
      <c r="G987">
        <v>3</v>
      </c>
      <c r="H987">
        <v>2275.27</v>
      </c>
      <c r="I987">
        <v>0</v>
      </c>
      <c r="J987">
        <v>1225.1400000000001</v>
      </c>
      <c r="K987" t="s">
        <v>24</v>
      </c>
      <c r="L987" t="s">
        <v>33</v>
      </c>
      <c r="M987">
        <f t="shared" si="75"/>
        <v>6825.8099999999995</v>
      </c>
      <c r="N987">
        <f t="shared" si="76"/>
        <v>3150.3899999999994</v>
      </c>
      <c r="O987" t="str">
        <f t="shared" si="77"/>
        <v>Friday</v>
      </c>
      <c r="P987" t="b">
        <f t="shared" si="78"/>
        <v>0</v>
      </c>
      <c r="Q987" t="str">
        <f t="shared" si="79"/>
        <v>June</v>
      </c>
    </row>
    <row r="988" spans="1:17" x14ac:dyDescent="0.4">
      <c r="A988" t="s">
        <v>1360</v>
      </c>
      <c r="B988" s="1">
        <v>45577</v>
      </c>
      <c r="C988" t="s">
        <v>179</v>
      </c>
      <c r="D988" t="s">
        <v>46</v>
      </c>
      <c r="E988" t="s">
        <v>753</v>
      </c>
      <c r="F988" t="s">
        <v>16</v>
      </c>
      <c r="G988">
        <v>3</v>
      </c>
      <c r="H988">
        <v>993.63</v>
      </c>
      <c r="I988">
        <v>20</v>
      </c>
      <c r="J988">
        <v>609.22</v>
      </c>
      <c r="K988" t="s">
        <v>24</v>
      </c>
      <c r="L988" t="s">
        <v>37</v>
      </c>
      <c r="M988">
        <f t="shared" si="75"/>
        <v>2384.712</v>
      </c>
      <c r="N988">
        <f t="shared" si="76"/>
        <v>557.05199999999991</v>
      </c>
      <c r="O988" t="str">
        <f t="shared" si="77"/>
        <v>Saturday</v>
      </c>
      <c r="P988" t="b">
        <f t="shared" si="78"/>
        <v>1</v>
      </c>
      <c r="Q988" t="str">
        <f t="shared" si="79"/>
        <v>October</v>
      </c>
    </row>
    <row r="989" spans="1:17" x14ac:dyDescent="0.4">
      <c r="A989" t="s">
        <v>1361</v>
      </c>
      <c r="B989" s="1">
        <v>45715</v>
      </c>
      <c r="C989" t="s">
        <v>13</v>
      </c>
      <c r="D989" t="s">
        <v>14</v>
      </c>
      <c r="E989" t="s">
        <v>27</v>
      </c>
      <c r="F989" t="s">
        <v>28</v>
      </c>
      <c r="G989">
        <v>4</v>
      </c>
      <c r="H989">
        <v>1333.41</v>
      </c>
      <c r="I989">
        <v>5</v>
      </c>
      <c r="J989">
        <v>770.13</v>
      </c>
      <c r="K989" t="s">
        <v>17</v>
      </c>
      <c r="L989" t="s">
        <v>37</v>
      </c>
      <c r="M989">
        <f t="shared" si="75"/>
        <v>5066.9579999999996</v>
      </c>
      <c r="N989">
        <f t="shared" si="76"/>
        <v>1986.4379999999996</v>
      </c>
      <c r="O989" t="str">
        <f t="shared" si="77"/>
        <v>Thursday</v>
      </c>
      <c r="P989" t="b">
        <f t="shared" si="78"/>
        <v>0</v>
      </c>
      <c r="Q989" t="str">
        <f t="shared" si="79"/>
        <v>February</v>
      </c>
    </row>
    <row r="990" spans="1:17" x14ac:dyDescent="0.4">
      <c r="A990" t="s">
        <v>1362</v>
      </c>
      <c r="B990" s="1">
        <v>45960</v>
      </c>
      <c r="C990" t="s">
        <v>109</v>
      </c>
      <c r="D990" t="s">
        <v>31</v>
      </c>
      <c r="E990" t="s">
        <v>22</v>
      </c>
      <c r="F990" t="s">
        <v>23</v>
      </c>
      <c r="G990">
        <v>3</v>
      </c>
      <c r="H990">
        <v>1461.08</v>
      </c>
      <c r="I990">
        <v>0</v>
      </c>
      <c r="J990">
        <v>817.12</v>
      </c>
      <c r="K990" t="s">
        <v>24</v>
      </c>
      <c r="L990" t="s">
        <v>18</v>
      </c>
      <c r="M990">
        <f t="shared" si="75"/>
        <v>4383.24</v>
      </c>
      <c r="N990">
        <f t="shared" si="76"/>
        <v>1931.8799999999997</v>
      </c>
      <c r="O990" t="str">
        <f t="shared" si="77"/>
        <v>Thursday</v>
      </c>
      <c r="P990" t="b">
        <f t="shared" si="78"/>
        <v>0</v>
      </c>
      <c r="Q990" t="str">
        <f t="shared" si="79"/>
        <v>October</v>
      </c>
    </row>
    <row r="991" spans="1:17" x14ac:dyDescent="0.4">
      <c r="A991" t="s">
        <v>1363</v>
      </c>
      <c r="B991" s="1">
        <v>45361</v>
      </c>
      <c r="C991" t="s">
        <v>273</v>
      </c>
      <c r="D991" t="s">
        <v>21</v>
      </c>
      <c r="E991" t="s">
        <v>1364</v>
      </c>
      <c r="F991" t="s">
        <v>28</v>
      </c>
      <c r="G991">
        <v>5</v>
      </c>
      <c r="H991">
        <v>1655.35</v>
      </c>
      <c r="I991">
        <v>15</v>
      </c>
      <c r="J991">
        <v>982.29</v>
      </c>
      <c r="K991" t="s">
        <v>17</v>
      </c>
      <c r="L991" t="s">
        <v>33</v>
      </c>
      <c r="M991">
        <f t="shared" si="75"/>
        <v>7035.2375000000002</v>
      </c>
      <c r="N991">
        <f t="shared" si="76"/>
        <v>2123.7875000000004</v>
      </c>
      <c r="O991" t="str">
        <f t="shared" si="77"/>
        <v>Sunday</v>
      </c>
      <c r="P991" t="b">
        <f t="shared" si="78"/>
        <v>1</v>
      </c>
      <c r="Q991" t="str">
        <f t="shared" si="79"/>
        <v>March</v>
      </c>
    </row>
    <row r="992" spans="1:17" x14ac:dyDescent="0.4">
      <c r="A992" t="s">
        <v>1365</v>
      </c>
      <c r="B992" s="1">
        <v>45425</v>
      </c>
      <c r="C992" t="s">
        <v>146</v>
      </c>
      <c r="D992" t="s">
        <v>31</v>
      </c>
      <c r="E992" t="s">
        <v>379</v>
      </c>
      <c r="F992" t="s">
        <v>16</v>
      </c>
      <c r="G992">
        <v>4</v>
      </c>
      <c r="H992">
        <v>475.49</v>
      </c>
      <c r="I992">
        <v>0</v>
      </c>
      <c r="J992">
        <v>228.78</v>
      </c>
      <c r="K992" t="s">
        <v>17</v>
      </c>
      <c r="L992" t="s">
        <v>37</v>
      </c>
      <c r="M992">
        <f t="shared" si="75"/>
        <v>1901.96</v>
      </c>
      <c r="N992">
        <f t="shared" si="76"/>
        <v>986.84</v>
      </c>
      <c r="O992" t="str">
        <f t="shared" si="77"/>
        <v>Monday</v>
      </c>
      <c r="P992" t="b">
        <f t="shared" si="78"/>
        <v>0</v>
      </c>
      <c r="Q992" t="str">
        <f t="shared" si="79"/>
        <v>May</v>
      </c>
    </row>
    <row r="993" spans="1:17" x14ac:dyDescent="0.4">
      <c r="A993" t="s">
        <v>1366</v>
      </c>
      <c r="B993" s="1">
        <v>45616</v>
      </c>
      <c r="C993" t="s">
        <v>190</v>
      </c>
      <c r="D993" t="s">
        <v>14</v>
      </c>
      <c r="E993" t="s">
        <v>936</v>
      </c>
      <c r="F993" t="s">
        <v>16</v>
      </c>
      <c r="G993">
        <v>5</v>
      </c>
      <c r="H993">
        <v>1037.75</v>
      </c>
      <c r="I993">
        <v>5</v>
      </c>
      <c r="J993">
        <v>492.23</v>
      </c>
      <c r="K993" t="s">
        <v>24</v>
      </c>
      <c r="L993" t="s">
        <v>33</v>
      </c>
      <c r="M993">
        <f t="shared" si="75"/>
        <v>4929.3125</v>
      </c>
      <c r="N993">
        <f t="shared" si="76"/>
        <v>2468.1624999999999</v>
      </c>
      <c r="O993" t="str">
        <f t="shared" si="77"/>
        <v>Wednesday</v>
      </c>
      <c r="P993" t="b">
        <f t="shared" si="78"/>
        <v>0</v>
      </c>
      <c r="Q993" t="str">
        <f t="shared" si="79"/>
        <v>November</v>
      </c>
    </row>
    <row r="994" spans="1:17" x14ac:dyDescent="0.4">
      <c r="A994" t="s">
        <v>1367</v>
      </c>
      <c r="B994" s="1">
        <v>45569</v>
      </c>
      <c r="C994" t="s">
        <v>144</v>
      </c>
      <c r="D994" t="s">
        <v>14</v>
      </c>
      <c r="E994" t="s">
        <v>452</v>
      </c>
      <c r="F994" t="s">
        <v>28</v>
      </c>
      <c r="G994">
        <v>3</v>
      </c>
      <c r="H994">
        <v>2861.77</v>
      </c>
      <c r="I994">
        <v>10</v>
      </c>
      <c r="J994">
        <v>1275.24</v>
      </c>
      <c r="K994" t="s">
        <v>17</v>
      </c>
      <c r="L994" t="s">
        <v>33</v>
      </c>
      <c r="M994">
        <f t="shared" si="75"/>
        <v>7726.7789999999995</v>
      </c>
      <c r="N994">
        <f t="shared" si="76"/>
        <v>3901.0589999999993</v>
      </c>
      <c r="O994" t="str">
        <f t="shared" si="77"/>
        <v>Friday</v>
      </c>
      <c r="P994" t="b">
        <f t="shared" si="78"/>
        <v>0</v>
      </c>
      <c r="Q994" t="str">
        <f t="shared" si="79"/>
        <v>October</v>
      </c>
    </row>
    <row r="995" spans="1:17" x14ac:dyDescent="0.4">
      <c r="A995" t="s">
        <v>1368</v>
      </c>
      <c r="B995" s="1">
        <v>45317</v>
      </c>
      <c r="C995" t="s">
        <v>309</v>
      </c>
      <c r="D995" t="s">
        <v>31</v>
      </c>
      <c r="E995" t="s">
        <v>107</v>
      </c>
      <c r="F995" t="s">
        <v>23</v>
      </c>
      <c r="G995">
        <v>3</v>
      </c>
      <c r="H995">
        <v>865.04</v>
      </c>
      <c r="I995">
        <v>5</v>
      </c>
      <c r="J995">
        <v>436.91</v>
      </c>
      <c r="K995" t="s">
        <v>17</v>
      </c>
      <c r="L995" t="s">
        <v>33</v>
      </c>
      <c r="M995">
        <f t="shared" si="75"/>
        <v>2465.3639999999996</v>
      </c>
      <c r="N995">
        <f t="shared" si="76"/>
        <v>1154.6339999999996</v>
      </c>
      <c r="O995" t="str">
        <f t="shared" si="77"/>
        <v>Friday</v>
      </c>
      <c r="P995" t="b">
        <f t="shared" si="78"/>
        <v>0</v>
      </c>
      <c r="Q995" t="str">
        <f t="shared" si="79"/>
        <v>January</v>
      </c>
    </row>
    <row r="996" spans="1:17" x14ac:dyDescent="0.4">
      <c r="A996" t="s">
        <v>1369</v>
      </c>
      <c r="B996" s="1">
        <v>45594</v>
      </c>
      <c r="C996" t="s">
        <v>119</v>
      </c>
      <c r="D996" t="s">
        <v>14</v>
      </c>
      <c r="E996" t="s">
        <v>256</v>
      </c>
      <c r="F996" t="s">
        <v>23</v>
      </c>
      <c r="G996">
        <v>2</v>
      </c>
      <c r="H996">
        <v>569.69000000000005</v>
      </c>
      <c r="I996">
        <v>10</v>
      </c>
      <c r="J996">
        <v>289.18</v>
      </c>
      <c r="K996" t="s">
        <v>17</v>
      </c>
      <c r="L996" t="s">
        <v>37</v>
      </c>
      <c r="M996">
        <f t="shared" si="75"/>
        <v>1025.4420000000002</v>
      </c>
      <c r="N996">
        <f t="shared" si="76"/>
        <v>447.08200000000022</v>
      </c>
      <c r="O996" t="str">
        <f t="shared" si="77"/>
        <v>Tuesday</v>
      </c>
      <c r="P996" t="b">
        <f t="shared" si="78"/>
        <v>0</v>
      </c>
      <c r="Q996" t="str">
        <f t="shared" si="79"/>
        <v>October</v>
      </c>
    </row>
    <row r="997" spans="1:17" x14ac:dyDescent="0.4">
      <c r="A997" t="s">
        <v>1370</v>
      </c>
      <c r="B997" s="1">
        <v>45543</v>
      </c>
      <c r="C997" t="s">
        <v>45</v>
      </c>
      <c r="D997" t="s">
        <v>14</v>
      </c>
      <c r="E997" t="s">
        <v>379</v>
      </c>
      <c r="F997" t="s">
        <v>23</v>
      </c>
      <c r="G997">
        <v>4</v>
      </c>
      <c r="H997">
        <v>472.68</v>
      </c>
      <c r="I997">
        <v>15</v>
      </c>
      <c r="J997">
        <v>268.11</v>
      </c>
      <c r="K997" t="s">
        <v>17</v>
      </c>
      <c r="L997" t="s">
        <v>18</v>
      </c>
      <c r="M997">
        <f t="shared" si="75"/>
        <v>1607.1120000000001</v>
      </c>
      <c r="N997">
        <f t="shared" si="76"/>
        <v>534.67200000000003</v>
      </c>
      <c r="O997" t="str">
        <f t="shared" si="77"/>
        <v>Sunday</v>
      </c>
      <c r="P997" t="b">
        <f t="shared" si="78"/>
        <v>1</v>
      </c>
      <c r="Q997" t="str">
        <f t="shared" si="79"/>
        <v>September</v>
      </c>
    </row>
    <row r="998" spans="1:17" x14ac:dyDescent="0.4">
      <c r="A998" t="s">
        <v>1371</v>
      </c>
      <c r="B998" s="1">
        <v>45987</v>
      </c>
      <c r="C998" t="s">
        <v>278</v>
      </c>
      <c r="D998" t="s">
        <v>21</v>
      </c>
      <c r="E998" t="s">
        <v>546</v>
      </c>
      <c r="F998" t="s">
        <v>28</v>
      </c>
      <c r="G998">
        <v>3</v>
      </c>
      <c r="H998">
        <v>1723.87</v>
      </c>
      <c r="I998">
        <v>5</v>
      </c>
      <c r="J998">
        <v>930.42</v>
      </c>
      <c r="K998" t="s">
        <v>24</v>
      </c>
      <c r="L998" t="s">
        <v>37</v>
      </c>
      <c r="M998">
        <f t="shared" si="75"/>
        <v>4913.0294999999996</v>
      </c>
      <c r="N998">
        <f t="shared" si="76"/>
        <v>2121.7694999999999</v>
      </c>
      <c r="O998" t="str">
        <f t="shared" si="77"/>
        <v>Wednesday</v>
      </c>
      <c r="P998" t="b">
        <f t="shared" si="78"/>
        <v>0</v>
      </c>
      <c r="Q998" t="str">
        <f t="shared" si="79"/>
        <v>November</v>
      </c>
    </row>
    <row r="999" spans="1:17" x14ac:dyDescent="0.4">
      <c r="A999" t="s">
        <v>1372</v>
      </c>
      <c r="B999" s="1">
        <v>45305</v>
      </c>
      <c r="C999" t="s">
        <v>179</v>
      </c>
      <c r="D999" t="s">
        <v>46</v>
      </c>
      <c r="E999" t="s">
        <v>36</v>
      </c>
      <c r="F999" t="s">
        <v>28</v>
      </c>
      <c r="G999">
        <v>1</v>
      </c>
      <c r="H999">
        <v>1812.54</v>
      </c>
      <c r="I999">
        <v>5</v>
      </c>
      <c r="J999">
        <v>961.52</v>
      </c>
      <c r="K999" t="s">
        <v>24</v>
      </c>
      <c r="L999" t="s">
        <v>37</v>
      </c>
      <c r="M999">
        <f t="shared" si="75"/>
        <v>1721.9129999999998</v>
      </c>
      <c r="N999">
        <f t="shared" si="76"/>
        <v>760.3929999999998</v>
      </c>
      <c r="O999" t="str">
        <f t="shared" si="77"/>
        <v>Sunday</v>
      </c>
      <c r="P999" t="b">
        <f t="shared" si="78"/>
        <v>1</v>
      </c>
      <c r="Q999" t="str">
        <f t="shared" si="79"/>
        <v>January</v>
      </c>
    </row>
    <row r="1000" spans="1:17" x14ac:dyDescent="0.4">
      <c r="A1000" t="s">
        <v>1373</v>
      </c>
      <c r="B1000" s="1">
        <v>45942</v>
      </c>
      <c r="C1000" t="s">
        <v>144</v>
      </c>
      <c r="D1000" t="s">
        <v>31</v>
      </c>
      <c r="E1000" t="s">
        <v>652</v>
      </c>
      <c r="F1000" t="s">
        <v>28</v>
      </c>
      <c r="G1000">
        <v>3</v>
      </c>
      <c r="H1000">
        <v>2855.76</v>
      </c>
      <c r="I1000">
        <v>20</v>
      </c>
      <c r="J1000">
        <v>1409.67</v>
      </c>
      <c r="K1000" t="s">
        <v>17</v>
      </c>
      <c r="L1000" t="s">
        <v>18</v>
      </c>
      <c r="M1000">
        <f t="shared" si="75"/>
        <v>6853.8240000000005</v>
      </c>
      <c r="N1000">
        <f t="shared" si="76"/>
        <v>2624.8140000000003</v>
      </c>
      <c r="O1000" t="str">
        <f t="shared" si="77"/>
        <v>Sunday</v>
      </c>
      <c r="P1000" t="b">
        <f t="shared" si="78"/>
        <v>1</v>
      </c>
      <c r="Q1000" t="str">
        <f t="shared" si="79"/>
        <v>October</v>
      </c>
    </row>
    <row r="1001" spans="1:17" x14ac:dyDescent="0.4">
      <c r="A1001" t="s">
        <v>1374</v>
      </c>
      <c r="B1001" s="1">
        <v>45408</v>
      </c>
      <c r="C1001" t="s">
        <v>20</v>
      </c>
      <c r="D1001" t="s">
        <v>46</v>
      </c>
      <c r="E1001" t="s">
        <v>80</v>
      </c>
      <c r="F1001" t="s">
        <v>28</v>
      </c>
      <c r="G1001">
        <v>5</v>
      </c>
      <c r="H1001">
        <v>2555.3000000000002</v>
      </c>
      <c r="I1001">
        <v>30</v>
      </c>
      <c r="J1001">
        <v>1567.36</v>
      </c>
      <c r="K1001" t="s">
        <v>24</v>
      </c>
      <c r="L1001" t="s">
        <v>18</v>
      </c>
      <c r="M1001">
        <f t="shared" si="75"/>
        <v>8943.5499999999993</v>
      </c>
      <c r="N1001">
        <f t="shared" si="76"/>
        <v>1106.75</v>
      </c>
      <c r="O1001" t="str">
        <f t="shared" si="77"/>
        <v>Friday</v>
      </c>
      <c r="P1001" t="b">
        <f t="shared" si="78"/>
        <v>0</v>
      </c>
      <c r="Q1001" t="str">
        <f t="shared" si="79"/>
        <v>April</v>
      </c>
    </row>
    <row r="1002" spans="1:17" x14ac:dyDescent="0.4">
      <c r="A1002" t="s">
        <v>1375</v>
      </c>
      <c r="B1002" s="1">
        <v>45926</v>
      </c>
      <c r="C1002" t="s">
        <v>179</v>
      </c>
      <c r="D1002" t="s">
        <v>31</v>
      </c>
      <c r="E1002" t="s">
        <v>841</v>
      </c>
      <c r="F1002" t="s">
        <v>16</v>
      </c>
      <c r="G1002">
        <v>2</v>
      </c>
      <c r="H1002">
        <v>1880.83</v>
      </c>
      <c r="I1002">
        <v>25</v>
      </c>
      <c r="J1002">
        <v>1283.46</v>
      </c>
      <c r="K1002" t="s">
        <v>17</v>
      </c>
      <c r="L1002" t="s">
        <v>33</v>
      </c>
      <c r="M1002">
        <f t="shared" si="75"/>
        <v>2821.2449999999999</v>
      </c>
      <c r="N1002">
        <f t="shared" si="76"/>
        <v>254.32499999999982</v>
      </c>
      <c r="O1002" t="str">
        <f t="shared" si="77"/>
        <v>Friday</v>
      </c>
      <c r="P1002" t="b">
        <f t="shared" si="78"/>
        <v>0</v>
      </c>
      <c r="Q1002" t="str">
        <f t="shared" si="79"/>
        <v>September</v>
      </c>
    </row>
    <row r="1003" spans="1:17" x14ac:dyDescent="0.4">
      <c r="A1003" t="s">
        <v>1376</v>
      </c>
      <c r="B1003" s="1">
        <v>45946</v>
      </c>
      <c r="C1003" t="s">
        <v>296</v>
      </c>
      <c r="D1003" t="s">
        <v>46</v>
      </c>
      <c r="E1003" t="s">
        <v>469</v>
      </c>
      <c r="F1003" t="s">
        <v>28</v>
      </c>
      <c r="G1003">
        <v>3</v>
      </c>
      <c r="H1003">
        <v>1601.94</v>
      </c>
      <c r="I1003">
        <v>30</v>
      </c>
      <c r="J1003">
        <v>800.16</v>
      </c>
      <c r="K1003" t="s">
        <v>17</v>
      </c>
      <c r="L1003" t="s">
        <v>37</v>
      </c>
      <c r="M1003">
        <f t="shared" si="75"/>
        <v>3364.0739999999996</v>
      </c>
      <c r="N1003">
        <f t="shared" si="76"/>
        <v>963.5939999999996</v>
      </c>
      <c r="O1003" t="str">
        <f t="shared" si="77"/>
        <v>Thursday</v>
      </c>
      <c r="P1003" t="b">
        <f t="shared" si="78"/>
        <v>0</v>
      </c>
      <c r="Q1003" t="str">
        <f t="shared" si="79"/>
        <v>October</v>
      </c>
    </row>
    <row r="1004" spans="1:17" x14ac:dyDescent="0.4">
      <c r="A1004" t="s">
        <v>1377</v>
      </c>
      <c r="B1004" s="1">
        <v>45428</v>
      </c>
      <c r="C1004" t="s">
        <v>296</v>
      </c>
      <c r="D1004" t="s">
        <v>31</v>
      </c>
      <c r="E1004" t="s">
        <v>1074</v>
      </c>
      <c r="F1004" t="s">
        <v>28</v>
      </c>
      <c r="G1004">
        <v>3</v>
      </c>
      <c r="H1004">
        <v>1990.51</v>
      </c>
      <c r="I1004">
        <v>0</v>
      </c>
      <c r="J1004">
        <v>1229.0999999999999</v>
      </c>
      <c r="K1004" t="s">
        <v>17</v>
      </c>
      <c r="L1004" t="s">
        <v>33</v>
      </c>
      <c r="M1004">
        <f t="shared" si="75"/>
        <v>5971.53</v>
      </c>
      <c r="N1004">
        <f t="shared" si="76"/>
        <v>2284.23</v>
      </c>
      <c r="O1004" t="str">
        <f t="shared" si="77"/>
        <v>Thursday</v>
      </c>
      <c r="P1004" t="b">
        <f t="shared" si="78"/>
        <v>0</v>
      </c>
      <c r="Q1004" t="str">
        <f t="shared" si="79"/>
        <v>May</v>
      </c>
    </row>
    <row r="1005" spans="1:17" x14ac:dyDescent="0.4">
      <c r="A1005" t="s">
        <v>1378</v>
      </c>
      <c r="B1005" s="1">
        <v>45786</v>
      </c>
      <c r="C1005" t="s">
        <v>171</v>
      </c>
      <c r="D1005" t="s">
        <v>21</v>
      </c>
      <c r="E1005" t="s">
        <v>409</v>
      </c>
      <c r="F1005" t="s">
        <v>28</v>
      </c>
      <c r="G1005">
        <v>5</v>
      </c>
      <c r="H1005">
        <v>815.19</v>
      </c>
      <c r="I1005">
        <v>15</v>
      </c>
      <c r="J1005">
        <v>347.16</v>
      </c>
      <c r="K1005" t="s">
        <v>24</v>
      </c>
      <c r="L1005" t="s">
        <v>33</v>
      </c>
      <c r="M1005">
        <f t="shared" si="75"/>
        <v>3464.5575000000003</v>
      </c>
      <c r="N1005">
        <f t="shared" si="76"/>
        <v>1728.7575000000002</v>
      </c>
      <c r="O1005" t="str">
        <f t="shared" si="77"/>
        <v>Friday</v>
      </c>
      <c r="P1005" t="b">
        <f t="shared" si="78"/>
        <v>0</v>
      </c>
      <c r="Q1005" t="str">
        <f t="shared" si="79"/>
        <v>May</v>
      </c>
    </row>
    <row r="1006" spans="1:17" x14ac:dyDescent="0.4">
      <c r="A1006" t="s">
        <v>1379</v>
      </c>
      <c r="B1006" s="1">
        <v>45359</v>
      </c>
      <c r="C1006" t="s">
        <v>375</v>
      </c>
      <c r="D1006" t="s">
        <v>21</v>
      </c>
      <c r="E1006" t="s">
        <v>1164</v>
      </c>
      <c r="F1006" t="s">
        <v>28</v>
      </c>
      <c r="G1006">
        <v>1</v>
      </c>
      <c r="H1006">
        <v>1434.81</v>
      </c>
      <c r="I1006">
        <v>25</v>
      </c>
      <c r="J1006">
        <v>868.06</v>
      </c>
      <c r="K1006" t="s">
        <v>17</v>
      </c>
      <c r="L1006" t="s">
        <v>18</v>
      </c>
      <c r="M1006">
        <f t="shared" si="75"/>
        <v>1076.1075000000001</v>
      </c>
      <c r="N1006">
        <f t="shared" si="76"/>
        <v>208.04750000000013</v>
      </c>
      <c r="O1006" t="str">
        <f t="shared" si="77"/>
        <v>Friday</v>
      </c>
      <c r="P1006" t="b">
        <f t="shared" si="78"/>
        <v>0</v>
      </c>
      <c r="Q1006" t="str">
        <f t="shared" si="79"/>
        <v>March</v>
      </c>
    </row>
    <row r="1007" spans="1:17" x14ac:dyDescent="0.4">
      <c r="A1007" t="s">
        <v>1380</v>
      </c>
      <c r="B1007" s="1">
        <v>45907</v>
      </c>
      <c r="C1007" t="s">
        <v>185</v>
      </c>
      <c r="D1007" t="s">
        <v>14</v>
      </c>
      <c r="E1007" t="s">
        <v>140</v>
      </c>
      <c r="F1007" t="s">
        <v>28</v>
      </c>
      <c r="G1007">
        <v>4</v>
      </c>
      <c r="H1007">
        <v>2079.0700000000002</v>
      </c>
      <c r="I1007">
        <v>20</v>
      </c>
      <c r="J1007">
        <v>1291.05</v>
      </c>
      <c r="K1007" t="s">
        <v>17</v>
      </c>
      <c r="L1007" t="s">
        <v>37</v>
      </c>
      <c r="M1007">
        <f t="shared" si="75"/>
        <v>6653.0240000000013</v>
      </c>
      <c r="N1007">
        <f t="shared" si="76"/>
        <v>1488.8240000000014</v>
      </c>
      <c r="O1007" t="str">
        <f t="shared" si="77"/>
        <v>Sunday</v>
      </c>
      <c r="P1007" t="b">
        <f t="shared" si="78"/>
        <v>1</v>
      </c>
      <c r="Q1007" t="str">
        <f t="shared" si="79"/>
        <v>September</v>
      </c>
    </row>
    <row r="1008" spans="1:17" x14ac:dyDescent="0.4">
      <c r="A1008" t="s">
        <v>1381</v>
      </c>
      <c r="B1008" s="1">
        <v>45762</v>
      </c>
      <c r="C1008" t="s">
        <v>84</v>
      </c>
      <c r="D1008" t="s">
        <v>14</v>
      </c>
      <c r="E1008" t="s">
        <v>243</v>
      </c>
      <c r="F1008" t="s">
        <v>23</v>
      </c>
      <c r="G1008">
        <v>2</v>
      </c>
      <c r="H1008">
        <v>2206.9899999999998</v>
      </c>
      <c r="I1008">
        <v>15</v>
      </c>
      <c r="J1008">
        <v>1268.81</v>
      </c>
      <c r="K1008" t="s">
        <v>24</v>
      </c>
      <c r="L1008" t="s">
        <v>37</v>
      </c>
      <c r="M1008">
        <f t="shared" si="75"/>
        <v>3751.8829999999994</v>
      </c>
      <c r="N1008">
        <f t="shared" si="76"/>
        <v>1214.2629999999995</v>
      </c>
      <c r="O1008" t="str">
        <f t="shared" si="77"/>
        <v>Tuesday</v>
      </c>
      <c r="P1008" t="b">
        <f t="shared" si="78"/>
        <v>0</v>
      </c>
      <c r="Q1008" t="str">
        <f t="shared" si="79"/>
        <v>April</v>
      </c>
    </row>
    <row r="1009" spans="1:17" x14ac:dyDescent="0.4">
      <c r="A1009" t="s">
        <v>1382</v>
      </c>
      <c r="B1009" s="1">
        <v>45374</v>
      </c>
      <c r="C1009" t="s">
        <v>146</v>
      </c>
      <c r="D1009" t="s">
        <v>21</v>
      </c>
      <c r="E1009" t="s">
        <v>1383</v>
      </c>
      <c r="F1009" t="s">
        <v>28</v>
      </c>
      <c r="G1009">
        <v>3</v>
      </c>
      <c r="H1009">
        <v>1511.94</v>
      </c>
      <c r="I1009">
        <v>10</v>
      </c>
      <c r="J1009">
        <v>1010.81</v>
      </c>
      <c r="K1009" t="s">
        <v>17</v>
      </c>
      <c r="L1009" t="s">
        <v>18</v>
      </c>
      <c r="M1009">
        <f t="shared" si="75"/>
        <v>4082.2379999999998</v>
      </c>
      <c r="N1009">
        <f t="shared" si="76"/>
        <v>1049.808</v>
      </c>
      <c r="O1009" t="str">
        <f t="shared" si="77"/>
        <v>Saturday</v>
      </c>
      <c r="P1009" t="b">
        <f t="shared" si="78"/>
        <v>1</v>
      </c>
      <c r="Q1009" t="str">
        <f t="shared" si="79"/>
        <v>March</v>
      </c>
    </row>
    <row r="1010" spans="1:17" x14ac:dyDescent="0.4">
      <c r="A1010" t="s">
        <v>1384</v>
      </c>
      <c r="B1010" s="1">
        <v>45928</v>
      </c>
      <c r="C1010" t="s">
        <v>86</v>
      </c>
      <c r="D1010" t="s">
        <v>31</v>
      </c>
      <c r="E1010" t="s">
        <v>792</v>
      </c>
      <c r="F1010" t="s">
        <v>16</v>
      </c>
      <c r="G1010">
        <v>5</v>
      </c>
      <c r="H1010">
        <v>1290.3599999999999</v>
      </c>
      <c r="I1010">
        <v>5</v>
      </c>
      <c r="J1010">
        <v>770.9</v>
      </c>
      <c r="K1010" t="s">
        <v>24</v>
      </c>
      <c r="L1010" t="s">
        <v>37</v>
      </c>
      <c r="M1010">
        <f t="shared" si="75"/>
        <v>6129.2099999999991</v>
      </c>
      <c r="N1010">
        <f t="shared" si="76"/>
        <v>2274.7099999999991</v>
      </c>
      <c r="O1010" t="str">
        <f t="shared" si="77"/>
        <v>Sunday</v>
      </c>
      <c r="P1010" t="b">
        <f t="shared" si="78"/>
        <v>1</v>
      </c>
      <c r="Q1010" t="str">
        <f t="shared" si="79"/>
        <v>September</v>
      </c>
    </row>
    <row r="1011" spans="1:17" x14ac:dyDescent="0.4">
      <c r="A1011" t="s">
        <v>1385</v>
      </c>
      <c r="B1011" s="1">
        <v>45569</v>
      </c>
      <c r="C1011" t="s">
        <v>54</v>
      </c>
      <c r="D1011" t="s">
        <v>21</v>
      </c>
      <c r="E1011" t="s">
        <v>996</v>
      </c>
      <c r="F1011" t="s">
        <v>16</v>
      </c>
      <c r="G1011">
        <v>4</v>
      </c>
      <c r="H1011">
        <v>2928.89</v>
      </c>
      <c r="I1011">
        <v>5</v>
      </c>
      <c r="J1011">
        <v>1953.3</v>
      </c>
      <c r="K1011" t="s">
        <v>24</v>
      </c>
      <c r="L1011" t="s">
        <v>18</v>
      </c>
      <c r="M1011">
        <f t="shared" si="75"/>
        <v>11129.781999999999</v>
      </c>
      <c r="N1011">
        <f t="shared" si="76"/>
        <v>3316.5819999999994</v>
      </c>
      <c r="O1011" t="str">
        <f t="shared" si="77"/>
        <v>Friday</v>
      </c>
      <c r="P1011" t="b">
        <f t="shared" si="78"/>
        <v>0</v>
      </c>
      <c r="Q1011" t="str">
        <f t="shared" si="79"/>
        <v>October</v>
      </c>
    </row>
    <row r="1012" spans="1:17" x14ac:dyDescent="0.4">
      <c r="A1012" t="s">
        <v>1386</v>
      </c>
      <c r="B1012" s="1">
        <v>45301</v>
      </c>
      <c r="C1012" t="s">
        <v>119</v>
      </c>
      <c r="D1012" t="s">
        <v>21</v>
      </c>
      <c r="E1012" t="s">
        <v>853</v>
      </c>
      <c r="F1012" t="s">
        <v>28</v>
      </c>
      <c r="G1012">
        <v>4</v>
      </c>
      <c r="H1012">
        <v>407.62</v>
      </c>
      <c r="I1012">
        <v>10</v>
      </c>
      <c r="J1012">
        <v>269.7</v>
      </c>
      <c r="K1012" t="s">
        <v>17</v>
      </c>
      <c r="L1012" t="s">
        <v>18</v>
      </c>
      <c r="M1012">
        <f t="shared" si="75"/>
        <v>1467.432</v>
      </c>
      <c r="N1012">
        <f t="shared" si="76"/>
        <v>388.63200000000006</v>
      </c>
      <c r="O1012" t="str">
        <f t="shared" si="77"/>
        <v>Wednesday</v>
      </c>
      <c r="P1012" t="b">
        <f t="shared" si="78"/>
        <v>0</v>
      </c>
      <c r="Q1012" t="str">
        <f t="shared" si="79"/>
        <v>January</v>
      </c>
    </row>
    <row r="1013" spans="1:17" x14ac:dyDescent="0.4">
      <c r="A1013" t="s">
        <v>1387</v>
      </c>
      <c r="B1013" s="1">
        <v>45318</v>
      </c>
      <c r="C1013" t="s">
        <v>42</v>
      </c>
      <c r="D1013" t="s">
        <v>14</v>
      </c>
      <c r="E1013" t="s">
        <v>557</v>
      </c>
      <c r="F1013" t="s">
        <v>28</v>
      </c>
      <c r="G1013">
        <v>4</v>
      </c>
      <c r="H1013">
        <v>832.01</v>
      </c>
      <c r="I1013">
        <v>20</v>
      </c>
      <c r="J1013">
        <v>485.95</v>
      </c>
      <c r="K1013" t="s">
        <v>17</v>
      </c>
      <c r="L1013" t="s">
        <v>37</v>
      </c>
      <c r="M1013">
        <f t="shared" si="75"/>
        <v>2662.4320000000002</v>
      </c>
      <c r="N1013">
        <f t="shared" si="76"/>
        <v>718.63200000000029</v>
      </c>
      <c r="O1013" t="str">
        <f t="shared" si="77"/>
        <v>Saturday</v>
      </c>
      <c r="P1013" t="b">
        <f t="shared" si="78"/>
        <v>1</v>
      </c>
      <c r="Q1013" t="str">
        <f t="shared" si="79"/>
        <v>January</v>
      </c>
    </row>
    <row r="1014" spans="1:17" x14ac:dyDescent="0.4">
      <c r="A1014" t="s">
        <v>1388</v>
      </c>
      <c r="B1014" s="1">
        <v>45796</v>
      </c>
      <c r="C1014" t="s">
        <v>139</v>
      </c>
      <c r="D1014" t="s">
        <v>46</v>
      </c>
      <c r="E1014" t="s">
        <v>1240</v>
      </c>
      <c r="F1014" t="s">
        <v>28</v>
      </c>
      <c r="G1014">
        <v>5</v>
      </c>
      <c r="H1014">
        <v>1117.19</v>
      </c>
      <c r="I1014">
        <v>5</v>
      </c>
      <c r="J1014">
        <v>512.85</v>
      </c>
      <c r="K1014" t="s">
        <v>24</v>
      </c>
      <c r="L1014" t="s">
        <v>33</v>
      </c>
      <c r="M1014">
        <f t="shared" si="75"/>
        <v>5306.6525000000001</v>
      </c>
      <c r="N1014">
        <f t="shared" si="76"/>
        <v>2742.4025000000001</v>
      </c>
      <c r="O1014" t="str">
        <f t="shared" si="77"/>
        <v>Monday</v>
      </c>
      <c r="P1014" t="b">
        <f t="shared" si="78"/>
        <v>0</v>
      </c>
      <c r="Q1014" t="str">
        <f t="shared" si="79"/>
        <v>May</v>
      </c>
    </row>
    <row r="1015" spans="1:17" x14ac:dyDescent="0.4">
      <c r="A1015" t="s">
        <v>1389</v>
      </c>
      <c r="B1015" s="1">
        <v>45467</v>
      </c>
      <c r="C1015" t="s">
        <v>59</v>
      </c>
      <c r="D1015" t="s">
        <v>21</v>
      </c>
      <c r="E1015" t="s">
        <v>1107</v>
      </c>
      <c r="F1015" t="s">
        <v>16</v>
      </c>
      <c r="G1015">
        <v>2</v>
      </c>
      <c r="H1015">
        <v>2689.23</v>
      </c>
      <c r="I1015">
        <v>5</v>
      </c>
      <c r="J1015">
        <v>1295.29</v>
      </c>
      <c r="K1015" t="s">
        <v>17</v>
      </c>
      <c r="L1015" t="s">
        <v>37</v>
      </c>
      <c r="M1015">
        <f t="shared" si="75"/>
        <v>5109.5369999999994</v>
      </c>
      <c r="N1015">
        <f t="shared" si="76"/>
        <v>2518.9569999999994</v>
      </c>
      <c r="O1015" t="str">
        <f t="shared" si="77"/>
        <v>Monday</v>
      </c>
      <c r="P1015" t="b">
        <f t="shared" si="78"/>
        <v>0</v>
      </c>
      <c r="Q1015" t="str">
        <f t="shared" si="79"/>
        <v>June</v>
      </c>
    </row>
    <row r="1016" spans="1:17" x14ac:dyDescent="0.4">
      <c r="A1016" t="s">
        <v>1390</v>
      </c>
      <c r="B1016" s="1">
        <v>45930</v>
      </c>
      <c r="C1016" t="s">
        <v>193</v>
      </c>
      <c r="D1016" t="s">
        <v>46</v>
      </c>
      <c r="E1016" t="s">
        <v>123</v>
      </c>
      <c r="F1016" t="s">
        <v>28</v>
      </c>
      <c r="G1016">
        <v>2</v>
      </c>
      <c r="H1016">
        <v>2978.5</v>
      </c>
      <c r="I1016">
        <v>25</v>
      </c>
      <c r="J1016">
        <v>1642.65</v>
      </c>
      <c r="K1016" t="s">
        <v>17</v>
      </c>
      <c r="L1016" t="s">
        <v>33</v>
      </c>
      <c r="M1016">
        <f t="shared" si="75"/>
        <v>4467.75</v>
      </c>
      <c r="N1016">
        <f t="shared" si="76"/>
        <v>1182.4499999999998</v>
      </c>
      <c r="O1016" t="str">
        <f t="shared" si="77"/>
        <v>Tuesday</v>
      </c>
      <c r="P1016" t="b">
        <f t="shared" si="78"/>
        <v>0</v>
      </c>
      <c r="Q1016" t="str">
        <f t="shared" si="79"/>
        <v>September</v>
      </c>
    </row>
    <row r="1017" spans="1:17" x14ac:dyDescent="0.4">
      <c r="A1017" t="s">
        <v>1391</v>
      </c>
      <c r="B1017" s="1">
        <v>45296</v>
      </c>
      <c r="C1017" t="s">
        <v>171</v>
      </c>
      <c r="D1017" t="s">
        <v>14</v>
      </c>
      <c r="E1017" t="s">
        <v>670</v>
      </c>
      <c r="F1017" t="s">
        <v>28</v>
      </c>
      <c r="G1017">
        <v>1</v>
      </c>
      <c r="H1017">
        <v>314.75</v>
      </c>
      <c r="I1017">
        <v>10</v>
      </c>
      <c r="J1017">
        <v>148.34</v>
      </c>
      <c r="K1017" t="s">
        <v>24</v>
      </c>
      <c r="L1017" t="s">
        <v>37</v>
      </c>
      <c r="M1017">
        <f t="shared" si="75"/>
        <v>283.27500000000003</v>
      </c>
      <c r="N1017">
        <f t="shared" si="76"/>
        <v>134.93500000000003</v>
      </c>
      <c r="O1017" t="str">
        <f t="shared" si="77"/>
        <v>Friday</v>
      </c>
      <c r="P1017" t="b">
        <f t="shared" si="78"/>
        <v>0</v>
      </c>
      <c r="Q1017" t="str">
        <f t="shared" si="79"/>
        <v>January</v>
      </c>
    </row>
    <row r="1018" spans="1:17" x14ac:dyDescent="0.4">
      <c r="A1018" t="s">
        <v>1392</v>
      </c>
      <c r="B1018" s="1">
        <v>45713</v>
      </c>
      <c r="C1018" t="s">
        <v>159</v>
      </c>
      <c r="D1018" t="s">
        <v>21</v>
      </c>
      <c r="E1018" t="s">
        <v>599</v>
      </c>
      <c r="F1018" t="s">
        <v>28</v>
      </c>
      <c r="G1018">
        <v>2</v>
      </c>
      <c r="H1018">
        <v>2316.29</v>
      </c>
      <c r="I1018">
        <v>20</v>
      </c>
      <c r="J1018">
        <v>1444.53</v>
      </c>
      <c r="K1018" t="s">
        <v>24</v>
      </c>
      <c r="L1018" t="s">
        <v>37</v>
      </c>
      <c r="M1018">
        <f t="shared" si="75"/>
        <v>3706.0640000000003</v>
      </c>
      <c r="N1018">
        <f t="shared" si="76"/>
        <v>817.00400000000036</v>
      </c>
      <c r="O1018" t="str">
        <f t="shared" si="77"/>
        <v>Tuesday</v>
      </c>
      <c r="P1018" t="b">
        <f t="shared" si="78"/>
        <v>0</v>
      </c>
      <c r="Q1018" t="str">
        <f t="shared" si="79"/>
        <v>February</v>
      </c>
    </row>
    <row r="1019" spans="1:17" x14ac:dyDescent="0.4">
      <c r="A1019" t="s">
        <v>1393</v>
      </c>
      <c r="B1019" s="1">
        <v>45746</v>
      </c>
      <c r="C1019" t="s">
        <v>45</v>
      </c>
      <c r="D1019" t="s">
        <v>14</v>
      </c>
      <c r="E1019" t="s">
        <v>198</v>
      </c>
      <c r="F1019" t="s">
        <v>28</v>
      </c>
      <c r="G1019">
        <v>3</v>
      </c>
      <c r="H1019">
        <v>2430.41</v>
      </c>
      <c r="I1019">
        <v>20</v>
      </c>
      <c r="J1019">
        <v>1392.46</v>
      </c>
      <c r="K1019" t="s">
        <v>24</v>
      </c>
      <c r="L1019" t="s">
        <v>18</v>
      </c>
      <c r="M1019">
        <f t="shared" si="75"/>
        <v>5832.9840000000004</v>
      </c>
      <c r="N1019">
        <f t="shared" si="76"/>
        <v>1655.6040000000003</v>
      </c>
      <c r="O1019" t="str">
        <f t="shared" si="77"/>
        <v>Sunday</v>
      </c>
      <c r="P1019" t="b">
        <f t="shared" si="78"/>
        <v>1</v>
      </c>
      <c r="Q1019" t="str">
        <f t="shared" si="79"/>
        <v>March</v>
      </c>
    </row>
    <row r="1020" spans="1:17" x14ac:dyDescent="0.4">
      <c r="A1020" t="s">
        <v>1394</v>
      </c>
      <c r="B1020" s="1">
        <v>45802</v>
      </c>
      <c r="C1020" t="s">
        <v>226</v>
      </c>
      <c r="D1020" t="s">
        <v>46</v>
      </c>
      <c r="E1020" t="s">
        <v>452</v>
      </c>
      <c r="F1020" t="s">
        <v>16</v>
      </c>
      <c r="G1020">
        <v>5</v>
      </c>
      <c r="H1020">
        <v>2243.59</v>
      </c>
      <c r="I1020">
        <v>30</v>
      </c>
      <c r="J1020">
        <v>1427.48</v>
      </c>
      <c r="K1020" t="s">
        <v>24</v>
      </c>
      <c r="L1020" t="s">
        <v>37</v>
      </c>
      <c r="M1020">
        <f t="shared" si="75"/>
        <v>7852.5649999999996</v>
      </c>
      <c r="N1020">
        <f t="shared" si="76"/>
        <v>715.16499999999996</v>
      </c>
      <c r="O1020" t="str">
        <f t="shared" si="77"/>
        <v>Sunday</v>
      </c>
      <c r="P1020" t="b">
        <f t="shared" si="78"/>
        <v>1</v>
      </c>
      <c r="Q1020" t="str">
        <f t="shared" si="79"/>
        <v>May</v>
      </c>
    </row>
    <row r="1021" spans="1:17" x14ac:dyDescent="0.4">
      <c r="A1021" t="s">
        <v>1395</v>
      </c>
      <c r="B1021" s="1">
        <v>45451</v>
      </c>
      <c r="C1021" t="s">
        <v>302</v>
      </c>
      <c r="D1021" t="s">
        <v>14</v>
      </c>
      <c r="E1021" t="s">
        <v>157</v>
      </c>
      <c r="F1021" t="s">
        <v>23</v>
      </c>
      <c r="G1021">
        <v>1</v>
      </c>
      <c r="H1021">
        <v>1613.07</v>
      </c>
      <c r="I1021">
        <v>5</v>
      </c>
      <c r="J1021">
        <v>1098.42</v>
      </c>
      <c r="K1021" t="s">
        <v>17</v>
      </c>
      <c r="L1021" t="s">
        <v>18</v>
      </c>
      <c r="M1021">
        <f t="shared" si="75"/>
        <v>1532.4164999999998</v>
      </c>
      <c r="N1021">
        <f t="shared" si="76"/>
        <v>433.99649999999974</v>
      </c>
      <c r="O1021" t="str">
        <f t="shared" si="77"/>
        <v>Saturday</v>
      </c>
      <c r="P1021" t="b">
        <f t="shared" si="78"/>
        <v>1</v>
      </c>
      <c r="Q1021" t="str">
        <f t="shared" si="79"/>
        <v>June</v>
      </c>
    </row>
    <row r="1022" spans="1:17" x14ac:dyDescent="0.4">
      <c r="A1022" t="s">
        <v>1396</v>
      </c>
      <c r="B1022" s="1">
        <v>45376</v>
      </c>
      <c r="C1022" t="s">
        <v>68</v>
      </c>
      <c r="D1022" t="s">
        <v>21</v>
      </c>
      <c r="E1022" t="s">
        <v>1397</v>
      </c>
      <c r="F1022" t="s">
        <v>16</v>
      </c>
      <c r="G1022">
        <v>3</v>
      </c>
      <c r="H1022">
        <v>1306.82</v>
      </c>
      <c r="I1022">
        <v>0</v>
      </c>
      <c r="J1022">
        <v>756.35</v>
      </c>
      <c r="K1022" t="s">
        <v>17</v>
      </c>
      <c r="L1022" t="s">
        <v>33</v>
      </c>
      <c r="M1022">
        <f t="shared" si="75"/>
        <v>3920.46</v>
      </c>
      <c r="N1022">
        <f t="shared" si="76"/>
        <v>1651.4099999999999</v>
      </c>
      <c r="O1022" t="str">
        <f t="shared" si="77"/>
        <v>Monday</v>
      </c>
      <c r="P1022" t="b">
        <f t="shared" si="78"/>
        <v>0</v>
      </c>
      <c r="Q1022" t="str">
        <f t="shared" si="79"/>
        <v>March</v>
      </c>
    </row>
    <row r="1023" spans="1:17" x14ac:dyDescent="0.4">
      <c r="A1023" t="s">
        <v>1398</v>
      </c>
      <c r="B1023" s="1">
        <v>45652</v>
      </c>
      <c r="C1023" t="s">
        <v>241</v>
      </c>
      <c r="D1023" t="s">
        <v>46</v>
      </c>
      <c r="E1023" t="s">
        <v>112</v>
      </c>
      <c r="F1023" t="s">
        <v>28</v>
      </c>
      <c r="G1023">
        <v>5</v>
      </c>
      <c r="H1023">
        <v>1830.02</v>
      </c>
      <c r="I1023">
        <v>10</v>
      </c>
      <c r="J1023">
        <v>799.77</v>
      </c>
      <c r="K1023" t="s">
        <v>17</v>
      </c>
      <c r="L1023" t="s">
        <v>33</v>
      </c>
      <c r="M1023">
        <f t="shared" si="75"/>
        <v>8235.09</v>
      </c>
      <c r="N1023">
        <f t="shared" si="76"/>
        <v>4236.24</v>
      </c>
      <c r="O1023" t="str">
        <f t="shared" si="77"/>
        <v>Thursday</v>
      </c>
      <c r="P1023" t="b">
        <f t="shared" si="78"/>
        <v>0</v>
      </c>
      <c r="Q1023" t="str">
        <f t="shared" si="79"/>
        <v>December</v>
      </c>
    </row>
    <row r="1024" spans="1:17" x14ac:dyDescent="0.4">
      <c r="A1024" t="s">
        <v>1399</v>
      </c>
      <c r="B1024" s="1">
        <v>45823</v>
      </c>
      <c r="C1024" t="s">
        <v>226</v>
      </c>
      <c r="D1024" t="s">
        <v>31</v>
      </c>
      <c r="E1024" t="s">
        <v>276</v>
      </c>
      <c r="F1024" t="s">
        <v>16</v>
      </c>
      <c r="G1024">
        <v>1</v>
      </c>
      <c r="H1024">
        <v>2313.6</v>
      </c>
      <c r="I1024">
        <v>10</v>
      </c>
      <c r="J1024">
        <v>1505.1</v>
      </c>
      <c r="K1024" t="s">
        <v>17</v>
      </c>
      <c r="L1024" t="s">
        <v>37</v>
      </c>
      <c r="M1024">
        <f t="shared" si="75"/>
        <v>2082.2399999999998</v>
      </c>
      <c r="N1024">
        <f t="shared" si="76"/>
        <v>577.13999999999987</v>
      </c>
      <c r="O1024" t="str">
        <f t="shared" si="77"/>
        <v>Sunday</v>
      </c>
      <c r="P1024" t="b">
        <f t="shared" si="78"/>
        <v>1</v>
      </c>
      <c r="Q1024" t="str">
        <f t="shared" si="79"/>
        <v>June</v>
      </c>
    </row>
    <row r="1025" spans="1:17" x14ac:dyDescent="0.4">
      <c r="A1025" t="s">
        <v>1400</v>
      </c>
      <c r="B1025" s="1">
        <v>45755</v>
      </c>
      <c r="C1025" t="s">
        <v>13</v>
      </c>
      <c r="D1025" t="s">
        <v>31</v>
      </c>
      <c r="E1025" t="s">
        <v>1273</v>
      </c>
      <c r="F1025" t="s">
        <v>23</v>
      </c>
      <c r="G1025">
        <v>4</v>
      </c>
      <c r="H1025">
        <v>553.47</v>
      </c>
      <c r="I1025">
        <v>20</v>
      </c>
      <c r="J1025">
        <v>286.13</v>
      </c>
      <c r="K1025" t="s">
        <v>17</v>
      </c>
      <c r="L1025" t="s">
        <v>18</v>
      </c>
      <c r="M1025">
        <f t="shared" si="75"/>
        <v>1771.1040000000003</v>
      </c>
      <c r="N1025">
        <f t="shared" si="76"/>
        <v>626.58400000000029</v>
      </c>
      <c r="O1025" t="str">
        <f t="shared" si="77"/>
        <v>Tuesday</v>
      </c>
      <c r="P1025" t="b">
        <f t="shared" si="78"/>
        <v>0</v>
      </c>
      <c r="Q1025" t="str">
        <f t="shared" si="79"/>
        <v>April</v>
      </c>
    </row>
    <row r="1026" spans="1:17" x14ac:dyDescent="0.4">
      <c r="A1026" t="s">
        <v>1401</v>
      </c>
      <c r="B1026" s="1">
        <v>45905</v>
      </c>
      <c r="C1026" t="s">
        <v>62</v>
      </c>
      <c r="D1026" t="s">
        <v>46</v>
      </c>
      <c r="E1026" t="s">
        <v>364</v>
      </c>
      <c r="F1026" t="s">
        <v>23</v>
      </c>
      <c r="G1026">
        <v>4</v>
      </c>
      <c r="H1026">
        <v>2310.61</v>
      </c>
      <c r="I1026">
        <v>25</v>
      </c>
      <c r="J1026">
        <v>1513.4</v>
      </c>
      <c r="K1026" t="s">
        <v>24</v>
      </c>
      <c r="L1026" t="s">
        <v>18</v>
      </c>
      <c r="M1026">
        <f t="shared" si="75"/>
        <v>6931.83</v>
      </c>
      <c r="N1026">
        <f t="shared" si="76"/>
        <v>878.22999999999956</v>
      </c>
      <c r="O1026" t="str">
        <f t="shared" si="77"/>
        <v>Friday</v>
      </c>
      <c r="P1026" t="b">
        <f t="shared" si="78"/>
        <v>0</v>
      </c>
      <c r="Q1026" t="str">
        <f t="shared" si="79"/>
        <v>September</v>
      </c>
    </row>
    <row r="1027" spans="1:17" x14ac:dyDescent="0.4">
      <c r="A1027" t="s">
        <v>1402</v>
      </c>
      <c r="B1027" s="1">
        <v>45382</v>
      </c>
      <c r="C1027" t="s">
        <v>205</v>
      </c>
      <c r="D1027" t="s">
        <v>46</v>
      </c>
      <c r="E1027" t="s">
        <v>120</v>
      </c>
      <c r="F1027" t="s">
        <v>16</v>
      </c>
      <c r="G1027">
        <v>4</v>
      </c>
      <c r="H1027">
        <v>2478.23</v>
      </c>
      <c r="I1027">
        <v>10</v>
      </c>
      <c r="J1027">
        <v>1252.31</v>
      </c>
      <c r="K1027" t="s">
        <v>24</v>
      </c>
      <c r="L1027" t="s">
        <v>37</v>
      </c>
      <c r="M1027">
        <f t="shared" ref="M1027:M1090" si="80">G1027 * H1027 * (1 - I1027/100)</f>
        <v>8921.6280000000006</v>
      </c>
      <c r="N1027">
        <f t="shared" ref="N1027:N1090" si="81">M1027 - (J1027 * G1027)</f>
        <v>3912.3880000000008</v>
      </c>
      <c r="O1027" t="str">
        <f t="shared" ref="O1027:O1090" si="82">TEXT(B1027,"dddd")</f>
        <v>Sunday</v>
      </c>
      <c r="P1027" t="b">
        <f t="shared" ref="P1027:P1090" si="83">OR(TEXT(B1027,"ddd")="Sat", TEXT(B1027,"ddd")="Sun")</f>
        <v>1</v>
      </c>
      <c r="Q1027" t="str">
        <f t="shared" ref="Q1027:Q1090" si="84">TEXT(B1027,"mmmm")</f>
        <v>March</v>
      </c>
    </row>
    <row r="1028" spans="1:17" x14ac:dyDescent="0.4">
      <c r="A1028" t="s">
        <v>1403</v>
      </c>
      <c r="B1028" s="1">
        <v>45397</v>
      </c>
      <c r="C1028" t="s">
        <v>226</v>
      </c>
      <c r="D1028" t="s">
        <v>14</v>
      </c>
      <c r="E1028" t="s">
        <v>107</v>
      </c>
      <c r="F1028" t="s">
        <v>28</v>
      </c>
      <c r="G1028">
        <v>4</v>
      </c>
      <c r="H1028">
        <v>1022.5</v>
      </c>
      <c r="I1028">
        <v>15</v>
      </c>
      <c r="J1028">
        <v>595.16</v>
      </c>
      <c r="K1028" t="s">
        <v>17</v>
      </c>
      <c r="L1028" t="s">
        <v>33</v>
      </c>
      <c r="M1028">
        <f t="shared" si="80"/>
        <v>3476.5</v>
      </c>
      <c r="N1028">
        <f t="shared" si="81"/>
        <v>1095.8600000000001</v>
      </c>
      <c r="O1028" t="str">
        <f t="shared" si="82"/>
        <v>Monday</v>
      </c>
      <c r="P1028" t="b">
        <f t="shared" si="83"/>
        <v>0</v>
      </c>
      <c r="Q1028" t="str">
        <f t="shared" si="84"/>
        <v>April</v>
      </c>
    </row>
    <row r="1029" spans="1:17" x14ac:dyDescent="0.4">
      <c r="A1029" t="s">
        <v>1404</v>
      </c>
      <c r="B1029" s="1">
        <v>45575</v>
      </c>
      <c r="C1029" t="s">
        <v>35</v>
      </c>
      <c r="D1029" t="s">
        <v>31</v>
      </c>
      <c r="E1029" t="s">
        <v>66</v>
      </c>
      <c r="F1029" t="s">
        <v>23</v>
      </c>
      <c r="G1029">
        <v>4</v>
      </c>
      <c r="H1029">
        <v>1163.6400000000001</v>
      </c>
      <c r="I1029">
        <v>20</v>
      </c>
      <c r="J1029">
        <v>688.38</v>
      </c>
      <c r="K1029" t="s">
        <v>17</v>
      </c>
      <c r="L1029" t="s">
        <v>18</v>
      </c>
      <c r="M1029">
        <f t="shared" si="80"/>
        <v>3723.6480000000006</v>
      </c>
      <c r="N1029">
        <f t="shared" si="81"/>
        <v>970.12800000000061</v>
      </c>
      <c r="O1029" t="str">
        <f t="shared" si="82"/>
        <v>Thursday</v>
      </c>
      <c r="P1029" t="b">
        <f t="shared" si="83"/>
        <v>0</v>
      </c>
      <c r="Q1029" t="str">
        <f t="shared" si="84"/>
        <v>October</v>
      </c>
    </row>
    <row r="1030" spans="1:17" x14ac:dyDescent="0.4">
      <c r="A1030" t="s">
        <v>1405</v>
      </c>
      <c r="B1030" s="1">
        <v>45726</v>
      </c>
      <c r="C1030" t="s">
        <v>302</v>
      </c>
      <c r="D1030" t="s">
        <v>14</v>
      </c>
      <c r="E1030" t="s">
        <v>1195</v>
      </c>
      <c r="F1030" t="s">
        <v>23</v>
      </c>
      <c r="G1030">
        <v>1</v>
      </c>
      <c r="H1030">
        <v>803.63</v>
      </c>
      <c r="I1030">
        <v>0</v>
      </c>
      <c r="J1030">
        <v>537.09</v>
      </c>
      <c r="K1030" t="s">
        <v>24</v>
      </c>
      <c r="L1030" t="s">
        <v>37</v>
      </c>
      <c r="M1030">
        <f t="shared" si="80"/>
        <v>803.63</v>
      </c>
      <c r="N1030">
        <f t="shared" si="81"/>
        <v>266.53999999999996</v>
      </c>
      <c r="O1030" t="str">
        <f t="shared" si="82"/>
        <v>Monday</v>
      </c>
      <c r="P1030" t="b">
        <f t="shared" si="83"/>
        <v>0</v>
      </c>
      <c r="Q1030" t="str">
        <f t="shared" si="84"/>
        <v>March</v>
      </c>
    </row>
    <row r="1031" spans="1:17" x14ac:dyDescent="0.4">
      <c r="A1031" t="s">
        <v>1406</v>
      </c>
      <c r="B1031" s="1">
        <v>45932</v>
      </c>
      <c r="C1031" t="s">
        <v>190</v>
      </c>
      <c r="D1031" t="s">
        <v>46</v>
      </c>
      <c r="E1031" t="s">
        <v>303</v>
      </c>
      <c r="F1031" t="s">
        <v>28</v>
      </c>
      <c r="G1031">
        <v>5</v>
      </c>
      <c r="H1031">
        <v>2011.47</v>
      </c>
      <c r="I1031">
        <v>0</v>
      </c>
      <c r="J1031">
        <v>1137.5899999999999</v>
      </c>
      <c r="K1031" t="s">
        <v>24</v>
      </c>
      <c r="L1031" t="s">
        <v>37</v>
      </c>
      <c r="M1031">
        <f t="shared" si="80"/>
        <v>10057.35</v>
      </c>
      <c r="N1031">
        <f t="shared" si="81"/>
        <v>4369.4000000000005</v>
      </c>
      <c r="O1031" t="str">
        <f t="shared" si="82"/>
        <v>Thursday</v>
      </c>
      <c r="P1031" t="b">
        <f t="shared" si="83"/>
        <v>0</v>
      </c>
      <c r="Q1031" t="str">
        <f t="shared" si="84"/>
        <v>October</v>
      </c>
    </row>
    <row r="1032" spans="1:17" x14ac:dyDescent="0.4">
      <c r="A1032" t="s">
        <v>1407</v>
      </c>
      <c r="B1032" s="1">
        <v>45987</v>
      </c>
      <c r="C1032" t="s">
        <v>146</v>
      </c>
      <c r="D1032" t="s">
        <v>46</v>
      </c>
      <c r="E1032" t="s">
        <v>611</v>
      </c>
      <c r="F1032" t="s">
        <v>28</v>
      </c>
      <c r="G1032">
        <v>5</v>
      </c>
      <c r="H1032">
        <v>1451.13</v>
      </c>
      <c r="I1032">
        <v>30</v>
      </c>
      <c r="J1032">
        <v>832.08</v>
      </c>
      <c r="K1032" t="s">
        <v>24</v>
      </c>
      <c r="L1032" t="s">
        <v>37</v>
      </c>
      <c r="M1032">
        <f t="shared" si="80"/>
        <v>5078.9549999999999</v>
      </c>
      <c r="N1032">
        <f t="shared" si="81"/>
        <v>918.55499999999938</v>
      </c>
      <c r="O1032" t="str">
        <f t="shared" si="82"/>
        <v>Wednesday</v>
      </c>
      <c r="P1032" t="b">
        <f t="shared" si="83"/>
        <v>0</v>
      </c>
      <c r="Q1032" t="str">
        <f t="shared" si="84"/>
        <v>November</v>
      </c>
    </row>
    <row r="1033" spans="1:17" x14ac:dyDescent="0.4">
      <c r="A1033" t="s">
        <v>1408</v>
      </c>
      <c r="B1033" s="1">
        <v>45375</v>
      </c>
      <c r="C1033" t="s">
        <v>119</v>
      </c>
      <c r="D1033" t="s">
        <v>14</v>
      </c>
      <c r="E1033" t="s">
        <v>411</v>
      </c>
      <c r="F1033" t="s">
        <v>16</v>
      </c>
      <c r="G1033">
        <v>5</v>
      </c>
      <c r="H1033">
        <v>504.88</v>
      </c>
      <c r="I1033">
        <v>10</v>
      </c>
      <c r="J1033">
        <v>238.98</v>
      </c>
      <c r="K1033" t="s">
        <v>24</v>
      </c>
      <c r="L1033" t="s">
        <v>18</v>
      </c>
      <c r="M1033">
        <f t="shared" si="80"/>
        <v>2271.96</v>
      </c>
      <c r="N1033">
        <f t="shared" si="81"/>
        <v>1077.0600000000002</v>
      </c>
      <c r="O1033" t="str">
        <f t="shared" si="82"/>
        <v>Sunday</v>
      </c>
      <c r="P1033" t="b">
        <f t="shared" si="83"/>
        <v>1</v>
      </c>
      <c r="Q1033" t="str">
        <f t="shared" si="84"/>
        <v>March</v>
      </c>
    </row>
    <row r="1034" spans="1:17" x14ac:dyDescent="0.4">
      <c r="A1034" t="s">
        <v>1409</v>
      </c>
      <c r="B1034" s="1">
        <v>45315</v>
      </c>
      <c r="C1034" t="s">
        <v>205</v>
      </c>
      <c r="D1034" t="s">
        <v>21</v>
      </c>
      <c r="E1034" t="s">
        <v>693</v>
      </c>
      <c r="F1034" t="s">
        <v>16</v>
      </c>
      <c r="G1034">
        <v>5</v>
      </c>
      <c r="H1034">
        <v>1667.43</v>
      </c>
      <c r="I1034">
        <v>15</v>
      </c>
      <c r="J1034">
        <v>986.57</v>
      </c>
      <c r="K1034" t="s">
        <v>24</v>
      </c>
      <c r="L1034" t="s">
        <v>18</v>
      </c>
      <c r="M1034">
        <f t="shared" si="80"/>
        <v>7086.5774999999994</v>
      </c>
      <c r="N1034">
        <f t="shared" si="81"/>
        <v>2153.7274999999991</v>
      </c>
      <c r="O1034" t="str">
        <f t="shared" si="82"/>
        <v>Wednesday</v>
      </c>
      <c r="P1034" t="b">
        <f t="shared" si="83"/>
        <v>0</v>
      </c>
      <c r="Q1034" t="str">
        <f t="shared" si="84"/>
        <v>January</v>
      </c>
    </row>
    <row r="1035" spans="1:17" x14ac:dyDescent="0.4">
      <c r="A1035" t="s">
        <v>1410</v>
      </c>
      <c r="B1035" s="1">
        <v>45683</v>
      </c>
      <c r="C1035" t="s">
        <v>179</v>
      </c>
      <c r="D1035" t="s">
        <v>14</v>
      </c>
      <c r="E1035" t="s">
        <v>52</v>
      </c>
      <c r="F1035" t="s">
        <v>23</v>
      </c>
      <c r="G1035">
        <v>3</v>
      </c>
      <c r="H1035">
        <v>1186.72</v>
      </c>
      <c r="I1035">
        <v>15</v>
      </c>
      <c r="J1035">
        <v>530.21</v>
      </c>
      <c r="K1035" t="s">
        <v>24</v>
      </c>
      <c r="L1035" t="s">
        <v>37</v>
      </c>
      <c r="M1035">
        <f t="shared" si="80"/>
        <v>3026.136</v>
      </c>
      <c r="N1035">
        <f t="shared" si="81"/>
        <v>1435.5059999999999</v>
      </c>
      <c r="O1035" t="str">
        <f t="shared" si="82"/>
        <v>Sunday</v>
      </c>
      <c r="P1035" t="b">
        <f t="shared" si="83"/>
        <v>1</v>
      </c>
      <c r="Q1035" t="str">
        <f t="shared" si="84"/>
        <v>January</v>
      </c>
    </row>
    <row r="1036" spans="1:17" x14ac:dyDescent="0.4">
      <c r="A1036" t="s">
        <v>1411</v>
      </c>
      <c r="B1036" s="1">
        <v>45917</v>
      </c>
      <c r="C1036" t="s">
        <v>109</v>
      </c>
      <c r="D1036" t="s">
        <v>46</v>
      </c>
      <c r="E1036" t="s">
        <v>1273</v>
      </c>
      <c r="F1036" t="s">
        <v>23</v>
      </c>
      <c r="G1036">
        <v>5</v>
      </c>
      <c r="H1036">
        <v>1553.29</v>
      </c>
      <c r="I1036">
        <v>20</v>
      </c>
      <c r="J1036">
        <v>941.65</v>
      </c>
      <c r="K1036" t="s">
        <v>24</v>
      </c>
      <c r="L1036" t="s">
        <v>37</v>
      </c>
      <c r="M1036">
        <f t="shared" si="80"/>
        <v>6213.16</v>
      </c>
      <c r="N1036">
        <f t="shared" si="81"/>
        <v>1504.9099999999999</v>
      </c>
      <c r="O1036" t="str">
        <f t="shared" si="82"/>
        <v>Wednesday</v>
      </c>
      <c r="P1036" t="b">
        <f t="shared" si="83"/>
        <v>0</v>
      </c>
      <c r="Q1036" t="str">
        <f t="shared" si="84"/>
        <v>September</v>
      </c>
    </row>
    <row r="1037" spans="1:17" x14ac:dyDescent="0.4">
      <c r="A1037" t="s">
        <v>1412</v>
      </c>
      <c r="B1037" s="1">
        <v>45666</v>
      </c>
      <c r="C1037" t="s">
        <v>95</v>
      </c>
      <c r="D1037" t="s">
        <v>21</v>
      </c>
      <c r="E1037" t="s">
        <v>858</v>
      </c>
      <c r="F1037" t="s">
        <v>28</v>
      </c>
      <c r="G1037">
        <v>4</v>
      </c>
      <c r="H1037">
        <v>2551.84</v>
      </c>
      <c r="I1037">
        <v>25</v>
      </c>
      <c r="J1037">
        <v>1208.06</v>
      </c>
      <c r="K1037" t="s">
        <v>17</v>
      </c>
      <c r="L1037" t="s">
        <v>18</v>
      </c>
      <c r="M1037">
        <f t="shared" si="80"/>
        <v>7655.52</v>
      </c>
      <c r="N1037">
        <f t="shared" si="81"/>
        <v>2823.2800000000007</v>
      </c>
      <c r="O1037" t="str">
        <f t="shared" si="82"/>
        <v>Thursday</v>
      </c>
      <c r="P1037" t="b">
        <f t="shared" si="83"/>
        <v>0</v>
      </c>
      <c r="Q1037" t="str">
        <f t="shared" si="84"/>
        <v>January</v>
      </c>
    </row>
    <row r="1038" spans="1:17" x14ac:dyDescent="0.4">
      <c r="A1038" t="s">
        <v>1413</v>
      </c>
      <c r="B1038" s="1">
        <v>45728</v>
      </c>
      <c r="C1038" t="s">
        <v>54</v>
      </c>
      <c r="D1038" t="s">
        <v>21</v>
      </c>
      <c r="E1038" t="s">
        <v>1264</v>
      </c>
      <c r="F1038" t="s">
        <v>16</v>
      </c>
      <c r="G1038">
        <v>1</v>
      </c>
      <c r="H1038">
        <v>2236.62</v>
      </c>
      <c r="I1038">
        <v>10</v>
      </c>
      <c r="J1038">
        <v>1045.32</v>
      </c>
      <c r="K1038" t="s">
        <v>17</v>
      </c>
      <c r="L1038" t="s">
        <v>33</v>
      </c>
      <c r="M1038">
        <f t="shared" si="80"/>
        <v>2012.9579999999999</v>
      </c>
      <c r="N1038">
        <f t="shared" si="81"/>
        <v>967.63799999999992</v>
      </c>
      <c r="O1038" t="str">
        <f t="shared" si="82"/>
        <v>Wednesday</v>
      </c>
      <c r="P1038" t="b">
        <f t="shared" si="83"/>
        <v>0</v>
      </c>
      <c r="Q1038" t="str">
        <f t="shared" si="84"/>
        <v>March</v>
      </c>
    </row>
    <row r="1039" spans="1:17" x14ac:dyDescent="0.4">
      <c r="A1039" t="s">
        <v>1414</v>
      </c>
      <c r="B1039" s="1">
        <v>45838</v>
      </c>
      <c r="C1039" t="s">
        <v>152</v>
      </c>
      <c r="D1039" t="s">
        <v>14</v>
      </c>
      <c r="E1039" t="s">
        <v>123</v>
      </c>
      <c r="F1039" t="s">
        <v>28</v>
      </c>
      <c r="G1039">
        <v>2</v>
      </c>
      <c r="H1039">
        <v>2909.79</v>
      </c>
      <c r="I1039">
        <v>0</v>
      </c>
      <c r="J1039">
        <v>1395.77</v>
      </c>
      <c r="K1039" t="s">
        <v>17</v>
      </c>
      <c r="L1039" t="s">
        <v>33</v>
      </c>
      <c r="M1039">
        <f t="shared" si="80"/>
        <v>5819.58</v>
      </c>
      <c r="N1039">
        <f t="shared" si="81"/>
        <v>3028.04</v>
      </c>
      <c r="O1039" t="str">
        <f t="shared" si="82"/>
        <v>Monday</v>
      </c>
      <c r="P1039" t="b">
        <f t="shared" si="83"/>
        <v>0</v>
      </c>
      <c r="Q1039" t="str">
        <f t="shared" si="84"/>
        <v>June</v>
      </c>
    </row>
    <row r="1040" spans="1:17" x14ac:dyDescent="0.4">
      <c r="A1040" t="s">
        <v>1415</v>
      </c>
      <c r="B1040" s="1">
        <v>45737</v>
      </c>
      <c r="C1040" t="s">
        <v>119</v>
      </c>
      <c r="D1040" t="s">
        <v>14</v>
      </c>
      <c r="E1040" t="s">
        <v>180</v>
      </c>
      <c r="F1040" t="s">
        <v>16</v>
      </c>
      <c r="G1040">
        <v>2</v>
      </c>
      <c r="H1040">
        <v>719.24</v>
      </c>
      <c r="I1040">
        <v>0</v>
      </c>
      <c r="J1040">
        <v>468.08</v>
      </c>
      <c r="K1040" t="s">
        <v>24</v>
      </c>
      <c r="L1040" t="s">
        <v>18</v>
      </c>
      <c r="M1040">
        <f t="shared" si="80"/>
        <v>1438.48</v>
      </c>
      <c r="N1040">
        <f t="shared" si="81"/>
        <v>502.32000000000005</v>
      </c>
      <c r="O1040" t="str">
        <f t="shared" si="82"/>
        <v>Friday</v>
      </c>
      <c r="P1040" t="b">
        <f t="shared" si="83"/>
        <v>0</v>
      </c>
      <c r="Q1040" t="str">
        <f t="shared" si="84"/>
        <v>March</v>
      </c>
    </row>
    <row r="1041" spans="1:17" x14ac:dyDescent="0.4">
      <c r="A1041" t="s">
        <v>1416</v>
      </c>
      <c r="B1041" s="1">
        <v>45317</v>
      </c>
      <c r="C1041" t="s">
        <v>273</v>
      </c>
      <c r="D1041" t="s">
        <v>46</v>
      </c>
      <c r="E1041" t="s">
        <v>338</v>
      </c>
      <c r="F1041" t="s">
        <v>23</v>
      </c>
      <c r="G1041">
        <v>2</v>
      </c>
      <c r="H1041">
        <v>2940.96</v>
      </c>
      <c r="I1041">
        <v>25</v>
      </c>
      <c r="J1041">
        <v>1552.71</v>
      </c>
      <c r="K1041" t="s">
        <v>24</v>
      </c>
      <c r="L1041" t="s">
        <v>18</v>
      </c>
      <c r="M1041">
        <f t="shared" si="80"/>
        <v>4411.4400000000005</v>
      </c>
      <c r="N1041">
        <f t="shared" si="81"/>
        <v>1306.0200000000004</v>
      </c>
      <c r="O1041" t="str">
        <f t="shared" si="82"/>
        <v>Friday</v>
      </c>
      <c r="P1041" t="b">
        <f t="shared" si="83"/>
        <v>0</v>
      </c>
      <c r="Q1041" t="str">
        <f t="shared" si="84"/>
        <v>January</v>
      </c>
    </row>
    <row r="1042" spans="1:17" x14ac:dyDescent="0.4">
      <c r="A1042" t="s">
        <v>1417</v>
      </c>
      <c r="B1042" s="1">
        <v>45295</v>
      </c>
      <c r="C1042" t="s">
        <v>26</v>
      </c>
      <c r="D1042" t="s">
        <v>46</v>
      </c>
      <c r="E1042" t="s">
        <v>202</v>
      </c>
      <c r="F1042" t="s">
        <v>28</v>
      </c>
      <c r="G1042">
        <v>4</v>
      </c>
      <c r="H1042">
        <v>734.95</v>
      </c>
      <c r="I1042">
        <v>0</v>
      </c>
      <c r="J1042">
        <v>325.85000000000002</v>
      </c>
      <c r="K1042" t="s">
        <v>17</v>
      </c>
      <c r="L1042" t="s">
        <v>33</v>
      </c>
      <c r="M1042">
        <f t="shared" si="80"/>
        <v>2939.8</v>
      </c>
      <c r="N1042">
        <f t="shared" si="81"/>
        <v>1636.4</v>
      </c>
      <c r="O1042" t="str">
        <f t="shared" si="82"/>
        <v>Thursday</v>
      </c>
      <c r="P1042" t="b">
        <f t="shared" si="83"/>
        <v>0</v>
      </c>
      <c r="Q1042" t="str">
        <f t="shared" si="84"/>
        <v>January</v>
      </c>
    </row>
    <row r="1043" spans="1:17" x14ac:dyDescent="0.4">
      <c r="A1043" t="s">
        <v>1418</v>
      </c>
      <c r="B1043" s="1">
        <v>45606</v>
      </c>
      <c r="C1043" t="s">
        <v>62</v>
      </c>
      <c r="D1043" t="s">
        <v>31</v>
      </c>
      <c r="E1043" t="s">
        <v>477</v>
      </c>
      <c r="F1043" t="s">
        <v>16</v>
      </c>
      <c r="G1043">
        <v>4</v>
      </c>
      <c r="H1043">
        <v>2906.11</v>
      </c>
      <c r="I1043">
        <v>25</v>
      </c>
      <c r="J1043">
        <v>1773.18</v>
      </c>
      <c r="K1043" t="s">
        <v>17</v>
      </c>
      <c r="L1043" t="s">
        <v>37</v>
      </c>
      <c r="M1043">
        <f t="shared" si="80"/>
        <v>8718.33</v>
      </c>
      <c r="N1043">
        <f t="shared" si="81"/>
        <v>1625.6099999999997</v>
      </c>
      <c r="O1043" t="str">
        <f t="shared" si="82"/>
        <v>Sunday</v>
      </c>
      <c r="P1043" t="b">
        <f t="shared" si="83"/>
        <v>1</v>
      </c>
      <c r="Q1043" t="str">
        <f t="shared" si="84"/>
        <v>November</v>
      </c>
    </row>
    <row r="1044" spans="1:17" x14ac:dyDescent="0.4">
      <c r="A1044" t="s">
        <v>1419</v>
      </c>
      <c r="B1044" s="1">
        <v>45723</v>
      </c>
      <c r="C1044" t="s">
        <v>26</v>
      </c>
      <c r="D1044" t="s">
        <v>21</v>
      </c>
      <c r="E1044" t="s">
        <v>107</v>
      </c>
      <c r="F1044" t="s">
        <v>16</v>
      </c>
      <c r="G1044">
        <v>5</v>
      </c>
      <c r="H1044">
        <v>2473.7199999999998</v>
      </c>
      <c r="I1044">
        <v>5</v>
      </c>
      <c r="J1044">
        <v>1273.96</v>
      </c>
      <c r="K1044" t="s">
        <v>24</v>
      </c>
      <c r="L1044" t="s">
        <v>18</v>
      </c>
      <c r="M1044">
        <f t="shared" si="80"/>
        <v>11750.169999999998</v>
      </c>
      <c r="N1044">
        <f t="shared" si="81"/>
        <v>5380.3699999999981</v>
      </c>
      <c r="O1044" t="str">
        <f t="shared" si="82"/>
        <v>Friday</v>
      </c>
      <c r="P1044" t="b">
        <f t="shared" si="83"/>
        <v>0</v>
      </c>
      <c r="Q1044" t="str">
        <f t="shared" si="84"/>
        <v>March</v>
      </c>
    </row>
    <row r="1045" spans="1:17" x14ac:dyDescent="0.4">
      <c r="A1045" t="s">
        <v>1420</v>
      </c>
      <c r="B1045" s="1">
        <v>45464</v>
      </c>
      <c r="C1045" t="s">
        <v>109</v>
      </c>
      <c r="D1045" t="s">
        <v>31</v>
      </c>
      <c r="E1045" t="s">
        <v>948</v>
      </c>
      <c r="F1045" t="s">
        <v>23</v>
      </c>
      <c r="G1045">
        <v>3</v>
      </c>
      <c r="H1045">
        <v>2387.9899999999998</v>
      </c>
      <c r="I1045">
        <v>10</v>
      </c>
      <c r="J1045">
        <v>1135.74</v>
      </c>
      <c r="K1045" t="s">
        <v>17</v>
      </c>
      <c r="L1045" t="s">
        <v>18</v>
      </c>
      <c r="M1045">
        <f t="shared" si="80"/>
        <v>6447.5729999999994</v>
      </c>
      <c r="N1045">
        <f t="shared" si="81"/>
        <v>3040.3529999999992</v>
      </c>
      <c r="O1045" t="str">
        <f t="shared" si="82"/>
        <v>Friday</v>
      </c>
      <c r="P1045" t="b">
        <f t="shared" si="83"/>
        <v>0</v>
      </c>
      <c r="Q1045" t="str">
        <f t="shared" si="84"/>
        <v>June</v>
      </c>
    </row>
    <row r="1046" spans="1:17" x14ac:dyDescent="0.4">
      <c r="A1046" t="s">
        <v>1421</v>
      </c>
      <c r="B1046" s="1">
        <v>45908</v>
      </c>
      <c r="C1046" t="s">
        <v>109</v>
      </c>
      <c r="D1046" t="s">
        <v>14</v>
      </c>
      <c r="E1046" t="s">
        <v>634</v>
      </c>
      <c r="F1046" t="s">
        <v>23</v>
      </c>
      <c r="G1046">
        <v>3</v>
      </c>
      <c r="H1046">
        <v>1067.2</v>
      </c>
      <c r="I1046">
        <v>25</v>
      </c>
      <c r="J1046">
        <v>458.54</v>
      </c>
      <c r="K1046" t="s">
        <v>17</v>
      </c>
      <c r="L1046" t="s">
        <v>33</v>
      </c>
      <c r="M1046">
        <f t="shared" si="80"/>
        <v>2401.2000000000003</v>
      </c>
      <c r="N1046">
        <f t="shared" si="81"/>
        <v>1025.5800000000002</v>
      </c>
      <c r="O1046" t="str">
        <f t="shared" si="82"/>
        <v>Monday</v>
      </c>
      <c r="P1046" t="b">
        <f t="shared" si="83"/>
        <v>0</v>
      </c>
      <c r="Q1046" t="str">
        <f t="shared" si="84"/>
        <v>September</v>
      </c>
    </row>
    <row r="1047" spans="1:17" x14ac:dyDescent="0.4">
      <c r="A1047" t="s">
        <v>1422</v>
      </c>
      <c r="B1047" s="1">
        <v>45569</v>
      </c>
      <c r="C1047" t="s">
        <v>62</v>
      </c>
      <c r="D1047" t="s">
        <v>14</v>
      </c>
      <c r="E1047" t="s">
        <v>425</v>
      </c>
      <c r="F1047" t="s">
        <v>28</v>
      </c>
      <c r="G1047">
        <v>1</v>
      </c>
      <c r="H1047">
        <v>1101.51</v>
      </c>
      <c r="I1047">
        <v>20</v>
      </c>
      <c r="J1047">
        <v>452.95</v>
      </c>
      <c r="K1047" t="s">
        <v>24</v>
      </c>
      <c r="L1047" t="s">
        <v>33</v>
      </c>
      <c r="M1047">
        <f t="shared" si="80"/>
        <v>881.20800000000008</v>
      </c>
      <c r="N1047">
        <f t="shared" si="81"/>
        <v>428.2580000000001</v>
      </c>
      <c r="O1047" t="str">
        <f t="shared" si="82"/>
        <v>Friday</v>
      </c>
      <c r="P1047" t="b">
        <f t="shared" si="83"/>
        <v>0</v>
      </c>
      <c r="Q1047" t="str">
        <f t="shared" si="84"/>
        <v>October</v>
      </c>
    </row>
    <row r="1048" spans="1:17" x14ac:dyDescent="0.4">
      <c r="A1048" t="s">
        <v>1423</v>
      </c>
      <c r="B1048" s="1">
        <v>45403</v>
      </c>
      <c r="C1048" t="s">
        <v>185</v>
      </c>
      <c r="D1048" t="s">
        <v>14</v>
      </c>
      <c r="E1048" t="s">
        <v>32</v>
      </c>
      <c r="F1048" t="s">
        <v>23</v>
      </c>
      <c r="G1048">
        <v>4</v>
      </c>
      <c r="H1048">
        <v>2530.13</v>
      </c>
      <c r="I1048">
        <v>0</v>
      </c>
      <c r="J1048">
        <v>1028.7</v>
      </c>
      <c r="K1048" t="s">
        <v>17</v>
      </c>
      <c r="L1048" t="s">
        <v>37</v>
      </c>
      <c r="M1048">
        <f t="shared" si="80"/>
        <v>10120.52</v>
      </c>
      <c r="N1048">
        <f t="shared" si="81"/>
        <v>6005.72</v>
      </c>
      <c r="O1048" t="str">
        <f t="shared" si="82"/>
        <v>Sunday</v>
      </c>
      <c r="P1048" t="b">
        <f t="shared" si="83"/>
        <v>1</v>
      </c>
      <c r="Q1048" t="str">
        <f t="shared" si="84"/>
        <v>April</v>
      </c>
    </row>
    <row r="1049" spans="1:17" x14ac:dyDescent="0.4">
      <c r="A1049" t="s">
        <v>1424</v>
      </c>
      <c r="B1049" s="1">
        <v>45485</v>
      </c>
      <c r="C1049" t="s">
        <v>62</v>
      </c>
      <c r="D1049" t="s">
        <v>14</v>
      </c>
      <c r="E1049" t="s">
        <v>1062</v>
      </c>
      <c r="F1049" t="s">
        <v>28</v>
      </c>
      <c r="G1049">
        <v>2</v>
      </c>
      <c r="H1049">
        <v>1253.0899999999999</v>
      </c>
      <c r="I1049">
        <v>0</v>
      </c>
      <c r="J1049">
        <v>750.69</v>
      </c>
      <c r="K1049" t="s">
        <v>24</v>
      </c>
      <c r="L1049" t="s">
        <v>18</v>
      </c>
      <c r="M1049">
        <f t="shared" si="80"/>
        <v>2506.1799999999998</v>
      </c>
      <c r="N1049">
        <f t="shared" si="81"/>
        <v>1004.7999999999997</v>
      </c>
      <c r="O1049" t="str">
        <f t="shared" si="82"/>
        <v>Friday</v>
      </c>
      <c r="P1049" t="b">
        <f t="shared" si="83"/>
        <v>0</v>
      </c>
      <c r="Q1049" t="str">
        <f t="shared" si="84"/>
        <v>July</v>
      </c>
    </row>
    <row r="1050" spans="1:17" x14ac:dyDescent="0.4">
      <c r="A1050" t="s">
        <v>1425</v>
      </c>
      <c r="B1050" s="1">
        <v>45953</v>
      </c>
      <c r="C1050" t="s">
        <v>30</v>
      </c>
      <c r="D1050" t="s">
        <v>21</v>
      </c>
      <c r="E1050" t="s">
        <v>430</v>
      </c>
      <c r="F1050" t="s">
        <v>16</v>
      </c>
      <c r="G1050">
        <v>3</v>
      </c>
      <c r="H1050">
        <v>838.55</v>
      </c>
      <c r="I1050">
        <v>25</v>
      </c>
      <c r="J1050">
        <v>550.24</v>
      </c>
      <c r="K1050" t="s">
        <v>24</v>
      </c>
      <c r="L1050" t="s">
        <v>18</v>
      </c>
      <c r="M1050">
        <f t="shared" si="80"/>
        <v>1886.7374999999997</v>
      </c>
      <c r="N1050">
        <f t="shared" si="81"/>
        <v>236.0174999999997</v>
      </c>
      <c r="O1050" t="str">
        <f t="shared" si="82"/>
        <v>Thursday</v>
      </c>
      <c r="P1050" t="b">
        <f t="shared" si="83"/>
        <v>0</v>
      </c>
      <c r="Q1050" t="str">
        <f t="shared" si="84"/>
        <v>October</v>
      </c>
    </row>
    <row r="1051" spans="1:17" x14ac:dyDescent="0.4">
      <c r="A1051" t="s">
        <v>1426</v>
      </c>
      <c r="B1051" s="1">
        <v>45959</v>
      </c>
      <c r="C1051" t="s">
        <v>109</v>
      </c>
      <c r="D1051" t="s">
        <v>31</v>
      </c>
      <c r="E1051" t="s">
        <v>1160</v>
      </c>
      <c r="F1051" t="s">
        <v>16</v>
      </c>
      <c r="G1051">
        <v>2</v>
      </c>
      <c r="H1051">
        <v>1446.5</v>
      </c>
      <c r="I1051">
        <v>30</v>
      </c>
      <c r="J1051">
        <v>978.94</v>
      </c>
      <c r="K1051" t="s">
        <v>24</v>
      </c>
      <c r="L1051" t="s">
        <v>33</v>
      </c>
      <c r="M1051">
        <f t="shared" si="80"/>
        <v>2025.1</v>
      </c>
      <c r="N1051">
        <f t="shared" si="81"/>
        <v>67.2199999999998</v>
      </c>
      <c r="O1051" t="str">
        <f t="shared" si="82"/>
        <v>Wednesday</v>
      </c>
      <c r="P1051" t="b">
        <f t="shared" si="83"/>
        <v>0</v>
      </c>
      <c r="Q1051" t="str">
        <f t="shared" si="84"/>
        <v>October</v>
      </c>
    </row>
    <row r="1052" spans="1:17" x14ac:dyDescent="0.4">
      <c r="A1052" t="s">
        <v>1427</v>
      </c>
      <c r="B1052" s="1">
        <v>45641</v>
      </c>
      <c r="C1052" t="s">
        <v>144</v>
      </c>
      <c r="D1052" t="s">
        <v>21</v>
      </c>
      <c r="E1052" t="s">
        <v>303</v>
      </c>
      <c r="F1052" t="s">
        <v>28</v>
      </c>
      <c r="G1052">
        <v>3</v>
      </c>
      <c r="H1052">
        <v>2056.7399999999998</v>
      </c>
      <c r="I1052">
        <v>30</v>
      </c>
      <c r="J1052">
        <v>1339.02</v>
      </c>
      <c r="K1052" t="s">
        <v>17</v>
      </c>
      <c r="L1052" t="s">
        <v>33</v>
      </c>
      <c r="M1052">
        <f t="shared" si="80"/>
        <v>4319.1539999999995</v>
      </c>
      <c r="N1052">
        <f t="shared" si="81"/>
        <v>302.0939999999996</v>
      </c>
      <c r="O1052" t="str">
        <f t="shared" si="82"/>
        <v>Sunday</v>
      </c>
      <c r="P1052" t="b">
        <f t="shared" si="83"/>
        <v>1</v>
      </c>
      <c r="Q1052" t="str">
        <f t="shared" si="84"/>
        <v>December</v>
      </c>
    </row>
    <row r="1053" spans="1:17" x14ac:dyDescent="0.4">
      <c r="A1053" t="s">
        <v>1428</v>
      </c>
      <c r="B1053" s="1">
        <v>45588</v>
      </c>
      <c r="C1053" t="s">
        <v>226</v>
      </c>
      <c r="D1053" t="s">
        <v>46</v>
      </c>
      <c r="E1053" t="s">
        <v>1154</v>
      </c>
      <c r="F1053" t="s">
        <v>16</v>
      </c>
      <c r="G1053">
        <v>1</v>
      </c>
      <c r="H1053">
        <v>1742.19</v>
      </c>
      <c r="I1053">
        <v>25</v>
      </c>
      <c r="J1053">
        <v>896.88</v>
      </c>
      <c r="K1053" t="s">
        <v>17</v>
      </c>
      <c r="L1053" t="s">
        <v>37</v>
      </c>
      <c r="M1053">
        <f t="shared" si="80"/>
        <v>1306.6424999999999</v>
      </c>
      <c r="N1053">
        <f t="shared" si="81"/>
        <v>409.76249999999993</v>
      </c>
      <c r="O1053" t="str">
        <f t="shared" si="82"/>
        <v>Wednesday</v>
      </c>
      <c r="P1053" t="b">
        <f t="shared" si="83"/>
        <v>0</v>
      </c>
      <c r="Q1053" t="str">
        <f t="shared" si="84"/>
        <v>October</v>
      </c>
    </row>
    <row r="1054" spans="1:17" x14ac:dyDescent="0.4">
      <c r="A1054" t="s">
        <v>1429</v>
      </c>
      <c r="B1054" s="1">
        <v>45638</v>
      </c>
      <c r="C1054" t="s">
        <v>26</v>
      </c>
      <c r="D1054" t="s">
        <v>21</v>
      </c>
      <c r="E1054" t="s">
        <v>284</v>
      </c>
      <c r="F1054" t="s">
        <v>16</v>
      </c>
      <c r="G1054">
        <v>5</v>
      </c>
      <c r="H1054">
        <v>2615.23</v>
      </c>
      <c r="I1054">
        <v>0</v>
      </c>
      <c r="J1054">
        <v>1505.1</v>
      </c>
      <c r="K1054" t="s">
        <v>24</v>
      </c>
      <c r="L1054" t="s">
        <v>33</v>
      </c>
      <c r="M1054">
        <f t="shared" si="80"/>
        <v>13076.15</v>
      </c>
      <c r="N1054">
        <f t="shared" si="81"/>
        <v>5550.65</v>
      </c>
      <c r="O1054" t="str">
        <f t="shared" si="82"/>
        <v>Thursday</v>
      </c>
      <c r="P1054" t="b">
        <f t="shared" si="83"/>
        <v>0</v>
      </c>
      <c r="Q1054" t="str">
        <f t="shared" si="84"/>
        <v>December</v>
      </c>
    </row>
    <row r="1055" spans="1:17" x14ac:dyDescent="0.4">
      <c r="A1055" t="s">
        <v>1430</v>
      </c>
      <c r="B1055" s="1">
        <v>45331</v>
      </c>
      <c r="C1055" t="s">
        <v>185</v>
      </c>
      <c r="D1055" t="s">
        <v>21</v>
      </c>
      <c r="E1055" t="s">
        <v>177</v>
      </c>
      <c r="F1055" t="s">
        <v>23</v>
      </c>
      <c r="G1055">
        <v>4</v>
      </c>
      <c r="H1055">
        <v>636.74</v>
      </c>
      <c r="I1055">
        <v>5</v>
      </c>
      <c r="J1055">
        <v>277.14</v>
      </c>
      <c r="K1055" t="s">
        <v>24</v>
      </c>
      <c r="L1055" t="s">
        <v>37</v>
      </c>
      <c r="M1055">
        <f t="shared" si="80"/>
        <v>2419.6120000000001</v>
      </c>
      <c r="N1055">
        <f t="shared" si="81"/>
        <v>1311.0520000000001</v>
      </c>
      <c r="O1055" t="str">
        <f t="shared" si="82"/>
        <v>Friday</v>
      </c>
      <c r="P1055" t="b">
        <f t="shared" si="83"/>
        <v>0</v>
      </c>
      <c r="Q1055" t="str">
        <f t="shared" si="84"/>
        <v>February</v>
      </c>
    </row>
    <row r="1056" spans="1:17" x14ac:dyDescent="0.4">
      <c r="A1056" t="s">
        <v>1431</v>
      </c>
      <c r="B1056" s="1">
        <v>45577</v>
      </c>
      <c r="C1056" t="s">
        <v>171</v>
      </c>
      <c r="D1056" t="s">
        <v>46</v>
      </c>
      <c r="E1056" t="s">
        <v>27</v>
      </c>
      <c r="F1056" t="s">
        <v>23</v>
      </c>
      <c r="G1056">
        <v>5</v>
      </c>
      <c r="H1056">
        <v>2963.95</v>
      </c>
      <c r="I1056">
        <v>20</v>
      </c>
      <c r="J1056">
        <v>1529.55</v>
      </c>
      <c r="K1056" t="s">
        <v>17</v>
      </c>
      <c r="L1056" t="s">
        <v>37</v>
      </c>
      <c r="M1056">
        <f t="shared" si="80"/>
        <v>11855.800000000001</v>
      </c>
      <c r="N1056">
        <f t="shared" si="81"/>
        <v>4208.0500000000011</v>
      </c>
      <c r="O1056" t="str">
        <f t="shared" si="82"/>
        <v>Saturday</v>
      </c>
      <c r="P1056" t="b">
        <f t="shared" si="83"/>
        <v>1</v>
      </c>
      <c r="Q1056" t="str">
        <f t="shared" si="84"/>
        <v>October</v>
      </c>
    </row>
    <row r="1057" spans="1:17" x14ac:dyDescent="0.4">
      <c r="A1057" t="s">
        <v>1432</v>
      </c>
      <c r="B1057" s="1">
        <v>45981</v>
      </c>
      <c r="C1057" t="s">
        <v>125</v>
      </c>
      <c r="D1057" t="s">
        <v>21</v>
      </c>
      <c r="E1057" t="s">
        <v>326</v>
      </c>
      <c r="F1057" t="s">
        <v>16</v>
      </c>
      <c r="G1057">
        <v>2</v>
      </c>
      <c r="H1057">
        <v>2568.83</v>
      </c>
      <c r="I1057">
        <v>15</v>
      </c>
      <c r="J1057">
        <v>1776.88</v>
      </c>
      <c r="K1057" t="s">
        <v>24</v>
      </c>
      <c r="L1057" t="s">
        <v>18</v>
      </c>
      <c r="M1057">
        <f t="shared" si="80"/>
        <v>4367.0109999999995</v>
      </c>
      <c r="N1057">
        <f t="shared" si="81"/>
        <v>813.25099999999929</v>
      </c>
      <c r="O1057" t="str">
        <f t="shared" si="82"/>
        <v>Thursday</v>
      </c>
      <c r="P1057" t="b">
        <f t="shared" si="83"/>
        <v>0</v>
      </c>
      <c r="Q1057" t="str">
        <f t="shared" si="84"/>
        <v>November</v>
      </c>
    </row>
    <row r="1058" spans="1:17" x14ac:dyDescent="0.4">
      <c r="A1058" t="s">
        <v>1433</v>
      </c>
      <c r="B1058" s="1">
        <v>45983</v>
      </c>
      <c r="C1058" t="s">
        <v>74</v>
      </c>
      <c r="D1058" t="s">
        <v>46</v>
      </c>
      <c r="E1058" t="s">
        <v>294</v>
      </c>
      <c r="F1058" t="s">
        <v>23</v>
      </c>
      <c r="G1058">
        <v>5</v>
      </c>
      <c r="H1058">
        <v>1451.72</v>
      </c>
      <c r="I1058">
        <v>10</v>
      </c>
      <c r="J1058">
        <v>996.34</v>
      </c>
      <c r="K1058" t="s">
        <v>24</v>
      </c>
      <c r="L1058" t="s">
        <v>37</v>
      </c>
      <c r="M1058">
        <f t="shared" si="80"/>
        <v>6532.7400000000007</v>
      </c>
      <c r="N1058">
        <f t="shared" si="81"/>
        <v>1551.0400000000009</v>
      </c>
      <c r="O1058" t="str">
        <f t="shared" si="82"/>
        <v>Saturday</v>
      </c>
      <c r="P1058" t="b">
        <f t="shared" si="83"/>
        <v>1</v>
      </c>
      <c r="Q1058" t="str">
        <f t="shared" si="84"/>
        <v>November</v>
      </c>
    </row>
    <row r="1059" spans="1:17" x14ac:dyDescent="0.4">
      <c r="A1059" t="s">
        <v>1434</v>
      </c>
      <c r="B1059" s="1">
        <v>45870</v>
      </c>
      <c r="C1059" t="s">
        <v>109</v>
      </c>
      <c r="D1059" t="s">
        <v>31</v>
      </c>
      <c r="E1059" t="s">
        <v>1214</v>
      </c>
      <c r="F1059" t="s">
        <v>16</v>
      </c>
      <c r="G1059">
        <v>3</v>
      </c>
      <c r="H1059">
        <v>2993.04</v>
      </c>
      <c r="I1059">
        <v>10</v>
      </c>
      <c r="J1059">
        <v>1204.9000000000001</v>
      </c>
      <c r="K1059" t="s">
        <v>24</v>
      </c>
      <c r="L1059" t="s">
        <v>37</v>
      </c>
      <c r="M1059">
        <f t="shared" si="80"/>
        <v>8081.2079999999996</v>
      </c>
      <c r="N1059">
        <f t="shared" si="81"/>
        <v>4466.5079999999998</v>
      </c>
      <c r="O1059" t="str">
        <f t="shared" si="82"/>
        <v>Friday</v>
      </c>
      <c r="P1059" t="b">
        <f t="shared" si="83"/>
        <v>0</v>
      </c>
      <c r="Q1059" t="str">
        <f t="shared" si="84"/>
        <v>August</v>
      </c>
    </row>
    <row r="1060" spans="1:17" x14ac:dyDescent="0.4">
      <c r="A1060" t="s">
        <v>1435</v>
      </c>
      <c r="B1060" s="1">
        <v>45848</v>
      </c>
      <c r="C1060" t="s">
        <v>122</v>
      </c>
      <c r="D1060" t="s">
        <v>46</v>
      </c>
      <c r="E1060" t="s">
        <v>452</v>
      </c>
      <c r="F1060" t="s">
        <v>16</v>
      </c>
      <c r="G1060">
        <v>2</v>
      </c>
      <c r="H1060">
        <v>2049.66</v>
      </c>
      <c r="I1060">
        <v>15</v>
      </c>
      <c r="J1060">
        <v>1095.8800000000001</v>
      </c>
      <c r="K1060" t="s">
        <v>24</v>
      </c>
      <c r="L1060" t="s">
        <v>18</v>
      </c>
      <c r="M1060">
        <f t="shared" si="80"/>
        <v>3484.4219999999996</v>
      </c>
      <c r="N1060">
        <f t="shared" si="81"/>
        <v>1292.6619999999994</v>
      </c>
      <c r="O1060" t="str">
        <f t="shared" si="82"/>
        <v>Thursday</v>
      </c>
      <c r="P1060" t="b">
        <f t="shared" si="83"/>
        <v>0</v>
      </c>
      <c r="Q1060" t="str">
        <f t="shared" si="84"/>
        <v>July</v>
      </c>
    </row>
    <row r="1061" spans="1:17" x14ac:dyDescent="0.4">
      <c r="A1061" t="s">
        <v>1436</v>
      </c>
      <c r="B1061" s="1">
        <v>45730</v>
      </c>
      <c r="C1061" t="s">
        <v>95</v>
      </c>
      <c r="D1061" t="s">
        <v>46</v>
      </c>
      <c r="E1061" t="s">
        <v>1364</v>
      </c>
      <c r="F1061" t="s">
        <v>28</v>
      </c>
      <c r="G1061">
        <v>1</v>
      </c>
      <c r="H1061">
        <v>2962.8</v>
      </c>
      <c r="I1061">
        <v>0</v>
      </c>
      <c r="J1061">
        <v>1898.58</v>
      </c>
      <c r="K1061" t="s">
        <v>24</v>
      </c>
      <c r="L1061" t="s">
        <v>33</v>
      </c>
      <c r="M1061">
        <f t="shared" si="80"/>
        <v>2962.8</v>
      </c>
      <c r="N1061">
        <f t="shared" si="81"/>
        <v>1064.2200000000003</v>
      </c>
      <c r="O1061" t="str">
        <f t="shared" si="82"/>
        <v>Friday</v>
      </c>
      <c r="P1061" t="b">
        <f t="shared" si="83"/>
        <v>0</v>
      </c>
      <c r="Q1061" t="str">
        <f t="shared" si="84"/>
        <v>March</v>
      </c>
    </row>
    <row r="1062" spans="1:17" x14ac:dyDescent="0.4">
      <c r="A1062" t="s">
        <v>1437</v>
      </c>
      <c r="B1062" s="1">
        <v>45772</v>
      </c>
      <c r="C1062" t="s">
        <v>30</v>
      </c>
      <c r="D1062" t="s">
        <v>46</v>
      </c>
      <c r="E1062" t="s">
        <v>534</v>
      </c>
      <c r="F1062" t="s">
        <v>16</v>
      </c>
      <c r="G1062">
        <v>5</v>
      </c>
      <c r="H1062">
        <v>1535.11</v>
      </c>
      <c r="I1062">
        <v>30</v>
      </c>
      <c r="J1062">
        <v>627.79</v>
      </c>
      <c r="K1062" t="s">
        <v>17</v>
      </c>
      <c r="L1062" t="s">
        <v>18</v>
      </c>
      <c r="M1062">
        <f t="shared" si="80"/>
        <v>5372.8849999999993</v>
      </c>
      <c r="N1062">
        <f t="shared" si="81"/>
        <v>2233.9349999999995</v>
      </c>
      <c r="O1062" t="str">
        <f t="shared" si="82"/>
        <v>Friday</v>
      </c>
      <c r="P1062" t="b">
        <f t="shared" si="83"/>
        <v>0</v>
      </c>
      <c r="Q1062" t="str">
        <f t="shared" si="84"/>
        <v>April</v>
      </c>
    </row>
    <row r="1063" spans="1:17" x14ac:dyDescent="0.4">
      <c r="A1063" t="s">
        <v>1438</v>
      </c>
      <c r="B1063" s="1">
        <v>45817</v>
      </c>
      <c r="C1063" t="s">
        <v>309</v>
      </c>
      <c r="D1063" t="s">
        <v>31</v>
      </c>
      <c r="E1063" t="s">
        <v>90</v>
      </c>
      <c r="F1063" t="s">
        <v>23</v>
      </c>
      <c r="G1063">
        <v>2</v>
      </c>
      <c r="H1063">
        <v>576.37</v>
      </c>
      <c r="I1063">
        <v>10</v>
      </c>
      <c r="J1063">
        <v>352.57</v>
      </c>
      <c r="K1063" t="s">
        <v>24</v>
      </c>
      <c r="L1063" t="s">
        <v>37</v>
      </c>
      <c r="M1063">
        <f t="shared" si="80"/>
        <v>1037.4660000000001</v>
      </c>
      <c r="N1063">
        <f t="shared" si="81"/>
        <v>332.32600000000014</v>
      </c>
      <c r="O1063" t="str">
        <f t="shared" si="82"/>
        <v>Monday</v>
      </c>
      <c r="P1063" t="b">
        <f t="shared" si="83"/>
        <v>0</v>
      </c>
      <c r="Q1063" t="str">
        <f t="shared" si="84"/>
        <v>June</v>
      </c>
    </row>
    <row r="1064" spans="1:17" x14ac:dyDescent="0.4">
      <c r="A1064" t="s">
        <v>1439</v>
      </c>
      <c r="B1064" s="1">
        <v>45534</v>
      </c>
      <c r="C1064" t="s">
        <v>273</v>
      </c>
      <c r="D1064" t="s">
        <v>46</v>
      </c>
      <c r="E1064" t="s">
        <v>587</v>
      </c>
      <c r="F1064" t="s">
        <v>23</v>
      </c>
      <c r="G1064">
        <v>1</v>
      </c>
      <c r="H1064">
        <v>2898.62</v>
      </c>
      <c r="I1064">
        <v>30</v>
      </c>
      <c r="J1064">
        <v>1746.96</v>
      </c>
      <c r="K1064" t="s">
        <v>24</v>
      </c>
      <c r="L1064" t="s">
        <v>37</v>
      </c>
      <c r="M1064">
        <f t="shared" si="80"/>
        <v>2029.0339999999999</v>
      </c>
      <c r="N1064">
        <f t="shared" si="81"/>
        <v>282.07399999999984</v>
      </c>
      <c r="O1064" t="str">
        <f t="shared" si="82"/>
        <v>Friday</v>
      </c>
      <c r="P1064" t="b">
        <f t="shared" si="83"/>
        <v>0</v>
      </c>
      <c r="Q1064" t="str">
        <f t="shared" si="84"/>
        <v>August</v>
      </c>
    </row>
    <row r="1065" spans="1:17" x14ac:dyDescent="0.4">
      <c r="A1065" t="s">
        <v>1440</v>
      </c>
      <c r="B1065" s="1">
        <v>45372</v>
      </c>
      <c r="C1065" t="s">
        <v>51</v>
      </c>
      <c r="D1065" t="s">
        <v>21</v>
      </c>
      <c r="E1065" t="s">
        <v>123</v>
      </c>
      <c r="F1065" t="s">
        <v>16</v>
      </c>
      <c r="G1065">
        <v>2</v>
      </c>
      <c r="H1065">
        <v>1842.93</v>
      </c>
      <c r="I1065">
        <v>20</v>
      </c>
      <c r="J1065">
        <v>926.28</v>
      </c>
      <c r="K1065" t="s">
        <v>24</v>
      </c>
      <c r="L1065" t="s">
        <v>33</v>
      </c>
      <c r="M1065">
        <f t="shared" si="80"/>
        <v>2948.6880000000001</v>
      </c>
      <c r="N1065">
        <f t="shared" si="81"/>
        <v>1096.1280000000002</v>
      </c>
      <c r="O1065" t="str">
        <f t="shared" si="82"/>
        <v>Thursday</v>
      </c>
      <c r="P1065" t="b">
        <f t="shared" si="83"/>
        <v>0</v>
      </c>
      <c r="Q1065" t="str">
        <f t="shared" si="84"/>
        <v>March</v>
      </c>
    </row>
    <row r="1066" spans="1:17" x14ac:dyDescent="0.4">
      <c r="A1066" t="s">
        <v>1441</v>
      </c>
      <c r="B1066" s="1">
        <v>45421</v>
      </c>
      <c r="C1066" t="s">
        <v>92</v>
      </c>
      <c r="D1066" t="s">
        <v>31</v>
      </c>
      <c r="E1066" t="s">
        <v>164</v>
      </c>
      <c r="F1066" t="s">
        <v>28</v>
      </c>
      <c r="G1066">
        <v>4</v>
      </c>
      <c r="H1066">
        <v>1049.22</v>
      </c>
      <c r="I1066">
        <v>0</v>
      </c>
      <c r="J1066">
        <v>427.36</v>
      </c>
      <c r="K1066" t="s">
        <v>17</v>
      </c>
      <c r="L1066" t="s">
        <v>37</v>
      </c>
      <c r="M1066">
        <f t="shared" si="80"/>
        <v>4196.88</v>
      </c>
      <c r="N1066">
        <f t="shared" si="81"/>
        <v>2487.44</v>
      </c>
      <c r="O1066" t="str">
        <f t="shared" si="82"/>
        <v>Thursday</v>
      </c>
      <c r="P1066" t="b">
        <f t="shared" si="83"/>
        <v>0</v>
      </c>
      <c r="Q1066" t="str">
        <f t="shared" si="84"/>
        <v>May</v>
      </c>
    </row>
    <row r="1067" spans="1:17" x14ac:dyDescent="0.4">
      <c r="A1067" t="s">
        <v>1442</v>
      </c>
      <c r="B1067" s="1">
        <v>45927</v>
      </c>
      <c r="C1067" t="s">
        <v>95</v>
      </c>
      <c r="D1067" t="s">
        <v>14</v>
      </c>
      <c r="E1067" t="s">
        <v>150</v>
      </c>
      <c r="F1067" t="s">
        <v>28</v>
      </c>
      <c r="G1067">
        <v>4</v>
      </c>
      <c r="H1067">
        <v>2615.3000000000002</v>
      </c>
      <c r="I1067">
        <v>5</v>
      </c>
      <c r="J1067">
        <v>1128.73</v>
      </c>
      <c r="K1067" t="s">
        <v>24</v>
      </c>
      <c r="L1067" t="s">
        <v>37</v>
      </c>
      <c r="M1067">
        <f t="shared" si="80"/>
        <v>9938.14</v>
      </c>
      <c r="N1067">
        <f t="shared" si="81"/>
        <v>5423.2199999999993</v>
      </c>
      <c r="O1067" t="str">
        <f t="shared" si="82"/>
        <v>Saturday</v>
      </c>
      <c r="P1067" t="b">
        <f t="shared" si="83"/>
        <v>1</v>
      </c>
      <c r="Q1067" t="str">
        <f t="shared" si="84"/>
        <v>September</v>
      </c>
    </row>
    <row r="1068" spans="1:17" x14ac:dyDescent="0.4">
      <c r="A1068" t="s">
        <v>1443</v>
      </c>
      <c r="B1068" s="1">
        <v>45796</v>
      </c>
      <c r="C1068" t="s">
        <v>241</v>
      </c>
      <c r="D1068" t="s">
        <v>14</v>
      </c>
      <c r="E1068" t="s">
        <v>1134</v>
      </c>
      <c r="F1068" t="s">
        <v>16</v>
      </c>
      <c r="G1068">
        <v>2</v>
      </c>
      <c r="H1068">
        <v>2721.17</v>
      </c>
      <c r="I1068">
        <v>30</v>
      </c>
      <c r="J1068">
        <v>1747.27</v>
      </c>
      <c r="K1068" t="s">
        <v>17</v>
      </c>
      <c r="L1068" t="s">
        <v>37</v>
      </c>
      <c r="M1068">
        <f t="shared" si="80"/>
        <v>3809.6379999999999</v>
      </c>
      <c r="N1068">
        <f t="shared" si="81"/>
        <v>315.09799999999996</v>
      </c>
      <c r="O1068" t="str">
        <f t="shared" si="82"/>
        <v>Monday</v>
      </c>
      <c r="P1068" t="b">
        <f t="shared" si="83"/>
        <v>0</v>
      </c>
      <c r="Q1068" t="str">
        <f t="shared" si="84"/>
        <v>May</v>
      </c>
    </row>
    <row r="1069" spans="1:17" x14ac:dyDescent="0.4">
      <c r="A1069" t="s">
        <v>1444</v>
      </c>
      <c r="B1069" s="1">
        <v>45343</v>
      </c>
      <c r="C1069" t="s">
        <v>20</v>
      </c>
      <c r="D1069" t="s">
        <v>31</v>
      </c>
      <c r="E1069" t="s">
        <v>425</v>
      </c>
      <c r="F1069" t="s">
        <v>28</v>
      </c>
      <c r="G1069">
        <v>1</v>
      </c>
      <c r="H1069">
        <v>2954.39</v>
      </c>
      <c r="I1069">
        <v>15</v>
      </c>
      <c r="J1069">
        <v>1472.81</v>
      </c>
      <c r="K1069" t="s">
        <v>17</v>
      </c>
      <c r="L1069" t="s">
        <v>18</v>
      </c>
      <c r="M1069">
        <f t="shared" si="80"/>
        <v>2511.2314999999999</v>
      </c>
      <c r="N1069">
        <f t="shared" si="81"/>
        <v>1038.4214999999999</v>
      </c>
      <c r="O1069" t="str">
        <f t="shared" si="82"/>
        <v>Wednesday</v>
      </c>
      <c r="P1069" t="b">
        <f t="shared" si="83"/>
        <v>0</v>
      </c>
      <c r="Q1069" t="str">
        <f t="shared" si="84"/>
        <v>February</v>
      </c>
    </row>
    <row r="1070" spans="1:17" x14ac:dyDescent="0.4">
      <c r="A1070" t="s">
        <v>1445</v>
      </c>
      <c r="B1070" s="1">
        <v>45942</v>
      </c>
      <c r="C1070" t="s">
        <v>190</v>
      </c>
      <c r="D1070" t="s">
        <v>46</v>
      </c>
      <c r="E1070" t="s">
        <v>1065</v>
      </c>
      <c r="F1070" t="s">
        <v>16</v>
      </c>
      <c r="G1070">
        <v>1</v>
      </c>
      <c r="H1070">
        <v>2797.48</v>
      </c>
      <c r="I1070">
        <v>30</v>
      </c>
      <c r="J1070">
        <v>1332.71</v>
      </c>
      <c r="K1070" t="s">
        <v>24</v>
      </c>
      <c r="L1070" t="s">
        <v>18</v>
      </c>
      <c r="M1070">
        <f t="shared" si="80"/>
        <v>1958.2359999999999</v>
      </c>
      <c r="N1070">
        <f t="shared" si="81"/>
        <v>625.52599999999984</v>
      </c>
      <c r="O1070" t="str">
        <f t="shared" si="82"/>
        <v>Sunday</v>
      </c>
      <c r="P1070" t="b">
        <f t="shared" si="83"/>
        <v>1</v>
      </c>
      <c r="Q1070" t="str">
        <f t="shared" si="84"/>
        <v>October</v>
      </c>
    </row>
    <row r="1071" spans="1:17" x14ac:dyDescent="0.4">
      <c r="A1071" t="s">
        <v>1446</v>
      </c>
      <c r="B1071" s="1">
        <v>45869</v>
      </c>
      <c r="C1071" t="s">
        <v>35</v>
      </c>
      <c r="D1071" t="s">
        <v>31</v>
      </c>
      <c r="E1071" t="s">
        <v>287</v>
      </c>
      <c r="F1071" t="s">
        <v>23</v>
      </c>
      <c r="G1071">
        <v>3</v>
      </c>
      <c r="H1071">
        <v>943.8</v>
      </c>
      <c r="I1071">
        <v>0</v>
      </c>
      <c r="J1071">
        <v>582.53</v>
      </c>
      <c r="K1071" t="s">
        <v>17</v>
      </c>
      <c r="L1071" t="s">
        <v>33</v>
      </c>
      <c r="M1071">
        <f t="shared" si="80"/>
        <v>2831.3999999999996</v>
      </c>
      <c r="N1071">
        <f t="shared" si="81"/>
        <v>1083.8099999999997</v>
      </c>
      <c r="O1071" t="str">
        <f t="shared" si="82"/>
        <v>Thursday</v>
      </c>
      <c r="P1071" t="b">
        <f t="shared" si="83"/>
        <v>0</v>
      </c>
      <c r="Q1071" t="str">
        <f t="shared" si="84"/>
        <v>July</v>
      </c>
    </row>
    <row r="1072" spans="1:17" x14ac:dyDescent="0.4">
      <c r="A1072" t="s">
        <v>1447</v>
      </c>
      <c r="B1072" s="1">
        <v>45769</v>
      </c>
      <c r="C1072" t="s">
        <v>92</v>
      </c>
      <c r="D1072" t="s">
        <v>31</v>
      </c>
      <c r="E1072" t="s">
        <v>384</v>
      </c>
      <c r="F1072" t="s">
        <v>28</v>
      </c>
      <c r="G1072">
        <v>3</v>
      </c>
      <c r="H1072">
        <v>318.51</v>
      </c>
      <c r="I1072">
        <v>25</v>
      </c>
      <c r="J1072">
        <v>129.12</v>
      </c>
      <c r="K1072" t="s">
        <v>17</v>
      </c>
      <c r="L1072" t="s">
        <v>37</v>
      </c>
      <c r="M1072">
        <f t="shared" si="80"/>
        <v>716.64750000000004</v>
      </c>
      <c r="N1072">
        <f t="shared" si="81"/>
        <v>329.28750000000002</v>
      </c>
      <c r="O1072" t="str">
        <f t="shared" si="82"/>
        <v>Tuesday</v>
      </c>
      <c r="P1072" t="b">
        <f t="shared" si="83"/>
        <v>0</v>
      </c>
      <c r="Q1072" t="str">
        <f t="shared" si="84"/>
        <v>April</v>
      </c>
    </row>
    <row r="1073" spans="1:17" x14ac:dyDescent="0.4">
      <c r="A1073" t="s">
        <v>1448</v>
      </c>
      <c r="B1073" s="1">
        <v>45627</v>
      </c>
      <c r="C1073" t="s">
        <v>84</v>
      </c>
      <c r="D1073" t="s">
        <v>46</v>
      </c>
      <c r="E1073" t="s">
        <v>334</v>
      </c>
      <c r="F1073" t="s">
        <v>16</v>
      </c>
      <c r="G1073">
        <v>2</v>
      </c>
      <c r="H1073">
        <v>1104.5</v>
      </c>
      <c r="I1073">
        <v>25</v>
      </c>
      <c r="J1073">
        <v>476.14</v>
      </c>
      <c r="K1073" t="s">
        <v>24</v>
      </c>
      <c r="L1073" t="s">
        <v>37</v>
      </c>
      <c r="M1073">
        <f t="shared" si="80"/>
        <v>1656.75</v>
      </c>
      <c r="N1073">
        <f t="shared" si="81"/>
        <v>704.47</v>
      </c>
      <c r="O1073" t="str">
        <f t="shared" si="82"/>
        <v>Sunday</v>
      </c>
      <c r="P1073" t="b">
        <f t="shared" si="83"/>
        <v>1</v>
      </c>
      <c r="Q1073" t="str">
        <f t="shared" si="84"/>
        <v>December</v>
      </c>
    </row>
    <row r="1074" spans="1:17" x14ac:dyDescent="0.4">
      <c r="A1074" t="s">
        <v>1449</v>
      </c>
      <c r="B1074" s="1">
        <v>45331</v>
      </c>
      <c r="C1074" t="s">
        <v>20</v>
      </c>
      <c r="D1074" t="s">
        <v>46</v>
      </c>
      <c r="E1074" t="s">
        <v>948</v>
      </c>
      <c r="F1074" t="s">
        <v>23</v>
      </c>
      <c r="G1074">
        <v>2</v>
      </c>
      <c r="H1074">
        <v>1052.44</v>
      </c>
      <c r="I1074">
        <v>10</v>
      </c>
      <c r="J1074">
        <v>615.04999999999995</v>
      </c>
      <c r="K1074" t="s">
        <v>24</v>
      </c>
      <c r="L1074" t="s">
        <v>37</v>
      </c>
      <c r="M1074">
        <f t="shared" si="80"/>
        <v>1894.3920000000001</v>
      </c>
      <c r="N1074">
        <f t="shared" si="81"/>
        <v>664.29200000000014</v>
      </c>
      <c r="O1074" t="str">
        <f t="shared" si="82"/>
        <v>Friday</v>
      </c>
      <c r="P1074" t="b">
        <f t="shared" si="83"/>
        <v>0</v>
      </c>
      <c r="Q1074" t="str">
        <f t="shared" si="84"/>
        <v>February</v>
      </c>
    </row>
    <row r="1075" spans="1:17" x14ac:dyDescent="0.4">
      <c r="A1075" t="s">
        <v>1450</v>
      </c>
      <c r="B1075" s="1">
        <v>45421</v>
      </c>
      <c r="C1075" t="s">
        <v>62</v>
      </c>
      <c r="D1075" t="s">
        <v>14</v>
      </c>
      <c r="E1075" t="s">
        <v>208</v>
      </c>
      <c r="F1075" t="s">
        <v>28</v>
      </c>
      <c r="G1075">
        <v>2</v>
      </c>
      <c r="H1075">
        <v>1968.87</v>
      </c>
      <c r="I1075">
        <v>30</v>
      </c>
      <c r="J1075">
        <v>1186.6500000000001</v>
      </c>
      <c r="K1075" t="s">
        <v>24</v>
      </c>
      <c r="L1075" t="s">
        <v>18</v>
      </c>
      <c r="M1075">
        <f t="shared" si="80"/>
        <v>2756.4179999999997</v>
      </c>
      <c r="N1075">
        <f t="shared" si="81"/>
        <v>383.11799999999948</v>
      </c>
      <c r="O1075" t="str">
        <f t="shared" si="82"/>
        <v>Thursday</v>
      </c>
      <c r="P1075" t="b">
        <f t="shared" si="83"/>
        <v>0</v>
      </c>
      <c r="Q1075" t="str">
        <f t="shared" si="84"/>
        <v>May</v>
      </c>
    </row>
    <row r="1076" spans="1:17" x14ac:dyDescent="0.4">
      <c r="A1076" t="s">
        <v>1451</v>
      </c>
      <c r="B1076" s="1">
        <v>45571</v>
      </c>
      <c r="C1076" t="s">
        <v>182</v>
      </c>
      <c r="D1076" t="s">
        <v>21</v>
      </c>
      <c r="E1076" t="s">
        <v>454</v>
      </c>
      <c r="F1076" t="s">
        <v>28</v>
      </c>
      <c r="G1076">
        <v>4</v>
      </c>
      <c r="H1076">
        <v>2743.59</v>
      </c>
      <c r="I1076">
        <v>0</v>
      </c>
      <c r="J1076">
        <v>1213.75</v>
      </c>
      <c r="K1076" t="s">
        <v>17</v>
      </c>
      <c r="L1076" t="s">
        <v>18</v>
      </c>
      <c r="M1076">
        <f t="shared" si="80"/>
        <v>10974.36</v>
      </c>
      <c r="N1076">
        <f t="shared" si="81"/>
        <v>6119.3600000000006</v>
      </c>
      <c r="O1076" t="str">
        <f t="shared" si="82"/>
        <v>Sunday</v>
      </c>
      <c r="P1076" t="b">
        <f t="shared" si="83"/>
        <v>1</v>
      </c>
      <c r="Q1076" t="str">
        <f t="shared" si="84"/>
        <v>October</v>
      </c>
    </row>
    <row r="1077" spans="1:17" x14ac:dyDescent="0.4">
      <c r="A1077" t="s">
        <v>1452</v>
      </c>
      <c r="B1077" s="1">
        <v>45719</v>
      </c>
      <c r="C1077" t="s">
        <v>98</v>
      </c>
      <c r="D1077" t="s">
        <v>31</v>
      </c>
      <c r="E1077" t="s">
        <v>43</v>
      </c>
      <c r="F1077" t="s">
        <v>28</v>
      </c>
      <c r="G1077">
        <v>3</v>
      </c>
      <c r="H1077">
        <v>1424.91</v>
      </c>
      <c r="I1077">
        <v>15</v>
      </c>
      <c r="J1077">
        <v>780.85</v>
      </c>
      <c r="K1077" t="s">
        <v>24</v>
      </c>
      <c r="L1077" t="s">
        <v>37</v>
      </c>
      <c r="M1077">
        <f t="shared" si="80"/>
        <v>3633.5205000000001</v>
      </c>
      <c r="N1077">
        <f t="shared" si="81"/>
        <v>1290.9704999999999</v>
      </c>
      <c r="O1077" t="str">
        <f t="shared" si="82"/>
        <v>Monday</v>
      </c>
      <c r="P1077" t="b">
        <f t="shared" si="83"/>
        <v>0</v>
      </c>
      <c r="Q1077" t="str">
        <f t="shared" si="84"/>
        <v>March</v>
      </c>
    </row>
    <row r="1078" spans="1:17" x14ac:dyDescent="0.4">
      <c r="A1078" t="s">
        <v>1453</v>
      </c>
      <c r="B1078" s="1">
        <v>45634</v>
      </c>
      <c r="C1078" t="s">
        <v>89</v>
      </c>
      <c r="D1078" t="s">
        <v>14</v>
      </c>
      <c r="E1078" t="s">
        <v>1062</v>
      </c>
      <c r="F1078" t="s">
        <v>16</v>
      </c>
      <c r="G1078">
        <v>5</v>
      </c>
      <c r="H1078">
        <v>1055.5</v>
      </c>
      <c r="I1078">
        <v>10</v>
      </c>
      <c r="J1078">
        <v>617.22</v>
      </c>
      <c r="K1078" t="s">
        <v>17</v>
      </c>
      <c r="L1078" t="s">
        <v>37</v>
      </c>
      <c r="M1078">
        <f t="shared" si="80"/>
        <v>4749.75</v>
      </c>
      <c r="N1078">
        <f t="shared" si="81"/>
        <v>1663.6499999999996</v>
      </c>
      <c r="O1078" t="str">
        <f t="shared" si="82"/>
        <v>Sunday</v>
      </c>
      <c r="P1078" t="b">
        <f t="shared" si="83"/>
        <v>1</v>
      </c>
      <c r="Q1078" t="str">
        <f t="shared" si="84"/>
        <v>December</v>
      </c>
    </row>
    <row r="1079" spans="1:17" x14ac:dyDescent="0.4">
      <c r="A1079" t="s">
        <v>1454</v>
      </c>
      <c r="B1079" s="1">
        <v>45420</v>
      </c>
      <c r="C1079" t="s">
        <v>179</v>
      </c>
      <c r="D1079" t="s">
        <v>31</v>
      </c>
      <c r="E1079" t="s">
        <v>488</v>
      </c>
      <c r="F1079" t="s">
        <v>28</v>
      </c>
      <c r="G1079">
        <v>1</v>
      </c>
      <c r="H1079">
        <v>2917.56</v>
      </c>
      <c r="I1079">
        <v>30</v>
      </c>
      <c r="J1079">
        <v>1285.1600000000001</v>
      </c>
      <c r="K1079" t="s">
        <v>17</v>
      </c>
      <c r="L1079" t="s">
        <v>18</v>
      </c>
      <c r="M1079">
        <f t="shared" si="80"/>
        <v>2042.2919999999999</v>
      </c>
      <c r="N1079">
        <f t="shared" si="81"/>
        <v>757.13199999999983</v>
      </c>
      <c r="O1079" t="str">
        <f t="shared" si="82"/>
        <v>Wednesday</v>
      </c>
      <c r="P1079" t="b">
        <f t="shared" si="83"/>
        <v>0</v>
      </c>
      <c r="Q1079" t="str">
        <f t="shared" si="84"/>
        <v>May</v>
      </c>
    </row>
    <row r="1080" spans="1:17" x14ac:dyDescent="0.4">
      <c r="A1080" t="s">
        <v>1455</v>
      </c>
      <c r="B1080" s="1">
        <v>45504</v>
      </c>
      <c r="C1080" t="s">
        <v>119</v>
      </c>
      <c r="D1080" t="s">
        <v>46</v>
      </c>
      <c r="E1080" t="s">
        <v>670</v>
      </c>
      <c r="F1080" t="s">
        <v>16</v>
      </c>
      <c r="G1080">
        <v>1</v>
      </c>
      <c r="H1080">
        <v>620.5</v>
      </c>
      <c r="I1080">
        <v>0</v>
      </c>
      <c r="J1080">
        <v>291.95</v>
      </c>
      <c r="K1080" t="s">
        <v>24</v>
      </c>
      <c r="L1080" t="s">
        <v>18</v>
      </c>
      <c r="M1080">
        <f t="shared" si="80"/>
        <v>620.5</v>
      </c>
      <c r="N1080">
        <f t="shared" si="81"/>
        <v>328.55</v>
      </c>
      <c r="O1080" t="str">
        <f t="shared" si="82"/>
        <v>Wednesday</v>
      </c>
      <c r="P1080" t="b">
        <f t="shared" si="83"/>
        <v>0</v>
      </c>
      <c r="Q1080" t="str">
        <f t="shared" si="84"/>
        <v>July</v>
      </c>
    </row>
    <row r="1081" spans="1:17" x14ac:dyDescent="0.4">
      <c r="A1081" t="s">
        <v>1456</v>
      </c>
      <c r="B1081" s="1">
        <v>45475</v>
      </c>
      <c r="C1081" t="s">
        <v>59</v>
      </c>
      <c r="D1081" t="s">
        <v>21</v>
      </c>
      <c r="E1081" t="s">
        <v>454</v>
      </c>
      <c r="F1081" t="s">
        <v>23</v>
      </c>
      <c r="G1081">
        <v>5</v>
      </c>
      <c r="H1081">
        <v>835.5</v>
      </c>
      <c r="I1081">
        <v>20</v>
      </c>
      <c r="J1081">
        <v>496.21</v>
      </c>
      <c r="K1081" t="s">
        <v>17</v>
      </c>
      <c r="L1081" t="s">
        <v>33</v>
      </c>
      <c r="M1081">
        <f t="shared" si="80"/>
        <v>3342</v>
      </c>
      <c r="N1081">
        <f t="shared" si="81"/>
        <v>860.95000000000027</v>
      </c>
      <c r="O1081" t="str">
        <f t="shared" si="82"/>
        <v>Tuesday</v>
      </c>
      <c r="P1081" t="b">
        <f t="shared" si="83"/>
        <v>0</v>
      </c>
      <c r="Q1081" t="str">
        <f t="shared" si="84"/>
        <v>July</v>
      </c>
    </row>
    <row r="1082" spans="1:17" x14ac:dyDescent="0.4">
      <c r="A1082" t="s">
        <v>1457</v>
      </c>
      <c r="B1082" s="1">
        <v>45902</v>
      </c>
      <c r="C1082" t="s">
        <v>68</v>
      </c>
      <c r="D1082" t="s">
        <v>31</v>
      </c>
      <c r="E1082" t="s">
        <v>1019</v>
      </c>
      <c r="F1082" t="s">
        <v>28</v>
      </c>
      <c r="G1082">
        <v>1</v>
      </c>
      <c r="H1082">
        <v>938.24</v>
      </c>
      <c r="I1082">
        <v>15</v>
      </c>
      <c r="J1082">
        <v>526.67999999999995</v>
      </c>
      <c r="K1082" t="s">
        <v>17</v>
      </c>
      <c r="L1082" t="s">
        <v>18</v>
      </c>
      <c r="M1082">
        <f t="shared" si="80"/>
        <v>797.50400000000002</v>
      </c>
      <c r="N1082">
        <f t="shared" si="81"/>
        <v>270.82400000000007</v>
      </c>
      <c r="O1082" t="str">
        <f t="shared" si="82"/>
        <v>Tuesday</v>
      </c>
      <c r="P1082" t="b">
        <f t="shared" si="83"/>
        <v>0</v>
      </c>
      <c r="Q1082" t="str">
        <f t="shared" si="84"/>
        <v>September</v>
      </c>
    </row>
    <row r="1083" spans="1:17" x14ac:dyDescent="0.4">
      <c r="A1083" t="s">
        <v>1458</v>
      </c>
      <c r="B1083" s="1">
        <v>45365</v>
      </c>
      <c r="C1083" t="s">
        <v>174</v>
      </c>
      <c r="D1083" t="s">
        <v>14</v>
      </c>
      <c r="E1083" t="s">
        <v>346</v>
      </c>
      <c r="F1083" t="s">
        <v>16</v>
      </c>
      <c r="G1083">
        <v>4</v>
      </c>
      <c r="H1083">
        <v>332.29</v>
      </c>
      <c r="I1083">
        <v>25</v>
      </c>
      <c r="J1083">
        <v>136.02000000000001</v>
      </c>
      <c r="K1083" t="s">
        <v>24</v>
      </c>
      <c r="L1083" t="s">
        <v>33</v>
      </c>
      <c r="M1083">
        <f t="shared" si="80"/>
        <v>996.87000000000012</v>
      </c>
      <c r="N1083">
        <f t="shared" si="81"/>
        <v>452.79000000000008</v>
      </c>
      <c r="O1083" t="str">
        <f t="shared" si="82"/>
        <v>Thursday</v>
      </c>
      <c r="P1083" t="b">
        <f t="shared" si="83"/>
        <v>0</v>
      </c>
      <c r="Q1083" t="str">
        <f t="shared" si="84"/>
        <v>March</v>
      </c>
    </row>
    <row r="1084" spans="1:17" x14ac:dyDescent="0.4">
      <c r="A1084" t="s">
        <v>1459</v>
      </c>
      <c r="B1084" s="1">
        <v>45316</v>
      </c>
      <c r="C1084" t="s">
        <v>54</v>
      </c>
      <c r="D1084" t="s">
        <v>46</v>
      </c>
      <c r="E1084" t="s">
        <v>430</v>
      </c>
      <c r="F1084" t="s">
        <v>16</v>
      </c>
      <c r="G1084">
        <v>3</v>
      </c>
      <c r="H1084">
        <v>1593.63</v>
      </c>
      <c r="I1084">
        <v>0</v>
      </c>
      <c r="J1084">
        <v>899.29</v>
      </c>
      <c r="K1084" t="s">
        <v>17</v>
      </c>
      <c r="L1084" t="s">
        <v>37</v>
      </c>
      <c r="M1084">
        <f t="shared" si="80"/>
        <v>4780.8900000000003</v>
      </c>
      <c r="N1084">
        <f t="shared" si="81"/>
        <v>2083.0200000000004</v>
      </c>
      <c r="O1084" t="str">
        <f t="shared" si="82"/>
        <v>Thursday</v>
      </c>
      <c r="P1084" t="b">
        <f t="shared" si="83"/>
        <v>0</v>
      </c>
      <c r="Q1084" t="str">
        <f t="shared" si="84"/>
        <v>January</v>
      </c>
    </row>
    <row r="1085" spans="1:17" x14ac:dyDescent="0.4">
      <c r="A1085" t="s">
        <v>1460</v>
      </c>
      <c r="B1085" s="1">
        <v>45502</v>
      </c>
      <c r="C1085" t="s">
        <v>20</v>
      </c>
      <c r="D1085" t="s">
        <v>14</v>
      </c>
      <c r="E1085" t="s">
        <v>274</v>
      </c>
      <c r="F1085" t="s">
        <v>28</v>
      </c>
      <c r="G1085">
        <v>2</v>
      </c>
      <c r="H1085">
        <v>2163.25</v>
      </c>
      <c r="I1085">
        <v>0</v>
      </c>
      <c r="J1085">
        <v>1131.9100000000001</v>
      </c>
      <c r="K1085" t="s">
        <v>24</v>
      </c>
      <c r="L1085" t="s">
        <v>18</v>
      </c>
      <c r="M1085">
        <f t="shared" si="80"/>
        <v>4326.5</v>
      </c>
      <c r="N1085">
        <f t="shared" si="81"/>
        <v>2062.6799999999998</v>
      </c>
      <c r="O1085" t="str">
        <f t="shared" si="82"/>
        <v>Monday</v>
      </c>
      <c r="P1085" t="b">
        <f t="shared" si="83"/>
        <v>0</v>
      </c>
      <c r="Q1085" t="str">
        <f t="shared" si="84"/>
        <v>July</v>
      </c>
    </row>
    <row r="1086" spans="1:17" x14ac:dyDescent="0.4">
      <c r="A1086" t="s">
        <v>1461</v>
      </c>
      <c r="B1086" s="1">
        <v>45735</v>
      </c>
      <c r="C1086" t="s">
        <v>77</v>
      </c>
      <c r="D1086" t="s">
        <v>31</v>
      </c>
      <c r="E1086" t="s">
        <v>282</v>
      </c>
      <c r="F1086" t="s">
        <v>28</v>
      </c>
      <c r="G1086">
        <v>3</v>
      </c>
      <c r="H1086">
        <v>2523.59</v>
      </c>
      <c r="I1086">
        <v>0</v>
      </c>
      <c r="J1086">
        <v>1374.29</v>
      </c>
      <c r="K1086" t="s">
        <v>24</v>
      </c>
      <c r="L1086" t="s">
        <v>18</v>
      </c>
      <c r="M1086">
        <f t="shared" si="80"/>
        <v>7570.77</v>
      </c>
      <c r="N1086">
        <f t="shared" si="81"/>
        <v>3447.9000000000005</v>
      </c>
      <c r="O1086" t="str">
        <f t="shared" si="82"/>
        <v>Wednesday</v>
      </c>
      <c r="P1086" t="b">
        <f t="shared" si="83"/>
        <v>0</v>
      </c>
      <c r="Q1086" t="str">
        <f t="shared" si="84"/>
        <v>March</v>
      </c>
    </row>
    <row r="1087" spans="1:17" x14ac:dyDescent="0.4">
      <c r="A1087" t="s">
        <v>1462</v>
      </c>
      <c r="B1087" s="1">
        <v>45843</v>
      </c>
      <c r="C1087" t="s">
        <v>39</v>
      </c>
      <c r="D1087" t="s">
        <v>14</v>
      </c>
      <c r="E1087" t="s">
        <v>134</v>
      </c>
      <c r="F1087" t="s">
        <v>16</v>
      </c>
      <c r="G1087">
        <v>5</v>
      </c>
      <c r="H1087">
        <v>534.70000000000005</v>
      </c>
      <c r="I1087">
        <v>30</v>
      </c>
      <c r="J1087">
        <v>332.57</v>
      </c>
      <c r="K1087" t="s">
        <v>24</v>
      </c>
      <c r="L1087" t="s">
        <v>37</v>
      </c>
      <c r="M1087">
        <f t="shared" si="80"/>
        <v>1871.4499999999998</v>
      </c>
      <c r="N1087">
        <f t="shared" si="81"/>
        <v>208.59999999999991</v>
      </c>
      <c r="O1087" t="str">
        <f t="shared" si="82"/>
        <v>Saturday</v>
      </c>
      <c r="P1087" t="b">
        <f t="shared" si="83"/>
        <v>1</v>
      </c>
      <c r="Q1087" t="str">
        <f t="shared" si="84"/>
        <v>July</v>
      </c>
    </row>
    <row r="1088" spans="1:17" x14ac:dyDescent="0.4">
      <c r="A1088" t="s">
        <v>1463</v>
      </c>
      <c r="B1088" s="1">
        <v>45623</v>
      </c>
      <c r="C1088" t="s">
        <v>92</v>
      </c>
      <c r="D1088" t="s">
        <v>46</v>
      </c>
      <c r="E1088" t="s">
        <v>452</v>
      </c>
      <c r="F1088" t="s">
        <v>23</v>
      </c>
      <c r="G1088">
        <v>5</v>
      </c>
      <c r="H1088">
        <v>763.1</v>
      </c>
      <c r="I1088">
        <v>5</v>
      </c>
      <c r="J1088">
        <v>334.45</v>
      </c>
      <c r="K1088" t="s">
        <v>24</v>
      </c>
      <c r="L1088" t="s">
        <v>18</v>
      </c>
      <c r="M1088">
        <f t="shared" si="80"/>
        <v>3624.7249999999999</v>
      </c>
      <c r="N1088">
        <f t="shared" si="81"/>
        <v>1952.4749999999999</v>
      </c>
      <c r="O1088" t="str">
        <f t="shared" si="82"/>
        <v>Wednesday</v>
      </c>
      <c r="P1088" t="b">
        <f t="shared" si="83"/>
        <v>0</v>
      </c>
      <c r="Q1088" t="str">
        <f t="shared" si="84"/>
        <v>November</v>
      </c>
    </row>
    <row r="1089" spans="1:17" x14ac:dyDescent="0.4">
      <c r="A1089" t="s">
        <v>1464</v>
      </c>
      <c r="B1089" s="1">
        <v>45372</v>
      </c>
      <c r="C1089" t="s">
        <v>205</v>
      </c>
      <c r="D1089" t="s">
        <v>21</v>
      </c>
      <c r="E1089" t="s">
        <v>757</v>
      </c>
      <c r="F1089" t="s">
        <v>28</v>
      </c>
      <c r="G1089">
        <v>1</v>
      </c>
      <c r="H1089">
        <v>950.68</v>
      </c>
      <c r="I1089">
        <v>25</v>
      </c>
      <c r="J1089">
        <v>421.25</v>
      </c>
      <c r="K1089" t="s">
        <v>17</v>
      </c>
      <c r="L1089" t="s">
        <v>37</v>
      </c>
      <c r="M1089">
        <f t="shared" si="80"/>
        <v>713.01</v>
      </c>
      <c r="N1089">
        <f t="shared" si="81"/>
        <v>291.76</v>
      </c>
      <c r="O1089" t="str">
        <f t="shared" si="82"/>
        <v>Thursday</v>
      </c>
      <c r="P1089" t="b">
        <f t="shared" si="83"/>
        <v>0</v>
      </c>
      <c r="Q1089" t="str">
        <f t="shared" si="84"/>
        <v>March</v>
      </c>
    </row>
    <row r="1090" spans="1:17" x14ac:dyDescent="0.4">
      <c r="A1090" t="s">
        <v>1465</v>
      </c>
      <c r="B1090" s="1">
        <v>45504</v>
      </c>
      <c r="C1090" t="s">
        <v>205</v>
      </c>
      <c r="D1090" t="s">
        <v>46</v>
      </c>
      <c r="E1090" t="s">
        <v>874</v>
      </c>
      <c r="F1090" t="s">
        <v>28</v>
      </c>
      <c r="G1090">
        <v>1</v>
      </c>
      <c r="H1090">
        <v>2285.65</v>
      </c>
      <c r="I1090">
        <v>5</v>
      </c>
      <c r="J1090">
        <v>1412.97</v>
      </c>
      <c r="K1090" t="s">
        <v>17</v>
      </c>
      <c r="L1090" t="s">
        <v>37</v>
      </c>
      <c r="M1090">
        <f t="shared" si="80"/>
        <v>2171.3674999999998</v>
      </c>
      <c r="N1090">
        <f t="shared" si="81"/>
        <v>758.39749999999981</v>
      </c>
      <c r="O1090" t="str">
        <f t="shared" si="82"/>
        <v>Wednesday</v>
      </c>
      <c r="P1090" t="b">
        <f t="shared" si="83"/>
        <v>0</v>
      </c>
      <c r="Q1090" t="str">
        <f t="shared" si="84"/>
        <v>July</v>
      </c>
    </row>
    <row r="1091" spans="1:17" x14ac:dyDescent="0.4">
      <c r="A1091" t="s">
        <v>1466</v>
      </c>
      <c r="B1091" s="1">
        <v>45699</v>
      </c>
      <c r="C1091" t="s">
        <v>45</v>
      </c>
      <c r="D1091" t="s">
        <v>14</v>
      </c>
      <c r="E1091" t="s">
        <v>60</v>
      </c>
      <c r="F1091" t="s">
        <v>16</v>
      </c>
      <c r="G1091">
        <v>2</v>
      </c>
      <c r="H1091">
        <v>2117.08</v>
      </c>
      <c r="I1091">
        <v>5</v>
      </c>
      <c r="J1091">
        <v>940.32</v>
      </c>
      <c r="K1091" t="s">
        <v>24</v>
      </c>
      <c r="L1091" t="s">
        <v>33</v>
      </c>
      <c r="M1091">
        <f t="shared" ref="M1091:M1154" si="85">G1091 * H1091 * (1 - I1091/100)</f>
        <v>4022.4519999999998</v>
      </c>
      <c r="N1091">
        <f t="shared" ref="N1091:N1154" si="86">M1091 - (J1091 * G1091)</f>
        <v>2141.8119999999999</v>
      </c>
      <c r="O1091" t="str">
        <f t="shared" ref="O1091:O1154" si="87">TEXT(B1091,"dddd")</f>
        <v>Tuesday</v>
      </c>
      <c r="P1091" t="b">
        <f t="shared" ref="P1091:P1154" si="88">OR(TEXT(B1091,"ddd")="Sat", TEXT(B1091,"ddd")="Sun")</f>
        <v>0</v>
      </c>
      <c r="Q1091" t="str">
        <f t="shared" ref="Q1091:Q1154" si="89">TEXT(B1091,"mmmm")</f>
        <v>February</v>
      </c>
    </row>
    <row r="1092" spans="1:17" x14ac:dyDescent="0.4">
      <c r="A1092" t="s">
        <v>1467</v>
      </c>
      <c r="B1092" s="1">
        <v>45970</v>
      </c>
      <c r="C1092" t="s">
        <v>224</v>
      </c>
      <c r="D1092" t="s">
        <v>14</v>
      </c>
      <c r="E1092" t="s">
        <v>282</v>
      </c>
      <c r="F1092" t="s">
        <v>23</v>
      </c>
      <c r="G1092">
        <v>5</v>
      </c>
      <c r="H1092">
        <v>1350.5</v>
      </c>
      <c r="I1092">
        <v>0</v>
      </c>
      <c r="J1092">
        <v>778.98</v>
      </c>
      <c r="K1092" t="s">
        <v>24</v>
      </c>
      <c r="L1092" t="s">
        <v>37</v>
      </c>
      <c r="M1092">
        <f t="shared" si="85"/>
        <v>6752.5</v>
      </c>
      <c r="N1092">
        <f t="shared" si="86"/>
        <v>2857.6</v>
      </c>
      <c r="O1092" t="str">
        <f t="shared" si="87"/>
        <v>Sunday</v>
      </c>
      <c r="P1092" t="b">
        <f t="shared" si="88"/>
        <v>1</v>
      </c>
      <c r="Q1092" t="str">
        <f t="shared" si="89"/>
        <v>November</v>
      </c>
    </row>
    <row r="1093" spans="1:17" x14ac:dyDescent="0.4">
      <c r="A1093" t="s">
        <v>1468</v>
      </c>
      <c r="B1093" s="1">
        <v>45636</v>
      </c>
      <c r="C1093" t="s">
        <v>13</v>
      </c>
      <c r="D1093" t="s">
        <v>31</v>
      </c>
      <c r="E1093" t="s">
        <v>311</v>
      </c>
      <c r="F1093" t="s">
        <v>23</v>
      </c>
      <c r="G1093">
        <v>3</v>
      </c>
      <c r="H1093">
        <v>901.38</v>
      </c>
      <c r="I1093">
        <v>30</v>
      </c>
      <c r="J1093">
        <v>580.4</v>
      </c>
      <c r="K1093" t="s">
        <v>24</v>
      </c>
      <c r="L1093" t="s">
        <v>37</v>
      </c>
      <c r="M1093">
        <f t="shared" si="85"/>
        <v>1892.8979999999997</v>
      </c>
      <c r="N1093">
        <f t="shared" si="86"/>
        <v>151.69799999999987</v>
      </c>
      <c r="O1093" t="str">
        <f t="shared" si="87"/>
        <v>Tuesday</v>
      </c>
      <c r="P1093" t="b">
        <f t="shared" si="88"/>
        <v>0</v>
      </c>
      <c r="Q1093" t="str">
        <f t="shared" si="89"/>
        <v>December</v>
      </c>
    </row>
    <row r="1094" spans="1:17" x14ac:dyDescent="0.4">
      <c r="A1094" t="s">
        <v>1469</v>
      </c>
      <c r="B1094" s="1">
        <v>45385</v>
      </c>
      <c r="C1094" t="s">
        <v>159</v>
      </c>
      <c r="D1094" t="s">
        <v>14</v>
      </c>
      <c r="E1094" t="s">
        <v>120</v>
      </c>
      <c r="F1094" t="s">
        <v>28</v>
      </c>
      <c r="G1094">
        <v>5</v>
      </c>
      <c r="H1094">
        <v>2902.29</v>
      </c>
      <c r="I1094">
        <v>10</v>
      </c>
      <c r="J1094">
        <v>1806.34</v>
      </c>
      <c r="K1094" t="s">
        <v>17</v>
      </c>
      <c r="L1094" t="s">
        <v>18</v>
      </c>
      <c r="M1094">
        <f t="shared" si="85"/>
        <v>13060.305</v>
      </c>
      <c r="N1094">
        <f t="shared" si="86"/>
        <v>4028.6050000000014</v>
      </c>
      <c r="O1094" t="str">
        <f t="shared" si="87"/>
        <v>Wednesday</v>
      </c>
      <c r="P1094" t="b">
        <f t="shared" si="88"/>
        <v>0</v>
      </c>
      <c r="Q1094" t="str">
        <f t="shared" si="89"/>
        <v>April</v>
      </c>
    </row>
    <row r="1095" spans="1:17" x14ac:dyDescent="0.4">
      <c r="A1095" t="s">
        <v>1470</v>
      </c>
      <c r="B1095" s="1">
        <v>45311</v>
      </c>
      <c r="C1095" t="s">
        <v>71</v>
      </c>
      <c r="D1095" t="s">
        <v>21</v>
      </c>
      <c r="E1095" t="s">
        <v>850</v>
      </c>
      <c r="F1095" t="s">
        <v>28</v>
      </c>
      <c r="G1095">
        <v>5</v>
      </c>
      <c r="H1095">
        <v>2386.3000000000002</v>
      </c>
      <c r="I1095">
        <v>10</v>
      </c>
      <c r="J1095">
        <v>1123.33</v>
      </c>
      <c r="K1095" t="s">
        <v>17</v>
      </c>
      <c r="L1095" t="s">
        <v>18</v>
      </c>
      <c r="M1095">
        <f t="shared" si="85"/>
        <v>10738.35</v>
      </c>
      <c r="N1095">
        <f t="shared" si="86"/>
        <v>5121.7000000000007</v>
      </c>
      <c r="O1095" t="str">
        <f t="shared" si="87"/>
        <v>Saturday</v>
      </c>
      <c r="P1095" t="b">
        <f t="shared" si="88"/>
        <v>1</v>
      </c>
      <c r="Q1095" t="str">
        <f t="shared" si="89"/>
        <v>January</v>
      </c>
    </row>
    <row r="1096" spans="1:17" x14ac:dyDescent="0.4">
      <c r="A1096" t="s">
        <v>1471</v>
      </c>
      <c r="B1096" s="1">
        <v>45865</v>
      </c>
      <c r="C1096" t="s">
        <v>13</v>
      </c>
      <c r="D1096" t="s">
        <v>21</v>
      </c>
      <c r="E1096" t="s">
        <v>218</v>
      </c>
      <c r="F1096" t="s">
        <v>28</v>
      </c>
      <c r="G1096">
        <v>1</v>
      </c>
      <c r="H1096">
        <v>2297.27</v>
      </c>
      <c r="I1096">
        <v>0</v>
      </c>
      <c r="J1096">
        <v>1599.4</v>
      </c>
      <c r="K1096" t="s">
        <v>17</v>
      </c>
      <c r="L1096" t="s">
        <v>18</v>
      </c>
      <c r="M1096">
        <f t="shared" si="85"/>
        <v>2297.27</v>
      </c>
      <c r="N1096">
        <f t="shared" si="86"/>
        <v>697.86999999999989</v>
      </c>
      <c r="O1096" t="str">
        <f t="shared" si="87"/>
        <v>Sunday</v>
      </c>
      <c r="P1096" t="b">
        <f t="shared" si="88"/>
        <v>1</v>
      </c>
      <c r="Q1096" t="str">
        <f t="shared" si="89"/>
        <v>July</v>
      </c>
    </row>
    <row r="1097" spans="1:17" x14ac:dyDescent="0.4">
      <c r="A1097" t="s">
        <v>1472</v>
      </c>
      <c r="B1097" s="1">
        <v>45851</v>
      </c>
      <c r="C1097" t="s">
        <v>68</v>
      </c>
      <c r="D1097" t="s">
        <v>46</v>
      </c>
      <c r="E1097" t="s">
        <v>613</v>
      </c>
      <c r="F1097" t="s">
        <v>16</v>
      </c>
      <c r="G1097">
        <v>1</v>
      </c>
      <c r="H1097">
        <v>639.91999999999996</v>
      </c>
      <c r="I1097">
        <v>20</v>
      </c>
      <c r="J1097">
        <v>413.84</v>
      </c>
      <c r="K1097" t="s">
        <v>17</v>
      </c>
      <c r="L1097" t="s">
        <v>37</v>
      </c>
      <c r="M1097">
        <f t="shared" si="85"/>
        <v>511.93599999999998</v>
      </c>
      <c r="N1097">
        <f t="shared" si="86"/>
        <v>98.096000000000004</v>
      </c>
      <c r="O1097" t="str">
        <f t="shared" si="87"/>
        <v>Sunday</v>
      </c>
      <c r="P1097" t="b">
        <f t="shared" si="88"/>
        <v>1</v>
      </c>
      <c r="Q1097" t="str">
        <f t="shared" si="89"/>
        <v>July</v>
      </c>
    </row>
    <row r="1098" spans="1:17" x14ac:dyDescent="0.4">
      <c r="A1098" t="s">
        <v>1473</v>
      </c>
      <c r="B1098" s="1">
        <v>45415</v>
      </c>
      <c r="C1098" t="s">
        <v>253</v>
      </c>
      <c r="D1098" t="s">
        <v>31</v>
      </c>
      <c r="E1098" t="s">
        <v>1170</v>
      </c>
      <c r="F1098" t="s">
        <v>23</v>
      </c>
      <c r="G1098">
        <v>3</v>
      </c>
      <c r="H1098">
        <v>2163.79</v>
      </c>
      <c r="I1098">
        <v>25</v>
      </c>
      <c r="J1098">
        <v>1109.33</v>
      </c>
      <c r="K1098" t="s">
        <v>17</v>
      </c>
      <c r="L1098" t="s">
        <v>18</v>
      </c>
      <c r="M1098">
        <f t="shared" si="85"/>
        <v>4868.5275000000001</v>
      </c>
      <c r="N1098">
        <f t="shared" si="86"/>
        <v>1540.5375000000004</v>
      </c>
      <c r="O1098" t="str">
        <f t="shared" si="87"/>
        <v>Friday</v>
      </c>
      <c r="P1098" t="b">
        <f t="shared" si="88"/>
        <v>0</v>
      </c>
      <c r="Q1098" t="str">
        <f t="shared" si="89"/>
        <v>May</v>
      </c>
    </row>
    <row r="1099" spans="1:17" x14ac:dyDescent="0.4">
      <c r="A1099" t="s">
        <v>1474</v>
      </c>
      <c r="B1099" s="1">
        <v>45599</v>
      </c>
      <c r="C1099" t="s">
        <v>253</v>
      </c>
      <c r="D1099" t="s">
        <v>14</v>
      </c>
      <c r="E1099" t="s">
        <v>469</v>
      </c>
      <c r="F1099" t="s">
        <v>23</v>
      </c>
      <c r="G1099">
        <v>4</v>
      </c>
      <c r="H1099">
        <v>2790.22</v>
      </c>
      <c r="I1099">
        <v>10</v>
      </c>
      <c r="J1099">
        <v>1414.62</v>
      </c>
      <c r="K1099" t="s">
        <v>17</v>
      </c>
      <c r="L1099" t="s">
        <v>33</v>
      </c>
      <c r="M1099">
        <f t="shared" si="85"/>
        <v>10044.791999999999</v>
      </c>
      <c r="N1099">
        <f t="shared" si="86"/>
        <v>4386.3119999999999</v>
      </c>
      <c r="O1099" t="str">
        <f t="shared" si="87"/>
        <v>Sunday</v>
      </c>
      <c r="P1099" t="b">
        <f t="shared" si="88"/>
        <v>1</v>
      </c>
      <c r="Q1099" t="str">
        <f t="shared" si="89"/>
        <v>November</v>
      </c>
    </row>
    <row r="1100" spans="1:17" x14ac:dyDescent="0.4">
      <c r="A1100" t="s">
        <v>1475</v>
      </c>
      <c r="B1100" s="1">
        <v>45659</v>
      </c>
      <c r="C1100" t="s">
        <v>205</v>
      </c>
      <c r="D1100" t="s">
        <v>31</v>
      </c>
      <c r="E1100" t="s">
        <v>57</v>
      </c>
      <c r="F1100" t="s">
        <v>23</v>
      </c>
      <c r="G1100">
        <v>3</v>
      </c>
      <c r="H1100">
        <v>1642.2</v>
      </c>
      <c r="I1100">
        <v>5</v>
      </c>
      <c r="J1100">
        <v>946.83</v>
      </c>
      <c r="K1100" t="s">
        <v>17</v>
      </c>
      <c r="L1100" t="s">
        <v>33</v>
      </c>
      <c r="M1100">
        <f t="shared" si="85"/>
        <v>4680.2700000000004</v>
      </c>
      <c r="N1100">
        <f t="shared" si="86"/>
        <v>1839.7800000000002</v>
      </c>
      <c r="O1100" t="str">
        <f t="shared" si="87"/>
        <v>Thursday</v>
      </c>
      <c r="P1100" t="b">
        <f t="shared" si="88"/>
        <v>0</v>
      </c>
      <c r="Q1100" t="str">
        <f t="shared" si="89"/>
        <v>January</v>
      </c>
    </row>
    <row r="1101" spans="1:17" x14ac:dyDescent="0.4">
      <c r="A1101" t="s">
        <v>1476</v>
      </c>
      <c r="B1101" s="1">
        <v>45598</v>
      </c>
      <c r="C1101" t="s">
        <v>174</v>
      </c>
      <c r="D1101" t="s">
        <v>14</v>
      </c>
      <c r="E1101" t="s">
        <v>101</v>
      </c>
      <c r="F1101" t="s">
        <v>28</v>
      </c>
      <c r="G1101">
        <v>3</v>
      </c>
      <c r="H1101">
        <v>2739.45</v>
      </c>
      <c r="I1101">
        <v>10</v>
      </c>
      <c r="J1101">
        <v>1354.32</v>
      </c>
      <c r="K1101" t="s">
        <v>17</v>
      </c>
      <c r="L1101" t="s">
        <v>18</v>
      </c>
      <c r="M1101">
        <f t="shared" si="85"/>
        <v>7396.5149999999985</v>
      </c>
      <c r="N1101">
        <f t="shared" si="86"/>
        <v>3333.5549999999985</v>
      </c>
      <c r="O1101" t="str">
        <f t="shared" si="87"/>
        <v>Saturday</v>
      </c>
      <c r="P1101" t="b">
        <f t="shared" si="88"/>
        <v>1</v>
      </c>
      <c r="Q1101" t="str">
        <f t="shared" si="89"/>
        <v>November</v>
      </c>
    </row>
    <row r="1102" spans="1:17" x14ac:dyDescent="0.4">
      <c r="A1102" t="s">
        <v>1477</v>
      </c>
      <c r="B1102" s="1">
        <v>45367</v>
      </c>
      <c r="C1102" t="s">
        <v>84</v>
      </c>
      <c r="D1102" t="s">
        <v>31</v>
      </c>
      <c r="E1102" t="s">
        <v>587</v>
      </c>
      <c r="F1102" t="s">
        <v>23</v>
      </c>
      <c r="G1102">
        <v>5</v>
      </c>
      <c r="H1102">
        <v>1868.88</v>
      </c>
      <c r="I1102">
        <v>30</v>
      </c>
      <c r="J1102">
        <v>979.47</v>
      </c>
      <c r="K1102" t="s">
        <v>17</v>
      </c>
      <c r="L1102" t="s">
        <v>37</v>
      </c>
      <c r="M1102">
        <f t="shared" si="85"/>
        <v>6541.0800000000008</v>
      </c>
      <c r="N1102">
        <f t="shared" si="86"/>
        <v>1643.7300000000005</v>
      </c>
      <c r="O1102" t="str">
        <f t="shared" si="87"/>
        <v>Saturday</v>
      </c>
      <c r="P1102" t="b">
        <f t="shared" si="88"/>
        <v>1</v>
      </c>
      <c r="Q1102" t="str">
        <f t="shared" si="89"/>
        <v>March</v>
      </c>
    </row>
    <row r="1103" spans="1:17" x14ac:dyDescent="0.4">
      <c r="A1103" t="s">
        <v>1478</v>
      </c>
      <c r="B1103" s="1">
        <v>45505</v>
      </c>
      <c r="C1103" t="s">
        <v>179</v>
      </c>
      <c r="D1103" t="s">
        <v>21</v>
      </c>
      <c r="E1103" t="s">
        <v>82</v>
      </c>
      <c r="F1103" t="s">
        <v>16</v>
      </c>
      <c r="G1103">
        <v>2</v>
      </c>
      <c r="H1103">
        <v>604.63</v>
      </c>
      <c r="I1103">
        <v>25</v>
      </c>
      <c r="J1103">
        <v>294.18</v>
      </c>
      <c r="K1103" t="s">
        <v>24</v>
      </c>
      <c r="L1103" t="s">
        <v>37</v>
      </c>
      <c r="M1103">
        <f t="shared" si="85"/>
        <v>906.94499999999994</v>
      </c>
      <c r="N1103">
        <f t="shared" si="86"/>
        <v>318.58499999999992</v>
      </c>
      <c r="O1103" t="str">
        <f t="shared" si="87"/>
        <v>Thursday</v>
      </c>
      <c r="P1103" t="b">
        <f t="shared" si="88"/>
        <v>0</v>
      </c>
      <c r="Q1103" t="str">
        <f t="shared" si="89"/>
        <v>August</v>
      </c>
    </row>
    <row r="1104" spans="1:17" x14ac:dyDescent="0.4">
      <c r="A1104" t="s">
        <v>1479</v>
      </c>
      <c r="B1104" s="1">
        <v>45733</v>
      </c>
      <c r="C1104" t="s">
        <v>114</v>
      </c>
      <c r="D1104" t="s">
        <v>14</v>
      </c>
      <c r="E1104" t="s">
        <v>346</v>
      </c>
      <c r="F1104" t="s">
        <v>28</v>
      </c>
      <c r="G1104">
        <v>2</v>
      </c>
      <c r="H1104">
        <v>2183.67</v>
      </c>
      <c r="I1104">
        <v>10</v>
      </c>
      <c r="J1104">
        <v>948.55</v>
      </c>
      <c r="K1104" t="s">
        <v>24</v>
      </c>
      <c r="L1104" t="s">
        <v>18</v>
      </c>
      <c r="M1104">
        <f t="shared" si="85"/>
        <v>3930.6060000000002</v>
      </c>
      <c r="N1104">
        <f t="shared" si="86"/>
        <v>2033.5060000000003</v>
      </c>
      <c r="O1104" t="str">
        <f t="shared" si="87"/>
        <v>Monday</v>
      </c>
      <c r="P1104" t="b">
        <f t="shared" si="88"/>
        <v>0</v>
      </c>
      <c r="Q1104" t="str">
        <f t="shared" si="89"/>
        <v>March</v>
      </c>
    </row>
    <row r="1105" spans="1:17" x14ac:dyDescent="0.4">
      <c r="A1105" t="s">
        <v>1480</v>
      </c>
      <c r="B1105" s="1">
        <v>45682</v>
      </c>
      <c r="C1105" t="s">
        <v>119</v>
      </c>
      <c r="D1105" t="s">
        <v>21</v>
      </c>
      <c r="E1105" t="s">
        <v>1383</v>
      </c>
      <c r="F1105" t="s">
        <v>16</v>
      </c>
      <c r="G1105">
        <v>4</v>
      </c>
      <c r="H1105">
        <v>1538.31</v>
      </c>
      <c r="I1105">
        <v>20</v>
      </c>
      <c r="J1105">
        <v>814.87</v>
      </c>
      <c r="K1105" t="s">
        <v>24</v>
      </c>
      <c r="L1105" t="s">
        <v>18</v>
      </c>
      <c r="M1105">
        <f t="shared" si="85"/>
        <v>4922.5920000000006</v>
      </c>
      <c r="N1105">
        <f t="shared" si="86"/>
        <v>1663.1120000000005</v>
      </c>
      <c r="O1105" t="str">
        <f t="shared" si="87"/>
        <v>Saturday</v>
      </c>
      <c r="P1105" t="b">
        <f t="shared" si="88"/>
        <v>1</v>
      </c>
      <c r="Q1105" t="str">
        <f t="shared" si="89"/>
        <v>January</v>
      </c>
    </row>
    <row r="1106" spans="1:17" x14ac:dyDescent="0.4">
      <c r="A1106" t="s">
        <v>1481</v>
      </c>
      <c r="B1106" s="1">
        <v>45426</v>
      </c>
      <c r="C1106" t="s">
        <v>89</v>
      </c>
      <c r="D1106" t="s">
        <v>31</v>
      </c>
      <c r="E1106" t="s">
        <v>546</v>
      </c>
      <c r="F1106" t="s">
        <v>28</v>
      </c>
      <c r="G1106">
        <v>1</v>
      </c>
      <c r="H1106">
        <v>1345.92</v>
      </c>
      <c r="I1106">
        <v>15</v>
      </c>
      <c r="J1106">
        <v>579.57000000000005</v>
      </c>
      <c r="K1106" t="s">
        <v>24</v>
      </c>
      <c r="L1106" t="s">
        <v>18</v>
      </c>
      <c r="M1106">
        <f t="shared" si="85"/>
        <v>1144.0319999999999</v>
      </c>
      <c r="N1106">
        <f t="shared" si="86"/>
        <v>564.46199999999988</v>
      </c>
      <c r="O1106" t="str">
        <f t="shared" si="87"/>
        <v>Tuesday</v>
      </c>
      <c r="P1106" t="b">
        <f t="shared" si="88"/>
        <v>0</v>
      </c>
      <c r="Q1106" t="str">
        <f t="shared" si="89"/>
        <v>May</v>
      </c>
    </row>
    <row r="1107" spans="1:17" x14ac:dyDescent="0.4">
      <c r="A1107" t="s">
        <v>1482</v>
      </c>
      <c r="B1107" s="1">
        <v>45463</v>
      </c>
      <c r="C1107" t="s">
        <v>65</v>
      </c>
      <c r="D1107" t="s">
        <v>46</v>
      </c>
      <c r="E1107" t="s">
        <v>447</v>
      </c>
      <c r="F1107" t="s">
        <v>16</v>
      </c>
      <c r="G1107">
        <v>4</v>
      </c>
      <c r="H1107">
        <v>2639.8</v>
      </c>
      <c r="I1107">
        <v>0</v>
      </c>
      <c r="J1107">
        <v>1801.95</v>
      </c>
      <c r="K1107" t="s">
        <v>17</v>
      </c>
      <c r="L1107" t="s">
        <v>18</v>
      </c>
      <c r="M1107">
        <f t="shared" si="85"/>
        <v>10559.2</v>
      </c>
      <c r="N1107">
        <f t="shared" si="86"/>
        <v>3351.4000000000005</v>
      </c>
      <c r="O1107" t="str">
        <f t="shared" si="87"/>
        <v>Thursday</v>
      </c>
      <c r="P1107" t="b">
        <f t="shared" si="88"/>
        <v>0</v>
      </c>
      <c r="Q1107" t="str">
        <f t="shared" si="89"/>
        <v>June</v>
      </c>
    </row>
    <row r="1108" spans="1:17" x14ac:dyDescent="0.4">
      <c r="A1108" t="s">
        <v>1483</v>
      </c>
      <c r="B1108" s="1">
        <v>45468</v>
      </c>
      <c r="C1108" t="s">
        <v>98</v>
      </c>
      <c r="D1108" t="s">
        <v>21</v>
      </c>
      <c r="E1108" t="s">
        <v>43</v>
      </c>
      <c r="F1108" t="s">
        <v>28</v>
      </c>
      <c r="G1108">
        <v>5</v>
      </c>
      <c r="H1108">
        <v>2343.65</v>
      </c>
      <c r="I1108">
        <v>30</v>
      </c>
      <c r="J1108">
        <v>1618.05</v>
      </c>
      <c r="K1108" t="s">
        <v>24</v>
      </c>
      <c r="L1108" t="s">
        <v>37</v>
      </c>
      <c r="M1108">
        <f t="shared" si="85"/>
        <v>8202.7749999999996</v>
      </c>
      <c r="N1108">
        <f t="shared" si="86"/>
        <v>112.52499999999964</v>
      </c>
      <c r="O1108" t="str">
        <f t="shared" si="87"/>
        <v>Tuesday</v>
      </c>
      <c r="P1108" t="b">
        <f t="shared" si="88"/>
        <v>0</v>
      </c>
      <c r="Q1108" t="str">
        <f t="shared" si="89"/>
        <v>June</v>
      </c>
    </row>
    <row r="1109" spans="1:17" x14ac:dyDescent="0.4">
      <c r="A1109" t="s">
        <v>1484</v>
      </c>
      <c r="B1109" s="1">
        <v>45672</v>
      </c>
      <c r="C1109" t="s">
        <v>13</v>
      </c>
      <c r="D1109" t="s">
        <v>21</v>
      </c>
      <c r="E1109" t="s">
        <v>596</v>
      </c>
      <c r="F1109" t="s">
        <v>23</v>
      </c>
      <c r="G1109">
        <v>2</v>
      </c>
      <c r="H1109">
        <v>2072.9899999999998</v>
      </c>
      <c r="I1109">
        <v>20</v>
      </c>
      <c r="J1109">
        <v>1216.1300000000001</v>
      </c>
      <c r="K1109" t="s">
        <v>24</v>
      </c>
      <c r="L1109" t="s">
        <v>33</v>
      </c>
      <c r="M1109">
        <f t="shared" si="85"/>
        <v>3316.7839999999997</v>
      </c>
      <c r="N1109">
        <f t="shared" si="86"/>
        <v>884.52399999999943</v>
      </c>
      <c r="O1109" t="str">
        <f t="shared" si="87"/>
        <v>Wednesday</v>
      </c>
      <c r="P1109" t="b">
        <f t="shared" si="88"/>
        <v>0</v>
      </c>
      <c r="Q1109" t="str">
        <f t="shared" si="89"/>
        <v>January</v>
      </c>
    </row>
    <row r="1110" spans="1:17" x14ac:dyDescent="0.4">
      <c r="A1110" t="s">
        <v>1485</v>
      </c>
      <c r="B1110" s="1">
        <v>45403</v>
      </c>
      <c r="C1110" t="s">
        <v>92</v>
      </c>
      <c r="D1110" t="s">
        <v>31</v>
      </c>
      <c r="E1110" t="s">
        <v>409</v>
      </c>
      <c r="F1110" t="s">
        <v>28</v>
      </c>
      <c r="G1110">
        <v>4</v>
      </c>
      <c r="H1110">
        <v>1799.89</v>
      </c>
      <c r="I1110">
        <v>20</v>
      </c>
      <c r="J1110">
        <v>1103.08</v>
      </c>
      <c r="K1110" t="s">
        <v>17</v>
      </c>
      <c r="L1110" t="s">
        <v>18</v>
      </c>
      <c r="M1110">
        <f t="shared" si="85"/>
        <v>5759.648000000001</v>
      </c>
      <c r="N1110">
        <f t="shared" si="86"/>
        <v>1347.3280000000013</v>
      </c>
      <c r="O1110" t="str">
        <f t="shared" si="87"/>
        <v>Sunday</v>
      </c>
      <c r="P1110" t="b">
        <f t="shared" si="88"/>
        <v>1</v>
      </c>
      <c r="Q1110" t="str">
        <f t="shared" si="89"/>
        <v>April</v>
      </c>
    </row>
    <row r="1111" spans="1:17" x14ac:dyDescent="0.4">
      <c r="A1111" t="s">
        <v>1486</v>
      </c>
      <c r="B1111" s="1">
        <v>45518</v>
      </c>
      <c r="C1111" t="s">
        <v>54</v>
      </c>
      <c r="D1111" t="s">
        <v>14</v>
      </c>
      <c r="E1111" t="s">
        <v>354</v>
      </c>
      <c r="F1111" t="s">
        <v>28</v>
      </c>
      <c r="G1111">
        <v>2</v>
      </c>
      <c r="H1111">
        <v>2716.76</v>
      </c>
      <c r="I1111">
        <v>15</v>
      </c>
      <c r="J1111">
        <v>1679.68</v>
      </c>
      <c r="K1111" t="s">
        <v>24</v>
      </c>
      <c r="L1111" t="s">
        <v>37</v>
      </c>
      <c r="M1111">
        <f t="shared" si="85"/>
        <v>4618.4920000000002</v>
      </c>
      <c r="N1111">
        <f t="shared" si="86"/>
        <v>1259.1320000000001</v>
      </c>
      <c r="O1111" t="str">
        <f t="shared" si="87"/>
        <v>Wednesday</v>
      </c>
      <c r="P1111" t="b">
        <f t="shared" si="88"/>
        <v>0</v>
      </c>
      <c r="Q1111" t="str">
        <f t="shared" si="89"/>
        <v>August</v>
      </c>
    </row>
    <row r="1112" spans="1:17" x14ac:dyDescent="0.4">
      <c r="A1112" t="s">
        <v>1487</v>
      </c>
      <c r="B1112" s="1">
        <v>45775</v>
      </c>
      <c r="C1112" t="s">
        <v>35</v>
      </c>
      <c r="D1112" t="s">
        <v>31</v>
      </c>
      <c r="E1112" t="s">
        <v>1102</v>
      </c>
      <c r="F1112" t="s">
        <v>23</v>
      </c>
      <c r="G1112">
        <v>3</v>
      </c>
      <c r="H1112">
        <v>1550.24</v>
      </c>
      <c r="I1112">
        <v>15</v>
      </c>
      <c r="J1112">
        <v>774.35</v>
      </c>
      <c r="K1112" t="s">
        <v>17</v>
      </c>
      <c r="L1112" t="s">
        <v>33</v>
      </c>
      <c r="M1112">
        <f t="shared" si="85"/>
        <v>3953.1120000000001</v>
      </c>
      <c r="N1112">
        <f t="shared" si="86"/>
        <v>1630.0619999999999</v>
      </c>
      <c r="O1112" t="str">
        <f t="shared" si="87"/>
        <v>Monday</v>
      </c>
      <c r="P1112" t="b">
        <f t="shared" si="88"/>
        <v>0</v>
      </c>
      <c r="Q1112" t="str">
        <f t="shared" si="89"/>
        <v>April</v>
      </c>
    </row>
    <row r="1113" spans="1:17" x14ac:dyDescent="0.4">
      <c r="A1113" t="s">
        <v>1488</v>
      </c>
      <c r="B1113" s="1">
        <v>45938</v>
      </c>
      <c r="C1113" t="s">
        <v>114</v>
      </c>
      <c r="D1113" t="s">
        <v>31</v>
      </c>
      <c r="E1113" t="s">
        <v>591</v>
      </c>
      <c r="F1113" t="s">
        <v>28</v>
      </c>
      <c r="G1113">
        <v>1</v>
      </c>
      <c r="H1113">
        <v>415.1</v>
      </c>
      <c r="I1113">
        <v>5</v>
      </c>
      <c r="J1113">
        <v>280.56</v>
      </c>
      <c r="K1113" t="s">
        <v>24</v>
      </c>
      <c r="L1113" t="s">
        <v>18</v>
      </c>
      <c r="M1113">
        <f t="shared" si="85"/>
        <v>394.34500000000003</v>
      </c>
      <c r="N1113">
        <f t="shared" si="86"/>
        <v>113.78500000000003</v>
      </c>
      <c r="O1113" t="str">
        <f t="shared" si="87"/>
        <v>Wednesday</v>
      </c>
      <c r="P1113" t="b">
        <f t="shared" si="88"/>
        <v>0</v>
      </c>
      <c r="Q1113" t="str">
        <f t="shared" si="89"/>
        <v>October</v>
      </c>
    </row>
    <row r="1114" spans="1:17" x14ac:dyDescent="0.4">
      <c r="A1114" t="s">
        <v>1489</v>
      </c>
      <c r="B1114" s="1">
        <v>45303</v>
      </c>
      <c r="C1114" t="s">
        <v>205</v>
      </c>
      <c r="D1114" t="s">
        <v>14</v>
      </c>
      <c r="E1114" t="s">
        <v>1107</v>
      </c>
      <c r="F1114" t="s">
        <v>16</v>
      </c>
      <c r="G1114">
        <v>5</v>
      </c>
      <c r="H1114">
        <v>965.13</v>
      </c>
      <c r="I1114">
        <v>5</v>
      </c>
      <c r="J1114">
        <v>407.18</v>
      </c>
      <c r="K1114" t="s">
        <v>24</v>
      </c>
      <c r="L1114" t="s">
        <v>37</v>
      </c>
      <c r="M1114">
        <f t="shared" si="85"/>
        <v>4584.3674999999994</v>
      </c>
      <c r="N1114">
        <f t="shared" si="86"/>
        <v>2548.4674999999993</v>
      </c>
      <c r="O1114" t="str">
        <f t="shared" si="87"/>
        <v>Friday</v>
      </c>
      <c r="P1114" t="b">
        <f t="shared" si="88"/>
        <v>0</v>
      </c>
      <c r="Q1114" t="str">
        <f t="shared" si="89"/>
        <v>January</v>
      </c>
    </row>
    <row r="1115" spans="1:17" x14ac:dyDescent="0.4">
      <c r="A1115" t="s">
        <v>1490</v>
      </c>
      <c r="B1115" s="1">
        <v>45705</v>
      </c>
      <c r="C1115" t="s">
        <v>375</v>
      </c>
      <c r="D1115" t="s">
        <v>21</v>
      </c>
      <c r="E1115" t="s">
        <v>162</v>
      </c>
      <c r="F1115" t="s">
        <v>16</v>
      </c>
      <c r="G1115">
        <v>5</v>
      </c>
      <c r="H1115">
        <v>1328.88</v>
      </c>
      <c r="I1115">
        <v>0</v>
      </c>
      <c r="J1115">
        <v>564.75</v>
      </c>
      <c r="K1115" t="s">
        <v>17</v>
      </c>
      <c r="L1115" t="s">
        <v>33</v>
      </c>
      <c r="M1115">
        <f t="shared" si="85"/>
        <v>6644.4000000000005</v>
      </c>
      <c r="N1115">
        <f t="shared" si="86"/>
        <v>3820.6500000000005</v>
      </c>
      <c r="O1115" t="str">
        <f t="shared" si="87"/>
        <v>Monday</v>
      </c>
      <c r="P1115" t="b">
        <f t="shared" si="88"/>
        <v>0</v>
      </c>
      <c r="Q1115" t="str">
        <f t="shared" si="89"/>
        <v>February</v>
      </c>
    </row>
    <row r="1116" spans="1:17" x14ac:dyDescent="0.4">
      <c r="A1116" t="s">
        <v>1491</v>
      </c>
      <c r="B1116" s="1">
        <v>45978</v>
      </c>
      <c r="C1116" t="s">
        <v>125</v>
      </c>
      <c r="D1116" t="s">
        <v>46</v>
      </c>
      <c r="E1116" t="s">
        <v>1175</v>
      </c>
      <c r="F1116" t="s">
        <v>23</v>
      </c>
      <c r="G1116">
        <v>3</v>
      </c>
      <c r="H1116">
        <v>2889.45</v>
      </c>
      <c r="I1116">
        <v>10</v>
      </c>
      <c r="J1116">
        <v>1796.94</v>
      </c>
      <c r="K1116" t="s">
        <v>24</v>
      </c>
      <c r="L1116" t="s">
        <v>33</v>
      </c>
      <c r="M1116">
        <f t="shared" si="85"/>
        <v>7801.5149999999985</v>
      </c>
      <c r="N1116">
        <f t="shared" si="86"/>
        <v>2410.6949999999988</v>
      </c>
      <c r="O1116" t="str">
        <f t="shared" si="87"/>
        <v>Monday</v>
      </c>
      <c r="P1116" t="b">
        <f t="shared" si="88"/>
        <v>0</v>
      </c>
      <c r="Q1116" t="str">
        <f t="shared" si="89"/>
        <v>November</v>
      </c>
    </row>
    <row r="1117" spans="1:17" x14ac:dyDescent="0.4">
      <c r="A1117" t="s">
        <v>1492</v>
      </c>
      <c r="B1117" s="1">
        <v>45373</v>
      </c>
      <c r="C1117" t="s">
        <v>59</v>
      </c>
      <c r="D1117" t="s">
        <v>31</v>
      </c>
      <c r="E1117" t="s">
        <v>1493</v>
      </c>
      <c r="F1117" t="s">
        <v>23</v>
      </c>
      <c r="G1117">
        <v>2</v>
      </c>
      <c r="H1117">
        <v>1229.47</v>
      </c>
      <c r="I1117">
        <v>20</v>
      </c>
      <c r="J1117">
        <v>564.07000000000005</v>
      </c>
      <c r="K1117" t="s">
        <v>24</v>
      </c>
      <c r="L1117" t="s">
        <v>18</v>
      </c>
      <c r="M1117">
        <f t="shared" si="85"/>
        <v>1967.152</v>
      </c>
      <c r="N1117">
        <f t="shared" si="86"/>
        <v>839.01199999999994</v>
      </c>
      <c r="O1117" t="str">
        <f t="shared" si="87"/>
        <v>Friday</v>
      </c>
      <c r="P1117" t="b">
        <f t="shared" si="88"/>
        <v>0</v>
      </c>
      <c r="Q1117" t="str">
        <f t="shared" si="89"/>
        <v>March</v>
      </c>
    </row>
    <row r="1118" spans="1:17" x14ac:dyDescent="0.4">
      <c r="A1118" t="s">
        <v>1494</v>
      </c>
      <c r="B1118" s="1">
        <v>45520</v>
      </c>
      <c r="C1118" t="s">
        <v>86</v>
      </c>
      <c r="D1118" t="s">
        <v>46</v>
      </c>
      <c r="E1118" t="s">
        <v>167</v>
      </c>
      <c r="F1118" t="s">
        <v>28</v>
      </c>
      <c r="G1118">
        <v>1</v>
      </c>
      <c r="H1118">
        <v>2187.14</v>
      </c>
      <c r="I1118">
        <v>10</v>
      </c>
      <c r="J1118">
        <v>1296.49</v>
      </c>
      <c r="K1118" t="s">
        <v>24</v>
      </c>
      <c r="L1118" t="s">
        <v>33</v>
      </c>
      <c r="M1118">
        <f t="shared" si="85"/>
        <v>1968.4259999999999</v>
      </c>
      <c r="N1118">
        <f t="shared" si="86"/>
        <v>671.93599999999992</v>
      </c>
      <c r="O1118" t="str">
        <f t="shared" si="87"/>
        <v>Friday</v>
      </c>
      <c r="P1118" t="b">
        <f t="shared" si="88"/>
        <v>0</v>
      </c>
      <c r="Q1118" t="str">
        <f t="shared" si="89"/>
        <v>August</v>
      </c>
    </row>
    <row r="1119" spans="1:17" x14ac:dyDescent="0.4">
      <c r="A1119" t="s">
        <v>1495</v>
      </c>
      <c r="B1119" s="1">
        <v>45756</v>
      </c>
      <c r="C1119" t="s">
        <v>296</v>
      </c>
      <c r="D1119" t="s">
        <v>14</v>
      </c>
      <c r="E1119" t="s">
        <v>662</v>
      </c>
      <c r="F1119" t="s">
        <v>28</v>
      </c>
      <c r="G1119">
        <v>3</v>
      </c>
      <c r="H1119">
        <v>2159.73</v>
      </c>
      <c r="I1119">
        <v>0</v>
      </c>
      <c r="J1119">
        <v>1290.6099999999999</v>
      </c>
      <c r="K1119" t="s">
        <v>17</v>
      </c>
      <c r="L1119" t="s">
        <v>33</v>
      </c>
      <c r="M1119">
        <f t="shared" si="85"/>
        <v>6479.1900000000005</v>
      </c>
      <c r="N1119">
        <f t="shared" si="86"/>
        <v>2607.3600000000006</v>
      </c>
      <c r="O1119" t="str">
        <f t="shared" si="87"/>
        <v>Wednesday</v>
      </c>
      <c r="P1119" t="b">
        <f t="shared" si="88"/>
        <v>0</v>
      </c>
      <c r="Q1119" t="str">
        <f t="shared" si="89"/>
        <v>April</v>
      </c>
    </row>
    <row r="1120" spans="1:17" x14ac:dyDescent="0.4">
      <c r="A1120" t="s">
        <v>1496</v>
      </c>
      <c r="B1120" s="1">
        <v>45753</v>
      </c>
      <c r="C1120" t="s">
        <v>30</v>
      </c>
      <c r="D1120" t="s">
        <v>31</v>
      </c>
      <c r="E1120" t="s">
        <v>625</v>
      </c>
      <c r="F1120" t="s">
        <v>28</v>
      </c>
      <c r="G1120">
        <v>3</v>
      </c>
      <c r="H1120">
        <v>757.48</v>
      </c>
      <c r="I1120">
        <v>10</v>
      </c>
      <c r="J1120">
        <v>399.33</v>
      </c>
      <c r="K1120" t="s">
        <v>24</v>
      </c>
      <c r="L1120" t="s">
        <v>18</v>
      </c>
      <c r="M1120">
        <f t="shared" si="85"/>
        <v>2045.1960000000001</v>
      </c>
      <c r="N1120">
        <f t="shared" si="86"/>
        <v>847.20600000000013</v>
      </c>
      <c r="O1120" t="str">
        <f t="shared" si="87"/>
        <v>Sunday</v>
      </c>
      <c r="P1120" t="b">
        <f t="shared" si="88"/>
        <v>1</v>
      </c>
      <c r="Q1120" t="str">
        <f t="shared" si="89"/>
        <v>April</v>
      </c>
    </row>
    <row r="1121" spans="1:17" x14ac:dyDescent="0.4">
      <c r="A1121" t="s">
        <v>1497</v>
      </c>
      <c r="B1121" s="1">
        <v>45408</v>
      </c>
      <c r="C1121" t="s">
        <v>39</v>
      </c>
      <c r="D1121" t="s">
        <v>46</v>
      </c>
      <c r="E1121" t="s">
        <v>96</v>
      </c>
      <c r="F1121" t="s">
        <v>28</v>
      </c>
      <c r="G1121">
        <v>2</v>
      </c>
      <c r="H1121">
        <v>2876.77</v>
      </c>
      <c r="I1121">
        <v>5</v>
      </c>
      <c r="J1121">
        <v>1815.67</v>
      </c>
      <c r="K1121" t="s">
        <v>17</v>
      </c>
      <c r="L1121" t="s">
        <v>18</v>
      </c>
      <c r="M1121">
        <f t="shared" si="85"/>
        <v>5465.8629999999994</v>
      </c>
      <c r="N1121">
        <f t="shared" si="86"/>
        <v>1834.5229999999992</v>
      </c>
      <c r="O1121" t="str">
        <f t="shared" si="87"/>
        <v>Friday</v>
      </c>
      <c r="P1121" t="b">
        <f t="shared" si="88"/>
        <v>0</v>
      </c>
      <c r="Q1121" t="str">
        <f t="shared" si="89"/>
        <v>April</v>
      </c>
    </row>
    <row r="1122" spans="1:17" x14ac:dyDescent="0.4">
      <c r="A1122" t="s">
        <v>1498</v>
      </c>
      <c r="B1122" s="1">
        <v>45585</v>
      </c>
      <c r="C1122" t="s">
        <v>89</v>
      </c>
      <c r="D1122" t="s">
        <v>31</v>
      </c>
      <c r="E1122" t="s">
        <v>621</v>
      </c>
      <c r="F1122" t="s">
        <v>23</v>
      </c>
      <c r="G1122">
        <v>3</v>
      </c>
      <c r="H1122">
        <v>1728.79</v>
      </c>
      <c r="I1122">
        <v>0</v>
      </c>
      <c r="J1122">
        <v>934.98</v>
      </c>
      <c r="K1122" t="s">
        <v>17</v>
      </c>
      <c r="L1122" t="s">
        <v>18</v>
      </c>
      <c r="M1122">
        <f t="shared" si="85"/>
        <v>5186.37</v>
      </c>
      <c r="N1122">
        <f t="shared" si="86"/>
        <v>2381.4299999999998</v>
      </c>
      <c r="O1122" t="str">
        <f t="shared" si="87"/>
        <v>Sunday</v>
      </c>
      <c r="P1122" t="b">
        <f t="shared" si="88"/>
        <v>1</v>
      </c>
      <c r="Q1122" t="str">
        <f t="shared" si="89"/>
        <v>October</v>
      </c>
    </row>
    <row r="1123" spans="1:17" x14ac:dyDescent="0.4">
      <c r="A1123" t="s">
        <v>1499</v>
      </c>
      <c r="B1123" s="1">
        <v>45694</v>
      </c>
      <c r="C1123" t="s">
        <v>77</v>
      </c>
      <c r="D1123" t="s">
        <v>31</v>
      </c>
      <c r="E1123" t="s">
        <v>188</v>
      </c>
      <c r="F1123" t="s">
        <v>23</v>
      </c>
      <c r="G1123">
        <v>5</v>
      </c>
      <c r="H1123">
        <v>2294.61</v>
      </c>
      <c r="I1123">
        <v>10</v>
      </c>
      <c r="J1123">
        <v>962.92</v>
      </c>
      <c r="K1123" t="s">
        <v>17</v>
      </c>
      <c r="L1123" t="s">
        <v>18</v>
      </c>
      <c r="M1123">
        <f t="shared" si="85"/>
        <v>10325.745000000001</v>
      </c>
      <c r="N1123">
        <f t="shared" si="86"/>
        <v>5511.1450000000013</v>
      </c>
      <c r="O1123" t="str">
        <f t="shared" si="87"/>
        <v>Thursday</v>
      </c>
      <c r="P1123" t="b">
        <f t="shared" si="88"/>
        <v>0</v>
      </c>
      <c r="Q1123" t="str">
        <f t="shared" si="89"/>
        <v>February</v>
      </c>
    </row>
    <row r="1124" spans="1:17" x14ac:dyDescent="0.4">
      <c r="A1124" t="s">
        <v>1500</v>
      </c>
      <c r="B1124" s="1">
        <v>45307</v>
      </c>
      <c r="C1124" t="s">
        <v>119</v>
      </c>
      <c r="D1124" t="s">
        <v>14</v>
      </c>
      <c r="E1124" t="s">
        <v>208</v>
      </c>
      <c r="F1124" t="s">
        <v>28</v>
      </c>
      <c r="G1124">
        <v>5</v>
      </c>
      <c r="H1124">
        <v>2158.5300000000002</v>
      </c>
      <c r="I1124">
        <v>25</v>
      </c>
      <c r="J1124">
        <v>1428.67</v>
      </c>
      <c r="K1124" t="s">
        <v>24</v>
      </c>
      <c r="L1124" t="s">
        <v>37</v>
      </c>
      <c r="M1124">
        <f t="shared" si="85"/>
        <v>8094.4875000000011</v>
      </c>
      <c r="N1124">
        <f t="shared" si="86"/>
        <v>951.13750000000073</v>
      </c>
      <c r="O1124" t="str">
        <f t="shared" si="87"/>
        <v>Tuesday</v>
      </c>
      <c r="P1124" t="b">
        <f t="shared" si="88"/>
        <v>0</v>
      </c>
      <c r="Q1124" t="str">
        <f t="shared" si="89"/>
        <v>January</v>
      </c>
    </row>
    <row r="1125" spans="1:17" x14ac:dyDescent="0.4">
      <c r="A1125" t="s">
        <v>1501</v>
      </c>
      <c r="B1125" s="1">
        <v>45969</v>
      </c>
      <c r="C1125" t="s">
        <v>62</v>
      </c>
      <c r="D1125" t="s">
        <v>21</v>
      </c>
      <c r="E1125" t="s">
        <v>22</v>
      </c>
      <c r="F1125" t="s">
        <v>23</v>
      </c>
      <c r="G1125">
        <v>5</v>
      </c>
      <c r="H1125">
        <v>1049.45</v>
      </c>
      <c r="I1125">
        <v>30</v>
      </c>
      <c r="J1125">
        <v>490.1</v>
      </c>
      <c r="K1125" t="s">
        <v>24</v>
      </c>
      <c r="L1125" t="s">
        <v>18</v>
      </c>
      <c r="M1125">
        <f t="shared" si="85"/>
        <v>3673.0749999999998</v>
      </c>
      <c r="N1125">
        <f t="shared" si="86"/>
        <v>1222.5749999999998</v>
      </c>
      <c r="O1125" t="str">
        <f t="shared" si="87"/>
        <v>Saturday</v>
      </c>
      <c r="P1125" t="b">
        <f t="shared" si="88"/>
        <v>1</v>
      </c>
      <c r="Q1125" t="str">
        <f t="shared" si="89"/>
        <v>November</v>
      </c>
    </row>
    <row r="1126" spans="1:17" x14ac:dyDescent="0.4">
      <c r="A1126" t="s">
        <v>1502</v>
      </c>
      <c r="B1126" s="1">
        <v>45317</v>
      </c>
      <c r="C1126" t="s">
        <v>174</v>
      </c>
      <c r="D1126" t="s">
        <v>21</v>
      </c>
      <c r="E1126" t="s">
        <v>1254</v>
      </c>
      <c r="F1126" t="s">
        <v>16</v>
      </c>
      <c r="G1126">
        <v>2</v>
      </c>
      <c r="H1126">
        <v>1328.48</v>
      </c>
      <c r="I1126">
        <v>20</v>
      </c>
      <c r="J1126">
        <v>911.99</v>
      </c>
      <c r="K1126" t="s">
        <v>17</v>
      </c>
      <c r="L1126" t="s">
        <v>18</v>
      </c>
      <c r="M1126">
        <f t="shared" si="85"/>
        <v>2125.5680000000002</v>
      </c>
      <c r="N1126">
        <f t="shared" si="86"/>
        <v>301.58800000000019</v>
      </c>
      <c r="O1126" t="str">
        <f t="shared" si="87"/>
        <v>Friday</v>
      </c>
      <c r="P1126" t="b">
        <f t="shared" si="88"/>
        <v>0</v>
      </c>
      <c r="Q1126" t="str">
        <f t="shared" si="89"/>
        <v>January</v>
      </c>
    </row>
    <row r="1127" spans="1:17" x14ac:dyDescent="0.4">
      <c r="A1127" t="s">
        <v>1503</v>
      </c>
      <c r="B1127" s="1">
        <v>45314</v>
      </c>
      <c r="C1127" t="s">
        <v>273</v>
      </c>
      <c r="D1127" t="s">
        <v>14</v>
      </c>
      <c r="E1127" t="s">
        <v>596</v>
      </c>
      <c r="F1127" t="s">
        <v>28</v>
      </c>
      <c r="G1127">
        <v>2</v>
      </c>
      <c r="H1127">
        <v>538.04999999999995</v>
      </c>
      <c r="I1127">
        <v>0</v>
      </c>
      <c r="J1127">
        <v>244.94</v>
      </c>
      <c r="K1127" t="s">
        <v>24</v>
      </c>
      <c r="L1127" t="s">
        <v>18</v>
      </c>
      <c r="M1127">
        <f t="shared" si="85"/>
        <v>1076.0999999999999</v>
      </c>
      <c r="N1127">
        <f t="shared" si="86"/>
        <v>586.21999999999991</v>
      </c>
      <c r="O1127" t="str">
        <f t="shared" si="87"/>
        <v>Tuesday</v>
      </c>
      <c r="P1127" t="b">
        <f t="shared" si="88"/>
        <v>0</v>
      </c>
      <c r="Q1127" t="str">
        <f t="shared" si="89"/>
        <v>January</v>
      </c>
    </row>
    <row r="1128" spans="1:17" x14ac:dyDescent="0.4">
      <c r="A1128" t="s">
        <v>1504</v>
      </c>
      <c r="B1128" s="1">
        <v>45453</v>
      </c>
      <c r="C1128" t="s">
        <v>98</v>
      </c>
      <c r="D1128" t="s">
        <v>31</v>
      </c>
      <c r="E1128" t="s">
        <v>730</v>
      </c>
      <c r="F1128" t="s">
        <v>28</v>
      </c>
      <c r="G1128">
        <v>3</v>
      </c>
      <c r="H1128">
        <v>1810.7</v>
      </c>
      <c r="I1128">
        <v>25</v>
      </c>
      <c r="J1128">
        <v>1033.54</v>
      </c>
      <c r="K1128" t="s">
        <v>17</v>
      </c>
      <c r="L1128" t="s">
        <v>37</v>
      </c>
      <c r="M1128">
        <f t="shared" si="85"/>
        <v>4074.0750000000003</v>
      </c>
      <c r="N1128">
        <f t="shared" si="86"/>
        <v>973.45500000000038</v>
      </c>
      <c r="O1128" t="str">
        <f t="shared" si="87"/>
        <v>Monday</v>
      </c>
      <c r="P1128" t="b">
        <f t="shared" si="88"/>
        <v>0</v>
      </c>
      <c r="Q1128" t="str">
        <f t="shared" si="89"/>
        <v>June</v>
      </c>
    </row>
    <row r="1129" spans="1:17" x14ac:dyDescent="0.4">
      <c r="A1129" t="s">
        <v>1505</v>
      </c>
      <c r="B1129" s="1">
        <v>45896</v>
      </c>
      <c r="C1129" t="s">
        <v>241</v>
      </c>
      <c r="D1129" t="s">
        <v>46</v>
      </c>
      <c r="E1129" t="s">
        <v>43</v>
      </c>
      <c r="F1129" t="s">
        <v>23</v>
      </c>
      <c r="G1129">
        <v>2</v>
      </c>
      <c r="H1129">
        <v>409.49</v>
      </c>
      <c r="I1129">
        <v>10</v>
      </c>
      <c r="J1129">
        <v>190.48</v>
      </c>
      <c r="K1129" t="s">
        <v>24</v>
      </c>
      <c r="L1129" t="s">
        <v>37</v>
      </c>
      <c r="M1129">
        <f t="shared" si="85"/>
        <v>737.08199999999999</v>
      </c>
      <c r="N1129">
        <f t="shared" si="86"/>
        <v>356.12200000000001</v>
      </c>
      <c r="O1129" t="str">
        <f t="shared" si="87"/>
        <v>Wednesday</v>
      </c>
      <c r="P1129" t="b">
        <f t="shared" si="88"/>
        <v>0</v>
      </c>
      <c r="Q1129" t="str">
        <f t="shared" si="89"/>
        <v>August</v>
      </c>
    </row>
    <row r="1130" spans="1:17" x14ac:dyDescent="0.4">
      <c r="A1130" t="s">
        <v>1506</v>
      </c>
      <c r="B1130" s="1">
        <v>45391</v>
      </c>
      <c r="C1130" t="s">
        <v>62</v>
      </c>
      <c r="D1130" t="s">
        <v>31</v>
      </c>
      <c r="E1130" t="s">
        <v>891</v>
      </c>
      <c r="F1130" t="s">
        <v>16</v>
      </c>
      <c r="G1130">
        <v>4</v>
      </c>
      <c r="H1130">
        <v>2184.31</v>
      </c>
      <c r="I1130">
        <v>5</v>
      </c>
      <c r="J1130">
        <v>1351.55</v>
      </c>
      <c r="K1130" t="s">
        <v>17</v>
      </c>
      <c r="L1130" t="s">
        <v>37</v>
      </c>
      <c r="M1130">
        <f t="shared" si="85"/>
        <v>8300.3779999999988</v>
      </c>
      <c r="N1130">
        <f t="shared" si="86"/>
        <v>2894.177999999999</v>
      </c>
      <c r="O1130" t="str">
        <f t="shared" si="87"/>
        <v>Tuesday</v>
      </c>
      <c r="P1130" t="b">
        <f t="shared" si="88"/>
        <v>0</v>
      </c>
      <c r="Q1130" t="str">
        <f t="shared" si="89"/>
        <v>April</v>
      </c>
    </row>
    <row r="1131" spans="1:17" x14ac:dyDescent="0.4">
      <c r="A1131" t="s">
        <v>1507</v>
      </c>
      <c r="B1131" s="1">
        <v>45401</v>
      </c>
      <c r="C1131" t="s">
        <v>226</v>
      </c>
      <c r="D1131" t="s">
        <v>46</v>
      </c>
      <c r="E1131" t="s">
        <v>498</v>
      </c>
      <c r="F1131" t="s">
        <v>28</v>
      </c>
      <c r="G1131">
        <v>4</v>
      </c>
      <c r="H1131">
        <v>1431.34</v>
      </c>
      <c r="I1131">
        <v>25</v>
      </c>
      <c r="J1131">
        <v>907.05</v>
      </c>
      <c r="K1131" t="s">
        <v>17</v>
      </c>
      <c r="L1131" t="s">
        <v>18</v>
      </c>
      <c r="M1131">
        <f t="shared" si="85"/>
        <v>4294.0199999999995</v>
      </c>
      <c r="N1131">
        <f t="shared" si="86"/>
        <v>665.81999999999971</v>
      </c>
      <c r="O1131" t="str">
        <f t="shared" si="87"/>
        <v>Friday</v>
      </c>
      <c r="P1131" t="b">
        <f t="shared" si="88"/>
        <v>0</v>
      </c>
      <c r="Q1131" t="str">
        <f t="shared" si="89"/>
        <v>April</v>
      </c>
    </row>
    <row r="1132" spans="1:17" x14ac:dyDescent="0.4">
      <c r="A1132" t="s">
        <v>1508</v>
      </c>
      <c r="B1132" s="1">
        <v>45980</v>
      </c>
      <c r="C1132" t="s">
        <v>86</v>
      </c>
      <c r="D1132" t="s">
        <v>14</v>
      </c>
      <c r="E1132" t="s">
        <v>1509</v>
      </c>
      <c r="F1132" t="s">
        <v>16</v>
      </c>
      <c r="G1132">
        <v>3</v>
      </c>
      <c r="H1132">
        <v>2437.35</v>
      </c>
      <c r="I1132">
        <v>30</v>
      </c>
      <c r="J1132">
        <v>1004.92</v>
      </c>
      <c r="K1132" t="s">
        <v>17</v>
      </c>
      <c r="L1132" t="s">
        <v>18</v>
      </c>
      <c r="M1132">
        <f t="shared" si="85"/>
        <v>5118.4349999999995</v>
      </c>
      <c r="N1132">
        <f t="shared" si="86"/>
        <v>2103.6749999999997</v>
      </c>
      <c r="O1132" t="str">
        <f t="shared" si="87"/>
        <v>Wednesday</v>
      </c>
      <c r="P1132" t="b">
        <f t="shared" si="88"/>
        <v>0</v>
      </c>
      <c r="Q1132" t="str">
        <f t="shared" si="89"/>
        <v>November</v>
      </c>
    </row>
    <row r="1133" spans="1:17" x14ac:dyDescent="0.4">
      <c r="A1133" t="s">
        <v>1510</v>
      </c>
      <c r="B1133" s="1">
        <v>45615</v>
      </c>
      <c r="C1133" t="s">
        <v>77</v>
      </c>
      <c r="D1133" t="s">
        <v>46</v>
      </c>
      <c r="E1133" t="s">
        <v>510</v>
      </c>
      <c r="F1133" t="s">
        <v>23</v>
      </c>
      <c r="G1133">
        <v>5</v>
      </c>
      <c r="H1133">
        <v>559.34</v>
      </c>
      <c r="I1133">
        <v>0</v>
      </c>
      <c r="J1133">
        <v>238.71</v>
      </c>
      <c r="K1133" t="s">
        <v>17</v>
      </c>
      <c r="L1133" t="s">
        <v>37</v>
      </c>
      <c r="M1133">
        <f t="shared" si="85"/>
        <v>2796.7000000000003</v>
      </c>
      <c r="N1133">
        <f t="shared" si="86"/>
        <v>1603.1500000000003</v>
      </c>
      <c r="O1133" t="str">
        <f t="shared" si="87"/>
        <v>Tuesday</v>
      </c>
      <c r="P1133" t="b">
        <f t="shared" si="88"/>
        <v>0</v>
      </c>
      <c r="Q1133" t="str">
        <f t="shared" si="89"/>
        <v>November</v>
      </c>
    </row>
    <row r="1134" spans="1:17" x14ac:dyDescent="0.4">
      <c r="A1134" t="s">
        <v>1511</v>
      </c>
      <c r="B1134" s="1">
        <v>45907</v>
      </c>
      <c r="C1134" t="s">
        <v>71</v>
      </c>
      <c r="D1134" t="s">
        <v>14</v>
      </c>
      <c r="E1134" t="s">
        <v>87</v>
      </c>
      <c r="F1134" t="s">
        <v>23</v>
      </c>
      <c r="G1134">
        <v>3</v>
      </c>
      <c r="H1134">
        <v>2510.5700000000002</v>
      </c>
      <c r="I1134">
        <v>5</v>
      </c>
      <c r="J1134">
        <v>1466.06</v>
      </c>
      <c r="K1134" t="s">
        <v>17</v>
      </c>
      <c r="L1134" t="s">
        <v>18</v>
      </c>
      <c r="M1134">
        <f t="shared" si="85"/>
        <v>7155.1245000000008</v>
      </c>
      <c r="N1134">
        <f t="shared" si="86"/>
        <v>2756.9445000000005</v>
      </c>
      <c r="O1134" t="str">
        <f t="shared" si="87"/>
        <v>Sunday</v>
      </c>
      <c r="P1134" t="b">
        <f t="shared" si="88"/>
        <v>1</v>
      </c>
      <c r="Q1134" t="str">
        <f t="shared" si="89"/>
        <v>September</v>
      </c>
    </row>
    <row r="1135" spans="1:17" x14ac:dyDescent="0.4">
      <c r="A1135" t="s">
        <v>1512</v>
      </c>
      <c r="B1135" s="1">
        <v>45972</v>
      </c>
      <c r="C1135" t="s">
        <v>302</v>
      </c>
      <c r="D1135" t="s">
        <v>21</v>
      </c>
      <c r="E1135" t="s">
        <v>1195</v>
      </c>
      <c r="F1135" t="s">
        <v>28</v>
      </c>
      <c r="G1135">
        <v>4</v>
      </c>
      <c r="H1135">
        <v>2802.24</v>
      </c>
      <c r="I1135">
        <v>15</v>
      </c>
      <c r="J1135">
        <v>1229.67</v>
      </c>
      <c r="K1135" t="s">
        <v>17</v>
      </c>
      <c r="L1135" t="s">
        <v>33</v>
      </c>
      <c r="M1135">
        <f t="shared" si="85"/>
        <v>9527.6159999999982</v>
      </c>
      <c r="N1135">
        <f t="shared" si="86"/>
        <v>4608.9359999999979</v>
      </c>
      <c r="O1135" t="str">
        <f t="shared" si="87"/>
        <v>Tuesday</v>
      </c>
      <c r="P1135" t="b">
        <f t="shared" si="88"/>
        <v>0</v>
      </c>
      <c r="Q1135" t="str">
        <f t="shared" si="89"/>
        <v>November</v>
      </c>
    </row>
    <row r="1136" spans="1:17" x14ac:dyDescent="0.4">
      <c r="A1136" t="s">
        <v>1513</v>
      </c>
      <c r="B1136" s="1">
        <v>45952</v>
      </c>
      <c r="C1136" t="s">
        <v>251</v>
      </c>
      <c r="D1136" t="s">
        <v>31</v>
      </c>
      <c r="E1136" t="s">
        <v>760</v>
      </c>
      <c r="F1136" t="s">
        <v>16</v>
      </c>
      <c r="G1136">
        <v>3</v>
      </c>
      <c r="H1136">
        <v>2699.94</v>
      </c>
      <c r="I1136">
        <v>5</v>
      </c>
      <c r="J1136">
        <v>1211.55</v>
      </c>
      <c r="K1136" t="s">
        <v>24</v>
      </c>
      <c r="L1136" t="s">
        <v>18</v>
      </c>
      <c r="M1136">
        <f t="shared" si="85"/>
        <v>7694.8289999999997</v>
      </c>
      <c r="N1136">
        <f t="shared" si="86"/>
        <v>4060.1790000000001</v>
      </c>
      <c r="O1136" t="str">
        <f t="shared" si="87"/>
        <v>Wednesday</v>
      </c>
      <c r="P1136" t="b">
        <f t="shared" si="88"/>
        <v>0</v>
      </c>
      <c r="Q1136" t="str">
        <f t="shared" si="89"/>
        <v>October</v>
      </c>
    </row>
    <row r="1137" spans="1:17" x14ac:dyDescent="0.4">
      <c r="A1137" t="s">
        <v>1514</v>
      </c>
      <c r="B1137" s="1">
        <v>45424</v>
      </c>
      <c r="C1137" t="s">
        <v>74</v>
      </c>
      <c r="D1137" t="s">
        <v>21</v>
      </c>
      <c r="E1137" t="s">
        <v>60</v>
      </c>
      <c r="F1137" t="s">
        <v>28</v>
      </c>
      <c r="G1137">
        <v>2</v>
      </c>
      <c r="H1137">
        <v>1417.16</v>
      </c>
      <c r="I1137">
        <v>5</v>
      </c>
      <c r="J1137">
        <v>807.41</v>
      </c>
      <c r="K1137" t="s">
        <v>24</v>
      </c>
      <c r="L1137" t="s">
        <v>33</v>
      </c>
      <c r="M1137">
        <f t="shared" si="85"/>
        <v>2692.6039999999998</v>
      </c>
      <c r="N1137">
        <f t="shared" si="86"/>
        <v>1077.7839999999999</v>
      </c>
      <c r="O1137" t="str">
        <f t="shared" si="87"/>
        <v>Sunday</v>
      </c>
      <c r="P1137" t="b">
        <f t="shared" si="88"/>
        <v>1</v>
      </c>
      <c r="Q1137" t="str">
        <f t="shared" si="89"/>
        <v>May</v>
      </c>
    </row>
    <row r="1138" spans="1:17" x14ac:dyDescent="0.4">
      <c r="A1138" t="s">
        <v>1515</v>
      </c>
      <c r="B1138" s="1">
        <v>45782</v>
      </c>
      <c r="C1138" t="s">
        <v>179</v>
      </c>
      <c r="D1138" t="s">
        <v>31</v>
      </c>
      <c r="E1138" t="s">
        <v>343</v>
      </c>
      <c r="F1138" t="s">
        <v>16</v>
      </c>
      <c r="G1138">
        <v>5</v>
      </c>
      <c r="H1138">
        <v>1226.96</v>
      </c>
      <c r="I1138">
        <v>0</v>
      </c>
      <c r="J1138">
        <v>690.7</v>
      </c>
      <c r="K1138" t="s">
        <v>17</v>
      </c>
      <c r="L1138" t="s">
        <v>33</v>
      </c>
      <c r="M1138">
        <f t="shared" si="85"/>
        <v>6134.8</v>
      </c>
      <c r="N1138">
        <f t="shared" si="86"/>
        <v>2681.3</v>
      </c>
      <c r="O1138" t="str">
        <f t="shared" si="87"/>
        <v>Monday</v>
      </c>
      <c r="P1138" t="b">
        <f t="shared" si="88"/>
        <v>0</v>
      </c>
      <c r="Q1138" t="str">
        <f t="shared" si="89"/>
        <v>May</v>
      </c>
    </row>
    <row r="1139" spans="1:17" x14ac:dyDescent="0.4">
      <c r="A1139" t="s">
        <v>1516</v>
      </c>
      <c r="B1139" s="1">
        <v>45910</v>
      </c>
      <c r="C1139" t="s">
        <v>185</v>
      </c>
      <c r="D1139" t="s">
        <v>46</v>
      </c>
      <c r="E1139" t="s">
        <v>634</v>
      </c>
      <c r="F1139" t="s">
        <v>16</v>
      </c>
      <c r="G1139">
        <v>5</v>
      </c>
      <c r="H1139">
        <v>2066.88</v>
      </c>
      <c r="I1139">
        <v>15</v>
      </c>
      <c r="J1139">
        <v>1115.1400000000001</v>
      </c>
      <c r="K1139" t="s">
        <v>17</v>
      </c>
      <c r="L1139" t="s">
        <v>33</v>
      </c>
      <c r="M1139">
        <f t="shared" si="85"/>
        <v>8784.2400000000016</v>
      </c>
      <c r="N1139">
        <f t="shared" si="86"/>
        <v>3208.5400000000009</v>
      </c>
      <c r="O1139" t="str">
        <f t="shared" si="87"/>
        <v>Wednesday</v>
      </c>
      <c r="P1139" t="b">
        <f t="shared" si="88"/>
        <v>0</v>
      </c>
      <c r="Q1139" t="str">
        <f t="shared" si="89"/>
        <v>September</v>
      </c>
    </row>
    <row r="1140" spans="1:17" x14ac:dyDescent="0.4">
      <c r="A1140" t="s">
        <v>1517</v>
      </c>
      <c r="B1140" s="1">
        <v>45816</v>
      </c>
      <c r="C1140" t="s">
        <v>205</v>
      </c>
      <c r="D1140" t="s">
        <v>31</v>
      </c>
      <c r="E1140" t="s">
        <v>103</v>
      </c>
      <c r="F1140" t="s">
        <v>28</v>
      </c>
      <c r="G1140">
        <v>2</v>
      </c>
      <c r="H1140">
        <v>2547.4499999999998</v>
      </c>
      <c r="I1140">
        <v>15</v>
      </c>
      <c r="J1140">
        <v>1688.57</v>
      </c>
      <c r="K1140" t="s">
        <v>17</v>
      </c>
      <c r="L1140" t="s">
        <v>18</v>
      </c>
      <c r="M1140">
        <f t="shared" si="85"/>
        <v>4330.665</v>
      </c>
      <c r="N1140">
        <f t="shared" si="86"/>
        <v>953.52500000000009</v>
      </c>
      <c r="O1140" t="str">
        <f t="shared" si="87"/>
        <v>Sunday</v>
      </c>
      <c r="P1140" t="b">
        <f t="shared" si="88"/>
        <v>1</v>
      </c>
      <c r="Q1140" t="str">
        <f t="shared" si="89"/>
        <v>June</v>
      </c>
    </row>
    <row r="1141" spans="1:17" x14ac:dyDescent="0.4">
      <c r="A1141" t="s">
        <v>1518</v>
      </c>
      <c r="B1141" s="1">
        <v>45879</v>
      </c>
      <c r="C1141" t="s">
        <v>68</v>
      </c>
      <c r="D1141" t="s">
        <v>31</v>
      </c>
      <c r="E1141" t="s">
        <v>364</v>
      </c>
      <c r="F1141" t="s">
        <v>28</v>
      </c>
      <c r="G1141">
        <v>5</v>
      </c>
      <c r="H1141">
        <v>1187.54</v>
      </c>
      <c r="I1141">
        <v>5</v>
      </c>
      <c r="J1141">
        <v>532.41</v>
      </c>
      <c r="K1141" t="s">
        <v>24</v>
      </c>
      <c r="L1141" t="s">
        <v>37</v>
      </c>
      <c r="M1141">
        <f t="shared" si="85"/>
        <v>5640.8149999999996</v>
      </c>
      <c r="N1141">
        <f t="shared" si="86"/>
        <v>2978.7649999999999</v>
      </c>
      <c r="O1141" t="str">
        <f t="shared" si="87"/>
        <v>Sunday</v>
      </c>
      <c r="P1141" t="b">
        <f t="shared" si="88"/>
        <v>1</v>
      </c>
      <c r="Q1141" t="str">
        <f t="shared" si="89"/>
        <v>August</v>
      </c>
    </row>
    <row r="1142" spans="1:17" x14ac:dyDescent="0.4">
      <c r="A1142" t="s">
        <v>1519</v>
      </c>
      <c r="B1142" s="1">
        <v>45935</v>
      </c>
      <c r="C1142" t="s">
        <v>302</v>
      </c>
      <c r="D1142" t="s">
        <v>46</v>
      </c>
      <c r="E1142" t="s">
        <v>1520</v>
      </c>
      <c r="F1142" t="s">
        <v>23</v>
      </c>
      <c r="G1142">
        <v>4</v>
      </c>
      <c r="H1142">
        <v>1645.14</v>
      </c>
      <c r="I1142">
        <v>0</v>
      </c>
      <c r="J1142">
        <v>1139.1199999999999</v>
      </c>
      <c r="K1142" t="s">
        <v>17</v>
      </c>
      <c r="L1142" t="s">
        <v>33</v>
      </c>
      <c r="M1142">
        <f t="shared" si="85"/>
        <v>6580.56</v>
      </c>
      <c r="N1142">
        <f t="shared" si="86"/>
        <v>2024.0800000000008</v>
      </c>
      <c r="O1142" t="str">
        <f t="shared" si="87"/>
        <v>Sunday</v>
      </c>
      <c r="P1142" t="b">
        <f t="shared" si="88"/>
        <v>1</v>
      </c>
      <c r="Q1142" t="str">
        <f t="shared" si="89"/>
        <v>October</v>
      </c>
    </row>
    <row r="1143" spans="1:17" x14ac:dyDescent="0.4">
      <c r="A1143" t="s">
        <v>1521</v>
      </c>
      <c r="B1143" s="1">
        <v>45630</v>
      </c>
      <c r="C1143" t="s">
        <v>193</v>
      </c>
      <c r="D1143" t="s">
        <v>21</v>
      </c>
      <c r="E1143" t="s">
        <v>475</v>
      </c>
      <c r="F1143" t="s">
        <v>28</v>
      </c>
      <c r="G1143">
        <v>4</v>
      </c>
      <c r="H1143">
        <v>2370.31</v>
      </c>
      <c r="I1143">
        <v>25</v>
      </c>
      <c r="J1143">
        <v>1470.4</v>
      </c>
      <c r="K1143" t="s">
        <v>17</v>
      </c>
      <c r="L1143" t="s">
        <v>33</v>
      </c>
      <c r="M1143">
        <f t="shared" si="85"/>
        <v>7110.93</v>
      </c>
      <c r="N1143">
        <f t="shared" si="86"/>
        <v>1229.33</v>
      </c>
      <c r="O1143" t="str">
        <f t="shared" si="87"/>
        <v>Wednesday</v>
      </c>
      <c r="P1143" t="b">
        <f t="shared" si="88"/>
        <v>0</v>
      </c>
      <c r="Q1143" t="str">
        <f t="shared" si="89"/>
        <v>December</v>
      </c>
    </row>
    <row r="1144" spans="1:17" x14ac:dyDescent="0.4">
      <c r="A1144" t="s">
        <v>1522</v>
      </c>
      <c r="B1144" s="1">
        <v>45490</v>
      </c>
      <c r="C1144" t="s">
        <v>174</v>
      </c>
      <c r="D1144" t="s">
        <v>14</v>
      </c>
      <c r="E1144" t="s">
        <v>49</v>
      </c>
      <c r="F1144" t="s">
        <v>23</v>
      </c>
      <c r="G1144">
        <v>4</v>
      </c>
      <c r="H1144">
        <v>884.1</v>
      </c>
      <c r="I1144">
        <v>0</v>
      </c>
      <c r="J1144">
        <v>400.97</v>
      </c>
      <c r="K1144" t="s">
        <v>24</v>
      </c>
      <c r="L1144" t="s">
        <v>37</v>
      </c>
      <c r="M1144">
        <f t="shared" si="85"/>
        <v>3536.4</v>
      </c>
      <c r="N1144">
        <f t="shared" si="86"/>
        <v>1932.52</v>
      </c>
      <c r="O1144" t="str">
        <f t="shared" si="87"/>
        <v>Wednesday</v>
      </c>
      <c r="P1144" t="b">
        <f t="shared" si="88"/>
        <v>0</v>
      </c>
      <c r="Q1144" t="str">
        <f t="shared" si="89"/>
        <v>July</v>
      </c>
    </row>
    <row r="1145" spans="1:17" x14ac:dyDescent="0.4">
      <c r="A1145" t="s">
        <v>1523</v>
      </c>
      <c r="B1145" s="1">
        <v>45531</v>
      </c>
      <c r="C1145" t="s">
        <v>457</v>
      </c>
      <c r="D1145" t="s">
        <v>31</v>
      </c>
      <c r="E1145" t="s">
        <v>198</v>
      </c>
      <c r="F1145" t="s">
        <v>28</v>
      </c>
      <c r="G1145">
        <v>2</v>
      </c>
      <c r="H1145">
        <v>1948.01</v>
      </c>
      <c r="I1145">
        <v>10</v>
      </c>
      <c r="J1145">
        <v>1232.8399999999999</v>
      </c>
      <c r="K1145" t="s">
        <v>17</v>
      </c>
      <c r="L1145" t="s">
        <v>18</v>
      </c>
      <c r="M1145">
        <f t="shared" si="85"/>
        <v>3506.4180000000001</v>
      </c>
      <c r="N1145">
        <f t="shared" si="86"/>
        <v>1040.7380000000003</v>
      </c>
      <c r="O1145" t="str">
        <f t="shared" si="87"/>
        <v>Tuesday</v>
      </c>
      <c r="P1145" t="b">
        <f t="shared" si="88"/>
        <v>0</v>
      </c>
      <c r="Q1145" t="str">
        <f t="shared" si="89"/>
        <v>August</v>
      </c>
    </row>
    <row r="1146" spans="1:17" x14ac:dyDescent="0.4">
      <c r="A1146" t="s">
        <v>1524</v>
      </c>
      <c r="B1146" s="1">
        <v>45876</v>
      </c>
      <c r="C1146" t="s">
        <v>42</v>
      </c>
      <c r="D1146" t="s">
        <v>21</v>
      </c>
      <c r="E1146" t="s">
        <v>155</v>
      </c>
      <c r="F1146" t="s">
        <v>23</v>
      </c>
      <c r="G1146">
        <v>5</v>
      </c>
      <c r="H1146">
        <v>607.37</v>
      </c>
      <c r="I1146">
        <v>10</v>
      </c>
      <c r="J1146">
        <v>364.9</v>
      </c>
      <c r="K1146" t="s">
        <v>17</v>
      </c>
      <c r="L1146" t="s">
        <v>37</v>
      </c>
      <c r="M1146">
        <f t="shared" si="85"/>
        <v>2733.165</v>
      </c>
      <c r="N1146">
        <f t="shared" si="86"/>
        <v>908.66499999999996</v>
      </c>
      <c r="O1146" t="str">
        <f t="shared" si="87"/>
        <v>Thursday</v>
      </c>
      <c r="P1146" t="b">
        <f t="shared" si="88"/>
        <v>0</v>
      </c>
      <c r="Q1146" t="str">
        <f t="shared" si="89"/>
        <v>August</v>
      </c>
    </row>
    <row r="1147" spans="1:17" x14ac:dyDescent="0.4">
      <c r="A1147" t="s">
        <v>1525</v>
      </c>
      <c r="B1147" s="1">
        <v>45863</v>
      </c>
      <c r="C1147" t="s">
        <v>65</v>
      </c>
      <c r="D1147" t="s">
        <v>46</v>
      </c>
      <c r="E1147" t="s">
        <v>1526</v>
      </c>
      <c r="F1147" t="s">
        <v>28</v>
      </c>
      <c r="G1147">
        <v>4</v>
      </c>
      <c r="H1147">
        <v>492.14</v>
      </c>
      <c r="I1147">
        <v>0</v>
      </c>
      <c r="J1147">
        <v>335.91</v>
      </c>
      <c r="K1147" t="s">
        <v>24</v>
      </c>
      <c r="L1147" t="s">
        <v>37</v>
      </c>
      <c r="M1147">
        <f t="shared" si="85"/>
        <v>1968.56</v>
      </c>
      <c r="N1147">
        <f t="shared" si="86"/>
        <v>624.91999999999985</v>
      </c>
      <c r="O1147" t="str">
        <f t="shared" si="87"/>
        <v>Friday</v>
      </c>
      <c r="P1147" t="b">
        <f t="shared" si="88"/>
        <v>0</v>
      </c>
      <c r="Q1147" t="str">
        <f t="shared" si="89"/>
        <v>July</v>
      </c>
    </row>
    <row r="1148" spans="1:17" x14ac:dyDescent="0.4">
      <c r="A1148" t="s">
        <v>1527</v>
      </c>
      <c r="B1148" s="1">
        <v>45697</v>
      </c>
      <c r="C1148" t="s">
        <v>51</v>
      </c>
      <c r="D1148" t="s">
        <v>14</v>
      </c>
      <c r="E1148" t="s">
        <v>780</v>
      </c>
      <c r="F1148" t="s">
        <v>23</v>
      </c>
      <c r="G1148">
        <v>2</v>
      </c>
      <c r="H1148">
        <v>2136.6799999999998</v>
      </c>
      <c r="I1148">
        <v>15</v>
      </c>
      <c r="J1148">
        <v>1317.4</v>
      </c>
      <c r="K1148" t="s">
        <v>24</v>
      </c>
      <c r="L1148" t="s">
        <v>37</v>
      </c>
      <c r="M1148">
        <f t="shared" si="85"/>
        <v>3632.3559999999998</v>
      </c>
      <c r="N1148">
        <f t="shared" si="86"/>
        <v>997.55599999999959</v>
      </c>
      <c r="O1148" t="str">
        <f t="shared" si="87"/>
        <v>Sunday</v>
      </c>
      <c r="P1148" t="b">
        <f t="shared" si="88"/>
        <v>1</v>
      </c>
      <c r="Q1148" t="str">
        <f t="shared" si="89"/>
        <v>February</v>
      </c>
    </row>
    <row r="1149" spans="1:17" x14ac:dyDescent="0.4">
      <c r="A1149" t="s">
        <v>1528</v>
      </c>
      <c r="B1149" s="1">
        <v>45904</v>
      </c>
      <c r="C1149" t="s">
        <v>149</v>
      </c>
      <c r="D1149" t="s">
        <v>21</v>
      </c>
      <c r="E1149" t="s">
        <v>243</v>
      </c>
      <c r="F1149" t="s">
        <v>23</v>
      </c>
      <c r="G1149">
        <v>2</v>
      </c>
      <c r="H1149">
        <v>1657.7</v>
      </c>
      <c r="I1149">
        <v>0</v>
      </c>
      <c r="J1149">
        <v>1122.48</v>
      </c>
      <c r="K1149" t="s">
        <v>24</v>
      </c>
      <c r="L1149" t="s">
        <v>18</v>
      </c>
      <c r="M1149">
        <f t="shared" si="85"/>
        <v>3315.4</v>
      </c>
      <c r="N1149">
        <f t="shared" si="86"/>
        <v>1070.44</v>
      </c>
      <c r="O1149" t="str">
        <f t="shared" si="87"/>
        <v>Thursday</v>
      </c>
      <c r="P1149" t="b">
        <f t="shared" si="88"/>
        <v>0</v>
      </c>
      <c r="Q1149" t="str">
        <f t="shared" si="89"/>
        <v>September</v>
      </c>
    </row>
    <row r="1150" spans="1:17" x14ac:dyDescent="0.4">
      <c r="A1150" t="s">
        <v>1529</v>
      </c>
      <c r="B1150" s="1">
        <v>45640</v>
      </c>
      <c r="C1150" t="s">
        <v>54</v>
      </c>
      <c r="D1150" t="s">
        <v>14</v>
      </c>
      <c r="E1150" t="s">
        <v>807</v>
      </c>
      <c r="F1150" t="s">
        <v>28</v>
      </c>
      <c r="G1150">
        <v>4</v>
      </c>
      <c r="H1150">
        <v>2869.86</v>
      </c>
      <c r="I1150">
        <v>0</v>
      </c>
      <c r="J1150">
        <v>1681.64</v>
      </c>
      <c r="K1150" t="s">
        <v>24</v>
      </c>
      <c r="L1150" t="s">
        <v>37</v>
      </c>
      <c r="M1150">
        <f t="shared" si="85"/>
        <v>11479.44</v>
      </c>
      <c r="N1150">
        <f t="shared" si="86"/>
        <v>4752.88</v>
      </c>
      <c r="O1150" t="str">
        <f t="shared" si="87"/>
        <v>Saturday</v>
      </c>
      <c r="P1150" t="b">
        <f t="shared" si="88"/>
        <v>1</v>
      </c>
      <c r="Q1150" t="str">
        <f t="shared" si="89"/>
        <v>December</v>
      </c>
    </row>
    <row r="1151" spans="1:17" x14ac:dyDescent="0.4">
      <c r="A1151" t="s">
        <v>1530</v>
      </c>
      <c r="B1151" s="1">
        <v>45376</v>
      </c>
      <c r="C1151" t="s">
        <v>74</v>
      </c>
      <c r="D1151" t="s">
        <v>14</v>
      </c>
      <c r="E1151" t="s">
        <v>160</v>
      </c>
      <c r="F1151" t="s">
        <v>23</v>
      </c>
      <c r="G1151">
        <v>1</v>
      </c>
      <c r="H1151">
        <v>2617.16</v>
      </c>
      <c r="I1151">
        <v>10</v>
      </c>
      <c r="J1151">
        <v>1199.94</v>
      </c>
      <c r="K1151" t="s">
        <v>17</v>
      </c>
      <c r="L1151" t="s">
        <v>33</v>
      </c>
      <c r="M1151">
        <f t="shared" si="85"/>
        <v>2355.444</v>
      </c>
      <c r="N1151">
        <f t="shared" si="86"/>
        <v>1155.5039999999999</v>
      </c>
      <c r="O1151" t="str">
        <f t="shared" si="87"/>
        <v>Monday</v>
      </c>
      <c r="P1151" t="b">
        <f t="shared" si="88"/>
        <v>0</v>
      </c>
      <c r="Q1151" t="str">
        <f t="shared" si="89"/>
        <v>March</v>
      </c>
    </row>
    <row r="1152" spans="1:17" x14ac:dyDescent="0.4">
      <c r="A1152" t="s">
        <v>1531</v>
      </c>
      <c r="B1152" s="1">
        <v>45424</v>
      </c>
      <c r="C1152" t="s">
        <v>139</v>
      </c>
      <c r="D1152" t="s">
        <v>31</v>
      </c>
      <c r="E1152" t="s">
        <v>1154</v>
      </c>
      <c r="F1152" t="s">
        <v>16</v>
      </c>
      <c r="G1152">
        <v>4</v>
      </c>
      <c r="H1152">
        <v>443.43</v>
      </c>
      <c r="I1152">
        <v>15</v>
      </c>
      <c r="J1152">
        <v>211.15</v>
      </c>
      <c r="K1152" t="s">
        <v>17</v>
      </c>
      <c r="L1152" t="s">
        <v>37</v>
      </c>
      <c r="M1152">
        <f t="shared" si="85"/>
        <v>1507.662</v>
      </c>
      <c r="N1152">
        <f t="shared" si="86"/>
        <v>663.06200000000001</v>
      </c>
      <c r="O1152" t="str">
        <f t="shared" si="87"/>
        <v>Sunday</v>
      </c>
      <c r="P1152" t="b">
        <f t="shared" si="88"/>
        <v>1</v>
      </c>
      <c r="Q1152" t="str">
        <f t="shared" si="89"/>
        <v>May</v>
      </c>
    </row>
    <row r="1153" spans="1:17" x14ac:dyDescent="0.4">
      <c r="A1153" t="s">
        <v>1532</v>
      </c>
      <c r="B1153" s="1">
        <v>45412</v>
      </c>
      <c r="C1153" t="s">
        <v>159</v>
      </c>
      <c r="D1153" t="s">
        <v>14</v>
      </c>
      <c r="E1153" t="s">
        <v>15</v>
      </c>
      <c r="F1153" t="s">
        <v>28</v>
      </c>
      <c r="G1153">
        <v>2</v>
      </c>
      <c r="H1153">
        <v>1685.44</v>
      </c>
      <c r="I1153">
        <v>15</v>
      </c>
      <c r="J1153">
        <v>723.68</v>
      </c>
      <c r="K1153" t="s">
        <v>24</v>
      </c>
      <c r="L1153" t="s">
        <v>37</v>
      </c>
      <c r="M1153">
        <f t="shared" si="85"/>
        <v>2865.248</v>
      </c>
      <c r="N1153">
        <f t="shared" si="86"/>
        <v>1417.8880000000001</v>
      </c>
      <c r="O1153" t="str">
        <f t="shared" si="87"/>
        <v>Tuesday</v>
      </c>
      <c r="P1153" t="b">
        <f t="shared" si="88"/>
        <v>0</v>
      </c>
      <c r="Q1153" t="str">
        <f t="shared" si="89"/>
        <v>April</v>
      </c>
    </row>
    <row r="1154" spans="1:17" x14ac:dyDescent="0.4">
      <c r="A1154" t="s">
        <v>1533</v>
      </c>
      <c r="B1154" s="1">
        <v>45654</v>
      </c>
      <c r="C1154" t="s">
        <v>302</v>
      </c>
      <c r="D1154" t="s">
        <v>46</v>
      </c>
      <c r="E1154" t="s">
        <v>491</v>
      </c>
      <c r="F1154" t="s">
        <v>28</v>
      </c>
      <c r="G1154">
        <v>5</v>
      </c>
      <c r="H1154">
        <v>2764.81</v>
      </c>
      <c r="I1154">
        <v>15</v>
      </c>
      <c r="J1154">
        <v>1504</v>
      </c>
      <c r="K1154" t="s">
        <v>17</v>
      </c>
      <c r="L1154" t="s">
        <v>33</v>
      </c>
      <c r="M1154">
        <f t="shared" si="85"/>
        <v>11750.442499999999</v>
      </c>
      <c r="N1154">
        <f t="shared" si="86"/>
        <v>4230.4424999999992</v>
      </c>
      <c r="O1154" t="str">
        <f t="shared" si="87"/>
        <v>Saturday</v>
      </c>
      <c r="P1154" t="b">
        <f t="shared" si="88"/>
        <v>1</v>
      </c>
      <c r="Q1154" t="str">
        <f t="shared" si="89"/>
        <v>December</v>
      </c>
    </row>
    <row r="1155" spans="1:17" x14ac:dyDescent="0.4">
      <c r="A1155" t="s">
        <v>1534</v>
      </c>
      <c r="B1155" s="1">
        <v>45582</v>
      </c>
      <c r="C1155" t="s">
        <v>39</v>
      </c>
      <c r="D1155" t="s">
        <v>31</v>
      </c>
      <c r="E1155" t="s">
        <v>1008</v>
      </c>
      <c r="F1155" t="s">
        <v>16</v>
      </c>
      <c r="G1155">
        <v>5</v>
      </c>
      <c r="H1155">
        <v>1185.48</v>
      </c>
      <c r="I1155">
        <v>20</v>
      </c>
      <c r="J1155">
        <v>644.67999999999995</v>
      </c>
      <c r="K1155" t="s">
        <v>24</v>
      </c>
      <c r="L1155" t="s">
        <v>33</v>
      </c>
      <c r="M1155">
        <f t="shared" ref="M1155:M1218" si="90">G1155 * H1155 * (1 - I1155/100)</f>
        <v>4741.92</v>
      </c>
      <c r="N1155">
        <f t="shared" ref="N1155:N1218" si="91">M1155 - (J1155 * G1155)</f>
        <v>1518.5200000000004</v>
      </c>
      <c r="O1155" t="str">
        <f t="shared" ref="O1155:O1218" si="92">TEXT(B1155,"dddd")</f>
        <v>Thursday</v>
      </c>
      <c r="P1155" t="b">
        <f t="shared" ref="P1155:P1218" si="93">OR(TEXT(B1155,"ddd")="Sat", TEXT(B1155,"ddd")="Sun")</f>
        <v>0</v>
      </c>
      <c r="Q1155" t="str">
        <f t="shared" ref="Q1155:Q1218" si="94">TEXT(B1155,"mmmm")</f>
        <v>October</v>
      </c>
    </row>
    <row r="1156" spans="1:17" x14ac:dyDescent="0.4">
      <c r="A1156" t="s">
        <v>1535</v>
      </c>
      <c r="B1156" s="1">
        <v>45889</v>
      </c>
      <c r="C1156" t="s">
        <v>119</v>
      </c>
      <c r="D1156" t="s">
        <v>21</v>
      </c>
      <c r="E1156" t="s">
        <v>753</v>
      </c>
      <c r="F1156" t="s">
        <v>23</v>
      </c>
      <c r="G1156">
        <v>3</v>
      </c>
      <c r="H1156">
        <v>364.34</v>
      </c>
      <c r="I1156">
        <v>15</v>
      </c>
      <c r="J1156">
        <v>244.61</v>
      </c>
      <c r="K1156" t="s">
        <v>24</v>
      </c>
      <c r="L1156" t="s">
        <v>18</v>
      </c>
      <c r="M1156">
        <f t="shared" si="90"/>
        <v>929.06700000000001</v>
      </c>
      <c r="N1156">
        <f t="shared" si="91"/>
        <v>195.23699999999997</v>
      </c>
      <c r="O1156" t="str">
        <f t="shared" si="92"/>
        <v>Wednesday</v>
      </c>
      <c r="P1156" t="b">
        <f t="shared" si="93"/>
        <v>0</v>
      </c>
      <c r="Q1156" t="str">
        <f t="shared" si="94"/>
        <v>August</v>
      </c>
    </row>
    <row r="1157" spans="1:17" x14ac:dyDescent="0.4">
      <c r="A1157" t="s">
        <v>1536</v>
      </c>
      <c r="B1157" s="1">
        <v>45529</v>
      </c>
      <c r="C1157" t="s">
        <v>251</v>
      </c>
      <c r="D1157" t="s">
        <v>46</v>
      </c>
      <c r="E1157" t="s">
        <v>493</v>
      </c>
      <c r="F1157" t="s">
        <v>23</v>
      </c>
      <c r="G1157">
        <v>4</v>
      </c>
      <c r="H1157">
        <v>2767.02</v>
      </c>
      <c r="I1157">
        <v>10</v>
      </c>
      <c r="J1157">
        <v>1544.62</v>
      </c>
      <c r="K1157" t="s">
        <v>24</v>
      </c>
      <c r="L1157" t="s">
        <v>18</v>
      </c>
      <c r="M1157">
        <f t="shared" si="90"/>
        <v>9961.2720000000008</v>
      </c>
      <c r="N1157">
        <f t="shared" si="91"/>
        <v>3782.7920000000013</v>
      </c>
      <c r="O1157" t="str">
        <f t="shared" si="92"/>
        <v>Sunday</v>
      </c>
      <c r="P1157" t="b">
        <f t="shared" si="93"/>
        <v>1</v>
      </c>
      <c r="Q1157" t="str">
        <f t="shared" si="94"/>
        <v>August</v>
      </c>
    </row>
    <row r="1158" spans="1:17" x14ac:dyDescent="0.4">
      <c r="A1158" t="s">
        <v>1537</v>
      </c>
      <c r="B1158" s="1">
        <v>45733</v>
      </c>
      <c r="C1158" t="s">
        <v>205</v>
      </c>
      <c r="D1158" t="s">
        <v>21</v>
      </c>
      <c r="E1158" t="s">
        <v>1008</v>
      </c>
      <c r="F1158" t="s">
        <v>28</v>
      </c>
      <c r="G1158">
        <v>2</v>
      </c>
      <c r="H1158">
        <v>2741.45</v>
      </c>
      <c r="I1158">
        <v>25</v>
      </c>
      <c r="J1158">
        <v>1812.05</v>
      </c>
      <c r="K1158" t="s">
        <v>24</v>
      </c>
      <c r="L1158" t="s">
        <v>18</v>
      </c>
      <c r="M1158">
        <f t="shared" si="90"/>
        <v>4112.1749999999993</v>
      </c>
      <c r="N1158">
        <f t="shared" si="91"/>
        <v>488.07499999999936</v>
      </c>
      <c r="O1158" t="str">
        <f t="shared" si="92"/>
        <v>Monday</v>
      </c>
      <c r="P1158" t="b">
        <f t="shared" si="93"/>
        <v>0</v>
      </c>
      <c r="Q1158" t="str">
        <f t="shared" si="94"/>
        <v>March</v>
      </c>
    </row>
    <row r="1159" spans="1:17" x14ac:dyDescent="0.4">
      <c r="A1159" t="s">
        <v>1538</v>
      </c>
      <c r="B1159" s="1">
        <v>45297</v>
      </c>
      <c r="C1159" t="s">
        <v>139</v>
      </c>
      <c r="D1159" t="s">
        <v>14</v>
      </c>
      <c r="E1159" t="s">
        <v>284</v>
      </c>
      <c r="F1159" t="s">
        <v>16</v>
      </c>
      <c r="G1159">
        <v>1</v>
      </c>
      <c r="H1159">
        <v>2016.29</v>
      </c>
      <c r="I1159">
        <v>10</v>
      </c>
      <c r="J1159">
        <v>1330.52</v>
      </c>
      <c r="K1159" t="s">
        <v>24</v>
      </c>
      <c r="L1159" t="s">
        <v>37</v>
      </c>
      <c r="M1159">
        <f t="shared" si="90"/>
        <v>1814.6610000000001</v>
      </c>
      <c r="N1159">
        <f t="shared" si="91"/>
        <v>484.14100000000008</v>
      </c>
      <c r="O1159" t="str">
        <f t="shared" si="92"/>
        <v>Saturday</v>
      </c>
      <c r="P1159" t="b">
        <f t="shared" si="93"/>
        <v>1</v>
      </c>
      <c r="Q1159" t="str">
        <f t="shared" si="94"/>
        <v>January</v>
      </c>
    </row>
    <row r="1160" spans="1:17" x14ac:dyDescent="0.4">
      <c r="A1160" t="s">
        <v>1539</v>
      </c>
      <c r="B1160" s="1">
        <v>45773</v>
      </c>
      <c r="C1160" t="s">
        <v>278</v>
      </c>
      <c r="D1160" t="s">
        <v>14</v>
      </c>
      <c r="E1160" t="s">
        <v>690</v>
      </c>
      <c r="F1160" t="s">
        <v>28</v>
      </c>
      <c r="G1160">
        <v>5</v>
      </c>
      <c r="H1160">
        <v>1935.85</v>
      </c>
      <c r="I1160">
        <v>5</v>
      </c>
      <c r="J1160">
        <v>1174.19</v>
      </c>
      <c r="K1160" t="s">
        <v>24</v>
      </c>
      <c r="L1160" t="s">
        <v>37</v>
      </c>
      <c r="M1160">
        <f t="shared" si="90"/>
        <v>9195.2875000000004</v>
      </c>
      <c r="N1160">
        <f t="shared" si="91"/>
        <v>3324.3374999999996</v>
      </c>
      <c r="O1160" t="str">
        <f t="shared" si="92"/>
        <v>Saturday</v>
      </c>
      <c r="P1160" t="b">
        <f t="shared" si="93"/>
        <v>1</v>
      </c>
      <c r="Q1160" t="str">
        <f t="shared" si="94"/>
        <v>April</v>
      </c>
    </row>
    <row r="1161" spans="1:17" x14ac:dyDescent="0.4">
      <c r="A1161" t="s">
        <v>1540</v>
      </c>
      <c r="B1161" s="1">
        <v>45439</v>
      </c>
      <c r="C1161" t="s">
        <v>193</v>
      </c>
      <c r="D1161" t="s">
        <v>14</v>
      </c>
      <c r="E1161" t="s">
        <v>521</v>
      </c>
      <c r="F1161" t="s">
        <v>28</v>
      </c>
      <c r="G1161">
        <v>1</v>
      </c>
      <c r="H1161">
        <v>930.03</v>
      </c>
      <c r="I1161">
        <v>10</v>
      </c>
      <c r="J1161">
        <v>464.46</v>
      </c>
      <c r="K1161" t="s">
        <v>24</v>
      </c>
      <c r="L1161" t="s">
        <v>33</v>
      </c>
      <c r="M1161">
        <f t="shared" si="90"/>
        <v>837.02700000000004</v>
      </c>
      <c r="N1161">
        <f t="shared" si="91"/>
        <v>372.56700000000006</v>
      </c>
      <c r="O1161" t="str">
        <f t="shared" si="92"/>
        <v>Monday</v>
      </c>
      <c r="P1161" t="b">
        <f t="shared" si="93"/>
        <v>0</v>
      </c>
      <c r="Q1161" t="str">
        <f t="shared" si="94"/>
        <v>May</v>
      </c>
    </row>
    <row r="1162" spans="1:17" x14ac:dyDescent="0.4">
      <c r="A1162" t="s">
        <v>1541</v>
      </c>
      <c r="B1162" s="1">
        <v>45710</v>
      </c>
      <c r="C1162" t="s">
        <v>109</v>
      </c>
      <c r="D1162" t="s">
        <v>46</v>
      </c>
      <c r="E1162" t="s">
        <v>129</v>
      </c>
      <c r="F1162" t="s">
        <v>16</v>
      </c>
      <c r="G1162">
        <v>4</v>
      </c>
      <c r="H1162">
        <v>1834.63</v>
      </c>
      <c r="I1162">
        <v>15</v>
      </c>
      <c r="J1162">
        <v>1050.6400000000001</v>
      </c>
      <c r="K1162" t="s">
        <v>24</v>
      </c>
      <c r="L1162" t="s">
        <v>37</v>
      </c>
      <c r="M1162">
        <f t="shared" si="90"/>
        <v>6237.7420000000002</v>
      </c>
      <c r="N1162">
        <f t="shared" si="91"/>
        <v>2035.1819999999998</v>
      </c>
      <c r="O1162" t="str">
        <f t="shared" si="92"/>
        <v>Saturday</v>
      </c>
      <c r="P1162" t="b">
        <f t="shared" si="93"/>
        <v>1</v>
      </c>
      <c r="Q1162" t="str">
        <f t="shared" si="94"/>
        <v>February</v>
      </c>
    </row>
    <row r="1163" spans="1:17" x14ac:dyDescent="0.4">
      <c r="A1163" t="s">
        <v>1542</v>
      </c>
      <c r="B1163" s="1">
        <v>45458</v>
      </c>
      <c r="C1163" t="s">
        <v>62</v>
      </c>
      <c r="D1163" t="s">
        <v>21</v>
      </c>
      <c r="E1163" t="s">
        <v>491</v>
      </c>
      <c r="F1163" t="s">
        <v>23</v>
      </c>
      <c r="G1163">
        <v>2</v>
      </c>
      <c r="H1163">
        <v>514.85</v>
      </c>
      <c r="I1163">
        <v>25</v>
      </c>
      <c r="J1163">
        <v>253.08</v>
      </c>
      <c r="K1163" t="s">
        <v>24</v>
      </c>
      <c r="L1163" t="s">
        <v>33</v>
      </c>
      <c r="M1163">
        <f t="shared" si="90"/>
        <v>772.27500000000009</v>
      </c>
      <c r="N1163">
        <f t="shared" si="91"/>
        <v>266.11500000000007</v>
      </c>
      <c r="O1163" t="str">
        <f t="shared" si="92"/>
        <v>Saturday</v>
      </c>
      <c r="P1163" t="b">
        <f t="shared" si="93"/>
        <v>1</v>
      </c>
      <c r="Q1163" t="str">
        <f t="shared" si="94"/>
        <v>June</v>
      </c>
    </row>
    <row r="1164" spans="1:17" x14ac:dyDescent="0.4">
      <c r="A1164" t="s">
        <v>1543</v>
      </c>
      <c r="B1164" s="1">
        <v>45616</v>
      </c>
      <c r="C1164" t="s">
        <v>68</v>
      </c>
      <c r="D1164" t="s">
        <v>46</v>
      </c>
      <c r="E1164" t="s">
        <v>218</v>
      </c>
      <c r="F1164" t="s">
        <v>23</v>
      </c>
      <c r="G1164">
        <v>3</v>
      </c>
      <c r="H1164">
        <v>2076.29</v>
      </c>
      <c r="I1164">
        <v>0</v>
      </c>
      <c r="J1164">
        <v>1430.37</v>
      </c>
      <c r="K1164" t="s">
        <v>17</v>
      </c>
      <c r="L1164" t="s">
        <v>37</v>
      </c>
      <c r="M1164">
        <f t="shared" si="90"/>
        <v>6228.87</v>
      </c>
      <c r="N1164">
        <f t="shared" si="91"/>
        <v>1937.7600000000002</v>
      </c>
      <c r="O1164" t="str">
        <f t="shared" si="92"/>
        <v>Wednesday</v>
      </c>
      <c r="P1164" t="b">
        <f t="shared" si="93"/>
        <v>0</v>
      </c>
      <c r="Q1164" t="str">
        <f t="shared" si="94"/>
        <v>November</v>
      </c>
    </row>
    <row r="1165" spans="1:17" x14ac:dyDescent="0.4">
      <c r="A1165" t="s">
        <v>1544</v>
      </c>
      <c r="B1165" s="1">
        <v>45829</v>
      </c>
      <c r="C1165" t="s">
        <v>125</v>
      </c>
      <c r="D1165" t="s">
        <v>21</v>
      </c>
      <c r="E1165" t="s">
        <v>1102</v>
      </c>
      <c r="F1165" t="s">
        <v>23</v>
      </c>
      <c r="G1165">
        <v>4</v>
      </c>
      <c r="H1165">
        <v>1660.9</v>
      </c>
      <c r="I1165">
        <v>10</v>
      </c>
      <c r="J1165">
        <v>695.42</v>
      </c>
      <c r="K1165" t="s">
        <v>24</v>
      </c>
      <c r="L1165" t="s">
        <v>18</v>
      </c>
      <c r="M1165">
        <f t="shared" si="90"/>
        <v>5979.2400000000007</v>
      </c>
      <c r="N1165">
        <f t="shared" si="91"/>
        <v>3197.5600000000009</v>
      </c>
      <c r="O1165" t="str">
        <f t="shared" si="92"/>
        <v>Saturday</v>
      </c>
      <c r="P1165" t="b">
        <f t="shared" si="93"/>
        <v>1</v>
      </c>
      <c r="Q1165" t="str">
        <f t="shared" si="94"/>
        <v>June</v>
      </c>
    </row>
    <row r="1166" spans="1:17" x14ac:dyDescent="0.4">
      <c r="A1166" t="s">
        <v>1545</v>
      </c>
      <c r="B1166" s="1">
        <v>45688</v>
      </c>
      <c r="C1166" t="s">
        <v>296</v>
      </c>
      <c r="D1166" t="s">
        <v>14</v>
      </c>
      <c r="E1166" t="s">
        <v>132</v>
      </c>
      <c r="F1166" t="s">
        <v>28</v>
      </c>
      <c r="G1166">
        <v>1</v>
      </c>
      <c r="H1166">
        <v>1030.92</v>
      </c>
      <c r="I1166">
        <v>25</v>
      </c>
      <c r="J1166">
        <v>699.21</v>
      </c>
      <c r="K1166" t="s">
        <v>24</v>
      </c>
      <c r="L1166" t="s">
        <v>18</v>
      </c>
      <c r="M1166">
        <f t="shared" si="90"/>
        <v>773.19</v>
      </c>
      <c r="N1166">
        <f t="shared" si="91"/>
        <v>73.980000000000018</v>
      </c>
      <c r="O1166" t="str">
        <f t="shared" si="92"/>
        <v>Friday</v>
      </c>
      <c r="P1166" t="b">
        <f t="shared" si="93"/>
        <v>0</v>
      </c>
      <c r="Q1166" t="str">
        <f t="shared" si="94"/>
        <v>January</v>
      </c>
    </row>
    <row r="1167" spans="1:17" x14ac:dyDescent="0.4">
      <c r="A1167" t="s">
        <v>1546</v>
      </c>
      <c r="B1167" s="1">
        <v>45292</v>
      </c>
      <c r="C1167" t="s">
        <v>182</v>
      </c>
      <c r="D1167" t="s">
        <v>21</v>
      </c>
      <c r="E1167" t="s">
        <v>763</v>
      </c>
      <c r="F1167" t="s">
        <v>23</v>
      </c>
      <c r="G1167">
        <v>2</v>
      </c>
      <c r="H1167">
        <v>2873.32</v>
      </c>
      <c r="I1167">
        <v>15</v>
      </c>
      <c r="J1167">
        <v>1898.89</v>
      </c>
      <c r="K1167" t="s">
        <v>17</v>
      </c>
      <c r="L1167" t="s">
        <v>37</v>
      </c>
      <c r="M1167">
        <f t="shared" si="90"/>
        <v>4884.6440000000002</v>
      </c>
      <c r="N1167">
        <f t="shared" si="91"/>
        <v>1086.864</v>
      </c>
      <c r="O1167" t="str">
        <f t="shared" si="92"/>
        <v>Monday</v>
      </c>
      <c r="P1167" t="b">
        <f t="shared" si="93"/>
        <v>0</v>
      </c>
      <c r="Q1167" t="str">
        <f t="shared" si="94"/>
        <v>January</v>
      </c>
    </row>
    <row r="1168" spans="1:17" x14ac:dyDescent="0.4">
      <c r="A1168" t="s">
        <v>1547</v>
      </c>
      <c r="B1168" s="1">
        <v>45728</v>
      </c>
      <c r="C1168" t="s">
        <v>224</v>
      </c>
      <c r="D1168" t="s">
        <v>14</v>
      </c>
      <c r="E1168" t="s">
        <v>916</v>
      </c>
      <c r="F1168" t="s">
        <v>28</v>
      </c>
      <c r="G1168">
        <v>3</v>
      </c>
      <c r="H1168">
        <v>2311.94</v>
      </c>
      <c r="I1168">
        <v>0</v>
      </c>
      <c r="J1168">
        <v>1181.46</v>
      </c>
      <c r="K1168" t="s">
        <v>17</v>
      </c>
      <c r="L1168" t="s">
        <v>37</v>
      </c>
      <c r="M1168">
        <f t="shared" si="90"/>
        <v>6935.82</v>
      </c>
      <c r="N1168">
        <f t="shared" si="91"/>
        <v>3391.4399999999996</v>
      </c>
      <c r="O1168" t="str">
        <f t="shared" si="92"/>
        <v>Wednesday</v>
      </c>
      <c r="P1168" t="b">
        <f t="shared" si="93"/>
        <v>0</v>
      </c>
      <c r="Q1168" t="str">
        <f t="shared" si="94"/>
        <v>March</v>
      </c>
    </row>
    <row r="1169" spans="1:17" x14ac:dyDescent="0.4">
      <c r="A1169" t="s">
        <v>1548</v>
      </c>
      <c r="B1169" s="1">
        <v>45508</v>
      </c>
      <c r="C1169" t="s">
        <v>152</v>
      </c>
      <c r="D1169" t="s">
        <v>21</v>
      </c>
      <c r="E1169" t="s">
        <v>1097</v>
      </c>
      <c r="F1169" t="s">
        <v>23</v>
      </c>
      <c r="G1169">
        <v>4</v>
      </c>
      <c r="H1169">
        <v>2299.81</v>
      </c>
      <c r="I1169">
        <v>15</v>
      </c>
      <c r="J1169">
        <v>1383.49</v>
      </c>
      <c r="K1169" t="s">
        <v>24</v>
      </c>
      <c r="L1169" t="s">
        <v>37</v>
      </c>
      <c r="M1169">
        <f t="shared" si="90"/>
        <v>7819.3539999999994</v>
      </c>
      <c r="N1169">
        <f t="shared" si="91"/>
        <v>2285.3939999999993</v>
      </c>
      <c r="O1169" t="str">
        <f t="shared" si="92"/>
        <v>Sunday</v>
      </c>
      <c r="P1169" t="b">
        <f t="shared" si="93"/>
        <v>1</v>
      </c>
      <c r="Q1169" t="str">
        <f t="shared" si="94"/>
        <v>August</v>
      </c>
    </row>
    <row r="1170" spans="1:17" x14ac:dyDescent="0.4">
      <c r="A1170" t="s">
        <v>1549</v>
      </c>
      <c r="B1170" s="1">
        <v>45954</v>
      </c>
      <c r="C1170" t="s">
        <v>20</v>
      </c>
      <c r="D1170" t="s">
        <v>14</v>
      </c>
      <c r="E1170" t="s">
        <v>542</v>
      </c>
      <c r="F1170" t="s">
        <v>16</v>
      </c>
      <c r="G1170">
        <v>5</v>
      </c>
      <c r="H1170">
        <v>1029.54</v>
      </c>
      <c r="I1170">
        <v>10</v>
      </c>
      <c r="J1170">
        <v>433.1</v>
      </c>
      <c r="K1170" t="s">
        <v>17</v>
      </c>
      <c r="L1170" t="s">
        <v>33</v>
      </c>
      <c r="M1170">
        <f t="shared" si="90"/>
        <v>4632.93</v>
      </c>
      <c r="N1170">
        <f t="shared" si="91"/>
        <v>2467.4300000000003</v>
      </c>
      <c r="O1170" t="str">
        <f t="shared" si="92"/>
        <v>Friday</v>
      </c>
      <c r="P1170" t="b">
        <f t="shared" si="93"/>
        <v>0</v>
      </c>
      <c r="Q1170" t="str">
        <f t="shared" si="94"/>
        <v>October</v>
      </c>
    </row>
    <row r="1171" spans="1:17" x14ac:dyDescent="0.4">
      <c r="A1171" t="s">
        <v>1550</v>
      </c>
      <c r="B1171" s="1">
        <v>45828</v>
      </c>
      <c r="C1171" t="s">
        <v>139</v>
      </c>
      <c r="D1171" t="s">
        <v>14</v>
      </c>
      <c r="E1171" t="s">
        <v>126</v>
      </c>
      <c r="F1171" t="s">
        <v>23</v>
      </c>
      <c r="G1171">
        <v>5</v>
      </c>
      <c r="H1171">
        <v>2877.52</v>
      </c>
      <c r="I1171">
        <v>10</v>
      </c>
      <c r="J1171">
        <v>1925.84</v>
      </c>
      <c r="K1171" t="s">
        <v>17</v>
      </c>
      <c r="L1171" t="s">
        <v>18</v>
      </c>
      <c r="M1171">
        <f t="shared" si="90"/>
        <v>12948.84</v>
      </c>
      <c r="N1171">
        <f t="shared" si="91"/>
        <v>3319.6400000000012</v>
      </c>
      <c r="O1171" t="str">
        <f t="shared" si="92"/>
        <v>Friday</v>
      </c>
      <c r="P1171" t="b">
        <f t="shared" si="93"/>
        <v>0</v>
      </c>
      <c r="Q1171" t="str">
        <f t="shared" si="94"/>
        <v>June</v>
      </c>
    </row>
    <row r="1172" spans="1:17" x14ac:dyDescent="0.4">
      <c r="A1172" t="s">
        <v>1551</v>
      </c>
      <c r="B1172" s="1">
        <v>45448</v>
      </c>
      <c r="C1172" t="s">
        <v>20</v>
      </c>
      <c r="D1172" t="s">
        <v>31</v>
      </c>
      <c r="E1172" t="s">
        <v>291</v>
      </c>
      <c r="F1172" t="s">
        <v>28</v>
      </c>
      <c r="G1172">
        <v>3</v>
      </c>
      <c r="H1172">
        <v>684.34</v>
      </c>
      <c r="I1172">
        <v>20</v>
      </c>
      <c r="J1172">
        <v>282.69</v>
      </c>
      <c r="K1172" t="s">
        <v>17</v>
      </c>
      <c r="L1172" t="s">
        <v>37</v>
      </c>
      <c r="M1172">
        <f t="shared" si="90"/>
        <v>1642.4160000000002</v>
      </c>
      <c r="N1172">
        <f t="shared" si="91"/>
        <v>794.34600000000023</v>
      </c>
      <c r="O1172" t="str">
        <f t="shared" si="92"/>
        <v>Wednesday</v>
      </c>
      <c r="P1172" t="b">
        <f t="shared" si="93"/>
        <v>0</v>
      </c>
      <c r="Q1172" t="str">
        <f t="shared" si="94"/>
        <v>June</v>
      </c>
    </row>
    <row r="1173" spans="1:17" x14ac:dyDescent="0.4">
      <c r="A1173" t="s">
        <v>1552</v>
      </c>
      <c r="B1173" s="1">
        <v>45896</v>
      </c>
      <c r="C1173" t="s">
        <v>119</v>
      </c>
      <c r="D1173" t="s">
        <v>14</v>
      </c>
      <c r="E1173" t="s">
        <v>730</v>
      </c>
      <c r="F1173" t="s">
        <v>28</v>
      </c>
      <c r="G1173">
        <v>5</v>
      </c>
      <c r="H1173">
        <v>742.56</v>
      </c>
      <c r="I1173">
        <v>10</v>
      </c>
      <c r="J1173">
        <v>347.33</v>
      </c>
      <c r="K1173" t="s">
        <v>24</v>
      </c>
      <c r="L1173" t="s">
        <v>33</v>
      </c>
      <c r="M1173">
        <f t="shared" si="90"/>
        <v>3341.52</v>
      </c>
      <c r="N1173">
        <f t="shared" si="91"/>
        <v>1604.8700000000001</v>
      </c>
      <c r="O1173" t="str">
        <f t="shared" si="92"/>
        <v>Wednesday</v>
      </c>
      <c r="P1173" t="b">
        <f t="shared" si="93"/>
        <v>0</v>
      </c>
      <c r="Q1173" t="str">
        <f t="shared" si="94"/>
        <v>August</v>
      </c>
    </row>
    <row r="1174" spans="1:17" x14ac:dyDescent="0.4">
      <c r="A1174" t="s">
        <v>1553</v>
      </c>
      <c r="B1174" s="1">
        <v>45322</v>
      </c>
      <c r="C1174" t="s">
        <v>267</v>
      </c>
      <c r="D1174" t="s">
        <v>21</v>
      </c>
      <c r="E1174" t="s">
        <v>1284</v>
      </c>
      <c r="F1174" t="s">
        <v>23</v>
      </c>
      <c r="G1174">
        <v>2</v>
      </c>
      <c r="H1174">
        <v>1418.45</v>
      </c>
      <c r="I1174">
        <v>15</v>
      </c>
      <c r="J1174">
        <v>952.15</v>
      </c>
      <c r="K1174" t="s">
        <v>24</v>
      </c>
      <c r="L1174" t="s">
        <v>18</v>
      </c>
      <c r="M1174">
        <f t="shared" si="90"/>
        <v>2411.3650000000002</v>
      </c>
      <c r="N1174">
        <f t="shared" si="91"/>
        <v>507.06500000000028</v>
      </c>
      <c r="O1174" t="str">
        <f t="shared" si="92"/>
        <v>Wednesday</v>
      </c>
      <c r="P1174" t="b">
        <f t="shared" si="93"/>
        <v>0</v>
      </c>
      <c r="Q1174" t="str">
        <f t="shared" si="94"/>
        <v>January</v>
      </c>
    </row>
    <row r="1175" spans="1:17" x14ac:dyDescent="0.4">
      <c r="A1175" t="s">
        <v>1554</v>
      </c>
      <c r="B1175" s="1">
        <v>45620</v>
      </c>
      <c r="C1175" t="s">
        <v>251</v>
      </c>
      <c r="D1175" t="s">
        <v>21</v>
      </c>
      <c r="E1175" t="s">
        <v>93</v>
      </c>
      <c r="F1175" t="s">
        <v>16</v>
      </c>
      <c r="G1175">
        <v>1</v>
      </c>
      <c r="H1175">
        <v>1023.14</v>
      </c>
      <c r="I1175">
        <v>20</v>
      </c>
      <c r="J1175">
        <v>607.96</v>
      </c>
      <c r="K1175" t="s">
        <v>17</v>
      </c>
      <c r="L1175" t="s">
        <v>33</v>
      </c>
      <c r="M1175">
        <f t="shared" si="90"/>
        <v>818.51200000000006</v>
      </c>
      <c r="N1175">
        <f t="shared" si="91"/>
        <v>210.55200000000002</v>
      </c>
      <c r="O1175" t="str">
        <f t="shared" si="92"/>
        <v>Sunday</v>
      </c>
      <c r="P1175" t="b">
        <f t="shared" si="93"/>
        <v>1</v>
      </c>
      <c r="Q1175" t="str">
        <f t="shared" si="94"/>
        <v>November</v>
      </c>
    </row>
    <row r="1176" spans="1:17" x14ac:dyDescent="0.4">
      <c r="A1176" t="s">
        <v>1555</v>
      </c>
      <c r="B1176" s="1">
        <v>45515</v>
      </c>
      <c r="C1176" t="s">
        <v>205</v>
      </c>
      <c r="D1176" t="s">
        <v>31</v>
      </c>
      <c r="E1176" t="s">
        <v>469</v>
      </c>
      <c r="F1176" t="s">
        <v>28</v>
      </c>
      <c r="G1176">
        <v>5</v>
      </c>
      <c r="H1176">
        <v>2760.78</v>
      </c>
      <c r="I1176">
        <v>15</v>
      </c>
      <c r="J1176">
        <v>1464.84</v>
      </c>
      <c r="K1176" t="s">
        <v>24</v>
      </c>
      <c r="L1176" t="s">
        <v>18</v>
      </c>
      <c r="M1176">
        <f t="shared" si="90"/>
        <v>11733.315000000001</v>
      </c>
      <c r="N1176">
        <f t="shared" si="91"/>
        <v>4409.1150000000007</v>
      </c>
      <c r="O1176" t="str">
        <f t="shared" si="92"/>
        <v>Sunday</v>
      </c>
      <c r="P1176" t="b">
        <f t="shared" si="93"/>
        <v>1</v>
      </c>
      <c r="Q1176" t="str">
        <f t="shared" si="94"/>
        <v>August</v>
      </c>
    </row>
    <row r="1177" spans="1:17" x14ac:dyDescent="0.4">
      <c r="A1177" t="s">
        <v>1556</v>
      </c>
      <c r="B1177" s="1">
        <v>45522</v>
      </c>
      <c r="C1177" t="s">
        <v>59</v>
      </c>
      <c r="D1177" t="s">
        <v>21</v>
      </c>
      <c r="E1177" t="s">
        <v>1397</v>
      </c>
      <c r="F1177" t="s">
        <v>23</v>
      </c>
      <c r="G1177">
        <v>1</v>
      </c>
      <c r="H1177">
        <v>2504.56</v>
      </c>
      <c r="I1177">
        <v>25</v>
      </c>
      <c r="J1177">
        <v>1043.19</v>
      </c>
      <c r="K1177" t="s">
        <v>24</v>
      </c>
      <c r="L1177" t="s">
        <v>33</v>
      </c>
      <c r="M1177">
        <f t="shared" si="90"/>
        <v>1878.42</v>
      </c>
      <c r="N1177">
        <f t="shared" si="91"/>
        <v>835.23</v>
      </c>
      <c r="O1177" t="str">
        <f t="shared" si="92"/>
        <v>Sunday</v>
      </c>
      <c r="P1177" t="b">
        <f t="shared" si="93"/>
        <v>1</v>
      </c>
      <c r="Q1177" t="str">
        <f t="shared" si="94"/>
        <v>August</v>
      </c>
    </row>
    <row r="1178" spans="1:17" x14ac:dyDescent="0.4">
      <c r="A1178" t="s">
        <v>1557</v>
      </c>
      <c r="B1178" s="1">
        <v>45430</v>
      </c>
      <c r="C1178" t="s">
        <v>457</v>
      </c>
      <c r="D1178" t="s">
        <v>21</v>
      </c>
      <c r="E1178" t="s">
        <v>1397</v>
      </c>
      <c r="F1178" t="s">
        <v>16</v>
      </c>
      <c r="G1178">
        <v>5</v>
      </c>
      <c r="H1178">
        <v>1569.22</v>
      </c>
      <c r="I1178">
        <v>15</v>
      </c>
      <c r="J1178">
        <v>844.63</v>
      </c>
      <c r="K1178" t="s">
        <v>17</v>
      </c>
      <c r="L1178" t="s">
        <v>18</v>
      </c>
      <c r="M1178">
        <f t="shared" si="90"/>
        <v>6669.1850000000004</v>
      </c>
      <c r="N1178">
        <f t="shared" si="91"/>
        <v>2446.0350000000008</v>
      </c>
      <c r="O1178" t="str">
        <f t="shared" si="92"/>
        <v>Saturday</v>
      </c>
      <c r="P1178" t="b">
        <f t="shared" si="93"/>
        <v>1</v>
      </c>
      <c r="Q1178" t="str">
        <f t="shared" si="94"/>
        <v>May</v>
      </c>
    </row>
    <row r="1179" spans="1:17" x14ac:dyDescent="0.4">
      <c r="A1179" t="s">
        <v>1558</v>
      </c>
      <c r="B1179" s="1">
        <v>45514</v>
      </c>
      <c r="C1179" t="s">
        <v>54</v>
      </c>
      <c r="D1179" t="s">
        <v>14</v>
      </c>
      <c r="E1179" t="s">
        <v>361</v>
      </c>
      <c r="F1179" t="s">
        <v>23</v>
      </c>
      <c r="G1179">
        <v>2</v>
      </c>
      <c r="H1179">
        <v>796.35</v>
      </c>
      <c r="I1179">
        <v>0</v>
      </c>
      <c r="J1179">
        <v>504.71</v>
      </c>
      <c r="K1179" t="s">
        <v>24</v>
      </c>
      <c r="L1179" t="s">
        <v>18</v>
      </c>
      <c r="M1179">
        <f t="shared" si="90"/>
        <v>1592.7</v>
      </c>
      <c r="N1179">
        <f t="shared" si="91"/>
        <v>583.28000000000009</v>
      </c>
      <c r="O1179" t="str">
        <f t="shared" si="92"/>
        <v>Saturday</v>
      </c>
      <c r="P1179" t="b">
        <f t="shared" si="93"/>
        <v>1</v>
      </c>
      <c r="Q1179" t="str">
        <f t="shared" si="94"/>
        <v>August</v>
      </c>
    </row>
    <row r="1180" spans="1:17" x14ac:dyDescent="0.4">
      <c r="A1180" t="s">
        <v>1559</v>
      </c>
      <c r="B1180" s="1">
        <v>45295</v>
      </c>
      <c r="C1180" t="s">
        <v>86</v>
      </c>
      <c r="D1180" t="s">
        <v>46</v>
      </c>
      <c r="E1180" t="s">
        <v>411</v>
      </c>
      <c r="F1180" t="s">
        <v>28</v>
      </c>
      <c r="G1180">
        <v>1</v>
      </c>
      <c r="H1180">
        <v>439.76</v>
      </c>
      <c r="I1180">
        <v>25</v>
      </c>
      <c r="J1180">
        <v>210.79</v>
      </c>
      <c r="K1180" t="s">
        <v>24</v>
      </c>
      <c r="L1180" t="s">
        <v>33</v>
      </c>
      <c r="M1180">
        <f t="shared" si="90"/>
        <v>329.82</v>
      </c>
      <c r="N1180">
        <f t="shared" si="91"/>
        <v>119.03</v>
      </c>
      <c r="O1180" t="str">
        <f t="shared" si="92"/>
        <v>Thursday</v>
      </c>
      <c r="P1180" t="b">
        <f t="shared" si="93"/>
        <v>0</v>
      </c>
      <c r="Q1180" t="str">
        <f t="shared" si="94"/>
        <v>January</v>
      </c>
    </row>
    <row r="1181" spans="1:17" x14ac:dyDescent="0.4">
      <c r="A1181" t="s">
        <v>1560</v>
      </c>
      <c r="B1181" s="1">
        <v>45954</v>
      </c>
      <c r="C1181" t="s">
        <v>68</v>
      </c>
      <c r="D1181" t="s">
        <v>21</v>
      </c>
      <c r="E1181" t="s">
        <v>324</v>
      </c>
      <c r="F1181" t="s">
        <v>23</v>
      </c>
      <c r="G1181">
        <v>2</v>
      </c>
      <c r="H1181">
        <v>1949.48</v>
      </c>
      <c r="I1181">
        <v>30</v>
      </c>
      <c r="J1181">
        <v>1281.0999999999999</v>
      </c>
      <c r="K1181" t="s">
        <v>17</v>
      </c>
      <c r="L1181" t="s">
        <v>18</v>
      </c>
      <c r="M1181">
        <f t="shared" si="90"/>
        <v>2729.2719999999999</v>
      </c>
      <c r="N1181">
        <f t="shared" si="91"/>
        <v>167.07200000000012</v>
      </c>
      <c r="O1181" t="str">
        <f t="shared" si="92"/>
        <v>Friday</v>
      </c>
      <c r="P1181" t="b">
        <f t="shared" si="93"/>
        <v>0</v>
      </c>
      <c r="Q1181" t="str">
        <f t="shared" si="94"/>
        <v>October</v>
      </c>
    </row>
    <row r="1182" spans="1:17" x14ac:dyDescent="0.4">
      <c r="A1182" t="s">
        <v>1561</v>
      </c>
      <c r="B1182" s="1">
        <v>45842</v>
      </c>
      <c r="C1182" t="s">
        <v>68</v>
      </c>
      <c r="D1182" t="s">
        <v>31</v>
      </c>
      <c r="E1182" t="s">
        <v>105</v>
      </c>
      <c r="F1182" t="s">
        <v>28</v>
      </c>
      <c r="G1182">
        <v>2</v>
      </c>
      <c r="H1182">
        <v>1379.68</v>
      </c>
      <c r="I1182">
        <v>5</v>
      </c>
      <c r="J1182">
        <v>639.29999999999995</v>
      </c>
      <c r="K1182" t="s">
        <v>24</v>
      </c>
      <c r="L1182" t="s">
        <v>33</v>
      </c>
      <c r="M1182">
        <f t="shared" si="90"/>
        <v>2621.3919999999998</v>
      </c>
      <c r="N1182">
        <f t="shared" si="91"/>
        <v>1342.7919999999999</v>
      </c>
      <c r="O1182" t="str">
        <f t="shared" si="92"/>
        <v>Friday</v>
      </c>
      <c r="P1182" t="b">
        <f t="shared" si="93"/>
        <v>0</v>
      </c>
      <c r="Q1182" t="str">
        <f t="shared" si="94"/>
        <v>July</v>
      </c>
    </row>
    <row r="1183" spans="1:17" x14ac:dyDescent="0.4">
      <c r="A1183" t="s">
        <v>1562</v>
      </c>
      <c r="B1183" s="1">
        <v>45988</v>
      </c>
      <c r="C1183" t="s">
        <v>226</v>
      </c>
      <c r="D1183" t="s">
        <v>46</v>
      </c>
      <c r="E1183" t="s">
        <v>1291</v>
      </c>
      <c r="F1183" t="s">
        <v>16</v>
      </c>
      <c r="G1183">
        <v>4</v>
      </c>
      <c r="H1183">
        <v>2259.9</v>
      </c>
      <c r="I1183">
        <v>5</v>
      </c>
      <c r="J1183">
        <v>1535.53</v>
      </c>
      <c r="K1183" t="s">
        <v>17</v>
      </c>
      <c r="L1183" t="s">
        <v>37</v>
      </c>
      <c r="M1183">
        <f t="shared" si="90"/>
        <v>8587.6200000000008</v>
      </c>
      <c r="N1183">
        <f t="shared" si="91"/>
        <v>2445.5000000000009</v>
      </c>
      <c r="O1183" t="str">
        <f t="shared" si="92"/>
        <v>Thursday</v>
      </c>
      <c r="P1183" t="b">
        <f t="shared" si="93"/>
        <v>0</v>
      </c>
      <c r="Q1183" t="str">
        <f t="shared" si="94"/>
        <v>November</v>
      </c>
    </row>
    <row r="1184" spans="1:17" x14ac:dyDescent="0.4">
      <c r="A1184" t="s">
        <v>1563</v>
      </c>
      <c r="B1184" s="1">
        <v>45327</v>
      </c>
      <c r="C1184" t="s">
        <v>26</v>
      </c>
      <c r="D1184" t="s">
        <v>46</v>
      </c>
      <c r="E1184" t="s">
        <v>1240</v>
      </c>
      <c r="F1184" t="s">
        <v>23</v>
      </c>
      <c r="G1184">
        <v>2</v>
      </c>
      <c r="H1184">
        <v>1426.02</v>
      </c>
      <c r="I1184">
        <v>30</v>
      </c>
      <c r="J1184">
        <v>661.56</v>
      </c>
      <c r="K1184" t="s">
        <v>24</v>
      </c>
      <c r="L1184" t="s">
        <v>33</v>
      </c>
      <c r="M1184">
        <f t="shared" si="90"/>
        <v>1996.4279999999999</v>
      </c>
      <c r="N1184">
        <f t="shared" si="91"/>
        <v>673.30799999999999</v>
      </c>
      <c r="O1184" t="str">
        <f t="shared" si="92"/>
        <v>Monday</v>
      </c>
      <c r="P1184" t="b">
        <f t="shared" si="93"/>
        <v>0</v>
      </c>
      <c r="Q1184" t="str">
        <f t="shared" si="94"/>
        <v>February</v>
      </c>
    </row>
    <row r="1185" spans="1:17" x14ac:dyDescent="0.4">
      <c r="A1185" t="s">
        <v>1564</v>
      </c>
      <c r="B1185" s="1">
        <v>45641</v>
      </c>
      <c r="C1185" t="s">
        <v>309</v>
      </c>
      <c r="D1185" t="s">
        <v>46</v>
      </c>
      <c r="E1185" t="s">
        <v>206</v>
      </c>
      <c r="F1185" t="s">
        <v>23</v>
      </c>
      <c r="G1185">
        <v>2</v>
      </c>
      <c r="H1185">
        <v>2629.23</v>
      </c>
      <c r="I1185">
        <v>20</v>
      </c>
      <c r="J1185">
        <v>1283.44</v>
      </c>
      <c r="K1185" t="s">
        <v>17</v>
      </c>
      <c r="L1185" t="s">
        <v>18</v>
      </c>
      <c r="M1185">
        <f t="shared" si="90"/>
        <v>4206.768</v>
      </c>
      <c r="N1185">
        <f t="shared" si="91"/>
        <v>1639.8879999999999</v>
      </c>
      <c r="O1185" t="str">
        <f t="shared" si="92"/>
        <v>Sunday</v>
      </c>
      <c r="P1185" t="b">
        <f t="shared" si="93"/>
        <v>1</v>
      </c>
      <c r="Q1185" t="str">
        <f t="shared" si="94"/>
        <v>December</v>
      </c>
    </row>
    <row r="1186" spans="1:17" x14ac:dyDescent="0.4">
      <c r="A1186" t="s">
        <v>1565</v>
      </c>
      <c r="B1186" s="1">
        <v>45747</v>
      </c>
      <c r="C1186" t="s">
        <v>193</v>
      </c>
      <c r="D1186" t="s">
        <v>21</v>
      </c>
      <c r="E1186" t="s">
        <v>87</v>
      </c>
      <c r="F1186" t="s">
        <v>16</v>
      </c>
      <c r="G1186">
        <v>3</v>
      </c>
      <c r="H1186">
        <v>1535.03</v>
      </c>
      <c r="I1186">
        <v>10</v>
      </c>
      <c r="J1186">
        <v>660.95</v>
      </c>
      <c r="K1186" t="s">
        <v>24</v>
      </c>
      <c r="L1186" t="s">
        <v>37</v>
      </c>
      <c r="M1186">
        <f t="shared" si="90"/>
        <v>4144.5810000000001</v>
      </c>
      <c r="N1186">
        <f t="shared" si="91"/>
        <v>2161.7309999999998</v>
      </c>
      <c r="O1186" t="str">
        <f t="shared" si="92"/>
        <v>Monday</v>
      </c>
      <c r="P1186" t="b">
        <f t="shared" si="93"/>
        <v>0</v>
      </c>
      <c r="Q1186" t="str">
        <f t="shared" si="94"/>
        <v>March</v>
      </c>
    </row>
    <row r="1187" spans="1:17" x14ac:dyDescent="0.4">
      <c r="A1187" t="s">
        <v>1566</v>
      </c>
      <c r="B1187" s="1">
        <v>45803</v>
      </c>
      <c r="C1187" t="s">
        <v>286</v>
      </c>
      <c r="D1187" t="s">
        <v>21</v>
      </c>
      <c r="E1187" t="s">
        <v>246</v>
      </c>
      <c r="F1187" t="s">
        <v>23</v>
      </c>
      <c r="G1187">
        <v>4</v>
      </c>
      <c r="H1187">
        <v>513.14</v>
      </c>
      <c r="I1187">
        <v>15</v>
      </c>
      <c r="J1187">
        <v>279.99</v>
      </c>
      <c r="K1187" t="s">
        <v>17</v>
      </c>
      <c r="L1187" t="s">
        <v>33</v>
      </c>
      <c r="M1187">
        <f t="shared" si="90"/>
        <v>1744.6759999999999</v>
      </c>
      <c r="N1187">
        <f t="shared" si="91"/>
        <v>624.71599999999989</v>
      </c>
      <c r="O1187" t="str">
        <f t="shared" si="92"/>
        <v>Monday</v>
      </c>
      <c r="P1187" t="b">
        <f t="shared" si="93"/>
        <v>0</v>
      </c>
      <c r="Q1187" t="str">
        <f t="shared" si="94"/>
        <v>May</v>
      </c>
    </row>
    <row r="1188" spans="1:17" x14ac:dyDescent="0.4">
      <c r="A1188" t="s">
        <v>1567</v>
      </c>
      <c r="B1188" s="1">
        <v>45586</v>
      </c>
      <c r="C1188" t="s">
        <v>278</v>
      </c>
      <c r="D1188" t="s">
        <v>21</v>
      </c>
      <c r="E1188" t="s">
        <v>730</v>
      </c>
      <c r="F1188" t="s">
        <v>28</v>
      </c>
      <c r="G1188">
        <v>5</v>
      </c>
      <c r="H1188">
        <v>716.18</v>
      </c>
      <c r="I1188">
        <v>0</v>
      </c>
      <c r="J1188">
        <v>326.33999999999997</v>
      </c>
      <c r="K1188" t="s">
        <v>24</v>
      </c>
      <c r="L1188" t="s">
        <v>33</v>
      </c>
      <c r="M1188">
        <f t="shared" si="90"/>
        <v>3580.8999999999996</v>
      </c>
      <c r="N1188">
        <f t="shared" si="91"/>
        <v>1949.1999999999998</v>
      </c>
      <c r="O1188" t="str">
        <f t="shared" si="92"/>
        <v>Monday</v>
      </c>
      <c r="P1188" t="b">
        <f t="shared" si="93"/>
        <v>0</v>
      </c>
      <c r="Q1188" t="str">
        <f t="shared" si="94"/>
        <v>October</v>
      </c>
    </row>
    <row r="1189" spans="1:17" x14ac:dyDescent="0.4">
      <c r="A1189" t="s">
        <v>1568</v>
      </c>
      <c r="B1189" s="1">
        <v>45650</v>
      </c>
      <c r="C1189" t="s">
        <v>35</v>
      </c>
      <c r="D1189" t="s">
        <v>21</v>
      </c>
      <c r="E1189" t="s">
        <v>557</v>
      </c>
      <c r="F1189" t="s">
        <v>23</v>
      </c>
      <c r="G1189">
        <v>3</v>
      </c>
      <c r="H1189">
        <v>1994.99</v>
      </c>
      <c r="I1189">
        <v>5</v>
      </c>
      <c r="J1189">
        <v>1145.01</v>
      </c>
      <c r="K1189" t="s">
        <v>17</v>
      </c>
      <c r="L1189" t="s">
        <v>37</v>
      </c>
      <c r="M1189">
        <f t="shared" si="90"/>
        <v>5685.7214999999997</v>
      </c>
      <c r="N1189">
        <f t="shared" si="91"/>
        <v>2250.6914999999999</v>
      </c>
      <c r="O1189" t="str">
        <f t="shared" si="92"/>
        <v>Tuesday</v>
      </c>
      <c r="P1189" t="b">
        <f t="shared" si="93"/>
        <v>0</v>
      </c>
      <c r="Q1189" t="str">
        <f t="shared" si="94"/>
        <v>December</v>
      </c>
    </row>
    <row r="1190" spans="1:17" x14ac:dyDescent="0.4">
      <c r="A1190" t="s">
        <v>1569</v>
      </c>
      <c r="B1190" s="1">
        <v>45406</v>
      </c>
      <c r="C1190" t="s">
        <v>114</v>
      </c>
      <c r="D1190" t="s">
        <v>14</v>
      </c>
      <c r="E1190" t="s">
        <v>629</v>
      </c>
      <c r="F1190" t="s">
        <v>23</v>
      </c>
      <c r="G1190">
        <v>2</v>
      </c>
      <c r="H1190">
        <v>643.63</v>
      </c>
      <c r="I1190">
        <v>5</v>
      </c>
      <c r="J1190">
        <v>429.8</v>
      </c>
      <c r="K1190" t="s">
        <v>17</v>
      </c>
      <c r="L1190" t="s">
        <v>33</v>
      </c>
      <c r="M1190">
        <f t="shared" si="90"/>
        <v>1222.8969999999999</v>
      </c>
      <c r="N1190">
        <f t="shared" si="91"/>
        <v>363.29699999999991</v>
      </c>
      <c r="O1190" t="str">
        <f t="shared" si="92"/>
        <v>Wednesday</v>
      </c>
      <c r="P1190" t="b">
        <f t="shared" si="93"/>
        <v>0</v>
      </c>
      <c r="Q1190" t="str">
        <f t="shared" si="94"/>
        <v>April</v>
      </c>
    </row>
    <row r="1191" spans="1:17" x14ac:dyDescent="0.4">
      <c r="A1191" t="s">
        <v>1570</v>
      </c>
      <c r="B1191" s="1">
        <v>45750</v>
      </c>
      <c r="C1191" t="s">
        <v>65</v>
      </c>
      <c r="D1191" t="s">
        <v>21</v>
      </c>
      <c r="E1191" t="s">
        <v>799</v>
      </c>
      <c r="F1191" t="s">
        <v>16</v>
      </c>
      <c r="G1191">
        <v>3</v>
      </c>
      <c r="H1191">
        <v>1679.1</v>
      </c>
      <c r="I1191">
        <v>20</v>
      </c>
      <c r="J1191">
        <v>706.18</v>
      </c>
      <c r="K1191" t="s">
        <v>17</v>
      </c>
      <c r="L1191" t="s">
        <v>33</v>
      </c>
      <c r="M1191">
        <f t="shared" si="90"/>
        <v>4029.8399999999997</v>
      </c>
      <c r="N1191">
        <f t="shared" si="91"/>
        <v>1911.2999999999997</v>
      </c>
      <c r="O1191" t="str">
        <f t="shared" si="92"/>
        <v>Thursday</v>
      </c>
      <c r="P1191" t="b">
        <f t="shared" si="93"/>
        <v>0</v>
      </c>
      <c r="Q1191" t="str">
        <f t="shared" si="94"/>
        <v>April</v>
      </c>
    </row>
    <row r="1192" spans="1:17" x14ac:dyDescent="0.4">
      <c r="A1192" t="s">
        <v>1571</v>
      </c>
      <c r="B1192" s="1">
        <v>45749</v>
      </c>
      <c r="C1192" t="s">
        <v>74</v>
      </c>
      <c r="D1192" t="s">
        <v>46</v>
      </c>
      <c r="E1192" t="s">
        <v>287</v>
      </c>
      <c r="F1192" t="s">
        <v>16</v>
      </c>
      <c r="G1192">
        <v>2</v>
      </c>
      <c r="H1192">
        <v>438.62</v>
      </c>
      <c r="I1192">
        <v>0</v>
      </c>
      <c r="J1192">
        <v>197.29</v>
      </c>
      <c r="K1192" t="s">
        <v>17</v>
      </c>
      <c r="L1192" t="s">
        <v>37</v>
      </c>
      <c r="M1192">
        <f t="shared" si="90"/>
        <v>877.24</v>
      </c>
      <c r="N1192">
        <f t="shared" si="91"/>
        <v>482.66</v>
      </c>
      <c r="O1192" t="str">
        <f t="shared" si="92"/>
        <v>Wednesday</v>
      </c>
      <c r="P1192" t="b">
        <f t="shared" si="93"/>
        <v>0</v>
      </c>
      <c r="Q1192" t="str">
        <f t="shared" si="94"/>
        <v>April</v>
      </c>
    </row>
    <row r="1193" spans="1:17" x14ac:dyDescent="0.4">
      <c r="A1193" t="s">
        <v>1572</v>
      </c>
      <c r="B1193" s="1">
        <v>45882</v>
      </c>
      <c r="C1193" t="s">
        <v>463</v>
      </c>
      <c r="D1193" t="s">
        <v>31</v>
      </c>
      <c r="E1193" t="s">
        <v>528</v>
      </c>
      <c r="F1193" t="s">
        <v>16</v>
      </c>
      <c r="G1193">
        <v>2</v>
      </c>
      <c r="H1193">
        <v>1176.67</v>
      </c>
      <c r="I1193">
        <v>25</v>
      </c>
      <c r="J1193">
        <v>566.77</v>
      </c>
      <c r="K1193" t="s">
        <v>17</v>
      </c>
      <c r="L1193" t="s">
        <v>33</v>
      </c>
      <c r="M1193">
        <f t="shared" si="90"/>
        <v>1765.0050000000001</v>
      </c>
      <c r="N1193">
        <f t="shared" si="91"/>
        <v>631.46500000000015</v>
      </c>
      <c r="O1193" t="str">
        <f t="shared" si="92"/>
        <v>Wednesday</v>
      </c>
      <c r="P1193" t="b">
        <f t="shared" si="93"/>
        <v>0</v>
      </c>
      <c r="Q1193" t="str">
        <f t="shared" si="94"/>
        <v>August</v>
      </c>
    </row>
    <row r="1194" spans="1:17" x14ac:dyDescent="0.4">
      <c r="A1194" t="s">
        <v>1573</v>
      </c>
      <c r="B1194" s="1">
        <v>45746</v>
      </c>
      <c r="C1194" t="s">
        <v>114</v>
      </c>
      <c r="D1194" t="s">
        <v>31</v>
      </c>
      <c r="E1194" t="s">
        <v>603</v>
      </c>
      <c r="F1194" t="s">
        <v>23</v>
      </c>
      <c r="G1194">
        <v>4</v>
      </c>
      <c r="H1194">
        <v>1533.43</v>
      </c>
      <c r="I1194">
        <v>15</v>
      </c>
      <c r="J1194">
        <v>797.06</v>
      </c>
      <c r="K1194" t="s">
        <v>24</v>
      </c>
      <c r="L1194" t="s">
        <v>18</v>
      </c>
      <c r="M1194">
        <f t="shared" si="90"/>
        <v>5213.6620000000003</v>
      </c>
      <c r="N1194">
        <f t="shared" si="91"/>
        <v>2025.4220000000005</v>
      </c>
      <c r="O1194" t="str">
        <f t="shared" si="92"/>
        <v>Sunday</v>
      </c>
      <c r="P1194" t="b">
        <f t="shared" si="93"/>
        <v>1</v>
      </c>
      <c r="Q1194" t="str">
        <f t="shared" si="94"/>
        <v>March</v>
      </c>
    </row>
    <row r="1195" spans="1:17" x14ac:dyDescent="0.4">
      <c r="A1195" t="s">
        <v>1574</v>
      </c>
      <c r="B1195" s="1">
        <v>45467</v>
      </c>
      <c r="C1195" t="s">
        <v>42</v>
      </c>
      <c r="D1195" t="s">
        <v>21</v>
      </c>
      <c r="E1195" t="s">
        <v>387</v>
      </c>
      <c r="F1195" t="s">
        <v>23</v>
      </c>
      <c r="G1195">
        <v>3</v>
      </c>
      <c r="H1195">
        <v>1572.15</v>
      </c>
      <c r="I1195">
        <v>30</v>
      </c>
      <c r="J1195">
        <v>885.32</v>
      </c>
      <c r="K1195" t="s">
        <v>24</v>
      </c>
      <c r="L1195" t="s">
        <v>18</v>
      </c>
      <c r="M1195">
        <f t="shared" si="90"/>
        <v>3301.5150000000003</v>
      </c>
      <c r="N1195">
        <f t="shared" si="91"/>
        <v>645.55500000000029</v>
      </c>
      <c r="O1195" t="str">
        <f t="shared" si="92"/>
        <v>Monday</v>
      </c>
      <c r="P1195" t="b">
        <f t="shared" si="93"/>
        <v>0</v>
      </c>
      <c r="Q1195" t="str">
        <f t="shared" si="94"/>
        <v>June</v>
      </c>
    </row>
    <row r="1196" spans="1:17" x14ac:dyDescent="0.4">
      <c r="A1196" t="s">
        <v>1575</v>
      </c>
      <c r="B1196" s="1">
        <v>45919</v>
      </c>
      <c r="C1196" t="s">
        <v>273</v>
      </c>
      <c r="D1196" t="s">
        <v>14</v>
      </c>
      <c r="E1196" t="s">
        <v>1383</v>
      </c>
      <c r="F1196" t="s">
        <v>16</v>
      </c>
      <c r="G1196">
        <v>3</v>
      </c>
      <c r="H1196">
        <v>463.75</v>
      </c>
      <c r="I1196">
        <v>10</v>
      </c>
      <c r="J1196">
        <v>240.7</v>
      </c>
      <c r="K1196" t="s">
        <v>17</v>
      </c>
      <c r="L1196" t="s">
        <v>33</v>
      </c>
      <c r="M1196">
        <f t="shared" si="90"/>
        <v>1252.125</v>
      </c>
      <c r="N1196">
        <f t="shared" si="91"/>
        <v>530.02500000000009</v>
      </c>
      <c r="O1196" t="str">
        <f t="shared" si="92"/>
        <v>Friday</v>
      </c>
      <c r="P1196" t="b">
        <f t="shared" si="93"/>
        <v>0</v>
      </c>
      <c r="Q1196" t="str">
        <f t="shared" si="94"/>
        <v>September</v>
      </c>
    </row>
    <row r="1197" spans="1:17" x14ac:dyDescent="0.4">
      <c r="A1197" t="s">
        <v>1576</v>
      </c>
      <c r="B1197" s="1">
        <v>45816</v>
      </c>
      <c r="C1197" t="s">
        <v>109</v>
      </c>
      <c r="D1197" t="s">
        <v>46</v>
      </c>
      <c r="E1197" t="s">
        <v>1164</v>
      </c>
      <c r="F1197" t="s">
        <v>23</v>
      </c>
      <c r="G1197">
        <v>3</v>
      </c>
      <c r="H1197">
        <v>1748.76</v>
      </c>
      <c r="I1197">
        <v>10</v>
      </c>
      <c r="J1197">
        <v>1175.8699999999999</v>
      </c>
      <c r="K1197" t="s">
        <v>24</v>
      </c>
      <c r="L1197" t="s">
        <v>18</v>
      </c>
      <c r="M1197">
        <f t="shared" si="90"/>
        <v>4721.652</v>
      </c>
      <c r="N1197">
        <f t="shared" si="91"/>
        <v>1194.0420000000004</v>
      </c>
      <c r="O1197" t="str">
        <f t="shared" si="92"/>
        <v>Sunday</v>
      </c>
      <c r="P1197" t="b">
        <f t="shared" si="93"/>
        <v>1</v>
      </c>
      <c r="Q1197" t="str">
        <f t="shared" si="94"/>
        <v>June</v>
      </c>
    </row>
    <row r="1198" spans="1:17" x14ac:dyDescent="0.4">
      <c r="A1198" t="s">
        <v>1577</v>
      </c>
      <c r="B1198" s="1">
        <v>45741</v>
      </c>
      <c r="C1198" t="s">
        <v>100</v>
      </c>
      <c r="D1198" t="s">
        <v>21</v>
      </c>
      <c r="E1198" t="s">
        <v>1154</v>
      </c>
      <c r="F1198" t="s">
        <v>23</v>
      </c>
      <c r="G1198">
        <v>3</v>
      </c>
      <c r="H1198">
        <v>676.59</v>
      </c>
      <c r="I1198">
        <v>30</v>
      </c>
      <c r="J1198">
        <v>299.41000000000003</v>
      </c>
      <c r="K1198" t="s">
        <v>17</v>
      </c>
      <c r="L1198" t="s">
        <v>18</v>
      </c>
      <c r="M1198">
        <f t="shared" si="90"/>
        <v>1420.8389999999999</v>
      </c>
      <c r="N1198">
        <f t="shared" si="91"/>
        <v>522.60899999999992</v>
      </c>
      <c r="O1198" t="str">
        <f t="shared" si="92"/>
        <v>Tuesday</v>
      </c>
      <c r="P1198" t="b">
        <f t="shared" si="93"/>
        <v>0</v>
      </c>
      <c r="Q1198" t="str">
        <f t="shared" si="94"/>
        <v>March</v>
      </c>
    </row>
    <row r="1199" spans="1:17" x14ac:dyDescent="0.4">
      <c r="A1199" t="s">
        <v>1578</v>
      </c>
      <c r="B1199" s="1">
        <v>45439</v>
      </c>
      <c r="C1199" t="s">
        <v>171</v>
      </c>
      <c r="D1199" t="s">
        <v>31</v>
      </c>
      <c r="E1199" t="s">
        <v>334</v>
      </c>
      <c r="F1199" t="s">
        <v>16</v>
      </c>
      <c r="G1199">
        <v>3</v>
      </c>
      <c r="H1199">
        <v>487.91</v>
      </c>
      <c r="I1199">
        <v>20</v>
      </c>
      <c r="J1199">
        <v>241.6</v>
      </c>
      <c r="K1199" t="s">
        <v>17</v>
      </c>
      <c r="L1199" t="s">
        <v>33</v>
      </c>
      <c r="M1199">
        <f t="shared" si="90"/>
        <v>1170.9840000000002</v>
      </c>
      <c r="N1199">
        <f t="shared" si="91"/>
        <v>446.1840000000002</v>
      </c>
      <c r="O1199" t="str">
        <f t="shared" si="92"/>
        <v>Monday</v>
      </c>
      <c r="P1199" t="b">
        <f t="shared" si="93"/>
        <v>0</v>
      </c>
      <c r="Q1199" t="str">
        <f t="shared" si="94"/>
        <v>May</v>
      </c>
    </row>
    <row r="1200" spans="1:17" x14ac:dyDescent="0.4">
      <c r="A1200" t="s">
        <v>1579</v>
      </c>
      <c r="B1200" s="1">
        <v>45602</v>
      </c>
      <c r="C1200" t="s">
        <v>13</v>
      </c>
      <c r="D1200" t="s">
        <v>21</v>
      </c>
      <c r="E1200" t="s">
        <v>510</v>
      </c>
      <c r="F1200" t="s">
        <v>16</v>
      </c>
      <c r="G1200">
        <v>3</v>
      </c>
      <c r="H1200">
        <v>2867.49</v>
      </c>
      <c r="I1200">
        <v>15</v>
      </c>
      <c r="J1200">
        <v>1239.42</v>
      </c>
      <c r="K1200" t="s">
        <v>17</v>
      </c>
      <c r="L1200" t="s">
        <v>37</v>
      </c>
      <c r="M1200">
        <f t="shared" si="90"/>
        <v>7312.0994999999994</v>
      </c>
      <c r="N1200">
        <f t="shared" si="91"/>
        <v>3593.8394999999991</v>
      </c>
      <c r="O1200" t="str">
        <f t="shared" si="92"/>
        <v>Wednesday</v>
      </c>
      <c r="P1200" t="b">
        <f t="shared" si="93"/>
        <v>0</v>
      </c>
      <c r="Q1200" t="str">
        <f t="shared" si="94"/>
        <v>November</v>
      </c>
    </row>
    <row r="1201" spans="1:17" x14ac:dyDescent="0.4">
      <c r="A1201" t="s">
        <v>1580</v>
      </c>
      <c r="B1201" s="1">
        <v>45563</v>
      </c>
      <c r="C1201" t="s">
        <v>92</v>
      </c>
      <c r="D1201" t="s">
        <v>46</v>
      </c>
      <c r="E1201" t="s">
        <v>103</v>
      </c>
      <c r="F1201" t="s">
        <v>23</v>
      </c>
      <c r="G1201">
        <v>5</v>
      </c>
      <c r="H1201">
        <v>2363.21</v>
      </c>
      <c r="I1201">
        <v>30</v>
      </c>
      <c r="J1201">
        <v>960.36</v>
      </c>
      <c r="K1201" t="s">
        <v>24</v>
      </c>
      <c r="L1201" t="s">
        <v>37</v>
      </c>
      <c r="M1201">
        <f t="shared" si="90"/>
        <v>8271.2349999999988</v>
      </c>
      <c r="N1201">
        <f t="shared" si="91"/>
        <v>3469.4349999999986</v>
      </c>
      <c r="O1201" t="str">
        <f t="shared" si="92"/>
        <v>Saturday</v>
      </c>
      <c r="P1201" t="b">
        <f t="shared" si="93"/>
        <v>1</v>
      </c>
      <c r="Q1201" t="str">
        <f t="shared" si="94"/>
        <v>September</v>
      </c>
    </row>
    <row r="1202" spans="1:17" x14ac:dyDescent="0.4">
      <c r="A1202" t="s">
        <v>1581</v>
      </c>
      <c r="B1202" s="1">
        <v>45672</v>
      </c>
      <c r="C1202" t="s">
        <v>457</v>
      </c>
      <c r="D1202" t="s">
        <v>21</v>
      </c>
      <c r="E1202" t="s">
        <v>317</v>
      </c>
      <c r="F1202" t="s">
        <v>28</v>
      </c>
      <c r="G1202">
        <v>5</v>
      </c>
      <c r="H1202">
        <v>2090.5300000000002</v>
      </c>
      <c r="I1202">
        <v>30</v>
      </c>
      <c r="J1202">
        <v>1060.49</v>
      </c>
      <c r="K1202" t="s">
        <v>24</v>
      </c>
      <c r="L1202" t="s">
        <v>33</v>
      </c>
      <c r="M1202">
        <f t="shared" si="90"/>
        <v>7316.8550000000005</v>
      </c>
      <c r="N1202">
        <f t="shared" si="91"/>
        <v>2014.4050000000007</v>
      </c>
      <c r="O1202" t="str">
        <f t="shared" si="92"/>
        <v>Wednesday</v>
      </c>
      <c r="P1202" t="b">
        <f t="shared" si="93"/>
        <v>0</v>
      </c>
      <c r="Q1202" t="str">
        <f t="shared" si="94"/>
        <v>January</v>
      </c>
    </row>
    <row r="1203" spans="1:17" x14ac:dyDescent="0.4">
      <c r="A1203" t="s">
        <v>1582</v>
      </c>
      <c r="B1203" s="1">
        <v>45384</v>
      </c>
      <c r="C1203" t="s">
        <v>100</v>
      </c>
      <c r="D1203" t="s">
        <v>31</v>
      </c>
      <c r="E1203" t="s">
        <v>419</v>
      </c>
      <c r="F1203" t="s">
        <v>16</v>
      </c>
      <c r="G1203">
        <v>3</v>
      </c>
      <c r="H1203">
        <v>839.91</v>
      </c>
      <c r="I1203">
        <v>20</v>
      </c>
      <c r="J1203">
        <v>421.6</v>
      </c>
      <c r="K1203" t="s">
        <v>17</v>
      </c>
      <c r="L1203" t="s">
        <v>18</v>
      </c>
      <c r="M1203">
        <f t="shared" si="90"/>
        <v>2015.7840000000001</v>
      </c>
      <c r="N1203">
        <f t="shared" si="91"/>
        <v>750.98399999999992</v>
      </c>
      <c r="O1203" t="str">
        <f t="shared" si="92"/>
        <v>Tuesday</v>
      </c>
      <c r="P1203" t="b">
        <f t="shared" si="93"/>
        <v>0</v>
      </c>
      <c r="Q1203" t="str">
        <f t="shared" si="94"/>
        <v>April</v>
      </c>
    </row>
    <row r="1204" spans="1:17" x14ac:dyDescent="0.4">
      <c r="A1204" t="s">
        <v>1583</v>
      </c>
      <c r="B1204" s="1">
        <v>45453</v>
      </c>
      <c r="C1204" t="s">
        <v>128</v>
      </c>
      <c r="D1204" t="s">
        <v>14</v>
      </c>
      <c r="E1204" t="s">
        <v>346</v>
      </c>
      <c r="F1204" t="s">
        <v>16</v>
      </c>
      <c r="G1204">
        <v>4</v>
      </c>
      <c r="H1204">
        <v>2460.04</v>
      </c>
      <c r="I1204">
        <v>5</v>
      </c>
      <c r="J1204">
        <v>1351.92</v>
      </c>
      <c r="K1204" t="s">
        <v>17</v>
      </c>
      <c r="L1204" t="s">
        <v>33</v>
      </c>
      <c r="M1204">
        <f t="shared" si="90"/>
        <v>9348.152</v>
      </c>
      <c r="N1204">
        <f t="shared" si="91"/>
        <v>3940.4719999999998</v>
      </c>
      <c r="O1204" t="str">
        <f t="shared" si="92"/>
        <v>Monday</v>
      </c>
      <c r="P1204" t="b">
        <f t="shared" si="93"/>
        <v>0</v>
      </c>
      <c r="Q1204" t="str">
        <f t="shared" si="94"/>
        <v>June</v>
      </c>
    </row>
    <row r="1205" spans="1:17" x14ac:dyDescent="0.4">
      <c r="A1205" t="s">
        <v>1584</v>
      </c>
      <c r="B1205" s="1">
        <v>45588</v>
      </c>
      <c r="C1205" t="s">
        <v>114</v>
      </c>
      <c r="D1205" t="s">
        <v>46</v>
      </c>
      <c r="E1205" t="s">
        <v>1250</v>
      </c>
      <c r="F1205" t="s">
        <v>23</v>
      </c>
      <c r="G1205">
        <v>2</v>
      </c>
      <c r="H1205">
        <v>376.59</v>
      </c>
      <c r="I1205">
        <v>25</v>
      </c>
      <c r="J1205">
        <v>231.54</v>
      </c>
      <c r="K1205" t="s">
        <v>17</v>
      </c>
      <c r="L1205" t="s">
        <v>18</v>
      </c>
      <c r="M1205">
        <f t="shared" si="90"/>
        <v>564.88499999999999</v>
      </c>
      <c r="N1205">
        <f t="shared" si="91"/>
        <v>101.80500000000001</v>
      </c>
      <c r="O1205" t="str">
        <f t="shared" si="92"/>
        <v>Wednesday</v>
      </c>
      <c r="P1205" t="b">
        <f t="shared" si="93"/>
        <v>0</v>
      </c>
      <c r="Q1205" t="str">
        <f t="shared" si="94"/>
        <v>October</v>
      </c>
    </row>
    <row r="1206" spans="1:17" x14ac:dyDescent="0.4">
      <c r="A1206" t="s">
        <v>1585</v>
      </c>
      <c r="B1206" s="1">
        <v>45577</v>
      </c>
      <c r="C1206" t="s">
        <v>251</v>
      </c>
      <c r="D1206" t="s">
        <v>21</v>
      </c>
      <c r="E1206" t="s">
        <v>498</v>
      </c>
      <c r="F1206" t="s">
        <v>23</v>
      </c>
      <c r="G1206">
        <v>5</v>
      </c>
      <c r="H1206">
        <v>1852.95</v>
      </c>
      <c r="I1206">
        <v>20</v>
      </c>
      <c r="J1206">
        <v>1261.29</v>
      </c>
      <c r="K1206" t="s">
        <v>17</v>
      </c>
      <c r="L1206" t="s">
        <v>18</v>
      </c>
      <c r="M1206">
        <f t="shared" si="90"/>
        <v>7411.8</v>
      </c>
      <c r="N1206">
        <f t="shared" si="91"/>
        <v>1105.3500000000004</v>
      </c>
      <c r="O1206" t="str">
        <f t="shared" si="92"/>
        <v>Saturday</v>
      </c>
      <c r="P1206" t="b">
        <f t="shared" si="93"/>
        <v>1</v>
      </c>
      <c r="Q1206" t="str">
        <f t="shared" si="94"/>
        <v>October</v>
      </c>
    </row>
    <row r="1207" spans="1:17" x14ac:dyDescent="0.4">
      <c r="A1207" t="s">
        <v>1586</v>
      </c>
      <c r="B1207" s="1">
        <v>45485</v>
      </c>
      <c r="C1207" t="s">
        <v>109</v>
      </c>
      <c r="D1207" t="s">
        <v>31</v>
      </c>
      <c r="E1207" t="s">
        <v>532</v>
      </c>
      <c r="F1207" t="s">
        <v>23</v>
      </c>
      <c r="G1207">
        <v>1</v>
      </c>
      <c r="H1207">
        <v>1057.05</v>
      </c>
      <c r="I1207">
        <v>20</v>
      </c>
      <c r="J1207">
        <v>608.46</v>
      </c>
      <c r="K1207" t="s">
        <v>24</v>
      </c>
      <c r="L1207" t="s">
        <v>37</v>
      </c>
      <c r="M1207">
        <f t="shared" si="90"/>
        <v>845.64</v>
      </c>
      <c r="N1207">
        <f t="shared" si="91"/>
        <v>237.17999999999995</v>
      </c>
      <c r="O1207" t="str">
        <f t="shared" si="92"/>
        <v>Friday</v>
      </c>
      <c r="P1207" t="b">
        <f t="shared" si="93"/>
        <v>0</v>
      </c>
      <c r="Q1207" t="str">
        <f t="shared" si="94"/>
        <v>July</v>
      </c>
    </row>
    <row r="1208" spans="1:17" x14ac:dyDescent="0.4">
      <c r="A1208" t="s">
        <v>1587</v>
      </c>
      <c r="B1208" s="1">
        <v>45415</v>
      </c>
      <c r="C1208" t="s">
        <v>59</v>
      </c>
      <c r="D1208" t="s">
        <v>31</v>
      </c>
      <c r="E1208" t="s">
        <v>837</v>
      </c>
      <c r="F1208" t="s">
        <v>16</v>
      </c>
      <c r="G1208">
        <v>3</v>
      </c>
      <c r="H1208">
        <v>676.04</v>
      </c>
      <c r="I1208">
        <v>30</v>
      </c>
      <c r="J1208">
        <v>371.89</v>
      </c>
      <c r="K1208" t="s">
        <v>24</v>
      </c>
      <c r="L1208" t="s">
        <v>37</v>
      </c>
      <c r="M1208">
        <f t="shared" si="90"/>
        <v>1419.6839999999997</v>
      </c>
      <c r="N1208">
        <f t="shared" si="91"/>
        <v>304.01399999999967</v>
      </c>
      <c r="O1208" t="str">
        <f t="shared" si="92"/>
        <v>Friday</v>
      </c>
      <c r="P1208" t="b">
        <f t="shared" si="93"/>
        <v>0</v>
      </c>
      <c r="Q1208" t="str">
        <f t="shared" si="94"/>
        <v>May</v>
      </c>
    </row>
    <row r="1209" spans="1:17" x14ac:dyDescent="0.4">
      <c r="A1209" t="s">
        <v>1588</v>
      </c>
      <c r="B1209" s="1">
        <v>45670</v>
      </c>
      <c r="C1209" t="s">
        <v>65</v>
      </c>
      <c r="D1209" t="s">
        <v>46</v>
      </c>
      <c r="E1209" t="s">
        <v>55</v>
      </c>
      <c r="F1209" t="s">
        <v>16</v>
      </c>
      <c r="G1209">
        <v>4</v>
      </c>
      <c r="H1209">
        <v>2069.46</v>
      </c>
      <c r="I1209">
        <v>10</v>
      </c>
      <c r="J1209">
        <v>1413.63</v>
      </c>
      <c r="K1209" t="s">
        <v>17</v>
      </c>
      <c r="L1209" t="s">
        <v>18</v>
      </c>
      <c r="M1209">
        <f t="shared" si="90"/>
        <v>7450.0560000000005</v>
      </c>
      <c r="N1209">
        <f t="shared" si="91"/>
        <v>1795.5360000000001</v>
      </c>
      <c r="O1209" t="str">
        <f t="shared" si="92"/>
        <v>Monday</v>
      </c>
      <c r="P1209" t="b">
        <f t="shared" si="93"/>
        <v>0</v>
      </c>
      <c r="Q1209" t="str">
        <f t="shared" si="94"/>
        <v>January</v>
      </c>
    </row>
    <row r="1210" spans="1:17" x14ac:dyDescent="0.4">
      <c r="A1210" t="s">
        <v>1589</v>
      </c>
      <c r="B1210" s="1">
        <v>45654</v>
      </c>
      <c r="C1210" t="s">
        <v>174</v>
      </c>
      <c r="D1210" t="s">
        <v>31</v>
      </c>
      <c r="E1210" t="s">
        <v>574</v>
      </c>
      <c r="F1210" t="s">
        <v>16</v>
      </c>
      <c r="G1210">
        <v>3</v>
      </c>
      <c r="H1210">
        <v>403.26</v>
      </c>
      <c r="I1210">
        <v>25</v>
      </c>
      <c r="J1210">
        <v>262.77999999999997</v>
      </c>
      <c r="K1210" t="s">
        <v>17</v>
      </c>
      <c r="L1210" t="s">
        <v>33</v>
      </c>
      <c r="M1210">
        <f t="shared" si="90"/>
        <v>907.33500000000004</v>
      </c>
      <c r="N1210">
        <f t="shared" si="91"/>
        <v>118.99500000000012</v>
      </c>
      <c r="O1210" t="str">
        <f t="shared" si="92"/>
        <v>Saturday</v>
      </c>
      <c r="P1210" t="b">
        <f t="shared" si="93"/>
        <v>1</v>
      </c>
      <c r="Q1210" t="str">
        <f t="shared" si="94"/>
        <v>December</v>
      </c>
    </row>
    <row r="1211" spans="1:17" x14ac:dyDescent="0.4">
      <c r="A1211" t="s">
        <v>1590</v>
      </c>
      <c r="B1211" s="1">
        <v>45861</v>
      </c>
      <c r="C1211" t="s">
        <v>296</v>
      </c>
      <c r="D1211" t="s">
        <v>21</v>
      </c>
      <c r="E1211" t="s">
        <v>305</v>
      </c>
      <c r="F1211" t="s">
        <v>16</v>
      </c>
      <c r="G1211">
        <v>3</v>
      </c>
      <c r="H1211">
        <v>2766.96</v>
      </c>
      <c r="I1211">
        <v>0</v>
      </c>
      <c r="J1211">
        <v>1891.62</v>
      </c>
      <c r="K1211" t="s">
        <v>24</v>
      </c>
      <c r="L1211" t="s">
        <v>18</v>
      </c>
      <c r="M1211">
        <f t="shared" si="90"/>
        <v>8300.880000000001</v>
      </c>
      <c r="N1211">
        <f t="shared" si="91"/>
        <v>2626.0200000000013</v>
      </c>
      <c r="O1211" t="str">
        <f t="shared" si="92"/>
        <v>Wednesday</v>
      </c>
      <c r="P1211" t="b">
        <f t="shared" si="93"/>
        <v>0</v>
      </c>
      <c r="Q1211" t="str">
        <f t="shared" si="94"/>
        <v>July</v>
      </c>
    </row>
    <row r="1212" spans="1:17" x14ac:dyDescent="0.4">
      <c r="A1212" t="s">
        <v>1591</v>
      </c>
      <c r="B1212" s="1">
        <v>45329</v>
      </c>
      <c r="C1212" t="s">
        <v>89</v>
      </c>
      <c r="D1212" t="s">
        <v>46</v>
      </c>
      <c r="E1212" t="s">
        <v>532</v>
      </c>
      <c r="F1212" t="s">
        <v>23</v>
      </c>
      <c r="G1212">
        <v>5</v>
      </c>
      <c r="H1212">
        <v>2491.5300000000002</v>
      </c>
      <c r="I1212">
        <v>30</v>
      </c>
      <c r="J1212">
        <v>1226.5899999999999</v>
      </c>
      <c r="K1212" t="s">
        <v>24</v>
      </c>
      <c r="L1212" t="s">
        <v>37</v>
      </c>
      <c r="M1212">
        <f t="shared" si="90"/>
        <v>8720.3549999999996</v>
      </c>
      <c r="N1212">
        <f t="shared" si="91"/>
        <v>2587.4049999999997</v>
      </c>
      <c r="O1212" t="str">
        <f t="shared" si="92"/>
        <v>Wednesday</v>
      </c>
      <c r="P1212" t="b">
        <f t="shared" si="93"/>
        <v>0</v>
      </c>
      <c r="Q1212" t="str">
        <f t="shared" si="94"/>
        <v>February</v>
      </c>
    </row>
    <row r="1213" spans="1:17" x14ac:dyDescent="0.4">
      <c r="A1213" t="s">
        <v>1592</v>
      </c>
      <c r="B1213" s="1">
        <v>45880</v>
      </c>
      <c r="C1213" t="s">
        <v>109</v>
      </c>
      <c r="D1213" t="s">
        <v>46</v>
      </c>
      <c r="E1213" t="s">
        <v>15</v>
      </c>
      <c r="F1213" t="s">
        <v>16</v>
      </c>
      <c r="G1213">
        <v>3</v>
      </c>
      <c r="H1213">
        <v>330.46</v>
      </c>
      <c r="I1213">
        <v>0</v>
      </c>
      <c r="J1213">
        <v>172.31</v>
      </c>
      <c r="K1213" t="s">
        <v>17</v>
      </c>
      <c r="L1213" t="s">
        <v>33</v>
      </c>
      <c r="M1213">
        <f t="shared" si="90"/>
        <v>991.37999999999988</v>
      </c>
      <c r="N1213">
        <f t="shared" si="91"/>
        <v>474.44999999999982</v>
      </c>
      <c r="O1213" t="str">
        <f t="shared" si="92"/>
        <v>Monday</v>
      </c>
      <c r="P1213" t="b">
        <f t="shared" si="93"/>
        <v>0</v>
      </c>
      <c r="Q1213" t="str">
        <f t="shared" si="94"/>
        <v>August</v>
      </c>
    </row>
    <row r="1214" spans="1:17" x14ac:dyDescent="0.4">
      <c r="A1214" t="s">
        <v>1593</v>
      </c>
      <c r="B1214" s="1">
        <v>45360</v>
      </c>
      <c r="C1214" t="s">
        <v>139</v>
      </c>
      <c r="D1214" t="s">
        <v>14</v>
      </c>
      <c r="E1214" t="s">
        <v>299</v>
      </c>
      <c r="F1214" t="s">
        <v>28</v>
      </c>
      <c r="G1214">
        <v>5</v>
      </c>
      <c r="H1214">
        <v>2773.38</v>
      </c>
      <c r="I1214">
        <v>0</v>
      </c>
      <c r="J1214">
        <v>1285.71</v>
      </c>
      <c r="K1214" t="s">
        <v>17</v>
      </c>
      <c r="L1214" t="s">
        <v>37</v>
      </c>
      <c r="M1214">
        <f t="shared" si="90"/>
        <v>13866.900000000001</v>
      </c>
      <c r="N1214">
        <f t="shared" si="91"/>
        <v>7438.3500000000013</v>
      </c>
      <c r="O1214" t="str">
        <f t="shared" si="92"/>
        <v>Saturday</v>
      </c>
      <c r="P1214" t="b">
        <f t="shared" si="93"/>
        <v>1</v>
      </c>
      <c r="Q1214" t="str">
        <f t="shared" si="94"/>
        <v>March</v>
      </c>
    </row>
    <row r="1215" spans="1:17" x14ac:dyDescent="0.4">
      <c r="A1215" t="s">
        <v>1594</v>
      </c>
      <c r="B1215" s="1">
        <v>45898</v>
      </c>
      <c r="C1215" t="s">
        <v>253</v>
      </c>
      <c r="D1215" t="s">
        <v>21</v>
      </c>
      <c r="E1215" t="s">
        <v>57</v>
      </c>
      <c r="F1215" t="s">
        <v>28</v>
      </c>
      <c r="G1215">
        <v>4</v>
      </c>
      <c r="H1215">
        <v>791.88</v>
      </c>
      <c r="I1215">
        <v>25</v>
      </c>
      <c r="J1215">
        <v>532.14</v>
      </c>
      <c r="K1215" t="s">
        <v>24</v>
      </c>
      <c r="L1215" t="s">
        <v>33</v>
      </c>
      <c r="M1215">
        <f t="shared" si="90"/>
        <v>2375.64</v>
      </c>
      <c r="N1215">
        <f t="shared" si="91"/>
        <v>247.07999999999993</v>
      </c>
      <c r="O1215" t="str">
        <f t="shared" si="92"/>
        <v>Friday</v>
      </c>
      <c r="P1215" t="b">
        <f t="shared" si="93"/>
        <v>0</v>
      </c>
      <c r="Q1215" t="str">
        <f t="shared" si="94"/>
        <v>August</v>
      </c>
    </row>
    <row r="1216" spans="1:17" x14ac:dyDescent="0.4">
      <c r="A1216" t="s">
        <v>1595</v>
      </c>
      <c r="B1216" s="1">
        <v>45944</v>
      </c>
      <c r="C1216" t="s">
        <v>139</v>
      </c>
      <c r="D1216" t="s">
        <v>21</v>
      </c>
      <c r="E1216" t="s">
        <v>82</v>
      </c>
      <c r="F1216" t="s">
        <v>23</v>
      </c>
      <c r="G1216">
        <v>2</v>
      </c>
      <c r="H1216">
        <v>2677.48</v>
      </c>
      <c r="I1216">
        <v>15</v>
      </c>
      <c r="J1216">
        <v>1572.35</v>
      </c>
      <c r="K1216" t="s">
        <v>17</v>
      </c>
      <c r="L1216" t="s">
        <v>33</v>
      </c>
      <c r="M1216">
        <f t="shared" si="90"/>
        <v>4551.7160000000003</v>
      </c>
      <c r="N1216">
        <f t="shared" si="91"/>
        <v>1407.0160000000005</v>
      </c>
      <c r="O1216" t="str">
        <f t="shared" si="92"/>
        <v>Tuesday</v>
      </c>
      <c r="P1216" t="b">
        <f t="shared" si="93"/>
        <v>0</v>
      </c>
      <c r="Q1216" t="str">
        <f t="shared" si="94"/>
        <v>October</v>
      </c>
    </row>
    <row r="1217" spans="1:17" x14ac:dyDescent="0.4">
      <c r="A1217" t="s">
        <v>1596</v>
      </c>
      <c r="B1217" s="1">
        <v>45698</v>
      </c>
      <c r="C1217" t="s">
        <v>26</v>
      </c>
      <c r="D1217" t="s">
        <v>14</v>
      </c>
      <c r="E1217" t="s">
        <v>760</v>
      </c>
      <c r="F1217" t="s">
        <v>16</v>
      </c>
      <c r="G1217">
        <v>3</v>
      </c>
      <c r="H1217">
        <v>969.61</v>
      </c>
      <c r="I1217">
        <v>5</v>
      </c>
      <c r="J1217">
        <v>500.88</v>
      </c>
      <c r="K1217" t="s">
        <v>24</v>
      </c>
      <c r="L1217" t="s">
        <v>37</v>
      </c>
      <c r="M1217">
        <f t="shared" si="90"/>
        <v>2763.3885</v>
      </c>
      <c r="N1217">
        <f t="shared" si="91"/>
        <v>1260.7485000000001</v>
      </c>
      <c r="O1217" t="str">
        <f t="shared" si="92"/>
        <v>Monday</v>
      </c>
      <c r="P1217" t="b">
        <f t="shared" si="93"/>
        <v>0</v>
      </c>
      <c r="Q1217" t="str">
        <f t="shared" si="94"/>
        <v>February</v>
      </c>
    </row>
    <row r="1218" spans="1:17" x14ac:dyDescent="0.4">
      <c r="A1218" t="s">
        <v>1597</v>
      </c>
      <c r="B1218" s="1">
        <v>45307</v>
      </c>
      <c r="C1218" t="s">
        <v>205</v>
      </c>
      <c r="D1218" t="s">
        <v>46</v>
      </c>
      <c r="E1218" t="s">
        <v>491</v>
      </c>
      <c r="F1218" t="s">
        <v>16</v>
      </c>
      <c r="G1218">
        <v>1</v>
      </c>
      <c r="H1218">
        <v>1843.8</v>
      </c>
      <c r="I1218">
        <v>0</v>
      </c>
      <c r="J1218">
        <v>1093.0999999999999</v>
      </c>
      <c r="K1218" t="s">
        <v>24</v>
      </c>
      <c r="L1218" t="s">
        <v>18</v>
      </c>
      <c r="M1218">
        <f t="shared" si="90"/>
        <v>1843.8</v>
      </c>
      <c r="N1218">
        <f t="shared" si="91"/>
        <v>750.7</v>
      </c>
      <c r="O1218" t="str">
        <f t="shared" si="92"/>
        <v>Tuesday</v>
      </c>
      <c r="P1218" t="b">
        <f t="shared" si="93"/>
        <v>0</v>
      </c>
      <c r="Q1218" t="str">
        <f t="shared" si="94"/>
        <v>January</v>
      </c>
    </row>
    <row r="1219" spans="1:17" x14ac:dyDescent="0.4">
      <c r="A1219" t="s">
        <v>1598</v>
      </c>
      <c r="B1219" s="1">
        <v>45685</v>
      </c>
      <c r="C1219" t="s">
        <v>74</v>
      </c>
      <c r="D1219" t="s">
        <v>14</v>
      </c>
      <c r="E1219" t="s">
        <v>47</v>
      </c>
      <c r="F1219" t="s">
        <v>28</v>
      </c>
      <c r="G1219">
        <v>2</v>
      </c>
      <c r="H1219">
        <v>1309.58</v>
      </c>
      <c r="I1219">
        <v>25</v>
      </c>
      <c r="J1219">
        <v>791.34</v>
      </c>
      <c r="K1219" t="s">
        <v>24</v>
      </c>
      <c r="L1219" t="s">
        <v>37</v>
      </c>
      <c r="M1219">
        <f t="shared" ref="M1219:M1282" si="95">G1219 * H1219 * (1 - I1219/100)</f>
        <v>1964.37</v>
      </c>
      <c r="N1219">
        <f t="shared" ref="N1219:N1282" si="96">M1219 - (J1219 * G1219)</f>
        <v>381.68999999999983</v>
      </c>
      <c r="O1219" t="str">
        <f t="shared" ref="O1219:O1282" si="97">TEXT(B1219,"dddd")</f>
        <v>Tuesday</v>
      </c>
      <c r="P1219" t="b">
        <f t="shared" ref="P1219:P1282" si="98">OR(TEXT(B1219,"ddd")="Sat", TEXT(B1219,"ddd")="Sun")</f>
        <v>0</v>
      </c>
      <c r="Q1219" t="str">
        <f t="shared" ref="Q1219:Q1282" si="99">TEXT(B1219,"mmmm")</f>
        <v>January</v>
      </c>
    </row>
    <row r="1220" spans="1:17" x14ac:dyDescent="0.4">
      <c r="A1220" t="s">
        <v>1599</v>
      </c>
      <c r="B1220" s="1">
        <v>45317</v>
      </c>
      <c r="C1220" t="s">
        <v>179</v>
      </c>
      <c r="D1220" t="s">
        <v>21</v>
      </c>
      <c r="E1220" t="s">
        <v>1074</v>
      </c>
      <c r="F1220" t="s">
        <v>16</v>
      </c>
      <c r="G1220">
        <v>1</v>
      </c>
      <c r="H1220">
        <v>1454.96</v>
      </c>
      <c r="I1220">
        <v>25</v>
      </c>
      <c r="J1220">
        <v>755.58</v>
      </c>
      <c r="K1220" t="s">
        <v>24</v>
      </c>
      <c r="L1220" t="s">
        <v>18</v>
      </c>
      <c r="M1220">
        <f t="shared" si="95"/>
        <v>1091.22</v>
      </c>
      <c r="N1220">
        <f t="shared" si="96"/>
        <v>335.64</v>
      </c>
      <c r="O1220" t="str">
        <f t="shared" si="97"/>
        <v>Friday</v>
      </c>
      <c r="P1220" t="b">
        <f t="shared" si="98"/>
        <v>0</v>
      </c>
      <c r="Q1220" t="str">
        <f t="shared" si="99"/>
        <v>January</v>
      </c>
    </row>
    <row r="1221" spans="1:17" x14ac:dyDescent="0.4">
      <c r="A1221" t="s">
        <v>1600</v>
      </c>
      <c r="B1221" s="1">
        <v>45416</v>
      </c>
      <c r="C1221" t="s">
        <v>179</v>
      </c>
      <c r="D1221" t="s">
        <v>46</v>
      </c>
      <c r="E1221" t="s">
        <v>1134</v>
      </c>
      <c r="F1221" t="s">
        <v>28</v>
      </c>
      <c r="G1221">
        <v>4</v>
      </c>
      <c r="H1221">
        <v>2227.11</v>
      </c>
      <c r="I1221">
        <v>15</v>
      </c>
      <c r="J1221">
        <v>1262.24</v>
      </c>
      <c r="K1221" t="s">
        <v>17</v>
      </c>
      <c r="L1221" t="s">
        <v>18</v>
      </c>
      <c r="M1221">
        <f t="shared" si="95"/>
        <v>7572.174</v>
      </c>
      <c r="N1221">
        <f t="shared" si="96"/>
        <v>2523.2139999999999</v>
      </c>
      <c r="O1221" t="str">
        <f t="shared" si="97"/>
        <v>Saturday</v>
      </c>
      <c r="P1221" t="b">
        <f t="shared" si="98"/>
        <v>1</v>
      </c>
      <c r="Q1221" t="str">
        <f t="shared" si="99"/>
        <v>May</v>
      </c>
    </row>
    <row r="1222" spans="1:17" x14ac:dyDescent="0.4">
      <c r="A1222" t="s">
        <v>1601</v>
      </c>
      <c r="B1222" s="1">
        <v>45310</v>
      </c>
      <c r="C1222" t="s">
        <v>62</v>
      </c>
      <c r="D1222" t="s">
        <v>14</v>
      </c>
      <c r="E1222" t="s">
        <v>561</v>
      </c>
      <c r="F1222" t="s">
        <v>28</v>
      </c>
      <c r="G1222">
        <v>1</v>
      </c>
      <c r="H1222">
        <v>417.44</v>
      </c>
      <c r="I1222">
        <v>15</v>
      </c>
      <c r="J1222">
        <v>193.81</v>
      </c>
      <c r="K1222" t="s">
        <v>24</v>
      </c>
      <c r="L1222" t="s">
        <v>37</v>
      </c>
      <c r="M1222">
        <f t="shared" si="95"/>
        <v>354.82400000000001</v>
      </c>
      <c r="N1222">
        <f t="shared" si="96"/>
        <v>161.01400000000001</v>
      </c>
      <c r="O1222" t="str">
        <f t="shared" si="97"/>
        <v>Friday</v>
      </c>
      <c r="P1222" t="b">
        <f t="shared" si="98"/>
        <v>0</v>
      </c>
      <c r="Q1222" t="str">
        <f t="shared" si="99"/>
        <v>January</v>
      </c>
    </row>
    <row r="1223" spans="1:17" x14ac:dyDescent="0.4">
      <c r="A1223" t="s">
        <v>1602</v>
      </c>
      <c r="B1223" s="1">
        <v>45335</v>
      </c>
      <c r="C1223" t="s">
        <v>59</v>
      </c>
      <c r="D1223" t="s">
        <v>14</v>
      </c>
      <c r="E1223" t="s">
        <v>1175</v>
      </c>
      <c r="F1223" t="s">
        <v>16</v>
      </c>
      <c r="G1223">
        <v>4</v>
      </c>
      <c r="H1223">
        <v>1268.6400000000001</v>
      </c>
      <c r="I1223">
        <v>20</v>
      </c>
      <c r="J1223">
        <v>872.76</v>
      </c>
      <c r="K1223" t="s">
        <v>24</v>
      </c>
      <c r="L1223" t="s">
        <v>18</v>
      </c>
      <c r="M1223">
        <f t="shared" si="95"/>
        <v>4059.6480000000006</v>
      </c>
      <c r="N1223">
        <f t="shared" si="96"/>
        <v>568.60800000000063</v>
      </c>
      <c r="O1223" t="str">
        <f t="shared" si="97"/>
        <v>Tuesday</v>
      </c>
      <c r="P1223" t="b">
        <f t="shared" si="98"/>
        <v>0</v>
      </c>
      <c r="Q1223" t="str">
        <f t="shared" si="99"/>
        <v>February</v>
      </c>
    </row>
    <row r="1224" spans="1:17" x14ac:dyDescent="0.4">
      <c r="A1224" t="s">
        <v>1603</v>
      </c>
      <c r="B1224" s="1">
        <v>45311</v>
      </c>
      <c r="C1224" t="s">
        <v>35</v>
      </c>
      <c r="D1224" t="s">
        <v>14</v>
      </c>
      <c r="E1224" t="s">
        <v>938</v>
      </c>
      <c r="F1224" t="s">
        <v>23</v>
      </c>
      <c r="G1224">
        <v>5</v>
      </c>
      <c r="H1224">
        <v>2303.3000000000002</v>
      </c>
      <c r="I1224">
        <v>5</v>
      </c>
      <c r="J1224">
        <v>1144.67</v>
      </c>
      <c r="K1224" t="s">
        <v>17</v>
      </c>
      <c r="L1224" t="s">
        <v>18</v>
      </c>
      <c r="M1224">
        <f t="shared" si="95"/>
        <v>10940.674999999999</v>
      </c>
      <c r="N1224">
        <f t="shared" si="96"/>
        <v>5217.3249999999989</v>
      </c>
      <c r="O1224" t="str">
        <f t="shared" si="97"/>
        <v>Saturday</v>
      </c>
      <c r="P1224" t="b">
        <f t="shared" si="98"/>
        <v>1</v>
      </c>
      <c r="Q1224" t="str">
        <f t="shared" si="99"/>
        <v>January</v>
      </c>
    </row>
    <row r="1225" spans="1:17" x14ac:dyDescent="0.4">
      <c r="A1225" t="s">
        <v>1604</v>
      </c>
      <c r="B1225" s="1">
        <v>45918</v>
      </c>
      <c r="C1225" t="s">
        <v>98</v>
      </c>
      <c r="D1225" t="s">
        <v>14</v>
      </c>
      <c r="E1225" t="s">
        <v>155</v>
      </c>
      <c r="F1225" t="s">
        <v>16</v>
      </c>
      <c r="G1225">
        <v>3</v>
      </c>
      <c r="H1225">
        <v>773.68</v>
      </c>
      <c r="I1225">
        <v>25</v>
      </c>
      <c r="J1225">
        <v>381.88</v>
      </c>
      <c r="K1225" t="s">
        <v>24</v>
      </c>
      <c r="L1225" t="s">
        <v>33</v>
      </c>
      <c r="M1225">
        <f t="shared" si="95"/>
        <v>1740.78</v>
      </c>
      <c r="N1225">
        <f t="shared" si="96"/>
        <v>595.1400000000001</v>
      </c>
      <c r="O1225" t="str">
        <f t="shared" si="97"/>
        <v>Thursday</v>
      </c>
      <c r="P1225" t="b">
        <f t="shared" si="98"/>
        <v>0</v>
      </c>
      <c r="Q1225" t="str">
        <f t="shared" si="99"/>
        <v>September</v>
      </c>
    </row>
    <row r="1226" spans="1:17" x14ac:dyDescent="0.4">
      <c r="A1226" t="s">
        <v>1605</v>
      </c>
      <c r="B1226" s="1">
        <v>45575</v>
      </c>
      <c r="C1226" t="s">
        <v>179</v>
      </c>
      <c r="D1226" t="s">
        <v>31</v>
      </c>
      <c r="E1226" t="s">
        <v>227</v>
      </c>
      <c r="F1226" t="s">
        <v>28</v>
      </c>
      <c r="G1226">
        <v>2</v>
      </c>
      <c r="H1226">
        <v>1711.8</v>
      </c>
      <c r="I1226">
        <v>15</v>
      </c>
      <c r="J1226">
        <v>877.54</v>
      </c>
      <c r="K1226" t="s">
        <v>17</v>
      </c>
      <c r="L1226" t="s">
        <v>33</v>
      </c>
      <c r="M1226">
        <f t="shared" si="95"/>
        <v>2910.06</v>
      </c>
      <c r="N1226">
        <f t="shared" si="96"/>
        <v>1154.98</v>
      </c>
      <c r="O1226" t="str">
        <f t="shared" si="97"/>
        <v>Thursday</v>
      </c>
      <c r="P1226" t="b">
        <f t="shared" si="98"/>
        <v>0</v>
      </c>
      <c r="Q1226" t="str">
        <f t="shared" si="99"/>
        <v>October</v>
      </c>
    </row>
    <row r="1227" spans="1:17" x14ac:dyDescent="0.4">
      <c r="A1227" t="s">
        <v>1606</v>
      </c>
      <c r="B1227" s="1">
        <v>45823</v>
      </c>
      <c r="C1227" t="s">
        <v>152</v>
      </c>
      <c r="D1227" t="s">
        <v>14</v>
      </c>
      <c r="E1227" t="s">
        <v>324</v>
      </c>
      <c r="F1227" t="s">
        <v>16</v>
      </c>
      <c r="G1227">
        <v>4</v>
      </c>
      <c r="H1227">
        <v>2850.87</v>
      </c>
      <c r="I1227">
        <v>25</v>
      </c>
      <c r="J1227">
        <v>1404.57</v>
      </c>
      <c r="K1227" t="s">
        <v>24</v>
      </c>
      <c r="L1227" t="s">
        <v>18</v>
      </c>
      <c r="M1227">
        <f t="shared" si="95"/>
        <v>8552.61</v>
      </c>
      <c r="N1227">
        <f t="shared" si="96"/>
        <v>2934.3300000000008</v>
      </c>
      <c r="O1227" t="str">
        <f t="shared" si="97"/>
        <v>Sunday</v>
      </c>
      <c r="P1227" t="b">
        <f t="shared" si="98"/>
        <v>1</v>
      </c>
      <c r="Q1227" t="str">
        <f t="shared" si="99"/>
        <v>June</v>
      </c>
    </row>
    <row r="1228" spans="1:17" x14ac:dyDescent="0.4">
      <c r="A1228" t="s">
        <v>1607</v>
      </c>
      <c r="B1228" s="1">
        <v>45756</v>
      </c>
      <c r="C1228" t="s">
        <v>159</v>
      </c>
      <c r="D1228" t="s">
        <v>21</v>
      </c>
      <c r="E1228" t="s">
        <v>665</v>
      </c>
      <c r="F1228" t="s">
        <v>16</v>
      </c>
      <c r="G1228">
        <v>1</v>
      </c>
      <c r="H1228">
        <v>1544.38</v>
      </c>
      <c r="I1228">
        <v>25</v>
      </c>
      <c r="J1228">
        <v>858.26</v>
      </c>
      <c r="K1228" t="s">
        <v>17</v>
      </c>
      <c r="L1228" t="s">
        <v>18</v>
      </c>
      <c r="M1228">
        <f t="shared" si="95"/>
        <v>1158.2850000000001</v>
      </c>
      <c r="N1228">
        <f t="shared" si="96"/>
        <v>300.02500000000009</v>
      </c>
      <c r="O1228" t="str">
        <f t="shared" si="97"/>
        <v>Wednesday</v>
      </c>
      <c r="P1228" t="b">
        <f t="shared" si="98"/>
        <v>0</v>
      </c>
      <c r="Q1228" t="str">
        <f t="shared" si="99"/>
        <v>April</v>
      </c>
    </row>
    <row r="1229" spans="1:17" x14ac:dyDescent="0.4">
      <c r="A1229" t="s">
        <v>1608</v>
      </c>
      <c r="B1229" s="1">
        <v>45923</v>
      </c>
      <c r="C1229" t="s">
        <v>309</v>
      </c>
      <c r="D1229" t="s">
        <v>14</v>
      </c>
      <c r="E1229" t="s">
        <v>198</v>
      </c>
      <c r="F1229" t="s">
        <v>23</v>
      </c>
      <c r="G1229">
        <v>5</v>
      </c>
      <c r="H1229">
        <v>2889.36</v>
      </c>
      <c r="I1229">
        <v>5</v>
      </c>
      <c r="J1229">
        <v>2018.8</v>
      </c>
      <c r="K1229" t="s">
        <v>24</v>
      </c>
      <c r="L1229" t="s">
        <v>18</v>
      </c>
      <c r="M1229">
        <f t="shared" si="95"/>
        <v>13724.460000000001</v>
      </c>
      <c r="N1229">
        <f t="shared" si="96"/>
        <v>3630.4600000000009</v>
      </c>
      <c r="O1229" t="str">
        <f t="shared" si="97"/>
        <v>Tuesday</v>
      </c>
      <c r="P1229" t="b">
        <f t="shared" si="98"/>
        <v>0</v>
      </c>
      <c r="Q1229" t="str">
        <f t="shared" si="99"/>
        <v>September</v>
      </c>
    </row>
    <row r="1230" spans="1:17" x14ac:dyDescent="0.4">
      <c r="A1230" t="s">
        <v>1609</v>
      </c>
      <c r="B1230" s="1">
        <v>45656</v>
      </c>
      <c r="C1230" t="s">
        <v>267</v>
      </c>
      <c r="D1230" t="s">
        <v>21</v>
      </c>
      <c r="E1230" t="s">
        <v>294</v>
      </c>
      <c r="F1230" t="s">
        <v>28</v>
      </c>
      <c r="G1230">
        <v>1</v>
      </c>
      <c r="H1230">
        <v>2887.32</v>
      </c>
      <c r="I1230">
        <v>0</v>
      </c>
      <c r="J1230">
        <v>1643.69</v>
      </c>
      <c r="K1230" t="s">
        <v>17</v>
      </c>
      <c r="L1230" t="s">
        <v>33</v>
      </c>
      <c r="M1230">
        <f t="shared" si="95"/>
        <v>2887.32</v>
      </c>
      <c r="N1230">
        <f t="shared" si="96"/>
        <v>1243.6300000000001</v>
      </c>
      <c r="O1230" t="str">
        <f t="shared" si="97"/>
        <v>Monday</v>
      </c>
      <c r="P1230" t="b">
        <f t="shared" si="98"/>
        <v>0</v>
      </c>
      <c r="Q1230" t="str">
        <f t="shared" si="99"/>
        <v>December</v>
      </c>
    </row>
    <row r="1231" spans="1:17" x14ac:dyDescent="0.4">
      <c r="A1231" t="s">
        <v>1610</v>
      </c>
      <c r="B1231" s="1">
        <v>45631</v>
      </c>
      <c r="C1231" t="s">
        <v>13</v>
      </c>
      <c r="D1231" t="s">
        <v>31</v>
      </c>
      <c r="E1231" t="s">
        <v>322</v>
      </c>
      <c r="F1231" t="s">
        <v>28</v>
      </c>
      <c r="G1231">
        <v>4</v>
      </c>
      <c r="H1231">
        <v>1736.5</v>
      </c>
      <c r="I1231">
        <v>0</v>
      </c>
      <c r="J1231">
        <v>1208.54</v>
      </c>
      <c r="K1231" t="s">
        <v>17</v>
      </c>
      <c r="L1231" t="s">
        <v>37</v>
      </c>
      <c r="M1231">
        <f t="shared" si="95"/>
        <v>6946</v>
      </c>
      <c r="N1231">
        <f t="shared" si="96"/>
        <v>2111.84</v>
      </c>
      <c r="O1231" t="str">
        <f t="shared" si="97"/>
        <v>Thursday</v>
      </c>
      <c r="P1231" t="b">
        <f t="shared" si="98"/>
        <v>0</v>
      </c>
      <c r="Q1231" t="str">
        <f t="shared" si="99"/>
        <v>December</v>
      </c>
    </row>
    <row r="1232" spans="1:17" x14ac:dyDescent="0.4">
      <c r="A1232" t="s">
        <v>1611</v>
      </c>
      <c r="B1232" s="1">
        <v>45591</v>
      </c>
      <c r="C1232" t="s">
        <v>309</v>
      </c>
      <c r="D1232" t="s">
        <v>46</v>
      </c>
      <c r="E1232" t="s">
        <v>948</v>
      </c>
      <c r="F1232" t="s">
        <v>28</v>
      </c>
      <c r="G1232">
        <v>5</v>
      </c>
      <c r="H1232">
        <v>1555.06</v>
      </c>
      <c r="I1232">
        <v>0</v>
      </c>
      <c r="J1232">
        <v>652.46</v>
      </c>
      <c r="K1232" t="s">
        <v>17</v>
      </c>
      <c r="L1232" t="s">
        <v>18</v>
      </c>
      <c r="M1232">
        <f t="shared" si="95"/>
        <v>7775.2999999999993</v>
      </c>
      <c r="N1232">
        <f t="shared" si="96"/>
        <v>4512.9999999999991</v>
      </c>
      <c r="O1232" t="str">
        <f t="shared" si="97"/>
        <v>Saturday</v>
      </c>
      <c r="P1232" t="b">
        <f t="shared" si="98"/>
        <v>1</v>
      </c>
      <c r="Q1232" t="str">
        <f t="shared" si="99"/>
        <v>October</v>
      </c>
    </row>
    <row r="1233" spans="1:17" x14ac:dyDescent="0.4">
      <c r="A1233" t="s">
        <v>1612</v>
      </c>
      <c r="B1233" s="1">
        <v>45825</v>
      </c>
      <c r="C1233" t="s">
        <v>71</v>
      </c>
      <c r="D1233" t="s">
        <v>46</v>
      </c>
      <c r="E1233" t="s">
        <v>216</v>
      </c>
      <c r="F1233" t="s">
        <v>16</v>
      </c>
      <c r="G1233">
        <v>4</v>
      </c>
      <c r="H1233">
        <v>1118.68</v>
      </c>
      <c r="I1233">
        <v>20</v>
      </c>
      <c r="J1233">
        <v>629.46</v>
      </c>
      <c r="K1233" t="s">
        <v>24</v>
      </c>
      <c r="L1233" t="s">
        <v>33</v>
      </c>
      <c r="M1233">
        <f t="shared" si="95"/>
        <v>3579.7760000000003</v>
      </c>
      <c r="N1233">
        <f t="shared" si="96"/>
        <v>1061.9360000000001</v>
      </c>
      <c r="O1233" t="str">
        <f t="shared" si="97"/>
        <v>Tuesday</v>
      </c>
      <c r="P1233" t="b">
        <f t="shared" si="98"/>
        <v>0</v>
      </c>
      <c r="Q1233" t="str">
        <f t="shared" si="99"/>
        <v>June</v>
      </c>
    </row>
    <row r="1234" spans="1:17" x14ac:dyDescent="0.4">
      <c r="A1234" t="s">
        <v>1613</v>
      </c>
      <c r="B1234" s="1">
        <v>45950</v>
      </c>
      <c r="C1234" t="s">
        <v>226</v>
      </c>
      <c r="D1234" t="s">
        <v>14</v>
      </c>
      <c r="E1234" t="s">
        <v>1614</v>
      </c>
      <c r="F1234" t="s">
        <v>16</v>
      </c>
      <c r="G1234">
        <v>4</v>
      </c>
      <c r="H1234">
        <v>1159.08</v>
      </c>
      <c r="I1234">
        <v>15</v>
      </c>
      <c r="J1234">
        <v>485.47</v>
      </c>
      <c r="K1234" t="s">
        <v>24</v>
      </c>
      <c r="L1234" t="s">
        <v>18</v>
      </c>
      <c r="M1234">
        <f t="shared" si="95"/>
        <v>3940.8719999999998</v>
      </c>
      <c r="N1234">
        <f t="shared" si="96"/>
        <v>1998.9919999999997</v>
      </c>
      <c r="O1234" t="str">
        <f t="shared" si="97"/>
        <v>Monday</v>
      </c>
      <c r="P1234" t="b">
        <f t="shared" si="98"/>
        <v>0</v>
      </c>
      <c r="Q1234" t="str">
        <f t="shared" si="99"/>
        <v>October</v>
      </c>
    </row>
    <row r="1235" spans="1:17" x14ac:dyDescent="0.4">
      <c r="A1235" t="s">
        <v>1615</v>
      </c>
      <c r="B1235" s="1">
        <v>45802</v>
      </c>
      <c r="C1235" t="s">
        <v>269</v>
      </c>
      <c r="D1235" t="s">
        <v>31</v>
      </c>
      <c r="E1235" t="s">
        <v>15</v>
      </c>
      <c r="F1235" t="s">
        <v>16</v>
      </c>
      <c r="G1235">
        <v>2</v>
      </c>
      <c r="H1235">
        <v>1034.6300000000001</v>
      </c>
      <c r="I1235">
        <v>20</v>
      </c>
      <c r="J1235">
        <v>691.25</v>
      </c>
      <c r="K1235" t="s">
        <v>24</v>
      </c>
      <c r="L1235" t="s">
        <v>37</v>
      </c>
      <c r="M1235">
        <f t="shared" si="95"/>
        <v>1655.4080000000004</v>
      </c>
      <c r="N1235">
        <f t="shared" si="96"/>
        <v>272.90800000000036</v>
      </c>
      <c r="O1235" t="str">
        <f t="shared" si="97"/>
        <v>Sunday</v>
      </c>
      <c r="P1235" t="b">
        <f t="shared" si="98"/>
        <v>1</v>
      </c>
      <c r="Q1235" t="str">
        <f t="shared" si="99"/>
        <v>May</v>
      </c>
    </row>
    <row r="1236" spans="1:17" x14ac:dyDescent="0.4">
      <c r="A1236" t="s">
        <v>1616</v>
      </c>
      <c r="B1236" s="1">
        <v>45615</v>
      </c>
      <c r="C1236" t="s">
        <v>149</v>
      </c>
      <c r="D1236" t="s">
        <v>31</v>
      </c>
      <c r="E1236" t="s">
        <v>658</v>
      </c>
      <c r="F1236" t="s">
        <v>16</v>
      </c>
      <c r="G1236">
        <v>2</v>
      </c>
      <c r="H1236">
        <v>2246.41</v>
      </c>
      <c r="I1236">
        <v>5</v>
      </c>
      <c r="J1236">
        <v>1032.31</v>
      </c>
      <c r="K1236" t="s">
        <v>17</v>
      </c>
      <c r="L1236" t="s">
        <v>18</v>
      </c>
      <c r="M1236">
        <f t="shared" si="95"/>
        <v>4268.1789999999992</v>
      </c>
      <c r="N1236">
        <f t="shared" si="96"/>
        <v>2203.5589999999993</v>
      </c>
      <c r="O1236" t="str">
        <f t="shared" si="97"/>
        <v>Tuesday</v>
      </c>
      <c r="P1236" t="b">
        <f t="shared" si="98"/>
        <v>0</v>
      </c>
      <c r="Q1236" t="str">
        <f t="shared" si="99"/>
        <v>November</v>
      </c>
    </row>
    <row r="1237" spans="1:17" x14ac:dyDescent="0.4">
      <c r="A1237" t="s">
        <v>1617</v>
      </c>
      <c r="B1237" s="1">
        <v>45773</v>
      </c>
      <c r="C1237" t="s">
        <v>302</v>
      </c>
      <c r="D1237" t="s">
        <v>31</v>
      </c>
      <c r="E1237" t="s">
        <v>1254</v>
      </c>
      <c r="F1237" t="s">
        <v>23</v>
      </c>
      <c r="G1237">
        <v>4</v>
      </c>
      <c r="H1237">
        <v>2360.44</v>
      </c>
      <c r="I1237">
        <v>15</v>
      </c>
      <c r="J1237">
        <v>1127.81</v>
      </c>
      <c r="K1237" t="s">
        <v>17</v>
      </c>
      <c r="L1237" t="s">
        <v>33</v>
      </c>
      <c r="M1237">
        <f t="shared" si="95"/>
        <v>8025.4960000000001</v>
      </c>
      <c r="N1237">
        <f t="shared" si="96"/>
        <v>3514.2560000000003</v>
      </c>
      <c r="O1237" t="str">
        <f t="shared" si="97"/>
        <v>Saturday</v>
      </c>
      <c r="P1237" t="b">
        <f t="shared" si="98"/>
        <v>1</v>
      </c>
      <c r="Q1237" t="str">
        <f t="shared" si="99"/>
        <v>April</v>
      </c>
    </row>
    <row r="1238" spans="1:17" x14ac:dyDescent="0.4">
      <c r="A1238" t="s">
        <v>1618</v>
      </c>
      <c r="B1238" s="1">
        <v>45515</v>
      </c>
      <c r="C1238" t="s">
        <v>309</v>
      </c>
      <c r="D1238" t="s">
        <v>31</v>
      </c>
      <c r="E1238" t="s">
        <v>693</v>
      </c>
      <c r="F1238" t="s">
        <v>16</v>
      </c>
      <c r="G1238">
        <v>5</v>
      </c>
      <c r="H1238">
        <v>2951.01</v>
      </c>
      <c r="I1238">
        <v>20</v>
      </c>
      <c r="J1238">
        <v>1962.2</v>
      </c>
      <c r="K1238" t="s">
        <v>17</v>
      </c>
      <c r="L1238" t="s">
        <v>37</v>
      </c>
      <c r="M1238">
        <f t="shared" si="95"/>
        <v>11804.04</v>
      </c>
      <c r="N1238">
        <f t="shared" si="96"/>
        <v>1993.0400000000009</v>
      </c>
      <c r="O1238" t="str">
        <f t="shared" si="97"/>
        <v>Sunday</v>
      </c>
      <c r="P1238" t="b">
        <f t="shared" si="98"/>
        <v>1</v>
      </c>
      <c r="Q1238" t="str">
        <f t="shared" si="99"/>
        <v>August</v>
      </c>
    </row>
    <row r="1239" spans="1:17" x14ac:dyDescent="0.4">
      <c r="A1239" t="s">
        <v>1619</v>
      </c>
      <c r="B1239" s="1">
        <v>45337</v>
      </c>
      <c r="C1239" t="s">
        <v>171</v>
      </c>
      <c r="D1239" t="s">
        <v>31</v>
      </c>
      <c r="E1239" t="s">
        <v>621</v>
      </c>
      <c r="F1239" t="s">
        <v>16</v>
      </c>
      <c r="G1239">
        <v>4</v>
      </c>
      <c r="H1239">
        <v>2205.36</v>
      </c>
      <c r="I1239">
        <v>10</v>
      </c>
      <c r="J1239">
        <v>934.23</v>
      </c>
      <c r="K1239" t="s">
        <v>24</v>
      </c>
      <c r="L1239" t="s">
        <v>18</v>
      </c>
      <c r="M1239">
        <f t="shared" si="95"/>
        <v>7939.2960000000003</v>
      </c>
      <c r="N1239">
        <f t="shared" si="96"/>
        <v>4202.3760000000002</v>
      </c>
      <c r="O1239" t="str">
        <f t="shared" si="97"/>
        <v>Thursday</v>
      </c>
      <c r="P1239" t="b">
        <f t="shared" si="98"/>
        <v>0</v>
      </c>
      <c r="Q1239" t="str">
        <f t="shared" si="99"/>
        <v>February</v>
      </c>
    </row>
    <row r="1240" spans="1:17" x14ac:dyDescent="0.4">
      <c r="A1240" t="s">
        <v>1620</v>
      </c>
      <c r="B1240" s="1">
        <v>45873</v>
      </c>
      <c r="C1240" t="s">
        <v>86</v>
      </c>
      <c r="D1240" t="s">
        <v>14</v>
      </c>
      <c r="E1240" t="s">
        <v>853</v>
      </c>
      <c r="F1240" t="s">
        <v>28</v>
      </c>
      <c r="G1240">
        <v>2</v>
      </c>
      <c r="H1240">
        <v>1999.27</v>
      </c>
      <c r="I1240">
        <v>15</v>
      </c>
      <c r="J1240">
        <v>1360.99</v>
      </c>
      <c r="K1240" t="s">
        <v>17</v>
      </c>
      <c r="L1240" t="s">
        <v>37</v>
      </c>
      <c r="M1240">
        <f t="shared" si="95"/>
        <v>3398.759</v>
      </c>
      <c r="N1240">
        <f t="shared" si="96"/>
        <v>676.779</v>
      </c>
      <c r="O1240" t="str">
        <f t="shared" si="97"/>
        <v>Monday</v>
      </c>
      <c r="P1240" t="b">
        <f t="shared" si="98"/>
        <v>0</v>
      </c>
      <c r="Q1240" t="str">
        <f t="shared" si="99"/>
        <v>August</v>
      </c>
    </row>
    <row r="1241" spans="1:17" x14ac:dyDescent="0.4">
      <c r="A1241" t="s">
        <v>1621</v>
      </c>
      <c r="B1241" s="1">
        <v>45536</v>
      </c>
      <c r="C1241" t="s">
        <v>296</v>
      </c>
      <c r="D1241" t="s">
        <v>21</v>
      </c>
      <c r="E1241" t="s">
        <v>561</v>
      </c>
      <c r="F1241" t="s">
        <v>23</v>
      </c>
      <c r="G1241">
        <v>1</v>
      </c>
      <c r="H1241">
        <v>737.17</v>
      </c>
      <c r="I1241">
        <v>5</v>
      </c>
      <c r="J1241">
        <v>515.35</v>
      </c>
      <c r="K1241" t="s">
        <v>24</v>
      </c>
      <c r="L1241" t="s">
        <v>33</v>
      </c>
      <c r="M1241">
        <f t="shared" si="95"/>
        <v>700.31149999999991</v>
      </c>
      <c r="N1241">
        <f t="shared" si="96"/>
        <v>184.96149999999989</v>
      </c>
      <c r="O1241" t="str">
        <f t="shared" si="97"/>
        <v>Sunday</v>
      </c>
      <c r="P1241" t="b">
        <f t="shared" si="98"/>
        <v>1</v>
      </c>
      <c r="Q1241" t="str">
        <f t="shared" si="99"/>
        <v>September</v>
      </c>
    </row>
    <row r="1242" spans="1:17" x14ac:dyDescent="0.4">
      <c r="A1242" t="s">
        <v>1622</v>
      </c>
      <c r="B1242" s="1">
        <v>45803</v>
      </c>
      <c r="C1242" t="s">
        <v>13</v>
      </c>
      <c r="D1242" t="s">
        <v>46</v>
      </c>
      <c r="E1242" t="s">
        <v>229</v>
      </c>
      <c r="F1242" t="s">
        <v>28</v>
      </c>
      <c r="G1242">
        <v>2</v>
      </c>
      <c r="H1242">
        <v>1334.15</v>
      </c>
      <c r="I1242">
        <v>30</v>
      </c>
      <c r="J1242">
        <v>831.91</v>
      </c>
      <c r="K1242" t="s">
        <v>24</v>
      </c>
      <c r="L1242" t="s">
        <v>37</v>
      </c>
      <c r="M1242">
        <f t="shared" si="95"/>
        <v>1867.81</v>
      </c>
      <c r="N1242">
        <f t="shared" si="96"/>
        <v>203.99</v>
      </c>
      <c r="O1242" t="str">
        <f t="shared" si="97"/>
        <v>Monday</v>
      </c>
      <c r="P1242" t="b">
        <f t="shared" si="98"/>
        <v>0</v>
      </c>
      <c r="Q1242" t="str">
        <f t="shared" si="99"/>
        <v>May</v>
      </c>
    </row>
    <row r="1243" spans="1:17" x14ac:dyDescent="0.4">
      <c r="A1243" t="s">
        <v>1623</v>
      </c>
      <c r="B1243" s="1">
        <v>45530</v>
      </c>
      <c r="C1243" t="s">
        <v>224</v>
      </c>
      <c r="D1243" t="s">
        <v>31</v>
      </c>
      <c r="E1243" t="s">
        <v>49</v>
      </c>
      <c r="F1243" t="s">
        <v>23</v>
      </c>
      <c r="G1243">
        <v>5</v>
      </c>
      <c r="H1243">
        <v>1340.77</v>
      </c>
      <c r="I1243">
        <v>20</v>
      </c>
      <c r="J1243">
        <v>605.72</v>
      </c>
      <c r="K1243" t="s">
        <v>24</v>
      </c>
      <c r="L1243" t="s">
        <v>37</v>
      </c>
      <c r="M1243">
        <f t="shared" si="95"/>
        <v>5363.0800000000008</v>
      </c>
      <c r="N1243">
        <f t="shared" si="96"/>
        <v>2334.4800000000005</v>
      </c>
      <c r="O1243" t="str">
        <f t="shared" si="97"/>
        <v>Monday</v>
      </c>
      <c r="P1243" t="b">
        <f t="shared" si="98"/>
        <v>0</v>
      </c>
      <c r="Q1243" t="str">
        <f t="shared" si="99"/>
        <v>August</v>
      </c>
    </row>
    <row r="1244" spans="1:17" x14ac:dyDescent="0.4">
      <c r="A1244" t="s">
        <v>1624</v>
      </c>
      <c r="B1244" s="1">
        <v>45796</v>
      </c>
      <c r="C1244" t="s">
        <v>179</v>
      </c>
      <c r="D1244" t="s">
        <v>31</v>
      </c>
      <c r="E1244" t="s">
        <v>202</v>
      </c>
      <c r="F1244" t="s">
        <v>16</v>
      </c>
      <c r="G1244">
        <v>3</v>
      </c>
      <c r="H1244">
        <v>891.41</v>
      </c>
      <c r="I1244">
        <v>15</v>
      </c>
      <c r="J1244">
        <v>544.69000000000005</v>
      </c>
      <c r="K1244" t="s">
        <v>24</v>
      </c>
      <c r="L1244" t="s">
        <v>37</v>
      </c>
      <c r="M1244">
        <f t="shared" si="95"/>
        <v>2273.0954999999999</v>
      </c>
      <c r="N1244">
        <f t="shared" si="96"/>
        <v>639.02549999999974</v>
      </c>
      <c r="O1244" t="str">
        <f t="shared" si="97"/>
        <v>Monday</v>
      </c>
      <c r="P1244" t="b">
        <f t="shared" si="98"/>
        <v>0</v>
      </c>
      <c r="Q1244" t="str">
        <f t="shared" si="99"/>
        <v>May</v>
      </c>
    </row>
    <row r="1245" spans="1:17" x14ac:dyDescent="0.4">
      <c r="A1245" t="s">
        <v>1625</v>
      </c>
      <c r="B1245" s="1">
        <v>45757</v>
      </c>
      <c r="C1245" t="s">
        <v>144</v>
      </c>
      <c r="D1245" t="s">
        <v>46</v>
      </c>
      <c r="E1245" t="s">
        <v>574</v>
      </c>
      <c r="F1245" t="s">
        <v>28</v>
      </c>
      <c r="G1245">
        <v>3</v>
      </c>
      <c r="H1245">
        <v>2510.6999999999998</v>
      </c>
      <c r="I1245">
        <v>30</v>
      </c>
      <c r="J1245">
        <v>1611.7</v>
      </c>
      <c r="K1245" t="s">
        <v>24</v>
      </c>
      <c r="L1245" t="s">
        <v>18</v>
      </c>
      <c r="M1245">
        <f t="shared" si="95"/>
        <v>5272.4699999999993</v>
      </c>
      <c r="N1245">
        <f t="shared" si="96"/>
        <v>437.36999999999898</v>
      </c>
      <c r="O1245" t="str">
        <f t="shared" si="97"/>
        <v>Thursday</v>
      </c>
      <c r="P1245" t="b">
        <f t="shared" si="98"/>
        <v>0</v>
      </c>
      <c r="Q1245" t="str">
        <f t="shared" si="99"/>
        <v>April</v>
      </c>
    </row>
    <row r="1246" spans="1:17" x14ac:dyDescent="0.4">
      <c r="A1246" t="s">
        <v>1626</v>
      </c>
      <c r="B1246" s="1">
        <v>45843</v>
      </c>
      <c r="C1246" t="s">
        <v>20</v>
      </c>
      <c r="D1246" t="s">
        <v>31</v>
      </c>
      <c r="E1246" t="s">
        <v>1154</v>
      </c>
      <c r="F1246" t="s">
        <v>23</v>
      </c>
      <c r="G1246">
        <v>5</v>
      </c>
      <c r="H1246">
        <v>2493.25</v>
      </c>
      <c r="I1246">
        <v>30</v>
      </c>
      <c r="J1246">
        <v>1410.2</v>
      </c>
      <c r="K1246" t="s">
        <v>17</v>
      </c>
      <c r="L1246" t="s">
        <v>18</v>
      </c>
      <c r="M1246">
        <f t="shared" si="95"/>
        <v>8726.375</v>
      </c>
      <c r="N1246">
        <f t="shared" si="96"/>
        <v>1675.375</v>
      </c>
      <c r="O1246" t="str">
        <f t="shared" si="97"/>
        <v>Saturday</v>
      </c>
      <c r="P1246" t="b">
        <f t="shared" si="98"/>
        <v>1</v>
      </c>
      <c r="Q1246" t="str">
        <f t="shared" si="99"/>
        <v>July</v>
      </c>
    </row>
    <row r="1247" spans="1:17" x14ac:dyDescent="0.4">
      <c r="A1247" t="s">
        <v>1627</v>
      </c>
      <c r="B1247" s="1">
        <v>45463</v>
      </c>
      <c r="C1247" t="s">
        <v>224</v>
      </c>
      <c r="D1247" t="s">
        <v>14</v>
      </c>
      <c r="E1247" t="s">
        <v>753</v>
      </c>
      <c r="F1247" t="s">
        <v>28</v>
      </c>
      <c r="G1247">
        <v>1</v>
      </c>
      <c r="H1247">
        <v>2393.86</v>
      </c>
      <c r="I1247">
        <v>15</v>
      </c>
      <c r="J1247">
        <v>1004.84</v>
      </c>
      <c r="K1247" t="s">
        <v>17</v>
      </c>
      <c r="L1247" t="s">
        <v>33</v>
      </c>
      <c r="M1247">
        <f t="shared" si="95"/>
        <v>2034.7809999999999</v>
      </c>
      <c r="N1247">
        <f t="shared" si="96"/>
        <v>1029.9409999999998</v>
      </c>
      <c r="O1247" t="str">
        <f t="shared" si="97"/>
        <v>Thursday</v>
      </c>
      <c r="P1247" t="b">
        <f t="shared" si="98"/>
        <v>0</v>
      </c>
      <c r="Q1247" t="str">
        <f t="shared" si="99"/>
        <v>June</v>
      </c>
    </row>
    <row r="1248" spans="1:17" x14ac:dyDescent="0.4">
      <c r="A1248" t="s">
        <v>1628</v>
      </c>
      <c r="B1248" s="1">
        <v>45975</v>
      </c>
      <c r="C1248" t="s">
        <v>77</v>
      </c>
      <c r="D1248" t="s">
        <v>46</v>
      </c>
      <c r="E1248" t="s">
        <v>212</v>
      </c>
      <c r="F1248" t="s">
        <v>28</v>
      </c>
      <c r="G1248">
        <v>3</v>
      </c>
      <c r="H1248">
        <v>2746.76</v>
      </c>
      <c r="I1248">
        <v>10</v>
      </c>
      <c r="J1248">
        <v>1522.1</v>
      </c>
      <c r="K1248" t="s">
        <v>24</v>
      </c>
      <c r="L1248" t="s">
        <v>37</v>
      </c>
      <c r="M1248">
        <f t="shared" si="95"/>
        <v>7416.2520000000004</v>
      </c>
      <c r="N1248">
        <f t="shared" si="96"/>
        <v>2849.9520000000011</v>
      </c>
      <c r="O1248" t="str">
        <f t="shared" si="97"/>
        <v>Friday</v>
      </c>
      <c r="P1248" t="b">
        <f t="shared" si="98"/>
        <v>0</v>
      </c>
      <c r="Q1248" t="str">
        <f t="shared" si="99"/>
        <v>November</v>
      </c>
    </row>
    <row r="1249" spans="1:17" x14ac:dyDescent="0.4">
      <c r="A1249" t="s">
        <v>1629</v>
      </c>
      <c r="B1249" s="1">
        <v>45344</v>
      </c>
      <c r="C1249" t="s">
        <v>253</v>
      </c>
      <c r="D1249" t="s">
        <v>14</v>
      </c>
      <c r="E1249" t="s">
        <v>210</v>
      </c>
      <c r="F1249" t="s">
        <v>28</v>
      </c>
      <c r="G1249">
        <v>1</v>
      </c>
      <c r="H1249">
        <v>2699.11</v>
      </c>
      <c r="I1249">
        <v>0</v>
      </c>
      <c r="J1249">
        <v>1867.59</v>
      </c>
      <c r="K1249" t="s">
        <v>24</v>
      </c>
      <c r="L1249" t="s">
        <v>18</v>
      </c>
      <c r="M1249">
        <f t="shared" si="95"/>
        <v>2699.11</v>
      </c>
      <c r="N1249">
        <f t="shared" si="96"/>
        <v>831.52000000000021</v>
      </c>
      <c r="O1249" t="str">
        <f t="shared" si="97"/>
        <v>Thursday</v>
      </c>
      <c r="P1249" t="b">
        <f t="shared" si="98"/>
        <v>0</v>
      </c>
      <c r="Q1249" t="str">
        <f t="shared" si="99"/>
        <v>February</v>
      </c>
    </row>
    <row r="1250" spans="1:17" x14ac:dyDescent="0.4">
      <c r="A1250" t="s">
        <v>1630</v>
      </c>
      <c r="B1250" s="1">
        <v>45984</v>
      </c>
      <c r="C1250" t="s">
        <v>86</v>
      </c>
      <c r="D1250" t="s">
        <v>21</v>
      </c>
      <c r="E1250" t="s">
        <v>652</v>
      </c>
      <c r="F1250" t="s">
        <v>23</v>
      </c>
      <c r="G1250">
        <v>1</v>
      </c>
      <c r="H1250">
        <v>1015.18</v>
      </c>
      <c r="I1250">
        <v>5</v>
      </c>
      <c r="J1250">
        <v>657</v>
      </c>
      <c r="K1250" t="s">
        <v>17</v>
      </c>
      <c r="L1250" t="s">
        <v>37</v>
      </c>
      <c r="M1250">
        <f t="shared" si="95"/>
        <v>964.42099999999994</v>
      </c>
      <c r="N1250">
        <f t="shared" si="96"/>
        <v>307.42099999999994</v>
      </c>
      <c r="O1250" t="str">
        <f t="shared" si="97"/>
        <v>Sunday</v>
      </c>
      <c r="P1250" t="b">
        <f t="shared" si="98"/>
        <v>1</v>
      </c>
      <c r="Q1250" t="str">
        <f t="shared" si="99"/>
        <v>November</v>
      </c>
    </row>
    <row r="1251" spans="1:17" x14ac:dyDescent="0.4">
      <c r="A1251" t="s">
        <v>1631</v>
      </c>
      <c r="B1251" s="1">
        <v>45749</v>
      </c>
      <c r="C1251" t="s">
        <v>92</v>
      </c>
      <c r="D1251" t="s">
        <v>46</v>
      </c>
      <c r="E1251" t="s">
        <v>27</v>
      </c>
      <c r="F1251" t="s">
        <v>16</v>
      </c>
      <c r="G1251">
        <v>5</v>
      </c>
      <c r="H1251">
        <v>1863.12</v>
      </c>
      <c r="I1251">
        <v>5</v>
      </c>
      <c r="J1251">
        <v>968.6</v>
      </c>
      <c r="K1251" t="s">
        <v>17</v>
      </c>
      <c r="L1251" t="s">
        <v>18</v>
      </c>
      <c r="M1251">
        <f t="shared" si="95"/>
        <v>8849.8199999999979</v>
      </c>
      <c r="N1251">
        <f t="shared" si="96"/>
        <v>4006.8199999999979</v>
      </c>
      <c r="O1251" t="str">
        <f t="shared" si="97"/>
        <v>Wednesday</v>
      </c>
      <c r="P1251" t="b">
        <f t="shared" si="98"/>
        <v>0</v>
      </c>
      <c r="Q1251" t="str">
        <f t="shared" si="99"/>
        <v>April</v>
      </c>
    </row>
    <row r="1252" spans="1:17" x14ac:dyDescent="0.4">
      <c r="A1252" t="s">
        <v>1632</v>
      </c>
      <c r="B1252" s="1">
        <v>45779</v>
      </c>
      <c r="C1252" t="s">
        <v>68</v>
      </c>
      <c r="D1252" t="s">
        <v>31</v>
      </c>
      <c r="E1252" t="s">
        <v>52</v>
      </c>
      <c r="F1252" t="s">
        <v>23</v>
      </c>
      <c r="G1252">
        <v>4</v>
      </c>
      <c r="H1252">
        <v>1158.53</v>
      </c>
      <c r="I1252">
        <v>30</v>
      </c>
      <c r="J1252">
        <v>701.27</v>
      </c>
      <c r="K1252" t="s">
        <v>24</v>
      </c>
      <c r="L1252" t="s">
        <v>33</v>
      </c>
      <c r="M1252">
        <f t="shared" si="95"/>
        <v>3243.8839999999996</v>
      </c>
      <c r="N1252">
        <f t="shared" si="96"/>
        <v>438.80399999999963</v>
      </c>
      <c r="O1252" t="str">
        <f t="shared" si="97"/>
        <v>Friday</v>
      </c>
      <c r="P1252" t="b">
        <f t="shared" si="98"/>
        <v>0</v>
      </c>
      <c r="Q1252" t="str">
        <f t="shared" si="99"/>
        <v>May</v>
      </c>
    </row>
    <row r="1253" spans="1:17" x14ac:dyDescent="0.4">
      <c r="A1253" t="s">
        <v>1633</v>
      </c>
      <c r="B1253" s="1">
        <v>45708</v>
      </c>
      <c r="C1253" t="s">
        <v>30</v>
      </c>
      <c r="D1253" t="s">
        <v>46</v>
      </c>
      <c r="E1253" t="s">
        <v>311</v>
      </c>
      <c r="F1253" t="s">
        <v>16</v>
      </c>
      <c r="G1253">
        <v>2</v>
      </c>
      <c r="H1253">
        <v>2975.78</v>
      </c>
      <c r="I1253">
        <v>25</v>
      </c>
      <c r="J1253">
        <v>1468.47</v>
      </c>
      <c r="K1253" t="s">
        <v>24</v>
      </c>
      <c r="L1253" t="s">
        <v>33</v>
      </c>
      <c r="M1253">
        <f t="shared" si="95"/>
        <v>4463.67</v>
      </c>
      <c r="N1253">
        <f t="shared" si="96"/>
        <v>1526.73</v>
      </c>
      <c r="O1253" t="str">
        <f t="shared" si="97"/>
        <v>Thursday</v>
      </c>
      <c r="P1253" t="b">
        <f t="shared" si="98"/>
        <v>0</v>
      </c>
      <c r="Q1253" t="str">
        <f t="shared" si="99"/>
        <v>February</v>
      </c>
    </row>
    <row r="1254" spans="1:17" x14ac:dyDescent="0.4">
      <c r="A1254" t="s">
        <v>1634</v>
      </c>
      <c r="B1254" s="1">
        <v>45945</v>
      </c>
      <c r="C1254" t="s">
        <v>13</v>
      </c>
      <c r="D1254" t="s">
        <v>21</v>
      </c>
      <c r="E1254" t="s">
        <v>134</v>
      </c>
      <c r="F1254" t="s">
        <v>28</v>
      </c>
      <c r="G1254">
        <v>5</v>
      </c>
      <c r="H1254">
        <v>1956.87</v>
      </c>
      <c r="I1254">
        <v>0</v>
      </c>
      <c r="J1254">
        <v>922.89</v>
      </c>
      <c r="K1254" t="s">
        <v>24</v>
      </c>
      <c r="L1254" t="s">
        <v>37</v>
      </c>
      <c r="M1254">
        <f t="shared" si="95"/>
        <v>9784.3499999999985</v>
      </c>
      <c r="N1254">
        <f t="shared" si="96"/>
        <v>5169.8999999999987</v>
      </c>
      <c r="O1254" t="str">
        <f t="shared" si="97"/>
        <v>Wednesday</v>
      </c>
      <c r="P1254" t="b">
        <f t="shared" si="98"/>
        <v>0</v>
      </c>
      <c r="Q1254" t="str">
        <f t="shared" si="99"/>
        <v>October</v>
      </c>
    </row>
    <row r="1255" spans="1:17" x14ac:dyDescent="0.4">
      <c r="A1255" t="s">
        <v>1635</v>
      </c>
      <c r="B1255" s="1">
        <v>45324</v>
      </c>
      <c r="C1255" t="s">
        <v>251</v>
      </c>
      <c r="D1255" t="s">
        <v>31</v>
      </c>
      <c r="E1255" t="s">
        <v>134</v>
      </c>
      <c r="F1255" t="s">
        <v>23</v>
      </c>
      <c r="G1255">
        <v>4</v>
      </c>
      <c r="H1255">
        <v>1997.83</v>
      </c>
      <c r="I1255">
        <v>0</v>
      </c>
      <c r="J1255">
        <v>1371.64</v>
      </c>
      <c r="K1255" t="s">
        <v>17</v>
      </c>
      <c r="L1255" t="s">
        <v>18</v>
      </c>
      <c r="M1255">
        <f t="shared" si="95"/>
        <v>7991.32</v>
      </c>
      <c r="N1255">
        <f t="shared" si="96"/>
        <v>2504.7599999999993</v>
      </c>
      <c r="O1255" t="str">
        <f t="shared" si="97"/>
        <v>Friday</v>
      </c>
      <c r="P1255" t="b">
        <f t="shared" si="98"/>
        <v>0</v>
      </c>
      <c r="Q1255" t="str">
        <f t="shared" si="99"/>
        <v>February</v>
      </c>
    </row>
    <row r="1256" spans="1:17" x14ac:dyDescent="0.4">
      <c r="A1256" t="s">
        <v>1636</v>
      </c>
      <c r="B1256" s="1">
        <v>45334</v>
      </c>
      <c r="C1256" t="s">
        <v>190</v>
      </c>
      <c r="D1256" t="s">
        <v>14</v>
      </c>
      <c r="E1256" t="s">
        <v>1037</v>
      </c>
      <c r="F1256" t="s">
        <v>16</v>
      </c>
      <c r="G1256">
        <v>2</v>
      </c>
      <c r="H1256">
        <v>1786.63</v>
      </c>
      <c r="I1256">
        <v>20</v>
      </c>
      <c r="J1256">
        <v>1086.3800000000001</v>
      </c>
      <c r="K1256" t="s">
        <v>24</v>
      </c>
      <c r="L1256" t="s">
        <v>18</v>
      </c>
      <c r="M1256">
        <f t="shared" si="95"/>
        <v>2858.6080000000002</v>
      </c>
      <c r="N1256">
        <f t="shared" si="96"/>
        <v>685.84799999999996</v>
      </c>
      <c r="O1256" t="str">
        <f t="shared" si="97"/>
        <v>Monday</v>
      </c>
      <c r="P1256" t="b">
        <f t="shared" si="98"/>
        <v>0</v>
      </c>
      <c r="Q1256" t="str">
        <f t="shared" si="99"/>
        <v>February</v>
      </c>
    </row>
    <row r="1257" spans="1:17" x14ac:dyDescent="0.4">
      <c r="A1257" t="s">
        <v>1637</v>
      </c>
      <c r="B1257" s="1">
        <v>45714</v>
      </c>
      <c r="C1257" t="s">
        <v>42</v>
      </c>
      <c r="D1257" t="s">
        <v>21</v>
      </c>
      <c r="E1257" t="s">
        <v>488</v>
      </c>
      <c r="F1257" t="s">
        <v>16</v>
      </c>
      <c r="G1257">
        <v>5</v>
      </c>
      <c r="H1257">
        <v>1318.1</v>
      </c>
      <c r="I1257">
        <v>5</v>
      </c>
      <c r="J1257">
        <v>817.15</v>
      </c>
      <c r="K1257" t="s">
        <v>24</v>
      </c>
      <c r="L1257" t="s">
        <v>33</v>
      </c>
      <c r="M1257">
        <f t="shared" si="95"/>
        <v>6260.9749999999995</v>
      </c>
      <c r="N1257">
        <f t="shared" si="96"/>
        <v>2175.2249999999995</v>
      </c>
      <c r="O1257" t="str">
        <f t="shared" si="97"/>
        <v>Wednesday</v>
      </c>
      <c r="P1257" t="b">
        <f t="shared" si="98"/>
        <v>0</v>
      </c>
      <c r="Q1257" t="str">
        <f t="shared" si="99"/>
        <v>February</v>
      </c>
    </row>
    <row r="1258" spans="1:17" x14ac:dyDescent="0.4">
      <c r="A1258" t="s">
        <v>1638</v>
      </c>
      <c r="B1258" s="1">
        <v>45498</v>
      </c>
      <c r="C1258" t="s">
        <v>226</v>
      </c>
      <c r="D1258" t="s">
        <v>46</v>
      </c>
      <c r="E1258" t="s">
        <v>853</v>
      </c>
      <c r="F1258" t="s">
        <v>23</v>
      </c>
      <c r="G1258">
        <v>1</v>
      </c>
      <c r="H1258">
        <v>912.18</v>
      </c>
      <c r="I1258">
        <v>0</v>
      </c>
      <c r="J1258">
        <v>637.24</v>
      </c>
      <c r="K1258" t="s">
        <v>24</v>
      </c>
      <c r="L1258" t="s">
        <v>33</v>
      </c>
      <c r="M1258">
        <f t="shared" si="95"/>
        <v>912.18</v>
      </c>
      <c r="N1258">
        <f t="shared" si="96"/>
        <v>274.93999999999994</v>
      </c>
      <c r="O1258" t="str">
        <f t="shared" si="97"/>
        <v>Thursday</v>
      </c>
      <c r="P1258" t="b">
        <f t="shared" si="98"/>
        <v>0</v>
      </c>
      <c r="Q1258" t="str">
        <f t="shared" si="99"/>
        <v>July</v>
      </c>
    </row>
    <row r="1259" spans="1:17" x14ac:dyDescent="0.4">
      <c r="A1259" t="s">
        <v>1639</v>
      </c>
      <c r="B1259" s="1">
        <v>45511</v>
      </c>
      <c r="C1259" t="s">
        <v>302</v>
      </c>
      <c r="D1259" t="s">
        <v>14</v>
      </c>
      <c r="E1259" t="s">
        <v>916</v>
      </c>
      <c r="F1259" t="s">
        <v>16</v>
      </c>
      <c r="G1259">
        <v>3</v>
      </c>
      <c r="H1259">
        <v>2128.1799999999998</v>
      </c>
      <c r="I1259">
        <v>30</v>
      </c>
      <c r="J1259">
        <v>1284.0899999999999</v>
      </c>
      <c r="K1259" t="s">
        <v>17</v>
      </c>
      <c r="L1259" t="s">
        <v>37</v>
      </c>
      <c r="M1259">
        <f t="shared" si="95"/>
        <v>4469.177999999999</v>
      </c>
      <c r="N1259">
        <f t="shared" si="96"/>
        <v>616.90799999999945</v>
      </c>
      <c r="O1259" t="str">
        <f t="shared" si="97"/>
        <v>Wednesday</v>
      </c>
      <c r="P1259" t="b">
        <f t="shared" si="98"/>
        <v>0</v>
      </c>
      <c r="Q1259" t="str">
        <f t="shared" si="99"/>
        <v>August</v>
      </c>
    </row>
    <row r="1260" spans="1:17" x14ac:dyDescent="0.4">
      <c r="A1260" t="s">
        <v>1640</v>
      </c>
      <c r="B1260" s="1">
        <v>45513</v>
      </c>
      <c r="C1260" t="s">
        <v>193</v>
      </c>
      <c r="D1260" t="s">
        <v>31</v>
      </c>
      <c r="E1260" t="s">
        <v>658</v>
      </c>
      <c r="F1260" t="s">
        <v>16</v>
      </c>
      <c r="G1260">
        <v>2</v>
      </c>
      <c r="H1260">
        <v>1265.57</v>
      </c>
      <c r="I1260">
        <v>15</v>
      </c>
      <c r="J1260">
        <v>867.81</v>
      </c>
      <c r="K1260" t="s">
        <v>17</v>
      </c>
      <c r="L1260" t="s">
        <v>37</v>
      </c>
      <c r="M1260">
        <f t="shared" si="95"/>
        <v>2151.4690000000001</v>
      </c>
      <c r="N1260">
        <f t="shared" si="96"/>
        <v>415.84900000000016</v>
      </c>
      <c r="O1260" t="str">
        <f t="shared" si="97"/>
        <v>Friday</v>
      </c>
      <c r="P1260" t="b">
        <f t="shared" si="98"/>
        <v>0</v>
      </c>
      <c r="Q1260" t="str">
        <f t="shared" si="99"/>
        <v>August</v>
      </c>
    </row>
    <row r="1261" spans="1:17" x14ac:dyDescent="0.4">
      <c r="A1261" t="s">
        <v>1641</v>
      </c>
      <c r="B1261" s="1">
        <v>45390</v>
      </c>
      <c r="C1261" t="s">
        <v>375</v>
      </c>
      <c r="D1261" t="s">
        <v>14</v>
      </c>
      <c r="E1261" t="s">
        <v>512</v>
      </c>
      <c r="F1261" t="s">
        <v>23</v>
      </c>
      <c r="G1261">
        <v>1</v>
      </c>
      <c r="H1261">
        <v>1479.27</v>
      </c>
      <c r="I1261">
        <v>25</v>
      </c>
      <c r="J1261">
        <v>839.25</v>
      </c>
      <c r="K1261" t="s">
        <v>17</v>
      </c>
      <c r="L1261" t="s">
        <v>33</v>
      </c>
      <c r="M1261">
        <f t="shared" si="95"/>
        <v>1109.4524999999999</v>
      </c>
      <c r="N1261">
        <f t="shared" si="96"/>
        <v>270.20249999999987</v>
      </c>
      <c r="O1261" t="str">
        <f t="shared" si="97"/>
        <v>Monday</v>
      </c>
      <c r="P1261" t="b">
        <f t="shared" si="98"/>
        <v>0</v>
      </c>
      <c r="Q1261" t="str">
        <f t="shared" si="99"/>
        <v>April</v>
      </c>
    </row>
    <row r="1262" spans="1:17" x14ac:dyDescent="0.4">
      <c r="A1262" t="s">
        <v>1642</v>
      </c>
      <c r="B1262" s="1">
        <v>45482</v>
      </c>
      <c r="C1262" t="s">
        <v>125</v>
      </c>
      <c r="D1262" t="s">
        <v>21</v>
      </c>
      <c r="E1262" t="s">
        <v>115</v>
      </c>
      <c r="F1262" t="s">
        <v>16</v>
      </c>
      <c r="G1262">
        <v>2</v>
      </c>
      <c r="H1262">
        <v>2216</v>
      </c>
      <c r="I1262">
        <v>30</v>
      </c>
      <c r="J1262">
        <v>1451.63</v>
      </c>
      <c r="K1262" t="s">
        <v>17</v>
      </c>
      <c r="L1262" t="s">
        <v>37</v>
      </c>
      <c r="M1262">
        <f t="shared" si="95"/>
        <v>3102.3999999999996</v>
      </c>
      <c r="N1262">
        <f t="shared" si="96"/>
        <v>199.13999999999942</v>
      </c>
      <c r="O1262" t="str">
        <f t="shared" si="97"/>
        <v>Tuesday</v>
      </c>
      <c r="P1262" t="b">
        <f t="shared" si="98"/>
        <v>0</v>
      </c>
      <c r="Q1262" t="str">
        <f t="shared" si="99"/>
        <v>July</v>
      </c>
    </row>
    <row r="1263" spans="1:17" x14ac:dyDescent="0.4">
      <c r="A1263" t="s">
        <v>1643</v>
      </c>
      <c r="B1263" s="1">
        <v>45972</v>
      </c>
      <c r="C1263" t="s">
        <v>273</v>
      </c>
      <c r="D1263" t="s">
        <v>46</v>
      </c>
      <c r="E1263" t="s">
        <v>1273</v>
      </c>
      <c r="F1263" t="s">
        <v>16</v>
      </c>
      <c r="G1263">
        <v>5</v>
      </c>
      <c r="H1263">
        <v>2865.97</v>
      </c>
      <c r="I1263">
        <v>20</v>
      </c>
      <c r="J1263">
        <v>1502.62</v>
      </c>
      <c r="K1263" t="s">
        <v>17</v>
      </c>
      <c r="L1263" t="s">
        <v>18</v>
      </c>
      <c r="M1263">
        <f t="shared" si="95"/>
        <v>11463.88</v>
      </c>
      <c r="N1263">
        <f t="shared" si="96"/>
        <v>3950.7799999999997</v>
      </c>
      <c r="O1263" t="str">
        <f t="shared" si="97"/>
        <v>Tuesday</v>
      </c>
      <c r="P1263" t="b">
        <f t="shared" si="98"/>
        <v>0</v>
      </c>
      <c r="Q1263" t="str">
        <f t="shared" si="99"/>
        <v>November</v>
      </c>
    </row>
    <row r="1264" spans="1:17" x14ac:dyDescent="0.4">
      <c r="A1264" t="s">
        <v>1644</v>
      </c>
      <c r="B1264" s="1">
        <v>45938</v>
      </c>
      <c r="C1264" t="s">
        <v>139</v>
      </c>
      <c r="D1264" t="s">
        <v>21</v>
      </c>
      <c r="E1264" t="s">
        <v>43</v>
      </c>
      <c r="F1264" t="s">
        <v>16</v>
      </c>
      <c r="G1264">
        <v>1</v>
      </c>
      <c r="H1264">
        <v>2221.62</v>
      </c>
      <c r="I1264">
        <v>5</v>
      </c>
      <c r="J1264">
        <v>1129.97</v>
      </c>
      <c r="K1264" t="s">
        <v>24</v>
      </c>
      <c r="L1264" t="s">
        <v>37</v>
      </c>
      <c r="M1264">
        <f t="shared" si="95"/>
        <v>2110.5389999999998</v>
      </c>
      <c r="N1264">
        <f t="shared" si="96"/>
        <v>980.56899999999973</v>
      </c>
      <c r="O1264" t="str">
        <f t="shared" si="97"/>
        <v>Wednesday</v>
      </c>
      <c r="P1264" t="b">
        <f t="shared" si="98"/>
        <v>0</v>
      </c>
      <c r="Q1264" t="str">
        <f t="shared" si="99"/>
        <v>October</v>
      </c>
    </row>
    <row r="1265" spans="1:17" x14ac:dyDescent="0.4">
      <c r="A1265" t="s">
        <v>1645</v>
      </c>
      <c r="B1265" s="1">
        <v>45881</v>
      </c>
      <c r="C1265" t="s">
        <v>74</v>
      </c>
      <c r="D1265" t="s">
        <v>31</v>
      </c>
      <c r="E1265" t="s">
        <v>853</v>
      </c>
      <c r="F1265" t="s">
        <v>28</v>
      </c>
      <c r="G1265">
        <v>3</v>
      </c>
      <c r="H1265">
        <v>2153.71</v>
      </c>
      <c r="I1265">
        <v>0</v>
      </c>
      <c r="J1265">
        <v>893.68</v>
      </c>
      <c r="K1265" t="s">
        <v>17</v>
      </c>
      <c r="L1265" t="s">
        <v>33</v>
      </c>
      <c r="M1265">
        <f t="shared" si="95"/>
        <v>6461.13</v>
      </c>
      <c r="N1265">
        <f t="shared" si="96"/>
        <v>3780.09</v>
      </c>
      <c r="O1265" t="str">
        <f t="shared" si="97"/>
        <v>Tuesday</v>
      </c>
      <c r="P1265" t="b">
        <f t="shared" si="98"/>
        <v>0</v>
      </c>
      <c r="Q1265" t="str">
        <f t="shared" si="99"/>
        <v>August</v>
      </c>
    </row>
    <row r="1266" spans="1:17" x14ac:dyDescent="0.4">
      <c r="A1266" t="s">
        <v>1646</v>
      </c>
      <c r="B1266" s="1">
        <v>45504</v>
      </c>
      <c r="C1266" t="s">
        <v>463</v>
      </c>
      <c r="D1266" t="s">
        <v>14</v>
      </c>
      <c r="E1266" t="s">
        <v>208</v>
      </c>
      <c r="F1266" t="s">
        <v>16</v>
      </c>
      <c r="G1266">
        <v>2</v>
      </c>
      <c r="H1266">
        <v>1017.89</v>
      </c>
      <c r="I1266">
        <v>0</v>
      </c>
      <c r="J1266">
        <v>451.68</v>
      </c>
      <c r="K1266" t="s">
        <v>24</v>
      </c>
      <c r="L1266" t="s">
        <v>33</v>
      </c>
      <c r="M1266">
        <f t="shared" si="95"/>
        <v>2035.78</v>
      </c>
      <c r="N1266">
        <f t="shared" si="96"/>
        <v>1132.42</v>
      </c>
      <c r="O1266" t="str">
        <f t="shared" si="97"/>
        <v>Wednesday</v>
      </c>
      <c r="P1266" t="b">
        <f t="shared" si="98"/>
        <v>0</v>
      </c>
      <c r="Q1266" t="str">
        <f t="shared" si="99"/>
        <v>July</v>
      </c>
    </row>
    <row r="1267" spans="1:17" x14ac:dyDescent="0.4">
      <c r="A1267" t="s">
        <v>1647</v>
      </c>
      <c r="B1267" s="1">
        <v>45341</v>
      </c>
      <c r="C1267" t="s">
        <v>86</v>
      </c>
      <c r="D1267" t="s">
        <v>31</v>
      </c>
      <c r="E1267" t="s">
        <v>377</v>
      </c>
      <c r="F1267" t="s">
        <v>23</v>
      </c>
      <c r="G1267">
        <v>2</v>
      </c>
      <c r="H1267">
        <v>1237.6600000000001</v>
      </c>
      <c r="I1267">
        <v>10</v>
      </c>
      <c r="J1267">
        <v>581.27</v>
      </c>
      <c r="K1267" t="s">
        <v>17</v>
      </c>
      <c r="L1267" t="s">
        <v>18</v>
      </c>
      <c r="M1267">
        <f t="shared" si="95"/>
        <v>2227.788</v>
      </c>
      <c r="N1267">
        <f t="shared" si="96"/>
        <v>1065.248</v>
      </c>
      <c r="O1267" t="str">
        <f t="shared" si="97"/>
        <v>Monday</v>
      </c>
      <c r="P1267" t="b">
        <f t="shared" si="98"/>
        <v>0</v>
      </c>
      <c r="Q1267" t="str">
        <f t="shared" si="99"/>
        <v>February</v>
      </c>
    </row>
    <row r="1268" spans="1:17" x14ac:dyDescent="0.4">
      <c r="A1268" t="s">
        <v>1648</v>
      </c>
      <c r="B1268" s="1">
        <v>45914</v>
      </c>
      <c r="C1268" t="s">
        <v>185</v>
      </c>
      <c r="D1268" t="s">
        <v>31</v>
      </c>
      <c r="E1268" t="s">
        <v>891</v>
      </c>
      <c r="F1268" t="s">
        <v>28</v>
      </c>
      <c r="G1268">
        <v>2</v>
      </c>
      <c r="H1268">
        <v>1201.18</v>
      </c>
      <c r="I1268">
        <v>25</v>
      </c>
      <c r="J1268">
        <v>562.46</v>
      </c>
      <c r="K1268" t="s">
        <v>24</v>
      </c>
      <c r="L1268" t="s">
        <v>37</v>
      </c>
      <c r="M1268">
        <f t="shared" si="95"/>
        <v>1801.77</v>
      </c>
      <c r="N1268">
        <f t="shared" si="96"/>
        <v>676.84999999999991</v>
      </c>
      <c r="O1268" t="str">
        <f t="shared" si="97"/>
        <v>Sunday</v>
      </c>
      <c r="P1268" t="b">
        <f t="shared" si="98"/>
        <v>1</v>
      </c>
      <c r="Q1268" t="str">
        <f t="shared" si="99"/>
        <v>September</v>
      </c>
    </row>
    <row r="1269" spans="1:17" x14ac:dyDescent="0.4">
      <c r="A1269" t="s">
        <v>1649</v>
      </c>
      <c r="B1269" s="1">
        <v>45537</v>
      </c>
      <c r="C1269" t="s">
        <v>95</v>
      </c>
      <c r="D1269" t="s">
        <v>21</v>
      </c>
      <c r="E1269" t="s">
        <v>328</v>
      </c>
      <c r="F1269" t="s">
        <v>16</v>
      </c>
      <c r="G1269">
        <v>3</v>
      </c>
      <c r="H1269">
        <v>2627.99</v>
      </c>
      <c r="I1269">
        <v>20</v>
      </c>
      <c r="J1269">
        <v>1582.35</v>
      </c>
      <c r="K1269" t="s">
        <v>17</v>
      </c>
      <c r="L1269" t="s">
        <v>18</v>
      </c>
      <c r="M1269">
        <f t="shared" si="95"/>
        <v>6307.1759999999995</v>
      </c>
      <c r="N1269">
        <f t="shared" si="96"/>
        <v>1560.1260000000002</v>
      </c>
      <c r="O1269" t="str">
        <f t="shared" si="97"/>
        <v>Monday</v>
      </c>
      <c r="P1269" t="b">
        <f t="shared" si="98"/>
        <v>0</v>
      </c>
      <c r="Q1269" t="str">
        <f t="shared" si="99"/>
        <v>September</v>
      </c>
    </row>
    <row r="1270" spans="1:17" x14ac:dyDescent="0.4">
      <c r="A1270" t="s">
        <v>1650</v>
      </c>
      <c r="B1270" s="1">
        <v>45830</v>
      </c>
      <c r="C1270" t="s">
        <v>109</v>
      </c>
      <c r="D1270" t="s">
        <v>14</v>
      </c>
      <c r="E1270" t="s">
        <v>589</v>
      </c>
      <c r="F1270" t="s">
        <v>23</v>
      </c>
      <c r="G1270">
        <v>3</v>
      </c>
      <c r="H1270">
        <v>979.45</v>
      </c>
      <c r="I1270">
        <v>15</v>
      </c>
      <c r="J1270">
        <v>584.46</v>
      </c>
      <c r="K1270" t="s">
        <v>24</v>
      </c>
      <c r="L1270" t="s">
        <v>37</v>
      </c>
      <c r="M1270">
        <f t="shared" si="95"/>
        <v>2497.5975000000003</v>
      </c>
      <c r="N1270">
        <f t="shared" si="96"/>
        <v>744.2175000000002</v>
      </c>
      <c r="O1270" t="str">
        <f t="shared" si="97"/>
        <v>Sunday</v>
      </c>
      <c r="P1270" t="b">
        <f t="shared" si="98"/>
        <v>1</v>
      </c>
      <c r="Q1270" t="str">
        <f t="shared" si="99"/>
        <v>June</v>
      </c>
    </row>
    <row r="1271" spans="1:17" x14ac:dyDescent="0.4">
      <c r="A1271" t="s">
        <v>1651</v>
      </c>
      <c r="B1271" s="1">
        <v>45796</v>
      </c>
      <c r="C1271" t="s">
        <v>193</v>
      </c>
      <c r="D1271" t="s">
        <v>31</v>
      </c>
      <c r="E1271" t="s">
        <v>475</v>
      </c>
      <c r="F1271" t="s">
        <v>28</v>
      </c>
      <c r="G1271">
        <v>2</v>
      </c>
      <c r="H1271">
        <v>1901.5</v>
      </c>
      <c r="I1271">
        <v>20</v>
      </c>
      <c r="J1271">
        <v>894.58</v>
      </c>
      <c r="K1271" t="s">
        <v>24</v>
      </c>
      <c r="L1271" t="s">
        <v>37</v>
      </c>
      <c r="M1271">
        <f t="shared" si="95"/>
        <v>3042.4</v>
      </c>
      <c r="N1271">
        <f t="shared" si="96"/>
        <v>1253.24</v>
      </c>
      <c r="O1271" t="str">
        <f t="shared" si="97"/>
        <v>Monday</v>
      </c>
      <c r="P1271" t="b">
        <f t="shared" si="98"/>
        <v>0</v>
      </c>
      <c r="Q1271" t="str">
        <f t="shared" si="99"/>
        <v>May</v>
      </c>
    </row>
    <row r="1272" spans="1:17" x14ac:dyDescent="0.4">
      <c r="A1272" t="s">
        <v>1652</v>
      </c>
      <c r="B1272" s="1">
        <v>45607</v>
      </c>
      <c r="C1272" t="s">
        <v>119</v>
      </c>
      <c r="D1272" t="s">
        <v>46</v>
      </c>
      <c r="E1272" t="s">
        <v>180</v>
      </c>
      <c r="F1272" t="s">
        <v>28</v>
      </c>
      <c r="G1272">
        <v>2</v>
      </c>
      <c r="H1272">
        <v>719.43</v>
      </c>
      <c r="I1272">
        <v>25</v>
      </c>
      <c r="J1272">
        <v>464.12</v>
      </c>
      <c r="K1272" t="s">
        <v>24</v>
      </c>
      <c r="L1272" t="s">
        <v>18</v>
      </c>
      <c r="M1272">
        <f t="shared" si="95"/>
        <v>1079.145</v>
      </c>
      <c r="N1272">
        <f t="shared" si="96"/>
        <v>150.90499999999997</v>
      </c>
      <c r="O1272" t="str">
        <f t="shared" si="97"/>
        <v>Monday</v>
      </c>
      <c r="P1272" t="b">
        <f t="shared" si="98"/>
        <v>0</v>
      </c>
      <c r="Q1272" t="str">
        <f t="shared" si="99"/>
        <v>November</v>
      </c>
    </row>
    <row r="1273" spans="1:17" x14ac:dyDescent="0.4">
      <c r="A1273" t="s">
        <v>1653</v>
      </c>
      <c r="B1273" s="1">
        <v>45869</v>
      </c>
      <c r="C1273" t="s">
        <v>185</v>
      </c>
      <c r="D1273" t="s">
        <v>31</v>
      </c>
      <c r="E1273" t="s">
        <v>216</v>
      </c>
      <c r="F1273" t="s">
        <v>23</v>
      </c>
      <c r="G1273">
        <v>4</v>
      </c>
      <c r="H1273">
        <v>1772.82</v>
      </c>
      <c r="I1273">
        <v>20</v>
      </c>
      <c r="J1273">
        <v>1141.54</v>
      </c>
      <c r="K1273" t="s">
        <v>17</v>
      </c>
      <c r="L1273" t="s">
        <v>33</v>
      </c>
      <c r="M1273">
        <f t="shared" si="95"/>
        <v>5673.0240000000003</v>
      </c>
      <c r="N1273">
        <f t="shared" si="96"/>
        <v>1106.8640000000005</v>
      </c>
      <c r="O1273" t="str">
        <f t="shared" si="97"/>
        <v>Thursday</v>
      </c>
      <c r="P1273" t="b">
        <f t="shared" si="98"/>
        <v>0</v>
      </c>
      <c r="Q1273" t="str">
        <f t="shared" si="99"/>
        <v>July</v>
      </c>
    </row>
    <row r="1274" spans="1:17" x14ac:dyDescent="0.4">
      <c r="A1274" t="s">
        <v>1654</v>
      </c>
      <c r="B1274" s="1">
        <v>45866</v>
      </c>
      <c r="C1274" t="s">
        <v>146</v>
      </c>
      <c r="D1274" t="s">
        <v>14</v>
      </c>
      <c r="E1274" t="s">
        <v>96</v>
      </c>
      <c r="F1274" t="s">
        <v>16</v>
      </c>
      <c r="G1274">
        <v>1</v>
      </c>
      <c r="H1274">
        <v>2964.9</v>
      </c>
      <c r="I1274">
        <v>20</v>
      </c>
      <c r="J1274">
        <v>2033.51</v>
      </c>
      <c r="K1274" t="s">
        <v>17</v>
      </c>
      <c r="L1274" t="s">
        <v>33</v>
      </c>
      <c r="M1274">
        <f t="shared" si="95"/>
        <v>2371.92</v>
      </c>
      <c r="N1274">
        <f t="shared" si="96"/>
        <v>338.41000000000008</v>
      </c>
      <c r="O1274" t="str">
        <f t="shared" si="97"/>
        <v>Monday</v>
      </c>
      <c r="P1274" t="b">
        <f t="shared" si="98"/>
        <v>0</v>
      </c>
      <c r="Q1274" t="str">
        <f t="shared" si="99"/>
        <v>July</v>
      </c>
    </row>
    <row r="1275" spans="1:17" x14ac:dyDescent="0.4">
      <c r="A1275" t="s">
        <v>1655</v>
      </c>
      <c r="B1275" s="1">
        <v>45311</v>
      </c>
      <c r="C1275" t="s">
        <v>179</v>
      </c>
      <c r="D1275" t="s">
        <v>21</v>
      </c>
      <c r="E1275" t="s">
        <v>289</v>
      </c>
      <c r="F1275" t="s">
        <v>28</v>
      </c>
      <c r="G1275">
        <v>5</v>
      </c>
      <c r="H1275">
        <v>2711.7</v>
      </c>
      <c r="I1275">
        <v>30</v>
      </c>
      <c r="J1275">
        <v>1178.3599999999999</v>
      </c>
      <c r="K1275" t="s">
        <v>24</v>
      </c>
      <c r="L1275" t="s">
        <v>37</v>
      </c>
      <c r="M1275">
        <f t="shared" si="95"/>
        <v>9490.9499999999989</v>
      </c>
      <c r="N1275">
        <f t="shared" si="96"/>
        <v>3599.1499999999996</v>
      </c>
      <c r="O1275" t="str">
        <f t="shared" si="97"/>
        <v>Saturday</v>
      </c>
      <c r="P1275" t="b">
        <f t="shared" si="98"/>
        <v>1</v>
      </c>
      <c r="Q1275" t="str">
        <f t="shared" si="99"/>
        <v>January</v>
      </c>
    </row>
    <row r="1276" spans="1:17" x14ac:dyDescent="0.4">
      <c r="A1276" t="s">
        <v>1656</v>
      </c>
      <c r="B1276" s="1">
        <v>45675</v>
      </c>
      <c r="C1276" t="s">
        <v>171</v>
      </c>
      <c r="D1276" t="s">
        <v>31</v>
      </c>
      <c r="E1276" t="s">
        <v>686</v>
      </c>
      <c r="F1276" t="s">
        <v>16</v>
      </c>
      <c r="G1276">
        <v>2</v>
      </c>
      <c r="H1276">
        <v>1724.63</v>
      </c>
      <c r="I1276">
        <v>20</v>
      </c>
      <c r="J1276">
        <v>983.86</v>
      </c>
      <c r="K1276" t="s">
        <v>24</v>
      </c>
      <c r="L1276" t="s">
        <v>37</v>
      </c>
      <c r="M1276">
        <f t="shared" si="95"/>
        <v>2759.4080000000004</v>
      </c>
      <c r="N1276">
        <f t="shared" si="96"/>
        <v>791.68800000000033</v>
      </c>
      <c r="O1276" t="str">
        <f t="shared" si="97"/>
        <v>Saturday</v>
      </c>
      <c r="P1276" t="b">
        <f t="shared" si="98"/>
        <v>1</v>
      </c>
      <c r="Q1276" t="str">
        <f t="shared" si="99"/>
        <v>January</v>
      </c>
    </row>
    <row r="1277" spans="1:17" x14ac:dyDescent="0.4">
      <c r="A1277" t="s">
        <v>1657</v>
      </c>
      <c r="B1277" s="1">
        <v>45561</v>
      </c>
      <c r="C1277" t="s">
        <v>152</v>
      </c>
      <c r="D1277" t="s">
        <v>46</v>
      </c>
      <c r="E1277" t="s">
        <v>452</v>
      </c>
      <c r="F1277" t="s">
        <v>28</v>
      </c>
      <c r="G1277">
        <v>5</v>
      </c>
      <c r="H1277">
        <v>2219.1</v>
      </c>
      <c r="I1277">
        <v>20</v>
      </c>
      <c r="J1277">
        <v>1288.99</v>
      </c>
      <c r="K1277" t="s">
        <v>17</v>
      </c>
      <c r="L1277" t="s">
        <v>37</v>
      </c>
      <c r="M1277">
        <f t="shared" si="95"/>
        <v>8876.4</v>
      </c>
      <c r="N1277">
        <f t="shared" si="96"/>
        <v>2431.4499999999998</v>
      </c>
      <c r="O1277" t="str">
        <f t="shared" si="97"/>
        <v>Thursday</v>
      </c>
      <c r="P1277" t="b">
        <f t="shared" si="98"/>
        <v>0</v>
      </c>
      <c r="Q1277" t="str">
        <f t="shared" si="99"/>
        <v>September</v>
      </c>
    </row>
    <row r="1278" spans="1:17" x14ac:dyDescent="0.4">
      <c r="A1278" t="s">
        <v>1658</v>
      </c>
      <c r="B1278" s="1">
        <v>45453</v>
      </c>
      <c r="C1278" t="s">
        <v>190</v>
      </c>
      <c r="D1278" t="s">
        <v>31</v>
      </c>
      <c r="E1278" t="s">
        <v>377</v>
      </c>
      <c r="F1278" t="s">
        <v>16</v>
      </c>
      <c r="G1278">
        <v>5</v>
      </c>
      <c r="H1278">
        <v>1028.72</v>
      </c>
      <c r="I1278">
        <v>30</v>
      </c>
      <c r="J1278">
        <v>443.28</v>
      </c>
      <c r="K1278" t="s">
        <v>17</v>
      </c>
      <c r="L1278" t="s">
        <v>18</v>
      </c>
      <c r="M1278">
        <f t="shared" si="95"/>
        <v>3600.52</v>
      </c>
      <c r="N1278">
        <f t="shared" si="96"/>
        <v>1384.1200000000003</v>
      </c>
      <c r="O1278" t="str">
        <f t="shared" si="97"/>
        <v>Monday</v>
      </c>
      <c r="P1278" t="b">
        <f t="shared" si="98"/>
        <v>0</v>
      </c>
      <c r="Q1278" t="str">
        <f t="shared" si="99"/>
        <v>June</v>
      </c>
    </row>
    <row r="1279" spans="1:17" x14ac:dyDescent="0.4">
      <c r="A1279" t="s">
        <v>1659</v>
      </c>
      <c r="B1279" s="1">
        <v>45992</v>
      </c>
      <c r="C1279" t="s">
        <v>109</v>
      </c>
      <c r="D1279" t="s">
        <v>31</v>
      </c>
      <c r="E1279" t="s">
        <v>748</v>
      </c>
      <c r="F1279" t="s">
        <v>16</v>
      </c>
      <c r="G1279">
        <v>1</v>
      </c>
      <c r="H1279">
        <v>1378.66</v>
      </c>
      <c r="I1279">
        <v>15</v>
      </c>
      <c r="J1279">
        <v>924.16</v>
      </c>
      <c r="K1279" t="s">
        <v>24</v>
      </c>
      <c r="L1279" t="s">
        <v>18</v>
      </c>
      <c r="M1279">
        <f t="shared" si="95"/>
        <v>1171.8610000000001</v>
      </c>
      <c r="N1279">
        <f t="shared" si="96"/>
        <v>247.70100000000014</v>
      </c>
      <c r="O1279" t="str">
        <f t="shared" si="97"/>
        <v>Monday</v>
      </c>
      <c r="P1279" t="b">
        <f t="shared" si="98"/>
        <v>0</v>
      </c>
      <c r="Q1279" t="str">
        <f t="shared" si="99"/>
        <v>December</v>
      </c>
    </row>
    <row r="1280" spans="1:17" x14ac:dyDescent="0.4">
      <c r="A1280" t="s">
        <v>1660</v>
      </c>
      <c r="B1280" s="1">
        <v>45339</v>
      </c>
      <c r="C1280" t="s">
        <v>302</v>
      </c>
      <c r="D1280" t="s">
        <v>21</v>
      </c>
      <c r="E1280" t="s">
        <v>841</v>
      </c>
      <c r="F1280" t="s">
        <v>16</v>
      </c>
      <c r="G1280">
        <v>4</v>
      </c>
      <c r="H1280">
        <v>1812.48</v>
      </c>
      <c r="I1280">
        <v>25</v>
      </c>
      <c r="J1280">
        <v>750.42</v>
      </c>
      <c r="K1280" t="s">
        <v>24</v>
      </c>
      <c r="L1280" t="s">
        <v>37</v>
      </c>
      <c r="M1280">
        <f t="shared" si="95"/>
        <v>5437.4400000000005</v>
      </c>
      <c r="N1280">
        <f t="shared" si="96"/>
        <v>2435.7600000000007</v>
      </c>
      <c r="O1280" t="str">
        <f t="shared" si="97"/>
        <v>Saturday</v>
      </c>
      <c r="P1280" t="b">
        <f t="shared" si="98"/>
        <v>1</v>
      </c>
      <c r="Q1280" t="str">
        <f t="shared" si="99"/>
        <v>February</v>
      </c>
    </row>
    <row r="1281" spans="1:17" x14ac:dyDescent="0.4">
      <c r="A1281" t="s">
        <v>1661</v>
      </c>
      <c r="B1281" s="1">
        <v>45945</v>
      </c>
      <c r="C1281" t="s">
        <v>144</v>
      </c>
      <c r="D1281" t="s">
        <v>14</v>
      </c>
      <c r="E1281" t="s">
        <v>180</v>
      </c>
      <c r="F1281" t="s">
        <v>23</v>
      </c>
      <c r="G1281">
        <v>5</v>
      </c>
      <c r="H1281">
        <v>627.61</v>
      </c>
      <c r="I1281">
        <v>5</v>
      </c>
      <c r="J1281">
        <v>355.79</v>
      </c>
      <c r="K1281" t="s">
        <v>24</v>
      </c>
      <c r="L1281" t="s">
        <v>18</v>
      </c>
      <c r="M1281">
        <f t="shared" si="95"/>
        <v>2981.1475</v>
      </c>
      <c r="N1281">
        <f t="shared" si="96"/>
        <v>1202.1975</v>
      </c>
      <c r="O1281" t="str">
        <f t="shared" si="97"/>
        <v>Wednesday</v>
      </c>
      <c r="P1281" t="b">
        <f t="shared" si="98"/>
        <v>0</v>
      </c>
      <c r="Q1281" t="str">
        <f t="shared" si="99"/>
        <v>October</v>
      </c>
    </row>
    <row r="1282" spans="1:17" x14ac:dyDescent="0.4">
      <c r="A1282" t="s">
        <v>1662</v>
      </c>
      <c r="B1282" s="1">
        <v>45544</v>
      </c>
      <c r="C1282" t="s">
        <v>62</v>
      </c>
      <c r="D1282" t="s">
        <v>14</v>
      </c>
      <c r="E1282" t="s">
        <v>1264</v>
      </c>
      <c r="F1282" t="s">
        <v>28</v>
      </c>
      <c r="G1282">
        <v>3</v>
      </c>
      <c r="H1282">
        <v>1982.93</v>
      </c>
      <c r="I1282">
        <v>5</v>
      </c>
      <c r="J1282">
        <v>1124.26</v>
      </c>
      <c r="K1282" t="s">
        <v>24</v>
      </c>
      <c r="L1282" t="s">
        <v>33</v>
      </c>
      <c r="M1282">
        <f t="shared" si="95"/>
        <v>5651.3504999999996</v>
      </c>
      <c r="N1282">
        <f t="shared" si="96"/>
        <v>2278.5704999999998</v>
      </c>
      <c r="O1282" t="str">
        <f t="shared" si="97"/>
        <v>Monday</v>
      </c>
      <c r="P1282" t="b">
        <f t="shared" si="98"/>
        <v>0</v>
      </c>
      <c r="Q1282" t="str">
        <f t="shared" si="99"/>
        <v>September</v>
      </c>
    </row>
    <row r="1283" spans="1:17" x14ac:dyDescent="0.4">
      <c r="A1283" t="s">
        <v>1663</v>
      </c>
      <c r="B1283" s="1">
        <v>45712</v>
      </c>
      <c r="C1283" t="s">
        <v>457</v>
      </c>
      <c r="D1283" t="s">
        <v>14</v>
      </c>
      <c r="E1283" t="s">
        <v>587</v>
      </c>
      <c r="F1283" t="s">
        <v>16</v>
      </c>
      <c r="G1283">
        <v>5</v>
      </c>
      <c r="H1283">
        <v>2822.08</v>
      </c>
      <c r="I1283">
        <v>15</v>
      </c>
      <c r="J1283">
        <v>1500.65</v>
      </c>
      <c r="K1283" t="s">
        <v>24</v>
      </c>
      <c r="L1283" t="s">
        <v>33</v>
      </c>
      <c r="M1283">
        <f t="shared" ref="M1283:M1346" si="100">G1283 * H1283 * (1 - I1283/100)</f>
        <v>11993.84</v>
      </c>
      <c r="N1283">
        <f t="shared" ref="N1283:N1346" si="101">M1283 - (J1283 * G1283)</f>
        <v>4490.59</v>
      </c>
      <c r="O1283" t="str">
        <f t="shared" ref="O1283:O1346" si="102">TEXT(B1283,"dddd")</f>
        <v>Monday</v>
      </c>
      <c r="P1283" t="b">
        <f t="shared" ref="P1283:P1346" si="103">OR(TEXT(B1283,"ddd")="Sat", TEXT(B1283,"ddd")="Sun")</f>
        <v>0</v>
      </c>
      <c r="Q1283" t="str">
        <f t="shared" ref="Q1283:Q1346" si="104">TEXT(B1283,"mmmm")</f>
        <v>February</v>
      </c>
    </row>
    <row r="1284" spans="1:17" x14ac:dyDescent="0.4">
      <c r="A1284" t="s">
        <v>1664</v>
      </c>
      <c r="B1284" s="1">
        <v>45412</v>
      </c>
      <c r="C1284" t="s">
        <v>179</v>
      </c>
      <c r="D1284" t="s">
        <v>21</v>
      </c>
      <c r="E1284" t="s">
        <v>317</v>
      </c>
      <c r="F1284" t="s">
        <v>28</v>
      </c>
      <c r="G1284">
        <v>5</v>
      </c>
      <c r="H1284">
        <v>2125.84</v>
      </c>
      <c r="I1284">
        <v>25</v>
      </c>
      <c r="J1284">
        <v>1349.09</v>
      </c>
      <c r="K1284" t="s">
        <v>24</v>
      </c>
      <c r="L1284" t="s">
        <v>18</v>
      </c>
      <c r="M1284">
        <f t="shared" si="100"/>
        <v>7971.9000000000005</v>
      </c>
      <c r="N1284">
        <f t="shared" si="101"/>
        <v>1226.4500000000007</v>
      </c>
      <c r="O1284" t="str">
        <f t="shared" si="102"/>
        <v>Tuesday</v>
      </c>
      <c r="P1284" t="b">
        <f t="shared" si="103"/>
        <v>0</v>
      </c>
      <c r="Q1284" t="str">
        <f t="shared" si="104"/>
        <v>April</v>
      </c>
    </row>
    <row r="1285" spans="1:17" x14ac:dyDescent="0.4">
      <c r="A1285" t="s">
        <v>1665</v>
      </c>
      <c r="B1285" s="1">
        <v>45576</v>
      </c>
      <c r="C1285" t="s">
        <v>193</v>
      </c>
      <c r="D1285" t="s">
        <v>21</v>
      </c>
      <c r="E1285" t="s">
        <v>66</v>
      </c>
      <c r="F1285" t="s">
        <v>28</v>
      </c>
      <c r="G1285">
        <v>5</v>
      </c>
      <c r="H1285">
        <v>1972.04</v>
      </c>
      <c r="I1285">
        <v>15</v>
      </c>
      <c r="J1285">
        <v>939.65</v>
      </c>
      <c r="K1285" t="s">
        <v>24</v>
      </c>
      <c r="L1285" t="s">
        <v>37</v>
      </c>
      <c r="M1285">
        <f t="shared" si="100"/>
        <v>8381.17</v>
      </c>
      <c r="N1285">
        <f t="shared" si="101"/>
        <v>3682.92</v>
      </c>
      <c r="O1285" t="str">
        <f t="shared" si="102"/>
        <v>Friday</v>
      </c>
      <c r="P1285" t="b">
        <f t="shared" si="103"/>
        <v>0</v>
      </c>
      <c r="Q1285" t="str">
        <f t="shared" si="104"/>
        <v>October</v>
      </c>
    </row>
    <row r="1286" spans="1:17" x14ac:dyDescent="0.4">
      <c r="A1286" t="s">
        <v>1666</v>
      </c>
      <c r="B1286" s="1">
        <v>45977</v>
      </c>
      <c r="C1286" t="s">
        <v>95</v>
      </c>
      <c r="D1286" t="s">
        <v>21</v>
      </c>
      <c r="E1286" t="s">
        <v>132</v>
      </c>
      <c r="F1286" t="s">
        <v>23</v>
      </c>
      <c r="G1286">
        <v>2</v>
      </c>
      <c r="H1286">
        <v>2563.13</v>
      </c>
      <c r="I1286">
        <v>10</v>
      </c>
      <c r="J1286">
        <v>1129.1600000000001</v>
      </c>
      <c r="K1286" t="s">
        <v>17</v>
      </c>
      <c r="L1286" t="s">
        <v>33</v>
      </c>
      <c r="M1286">
        <f t="shared" si="100"/>
        <v>4613.634</v>
      </c>
      <c r="N1286">
        <f t="shared" si="101"/>
        <v>2355.3139999999999</v>
      </c>
      <c r="O1286" t="str">
        <f t="shared" si="102"/>
        <v>Sunday</v>
      </c>
      <c r="P1286" t="b">
        <f t="shared" si="103"/>
        <v>1</v>
      </c>
      <c r="Q1286" t="str">
        <f t="shared" si="104"/>
        <v>November</v>
      </c>
    </row>
    <row r="1287" spans="1:17" x14ac:dyDescent="0.4">
      <c r="A1287" t="s">
        <v>1667</v>
      </c>
      <c r="B1287" s="1">
        <v>45313</v>
      </c>
      <c r="C1287" t="s">
        <v>54</v>
      </c>
      <c r="D1287" t="s">
        <v>31</v>
      </c>
      <c r="E1287" t="s">
        <v>938</v>
      </c>
      <c r="F1287" t="s">
        <v>28</v>
      </c>
      <c r="G1287">
        <v>5</v>
      </c>
      <c r="H1287">
        <v>908.68</v>
      </c>
      <c r="I1287">
        <v>0</v>
      </c>
      <c r="J1287">
        <v>624.4</v>
      </c>
      <c r="K1287" t="s">
        <v>24</v>
      </c>
      <c r="L1287" t="s">
        <v>18</v>
      </c>
      <c r="M1287">
        <f t="shared" si="100"/>
        <v>4543.3999999999996</v>
      </c>
      <c r="N1287">
        <f t="shared" si="101"/>
        <v>1421.3999999999996</v>
      </c>
      <c r="O1287" t="str">
        <f t="shared" si="102"/>
        <v>Monday</v>
      </c>
      <c r="P1287" t="b">
        <f t="shared" si="103"/>
        <v>0</v>
      </c>
      <c r="Q1287" t="str">
        <f t="shared" si="104"/>
        <v>January</v>
      </c>
    </row>
    <row r="1288" spans="1:17" x14ac:dyDescent="0.4">
      <c r="A1288" t="s">
        <v>1668</v>
      </c>
      <c r="B1288" s="1">
        <v>45416</v>
      </c>
      <c r="C1288" t="s">
        <v>122</v>
      </c>
      <c r="D1288" t="s">
        <v>31</v>
      </c>
      <c r="E1288" t="s">
        <v>579</v>
      </c>
      <c r="F1288" t="s">
        <v>16</v>
      </c>
      <c r="G1288">
        <v>5</v>
      </c>
      <c r="H1288">
        <v>2294.71</v>
      </c>
      <c r="I1288">
        <v>30</v>
      </c>
      <c r="J1288">
        <v>1522.63</v>
      </c>
      <c r="K1288" t="s">
        <v>24</v>
      </c>
      <c r="L1288" t="s">
        <v>33</v>
      </c>
      <c r="M1288">
        <f t="shared" si="100"/>
        <v>8031.4849999999988</v>
      </c>
      <c r="N1288">
        <f t="shared" si="101"/>
        <v>418.33499999999822</v>
      </c>
      <c r="O1288" t="str">
        <f t="shared" si="102"/>
        <v>Saturday</v>
      </c>
      <c r="P1288" t="b">
        <f t="shared" si="103"/>
        <v>1</v>
      </c>
      <c r="Q1288" t="str">
        <f t="shared" si="104"/>
        <v>May</v>
      </c>
    </row>
    <row r="1289" spans="1:17" x14ac:dyDescent="0.4">
      <c r="A1289" t="s">
        <v>1669</v>
      </c>
      <c r="B1289" s="1">
        <v>45828</v>
      </c>
      <c r="C1289" t="s">
        <v>119</v>
      </c>
      <c r="D1289" t="s">
        <v>46</v>
      </c>
      <c r="E1289" t="s">
        <v>188</v>
      </c>
      <c r="F1289" t="s">
        <v>28</v>
      </c>
      <c r="G1289">
        <v>5</v>
      </c>
      <c r="H1289">
        <v>1593.07</v>
      </c>
      <c r="I1289">
        <v>30</v>
      </c>
      <c r="J1289">
        <v>923.41</v>
      </c>
      <c r="K1289" t="s">
        <v>24</v>
      </c>
      <c r="L1289" t="s">
        <v>33</v>
      </c>
      <c r="M1289">
        <f t="shared" si="100"/>
        <v>5575.744999999999</v>
      </c>
      <c r="N1289">
        <f t="shared" si="101"/>
        <v>958.6949999999988</v>
      </c>
      <c r="O1289" t="str">
        <f t="shared" si="102"/>
        <v>Friday</v>
      </c>
      <c r="P1289" t="b">
        <f t="shared" si="103"/>
        <v>0</v>
      </c>
      <c r="Q1289" t="str">
        <f t="shared" si="104"/>
        <v>June</v>
      </c>
    </row>
    <row r="1290" spans="1:17" x14ac:dyDescent="0.4">
      <c r="A1290" t="s">
        <v>1670</v>
      </c>
      <c r="B1290" s="1">
        <v>45979</v>
      </c>
      <c r="C1290" t="s">
        <v>100</v>
      </c>
      <c r="D1290" t="s">
        <v>14</v>
      </c>
      <c r="E1290" t="s">
        <v>260</v>
      </c>
      <c r="F1290" t="s">
        <v>28</v>
      </c>
      <c r="G1290">
        <v>3</v>
      </c>
      <c r="H1290">
        <v>650.32000000000005</v>
      </c>
      <c r="I1290">
        <v>30</v>
      </c>
      <c r="J1290">
        <v>320.93</v>
      </c>
      <c r="K1290" t="s">
        <v>24</v>
      </c>
      <c r="L1290" t="s">
        <v>37</v>
      </c>
      <c r="M1290">
        <f t="shared" si="100"/>
        <v>1365.672</v>
      </c>
      <c r="N1290">
        <f t="shared" si="101"/>
        <v>402.88200000000006</v>
      </c>
      <c r="O1290" t="str">
        <f t="shared" si="102"/>
        <v>Tuesday</v>
      </c>
      <c r="P1290" t="b">
        <f t="shared" si="103"/>
        <v>0</v>
      </c>
      <c r="Q1290" t="str">
        <f t="shared" si="104"/>
        <v>November</v>
      </c>
    </row>
    <row r="1291" spans="1:17" x14ac:dyDescent="0.4">
      <c r="A1291" t="s">
        <v>1671</v>
      </c>
      <c r="B1291" s="1">
        <v>45659</v>
      </c>
      <c r="C1291" t="s">
        <v>26</v>
      </c>
      <c r="D1291" t="s">
        <v>14</v>
      </c>
      <c r="E1291" t="s">
        <v>780</v>
      </c>
      <c r="F1291" t="s">
        <v>28</v>
      </c>
      <c r="G1291">
        <v>2</v>
      </c>
      <c r="H1291">
        <v>631.5</v>
      </c>
      <c r="I1291">
        <v>10</v>
      </c>
      <c r="J1291">
        <v>252.8</v>
      </c>
      <c r="K1291" t="s">
        <v>17</v>
      </c>
      <c r="L1291" t="s">
        <v>37</v>
      </c>
      <c r="M1291">
        <f t="shared" si="100"/>
        <v>1136.7</v>
      </c>
      <c r="N1291">
        <f t="shared" si="101"/>
        <v>631.1</v>
      </c>
      <c r="O1291" t="str">
        <f t="shared" si="102"/>
        <v>Thursday</v>
      </c>
      <c r="P1291" t="b">
        <f t="shared" si="103"/>
        <v>0</v>
      </c>
      <c r="Q1291" t="str">
        <f t="shared" si="104"/>
        <v>January</v>
      </c>
    </row>
    <row r="1292" spans="1:17" x14ac:dyDescent="0.4">
      <c r="A1292" t="s">
        <v>1672</v>
      </c>
      <c r="B1292" s="1">
        <v>45972</v>
      </c>
      <c r="C1292" t="s">
        <v>30</v>
      </c>
      <c r="D1292" t="s">
        <v>31</v>
      </c>
      <c r="E1292" t="s">
        <v>452</v>
      </c>
      <c r="F1292" t="s">
        <v>23</v>
      </c>
      <c r="G1292">
        <v>2</v>
      </c>
      <c r="H1292">
        <v>1235.1099999999999</v>
      </c>
      <c r="I1292">
        <v>5</v>
      </c>
      <c r="J1292">
        <v>613.08000000000004</v>
      </c>
      <c r="K1292" t="s">
        <v>17</v>
      </c>
      <c r="L1292" t="s">
        <v>37</v>
      </c>
      <c r="M1292">
        <f t="shared" si="100"/>
        <v>2346.7089999999998</v>
      </c>
      <c r="N1292">
        <f t="shared" si="101"/>
        <v>1120.5489999999998</v>
      </c>
      <c r="O1292" t="str">
        <f t="shared" si="102"/>
        <v>Tuesday</v>
      </c>
      <c r="P1292" t="b">
        <f t="shared" si="103"/>
        <v>0</v>
      </c>
      <c r="Q1292" t="str">
        <f t="shared" si="104"/>
        <v>November</v>
      </c>
    </row>
    <row r="1293" spans="1:17" x14ac:dyDescent="0.4">
      <c r="A1293" t="s">
        <v>1673</v>
      </c>
      <c r="B1293" s="1">
        <v>45482</v>
      </c>
      <c r="C1293" t="s">
        <v>159</v>
      </c>
      <c r="D1293" t="s">
        <v>46</v>
      </c>
      <c r="E1293" t="s">
        <v>625</v>
      </c>
      <c r="F1293" t="s">
        <v>28</v>
      </c>
      <c r="G1293">
        <v>5</v>
      </c>
      <c r="H1293">
        <v>1838.8</v>
      </c>
      <c r="I1293">
        <v>0</v>
      </c>
      <c r="J1293">
        <v>1076.71</v>
      </c>
      <c r="K1293" t="s">
        <v>24</v>
      </c>
      <c r="L1293" t="s">
        <v>18</v>
      </c>
      <c r="M1293">
        <f t="shared" si="100"/>
        <v>9194</v>
      </c>
      <c r="N1293">
        <f t="shared" si="101"/>
        <v>3810.45</v>
      </c>
      <c r="O1293" t="str">
        <f t="shared" si="102"/>
        <v>Tuesday</v>
      </c>
      <c r="P1293" t="b">
        <f t="shared" si="103"/>
        <v>0</v>
      </c>
      <c r="Q1293" t="str">
        <f t="shared" si="104"/>
        <v>July</v>
      </c>
    </row>
    <row r="1294" spans="1:17" x14ac:dyDescent="0.4">
      <c r="A1294" t="s">
        <v>1674</v>
      </c>
      <c r="B1294" s="1">
        <v>45417</v>
      </c>
      <c r="C1294" t="s">
        <v>149</v>
      </c>
      <c r="D1294" t="s">
        <v>46</v>
      </c>
      <c r="E1294" t="s">
        <v>955</v>
      </c>
      <c r="F1294" t="s">
        <v>16</v>
      </c>
      <c r="G1294">
        <v>5</v>
      </c>
      <c r="H1294">
        <v>2206.29</v>
      </c>
      <c r="I1294">
        <v>0</v>
      </c>
      <c r="J1294">
        <v>976.49</v>
      </c>
      <c r="K1294" t="s">
        <v>24</v>
      </c>
      <c r="L1294" t="s">
        <v>33</v>
      </c>
      <c r="M1294">
        <f t="shared" si="100"/>
        <v>11031.45</v>
      </c>
      <c r="N1294">
        <f t="shared" si="101"/>
        <v>6149.0000000000009</v>
      </c>
      <c r="O1294" t="str">
        <f t="shared" si="102"/>
        <v>Sunday</v>
      </c>
      <c r="P1294" t="b">
        <f t="shared" si="103"/>
        <v>1</v>
      </c>
      <c r="Q1294" t="str">
        <f t="shared" si="104"/>
        <v>May</v>
      </c>
    </row>
    <row r="1295" spans="1:17" x14ac:dyDescent="0.4">
      <c r="A1295" t="s">
        <v>1675</v>
      </c>
      <c r="B1295" s="1">
        <v>45814</v>
      </c>
      <c r="C1295" t="s">
        <v>89</v>
      </c>
      <c r="D1295" t="s">
        <v>14</v>
      </c>
      <c r="E1295" t="s">
        <v>1364</v>
      </c>
      <c r="F1295" t="s">
        <v>23</v>
      </c>
      <c r="G1295">
        <v>4</v>
      </c>
      <c r="H1295">
        <v>2776.26</v>
      </c>
      <c r="I1295">
        <v>20</v>
      </c>
      <c r="J1295">
        <v>1368.15</v>
      </c>
      <c r="K1295" t="s">
        <v>24</v>
      </c>
      <c r="L1295" t="s">
        <v>33</v>
      </c>
      <c r="M1295">
        <f t="shared" si="100"/>
        <v>8884.0320000000011</v>
      </c>
      <c r="N1295">
        <f t="shared" si="101"/>
        <v>3411.4320000000007</v>
      </c>
      <c r="O1295" t="str">
        <f t="shared" si="102"/>
        <v>Friday</v>
      </c>
      <c r="P1295" t="b">
        <f t="shared" si="103"/>
        <v>0</v>
      </c>
      <c r="Q1295" t="str">
        <f t="shared" si="104"/>
        <v>June</v>
      </c>
    </row>
    <row r="1296" spans="1:17" x14ac:dyDescent="0.4">
      <c r="A1296" t="s">
        <v>1676</v>
      </c>
      <c r="B1296" s="1">
        <v>45405</v>
      </c>
      <c r="C1296" t="s">
        <v>125</v>
      </c>
      <c r="D1296" t="s">
        <v>21</v>
      </c>
      <c r="E1296" t="s">
        <v>1397</v>
      </c>
      <c r="F1296" t="s">
        <v>28</v>
      </c>
      <c r="G1296">
        <v>5</v>
      </c>
      <c r="H1296">
        <v>642.26</v>
      </c>
      <c r="I1296">
        <v>25</v>
      </c>
      <c r="J1296">
        <v>447.61</v>
      </c>
      <c r="K1296" t="s">
        <v>24</v>
      </c>
      <c r="L1296" t="s">
        <v>18</v>
      </c>
      <c r="M1296">
        <f t="shared" si="100"/>
        <v>2408.4750000000004</v>
      </c>
      <c r="N1296">
        <f t="shared" si="101"/>
        <v>170.42500000000018</v>
      </c>
      <c r="O1296" t="str">
        <f t="shared" si="102"/>
        <v>Tuesday</v>
      </c>
      <c r="P1296" t="b">
        <f t="shared" si="103"/>
        <v>0</v>
      </c>
      <c r="Q1296" t="str">
        <f t="shared" si="104"/>
        <v>April</v>
      </c>
    </row>
    <row r="1297" spans="1:17" x14ac:dyDescent="0.4">
      <c r="A1297" t="s">
        <v>1677</v>
      </c>
      <c r="B1297" s="1">
        <v>45768</v>
      </c>
      <c r="C1297" t="s">
        <v>114</v>
      </c>
      <c r="D1297" t="s">
        <v>14</v>
      </c>
      <c r="E1297" t="s">
        <v>379</v>
      </c>
      <c r="F1297" t="s">
        <v>16</v>
      </c>
      <c r="G1297">
        <v>2</v>
      </c>
      <c r="H1297">
        <v>1791.9</v>
      </c>
      <c r="I1297">
        <v>0</v>
      </c>
      <c r="J1297">
        <v>836.08</v>
      </c>
      <c r="K1297" t="s">
        <v>17</v>
      </c>
      <c r="L1297" t="s">
        <v>37</v>
      </c>
      <c r="M1297">
        <f t="shared" si="100"/>
        <v>3583.8</v>
      </c>
      <c r="N1297">
        <f t="shared" si="101"/>
        <v>1911.64</v>
      </c>
      <c r="O1297" t="str">
        <f t="shared" si="102"/>
        <v>Monday</v>
      </c>
      <c r="P1297" t="b">
        <f t="shared" si="103"/>
        <v>0</v>
      </c>
      <c r="Q1297" t="str">
        <f t="shared" si="104"/>
        <v>April</v>
      </c>
    </row>
    <row r="1298" spans="1:17" x14ac:dyDescent="0.4">
      <c r="A1298" t="s">
        <v>1678</v>
      </c>
      <c r="B1298" s="1">
        <v>45424</v>
      </c>
      <c r="C1298" t="s">
        <v>269</v>
      </c>
      <c r="D1298" t="s">
        <v>14</v>
      </c>
      <c r="E1298" t="s">
        <v>629</v>
      </c>
      <c r="F1298" t="s">
        <v>28</v>
      </c>
      <c r="G1298">
        <v>5</v>
      </c>
      <c r="H1298">
        <v>595.80999999999995</v>
      </c>
      <c r="I1298">
        <v>15</v>
      </c>
      <c r="J1298">
        <v>354.83</v>
      </c>
      <c r="K1298" t="s">
        <v>24</v>
      </c>
      <c r="L1298" t="s">
        <v>37</v>
      </c>
      <c r="M1298">
        <f t="shared" si="100"/>
        <v>2532.1924999999997</v>
      </c>
      <c r="N1298">
        <f t="shared" si="101"/>
        <v>758.04249999999979</v>
      </c>
      <c r="O1298" t="str">
        <f t="shared" si="102"/>
        <v>Sunday</v>
      </c>
      <c r="P1298" t="b">
        <f t="shared" si="103"/>
        <v>1</v>
      </c>
      <c r="Q1298" t="str">
        <f t="shared" si="104"/>
        <v>May</v>
      </c>
    </row>
    <row r="1299" spans="1:17" x14ac:dyDescent="0.4">
      <c r="A1299" t="s">
        <v>1679</v>
      </c>
      <c r="B1299" s="1">
        <v>45343</v>
      </c>
      <c r="C1299" t="s">
        <v>193</v>
      </c>
      <c r="D1299" t="s">
        <v>21</v>
      </c>
      <c r="E1299" t="s">
        <v>673</v>
      </c>
      <c r="F1299" t="s">
        <v>23</v>
      </c>
      <c r="G1299">
        <v>4</v>
      </c>
      <c r="H1299">
        <v>2208.3200000000002</v>
      </c>
      <c r="I1299">
        <v>30</v>
      </c>
      <c r="J1299">
        <v>1179.29</v>
      </c>
      <c r="K1299" t="s">
        <v>17</v>
      </c>
      <c r="L1299" t="s">
        <v>18</v>
      </c>
      <c r="M1299">
        <f t="shared" si="100"/>
        <v>6183.2960000000003</v>
      </c>
      <c r="N1299">
        <f t="shared" si="101"/>
        <v>1466.1360000000004</v>
      </c>
      <c r="O1299" t="str">
        <f t="shared" si="102"/>
        <v>Wednesday</v>
      </c>
      <c r="P1299" t="b">
        <f t="shared" si="103"/>
        <v>0</v>
      </c>
      <c r="Q1299" t="str">
        <f t="shared" si="104"/>
        <v>February</v>
      </c>
    </row>
    <row r="1300" spans="1:17" x14ac:dyDescent="0.4">
      <c r="A1300" t="s">
        <v>1680</v>
      </c>
      <c r="B1300" s="1">
        <v>45410</v>
      </c>
      <c r="C1300" t="s">
        <v>89</v>
      </c>
      <c r="D1300" t="s">
        <v>21</v>
      </c>
      <c r="E1300" t="s">
        <v>611</v>
      </c>
      <c r="F1300" t="s">
        <v>28</v>
      </c>
      <c r="G1300">
        <v>5</v>
      </c>
      <c r="H1300">
        <v>2981.22</v>
      </c>
      <c r="I1300">
        <v>10</v>
      </c>
      <c r="J1300">
        <v>1202.1500000000001</v>
      </c>
      <c r="K1300" t="s">
        <v>24</v>
      </c>
      <c r="L1300" t="s">
        <v>18</v>
      </c>
      <c r="M1300">
        <f t="shared" si="100"/>
        <v>13415.49</v>
      </c>
      <c r="N1300">
        <f t="shared" si="101"/>
        <v>7404.74</v>
      </c>
      <c r="O1300" t="str">
        <f t="shared" si="102"/>
        <v>Sunday</v>
      </c>
      <c r="P1300" t="b">
        <f t="shared" si="103"/>
        <v>1</v>
      </c>
      <c r="Q1300" t="str">
        <f t="shared" si="104"/>
        <v>April</v>
      </c>
    </row>
    <row r="1301" spans="1:17" x14ac:dyDescent="0.4">
      <c r="A1301" t="s">
        <v>1681</v>
      </c>
      <c r="B1301" s="1">
        <v>45554</v>
      </c>
      <c r="C1301" t="s">
        <v>119</v>
      </c>
      <c r="D1301" t="s">
        <v>31</v>
      </c>
      <c r="E1301" t="s">
        <v>411</v>
      </c>
      <c r="F1301" t="s">
        <v>28</v>
      </c>
      <c r="G1301">
        <v>5</v>
      </c>
      <c r="H1301">
        <v>1510.42</v>
      </c>
      <c r="I1301">
        <v>15</v>
      </c>
      <c r="J1301">
        <v>1011.32</v>
      </c>
      <c r="K1301" t="s">
        <v>24</v>
      </c>
      <c r="L1301" t="s">
        <v>18</v>
      </c>
      <c r="M1301">
        <f t="shared" si="100"/>
        <v>6419.2849999999999</v>
      </c>
      <c r="N1301">
        <f t="shared" si="101"/>
        <v>1362.6849999999995</v>
      </c>
      <c r="O1301" t="str">
        <f t="shared" si="102"/>
        <v>Thursday</v>
      </c>
      <c r="P1301" t="b">
        <f t="shared" si="103"/>
        <v>0</v>
      </c>
      <c r="Q1301" t="str">
        <f t="shared" si="104"/>
        <v>September</v>
      </c>
    </row>
    <row r="1302" spans="1:17" x14ac:dyDescent="0.4">
      <c r="A1302" t="s">
        <v>1682</v>
      </c>
      <c r="B1302" s="1">
        <v>45316</v>
      </c>
      <c r="C1302" t="s">
        <v>309</v>
      </c>
      <c r="D1302" t="s">
        <v>21</v>
      </c>
      <c r="E1302" t="s">
        <v>1134</v>
      </c>
      <c r="F1302" t="s">
        <v>23</v>
      </c>
      <c r="G1302">
        <v>3</v>
      </c>
      <c r="H1302">
        <v>2669.25</v>
      </c>
      <c r="I1302">
        <v>0</v>
      </c>
      <c r="J1302">
        <v>1115.1500000000001</v>
      </c>
      <c r="K1302" t="s">
        <v>24</v>
      </c>
      <c r="L1302" t="s">
        <v>18</v>
      </c>
      <c r="M1302">
        <f t="shared" si="100"/>
        <v>8007.75</v>
      </c>
      <c r="N1302">
        <f t="shared" si="101"/>
        <v>4662.2999999999993</v>
      </c>
      <c r="O1302" t="str">
        <f t="shared" si="102"/>
        <v>Thursday</v>
      </c>
      <c r="P1302" t="b">
        <f t="shared" si="103"/>
        <v>0</v>
      </c>
      <c r="Q1302" t="str">
        <f t="shared" si="104"/>
        <v>January</v>
      </c>
    </row>
    <row r="1303" spans="1:17" x14ac:dyDescent="0.4">
      <c r="A1303" t="s">
        <v>1683</v>
      </c>
      <c r="B1303" s="1">
        <v>45850</v>
      </c>
      <c r="C1303" t="s">
        <v>26</v>
      </c>
      <c r="D1303" t="s">
        <v>21</v>
      </c>
      <c r="E1303" t="s">
        <v>637</v>
      </c>
      <c r="F1303" t="s">
        <v>23</v>
      </c>
      <c r="G1303">
        <v>4</v>
      </c>
      <c r="H1303">
        <v>1321.95</v>
      </c>
      <c r="I1303">
        <v>30</v>
      </c>
      <c r="J1303">
        <v>555.83000000000004</v>
      </c>
      <c r="K1303" t="s">
        <v>17</v>
      </c>
      <c r="L1303" t="s">
        <v>18</v>
      </c>
      <c r="M1303">
        <f t="shared" si="100"/>
        <v>3701.46</v>
      </c>
      <c r="N1303">
        <f t="shared" si="101"/>
        <v>1478.1399999999999</v>
      </c>
      <c r="O1303" t="str">
        <f t="shared" si="102"/>
        <v>Saturday</v>
      </c>
      <c r="P1303" t="b">
        <f t="shared" si="103"/>
        <v>1</v>
      </c>
      <c r="Q1303" t="str">
        <f t="shared" si="104"/>
        <v>July</v>
      </c>
    </row>
    <row r="1304" spans="1:17" x14ac:dyDescent="0.4">
      <c r="A1304" t="s">
        <v>1684</v>
      </c>
      <c r="B1304" s="1">
        <v>45301</v>
      </c>
      <c r="C1304" t="s">
        <v>30</v>
      </c>
      <c r="D1304" t="s">
        <v>14</v>
      </c>
      <c r="E1304" t="s">
        <v>481</v>
      </c>
      <c r="F1304" t="s">
        <v>16</v>
      </c>
      <c r="G1304">
        <v>1</v>
      </c>
      <c r="H1304">
        <v>1027.94</v>
      </c>
      <c r="I1304">
        <v>5</v>
      </c>
      <c r="J1304">
        <v>592.09</v>
      </c>
      <c r="K1304" t="s">
        <v>17</v>
      </c>
      <c r="L1304" t="s">
        <v>37</v>
      </c>
      <c r="M1304">
        <f t="shared" si="100"/>
        <v>976.54300000000001</v>
      </c>
      <c r="N1304">
        <f t="shared" si="101"/>
        <v>384.45299999999997</v>
      </c>
      <c r="O1304" t="str">
        <f t="shared" si="102"/>
        <v>Wednesday</v>
      </c>
      <c r="P1304" t="b">
        <f t="shared" si="103"/>
        <v>0</v>
      </c>
      <c r="Q1304" t="str">
        <f t="shared" si="104"/>
        <v>January</v>
      </c>
    </row>
    <row r="1305" spans="1:17" x14ac:dyDescent="0.4">
      <c r="A1305" t="s">
        <v>1685</v>
      </c>
      <c r="B1305" s="1">
        <v>45535</v>
      </c>
      <c r="C1305" t="s">
        <v>179</v>
      </c>
      <c r="D1305" t="s">
        <v>14</v>
      </c>
      <c r="E1305" t="s">
        <v>763</v>
      </c>
      <c r="F1305" t="s">
        <v>23</v>
      </c>
      <c r="G1305">
        <v>4</v>
      </c>
      <c r="H1305">
        <v>1955.96</v>
      </c>
      <c r="I1305">
        <v>20</v>
      </c>
      <c r="J1305">
        <v>861.05</v>
      </c>
      <c r="K1305" t="s">
        <v>24</v>
      </c>
      <c r="L1305" t="s">
        <v>33</v>
      </c>
      <c r="M1305">
        <f t="shared" si="100"/>
        <v>6259.0720000000001</v>
      </c>
      <c r="N1305">
        <f t="shared" si="101"/>
        <v>2814.8720000000003</v>
      </c>
      <c r="O1305" t="str">
        <f t="shared" si="102"/>
        <v>Saturday</v>
      </c>
      <c r="P1305" t="b">
        <f t="shared" si="103"/>
        <v>1</v>
      </c>
      <c r="Q1305" t="str">
        <f t="shared" si="104"/>
        <v>August</v>
      </c>
    </row>
    <row r="1306" spans="1:17" x14ac:dyDescent="0.4">
      <c r="A1306" t="s">
        <v>1686</v>
      </c>
      <c r="B1306" s="1">
        <v>45695</v>
      </c>
      <c r="C1306" t="s">
        <v>251</v>
      </c>
      <c r="D1306" t="s">
        <v>21</v>
      </c>
      <c r="E1306" t="s">
        <v>741</v>
      </c>
      <c r="F1306" t="s">
        <v>23</v>
      </c>
      <c r="G1306">
        <v>4</v>
      </c>
      <c r="H1306">
        <v>1794.57</v>
      </c>
      <c r="I1306">
        <v>5</v>
      </c>
      <c r="J1306">
        <v>764.57</v>
      </c>
      <c r="K1306" t="s">
        <v>24</v>
      </c>
      <c r="L1306" t="s">
        <v>37</v>
      </c>
      <c r="M1306">
        <f t="shared" si="100"/>
        <v>6819.3659999999991</v>
      </c>
      <c r="N1306">
        <f t="shared" si="101"/>
        <v>3761.0859999999989</v>
      </c>
      <c r="O1306" t="str">
        <f t="shared" si="102"/>
        <v>Friday</v>
      </c>
      <c r="P1306" t="b">
        <f t="shared" si="103"/>
        <v>0</v>
      </c>
      <c r="Q1306" t="str">
        <f t="shared" si="104"/>
        <v>February</v>
      </c>
    </row>
    <row r="1307" spans="1:17" x14ac:dyDescent="0.4">
      <c r="A1307" t="s">
        <v>1687</v>
      </c>
      <c r="B1307" s="1">
        <v>45958</v>
      </c>
      <c r="C1307" t="s">
        <v>302</v>
      </c>
      <c r="D1307" t="s">
        <v>31</v>
      </c>
      <c r="E1307" t="s">
        <v>208</v>
      </c>
      <c r="F1307" t="s">
        <v>16</v>
      </c>
      <c r="G1307">
        <v>4</v>
      </c>
      <c r="H1307">
        <v>882.79</v>
      </c>
      <c r="I1307">
        <v>15</v>
      </c>
      <c r="J1307">
        <v>416.46</v>
      </c>
      <c r="K1307" t="s">
        <v>24</v>
      </c>
      <c r="L1307" t="s">
        <v>33</v>
      </c>
      <c r="M1307">
        <f t="shared" si="100"/>
        <v>3001.4859999999999</v>
      </c>
      <c r="N1307">
        <f t="shared" si="101"/>
        <v>1335.646</v>
      </c>
      <c r="O1307" t="str">
        <f t="shared" si="102"/>
        <v>Tuesday</v>
      </c>
      <c r="P1307" t="b">
        <f t="shared" si="103"/>
        <v>0</v>
      </c>
      <c r="Q1307" t="str">
        <f t="shared" si="104"/>
        <v>October</v>
      </c>
    </row>
    <row r="1308" spans="1:17" x14ac:dyDescent="0.4">
      <c r="A1308" t="s">
        <v>1688</v>
      </c>
      <c r="B1308" s="1">
        <v>45651</v>
      </c>
      <c r="C1308" t="s">
        <v>179</v>
      </c>
      <c r="D1308" t="s">
        <v>46</v>
      </c>
      <c r="E1308" t="s">
        <v>753</v>
      </c>
      <c r="F1308" t="s">
        <v>16</v>
      </c>
      <c r="G1308">
        <v>1</v>
      </c>
      <c r="H1308">
        <v>1898.57</v>
      </c>
      <c r="I1308">
        <v>20</v>
      </c>
      <c r="J1308">
        <v>1016.69</v>
      </c>
      <c r="K1308" t="s">
        <v>17</v>
      </c>
      <c r="L1308" t="s">
        <v>33</v>
      </c>
      <c r="M1308">
        <f t="shared" si="100"/>
        <v>1518.856</v>
      </c>
      <c r="N1308">
        <f t="shared" si="101"/>
        <v>502.16599999999994</v>
      </c>
      <c r="O1308" t="str">
        <f t="shared" si="102"/>
        <v>Wednesday</v>
      </c>
      <c r="P1308" t="b">
        <f t="shared" si="103"/>
        <v>0</v>
      </c>
      <c r="Q1308" t="str">
        <f t="shared" si="104"/>
        <v>December</v>
      </c>
    </row>
    <row r="1309" spans="1:17" x14ac:dyDescent="0.4">
      <c r="A1309" t="s">
        <v>1689</v>
      </c>
      <c r="B1309" s="1">
        <v>45760</v>
      </c>
      <c r="C1309" t="s">
        <v>84</v>
      </c>
      <c r="D1309" t="s">
        <v>21</v>
      </c>
      <c r="E1309" t="s">
        <v>55</v>
      </c>
      <c r="F1309" t="s">
        <v>28</v>
      </c>
      <c r="G1309">
        <v>3</v>
      </c>
      <c r="H1309">
        <v>1224.6600000000001</v>
      </c>
      <c r="I1309">
        <v>20</v>
      </c>
      <c r="J1309">
        <v>854.65</v>
      </c>
      <c r="K1309" t="s">
        <v>24</v>
      </c>
      <c r="L1309" t="s">
        <v>37</v>
      </c>
      <c r="M1309">
        <f t="shared" si="100"/>
        <v>2939.1840000000007</v>
      </c>
      <c r="N1309">
        <f t="shared" si="101"/>
        <v>375.23400000000083</v>
      </c>
      <c r="O1309" t="str">
        <f t="shared" si="102"/>
        <v>Sunday</v>
      </c>
      <c r="P1309" t="b">
        <f t="shared" si="103"/>
        <v>1</v>
      </c>
      <c r="Q1309" t="str">
        <f t="shared" si="104"/>
        <v>April</v>
      </c>
    </row>
    <row r="1310" spans="1:17" x14ac:dyDescent="0.4">
      <c r="A1310" t="s">
        <v>1690</v>
      </c>
      <c r="B1310" s="1">
        <v>45684</v>
      </c>
      <c r="C1310" t="s">
        <v>273</v>
      </c>
      <c r="D1310" t="s">
        <v>21</v>
      </c>
      <c r="E1310" t="s">
        <v>945</v>
      </c>
      <c r="F1310" t="s">
        <v>28</v>
      </c>
      <c r="G1310">
        <v>1</v>
      </c>
      <c r="H1310">
        <v>1100.8800000000001</v>
      </c>
      <c r="I1310">
        <v>30</v>
      </c>
      <c r="J1310">
        <v>555</v>
      </c>
      <c r="K1310" t="s">
        <v>17</v>
      </c>
      <c r="L1310" t="s">
        <v>37</v>
      </c>
      <c r="M1310">
        <f t="shared" si="100"/>
        <v>770.61599999999999</v>
      </c>
      <c r="N1310">
        <f t="shared" si="101"/>
        <v>215.61599999999999</v>
      </c>
      <c r="O1310" t="str">
        <f t="shared" si="102"/>
        <v>Monday</v>
      </c>
      <c r="P1310" t="b">
        <f t="shared" si="103"/>
        <v>0</v>
      </c>
      <c r="Q1310" t="str">
        <f t="shared" si="104"/>
        <v>January</v>
      </c>
    </row>
    <row r="1311" spans="1:17" x14ac:dyDescent="0.4">
      <c r="A1311" t="s">
        <v>1691</v>
      </c>
      <c r="B1311" s="1">
        <v>45820</v>
      </c>
      <c r="C1311" t="s">
        <v>185</v>
      </c>
      <c r="D1311" t="s">
        <v>14</v>
      </c>
      <c r="E1311" t="s">
        <v>227</v>
      </c>
      <c r="F1311" t="s">
        <v>28</v>
      </c>
      <c r="G1311">
        <v>2</v>
      </c>
      <c r="H1311">
        <v>1840.88</v>
      </c>
      <c r="I1311">
        <v>0</v>
      </c>
      <c r="J1311">
        <v>910.02</v>
      </c>
      <c r="K1311" t="s">
        <v>17</v>
      </c>
      <c r="L1311" t="s">
        <v>18</v>
      </c>
      <c r="M1311">
        <f t="shared" si="100"/>
        <v>3681.76</v>
      </c>
      <c r="N1311">
        <f t="shared" si="101"/>
        <v>1861.7200000000003</v>
      </c>
      <c r="O1311" t="str">
        <f t="shared" si="102"/>
        <v>Thursday</v>
      </c>
      <c r="P1311" t="b">
        <f t="shared" si="103"/>
        <v>0</v>
      </c>
      <c r="Q1311" t="str">
        <f t="shared" si="104"/>
        <v>June</v>
      </c>
    </row>
    <row r="1312" spans="1:17" x14ac:dyDescent="0.4">
      <c r="A1312" t="s">
        <v>1692</v>
      </c>
      <c r="B1312" s="1">
        <v>45802</v>
      </c>
      <c r="C1312" t="s">
        <v>95</v>
      </c>
      <c r="D1312" t="s">
        <v>46</v>
      </c>
      <c r="E1312" t="s">
        <v>965</v>
      </c>
      <c r="F1312" t="s">
        <v>28</v>
      </c>
      <c r="G1312">
        <v>5</v>
      </c>
      <c r="H1312">
        <v>654.38</v>
      </c>
      <c r="I1312">
        <v>20</v>
      </c>
      <c r="J1312">
        <v>373.15</v>
      </c>
      <c r="K1312" t="s">
        <v>17</v>
      </c>
      <c r="L1312" t="s">
        <v>37</v>
      </c>
      <c r="M1312">
        <f t="shared" si="100"/>
        <v>2617.5200000000004</v>
      </c>
      <c r="N1312">
        <f t="shared" si="101"/>
        <v>751.77000000000044</v>
      </c>
      <c r="O1312" t="str">
        <f t="shared" si="102"/>
        <v>Sunday</v>
      </c>
      <c r="P1312" t="b">
        <f t="shared" si="103"/>
        <v>1</v>
      </c>
      <c r="Q1312" t="str">
        <f t="shared" si="104"/>
        <v>May</v>
      </c>
    </row>
    <row r="1313" spans="1:17" x14ac:dyDescent="0.4">
      <c r="A1313" t="s">
        <v>1693</v>
      </c>
      <c r="B1313" s="1">
        <v>45783</v>
      </c>
      <c r="C1313" t="s">
        <v>278</v>
      </c>
      <c r="D1313" t="s">
        <v>31</v>
      </c>
      <c r="E1313" t="s">
        <v>613</v>
      </c>
      <c r="F1313" t="s">
        <v>23</v>
      </c>
      <c r="G1313">
        <v>2</v>
      </c>
      <c r="H1313">
        <v>378.31</v>
      </c>
      <c r="I1313">
        <v>20</v>
      </c>
      <c r="J1313">
        <v>205.81</v>
      </c>
      <c r="K1313" t="s">
        <v>17</v>
      </c>
      <c r="L1313" t="s">
        <v>18</v>
      </c>
      <c r="M1313">
        <f t="shared" si="100"/>
        <v>605.29600000000005</v>
      </c>
      <c r="N1313">
        <f t="shared" si="101"/>
        <v>193.67600000000004</v>
      </c>
      <c r="O1313" t="str">
        <f t="shared" si="102"/>
        <v>Tuesday</v>
      </c>
      <c r="P1313" t="b">
        <f t="shared" si="103"/>
        <v>0</v>
      </c>
      <c r="Q1313" t="str">
        <f t="shared" si="104"/>
        <v>May</v>
      </c>
    </row>
    <row r="1314" spans="1:17" x14ac:dyDescent="0.4">
      <c r="A1314" t="s">
        <v>1694</v>
      </c>
      <c r="B1314" s="1">
        <v>45749</v>
      </c>
      <c r="C1314" t="s">
        <v>193</v>
      </c>
      <c r="D1314" t="s">
        <v>14</v>
      </c>
      <c r="E1314" t="s">
        <v>996</v>
      </c>
      <c r="F1314" t="s">
        <v>16</v>
      </c>
      <c r="G1314">
        <v>2</v>
      </c>
      <c r="H1314">
        <v>1644.41</v>
      </c>
      <c r="I1314">
        <v>25</v>
      </c>
      <c r="J1314">
        <v>1024.8699999999999</v>
      </c>
      <c r="K1314" t="s">
        <v>24</v>
      </c>
      <c r="L1314" t="s">
        <v>18</v>
      </c>
      <c r="M1314">
        <f t="shared" si="100"/>
        <v>2466.6150000000002</v>
      </c>
      <c r="N1314">
        <f t="shared" si="101"/>
        <v>416.87500000000045</v>
      </c>
      <c r="O1314" t="str">
        <f t="shared" si="102"/>
        <v>Wednesday</v>
      </c>
      <c r="P1314" t="b">
        <f t="shared" si="103"/>
        <v>0</v>
      </c>
      <c r="Q1314" t="str">
        <f t="shared" si="104"/>
        <v>April</v>
      </c>
    </row>
    <row r="1315" spans="1:17" x14ac:dyDescent="0.4">
      <c r="A1315" t="s">
        <v>1695</v>
      </c>
      <c r="B1315" s="1">
        <v>45967</v>
      </c>
      <c r="C1315" t="s">
        <v>179</v>
      </c>
      <c r="D1315" t="s">
        <v>14</v>
      </c>
      <c r="E1315" t="s">
        <v>343</v>
      </c>
      <c r="F1315" t="s">
        <v>28</v>
      </c>
      <c r="G1315">
        <v>3</v>
      </c>
      <c r="H1315">
        <v>2486.04</v>
      </c>
      <c r="I1315">
        <v>20</v>
      </c>
      <c r="J1315">
        <v>1008.1</v>
      </c>
      <c r="K1315" t="s">
        <v>17</v>
      </c>
      <c r="L1315" t="s">
        <v>37</v>
      </c>
      <c r="M1315">
        <f t="shared" si="100"/>
        <v>5966.4960000000001</v>
      </c>
      <c r="N1315">
        <f t="shared" si="101"/>
        <v>2942.1959999999999</v>
      </c>
      <c r="O1315" t="str">
        <f t="shared" si="102"/>
        <v>Thursday</v>
      </c>
      <c r="P1315" t="b">
        <f t="shared" si="103"/>
        <v>0</v>
      </c>
      <c r="Q1315" t="str">
        <f t="shared" si="104"/>
        <v>November</v>
      </c>
    </row>
    <row r="1316" spans="1:17" x14ac:dyDescent="0.4">
      <c r="A1316" t="s">
        <v>1696</v>
      </c>
      <c r="B1316" s="1">
        <v>45613</v>
      </c>
      <c r="C1316" t="s">
        <v>190</v>
      </c>
      <c r="D1316" t="s">
        <v>21</v>
      </c>
      <c r="E1316" t="s">
        <v>117</v>
      </c>
      <c r="F1316" t="s">
        <v>16</v>
      </c>
      <c r="G1316">
        <v>1</v>
      </c>
      <c r="H1316">
        <v>2633.87</v>
      </c>
      <c r="I1316">
        <v>30</v>
      </c>
      <c r="J1316">
        <v>1277.98</v>
      </c>
      <c r="K1316" t="s">
        <v>24</v>
      </c>
      <c r="L1316" t="s">
        <v>18</v>
      </c>
      <c r="M1316">
        <f t="shared" si="100"/>
        <v>1843.7089999999998</v>
      </c>
      <c r="N1316">
        <f t="shared" si="101"/>
        <v>565.72899999999981</v>
      </c>
      <c r="O1316" t="str">
        <f t="shared" si="102"/>
        <v>Sunday</v>
      </c>
      <c r="P1316" t="b">
        <f t="shared" si="103"/>
        <v>1</v>
      </c>
      <c r="Q1316" t="str">
        <f t="shared" si="104"/>
        <v>November</v>
      </c>
    </row>
    <row r="1317" spans="1:17" x14ac:dyDescent="0.4">
      <c r="A1317" t="s">
        <v>1697</v>
      </c>
      <c r="B1317" s="1">
        <v>45407</v>
      </c>
      <c r="C1317" t="s">
        <v>59</v>
      </c>
      <c r="D1317" t="s">
        <v>31</v>
      </c>
      <c r="E1317" t="s">
        <v>435</v>
      </c>
      <c r="F1317" t="s">
        <v>23</v>
      </c>
      <c r="G1317">
        <v>5</v>
      </c>
      <c r="H1317">
        <v>2171.9</v>
      </c>
      <c r="I1317">
        <v>0</v>
      </c>
      <c r="J1317">
        <v>1509.96</v>
      </c>
      <c r="K1317" t="s">
        <v>24</v>
      </c>
      <c r="L1317" t="s">
        <v>33</v>
      </c>
      <c r="M1317">
        <f t="shared" si="100"/>
        <v>10859.5</v>
      </c>
      <c r="N1317">
        <f t="shared" si="101"/>
        <v>3309.7</v>
      </c>
      <c r="O1317" t="str">
        <f t="shared" si="102"/>
        <v>Thursday</v>
      </c>
      <c r="P1317" t="b">
        <f t="shared" si="103"/>
        <v>0</v>
      </c>
      <c r="Q1317" t="str">
        <f t="shared" si="104"/>
        <v>April</v>
      </c>
    </row>
    <row r="1318" spans="1:17" x14ac:dyDescent="0.4">
      <c r="A1318" t="s">
        <v>1698</v>
      </c>
      <c r="B1318" s="1">
        <v>45985</v>
      </c>
      <c r="C1318" t="s">
        <v>114</v>
      </c>
      <c r="D1318" t="s">
        <v>31</v>
      </c>
      <c r="E1318" t="s">
        <v>153</v>
      </c>
      <c r="F1318" t="s">
        <v>16</v>
      </c>
      <c r="G1318">
        <v>4</v>
      </c>
      <c r="H1318">
        <v>973</v>
      </c>
      <c r="I1318">
        <v>10</v>
      </c>
      <c r="J1318">
        <v>455.36</v>
      </c>
      <c r="K1318" t="s">
        <v>17</v>
      </c>
      <c r="L1318" t="s">
        <v>18</v>
      </c>
      <c r="M1318">
        <f t="shared" si="100"/>
        <v>3502.8</v>
      </c>
      <c r="N1318">
        <f t="shared" si="101"/>
        <v>1681.3600000000001</v>
      </c>
      <c r="O1318" t="str">
        <f t="shared" si="102"/>
        <v>Monday</v>
      </c>
      <c r="P1318" t="b">
        <f t="shared" si="103"/>
        <v>0</v>
      </c>
      <c r="Q1318" t="str">
        <f t="shared" si="104"/>
        <v>November</v>
      </c>
    </row>
    <row r="1319" spans="1:17" x14ac:dyDescent="0.4">
      <c r="A1319" t="s">
        <v>1699</v>
      </c>
      <c r="B1319" s="1">
        <v>45663</v>
      </c>
      <c r="C1319" t="s">
        <v>185</v>
      </c>
      <c r="D1319" t="s">
        <v>31</v>
      </c>
      <c r="E1319" t="s">
        <v>510</v>
      </c>
      <c r="F1319" t="s">
        <v>28</v>
      </c>
      <c r="G1319">
        <v>4</v>
      </c>
      <c r="H1319">
        <v>2018.33</v>
      </c>
      <c r="I1319">
        <v>30</v>
      </c>
      <c r="J1319">
        <v>1380.19</v>
      </c>
      <c r="K1319" t="s">
        <v>24</v>
      </c>
      <c r="L1319" t="s">
        <v>18</v>
      </c>
      <c r="M1319">
        <f t="shared" si="100"/>
        <v>5651.3239999999996</v>
      </c>
      <c r="N1319">
        <f t="shared" si="101"/>
        <v>130.5639999999994</v>
      </c>
      <c r="O1319" t="str">
        <f t="shared" si="102"/>
        <v>Monday</v>
      </c>
      <c r="P1319" t="b">
        <f t="shared" si="103"/>
        <v>0</v>
      </c>
      <c r="Q1319" t="str">
        <f t="shared" si="104"/>
        <v>January</v>
      </c>
    </row>
    <row r="1320" spans="1:17" x14ac:dyDescent="0.4">
      <c r="A1320" t="s">
        <v>1700</v>
      </c>
      <c r="B1320" s="1">
        <v>45571</v>
      </c>
      <c r="C1320" t="s">
        <v>144</v>
      </c>
      <c r="D1320" t="s">
        <v>14</v>
      </c>
      <c r="E1320" t="s">
        <v>105</v>
      </c>
      <c r="F1320" t="s">
        <v>16</v>
      </c>
      <c r="G1320">
        <v>1</v>
      </c>
      <c r="H1320">
        <v>2038.91</v>
      </c>
      <c r="I1320">
        <v>10</v>
      </c>
      <c r="J1320">
        <v>1335.71</v>
      </c>
      <c r="K1320" t="s">
        <v>17</v>
      </c>
      <c r="L1320" t="s">
        <v>18</v>
      </c>
      <c r="M1320">
        <f t="shared" si="100"/>
        <v>1835.019</v>
      </c>
      <c r="N1320">
        <f t="shared" si="101"/>
        <v>499.30899999999997</v>
      </c>
      <c r="O1320" t="str">
        <f t="shared" si="102"/>
        <v>Sunday</v>
      </c>
      <c r="P1320" t="b">
        <f t="shared" si="103"/>
        <v>1</v>
      </c>
      <c r="Q1320" t="str">
        <f t="shared" si="104"/>
        <v>October</v>
      </c>
    </row>
    <row r="1321" spans="1:17" x14ac:dyDescent="0.4">
      <c r="A1321" t="s">
        <v>1701</v>
      </c>
      <c r="B1321" s="1">
        <v>45457</v>
      </c>
      <c r="C1321" t="s">
        <v>193</v>
      </c>
      <c r="D1321" t="s">
        <v>14</v>
      </c>
      <c r="E1321" t="s">
        <v>579</v>
      </c>
      <c r="F1321" t="s">
        <v>16</v>
      </c>
      <c r="G1321">
        <v>5</v>
      </c>
      <c r="H1321">
        <v>1906.43</v>
      </c>
      <c r="I1321">
        <v>10</v>
      </c>
      <c r="J1321">
        <v>933.22</v>
      </c>
      <c r="K1321" t="s">
        <v>17</v>
      </c>
      <c r="L1321" t="s">
        <v>33</v>
      </c>
      <c r="M1321">
        <f t="shared" si="100"/>
        <v>8578.9349999999995</v>
      </c>
      <c r="N1321">
        <f t="shared" si="101"/>
        <v>3912.8349999999991</v>
      </c>
      <c r="O1321" t="str">
        <f t="shared" si="102"/>
        <v>Friday</v>
      </c>
      <c r="P1321" t="b">
        <f t="shared" si="103"/>
        <v>0</v>
      </c>
      <c r="Q1321" t="str">
        <f t="shared" si="104"/>
        <v>June</v>
      </c>
    </row>
    <row r="1322" spans="1:17" x14ac:dyDescent="0.4">
      <c r="A1322" t="s">
        <v>1702</v>
      </c>
      <c r="B1322" s="1">
        <v>45623</v>
      </c>
      <c r="C1322" t="s">
        <v>159</v>
      </c>
      <c r="D1322" t="s">
        <v>46</v>
      </c>
      <c r="E1322" t="s">
        <v>1134</v>
      </c>
      <c r="F1322" t="s">
        <v>28</v>
      </c>
      <c r="G1322">
        <v>3</v>
      </c>
      <c r="H1322">
        <v>985.03</v>
      </c>
      <c r="I1322">
        <v>10</v>
      </c>
      <c r="J1322">
        <v>586.72</v>
      </c>
      <c r="K1322" t="s">
        <v>17</v>
      </c>
      <c r="L1322" t="s">
        <v>37</v>
      </c>
      <c r="M1322">
        <f t="shared" si="100"/>
        <v>2659.5810000000001</v>
      </c>
      <c r="N1322">
        <f t="shared" si="101"/>
        <v>899.42100000000005</v>
      </c>
      <c r="O1322" t="str">
        <f t="shared" si="102"/>
        <v>Wednesday</v>
      </c>
      <c r="P1322" t="b">
        <f t="shared" si="103"/>
        <v>0</v>
      </c>
      <c r="Q1322" t="str">
        <f t="shared" si="104"/>
        <v>November</v>
      </c>
    </row>
    <row r="1323" spans="1:17" x14ac:dyDescent="0.4">
      <c r="A1323" t="s">
        <v>1703</v>
      </c>
      <c r="B1323" s="1">
        <v>45967</v>
      </c>
      <c r="C1323" t="s">
        <v>95</v>
      </c>
      <c r="D1323" t="s">
        <v>46</v>
      </c>
      <c r="E1323" t="s">
        <v>1041</v>
      </c>
      <c r="F1323" t="s">
        <v>28</v>
      </c>
      <c r="G1323">
        <v>5</v>
      </c>
      <c r="H1323">
        <v>1537.52</v>
      </c>
      <c r="I1323">
        <v>25</v>
      </c>
      <c r="J1323">
        <v>926.75</v>
      </c>
      <c r="K1323" t="s">
        <v>17</v>
      </c>
      <c r="L1323" t="s">
        <v>18</v>
      </c>
      <c r="M1323">
        <f t="shared" si="100"/>
        <v>5765.7000000000007</v>
      </c>
      <c r="N1323">
        <f t="shared" si="101"/>
        <v>1131.9500000000007</v>
      </c>
      <c r="O1323" t="str">
        <f t="shared" si="102"/>
        <v>Thursday</v>
      </c>
      <c r="P1323" t="b">
        <f t="shared" si="103"/>
        <v>0</v>
      </c>
      <c r="Q1323" t="str">
        <f t="shared" si="104"/>
        <v>November</v>
      </c>
    </row>
    <row r="1324" spans="1:17" x14ac:dyDescent="0.4">
      <c r="A1324" t="s">
        <v>1704</v>
      </c>
      <c r="B1324" s="1">
        <v>45480</v>
      </c>
      <c r="C1324" t="s">
        <v>20</v>
      </c>
      <c r="D1324" t="s">
        <v>46</v>
      </c>
      <c r="E1324" t="s">
        <v>142</v>
      </c>
      <c r="F1324" t="s">
        <v>23</v>
      </c>
      <c r="G1324">
        <v>5</v>
      </c>
      <c r="H1324">
        <v>1241.8499999999999</v>
      </c>
      <c r="I1324">
        <v>25</v>
      </c>
      <c r="J1324">
        <v>729.07</v>
      </c>
      <c r="K1324" t="s">
        <v>17</v>
      </c>
      <c r="L1324" t="s">
        <v>33</v>
      </c>
      <c r="M1324">
        <f t="shared" si="100"/>
        <v>4656.9375</v>
      </c>
      <c r="N1324">
        <f t="shared" si="101"/>
        <v>1011.5874999999996</v>
      </c>
      <c r="O1324" t="str">
        <f t="shared" si="102"/>
        <v>Sunday</v>
      </c>
      <c r="P1324" t="b">
        <f t="shared" si="103"/>
        <v>1</v>
      </c>
      <c r="Q1324" t="str">
        <f t="shared" si="104"/>
        <v>July</v>
      </c>
    </row>
    <row r="1325" spans="1:17" x14ac:dyDescent="0.4">
      <c r="A1325" t="s">
        <v>1705</v>
      </c>
      <c r="B1325" s="1">
        <v>45873</v>
      </c>
      <c r="C1325" t="s">
        <v>179</v>
      </c>
      <c r="D1325" t="s">
        <v>46</v>
      </c>
      <c r="E1325" t="s">
        <v>218</v>
      </c>
      <c r="F1325" t="s">
        <v>23</v>
      </c>
      <c r="G1325">
        <v>4</v>
      </c>
      <c r="H1325">
        <v>1439.48</v>
      </c>
      <c r="I1325">
        <v>10</v>
      </c>
      <c r="J1325">
        <v>908.24</v>
      </c>
      <c r="K1325" t="s">
        <v>24</v>
      </c>
      <c r="L1325" t="s">
        <v>33</v>
      </c>
      <c r="M1325">
        <f t="shared" si="100"/>
        <v>5182.1280000000006</v>
      </c>
      <c r="N1325">
        <f t="shared" si="101"/>
        <v>1549.1680000000006</v>
      </c>
      <c r="O1325" t="str">
        <f t="shared" si="102"/>
        <v>Monday</v>
      </c>
      <c r="P1325" t="b">
        <f t="shared" si="103"/>
        <v>0</v>
      </c>
      <c r="Q1325" t="str">
        <f t="shared" si="104"/>
        <v>August</v>
      </c>
    </row>
    <row r="1326" spans="1:17" x14ac:dyDescent="0.4">
      <c r="A1326" t="s">
        <v>1706</v>
      </c>
      <c r="B1326" s="1">
        <v>45760</v>
      </c>
      <c r="C1326" t="s">
        <v>241</v>
      </c>
      <c r="D1326" t="s">
        <v>46</v>
      </c>
      <c r="E1326" t="s">
        <v>379</v>
      </c>
      <c r="F1326" t="s">
        <v>23</v>
      </c>
      <c r="G1326">
        <v>1</v>
      </c>
      <c r="H1326">
        <v>2909.85</v>
      </c>
      <c r="I1326">
        <v>5</v>
      </c>
      <c r="J1326">
        <v>1831.05</v>
      </c>
      <c r="K1326" t="s">
        <v>17</v>
      </c>
      <c r="L1326" t="s">
        <v>33</v>
      </c>
      <c r="M1326">
        <f t="shared" si="100"/>
        <v>2764.3574999999996</v>
      </c>
      <c r="N1326">
        <f t="shared" si="101"/>
        <v>933.30749999999966</v>
      </c>
      <c r="O1326" t="str">
        <f t="shared" si="102"/>
        <v>Sunday</v>
      </c>
      <c r="P1326" t="b">
        <f t="shared" si="103"/>
        <v>1</v>
      </c>
      <c r="Q1326" t="str">
        <f t="shared" si="104"/>
        <v>April</v>
      </c>
    </row>
    <row r="1327" spans="1:17" x14ac:dyDescent="0.4">
      <c r="A1327" t="s">
        <v>1707</v>
      </c>
      <c r="B1327" s="1">
        <v>45738</v>
      </c>
      <c r="C1327" t="s">
        <v>84</v>
      </c>
      <c r="D1327" t="s">
        <v>14</v>
      </c>
      <c r="E1327" t="s">
        <v>532</v>
      </c>
      <c r="F1327" t="s">
        <v>28</v>
      </c>
      <c r="G1327">
        <v>1</v>
      </c>
      <c r="H1327">
        <v>653.5</v>
      </c>
      <c r="I1327">
        <v>20</v>
      </c>
      <c r="J1327">
        <v>391.54</v>
      </c>
      <c r="K1327" t="s">
        <v>24</v>
      </c>
      <c r="L1327" t="s">
        <v>37</v>
      </c>
      <c r="M1327">
        <f t="shared" si="100"/>
        <v>522.80000000000007</v>
      </c>
      <c r="N1327">
        <f t="shared" si="101"/>
        <v>131.26000000000005</v>
      </c>
      <c r="O1327" t="str">
        <f t="shared" si="102"/>
        <v>Saturday</v>
      </c>
      <c r="P1327" t="b">
        <f t="shared" si="103"/>
        <v>1</v>
      </c>
      <c r="Q1327" t="str">
        <f t="shared" si="104"/>
        <v>March</v>
      </c>
    </row>
    <row r="1328" spans="1:17" x14ac:dyDescent="0.4">
      <c r="A1328" t="s">
        <v>1708</v>
      </c>
      <c r="B1328" s="1">
        <v>45905</v>
      </c>
      <c r="C1328" t="s">
        <v>278</v>
      </c>
      <c r="D1328" t="s">
        <v>14</v>
      </c>
      <c r="E1328" t="s">
        <v>958</v>
      </c>
      <c r="F1328" t="s">
        <v>23</v>
      </c>
      <c r="G1328">
        <v>3</v>
      </c>
      <c r="H1328">
        <v>959.51</v>
      </c>
      <c r="I1328">
        <v>0</v>
      </c>
      <c r="J1328">
        <v>537.47</v>
      </c>
      <c r="K1328" t="s">
        <v>17</v>
      </c>
      <c r="L1328" t="s">
        <v>18</v>
      </c>
      <c r="M1328">
        <f t="shared" si="100"/>
        <v>2878.5299999999997</v>
      </c>
      <c r="N1328">
        <f t="shared" si="101"/>
        <v>1266.1199999999997</v>
      </c>
      <c r="O1328" t="str">
        <f t="shared" si="102"/>
        <v>Friday</v>
      </c>
      <c r="P1328" t="b">
        <f t="shared" si="103"/>
        <v>0</v>
      </c>
      <c r="Q1328" t="str">
        <f t="shared" si="104"/>
        <v>September</v>
      </c>
    </row>
    <row r="1329" spans="1:17" x14ac:dyDescent="0.4">
      <c r="A1329" t="s">
        <v>1709</v>
      </c>
      <c r="B1329" s="1">
        <v>45711</v>
      </c>
      <c r="C1329" t="s">
        <v>309</v>
      </c>
      <c r="D1329" t="s">
        <v>31</v>
      </c>
      <c r="E1329" t="s">
        <v>317</v>
      </c>
      <c r="F1329" t="s">
        <v>23</v>
      </c>
      <c r="G1329">
        <v>4</v>
      </c>
      <c r="H1329">
        <v>356.52</v>
      </c>
      <c r="I1329">
        <v>0</v>
      </c>
      <c r="J1329">
        <v>170.06</v>
      </c>
      <c r="K1329" t="s">
        <v>24</v>
      </c>
      <c r="L1329" t="s">
        <v>18</v>
      </c>
      <c r="M1329">
        <f t="shared" si="100"/>
        <v>1426.08</v>
      </c>
      <c r="N1329">
        <f t="shared" si="101"/>
        <v>745.83999999999992</v>
      </c>
      <c r="O1329" t="str">
        <f t="shared" si="102"/>
        <v>Sunday</v>
      </c>
      <c r="P1329" t="b">
        <f t="shared" si="103"/>
        <v>1</v>
      </c>
      <c r="Q1329" t="str">
        <f t="shared" si="104"/>
        <v>February</v>
      </c>
    </row>
    <row r="1330" spans="1:17" x14ac:dyDescent="0.4">
      <c r="A1330" t="s">
        <v>1710</v>
      </c>
      <c r="B1330" s="1">
        <v>45908</v>
      </c>
      <c r="C1330" t="s">
        <v>309</v>
      </c>
      <c r="D1330" t="s">
        <v>21</v>
      </c>
      <c r="E1330" t="s">
        <v>196</v>
      </c>
      <c r="F1330" t="s">
        <v>23</v>
      </c>
      <c r="G1330">
        <v>3</v>
      </c>
      <c r="H1330">
        <v>2421.36</v>
      </c>
      <c r="I1330">
        <v>30</v>
      </c>
      <c r="J1330">
        <v>1000.84</v>
      </c>
      <c r="K1330" t="s">
        <v>17</v>
      </c>
      <c r="L1330" t="s">
        <v>37</v>
      </c>
      <c r="M1330">
        <f t="shared" si="100"/>
        <v>5084.8559999999998</v>
      </c>
      <c r="N1330">
        <f t="shared" si="101"/>
        <v>2082.3359999999998</v>
      </c>
      <c r="O1330" t="str">
        <f t="shared" si="102"/>
        <v>Monday</v>
      </c>
      <c r="P1330" t="b">
        <f t="shared" si="103"/>
        <v>0</v>
      </c>
      <c r="Q1330" t="str">
        <f t="shared" si="104"/>
        <v>September</v>
      </c>
    </row>
    <row r="1331" spans="1:17" x14ac:dyDescent="0.4">
      <c r="A1331" t="s">
        <v>1711</v>
      </c>
      <c r="B1331" s="1">
        <v>45801</v>
      </c>
      <c r="C1331" t="s">
        <v>226</v>
      </c>
      <c r="D1331" t="s">
        <v>46</v>
      </c>
      <c r="E1331" t="s">
        <v>582</v>
      </c>
      <c r="F1331" t="s">
        <v>23</v>
      </c>
      <c r="G1331">
        <v>1</v>
      </c>
      <c r="H1331">
        <v>899.52</v>
      </c>
      <c r="I1331">
        <v>30</v>
      </c>
      <c r="J1331">
        <v>499.29</v>
      </c>
      <c r="K1331" t="s">
        <v>24</v>
      </c>
      <c r="L1331" t="s">
        <v>37</v>
      </c>
      <c r="M1331">
        <f t="shared" si="100"/>
        <v>629.66399999999999</v>
      </c>
      <c r="N1331">
        <f t="shared" si="101"/>
        <v>130.37399999999997</v>
      </c>
      <c r="O1331" t="str">
        <f t="shared" si="102"/>
        <v>Saturday</v>
      </c>
      <c r="P1331" t="b">
        <f t="shared" si="103"/>
        <v>1</v>
      </c>
      <c r="Q1331" t="str">
        <f t="shared" si="104"/>
        <v>May</v>
      </c>
    </row>
    <row r="1332" spans="1:17" x14ac:dyDescent="0.4">
      <c r="A1332" t="s">
        <v>1712</v>
      </c>
      <c r="B1332" s="1">
        <v>45965</v>
      </c>
      <c r="C1332" t="s">
        <v>159</v>
      </c>
      <c r="D1332" t="s">
        <v>14</v>
      </c>
      <c r="E1332" t="s">
        <v>559</v>
      </c>
      <c r="F1332" t="s">
        <v>23</v>
      </c>
      <c r="G1332">
        <v>5</v>
      </c>
      <c r="H1332">
        <v>703.31</v>
      </c>
      <c r="I1332">
        <v>25</v>
      </c>
      <c r="J1332">
        <v>356.41</v>
      </c>
      <c r="K1332" t="s">
        <v>17</v>
      </c>
      <c r="L1332" t="s">
        <v>18</v>
      </c>
      <c r="M1332">
        <f t="shared" si="100"/>
        <v>2637.4124999999999</v>
      </c>
      <c r="N1332">
        <f t="shared" si="101"/>
        <v>855.36249999999973</v>
      </c>
      <c r="O1332" t="str">
        <f t="shared" si="102"/>
        <v>Tuesday</v>
      </c>
      <c r="P1332" t="b">
        <f t="shared" si="103"/>
        <v>0</v>
      </c>
      <c r="Q1332" t="str">
        <f t="shared" si="104"/>
        <v>November</v>
      </c>
    </row>
    <row r="1333" spans="1:17" x14ac:dyDescent="0.4">
      <c r="A1333" t="s">
        <v>1713</v>
      </c>
      <c r="B1333" s="1">
        <v>45663</v>
      </c>
      <c r="C1333" t="s">
        <v>278</v>
      </c>
      <c r="D1333" t="s">
        <v>31</v>
      </c>
      <c r="E1333" t="s">
        <v>414</v>
      </c>
      <c r="F1333" t="s">
        <v>28</v>
      </c>
      <c r="G1333">
        <v>5</v>
      </c>
      <c r="H1333">
        <v>460.99</v>
      </c>
      <c r="I1333">
        <v>25</v>
      </c>
      <c r="J1333">
        <v>220.16</v>
      </c>
      <c r="K1333" t="s">
        <v>17</v>
      </c>
      <c r="L1333" t="s">
        <v>18</v>
      </c>
      <c r="M1333">
        <f t="shared" si="100"/>
        <v>1728.7124999999999</v>
      </c>
      <c r="N1333">
        <f t="shared" si="101"/>
        <v>627.91249999999991</v>
      </c>
      <c r="O1333" t="str">
        <f t="shared" si="102"/>
        <v>Monday</v>
      </c>
      <c r="P1333" t="b">
        <f t="shared" si="103"/>
        <v>0</v>
      </c>
      <c r="Q1333" t="str">
        <f t="shared" si="104"/>
        <v>January</v>
      </c>
    </row>
    <row r="1334" spans="1:17" x14ac:dyDescent="0.4">
      <c r="A1334" t="s">
        <v>1714</v>
      </c>
      <c r="B1334" s="1">
        <v>45430</v>
      </c>
      <c r="C1334" t="s">
        <v>65</v>
      </c>
      <c r="D1334" t="s">
        <v>46</v>
      </c>
      <c r="E1334" t="s">
        <v>841</v>
      </c>
      <c r="F1334" t="s">
        <v>16</v>
      </c>
      <c r="G1334">
        <v>3</v>
      </c>
      <c r="H1334">
        <v>1663.11</v>
      </c>
      <c r="I1334">
        <v>30</v>
      </c>
      <c r="J1334">
        <v>815.34</v>
      </c>
      <c r="K1334" t="s">
        <v>24</v>
      </c>
      <c r="L1334" t="s">
        <v>33</v>
      </c>
      <c r="M1334">
        <f t="shared" si="100"/>
        <v>3492.5309999999999</v>
      </c>
      <c r="N1334">
        <f t="shared" si="101"/>
        <v>1046.511</v>
      </c>
      <c r="O1334" t="str">
        <f t="shared" si="102"/>
        <v>Saturday</v>
      </c>
      <c r="P1334" t="b">
        <f t="shared" si="103"/>
        <v>1</v>
      </c>
      <c r="Q1334" t="str">
        <f t="shared" si="104"/>
        <v>May</v>
      </c>
    </row>
    <row r="1335" spans="1:17" x14ac:dyDescent="0.4">
      <c r="A1335" t="s">
        <v>1715</v>
      </c>
      <c r="B1335" s="1">
        <v>45989</v>
      </c>
      <c r="C1335" t="s">
        <v>71</v>
      </c>
      <c r="D1335" t="s">
        <v>31</v>
      </c>
      <c r="E1335" t="s">
        <v>123</v>
      </c>
      <c r="F1335" t="s">
        <v>23</v>
      </c>
      <c r="G1335">
        <v>2</v>
      </c>
      <c r="H1335">
        <v>1551.72</v>
      </c>
      <c r="I1335">
        <v>30</v>
      </c>
      <c r="J1335">
        <v>716.57</v>
      </c>
      <c r="K1335" t="s">
        <v>17</v>
      </c>
      <c r="L1335" t="s">
        <v>33</v>
      </c>
      <c r="M1335">
        <f t="shared" si="100"/>
        <v>2172.4079999999999</v>
      </c>
      <c r="N1335">
        <f t="shared" si="101"/>
        <v>739.2679999999998</v>
      </c>
      <c r="O1335" t="str">
        <f t="shared" si="102"/>
        <v>Friday</v>
      </c>
      <c r="P1335" t="b">
        <f t="shared" si="103"/>
        <v>0</v>
      </c>
      <c r="Q1335" t="str">
        <f t="shared" si="104"/>
        <v>November</v>
      </c>
    </row>
    <row r="1336" spans="1:17" x14ac:dyDescent="0.4">
      <c r="A1336" t="s">
        <v>1716</v>
      </c>
      <c r="B1336" s="1">
        <v>45827</v>
      </c>
      <c r="C1336" t="s">
        <v>273</v>
      </c>
      <c r="D1336" t="s">
        <v>21</v>
      </c>
      <c r="E1336" t="s">
        <v>254</v>
      </c>
      <c r="F1336" t="s">
        <v>23</v>
      </c>
      <c r="G1336">
        <v>1</v>
      </c>
      <c r="H1336">
        <v>1424.39</v>
      </c>
      <c r="I1336">
        <v>5</v>
      </c>
      <c r="J1336">
        <v>661.68</v>
      </c>
      <c r="K1336" t="s">
        <v>17</v>
      </c>
      <c r="L1336" t="s">
        <v>37</v>
      </c>
      <c r="M1336">
        <f t="shared" si="100"/>
        <v>1353.1704999999999</v>
      </c>
      <c r="N1336">
        <f t="shared" si="101"/>
        <v>691.4905</v>
      </c>
      <c r="O1336" t="str">
        <f t="shared" si="102"/>
        <v>Thursday</v>
      </c>
      <c r="P1336" t="b">
        <f t="shared" si="103"/>
        <v>0</v>
      </c>
      <c r="Q1336" t="str">
        <f t="shared" si="104"/>
        <v>June</v>
      </c>
    </row>
    <row r="1337" spans="1:17" x14ac:dyDescent="0.4">
      <c r="A1337" t="s">
        <v>1717</v>
      </c>
      <c r="B1337" s="1">
        <v>45724</v>
      </c>
      <c r="C1337" t="s">
        <v>224</v>
      </c>
      <c r="D1337" t="s">
        <v>31</v>
      </c>
      <c r="E1337" t="s">
        <v>336</v>
      </c>
      <c r="F1337" t="s">
        <v>28</v>
      </c>
      <c r="G1337">
        <v>3</v>
      </c>
      <c r="H1337">
        <v>2545.6999999999998</v>
      </c>
      <c r="I1337">
        <v>5</v>
      </c>
      <c r="J1337">
        <v>1161.8900000000001</v>
      </c>
      <c r="K1337" t="s">
        <v>24</v>
      </c>
      <c r="L1337" t="s">
        <v>18</v>
      </c>
      <c r="M1337">
        <f t="shared" si="100"/>
        <v>7255.244999999999</v>
      </c>
      <c r="N1337">
        <f t="shared" si="101"/>
        <v>3769.5749999999989</v>
      </c>
      <c r="O1337" t="str">
        <f t="shared" si="102"/>
        <v>Saturday</v>
      </c>
      <c r="P1337" t="b">
        <f t="shared" si="103"/>
        <v>1</v>
      </c>
      <c r="Q1337" t="str">
        <f t="shared" si="104"/>
        <v>March</v>
      </c>
    </row>
    <row r="1338" spans="1:17" x14ac:dyDescent="0.4">
      <c r="A1338" t="s">
        <v>1718</v>
      </c>
      <c r="B1338" s="1">
        <v>45470</v>
      </c>
      <c r="C1338" t="s">
        <v>302</v>
      </c>
      <c r="D1338" t="s">
        <v>14</v>
      </c>
      <c r="E1338" t="s">
        <v>780</v>
      </c>
      <c r="F1338" t="s">
        <v>16</v>
      </c>
      <c r="G1338">
        <v>1</v>
      </c>
      <c r="H1338">
        <v>2359.59</v>
      </c>
      <c r="I1338">
        <v>15</v>
      </c>
      <c r="J1338">
        <v>951</v>
      </c>
      <c r="K1338" t="s">
        <v>17</v>
      </c>
      <c r="L1338" t="s">
        <v>33</v>
      </c>
      <c r="M1338">
        <f t="shared" si="100"/>
        <v>2005.6515000000002</v>
      </c>
      <c r="N1338">
        <f t="shared" si="101"/>
        <v>1054.6515000000002</v>
      </c>
      <c r="O1338" t="str">
        <f t="shared" si="102"/>
        <v>Thursday</v>
      </c>
      <c r="P1338" t="b">
        <f t="shared" si="103"/>
        <v>0</v>
      </c>
      <c r="Q1338" t="str">
        <f t="shared" si="104"/>
        <v>June</v>
      </c>
    </row>
    <row r="1339" spans="1:17" x14ac:dyDescent="0.4">
      <c r="A1339" t="s">
        <v>1719</v>
      </c>
      <c r="B1339" s="1">
        <v>45788</v>
      </c>
      <c r="C1339" t="s">
        <v>146</v>
      </c>
      <c r="D1339" t="s">
        <v>21</v>
      </c>
      <c r="E1339" t="s">
        <v>334</v>
      </c>
      <c r="F1339" t="s">
        <v>16</v>
      </c>
      <c r="G1339">
        <v>2</v>
      </c>
      <c r="H1339">
        <v>2729.87</v>
      </c>
      <c r="I1339">
        <v>15</v>
      </c>
      <c r="J1339">
        <v>1131.93</v>
      </c>
      <c r="K1339" t="s">
        <v>24</v>
      </c>
      <c r="L1339" t="s">
        <v>33</v>
      </c>
      <c r="M1339">
        <f t="shared" si="100"/>
        <v>4640.7789999999995</v>
      </c>
      <c r="N1339">
        <f t="shared" si="101"/>
        <v>2376.9189999999994</v>
      </c>
      <c r="O1339" t="str">
        <f t="shared" si="102"/>
        <v>Sunday</v>
      </c>
      <c r="P1339" t="b">
        <f t="shared" si="103"/>
        <v>1</v>
      </c>
      <c r="Q1339" t="str">
        <f t="shared" si="104"/>
        <v>May</v>
      </c>
    </row>
    <row r="1340" spans="1:17" x14ac:dyDescent="0.4">
      <c r="A1340" t="s">
        <v>1720</v>
      </c>
      <c r="B1340" s="1">
        <v>45456</v>
      </c>
      <c r="C1340" t="s">
        <v>226</v>
      </c>
      <c r="D1340" t="s">
        <v>46</v>
      </c>
      <c r="E1340" t="s">
        <v>188</v>
      </c>
      <c r="F1340" t="s">
        <v>28</v>
      </c>
      <c r="G1340">
        <v>5</v>
      </c>
      <c r="H1340">
        <v>909.45</v>
      </c>
      <c r="I1340">
        <v>20</v>
      </c>
      <c r="J1340">
        <v>602.44000000000005</v>
      </c>
      <c r="K1340" t="s">
        <v>17</v>
      </c>
      <c r="L1340" t="s">
        <v>37</v>
      </c>
      <c r="M1340">
        <f t="shared" si="100"/>
        <v>3637.8</v>
      </c>
      <c r="N1340">
        <f t="shared" si="101"/>
        <v>625.59999999999991</v>
      </c>
      <c r="O1340" t="str">
        <f t="shared" si="102"/>
        <v>Thursday</v>
      </c>
      <c r="P1340" t="b">
        <f t="shared" si="103"/>
        <v>0</v>
      </c>
      <c r="Q1340" t="str">
        <f t="shared" si="104"/>
        <v>June</v>
      </c>
    </row>
    <row r="1341" spans="1:17" x14ac:dyDescent="0.4">
      <c r="A1341" t="s">
        <v>1721</v>
      </c>
      <c r="B1341" s="1">
        <v>45566</v>
      </c>
      <c r="C1341" t="s">
        <v>146</v>
      </c>
      <c r="D1341" t="s">
        <v>21</v>
      </c>
      <c r="E1341" t="s">
        <v>66</v>
      </c>
      <c r="F1341" t="s">
        <v>16</v>
      </c>
      <c r="G1341">
        <v>3</v>
      </c>
      <c r="H1341">
        <v>946.38</v>
      </c>
      <c r="I1341">
        <v>0</v>
      </c>
      <c r="J1341">
        <v>425.57</v>
      </c>
      <c r="K1341" t="s">
        <v>17</v>
      </c>
      <c r="L1341" t="s">
        <v>18</v>
      </c>
      <c r="M1341">
        <f t="shared" si="100"/>
        <v>2839.14</v>
      </c>
      <c r="N1341">
        <f t="shared" si="101"/>
        <v>1562.4299999999998</v>
      </c>
      <c r="O1341" t="str">
        <f t="shared" si="102"/>
        <v>Tuesday</v>
      </c>
      <c r="P1341" t="b">
        <f t="shared" si="103"/>
        <v>0</v>
      </c>
      <c r="Q1341" t="str">
        <f t="shared" si="104"/>
        <v>October</v>
      </c>
    </row>
    <row r="1342" spans="1:17" x14ac:dyDescent="0.4">
      <c r="A1342" t="s">
        <v>1722</v>
      </c>
      <c r="B1342" s="1">
        <v>45638</v>
      </c>
      <c r="C1342" t="s">
        <v>89</v>
      </c>
      <c r="D1342" t="s">
        <v>21</v>
      </c>
      <c r="E1342" t="s">
        <v>287</v>
      </c>
      <c r="F1342" t="s">
        <v>28</v>
      </c>
      <c r="G1342">
        <v>1</v>
      </c>
      <c r="H1342">
        <v>2942.8</v>
      </c>
      <c r="I1342">
        <v>25</v>
      </c>
      <c r="J1342">
        <v>1844.03</v>
      </c>
      <c r="K1342" t="s">
        <v>17</v>
      </c>
      <c r="L1342" t="s">
        <v>37</v>
      </c>
      <c r="M1342">
        <f t="shared" si="100"/>
        <v>2207.1000000000004</v>
      </c>
      <c r="N1342">
        <f t="shared" si="101"/>
        <v>363.07000000000039</v>
      </c>
      <c r="O1342" t="str">
        <f t="shared" si="102"/>
        <v>Thursday</v>
      </c>
      <c r="P1342" t="b">
        <f t="shared" si="103"/>
        <v>0</v>
      </c>
      <c r="Q1342" t="str">
        <f t="shared" si="104"/>
        <v>December</v>
      </c>
    </row>
    <row r="1343" spans="1:17" x14ac:dyDescent="0.4">
      <c r="A1343" t="s">
        <v>1723</v>
      </c>
      <c r="B1343" s="1">
        <v>45405</v>
      </c>
      <c r="C1343" t="s">
        <v>77</v>
      </c>
      <c r="D1343" t="s">
        <v>21</v>
      </c>
      <c r="E1343" t="s">
        <v>432</v>
      </c>
      <c r="F1343" t="s">
        <v>28</v>
      </c>
      <c r="G1343">
        <v>2</v>
      </c>
      <c r="H1343">
        <v>2424.83</v>
      </c>
      <c r="I1343">
        <v>25</v>
      </c>
      <c r="J1343">
        <v>1686.85</v>
      </c>
      <c r="K1343" t="s">
        <v>24</v>
      </c>
      <c r="L1343" t="s">
        <v>33</v>
      </c>
      <c r="M1343">
        <f t="shared" si="100"/>
        <v>3637.2449999999999</v>
      </c>
      <c r="N1343">
        <f t="shared" si="101"/>
        <v>263.54500000000007</v>
      </c>
      <c r="O1343" t="str">
        <f t="shared" si="102"/>
        <v>Tuesday</v>
      </c>
      <c r="P1343" t="b">
        <f t="shared" si="103"/>
        <v>0</v>
      </c>
      <c r="Q1343" t="str">
        <f t="shared" si="104"/>
        <v>April</v>
      </c>
    </row>
    <row r="1344" spans="1:17" x14ac:dyDescent="0.4">
      <c r="A1344" t="s">
        <v>1724</v>
      </c>
      <c r="B1344" s="1">
        <v>45421</v>
      </c>
      <c r="C1344" t="s">
        <v>51</v>
      </c>
      <c r="D1344" t="s">
        <v>46</v>
      </c>
      <c r="E1344" t="s">
        <v>528</v>
      </c>
      <c r="F1344" t="s">
        <v>23</v>
      </c>
      <c r="G1344">
        <v>4</v>
      </c>
      <c r="H1344">
        <v>2145.9499999999998</v>
      </c>
      <c r="I1344">
        <v>5</v>
      </c>
      <c r="J1344">
        <v>1387.7</v>
      </c>
      <c r="K1344" t="s">
        <v>17</v>
      </c>
      <c r="L1344" t="s">
        <v>18</v>
      </c>
      <c r="M1344">
        <f t="shared" si="100"/>
        <v>8154.6099999999988</v>
      </c>
      <c r="N1344">
        <f t="shared" si="101"/>
        <v>2603.8099999999986</v>
      </c>
      <c r="O1344" t="str">
        <f t="shared" si="102"/>
        <v>Thursday</v>
      </c>
      <c r="P1344" t="b">
        <f t="shared" si="103"/>
        <v>0</v>
      </c>
      <c r="Q1344" t="str">
        <f t="shared" si="104"/>
        <v>May</v>
      </c>
    </row>
    <row r="1345" spans="1:17" x14ac:dyDescent="0.4">
      <c r="A1345" t="s">
        <v>1725</v>
      </c>
      <c r="B1345" s="1">
        <v>45835</v>
      </c>
      <c r="C1345" t="s">
        <v>62</v>
      </c>
      <c r="D1345" t="s">
        <v>31</v>
      </c>
      <c r="E1345" t="s">
        <v>493</v>
      </c>
      <c r="F1345" t="s">
        <v>16</v>
      </c>
      <c r="G1345">
        <v>5</v>
      </c>
      <c r="H1345">
        <v>2916.79</v>
      </c>
      <c r="I1345">
        <v>10</v>
      </c>
      <c r="J1345">
        <v>1452.71</v>
      </c>
      <c r="K1345" t="s">
        <v>24</v>
      </c>
      <c r="L1345" t="s">
        <v>18</v>
      </c>
      <c r="M1345">
        <f t="shared" si="100"/>
        <v>13125.555</v>
      </c>
      <c r="N1345">
        <f t="shared" si="101"/>
        <v>5862.0050000000001</v>
      </c>
      <c r="O1345" t="str">
        <f t="shared" si="102"/>
        <v>Friday</v>
      </c>
      <c r="P1345" t="b">
        <f t="shared" si="103"/>
        <v>0</v>
      </c>
      <c r="Q1345" t="str">
        <f t="shared" si="104"/>
        <v>June</v>
      </c>
    </row>
    <row r="1346" spans="1:17" x14ac:dyDescent="0.4">
      <c r="A1346" t="s">
        <v>1726</v>
      </c>
      <c r="B1346" s="1">
        <v>45631</v>
      </c>
      <c r="C1346" t="s">
        <v>302</v>
      </c>
      <c r="D1346" t="s">
        <v>31</v>
      </c>
      <c r="E1346" t="s">
        <v>160</v>
      </c>
      <c r="F1346" t="s">
        <v>23</v>
      </c>
      <c r="G1346">
        <v>5</v>
      </c>
      <c r="H1346">
        <v>502.01</v>
      </c>
      <c r="I1346">
        <v>0</v>
      </c>
      <c r="J1346">
        <v>346.69</v>
      </c>
      <c r="K1346" t="s">
        <v>17</v>
      </c>
      <c r="L1346" t="s">
        <v>37</v>
      </c>
      <c r="M1346">
        <f t="shared" si="100"/>
        <v>2510.0500000000002</v>
      </c>
      <c r="N1346">
        <f t="shared" si="101"/>
        <v>776.60000000000014</v>
      </c>
      <c r="O1346" t="str">
        <f t="shared" si="102"/>
        <v>Thursday</v>
      </c>
      <c r="P1346" t="b">
        <f t="shared" si="103"/>
        <v>0</v>
      </c>
      <c r="Q1346" t="str">
        <f t="shared" si="104"/>
        <v>December</v>
      </c>
    </row>
    <row r="1347" spans="1:17" x14ac:dyDescent="0.4">
      <c r="A1347" t="s">
        <v>1727</v>
      </c>
      <c r="B1347" s="1">
        <v>45771</v>
      </c>
      <c r="C1347" t="s">
        <v>20</v>
      </c>
      <c r="D1347" t="s">
        <v>46</v>
      </c>
      <c r="E1347" t="s">
        <v>488</v>
      </c>
      <c r="F1347" t="s">
        <v>23</v>
      </c>
      <c r="G1347">
        <v>2</v>
      </c>
      <c r="H1347">
        <v>639.11</v>
      </c>
      <c r="I1347">
        <v>0</v>
      </c>
      <c r="J1347">
        <v>376.78</v>
      </c>
      <c r="K1347" t="s">
        <v>24</v>
      </c>
      <c r="L1347" t="s">
        <v>37</v>
      </c>
      <c r="M1347">
        <f t="shared" ref="M1347:M1410" si="105">G1347 * H1347 * (1 - I1347/100)</f>
        <v>1278.22</v>
      </c>
      <c r="N1347">
        <f t="shared" ref="N1347:N1410" si="106">M1347 - (J1347 * G1347)</f>
        <v>524.66000000000008</v>
      </c>
      <c r="O1347" t="str">
        <f t="shared" ref="O1347:O1410" si="107">TEXT(B1347,"dddd")</f>
        <v>Thursday</v>
      </c>
      <c r="P1347" t="b">
        <f t="shared" ref="P1347:P1410" si="108">OR(TEXT(B1347,"ddd")="Sat", TEXT(B1347,"ddd")="Sun")</f>
        <v>0</v>
      </c>
      <c r="Q1347" t="str">
        <f t="shared" ref="Q1347:Q1410" si="109">TEXT(B1347,"mmmm")</f>
        <v>April</v>
      </c>
    </row>
    <row r="1348" spans="1:17" x14ac:dyDescent="0.4">
      <c r="A1348" t="s">
        <v>1728</v>
      </c>
      <c r="B1348" s="1">
        <v>45950</v>
      </c>
      <c r="C1348" t="s">
        <v>267</v>
      </c>
      <c r="D1348" t="s">
        <v>14</v>
      </c>
      <c r="E1348" t="s">
        <v>1016</v>
      </c>
      <c r="F1348" t="s">
        <v>23</v>
      </c>
      <c r="G1348">
        <v>4</v>
      </c>
      <c r="H1348">
        <v>2977.94</v>
      </c>
      <c r="I1348">
        <v>25</v>
      </c>
      <c r="J1348">
        <v>1629.96</v>
      </c>
      <c r="K1348" t="s">
        <v>24</v>
      </c>
      <c r="L1348" t="s">
        <v>18</v>
      </c>
      <c r="M1348">
        <f t="shared" si="105"/>
        <v>8933.82</v>
      </c>
      <c r="N1348">
        <f t="shared" si="106"/>
        <v>2413.9799999999996</v>
      </c>
      <c r="O1348" t="str">
        <f t="shared" si="107"/>
        <v>Monday</v>
      </c>
      <c r="P1348" t="b">
        <f t="shared" si="108"/>
        <v>0</v>
      </c>
      <c r="Q1348" t="str">
        <f t="shared" si="109"/>
        <v>October</v>
      </c>
    </row>
    <row r="1349" spans="1:17" x14ac:dyDescent="0.4">
      <c r="A1349" t="s">
        <v>1729</v>
      </c>
      <c r="B1349" s="1">
        <v>45426</v>
      </c>
      <c r="C1349" t="s">
        <v>92</v>
      </c>
      <c r="D1349" t="s">
        <v>46</v>
      </c>
      <c r="E1349" t="s">
        <v>516</v>
      </c>
      <c r="F1349" t="s">
        <v>16</v>
      </c>
      <c r="G1349">
        <v>1</v>
      </c>
      <c r="H1349">
        <v>2090.56</v>
      </c>
      <c r="I1349">
        <v>10</v>
      </c>
      <c r="J1349">
        <v>1161.53</v>
      </c>
      <c r="K1349" t="s">
        <v>17</v>
      </c>
      <c r="L1349" t="s">
        <v>33</v>
      </c>
      <c r="M1349">
        <f t="shared" si="105"/>
        <v>1881.5039999999999</v>
      </c>
      <c r="N1349">
        <f t="shared" si="106"/>
        <v>719.97399999999993</v>
      </c>
      <c r="O1349" t="str">
        <f t="shared" si="107"/>
        <v>Tuesday</v>
      </c>
      <c r="P1349" t="b">
        <f t="shared" si="108"/>
        <v>0</v>
      </c>
      <c r="Q1349" t="str">
        <f t="shared" si="109"/>
        <v>May</v>
      </c>
    </row>
    <row r="1350" spans="1:17" x14ac:dyDescent="0.4">
      <c r="A1350" t="s">
        <v>1730</v>
      </c>
      <c r="B1350" s="1">
        <v>45422</v>
      </c>
      <c r="C1350" t="s">
        <v>174</v>
      </c>
      <c r="D1350" t="s">
        <v>14</v>
      </c>
      <c r="E1350" t="s">
        <v>238</v>
      </c>
      <c r="F1350" t="s">
        <v>28</v>
      </c>
      <c r="G1350">
        <v>2</v>
      </c>
      <c r="H1350">
        <v>2173.7600000000002</v>
      </c>
      <c r="I1350">
        <v>20</v>
      </c>
      <c r="J1350">
        <v>1140.3</v>
      </c>
      <c r="K1350" t="s">
        <v>17</v>
      </c>
      <c r="L1350" t="s">
        <v>18</v>
      </c>
      <c r="M1350">
        <f t="shared" si="105"/>
        <v>3478.0160000000005</v>
      </c>
      <c r="N1350">
        <f t="shared" si="106"/>
        <v>1197.4160000000006</v>
      </c>
      <c r="O1350" t="str">
        <f t="shared" si="107"/>
        <v>Friday</v>
      </c>
      <c r="P1350" t="b">
        <f t="shared" si="108"/>
        <v>0</v>
      </c>
      <c r="Q1350" t="str">
        <f t="shared" si="109"/>
        <v>May</v>
      </c>
    </row>
    <row r="1351" spans="1:17" x14ac:dyDescent="0.4">
      <c r="A1351" t="s">
        <v>1731</v>
      </c>
      <c r="B1351" s="1">
        <v>45964</v>
      </c>
      <c r="C1351" t="s">
        <v>98</v>
      </c>
      <c r="D1351" t="s">
        <v>31</v>
      </c>
      <c r="E1351" t="s">
        <v>188</v>
      </c>
      <c r="F1351" t="s">
        <v>23</v>
      </c>
      <c r="G1351">
        <v>2</v>
      </c>
      <c r="H1351">
        <v>2514.36</v>
      </c>
      <c r="I1351">
        <v>30</v>
      </c>
      <c r="J1351">
        <v>1731.74</v>
      </c>
      <c r="K1351" t="s">
        <v>17</v>
      </c>
      <c r="L1351" t="s">
        <v>18</v>
      </c>
      <c r="M1351">
        <f t="shared" si="105"/>
        <v>3520.1039999999998</v>
      </c>
      <c r="N1351">
        <f t="shared" si="106"/>
        <v>56.623999999999796</v>
      </c>
      <c r="O1351" t="str">
        <f t="shared" si="107"/>
        <v>Monday</v>
      </c>
      <c r="P1351" t="b">
        <f t="shared" si="108"/>
        <v>0</v>
      </c>
      <c r="Q1351" t="str">
        <f t="shared" si="109"/>
        <v>November</v>
      </c>
    </row>
    <row r="1352" spans="1:17" x14ac:dyDescent="0.4">
      <c r="A1352" t="s">
        <v>1732</v>
      </c>
      <c r="B1352" s="1">
        <v>45372</v>
      </c>
      <c r="C1352" t="s">
        <v>51</v>
      </c>
      <c r="D1352" t="s">
        <v>31</v>
      </c>
      <c r="E1352" t="s">
        <v>78</v>
      </c>
      <c r="F1352" t="s">
        <v>23</v>
      </c>
      <c r="G1352">
        <v>4</v>
      </c>
      <c r="H1352">
        <v>2758.85</v>
      </c>
      <c r="I1352">
        <v>25</v>
      </c>
      <c r="J1352">
        <v>1589.59</v>
      </c>
      <c r="K1352" t="s">
        <v>24</v>
      </c>
      <c r="L1352" t="s">
        <v>37</v>
      </c>
      <c r="M1352">
        <f t="shared" si="105"/>
        <v>8276.5499999999993</v>
      </c>
      <c r="N1352">
        <f t="shared" si="106"/>
        <v>1918.1899999999996</v>
      </c>
      <c r="O1352" t="str">
        <f t="shared" si="107"/>
        <v>Thursday</v>
      </c>
      <c r="P1352" t="b">
        <f t="shared" si="108"/>
        <v>0</v>
      </c>
      <c r="Q1352" t="str">
        <f t="shared" si="109"/>
        <v>March</v>
      </c>
    </row>
    <row r="1353" spans="1:17" x14ac:dyDescent="0.4">
      <c r="A1353" t="s">
        <v>1733</v>
      </c>
      <c r="B1353" s="1">
        <v>45389</v>
      </c>
      <c r="C1353" t="s">
        <v>42</v>
      </c>
      <c r="D1353" t="s">
        <v>21</v>
      </c>
      <c r="E1353" t="s">
        <v>546</v>
      </c>
      <c r="F1353" t="s">
        <v>28</v>
      </c>
      <c r="G1353">
        <v>1</v>
      </c>
      <c r="H1353">
        <v>2953.36</v>
      </c>
      <c r="I1353">
        <v>10</v>
      </c>
      <c r="J1353">
        <v>1931.73</v>
      </c>
      <c r="K1353" t="s">
        <v>17</v>
      </c>
      <c r="L1353" t="s">
        <v>37</v>
      </c>
      <c r="M1353">
        <f t="shared" si="105"/>
        <v>2658.0240000000003</v>
      </c>
      <c r="N1353">
        <f t="shared" si="106"/>
        <v>726.29400000000032</v>
      </c>
      <c r="O1353" t="str">
        <f t="shared" si="107"/>
        <v>Sunday</v>
      </c>
      <c r="P1353" t="b">
        <f t="shared" si="108"/>
        <v>1</v>
      </c>
      <c r="Q1353" t="str">
        <f t="shared" si="109"/>
        <v>April</v>
      </c>
    </row>
    <row r="1354" spans="1:17" x14ac:dyDescent="0.4">
      <c r="A1354" t="s">
        <v>1734</v>
      </c>
      <c r="B1354" s="1">
        <v>45300</v>
      </c>
      <c r="C1354" t="s">
        <v>35</v>
      </c>
      <c r="D1354" t="s">
        <v>46</v>
      </c>
      <c r="E1354" t="s">
        <v>757</v>
      </c>
      <c r="F1354" t="s">
        <v>23</v>
      </c>
      <c r="G1354">
        <v>2</v>
      </c>
      <c r="H1354">
        <v>2878.04</v>
      </c>
      <c r="I1354">
        <v>10</v>
      </c>
      <c r="J1354">
        <v>1927.39</v>
      </c>
      <c r="K1354" t="s">
        <v>24</v>
      </c>
      <c r="L1354" t="s">
        <v>37</v>
      </c>
      <c r="M1354">
        <f t="shared" si="105"/>
        <v>5180.4719999999998</v>
      </c>
      <c r="N1354">
        <f t="shared" si="106"/>
        <v>1325.6919999999996</v>
      </c>
      <c r="O1354" t="str">
        <f t="shared" si="107"/>
        <v>Tuesday</v>
      </c>
      <c r="P1354" t="b">
        <f t="shared" si="108"/>
        <v>0</v>
      </c>
      <c r="Q1354" t="str">
        <f t="shared" si="109"/>
        <v>January</v>
      </c>
    </row>
    <row r="1355" spans="1:17" x14ac:dyDescent="0.4">
      <c r="A1355" t="s">
        <v>1735</v>
      </c>
      <c r="B1355" s="1">
        <v>45657</v>
      </c>
      <c r="C1355" t="s">
        <v>179</v>
      </c>
      <c r="D1355" t="s">
        <v>14</v>
      </c>
      <c r="E1355" t="s">
        <v>43</v>
      </c>
      <c r="F1355" t="s">
        <v>16</v>
      </c>
      <c r="G1355">
        <v>4</v>
      </c>
      <c r="H1355">
        <v>2582.0300000000002</v>
      </c>
      <c r="I1355">
        <v>25</v>
      </c>
      <c r="J1355">
        <v>1189.98</v>
      </c>
      <c r="K1355" t="s">
        <v>17</v>
      </c>
      <c r="L1355" t="s">
        <v>37</v>
      </c>
      <c r="M1355">
        <f t="shared" si="105"/>
        <v>7746.09</v>
      </c>
      <c r="N1355">
        <f t="shared" si="106"/>
        <v>2986.17</v>
      </c>
      <c r="O1355" t="str">
        <f t="shared" si="107"/>
        <v>Tuesday</v>
      </c>
      <c r="P1355" t="b">
        <f t="shared" si="108"/>
        <v>0</v>
      </c>
      <c r="Q1355" t="str">
        <f t="shared" si="109"/>
        <v>December</v>
      </c>
    </row>
    <row r="1356" spans="1:17" x14ac:dyDescent="0.4">
      <c r="A1356" t="s">
        <v>1736</v>
      </c>
      <c r="B1356" s="1">
        <v>45528</v>
      </c>
      <c r="C1356" t="s">
        <v>86</v>
      </c>
      <c r="D1356" t="s">
        <v>21</v>
      </c>
      <c r="E1356" t="s">
        <v>1284</v>
      </c>
      <c r="F1356" t="s">
        <v>28</v>
      </c>
      <c r="G1356">
        <v>2</v>
      </c>
      <c r="H1356">
        <v>1125.07</v>
      </c>
      <c r="I1356">
        <v>5</v>
      </c>
      <c r="J1356">
        <v>524.51</v>
      </c>
      <c r="K1356" t="s">
        <v>17</v>
      </c>
      <c r="L1356" t="s">
        <v>18</v>
      </c>
      <c r="M1356">
        <f t="shared" si="105"/>
        <v>2137.6329999999998</v>
      </c>
      <c r="N1356">
        <f t="shared" si="106"/>
        <v>1088.6129999999998</v>
      </c>
      <c r="O1356" t="str">
        <f t="shared" si="107"/>
        <v>Saturday</v>
      </c>
      <c r="P1356" t="b">
        <f t="shared" si="108"/>
        <v>1</v>
      </c>
      <c r="Q1356" t="str">
        <f t="shared" si="109"/>
        <v>August</v>
      </c>
    </row>
    <row r="1357" spans="1:17" x14ac:dyDescent="0.4">
      <c r="A1357" t="s">
        <v>1737</v>
      </c>
      <c r="B1357" s="1">
        <v>45310</v>
      </c>
      <c r="C1357" t="s">
        <v>71</v>
      </c>
      <c r="D1357" t="s">
        <v>14</v>
      </c>
      <c r="E1357" t="s">
        <v>662</v>
      </c>
      <c r="F1357" t="s">
        <v>28</v>
      </c>
      <c r="G1357">
        <v>5</v>
      </c>
      <c r="H1357">
        <v>564.47</v>
      </c>
      <c r="I1357">
        <v>10</v>
      </c>
      <c r="J1357">
        <v>358.49</v>
      </c>
      <c r="K1357" t="s">
        <v>17</v>
      </c>
      <c r="L1357" t="s">
        <v>18</v>
      </c>
      <c r="M1357">
        <f t="shared" si="105"/>
        <v>2540.1150000000002</v>
      </c>
      <c r="N1357">
        <f t="shared" si="106"/>
        <v>747.66500000000019</v>
      </c>
      <c r="O1357" t="str">
        <f t="shared" si="107"/>
        <v>Friday</v>
      </c>
      <c r="P1357" t="b">
        <f t="shared" si="108"/>
        <v>0</v>
      </c>
      <c r="Q1357" t="str">
        <f t="shared" si="109"/>
        <v>January</v>
      </c>
    </row>
    <row r="1358" spans="1:17" x14ac:dyDescent="0.4">
      <c r="A1358" t="s">
        <v>1738</v>
      </c>
      <c r="B1358" s="1">
        <v>45567</v>
      </c>
      <c r="C1358" t="s">
        <v>98</v>
      </c>
      <c r="D1358" t="s">
        <v>46</v>
      </c>
      <c r="E1358" t="s">
        <v>843</v>
      </c>
      <c r="F1358" t="s">
        <v>28</v>
      </c>
      <c r="G1358">
        <v>3</v>
      </c>
      <c r="H1358">
        <v>2600.79</v>
      </c>
      <c r="I1358">
        <v>0</v>
      </c>
      <c r="J1358">
        <v>1592.25</v>
      </c>
      <c r="K1358" t="s">
        <v>24</v>
      </c>
      <c r="L1358" t="s">
        <v>18</v>
      </c>
      <c r="M1358">
        <f t="shared" si="105"/>
        <v>7802.37</v>
      </c>
      <c r="N1358">
        <f t="shared" si="106"/>
        <v>3025.62</v>
      </c>
      <c r="O1358" t="str">
        <f t="shared" si="107"/>
        <v>Wednesday</v>
      </c>
      <c r="P1358" t="b">
        <f t="shared" si="108"/>
        <v>0</v>
      </c>
      <c r="Q1358" t="str">
        <f t="shared" si="109"/>
        <v>October</v>
      </c>
    </row>
    <row r="1359" spans="1:17" x14ac:dyDescent="0.4">
      <c r="A1359" t="s">
        <v>1739</v>
      </c>
      <c r="B1359" s="1">
        <v>45303</v>
      </c>
      <c r="C1359" t="s">
        <v>286</v>
      </c>
      <c r="D1359" t="s">
        <v>14</v>
      </c>
      <c r="E1359" t="s">
        <v>627</v>
      </c>
      <c r="F1359" t="s">
        <v>16</v>
      </c>
      <c r="G1359">
        <v>2</v>
      </c>
      <c r="H1359">
        <v>2299.9499999999998</v>
      </c>
      <c r="I1359">
        <v>5</v>
      </c>
      <c r="J1359">
        <v>1442.2</v>
      </c>
      <c r="K1359" t="s">
        <v>17</v>
      </c>
      <c r="L1359" t="s">
        <v>18</v>
      </c>
      <c r="M1359">
        <f t="shared" si="105"/>
        <v>4369.9049999999997</v>
      </c>
      <c r="N1359">
        <f t="shared" si="106"/>
        <v>1485.5049999999997</v>
      </c>
      <c r="O1359" t="str">
        <f t="shared" si="107"/>
        <v>Friday</v>
      </c>
      <c r="P1359" t="b">
        <f t="shared" si="108"/>
        <v>0</v>
      </c>
      <c r="Q1359" t="str">
        <f t="shared" si="109"/>
        <v>January</v>
      </c>
    </row>
    <row r="1360" spans="1:17" x14ac:dyDescent="0.4">
      <c r="A1360" t="s">
        <v>1740</v>
      </c>
      <c r="B1360" s="1">
        <v>45674</v>
      </c>
      <c r="C1360" t="s">
        <v>278</v>
      </c>
      <c r="D1360" t="s">
        <v>31</v>
      </c>
      <c r="E1360" t="s">
        <v>167</v>
      </c>
      <c r="F1360" t="s">
        <v>23</v>
      </c>
      <c r="G1360">
        <v>5</v>
      </c>
      <c r="H1360">
        <v>1676.82</v>
      </c>
      <c r="I1360">
        <v>0</v>
      </c>
      <c r="J1360">
        <v>1011.97</v>
      </c>
      <c r="K1360" t="s">
        <v>17</v>
      </c>
      <c r="L1360" t="s">
        <v>18</v>
      </c>
      <c r="M1360">
        <f t="shared" si="105"/>
        <v>8384.1</v>
      </c>
      <c r="N1360">
        <f t="shared" si="106"/>
        <v>3324.25</v>
      </c>
      <c r="O1360" t="str">
        <f t="shared" si="107"/>
        <v>Friday</v>
      </c>
      <c r="P1360" t="b">
        <f t="shared" si="108"/>
        <v>0</v>
      </c>
      <c r="Q1360" t="str">
        <f t="shared" si="109"/>
        <v>January</v>
      </c>
    </row>
    <row r="1361" spans="1:17" x14ac:dyDescent="0.4">
      <c r="A1361" t="s">
        <v>1741</v>
      </c>
      <c r="B1361" s="1">
        <v>45794</v>
      </c>
      <c r="C1361" t="s">
        <v>185</v>
      </c>
      <c r="D1361" t="s">
        <v>14</v>
      </c>
      <c r="E1361" t="s">
        <v>1383</v>
      </c>
      <c r="F1361" t="s">
        <v>28</v>
      </c>
      <c r="G1361">
        <v>1</v>
      </c>
      <c r="H1361">
        <v>431.84</v>
      </c>
      <c r="I1361">
        <v>30</v>
      </c>
      <c r="J1361">
        <v>187.51</v>
      </c>
      <c r="K1361" t="s">
        <v>24</v>
      </c>
      <c r="L1361" t="s">
        <v>18</v>
      </c>
      <c r="M1361">
        <f t="shared" si="105"/>
        <v>302.28799999999995</v>
      </c>
      <c r="N1361">
        <f t="shared" si="106"/>
        <v>114.77799999999996</v>
      </c>
      <c r="O1361" t="str">
        <f t="shared" si="107"/>
        <v>Saturday</v>
      </c>
      <c r="P1361" t="b">
        <f t="shared" si="108"/>
        <v>1</v>
      </c>
      <c r="Q1361" t="str">
        <f t="shared" si="109"/>
        <v>May</v>
      </c>
    </row>
    <row r="1362" spans="1:17" x14ac:dyDescent="0.4">
      <c r="A1362" t="s">
        <v>1742</v>
      </c>
      <c r="B1362" s="1">
        <v>45774</v>
      </c>
      <c r="C1362" t="s">
        <v>174</v>
      </c>
      <c r="D1362" t="s">
        <v>14</v>
      </c>
      <c r="E1362" t="s">
        <v>47</v>
      </c>
      <c r="F1362" t="s">
        <v>23</v>
      </c>
      <c r="G1362">
        <v>2</v>
      </c>
      <c r="H1362">
        <v>403.02</v>
      </c>
      <c r="I1362">
        <v>20</v>
      </c>
      <c r="J1362">
        <v>217.01</v>
      </c>
      <c r="K1362" t="s">
        <v>24</v>
      </c>
      <c r="L1362" t="s">
        <v>18</v>
      </c>
      <c r="M1362">
        <f t="shared" si="105"/>
        <v>644.83199999999999</v>
      </c>
      <c r="N1362">
        <f t="shared" si="106"/>
        <v>210.81200000000001</v>
      </c>
      <c r="O1362" t="str">
        <f t="shared" si="107"/>
        <v>Sunday</v>
      </c>
      <c r="P1362" t="b">
        <f t="shared" si="108"/>
        <v>1</v>
      </c>
      <c r="Q1362" t="str">
        <f t="shared" si="109"/>
        <v>April</v>
      </c>
    </row>
    <row r="1363" spans="1:17" x14ac:dyDescent="0.4">
      <c r="A1363" t="s">
        <v>1743</v>
      </c>
      <c r="B1363" s="1">
        <v>45731</v>
      </c>
      <c r="C1363" t="s">
        <v>26</v>
      </c>
      <c r="D1363" t="s">
        <v>31</v>
      </c>
      <c r="E1363" t="s">
        <v>194</v>
      </c>
      <c r="F1363" t="s">
        <v>16</v>
      </c>
      <c r="G1363">
        <v>1</v>
      </c>
      <c r="H1363">
        <v>365.26</v>
      </c>
      <c r="I1363">
        <v>25</v>
      </c>
      <c r="J1363">
        <v>202.23</v>
      </c>
      <c r="K1363" t="s">
        <v>17</v>
      </c>
      <c r="L1363" t="s">
        <v>18</v>
      </c>
      <c r="M1363">
        <f t="shared" si="105"/>
        <v>273.94499999999999</v>
      </c>
      <c r="N1363">
        <f t="shared" si="106"/>
        <v>71.715000000000003</v>
      </c>
      <c r="O1363" t="str">
        <f t="shared" si="107"/>
        <v>Saturday</v>
      </c>
      <c r="P1363" t="b">
        <f t="shared" si="108"/>
        <v>1</v>
      </c>
      <c r="Q1363" t="str">
        <f t="shared" si="109"/>
        <v>March</v>
      </c>
    </row>
    <row r="1364" spans="1:17" x14ac:dyDescent="0.4">
      <c r="A1364" t="s">
        <v>1744</v>
      </c>
      <c r="B1364" s="1">
        <v>45295</v>
      </c>
      <c r="C1364" t="s">
        <v>269</v>
      </c>
      <c r="D1364" t="s">
        <v>14</v>
      </c>
      <c r="E1364" t="s">
        <v>587</v>
      </c>
      <c r="F1364" t="s">
        <v>23</v>
      </c>
      <c r="G1364">
        <v>4</v>
      </c>
      <c r="H1364">
        <v>2029.05</v>
      </c>
      <c r="I1364">
        <v>20</v>
      </c>
      <c r="J1364">
        <v>820.99</v>
      </c>
      <c r="K1364" t="s">
        <v>17</v>
      </c>
      <c r="L1364" t="s">
        <v>18</v>
      </c>
      <c r="M1364">
        <f t="shared" si="105"/>
        <v>6492.96</v>
      </c>
      <c r="N1364">
        <f t="shared" si="106"/>
        <v>3209</v>
      </c>
      <c r="O1364" t="str">
        <f t="shared" si="107"/>
        <v>Thursday</v>
      </c>
      <c r="P1364" t="b">
        <f t="shared" si="108"/>
        <v>0</v>
      </c>
      <c r="Q1364" t="str">
        <f t="shared" si="109"/>
        <v>January</v>
      </c>
    </row>
    <row r="1365" spans="1:17" x14ac:dyDescent="0.4">
      <c r="A1365" t="s">
        <v>1745</v>
      </c>
      <c r="B1365" s="1">
        <v>45852</v>
      </c>
      <c r="C1365" t="s">
        <v>114</v>
      </c>
      <c r="D1365" t="s">
        <v>31</v>
      </c>
      <c r="E1365" t="s">
        <v>900</v>
      </c>
      <c r="F1365" t="s">
        <v>16</v>
      </c>
      <c r="G1365">
        <v>4</v>
      </c>
      <c r="H1365">
        <v>1411.22</v>
      </c>
      <c r="I1365">
        <v>15</v>
      </c>
      <c r="J1365">
        <v>856.44</v>
      </c>
      <c r="K1365" t="s">
        <v>17</v>
      </c>
      <c r="L1365" t="s">
        <v>18</v>
      </c>
      <c r="M1365">
        <f t="shared" si="105"/>
        <v>4798.1480000000001</v>
      </c>
      <c r="N1365">
        <f t="shared" si="106"/>
        <v>1372.3879999999999</v>
      </c>
      <c r="O1365" t="str">
        <f t="shared" si="107"/>
        <v>Monday</v>
      </c>
      <c r="P1365" t="b">
        <f t="shared" si="108"/>
        <v>0</v>
      </c>
      <c r="Q1365" t="str">
        <f t="shared" si="109"/>
        <v>July</v>
      </c>
    </row>
    <row r="1366" spans="1:17" x14ac:dyDescent="0.4">
      <c r="A1366" t="s">
        <v>1746</v>
      </c>
      <c r="B1366" s="1">
        <v>45595</v>
      </c>
      <c r="C1366" t="s">
        <v>302</v>
      </c>
      <c r="D1366" t="s">
        <v>21</v>
      </c>
      <c r="E1366" t="s">
        <v>1136</v>
      </c>
      <c r="F1366" t="s">
        <v>23</v>
      </c>
      <c r="G1366">
        <v>3</v>
      </c>
      <c r="H1366">
        <v>905.69</v>
      </c>
      <c r="I1366">
        <v>5</v>
      </c>
      <c r="J1366">
        <v>412.4</v>
      </c>
      <c r="K1366" t="s">
        <v>24</v>
      </c>
      <c r="L1366" t="s">
        <v>33</v>
      </c>
      <c r="M1366">
        <f t="shared" si="105"/>
        <v>2581.2165</v>
      </c>
      <c r="N1366">
        <f t="shared" si="106"/>
        <v>1344.0165000000002</v>
      </c>
      <c r="O1366" t="str">
        <f t="shared" si="107"/>
        <v>Wednesday</v>
      </c>
      <c r="P1366" t="b">
        <f t="shared" si="108"/>
        <v>0</v>
      </c>
      <c r="Q1366" t="str">
        <f t="shared" si="109"/>
        <v>October</v>
      </c>
    </row>
    <row r="1367" spans="1:17" x14ac:dyDescent="0.4">
      <c r="A1367" t="s">
        <v>1747</v>
      </c>
      <c r="B1367" s="1">
        <v>45850</v>
      </c>
      <c r="C1367" t="s">
        <v>269</v>
      </c>
      <c r="D1367" t="s">
        <v>31</v>
      </c>
      <c r="E1367" t="s">
        <v>398</v>
      </c>
      <c r="F1367" t="s">
        <v>16</v>
      </c>
      <c r="G1367">
        <v>2</v>
      </c>
      <c r="H1367">
        <v>2365.13</v>
      </c>
      <c r="I1367">
        <v>30</v>
      </c>
      <c r="J1367">
        <v>973.67</v>
      </c>
      <c r="K1367" t="s">
        <v>17</v>
      </c>
      <c r="L1367" t="s">
        <v>33</v>
      </c>
      <c r="M1367">
        <f t="shared" si="105"/>
        <v>3311.1819999999998</v>
      </c>
      <c r="N1367">
        <f t="shared" si="106"/>
        <v>1363.8419999999999</v>
      </c>
      <c r="O1367" t="str">
        <f t="shared" si="107"/>
        <v>Saturday</v>
      </c>
      <c r="P1367" t="b">
        <f t="shared" si="108"/>
        <v>1</v>
      </c>
      <c r="Q1367" t="str">
        <f t="shared" si="109"/>
        <v>July</v>
      </c>
    </row>
    <row r="1368" spans="1:17" x14ac:dyDescent="0.4">
      <c r="A1368" t="s">
        <v>1748</v>
      </c>
      <c r="B1368" s="1">
        <v>45849</v>
      </c>
      <c r="C1368" t="s">
        <v>109</v>
      </c>
      <c r="D1368" t="s">
        <v>46</v>
      </c>
      <c r="E1368" t="s">
        <v>132</v>
      </c>
      <c r="F1368" t="s">
        <v>16</v>
      </c>
      <c r="G1368">
        <v>1</v>
      </c>
      <c r="H1368">
        <v>2553.87</v>
      </c>
      <c r="I1368">
        <v>10</v>
      </c>
      <c r="J1368">
        <v>1774.78</v>
      </c>
      <c r="K1368" t="s">
        <v>24</v>
      </c>
      <c r="L1368" t="s">
        <v>33</v>
      </c>
      <c r="M1368">
        <f t="shared" si="105"/>
        <v>2298.4830000000002</v>
      </c>
      <c r="N1368">
        <f t="shared" si="106"/>
        <v>523.7030000000002</v>
      </c>
      <c r="O1368" t="str">
        <f t="shared" si="107"/>
        <v>Friday</v>
      </c>
      <c r="P1368" t="b">
        <f t="shared" si="108"/>
        <v>0</v>
      </c>
      <c r="Q1368" t="str">
        <f t="shared" si="109"/>
        <v>July</v>
      </c>
    </row>
    <row r="1369" spans="1:17" x14ac:dyDescent="0.4">
      <c r="A1369" t="s">
        <v>1749</v>
      </c>
      <c r="B1369" s="1">
        <v>45330</v>
      </c>
      <c r="C1369" t="s">
        <v>98</v>
      </c>
      <c r="D1369" t="s">
        <v>14</v>
      </c>
      <c r="E1369" t="s">
        <v>134</v>
      </c>
      <c r="F1369" t="s">
        <v>23</v>
      </c>
      <c r="G1369">
        <v>4</v>
      </c>
      <c r="H1369">
        <v>2193.36</v>
      </c>
      <c r="I1369">
        <v>15</v>
      </c>
      <c r="J1369">
        <v>1163.67</v>
      </c>
      <c r="K1369" t="s">
        <v>17</v>
      </c>
      <c r="L1369" t="s">
        <v>37</v>
      </c>
      <c r="M1369">
        <f t="shared" si="105"/>
        <v>7457.424</v>
      </c>
      <c r="N1369">
        <f t="shared" si="106"/>
        <v>2802.7439999999997</v>
      </c>
      <c r="O1369" t="str">
        <f t="shared" si="107"/>
        <v>Thursday</v>
      </c>
      <c r="P1369" t="b">
        <f t="shared" si="108"/>
        <v>0</v>
      </c>
      <c r="Q1369" t="str">
        <f t="shared" si="109"/>
        <v>February</v>
      </c>
    </row>
    <row r="1370" spans="1:17" x14ac:dyDescent="0.4">
      <c r="A1370" t="s">
        <v>1750</v>
      </c>
      <c r="B1370" s="1">
        <v>45834</v>
      </c>
      <c r="C1370" t="s">
        <v>226</v>
      </c>
      <c r="D1370" t="s">
        <v>21</v>
      </c>
      <c r="E1370" t="s">
        <v>401</v>
      </c>
      <c r="F1370" t="s">
        <v>16</v>
      </c>
      <c r="G1370">
        <v>2</v>
      </c>
      <c r="H1370">
        <v>714.72</v>
      </c>
      <c r="I1370">
        <v>30</v>
      </c>
      <c r="J1370">
        <v>455.62</v>
      </c>
      <c r="K1370" t="s">
        <v>17</v>
      </c>
      <c r="L1370" t="s">
        <v>18</v>
      </c>
      <c r="M1370">
        <f t="shared" si="105"/>
        <v>1000.6079999999999</v>
      </c>
      <c r="N1370">
        <f t="shared" si="106"/>
        <v>89.367999999999938</v>
      </c>
      <c r="O1370" t="str">
        <f t="shared" si="107"/>
        <v>Thursday</v>
      </c>
      <c r="P1370" t="b">
        <f t="shared" si="108"/>
        <v>0</v>
      </c>
      <c r="Q1370" t="str">
        <f t="shared" si="109"/>
        <v>June</v>
      </c>
    </row>
    <row r="1371" spans="1:17" x14ac:dyDescent="0.4">
      <c r="A1371" t="s">
        <v>1751</v>
      </c>
      <c r="B1371" s="1">
        <v>45321</v>
      </c>
      <c r="C1371" t="s">
        <v>20</v>
      </c>
      <c r="D1371" t="s">
        <v>14</v>
      </c>
      <c r="E1371" t="s">
        <v>47</v>
      </c>
      <c r="F1371" t="s">
        <v>16</v>
      </c>
      <c r="G1371">
        <v>2</v>
      </c>
      <c r="H1371">
        <v>2954.88</v>
      </c>
      <c r="I1371">
        <v>20</v>
      </c>
      <c r="J1371">
        <v>2037.42</v>
      </c>
      <c r="K1371" t="s">
        <v>17</v>
      </c>
      <c r="L1371" t="s">
        <v>18</v>
      </c>
      <c r="M1371">
        <f t="shared" si="105"/>
        <v>4727.808</v>
      </c>
      <c r="N1371">
        <f t="shared" si="106"/>
        <v>652.96799999999985</v>
      </c>
      <c r="O1371" t="str">
        <f t="shared" si="107"/>
        <v>Tuesday</v>
      </c>
      <c r="P1371" t="b">
        <f t="shared" si="108"/>
        <v>0</v>
      </c>
      <c r="Q1371" t="str">
        <f t="shared" si="109"/>
        <v>January</v>
      </c>
    </row>
    <row r="1372" spans="1:17" x14ac:dyDescent="0.4">
      <c r="A1372" t="s">
        <v>1752</v>
      </c>
      <c r="B1372" s="1">
        <v>45876</v>
      </c>
      <c r="C1372" t="s">
        <v>146</v>
      </c>
      <c r="D1372" t="s">
        <v>14</v>
      </c>
      <c r="E1372" t="s">
        <v>542</v>
      </c>
      <c r="F1372" t="s">
        <v>28</v>
      </c>
      <c r="G1372">
        <v>4</v>
      </c>
      <c r="H1372">
        <v>2980.69</v>
      </c>
      <c r="I1372">
        <v>20</v>
      </c>
      <c r="J1372">
        <v>1635.14</v>
      </c>
      <c r="K1372" t="s">
        <v>24</v>
      </c>
      <c r="L1372" t="s">
        <v>18</v>
      </c>
      <c r="M1372">
        <f t="shared" si="105"/>
        <v>9538.2080000000005</v>
      </c>
      <c r="N1372">
        <f t="shared" si="106"/>
        <v>2997.6480000000001</v>
      </c>
      <c r="O1372" t="str">
        <f t="shared" si="107"/>
        <v>Thursday</v>
      </c>
      <c r="P1372" t="b">
        <f t="shared" si="108"/>
        <v>0</v>
      </c>
      <c r="Q1372" t="str">
        <f t="shared" si="109"/>
        <v>August</v>
      </c>
    </row>
    <row r="1373" spans="1:17" x14ac:dyDescent="0.4">
      <c r="A1373" t="s">
        <v>1753</v>
      </c>
      <c r="B1373" s="1">
        <v>45929</v>
      </c>
      <c r="C1373" t="s">
        <v>114</v>
      </c>
      <c r="D1373" t="s">
        <v>21</v>
      </c>
      <c r="E1373" t="s">
        <v>191</v>
      </c>
      <c r="F1373" t="s">
        <v>28</v>
      </c>
      <c r="G1373">
        <v>5</v>
      </c>
      <c r="H1373">
        <v>1651.29</v>
      </c>
      <c r="I1373">
        <v>15</v>
      </c>
      <c r="J1373">
        <v>939.76</v>
      </c>
      <c r="K1373" t="s">
        <v>17</v>
      </c>
      <c r="L1373" t="s">
        <v>37</v>
      </c>
      <c r="M1373">
        <f t="shared" si="105"/>
        <v>7017.9825000000001</v>
      </c>
      <c r="N1373">
        <f t="shared" si="106"/>
        <v>2319.1824999999999</v>
      </c>
      <c r="O1373" t="str">
        <f t="shared" si="107"/>
        <v>Monday</v>
      </c>
      <c r="P1373" t="b">
        <f t="shared" si="108"/>
        <v>0</v>
      </c>
      <c r="Q1373" t="str">
        <f t="shared" si="109"/>
        <v>September</v>
      </c>
    </row>
    <row r="1374" spans="1:17" x14ac:dyDescent="0.4">
      <c r="A1374" t="s">
        <v>1754</v>
      </c>
      <c r="B1374" s="1">
        <v>45339</v>
      </c>
      <c r="C1374" t="s">
        <v>128</v>
      </c>
      <c r="D1374" t="s">
        <v>46</v>
      </c>
      <c r="E1374" t="s">
        <v>334</v>
      </c>
      <c r="F1374" t="s">
        <v>23</v>
      </c>
      <c r="G1374">
        <v>3</v>
      </c>
      <c r="H1374">
        <v>1123.42</v>
      </c>
      <c r="I1374">
        <v>30</v>
      </c>
      <c r="J1374">
        <v>731.22</v>
      </c>
      <c r="K1374" t="s">
        <v>17</v>
      </c>
      <c r="L1374" t="s">
        <v>33</v>
      </c>
      <c r="M1374">
        <f t="shared" si="105"/>
        <v>2359.1819999999998</v>
      </c>
      <c r="N1374">
        <f t="shared" si="106"/>
        <v>165.52199999999993</v>
      </c>
      <c r="O1374" t="str">
        <f t="shared" si="107"/>
        <v>Saturday</v>
      </c>
      <c r="P1374" t="b">
        <f t="shared" si="108"/>
        <v>1</v>
      </c>
      <c r="Q1374" t="str">
        <f t="shared" si="109"/>
        <v>February</v>
      </c>
    </row>
    <row r="1375" spans="1:17" x14ac:dyDescent="0.4">
      <c r="A1375" t="s">
        <v>1755</v>
      </c>
      <c r="B1375" s="1">
        <v>45767</v>
      </c>
      <c r="C1375" t="s">
        <v>109</v>
      </c>
      <c r="D1375" t="s">
        <v>31</v>
      </c>
      <c r="E1375" t="s">
        <v>303</v>
      </c>
      <c r="F1375" t="s">
        <v>16</v>
      </c>
      <c r="G1375">
        <v>4</v>
      </c>
      <c r="H1375">
        <v>1957.42</v>
      </c>
      <c r="I1375">
        <v>20</v>
      </c>
      <c r="J1375">
        <v>1173.46</v>
      </c>
      <c r="K1375" t="s">
        <v>24</v>
      </c>
      <c r="L1375" t="s">
        <v>18</v>
      </c>
      <c r="M1375">
        <f t="shared" si="105"/>
        <v>6263.7440000000006</v>
      </c>
      <c r="N1375">
        <f t="shared" si="106"/>
        <v>1569.9040000000005</v>
      </c>
      <c r="O1375" t="str">
        <f t="shared" si="107"/>
        <v>Sunday</v>
      </c>
      <c r="P1375" t="b">
        <f t="shared" si="108"/>
        <v>1</v>
      </c>
      <c r="Q1375" t="str">
        <f t="shared" si="109"/>
        <v>April</v>
      </c>
    </row>
    <row r="1376" spans="1:17" x14ac:dyDescent="0.4">
      <c r="A1376" t="s">
        <v>1756</v>
      </c>
      <c r="B1376" s="1">
        <v>45396</v>
      </c>
      <c r="C1376" t="s">
        <v>71</v>
      </c>
      <c r="D1376" t="s">
        <v>46</v>
      </c>
      <c r="E1376" t="s">
        <v>551</v>
      </c>
      <c r="F1376" t="s">
        <v>16</v>
      </c>
      <c r="G1376">
        <v>1</v>
      </c>
      <c r="H1376">
        <v>1476.9</v>
      </c>
      <c r="I1376">
        <v>25</v>
      </c>
      <c r="J1376">
        <v>905.82</v>
      </c>
      <c r="K1376" t="s">
        <v>24</v>
      </c>
      <c r="L1376" t="s">
        <v>33</v>
      </c>
      <c r="M1376">
        <f t="shared" si="105"/>
        <v>1107.6750000000002</v>
      </c>
      <c r="N1376">
        <f t="shared" si="106"/>
        <v>201.85500000000013</v>
      </c>
      <c r="O1376" t="str">
        <f t="shared" si="107"/>
        <v>Sunday</v>
      </c>
      <c r="P1376" t="b">
        <f t="shared" si="108"/>
        <v>1</v>
      </c>
      <c r="Q1376" t="str">
        <f t="shared" si="109"/>
        <v>April</v>
      </c>
    </row>
    <row r="1377" spans="1:17" x14ac:dyDescent="0.4">
      <c r="A1377" t="s">
        <v>1757</v>
      </c>
      <c r="B1377" s="1">
        <v>45571</v>
      </c>
      <c r="C1377" t="s">
        <v>273</v>
      </c>
      <c r="D1377" t="s">
        <v>14</v>
      </c>
      <c r="E1377" t="s">
        <v>454</v>
      </c>
      <c r="F1377" t="s">
        <v>16</v>
      </c>
      <c r="G1377">
        <v>4</v>
      </c>
      <c r="H1377">
        <v>1273.58</v>
      </c>
      <c r="I1377">
        <v>25</v>
      </c>
      <c r="J1377">
        <v>843.21</v>
      </c>
      <c r="K1377" t="s">
        <v>17</v>
      </c>
      <c r="L1377" t="s">
        <v>18</v>
      </c>
      <c r="M1377">
        <f t="shared" si="105"/>
        <v>3820.74</v>
      </c>
      <c r="N1377">
        <f t="shared" si="106"/>
        <v>447.89999999999964</v>
      </c>
      <c r="O1377" t="str">
        <f t="shared" si="107"/>
        <v>Sunday</v>
      </c>
      <c r="P1377" t="b">
        <f t="shared" si="108"/>
        <v>1</v>
      </c>
      <c r="Q1377" t="str">
        <f t="shared" si="109"/>
        <v>October</v>
      </c>
    </row>
    <row r="1378" spans="1:17" x14ac:dyDescent="0.4">
      <c r="A1378" t="s">
        <v>1758</v>
      </c>
      <c r="B1378" s="1">
        <v>45379</v>
      </c>
      <c r="C1378" t="s">
        <v>146</v>
      </c>
      <c r="D1378" t="s">
        <v>14</v>
      </c>
      <c r="E1378" t="s">
        <v>47</v>
      </c>
      <c r="F1378" t="s">
        <v>23</v>
      </c>
      <c r="G1378">
        <v>1</v>
      </c>
      <c r="H1378">
        <v>1500.28</v>
      </c>
      <c r="I1378">
        <v>25</v>
      </c>
      <c r="J1378">
        <v>941.83</v>
      </c>
      <c r="K1378" t="s">
        <v>24</v>
      </c>
      <c r="L1378" t="s">
        <v>37</v>
      </c>
      <c r="M1378">
        <f t="shared" si="105"/>
        <v>1125.21</v>
      </c>
      <c r="N1378">
        <f t="shared" si="106"/>
        <v>183.38</v>
      </c>
      <c r="O1378" t="str">
        <f t="shared" si="107"/>
        <v>Thursday</v>
      </c>
      <c r="P1378" t="b">
        <f t="shared" si="108"/>
        <v>0</v>
      </c>
      <c r="Q1378" t="str">
        <f t="shared" si="109"/>
        <v>March</v>
      </c>
    </row>
    <row r="1379" spans="1:17" x14ac:dyDescent="0.4">
      <c r="A1379" t="s">
        <v>1759</v>
      </c>
      <c r="B1379" s="1">
        <v>45314</v>
      </c>
      <c r="C1379" t="s">
        <v>77</v>
      </c>
      <c r="D1379" t="s">
        <v>14</v>
      </c>
      <c r="E1379" t="s">
        <v>338</v>
      </c>
      <c r="F1379" t="s">
        <v>16</v>
      </c>
      <c r="G1379">
        <v>5</v>
      </c>
      <c r="H1379">
        <v>539.48</v>
      </c>
      <c r="I1379">
        <v>5</v>
      </c>
      <c r="J1379">
        <v>366.86</v>
      </c>
      <c r="K1379" t="s">
        <v>24</v>
      </c>
      <c r="L1379" t="s">
        <v>37</v>
      </c>
      <c r="M1379">
        <f t="shared" si="105"/>
        <v>2562.5299999999997</v>
      </c>
      <c r="N1379">
        <f t="shared" si="106"/>
        <v>728.22999999999956</v>
      </c>
      <c r="O1379" t="str">
        <f t="shared" si="107"/>
        <v>Tuesday</v>
      </c>
      <c r="P1379" t="b">
        <f t="shared" si="108"/>
        <v>0</v>
      </c>
      <c r="Q1379" t="str">
        <f t="shared" si="109"/>
        <v>January</v>
      </c>
    </row>
    <row r="1380" spans="1:17" x14ac:dyDescent="0.4">
      <c r="A1380" t="s">
        <v>1760</v>
      </c>
      <c r="B1380" s="1">
        <v>45764</v>
      </c>
      <c r="C1380" t="s">
        <v>45</v>
      </c>
      <c r="D1380" t="s">
        <v>21</v>
      </c>
      <c r="E1380" t="s">
        <v>157</v>
      </c>
      <c r="F1380" t="s">
        <v>16</v>
      </c>
      <c r="G1380">
        <v>1</v>
      </c>
      <c r="H1380">
        <v>1503.73</v>
      </c>
      <c r="I1380">
        <v>10</v>
      </c>
      <c r="J1380">
        <v>826.9</v>
      </c>
      <c r="K1380" t="s">
        <v>17</v>
      </c>
      <c r="L1380" t="s">
        <v>37</v>
      </c>
      <c r="M1380">
        <f t="shared" si="105"/>
        <v>1353.357</v>
      </c>
      <c r="N1380">
        <f t="shared" si="106"/>
        <v>526.45699999999999</v>
      </c>
      <c r="O1380" t="str">
        <f t="shared" si="107"/>
        <v>Thursday</v>
      </c>
      <c r="P1380" t="b">
        <f t="shared" si="108"/>
        <v>0</v>
      </c>
      <c r="Q1380" t="str">
        <f t="shared" si="109"/>
        <v>April</v>
      </c>
    </row>
    <row r="1381" spans="1:17" x14ac:dyDescent="0.4">
      <c r="A1381" t="s">
        <v>1761</v>
      </c>
      <c r="B1381" s="1">
        <v>45970</v>
      </c>
      <c r="C1381" t="s">
        <v>128</v>
      </c>
      <c r="D1381" t="s">
        <v>46</v>
      </c>
      <c r="E1381" t="s">
        <v>582</v>
      </c>
      <c r="F1381" t="s">
        <v>28</v>
      </c>
      <c r="G1381">
        <v>3</v>
      </c>
      <c r="H1381">
        <v>1727.44</v>
      </c>
      <c r="I1381">
        <v>10</v>
      </c>
      <c r="J1381">
        <v>976.29</v>
      </c>
      <c r="K1381" t="s">
        <v>17</v>
      </c>
      <c r="L1381" t="s">
        <v>33</v>
      </c>
      <c r="M1381">
        <f t="shared" si="105"/>
        <v>4664.0879999999997</v>
      </c>
      <c r="N1381">
        <f t="shared" si="106"/>
        <v>1735.2179999999998</v>
      </c>
      <c r="O1381" t="str">
        <f t="shared" si="107"/>
        <v>Sunday</v>
      </c>
      <c r="P1381" t="b">
        <f t="shared" si="108"/>
        <v>1</v>
      </c>
      <c r="Q1381" t="str">
        <f t="shared" si="109"/>
        <v>November</v>
      </c>
    </row>
    <row r="1382" spans="1:17" x14ac:dyDescent="0.4">
      <c r="A1382" t="s">
        <v>1762</v>
      </c>
      <c r="B1382" s="1">
        <v>45727</v>
      </c>
      <c r="C1382" t="s">
        <v>224</v>
      </c>
      <c r="D1382" t="s">
        <v>46</v>
      </c>
      <c r="E1382" t="s">
        <v>206</v>
      </c>
      <c r="F1382" t="s">
        <v>28</v>
      </c>
      <c r="G1382">
        <v>3</v>
      </c>
      <c r="H1382">
        <v>1714.2</v>
      </c>
      <c r="I1382">
        <v>15</v>
      </c>
      <c r="J1382">
        <v>699.12</v>
      </c>
      <c r="K1382" t="s">
        <v>24</v>
      </c>
      <c r="L1382" t="s">
        <v>18</v>
      </c>
      <c r="M1382">
        <f t="shared" si="105"/>
        <v>4371.21</v>
      </c>
      <c r="N1382">
        <f t="shared" si="106"/>
        <v>2273.85</v>
      </c>
      <c r="O1382" t="str">
        <f t="shared" si="107"/>
        <v>Tuesday</v>
      </c>
      <c r="P1382" t="b">
        <f t="shared" si="108"/>
        <v>0</v>
      </c>
      <c r="Q1382" t="str">
        <f t="shared" si="109"/>
        <v>March</v>
      </c>
    </row>
    <row r="1383" spans="1:17" x14ac:dyDescent="0.4">
      <c r="A1383" t="s">
        <v>1763</v>
      </c>
      <c r="B1383" s="1">
        <v>45587</v>
      </c>
      <c r="C1383" t="s">
        <v>68</v>
      </c>
      <c r="D1383" t="s">
        <v>31</v>
      </c>
      <c r="E1383" t="s">
        <v>766</v>
      </c>
      <c r="F1383" t="s">
        <v>16</v>
      </c>
      <c r="G1383">
        <v>1</v>
      </c>
      <c r="H1383">
        <v>430.6</v>
      </c>
      <c r="I1383">
        <v>5</v>
      </c>
      <c r="J1383">
        <v>212.93</v>
      </c>
      <c r="K1383" t="s">
        <v>17</v>
      </c>
      <c r="L1383" t="s">
        <v>18</v>
      </c>
      <c r="M1383">
        <f t="shared" si="105"/>
        <v>409.07</v>
      </c>
      <c r="N1383">
        <f t="shared" si="106"/>
        <v>196.14</v>
      </c>
      <c r="O1383" t="str">
        <f t="shared" si="107"/>
        <v>Tuesday</v>
      </c>
      <c r="P1383" t="b">
        <f t="shared" si="108"/>
        <v>0</v>
      </c>
      <c r="Q1383" t="str">
        <f t="shared" si="109"/>
        <v>October</v>
      </c>
    </row>
    <row r="1384" spans="1:17" x14ac:dyDescent="0.4">
      <c r="A1384" t="s">
        <v>1764</v>
      </c>
      <c r="B1384" s="1">
        <v>45709</v>
      </c>
      <c r="C1384" t="s">
        <v>190</v>
      </c>
      <c r="D1384" t="s">
        <v>21</v>
      </c>
      <c r="E1384" t="s">
        <v>313</v>
      </c>
      <c r="F1384" t="s">
        <v>23</v>
      </c>
      <c r="G1384">
        <v>2</v>
      </c>
      <c r="H1384">
        <v>2257.8000000000002</v>
      </c>
      <c r="I1384">
        <v>0</v>
      </c>
      <c r="J1384">
        <v>1085.82</v>
      </c>
      <c r="K1384" t="s">
        <v>24</v>
      </c>
      <c r="L1384" t="s">
        <v>37</v>
      </c>
      <c r="M1384">
        <f t="shared" si="105"/>
        <v>4515.6000000000004</v>
      </c>
      <c r="N1384">
        <f t="shared" si="106"/>
        <v>2343.9600000000005</v>
      </c>
      <c r="O1384" t="str">
        <f t="shared" si="107"/>
        <v>Friday</v>
      </c>
      <c r="P1384" t="b">
        <f t="shared" si="108"/>
        <v>0</v>
      </c>
      <c r="Q1384" t="str">
        <f t="shared" si="109"/>
        <v>February</v>
      </c>
    </row>
    <row r="1385" spans="1:17" x14ac:dyDescent="0.4">
      <c r="A1385" t="s">
        <v>1765</v>
      </c>
      <c r="B1385" s="1">
        <v>45699</v>
      </c>
      <c r="C1385" t="s">
        <v>241</v>
      </c>
      <c r="D1385" t="s">
        <v>14</v>
      </c>
      <c r="E1385" t="s">
        <v>401</v>
      </c>
      <c r="F1385" t="s">
        <v>28</v>
      </c>
      <c r="G1385">
        <v>3</v>
      </c>
      <c r="H1385">
        <v>2619.19</v>
      </c>
      <c r="I1385">
        <v>5</v>
      </c>
      <c r="J1385">
        <v>1169.0899999999999</v>
      </c>
      <c r="K1385" t="s">
        <v>24</v>
      </c>
      <c r="L1385" t="s">
        <v>33</v>
      </c>
      <c r="M1385">
        <f t="shared" si="105"/>
        <v>7464.691499999999</v>
      </c>
      <c r="N1385">
        <f t="shared" si="106"/>
        <v>3957.4214999999995</v>
      </c>
      <c r="O1385" t="str">
        <f t="shared" si="107"/>
        <v>Tuesday</v>
      </c>
      <c r="P1385" t="b">
        <f t="shared" si="108"/>
        <v>0</v>
      </c>
      <c r="Q1385" t="str">
        <f t="shared" si="109"/>
        <v>February</v>
      </c>
    </row>
    <row r="1386" spans="1:17" x14ac:dyDescent="0.4">
      <c r="A1386" t="s">
        <v>1766</v>
      </c>
      <c r="B1386" s="1">
        <v>45394</v>
      </c>
      <c r="C1386" t="s">
        <v>20</v>
      </c>
      <c r="D1386" t="s">
        <v>14</v>
      </c>
      <c r="E1386" t="s">
        <v>115</v>
      </c>
      <c r="F1386" t="s">
        <v>23</v>
      </c>
      <c r="G1386">
        <v>2</v>
      </c>
      <c r="H1386">
        <v>1571.21</v>
      </c>
      <c r="I1386">
        <v>15</v>
      </c>
      <c r="J1386">
        <v>955.32</v>
      </c>
      <c r="K1386" t="s">
        <v>17</v>
      </c>
      <c r="L1386" t="s">
        <v>18</v>
      </c>
      <c r="M1386">
        <f t="shared" si="105"/>
        <v>2671.0569999999998</v>
      </c>
      <c r="N1386">
        <f t="shared" si="106"/>
        <v>760.41699999999969</v>
      </c>
      <c r="O1386" t="str">
        <f t="shared" si="107"/>
        <v>Friday</v>
      </c>
      <c r="P1386" t="b">
        <f t="shared" si="108"/>
        <v>0</v>
      </c>
      <c r="Q1386" t="str">
        <f t="shared" si="109"/>
        <v>April</v>
      </c>
    </row>
    <row r="1387" spans="1:17" x14ac:dyDescent="0.4">
      <c r="A1387" t="s">
        <v>1767</v>
      </c>
      <c r="B1387" s="1">
        <v>45514</v>
      </c>
      <c r="C1387" t="s">
        <v>122</v>
      </c>
      <c r="D1387" t="s">
        <v>31</v>
      </c>
      <c r="E1387" t="s">
        <v>361</v>
      </c>
      <c r="F1387" t="s">
        <v>23</v>
      </c>
      <c r="G1387">
        <v>3</v>
      </c>
      <c r="H1387">
        <v>420.71</v>
      </c>
      <c r="I1387">
        <v>0</v>
      </c>
      <c r="J1387">
        <v>224.28</v>
      </c>
      <c r="K1387" t="s">
        <v>17</v>
      </c>
      <c r="L1387" t="s">
        <v>33</v>
      </c>
      <c r="M1387">
        <f t="shared" si="105"/>
        <v>1262.1299999999999</v>
      </c>
      <c r="N1387">
        <f t="shared" si="106"/>
        <v>589.28999999999985</v>
      </c>
      <c r="O1387" t="str">
        <f t="shared" si="107"/>
        <v>Saturday</v>
      </c>
      <c r="P1387" t="b">
        <f t="shared" si="108"/>
        <v>1</v>
      </c>
      <c r="Q1387" t="str">
        <f t="shared" si="109"/>
        <v>August</v>
      </c>
    </row>
    <row r="1388" spans="1:17" x14ac:dyDescent="0.4">
      <c r="A1388" t="s">
        <v>1768</v>
      </c>
      <c r="B1388" s="1">
        <v>45774</v>
      </c>
      <c r="C1388" t="s">
        <v>182</v>
      </c>
      <c r="D1388" t="s">
        <v>21</v>
      </c>
      <c r="E1388" t="s">
        <v>260</v>
      </c>
      <c r="F1388" t="s">
        <v>28</v>
      </c>
      <c r="G1388">
        <v>1</v>
      </c>
      <c r="H1388">
        <v>1948.52</v>
      </c>
      <c r="I1388">
        <v>25</v>
      </c>
      <c r="J1388">
        <v>1321.47</v>
      </c>
      <c r="K1388" t="s">
        <v>24</v>
      </c>
      <c r="L1388" t="s">
        <v>18</v>
      </c>
      <c r="M1388">
        <f t="shared" si="105"/>
        <v>1461.3899999999999</v>
      </c>
      <c r="N1388">
        <f t="shared" si="106"/>
        <v>139.91999999999985</v>
      </c>
      <c r="O1388" t="str">
        <f t="shared" si="107"/>
        <v>Sunday</v>
      </c>
      <c r="P1388" t="b">
        <f t="shared" si="108"/>
        <v>1</v>
      </c>
      <c r="Q1388" t="str">
        <f t="shared" si="109"/>
        <v>April</v>
      </c>
    </row>
    <row r="1389" spans="1:17" x14ac:dyDescent="0.4">
      <c r="A1389" t="s">
        <v>1769</v>
      </c>
      <c r="B1389" s="1">
        <v>45582</v>
      </c>
      <c r="C1389" t="s">
        <v>182</v>
      </c>
      <c r="D1389" t="s">
        <v>21</v>
      </c>
      <c r="E1389" t="s">
        <v>1526</v>
      </c>
      <c r="F1389" t="s">
        <v>28</v>
      </c>
      <c r="G1389">
        <v>3</v>
      </c>
      <c r="H1389">
        <v>2761.07</v>
      </c>
      <c r="I1389">
        <v>5</v>
      </c>
      <c r="J1389">
        <v>1587.84</v>
      </c>
      <c r="K1389" t="s">
        <v>24</v>
      </c>
      <c r="L1389" t="s">
        <v>18</v>
      </c>
      <c r="M1389">
        <f t="shared" si="105"/>
        <v>7869.0495000000001</v>
      </c>
      <c r="N1389">
        <f t="shared" si="106"/>
        <v>3105.5295000000006</v>
      </c>
      <c r="O1389" t="str">
        <f t="shared" si="107"/>
        <v>Thursday</v>
      </c>
      <c r="P1389" t="b">
        <f t="shared" si="108"/>
        <v>0</v>
      </c>
      <c r="Q1389" t="str">
        <f t="shared" si="109"/>
        <v>October</v>
      </c>
    </row>
    <row r="1390" spans="1:17" x14ac:dyDescent="0.4">
      <c r="A1390" t="s">
        <v>1770</v>
      </c>
      <c r="B1390" s="1">
        <v>45903</v>
      </c>
      <c r="C1390" t="s">
        <v>269</v>
      </c>
      <c r="D1390" t="s">
        <v>14</v>
      </c>
      <c r="E1390" t="s">
        <v>260</v>
      </c>
      <c r="F1390" t="s">
        <v>23</v>
      </c>
      <c r="G1390">
        <v>2</v>
      </c>
      <c r="H1390">
        <v>977.13</v>
      </c>
      <c r="I1390">
        <v>5</v>
      </c>
      <c r="J1390">
        <v>508.19</v>
      </c>
      <c r="K1390" t="s">
        <v>24</v>
      </c>
      <c r="L1390" t="s">
        <v>37</v>
      </c>
      <c r="M1390">
        <f t="shared" si="105"/>
        <v>1856.5469999999998</v>
      </c>
      <c r="N1390">
        <f t="shared" si="106"/>
        <v>840.1669999999998</v>
      </c>
      <c r="O1390" t="str">
        <f t="shared" si="107"/>
        <v>Wednesday</v>
      </c>
      <c r="P1390" t="b">
        <f t="shared" si="108"/>
        <v>0</v>
      </c>
      <c r="Q1390" t="str">
        <f t="shared" si="109"/>
        <v>September</v>
      </c>
    </row>
    <row r="1391" spans="1:17" x14ac:dyDescent="0.4">
      <c r="A1391" t="s">
        <v>1771</v>
      </c>
      <c r="B1391" s="1">
        <v>45392</v>
      </c>
      <c r="C1391" t="s">
        <v>224</v>
      </c>
      <c r="D1391" t="s">
        <v>21</v>
      </c>
      <c r="E1391" t="s">
        <v>315</v>
      </c>
      <c r="F1391" t="s">
        <v>16</v>
      </c>
      <c r="G1391">
        <v>4</v>
      </c>
      <c r="H1391">
        <v>1160.55</v>
      </c>
      <c r="I1391">
        <v>25</v>
      </c>
      <c r="J1391">
        <v>672.85</v>
      </c>
      <c r="K1391" t="s">
        <v>17</v>
      </c>
      <c r="L1391" t="s">
        <v>37</v>
      </c>
      <c r="M1391">
        <f t="shared" si="105"/>
        <v>3481.6499999999996</v>
      </c>
      <c r="N1391">
        <f t="shared" si="106"/>
        <v>790.24999999999955</v>
      </c>
      <c r="O1391" t="str">
        <f t="shared" si="107"/>
        <v>Wednesday</v>
      </c>
      <c r="P1391" t="b">
        <f t="shared" si="108"/>
        <v>0</v>
      </c>
      <c r="Q1391" t="str">
        <f t="shared" si="109"/>
        <v>April</v>
      </c>
    </row>
    <row r="1392" spans="1:17" x14ac:dyDescent="0.4">
      <c r="A1392" t="s">
        <v>1772</v>
      </c>
      <c r="B1392" s="1">
        <v>45910</v>
      </c>
      <c r="C1392" t="s">
        <v>92</v>
      </c>
      <c r="D1392" t="s">
        <v>46</v>
      </c>
      <c r="E1392" t="s">
        <v>330</v>
      </c>
      <c r="F1392" t="s">
        <v>28</v>
      </c>
      <c r="G1392">
        <v>3</v>
      </c>
      <c r="H1392">
        <v>1964.36</v>
      </c>
      <c r="I1392">
        <v>10</v>
      </c>
      <c r="J1392">
        <v>824.22</v>
      </c>
      <c r="K1392" t="s">
        <v>24</v>
      </c>
      <c r="L1392" t="s">
        <v>33</v>
      </c>
      <c r="M1392">
        <f t="shared" si="105"/>
        <v>5303.7719999999999</v>
      </c>
      <c r="N1392">
        <f t="shared" si="106"/>
        <v>2831.1120000000001</v>
      </c>
      <c r="O1392" t="str">
        <f t="shared" si="107"/>
        <v>Wednesday</v>
      </c>
      <c r="P1392" t="b">
        <f t="shared" si="108"/>
        <v>0</v>
      </c>
      <c r="Q1392" t="str">
        <f t="shared" si="109"/>
        <v>September</v>
      </c>
    </row>
    <row r="1393" spans="1:17" x14ac:dyDescent="0.4">
      <c r="A1393" t="s">
        <v>1773</v>
      </c>
      <c r="B1393" s="1">
        <v>45612</v>
      </c>
      <c r="C1393" t="s">
        <v>68</v>
      </c>
      <c r="D1393" t="s">
        <v>46</v>
      </c>
      <c r="E1393" t="s">
        <v>958</v>
      </c>
      <c r="F1393" t="s">
        <v>23</v>
      </c>
      <c r="G1393">
        <v>4</v>
      </c>
      <c r="H1393">
        <v>717.77</v>
      </c>
      <c r="I1393">
        <v>15</v>
      </c>
      <c r="J1393">
        <v>331.1</v>
      </c>
      <c r="K1393" t="s">
        <v>24</v>
      </c>
      <c r="L1393" t="s">
        <v>33</v>
      </c>
      <c r="M1393">
        <f t="shared" si="105"/>
        <v>2440.4179999999997</v>
      </c>
      <c r="N1393">
        <f t="shared" si="106"/>
        <v>1116.0179999999996</v>
      </c>
      <c r="O1393" t="str">
        <f t="shared" si="107"/>
        <v>Saturday</v>
      </c>
      <c r="P1393" t="b">
        <f t="shared" si="108"/>
        <v>1</v>
      </c>
      <c r="Q1393" t="str">
        <f t="shared" si="109"/>
        <v>November</v>
      </c>
    </row>
    <row r="1394" spans="1:17" x14ac:dyDescent="0.4">
      <c r="A1394" t="s">
        <v>1774</v>
      </c>
      <c r="B1394" s="1">
        <v>45459</v>
      </c>
      <c r="C1394" t="s">
        <v>20</v>
      </c>
      <c r="D1394" t="s">
        <v>46</v>
      </c>
      <c r="E1394" t="s">
        <v>336</v>
      </c>
      <c r="F1394" t="s">
        <v>28</v>
      </c>
      <c r="G1394">
        <v>2</v>
      </c>
      <c r="H1394">
        <v>388.99</v>
      </c>
      <c r="I1394">
        <v>15</v>
      </c>
      <c r="J1394">
        <v>203.92</v>
      </c>
      <c r="K1394" t="s">
        <v>17</v>
      </c>
      <c r="L1394" t="s">
        <v>37</v>
      </c>
      <c r="M1394">
        <f t="shared" si="105"/>
        <v>661.28300000000002</v>
      </c>
      <c r="N1394">
        <f t="shared" si="106"/>
        <v>253.44300000000004</v>
      </c>
      <c r="O1394" t="str">
        <f t="shared" si="107"/>
        <v>Sunday</v>
      </c>
      <c r="P1394" t="b">
        <f t="shared" si="108"/>
        <v>1</v>
      </c>
      <c r="Q1394" t="str">
        <f t="shared" si="109"/>
        <v>June</v>
      </c>
    </row>
    <row r="1395" spans="1:17" x14ac:dyDescent="0.4">
      <c r="A1395" t="s">
        <v>1775</v>
      </c>
      <c r="B1395" s="1">
        <v>45388</v>
      </c>
      <c r="C1395" t="s">
        <v>190</v>
      </c>
      <c r="D1395" t="s">
        <v>46</v>
      </c>
      <c r="E1395" t="s">
        <v>512</v>
      </c>
      <c r="F1395" t="s">
        <v>23</v>
      </c>
      <c r="G1395">
        <v>4</v>
      </c>
      <c r="H1395">
        <v>501.03</v>
      </c>
      <c r="I1395">
        <v>20</v>
      </c>
      <c r="J1395">
        <v>345.19</v>
      </c>
      <c r="K1395" t="s">
        <v>24</v>
      </c>
      <c r="L1395" t="s">
        <v>33</v>
      </c>
      <c r="M1395">
        <f t="shared" si="105"/>
        <v>1603.296</v>
      </c>
      <c r="N1395">
        <f t="shared" si="106"/>
        <v>222.53600000000006</v>
      </c>
      <c r="O1395" t="str">
        <f t="shared" si="107"/>
        <v>Saturday</v>
      </c>
      <c r="P1395" t="b">
        <f t="shared" si="108"/>
        <v>1</v>
      </c>
      <c r="Q1395" t="str">
        <f t="shared" si="109"/>
        <v>April</v>
      </c>
    </row>
    <row r="1396" spans="1:17" x14ac:dyDescent="0.4">
      <c r="A1396" t="s">
        <v>1776</v>
      </c>
      <c r="B1396" s="1">
        <v>45938</v>
      </c>
      <c r="C1396" t="s">
        <v>273</v>
      </c>
      <c r="D1396" t="s">
        <v>31</v>
      </c>
      <c r="E1396" t="s">
        <v>589</v>
      </c>
      <c r="F1396" t="s">
        <v>16</v>
      </c>
      <c r="G1396">
        <v>2</v>
      </c>
      <c r="H1396">
        <v>2765.61</v>
      </c>
      <c r="I1396">
        <v>0</v>
      </c>
      <c r="J1396">
        <v>1813.92</v>
      </c>
      <c r="K1396" t="s">
        <v>17</v>
      </c>
      <c r="L1396" t="s">
        <v>37</v>
      </c>
      <c r="M1396">
        <f t="shared" si="105"/>
        <v>5531.22</v>
      </c>
      <c r="N1396">
        <f t="shared" si="106"/>
        <v>1903.38</v>
      </c>
      <c r="O1396" t="str">
        <f t="shared" si="107"/>
        <v>Wednesday</v>
      </c>
      <c r="P1396" t="b">
        <f t="shared" si="108"/>
        <v>0</v>
      </c>
      <c r="Q1396" t="str">
        <f t="shared" si="109"/>
        <v>October</v>
      </c>
    </row>
    <row r="1397" spans="1:17" x14ac:dyDescent="0.4">
      <c r="A1397" t="s">
        <v>1777</v>
      </c>
      <c r="B1397" s="1">
        <v>45470</v>
      </c>
      <c r="C1397" t="s">
        <v>149</v>
      </c>
      <c r="D1397" t="s">
        <v>46</v>
      </c>
      <c r="E1397" t="s">
        <v>377</v>
      </c>
      <c r="F1397" t="s">
        <v>23</v>
      </c>
      <c r="G1397">
        <v>5</v>
      </c>
      <c r="H1397">
        <v>2138.2600000000002</v>
      </c>
      <c r="I1397">
        <v>15</v>
      </c>
      <c r="J1397">
        <v>1276.95</v>
      </c>
      <c r="K1397" t="s">
        <v>17</v>
      </c>
      <c r="L1397" t="s">
        <v>37</v>
      </c>
      <c r="M1397">
        <f t="shared" si="105"/>
        <v>9087.6050000000014</v>
      </c>
      <c r="N1397">
        <f t="shared" si="106"/>
        <v>2702.8550000000014</v>
      </c>
      <c r="O1397" t="str">
        <f t="shared" si="107"/>
        <v>Thursday</v>
      </c>
      <c r="P1397" t="b">
        <f t="shared" si="108"/>
        <v>0</v>
      </c>
      <c r="Q1397" t="str">
        <f t="shared" si="109"/>
        <v>June</v>
      </c>
    </row>
    <row r="1398" spans="1:17" x14ac:dyDescent="0.4">
      <c r="A1398" t="s">
        <v>1778</v>
      </c>
      <c r="B1398" s="1">
        <v>45485</v>
      </c>
      <c r="C1398" t="s">
        <v>267</v>
      </c>
      <c r="D1398" t="s">
        <v>46</v>
      </c>
      <c r="E1398" t="s">
        <v>1062</v>
      </c>
      <c r="F1398" t="s">
        <v>16</v>
      </c>
      <c r="G1398">
        <v>4</v>
      </c>
      <c r="H1398">
        <v>2126.46</v>
      </c>
      <c r="I1398">
        <v>20</v>
      </c>
      <c r="J1398">
        <v>1257.1300000000001</v>
      </c>
      <c r="K1398" t="s">
        <v>24</v>
      </c>
      <c r="L1398" t="s">
        <v>18</v>
      </c>
      <c r="M1398">
        <f t="shared" si="105"/>
        <v>6804.6720000000005</v>
      </c>
      <c r="N1398">
        <f t="shared" si="106"/>
        <v>1776.152</v>
      </c>
      <c r="O1398" t="str">
        <f t="shared" si="107"/>
        <v>Friday</v>
      </c>
      <c r="P1398" t="b">
        <f t="shared" si="108"/>
        <v>0</v>
      </c>
      <c r="Q1398" t="str">
        <f t="shared" si="109"/>
        <v>July</v>
      </c>
    </row>
    <row r="1399" spans="1:17" x14ac:dyDescent="0.4">
      <c r="A1399" t="s">
        <v>1779</v>
      </c>
      <c r="B1399" s="1">
        <v>45895</v>
      </c>
      <c r="C1399" t="s">
        <v>39</v>
      </c>
      <c r="D1399" t="s">
        <v>14</v>
      </c>
      <c r="E1399" t="s">
        <v>559</v>
      </c>
      <c r="F1399" t="s">
        <v>16</v>
      </c>
      <c r="G1399">
        <v>2</v>
      </c>
      <c r="H1399">
        <v>2407.3000000000002</v>
      </c>
      <c r="I1399">
        <v>20</v>
      </c>
      <c r="J1399">
        <v>1255.93</v>
      </c>
      <c r="K1399" t="s">
        <v>24</v>
      </c>
      <c r="L1399" t="s">
        <v>37</v>
      </c>
      <c r="M1399">
        <f t="shared" si="105"/>
        <v>3851.6800000000003</v>
      </c>
      <c r="N1399">
        <f t="shared" si="106"/>
        <v>1339.8200000000002</v>
      </c>
      <c r="O1399" t="str">
        <f t="shared" si="107"/>
        <v>Tuesday</v>
      </c>
      <c r="P1399" t="b">
        <f t="shared" si="108"/>
        <v>0</v>
      </c>
      <c r="Q1399" t="str">
        <f t="shared" si="109"/>
        <v>August</v>
      </c>
    </row>
    <row r="1400" spans="1:17" x14ac:dyDescent="0.4">
      <c r="A1400" t="s">
        <v>1780</v>
      </c>
      <c r="B1400" s="1">
        <v>45584</v>
      </c>
      <c r="C1400" t="s">
        <v>309</v>
      </c>
      <c r="D1400" t="s">
        <v>14</v>
      </c>
      <c r="E1400" t="s">
        <v>447</v>
      </c>
      <c r="F1400" t="s">
        <v>28</v>
      </c>
      <c r="G1400">
        <v>1</v>
      </c>
      <c r="H1400">
        <v>516.92999999999995</v>
      </c>
      <c r="I1400">
        <v>10</v>
      </c>
      <c r="J1400">
        <v>270.23</v>
      </c>
      <c r="K1400" t="s">
        <v>17</v>
      </c>
      <c r="L1400" t="s">
        <v>33</v>
      </c>
      <c r="M1400">
        <f t="shared" si="105"/>
        <v>465.23699999999997</v>
      </c>
      <c r="N1400">
        <f t="shared" si="106"/>
        <v>195.00699999999995</v>
      </c>
      <c r="O1400" t="str">
        <f t="shared" si="107"/>
        <v>Saturday</v>
      </c>
      <c r="P1400" t="b">
        <f t="shared" si="108"/>
        <v>1</v>
      </c>
      <c r="Q1400" t="str">
        <f t="shared" si="109"/>
        <v>October</v>
      </c>
    </row>
    <row r="1401" spans="1:17" x14ac:dyDescent="0.4">
      <c r="A1401" t="s">
        <v>1781</v>
      </c>
      <c r="B1401" s="1">
        <v>45503</v>
      </c>
      <c r="C1401" t="s">
        <v>30</v>
      </c>
      <c r="D1401" t="s">
        <v>14</v>
      </c>
      <c r="E1401" t="s">
        <v>188</v>
      </c>
      <c r="F1401" t="s">
        <v>28</v>
      </c>
      <c r="G1401">
        <v>2</v>
      </c>
      <c r="H1401">
        <v>651.32000000000005</v>
      </c>
      <c r="I1401">
        <v>5</v>
      </c>
      <c r="J1401">
        <v>366.69</v>
      </c>
      <c r="K1401" t="s">
        <v>24</v>
      </c>
      <c r="L1401" t="s">
        <v>37</v>
      </c>
      <c r="M1401">
        <f t="shared" si="105"/>
        <v>1237.508</v>
      </c>
      <c r="N1401">
        <f t="shared" si="106"/>
        <v>504.12800000000004</v>
      </c>
      <c r="O1401" t="str">
        <f t="shared" si="107"/>
        <v>Tuesday</v>
      </c>
      <c r="P1401" t="b">
        <f t="shared" si="108"/>
        <v>0</v>
      </c>
      <c r="Q1401" t="str">
        <f t="shared" si="109"/>
        <v>July</v>
      </c>
    </row>
    <row r="1402" spans="1:17" x14ac:dyDescent="0.4">
      <c r="A1402" t="s">
        <v>1782</v>
      </c>
      <c r="B1402" s="1">
        <v>45638</v>
      </c>
      <c r="C1402" t="s">
        <v>42</v>
      </c>
      <c r="D1402" t="s">
        <v>31</v>
      </c>
      <c r="E1402" t="s">
        <v>428</v>
      </c>
      <c r="F1402" t="s">
        <v>28</v>
      </c>
      <c r="G1402">
        <v>3</v>
      </c>
      <c r="H1402">
        <v>900.21</v>
      </c>
      <c r="I1402">
        <v>10</v>
      </c>
      <c r="J1402">
        <v>393.62</v>
      </c>
      <c r="K1402" t="s">
        <v>17</v>
      </c>
      <c r="L1402" t="s">
        <v>37</v>
      </c>
      <c r="M1402">
        <f t="shared" si="105"/>
        <v>2430.567</v>
      </c>
      <c r="N1402">
        <f t="shared" si="106"/>
        <v>1249.7069999999999</v>
      </c>
      <c r="O1402" t="str">
        <f t="shared" si="107"/>
        <v>Thursday</v>
      </c>
      <c r="P1402" t="b">
        <f t="shared" si="108"/>
        <v>0</v>
      </c>
      <c r="Q1402" t="str">
        <f t="shared" si="109"/>
        <v>December</v>
      </c>
    </row>
    <row r="1403" spans="1:17" x14ac:dyDescent="0.4">
      <c r="A1403" t="s">
        <v>1783</v>
      </c>
      <c r="B1403" s="1">
        <v>45883</v>
      </c>
      <c r="C1403" t="s">
        <v>159</v>
      </c>
      <c r="D1403" t="s">
        <v>14</v>
      </c>
      <c r="E1403" t="s">
        <v>673</v>
      </c>
      <c r="F1403" t="s">
        <v>23</v>
      </c>
      <c r="G1403">
        <v>2</v>
      </c>
      <c r="H1403">
        <v>1087.1099999999999</v>
      </c>
      <c r="I1403">
        <v>15</v>
      </c>
      <c r="J1403">
        <v>585.14</v>
      </c>
      <c r="K1403" t="s">
        <v>24</v>
      </c>
      <c r="L1403" t="s">
        <v>18</v>
      </c>
      <c r="M1403">
        <f t="shared" si="105"/>
        <v>1848.0869999999998</v>
      </c>
      <c r="N1403">
        <f t="shared" si="106"/>
        <v>677.80699999999979</v>
      </c>
      <c r="O1403" t="str">
        <f t="shared" si="107"/>
        <v>Thursday</v>
      </c>
      <c r="P1403" t="b">
        <f t="shared" si="108"/>
        <v>0</v>
      </c>
      <c r="Q1403" t="str">
        <f t="shared" si="109"/>
        <v>August</v>
      </c>
    </row>
    <row r="1404" spans="1:17" x14ac:dyDescent="0.4">
      <c r="A1404" t="s">
        <v>1784</v>
      </c>
      <c r="B1404" s="1">
        <v>45654</v>
      </c>
      <c r="C1404" t="s">
        <v>45</v>
      </c>
      <c r="D1404" t="s">
        <v>31</v>
      </c>
      <c r="E1404" t="s">
        <v>1785</v>
      </c>
      <c r="F1404" t="s">
        <v>16</v>
      </c>
      <c r="G1404">
        <v>4</v>
      </c>
      <c r="H1404">
        <v>903.89</v>
      </c>
      <c r="I1404">
        <v>25</v>
      </c>
      <c r="J1404">
        <v>464.08</v>
      </c>
      <c r="K1404" t="s">
        <v>24</v>
      </c>
      <c r="L1404" t="s">
        <v>18</v>
      </c>
      <c r="M1404">
        <f t="shared" si="105"/>
        <v>2711.67</v>
      </c>
      <c r="N1404">
        <f t="shared" si="106"/>
        <v>855.35000000000014</v>
      </c>
      <c r="O1404" t="str">
        <f t="shared" si="107"/>
        <v>Saturday</v>
      </c>
      <c r="P1404" t="b">
        <f t="shared" si="108"/>
        <v>1</v>
      </c>
      <c r="Q1404" t="str">
        <f t="shared" si="109"/>
        <v>December</v>
      </c>
    </row>
    <row r="1405" spans="1:17" x14ac:dyDescent="0.4">
      <c r="A1405" t="s">
        <v>1786</v>
      </c>
      <c r="B1405" s="1">
        <v>45525</v>
      </c>
      <c r="C1405" t="s">
        <v>45</v>
      </c>
      <c r="D1405" t="s">
        <v>46</v>
      </c>
      <c r="E1405" t="s">
        <v>670</v>
      </c>
      <c r="F1405" t="s">
        <v>23</v>
      </c>
      <c r="G1405">
        <v>1</v>
      </c>
      <c r="H1405">
        <v>1894.82</v>
      </c>
      <c r="I1405">
        <v>25</v>
      </c>
      <c r="J1405">
        <v>895.39</v>
      </c>
      <c r="K1405" t="s">
        <v>17</v>
      </c>
      <c r="L1405" t="s">
        <v>33</v>
      </c>
      <c r="M1405">
        <f t="shared" si="105"/>
        <v>1421.115</v>
      </c>
      <c r="N1405">
        <f t="shared" si="106"/>
        <v>525.72500000000002</v>
      </c>
      <c r="O1405" t="str">
        <f t="shared" si="107"/>
        <v>Wednesday</v>
      </c>
      <c r="P1405" t="b">
        <f t="shared" si="108"/>
        <v>0</v>
      </c>
      <c r="Q1405" t="str">
        <f t="shared" si="109"/>
        <v>August</v>
      </c>
    </row>
    <row r="1406" spans="1:17" x14ac:dyDescent="0.4">
      <c r="A1406" t="s">
        <v>1787</v>
      </c>
      <c r="B1406" s="1">
        <v>45311</v>
      </c>
      <c r="C1406" t="s">
        <v>226</v>
      </c>
      <c r="D1406" t="s">
        <v>21</v>
      </c>
      <c r="E1406" t="s">
        <v>1509</v>
      </c>
      <c r="F1406" t="s">
        <v>23</v>
      </c>
      <c r="G1406">
        <v>4</v>
      </c>
      <c r="H1406">
        <v>701.3</v>
      </c>
      <c r="I1406">
        <v>0</v>
      </c>
      <c r="J1406">
        <v>449.54</v>
      </c>
      <c r="K1406" t="s">
        <v>24</v>
      </c>
      <c r="L1406" t="s">
        <v>37</v>
      </c>
      <c r="M1406">
        <f t="shared" si="105"/>
        <v>2805.2</v>
      </c>
      <c r="N1406">
        <f t="shared" si="106"/>
        <v>1007.0399999999997</v>
      </c>
      <c r="O1406" t="str">
        <f t="shared" si="107"/>
        <v>Saturday</v>
      </c>
      <c r="P1406" t="b">
        <f t="shared" si="108"/>
        <v>1</v>
      </c>
      <c r="Q1406" t="str">
        <f t="shared" si="109"/>
        <v>January</v>
      </c>
    </row>
    <row r="1407" spans="1:17" x14ac:dyDescent="0.4">
      <c r="A1407" t="s">
        <v>1788</v>
      </c>
      <c r="B1407" s="1">
        <v>45796</v>
      </c>
      <c r="C1407" t="s">
        <v>98</v>
      </c>
      <c r="D1407" t="s">
        <v>14</v>
      </c>
      <c r="E1407" t="s">
        <v>338</v>
      </c>
      <c r="F1407" t="s">
        <v>28</v>
      </c>
      <c r="G1407">
        <v>5</v>
      </c>
      <c r="H1407">
        <v>2664.42</v>
      </c>
      <c r="I1407">
        <v>30</v>
      </c>
      <c r="J1407">
        <v>1585.28</v>
      </c>
      <c r="K1407" t="s">
        <v>17</v>
      </c>
      <c r="L1407" t="s">
        <v>37</v>
      </c>
      <c r="M1407">
        <f t="shared" si="105"/>
        <v>9325.4699999999993</v>
      </c>
      <c r="N1407">
        <f t="shared" si="106"/>
        <v>1399.0699999999997</v>
      </c>
      <c r="O1407" t="str">
        <f t="shared" si="107"/>
        <v>Monday</v>
      </c>
      <c r="P1407" t="b">
        <f t="shared" si="108"/>
        <v>0</v>
      </c>
      <c r="Q1407" t="str">
        <f t="shared" si="109"/>
        <v>May</v>
      </c>
    </row>
    <row r="1408" spans="1:17" x14ac:dyDescent="0.4">
      <c r="A1408" t="s">
        <v>1789</v>
      </c>
      <c r="B1408" s="1">
        <v>45370</v>
      </c>
      <c r="C1408" t="s">
        <v>86</v>
      </c>
      <c r="D1408" t="s">
        <v>14</v>
      </c>
      <c r="E1408" t="s">
        <v>210</v>
      </c>
      <c r="F1408" t="s">
        <v>16</v>
      </c>
      <c r="G1408">
        <v>3</v>
      </c>
      <c r="H1408">
        <v>1434.45</v>
      </c>
      <c r="I1408">
        <v>5</v>
      </c>
      <c r="J1408">
        <v>716.82</v>
      </c>
      <c r="K1408" t="s">
        <v>17</v>
      </c>
      <c r="L1408" t="s">
        <v>18</v>
      </c>
      <c r="M1408">
        <f t="shared" si="105"/>
        <v>4088.1825000000003</v>
      </c>
      <c r="N1408">
        <f t="shared" si="106"/>
        <v>1937.7225000000003</v>
      </c>
      <c r="O1408" t="str">
        <f t="shared" si="107"/>
        <v>Tuesday</v>
      </c>
      <c r="P1408" t="b">
        <f t="shared" si="108"/>
        <v>0</v>
      </c>
      <c r="Q1408" t="str">
        <f t="shared" si="109"/>
        <v>March</v>
      </c>
    </row>
    <row r="1409" spans="1:17" x14ac:dyDescent="0.4">
      <c r="A1409" t="s">
        <v>1790</v>
      </c>
      <c r="B1409" s="1">
        <v>45931</v>
      </c>
      <c r="C1409" t="s">
        <v>149</v>
      </c>
      <c r="D1409" t="s">
        <v>46</v>
      </c>
      <c r="E1409" t="s">
        <v>361</v>
      </c>
      <c r="F1409" t="s">
        <v>23</v>
      </c>
      <c r="G1409">
        <v>1</v>
      </c>
      <c r="H1409">
        <v>2101.7199999999998</v>
      </c>
      <c r="I1409">
        <v>10</v>
      </c>
      <c r="J1409">
        <v>1093.74</v>
      </c>
      <c r="K1409" t="s">
        <v>24</v>
      </c>
      <c r="L1409" t="s">
        <v>18</v>
      </c>
      <c r="M1409">
        <f t="shared" si="105"/>
        <v>1891.5479999999998</v>
      </c>
      <c r="N1409">
        <f t="shared" si="106"/>
        <v>797.80799999999977</v>
      </c>
      <c r="O1409" t="str">
        <f t="shared" si="107"/>
        <v>Wednesday</v>
      </c>
      <c r="P1409" t="b">
        <f t="shared" si="108"/>
        <v>0</v>
      </c>
      <c r="Q1409" t="str">
        <f t="shared" si="109"/>
        <v>October</v>
      </c>
    </row>
    <row r="1410" spans="1:17" x14ac:dyDescent="0.4">
      <c r="A1410" t="s">
        <v>1791</v>
      </c>
      <c r="B1410" s="1">
        <v>45732</v>
      </c>
      <c r="C1410" t="s">
        <v>74</v>
      </c>
      <c r="D1410" t="s">
        <v>14</v>
      </c>
      <c r="E1410" t="s">
        <v>317</v>
      </c>
      <c r="F1410" t="s">
        <v>28</v>
      </c>
      <c r="G1410">
        <v>1</v>
      </c>
      <c r="H1410">
        <v>1324.63</v>
      </c>
      <c r="I1410">
        <v>30</v>
      </c>
      <c r="J1410">
        <v>615.72</v>
      </c>
      <c r="K1410" t="s">
        <v>24</v>
      </c>
      <c r="L1410" t="s">
        <v>33</v>
      </c>
      <c r="M1410">
        <f t="shared" si="105"/>
        <v>927.24099999999999</v>
      </c>
      <c r="N1410">
        <f t="shared" si="106"/>
        <v>311.52099999999996</v>
      </c>
      <c r="O1410" t="str">
        <f t="shared" si="107"/>
        <v>Sunday</v>
      </c>
      <c r="P1410" t="b">
        <f t="shared" si="108"/>
        <v>1</v>
      </c>
      <c r="Q1410" t="str">
        <f t="shared" si="109"/>
        <v>March</v>
      </c>
    </row>
    <row r="1411" spans="1:17" x14ac:dyDescent="0.4">
      <c r="A1411" t="s">
        <v>1792</v>
      </c>
      <c r="B1411" s="1">
        <v>45724</v>
      </c>
      <c r="C1411" t="s">
        <v>302</v>
      </c>
      <c r="D1411" t="s">
        <v>31</v>
      </c>
      <c r="E1411" t="s">
        <v>938</v>
      </c>
      <c r="F1411" t="s">
        <v>23</v>
      </c>
      <c r="G1411">
        <v>2</v>
      </c>
      <c r="H1411">
        <v>537.72</v>
      </c>
      <c r="I1411">
        <v>15</v>
      </c>
      <c r="J1411">
        <v>276.69</v>
      </c>
      <c r="K1411" t="s">
        <v>24</v>
      </c>
      <c r="L1411" t="s">
        <v>33</v>
      </c>
      <c r="M1411">
        <f t="shared" ref="M1411:M1474" si="110">G1411 * H1411 * (1 - I1411/100)</f>
        <v>914.12400000000002</v>
      </c>
      <c r="N1411">
        <f t="shared" ref="N1411:N1474" si="111">M1411 - (J1411 * G1411)</f>
        <v>360.74400000000003</v>
      </c>
      <c r="O1411" t="str">
        <f t="shared" ref="O1411:O1474" si="112">TEXT(B1411,"dddd")</f>
        <v>Saturday</v>
      </c>
      <c r="P1411" t="b">
        <f t="shared" ref="P1411:P1474" si="113">OR(TEXT(B1411,"ddd")="Sat", TEXT(B1411,"ddd")="Sun")</f>
        <v>1</v>
      </c>
      <c r="Q1411" t="str">
        <f t="shared" ref="Q1411:Q1474" si="114">TEXT(B1411,"mmmm")</f>
        <v>March</v>
      </c>
    </row>
    <row r="1412" spans="1:17" x14ac:dyDescent="0.4">
      <c r="A1412" t="s">
        <v>1793</v>
      </c>
      <c r="B1412" s="1">
        <v>45875</v>
      </c>
      <c r="C1412" t="s">
        <v>119</v>
      </c>
      <c r="D1412" t="s">
        <v>14</v>
      </c>
      <c r="E1412" t="s">
        <v>354</v>
      </c>
      <c r="F1412" t="s">
        <v>16</v>
      </c>
      <c r="G1412">
        <v>4</v>
      </c>
      <c r="H1412">
        <v>1191.29</v>
      </c>
      <c r="I1412">
        <v>30</v>
      </c>
      <c r="J1412">
        <v>679.17</v>
      </c>
      <c r="K1412" t="s">
        <v>24</v>
      </c>
      <c r="L1412" t="s">
        <v>18</v>
      </c>
      <c r="M1412">
        <f t="shared" si="110"/>
        <v>3335.6119999999996</v>
      </c>
      <c r="N1412">
        <f t="shared" si="111"/>
        <v>618.93199999999979</v>
      </c>
      <c r="O1412" t="str">
        <f t="shared" si="112"/>
        <v>Wednesday</v>
      </c>
      <c r="P1412" t="b">
        <f t="shared" si="113"/>
        <v>0</v>
      </c>
      <c r="Q1412" t="str">
        <f t="shared" si="114"/>
        <v>August</v>
      </c>
    </row>
    <row r="1413" spans="1:17" x14ac:dyDescent="0.4">
      <c r="A1413" t="s">
        <v>1794</v>
      </c>
      <c r="B1413" s="1">
        <v>45600</v>
      </c>
      <c r="C1413" t="s">
        <v>241</v>
      </c>
      <c r="D1413" t="s">
        <v>14</v>
      </c>
      <c r="E1413" t="s">
        <v>291</v>
      </c>
      <c r="F1413" t="s">
        <v>16</v>
      </c>
      <c r="G1413">
        <v>3</v>
      </c>
      <c r="H1413">
        <v>1513</v>
      </c>
      <c r="I1413">
        <v>20</v>
      </c>
      <c r="J1413">
        <v>667.05</v>
      </c>
      <c r="K1413" t="s">
        <v>24</v>
      </c>
      <c r="L1413" t="s">
        <v>37</v>
      </c>
      <c r="M1413">
        <f t="shared" si="110"/>
        <v>3631.2000000000003</v>
      </c>
      <c r="N1413">
        <f t="shared" si="111"/>
        <v>1630.0500000000004</v>
      </c>
      <c r="O1413" t="str">
        <f t="shared" si="112"/>
        <v>Monday</v>
      </c>
      <c r="P1413" t="b">
        <f t="shared" si="113"/>
        <v>0</v>
      </c>
      <c r="Q1413" t="str">
        <f t="shared" si="114"/>
        <v>November</v>
      </c>
    </row>
    <row r="1414" spans="1:17" x14ac:dyDescent="0.4">
      <c r="A1414" t="s">
        <v>1795</v>
      </c>
      <c r="B1414" s="1">
        <v>45309</v>
      </c>
      <c r="C1414" t="s">
        <v>146</v>
      </c>
      <c r="D1414" t="s">
        <v>31</v>
      </c>
      <c r="E1414" t="s">
        <v>1102</v>
      </c>
      <c r="F1414" t="s">
        <v>16</v>
      </c>
      <c r="G1414">
        <v>3</v>
      </c>
      <c r="H1414">
        <v>2318.19</v>
      </c>
      <c r="I1414">
        <v>30</v>
      </c>
      <c r="J1414">
        <v>1540.85</v>
      </c>
      <c r="K1414" t="s">
        <v>24</v>
      </c>
      <c r="L1414" t="s">
        <v>37</v>
      </c>
      <c r="M1414">
        <f t="shared" si="110"/>
        <v>4868.1989999999996</v>
      </c>
      <c r="N1414">
        <f t="shared" si="111"/>
        <v>245.64900000000034</v>
      </c>
      <c r="O1414" t="str">
        <f t="shared" si="112"/>
        <v>Thursday</v>
      </c>
      <c r="P1414" t="b">
        <f t="shared" si="113"/>
        <v>0</v>
      </c>
      <c r="Q1414" t="str">
        <f t="shared" si="114"/>
        <v>January</v>
      </c>
    </row>
    <row r="1415" spans="1:17" x14ac:dyDescent="0.4">
      <c r="A1415" t="s">
        <v>1796</v>
      </c>
      <c r="B1415" s="1">
        <v>45728</v>
      </c>
      <c r="C1415" t="s">
        <v>39</v>
      </c>
      <c r="D1415" t="s">
        <v>31</v>
      </c>
      <c r="E1415" t="s">
        <v>874</v>
      </c>
      <c r="F1415" t="s">
        <v>28</v>
      </c>
      <c r="G1415">
        <v>1</v>
      </c>
      <c r="H1415">
        <v>542.13</v>
      </c>
      <c r="I1415">
        <v>30</v>
      </c>
      <c r="J1415">
        <v>321.89999999999998</v>
      </c>
      <c r="K1415" t="s">
        <v>24</v>
      </c>
      <c r="L1415" t="s">
        <v>33</v>
      </c>
      <c r="M1415">
        <f t="shared" si="110"/>
        <v>379.49099999999999</v>
      </c>
      <c r="N1415">
        <f t="shared" si="111"/>
        <v>57.591000000000008</v>
      </c>
      <c r="O1415" t="str">
        <f t="shared" si="112"/>
        <v>Wednesday</v>
      </c>
      <c r="P1415" t="b">
        <f t="shared" si="113"/>
        <v>0</v>
      </c>
      <c r="Q1415" t="str">
        <f t="shared" si="114"/>
        <v>March</v>
      </c>
    </row>
    <row r="1416" spans="1:17" x14ac:dyDescent="0.4">
      <c r="A1416" t="s">
        <v>1797</v>
      </c>
      <c r="B1416" s="1">
        <v>45695</v>
      </c>
      <c r="C1416" t="s">
        <v>71</v>
      </c>
      <c r="D1416" t="s">
        <v>14</v>
      </c>
      <c r="E1416" t="s">
        <v>284</v>
      </c>
      <c r="F1416" t="s">
        <v>23</v>
      </c>
      <c r="G1416">
        <v>1</v>
      </c>
      <c r="H1416">
        <v>2834.16</v>
      </c>
      <c r="I1416">
        <v>30</v>
      </c>
      <c r="J1416">
        <v>1898.77</v>
      </c>
      <c r="K1416" t="s">
        <v>24</v>
      </c>
      <c r="L1416" t="s">
        <v>37</v>
      </c>
      <c r="M1416">
        <f t="shared" si="110"/>
        <v>1983.9119999999998</v>
      </c>
      <c r="N1416">
        <f t="shared" si="111"/>
        <v>85.141999999999825</v>
      </c>
      <c r="O1416" t="str">
        <f t="shared" si="112"/>
        <v>Friday</v>
      </c>
      <c r="P1416" t="b">
        <f t="shared" si="113"/>
        <v>0</v>
      </c>
      <c r="Q1416" t="str">
        <f t="shared" si="114"/>
        <v>February</v>
      </c>
    </row>
    <row r="1417" spans="1:17" x14ac:dyDescent="0.4">
      <c r="A1417" t="s">
        <v>1798</v>
      </c>
      <c r="B1417" s="1">
        <v>45403</v>
      </c>
      <c r="C1417" t="s">
        <v>286</v>
      </c>
      <c r="D1417" t="s">
        <v>21</v>
      </c>
      <c r="E1417" t="s">
        <v>813</v>
      </c>
      <c r="F1417" t="s">
        <v>23</v>
      </c>
      <c r="G1417">
        <v>4</v>
      </c>
      <c r="H1417">
        <v>351.4</v>
      </c>
      <c r="I1417">
        <v>25</v>
      </c>
      <c r="J1417">
        <v>239.7</v>
      </c>
      <c r="K1417" t="s">
        <v>17</v>
      </c>
      <c r="L1417" t="s">
        <v>33</v>
      </c>
      <c r="M1417">
        <f t="shared" si="110"/>
        <v>1054.1999999999998</v>
      </c>
      <c r="N1417">
        <f t="shared" si="111"/>
        <v>95.399999999999864</v>
      </c>
      <c r="O1417" t="str">
        <f t="shared" si="112"/>
        <v>Sunday</v>
      </c>
      <c r="P1417" t="b">
        <f t="shared" si="113"/>
        <v>1</v>
      </c>
      <c r="Q1417" t="str">
        <f t="shared" si="114"/>
        <v>April</v>
      </c>
    </row>
    <row r="1418" spans="1:17" x14ac:dyDescent="0.4">
      <c r="A1418" t="s">
        <v>1799</v>
      </c>
      <c r="B1418" s="1">
        <v>45877</v>
      </c>
      <c r="C1418" t="s">
        <v>251</v>
      </c>
      <c r="D1418" t="s">
        <v>46</v>
      </c>
      <c r="E1418" t="s">
        <v>47</v>
      </c>
      <c r="F1418" t="s">
        <v>23</v>
      </c>
      <c r="G1418">
        <v>3</v>
      </c>
      <c r="H1418">
        <v>2628.11</v>
      </c>
      <c r="I1418">
        <v>5</v>
      </c>
      <c r="J1418">
        <v>1641.17</v>
      </c>
      <c r="K1418" t="s">
        <v>24</v>
      </c>
      <c r="L1418" t="s">
        <v>18</v>
      </c>
      <c r="M1418">
        <f t="shared" si="110"/>
        <v>7490.1134999999995</v>
      </c>
      <c r="N1418">
        <f t="shared" si="111"/>
        <v>2566.6034999999993</v>
      </c>
      <c r="O1418" t="str">
        <f t="shared" si="112"/>
        <v>Friday</v>
      </c>
      <c r="P1418" t="b">
        <f t="shared" si="113"/>
        <v>0</v>
      </c>
      <c r="Q1418" t="str">
        <f t="shared" si="114"/>
        <v>August</v>
      </c>
    </row>
    <row r="1419" spans="1:17" x14ac:dyDescent="0.4">
      <c r="A1419" t="s">
        <v>1800</v>
      </c>
      <c r="B1419" s="1">
        <v>45613</v>
      </c>
      <c r="C1419" t="s">
        <v>152</v>
      </c>
      <c r="D1419" t="s">
        <v>46</v>
      </c>
      <c r="E1419" t="s">
        <v>569</v>
      </c>
      <c r="F1419" t="s">
        <v>28</v>
      </c>
      <c r="G1419">
        <v>5</v>
      </c>
      <c r="H1419">
        <v>338.4</v>
      </c>
      <c r="I1419">
        <v>30</v>
      </c>
      <c r="J1419">
        <v>215.35</v>
      </c>
      <c r="K1419" t="s">
        <v>24</v>
      </c>
      <c r="L1419" t="s">
        <v>33</v>
      </c>
      <c r="M1419">
        <f t="shared" si="110"/>
        <v>1184.3999999999999</v>
      </c>
      <c r="N1419">
        <f t="shared" si="111"/>
        <v>107.64999999999986</v>
      </c>
      <c r="O1419" t="str">
        <f t="shared" si="112"/>
        <v>Sunday</v>
      </c>
      <c r="P1419" t="b">
        <f t="shared" si="113"/>
        <v>1</v>
      </c>
      <c r="Q1419" t="str">
        <f t="shared" si="114"/>
        <v>November</v>
      </c>
    </row>
    <row r="1420" spans="1:17" x14ac:dyDescent="0.4">
      <c r="A1420" t="s">
        <v>1801</v>
      </c>
      <c r="B1420" s="1">
        <v>45415</v>
      </c>
      <c r="C1420" t="s">
        <v>171</v>
      </c>
      <c r="D1420" t="s">
        <v>14</v>
      </c>
      <c r="E1420" t="s">
        <v>162</v>
      </c>
      <c r="F1420" t="s">
        <v>28</v>
      </c>
      <c r="G1420">
        <v>4</v>
      </c>
      <c r="H1420">
        <v>2815.47</v>
      </c>
      <c r="I1420">
        <v>20</v>
      </c>
      <c r="J1420">
        <v>1368.24</v>
      </c>
      <c r="K1420" t="s">
        <v>17</v>
      </c>
      <c r="L1420" t="s">
        <v>33</v>
      </c>
      <c r="M1420">
        <f t="shared" si="110"/>
        <v>9009.503999999999</v>
      </c>
      <c r="N1420">
        <f t="shared" si="111"/>
        <v>3536.543999999999</v>
      </c>
      <c r="O1420" t="str">
        <f t="shared" si="112"/>
        <v>Friday</v>
      </c>
      <c r="P1420" t="b">
        <f t="shared" si="113"/>
        <v>0</v>
      </c>
      <c r="Q1420" t="str">
        <f t="shared" si="114"/>
        <v>May</v>
      </c>
    </row>
    <row r="1421" spans="1:17" x14ac:dyDescent="0.4">
      <c r="A1421" t="s">
        <v>1802</v>
      </c>
      <c r="B1421" s="1">
        <v>45696</v>
      </c>
      <c r="C1421" t="s">
        <v>92</v>
      </c>
      <c r="D1421" t="s">
        <v>46</v>
      </c>
      <c r="E1421" t="s">
        <v>289</v>
      </c>
      <c r="F1421" t="s">
        <v>28</v>
      </c>
      <c r="G1421">
        <v>4</v>
      </c>
      <c r="H1421">
        <v>2204.08</v>
      </c>
      <c r="I1421">
        <v>10</v>
      </c>
      <c r="J1421">
        <v>925.1</v>
      </c>
      <c r="K1421" t="s">
        <v>17</v>
      </c>
      <c r="L1421" t="s">
        <v>33</v>
      </c>
      <c r="M1421">
        <f t="shared" si="110"/>
        <v>7934.6880000000001</v>
      </c>
      <c r="N1421">
        <f t="shared" si="111"/>
        <v>4234.2880000000005</v>
      </c>
      <c r="O1421" t="str">
        <f t="shared" si="112"/>
        <v>Saturday</v>
      </c>
      <c r="P1421" t="b">
        <f t="shared" si="113"/>
        <v>1</v>
      </c>
      <c r="Q1421" t="str">
        <f t="shared" si="114"/>
        <v>February</v>
      </c>
    </row>
    <row r="1422" spans="1:17" x14ac:dyDescent="0.4">
      <c r="A1422" t="s">
        <v>1803</v>
      </c>
      <c r="B1422" s="1">
        <v>45668</v>
      </c>
      <c r="C1422" t="s">
        <v>149</v>
      </c>
      <c r="D1422" t="s">
        <v>31</v>
      </c>
      <c r="E1422" t="s">
        <v>1785</v>
      </c>
      <c r="F1422" t="s">
        <v>16</v>
      </c>
      <c r="G1422">
        <v>2</v>
      </c>
      <c r="H1422">
        <v>2424.62</v>
      </c>
      <c r="I1422">
        <v>30</v>
      </c>
      <c r="J1422">
        <v>1475.12</v>
      </c>
      <c r="K1422" t="s">
        <v>24</v>
      </c>
      <c r="L1422" t="s">
        <v>33</v>
      </c>
      <c r="M1422">
        <f t="shared" si="110"/>
        <v>3394.4679999999998</v>
      </c>
      <c r="N1422">
        <f t="shared" si="111"/>
        <v>444.22800000000007</v>
      </c>
      <c r="O1422" t="str">
        <f t="shared" si="112"/>
        <v>Saturday</v>
      </c>
      <c r="P1422" t="b">
        <f t="shared" si="113"/>
        <v>1</v>
      </c>
      <c r="Q1422" t="str">
        <f t="shared" si="114"/>
        <v>January</v>
      </c>
    </row>
    <row r="1423" spans="1:17" x14ac:dyDescent="0.4">
      <c r="A1423" t="s">
        <v>1804</v>
      </c>
      <c r="B1423" s="1">
        <v>45614</v>
      </c>
      <c r="C1423" t="s">
        <v>114</v>
      </c>
      <c r="D1423" t="s">
        <v>46</v>
      </c>
      <c r="E1423" t="s">
        <v>464</v>
      </c>
      <c r="F1423" t="s">
        <v>16</v>
      </c>
      <c r="G1423">
        <v>3</v>
      </c>
      <c r="H1423">
        <v>880.57</v>
      </c>
      <c r="I1423">
        <v>10</v>
      </c>
      <c r="J1423">
        <v>424.45</v>
      </c>
      <c r="K1423" t="s">
        <v>17</v>
      </c>
      <c r="L1423" t="s">
        <v>33</v>
      </c>
      <c r="M1423">
        <f t="shared" si="110"/>
        <v>2377.5390000000002</v>
      </c>
      <c r="N1423">
        <f t="shared" si="111"/>
        <v>1104.1890000000003</v>
      </c>
      <c r="O1423" t="str">
        <f t="shared" si="112"/>
        <v>Monday</v>
      </c>
      <c r="P1423" t="b">
        <f t="shared" si="113"/>
        <v>0</v>
      </c>
      <c r="Q1423" t="str">
        <f t="shared" si="114"/>
        <v>November</v>
      </c>
    </row>
    <row r="1424" spans="1:17" x14ac:dyDescent="0.4">
      <c r="A1424" t="s">
        <v>1805</v>
      </c>
      <c r="B1424" s="1">
        <v>45855</v>
      </c>
      <c r="C1424" t="s">
        <v>114</v>
      </c>
      <c r="D1424" t="s">
        <v>21</v>
      </c>
      <c r="E1424" t="s">
        <v>15</v>
      </c>
      <c r="F1424" t="s">
        <v>16</v>
      </c>
      <c r="G1424">
        <v>2</v>
      </c>
      <c r="H1424">
        <v>2383.5</v>
      </c>
      <c r="I1424">
        <v>0</v>
      </c>
      <c r="J1424">
        <v>1258.3399999999999</v>
      </c>
      <c r="K1424" t="s">
        <v>17</v>
      </c>
      <c r="L1424" t="s">
        <v>18</v>
      </c>
      <c r="M1424">
        <f t="shared" si="110"/>
        <v>4767</v>
      </c>
      <c r="N1424">
        <f t="shared" si="111"/>
        <v>2250.3200000000002</v>
      </c>
      <c r="O1424" t="str">
        <f t="shared" si="112"/>
        <v>Thursday</v>
      </c>
      <c r="P1424" t="b">
        <f t="shared" si="113"/>
        <v>0</v>
      </c>
      <c r="Q1424" t="str">
        <f t="shared" si="114"/>
        <v>July</v>
      </c>
    </row>
    <row r="1425" spans="1:17" x14ac:dyDescent="0.4">
      <c r="A1425" t="s">
        <v>1806</v>
      </c>
      <c r="B1425" s="1">
        <v>45740</v>
      </c>
      <c r="C1425" t="s">
        <v>71</v>
      </c>
      <c r="D1425" t="s">
        <v>46</v>
      </c>
      <c r="E1425" t="s">
        <v>855</v>
      </c>
      <c r="F1425" t="s">
        <v>16</v>
      </c>
      <c r="G1425">
        <v>2</v>
      </c>
      <c r="H1425">
        <v>1260.3800000000001</v>
      </c>
      <c r="I1425">
        <v>20</v>
      </c>
      <c r="J1425">
        <v>787.71</v>
      </c>
      <c r="K1425" t="s">
        <v>17</v>
      </c>
      <c r="L1425" t="s">
        <v>37</v>
      </c>
      <c r="M1425">
        <f t="shared" si="110"/>
        <v>2016.6080000000002</v>
      </c>
      <c r="N1425">
        <f t="shared" si="111"/>
        <v>441.1880000000001</v>
      </c>
      <c r="O1425" t="str">
        <f t="shared" si="112"/>
        <v>Monday</v>
      </c>
      <c r="P1425" t="b">
        <f t="shared" si="113"/>
        <v>0</v>
      </c>
      <c r="Q1425" t="str">
        <f t="shared" si="114"/>
        <v>March</v>
      </c>
    </row>
    <row r="1426" spans="1:17" x14ac:dyDescent="0.4">
      <c r="A1426" t="s">
        <v>1807</v>
      </c>
      <c r="B1426" s="1">
        <v>45411</v>
      </c>
      <c r="C1426" t="s">
        <v>190</v>
      </c>
      <c r="D1426" t="s">
        <v>21</v>
      </c>
      <c r="E1426" t="s">
        <v>75</v>
      </c>
      <c r="F1426" t="s">
        <v>16</v>
      </c>
      <c r="G1426">
        <v>1</v>
      </c>
      <c r="H1426">
        <v>2478.4</v>
      </c>
      <c r="I1426">
        <v>5</v>
      </c>
      <c r="J1426">
        <v>1344.25</v>
      </c>
      <c r="K1426" t="s">
        <v>17</v>
      </c>
      <c r="L1426" t="s">
        <v>37</v>
      </c>
      <c r="M1426">
        <f t="shared" si="110"/>
        <v>2354.48</v>
      </c>
      <c r="N1426">
        <f t="shared" si="111"/>
        <v>1010.23</v>
      </c>
      <c r="O1426" t="str">
        <f t="shared" si="112"/>
        <v>Monday</v>
      </c>
      <c r="P1426" t="b">
        <f t="shared" si="113"/>
        <v>0</v>
      </c>
      <c r="Q1426" t="str">
        <f t="shared" si="114"/>
        <v>April</v>
      </c>
    </row>
    <row r="1427" spans="1:17" x14ac:dyDescent="0.4">
      <c r="A1427" t="s">
        <v>1808</v>
      </c>
      <c r="B1427" s="1">
        <v>45382</v>
      </c>
      <c r="C1427" t="s">
        <v>100</v>
      </c>
      <c r="D1427" t="s">
        <v>46</v>
      </c>
      <c r="E1427" t="s">
        <v>334</v>
      </c>
      <c r="F1427" t="s">
        <v>16</v>
      </c>
      <c r="G1427">
        <v>5</v>
      </c>
      <c r="H1427">
        <v>1321.78</v>
      </c>
      <c r="I1427">
        <v>25</v>
      </c>
      <c r="J1427">
        <v>622.13</v>
      </c>
      <c r="K1427" t="s">
        <v>24</v>
      </c>
      <c r="L1427" t="s">
        <v>33</v>
      </c>
      <c r="M1427">
        <f t="shared" si="110"/>
        <v>4956.6749999999993</v>
      </c>
      <c r="N1427">
        <f t="shared" si="111"/>
        <v>1846.0249999999992</v>
      </c>
      <c r="O1427" t="str">
        <f t="shared" si="112"/>
        <v>Sunday</v>
      </c>
      <c r="P1427" t="b">
        <f t="shared" si="113"/>
        <v>1</v>
      </c>
      <c r="Q1427" t="str">
        <f t="shared" si="114"/>
        <v>March</v>
      </c>
    </row>
    <row r="1428" spans="1:17" x14ac:dyDescent="0.4">
      <c r="A1428" t="s">
        <v>1809</v>
      </c>
      <c r="B1428" s="1">
        <v>45923</v>
      </c>
      <c r="C1428" t="s">
        <v>269</v>
      </c>
      <c r="D1428" t="s">
        <v>21</v>
      </c>
      <c r="E1428" t="s">
        <v>569</v>
      </c>
      <c r="F1428" t="s">
        <v>16</v>
      </c>
      <c r="G1428">
        <v>1</v>
      </c>
      <c r="H1428">
        <v>2385.0300000000002</v>
      </c>
      <c r="I1428">
        <v>10</v>
      </c>
      <c r="J1428">
        <v>1090.9000000000001</v>
      </c>
      <c r="K1428" t="s">
        <v>24</v>
      </c>
      <c r="L1428" t="s">
        <v>18</v>
      </c>
      <c r="M1428">
        <f t="shared" si="110"/>
        <v>2146.527</v>
      </c>
      <c r="N1428">
        <f t="shared" si="111"/>
        <v>1055.627</v>
      </c>
      <c r="O1428" t="str">
        <f t="shared" si="112"/>
        <v>Tuesday</v>
      </c>
      <c r="P1428" t="b">
        <f t="shared" si="113"/>
        <v>0</v>
      </c>
      <c r="Q1428" t="str">
        <f t="shared" si="114"/>
        <v>September</v>
      </c>
    </row>
    <row r="1429" spans="1:17" x14ac:dyDescent="0.4">
      <c r="A1429" t="s">
        <v>1810</v>
      </c>
      <c r="B1429" s="1">
        <v>45533</v>
      </c>
      <c r="C1429" t="s">
        <v>95</v>
      </c>
      <c r="D1429" t="s">
        <v>31</v>
      </c>
      <c r="E1429" t="s">
        <v>577</v>
      </c>
      <c r="F1429" t="s">
        <v>23</v>
      </c>
      <c r="G1429">
        <v>4</v>
      </c>
      <c r="H1429">
        <v>2036.52</v>
      </c>
      <c r="I1429">
        <v>15</v>
      </c>
      <c r="J1429">
        <v>931.83</v>
      </c>
      <c r="K1429" t="s">
        <v>24</v>
      </c>
      <c r="L1429" t="s">
        <v>18</v>
      </c>
      <c r="M1429">
        <f t="shared" si="110"/>
        <v>6924.1679999999997</v>
      </c>
      <c r="N1429">
        <f t="shared" si="111"/>
        <v>3196.8479999999995</v>
      </c>
      <c r="O1429" t="str">
        <f t="shared" si="112"/>
        <v>Thursday</v>
      </c>
      <c r="P1429" t="b">
        <f t="shared" si="113"/>
        <v>0</v>
      </c>
      <c r="Q1429" t="str">
        <f t="shared" si="114"/>
        <v>August</v>
      </c>
    </row>
    <row r="1430" spans="1:17" x14ac:dyDescent="0.4">
      <c r="A1430" t="s">
        <v>1811</v>
      </c>
      <c r="B1430" s="1">
        <v>45341</v>
      </c>
      <c r="C1430" t="s">
        <v>253</v>
      </c>
      <c r="D1430" t="s">
        <v>21</v>
      </c>
      <c r="E1430" t="s">
        <v>1195</v>
      </c>
      <c r="F1430" t="s">
        <v>16</v>
      </c>
      <c r="G1430">
        <v>1</v>
      </c>
      <c r="H1430">
        <v>1202.78</v>
      </c>
      <c r="I1430">
        <v>30</v>
      </c>
      <c r="J1430">
        <v>534.12</v>
      </c>
      <c r="K1430" t="s">
        <v>17</v>
      </c>
      <c r="L1430" t="s">
        <v>33</v>
      </c>
      <c r="M1430">
        <f t="shared" si="110"/>
        <v>841.94599999999991</v>
      </c>
      <c r="N1430">
        <f t="shared" si="111"/>
        <v>307.82599999999991</v>
      </c>
      <c r="O1430" t="str">
        <f t="shared" si="112"/>
        <v>Monday</v>
      </c>
      <c r="P1430" t="b">
        <f t="shared" si="113"/>
        <v>0</v>
      </c>
      <c r="Q1430" t="str">
        <f t="shared" si="114"/>
        <v>February</v>
      </c>
    </row>
    <row r="1431" spans="1:17" x14ac:dyDescent="0.4">
      <c r="A1431" t="s">
        <v>1812</v>
      </c>
      <c r="B1431" s="1">
        <v>45972</v>
      </c>
      <c r="C1431" t="s">
        <v>109</v>
      </c>
      <c r="D1431" t="s">
        <v>21</v>
      </c>
      <c r="E1431" t="s">
        <v>1134</v>
      </c>
      <c r="F1431" t="s">
        <v>28</v>
      </c>
      <c r="G1431">
        <v>2</v>
      </c>
      <c r="H1431">
        <v>2442.12</v>
      </c>
      <c r="I1431">
        <v>10</v>
      </c>
      <c r="J1431">
        <v>1130.6400000000001</v>
      </c>
      <c r="K1431" t="s">
        <v>24</v>
      </c>
      <c r="L1431" t="s">
        <v>18</v>
      </c>
      <c r="M1431">
        <f t="shared" si="110"/>
        <v>4395.8159999999998</v>
      </c>
      <c r="N1431">
        <f t="shared" si="111"/>
        <v>2134.5359999999996</v>
      </c>
      <c r="O1431" t="str">
        <f t="shared" si="112"/>
        <v>Tuesday</v>
      </c>
      <c r="P1431" t="b">
        <f t="shared" si="113"/>
        <v>0</v>
      </c>
      <c r="Q1431" t="str">
        <f t="shared" si="114"/>
        <v>November</v>
      </c>
    </row>
    <row r="1432" spans="1:17" x14ac:dyDescent="0.4">
      <c r="A1432" t="s">
        <v>1813</v>
      </c>
      <c r="B1432" s="1">
        <v>45920</v>
      </c>
      <c r="C1432" t="s">
        <v>128</v>
      </c>
      <c r="D1432" t="s">
        <v>46</v>
      </c>
      <c r="E1432" t="s">
        <v>287</v>
      </c>
      <c r="F1432" t="s">
        <v>23</v>
      </c>
      <c r="G1432">
        <v>3</v>
      </c>
      <c r="H1432">
        <v>2931.55</v>
      </c>
      <c r="I1432">
        <v>15</v>
      </c>
      <c r="J1432">
        <v>1303.1400000000001</v>
      </c>
      <c r="K1432" t="s">
        <v>24</v>
      </c>
      <c r="L1432" t="s">
        <v>18</v>
      </c>
      <c r="M1432">
        <f t="shared" si="110"/>
        <v>7475.4525000000012</v>
      </c>
      <c r="N1432">
        <f t="shared" si="111"/>
        <v>3566.0325000000012</v>
      </c>
      <c r="O1432" t="str">
        <f t="shared" si="112"/>
        <v>Saturday</v>
      </c>
      <c r="P1432" t="b">
        <f t="shared" si="113"/>
        <v>1</v>
      </c>
      <c r="Q1432" t="str">
        <f t="shared" si="114"/>
        <v>September</v>
      </c>
    </row>
    <row r="1433" spans="1:17" x14ac:dyDescent="0.4">
      <c r="A1433" t="s">
        <v>1814</v>
      </c>
      <c r="B1433" s="1">
        <v>45790</v>
      </c>
      <c r="C1433" t="s">
        <v>375</v>
      </c>
      <c r="D1433" t="s">
        <v>21</v>
      </c>
      <c r="E1433" t="s">
        <v>188</v>
      </c>
      <c r="F1433" t="s">
        <v>23</v>
      </c>
      <c r="G1433">
        <v>3</v>
      </c>
      <c r="H1433">
        <v>1625</v>
      </c>
      <c r="I1433">
        <v>25</v>
      </c>
      <c r="J1433">
        <v>914.94</v>
      </c>
      <c r="K1433" t="s">
        <v>17</v>
      </c>
      <c r="L1433" t="s">
        <v>37</v>
      </c>
      <c r="M1433">
        <f t="shared" si="110"/>
        <v>3656.25</v>
      </c>
      <c r="N1433">
        <f t="shared" si="111"/>
        <v>911.42999999999984</v>
      </c>
      <c r="O1433" t="str">
        <f t="shared" si="112"/>
        <v>Tuesday</v>
      </c>
      <c r="P1433" t="b">
        <f t="shared" si="113"/>
        <v>0</v>
      </c>
      <c r="Q1433" t="str">
        <f t="shared" si="114"/>
        <v>May</v>
      </c>
    </row>
    <row r="1434" spans="1:17" x14ac:dyDescent="0.4">
      <c r="A1434" t="s">
        <v>1815</v>
      </c>
      <c r="B1434" s="1">
        <v>45937</v>
      </c>
      <c r="C1434" t="s">
        <v>159</v>
      </c>
      <c r="D1434" t="s">
        <v>31</v>
      </c>
      <c r="E1434" t="s">
        <v>36</v>
      </c>
      <c r="F1434" t="s">
        <v>23</v>
      </c>
      <c r="G1434">
        <v>2</v>
      </c>
      <c r="H1434">
        <v>310.35000000000002</v>
      </c>
      <c r="I1434">
        <v>10</v>
      </c>
      <c r="J1434">
        <v>199.84</v>
      </c>
      <c r="K1434" t="s">
        <v>17</v>
      </c>
      <c r="L1434" t="s">
        <v>33</v>
      </c>
      <c r="M1434">
        <f t="shared" si="110"/>
        <v>558.63000000000011</v>
      </c>
      <c r="N1434">
        <f t="shared" si="111"/>
        <v>158.9500000000001</v>
      </c>
      <c r="O1434" t="str">
        <f t="shared" si="112"/>
        <v>Tuesday</v>
      </c>
      <c r="P1434" t="b">
        <f t="shared" si="113"/>
        <v>0</v>
      </c>
      <c r="Q1434" t="str">
        <f t="shared" si="114"/>
        <v>October</v>
      </c>
    </row>
    <row r="1435" spans="1:17" x14ac:dyDescent="0.4">
      <c r="A1435" t="s">
        <v>1816</v>
      </c>
      <c r="B1435" s="1">
        <v>45903</v>
      </c>
      <c r="C1435" t="s">
        <v>13</v>
      </c>
      <c r="D1435" t="s">
        <v>46</v>
      </c>
      <c r="E1435" t="s">
        <v>799</v>
      </c>
      <c r="F1435" t="s">
        <v>16</v>
      </c>
      <c r="G1435">
        <v>1</v>
      </c>
      <c r="H1435">
        <v>890.21</v>
      </c>
      <c r="I1435">
        <v>5</v>
      </c>
      <c r="J1435">
        <v>576.98</v>
      </c>
      <c r="K1435" t="s">
        <v>24</v>
      </c>
      <c r="L1435" t="s">
        <v>18</v>
      </c>
      <c r="M1435">
        <f t="shared" si="110"/>
        <v>845.69949999999994</v>
      </c>
      <c r="N1435">
        <f t="shared" si="111"/>
        <v>268.71949999999993</v>
      </c>
      <c r="O1435" t="str">
        <f t="shared" si="112"/>
        <v>Wednesday</v>
      </c>
      <c r="P1435" t="b">
        <f t="shared" si="113"/>
        <v>0</v>
      </c>
      <c r="Q1435" t="str">
        <f t="shared" si="114"/>
        <v>September</v>
      </c>
    </row>
    <row r="1436" spans="1:17" x14ac:dyDescent="0.4">
      <c r="A1436" t="s">
        <v>1817</v>
      </c>
      <c r="B1436" s="1">
        <v>45931</v>
      </c>
      <c r="C1436" t="s">
        <v>273</v>
      </c>
      <c r="D1436" t="s">
        <v>31</v>
      </c>
      <c r="E1436" t="s">
        <v>1785</v>
      </c>
      <c r="F1436" t="s">
        <v>28</v>
      </c>
      <c r="G1436">
        <v>3</v>
      </c>
      <c r="H1436">
        <v>2611.62</v>
      </c>
      <c r="I1436">
        <v>25</v>
      </c>
      <c r="J1436">
        <v>1137.3699999999999</v>
      </c>
      <c r="K1436" t="s">
        <v>24</v>
      </c>
      <c r="L1436" t="s">
        <v>33</v>
      </c>
      <c r="M1436">
        <f t="shared" si="110"/>
        <v>5876.1449999999995</v>
      </c>
      <c r="N1436">
        <f t="shared" si="111"/>
        <v>2464.0349999999999</v>
      </c>
      <c r="O1436" t="str">
        <f t="shared" si="112"/>
        <v>Wednesday</v>
      </c>
      <c r="P1436" t="b">
        <f t="shared" si="113"/>
        <v>0</v>
      </c>
      <c r="Q1436" t="str">
        <f t="shared" si="114"/>
        <v>October</v>
      </c>
    </row>
    <row r="1437" spans="1:17" x14ac:dyDescent="0.4">
      <c r="A1437" t="s">
        <v>1818</v>
      </c>
      <c r="B1437" s="1">
        <v>45926</v>
      </c>
      <c r="C1437" t="s">
        <v>182</v>
      </c>
      <c r="D1437" t="s">
        <v>31</v>
      </c>
      <c r="E1437" t="s">
        <v>218</v>
      </c>
      <c r="F1437" t="s">
        <v>28</v>
      </c>
      <c r="G1437">
        <v>2</v>
      </c>
      <c r="H1437">
        <v>1409.33</v>
      </c>
      <c r="I1437">
        <v>5</v>
      </c>
      <c r="J1437">
        <v>854.64</v>
      </c>
      <c r="K1437" t="s">
        <v>24</v>
      </c>
      <c r="L1437" t="s">
        <v>37</v>
      </c>
      <c r="M1437">
        <f t="shared" si="110"/>
        <v>2677.7269999999999</v>
      </c>
      <c r="N1437">
        <f t="shared" si="111"/>
        <v>968.44699999999989</v>
      </c>
      <c r="O1437" t="str">
        <f t="shared" si="112"/>
        <v>Friday</v>
      </c>
      <c r="P1437" t="b">
        <f t="shared" si="113"/>
        <v>0</v>
      </c>
      <c r="Q1437" t="str">
        <f t="shared" si="114"/>
        <v>September</v>
      </c>
    </row>
    <row r="1438" spans="1:17" x14ac:dyDescent="0.4">
      <c r="A1438" t="s">
        <v>1819</v>
      </c>
      <c r="B1438" s="1">
        <v>45358</v>
      </c>
      <c r="C1438" t="s">
        <v>146</v>
      </c>
      <c r="D1438" t="s">
        <v>46</v>
      </c>
      <c r="E1438" t="s">
        <v>313</v>
      </c>
      <c r="F1438" t="s">
        <v>23</v>
      </c>
      <c r="G1438">
        <v>5</v>
      </c>
      <c r="H1438">
        <v>2214.11</v>
      </c>
      <c r="I1438">
        <v>20</v>
      </c>
      <c r="J1438">
        <v>1438.5</v>
      </c>
      <c r="K1438" t="s">
        <v>24</v>
      </c>
      <c r="L1438" t="s">
        <v>18</v>
      </c>
      <c r="M1438">
        <f t="shared" si="110"/>
        <v>8856.44</v>
      </c>
      <c r="N1438">
        <f t="shared" si="111"/>
        <v>1663.9400000000005</v>
      </c>
      <c r="O1438" t="str">
        <f t="shared" si="112"/>
        <v>Thursday</v>
      </c>
      <c r="P1438" t="b">
        <f t="shared" si="113"/>
        <v>0</v>
      </c>
      <c r="Q1438" t="str">
        <f t="shared" si="114"/>
        <v>March</v>
      </c>
    </row>
    <row r="1439" spans="1:17" x14ac:dyDescent="0.4">
      <c r="A1439" t="s">
        <v>1820</v>
      </c>
      <c r="B1439" s="1">
        <v>45813</v>
      </c>
      <c r="C1439" t="s">
        <v>241</v>
      </c>
      <c r="D1439" t="s">
        <v>46</v>
      </c>
      <c r="E1439" t="s">
        <v>191</v>
      </c>
      <c r="F1439" t="s">
        <v>23</v>
      </c>
      <c r="G1439">
        <v>4</v>
      </c>
      <c r="H1439">
        <v>1228.92</v>
      </c>
      <c r="I1439">
        <v>0</v>
      </c>
      <c r="J1439">
        <v>712.14</v>
      </c>
      <c r="K1439" t="s">
        <v>24</v>
      </c>
      <c r="L1439" t="s">
        <v>33</v>
      </c>
      <c r="M1439">
        <f t="shared" si="110"/>
        <v>4915.68</v>
      </c>
      <c r="N1439">
        <f t="shared" si="111"/>
        <v>2067.1200000000003</v>
      </c>
      <c r="O1439" t="str">
        <f t="shared" si="112"/>
        <v>Thursday</v>
      </c>
      <c r="P1439" t="b">
        <f t="shared" si="113"/>
        <v>0</v>
      </c>
      <c r="Q1439" t="str">
        <f t="shared" si="114"/>
        <v>June</v>
      </c>
    </row>
    <row r="1440" spans="1:17" x14ac:dyDescent="0.4">
      <c r="A1440" t="s">
        <v>1821</v>
      </c>
      <c r="B1440" s="1">
        <v>45824</v>
      </c>
      <c r="C1440" t="s">
        <v>278</v>
      </c>
      <c r="D1440" t="s">
        <v>31</v>
      </c>
      <c r="E1440" t="s">
        <v>107</v>
      </c>
      <c r="F1440" t="s">
        <v>28</v>
      </c>
      <c r="G1440">
        <v>5</v>
      </c>
      <c r="H1440">
        <v>623.12</v>
      </c>
      <c r="I1440">
        <v>30</v>
      </c>
      <c r="J1440">
        <v>421.22</v>
      </c>
      <c r="K1440" t="s">
        <v>17</v>
      </c>
      <c r="L1440" t="s">
        <v>33</v>
      </c>
      <c r="M1440">
        <f t="shared" si="110"/>
        <v>2180.9199999999996</v>
      </c>
      <c r="N1440">
        <f t="shared" si="111"/>
        <v>74.819999999999254</v>
      </c>
      <c r="O1440" t="str">
        <f t="shared" si="112"/>
        <v>Monday</v>
      </c>
      <c r="P1440" t="b">
        <f t="shared" si="113"/>
        <v>0</v>
      </c>
      <c r="Q1440" t="str">
        <f t="shared" si="114"/>
        <v>June</v>
      </c>
    </row>
    <row r="1441" spans="1:17" x14ac:dyDescent="0.4">
      <c r="A1441" t="s">
        <v>1822</v>
      </c>
      <c r="B1441" s="1">
        <v>45539</v>
      </c>
      <c r="C1441" t="s">
        <v>463</v>
      </c>
      <c r="D1441" t="s">
        <v>21</v>
      </c>
      <c r="E1441" t="s">
        <v>330</v>
      </c>
      <c r="F1441" t="s">
        <v>23</v>
      </c>
      <c r="G1441">
        <v>2</v>
      </c>
      <c r="H1441">
        <v>920.73</v>
      </c>
      <c r="I1441">
        <v>20</v>
      </c>
      <c r="J1441">
        <v>549.11</v>
      </c>
      <c r="K1441" t="s">
        <v>17</v>
      </c>
      <c r="L1441" t="s">
        <v>37</v>
      </c>
      <c r="M1441">
        <f t="shared" si="110"/>
        <v>1473.1680000000001</v>
      </c>
      <c r="N1441">
        <f t="shared" si="111"/>
        <v>374.94800000000009</v>
      </c>
      <c r="O1441" t="str">
        <f t="shared" si="112"/>
        <v>Wednesday</v>
      </c>
      <c r="P1441" t="b">
        <f t="shared" si="113"/>
        <v>0</v>
      </c>
      <c r="Q1441" t="str">
        <f t="shared" si="114"/>
        <v>September</v>
      </c>
    </row>
    <row r="1442" spans="1:17" x14ac:dyDescent="0.4">
      <c r="A1442" t="s">
        <v>1823</v>
      </c>
      <c r="B1442" s="1">
        <v>45815</v>
      </c>
      <c r="C1442" t="s">
        <v>224</v>
      </c>
      <c r="D1442" t="s">
        <v>21</v>
      </c>
      <c r="E1442" t="s">
        <v>101</v>
      </c>
      <c r="F1442" t="s">
        <v>28</v>
      </c>
      <c r="G1442">
        <v>1</v>
      </c>
      <c r="H1442">
        <v>988.55</v>
      </c>
      <c r="I1442">
        <v>5</v>
      </c>
      <c r="J1442">
        <v>600.24</v>
      </c>
      <c r="K1442" t="s">
        <v>24</v>
      </c>
      <c r="L1442" t="s">
        <v>37</v>
      </c>
      <c r="M1442">
        <f t="shared" si="110"/>
        <v>939.12249999999995</v>
      </c>
      <c r="N1442">
        <f t="shared" si="111"/>
        <v>338.88249999999994</v>
      </c>
      <c r="O1442" t="str">
        <f t="shared" si="112"/>
        <v>Saturday</v>
      </c>
      <c r="P1442" t="b">
        <f t="shared" si="113"/>
        <v>1</v>
      </c>
      <c r="Q1442" t="str">
        <f t="shared" si="114"/>
        <v>June</v>
      </c>
    </row>
    <row r="1443" spans="1:17" x14ac:dyDescent="0.4">
      <c r="A1443" t="s">
        <v>1824</v>
      </c>
      <c r="B1443" s="1">
        <v>45507</v>
      </c>
      <c r="C1443" t="s">
        <v>224</v>
      </c>
      <c r="D1443" t="s">
        <v>46</v>
      </c>
      <c r="E1443" t="s">
        <v>175</v>
      </c>
      <c r="F1443" t="s">
        <v>23</v>
      </c>
      <c r="G1443">
        <v>3</v>
      </c>
      <c r="H1443">
        <v>526.11</v>
      </c>
      <c r="I1443">
        <v>30</v>
      </c>
      <c r="J1443">
        <v>258.51</v>
      </c>
      <c r="K1443" t="s">
        <v>17</v>
      </c>
      <c r="L1443" t="s">
        <v>18</v>
      </c>
      <c r="M1443">
        <f t="shared" si="110"/>
        <v>1104.8309999999999</v>
      </c>
      <c r="N1443">
        <f t="shared" si="111"/>
        <v>329.30099999999993</v>
      </c>
      <c r="O1443" t="str">
        <f t="shared" si="112"/>
        <v>Saturday</v>
      </c>
      <c r="P1443" t="b">
        <f t="shared" si="113"/>
        <v>1</v>
      </c>
      <c r="Q1443" t="str">
        <f t="shared" si="114"/>
        <v>August</v>
      </c>
    </row>
    <row r="1444" spans="1:17" x14ac:dyDescent="0.4">
      <c r="A1444" t="s">
        <v>1825</v>
      </c>
      <c r="B1444" s="1">
        <v>45587</v>
      </c>
      <c r="C1444" t="s">
        <v>45</v>
      </c>
      <c r="D1444" t="s">
        <v>21</v>
      </c>
      <c r="E1444" t="s">
        <v>1118</v>
      </c>
      <c r="F1444" t="s">
        <v>28</v>
      </c>
      <c r="G1444">
        <v>2</v>
      </c>
      <c r="H1444">
        <v>322.05</v>
      </c>
      <c r="I1444">
        <v>15</v>
      </c>
      <c r="J1444">
        <v>156.51</v>
      </c>
      <c r="K1444" t="s">
        <v>17</v>
      </c>
      <c r="L1444" t="s">
        <v>37</v>
      </c>
      <c r="M1444">
        <f t="shared" si="110"/>
        <v>547.48500000000001</v>
      </c>
      <c r="N1444">
        <f t="shared" si="111"/>
        <v>234.46500000000003</v>
      </c>
      <c r="O1444" t="str">
        <f t="shared" si="112"/>
        <v>Tuesday</v>
      </c>
      <c r="P1444" t="b">
        <f t="shared" si="113"/>
        <v>0</v>
      </c>
      <c r="Q1444" t="str">
        <f t="shared" si="114"/>
        <v>October</v>
      </c>
    </row>
    <row r="1445" spans="1:17" x14ac:dyDescent="0.4">
      <c r="A1445" t="s">
        <v>1826</v>
      </c>
      <c r="B1445" s="1">
        <v>45414</v>
      </c>
      <c r="C1445" t="s">
        <v>95</v>
      </c>
      <c r="D1445" t="s">
        <v>14</v>
      </c>
      <c r="E1445" t="s">
        <v>60</v>
      </c>
      <c r="F1445" t="s">
        <v>16</v>
      </c>
      <c r="G1445">
        <v>3</v>
      </c>
      <c r="H1445">
        <v>2620.42</v>
      </c>
      <c r="I1445">
        <v>25</v>
      </c>
      <c r="J1445">
        <v>1137</v>
      </c>
      <c r="K1445" t="s">
        <v>17</v>
      </c>
      <c r="L1445" t="s">
        <v>18</v>
      </c>
      <c r="M1445">
        <f t="shared" si="110"/>
        <v>5895.9449999999997</v>
      </c>
      <c r="N1445">
        <f t="shared" si="111"/>
        <v>2484.9449999999997</v>
      </c>
      <c r="O1445" t="str">
        <f t="shared" si="112"/>
        <v>Thursday</v>
      </c>
      <c r="P1445" t="b">
        <f t="shared" si="113"/>
        <v>0</v>
      </c>
      <c r="Q1445" t="str">
        <f t="shared" si="114"/>
        <v>May</v>
      </c>
    </row>
    <row r="1446" spans="1:17" x14ac:dyDescent="0.4">
      <c r="A1446" t="s">
        <v>1827</v>
      </c>
      <c r="B1446" s="1">
        <v>45562</v>
      </c>
      <c r="C1446" t="s">
        <v>74</v>
      </c>
      <c r="D1446" t="s">
        <v>21</v>
      </c>
      <c r="E1446" t="s">
        <v>338</v>
      </c>
      <c r="F1446" t="s">
        <v>16</v>
      </c>
      <c r="G1446">
        <v>3</v>
      </c>
      <c r="H1446">
        <v>460.62</v>
      </c>
      <c r="I1446">
        <v>10</v>
      </c>
      <c r="J1446">
        <v>309.25</v>
      </c>
      <c r="K1446" t="s">
        <v>17</v>
      </c>
      <c r="L1446" t="s">
        <v>33</v>
      </c>
      <c r="M1446">
        <f t="shared" si="110"/>
        <v>1243.6740000000002</v>
      </c>
      <c r="N1446">
        <f t="shared" si="111"/>
        <v>315.92400000000021</v>
      </c>
      <c r="O1446" t="str">
        <f t="shared" si="112"/>
        <v>Friday</v>
      </c>
      <c r="P1446" t="b">
        <f t="shared" si="113"/>
        <v>0</v>
      </c>
      <c r="Q1446" t="str">
        <f t="shared" si="114"/>
        <v>September</v>
      </c>
    </row>
    <row r="1447" spans="1:17" x14ac:dyDescent="0.4">
      <c r="A1447" t="s">
        <v>1828</v>
      </c>
      <c r="B1447" s="1">
        <v>45825</v>
      </c>
      <c r="C1447" t="s">
        <v>35</v>
      </c>
      <c r="D1447" t="s">
        <v>31</v>
      </c>
      <c r="E1447" t="s">
        <v>194</v>
      </c>
      <c r="F1447" t="s">
        <v>23</v>
      </c>
      <c r="G1447">
        <v>2</v>
      </c>
      <c r="H1447">
        <v>1410.95</v>
      </c>
      <c r="I1447">
        <v>25</v>
      </c>
      <c r="J1447">
        <v>610.92999999999995</v>
      </c>
      <c r="K1447" t="s">
        <v>17</v>
      </c>
      <c r="L1447" t="s">
        <v>18</v>
      </c>
      <c r="M1447">
        <f t="shared" si="110"/>
        <v>2116.4250000000002</v>
      </c>
      <c r="N1447">
        <f t="shared" si="111"/>
        <v>894.56500000000028</v>
      </c>
      <c r="O1447" t="str">
        <f t="shared" si="112"/>
        <v>Tuesday</v>
      </c>
      <c r="P1447" t="b">
        <f t="shared" si="113"/>
        <v>0</v>
      </c>
      <c r="Q1447" t="str">
        <f t="shared" si="114"/>
        <v>June</v>
      </c>
    </row>
    <row r="1448" spans="1:17" x14ac:dyDescent="0.4">
      <c r="A1448" t="s">
        <v>1829</v>
      </c>
      <c r="B1448" s="1">
        <v>45755</v>
      </c>
      <c r="C1448" t="s">
        <v>95</v>
      </c>
      <c r="D1448" t="s">
        <v>21</v>
      </c>
      <c r="E1448" t="s">
        <v>379</v>
      </c>
      <c r="F1448" t="s">
        <v>28</v>
      </c>
      <c r="G1448">
        <v>2</v>
      </c>
      <c r="H1448">
        <v>2147.4699999999998</v>
      </c>
      <c r="I1448">
        <v>20</v>
      </c>
      <c r="J1448">
        <v>1014.88</v>
      </c>
      <c r="K1448" t="s">
        <v>17</v>
      </c>
      <c r="L1448" t="s">
        <v>37</v>
      </c>
      <c r="M1448">
        <f t="shared" si="110"/>
        <v>3435.9519999999998</v>
      </c>
      <c r="N1448">
        <f t="shared" si="111"/>
        <v>1406.1919999999998</v>
      </c>
      <c r="O1448" t="str">
        <f t="shared" si="112"/>
        <v>Tuesday</v>
      </c>
      <c r="P1448" t="b">
        <f t="shared" si="113"/>
        <v>0</v>
      </c>
      <c r="Q1448" t="str">
        <f t="shared" si="114"/>
        <v>April</v>
      </c>
    </row>
    <row r="1449" spans="1:17" x14ac:dyDescent="0.4">
      <c r="A1449" t="s">
        <v>1830</v>
      </c>
      <c r="B1449" s="1">
        <v>45964</v>
      </c>
      <c r="C1449" t="s">
        <v>77</v>
      </c>
      <c r="D1449" t="s">
        <v>31</v>
      </c>
      <c r="E1449" t="s">
        <v>78</v>
      </c>
      <c r="F1449" t="s">
        <v>28</v>
      </c>
      <c r="G1449">
        <v>2</v>
      </c>
      <c r="H1449">
        <v>2575.4699999999998</v>
      </c>
      <c r="I1449">
        <v>10</v>
      </c>
      <c r="J1449">
        <v>1725.33</v>
      </c>
      <c r="K1449" t="s">
        <v>24</v>
      </c>
      <c r="L1449" t="s">
        <v>33</v>
      </c>
      <c r="M1449">
        <f t="shared" si="110"/>
        <v>4635.8459999999995</v>
      </c>
      <c r="N1449">
        <f t="shared" si="111"/>
        <v>1185.1859999999997</v>
      </c>
      <c r="O1449" t="str">
        <f t="shared" si="112"/>
        <v>Monday</v>
      </c>
      <c r="P1449" t="b">
        <f t="shared" si="113"/>
        <v>0</v>
      </c>
      <c r="Q1449" t="str">
        <f t="shared" si="114"/>
        <v>November</v>
      </c>
    </row>
    <row r="1450" spans="1:17" x14ac:dyDescent="0.4">
      <c r="A1450" t="s">
        <v>1831</v>
      </c>
      <c r="B1450" s="1">
        <v>45625</v>
      </c>
      <c r="C1450" t="s">
        <v>74</v>
      </c>
      <c r="D1450" t="s">
        <v>21</v>
      </c>
      <c r="E1450" t="s">
        <v>222</v>
      </c>
      <c r="F1450" t="s">
        <v>23</v>
      </c>
      <c r="G1450">
        <v>5</v>
      </c>
      <c r="H1450">
        <v>476.2</v>
      </c>
      <c r="I1450">
        <v>0</v>
      </c>
      <c r="J1450">
        <v>203.85</v>
      </c>
      <c r="K1450" t="s">
        <v>24</v>
      </c>
      <c r="L1450" t="s">
        <v>37</v>
      </c>
      <c r="M1450">
        <f t="shared" si="110"/>
        <v>2381</v>
      </c>
      <c r="N1450">
        <f t="shared" si="111"/>
        <v>1361.75</v>
      </c>
      <c r="O1450" t="str">
        <f t="shared" si="112"/>
        <v>Friday</v>
      </c>
      <c r="P1450" t="b">
        <f t="shared" si="113"/>
        <v>0</v>
      </c>
      <c r="Q1450" t="str">
        <f t="shared" si="114"/>
        <v>November</v>
      </c>
    </row>
    <row r="1451" spans="1:17" x14ac:dyDescent="0.4">
      <c r="A1451" t="s">
        <v>1832</v>
      </c>
      <c r="B1451" s="1">
        <v>45783</v>
      </c>
      <c r="C1451" t="s">
        <v>62</v>
      </c>
      <c r="D1451" t="s">
        <v>14</v>
      </c>
      <c r="E1451" t="s">
        <v>175</v>
      </c>
      <c r="F1451" t="s">
        <v>16</v>
      </c>
      <c r="G1451">
        <v>3</v>
      </c>
      <c r="H1451">
        <v>2992.54</v>
      </c>
      <c r="I1451">
        <v>25</v>
      </c>
      <c r="J1451">
        <v>1205.0899999999999</v>
      </c>
      <c r="K1451" t="s">
        <v>24</v>
      </c>
      <c r="L1451" t="s">
        <v>18</v>
      </c>
      <c r="M1451">
        <f t="shared" si="110"/>
        <v>6733.2149999999992</v>
      </c>
      <c r="N1451">
        <f t="shared" si="111"/>
        <v>3117.9449999999997</v>
      </c>
      <c r="O1451" t="str">
        <f t="shared" si="112"/>
        <v>Tuesday</v>
      </c>
      <c r="P1451" t="b">
        <f t="shared" si="113"/>
        <v>0</v>
      </c>
      <c r="Q1451" t="str">
        <f t="shared" si="114"/>
        <v>May</v>
      </c>
    </row>
    <row r="1452" spans="1:17" x14ac:dyDescent="0.4">
      <c r="A1452" t="s">
        <v>1833</v>
      </c>
      <c r="B1452" s="1">
        <v>45882</v>
      </c>
      <c r="C1452" t="s">
        <v>128</v>
      </c>
      <c r="D1452" t="s">
        <v>31</v>
      </c>
      <c r="E1452" t="s">
        <v>177</v>
      </c>
      <c r="F1452" t="s">
        <v>23</v>
      </c>
      <c r="G1452">
        <v>1</v>
      </c>
      <c r="H1452">
        <v>2983.47</v>
      </c>
      <c r="I1452">
        <v>25</v>
      </c>
      <c r="J1452">
        <v>1777.09</v>
      </c>
      <c r="K1452" t="s">
        <v>17</v>
      </c>
      <c r="L1452" t="s">
        <v>37</v>
      </c>
      <c r="M1452">
        <f t="shared" si="110"/>
        <v>2237.6025</v>
      </c>
      <c r="N1452">
        <f t="shared" si="111"/>
        <v>460.51250000000005</v>
      </c>
      <c r="O1452" t="str">
        <f t="shared" si="112"/>
        <v>Wednesday</v>
      </c>
      <c r="P1452" t="b">
        <f t="shared" si="113"/>
        <v>0</v>
      </c>
      <c r="Q1452" t="str">
        <f t="shared" si="114"/>
        <v>August</v>
      </c>
    </row>
    <row r="1453" spans="1:17" x14ac:dyDescent="0.4">
      <c r="A1453" t="s">
        <v>1834</v>
      </c>
      <c r="B1453" s="1">
        <v>45520</v>
      </c>
      <c r="C1453" t="s">
        <v>144</v>
      </c>
      <c r="D1453" t="s">
        <v>21</v>
      </c>
      <c r="E1453" t="s">
        <v>1097</v>
      </c>
      <c r="F1453" t="s">
        <v>16</v>
      </c>
      <c r="G1453">
        <v>5</v>
      </c>
      <c r="H1453">
        <v>2740.82</v>
      </c>
      <c r="I1453">
        <v>25</v>
      </c>
      <c r="J1453">
        <v>1754.48</v>
      </c>
      <c r="K1453" t="s">
        <v>17</v>
      </c>
      <c r="L1453" t="s">
        <v>37</v>
      </c>
      <c r="M1453">
        <f t="shared" si="110"/>
        <v>10278.075000000001</v>
      </c>
      <c r="N1453">
        <f t="shared" si="111"/>
        <v>1505.6750000000011</v>
      </c>
      <c r="O1453" t="str">
        <f t="shared" si="112"/>
        <v>Friday</v>
      </c>
      <c r="P1453" t="b">
        <f t="shared" si="113"/>
        <v>0</v>
      </c>
      <c r="Q1453" t="str">
        <f t="shared" si="114"/>
        <v>August</v>
      </c>
    </row>
    <row r="1454" spans="1:17" x14ac:dyDescent="0.4">
      <c r="A1454" t="s">
        <v>1835</v>
      </c>
      <c r="B1454" s="1">
        <v>45884</v>
      </c>
      <c r="C1454" t="s">
        <v>146</v>
      </c>
      <c r="D1454" t="s">
        <v>21</v>
      </c>
      <c r="E1454" t="s">
        <v>730</v>
      </c>
      <c r="F1454" t="s">
        <v>28</v>
      </c>
      <c r="G1454">
        <v>4</v>
      </c>
      <c r="H1454">
        <v>1446.92</v>
      </c>
      <c r="I1454">
        <v>5</v>
      </c>
      <c r="J1454">
        <v>599.37</v>
      </c>
      <c r="K1454" t="s">
        <v>17</v>
      </c>
      <c r="L1454" t="s">
        <v>33</v>
      </c>
      <c r="M1454">
        <f t="shared" si="110"/>
        <v>5498.2960000000003</v>
      </c>
      <c r="N1454">
        <f t="shared" si="111"/>
        <v>3100.8160000000003</v>
      </c>
      <c r="O1454" t="str">
        <f t="shared" si="112"/>
        <v>Friday</v>
      </c>
      <c r="P1454" t="b">
        <f t="shared" si="113"/>
        <v>0</v>
      </c>
      <c r="Q1454" t="str">
        <f t="shared" si="114"/>
        <v>August</v>
      </c>
    </row>
    <row r="1455" spans="1:17" x14ac:dyDescent="0.4">
      <c r="A1455" t="s">
        <v>1836</v>
      </c>
      <c r="B1455" s="1">
        <v>45504</v>
      </c>
      <c r="C1455" t="s">
        <v>241</v>
      </c>
      <c r="D1455" t="s">
        <v>14</v>
      </c>
      <c r="E1455" t="s">
        <v>227</v>
      </c>
      <c r="F1455" t="s">
        <v>16</v>
      </c>
      <c r="G1455">
        <v>5</v>
      </c>
      <c r="H1455">
        <v>1335.03</v>
      </c>
      <c r="I1455">
        <v>15</v>
      </c>
      <c r="J1455">
        <v>736.62</v>
      </c>
      <c r="K1455" t="s">
        <v>17</v>
      </c>
      <c r="L1455" t="s">
        <v>33</v>
      </c>
      <c r="M1455">
        <f t="shared" si="110"/>
        <v>5673.8774999999996</v>
      </c>
      <c r="N1455">
        <f t="shared" si="111"/>
        <v>1990.7774999999997</v>
      </c>
      <c r="O1455" t="str">
        <f t="shared" si="112"/>
        <v>Wednesday</v>
      </c>
      <c r="P1455" t="b">
        <f t="shared" si="113"/>
        <v>0</v>
      </c>
      <c r="Q1455" t="str">
        <f t="shared" si="114"/>
        <v>July</v>
      </c>
    </row>
    <row r="1456" spans="1:17" x14ac:dyDescent="0.4">
      <c r="A1456" t="s">
        <v>1837</v>
      </c>
      <c r="B1456" s="1">
        <v>45746</v>
      </c>
      <c r="C1456" t="s">
        <v>65</v>
      </c>
      <c r="D1456" t="s">
        <v>31</v>
      </c>
      <c r="E1456" t="s">
        <v>258</v>
      </c>
      <c r="F1456" t="s">
        <v>28</v>
      </c>
      <c r="G1456">
        <v>1</v>
      </c>
      <c r="H1456">
        <v>620.76</v>
      </c>
      <c r="I1456">
        <v>15</v>
      </c>
      <c r="J1456">
        <v>354.09</v>
      </c>
      <c r="K1456" t="s">
        <v>24</v>
      </c>
      <c r="L1456" t="s">
        <v>18</v>
      </c>
      <c r="M1456">
        <f t="shared" si="110"/>
        <v>527.64599999999996</v>
      </c>
      <c r="N1456">
        <f t="shared" si="111"/>
        <v>173.55599999999998</v>
      </c>
      <c r="O1456" t="str">
        <f t="shared" si="112"/>
        <v>Sunday</v>
      </c>
      <c r="P1456" t="b">
        <f t="shared" si="113"/>
        <v>1</v>
      </c>
      <c r="Q1456" t="str">
        <f t="shared" si="114"/>
        <v>March</v>
      </c>
    </row>
    <row r="1457" spans="1:17" x14ac:dyDescent="0.4">
      <c r="A1457" t="s">
        <v>1838</v>
      </c>
      <c r="B1457" s="1">
        <v>45939</v>
      </c>
      <c r="C1457" t="s">
        <v>159</v>
      </c>
      <c r="D1457" t="s">
        <v>31</v>
      </c>
      <c r="E1457" t="s">
        <v>352</v>
      </c>
      <c r="F1457" t="s">
        <v>23</v>
      </c>
      <c r="G1457">
        <v>4</v>
      </c>
      <c r="H1457">
        <v>1442.83</v>
      </c>
      <c r="I1457">
        <v>0</v>
      </c>
      <c r="J1457">
        <v>844.45</v>
      </c>
      <c r="K1457" t="s">
        <v>24</v>
      </c>
      <c r="L1457" t="s">
        <v>33</v>
      </c>
      <c r="M1457">
        <f t="shared" si="110"/>
        <v>5771.32</v>
      </c>
      <c r="N1457">
        <f t="shared" si="111"/>
        <v>2393.5199999999995</v>
      </c>
      <c r="O1457" t="str">
        <f t="shared" si="112"/>
        <v>Thursday</v>
      </c>
      <c r="P1457" t="b">
        <f t="shared" si="113"/>
        <v>0</v>
      </c>
      <c r="Q1457" t="str">
        <f t="shared" si="114"/>
        <v>October</v>
      </c>
    </row>
    <row r="1458" spans="1:17" x14ac:dyDescent="0.4">
      <c r="A1458" t="s">
        <v>1839</v>
      </c>
      <c r="B1458" s="1">
        <v>45489</v>
      </c>
      <c r="C1458" t="s">
        <v>146</v>
      </c>
      <c r="D1458" t="s">
        <v>46</v>
      </c>
      <c r="E1458" t="s">
        <v>467</v>
      </c>
      <c r="F1458" t="s">
        <v>23</v>
      </c>
      <c r="G1458">
        <v>3</v>
      </c>
      <c r="H1458">
        <v>926.81</v>
      </c>
      <c r="I1458">
        <v>30</v>
      </c>
      <c r="J1458">
        <v>375.45</v>
      </c>
      <c r="K1458" t="s">
        <v>24</v>
      </c>
      <c r="L1458" t="s">
        <v>18</v>
      </c>
      <c r="M1458">
        <f t="shared" si="110"/>
        <v>1946.3009999999997</v>
      </c>
      <c r="N1458">
        <f t="shared" si="111"/>
        <v>819.95099999999979</v>
      </c>
      <c r="O1458" t="str">
        <f t="shared" si="112"/>
        <v>Tuesday</v>
      </c>
      <c r="P1458" t="b">
        <f t="shared" si="113"/>
        <v>0</v>
      </c>
      <c r="Q1458" t="str">
        <f t="shared" si="114"/>
        <v>July</v>
      </c>
    </row>
    <row r="1459" spans="1:17" x14ac:dyDescent="0.4">
      <c r="A1459" t="s">
        <v>1840</v>
      </c>
      <c r="B1459" s="1">
        <v>45356</v>
      </c>
      <c r="C1459" t="s">
        <v>109</v>
      </c>
      <c r="D1459" t="s">
        <v>14</v>
      </c>
      <c r="E1459" t="s">
        <v>172</v>
      </c>
      <c r="F1459" t="s">
        <v>23</v>
      </c>
      <c r="G1459">
        <v>5</v>
      </c>
      <c r="H1459">
        <v>995.13</v>
      </c>
      <c r="I1459">
        <v>30</v>
      </c>
      <c r="J1459">
        <v>411.85</v>
      </c>
      <c r="K1459" t="s">
        <v>17</v>
      </c>
      <c r="L1459" t="s">
        <v>18</v>
      </c>
      <c r="M1459">
        <f t="shared" si="110"/>
        <v>3482.9549999999995</v>
      </c>
      <c r="N1459">
        <f t="shared" si="111"/>
        <v>1423.7049999999995</v>
      </c>
      <c r="O1459" t="str">
        <f t="shared" si="112"/>
        <v>Tuesday</v>
      </c>
      <c r="P1459" t="b">
        <f t="shared" si="113"/>
        <v>0</v>
      </c>
      <c r="Q1459" t="str">
        <f t="shared" si="114"/>
        <v>March</v>
      </c>
    </row>
    <row r="1460" spans="1:17" x14ac:dyDescent="0.4">
      <c r="A1460" t="s">
        <v>1841</v>
      </c>
      <c r="B1460" s="1">
        <v>45707</v>
      </c>
      <c r="C1460" t="s">
        <v>149</v>
      </c>
      <c r="D1460" t="s">
        <v>14</v>
      </c>
      <c r="E1460" t="s">
        <v>284</v>
      </c>
      <c r="F1460" t="s">
        <v>16</v>
      </c>
      <c r="G1460">
        <v>1</v>
      </c>
      <c r="H1460">
        <v>766.45</v>
      </c>
      <c r="I1460">
        <v>15</v>
      </c>
      <c r="J1460">
        <v>522.22</v>
      </c>
      <c r="K1460" t="s">
        <v>24</v>
      </c>
      <c r="L1460" t="s">
        <v>37</v>
      </c>
      <c r="M1460">
        <f t="shared" si="110"/>
        <v>651.48250000000007</v>
      </c>
      <c r="N1460">
        <f t="shared" si="111"/>
        <v>129.26250000000005</v>
      </c>
      <c r="O1460" t="str">
        <f t="shared" si="112"/>
        <v>Wednesday</v>
      </c>
      <c r="P1460" t="b">
        <f t="shared" si="113"/>
        <v>0</v>
      </c>
      <c r="Q1460" t="str">
        <f t="shared" si="114"/>
        <v>February</v>
      </c>
    </row>
    <row r="1461" spans="1:17" x14ac:dyDescent="0.4">
      <c r="A1461" t="s">
        <v>1842</v>
      </c>
      <c r="B1461" s="1">
        <v>45541</v>
      </c>
      <c r="C1461" t="s">
        <v>77</v>
      </c>
      <c r="D1461" t="s">
        <v>14</v>
      </c>
      <c r="E1461" t="s">
        <v>557</v>
      </c>
      <c r="F1461" t="s">
        <v>28</v>
      </c>
      <c r="G1461">
        <v>2</v>
      </c>
      <c r="H1461">
        <v>594.9</v>
      </c>
      <c r="I1461">
        <v>0</v>
      </c>
      <c r="J1461">
        <v>253.93</v>
      </c>
      <c r="K1461" t="s">
        <v>17</v>
      </c>
      <c r="L1461" t="s">
        <v>18</v>
      </c>
      <c r="M1461">
        <f t="shared" si="110"/>
        <v>1189.8</v>
      </c>
      <c r="N1461">
        <f t="shared" si="111"/>
        <v>681.93999999999994</v>
      </c>
      <c r="O1461" t="str">
        <f t="shared" si="112"/>
        <v>Friday</v>
      </c>
      <c r="P1461" t="b">
        <f t="shared" si="113"/>
        <v>0</v>
      </c>
      <c r="Q1461" t="str">
        <f t="shared" si="114"/>
        <v>September</v>
      </c>
    </row>
    <row r="1462" spans="1:17" x14ac:dyDescent="0.4">
      <c r="A1462" t="s">
        <v>1843</v>
      </c>
      <c r="B1462" s="1">
        <v>45553</v>
      </c>
      <c r="C1462" t="s">
        <v>100</v>
      </c>
      <c r="D1462" t="s">
        <v>31</v>
      </c>
      <c r="E1462" t="s">
        <v>557</v>
      </c>
      <c r="F1462" t="s">
        <v>16</v>
      </c>
      <c r="G1462">
        <v>4</v>
      </c>
      <c r="H1462">
        <v>973.61</v>
      </c>
      <c r="I1462">
        <v>30</v>
      </c>
      <c r="J1462">
        <v>393.63</v>
      </c>
      <c r="K1462" t="s">
        <v>24</v>
      </c>
      <c r="L1462" t="s">
        <v>18</v>
      </c>
      <c r="M1462">
        <f t="shared" si="110"/>
        <v>2726.1079999999997</v>
      </c>
      <c r="N1462">
        <f t="shared" si="111"/>
        <v>1151.5879999999997</v>
      </c>
      <c r="O1462" t="str">
        <f t="shared" si="112"/>
        <v>Wednesday</v>
      </c>
      <c r="P1462" t="b">
        <f t="shared" si="113"/>
        <v>0</v>
      </c>
      <c r="Q1462" t="str">
        <f t="shared" si="114"/>
        <v>September</v>
      </c>
    </row>
    <row r="1463" spans="1:17" x14ac:dyDescent="0.4">
      <c r="A1463" t="s">
        <v>1844</v>
      </c>
      <c r="B1463" s="1">
        <v>45674</v>
      </c>
      <c r="C1463" t="s">
        <v>68</v>
      </c>
      <c r="D1463" t="s">
        <v>21</v>
      </c>
      <c r="E1463" t="s">
        <v>63</v>
      </c>
      <c r="F1463" t="s">
        <v>16</v>
      </c>
      <c r="G1463">
        <v>5</v>
      </c>
      <c r="H1463">
        <v>2973.5</v>
      </c>
      <c r="I1463">
        <v>20</v>
      </c>
      <c r="J1463">
        <v>1896.1</v>
      </c>
      <c r="K1463" t="s">
        <v>24</v>
      </c>
      <c r="L1463" t="s">
        <v>18</v>
      </c>
      <c r="M1463">
        <f t="shared" si="110"/>
        <v>11894</v>
      </c>
      <c r="N1463">
        <f t="shared" si="111"/>
        <v>2413.5</v>
      </c>
      <c r="O1463" t="str">
        <f t="shared" si="112"/>
        <v>Friday</v>
      </c>
      <c r="P1463" t="b">
        <f t="shared" si="113"/>
        <v>0</v>
      </c>
      <c r="Q1463" t="str">
        <f t="shared" si="114"/>
        <v>January</v>
      </c>
    </row>
    <row r="1464" spans="1:17" x14ac:dyDescent="0.4">
      <c r="A1464" t="s">
        <v>1845</v>
      </c>
      <c r="B1464" s="1">
        <v>45307</v>
      </c>
      <c r="C1464" t="s">
        <v>286</v>
      </c>
      <c r="D1464" t="s">
        <v>14</v>
      </c>
      <c r="E1464" t="s">
        <v>454</v>
      </c>
      <c r="F1464" t="s">
        <v>23</v>
      </c>
      <c r="G1464">
        <v>4</v>
      </c>
      <c r="H1464">
        <v>2251.75</v>
      </c>
      <c r="I1464">
        <v>15</v>
      </c>
      <c r="J1464">
        <v>1089.4000000000001</v>
      </c>
      <c r="K1464" t="s">
        <v>24</v>
      </c>
      <c r="L1464" t="s">
        <v>18</v>
      </c>
      <c r="M1464">
        <f t="shared" si="110"/>
        <v>7655.95</v>
      </c>
      <c r="N1464">
        <f t="shared" si="111"/>
        <v>3298.3499999999995</v>
      </c>
      <c r="O1464" t="str">
        <f t="shared" si="112"/>
        <v>Tuesday</v>
      </c>
      <c r="P1464" t="b">
        <f t="shared" si="113"/>
        <v>0</v>
      </c>
      <c r="Q1464" t="str">
        <f t="shared" si="114"/>
        <v>January</v>
      </c>
    </row>
    <row r="1465" spans="1:17" x14ac:dyDescent="0.4">
      <c r="A1465" t="s">
        <v>1846</v>
      </c>
      <c r="B1465" s="1">
        <v>45695</v>
      </c>
      <c r="C1465" t="s">
        <v>267</v>
      </c>
      <c r="D1465" t="s">
        <v>21</v>
      </c>
      <c r="E1465" t="s">
        <v>82</v>
      </c>
      <c r="F1465" t="s">
        <v>16</v>
      </c>
      <c r="G1465">
        <v>5</v>
      </c>
      <c r="H1465">
        <v>1121.47</v>
      </c>
      <c r="I1465">
        <v>20</v>
      </c>
      <c r="J1465">
        <v>779.81</v>
      </c>
      <c r="K1465" t="s">
        <v>24</v>
      </c>
      <c r="L1465" t="s">
        <v>18</v>
      </c>
      <c r="M1465">
        <f t="shared" si="110"/>
        <v>4485.88</v>
      </c>
      <c r="N1465">
        <f t="shared" si="111"/>
        <v>586.83000000000038</v>
      </c>
      <c r="O1465" t="str">
        <f t="shared" si="112"/>
        <v>Friday</v>
      </c>
      <c r="P1465" t="b">
        <f t="shared" si="113"/>
        <v>0</v>
      </c>
      <c r="Q1465" t="str">
        <f t="shared" si="114"/>
        <v>February</v>
      </c>
    </row>
    <row r="1466" spans="1:17" x14ac:dyDescent="0.4">
      <c r="A1466" t="s">
        <v>1847</v>
      </c>
      <c r="B1466" s="1">
        <v>45806</v>
      </c>
      <c r="C1466" t="s">
        <v>273</v>
      </c>
      <c r="D1466" t="s">
        <v>14</v>
      </c>
      <c r="E1466" t="s">
        <v>55</v>
      </c>
      <c r="F1466" t="s">
        <v>16</v>
      </c>
      <c r="G1466">
        <v>4</v>
      </c>
      <c r="H1466">
        <v>2042.56</v>
      </c>
      <c r="I1466">
        <v>10</v>
      </c>
      <c r="J1466">
        <v>843.55</v>
      </c>
      <c r="K1466" t="s">
        <v>17</v>
      </c>
      <c r="L1466" t="s">
        <v>33</v>
      </c>
      <c r="M1466">
        <f t="shared" si="110"/>
        <v>7353.2160000000003</v>
      </c>
      <c r="N1466">
        <f t="shared" si="111"/>
        <v>3979.0160000000005</v>
      </c>
      <c r="O1466" t="str">
        <f t="shared" si="112"/>
        <v>Thursday</v>
      </c>
      <c r="P1466" t="b">
        <f t="shared" si="113"/>
        <v>0</v>
      </c>
      <c r="Q1466" t="str">
        <f t="shared" si="114"/>
        <v>May</v>
      </c>
    </row>
    <row r="1467" spans="1:17" x14ac:dyDescent="0.4">
      <c r="A1467" t="s">
        <v>1848</v>
      </c>
      <c r="B1467" s="1">
        <v>45702</v>
      </c>
      <c r="C1467" t="s">
        <v>89</v>
      </c>
      <c r="D1467" t="s">
        <v>21</v>
      </c>
      <c r="E1467" t="s">
        <v>955</v>
      </c>
      <c r="F1467" t="s">
        <v>16</v>
      </c>
      <c r="G1467">
        <v>1</v>
      </c>
      <c r="H1467">
        <v>1263.4100000000001</v>
      </c>
      <c r="I1467">
        <v>30</v>
      </c>
      <c r="J1467">
        <v>658.91</v>
      </c>
      <c r="K1467" t="s">
        <v>17</v>
      </c>
      <c r="L1467" t="s">
        <v>18</v>
      </c>
      <c r="M1467">
        <f t="shared" si="110"/>
        <v>884.38700000000006</v>
      </c>
      <c r="N1467">
        <f t="shared" si="111"/>
        <v>225.47700000000009</v>
      </c>
      <c r="O1467" t="str">
        <f t="shared" si="112"/>
        <v>Friday</v>
      </c>
      <c r="P1467" t="b">
        <f t="shared" si="113"/>
        <v>0</v>
      </c>
      <c r="Q1467" t="str">
        <f t="shared" si="114"/>
        <v>February</v>
      </c>
    </row>
    <row r="1468" spans="1:17" x14ac:dyDescent="0.4">
      <c r="A1468" t="s">
        <v>1849</v>
      </c>
      <c r="B1468" s="1">
        <v>45543</v>
      </c>
      <c r="C1468" t="s">
        <v>286</v>
      </c>
      <c r="D1468" t="s">
        <v>14</v>
      </c>
      <c r="E1468" t="s">
        <v>658</v>
      </c>
      <c r="F1468" t="s">
        <v>16</v>
      </c>
      <c r="G1468">
        <v>2</v>
      </c>
      <c r="H1468">
        <v>452.44</v>
      </c>
      <c r="I1468">
        <v>15</v>
      </c>
      <c r="J1468">
        <v>254.88</v>
      </c>
      <c r="K1468" t="s">
        <v>24</v>
      </c>
      <c r="L1468" t="s">
        <v>18</v>
      </c>
      <c r="M1468">
        <f t="shared" si="110"/>
        <v>769.14800000000002</v>
      </c>
      <c r="N1468">
        <f t="shared" si="111"/>
        <v>259.38800000000003</v>
      </c>
      <c r="O1468" t="str">
        <f t="shared" si="112"/>
        <v>Sunday</v>
      </c>
      <c r="P1468" t="b">
        <f t="shared" si="113"/>
        <v>1</v>
      </c>
      <c r="Q1468" t="str">
        <f t="shared" si="114"/>
        <v>September</v>
      </c>
    </row>
    <row r="1469" spans="1:17" x14ac:dyDescent="0.4">
      <c r="A1469" t="s">
        <v>1850</v>
      </c>
      <c r="B1469" s="1">
        <v>45576</v>
      </c>
      <c r="C1469" t="s">
        <v>125</v>
      </c>
      <c r="D1469" t="s">
        <v>46</v>
      </c>
      <c r="E1469" t="s">
        <v>799</v>
      </c>
      <c r="F1469" t="s">
        <v>16</v>
      </c>
      <c r="G1469">
        <v>4</v>
      </c>
      <c r="H1469">
        <v>2807.43</v>
      </c>
      <c r="I1469">
        <v>15</v>
      </c>
      <c r="J1469">
        <v>1289.4100000000001</v>
      </c>
      <c r="K1469" t="s">
        <v>17</v>
      </c>
      <c r="L1469" t="s">
        <v>37</v>
      </c>
      <c r="M1469">
        <f t="shared" si="110"/>
        <v>9545.2619999999988</v>
      </c>
      <c r="N1469">
        <f t="shared" si="111"/>
        <v>4387.6219999999985</v>
      </c>
      <c r="O1469" t="str">
        <f t="shared" si="112"/>
        <v>Friday</v>
      </c>
      <c r="P1469" t="b">
        <f t="shared" si="113"/>
        <v>0</v>
      </c>
      <c r="Q1469" t="str">
        <f t="shared" si="114"/>
        <v>October</v>
      </c>
    </row>
    <row r="1470" spans="1:17" x14ac:dyDescent="0.4">
      <c r="A1470" t="s">
        <v>1851</v>
      </c>
      <c r="B1470" s="1">
        <v>45801</v>
      </c>
      <c r="C1470" t="s">
        <v>174</v>
      </c>
      <c r="D1470" t="s">
        <v>21</v>
      </c>
      <c r="E1470" t="s">
        <v>1214</v>
      </c>
      <c r="F1470" t="s">
        <v>16</v>
      </c>
      <c r="G1470">
        <v>1</v>
      </c>
      <c r="H1470">
        <v>968.02</v>
      </c>
      <c r="I1470">
        <v>5</v>
      </c>
      <c r="J1470">
        <v>469.21</v>
      </c>
      <c r="K1470" t="s">
        <v>17</v>
      </c>
      <c r="L1470" t="s">
        <v>33</v>
      </c>
      <c r="M1470">
        <f t="shared" si="110"/>
        <v>919.61899999999991</v>
      </c>
      <c r="N1470">
        <f t="shared" si="111"/>
        <v>450.40899999999993</v>
      </c>
      <c r="O1470" t="str">
        <f t="shared" si="112"/>
        <v>Saturday</v>
      </c>
      <c r="P1470" t="b">
        <f t="shared" si="113"/>
        <v>1</v>
      </c>
      <c r="Q1470" t="str">
        <f t="shared" si="114"/>
        <v>May</v>
      </c>
    </row>
    <row r="1471" spans="1:17" x14ac:dyDescent="0.4">
      <c r="A1471" t="s">
        <v>1852</v>
      </c>
      <c r="B1471" s="1">
        <v>45714</v>
      </c>
      <c r="C1471" t="s">
        <v>152</v>
      </c>
      <c r="D1471" t="s">
        <v>31</v>
      </c>
      <c r="E1471" t="s">
        <v>464</v>
      </c>
      <c r="F1471" t="s">
        <v>16</v>
      </c>
      <c r="G1471">
        <v>1</v>
      </c>
      <c r="H1471">
        <v>1763.93</v>
      </c>
      <c r="I1471">
        <v>25</v>
      </c>
      <c r="J1471">
        <v>847.06</v>
      </c>
      <c r="K1471" t="s">
        <v>17</v>
      </c>
      <c r="L1471" t="s">
        <v>18</v>
      </c>
      <c r="M1471">
        <f t="shared" si="110"/>
        <v>1322.9475</v>
      </c>
      <c r="N1471">
        <f t="shared" si="111"/>
        <v>475.88750000000005</v>
      </c>
      <c r="O1471" t="str">
        <f t="shared" si="112"/>
        <v>Wednesday</v>
      </c>
      <c r="P1471" t="b">
        <f t="shared" si="113"/>
        <v>0</v>
      </c>
      <c r="Q1471" t="str">
        <f t="shared" si="114"/>
        <v>February</v>
      </c>
    </row>
    <row r="1472" spans="1:17" x14ac:dyDescent="0.4">
      <c r="A1472" t="s">
        <v>1853</v>
      </c>
      <c r="B1472" s="1">
        <v>45296</v>
      </c>
      <c r="C1472" t="s">
        <v>74</v>
      </c>
      <c r="D1472" t="s">
        <v>31</v>
      </c>
      <c r="E1472" t="s">
        <v>93</v>
      </c>
      <c r="F1472" t="s">
        <v>23</v>
      </c>
      <c r="G1472">
        <v>5</v>
      </c>
      <c r="H1472">
        <v>2585.25</v>
      </c>
      <c r="I1472">
        <v>25</v>
      </c>
      <c r="J1472">
        <v>1111.6400000000001</v>
      </c>
      <c r="K1472" t="s">
        <v>17</v>
      </c>
      <c r="L1472" t="s">
        <v>18</v>
      </c>
      <c r="M1472">
        <f t="shared" si="110"/>
        <v>9694.6875</v>
      </c>
      <c r="N1472">
        <f t="shared" si="111"/>
        <v>4136.4874999999993</v>
      </c>
      <c r="O1472" t="str">
        <f t="shared" si="112"/>
        <v>Friday</v>
      </c>
      <c r="P1472" t="b">
        <f t="shared" si="113"/>
        <v>0</v>
      </c>
      <c r="Q1472" t="str">
        <f t="shared" si="114"/>
        <v>January</v>
      </c>
    </row>
    <row r="1473" spans="1:17" x14ac:dyDescent="0.4">
      <c r="A1473" t="s">
        <v>1854</v>
      </c>
      <c r="B1473" s="1">
        <v>45712</v>
      </c>
      <c r="C1473" t="s">
        <v>119</v>
      </c>
      <c r="D1473" t="s">
        <v>14</v>
      </c>
      <c r="E1473" t="s">
        <v>936</v>
      </c>
      <c r="F1473" t="s">
        <v>16</v>
      </c>
      <c r="G1473">
        <v>3</v>
      </c>
      <c r="H1473">
        <v>2534.63</v>
      </c>
      <c r="I1473">
        <v>5</v>
      </c>
      <c r="J1473">
        <v>1101.24</v>
      </c>
      <c r="K1473" t="s">
        <v>24</v>
      </c>
      <c r="L1473" t="s">
        <v>37</v>
      </c>
      <c r="M1473">
        <f t="shared" si="110"/>
        <v>7223.6954999999998</v>
      </c>
      <c r="N1473">
        <f t="shared" si="111"/>
        <v>3919.9754999999996</v>
      </c>
      <c r="O1473" t="str">
        <f t="shared" si="112"/>
        <v>Monday</v>
      </c>
      <c r="P1473" t="b">
        <f t="shared" si="113"/>
        <v>0</v>
      </c>
      <c r="Q1473" t="str">
        <f t="shared" si="114"/>
        <v>February</v>
      </c>
    </row>
    <row r="1474" spans="1:17" x14ac:dyDescent="0.4">
      <c r="A1474" t="s">
        <v>1855</v>
      </c>
      <c r="B1474" s="1">
        <v>45909</v>
      </c>
      <c r="C1474" t="s">
        <v>30</v>
      </c>
      <c r="D1474" t="s">
        <v>14</v>
      </c>
      <c r="E1474" t="s">
        <v>340</v>
      </c>
      <c r="F1474" t="s">
        <v>28</v>
      </c>
      <c r="G1474">
        <v>4</v>
      </c>
      <c r="H1474">
        <v>757.33</v>
      </c>
      <c r="I1474">
        <v>10</v>
      </c>
      <c r="J1474">
        <v>354.42</v>
      </c>
      <c r="K1474" t="s">
        <v>24</v>
      </c>
      <c r="L1474" t="s">
        <v>33</v>
      </c>
      <c r="M1474">
        <f t="shared" si="110"/>
        <v>2726.3880000000004</v>
      </c>
      <c r="N1474">
        <f t="shared" si="111"/>
        <v>1308.7080000000003</v>
      </c>
      <c r="O1474" t="str">
        <f t="shared" si="112"/>
        <v>Tuesday</v>
      </c>
      <c r="P1474" t="b">
        <f t="shared" si="113"/>
        <v>0</v>
      </c>
      <c r="Q1474" t="str">
        <f t="shared" si="114"/>
        <v>September</v>
      </c>
    </row>
    <row r="1475" spans="1:17" x14ac:dyDescent="0.4">
      <c r="A1475" t="s">
        <v>1856</v>
      </c>
      <c r="B1475" s="1">
        <v>45869</v>
      </c>
      <c r="C1475" t="s">
        <v>278</v>
      </c>
      <c r="D1475" t="s">
        <v>14</v>
      </c>
      <c r="E1475" t="s">
        <v>1164</v>
      </c>
      <c r="F1475" t="s">
        <v>23</v>
      </c>
      <c r="G1475">
        <v>5</v>
      </c>
      <c r="H1475">
        <v>2756.35</v>
      </c>
      <c r="I1475">
        <v>10</v>
      </c>
      <c r="J1475">
        <v>1790.18</v>
      </c>
      <c r="K1475" t="s">
        <v>17</v>
      </c>
      <c r="L1475" t="s">
        <v>33</v>
      </c>
      <c r="M1475">
        <f t="shared" ref="M1475:M1538" si="115">G1475 * H1475 * (1 - I1475/100)</f>
        <v>12403.575000000001</v>
      </c>
      <c r="N1475">
        <f t="shared" ref="N1475:N1538" si="116">M1475 - (J1475 * G1475)</f>
        <v>3452.6750000000011</v>
      </c>
      <c r="O1475" t="str">
        <f t="shared" ref="O1475:O1538" si="117">TEXT(B1475,"dddd")</f>
        <v>Thursday</v>
      </c>
      <c r="P1475" t="b">
        <f t="shared" ref="P1475:P1538" si="118">OR(TEXT(B1475,"ddd")="Sat", TEXT(B1475,"ddd")="Sun")</f>
        <v>0</v>
      </c>
      <c r="Q1475" t="str">
        <f t="shared" ref="Q1475:Q1538" si="119">TEXT(B1475,"mmmm")</f>
        <v>July</v>
      </c>
    </row>
    <row r="1476" spans="1:17" x14ac:dyDescent="0.4">
      <c r="A1476" t="s">
        <v>1857</v>
      </c>
      <c r="B1476" s="1">
        <v>45572</v>
      </c>
      <c r="C1476" t="s">
        <v>193</v>
      </c>
      <c r="D1476" t="s">
        <v>46</v>
      </c>
      <c r="E1476" t="s">
        <v>216</v>
      </c>
      <c r="F1476" t="s">
        <v>23</v>
      </c>
      <c r="G1476">
        <v>1</v>
      </c>
      <c r="H1476">
        <v>2607.08</v>
      </c>
      <c r="I1476">
        <v>5</v>
      </c>
      <c r="J1476">
        <v>1475.76</v>
      </c>
      <c r="K1476" t="s">
        <v>24</v>
      </c>
      <c r="L1476" t="s">
        <v>33</v>
      </c>
      <c r="M1476">
        <f t="shared" si="115"/>
        <v>2476.7259999999997</v>
      </c>
      <c r="N1476">
        <f t="shared" si="116"/>
        <v>1000.9659999999997</v>
      </c>
      <c r="O1476" t="str">
        <f t="shared" si="117"/>
        <v>Monday</v>
      </c>
      <c r="P1476" t="b">
        <f t="shared" si="118"/>
        <v>0</v>
      </c>
      <c r="Q1476" t="str">
        <f t="shared" si="119"/>
        <v>October</v>
      </c>
    </row>
    <row r="1477" spans="1:17" x14ac:dyDescent="0.4">
      <c r="A1477" t="s">
        <v>1858</v>
      </c>
      <c r="B1477" s="1">
        <v>45435</v>
      </c>
      <c r="C1477" t="s">
        <v>89</v>
      </c>
      <c r="D1477" t="s">
        <v>14</v>
      </c>
      <c r="E1477" t="s">
        <v>354</v>
      </c>
      <c r="F1477" t="s">
        <v>28</v>
      </c>
      <c r="G1477">
        <v>4</v>
      </c>
      <c r="H1477">
        <v>2241.15</v>
      </c>
      <c r="I1477">
        <v>10</v>
      </c>
      <c r="J1477">
        <v>1190.23</v>
      </c>
      <c r="K1477" t="s">
        <v>24</v>
      </c>
      <c r="L1477" t="s">
        <v>18</v>
      </c>
      <c r="M1477">
        <f t="shared" si="115"/>
        <v>8068.14</v>
      </c>
      <c r="N1477">
        <f t="shared" si="116"/>
        <v>3307.2200000000003</v>
      </c>
      <c r="O1477" t="str">
        <f t="shared" si="117"/>
        <v>Thursday</v>
      </c>
      <c r="P1477" t="b">
        <f t="shared" si="118"/>
        <v>0</v>
      </c>
      <c r="Q1477" t="str">
        <f t="shared" si="119"/>
        <v>May</v>
      </c>
    </row>
    <row r="1478" spans="1:17" x14ac:dyDescent="0.4">
      <c r="A1478" t="s">
        <v>1859</v>
      </c>
      <c r="B1478" s="1">
        <v>45714</v>
      </c>
      <c r="C1478" t="s">
        <v>273</v>
      </c>
      <c r="D1478" t="s">
        <v>31</v>
      </c>
      <c r="E1478" t="s">
        <v>546</v>
      </c>
      <c r="F1478" t="s">
        <v>28</v>
      </c>
      <c r="G1478">
        <v>4</v>
      </c>
      <c r="H1478">
        <v>2846.67</v>
      </c>
      <c r="I1478">
        <v>25</v>
      </c>
      <c r="J1478">
        <v>1572.95</v>
      </c>
      <c r="K1478" t="s">
        <v>24</v>
      </c>
      <c r="L1478" t="s">
        <v>18</v>
      </c>
      <c r="M1478">
        <f t="shared" si="115"/>
        <v>8540.01</v>
      </c>
      <c r="N1478">
        <f t="shared" si="116"/>
        <v>2248.21</v>
      </c>
      <c r="O1478" t="str">
        <f t="shared" si="117"/>
        <v>Wednesday</v>
      </c>
      <c r="P1478" t="b">
        <f t="shared" si="118"/>
        <v>0</v>
      </c>
      <c r="Q1478" t="str">
        <f t="shared" si="119"/>
        <v>February</v>
      </c>
    </row>
    <row r="1479" spans="1:17" x14ac:dyDescent="0.4">
      <c r="A1479" t="s">
        <v>1860</v>
      </c>
      <c r="B1479" s="1">
        <v>45763</v>
      </c>
      <c r="C1479" t="s">
        <v>278</v>
      </c>
      <c r="D1479" t="s">
        <v>46</v>
      </c>
      <c r="E1479" t="s">
        <v>467</v>
      </c>
      <c r="F1479" t="s">
        <v>23</v>
      </c>
      <c r="G1479">
        <v>2</v>
      </c>
      <c r="H1479">
        <v>812.73</v>
      </c>
      <c r="I1479">
        <v>5</v>
      </c>
      <c r="J1479">
        <v>425.96</v>
      </c>
      <c r="K1479" t="s">
        <v>17</v>
      </c>
      <c r="L1479" t="s">
        <v>37</v>
      </c>
      <c r="M1479">
        <f t="shared" si="115"/>
        <v>1544.1869999999999</v>
      </c>
      <c r="N1479">
        <f t="shared" si="116"/>
        <v>692.26699999999994</v>
      </c>
      <c r="O1479" t="str">
        <f t="shared" si="117"/>
        <v>Wednesday</v>
      </c>
      <c r="P1479" t="b">
        <f t="shared" si="118"/>
        <v>0</v>
      </c>
      <c r="Q1479" t="str">
        <f t="shared" si="119"/>
        <v>April</v>
      </c>
    </row>
    <row r="1480" spans="1:17" x14ac:dyDescent="0.4">
      <c r="A1480" t="s">
        <v>1861</v>
      </c>
      <c r="B1480" s="1">
        <v>45667</v>
      </c>
      <c r="C1480" t="s">
        <v>179</v>
      </c>
      <c r="D1480" t="s">
        <v>21</v>
      </c>
      <c r="E1480" t="s">
        <v>532</v>
      </c>
      <c r="F1480" t="s">
        <v>16</v>
      </c>
      <c r="G1480">
        <v>2</v>
      </c>
      <c r="H1480">
        <v>2430.64</v>
      </c>
      <c r="I1480">
        <v>5</v>
      </c>
      <c r="J1480">
        <v>1204.1300000000001</v>
      </c>
      <c r="K1480" t="s">
        <v>24</v>
      </c>
      <c r="L1480" t="s">
        <v>33</v>
      </c>
      <c r="M1480">
        <f t="shared" si="115"/>
        <v>4618.2159999999994</v>
      </c>
      <c r="N1480">
        <f t="shared" si="116"/>
        <v>2209.9559999999992</v>
      </c>
      <c r="O1480" t="str">
        <f t="shared" si="117"/>
        <v>Friday</v>
      </c>
      <c r="P1480" t="b">
        <f t="shared" si="118"/>
        <v>0</v>
      </c>
      <c r="Q1480" t="str">
        <f t="shared" si="119"/>
        <v>January</v>
      </c>
    </row>
    <row r="1481" spans="1:17" x14ac:dyDescent="0.4">
      <c r="A1481" t="s">
        <v>1862</v>
      </c>
      <c r="B1481" s="1">
        <v>45790</v>
      </c>
      <c r="C1481" t="s">
        <v>42</v>
      </c>
      <c r="D1481" t="s">
        <v>21</v>
      </c>
      <c r="E1481" t="s">
        <v>1214</v>
      </c>
      <c r="F1481" t="s">
        <v>23</v>
      </c>
      <c r="G1481">
        <v>1</v>
      </c>
      <c r="H1481">
        <v>2793.15</v>
      </c>
      <c r="I1481">
        <v>0</v>
      </c>
      <c r="J1481">
        <v>1830.26</v>
      </c>
      <c r="K1481" t="s">
        <v>17</v>
      </c>
      <c r="L1481" t="s">
        <v>33</v>
      </c>
      <c r="M1481">
        <f t="shared" si="115"/>
        <v>2793.15</v>
      </c>
      <c r="N1481">
        <f t="shared" si="116"/>
        <v>962.8900000000001</v>
      </c>
      <c r="O1481" t="str">
        <f t="shared" si="117"/>
        <v>Tuesday</v>
      </c>
      <c r="P1481" t="b">
        <f t="shared" si="118"/>
        <v>0</v>
      </c>
      <c r="Q1481" t="str">
        <f t="shared" si="119"/>
        <v>May</v>
      </c>
    </row>
    <row r="1482" spans="1:17" x14ac:dyDescent="0.4">
      <c r="A1482" t="s">
        <v>1863</v>
      </c>
      <c r="B1482" s="1">
        <v>45680</v>
      </c>
      <c r="C1482" t="s">
        <v>193</v>
      </c>
      <c r="D1482" t="s">
        <v>31</v>
      </c>
      <c r="E1482" t="s">
        <v>996</v>
      </c>
      <c r="F1482" t="s">
        <v>28</v>
      </c>
      <c r="G1482">
        <v>4</v>
      </c>
      <c r="H1482">
        <v>1227.97</v>
      </c>
      <c r="I1482">
        <v>10</v>
      </c>
      <c r="J1482">
        <v>737.56</v>
      </c>
      <c r="K1482" t="s">
        <v>24</v>
      </c>
      <c r="L1482" t="s">
        <v>37</v>
      </c>
      <c r="M1482">
        <f t="shared" si="115"/>
        <v>4420.692</v>
      </c>
      <c r="N1482">
        <f t="shared" si="116"/>
        <v>1470.4520000000002</v>
      </c>
      <c r="O1482" t="str">
        <f t="shared" si="117"/>
        <v>Thursday</v>
      </c>
      <c r="P1482" t="b">
        <f t="shared" si="118"/>
        <v>0</v>
      </c>
      <c r="Q1482" t="str">
        <f t="shared" si="119"/>
        <v>January</v>
      </c>
    </row>
    <row r="1483" spans="1:17" x14ac:dyDescent="0.4">
      <c r="A1483" t="s">
        <v>1864</v>
      </c>
      <c r="B1483" s="1">
        <v>45938</v>
      </c>
      <c r="C1483" t="s">
        <v>114</v>
      </c>
      <c r="D1483" t="s">
        <v>21</v>
      </c>
      <c r="E1483" t="s">
        <v>200</v>
      </c>
      <c r="F1483" t="s">
        <v>28</v>
      </c>
      <c r="G1483">
        <v>4</v>
      </c>
      <c r="H1483">
        <v>1339.96</v>
      </c>
      <c r="I1483">
        <v>0</v>
      </c>
      <c r="J1483">
        <v>568.73</v>
      </c>
      <c r="K1483" t="s">
        <v>17</v>
      </c>
      <c r="L1483" t="s">
        <v>18</v>
      </c>
      <c r="M1483">
        <f t="shared" si="115"/>
        <v>5359.84</v>
      </c>
      <c r="N1483">
        <f t="shared" si="116"/>
        <v>3084.92</v>
      </c>
      <c r="O1483" t="str">
        <f t="shared" si="117"/>
        <v>Wednesday</v>
      </c>
      <c r="P1483" t="b">
        <f t="shared" si="118"/>
        <v>0</v>
      </c>
      <c r="Q1483" t="str">
        <f t="shared" si="119"/>
        <v>October</v>
      </c>
    </row>
    <row r="1484" spans="1:17" x14ac:dyDescent="0.4">
      <c r="A1484" t="s">
        <v>1865</v>
      </c>
      <c r="B1484" s="1">
        <v>45713</v>
      </c>
      <c r="C1484" t="s">
        <v>74</v>
      </c>
      <c r="D1484" t="s">
        <v>31</v>
      </c>
      <c r="E1484" t="s">
        <v>129</v>
      </c>
      <c r="F1484" t="s">
        <v>28</v>
      </c>
      <c r="G1484">
        <v>2</v>
      </c>
      <c r="H1484">
        <v>1767.26</v>
      </c>
      <c r="I1484">
        <v>30</v>
      </c>
      <c r="J1484">
        <v>997.64</v>
      </c>
      <c r="K1484" t="s">
        <v>17</v>
      </c>
      <c r="L1484" t="s">
        <v>18</v>
      </c>
      <c r="M1484">
        <f t="shared" si="115"/>
        <v>2474.1639999999998</v>
      </c>
      <c r="N1484">
        <f t="shared" si="116"/>
        <v>478.88399999999979</v>
      </c>
      <c r="O1484" t="str">
        <f t="shared" si="117"/>
        <v>Tuesday</v>
      </c>
      <c r="P1484" t="b">
        <f t="shared" si="118"/>
        <v>0</v>
      </c>
      <c r="Q1484" t="str">
        <f t="shared" si="119"/>
        <v>February</v>
      </c>
    </row>
    <row r="1485" spans="1:17" x14ac:dyDescent="0.4">
      <c r="A1485" t="s">
        <v>1866</v>
      </c>
      <c r="B1485" s="1">
        <v>45413</v>
      </c>
      <c r="C1485" t="s">
        <v>457</v>
      </c>
      <c r="D1485" t="s">
        <v>14</v>
      </c>
      <c r="E1485" t="s">
        <v>627</v>
      </c>
      <c r="F1485" t="s">
        <v>23</v>
      </c>
      <c r="G1485">
        <v>4</v>
      </c>
      <c r="H1485">
        <v>1418.59</v>
      </c>
      <c r="I1485">
        <v>5</v>
      </c>
      <c r="J1485">
        <v>929.17</v>
      </c>
      <c r="K1485" t="s">
        <v>17</v>
      </c>
      <c r="L1485" t="s">
        <v>37</v>
      </c>
      <c r="M1485">
        <f t="shared" si="115"/>
        <v>5390.6419999999998</v>
      </c>
      <c r="N1485">
        <f t="shared" si="116"/>
        <v>1673.962</v>
      </c>
      <c r="O1485" t="str">
        <f t="shared" si="117"/>
        <v>Wednesday</v>
      </c>
      <c r="P1485" t="b">
        <f t="shared" si="118"/>
        <v>0</v>
      </c>
      <c r="Q1485" t="str">
        <f t="shared" si="119"/>
        <v>May</v>
      </c>
    </row>
    <row r="1486" spans="1:17" x14ac:dyDescent="0.4">
      <c r="A1486" t="s">
        <v>1867</v>
      </c>
      <c r="B1486" s="1">
        <v>45439</v>
      </c>
      <c r="C1486" t="s">
        <v>205</v>
      </c>
      <c r="D1486" t="s">
        <v>31</v>
      </c>
      <c r="E1486" t="s">
        <v>282</v>
      </c>
      <c r="F1486" t="s">
        <v>28</v>
      </c>
      <c r="G1486">
        <v>2</v>
      </c>
      <c r="H1486">
        <v>1483.5</v>
      </c>
      <c r="I1486">
        <v>10</v>
      </c>
      <c r="J1486">
        <v>964</v>
      </c>
      <c r="K1486" t="s">
        <v>24</v>
      </c>
      <c r="L1486" t="s">
        <v>37</v>
      </c>
      <c r="M1486">
        <f t="shared" si="115"/>
        <v>2670.3</v>
      </c>
      <c r="N1486">
        <f t="shared" si="116"/>
        <v>742.30000000000018</v>
      </c>
      <c r="O1486" t="str">
        <f t="shared" si="117"/>
        <v>Monday</v>
      </c>
      <c r="P1486" t="b">
        <f t="shared" si="118"/>
        <v>0</v>
      </c>
      <c r="Q1486" t="str">
        <f t="shared" si="119"/>
        <v>May</v>
      </c>
    </row>
    <row r="1487" spans="1:17" x14ac:dyDescent="0.4">
      <c r="A1487" t="s">
        <v>1868</v>
      </c>
      <c r="B1487" s="1">
        <v>45299</v>
      </c>
      <c r="C1487" t="s">
        <v>39</v>
      </c>
      <c r="D1487" t="s">
        <v>21</v>
      </c>
      <c r="E1487" t="s">
        <v>36</v>
      </c>
      <c r="F1487" t="s">
        <v>16</v>
      </c>
      <c r="G1487">
        <v>1</v>
      </c>
      <c r="H1487">
        <v>1446.32</v>
      </c>
      <c r="I1487">
        <v>15</v>
      </c>
      <c r="J1487">
        <v>954.11</v>
      </c>
      <c r="K1487" t="s">
        <v>24</v>
      </c>
      <c r="L1487" t="s">
        <v>33</v>
      </c>
      <c r="M1487">
        <f t="shared" si="115"/>
        <v>1229.3719999999998</v>
      </c>
      <c r="N1487">
        <f t="shared" si="116"/>
        <v>275.26199999999983</v>
      </c>
      <c r="O1487" t="str">
        <f t="shared" si="117"/>
        <v>Monday</v>
      </c>
      <c r="P1487" t="b">
        <f t="shared" si="118"/>
        <v>0</v>
      </c>
      <c r="Q1487" t="str">
        <f t="shared" si="119"/>
        <v>January</v>
      </c>
    </row>
    <row r="1488" spans="1:17" x14ac:dyDescent="0.4">
      <c r="A1488" t="s">
        <v>1869</v>
      </c>
      <c r="B1488" s="1">
        <v>45926</v>
      </c>
      <c r="C1488" t="s">
        <v>95</v>
      </c>
      <c r="D1488" t="s">
        <v>21</v>
      </c>
      <c r="E1488" t="s">
        <v>837</v>
      </c>
      <c r="F1488" t="s">
        <v>28</v>
      </c>
      <c r="G1488">
        <v>1</v>
      </c>
      <c r="H1488">
        <v>2239.02</v>
      </c>
      <c r="I1488">
        <v>0</v>
      </c>
      <c r="J1488">
        <v>1057.93</v>
      </c>
      <c r="K1488" t="s">
        <v>17</v>
      </c>
      <c r="L1488" t="s">
        <v>18</v>
      </c>
      <c r="M1488">
        <f t="shared" si="115"/>
        <v>2239.02</v>
      </c>
      <c r="N1488">
        <f t="shared" si="116"/>
        <v>1181.0899999999999</v>
      </c>
      <c r="O1488" t="str">
        <f t="shared" si="117"/>
        <v>Friday</v>
      </c>
      <c r="P1488" t="b">
        <f t="shared" si="118"/>
        <v>0</v>
      </c>
      <c r="Q1488" t="str">
        <f t="shared" si="119"/>
        <v>September</v>
      </c>
    </row>
    <row r="1489" spans="1:17" x14ac:dyDescent="0.4">
      <c r="A1489" t="s">
        <v>1870</v>
      </c>
      <c r="B1489" s="1">
        <v>45560</v>
      </c>
      <c r="C1489" t="s">
        <v>74</v>
      </c>
      <c r="D1489" t="s">
        <v>46</v>
      </c>
      <c r="E1489" t="s">
        <v>63</v>
      </c>
      <c r="F1489" t="s">
        <v>28</v>
      </c>
      <c r="G1489">
        <v>3</v>
      </c>
      <c r="H1489">
        <v>1902.81</v>
      </c>
      <c r="I1489">
        <v>20</v>
      </c>
      <c r="J1489">
        <v>1319.37</v>
      </c>
      <c r="K1489" t="s">
        <v>24</v>
      </c>
      <c r="L1489" t="s">
        <v>33</v>
      </c>
      <c r="M1489">
        <f t="shared" si="115"/>
        <v>4566.7440000000006</v>
      </c>
      <c r="N1489">
        <f t="shared" si="116"/>
        <v>608.63400000000092</v>
      </c>
      <c r="O1489" t="str">
        <f t="shared" si="117"/>
        <v>Wednesday</v>
      </c>
      <c r="P1489" t="b">
        <f t="shared" si="118"/>
        <v>0</v>
      </c>
      <c r="Q1489" t="str">
        <f t="shared" si="119"/>
        <v>September</v>
      </c>
    </row>
    <row r="1490" spans="1:17" x14ac:dyDescent="0.4">
      <c r="A1490" t="s">
        <v>1871</v>
      </c>
      <c r="B1490" s="1">
        <v>45740</v>
      </c>
      <c r="C1490" t="s">
        <v>13</v>
      </c>
      <c r="D1490" t="s">
        <v>31</v>
      </c>
      <c r="E1490" t="s">
        <v>157</v>
      </c>
      <c r="F1490" t="s">
        <v>23</v>
      </c>
      <c r="G1490">
        <v>1</v>
      </c>
      <c r="H1490">
        <v>1042.5999999999999</v>
      </c>
      <c r="I1490">
        <v>5</v>
      </c>
      <c r="J1490">
        <v>467.98</v>
      </c>
      <c r="K1490" t="s">
        <v>17</v>
      </c>
      <c r="L1490" t="s">
        <v>37</v>
      </c>
      <c r="M1490">
        <f t="shared" si="115"/>
        <v>990.46999999999991</v>
      </c>
      <c r="N1490">
        <f t="shared" si="116"/>
        <v>522.4899999999999</v>
      </c>
      <c r="O1490" t="str">
        <f t="shared" si="117"/>
        <v>Monday</v>
      </c>
      <c r="P1490" t="b">
        <f t="shared" si="118"/>
        <v>0</v>
      </c>
      <c r="Q1490" t="str">
        <f t="shared" si="119"/>
        <v>March</v>
      </c>
    </row>
    <row r="1491" spans="1:17" x14ac:dyDescent="0.4">
      <c r="A1491" t="s">
        <v>1872</v>
      </c>
      <c r="B1491" s="1">
        <v>45632</v>
      </c>
      <c r="C1491" t="s">
        <v>51</v>
      </c>
      <c r="D1491" t="s">
        <v>14</v>
      </c>
      <c r="E1491" t="s">
        <v>129</v>
      </c>
      <c r="F1491" t="s">
        <v>23</v>
      </c>
      <c r="G1491">
        <v>2</v>
      </c>
      <c r="H1491">
        <v>1692.24</v>
      </c>
      <c r="I1491">
        <v>10</v>
      </c>
      <c r="J1491">
        <v>1138.72</v>
      </c>
      <c r="K1491" t="s">
        <v>24</v>
      </c>
      <c r="L1491" t="s">
        <v>37</v>
      </c>
      <c r="M1491">
        <f t="shared" si="115"/>
        <v>3046.0320000000002</v>
      </c>
      <c r="N1491">
        <f t="shared" si="116"/>
        <v>768.5920000000001</v>
      </c>
      <c r="O1491" t="str">
        <f t="shared" si="117"/>
        <v>Friday</v>
      </c>
      <c r="P1491" t="b">
        <f t="shared" si="118"/>
        <v>0</v>
      </c>
      <c r="Q1491" t="str">
        <f t="shared" si="119"/>
        <v>December</v>
      </c>
    </row>
    <row r="1492" spans="1:17" x14ac:dyDescent="0.4">
      <c r="A1492" t="s">
        <v>1873</v>
      </c>
      <c r="B1492" s="1">
        <v>45721</v>
      </c>
      <c r="C1492" t="s">
        <v>68</v>
      </c>
      <c r="D1492" t="s">
        <v>14</v>
      </c>
      <c r="E1492" t="s">
        <v>49</v>
      </c>
      <c r="F1492" t="s">
        <v>16</v>
      </c>
      <c r="G1492">
        <v>2</v>
      </c>
      <c r="H1492">
        <v>654.61</v>
      </c>
      <c r="I1492">
        <v>20</v>
      </c>
      <c r="J1492">
        <v>386.72</v>
      </c>
      <c r="K1492" t="s">
        <v>17</v>
      </c>
      <c r="L1492" t="s">
        <v>37</v>
      </c>
      <c r="M1492">
        <f t="shared" si="115"/>
        <v>1047.376</v>
      </c>
      <c r="N1492">
        <f t="shared" si="116"/>
        <v>273.93599999999992</v>
      </c>
      <c r="O1492" t="str">
        <f t="shared" si="117"/>
        <v>Wednesday</v>
      </c>
      <c r="P1492" t="b">
        <f t="shared" si="118"/>
        <v>0</v>
      </c>
      <c r="Q1492" t="str">
        <f t="shared" si="119"/>
        <v>March</v>
      </c>
    </row>
    <row r="1493" spans="1:17" x14ac:dyDescent="0.4">
      <c r="A1493" t="s">
        <v>1874</v>
      </c>
      <c r="B1493" s="1">
        <v>45730</v>
      </c>
      <c r="C1493" t="s">
        <v>45</v>
      </c>
      <c r="D1493" t="s">
        <v>46</v>
      </c>
      <c r="E1493" t="s">
        <v>534</v>
      </c>
      <c r="F1493" t="s">
        <v>28</v>
      </c>
      <c r="G1493">
        <v>5</v>
      </c>
      <c r="H1493">
        <v>397.37</v>
      </c>
      <c r="I1493">
        <v>15</v>
      </c>
      <c r="J1493">
        <v>272.64</v>
      </c>
      <c r="K1493" t="s">
        <v>17</v>
      </c>
      <c r="L1493" t="s">
        <v>33</v>
      </c>
      <c r="M1493">
        <f t="shared" si="115"/>
        <v>1688.8225</v>
      </c>
      <c r="N1493">
        <f t="shared" si="116"/>
        <v>325.62250000000017</v>
      </c>
      <c r="O1493" t="str">
        <f t="shared" si="117"/>
        <v>Friday</v>
      </c>
      <c r="P1493" t="b">
        <f t="shared" si="118"/>
        <v>0</v>
      </c>
      <c r="Q1493" t="str">
        <f t="shared" si="119"/>
        <v>March</v>
      </c>
    </row>
    <row r="1494" spans="1:17" x14ac:dyDescent="0.4">
      <c r="A1494" t="s">
        <v>1875</v>
      </c>
      <c r="B1494" s="1">
        <v>45915</v>
      </c>
      <c r="C1494" t="s">
        <v>119</v>
      </c>
      <c r="D1494" t="s">
        <v>31</v>
      </c>
      <c r="E1494" t="s">
        <v>276</v>
      </c>
      <c r="F1494" t="s">
        <v>23</v>
      </c>
      <c r="G1494">
        <v>5</v>
      </c>
      <c r="H1494">
        <v>2180.09</v>
      </c>
      <c r="I1494">
        <v>30</v>
      </c>
      <c r="J1494">
        <v>1162.45</v>
      </c>
      <c r="K1494" t="s">
        <v>24</v>
      </c>
      <c r="L1494" t="s">
        <v>18</v>
      </c>
      <c r="M1494">
        <f t="shared" si="115"/>
        <v>7630.3149999999996</v>
      </c>
      <c r="N1494">
        <f t="shared" si="116"/>
        <v>1818.0649999999996</v>
      </c>
      <c r="O1494" t="str">
        <f t="shared" si="117"/>
        <v>Monday</v>
      </c>
      <c r="P1494" t="b">
        <f t="shared" si="118"/>
        <v>0</v>
      </c>
      <c r="Q1494" t="str">
        <f t="shared" si="119"/>
        <v>September</v>
      </c>
    </row>
    <row r="1495" spans="1:17" x14ac:dyDescent="0.4">
      <c r="A1495" t="s">
        <v>1876</v>
      </c>
      <c r="B1495" s="1">
        <v>45926</v>
      </c>
      <c r="C1495" t="s">
        <v>84</v>
      </c>
      <c r="D1495" t="s">
        <v>21</v>
      </c>
      <c r="E1495" t="s">
        <v>175</v>
      </c>
      <c r="F1495" t="s">
        <v>23</v>
      </c>
      <c r="G1495">
        <v>5</v>
      </c>
      <c r="H1495">
        <v>758.9</v>
      </c>
      <c r="I1495">
        <v>20</v>
      </c>
      <c r="J1495">
        <v>407.88</v>
      </c>
      <c r="K1495" t="s">
        <v>17</v>
      </c>
      <c r="L1495" t="s">
        <v>33</v>
      </c>
      <c r="M1495">
        <f t="shared" si="115"/>
        <v>3035.6000000000004</v>
      </c>
      <c r="N1495">
        <f t="shared" si="116"/>
        <v>996.20000000000027</v>
      </c>
      <c r="O1495" t="str">
        <f t="shared" si="117"/>
        <v>Friday</v>
      </c>
      <c r="P1495" t="b">
        <f t="shared" si="118"/>
        <v>0</v>
      </c>
      <c r="Q1495" t="str">
        <f t="shared" si="119"/>
        <v>September</v>
      </c>
    </row>
    <row r="1496" spans="1:17" x14ac:dyDescent="0.4">
      <c r="A1496" t="s">
        <v>1877</v>
      </c>
      <c r="B1496" s="1">
        <v>45849</v>
      </c>
      <c r="C1496" t="s">
        <v>30</v>
      </c>
      <c r="D1496" t="s">
        <v>21</v>
      </c>
      <c r="E1496" t="s">
        <v>117</v>
      </c>
      <c r="F1496" t="s">
        <v>23</v>
      </c>
      <c r="G1496">
        <v>4</v>
      </c>
      <c r="H1496">
        <v>2025.57</v>
      </c>
      <c r="I1496">
        <v>30</v>
      </c>
      <c r="J1496">
        <v>1414.35</v>
      </c>
      <c r="K1496" t="s">
        <v>24</v>
      </c>
      <c r="L1496" t="s">
        <v>33</v>
      </c>
      <c r="M1496">
        <f t="shared" si="115"/>
        <v>5671.5959999999995</v>
      </c>
      <c r="N1496">
        <f t="shared" si="116"/>
        <v>14.195999999999913</v>
      </c>
      <c r="O1496" t="str">
        <f t="shared" si="117"/>
        <v>Friday</v>
      </c>
      <c r="P1496" t="b">
        <f t="shared" si="118"/>
        <v>0</v>
      </c>
      <c r="Q1496" t="str">
        <f t="shared" si="119"/>
        <v>July</v>
      </c>
    </row>
    <row r="1497" spans="1:17" x14ac:dyDescent="0.4">
      <c r="A1497" t="s">
        <v>1878</v>
      </c>
      <c r="B1497" s="1">
        <v>45657</v>
      </c>
      <c r="C1497" t="s">
        <v>182</v>
      </c>
      <c r="D1497" t="s">
        <v>21</v>
      </c>
      <c r="E1497" t="s">
        <v>233</v>
      </c>
      <c r="F1497" t="s">
        <v>23</v>
      </c>
      <c r="G1497">
        <v>3</v>
      </c>
      <c r="H1497">
        <v>911.41</v>
      </c>
      <c r="I1497">
        <v>10</v>
      </c>
      <c r="J1497">
        <v>390.79</v>
      </c>
      <c r="K1497" t="s">
        <v>24</v>
      </c>
      <c r="L1497" t="s">
        <v>33</v>
      </c>
      <c r="M1497">
        <f t="shared" si="115"/>
        <v>2460.8070000000002</v>
      </c>
      <c r="N1497">
        <f t="shared" si="116"/>
        <v>1288.4370000000001</v>
      </c>
      <c r="O1497" t="str">
        <f t="shared" si="117"/>
        <v>Tuesday</v>
      </c>
      <c r="P1497" t="b">
        <f t="shared" si="118"/>
        <v>0</v>
      </c>
      <c r="Q1497" t="str">
        <f t="shared" si="119"/>
        <v>December</v>
      </c>
    </row>
    <row r="1498" spans="1:17" x14ac:dyDescent="0.4">
      <c r="A1498" t="s">
        <v>1879</v>
      </c>
      <c r="B1498" s="1">
        <v>45972</v>
      </c>
      <c r="C1498" t="s">
        <v>39</v>
      </c>
      <c r="D1498" t="s">
        <v>14</v>
      </c>
      <c r="E1498" t="s">
        <v>629</v>
      </c>
      <c r="F1498" t="s">
        <v>23</v>
      </c>
      <c r="G1498">
        <v>2</v>
      </c>
      <c r="H1498">
        <v>2306.33</v>
      </c>
      <c r="I1498">
        <v>15</v>
      </c>
      <c r="J1498">
        <v>1377.06</v>
      </c>
      <c r="K1498" t="s">
        <v>24</v>
      </c>
      <c r="L1498" t="s">
        <v>33</v>
      </c>
      <c r="M1498">
        <f t="shared" si="115"/>
        <v>3920.761</v>
      </c>
      <c r="N1498">
        <f t="shared" si="116"/>
        <v>1166.6410000000001</v>
      </c>
      <c r="O1498" t="str">
        <f t="shared" si="117"/>
        <v>Tuesday</v>
      </c>
      <c r="P1498" t="b">
        <f t="shared" si="118"/>
        <v>0</v>
      </c>
      <c r="Q1498" t="str">
        <f t="shared" si="119"/>
        <v>November</v>
      </c>
    </row>
    <row r="1499" spans="1:17" x14ac:dyDescent="0.4">
      <c r="A1499" t="s">
        <v>1880</v>
      </c>
      <c r="B1499" s="1">
        <v>45765</v>
      </c>
      <c r="C1499" t="s">
        <v>98</v>
      </c>
      <c r="D1499" t="s">
        <v>14</v>
      </c>
      <c r="E1499" t="s">
        <v>63</v>
      </c>
      <c r="F1499" t="s">
        <v>23</v>
      </c>
      <c r="G1499">
        <v>2</v>
      </c>
      <c r="H1499">
        <v>1846.19</v>
      </c>
      <c r="I1499">
        <v>15</v>
      </c>
      <c r="J1499">
        <v>900.13</v>
      </c>
      <c r="K1499" t="s">
        <v>24</v>
      </c>
      <c r="L1499" t="s">
        <v>33</v>
      </c>
      <c r="M1499">
        <f t="shared" si="115"/>
        <v>3138.5230000000001</v>
      </c>
      <c r="N1499">
        <f t="shared" si="116"/>
        <v>1338.2630000000001</v>
      </c>
      <c r="O1499" t="str">
        <f t="shared" si="117"/>
        <v>Friday</v>
      </c>
      <c r="P1499" t="b">
        <f t="shared" si="118"/>
        <v>0</v>
      </c>
      <c r="Q1499" t="str">
        <f t="shared" si="119"/>
        <v>April</v>
      </c>
    </row>
    <row r="1500" spans="1:17" x14ac:dyDescent="0.4">
      <c r="A1500" t="s">
        <v>1881</v>
      </c>
      <c r="B1500" s="1">
        <v>45851</v>
      </c>
      <c r="C1500" t="s">
        <v>241</v>
      </c>
      <c r="D1500" t="s">
        <v>14</v>
      </c>
      <c r="E1500" t="s">
        <v>891</v>
      </c>
      <c r="F1500" t="s">
        <v>28</v>
      </c>
      <c r="G1500">
        <v>3</v>
      </c>
      <c r="H1500">
        <v>2299.37</v>
      </c>
      <c r="I1500">
        <v>25</v>
      </c>
      <c r="J1500">
        <v>1050.51</v>
      </c>
      <c r="K1500" t="s">
        <v>17</v>
      </c>
      <c r="L1500" t="s">
        <v>33</v>
      </c>
      <c r="M1500">
        <f t="shared" si="115"/>
        <v>5173.5824999999995</v>
      </c>
      <c r="N1500">
        <f t="shared" si="116"/>
        <v>2022.0524999999998</v>
      </c>
      <c r="O1500" t="str">
        <f t="shared" si="117"/>
        <v>Sunday</v>
      </c>
      <c r="P1500" t="b">
        <f t="shared" si="118"/>
        <v>1</v>
      </c>
      <c r="Q1500" t="str">
        <f t="shared" si="119"/>
        <v>July</v>
      </c>
    </row>
    <row r="1501" spans="1:17" x14ac:dyDescent="0.4">
      <c r="A1501" t="s">
        <v>1882</v>
      </c>
      <c r="B1501" s="1">
        <v>45422</v>
      </c>
      <c r="C1501" t="s">
        <v>45</v>
      </c>
      <c r="D1501" t="s">
        <v>46</v>
      </c>
      <c r="E1501" t="s">
        <v>69</v>
      </c>
      <c r="F1501" t="s">
        <v>28</v>
      </c>
      <c r="G1501">
        <v>1</v>
      </c>
      <c r="H1501">
        <v>685.13</v>
      </c>
      <c r="I1501">
        <v>10</v>
      </c>
      <c r="J1501">
        <v>374.38</v>
      </c>
      <c r="K1501" t="s">
        <v>24</v>
      </c>
      <c r="L1501" t="s">
        <v>37</v>
      </c>
      <c r="M1501">
        <f t="shared" si="115"/>
        <v>616.61699999999996</v>
      </c>
      <c r="N1501">
        <f t="shared" si="116"/>
        <v>242.23699999999997</v>
      </c>
      <c r="O1501" t="str">
        <f t="shared" si="117"/>
        <v>Friday</v>
      </c>
      <c r="P1501" t="b">
        <f t="shared" si="118"/>
        <v>0</v>
      </c>
      <c r="Q1501" t="str">
        <f t="shared" si="119"/>
        <v>May</v>
      </c>
    </row>
    <row r="1502" spans="1:17" x14ac:dyDescent="0.4">
      <c r="A1502" t="s">
        <v>1883</v>
      </c>
      <c r="B1502" s="1">
        <v>45709</v>
      </c>
      <c r="C1502" t="s">
        <v>278</v>
      </c>
      <c r="D1502" t="s">
        <v>21</v>
      </c>
      <c r="E1502" t="s">
        <v>1214</v>
      </c>
      <c r="F1502" t="s">
        <v>28</v>
      </c>
      <c r="G1502">
        <v>3</v>
      </c>
      <c r="H1502">
        <v>2614.7399999999998</v>
      </c>
      <c r="I1502">
        <v>30</v>
      </c>
      <c r="J1502">
        <v>1786.18</v>
      </c>
      <c r="K1502" t="s">
        <v>24</v>
      </c>
      <c r="L1502" t="s">
        <v>33</v>
      </c>
      <c r="M1502">
        <f t="shared" si="115"/>
        <v>5490.9539999999988</v>
      </c>
      <c r="N1502">
        <f t="shared" si="116"/>
        <v>132.41399999999885</v>
      </c>
      <c r="O1502" t="str">
        <f t="shared" si="117"/>
        <v>Friday</v>
      </c>
      <c r="P1502" t="b">
        <f t="shared" si="118"/>
        <v>0</v>
      </c>
      <c r="Q1502" t="str">
        <f t="shared" si="119"/>
        <v>February</v>
      </c>
    </row>
    <row r="1503" spans="1:17" x14ac:dyDescent="0.4">
      <c r="A1503" t="s">
        <v>1884</v>
      </c>
      <c r="B1503" s="1">
        <v>45311</v>
      </c>
      <c r="C1503" t="s">
        <v>74</v>
      </c>
      <c r="D1503" t="s">
        <v>14</v>
      </c>
      <c r="E1503" t="s">
        <v>1074</v>
      </c>
      <c r="F1503" t="s">
        <v>23</v>
      </c>
      <c r="G1503">
        <v>4</v>
      </c>
      <c r="H1503">
        <v>2722.46</v>
      </c>
      <c r="I1503">
        <v>20</v>
      </c>
      <c r="J1503">
        <v>1425.94</v>
      </c>
      <c r="K1503" t="s">
        <v>17</v>
      </c>
      <c r="L1503" t="s">
        <v>18</v>
      </c>
      <c r="M1503">
        <f t="shared" si="115"/>
        <v>8711.8720000000012</v>
      </c>
      <c r="N1503">
        <f t="shared" si="116"/>
        <v>3008.112000000001</v>
      </c>
      <c r="O1503" t="str">
        <f t="shared" si="117"/>
        <v>Saturday</v>
      </c>
      <c r="P1503" t="b">
        <f t="shared" si="118"/>
        <v>1</v>
      </c>
      <c r="Q1503" t="str">
        <f t="shared" si="119"/>
        <v>January</v>
      </c>
    </row>
    <row r="1504" spans="1:17" x14ac:dyDescent="0.4">
      <c r="A1504" t="s">
        <v>1885</v>
      </c>
      <c r="B1504" s="1">
        <v>45795</v>
      </c>
      <c r="C1504" t="s">
        <v>253</v>
      </c>
      <c r="D1504" t="s">
        <v>21</v>
      </c>
      <c r="E1504" t="s">
        <v>846</v>
      </c>
      <c r="F1504" t="s">
        <v>23</v>
      </c>
      <c r="G1504">
        <v>2</v>
      </c>
      <c r="H1504">
        <v>1921.89</v>
      </c>
      <c r="I1504">
        <v>0</v>
      </c>
      <c r="J1504">
        <v>1003.43</v>
      </c>
      <c r="K1504" t="s">
        <v>24</v>
      </c>
      <c r="L1504" t="s">
        <v>37</v>
      </c>
      <c r="M1504">
        <f t="shared" si="115"/>
        <v>3843.78</v>
      </c>
      <c r="N1504">
        <f t="shared" si="116"/>
        <v>1836.9200000000003</v>
      </c>
      <c r="O1504" t="str">
        <f t="shared" si="117"/>
        <v>Sunday</v>
      </c>
      <c r="P1504" t="b">
        <f t="shared" si="118"/>
        <v>1</v>
      </c>
      <c r="Q1504" t="str">
        <f t="shared" si="119"/>
        <v>May</v>
      </c>
    </row>
    <row r="1505" spans="1:17" x14ac:dyDescent="0.4">
      <c r="A1505" t="s">
        <v>1886</v>
      </c>
      <c r="B1505" s="1">
        <v>45707</v>
      </c>
      <c r="C1505" t="s">
        <v>89</v>
      </c>
      <c r="D1505" t="s">
        <v>46</v>
      </c>
      <c r="E1505" t="s">
        <v>336</v>
      </c>
      <c r="F1505" t="s">
        <v>28</v>
      </c>
      <c r="G1505">
        <v>2</v>
      </c>
      <c r="H1505">
        <v>2582.06</v>
      </c>
      <c r="I1505">
        <v>5</v>
      </c>
      <c r="J1505">
        <v>1517.22</v>
      </c>
      <c r="K1505" t="s">
        <v>17</v>
      </c>
      <c r="L1505" t="s">
        <v>33</v>
      </c>
      <c r="M1505">
        <f t="shared" si="115"/>
        <v>4905.9139999999998</v>
      </c>
      <c r="N1505">
        <f t="shared" si="116"/>
        <v>1871.4739999999997</v>
      </c>
      <c r="O1505" t="str">
        <f t="shared" si="117"/>
        <v>Wednesday</v>
      </c>
      <c r="P1505" t="b">
        <f t="shared" si="118"/>
        <v>0</v>
      </c>
      <c r="Q1505" t="str">
        <f t="shared" si="119"/>
        <v>February</v>
      </c>
    </row>
    <row r="1506" spans="1:17" x14ac:dyDescent="0.4">
      <c r="A1506" t="s">
        <v>1887</v>
      </c>
      <c r="B1506" s="1">
        <v>45756</v>
      </c>
      <c r="C1506" t="s">
        <v>190</v>
      </c>
      <c r="D1506" t="s">
        <v>14</v>
      </c>
      <c r="E1506" t="s">
        <v>103</v>
      </c>
      <c r="F1506" t="s">
        <v>16</v>
      </c>
      <c r="G1506">
        <v>3</v>
      </c>
      <c r="H1506">
        <v>1175.19</v>
      </c>
      <c r="I1506">
        <v>20</v>
      </c>
      <c r="J1506">
        <v>740.62</v>
      </c>
      <c r="K1506" t="s">
        <v>24</v>
      </c>
      <c r="L1506" t="s">
        <v>37</v>
      </c>
      <c r="M1506">
        <f t="shared" si="115"/>
        <v>2820.4560000000001</v>
      </c>
      <c r="N1506">
        <f t="shared" si="116"/>
        <v>598.596</v>
      </c>
      <c r="O1506" t="str">
        <f t="shared" si="117"/>
        <v>Wednesday</v>
      </c>
      <c r="P1506" t="b">
        <f t="shared" si="118"/>
        <v>0</v>
      </c>
      <c r="Q1506" t="str">
        <f t="shared" si="119"/>
        <v>April</v>
      </c>
    </row>
    <row r="1507" spans="1:17" x14ac:dyDescent="0.4">
      <c r="A1507" t="s">
        <v>1888</v>
      </c>
      <c r="B1507" s="1">
        <v>45538</v>
      </c>
      <c r="C1507" t="s">
        <v>179</v>
      </c>
      <c r="D1507" t="s">
        <v>14</v>
      </c>
      <c r="E1507" t="s">
        <v>634</v>
      </c>
      <c r="F1507" t="s">
        <v>16</v>
      </c>
      <c r="G1507">
        <v>1</v>
      </c>
      <c r="H1507">
        <v>1255.6199999999999</v>
      </c>
      <c r="I1507">
        <v>30</v>
      </c>
      <c r="J1507">
        <v>826.53</v>
      </c>
      <c r="K1507" t="s">
        <v>17</v>
      </c>
      <c r="L1507" t="s">
        <v>33</v>
      </c>
      <c r="M1507">
        <f t="shared" si="115"/>
        <v>878.93399999999986</v>
      </c>
      <c r="N1507">
        <f t="shared" si="116"/>
        <v>52.403999999999883</v>
      </c>
      <c r="O1507" t="str">
        <f t="shared" si="117"/>
        <v>Tuesday</v>
      </c>
      <c r="P1507" t="b">
        <f t="shared" si="118"/>
        <v>0</v>
      </c>
      <c r="Q1507" t="str">
        <f t="shared" si="119"/>
        <v>September</v>
      </c>
    </row>
    <row r="1508" spans="1:17" x14ac:dyDescent="0.4">
      <c r="A1508" t="s">
        <v>1889</v>
      </c>
      <c r="B1508" s="1">
        <v>45769</v>
      </c>
      <c r="C1508" t="s">
        <v>179</v>
      </c>
      <c r="D1508" t="s">
        <v>14</v>
      </c>
      <c r="E1508" t="s">
        <v>938</v>
      </c>
      <c r="F1508" t="s">
        <v>28</v>
      </c>
      <c r="G1508">
        <v>4</v>
      </c>
      <c r="H1508">
        <v>1440.16</v>
      </c>
      <c r="I1508">
        <v>0</v>
      </c>
      <c r="J1508">
        <v>834.49</v>
      </c>
      <c r="K1508" t="s">
        <v>24</v>
      </c>
      <c r="L1508" t="s">
        <v>18</v>
      </c>
      <c r="M1508">
        <f t="shared" si="115"/>
        <v>5760.64</v>
      </c>
      <c r="N1508">
        <f t="shared" si="116"/>
        <v>2422.6800000000003</v>
      </c>
      <c r="O1508" t="str">
        <f t="shared" si="117"/>
        <v>Tuesday</v>
      </c>
      <c r="P1508" t="b">
        <f t="shared" si="118"/>
        <v>0</v>
      </c>
      <c r="Q1508" t="str">
        <f t="shared" si="119"/>
        <v>April</v>
      </c>
    </row>
    <row r="1509" spans="1:17" x14ac:dyDescent="0.4">
      <c r="A1509" t="s">
        <v>1890</v>
      </c>
      <c r="B1509" s="1">
        <v>45730</v>
      </c>
      <c r="C1509" t="s">
        <v>269</v>
      </c>
      <c r="D1509" t="s">
        <v>14</v>
      </c>
      <c r="E1509" t="s">
        <v>498</v>
      </c>
      <c r="F1509" t="s">
        <v>28</v>
      </c>
      <c r="G1509">
        <v>4</v>
      </c>
      <c r="H1509">
        <v>312.27</v>
      </c>
      <c r="I1509">
        <v>0</v>
      </c>
      <c r="J1509">
        <v>137.41</v>
      </c>
      <c r="K1509" t="s">
        <v>17</v>
      </c>
      <c r="L1509" t="s">
        <v>37</v>
      </c>
      <c r="M1509">
        <f t="shared" si="115"/>
        <v>1249.08</v>
      </c>
      <c r="N1509">
        <f t="shared" si="116"/>
        <v>699.43999999999994</v>
      </c>
      <c r="O1509" t="str">
        <f t="shared" si="117"/>
        <v>Friday</v>
      </c>
      <c r="P1509" t="b">
        <f t="shared" si="118"/>
        <v>0</v>
      </c>
      <c r="Q1509" t="str">
        <f t="shared" si="119"/>
        <v>March</v>
      </c>
    </row>
    <row r="1510" spans="1:17" x14ac:dyDescent="0.4">
      <c r="A1510" t="s">
        <v>1891</v>
      </c>
      <c r="B1510" s="1">
        <v>45709</v>
      </c>
      <c r="C1510" t="s">
        <v>65</v>
      </c>
      <c r="D1510" t="s">
        <v>46</v>
      </c>
      <c r="E1510" t="s">
        <v>621</v>
      </c>
      <c r="F1510" t="s">
        <v>16</v>
      </c>
      <c r="G1510">
        <v>1</v>
      </c>
      <c r="H1510">
        <v>1795.18</v>
      </c>
      <c r="I1510">
        <v>25</v>
      </c>
      <c r="J1510">
        <v>803</v>
      </c>
      <c r="K1510" t="s">
        <v>24</v>
      </c>
      <c r="L1510" t="s">
        <v>18</v>
      </c>
      <c r="M1510">
        <f t="shared" si="115"/>
        <v>1346.385</v>
      </c>
      <c r="N1510">
        <f t="shared" si="116"/>
        <v>543.38499999999999</v>
      </c>
      <c r="O1510" t="str">
        <f t="shared" si="117"/>
        <v>Friday</v>
      </c>
      <c r="P1510" t="b">
        <f t="shared" si="118"/>
        <v>0</v>
      </c>
      <c r="Q1510" t="str">
        <f t="shared" si="119"/>
        <v>February</v>
      </c>
    </row>
    <row r="1511" spans="1:17" x14ac:dyDescent="0.4">
      <c r="A1511" t="s">
        <v>1892</v>
      </c>
      <c r="B1511" s="1">
        <v>45504</v>
      </c>
      <c r="C1511" t="s">
        <v>144</v>
      </c>
      <c r="D1511" t="s">
        <v>46</v>
      </c>
      <c r="E1511" t="s">
        <v>258</v>
      </c>
      <c r="F1511" t="s">
        <v>23</v>
      </c>
      <c r="G1511">
        <v>2</v>
      </c>
      <c r="H1511">
        <v>1112.28</v>
      </c>
      <c r="I1511">
        <v>15</v>
      </c>
      <c r="J1511">
        <v>681.48</v>
      </c>
      <c r="K1511" t="s">
        <v>17</v>
      </c>
      <c r="L1511" t="s">
        <v>37</v>
      </c>
      <c r="M1511">
        <f t="shared" si="115"/>
        <v>1890.876</v>
      </c>
      <c r="N1511">
        <f t="shared" si="116"/>
        <v>527.91599999999994</v>
      </c>
      <c r="O1511" t="str">
        <f t="shared" si="117"/>
        <v>Wednesday</v>
      </c>
      <c r="P1511" t="b">
        <f t="shared" si="118"/>
        <v>0</v>
      </c>
      <c r="Q1511" t="str">
        <f t="shared" si="119"/>
        <v>July</v>
      </c>
    </row>
    <row r="1512" spans="1:17" x14ac:dyDescent="0.4">
      <c r="A1512" t="s">
        <v>1893</v>
      </c>
      <c r="B1512" s="1">
        <v>45619</v>
      </c>
      <c r="C1512" t="s">
        <v>190</v>
      </c>
      <c r="D1512" t="s">
        <v>31</v>
      </c>
      <c r="E1512" t="s">
        <v>469</v>
      </c>
      <c r="F1512" t="s">
        <v>28</v>
      </c>
      <c r="G1512">
        <v>1</v>
      </c>
      <c r="H1512">
        <v>2461.61</v>
      </c>
      <c r="I1512">
        <v>15</v>
      </c>
      <c r="J1512">
        <v>1563.84</v>
      </c>
      <c r="K1512" t="s">
        <v>17</v>
      </c>
      <c r="L1512" t="s">
        <v>18</v>
      </c>
      <c r="M1512">
        <f t="shared" si="115"/>
        <v>2092.3685</v>
      </c>
      <c r="N1512">
        <f t="shared" si="116"/>
        <v>528.52850000000012</v>
      </c>
      <c r="O1512" t="str">
        <f t="shared" si="117"/>
        <v>Saturday</v>
      </c>
      <c r="P1512" t="b">
        <f t="shared" si="118"/>
        <v>1</v>
      </c>
      <c r="Q1512" t="str">
        <f t="shared" si="119"/>
        <v>November</v>
      </c>
    </row>
    <row r="1513" spans="1:17" x14ac:dyDescent="0.4">
      <c r="A1513" t="s">
        <v>1894</v>
      </c>
      <c r="B1513" s="1">
        <v>45953</v>
      </c>
      <c r="C1513" t="s">
        <v>278</v>
      </c>
      <c r="D1513" t="s">
        <v>14</v>
      </c>
      <c r="E1513" t="s">
        <v>394</v>
      </c>
      <c r="F1513" t="s">
        <v>28</v>
      </c>
      <c r="G1513">
        <v>4</v>
      </c>
      <c r="H1513">
        <v>2362.59</v>
      </c>
      <c r="I1513">
        <v>0</v>
      </c>
      <c r="J1513">
        <v>1153.1600000000001</v>
      </c>
      <c r="K1513" t="s">
        <v>24</v>
      </c>
      <c r="L1513" t="s">
        <v>33</v>
      </c>
      <c r="M1513">
        <f t="shared" si="115"/>
        <v>9450.36</v>
      </c>
      <c r="N1513">
        <f t="shared" si="116"/>
        <v>4837.72</v>
      </c>
      <c r="O1513" t="str">
        <f t="shared" si="117"/>
        <v>Thursday</v>
      </c>
      <c r="P1513" t="b">
        <f t="shared" si="118"/>
        <v>0</v>
      </c>
      <c r="Q1513" t="str">
        <f t="shared" si="119"/>
        <v>October</v>
      </c>
    </row>
    <row r="1514" spans="1:17" x14ac:dyDescent="0.4">
      <c r="A1514" t="s">
        <v>1895</v>
      </c>
      <c r="B1514" s="1">
        <v>45640</v>
      </c>
      <c r="C1514" t="s">
        <v>309</v>
      </c>
      <c r="D1514" t="s">
        <v>31</v>
      </c>
      <c r="E1514" t="s">
        <v>582</v>
      </c>
      <c r="F1514" t="s">
        <v>23</v>
      </c>
      <c r="G1514">
        <v>4</v>
      </c>
      <c r="H1514">
        <v>2228.16</v>
      </c>
      <c r="I1514">
        <v>5</v>
      </c>
      <c r="J1514">
        <v>1423.81</v>
      </c>
      <c r="K1514" t="s">
        <v>17</v>
      </c>
      <c r="L1514" t="s">
        <v>37</v>
      </c>
      <c r="M1514">
        <f t="shared" si="115"/>
        <v>8467.0079999999998</v>
      </c>
      <c r="N1514">
        <f t="shared" si="116"/>
        <v>2771.768</v>
      </c>
      <c r="O1514" t="str">
        <f t="shared" si="117"/>
        <v>Saturday</v>
      </c>
      <c r="P1514" t="b">
        <f t="shared" si="118"/>
        <v>1</v>
      </c>
      <c r="Q1514" t="str">
        <f t="shared" si="119"/>
        <v>December</v>
      </c>
    </row>
    <row r="1515" spans="1:17" x14ac:dyDescent="0.4">
      <c r="A1515" t="s">
        <v>1896</v>
      </c>
      <c r="B1515" s="1">
        <v>45516</v>
      </c>
      <c r="C1515" t="s">
        <v>20</v>
      </c>
      <c r="D1515" t="s">
        <v>21</v>
      </c>
      <c r="E1515" t="s">
        <v>1041</v>
      </c>
      <c r="F1515" t="s">
        <v>16</v>
      </c>
      <c r="G1515">
        <v>4</v>
      </c>
      <c r="H1515">
        <v>1797.34</v>
      </c>
      <c r="I1515">
        <v>5</v>
      </c>
      <c r="J1515">
        <v>830.16</v>
      </c>
      <c r="K1515" t="s">
        <v>17</v>
      </c>
      <c r="L1515" t="s">
        <v>37</v>
      </c>
      <c r="M1515">
        <f t="shared" si="115"/>
        <v>6829.8919999999989</v>
      </c>
      <c r="N1515">
        <f t="shared" si="116"/>
        <v>3509.251999999999</v>
      </c>
      <c r="O1515" t="str">
        <f t="shared" si="117"/>
        <v>Monday</v>
      </c>
      <c r="P1515" t="b">
        <f t="shared" si="118"/>
        <v>0</v>
      </c>
      <c r="Q1515" t="str">
        <f t="shared" si="119"/>
        <v>August</v>
      </c>
    </row>
    <row r="1516" spans="1:17" x14ac:dyDescent="0.4">
      <c r="A1516" t="s">
        <v>1897</v>
      </c>
      <c r="B1516" s="1">
        <v>45694</v>
      </c>
      <c r="C1516" t="s">
        <v>20</v>
      </c>
      <c r="D1516" t="s">
        <v>46</v>
      </c>
      <c r="E1516" t="s">
        <v>105</v>
      </c>
      <c r="F1516" t="s">
        <v>28</v>
      </c>
      <c r="G1516">
        <v>3</v>
      </c>
      <c r="H1516">
        <v>595.13</v>
      </c>
      <c r="I1516">
        <v>25</v>
      </c>
      <c r="J1516">
        <v>262.66000000000003</v>
      </c>
      <c r="K1516" t="s">
        <v>17</v>
      </c>
      <c r="L1516" t="s">
        <v>33</v>
      </c>
      <c r="M1516">
        <f t="shared" si="115"/>
        <v>1339.0425</v>
      </c>
      <c r="N1516">
        <f t="shared" si="116"/>
        <v>551.0625</v>
      </c>
      <c r="O1516" t="str">
        <f t="shared" si="117"/>
        <v>Thursday</v>
      </c>
      <c r="P1516" t="b">
        <f t="shared" si="118"/>
        <v>0</v>
      </c>
      <c r="Q1516" t="str">
        <f t="shared" si="119"/>
        <v>February</v>
      </c>
    </row>
    <row r="1517" spans="1:17" x14ac:dyDescent="0.4">
      <c r="A1517" t="s">
        <v>1898</v>
      </c>
      <c r="B1517" s="1">
        <v>45644</v>
      </c>
      <c r="C1517" t="s">
        <v>224</v>
      </c>
      <c r="D1517" t="s">
        <v>21</v>
      </c>
      <c r="E1517" t="s">
        <v>444</v>
      </c>
      <c r="F1517" t="s">
        <v>28</v>
      </c>
      <c r="G1517">
        <v>4</v>
      </c>
      <c r="H1517">
        <v>2470.84</v>
      </c>
      <c r="I1517">
        <v>5</v>
      </c>
      <c r="J1517">
        <v>1075.8</v>
      </c>
      <c r="K1517" t="s">
        <v>17</v>
      </c>
      <c r="L1517" t="s">
        <v>37</v>
      </c>
      <c r="M1517">
        <f t="shared" si="115"/>
        <v>9389.1920000000009</v>
      </c>
      <c r="N1517">
        <f t="shared" si="116"/>
        <v>5085.9920000000011</v>
      </c>
      <c r="O1517" t="str">
        <f t="shared" si="117"/>
        <v>Wednesday</v>
      </c>
      <c r="P1517" t="b">
        <f t="shared" si="118"/>
        <v>0</v>
      </c>
      <c r="Q1517" t="str">
        <f t="shared" si="119"/>
        <v>December</v>
      </c>
    </row>
    <row r="1518" spans="1:17" x14ac:dyDescent="0.4">
      <c r="A1518" t="s">
        <v>1899</v>
      </c>
      <c r="B1518" s="1">
        <v>45961</v>
      </c>
      <c r="C1518" t="s">
        <v>179</v>
      </c>
      <c r="D1518" t="s">
        <v>46</v>
      </c>
      <c r="E1518" t="s">
        <v>398</v>
      </c>
      <c r="F1518" t="s">
        <v>23</v>
      </c>
      <c r="G1518">
        <v>1</v>
      </c>
      <c r="H1518">
        <v>2960.69</v>
      </c>
      <c r="I1518">
        <v>5</v>
      </c>
      <c r="J1518">
        <v>1626.72</v>
      </c>
      <c r="K1518" t="s">
        <v>17</v>
      </c>
      <c r="L1518" t="s">
        <v>33</v>
      </c>
      <c r="M1518">
        <f t="shared" si="115"/>
        <v>2812.6554999999998</v>
      </c>
      <c r="N1518">
        <f t="shared" si="116"/>
        <v>1185.9354999999998</v>
      </c>
      <c r="O1518" t="str">
        <f t="shared" si="117"/>
        <v>Friday</v>
      </c>
      <c r="P1518" t="b">
        <f t="shared" si="118"/>
        <v>0</v>
      </c>
      <c r="Q1518" t="str">
        <f t="shared" si="119"/>
        <v>October</v>
      </c>
    </row>
    <row r="1519" spans="1:17" x14ac:dyDescent="0.4">
      <c r="A1519" t="s">
        <v>1900</v>
      </c>
      <c r="B1519" s="1">
        <v>45979</v>
      </c>
      <c r="C1519" t="s">
        <v>114</v>
      </c>
      <c r="D1519" t="s">
        <v>31</v>
      </c>
      <c r="E1519" t="s">
        <v>238</v>
      </c>
      <c r="F1519" t="s">
        <v>28</v>
      </c>
      <c r="G1519">
        <v>5</v>
      </c>
      <c r="H1519">
        <v>2665.43</v>
      </c>
      <c r="I1519">
        <v>20</v>
      </c>
      <c r="J1519">
        <v>1342.51</v>
      </c>
      <c r="K1519" t="s">
        <v>17</v>
      </c>
      <c r="L1519" t="s">
        <v>37</v>
      </c>
      <c r="M1519">
        <f t="shared" si="115"/>
        <v>10661.720000000001</v>
      </c>
      <c r="N1519">
        <f t="shared" si="116"/>
        <v>3949.170000000001</v>
      </c>
      <c r="O1519" t="str">
        <f t="shared" si="117"/>
        <v>Tuesday</v>
      </c>
      <c r="P1519" t="b">
        <f t="shared" si="118"/>
        <v>0</v>
      </c>
      <c r="Q1519" t="str">
        <f t="shared" si="119"/>
        <v>November</v>
      </c>
    </row>
    <row r="1520" spans="1:17" x14ac:dyDescent="0.4">
      <c r="A1520" t="s">
        <v>1901</v>
      </c>
      <c r="B1520" s="1">
        <v>45549</v>
      </c>
      <c r="C1520" t="s">
        <v>144</v>
      </c>
      <c r="D1520" t="s">
        <v>31</v>
      </c>
      <c r="E1520" t="s">
        <v>469</v>
      </c>
      <c r="F1520" t="s">
        <v>28</v>
      </c>
      <c r="G1520">
        <v>4</v>
      </c>
      <c r="H1520">
        <v>2082.8200000000002</v>
      </c>
      <c r="I1520">
        <v>30</v>
      </c>
      <c r="J1520">
        <v>1397.32</v>
      </c>
      <c r="K1520" t="s">
        <v>24</v>
      </c>
      <c r="L1520" t="s">
        <v>37</v>
      </c>
      <c r="M1520">
        <f t="shared" si="115"/>
        <v>5831.8959999999997</v>
      </c>
      <c r="N1520">
        <f t="shared" si="116"/>
        <v>242.61599999999999</v>
      </c>
      <c r="O1520" t="str">
        <f t="shared" si="117"/>
        <v>Saturday</v>
      </c>
      <c r="P1520" t="b">
        <f t="shared" si="118"/>
        <v>1</v>
      </c>
      <c r="Q1520" t="str">
        <f t="shared" si="119"/>
        <v>September</v>
      </c>
    </row>
    <row r="1521" spans="1:17" x14ac:dyDescent="0.4">
      <c r="A1521" t="s">
        <v>1902</v>
      </c>
      <c r="B1521" s="1">
        <v>45355</v>
      </c>
      <c r="C1521" t="s">
        <v>179</v>
      </c>
      <c r="D1521" t="s">
        <v>31</v>
      </c>
      <c r="E1521" t="s">
        <v>512</v>
      </c>
      <c r="F1521" t="s">
        <v>16</v>
      </c>
      <c r="G1521">
        <v>4</v>
      </c>
      <c r="H1521">
        <v>1015.55</v>
      </c>
      <c r="I1521">
        <v>0</v>
      </c>
      <c r="J1521">
        <v>541.34</v>
      </c>
      <c r="K1521" t="s">
        <v>17</v>
      </c>
      <c r="L1521" t="s">
        <v>18</v>
      </c>
      <c r="M1521">
        <f t="shared" si="115"/>
        <v>4062.2</v>
      </c>
      <c r="N1521">
        <f t="shared" si="116"/>
        <v>1896.8399999999997</v>
      </c>
      <c r="O1521" t="str">
        <f t="shared" si="117"/>
        <v>Monday</v>
      </c>
      <c r="P1521" t="b">
        <f t="shared" si="118"/>
        <v>0</v>
      </c>
      <c r="Q1521" t="str">
        <f t="shared" si="119"/>
        <v>March</v>
      </c>
    </row>
    <row r="1522" spans="1:17" x14ac:dyDescent="0.4">
      <c r="A1522" t="s">
        <v>1903</v>
      </c>
      <c r="B1522" s="1">
        <v>45774</v>
      </c>
      <c r="C1522" t="s">
        <v>139</v>
      </c>
      <c r="D1522" t="s">
        <v>46</v>
      </c>
      <c r="E1522" t="s">
        <v>748</v>
      </c>
      <c r="F1522" t="s">
        <v>23</v>
      </c>
      <c r="G1522">
        <v>3</v>
      </c>
      <c r="H1522">
        <v>592.26</v>
      </c>
      <c r="I1522">
        <v>15</v>
      </c>
      <c r="J1522">
        <v>343.33</v>
      </c>
      <c r="K1522" t="s">
        <v>24</v>
      </c>
      <c r="L1522" t="s">
        <v>37</v>
      </c>
      <c r="M1522">
        <f t="shared" si="115"/>
        <v>1510.2629999999999</v>
      </c>
      <c r="N1522">
        <f t="shared" si="116"/>
        <v>480.27299999999991</v>
      </c>
      <c r="O1522" t="str">
        <f t="shared" si="117"/>
        <v>Sunday</v>
      </c>
      <c r="P1522" t="b">
        <f t="shared" si="118"/>
        <v>1</v>
      </c>
      <c r="Q1522" t="str">
        <f t="shared" si="119"/>
        <v>April</v>
      </c>
    </row>
    <row r="1523" spans="1:17" x14ac:dyDescent="0.4">
      <c r="A1523" t="s">
        <v>1904</v>
      </c>
      <c r="B1523" s="1">
        <v>45483</v>
      </c>
      <c r="C1523" t="s">
        <v>146</v>
      </c>
      <c r="D1523" t="s">
        <v>31</v>
      </c>
      <c r="E1523" t="s">
        <v>129</v>
      </c>
      <c r="F1523" t="s">
        <v>23</v>
      </c>
      <c r="G1523">
        <v>4</v>
      </c>
      <c r="H1523">
        <v>1482.05</v>
      </c>
      <c r="I1523">
        <v>10</v>
      </c>
      <c r="J1523">
        <v>838.02</v>
      </c>
      <c r="K1523" t="s">
        <v>24</v>
      </c>
      <c r="L1523" t="s">
        <v>18</v>
      </c>
      <c r="M1523">
        <f t="shared" si="115"/>
        <v>5335.38</v>
      </c>
      <c r="N1523">
        <f t="shared" si="116"/>
        <v>1983.3000000000002</v>
      </c>
      <c r="O1523" t="str">
        <f t="shared" si="117"/>
        <v>Wednesday</v>
      </c>
      <c r="P1523" t="b">
        <f t="shared" si="118"/>
        <v>0</v>
      </c>
      <c r="Q1523" t="str">
        <f t="shared" si="119"/>
        <v>July</v>
      </c>
    </row>
    <row r="1524" spans="1:17" x14ac:dyDescent="0.4">
      <c r="A1524" t="s">
        <v>1905</v>
      </c>
      <c r="B1524" s="1">
        <v>45774</v>
      </c>
      <c r="C1524" t="s">
        <v>62</v>
      </c>
      <c r="D1524" t="s">
        <v>46</v>
      </c>
      <c r="E1524" t="s">
        <v>469</v>
      </c>
      <c r="F1524" t="s">
        <v>28</v>
      </c>
      <c r="G1524">
        <v>4</v>
      </c>
      <c r="H1524">
        <v>2673.26</v>
      </c>
      <c r="I1524">
        <v>5</v>
      </c>
      <c r="J1524">
        <v>1440.65</v>
      </c>
      <c r="K1524" t="s">
        <v>17</v>
      </c>
      <c r="L1524" t="s">
        <v>37</v>
      </c>
      <c r="M1524">
        <f t="shared" si="115"/>
        <v>10158.388000000001</v>
      </c>
      <c r="N1524">
        <f t="shared" si="116"/>
        <v>4395.7880000000005</v>
      </c>
      <c r="O1524" t="str">
        <f t="shared" si="117"/>
        <v>Sunday</v>
      </c>
      <c r="P1524" t="b">
        <f t="shared" si="118"/>
        <v>1</v>
      </c>
      <c r="Q1524" t="str">
        <f t="shared" si="119"/>
        <v>April</v>
      </c>
    </row>
    <row r="1525" spans="1:17" x14ac:dyDescent="0.4">
      <c r="A1525" t="s">
        <v>1906</v>
      </c>
      <c r="B1525" s="1">
        <v>45896</v>
      </c>
      <c r="C1525" t="s">
        <v>68</v>
      </c>
      <c r="D1525" t="s">
        <v>14</v>
      </c>
      <c r="E1525" t="s">
        <v>299</v>
      </c>
      <c r="F1525" t="s">
        <v>28</v>
      </c>
      <c r="G1525">
        <v>1</v>
      </c>
      <c r="H1525">
        <v>1223.49</v>
      </c>
      <c r="I1525">
        <v>15</v>
      </c>
      <c r="J1525">
        <v>780.29</v>
      </c>
      <c r="K1525" t="s">
        <v>24</v>
      </c>
      <c r="L1525" t="s">
        <v>18</v>
      </c>
      <c r="M1525">
        <f t="shared" si="115"/>
        <v>1039.9665</v>
      </c>
      <c r="N1525">
        <f t="shared" si="116"/>
        <v>259.67650000000003</v>
      </c>
      <c r="O1525" t="str">
        <f t="shared" si="117"/>
        <v>Wednesday</v>
      </c>
      <c r="P1525" t="b">
        <f t="shared" si="118"/>
        <v>0</v>
      </c>
      <c r="Q1525" t="str">
        <f t="shared" si="119"/>
        <v>August</v>
      </c>
    </row>
    <row r="1526" spans="1:17" x14ac:dyDescent="0.4">
      <c r="A1526" t="s">
        <v>1907</v>
      </c>
      <c r="B1526" s="1">
        <v>45943</v>
      </c>
      <c r="C1526" t="s">
        <v>45</v>
      </c>
      <c r="D1526" t="s">
        <v>46</v>
      </c>
      <c r="E1526" t="s">
        <v>330</v>
      </c>
      <c r="F1526" t="s">
        <v>28</v>
      </c>
      <c r="G1526">
        <v>5</v>
      </c>
      <c r="H1526">
        <v>2777.21</v>
      </c>
      <c r="I1526">
        <v>25</v>
      </c>
      <c r="J1526">
        <v>1817.22</v>
      </c>
      <c r="K1526" t="s">
        <v>24</v>
      </c>
      <c r="L1526" t="s">
        <v>37</v>
      </c>
      <c r="M1526">
        <f t="shared" si="115"/>
        <v>10414.537499999999</v>
      </c>
      <c r="N1526">
        <f t="shared" si="116"/>
        <v>1328.4374999999982</v>
      </c>
      <c r="O1526" t="str">
        <f t="shared" si="117"/>
        <v>Monday</v>
      </c>
      <c r="P1526" t="b">
        <f t="shared" si="118"/>
        <v>0</v>
      </c>
      <c r="Q1526" t="str">
        <f t="shared" si="119"/>
        <v>October</v>
      </c>
    </row>
    <row r="1527" spans="1:17" x14ac:dyDescent="0.4">
      <c r="A1527" t="s">
        <v>1908</v>
      </c>
      <c r="B1527" s="1">
        <v>45868</v>
      </c>
      <c r="C1527" t="s">
        <v>193</v>
      </c>
      <c r="D1527" t="s">
        <v>46</v>
      </c>
      <c r="E1527" t="s">
        <v>315</v>
      </c>
      <c r="F1527" t="s">
        <v>23</v>
      </c>
      <c r="G1527">
        <v>3</v>
      </c>
      <c r="H1527">
        <v>594.99</v>
      </c>
      <c r="I1527">
        <v>25</v>
      </c>
      <c r="J1527">
        <v>372.02</v>
      </c>
      <c r="K1527" t="s">
        <v>24</v>
      </c>
      <c r="L1527" t="s">
        <v>33</v>
      </c>
      <c r="M1527">
        <f t="shared" si="115"/>
        <v>1338.7275</v>
      </c>
      <c r="N1527">
        <f t="shared" si="116"/>
        <v>222.66750000000002</v>
      </c>
      <c r="O1527" t="str">
        <f t="shared" si="117"/>
        <v>Wednesday</v>
      </c>
      <c r="P1527" t="b">
        <f t="shared" si="118"/>
        <v>0</v>
      </c>
      <c r="Q1527" t="str">
        <f t="shared" si="119"/>
        <v>July</v>
      </c>
    </row>
    <row r="1528" spans="1:17" x14ac:dyDescent="0.4">
      <c r="A1528" t="s">
        <v>1909</v>
      </c>
      <c r="B1528" s="1">
        <v>45539</v>
      </c>
      <c r="C1528" t="s">
        <v>114</v>
      </c>
      <c r="D1528" t="s">
        <v>31</v>
      </c>
      <c r="E1528" t="s">
        <v>210</v>
      </c>
      <c r="F1528" t="s">
        <v>23</v>
      </c>
      <c r="G1528">
        <v>2</v>
      </c>
      <c r="H1528">
        <v>1267.98</v>
      </c>
      <c r="I1528">
        <v>20</v>
      </c>
      <c r="J1528">
        <v>666.54</v>
      </c>
      <c r="K1528" t="s">
        <v>17</v>
      </c>
      <c r="L1528" t="s">
        <v>33</v>
      </c>
      <c r="M1528">
        <f t="shared" si="115"/>
        <v>2028.768</v>
      </c>
      <c r="N1528">
        <f t="shared" si="116"/>
        <v>695.6880000000001</v>
      </c>
      <c r="O1528" t="str">
        <f t="shared" si="117"/>
        <v>Wednesday</v>
      </c>
      <c r="P1528" t="b">
        <f t="shared" si="118"/>
        <v>0</v>
      </c>
      <c r="Q1528" t="str">
        <f t="shared" si="119"/>
        <v>September</v>
      </c>
    </row>
    <row r="1529" spans="1:17" x14ac:dyDescent="0.4">
      <c r="A1529" t="s">
        <v>1910</v>
      </c>
      <c r="B1529" s="1">
        <v>45880</v>
      </c>
      <c r="C1529" t="s">
        <v>185</v>
      </c>
      <c r="D1529" t="s">
        <v>31</v>
      </c>
      <c r="E1529" t="s">
        <v>1254</v>
      </c>
      <c r="F1529" t="s">
        <v>16</v>
      </c>
      <c r="G1529">
        <v>2</v>
      </c>
      <c r="H1529">
        <v>2101.9699999999998</v>
      </c>
      <c r="I1529">
        <v>0</v>
      </c>
      <c r="J1529">
        <v>899.12</v>
      </c>
      <c r="K1529" t="s">
        <v>17</v>
      </c>
      <c r="L1529" t="s">
        <v>33</v>
      </c>
      <c r="M1529">
        <f t="shared" si="115"/>
        <v>4203.9399999999996</v>
      </c>
      <c r="N1529">
        <f t="shared" si="116"/>
        <v>2405.6999999999998</v>
      </c>
      <c r="O1529" t="str">
        <f t="shared" si="117"/>
        <v>Monday</v>
      </c>
      <c r="P1529" t="b">
        <f t="shared" si="118"/>
        <v>0</v>
      </c>
      <c r="Q1529" t="str">
        <f t="shared" si="119"/>
        <v>August</v>
      </c>
    </row>
    <row r="1530" spans="1:17" x14ac:dyDescent="0.4">
      <c r="A1530" t="s">
        <v>1911</v>
      </c>
      <c r="B1530" s="1">
        <v>45951</v>
      </c>
      <c r="C1530" t="s">
        <v>375</v>
      </c>
      <c r="D1530" t="s">
        <v>21</v>
      </c>
      <c r="E1530" t="s">
        <v>537</v>
      </c>
      <c r="F1530" t="s">
        <v>28</v>
      </c>
      <c r="G1530">
        <v>3</v>
      </c>
      <c r="H1530">
        <v>327.45</v>
      </c>
      <c r="I1530">
        <v>15</v>
      </c>
      <c r="J1530">
        <v>152.85</v>
      </c>
      <c r="K1530" t="s">
        <v>17</v>
      </c>
      <c r="L1530" t="s">
        <v>33</v>
      </c>
      <c r="M1530">
        <f t="shared" si="115"/>
        <v>834.99749999999995</v>
      </c>
      <c r="N1530">
        <f t="shared" si="116"/>
        <v>376.44749999999999</v>
      </c>
      <c r="O1530" t="str">
        <f t="shared" si="117"/>
        <v>Tuesday</v>
      </c>
      <c r="P1530" t="b">
        <f t="shared" si="118"/>
        <v>0</v>
      </c>
      <c r="Q1530" t="str">
        <f t="shared" si="119"/>
        <v>October</v>
      </c>
    </row>
    <row r="1531" spans="1:17" x14ac:dyDescent="0.4">
      <c r="A1531" t="s">
        <v>1912</v>
      </c>
      <c r="B1531" s="1">
        <v>45546</v>
      </c>
      <c r="C1531" t="s">
        <v>309</v>
      </c>
      <c r="D1531" t="s">
        <v>21</v>
      </c>
      <c r="E1531" t="s">
        <v>238</v>
      </c>
      <c r="F1531" t="s">
        <v>28</v>
      </c>
      <c r="G1531">
        <v>1</v>
      </c>
      <c r="H1531">
        <v>523.22</v>
      </c>
      <c r="I1531">
        <v>5</v>
      </c>
      <c r="J1531">
        <v>278.60000000000002</v>
      </c>
      <c r="K1531" t="s">
        <v>17</v>
      </c>
      <c r="L1531" t="s">
        <v>33</v>
      </c>
      <c r="M1531">
        <f t="shared" si="115"/>
        <v>497.05900000000003</v>
      </c>
      <c r="N1531">
        <f t="shared" si="116"/>
        <v>218.459</v>
      </c>
      <c r="O1531" t="str">
        <f t="shared" si="117"/>
        <v>Wednesday</v>
      </c>
      <c r="P1531" t="b">
        <f t="shared" si="118"/>
        <v>0</v>
      </c>
      <c r="Q1531" t="str">
        <f t="shared" si="119"/>
        <v>September</v>
      </c>
    </row>
    <row r="1532" spans="1:17" x14ac:dyDescent="0.4">
      <c r="A1532" t="s">
        <v>1913</v>
      </c>
      <c r="B1532" s="1">
        <v>45757</v>
      </c>
      <c r="C1532" t="s">
        <v>62</v>
      </c>
      <c r="D1532" t="s">
        <v>31</v>
      </c>
      <c r="E1532" t="s">
        <v>1175</v>
      </c>
      <c r="F1532" t="s">
        <v>16</v>
      </c>
      <c r="G1532">
        <v>5</v>
      </c>
      <c r="H1532">
        <v>551.41</v>
      </c>
      <c r="I1532">
        <v>0</v>
      </c>
      <c r="J1532">
        <v>331.32</v>
      </c>
      <c r="K1532" t="s">
        <v>17</v>
      </c>
      <c r="L1532" t="s">
        <v>37</v>
      </c>
      <c r="M1532">
        <f t="shared" si="115"/>
        <v>2757.0499999999997</v>
      </c>
      <c r="N1532">
        <f t="shared" si="116"/>
        <v>1100.4499999999998</v>
      </c>
      <c r="O1532" t="str">
        <f t="shared" si="117"/>
        <v>Thursday</v>
      </c>
      <c r="P1532" t="b">
        <f t="shared" si="118"/>
        <v>0</v>
      </c>
      <c r="Q1532" t="str">
        <f t="shared" si="119"/>
        <v>April</v>
      </c>
    </row>
    <row r="1533" spans="1:17" x14ac:dyDescent="0.4">
      <c r="A1533" t="s">
        <v>1914</v>
      </c>
      <c r="B1533" s="1">
        <v>45480</v>
      </c>
      <c r="C1533" t="s">
        <v>182</v>
      </c>
      <c r="D1533" t="s">
        <v>21</v>
      </c>
      <c r="E1533" t="s">
        <v>52</v>
      </c>
      <c r="F1533" t="s">
        <v>23</v>
      </c>
      <c r="G1533">
        <v>4</v>
      </c>
      <c r="H1533">
        <v>537.4</v>
      </c>
      <c r="I1533">
        <v>25</v>
      </c>
      <c r="J1533">
        <v>343.69</v>
      </c>
      <c r="K1533" t="s">
        <v>17</v>
      </c>
      <c r="L1533" t="s">
        <v>33</v>
      </c>
      <c r="M1533">
        <f t="shared" si="115"/>
        <v>1612.1999999999998</v>
      </c>
      <c r="N1533">
        <f t="shared" si="116"/>
        <v>237.43999999999983</v>
      </c>
      <c r="O1533" t="str">
        <f t="shared" si="117"/>
        <v>Sunday</v>
      </c>
      <c r="P1533" t="b">
        <f t="shared" si="118"/>
        <v>1</v>
      </c>
      <c r="Q1533" t="str">
        <f t="shared" si="119"/>
        <v>July</v>
      </c>
    </row>
    <row r="1534" spans="1:17" x14ac:dyDescent="0.4">
      <c r="A1534" t="s">
        <v>1915</v>
      </c>
      <c r="B1534" s="1">
        <v>45450</v>
      </c>
      <c r="C1534" t="s">
        <v>193</v>
      </c>
      <c r="D1534" t="s">
        <v>46</v>
      </c>
      <c r="E1534" t="s">
        <v>843</v>
      </c>
      <c r="F1534" t="s">
        <v>28</v>
      </c>
      <c r="G1534">
        <v>5</v>
      </c>
      <c r="H1534">
        <v>647.77</v>
      </c>
      <c r="I1534">
        <v>30</v>
      </c>
      <c r="J1534">
        <v>306.54000000000002</v>
      </c>
      <c r="K1534" t="s">
        <v>17</v>
      </c>
      <c r="L1534" t="s">
        <v>37</v>
      </c>
      <c r="M1534">
        <f t="shared" si="115"/>
        <v>2267.1949999999997</v>
      </c>
      <c r="N1534">
        <f t="shared" si="116"/>
        <v>734.49499999999966</v>
      </c>
      <c r="O1534" t="str">
        <f t="shared" si="117"/>
        <v>Friday</v>
      </c>
      <c r="P1534" t="b">
        <f t="shared" si="118"/>
        <v>0</v>
      </c>
      <c r="Q1534" t="str">
        <f t="shared" si="119"/>
        <v>June</v>
      </c>
    </row>
    <row r="1535" spans="1:17" x14ac:dyDescent="0.4">
      <c r="A1535" t="s">
        <v>1916</v>
      </c>
      <c r="B1535" s="1">
        <v>45920</v>
      </c>
      <c r="C1535" t="s">
        <v>309</v>
      </c>
      <c r="D1535" t="s">
        <v>14</v>
      </c>
      <c r="E1535" t="s">
        <v>208</v>
      </c>
      <c r="F1535" t="s">
        <v>23</v>
      </c>
      <c r="G1535">
        <v>3</v>
      </c>
      <c r="H1535">
        <v>2205.39</v>
      </c>
      <c r="I1535">
        <v>20</v>
      </c>
      <c r="J1535">
        <v>902.34</v>
      </c>
      <c r="K1535" t="s">
        <v>24</v>
      </c>
      <c r="L1535" t="s">
        <v>33</v>
      </c>
      <c r="M1535">
        <f t="shared" si="115"/>
        <v>5292.9360000000006</v>
      </c>
      <c r="N1535">
        <f t="shared" si="116"/>
        <v>2585.9160000000006</v>
      </c>
      <c r="O1535" t="str">
        <f t="shared" si="117"/>
        <v>Saturday</v>
      </c>
      <c r="P1535" t="b">
        <f t="shared" si="118"/>
        <v>1</v>
      </c>
      <c r="Q1535" t="str">
        <f t="shared" si="119"/>
        <v>September</v>
      </c>
    </row>
    <row r="1536" spans="1:17" x14ac:dyDescent="0.4">
      <c r="A1536" t="s">
        <v>1917</v>
      </c>
      <c r="B1536" s="1">
        <v>45989</v>
      </c>
      <c r="C1536" t="s">
        <v>122</v>
      </c>
      <c r="D1536" t="s">
        <v>31</v>
      </c>
      <c r="E1536" t="s">
        <v>613</v>
      </c>
      <c r="F1536" t="s">
        <v>16</v>
      </c>
      <c r="G1536">
        <v>4</v>
      </c>
      <c r="H1536">
        <v>2725.56</v>
      </c>
      <c r="I1536">
        <v>15</v>
      </c>
      <c r="J1536">
        <v>1305.1600000000001</v>
      </c>
      <c r="K1536" t="s">
        <v>24</v>
      </c>
      <c r="L1536" t="s">
        <v>37</v>
      </c>
      <c r="M1536">
        <f t="shared" si="115"/>
        <v>9266.9040000000005</v>
      </c>
      <c r="N1536">
        <f t="shared" si="116"/>
        <v>4046.2640000000001</v>
      </c>
      <c r="O1536" t="str">
        <f t="shared" si="117"/>
        <v>Friday</v>
      </c>
      <c r="P1536" t="b">
        <f t="shared" si="118"/>
        <v>0</v>
      </c>
      <c r="Q1536" t="str">
        <f t="shared" si="119"/>
        <v>November</v>
      </c>
    </row>
    <row r="1537" spans="1:17" x14ac:dyDescent="0.4">
      <c r="A1537" t="s">
        <v>1918</v>
      </c>
      <c r="B1537" s="1">
        <v>45457</v>
      </c>
      <c r="C1537" t="s">
        <v>95</v>
      </c>
      <c r="D1537" t="s">
        <v>46</v>
      </c>
      <c r="E1537" t="s">
        <v>596</v>
      </c>
      <c r="F1537" t="s">
        <v>23</v>
      </c>
      <c r="G1537">
        <v>3</v>
      </c>
      <c r="H1537">
        <v>800.79</v>
      </c>
      <c r="I1537">
        <v>20</v>
      </c>
      <c r="J1537">
        <v>480.63</v>
      </c>
      <c r="K1537" t="s">
        <v>24</v>
      </c>
      <c r="L1537" t="s">
        <v>37</v>
      </c>
      <c r="M1537">
        <f t="shared" si="115"/>
        <v>1921.896</v>
      </c>
      <c r="N1537">
        <f t="shared" si="116"/>
        <v>480.00600000000009</v>
      </c>
      <c r="O1537" t="str">
        <f t="shared" si="117"/>
        <v>Friday</v>
      </c>
      <c r="P1537" t="b">
        <f t="shared" si="118"/>
        <v>0</v>
      </c>
      <c r="Q1537" t="str">
        <f t="shared" si="119"/>
        <v>June</v>
      </c>
    </row>
    <row r="1538" spans="1:17" x14ac:dyDescent="0.4">
      <c r="A1538" t="s">
        <v>1919</v>
      </c>
      <c r="B1538" s="1">
        <v>45598</v>
      </c>
      <c r="C1538" t="s">
        <v>100</v>
      </c>
      <c r="D1538" t="s">
        <v>31</v>
      </c>
      <c r="E1538" t="s">
        <v>528</v>
      </c>
      <c r="F1538" t="s">
        <v>16</v>
      </c>
      <c r="G1538">
        <v>3</v>
      </c>
      <c r="H1538">
        <v>2293.7600000000002</v>
      </c>
      <c r="I1538">
        <v>15</v>
      </c>
      <c r="J1538">
        <v>1499.96</v>
      </c>
      <c r="K1538" t="s">
        <v>24</v>
      </c>
      <c r="L1538" t="s">
        <v>33</v>
      </c>
      <c r="M1538">
        <f t="shared" si="115"/>
        <v>5849.0880000000006</v>
      </c>
      <c r="N1538">
        <f t="shared" si="116"/>
        <v>1349.2080000000005</v>
      </c>
      <c r="O1538" t="str">
        <f t="shared" si="117"/>
        <v>Saturday</v>
      </c>
      <c r="P1538" t="b">
        <f t="shared" si="118"/>
        <v>1</v>
      </c>
      <c r="Q1538" t="str">
        <f t="shared" si="119"/>
        <v>November</v>
      </c>
    </row>
    <row r="1539" spans="1:17" x14ac:dyDescent="0.4">
      <c r="A1539" t="s">
        <v>1920</v>
      </c>
      <c r="B1539" s="1">
        <v>45403</v>
      </c>
      <c r="C1539" t="s">
        <v>302</v>
      </c>
      <c r="D1539" t="s">
        <v>31</v>
      </c>
      <c r="E1539" t="s">
        <v>311</v>
      </c>
      <c r="F1539" t="s">
        <v>23</v>
      </c>
      <c r="G1539">
        <v>5</v>
      </c>
      <c r="H1539">
        <v>1772.14</v>
      </c>
      <c r="I1539">
        <v>30</v>
      </c>
      <c r="J1539">
        <v>952.72</v>
      </c>
      <c r="K1539" t="s">
        <v>17</v>
      </c>
      <c r="L1539" t="s">
        <v>37</v>
      </c>
      <c r="M1539">
        <f t="shared" ref="M1539:M1602" si="120">G1539 * H1539 * (1 - I1539/100)</f>
        <v>6202.49</v>
      </c>
      <c r="N1539">
        <f t="shared" ref="N1539:N1602" si="121">M1539 - (J1539 * G1539)</f>
        <v>1438.8899999999994</v>
      </c>
      <c r="O1539" t="str">
        <f t="shared" ref="O1539:O1602" si="122">TEXT(B1539,"dddd")</f>
        <v>Sunday</v>
      </c>
      <c r="P1539" t="b">
        <f t="shared" ref="P1539:P1602" si="123">OR(TEXT(B1539,"ddd")="Sat", TEXT(B1539,"ddd")="Sun")</f>
        <v>1</v>
      </c>
      <c r="Q1539" t="str">
        <f t="shared" ref="Q1539:Q1602" si="124">TEXT(B1539,"mmmm")</f>
        <v>April</v>
      </c>
    </row>
    <row r="1540" spans="1:17" x14ac:dyDescent="0.4">
      <c r="A1540" t="s">
        <v>1921</v>
      </c>
      <c r="B1540" s="1">
        <v>45950</v>
      </c>
      <c r="C1540" t="s">
        <v>171</v>
      </c>
      <c r="D1540" t="s">
        <v>14</v>
      </c>
      <c r="E1540" t="s">
        <v>218</v>
      </c>
      <c r="F1540" t="s">
        <v>16</v>
      </c>
      <c r="G1540">
        <v>3</v>
      </c>
      <c r="H1540">
        <v>2337.87</v>
      </c>
      <c r="I1540">
        <v>15</v>
      </c>
      <c r="J1540">
        <v>1265.54</v>
      </c>
      <c r="K1540" t="s">
        <v>17</v>
      </c>
      <c r="L1540" t="s">
        <v>33</v>
      </c>
      <c r="M1540">
        <f t="shared" si="120"/>
        <v>5961.5684999999994</v>
      </c>
      <c r="N1540">
        <f t="shared" si="121"/>
        <v>2164.9484999999995</v>
      </c>
      <c r="O1540" t="str">
        <f t="shared" si="122"/>
        <v>Monday</v>
      </c>
      <c r="P1540" t="b">
        <f t="shared" si="123"/>
        <v>0</v>
      </c>
      <c r="Q1540" t="str">
        <f t="shared" si="124"/>
        <v>October</v>
      </c>
    </row>
    <row r="1541" spans="1:17" x14ac:dyDescent="0.4">
      <c r="A1541" t="s">
        <v>1922</v>
      </c>
      <c r="B1541" s="1">
        <v>45295</v>
      </c>
      <c r="C1541" t="s">
        <v>77</v>
      </c>
      <c r="D1541" t="s">
        <v>46</v>
      </c>
      <c r="E1541" t="s">
        <v>340</v>
      </c>
      <c r="F1541" t="s">
        <v>23</v>
      </c>
      <c r="G1541">
        <v>1</v>
      </c>
      <c r="H1541">
        <v>2122.98</v>
      </c>
      <c r="I1541">
        <v>25</v>
      </c>
      <c r="J1541">
        <v>1383.14</v>
      </c>
      <c r="K1541" t="s">
        <v>17</v>
      </c>
      <c r="L1541" t="s">
        <v>33</v>
      </c>
      <c r="M1541">
        <f t="shared" si="120"/>
        <v>1592.2350000000001</v>
      </c>
      <c r="N1541">
        <f t="shared" si="121"/>
        <v>209.09500000000003</v>
      </c>
      <c r="O1541" t="str">
        <f t="shared" si="122"/>
        <v>Thursday</v>
      </c>
      <c r="P1541" t="b">
        <f t="shared" si="123"/>
        <v>0</v>
      </c>
      <c r="Q1541" t="str">
        <f t="shared" si="124"/>
        <v>January</v>
      </c>
    </row>
    <row r="1542" spans="1:17" x14ac:dyDescent="0.4">
      <c r="A1542" t="s">
        <v>1923</v>
      </c>
      <c r="B1542" s="1">
        <v>45967</v>
      </c>
      <c r="C1542" t="s">
        <v>98</v>
      </c>
      <c r="D1542" t="s">
        <v>21</v>
      </c>
      <c r="E1542" t="s">
        <v>233</v>
      </c>
      <c r="F1542" t="s">
        <v>16</v>
      </c>
      <c r="G1542">
        <v>1</v>
      </c>
      <c r="H1542">
        <v>654.89</v>
      </c>
      <c r="I1542">
        <v>5</v>
      </c>
      <c r="J1542">
        <v>422.83</v>
      </c>
      <c r="K1542" t="s">
        <v>17</v>
      </c>
      <c r="L1542" t="s">
        <v>33</v>
      </c>
      <c r="M1542">
        <f t="shared" si="120"/>
        <v>622.14549999999997</v>
      </c>
      <c r="N1542">
        <f t="shared" si="121"/>
        <v>199.31549999999999</v>
      </c>
      <c r="O1542" t="str">
        <f t="shared" si="122"/>
        <v>Thursday</v>
      </c>
      <c r="P1542" t="b">
        <f t="shared" si="123"/>
        <v>0</v>
      </c>
      <c r="Q1542" t="str">
        <f t="shared" si="124"/>
        <v>November</v>
      </c>
    </row>
    <row r="1543" spans="1:17" x14ac:dyDescent="0.4">
      <c r="A1543" t="s">
        <v>1924</v>
      </c>
      <c r="B1543" s="1">
        <v>45367</v>
      </c>
      <c r="C1543" t="s">
        <v>122</v>
      </c>
      <c r="D1543" t="s">
        <v>14</v>
      </c>
      <c r="E1543" t="s">
        <v>169</v>
      </c>
      <c r="F1543" t="s">
        <v>16</v>
      </c>
      <c r="G1543">
        <v>1</v>
      </c>
      <c r="H1543">
        <v>1759.23</v>
      </c>
      <c r="I1543">
        <v>20</v>
      </c>
      <c r="J1543">
        <v>1170.25</v>
      </c>
      <c r="K1543" t="s">
        <v>24</v>
      </c>
      <c r="L1543" t="s">
        <v>18</v>
      </c>
      <c r="M1543">
        <f t="shared" si="120"/>
        <v>1407.384</v>
      </c>
      <c r="N1543">
        <f t="shared" si="121"/>
        <v>237.13400000000001</v>
      </c>
      <c r="O1543" t="str">
        <f t="shared" si="122"/>
        <v>Saturday</v>
      </c>
      <c r="P1543" t="b">
        <f t="shared" si="123"/>
        <v>1</v>
      </c>
      <c r="Q1543" t="str">
        <f t="shared" si="124"/>
        <v>March</v>
      </c>
    </row>
    <row r="1544" spans="1:17" x14ac:dyDescent="0.4">
      <c r="A1544" t="s">
        <v>1925</v>
      </c>
      <c r="B1544" s="1">
        <v>45376</v>
      </c>
      <c r="C1544" t="s">
        <v>100</v>
      </c>
      <c r="D1544" t="s">
        <v>21</v>
      </c>
      <c r="E1544" t="s">
        <v>311</v>
      </c>
      <c r="F1544" t="s">
        <v>16</v>
      </c>
      <c r="G1544">
        <v>3</v>
      </c>
      <c r="H1544">
        <v>1083.8599999999999</v>
      </c>
      <c r="I1544">
        <v>0</v>
      </c>
      <c r="J1544">
        <v>520.59</v>
      </c>
      <c r="K1544" t="s">
        <v>24</v>
      </c>
      <c r="L1544" t="s">
        <v>33</v>
      </c>
      <c r="M1544">
        <f t="shared" si="120"/>
        <v>3251.58</v>
      </c>
      <c r="N1544">
        <f t="shared" si="121"/>
        <v>1689.81</v>
      </c>
      <c r="O1544" t="str">
        <f t="shared" si="122"/>
        <v>Monday</v>
      </c>
      <c r="P1544" t="b">
        <f t="shared" si="123"/>
        <v>0</v>
      </c>
      <c r="Q1544" t="str">
        <f t="shared" si="124"/>
        <v>March</v>
      </c>
    </row>
    <row r="1545" spans="1:17" x14ac:dyDescent="0.4">
      <c r="A1545" t="s">
        <v>1926</v>
      </c>
      <c r="B1545" s="1">
        <v>45449</v>
      </c>
      <c r="C1545" t="s">
        <v>149</v>
      </c>
      <c r="D1545" t="s">
        <v>14</v>
      </c>
      <c r="E1545" t="s">
        <v>1107</v>
      </c>
      <c r="F1545" t="s">
        <v>28</v>
      </c>
      <c r="G1545">
        <v>1</v>
      </c>
      <c r="H1545">
        <v>1450.91</v>
      </c>
      <c r="I1545">
        <v>30</v>
      </c>
      <c r="J1545">
        <v>967.82</v>
      </c>
      <c r="K1545" t="s">
        <v>17</v>
      </c>
      <c r="L1545" t="s">
        <v>37</v>
      </c>
      <c r="M1545">
        <f t="shared" si="120"/>
        <v>1015.6369999999999</v>
      </c>
      <c r="N1545">
        <f t="shared" si="121"/>
        <v>47.816999999999894</v>
      </c>
      <c r="O1545" t="str">
        <f t="shared" si="122"/>
        <v>Thursday</v>
      </c>
      <c r="P1545" t="b">
        <f t="shared" si="123"/>
        <v>0</v>
      </c>
      <c r="Q1545" t="str">
        <f t="shared" si="124"/>
        <v>June</v>
      </c>
    </row>
    <row r="1546" spans="1:17" x14ac:dyDescent="0.4">
      <c r="A1546" t="s">
        <v>1927</v>
      </c>
      <c r="B1546" s="1">
        <v>45968</v>
      </c>
      <c r="C1546" t="s">
        <v>89</v>
      </c>
      <c r="D1546" t="s">
        <v>14</v>
      </c>
      <c r="E1546" t="s">
        <v>596</v>
      </c>
      <c r="F1546" t="s">
        <v>28</v>
      </c>
      <c r="G1546">
        <v>2</v>
      </c>
      <c r="H1546">
        <v>1598.68</v>
      </c>
      <c r="I1546">
        <v>20</v>
      </c>
      <c r="J1546">
        <v>1010.53</v>
      </c>
      <c r="K1546" t="s">
        <v>24</v>
      </c>
      <c r="L1546" t="s">
        <v>18</v>
      </c>
      <c r="M1546">
        <f t="shared" si="120"/>
        <v>2557.8880000000004</v>
      </c>
      <c r="N1546">
        <f t="shared" si="121"/>
        <v>536.82800000000043</v>
      </c>
      <c r="O1546" t="str">
        <f t="shared" si="122"/>
        <v>Friday</v>
      </c>
      <c r="P1546" t="b">
        <f t="shared" si="123"/>
        <v>0</v>
      </c>
      <c r="Q1546" t="str">
        <f t="shared" si="124"/>
        <v>November</v>
      </c>
    </row>
    <row r="1547" spans="1:17" x14ac:dyDescent="0.4">
      <c r="A1547" t="s">
        <v>1928</v>
      </c>
      <c r="B1547" s="1">
        <v>45659</v>
      </c>
      <c r="C1547" t="s">
        <v>267</v>
      </c>
      <c r="D1547" t="s">
        <v>31</v>
      </c>
      <c r="E1547" t="s">
        <v>332</v>
      </c>
      <c r="F1547" t="s">
        <v>16</v>
      </c>
      <c r="G1547">
        <v>4</v>
      </c>
      <c r="H1547">
        <v>2887.42</v>
      </c>
      <c r="I1547">
        <v>20</v>
      </c>
      <c r="J1547">
        <v>1171.75</v>
      </c>
      <c r="K1547" t="s">
        <v>17</v>
      </c>
      <c r="L1547" t="s">
        <v>33</v>
      </c>
      <c r="M1547">
        <f t="shared" si="120"/>
        <v>9239.7440000000006</v>
      </c>
      <c r="N1547">
        <f t="shared" si="121"/>
        <v>4552.7440000000006</v>
      </c>
      <c r="O1547" t="str">
        <f t="shared" si="122"/>
        <v>Thursday</v>
      </c>
      <c r="P1547" t="b">
        <f t="shared" si="123"/>
        <v>0</v>
      </c>
      <c r="Q1547" t="str">
        <f t="shared" si="124"/>
        <v>January</v>
      </c>
    </row>
    <row r="1548" spans="1:17" x14ac:dyDescent="0.4">
      <c r="A1548" t="s">
        <v>1929</v>
      </c>
      <c r="B1548" s="1">
        <v>45621</v>
      </c>
      <c r="C1548" t="s">
        <v>95</v>
      </c>
      <c r="D1548" t="s">
        <v>14</v>
      </c>
      <c r="E1548" t="s">
        <v>63</v>
      </c>
      <c r="F1548" t="s">
        <v>23</v>
      </c>
      <c r="G1548">
        <v>4</v>
      </c>
      <c r="H1548">
        <v>2343.7800000000002</v>
      </c>
      <c r="I1548">
        <v>0</v>
      </c>
      <c r="J1548">
        <v>1442.8</v>
      </c>
      <c r="K1548" t="s">
        <v>17</v>
      </c>
      <c r="L1548" t="s">
        <v>18</v>
      </c>
      <c r="M1548">
        <f t="shared" si="120"/>
        <v>9375.1200000000008</v>
      </c>
      <c r="N1548">
        <f t="shared" si="121"/>
        <v>3603.920000000001</v>
      </c>
      <c r="O1548" t="str">
        <f t="shared" si="122"/>
        <v>Monday</v>
      </c>
      <c r="P1548" t="b">
        <f t="shared" si="123"/>
        <v>0</v>
      </c>
      <c r="Q1548" t="str">
        <f t="shared" si="124"/>
        <v>November</v>
      </c>
    </row>
    <row r="1549" spans="1:17" x14ac:dyDescent="0.4">
      <c r="A1549" t="s">
        <v>1930</v>
      </c>
      <c r="B1549" s="1">
        <v>45715</v>
      </c>
      <c r="C1549" t="s">
        <v>89</v>
      </c>
      <c r="D1549" t="s">
        <v>31</v>
      </c>
      <c r="E1549" t="s">
        <v>874</v>
      </c>
      <c r="F1549" t="s">
        <v>28</v>
      </c>
      <c r="G1549">
        <v>4</v>
      </c>
      <c r="H1549">
        <v>2667.24</v>
      </c>
      <c r="I1549">
        <v>5</v>
      </c>
      <c r="J1549">
        <v>1759.78</v>
      </c>
      <c r="K1549" t="s">
        <v>17</v>
      </c>
      <c r="L1549" t="s">
        <v>18</v>
      </c>
      <c r="M1549">
        <f t="shared" si="120"/>
        <v>10135.511999999999</v>
      </c>
      <c r="N1549">
        <f t="shared" si="121"/>
        <v>3096.3919999999989</v>
      </c>
      <c r="O1549" t="str">
        <f t="shared" si="122"/>
        <v>Thursday</v>
      </c>
      <c r="P1549" t="b">
        <f t="shared" si="123"/>
        <v>0</v>
      </c>
      <c r="Q1549" t="str">
        <f t="shared" si="124"/>
        <v>February</v>
      </c>
    </row>
    <row r="1550" spans="1:17" x14ac:dyDescent="0.4">
      <c r="A1550" t="s">
        <v>1931</v>
      </c>
      <c r="B1550" s="1">
        <v>45633</v>
      </c>
      <c r="C1550" t="s">
        <v>463</v>
      </c>
      <c r="D1550" t="s">
        <v>31</v>
      </c>
      <c r="E1550" t="s">
        <v>680</v>
      </c>
      <c r="F1550" t="s">
        <v>28</v>
      </c>
      <c r="G1550">
        <v>2</v>
      </c>
      <c r="H1550">
        <v>848.4</v>
      </c>
      <c r="I1550">
        <v>10</v>
      </c>
      <c r="J1550">
        <v>580.66999999999996</v>
      </c>
      <c r="K1550" t="s">
        <v>17</v>
      </c>
      <c r="L1550" t="s">
        <v>18</v>
      </c>
      <c r="M1550">
        <f t="shared" si="120"/>
        <v>1527.12</v>
      </c>
      <c r="N1550">
        <f t="shared" si="121"/>
        <v>365.78</v>
      </c>
      <c r="O1550" t="str">
        <f t="shared" si="122"/>
        <v>Saturday</v>
      </c>
      <c r="P1550" t="b">
        <f t="shared" si="123"/>
        <v>1</v>
      </c>
      <c r="Q1550" t="str">
        <f t="shared" si="124"/>
        <v>December</v>
      </c>
    </row>
    <row r="1551" spans="1:17" x14ac:dyDescent="0.4">
      <c r="A1551" t="s">
        <v>1932</v>
      </c>
      <c r="B1551" s="1">
        <v>45508</v>
      </c>
      <c r="C1551" t="s">
        <v>51</v>
      </c>
      <c r="D1551" t="s">
        <v>31</v>
      </c>
      <c r="E1551" t="s">
        <v>361</v>
      </c>
      <c r="F1551" t="s">
        <v>16</v>
      </c>
      <c r="G1551">
        <v>3</v>
      </c>
      <c r="H1551">
        <v>2310.09</v>
      </c>
      <c r="I1551">
        <v>25</v>
      </c>
      <c r="J1551">
        <v>1575.05</v>
      </c>
      <c r="K1551" t="s">
        <v>17</v>
      </c>
      <c r="L1551" t="s">
        <v>18</v>
      </c>
      <c r="M1551">
        <f t="shared" si="120"/>
        <v>5197.7025000000003</v>
      </c>
      <c r="N1551">
        <f t="shared" si="121"/>
        <v>472.55250000000069</v>
      </c>
      <c r="O1551" t="str">
        <f t="shared" si="122"/>
        <v>Sunday</v>
      </c>
      <c r="P1551" t="b">
        <f t="shared" si="123"/>
        <v>1</v>
      </c>
      <c r="Q1551" t="str">
        <f t="shared" si="124"/>
        <v>August</v>
      </c>
    </row>
    <row r="1552" spans="1:17" x14ac:dyDescent="0.4">
      <c r="A1552" t="s">
        <v>1933</v>
      </c>
      <c r="B1552" s="1">
        <v>45661</v>
      </c>
      <c r="C1552" t="s">
        <v>457</v>
      </c>
      <c r="D1552" t="s">
        <v>31</v>
      </c>
      <c r="E1552" t="s">
        <v>658</v>
      </c>
      <c r="F1552" t="s">
        <v>23</v>
      </c>
      <c r="G1552">
        <v>5</v>
      </c>
      <c r="H1552">
        <v>675.51</v>
      </c>
      <c r="I1552">
        <v>20</v>
      </c>
      <c r="J1552">
        <v>342.41</v>
      </c>
      <c r="K1552" t="s">
        <v>17</v>
      </c>
      <c r="L1552" t="s">
        <v>37</v>
      </c>
      <c r="M1552">
        <f t="shared" si="120"/>
        <v>2702.0400000000004</v>
      </c>
      <c r="N1552">
        <f t="shared" si="121"/>
        <v>989.99000000000024</v>
      </c>
      <c r="O1552" t="str">
        <f t="shared" si="122"/>
        <v>Saturday</v>
      </c>
      <c r="P1552" t="b">
        <f t="shared" si="123"/>
        <v>1</v>
      </c>
      <c r="Q1552" t="str">
        <f t="shared" si="124"/>
        <v>January</v>
      </c>
    </row>
    <row r="1553" spans="1:17" x14ac:dyDescent="0.4">
      <c r="A1553" t="s">
        <v>1934</v>
      </c>
      <c r="B1553" s="1">
        <v>45619</v>
      </c>
      <c r="C1553" t="s">
        <v>309</v>
      </c>
      <c r="D1553" t="s">
        <v>46</v>
      </c>
      <c r="E1553" t="s">
        <v>117</v>
      </c>
      <c r="F1553" t="s">
        <v>28</v>
      </c>
      <c r="G1553">
        <v>3</v>
      </c>
      <c r="H1553">
        <v>364.22</v>
      </c>
      <c r="I1553">
        <v>5</v>
      </c>
      <c r="J1553">
        <v>151.55000000000001</v>
      </c>
      <c r="K1553" t="s">
        <v>24</v>
      </c>
      <c r="L1553" t="s">
        <v>18</v>
      </c>
      <c r="M1553">
        <f t="shared" si="120"/>
        <v>1038.027</v>
      </c>
      <c r="N1553">
        <f t="shared" si="121"/>
        <v>583.37699999999995</v>
      </c>
      <c r="O1553" t="str">
        <f t="shared" si="122"/>
        <v>Saturday</v>
      </c>
      <c r="P1553" t="b">
        <f t="shared" si="123"/>
        <v>1</v>
      </c>
      <c r="Q1553" t="str">
        <f t="shared" si="124"/>
        <v>November</v>
      </c>
    </row>
    <row r="1554" spans="1:17" x14ac:dyDescent="0.4">
      <c r="A1554" t="s">
        <v>1935</v>
      </c>
      <c r="B1554" s="1">
        <v>45341</v>
      </c>
      <c r="C1554" t="s">
        <v>109</v>
      </c>
      <c r="D1554" t="s">
        <v>46</v>
      </c>
      <c r="E1554" t="s">
        <v>973</v>
      </c>
      <c r="F1554" t="s">
        <v>23</v>
      </c>
      <c r="G1554">
        <v>5</v>
      </c>
      <c r="H1554">
        <v>1723.76</v>
      </c>
      <c r="I1554">
        <v>25</v>
      </c>
      <c r="J1554">
        <v>1070.6099999999999</v>
      </c>
      <c r="K1554" t="s">
        <v>24</v>
      </c>
      <c r="L1554" t="s">
        <v>37</v>
      </c>
      <c r="M1554">
        <f t="shared" si="120"/>
        <v>6464.0999999999995</v>
      </c>
      <c r="N1554">
        <f t="shared" si="121"/>
        <v>1111.0500000000002</v>
      </c>
      <c r="O1554" t="str">
        <f t="shared" si="122"/>
        <v>Monday</v>
      </c>
      <c r="P1554" t="b">
        <f t="shared" si="123"/>
        <v>0</v>
      </c>
      <c r="Q1554" t="str">
        <f t="shared" si="124"/>
        <v>February</v>
      </c>
    </row>
    <row r="1555" spans="1:17" x14ac:dyDescent="0.4">
      <c r="A1555" t="s">
        <v>1936</v>
      </c>
      <c r="B1555" s="1">
        <v>45437</v>
      </c>
      <c r="C1555" t="s">
        <v>278</v>
      </c>
      <c r="D1555" t="s">
        <v>14</v>
      </c>
      <c r="E1555" t="s">
        <v>1055</v>
      </c>
      <c r="F1555" t="s">
        <v>28</v>
      </c>
      <c r="G1555">
        <v>5</v>
      </c>
      <c r="H1555">
        <v>2406.2600000000002</v>
      </c>
      <c r="I1555">
        <v>20</v>
      </c>
      <c r="J1555">
        <v>1122.79</v>
      </c>
      <c r="K1555" t="s">
        <v>17</v>
      </c>
      <c r="L1555" t="s">
        <v>18</v>
      </c>
      <c r="M1555">
        <f t="shared" si="120"/>
        <v>9625.0400000000009</v>
      </c>
      <c r="N1555">
        <f t="shared" si="121"/>
        <v>4011.0900000000011</v>
      </c>
      <c r="O1555" t="str">
        <f t="shared" si="122"/>
        <v>Saturday</v>
      </c>
      <c r="P1555" t="b">
        <f t="shared" si="123"/>
        <v>1</v>
      </c>
      <c r="Q1555" t="str">
        <f t="shared" si="124"/>
        <v>May</v>
      </c>
    </row>
    <row r="1556" spans="1:17" x14ac:dyDescent="0.4">
      <c r="A1556" t="s">
        <v>1937</v>
      </c>
      <c r="B1556" s="1">
        <v>45340</v>
      </c>
      <c r="C1556" t="s">
        <v>185</v>
      </c>
      <c r="D1556" t="s">
        <v>46</v>
      </c>
      <c r="E1556" t="s">
        <v>150</v>
      </c>
      <c r="F1556" t="s">
        <v>23</v>
      </c>
      <c r="G1556">
        <v>5</v>
      </c>
      <c r="H1556">
        <v>1897.17</v>
      </c>
      <c r="I1556">
        <v>30</v>
      </c>
      <c r="J1556">
        <v>1005.28</v>
      </c>
      <c r="K1556" t="s">
        <v>17</v>
      </c>
      <c r="L1556" t="s">
        <v>37</v>
      </c>
      <c r="M1556">
        <f t="shared" si="120"/>
        <v>6640.0950000000003</v>
      </c>
      <c r="N1556">
        <f t="shared" si="121"/>
        <v>1613.6950000000006</v>
      </c>
      <c r="O1556" t="str">
        <f t="shared" si="122"/>
        <v>Sunday</v>
      </c>
      <c r="P1556" t="b">
        <f t="shared" si="123"/>
        <v>1</v>
      </c>
      <c r="Q1556" t="str">
        <f t="shared" si="124"/>
        <v>February</v>
      </c>
    </row>
    <row r="1557" spans="1:17" x14ac:dyDescent="0.4">
      <c r="A1557" t="s">
        <v>1938</v>
      </c>
      <c r="B1557" s="1">
        <v>45636</v>
      </c>
      <c r="C1557" t="s">
        <v>68</v>
      </c>
      <c r="D1557" t="s">
        <v>46</v>
      </c>
      <c r="E1557" t="s">
        <v>186</v>
      </c>
      <c r="F1557" t="s">
        <v>23</v>
      </c>
      <c r="G1557">
        <v>3</v>
      </c>
      <c r="H1557">
        <v>949.67</v>
      </c>
      <c r="I1557">
        <v>20</v>
      </c>
      <c r="J1557">
        <v>599.76</v>
      </c>
      <c r="K1557" t="s">
        <v>24</v>
      </c>
      <c r="L1557" t="s">
        <v>33</v>
      </c>
      <c r="M1557">
        <f t="shared" si="120"/>
        <v>2279.2080000000001</v>
      </c>
      <c r="N1557">
        <f t="shared" si="121"/>
        <v>479.92800000000011</v>
      </c>
      <c r="O1557" t="str">
        <f t="shared" si="122"/>
        <v>Tuesday</v>
      </c>
      <c r="P1557" t="b">
        <f t="shared" si="123"/>
        <v>0</v>
      </c>
      <c r="Q1557" t="str">
        <f t="shared" si="124"/>
        <v>December</v>
      </c>
    </row>
    <row r="1558" spans="1:17" x14ac:dyDescent="0.4">
      <c r="A1558" t="s">
        <v>1939</v>
      </c>
      <c r="B1558" s="1">
        <v>45920</v>
      </c>
      <c r="C1558" t="s">
        <v>179</v>
      </c>
      <c r="D1558" t="s">
        <v>46</v>
      </c>
      <c r="E1558" t="s">
        <v>274</v>
      </c>
      <c r="F1558" t="s">
        <v>28</v>
      </c>
      <c r="G1558">
        <v>3</v>
      </c>
      <c r="H1558">
        <v>2435.96</v>
      </c>
      <c r="I1558">
        <v>10</v>
      </c>
      <c r="J1558">
        <v>1407.07</v>
      </c>
      <c r="K1558" t="s">
        <v>24</v>
      </c>
      <c r="L1558" t="s">
        <v>37</v>
      </c>
      <c r="M1558">
        <f t="shared" si="120"/>
        <v>6577.0920000000006</v>
      </c>
      <c r="N1558">
        <f t="shared" si="121"/>
        <v>2355.8820000000005</v>
      </c>
      <c r="O1558" t="str">
        <f t="shared" si="122"/>
        <v>Saturday</v>
      </c>
      <c r="P1558" t="b">
        <f t="shared" si="123"/>
        <v>1</v>
      </c>
      <c r="Q1558" t="str">
        <f t="shared" si="124"/>
        <v>September</v>
      </c>
    </row>
    <row r="1559" spans="1:17" x14ac:dyDescent="0.4">
      <c r="A1559" t="s">
        <v>1940</v>
      </c>
      <c r="B1559" s="1">
        <v>45599</v>
      </c>
      <c r="C1559" t="s">
        <v>182</v>
      </c>
      <c r="D1559" t="s">
        <v>21</v>
      </c>
      <c r="E1559" t="s">
        <v>464</v>
      </c>
      <c r="F1559" t="s">
        <v>28</v>
      </c>
      <c r="G1559">
        <v>1</v>
      </c>
      <c r="H1559">
        <v>317.12</v>
      </c>
      <c r="I1559">
        <v>20</v>
      </c>
      <c r="J1559">
        <v>176.97</v>
      </c>
      <c r="K1559" t="s">
        <v>24</v>
      </c>
      <c r="L1559" t="s">
        <v>33</v>
      </c>
      <c r="M1559">
        <f t="shared" si="120"/>
        <v>253.69600000000003</v>
      </c>
      <c r="N1559">
        <f t="shared" si="121"/>
        <v>76.726000000000028</v>
      </c>
      <c r="O1559" t="str">
        <f t="shared" si="122"/>
        <v>Sunday</v>
      </c>
      <c r="P1559" t="b">
        <f t="shared" si="123"/>
        <v>1</v>
      </c>
      <c r="Q1559" t="str">
        <f t="shared" si="124"/>
        <v>November</v>
      </c>
    </row>
    <row r="1560" spans="1:17" x14ac:dyDescent="0.4">
      <c r="A1560" t="s">
        <v>1941</v>
      </c>
      <c r="B1560" s="1">
        <v>45758</v>
      </c>
      <c r="C1560" t="s">
        <v>224</v>
      </c>
      <c r="D1560" t="s">
        <v>46</v>
      </c>
      <c r="E1560" t="s">
        <v>206</v>
      </c>
      <c r="F1560" t="s">
        <v>16</v>
      </c>
      <c r="G1560">
        <v>1</v>
      </c>
      <c r="H1560">
        <v>649.04</v>
      </c>
      <c r="I1560">
        <v>30</v>
      </c>
      <c r="J1560">
        <v>399.12</v>
      </c>
      <c r="K1560" t="s">
        <v>17</v>
      </c>
      <c r="L1560" t="s">
        <v>18</v>
      </c>
      <c r="M1560">
        <f t="shared" si="120"/>
        <v>454.32799999999992</v>
      </c>
      <c r="N1560">
        <f t="shared" si="121"/>
        <v>55.207999999999913</v>
      </c>
      <c r="O1560" t="str">
        <f t="shared" si="122"/>
        <v>Friday</v>
      </c>
      <c r="P1560" t="b">
        <f t="shared" si="123"/>
        <v>0</v>
      </c>
      <c r="Q1560" t="str">
        <f t="shared" si="124"/>
        <v>April</v>
      </c>
    </row>
    <row r="1561" spans="1:17" x14ac:dyDescent="0.4">
      <c r="A1561" t="s">
        <v>1942</v>
      </c>
      <c r="B1561" s="1">
        <v>45874</v>
      </c>
      <c r="C1561" t="s">
        <v>62</v>
      </c>
      <c r="D1561" t="s">
        <v>14</v>
      </c>
      <c r="E1561" t="s">
        <v>1037</v>
      </c>
      <c r="F1561" t="s">
        <v>16</v>
      </c>
      <c r="G1561">
        <v>2</v>
      </c>
      <c r="H1561">
        <v>2357.27</v>
      </c>
      <c r="I1561">
        <v>20</v>
      </c>
      <c r="J1561">
        <v>1179.53</v>
      </c>
      <c r="K1561" t="s">
        <v>17</v>
      </c>
      <c r="L1561" t="s">
        <v>37</v>
      </c>
      <c r="M1561">
        <f t="shared" si="120"/>
        <v>3771.6320000000001</v>
      </c>
      <c r="N1561">
        <f t="shared" si="121"/>
        <v>1412.5720000000001</v>
      </c>
      <c r="O1561" t="str">
        <f t="shared" si="122"/>
        <v>Tuesday</v>
      </c>
      <c r="P1561" t="b">
        <f t="shared" si="123"/>
        <v>0</v>
      </c>
      <c r="Q1561" t="str">
        <f t="shared" si="124"/>
        <v>August</v>
      </c>
    </row>
    <row r="1562" spans="1:17" x14ac:dyDescent="0.4">
      <c r="A1562" t="s">
        <v>1943</v>
      </c>
      <c r="B1562" s="1">
        <v>45344</v>
      </c>
      <c r="C1562" t="s">
        <v>179</v>
      </c>
      <c r="D1562" t="s">
        <v>46</v>
      </c>
      <c r="E1562" t="s">
        <v>177</v>
      </c>
      <c r="F1562" t="s">
        <v>23</v>
      </c>
      <c r="G1562">
        <v>4</v>
      </c>
      <c r="H1562">
        <v>904.61</v>
      </c>
      <c r="I1562">
        <v>5</v>
      </c>
      <c r="J1562">
        <v>519.32000000000005</v>
      </c>
      <c r="K1562" t="s">
        <v>24</v>
      </c>
      <c r="L1562" t="s">
        <v>33</v>
      </c>
      <c r="M1562">
        <f t="shared" si="120"/>
        <v>3437.518</v>
      </c>
      <c r="N1562">
        <f t="shared" si="121"/>
        <v>1360.2379999999998</v>
      </c>
      <c r="O1562" t="str">
        <f t="shared" si="122"/>
        <v>Thursday</v>
      </c>
      <c r="P1562" t="b">
        <f t="shared" si="123"/>
        <v>0</v>
      </c>
      <c r="Q1562" t="str">
        <f t="shared" si="124"/>
        <v>February</v>
      </c>
    </row>
    <row r="1563" spans="1:17" x14ac:dyDescent="0.4">
      <c r="A1563" t="s">
        <v>1944</v>
      </c>
      <c r="B1563" s="1">
        <v>45347</v>
      </c>
      <c r="C1563" t="s">
        <v>68</v>
      </c>
      <c r="D1563" t="s">
        <v>46</v>
      </c>
      <c r="E1563" t="s">
        <v>69</v>
      </c>
      <c r="F1563" t="s">
        <v>16</v>
      </c>
      <c r="G1563">
        <v>5</v>
      </c>
      <c r="H1563">
        <v>1539.01</v>
      </c>
      <c r="I1563">
        <v>30</v>
      </c>
      <c r="J1563">
        <v>804.13</v>
      </c>
      <c r="K1563" t="s">
        <v>17</v>
      </c>
      <c r="L1563" t="s">
        <v>37</v>
      </c>
      <c r="M1563">
        <f t="shared" si="120"/>
        <v>5386.5349999999999</v>
      </c>
      <c r="N1563">
        <f t="shared" si="121"/>
        <v>1365.8849999999998</v>
      </c>
      <c r="O1563" t="str">
        <f t="shared" si="122"/>
        <v>Sunday</v>
      </c>
      <c r="P1563" t="b">
        <f t="shared" si="123"/>
        <v>1</v>
      </c>
      <c r="Q1563" t="str">
        <f t="shared" si="124"/>
        <v>February</v>
      </c>
    </row>
    <row r="1564" spans="1:17" x14ac:dyDescent="0.4">
      <c r="A1564" t="s">
        <v>1945</v>
      </c>
      <c r="B1564" s="1">
        <v>45807</v>
      </c>
      <c r="C1564" t="s">
        <v>114</v>
      </c>
      <c r="D1564" t="s">
        <v>21</v>
      </c>
      <c r="E1564" t="s">
        <v>690</v>
      </c>
      <c r="F1564" t="s">
        <v>23</v>
      </c>
      <c r="G1564">
        <v>4</v>
      </c>
      <c r="H1564">
        <v>838.18</v>
      </c>
      <c r="I1564">
        <v>20</v>
      </c>
      <c r="J1564">
        <v>502.2</v>
      </c>
      <c r="K1564" t="s">
        <v>24</v>
      </c>
      <c r="L1564" t="s">
        <v>18</v>
      </c>
      <c r="M1564">
        <f t="shared" si="120"/>
        <v>2682.1759999999999</v>
      </c>
      <c r="N1564">
        <f t="shared" si="121"/>
        <v>673.37599999999998</v>
      </c>
      <c r="O1564" t="str">
        <f t="shared" si="122"/>
        <v>Friday</v>
      </c>
      <c r="P1564" t="b">
        <f t="shared" si="123"/>
        <v>0</v>
      </c>
      <c r="Q1564" t="str">
        <f t="shared" si="124"/>
        <v>May</v>
      </c>
    </row>
    <row r="1565" spans="1:17" x14ac:dyDescent="0.4">
      <c r="A1565" t="s">
        <v>1946</v>
      </c>
      <c r="B1565" s="1">
        <v>45633</v>
      </c>
      <c r="C1565" t="s">
        <v>95</v>
      </c>
      <c r="D1565" t="s">
        <v>31</v>
      </c>
      <c r="E1565" t="s">
        <v>1118</v>
      </c>
      <c r="F1565" t="s">
        <v>28</v>
      </c>
      <c r="G1565">
        <v>5</v>
      </c>
      <c r="H1565">
        <v>2609.0500000000002</v>
      </c>
      <c r="I1565">
        <v>0</v>
      </c>
      <c r="J1565">
        <v>1712.11</v>
      </c>
      <c r="K1565" t="s">
        <v>24</v>
      </c>
      <c r="L1565" t="s">
        <v>33</v>
      </c>
      <c r="M1565">
        <f t="shared" si="120"/>
        <v>13045.25</v>
      </c>
      <c r="N1565">
        <f t="shared" si="121"/>
        <v>4484.7000000000007</v>
      </c>
      <c r="O1565" t="str">
        <f t="shared" si="122"/>
        <v>Saturday</v>
      </c>
      <c r="P1565" t="b">
        <f t="shared" si="123"/>
        <v>1</v>
      </c>
      <c r="Q1565" t="str">
        <f t="shared" si="124"/>
        <v>December</v>
      </c>
    </row>
    <row r="1566" spans="1:17" x14ac:dyDescent="0.4">
      <c r="A1566" t="s">
        <v>1947</v>
      </c>
      <c r="B1566" s="1">
        <v>45579</v>
      </c>
      <c r="C1566" t="s">
        <v>114</v>
      </c>
      <c r="D1566" t="s">
        <v>21</v>
      </c>
      <c r="E1566" t="s">
        <v>414</v>
      </c>
      <c r="F1566" t="s">
        <v>23</v>
      </c>
      <c r="G1566">
        <v>1</v>
      </c>
      <c r="H1566">
        <v>420.08</v>
      </c>
      <c r="I1566">
        <v>30</v>
      </c>
      <c r="J1566">
        <v>248.09</v>
      </c>
      <c r="K1566" t="s">
        <v>24</v>
      </c>
      <c r="L1566" t="s">
        <v>18</v>
      </c>
      <c r="M1566">
        <f t="shared" si="120"/>
        <v>294.05599999999998</v>
      </c>
      <c r="N1566">
        <f t="shared" si="121"/>
        <v>45.96599999999998</v>
      </c>
      <c r="O1566" t="str">
        <f t="shared" si="122"/>
        <v>Monday</v>
      </c>
      <c r="P1566" t="b">
        <f t="shared" si="123"/>
        <v>0</v>
      </c>
      <c r="Q1566" t="str">
        <f t="shared" si="124"/>
        <v>October</v>
      </c>
    </row>
    <row r="1567" spans="1:17" x14ac:dyDescent="0.4">
      <c r="A1567" t="s">
        <v>1948</v>
      </c>
      <c r="B1567" s="1">
        <v>45418</v>
      </c>
      <c r="C1567" t="s">
        <v>171</v>
      </c>
      <c r="D1567" t="s">
        <v>21</v>
      </c>
      <c r="E1567" t="s">
        <v>235</v>
      </c>
      <c r="F1567" t="s">
        <v>23</v>
      </c>
      <c r="G1567">
        <v>2</v>
      </c>
      <c r="H1567">
        <v>1077.82</v>
      </c>
      <c r="I1567">
        <v>0</v>
      </c>
      <c r="J1567">
        <v>454.33</v>
      </c>
      <c r="K1567" t="s">
        <v>17</v>
      </c>
      <c r="L1567" t="s">
        <v>37</v>
      </c>
      <c r="M1567">
        <f t="shared" si="120"/>
        <v>2155.64</v>
      </c>
      <c r="N1567">
        <f t="shared" si="121"/>
        <v>1246.98</v>
      </c>
      <c r="O1567" t="str">
        <f t="shared" si="122"/>
        <v>Monday</v>
      </c>
      <c r="P1567" t="b">
        <f t="shared" si="123"/>
        <v>0</v>
      </c>
      <c r="Q1567" t="str">
        <f t="shared" si="124"/>
        <v>May</v>
      </c>
    </row>
    <row r="1568" spans="1:17" x14ac:dyDescent="0.4">
      <c r="A1568" t="s">
        <v>1949</v>
      </c>
      <c r="B1568" s="1">
        <v>45964</v>
      </c>
      <c r="C1568" t="s">
        <v>190</v>
      </c>
      <c r="D1568" t="s">
        <v>31</v>
      </c>
      <c r="E1568" t="s">
        <v>206</v>
      </c>
      <c r="F1568" t="s">
        <v>23</v>
      </c>
      <c r="G1568">
        <v>1</v>
      </c>
      <c r="H1568">
        <v>1117.02</v>
      </c>
      <c r="I1568">
        <v>5</v>
      </c>
      <c r="J1568">
        <v>732.99</v>
      </c>
      <c r="K1568" t="s">
        <v>17</v>
      </c>
      <c r="L1568" t="s">
        <v>18</v>
      </c>
      <c r="M1568">
        <f t="shared" si="120"/>
        <v>1061.1689999999999</v>
      </c>
      <c r="N1568">
        <f t="shared" si="121"/>
        <v>328.17899999999986</v>
      </c>
      <c r="O1568" t="str">
        <f t="shared" si="122"/>
        <v>Monday</v>
      </c>
      <c r="P1568" t="b">
        <f t="shared" si="123"/>
        <v>0</v>
      </c>
      <c r="Q1568" t="str">
        <f t="shared" si="124"/>
        <v>November</v>
      </c>
    </row>
    <row r="1569" spans="1:17" x14ac:dyDescent="0.4">
      <c r="A1569" t="s">
        <v>1950</v>
      </c>
      <c r="B1569" s="1">
        <v>45792</v>
      </c>
      <c r="C1569" t="s">
        <v>159</v>
      </c>
      <c r="D1569" t="s">
        <v>46</v>
      </c>
      <c r="E1569" t="s">
        <v>354</v>
      </c>
      <c r="F1569" t="s">
        <v>28</v>
      </c>
      <c r="G1569">
        <v>5</v>
      </c>
      <c r="H1569">
        <v>2489.64</v>
      </c>
      <c r="I1569">
        <v>20</v>
      </c>
      <c r="J1569">
        <v>1552.3</v>
      </c>
      <c r="K1569" t="s">
        <v>24</v>
      </c>
      <c r="L1569" t="s">
        <v>18</v>
      </c>
      <c r="M1569">
        <f t="shared" si="120"/>
        <v>9958.56</v>
      </c>
      <c r="N1569">
        <f t="shared" si="121"/>
        <v>2197.0599999999995</v>
      </c>
      <c r="O1569" t="str">
        <f t="shared" si="122"/>
        <v>Thursday</v>
      </c>
      <c r="P1569" t="b">
        <f t="shared" si="123"/>
        <v>0</v>
      </c>
      <c r="Q1569" t="str">
        <f t="shared" si="124"/>
        <v>May</v>
      </c>
    </row>
    <row r="1570" spans="1:17" x14ac:dyDescent="0.4">
      <c r="A1570" t="s">
        <v>1951</v>
      </c>
      <c r="B1570" s="1">
        <v>45939</v>
      </c>
      <c r="C1570" t="s">
        <v>146</v>
      </c>
      <c r="D1570" t="s">
        <v>46</v>
      </c>
      <c r="E1570" t="s">
        <v>289</v>
      </c>
      <c r="F1570" t="s">
        <v>28</v>
      </c>
      <c r="G1570">
        <v>4</v>
      </c>
      <c r="H1570">
        <v>2327.04</v>
      </c>
      <c r="I1570">
        <v>5</v>
      </c>
      <c r="J1570">
        <v>1444.01</v>
      </c>
      <c r="K1570" t="s">
        <v>24</v>
      </c>
      <c r="L1570" t="s">
        <v>18</v>
      </c>
      <c r="M1570">
        <f t="shared" si="120"/>
        <v>8842.7519999999986</v>
      </c>
      <c r="N1570">
        <f t="shared" si="121"/>
        <v>3066.7119999999986</v>
      </c>
      <c r="O1570" t="str">
        <f t="shared" si="122"/>
        <v>Thursday</v>
      </c>
      <c r="P1570" t="b">
        <f t="shared" si="123"/>
        <v>0</v>
      </c>
      <c r="Q1570" t="str">
        <f t="shared" si="124"/>
        <v>October</v>
      </c>
    </row>
    <row r="1571" spans="1:17" x14ac:dyDescent="0.4">
      <c r="A1571" t="s">
        <v>1952</v>
      </c>
      <c r="B1571" s="1">
        <v>45704</v>
      </c>
      <c r="C1571" t="s">
        <v>122</v>
      </c>
      <c r="D1571" t="s">
        <v>46</v>
      </c>
      <c r="E1571" t="s">
        <v>542</v>
      </c>
      <c r="F1571" t="s">
        <v>16</v>
      </c>
      <c r="G1571">
        <v>1</v>
      </c>
      <c r="H1571">
        <v>1657.83</v>
      </c>
      <c r="I1571">
        <v>30</v>
      </c>
      <c r="J1571">
        <v>781.56</v>
      </c>
      <c r="K1571" t="s">
        <v>17</v>
      </c>
      <c r="L1571" t="s">
        <v>37</v>
      </c>
      <c r="M1571">
        <f t="shared" si="120"/>
        <v>1160.4809999999998</v>
      </c>
      <c r="N1571">
        <f t="shared" si="121"/>
        <v>378.92099999999982</v>
      </c>
      <c r="O1571" t="str">
        <f t="shared" si="122"/>
        <v>Sunday</v>
      </c>
      <c r="P1571" t="b">
        <f t="shared" si="123"/>
        <v>1</v>
      </c>
      <c r="Q1571" t="str">
        <f t="shared" si="124"/>
        <v>February</v>
      </c>
    </row>
    <row r="1572" spans="1:17" x14ac:dyDescent="0.4">
      <c r="A1572" t="s">
        <v>1953</v>
      </c>
      <c r="B1572" s="1">
        <v>45550</v>
      </c>
      <c r="C1572" t="s">
        <v>139</v>
      </c>
      <c r="D1572" t="s">
        <v>14</v>
      </c>
      <c r="E1572" t="s">
        <v>627</v>
      </c>
      <c r="F1572" t="s">
        <v>23</v>
      </c>
      <c r="G1572">
        <v>4</v>
      </c>
      <c r="H1572">
        <v>2386.71</v>
      </c>
      <c r="I1572">
        <v>5</v>
      </c>
      <c r="J1572">
        <v>1261.28</v>
      </c>
      <c r="K1572" t="s">
        <v>17</v>
      </c>
      <c r="L1572" t="s">
        <v>33</v>
      </c>
      <c r="M1572">
        <f t="shared" si="120"/>
        <v>9069.4979999999996</v>
      </c>
      <c r="N1572">
        <f t="shared" si="121"/>
        <v>4024.3779999999997</v>
      </c>
      <c r="O1572" t="str">
        <f t="shared" si="122"/>
        <v>Sunday</v>
      </c>
      <c r="P1572" t="b">
        <f t="shared" si="123"/>
        <v>1</v>
      </c>
      <c r="Q1572" t="str">
        <f t="shared" si="124"/>
        <v>September</v>
      </c>
    </row>
    <row r="1573" spans="1:17" x14ac:dyDescent="0.4">
      <c r="A1573" t="s">
        <v>1954</v>
      </c>
      <c r="B1573" s="1">
        <v>45881</v>
      </c>
      <c r="C1573" t="s">
        <v>149</v>
      </c>
      <c r="D1573" t="s">
        <v>21</v>
      </c>
      <c r="E1573" t="s">
        <v>512</v>
      </c>
      <c r="F1573" t="s">
        <v>28</v>
      </c>
      <c r="G1573">
        <v>2</v>
      </c>
      <c r="H1573">
        <v>2041.78</v>
      </c>
      <c r="I1573">
        <v>25</v>
      </c>
      <c r="J1573">
        <v>842.09</v>
      </c>
      <c r="K1573" t="s">
        <v>17</v>
      </c>
      <c r="L1573" t="s">
        <v>33</v>
      </c>
      <c r="M1573">
        <f t="shared" si="120"/>
        <v>3062.67</v>
      </c>
      <c r="N1573">
        <f t="shared" si="121"/>
        <v>1378.49</v>
      </c>
      <c r="O1573" t="str">
        <f t="shared" si="122"/>
        <v>Tuesday</v>
      </c>
      <c r="P1573" t="b">
        <f t="shared" si="123"/>
        <v>0</v>
      </c>
      <c r="Q1573" t="str">
        <f t="shared" si="124"/>
        <v>August</v>
      </c>
    </row>
    <row r="1574" spans="1:17" x14ac:dyDescent="0.4">
      <c r="A1574" t="s">
        <v>1955</v>
      </c>
      <c r="B1574" s="1">
        <v>45309</v>
      </c>
      <c r="C1574" t="s">
        <v>144</v>
      </c>
      <c r="D1574" t="s">
        <v>46</v>
      </c>
      <c r="E1574" t="s">
        <v>392</v>
      </c>
      <c r="F1574" t="s">
        <v>28</v>
      </c>
      <c r="G1574">
        <v>4</v>
      </c>
      <c r="H1574">
        <v>2265.38</v>
      </c>
      <c r="I1574">
        <v>5</v>
      </c>
      <c r="J1574">
        <v>1283.57</v>
      </c>
      <c r="K1574" t="s">
        <v>24</v>
      </c>
      <c r="L1574" t="s">
        <v>18</v>
      </c>
      <c r="M1574">
        <f t="shared" si="120"/>
        <v>8608.4439999999995</v>
      </c>
      <c r="N1574">
        <f t="shared" si="121"/>
        <v>3474.1639999999998</v>
      </c>
      <c r="O1574" t="str">
        <f t="shared" si="122"/>
        <v>Thursday</v>
      </c>
      <c r="P1574" t="b">
        <f t="shared" si="123"/>
        <v>0</v>
      </c>
      <c r="Q1574" t="str">
        <f t="shared" si="124"/>
        <v>January</v>
      </c>
    </row>
    <row r="1575" spans="1:17" x14ac:dyDescent="0.4">
      <c r="A1575" t="s">
        <v>1956</v>
      </c>
      <c r="B1575" s="1">
        <v>45841</v>
      </c>
      <c r="C1575" t="s">
        <v>86</v>
      </c>
      <c r="D1575" t="s">
        <v>21</v>
      </c>
      <c r="E1575" t="s">
        <v>853</v>
      </c>
      <c r="F1575" t="s">
        <v>16</v>
      </c>
      <c r="G1575">
        <v>1</v>
      </c>
      <c r="H1575">
        <v>2468.63</v>
      </c>
      <c r="I1575">
        <v>30</v>
      </c>
      <c r="J1575">
        <v>1086.7</v>
      </c>
      <c r="K1575" t="s">
        <v>17</v>
      </c>
      <c r="L1575" t="s">
        <v>33</v>
      </c>
      <c r="M1575">
        <f t="shared" si="120"/>
        <v>1728.0409999999999</v>
      </c>
      <c r="N1575">
        <f t="shared" si="121"/>
        <v>641.34099999999989</v>
      </c>
      <c r="O1575" t="str">
        <f t="shared" si="122"/>
        <v>Thursday</v>
      </c>
      <c r="P1575" t="b">
        <f t="shared" si="123"/>
        <v>0</v>
      </c>
      <c r="Q1575" t="str">
        <f t="shared" si="124"/>
        <v>July</v>
      </c>
    </row>
    <row r="1576" spans="1:17" x14ac:dyDescent="0.4">
      <c r="A1576" t="s">
        <v>1957</v>
      </c>
      <c r="B1576" s="1">
        <v>45764</v>
      </c>
      <c r="C1576" t="s">
        <v>286</v>
      </c>
      <c r="D1576" t="s">
        <v>31</v>
      </c>
      <c r="E1576" t="s">
        <v>75</v>
      </c>
      <c r="F1576" t="s">
        <v>16</v>
      </c>
      <c r="G1576">
        <v>5</v>
      </c>
      <c r="H1576">
        <v>1043.6400000000001</v>
      </c>
      <c r="I1576">
        <v>10</v>
      </c>
      <c r="J1576">
        <v>515.07000000000005</v>
      </c>
      <c r="K1576" t="s">
        <v>24</v>
      </c>
      <c r="L1576" t="s">
        <v>37</v>
      </c>
      <c r="M1576">
        <f t="shared" si="120"/>
        <v>4696.380000000001</v>
      </c>
      <c r="N1576">
        <f t="shared" si="121"/>
        <v>2121.0300000000007</v>
      </c>
      <c r="O1576" t="str">
        <f t="shared" si="122"/>
        <v>Thursday</v>
      </c>
      <c r="P1576" t="b">
        <f t="shared" si="123"/>
        <v>0</v>
      </c>
      <c r="Q1576" t="str">
        <f t="shared" si="124"/>
        <v>April</v>
      </c>
    </row>
    <row r="1577" spans="1:17" x14ac:dyDescent="0.4">
      <c r="A1577" t="s">
        <v>1958</v>
      </c>
      <c r="B1577" s="1">
        <v>45820</v>
      </c>
      <c r="C1577" t="s">
        <v>159</v>
      </c>
      <c r="D1577" t="s">
        <v>14</v>
      </c>
      <c r="E1577" t="s">
        <v>1397</v>
      </c>
      <c r="F1577" t="s">
        <v>23</v>
      </c>
      <c r="G1577">
        <v>1</v>
      </c>
      <c r="H1577">
        <v>2873.91</v>
      </c>
      <c r="I1577">
        <v>25</v>
      </c>
      <c r="J1577">
        <v>1791.85</v>
      </c>
      <c r="K1577" t="s">
        <v>17</v>
      </c>
      <c r="L1577" t="s">
        <v>37</v>
      </c>
      <c r="M1577">
        <f t="shared" si="120"/>
        <v>2155.4324999999999</v>
      </c>
      <c r="N1577">
        <f t="shared" si="121"/>
        <v>363.58249999999998</v>
      </c>
      <c r="O1577" t="str">
        <f t="shared" si="122"/>
        <v>Thursday</v>
      </c>
      <c r="P1577" t="b">
        <f t="shared" si="123"/>
        <v>0</v>
      </c>
      <c r="Q1577" t="str">
        <f t="shared" si="124"/>
        <v>June</v>
      </c>
    </row>
    <row r="1578" spans="1:17" x14ac:dyDescent="0.4">
      <c r="A1578" t="s">
        <v>1959</v>
      </c>
      <c r="B1578" s="1">
        <v>45883</v>
      </c>
      <c r="C1578" t="s">
        <v>42</v>
      </c>
      <c r="D1578" t="s">
        <v>14</v>
      </c>
      <c r="E1578" t="s">
        <v>936</v>
      </c>
      <c r="F1578" t="s">
        <v>16</v>
      </c>
      <c r="G1578">
        <v>4</v>
      </c>
      <c r="H1578">
        <v>1733.86</v>
      </c>
      <c r="I1578">
        <v>20</v>
      </c>
      <c r="J1578">
        <v>1043.5</v>
      </c>
      <c r="K1578" t="s">
        <v>17</v>
      </c>
      <c r="L1578" t="s">
        <v>37</v>
      </c>
      <c r="M1578">
        <f t="shared" si="120"/>
        <v>5548.3519999999999</v>
      </c>
      <c r="N1578">
        <f t="shared" si="121"/>
        <v>1374.3519999999999</v>
      </c>
      <c r="O1578" t="str">
        <f t="shared" si="122"/>
        <v>Thursday</v>
      </c>
      <c r="P1578" t="b">
        <f t="shared" si="123"/>
        <v>0</v>
      </c>
      <c r="Q1578" t="str">
        <f t="shared" si="124"/>
        <v>August</v>
      </c>
    </row>
    <row r="1579" spans="1:17" x14ac:dyDescent="0.4">
      <c r="A1579" t="s">
        <v>1960</v>
      </c>
      <c r="B1579" s="1">
        <v>45989</v>
      </c>
      <c r="C1579" t="s">
        <v>193</v>
      </c>
      <c r="D1579" t="s">
        <v>46</v>
      </c>
      <c r="E1579" t="s">
        <v>249</v>
      </c>
      <c r="F1579" t="s">
        <v>28</v>
      </c>
      <c r="G1579">
        <v>4</v>
      </c>
      <c r="H1579">
        <v>1637.4</v>
      </c>
      <c r="I1579">
        <v>20</v>
      </c>
      <c r="J1579">
        <v>1027.1099999999999</v>
      </c>
      <c r="K1579" t="s">
        <v>17</v>
      </c>
      <c r="L1579" t="s">
        <v>18</v>
      </c>
      <c r="M1579">
        <f t="shared" si="120"/>
        <v>5239.68</v>
      </c>
      <c r="N1579">
        <f t="shared" si="121"/>
        <v>1131.2400000000007</v>
      </c>
      <c r="O1579" t="str">
        <f t="shared" si="122"/>
        <v>Friday</v>
      </c>
      <c r="P1579" t="b">
        <f t="shared" si="123"/>
        <v>0</v>
      </c>
      <c r="Q1579" t="str">
        <f t="shared" si="124"/>
        <v>November</v>
      </c>
    </row>
    <row r="1580" spans="1:17" x14ac:dyDescent="0.4">
      <c r="A1580" t="s">
        <v>1961</v>
      </c>
      <c r="B1580" s="1">
        <v>45646</v>
      </c>
      <c r="C1580" t="s">
        <v>375</v>
      </c>
      <c r="D1580" t="s">
        <v>31</v>
      </c>
      <c r="E1580" t="s">
        <v>87</v>
      </c>
      <c r="F1580" t="s">
        <v>16</v>
      </c>
      <c r="G1580">
        <v>3</v>
      </c>
      <c r="H1580">
        <v>471.19</v>
      </c>
      <c r="I1580">
        <v>10</v>
      </c>
      <c r="J1580">
        <v>229.59</v>
      </c>
      <c r="K1580" t="s">
        <v>24</v>
      </c>
      <c r="L1580" t="s">
        <v>37</v>
      </c>
      <c r="M1580">
        <f t="shared" si="120"/>
        <v>1272.213</v>
      </c>
      <c r="N1580">
        <f t="shared" si="121"/>
        <v>583.44299999999998</v>
      </c>
      <c r="O1580" t="str">
        <f t="shared" si="122"/>
        <v>Friday</v>
      </c>
      <c r="P1580" t="b">
        <f t="shared" si="123"/>
        <v>0</v>
      </c>
      <c r="Q1580" t="str">
        <f t="shared" si="124"/>
        <v>December</v>
      </c>
    </row>
    <row r="1581" spans="1:17" x14ac:dyDescent="0.4">
      <c r="A1581" t="s">
        <v>1962</v>
      </c>
      <c r="B1581" s="1">
        <v>45423</v>
      </c>
      <c r="C1581" t="s">
        <v>273</v>
      </c>
      <c r="D1581" t="s">
        <v>21</v>
      </c>
      <c r="E1581" t="s">
        <v>270</v>
      </c>
      <c r="F1581" t="s">
        <v>23</v>
      </c>
      <c r="G1581">
        <v>1</v>
      </c>
      <c r="H1581">
        <v>748.19</v>
      </c>
      <c r="I1581">
        <v>5</v>
      </c>
      <c r="J1581">
        <v>365.02</v>
      </c>
      <c r="K1581" t="s">
        <v>24</v>
      </c>
      <c r="L1581" t="s">
        <v>33</v>
      </c>
      <c r="M1581">
        <f t="shared" si="120"/>
        <v>710.78050000000007</v>
      </c>
      <c r="N1581">
        <f t="shared" si="121"/>
        <v>345.76050000000009</v>
      </c>
      <c r="O1581" t="str">
        <f t="shared" si="122"/>
        <v>Saturday</v>
      </c>
      <c r="P1581" t="b">
        <f t="shared" si="123"/>
        <v>1</v>
      </c>
      <c r="Q1581" t="str">
        <f t="shared" si="124"/>
        <v>May</v>
      </c>
    </row>
    <row r="1582" spans="1:17" x14ac:dyDescent="0.4">
      <c r="A1582" t="s">
        <v>1963</v>
      </c>
      <c r="B1582" s="1">
        <v>45463</v>
      </c>
      <c r="C1582" t="s">
        <v>309</v>
      </c>
      <c r="D1582" t="s">
        <v>14</v>
      </c>
      <c r="E1582" t="s">
        <v>1019</v>
      </c>
      <c r="F1582" t="s">
        <v>28</v>
      </c>
      <c r="G1582">
        <v>3</v>
      </c>
      <c r="H1582">
        <v>2190.71</v>
      </c>
      <c r="I1582">
        <v>25</v>
      </c>
      <c r="J1582">
        <v>1060.69</v>
      </c>
      <c r="K1582" t="s">
        <v>17</v>
      </c>
      <c r="L1582" t="s">
        <v>33</v>
      </c>
      <c r="M1582">
        <f t="shared" si="120"/>
        <v>4929.0974999999999</v>
      </c>
      <c r="N1582">
        <f t="shared" si="121"/>
        <v>1747.0274999999997</v>
      </c>
      <c r="O1582" t="str">
        <f t="shared" si="122"/>
        <v>Thursday</v>
      </c>
      <c r="P1582" t="b">
        <f t="shared" si="123"/>
        <v>0</v>
      </c>
      <c r="Q1582" t="str">
        <f t="shared" si="124"/>
        <v>June</v>
      </c>
    </row>
    <row r="1583" spans="1:17" x14ac:dyDescent="0.4">
      <c r="A1583" t="s">
        <v>1964</v>
      </c>
      <c r="B1583" s="1">
        <v>45635</v>
      </c>
      <c r="C1583" t="s">
        <v>92</v>
      </c>
      <c r="D1583" t="s">
        <v>21</v>
      </c>
      <c r="E1583" t="s">
        <v>289</v>
      </c>
      <c r="F1583" t="s">
        <v>23</v>
      </c>
      <c r="G1583">
        <v>5</v>
      </c>
      <c r="H1583">
        <v>2005.96</v>
      </c>
      <c r="I1583">
        <v>10</v>
      </c>
      <c r="J1583">
        <v>1339.85</v>
      </c>
      <c r="K1583" t="s">
        <v>24</v>
      </c>
      <c r="L1583" t="s">
        <v>37</v>
      </c>
      <c r="M1583">
        <f t="shared" si="120"/>
        <v>9026.82</v>
      </c>
      <c r="N1583">
        <f t="shared" si="121"/>
        <v>2327.5699999999997</v>
      </c>
      <c r="O1583" t="str">
        <f t="shared" si="122"/>
        <v>Monday</v>
      </c>
      <c r="P1583" t="b">
        <f t="shared" si="123"/>
        <v>0</v>
      </c>
      <c r="Q1583" t="str">
        <f t="shared" si="124"/>
        <v>December</v>
      </c>
    </row>
    <row r="1584" spans="1:17" x14ac:dyDescent="0.4">
      <c r="A1584" t="s">
        <v>1965</v>
      </c>
      <c r="B1584" s="1">
        <v>45735</v>
      </c>
      <c r="C1584" t="s">
        <v>114</v>
      </c>
      <c r="D1584" t="s">
        <v>14</v>
      </c>
      <c r="E1584" t="s">
        <v>258</v>
      </c>
      <c r="F1584" t="s">
        <v>23</v>
      </c>
      <c r="G1584">
        <v>4</v>
      </c>
      <c r="H1584">
        <v>1993.52</v>
      </c>
      <c r="I1584">
        <v>10</v>
      </c>
      <c r="J1584">
        <v>1204.7</v>
      </c>
      <c r="K1584" t="s">
        <v>24</v>
      </c>
      <c r="L1584" t="s">
        <v>33</v>
      </c>
      <c r="M1584">
        <f t="shared" si="120"/>
        <v>7176.6720000000005</v>
      </c>
      <c r="N1584">
        <f t="shared" si="121"/>
        <v>2357.8720000000003</v>
      </c>
      <c r="O1584" t="str">
        <f t="shared" si="122"/>
        <v>Wednesday</v>
      </c>
      <c r="P1584" t="b">
        <f t="shared" si="123"/>
        <v>0</v>
      </c>
      <c r="Q1584" t="str">
        <f t="shared" si="124"/>
        <v>March</v>
      </c>
    </row>
    <row r="1585" spans="1:17" x14ac:dyDescent="0.4">
      <c r="A1585" t="s">
        <v>1966</v>
      </c>
      <c r="B1585" s="1">
        <v>45920</v>
      </c>
      <c r="C1585" t="s">
        <v>224</v>
      </c>
      <c r="D1585" t="s">
        <v>21</v>
      </c>
      <c r="E1585" t="s">
        <v>284</v>
      </c>
      <c r="F1585" t="s">
        <v>28</v>
      </c>
      <c r="G1585">
        <v>5</v>
      </c>
      <c r="H1585">
        <v>772.09</v>
      </c>
      <c r="I1585">
        <v>5</v>
      </c>
      <c r="J1585">
        <v>349.26</v>
      </c>
      <c r="K1585" t="s">
        <v>17</v>
      </c>
      <c r="L1585" t="s">
        <v>33</v>
      </c>
      <c r="M1585">
        <f t="shared" si="120"/>
        <v>3667.4275000000002</v>
      </c>
      <c r="N1585">
        <f t="shared" si="121"/>
        <v>1921.1275000000003</v>
      </c>
      <c r="O1585" t="str">
        <f t="shared" si="122"/>
        <v>Saturday</v>
      </c>
      <c r="P1585" t="b">
        <f t="shared" si="123"/>
        <v>1</v>
      </c>
      <c r="Q1585" t="str">
        <f t="shared" si="124"/>
        <v>September</v>
      </c>
    </row>
    <row r="1586" spans="1:17" x14ac:dyDescent="0.4">
      <c r="A1586" t="s">
        <v>1967</v>
      </c>
      <c r="B1586" s="1">
        <v>45582</v>
      </c>
      <c r="C1586" t="s">
        <v>286</v>
      </c>
      <c r="D1586" t="s">
        <v>46</v>
      </c>
      <c r="E1586" t="s">
        <v>507</v>
      </c>
      <c r="F1586" t="s">
        <v>28</v>
      </c>
      <c r="G1586">
        <v>2</v>
      </c>
      <c r="H1586">
        <v>2867.34</v>
      </c>
      <c r="I1586">
        <v>15</v>
      </c>
      <c r="J1586">
        <v>1704.12</v>
      </c>
      <c r="K1586" t="s">
        <v>17</v>
      </c>
      <c r="L1586" t="s">
        <v>33</v>
      </c>
      <c r="M1586">
        <f t="shared" si="120"/>
        <v>4874.4780000000001</v>
      </c>
      <c r="N1586">
        <f t="shared" si="121"/>
        <v>1466.2380000000003</v>
      </c>
      <c r="O1586" t="str">
        <f t="shared" si="122"/>
        <v>Thursday</v>
      </c>
      <c r="P1586" t="b">
        <f t="shared" si="123"/>
        <v>0</v>
      </c>
      <c r="Q1586" t="str">
        <f t="shared" si="124"/>
        <v>October</v>
      </c>
    </row>
    <row r="1587" spans="1:17" x14ac:dyDescent="0.4">
      <c r="A1587" t="s">
        <v>1968</v>
      </c>
      <c r="B1587" s="1">
        <v>45402</v>
      </c>
      <c r="C1587" t="s">
        <v>193</v>
      </c>
      <c r="D1587" t="s">
        <v>46</v>
      </c>
      <c r="E1587" t="s">
        <v>577</v>
      </c>
      <c r="F1587" t="s">
        <v>28</v>
      </c>
      <c r="G1587">
        <v>1</v>
      </c>
      <c r="H1587">
        <v>1311.19</v>
      </c>
      <c r="I1587">
        <v>15</v>
      </c>
      <c r="J1587">
        <v>575.64</v>
      </c>
      <c r="K1587" t="s">
        <v>24</v>
      </c>
      <c r="L1587" t="s">
        <v>18</v>
      </c>
      <c r="M1587">
        <f t="shared" si="120"/>
        <v>1114.5115000000001</v>
      </c>
      <c r="N1587">
        <f t="shared" si="121"/>
        <v>538.87150000000008</v>
      </c>
      <c r="O1587" t="str">
        <f t="shared" si="122"/>
        <v>Saturday</v>
      </c>
      <c r="P1587" t="b">
        <f t="shared" si="123"/>
        <v>1</v>
      </c>
      <c r="Q1587" t="str">
        <f t="shared" si="124"/>
        <v>April</v>
      </c>
    </row>
    <row r="1588" spans="1:17" x14ac:dyDescent="0.4">
      <c r="A1588" t="s">
        <v>1969</v>
      </c>
      <c r="B1588" s="1">
        <v>45676</v>
      </c>
      <c r="C1588" t="s">
        <v>84</v>
      </c>
      <c r="D1588" t="s">
        <v>21</v>
      </c>
      <c r="E1588" t="s">
        <v>220</v>
      </c>
      <c r="F1588" t="s">
        <v>28</v>
      </c>
      <c r="G1588">
        <v>4</v>
      </c>
      <c r="H1588">
        <v>2312.4299999999998</v>
      </c>
      <c r="I1588">
        <v>10</v>
      </c>
      <c r="J1588">
        <v>1549.43</v>
      </c>
      <c r="K1588" t="s">
        <v>17</v>
      </c>
      <c r="L1588" t="s">
        <v>37</v>
      </c>
      <c r="M1588">
        <f t="shared" si="120"/>
        <v>8324.7479999999996</v>
      </c>
      <c r="N1588">
        <f t="shared" si="121"/>
        <v>2127.0279999999993</v>
      </c>
      <c r="O1588" t="str">
        <f t="shared" si="122"/>
        <v>Sunday</v>
      </c>
      <c r="P1588" t="b">
        <f t="shared" si="123"/>
        <v>1</v>
      </c>
      <c r="Q1588" t="str">
        <f t="shared" si="124"/>
        <v>January</v>
      </c>
    </row>
    <row r="1589" spans="1:17" x14ac:dyDescent="0.4">
      <c r="A1589" t="s">
        <v>1970</v>
      </c>
      <c r="B1589" s="1">
        <v>45382</v>
      </c>
      <c r="C1589" t="s">
        <v>74</v>
      </c>
      <c r="D1589" t="s">
        <v>46</v>
      </c>
      <c r="E1589" t="s">
        <v>311</v>
      </c>
      <c r="F1589" t="s">
        <v>23</v>
      </c>
      <c r="G1589">
        <v>1</v>
      </c>
      <c r="H1589">
        <v>2533.83</v>
      </c>
      <c r="I1589">
        <v>15</v>
      </c>
      <c r="J1589">
        <v>1349.45</v>
      </c>
      <c r="K1589" t="s">
        <v>17</v>
      </c>
      <c r="L1589" t="s">
        <v>18</v>
      </c>
      <c r="M1589">
        <f t="shared" si="120"/>
        <v>2153.7554999999998</v>
      </c>
      <c r="N1589">
        <f t="shared" si="121"/>
        <v>804.30549999999971</v>
      </c>
      <c r="O1589" t="str">
        <f t="shared" si="122"/>
        <v>Sunday</v>
      </c>
      <c r="P1589" t="b">
        <f t="shared" si="123"/>
        <v>1</v>
      </c>
      <c r="Q1589" t="str">
        <f t="shared" si="124"/>
        <v>March</v>
      </c>
    </row>
    <row r="1590" spans="1:17" x14ac:dyDescent="0.4">
      <c r="A1590" t="s">
        <v>1971</v>
      </c>
      <c r="B1590" s="1">
        <v>45913</v>
      </c>
      <c r="C1590" t="s">
        <v>309</v>
      </c>
      <c r="D1590" t="s">
        <v>46</v>
      </c>
      <c r="E1590" t="s">
        <v>442</v>
      </c>
      <c r="F1590" t="s">
        <v>28</v>
      </c>
      <c r="G1590">
        <v>4</v>
      </c>
      <c r="H1590">
        <v>989.74</v>
      </c>
      <c r="I1590">
        <v>30</v>
      </c>
      <c r="J1590">
        <v>459.47</v>
      </c>
      <c r="K1590" t="s">
        <v>24</v>
      </c>
      <c r="L1590" t="s">
        <v>18</v>
      </c>
      <c r="M1590">
        <f t="shared" si="120"/>
        <v>2771.2719999999999</v>
      </c>
      <c r="N1590">
        <f t="shared" si="121"/>
        <v>933.39199999999983</v>
      </c>
      <c r="O1590" t="str">
        <f t="shared" si="122"/>
        <v>Saturday</v>
      </c>
      <c r="P1590" t="b">
        <f t="shared" si="123"/>
        <v>1</v>
      </c>
      <c r="Q1590" t="str">
        <f t="shared" si="124"/>
        <v>September</v>
      </c>
    </row>
    <row r="1591" spans="1:17" x14ac:dyDescent="0.4">
      <c r="A1591" t="s">
        <v>1972</v>
      </c>
      <c r="B1591" s="1">
        <v>45775</v>
      </c>
      <c r="C1591" t="s">
        <v>84</v>
      </c>
      <c r="D1591" t="s">
        <v>21</v>
      </c>
      <c r="E1591" t="s">
        <v>948</v>
      </c>
      <c r="F1591" t="s">
        <v>23</v>
      </c>
      <c r="G1591">
        <v>4</v>
      </c>
      <c r="H1591">
        <v>1029.3499999999999</v>
      </c>
      <c r="I1591">
        <v>10</v>
      </c>
      <c r="J1591">
        <v>712.16</v>
      </c>
      <c r="K1591" t="s">
        <v>17</v>
      </c>
      <c r="L1591" t="s">
        <v>18</v>
      </c>
      <c r="M1591">
        <f t="shared" si="120"/>
        <v>3705.66</v>
      </c>
      <c r="N1591">
        <f t="shared" si="121"/>
        <v>857.02</v>
      </c>
      <c r="O1591" t="str">
        <f t="shared" si="122"/>
        <v>Monday</v>
      </c>
      <c r="P1591" t="b">
        <f t="shared" si="123"/>
        <v>0</v>
      </c>
      <c r="Q1591" t="str">
        <f t="shared" si="124"/>
        <v>April</v>
      </c>
    </row>
    <row r="1592" spans="1:17" x14ac:dyDescent="0.4">
      <c r="A1592" t="s">
        <v>1973</v>
      </c>
      <c r="B1592" s="1">
        <v>45924</v>
      </c>
      <c r="C1592" t="s">
        <v>193</v>
      </c>
      <c r="D1592" t="s">
        <v>46</v>
      </c>
      <c r="E1592" t="s">
        <v>256</v>
      </c>
      <c r="F1592" t="s">
        <v>28</v>
      </c>
      <c r="G1592">
        <v>4</v>
      </c>
      <c r="H1592">
        <v>2999.07</v>
      </c>
      <c r="I1592">
        <v>15</v>
      </c>
      <c r="J1592">
        <v>1727.94</v>
      </c>
      <c r="K1592" t="s">
        <v>17</v>
      </c>
      <c r="L1592" t="s">
        <v>33</v>
      </c>
      <c r="M1592">
        <f t="shared" si="120"/>
        <v>10196.838</v>
      </c>
      <c r="N1592">
        <f t="shared" si="121"/>
        <v>3285.0779999999995</v>
      </c>
      <c r="O1592" t="str">
        <f t="shared" si="122"/>
        <v>Wednesday</v>
      </c>
      <c r="P1592" t="b">
        <f t="shared" si="123"/>
        <v>0</v>
      </c>
      <c r="Q1592" t="str">
        <f t="shared" si="124"/>
        <v>September</v>
      </c>
    </row>
    <row r="1593" spans="1:17" x14ac:dyDescent="0.4">
      <c r="A1593" t="s">
        <v>1974</v>
      </c>
      <c r="B1593" s="1">
        <v>45576</v>
      </c>
      <c r="C1593" t="s">
        <v>146</v>
      </c>
      <c r="D1593" t="s">
        <v>31</v>
      </c>
      <c r="E1593" t="s">
        <v>227</v>
      </c>
      <c r="F1593" t="s">
        <v>16</v>
      </c>
      <c r="G1593">
        <v>1</v>
      </c>
      <c r="H1593">
        <v>462.03</v>
      </c>
      <c r="I1593">
        <v>25</v>
      </c>
      <c r="J1593">
        <v>291.23</v>
      </c>
      <c r="K1593" t="s">
        <v>24</v>
      </c>
      <c r="L1593" t="s">
        <v>18</v>
      </c>
      <c r="M1593">
        <f t="shared" si="120"/>
        <v>346.52249999999998</v>
      </c>
      <c r="N1593">
        <f t="shared" si="121"/>
        <v>55.292499999999961</v>
      </c>
      <c r="O1593" t="str">
        <f t="shared" si="122"/>
        <v>Friday</v>
      </c>
      <c r="P1593" t="b">
        <f t="shared" si="123"/>
        <v>0</v>
      </c>
      <c r="Q1593" t="str">
        <f t="shared" si="124"/>
        <v>October</v>
      </c>
    </row>
    <row r="1594" spans="1:17" x14ac:dyDescent="0.4">
      <c r="A1594" t="s">
        <v>1975</v>
      </c>
      <c r="B1594" s="1">
        <v>45688</v>
      </c>
      <c r="C1594" t="s">
        <v>68</v>
      </c>
      <c r="D1594" t="s">
        <v>21</v>
      </c>
      <c r="E1594" t="s">
        <v>442</v>
      </c>
      <c r="F1594" t="s">
        <v>23</v>
      </c>
      <c r="G1594">
        <v>4</v>
      </c>
      <c r="H1594">
        <v>2886.91</v>
      </c>
      <c r="I1594">
        <v>20</v>
      </c>
      <c r="J1594">
        <v>1585.04</v>
      </c>
      <c r="K1594" t="s">
        <v>24</v>
      </c>
      <c r="L1594" t="s">
        <v>33</v>
      </c>
      <c r="M1594">
        <f t="shared" si="120"/>
        <v>9238.1119999999992</v>
      </c>
      <c r="N1594">
        <f t="shared" si="121"/>
        <v>2897.9519999999993</v>
      </c>
      <c r="O1594" t="str">
        <f t="shared" si="122"/>
        <v>Friday</v>
      </c>
      <c r="P1594" t="b">
        <f t="shared" si="123"/>
        <v>0</v>
      </c>
      <c r="Q1594" t="str">
        <f t="shared" si="124"/>
        <v>January</v>
      </c>
    </row>
    <row r="1595" spans="1:17" x14ac:dyDescent="0.4">
      <c r="A1595" t="s">
        <v>1976</v>
      </c>
      <c r="B1595" s="1">
        <v>45411</v>
      </c>
      <c r="C1595" t="s">
        <v>89</v>
      </c>
      <c r="D1595" t="s">
        <v>14</v>
      </c>
      <c r="E1595" t="s">
        <v>96</v>
      </c>
      <c r="F1595" t="s">
        <v>23</v>
      </c>
      <c r="G1595">
        <v>5</v>
      </c>
      <c r="H1595">
        <v>1859.29</v>
      </c>
      <c r="I1595">
        <v>20</v>
      </c>
      <c r="J1595">
        <v>769.87</v>
      </c>
      <c r="K1595" t="s">
        <v>17</v>
      </c>
      <c r="L1595" t="s">
        <v>33</v>
      </c>
      <c r="M1595">
        <f t="shared" si="120"/>
        <v>7437.1600000000008</v>
      </c>
      <c r="N1595">
        <f t="shared" si="121"/>
        <v>3587.8100000000009</v>
      </c>
      <c r="O1595" t="str">
        <f t="shared" si="122"/>
        <v>Monday</v>
      </c>
      <c r="P1595" t="b">
        <f t="shared" si="123"/>
        <v>0</v>
      </c>
      <c r="Q1595" t="str">
        <f t="shared" si="124"/>
        <v>April</v>
      </c>
    </row>
    <row r="1596" spans="1:17" x14ac:dyDescent="0.4">
      <c r="A1596" t="s">
        <v>1977</v>
      </c>
      <c r="B1596" s="1">
        <v>45932</v>
      </c>
      <c r="C1596" t="s">
        <v>92</v>
      </c>
      <c r="D1596" t="s">
        <v>46</v>
      </c>
      <c r="E1596" t="s">
        <v>276</v>
      </c>
      <c r="F1596" t="s">
        <v>16</v>
      </c>
      <c r="G1596">
        <v>1</v>
      </c>
      <c r="H1596">
        <v>750.33</v>
      </c>
      <c r="I1596">
        <v>10</v>
      </c>
      <c r="J1596">
        <v>390.66</v>
      </c>
      <c r="K1596" t="s">
        <v>17</v>
      </c>
      <c r="L1596" t="s">
        <v>18</v>
      </c>
      <c r="M1596">
        <f t="shared" si="120"/>
        <v>675.29700000000003</v>
      </c>
      <c r="N1596">
        <f t="shared" si="121"/>
        <v>284.637</v>
      </c>
      <c r="O1596" t="str">
        <f t="shared" si="122"/>
        <v>Thursday</v>
      </c>
      <c r="P1596" t="b">
        <f t="shared" si="123"/>
        <v>0</v>
      </c>
      <c r="Q1596" t="str">
        <f t="shared" si="124"/>
        <v>October</v>
      </c>
    </row>
    <row r="1597" spans="1:17" x14ac:dyDescent="0.4">
      <c r="A1597" t="s">
        <v>1978</v>
      </c>
      <c r="B1597" s="1">
        <v>45584</v>
      </c>
      <c r="C1597" t="s">
        <v>122</v>
      </c>
      <c r="D1597" t="s">
        <v>14</v>
      </c>
      <c r="E1597" t="s">
        <v>1614</v>
      </c>
      <c r="F1597" t="s">
        <v>16</v>
      </c>
      <c r="G1597">
        <v>5</v>
      </c>
      <c r="H1597">
        <v>969.08</v>
      </c>
      <c r="I1597">
        <v>30</v>
      </c>
      <c r="J1597">
        <v>626.91999999999996</v>
      </c>
      <c r="K1597" t="s">
        <v>24</v>
      </c>
      <c r="L1597" t="s">
        <v>37</v>
      </c>
      <c r="M1597">
        <f t="shared" si="120"/>
        <v>3391.78</v>
      </c>
      <c r="N1597">
        <f t="shared" si="121"/>
        <v>257.18000000000029</v>
      </c>
      <c r="O1597" t="str">
        <f t="shared" si="122"/>
        <v>Saturday</v>
      </c>
      <c r="P1597" t="b">
        <f t="shared" si="123"/>
        <v>1</v>
      </c>
      <c r="Q1597" t="str">
        <f t="shared" si="124"/>
        <v>October</v>
      </c>
    </row>
    <row r="1598" spans="1:17" x14ac:dyDescent="0.4">
      <c r="A1598" t="s">
        <v>1979</v>
      </c>
      <c r="B1598" s="1">
        <v>45396</v>
      </c>
      <c r="C1598" t="s">
        <v>42</v>
      </c>
      <c r="D1598" t="s">
        <v>46</v>
      </c>
      <c r="E1598" t="s">
        <v>87</v>
      </c>
      <c r="F1598" t="s">
        <v>16</v>
      </c>
      <c r="G1598">
        <v>1</v>
      </c>
      <c r="H1598">
        <v>389.54</v>
      </c>
      <c r="I1598">
        <v>5</v>
      </c>
      <c r="J1598">
        <v>219.27</v>
      </c>
      <c r="K1598" t="s">
        <v>24</v>
      </c>
      <c r="L1598" t="s">
        <v>33</v>
      </c>
      <c r="M1598">
        <f t="shared" si="120"/>
        <v>370.06299999999999</v>
      </c>
      <c r="N1598">
        <f t="shared" si="121"/>
        <v>150.79299999999998</v>
      </c>
      <c r="O1598" t="str">
        <f t="shared" si="122"/>
        <v>Sunday</v>
      </c>
      <c r="P1598" t="b">
        <f t="shared" si="123"/>
        <v>1</v>
      </c>
      <c r="Q1598" t="str">
        <f t="shared" si="124"/>
        <v>April</v>
      </c>
    </row>
    <row r="1599" spans="1:17" x14ac:dyDescent="0.4">
      <c r="A1599" t="s">
        <v>1980</v>
      </c>
      <c r="B1599" s="1">
        <v>45606</v>
      </c>
      <c r="C1599" t="s">
        <v>92</v>
      </c>
      <c r="D1599" t="s">
        <v>21</v>
      </c>
      <c r="E1599" t="s">
        <v>498</v>
      </c>
      <c r="F1599" t="s">
        <v>23</v>
      </c>
      <c r="G1599">
        <v>3</v>
      </c>
      <c r="H1599">
        <v>2443.6</v>
      </c>
      <c r="I1599">
        <v>25</v>
      </c>
      <c r="J1599">
        <v>1445.09</v>
      </c>
      <c r="K1599" t="s">
        <v>17</v>
      </c>
      <c r="L1599" t="s">
        <v>33</v>
      </c>
      <c r="M1599">
        <f t="shared" si="120"/>
        <v>5498.0999999999995</v>
      </c>
      <c r="N1599">
        <f t="shared" si="121"/>
        <v>1162.83</v>
      </c>
      <c r="O1599" t="str">
        <f t="shared" si="122"/>
        <v>Sunday</v>
      </c>
      <c r="P1599" t="b">
        <f t="shared" si="123"/>
        <v>1</v>
      </c>
      <c r="Q1599" t="str">
        <f t="shared" si="124"/>
        <v>November</v>
      </c>
    </row>
    <row r="1600" spans="1:17" x14ac:dyDescent="0.4">
      <c r="A1600" t="s">
        <v>1981</v>
      </c>
      <c r="B1600" s="1">
        <v>45745</v>
      </c>
      <c r="C1600" t="s">
        <v>74</v>
      </c>
      <c r="D1600" t="s">
        <v>14</v>
      </c>
      <c r="E1600" t="s">
        <v>634</v>
      </c>
      <c r="F1600" t="s">
        <v>16</v>
      </c>
      <c r="G1600">
        <v>3</v>
      </c>
      <c r="H1600">
        <v>1937.17</v>
      </c>
      <c r="I1600">
        <v>30</v>
      </c>
      <c r="J1600">
        <v>908.75</v>
      </c>
      <c r="K1600" t="s">
        <v>24</v>
      </c>
      <c r="L1600" t="s">
        <v>18</v>
      </c>
      <c r="M1600">
        <f t="shared" si="120"/>
        <v>4068.0569999999998</v>
      </c>
      <c r="N1600">
        <f t="shared" si="121"/>
        <v>1341.8069999999998</v>
      </c>
      <c r="O1600" t="str">
        <f t="shared" si="122"/>
        <v>Saturday</v>
      </c>
      <c r="P1600" t="b">
        <f t="shared" si="123"/>
        <v>1</v>
      </c>
      <c r="Q1600" t="str">
        <f t="shared" si="124"/>
        <v>March</v>
      </c>
    </row>
    <row r="1601" spans="1:17" x14ac:dyDescent="0.4">
      <c r="A1601" t="s">
        <v>1982</v>
      </c>
      <c r="B1601" s="1">
        <v>45476</v>
      </c>
      <c r="C1601" t="s">
        <v>35</v>
      </c>
      <c r="D1601" t="s">
        <v>31</v>
      </c>
      <c r="E1601" t="s">
        <v>96</v>
      </c>
      <c r="F1601" t="s">
        <v>23</v>
      </c>
      <c r="G1601">
        <v>3</v>
      </c>
      <c r="H1601">
        <v>2725.75</v>
      </c>
      <c r="I1601">
        <v>5</v>
      </c>
      <c r="J1601">
        <v>1662.21</v>
      </c>
      <c r="K1601" t="s">
        <v>17</v>
      </c>
      <c r="L1601" t="s">
        <v>37</v>
      </c>
      <c r="M1601">
        <f t="shared" si="120"/>
        <v>7768.3874999999998</v>
      </c>
      <c r="N1601">
        <f t="shared" si="121"/>
        <v>2781.7574999999997</v>
      </c>
      <c r="O1601" t="str">
        <f t="shared" si="122"/>
        <v>Wednesday</v>
      </c>
      <c r="P1601" t="b">
        <f t="shared" si="123"/>
        <v>0</v>
      </c>
      <c r="Q1601" t="str">
        <f t="shared" si="124"/>
        <v>July</v>
      </c>
    </row>
    <row r="1602" spans="1:17" x14ac:dyDescent="0.4">
      <c r="A1602" t="s">
        <v>1983</v>
      </c>
      <c r="B1602" s="1">
        <v>45824</v>
      </c>
      <c r="C1602" t="s">
        <v>267</v>
      </c>
      <c r="D1602" t="s">
        <v>31</v>
      </c>
      <c r="E1602" t="s">
        <v>126</v>
      </c>
      <c r="F1602" t="s">
        <v>16</v>
      </c>
      <c r="G1602">
        <v>1</v>
      </c>
      <c r="H1602">
        <v>2045.92</v>
      </c>
      <c r="I1602">
        <v>10</v>
      </c>
      <c r="J1602">
        <v>1085.49</v>
      </c>
      <c r="K1602" t="s">
        <v>24</v>
      </c>
      <c r="L1602" t="s">
        <v>18</v>
      </c>
      <c r="M1602">
        <f t="shared" si="120"/>
        <v>1841.3280000000002</v>
      </c>
      <c r="N1602">
        <f t="shared" si="121"/>
        <v>755.83800000000019</v>
      </c>
      <c r="O1602" t="str">
        <f t="shared" si="122"/>
        <v>Monday</v>
      </c>
      <c r="P1602" t="b">
        <f t="shared" si="123"/>
        <v>0</v>
      </c>
      <c r="Q1602" t="str">
        <f t="shared" si="124"/>
        <v>June</v>
      </c>
    </row>
    <row r="1603" spans="1:17" x14ac:dyDescent="0.4">
      <c r="A1603" t="s">
        <v>1984</v>
      </c>
      <c r="B1603" s="1">
        <v>45750</v>
      </c>
      <c r="C1603" t="s">
        <v>185</v>
      </c>
      <c r="D1603" t="s">
        <v>21</v>
      </c>
      <c r="E1603" t="s">
        <v>1097</v>
      </c>
      <c r="F1603" t="s">
        <v>23</v>
      </c>
      <c r="G1603">
        <v>5</v>
      </c>
      <c r="H1603">
        <v>1870.85</v>
      </c>
      <c r="I1603">
        <v>30</v>
      </c>
      <c r="J1603">
        <v>1294.08</v>
      </c>
      <c r="K1603" t="s">
        <v>24</v>
      </c>
      <c r="L1603" t="s">
        <v>37</v>
      </c>
      <c r="M1603">
        <f t="shared" ref="M1603:M1666" si="125">G1603 * H1603 * (1 - I1603/100)</f>
        <v>6547.9749999999995</v>
      </c>
      <c r="N1603">
        <f t="shared" ref="N1603:N1666" si="126">M1603 - (J1603 * G1603)</f>
        <v>77.574999999999818</v>
      </c>
      <c r="O1603" t="str">
        <f t="shared" ref="O1603:O1666" si="127">TEXT(B1603,"dddd")</f>
        <v>Thursday</v>
      </c>
      <c r="P1603" t="b">
        <f t="shared" ref="P1603:P1666" si="128">OR(TEXT(B1603,"ddd")="Sat", TEXT(B1603,"ddd")="Sun")</f>
        <v>0</v>
      </c>
      <c r="Q1603" t="str">
        <f t="shared" ref="Q1603:Q1666" si="129">TEXT(B1603,"mmmm")</f>
        <v>April</v>
      </c>
    </row>
    <row r="1604" spans="1:17" x14ac:dyDescent="0.4">
      <c r="A1604" t="s">
        <v>1985</v>
      </c>
      <c r="B1604" s="1">
        <v>45684</v>
      </c>
      <c r="C1604" t="s">
        <v>152</v>
      </c>
      <c r="D1604" t="s">
        <v>31</v>
      </c>
      <c r="E1604" t="s">
        <v>206</v>
      </c>
      <c r="F1604" t="s">
        <v>23</v>
      </c>
      <c r="G1604">
        <v>4</v>
      </c>
      <c r="H1604">
        <v>1749.87</v>
      </c>
      <c r="I1604">
        <v>15</v>
      </c>
      <c r="J1604">
        <v>1106.79</v>
      </c>
      <c r="K1604" t="s">
        <v>17</v>
      </c>
      <c r="L1604" t="s">
        <v>37</v>
      </c>
      <c r="M1604">
        <f t="shared" si="125"/>
        <v>5949.5579999999991</v>
      </c>
      <c r="N1604">
        <f t="shared" si="126"/>
        <v>1522.3979999999992</v>
      </c>
      <c r="O1604" t="str">
        <f t="shared" si="127"/>
        <v>Monday</v>
      </c>
      <c r="P1604" t="b">
        <f t="shared" si="128"/>
        <v>0</v>
      </c>
      <c r="Q1604" t="str">
        <f t="shared" si="129"/>
        <v>January</v>
      </c>
    </row>
    <row r="1605" spans="1:17" x14ac:dyDescent="0.4">
      <c r="A1605" t="s">
        <v>1986</v>
      </c>
      <c r="B1605" s="1">
        <v>45666</v>
      </c>
      <c r="C1605" t="s">
        <v>309</v>
      </c>
      <c r="D1605" t="s">
        <v>31</v>
      </c>
      <c r="E1605" t="s">
        <v>496</v>
      </c>
      <c r="F1605" t="s">
        <v>16</v>
      </c>
      <c r="G1605">
        <v>5</v>
      </c>
      <c r="H1605">
        <v>2690.69</v>
      </c>
      <c r="I1605">
        <v>5</v>
      </c>
      <c r="J1605">
        <v>1133.06</v>
      </c>
      <c r="K1605" t="s">
        <v>17</v>
      </c>
      <c r="L1605" t="s">
        <v>18</v>
      </c>
      <c r="M1605">
        <f t="shared" si="125"/>
        <v>12780.7775</v>
      </c>
      <c r="N1605">
        <f t="shared" si="126"/>
        <v>7115.4775000000009</v>
      </c>
      <c r="O1605" t="str">
        <f t="shared" si="127"/>
        <v>Thursday</v>
      </c>
      <c r="P1605" t="b">
        <f t="shared" si="128"/>
        <v>0</v>
      </c>
      <c r="Q1605" t="str">
        <f t="shared" si="129"/>
        <v>January</v>
      </c>
    </row>
    <row r="1606" spans="1:17" x14ac:dyDescent="0.4">
      <c r="A1606" t="s">
        <v>1987</v>
      </c>
      <c r="B1606" s="1">
        <v>45821</v>
      </c>
      <c r="C1606" t="s">
        <v>109</v>
      </c>
      <c r="D1606" t="s">
        <v>21</v>
      </c>
      <c r="E1606" t="s">
        <v>430</v>
      </c>
      <c r="F1606" t="s">
        <v>28</v>
      </c>
      <c r="G1606">
        <v>4</v>
      </c>
      <c r="H1606">
        <v>1102.23</v>
      </c>
      <c r="I1606">
        <v>0</v>
      </c>
      <c r="J1606">
        <v>572.57000000000005</v>
      </c>
      <c r="K1606" t="s">
        <v>24</v>
      </c>
      <c r="L1606" t="s">
        <v>37</v>
      </c>
      <c r="M1606">
        <f t="shared" si="125"/>
        <v>4408.92</v>
      </c>
      <c r="N1606">
        <f t="shared" si="126"/>
        <v>2118.64</v>
      </c>
      <c r="O1606" t="str">
        <f t="shared" si="127"/>
        <v>Friday</v>
      </c>
      <c r="P1606" t="b">
        <f t="shared" si="128"/>
        <v>0</v>
      </c>
      <c r="Q1606" t="str">
        <f t="shared" si="129"/>
        <v>June</v>
      </c>
    </row>
    <row r="1607" spans="1:17" x14ac:dyDescent="0.4">
      <c r="A1607" t="s">
        <v>1988</v>
      </c>
      <c r="B1607" s="1">
        <v>45611</v>
      </c>
      <c r="C1607" t="s">
        <v>54</v>
      </c>
      <c r="D1607" t="s">
        <v>21</v>
      </c>
      <c r="E1607" t="s">
        <v>186</v>
      </c>
      <c r="F1607" t="s">
        <v>23</v>
      </c>
      <c r="G1607">
        <v>2</v>
      </c>
      <c r="H1607">
        <v>2842.43</v>
      </c>
      <c r="I1607">
        <v>0</v>
      </c>
      <c r="J1607">
        <v>1512.42</v>
      </c>
      <c r="K1607" t="s">
        <v>17</v>
      </c>
      <c r="L1607" t="s">
        <v>18</v>
      </c>
      <c r="M1607">
        <f t="shared" si="125"/>
        <v>5684.86</v>
      </c>
      <c r="N1607">
        <f t="shared" si="126"/>
        <v>2660.0199999999995</v>
      </c>
      <c r="O1607" t="str">
        <f t="shared" si="127"/>
        <v>Friday</v>
      </c>
      <c r="P1607" t="b">
        <f t="shared" si="128"/>
        <v>0</v>
      </c>
      <c r="Q1607" t="str">
        <f t="shared" si="129"/>
        <v>November</v>
      </c>
    </row>
    <row r="1608" spans="1:17" x14ac:dyDescent="0.4">
      <c r="A1608" t="s">
        <v>1989</v>
      </c>
      <c r="B1608" s="1">
        <v>45932</v>
      </c>
      <c r="C1608" t="s">
        <v>185</v>
      </c>
      <c r="D1608" t="s">
        <v>14</v>
      </c>
      <c r="E1608" t="s">
        <v>196</v>
      </c>
      <c r="F1608" t="s">
        <v>28</v>
      </c>
      <c r="G1608">
        <v>2</v>
      </c>
      <c r="H1608">
        <v>1759.86</v>
      </c>
      <c r="I1608">
        <v>10</v>
      </c>
      <c r="J1608">
        <v>828.62</v>
      </c>
      <c r="K1608" t="s">
        <v>24</v>
      </c>
      <c r="L1608" t="s">
        <v>33</v>
      </c>
      <c r="M1608">
        <f t="shared" si="125"/>
        <v>3167.748</v>
      </c>
      <c r="N1608">
        <f t="shared" si="126"/>
        <v>1510.508</v>
      </c>
      <c r="O1608" t="str">
        <f t="shared" si="127"/>
        <v>Thursday</v>
      </c>
      <c r="P1608" t="b">
        <f t="shared" si="128"/>
        <v>0</v>
      </c>
      <c r="Q1608" t="str">
        <f t="shared" si="129"/>
        <v>October</v>
      </c>
    </row>
    <row r="1609" spans="1:17" x14ac:dyDescent="0.4">
      <c r="A1609" t="s">
        <v>1990</v>
      </c>
      <c r="B1609" s="1">
        <v>45744</v>
      </c>
      <c r="C1609" t="s">
        <v>159</v>
      </c>
      <c r="D1609" t="s">
        <v>31</v>
      </c>
      <c r="E1609" t="s">
        <v>625</v>
      </c>
      <c r="F1609" t="s">
        <v>28</v>
      </c>
      <c r="G1609">
        <v>2</v>
      </c>
      <c r="H1609">
        <v>1699.18</v>
      </c>
      <c r="I1609">
        <v>10</v>
      </c>
      <c r="J1609">
        <v>1183.43</v>
      </c>
      <c r="K1609" t="s">
        <v>17</v>
      </c>
      <c r="L1609" t="s">
        <v>18</v>
      </c>
      <c r="M1609">
        <f t="shared" si="125"/>
        <v>3058.5240000000003</v>
      </c>
      <c r="N1609">
        <f t="shared" si="126"/>
        <v>691.66400000000021</v>
      </c>
      <c r="O1609" t="str">
        <f t="shared" si="127"/>
        <v>Friday</v>
      </c>
      <c r="P1609" t="b">
        <f t="shared" si="128"/>
        <v>0</v>
      </c>
      <c r="Q1609" t="str">
        <f t="shared" si="129"/>
        <v>March</v>
      </c>
    </row>
    <row r="1610" spans="1:17" x14ac:dyDescent="0.4">
      <c r="A1610" t="s">
        <v>1991</v>
      </c>
      <c r="B1610" s="1">
        <v>45514</v>
      </c>
      <c r="C1610" t="s">
        <v>100</v>
      </c>
      <c r="D1610" t="s">
        <v>31</v>
      </c>
      <c r="E1610" t="s">
        <v>82</v>
      </c>
      <c r="F1610" t="s">
        <v>23</v>
      </c>
      <c r="G1610">
        <v>5</v>
      </c>
      <c r="H1610">
        <v>1360.21</v>
      </c>
      <c r="I1610">
        <v>0</v>
      </c>
      <c r="J1610">
        <v>687.37</v>
      </c>
      <c r="K1610" t="s">
        <v>24</v>
      </c>
      <c r="L1610" t="s">
        <v>37</v>
      </c>
      <c r="M1610">
        <f t="shared" si="125"/>
        <v>6801.05</v>
      </c>
      <c r="N1610">
        <f t="shared" si="126"/>
        <v>3364.2000000000003</v>
      </c>
      <c r="O1610" t="str">
        <f t="shared" si="127"/>
        <v>Saturday</v>
      </c>
      <c r="P1610" t="b">
        <f t="shared" si="128"/>
        <v>1</v>
      </c>
      <c r="Q1610" t="str">
        <f t="shared" si="129"/>
        <v>August</v>
      </c>
    </row>
    <row r="1611" spans="1:17" x14ac:dyDescent="0.4">
      <c r="A1611" t="s">
        <v>1992</v>
      </c>
      <c r="B1611" s="1">
        <v>45854</v>
      </c>
      <c r="C1611" t="s">
        <v>95</v>
      </c>
      <c r="D1611" t="s">
        <v>46</v>
      </c>
      <c r="E1611" t="s">
        <v>799</v>
      </c>
      <c r="F1611" t="s">
        <v>23</v>
      </c>
      <c r="G1611">
        <v>4</v>
      </c>
      <c r="H1611">
        <v>2432.1799999999998</v>
      </c>
      <c r="I1611">
        <v>10</v>
      </c>
      <c r="J1611">
        <v>1068.28</v>
      </c>
      <c r="K1611" t="s">
        <v>17</v>
      </c>
      <c r="L1611" t="s">
        <v>18</v>
      </c>
      <c r="M1611">
        <f t="shared" si="125"/>
        <v>8755.848</v>
      </c>
      <c r="N1611">
        <f t="shared" si="126"/>
        <v>4482.7280000000001</v>
      </c>
      <c r="O1611" t="str">
        <f t="shared" si="127"/>
        <v>Wednesday</v>
      </c>
      <c r="P1611" t="b">
        <f t="shared" si="128"/>
        <v>0</v>
      </c>
      <c r="Q1611" t="str">
        <f t="shared" si="129"/>
        <v>July</v>
      </c>
    </row>
    <row r="1612" spans="1:17" x14ac:dyDescent="0.4">
      <c r="A1612" t="s">
        <v>1993</v>
      </c>
      <c r="B1612" s="1">
        <v>45971</v>
      </c>
      <c r="C1612" t="s">
        <v>273</v>
      </c>
      <c r="D1612" t="s">
        <v>21</v>
      </c>
      <c r="E1612" t="s">
        <v>381</v>
      </c>
      <c r="F1612" t="s">
        <v>23</v>
      </c>
      <c r="G1612">
        <v>2</v>
      </c>
      <c r="H1612">
        <v>2826.9</v>
      </c>
      <c r="I1612">
        <v>25</v>
      </c>
      <c r="J1612">
        <v>1910.38</v>
      </c>
      <c r="K1612" t="s">
        <v>17</v>
      </c>
      <c r="L1612" t="s">
        <v>33</v>
      </c>
      <c r="M1612">
        <f t="shared" si="125"/>
        <v>4240.3500000000004</v>
      </c>
      <c r="N1612">
        <f t="shared" si="126"/>
        <v>419.59000000000015</v>
      </c>
      <c r="O1612" t="str">
        <f t="shared" si="127"/>
        <v>Monday</v>
      </c>
      <c r="P1612" t="b">
        <f t="shared" si="128"/>
        <v>0</v>
      </c>
      <c r="Q1612" t="str">
        <f t="shared" si="129"/>
        <v>November</v>
      </c>
    </row>
    <row r="1613" spans="1:17" x14ac:dyDescent="0.4">
      <c r="A1613" t="s">
        <v>1994</v>
      </c>
      <c r="B1613" s="1">
        <v>45838</v>
      </c>
      <c r="C1613" t="s">
        <v>174</v>
      </c>
      <c r="D1613" t="s">
        <v>31</v>
      </c>
      <c r="E1613" t="s">
        <v>481</v>
      </c>
      <c r="F1613" t="s">
        <v>16</v>
      </c>
      <c r="G1613">
        <v>3</v>
      </c>
      <c r="H1613">
        <v>757.38</v>
      </c>
      <c r="I1613">
        <v>5</v>
      </c>
      <c r="J1613">
        <v>323.17</v>
      </c>
      <c r="K1613" t="s">
        <v>17</v>
      </c>
      <c r="L1613" t="s">
        <v>33</v>
      </c>
      <c r="M1613">
        <f t="shared" si="125"/>
        <v>2158.5329999999999</v>
      </c>
      <c r="N1613">
        <f t="shared" si="126"/>
        <v>1189.0229999999999</v>
      </c>
      <c r="O1613" t="str">
        <f t="shared" si="127"/>
        <v>Monday</v>
      </c>
      <c r="P1613" t="b">
        <f t="shared" si="128"/>
        <v>0</v>
      </c>
      <c r="Q1613" t="str">
        <f t="shared" si="129"/>
        <v>June</v>
      </c>
    </row>
    <row r="1614" spans="1:17" x14ac:dyDescent="0.4">
      <c r="A1614" t="s">
        <v>1995</v>
      </c>
      <c r="B1614" s="1">
        <v>45419</v>
      </c>
      <c r="C1614" t="s">
        <v>375</v>
      </c>
      <c r="D1614" t="s">
        <v>46</v>
      </c>
      <c r="E1614" t="s">
        <v>670</v>
      </c>
      <c r="F1614" t="s">
        <v>28</v>
      </c>
      <c r="G1614">
        <v>1</v>
      </c>
      <c r="H1614">
        <v>2558.52</v>
      </c>
      <c r="I1614">
        <v>0</v>
      </c>
      <c r="J1614">
        <v>1694.12</v>
      </c>
      <c r="K1614" t="s">
        <v>17</v>
      </c>
      <c r="L1614" t="s">
        <v>18</v>
      </c>
      <c r="M1614">
        <f t="shared" si="125"/>
        <v>2558.52</v>
      </c>
      <c r="N1614">
        <f t="shared" si="126"/>
        <v>864.40000000000009</v>
      </c>
      <c r="O1614" t="str">
        <f t="shared" si="127"/>
        <v>Tuesday</v>
      </c>
      <c r="P1614" t="b">
        <f t="shared" si="128"/>
        <v>0</v>
      </c>
      <c r="Q1614" t="str">
        <f t="shared" si="129"/>
        <v>May</v>
      </c>
    </row>
    <row r="1615" spans="1:17" x14ac:dyDescent="0.4">
      <c r="A1615" t="s">
        <v>1996</v>
      </c>
      <c r="B1615" s="1">
        <v>45628</v>
      </c>
      <c r="C1615" t="s">
        <v>273</v>
      </c>
      <c r="D1615" t="s">
        <v>46</v>
      </c>
      <c r="E1615" t="s">
        <v>438</v>
      </c>
      <c r="F1615" t="s">
        <v>23</v>
      </c>
      <c r="G1615">
        <v>2</v>
      </c>
      <c r="H1615">
        <v>2487.37</v>
      </c>
      <c r="I1615">
        <v>25</v>
      </c>
      <c r="J1615">
        <v>1010.82</v>
      </c>
      <c r="K1615" t="s">
        <v>24</v>
      </c>
      <c r="L1615" t="s">
        <v>37</v>
      </c>
      <c r="M1615">
        <f t="shared" si="125"/>
        <v>3731.0549999999998</v>
      </c>
      <c r="N1615">
        <f t="shared" si="126"/>
        <v>1709.4149999999997</v>
      </c>
      <c r="O1615" t="str">
        <f t="shared" si="127"/>
        <v>Monday</v>
      </c>
      <c r="P1615" t="b">
        <f t="shared" si="128"/>
        <v>0</v>
      </c>
      <c r="Q1615" t="str">
        <f t="shared" si="129"/>
        <v>December</v>
      </c>
    </row>
    <row r="1616" spans="1:17" x14ac:dyDescent="0.4">
      <c r="A1616" t="s">
        <v>1997</v>
      </c>
      <c r="B1616" s="1">
        <v>45363</v>
      </c>
      <c r="C1616" t="s">
        <v>77</v>
      </c>
      <c r="D1616" t="s">
        <v>21</v>
      </c>
      <c r="E1616" t="s">
        <v>768</v>
      </c>
      <c r="F1616" t="s">
        <v>16</v>
      </c>
      <c r="G1616">
        <v>2</v>
      </c>
      <c r="H1616">
        <v>1749.97</v>
      </c>
      <c r="I1616">
        <v>20</v>
      </c>
      <c r="J1616">
        <v>1031.1600000000001</v>
      </c>
      <c r="K1616" t="s">
        <v>17</v>
      </c>
      <c r="L1616" t="s">
        <v>37</v>
      </c>
      <c r="M1616">
        <f t="shared" si="125"/>
        <v>2799.9520000000002</v>
      </c>
      <c r="N1616">
        <f t="shared" si="126"/>
        <v>737.63200000000006</v>
      </c>
      <c r="O1616" t="str">
        <f t="shared" si="127"/>
        <v>Tuesday</v>
      </c>
      <c r="P1616" t="b">
        <f t="shared" si="128"/>
        <v>0</v>
      </c>
      <c r="Q1616" t="str">
        <f t="shared" si="129"/>
        <v>March</v>
      </c>
    </row>
    <row r="1617" spans="1:17" x14ac:dyDescent="0.4">
      <c r="A1617" t="s">
        <v>1998</v>
      </c>
      <c r="B1617" s="1">
        <v>45466</v>
      </c>
      <c r="C1617" t="s">
        <v>86</v>
      </c>
      <c r="D1617" t="s">
        <v>21</v>
      </c>
      <c r="E1617" t="s">
        <v>996</v>
      </c>
      <c r="F1617" t="s">
        <v>28</v>
      </c>
      <c r="G1617">
        <v>2</v>
      </c>
      <c r="H1617">
        <v>1118.49</v>
      </c>
      <c r="I1617">
        <v>15</v>
      </c>
      <c r="J1617">
        <v>776.7</v>
      </c>
      <c r="K1617" t="s">
        <v>17</v>
      </c>
      <c r="L1617" t="s">
        <v>33</v>
      </c>
      <c r="M1617">
        <f t="shared" si="125"/>
        <v>1901.433</v>
      </c>
      <c r="N1617">
        <f t="shared" si="126"/>
        <v>348.0329999999999</v>
      </c>
      <c r="O1617" t="str">
        <f t="shared" si="127"/>
        <v>Sunday</v>
      </c>
      <c r="P1617" t="b">
        <f t="shared" si="128"/>
        <v>1</v>
      </c>
      <c r="Q1617" t="str">
        <f t="shared" si="129"/>
        <v>June</v>
      </c>
    </row>
    <row r="1618" spans="1:17" x14ac:dyDescent="0.4">
      <c r="A1618" t="s">
        <v>1999</v>
      </c>
      <c r="B1618" s="1">
        <v>45576</v>
      </c>
      <c r="C1618" t="s">
        <v>62</v>
      </c>
      <c r="D1618" t="s">
        <v>46</v>
      </c>
      <c r="E1618" t="s">
        <v>80</v>
      </c>
      <c r="F1618" t="s">
        <v>23</v>
      </c>
      <c r="G1618">
        <v>2</v>
      </c>
      <c r="H1618">
        <v>2320.59</v>
      </c>
      <c r="I1618">
        <v>5</v>
      </c>
      <c r="J1618">
        <v>1505.64</v>
      </c>
      <c r="K1618" t="s">
        <v>17</v>
      </c>
      <c r="L1618" t="s">
        <v>33</v>
      </c>
      <c r="M1618">
        <f t="shared" si="125"/>
        <v>4409.1210000000001</v>
      </c>
      <c r="N1618">
        <f t="shared" si="126"/>
        <v>1397.8409999999999</v>
      </c>
      <c r="O1618" t="str">
        <f t="shared" si="127"/>
        <v>Friday</v>
      </c>
      <c r="P1618" t="b">
        <f t="shared" si="128"/>
        <v>0</v>
      </c>
      <c r="Q1618" t="str">
        <f t="shared" si="129"/>
        <v>October</v>
      </c>
    </row>
    <row r="1619" spans="1:17" x14ac:dyDescent="0.4">
      <c r="A1619" t="s">
        <v>2000</v>
      </c>
      <c r="B1619" s="1">
        <v>45540</v>
      </c>
      <c r="C1619" t="s">
        <v>139</v>
      </c>
      <c r="D1619" t="s">
        <v>14</v>
      </c>
      <c r="E1619" t="s">
        <v>528</v>
      </c>
      <c r="F1619" t="s">
        <v>23</v>
      </c>
      <c r="G1619">
        <v>3</v>
      </c>
      <c r="H1619">
        <v>2984.65</v>
      </c>
      <c r="I1619">
        <v>0</v>
      </c>
      <c r="J1619">
        <v>1489.32</v>
      </c>
      <c r="K1619" t="s">
        <v>17</v>
      </c>
      <c r="L1619" t="s">
        <v>37</v>
      </c>
      <c r="M1619">
        <f t="shared" si="125"/>
        <v>8953.9500000000007</v>
      </c>
      <c r="N1619">
        <f t="shared" si="126"/>
        <v>4485.9900000000007</v>
      </c>
      <c r="O1619" t="str">
        <f t="shared" si="127"/>
        <v>Thursday</v>
      </c>
      <c r="P1619" t="b">
        <f t="shared" si="128"/>
        <v>0</v>
      </c>
      <c r="Q1619" t="str">
        <f t="shared" si="129"/>
        <v>September</v>
      </c>
    </row>
    <row r="1620" spans="1:17" x14ac:dyDescent="0.4">
      <c r="A1620" t="s">
        <v>2001</v>
      </c>
      <c r="B1620" s="1">
        <v>45762</v>
      </c>
      <c r="C1620" t="s">
        <v>139</v>
      </c>
      <c r="D1620" t="s">
        <v>21</v>
      </c>
      <c r="E1620" t="s">
        <v>1264</v>
      </c>
      <c r="F1620" t="s">
        <v>16</v>
      </c>
      <c r="G1620">
        <v>4</v>
      </c>
      <c r="H1620">
        <v>1126.82</v>
      </c>
      <c r="I1620">
        <v>10</v>
      </c>
      <c r="J1620">
        <v>766.25</v>
      </c>
      <c r="K1620" t="s">
        <v>17</v>
      </c>
      <c r="L1620" t="s">
        <v>33</v>
      </c>
      <c r="M1620">
        <f t="shared" si="125"/>
        <v>4056.5519999999997</v>
      </c>
      <c r="N1620">
        <f t="shared" si="126"/>
        <v>991.55199999999968</v>
      </c>
      <c r="O1620" t="str">
        <f t="shared" si="127"/>
        <v>Tuesday</v>
      </c>
      <c r="P1620" t="b">
        <f t="shared" si="128"/>
        <v>0</v>
      </c>
      <c r="Q1620" t="str">
        <f t="shared" si="129"/>
        <v>April</v>
      </c>
    </row>
    <row r="1621" spans="1:17" x14ac:dyDescent="0.4">
      <c r="A1621" t="s">
        <v>2002</v>
      </c>
      <c r="B1621" s="1">
        <v>45778</v>
      </c>
      <c r="C1621" t="s">
        <v>114</v>
      </c>
      <c r="D1621" t="s">
        <v>21</v>
      </c>
      <c r="E1621" t="s">
        <v>153</v>
      </c>
      <c r="F1621" t="s">
        <v>23</v>
      </c>
      <c r="G1621">
        <v>5</v>
      </c>
      <c r="H1621">
        <v>2172.12</v>
      </c>
      <c r="I1621">
        <v>25</v>
      </c>
      <c r="J1621">
        <v>1489.12</v>
      </c>
      <c r="K1621" t="s">
        <v>17</v>
      </c>
      <c r="L1621" t="s">
        <v>37</v>
      </c>
      <c r="M1621">
        <f t="shared" si="125"/>
        <v>8145.4499999999989</v>
      </c>
      <c r="N1621">
        <f t="shared" si="126"/>
        <v>699.84999999999945</v>
      </c>
      <c r="O1621" t="str">
        <f t="shared" si="127"/>
        <v>Thursday</v>
      </c>
      <c r="P1621" t="b">
        <f t="shared" si="128"/>
        <v>0</v>
      </c>
      <c r="Q1621" t="str">
        <f t="shared" si="129"/>
        <v>May</v>
      </c>
    </row>
    <row r="1622" spans="1:17" x14ac:dyDescent="0.4">
      <c r="A1622" t="s">
        <v>2003</v>
      </c>
      <c r="B1622" s="1">
        <v>45345</v>
      </c>
      <c r="C1622" t="s">
        <v>35</v>
      </c>
      <c r="D1622" t="s">
        <v>14</v>
      </c>
      <c r="E1622" t="s">
        <v>387</v>
      </c>
      <c r="F1622" t="s">
        <v>23</v>
      </c>
      <c r="G1622">
        <v>1</v>
      </c>
      <c r="H1622">
        <v>733.64</v>
      </c>
      <c r="I1622">
        <v>0</v>
      </c>
      <c r="J1622">
        <v>503.78</v>
      </c>
      <c r="K1622" t="s">
        <v>17</v>
      </c>
      <c r="L1622" t="s">
        <v>18</v>
      </c>
      <c r="M1622">
        <f t="shared" si="125"/>
        <v>733.64</v>
      </c>
      <c r="N1622">
        <f t="shared" si="126"/>
        <v>229.86</v>
      </c>
      <c r="O1622" t="str">
        <f t="shared" si="127"/>
        <v>Friday</v>
      </c>
      <c r="P1622" t="b">
        <f t="shared" si="128"/>
        <v>0</v>
      </c>
      <c r="Q1622" t="str">
        <f t="shared" si="129"/>
        <v>February</v>
      </c>
    </row>
    <row r="1623" spans="1:17" x14ac:dyDescent="0.4">
      <c r="A1623" t="s">
        <v>2004</v>
      </c>
      <c r="B1623" s="1">
        <v>45962</v>
      </c>
      <c r="C1623" t="s">
        <v>95</v>
      </c>
      <c r="D1623" t="s">
        <v>46</v>
      </c>
      <c r="E1623" t="s">
        <v>557</v>
      </c>
      <c r="F1623" t="s">
        <v>23</v>
      </c>
      <c r="G1623">
        <v>3</v>
      </c>
      <c r="H1623">
        <v>1697.87</v>
      </c>
      <c r="I1623">
        <v>30</v>
      </c>
      <c r="J1623">
        <v>798.53</v>
      </c>
      <c r="K1623" t="s">
        <v>17</v>
      </c>
      <c r="L1623" t="s">
        <v>18</v>
      </c>
      <c r="M1623">
        <f t="shared" si="125"/>
        <v>3565.5269999999996</v>
      </c>
      <c r="N1623">
        <f t="shared" si="126"/>
        <v>1169.9369999999994</v>
      </c>
      <c r="O1623" t="str">
        <f t="shared" si="127"/>
        <v>Saturday</v>
      </c>
      <c r="P1623" t="b">
        <f t="shared" si="128"/>
        <v>1</v>
      </c>
      <c r="Q1623" t="str">
        <f t="shared" si="129"/>
        <v>November</v>
      </c>
    </row>
    <row r="1624" spans="1:17" x14ac:dyDescent="0.4">
      <c r="A1624" t="s">
        <v>2005</v>
      </c>
      <c r="B1624" s="1">
        <v>45790</v>
      </c>
      <c r="C1624" t="s">
        <v>51</v>
      </c>
      <c r="D1624" t="s">
        <v>21</v>
      </c>
      <c r="E1624" t="s">
        <v>690</v>
      </c>
      <c r="F1624" t="s">
        <v>16</v>
      </c>
      <c r="G1624">
        <v>2</v>
      </c>
      <c r="H1624">
        <v>624.9</v>
      </c>
      <c r="I1624">
        <v>0</v>
      </c>
      <c r="J1624">
        <v>290.16000000000003</v>
      </c>
      <c r="K1624" t="s">
        <v>17</v>
      </c>
      <c r="L1624" t="s">
        <v>37</v>
      </c>
      <c r="M1624">
        <f t="shared" si="125"/>
        <v>1249.8</v>
      </c>
      <c r="N1624">
        <f t="shared" si="126"/>
        <v>669.4799999999999</v>
      </c>
      <c r="O1624" t="str">
        <f t="shared" si="127"/>
        <v>Tuesday</v>
      </c>
      <c r="P1624" t="b">
        <f t="shared" si="128"/>
        <v>0</v>
      </c>
      <c r="Q1624" t="str">
        <f t="shared" si="129"/>
        <v>May</v>
      </c>
    </row>
    <row r="1625" spans="1:17" x14ac:dyDescent="0.4">
      <c r="A1625" t="s">
        <v>2006</v>
      </c>
      <c r="B1625" s="1">
        <v>45948</v>
      </c>
      <c r="C1625" t="s">
        <v>89</v>
      </c>
      <c r="D1625" t="s">
        <v>46</v>
      </c>
      <c r="E1625" t="s">
        <v>760</v>
      </c>
      <c r="F1625" t="s">
        <v>16</v>
      </c>
      <c r="G1625">
        <v>1</v>
      </c>
      <c r="H1625">
        <v>1311.31</v>
      </c>
      <c r="I1625">
        <v>25</v>
      </c>
      <c r="J1625">
        <v>821.42</v>
      </c>
      <c r="K1625" t="s">
        <v>17</v>
      </c>
      <c r="L1625" t="s">
        <v>18</v>
      </c>
      <c r="M1625">
        <f t="shared" si="125"/>
        <v>983.48249999999996</v>
      </c>
      <c r="N1625">
        <f t="shared" si="126"/>
        <v>162.0625</v>
      </c>
      <c r="O1625" t="str">
        <f t="shared" si="127"/>
        <v>Saturday</v>
      </c>
      <c r="P1625" t="b">
        <f t="shared" si="128"/>
        <v>1</v>
      </c>
      <c r="Q1625" t="str">
        <f t="shared" si="129"/>
        <v>October</v>
      </c>
    </row>
    <row r="1626" spans="1:17" x14ac:dyDescent="0.4">
      <c r="A1626" t="s">
        <v>2007</v>
      </c>
      <c r="B1626" s="1">
        <v>45889</v>
      </c>
      <c r="C1626" t="s">
        <v>278</v>
      </c>
      <c r="D1626" t="s">
        <v>14</v>
      </c>
      <c r="E1626" t="s">
        <v>796</v>
      </c>
      <c r="F1626" t="s">
        <v>16</v>
      </c>
      <c r="G1626">
        <v>3</v>
      </c>
      <c r="H1626">
        <v>2522.17</v>
      </c>
      <c r="I1626">
        <v>20</v>
      </c>
      <c r="J1626">
        <v>1394.54</v>
      </c>
      <c r="K1626" t="s">
        <v>24</v>
      </c>
      <c r="L1626" t="s">
        <v>18</v>
      </c>
      <c r="M1626">
        <f t="shared" si="125"/>
        <v>6053.2080000000005</v>
      </c>
      <c r="N1626">
        <f t="shared" si="126"/>
        <v>1869.5880000000006</v>
      </c>
      <c r="O1626" t="str">
        <f t="shared" si="127"/>
        <v>Wednesday</v>
      </c>
      <c r="P1626" t="b">
        <f t="shared" si="128"/>
        <v>0</v>
      </c>
      <c r="Q1626" t="str">
        <f t="shared" si="129"/>
        <v>August</v>
      </c>
    </row>
    <row r="1627" spans="1:17" x14ac:dyDescent="0.4">
      <c r="A1627" t="s">
        <v>2008</v>
      </c>
      <c r="B1627" s="1">
        <v>45860</v>
      </c>
      <c r="C1627" t="s">
        <v>86</v>
      </c>
      <c r="D1627" t="s">
        <v>14</v>
      </c>
      <c r="E1627" t="s">
        <v>222</v>
      </c>
      <c r="F1627" t="s">
        <v>23</v>
      </c>
      <c r="G1627">
        <v>5</v>
      </c>
      <c r="H1627">
        <v>1556.66</v>
      </c>
      <c r="I1627">
        <v>0</v>
      </c>
      <c r="J1627">
        <v>971.32</v>
      </c>
      <c r="K1627" t="s">
        <v>17</v>
      </c>
      <c r="L1627" t="s">
        <v>18</v>
      </c>
      <c r="M1627">
        <f t="shared" si="125"/>
        <v>7783.3</v>
      </c>
      <c r="N1627">
        <f t="shared" si="126"/>
        <v>2926.7</v>
      </c>
      <c r="O1627" t="str">
        <f t="shared" si="127"/>
        <v>Tuesday</v>
      </c>
      <c r="P1627" t="b">
        <f t="shared" si="128"/>
        <v>0</v>
      </c>
      <c r="Q1627" t="str">
        <f t="shared" si="129"/>
        <v>July</v>
      </c>
    </row>
    <row r="1628" spans="1:17" x14ac:dyDescent="0.4">
      <c r="A1628" t="s">
        <v>2009</v>
      </c>
      <c r="B1628" s="1">
        <v>45406</v>
      </c>
      <c r="C1628" t="s">
        <v>463</v>
      </c>
      <c r="D1628" t="s">
        <v>14</v>
      </c>
      <c r="E1628" t="s">
        <v>348</v>
      </c>
      <c r="F1628" t="s">
        <v>23</v>
      </c>
      <c r="G1628">
        <v>1</v>
      </c>
      <c r="H1628">
        <v>453.04</v>
      </c>
      <c r="I1628">
        <v>0</v>
      </c>
      <c r="J1628">
        <v>275.19</v>
      </c>
      <c r="K1628" t="s">
        <v>24</v>
      </c>
      <c r="L1628" t="s">
        <v>18</v>
      </c>
      <c r="M1628">
        <f t="shared" si="125"/>
        <v>453.04</v>
      </c>
      <c r="N1628">
        <f t="shared" si="126"/>
        <v>177.85000000000002</v>
      </c>
      <c r="O1628" t="str">
        <f t="shared" si="127"/>
        <v>Wednesday</v>
      </c>
      <c r="P1628" t="b">
        <f t="shared" si="128"/>
        <v>0</v>
      </c>
      <c r="Q1628" t="str">
        <f t="shared" si="129"/>
        <v>April</v>
      </c>
    </row>
    <row r="1629" spans="1:17" x14ac:dyDescent="0.4">
      <c r="A1629" t="s">
        <v>2010</v>
      </c>
      <c r="B1629" s="1">
        <v>45315</v>
      </c>
      <c r="C1629" t="s">
        <v>20</v>
      </c>
      <c r="D1629" t="s">
        <v>31</v>
      </c>
      <c r="E1629" t="s">
        <v>303</v>
      </c>
      <c r="F1629" t="s">
        <v>16</v>
      </c>
      <c r="G1629">
        <v>4</v>
      </c>
      <c r="H1629">
        <v>1209.95</v>
      </c>
      <c r="I1629">
        <v>20</v>
      </c>
      <c r="J1629">
        <v>730.63</v>
      </c>
      <c r="K1629" t="s">
        <v>17</v>
      </c>
      <c r="L1629" t="s">
        <v>33</v>
      </c>
      <c r="M1629">
        <f t="shared" si="125"/>
        <v>3871.84</v>
      </c>
      <c r="N1629">
        <f t="shared" si="126"/>
        <v>949.32000000000016</v>
      </c>
      <c r="O1629" t="str">
        <f t="shared" si="127"/>
        <v>Wednesday</v>
      </c>
      <c r="P1629" t="b">
        <f t="shared" si="128"/>
        <v>0</v>
      </c>
      <c r="Q1629" t="str">
        <f t="shared" si="129"/>
        <v>January</v>
      </c>
    </row>
    <row r="1630" spans="1:17" x14ac:dyDescent="0.4">
      <c r="A1630" t="s">
        <v>2011</v>
      </c>
      <c r="B1630" s="1">
        <v>45640</v>
      </c>
      <c r="C1630" t="s">
        <v>375</v>
      </c>
      <c r="D1630" t="s">
        <v>31</v>
      </c>
      <c r="E1630" t="s">
        <v>948</v>
      </c>
      <c r="F1630" t="s">
        <v>16</v>
      </c>
      <c r="G1630">
        <v>1</v>
      </c>
      <c r="H1630">
        <v>2172.38</v>
      </c>
      <c r="I1630">
        <v>10</v>
      </c>
      <c r="J1630">
        <v>1145.1400000000001</v>
      </c>
      <c r="K1630" t="s">
        <v>17</v>
      </c>
      <c r="L1630" t="s">
        <v>37</v>
      </c>
      <c r="M1630">
        <f t="shared" si="125"/>
        <v>1955.1420000000001</v>
      </c>
      <c r="N1630">
        <f t="shared" si="126"/>
        <v>810.00199999999995</v>
      </c>
      <c r="O1630" t="str">
        <f t="shared" si="127"/>
        <v>Saturday</v>
      </c>
      <c r="P1630" t="b">
        <f t="shared" si="128"/>
        <v>1</v>
      </c>
      <c r="Q1630" t="str">
        <f t="shared" si="129"/>
        <v>December</v>
      </c>
    </row>
    <row r="1631" spans="1:17" x14ac:dyDescent="0.4">
      <c r="A1631" t="s">
        <v>2012</v>
      </c>
      <c r="B1631" s="1">
        <v>45366</v>
      </c>
      <c r="C1631" t="s">
        <v>190</v>
      </c>
      <c r="D1631" t="s">
        <v>46</v>
      </c>
      <c r="E1631" t="s">
        <v>1493</v>
      </c>
      <c r="F1631" t="s">
        <v>23</v>
      </c>
      <c r="G1631">
        <v>1</v>
      </c>
      <c r="H1631">
        <v>401.25</v>
      </c>
      <c r="I1631">
        <v>15</v>
      </c>
      <c r="J1631">
        <v>257.35000000000002</v>
      </c>
      <c r="K1631" t="s">
        <v>17</v>
      </c>
      <c r="L1631" t="s">
        <v>33</v>
      </c>
      <c r="M1631">
        <f t="shared" si="125"/>
        <v>341.0625</v>
      </c>
      <c r="N1631">
        <f t="shared" si="126"/>
        <v>83.712499999999977</v>
      </c>
      <c r="O1631" t="str">
        <f t="shared" si="127"/>
        <v>Friday</v>
      </c>
      <c r="P1631" t="b">
        <f t="shared" si="128"/>
        <v>0</v>
      </c>
      <c r="Q1631" t="str">
        <f t="shared" si="129"/>
        <v>March</v>
      </c>
    </row>
    <row r="1632" spans="1:17" x14ac:dyDescent="0.4">
      <c r="A1632" t="s">
        <v>2013</v>
      </c>
      <c r="B1632" s="1">
        <v>45887</v>
      </c>
      <c r="C1632" t="s">
        <v>205</v>
      </c>
      <c r="D1632" t="s">
        <v>14</v>
      </c>
      <c r="E1632" t="s">
        <v>1170</v>
      </c>
      <c r="F1632" t="s">
        <v>16</v>
      </c>
      <c r="G1632">
        <v>2</v>
      </c>
      <c r="H1632">
        <v>1547.74</v>
      </c>
      <c r="I1632">
        <v>5</v>
      </c>
      <c r="J1632">
        <v>877.09</v>
      </c>
      <c r="K1632" t="s">
        <v>17</v>
      </c>
      <c r="L1632" t="s">
        <v>33</v>
      </c>
      <c r="M1632">
        <f t="shared" si="125"/>
        <v>2940.7059999999997</v>
      </c>
      <c r="N1632">
        <f t="shared" si="126"/>
        <v>1186.5259999999996</v>
      </c>
      <c r="O1632" t="str">
        <f t="shared" si="127"/>
        <v>Monday</v>
      </c>
      <c r="P1632" t="b">
        <f t="shared" si="128"/>
        <v>0</v>
      </c>
      <c r="Q1632" t="str">
        <f t="shared" si="129"/>
        <v>August</v>
      </c>
    </row>
    <row r="1633" spans="1:17" x14ac:dyDescent="0.4">
      <c r="A1633" t="s">
        <v>2014</v>
      </c>
      <c r="B1633" s="1">
        <v>45697</v>
      </c>
      <c r="C1633" t="s">
        <v>144</v>
      </c>
      <c r="D1633" t="s">
        <v>14</v>
      </c>
      <c r="E1633" t="s">
        <v>291</v>
      </c>
      <c r="F1633" t="s">
        <v>16</v>
      </c>
      <c r="G1633">
        <v>5</v>
      </c>
      <c r="H1633">
        <v>1299.1500000000001</v>
      </c>
      <c r="I1633">
        <v>25</v>
      </c>
      <c r="J1633">
        <v>527.1</v>
      </c>
      <c r="K1633" t="s">
        <v>17</v>
      </c>
      <c r="L1633" t="s">
        <v>37</v>
      </c>
      <c r="M1633">
        <f t="shared" si="125"/>
        <v>4871.8125</v>
      </c>
      <c r="N1633">
        <f t="shared" si="126"/>
        <v>2236.3125</v>
      </c>
      <c r="O1633" t="str">
        <f t="shared" si="127"/>
        <v>Sunday</v>
      </c>
      <c r="P1633" t="b">
        <f t="shared" si="128"/>
        <v>1</v>
      </c>
      <c r="Q1633" t="str">
        <f t="shared" si="129"/>
        <v>February</v>
      </c>
    </row>
    <row r="1634" spans="1:17" x14ac:dyDescent="0.4">
      <c r="A1634" t="s">
        <v>2015</v>
      </c>
      <c r="B1634" s="1">
        <v>45407</v>
      </c>
      <c r="C1634" t="s">
        <v>86</v>
      </c>
      <c r="D1634" t="s">
        <v>46</v>
      </c>
      <c r="E1634" t="s">
        <v>730</v>
      </c>
      <c r="F1634" t="s">
        <v>16</v>
      </c>
      <c r="G1634">
        <v>5</v>
      </c>
      <c r="H1634">
        <v>2054.4</v>
      </c>
      <c r="I1634">
        <v>0</v>
      </c>
      <c r="J1634">
        <v>857.65</v>
      </c>
      <c r="K1634" t="s">
        <v>17</v>
      </c>
      <c r="L1634" t="s">
        <v>33</v>
      </c>
      <c r="M1634">
        <f t="shared" si="125"/>
        <v>10272</v>
      </c>
      <c r="N1634">
        <f t="shared" si="126"/>
        <v>5983.75</v>
      </c>
      <c r="O1634" t="str">
        <f t="shared" si="127"/>
        <v>Thursday</v>
      </c>
      <c r="P1634" t="b">
        <f t="shared" si="128"/>
        <v>0</v>
      </c>
      <c r="Q1634" t="str">
        <f t="shared" si="129"/>
        <v>April</v>
      </c>
    </row>
    <row r="1635" spans="1:17" x14ac:dyDescent="0.4">
      <c r="A1635" t="s">
        <v>2016</v>
      </c>
      <c r="B1635" s="1">
        <v>45649</v>
      </c>
      <c r="C1635" t="s">
        <v>84</v>
      </c>
      <c r="D1635" t="s">
        <v>14</v>
      </c>
      <c r="E1635" t="s">
        <v>855</v>
      </c>
      <c r="F1635" t="s">
        <v>28</v>
      </c>
      <c r="G1635">
        <v>3</v>
      </c>
      <c r="H1635">
        <v>2147.69</v>
      </c>
      <c r="I1635">
        <v>5</v>
      </c>
      <c r="J1635">
        <v>1502.88</v>
      </c>
      <c r="K1635" t="s">
        <v>17</v>
      </c>
      <c r="L1635" t="s">
        <v>37</v>
      </c>
      <c r="M1635">
        <f t="shared" si="125"/>
        <v>6120.9164999999994</v>
      </c>
      <c r="N1635">
        <f t="shared" si="126"/>
        <v>1612.276499999999</v>
      </c>
      <c r="O1635" t="str">
        <f t="shared" si="127"/>
        <v>Monday</v>
      </c>
      <c r="P1635" t="b">
        <f t="shared" si="128"/>
        <v>0</v>
      </c>
      <c r="Q1635" t="str">
        <f t="shared" si="129"/>
        <v>December</v>
      </c>
    </row>
    <row r="1636" spans="1:17" x14ac:dyDescent="0.4">
      <c r="A1636" t="s">
        <v>2017</v>
      </c>
      <c r="B1636" s="1">
        <v>45821</v>
      </c>
      <c r="C1636" t="s">
        <v>273</v>
      </c>
      <c r="D1636" t="s">
        <v>46</v>
      </c>
      <c r="E1636" t="s">
        <v>381</v>
      </c>
      <c r="F1636" t="s">
        <v>16</v>
      </c>
      <c r="G1636">
        <v>2</v>
      </c>
      <c r="H1636">
        <v>1475.31</v>
      </c>
      <c r="I1636">
        <v>15</v>
      </c>
      <c r="J1636">
        <v>955.52</v>
      </c>
      <c r="K1636" t="s">
        <v>17</v>
      </c>
      <c r="L1636" t="s">
        <v>37</v>
      </c>
      <c r="M1636">
        <f t="shared" si="125"/>
        <v>2508.027</v>
      </c>
      <c r="N1636">
        <f t="shared" si="126"/>
        <v>596.98700000000008</v>
      </c>
      <c r="O1636" t="str">
        <f t="shared" si="127"/>
        <v>Friday</v>
      </c>
      <c r="P1636" t="b">
        <f t="shared" si="128"/>
        <v>0</v>
      </c>
      <c r="Q1636" t="str">
        <f t="shared" si="129"/>
        <v>June</v>
      </c>
    </row>
    <row r="1637" spans="1:17" x14ac:dyDescent="0.4">
      <c r="A1637" t="s">
        <v>2018</v>
      </c>
      <c r="B1637" s="1">
        <v>45321</v>
      </c>
      <c r="C1637" t="s">
        <v>100</v>
      </c>
      <c r="D1637" t="s">
        <v>21</v>
      </c>
      <c r="E1637" t="s">
        <v>850</v>
      </c>
      <c r="F1637" t="s">
        <v>16</v>
      </c>
      <c r="G1637">
        <v>1</v>
      </c>
      <c r="H1637">
        <v>2226.41</v>
      </c>
      <c r="I1637">
        <v>10</v>
      </c>
      <c r="J1637">
        <v>1547.38</v>
      </c>
      <c r="K1637" t="s">
        <v>24</v>
      </c>
      <c r="L1637" t="s">
        <v>33</v>
      </c>
      <c r="M1637">
        <f t="shared" si="125"/>
        <v>2003.769</v>
      </c>
      <c r="N1637">
        <f t="shared" si="126"/>
        <v>456.3889999999999</v>
      </c>
      <c r="O1637" t="str">
        <f t="shared" si="127"/>
        <v>Tuesday</v>
      </c>
      <c r="P1637" t="b">
        <f t="shared" si="128"/>
        <v>0</v>
      </c>
      <c r="Q1637" t="str">
        <f t="shared" si="129"/>
        <v>January</v>
      </c>
    </row>
    <row r="1638" spans="1:17" x14ac:dyDescent="0.4">
      <c r="A1638" t="s">
        <v>2019</v>
      </c>
      <c r="B1638" s="1">
        <v>45484</v>
      </c>
      <c r="C1638" t="s">
        <v>182</v>
      </c>
      <c r="D1638" t="s">
        <v>46</v>
      </c>
      <c r="E1638" t="s">
        <v>1019</v>
      </c>
      <c r="F1638" t="s">
        <v>23</v>
      </c>
      <c r="G1638">
        <v>4</v>
      </c>
      <c r="H1638">
        <v>2882.06</v>
      </c>
      <c r="I1638">
        <v>30</v>
      </c>
      <c r="J1638">
        <v>1722.2</v>
      </c>
      <c r="K1638" t="s">
        <v>24</v>
      </c>
      <c r="L1638" t="s">
        <v>37</v>
      </c>
      <c r="M1638">
        <f t="shared" si="125"/>
        <v>8069.7679999999991</v>
      </c>
      <c r="N1638">
        <f t="shared" si="126"/>
        <v>1180.9679999999989</v>
      </c>
      <c r="O1638" t="str">
        <f t="shared" si="127"/>
        <v>Thursday</v>
      </c>
      <c r="P1638" t="b">
        <f t="shared" si="128"/>
        <v>0</v>
      </c>
      <c r="Q1638" t="str">
        <f t="shared" si="129"/>
        <v>July</v>
      </c>
    </row>
    <row r="1639" spans="1:17" x14ac:dyDescent="0.4">
      <c r="A1639" t="s">
        <v>2020</v>
      </c>
      <c r="B1639" s="1">
        <v>45449</v>
      </c>
      <c r="C1639" t="s">
        <v>179</v>
      </c>
      <c r="D1639" t="s">
        <v>46</v>
      </c>
      <c r="E1639" t="s">
        <v>307</v>
      </c>
      <c r="F1639" t="s">
        <v>16</v>
      </c>
      <c r="G1639">
        <v>1</v>
      </c>
      <c r="H1639">
        <v>1342.21</v>
      </c>
      <c r="I1639">
        <v>15</v>
      </c>
      <c r="J1639">
        <v>744.15</v>
      </c>
      <c r="K1639" t="s">
        <v>17</v>
      </c>
      <c r="L1639" t="s">
        <v>33</v>
      </c>
      <c r="M1639">
        <f t="shared" si="125"/>
        <v>1140.8785</v>
      </c>
      <c r="N1639">
        <f t="shared" si="126"/>
        <v>396.72850000000005</v>
      </c>
      <c r="O1639" t="str">
        <f t="shared" si="127"/>
        <v>Thursday</v>
      </c>
      <c r="P1639" t="b">
        <f t="shared" si="128"/>
        <v>0</v>
      </c>
      <c r="Q1639" t="str">
        <f t="shared" si="129"/>
        <v>June</v>
      </c>
    </row>
    <row r="1640" spans="1:17" x14ac:dyDescent="0.4">
      <c r="A1640" t="s">
        <v>2021</v>
      </c>
      <c r="B1640" s="1">
        <v>45662</v>
      </c>
      <c r="C1640" t="s">
        <v>182</v>
      </c>
      <c r="D1640" t="s">
        <v>14</v>
      </c>
      <c r="E1640" t="s">
        <v>1170</v>
      </c>
      <c r="F1640" t="s">
        <v>28</v>
      </c>
      <c r="G1640">
        <v>1</v>
      </c>
      <c r="H1640">
        <v>691.66</v>
      </c>
      <c r="I1640">
        <v>30</v>
      </c>
      <c r="J1640">
        <v>336.55</v>
      </c>
      <c r="K1640" t="s">
        <v>24</v>
      </c>
      <c r="L1640" t="s">
        <v>33</v>
      </c>
      <c r="M1640">
        <f t="shared" si="125"/>
        <v>484.16199999999992</v>
      </c>
      <c r="N1640">
        <f t="shared" si="126"/>
        <v>147.61199999999991</v>
      </c>
      <c r="O1640" t="str">
        <f t="shared" si="127"/>
        <v>Sunday</v>
      </c>
      <c r="P1640" t="b">
        <f t="shared" si="128"/>
        <v>1</v>
      </c>
      <c r="Q1640" t="str">
        <f t="shared" si="129"/>
        <v>January</v>
      </c>
    </row>
    <row r="1641" spans="1:17" x14ac:dyDescent="0.4">
      <c r="A1641" t="s">
        <v>2022</v>
      </c>
      <c r="B1641" s="1">
        <v>45329</v>
      </c>
      <c r="C1641" t="s">
        <v>45</v>
      </c>
      <c r="D1641" t="s">
        <v>14</v>
      </c>
      <c r="E1641" t="s">
        <v>409</v>
      </c>
      <c r="F1641" t="s">
        <v>23</v>
      </c>
      <c r="G1641">
        <v>1</v>
      </c>
      <c r="H1641">
        <v>2346.85</v>
      </c>
      <c r="I1641">
        <v>30</v>
      </c>
      <c r="J1641">
        <v>1577.81</v>
      </c>
      <c r="K1641" t="s">
        <v>17</v>
      </c>
      <c r="L1641" t="s">
        <v>18</v>
      </c>
      <c r="M1641">
        <f t="shared" si="125"/>
        <v>1642.7949999999998</v>
      </c>
      <c r="N1641">
        <f t="shared" si="126"/>
        <v>64.9849999999999</v>
      </c>
      <c r="O1641" t="str">
        <f t="shared" si="127"/>
        <v>Wednesday</v>
      </c>
      <c r="P1641" t="b">
        <f t="shared" si="128"/>
        <v>0</v>
      </c>
      <c r="Q1641" t="str">
        <f t="shared" si="129"/>
        <v>February</v>
      </c>
    </row>
    <row r="1642" spans="1:17" x14ac:dyDescent="0.4">
      <c r="A1642" t="s">
        <v>2023</v>
      </c>
      <c r="B1642" s="1">
        <v>45926</v>
      </c>
      <c r="C1642" t="s">
        <v>122</v>
      </c>
      <c r="D1642" t="s">
        <v>14</v>
      </c>
      <c r="E1642" t="s">
        <v>117</v>
      </c>
      <c r="F1642" t="s">
        <v>28</v>
      </c>
      <c r="G1642">
        <v>3</v>
      </c>
      <c r="H1642">
        <v>1147.3399999999999</v>
      </c>
      <c r="I1642">
        <v>20</v>
      </c>
      <c r="J1642">
        <v>637.74</v>
      </c>
      <c r="K1642" t="s">
        <v>17</v>
      </c>
      <c r="L1642" t="s">
        <v>18</v>
      </c>
      <c r="M1642">
        <f t="shared" si="125"/>
        <v>2753.616</v>
      </c>
      <c r="N1642">
        <f t="shared" si="126"/>
        <v>840.39599999999996</v>
      </c>
      <c r="O1642" t="str">
        <f t="shared" si="127"/>
        <v>Friday</v>
      </c>
      <c r="P1642" t="b">
        <f t="shared" si="128"/>
        <v>0</v>
      </c>
      <c r="Q1642" t="str">
        <f t="shared" si="129"/>
        <v>September</v>
      </c>
    </row>
    <row r="1643" spans="1:17" x14ac:dyDescent="0.4">
      <c r="A1643" t="s">
        <v>2024</v>
      </c>
      <c r="B1643" s="1">
        <v>45533</v>
      </c>
      <c r="C1643" t="s">
        <v>65</v>
      </c>
      <c r="D1643" t="s">
        <v>14</v>
      </c>
      <c r="E1643" t="s">
        <v>475</v>
      </c>
      <c r="F1643" t="s">
        <v>16</v>
      </c>
      <c r="G1643">
        <v>1</v>
      </c>
      <c r="H1643">
        <v>2675.27</v>
      </c>
      <c r="I1643">
        <v>0</v>
      </c>
      <c r="J1643">
        <v>1823.16</v>
      </c>
      <c r="K1643" t="s">
        <v>17</v>
      </c>
      <c r="L1643" t="s">
        <v>18</v>
      </c>
      <c r="M1643">
        <f t="shared" si="125"/>
        <v>2675.27</v>
      </c>
      <c r="N1643">
        <f t="shared" si="126"/>
        <v>852.1099999999999</v>
      </c>
      <c r="O1643" t="str">
        <f t="shared" si="127"/>
        <v>Thursday</v>
      </c>
      <c r="P1643" t="b">
        <f t="shared" si="128"/>
        <v>0</v>
      </c>
      <c r="Q1643" t="str">
        <f t="shared" si="129"/>
        <v>August</v>
      </c>
    </row>
    <row r="1644" spans="1:17" x14ac:dyDescent="0.4">
      <c r="A1644" t="s">
        <v>2025</v>
      </c>
      <c r="B1644" s="1">
        <v>45399</v>
      </c>
      <c r="C1644" t="s">
        <v>224</v>
      </c>
      <c r="D1644" t="s">
        <v>46</v>
      </c>
      <c r="E1644" t="s">
        <v>730</v>
      </c>
      <c r="F1644" t="s">
        <v>23</v>
      </c>
      <c r="G1644">
        <v>5</v>
      </c>
      <c r="H1644">
        <v>1308.24</v>
      </c>
      <c r="I1644">
        <v>10</v>
      </c>
      <c r="J1644">
        <v>612.71</v>
      </c>
      <c r="K1644" t="s">
        <v>24</v>
      </c>
      <c r="L1644" t="s">
        <v>33</v>
      </c>
      <c r="M1644">
        <f t="shared" si="125"/>
        <v>5887.08</v>
      </c>
      <c r="N1644">
        <f t="shared" si="126"/>
        <v>2823.5299999999997</v>
      </c>
      <c r="O1644" t="str">
        <f t="shared" si="127"/>
        <v>Wednesday</v>
      </c>
      <c r="P1644" t="b">
        <f t="shared" si="128"/>
        <v>0</v>
      </c>
      <c r="Q1644" t="str">
        <f t="shared" si="129"/>
        <v>April</v>
      </c>
    </row>
    <row r="1645" spans="1:17" x14ac:dyDescent="0.4">
      <c r="A1645" t="s">
        <v>2026</v>
      </c>
      <c r="B1645" s="1">
        <v>45912</v>
      </c>
      <c r="C1645" t="s">
        <v>128</v>
      </c>
      <c r="D1645" t="s">
        <v>46</v>
      </c>
      <c r="E1645" t="s">
        <v>557</v>
      </c>
      <c r="F1645" t="s">
        <v>16</v>
      </c>
      <c r="G1645">
        <v>5</v>
      </c>
      <c r="H1645">
        <v>1927.7</v>
      </c>
      <c r="I1645">
        <v>25</v>
      </c>
      <c r="J1645">
        <v>775.01</v>
      </c>
      <c r="K1645" t="s">
        <v>24</v>
      </c>
      <c r="L1645" t="s">
        <v>33</v>
      </c>
      <c r="M1645">
        <f t="shared" si="125"/>
        <v>7228.875</v>
      </c>
      <c r="N1645">
        <f t="shared" si="126"/>
        <v>3353.8249999999998</v>
      </c>
      <c r="O1645" t="str">
        <f t="shared" si="127"/>
        <v>Friday</v>
      </c>
      <c r="P1645" t="b">
        <f t="shared" si="128"/>
        <v>0</v>
      </c>
      <c r="Q1645" t="str">
        <f t="shared" si="129"/>
        <v>September</v>
      </c>
    </row>
    <row r="1646" spans="1:17" x14ac:dyDescent="0.4">
      <c r="A1646" t="s">
        <v>2027</v>
      </c>
      <c r="B1646" s="1">
        <v>45508</v>
      </c>
      <c r="C1646" t="s">
        <v>273</v>
      </c>
      <c r="D1646" t="s">
        <v>21</v>
      </c>
      <c r="E1646" t="s">
        <v>665</v>
      </c>
      <c r="F1646" t="s">
        <v>28</v>
      </c>
      <c r="G1646">
        <v>4</v>
      </c>
      <c r="H1646">
        <v>796.42</v>
      </c>
      <c r="I1646">
        <v>20</v>
      </c>
      <c r="J1646">
        <v>350.67</v>
      </c>
      <c r="K1646" t="s">
        <v>17</v>
      </c>
      <c r="L1646" t="s">
        <v>37</v>
      </c>
      <c r="M1646">
        <f t="shared" si="125"/>
        <v>2548.5439999999999</v>
      </c>
      <c r="N1646">
        <f t="shared" si="126"/>
        <v>1145.8639999999998</v>
      </c>
      <c r="O1646" t="str">
        <f t="shared" si="127"/>
        <v>Sunday</v>
      </c>
      <c r="P1646" t="b">
        <f t="shared" si="128"/>
        <v>1</v>
      </c>
      <c r="Q1646" t="str">
        <f t="shared" si="129"/>
        <v>August</v>
      </c>
    </row>
    <row r="1647" spans="1:17" x14ac:dyDescent="0.4">
      <c r="A1647" t="s">
        <v>2028</v>
      </c>
      <c r="B1647" s="1">
        <v>45533</v>
      </c>
      <c r="C1647" t="s">
        <v>149</v>
      </c>
      <c r="D1647" t="s">
        <v>14</v>
      </c>
      <c r="E1647" t="s">
        <v>153</v>
      </c>
      <c r="F1647" t="s">
        <v>23</v>
      </c>
      <c r="G1647">
        <v>1</v>
      </c>
      <c r="H1647">
        <v>1889.14</v>
      </c>
      <c r="I1647">
        <v>25</v>
      </c>
      <c r="J1647">
        <v>874.11</v>
      </c>
      <c r="K1647" t="s">
        <v>17</v>
      </c>
      <c r="L1647" t="s">
        <v>33</v>
      </c>
      <c r="M1647">
        <f t="shared" si="125"/>
        <v>1416.855</v>
      </c>
      <c r="N1647">
        <f t="shared" si="126"/>
        <v>542.745</v>
      </c>
      <c r="O1647" t="str">
        <f t="shared" si="127"/>
        <v>Thursday</v>
      </c>
      <c r="P1647" t="b">
        <f t="shared" si="128"/>
        <v>0</v>
      </c>
      <c r="Q1647" t="str">
        <f t="shared" si="129"/>
        <v>August</v>
      </c>
    </row>
    <row r="1648" spans="1:17" x14ac:dyDescent="0.4">
      <c r="A1648" t="s">
        <v>2029</v>
      </c>
      <c r="B1648" s="1">
        <v>45748</v>
      </c>
      <c r="C1648" t="s">
        <v>296</v>
      </c>
      <c r="D1648" t="s">
        <v>46</v>
      </c>
      <c r="E1648" t="s">
        <v>855</v>
      </c>
      <c r="F1648" t="s">
        <v>16</v>
      </c>
      <c r="G1648">
        <v>3</v>
      </c>
      <c r="H1648">
        <v>1122.28</v>
      </c>
      <c r="I1648">
        <v>25</v>
      </c>
      <c r="J1648">
        <v>669.4</v>
      </c>
      <c r="K1648" t="s">
        <v>24</v>
      </c>
      <c r="L1648" t="s">
        <v>33</v>
      </c>
      <c r="M1648">
        <f t="shared" si="125"/>
        <v>2525.13</v>
      </c>
      <c r="N1648">
        <f t="shared" si="126"/>
        <v>516.93000000000029</v>
      </c>
      <c r="O1648" t="str">
        <f t="shared" si="127"/>
        <v>Tuesday</v>
      </c>
      <c r="P1648" t="b">
        <f t="shared" si="128"/>
        <v>0</v>
      </c>
      <c r="Q1648" t="str">
        <f t="shared" si="129"/>
        <v>April</v>
      </c>
    </row>
    <row r="1649" spans="1:17" x14ac:dyDescent="0.4">
      <c r="A1649" t="s">
        <v>2030</v>
      </c>
      <c r="B1649" s="1">
        <v>45310</v>
      </c>
      <c r="C1649" t="s">
        <v>159</v>
      </c>
      <c r="D1649" t="s">
        <v>21</v>
      </c>
      <c r="E1649" t="s">
        <v>352</v>
      </c>
      <c r="F1649" t="s">
        <v>23</v>
      </c>
      <c r="G1649">
        <v>5</v>
      </c>
      <c r="H1649">
        <v>2384.2199999999998</v>
      </c>
      <c r="I1649">
        <v>25</v>
      </c>
      <c r="J1649">
        <v>1121.04</v>
      </c>
      <c r="K1649" t="s">
        <v>24</v>
      </c>
      <c r="L1649" t="s">
        <v>33</v>
      </c>
      <c r="M1649">
        <f t="shared" si="125"/>
        <v>8940.8249999999989</v>
      </c>
      <c r="N1649">
        <f t="shared" si="126"/>
        <v>3335.6249999999991</v>
      </c>
      <c r="O1649" t="str">
        <f t="shared" si="127"/>
        <v>Friday</v>
      </c>
      <c r="P1649" t="b">
        <f t="shared" si="128"/>
        <v>0</v>
      </c>
      <c r="Q1649" t="str">
        <f t="shared" si="129"/>
        <v>January</v>
      </c>
    </row>
    <row r="1650" spans="1:17" x14ac:dyDescent="0.4">
      <c r="A1650" t="s">
        <v>2031</v>
      </c>
      <c r="B1650" s="1">
        <v>45406</v>
      </c>
      <c r="C1650" t="s">
        <v>149</v>
      </c>
      <c r="D1650" t="s">
        <v>21</v>
      </c>
      <c r="E1650" t="s">
        <v>627</v>
      </c>
      <c r="F1650" t="s">
        <v>28</v>
      </c>
      <c r="G1650">
        <v>3</v>
      </c>
      <c r="H1650">
        <v>1263.1500000000001</v>
      </c>
      <c r="I1650">
        <v>5</v>
      </c>
      <c r="J1650">
        <v>666.12</v>
      </c>
      <c r="K1650" t="s">
        <v>17</v>
      </c>
      <c r="L1650" t="s">
        <v>18</v>
      </c>
      <c r="M1650">
        <f t="shared" si="125"/>
        <v>3599.9775</v>
      </c>
      <c r="N1650">
        <f t="shared" si="126"/>
        <v>1601.6174999999998</v>
      </c>
      <c r="O1650" t="str">
        <f t="shared" si="127"/>
        <v>Wednesday</v>
      </c>
      <c r="P1650" t="b">
        <f t="shared" si="128"/>
        <v>0</v>
      </c>
      <c r="Q1650" t="str">
        <f t="shared" si="129"/>
        <v>April</v>
      </c>
    </row>
    <row r="1651" spans="1:17" x14ac:dyDescent="0.4">
      <c r="A1651" t="s">
        <v>2032</v>
      </c>
      <c r="B1651" s="1">
        <v>45404</v>
      </c>
      <c r="C1651" t="s">
        <v>62</v>
      </c>
      <c r="D1651" t="s">
        <v>21</v>
      </c>
      <c r="E1651" t="s">
        <v>958</v>
      </c>
      <c r="F1651" t="s">
        <v>23</v>
      </c>
      <c r="G1651">
        <v>5</v>
      </c>
      <c r="H1651">
        <v>662.69</v>
      </c>
      <c r="I1651">
        <v>15</v>
      </c>
      <c r="J1651">
        <v>377.64</v>
      </c>
      <c r="K1651" t="s">
        <v>24</v>
      </c>
      <c r="L1651" t="s">
        <v>18</v>
      </c>
      <c r="M1651">
        <f t="shared" si="125"/>
        <v>2816.4325000000003</v>
      </c>
      <c r="N1651">
        <f t="shared" si="126"/>
        <v>928.23250000000053</v>
      </c>
      <c r="O1651" t="str">
        <f t="shared" si="127"/>
        <v>Monday</v>
      </c>
      <c r="P1651" t="b">
        <f t="shared" si="128"/>
        <v>0</v>
      </c>
      <c r="Q1651" t="str">
        <f t="shared" si="129"/>
        <v>April</v>
      </c>
    </row>
    <row r="1652" spans="1:17" x14ac:dyDescent="0.4">
      <c r="A1652" t="s">
        <v>2033</v>
      </c>
      <c r="B1652" s="1">
        <v>45481</v>
      </c>
      <c r="C1652" t="s">
        <v>86</v>
      </c>
      <c r="D1652" t="s">
        <v>14</v>
      </c>
      <c r="E1652" t="s">
        <v>157</v>
      </c>
      <c r="F1652" t="s">
        <v>28</v>
      </c>
      <c r="G1652">
        <v>5</v>
      </c>
      <c r="H1652">
        <v>2648.38</v>
      </c>
      <c r="I1652">
        <v>10</v>
      </c>
      <c r="J1652">
        <v>1343.12</v>
      </c>
      <c r="K1652" t="s">
        <v>17</v>
      </c>
      <c r="L1652" t="s">
        <v>33</v>
      </c>
      <c r="M1652">
        <f t="shared" si="125"/>
        <v>11917.710000000001</v>
      </c>
      <c r="N1652">
        <f t="shared" si="126"/>
        <v>5202.1100000000015</v>
      </c>
      <c r="O1652" t="str">
        <f t="shared" si="127"/>
        <v>Monday</v>
      </c>
      <c r="P1652" t="b">
        <f t="shared" si="128"/>
        <v>0</v>
      </c>
      <c r="Q1652" t="str">
        <f t="shared" si="129"/>
        <v>July</v>
      </c>
    </row>
    <row r="1653" spans="1:17" x14ac:dyDescent="0.4">
      <c r="A1653" t="s">
        <v>2034</v>
      </c>
      <c r="B1653" s="1">
        <v>45559</v>
      </c>
      <c r="C1653" t="s">
        <v>267</v>
      </c>
      <c r="D1653" t="s">
        <v>31</v>
      </c>
      <c r="E1653" t="s">
        <v>194</v>
      </c>
      <c r="F1653" t="s">
        <v>23</v>
      </c>
      <c r="G1653">
        <v>4</v>
      </c>
      <c r="H1653">
        <v>789.09</v>
      </c>
      <c r="I1653">
        <v>20</v>
      </c>
      <c r="J1653">
        <v>429.95</v>
      </c>
      <c r="K1653" t="s">
        <v>24</v>
      </c>
      <c r="L1653" t="s">
        <v>18</v>
      </c>
      <c r="M1653">
        <f t="shared" si="125"/>
        <v>2525.0880000000002</v>
      </c>
      <c r="N1653">
        <f t="shared" si="126"/>
        <v>805.28800000000024</v>
      </c>
      <c r="O1653" t="str">
        <f t="shared" si="127"/>
        <v>Tuesday</v>
      </c>
      <c r="P1653" t="b">
        <f t="shared" si="128"/>
        <v>0</v>
      </c>
      <c r="Q1653" t="str">
        <f t="shared" si="129"/>
        <v>September</v>
      </c>
    </row>
    <row r="1654" spans="1:17" x14ac:dyDescent="0.4">
      <c r="A1654" t="s">
        <v>2035</v>
      </c>
      <c r="B1654" s="1">
        <v>45691</v>
      </c>
      <c r="C1654" t="s">
        <v>98</v>
      </c>
      <c r="D1654" t="s">
        <v>31</v>
      </c>
      <c r="E1654" t="s">
        <v>1057</v>
      </c>
      <c r="F1654" t="s">
        <v>16</v>
      </c>
      <c r="G1654">
        <v>2</v>
      </c>
      <c r="H1654">
        <v>2191.25</v>
      </c>
      <c r="I1654">
        <v>10</v>
      </c>
      <c r="J1654">
        <v>1439.19</v>
      </c>
      <c r="K1654" t="s">
        <v>17</v>
      </c>
      <c r="L1654" t="s">
        <v>18</v>
      </c>
      <c r="M1654">
        <f t="shared" si="125"/>
        <v>3944.25</v>
      </c>
      <c r="N1654">
        <f t="shared" si="126"/>
        <v>1065.8699999999999</v>
      </c>
      <c r="O1654" t="str">
        <f t="shared" si="127"/>
        <v>Monday</v>
      </c>
      <c r="P1654" t="b">
        <f t="shared" si="128"/>
        <v>0</v>
      </c>
      <c r="Q1654" t="str">
        <f t="shared" si="129"/>
        <v>February</v>
      </c>
    </row>
    <row r="1655" spans="1:17" x14ac:dyDescent="0.4">
      <c r="A1655" t="s">
        <v>2036</v>
      </c>
      <c r="B1655" s="1">
        <v>45877</v>
      </c>
      <c r="C1655" t="s">
        <v>159</v>
      </c>
      <c r="D1655" t="s">
        <v>46</v>
      </c>
      <c r="E1655" t="s">
        <v>916</v>
      </c>
      <c r="F1655" t="s">
        <v>23</v>
      </c>
      <c r="G1655">
        <v>3</v>
      </c>
      <c r="H1655">
        <v>2511.23</v>
      </c>
      <c r="I1655">
        <v>0</v>
      </c>
      <c r="J1655">
        <v>1506.32</v>
      </c>
      <c r="K1655" t="s">
        <v>24</v>
      </c>
      <c r="L1655" t="s">
        <v>18</v>
      </c>
      <c r="M1655">
        <f t="shared" si="125"/>
        <v>7533.6900000000005</v>
      </c>
      <c r="N1655">
        <f t="shared" si="126"/>
        <v>3014.7300000000005</v>
      </c>
      <c r="O1655" t="str">
        <f t="shared" si="127"/>
        <v>Friday</v>
      </c>
      <c r="P1655" t="b">
        <f t="shared" si="128"/>
        <v>0</v>
      </c>
      <c r="Q1655" t="str">
        <f t="shared" si="129"/>
        <v>August</v>
      </c>
    </row>
    <row r="1656" spans="1:17" x14ac:dyDescent="0.4">
      <c r="A1656" t="s">
        <v>2037</v>
      </c>
      <c r="B1656" s="1">
        <v>45871</v>
      </c>
      <c r="C1656" t="s">
        <v>42</v>
      </c>
      <c r="D1656" t="s">
        <v>14</v>
      </c>
      <c r="E1656" t="s">
        <v>387</v>
      </c>
      <c r="F1656" t="s">
        <v>23</v>
      </c>
      <c r="G1656">
        <v>4</v>
      </c>
      <c r="H1656">
        <v>2222.34</v>
      </c>
      <c r="I1656">
        <v>20</v>
      </c>
      <c r="J1656">
        <v>1416.88</v>
      </c>
      <c r="K1656" t="s">
        <v>17</v>
      </c>
      <c r="L1656" t="s">
        <v>33</v>
      </c>
      <c r="M1656">
        <f t="shared" si="125"/>
        <v>7111.4880000000012</v>
      </c>
      <c r="N1656">
        <f t="shared" si="126"/>
        <v>1443.9680000000008</v>
      </c>
      <c r="O1656" t="str">
        <f t="shared" si="127"/>
        <v>Saturday</v>
      </c>
      <c r="P1656" t="b">
        <f t="shared" si="128"/>
        <v>1</v>
      </c>
      <c r="Q1656" t="str">
        <f t="shared" si="129"/>
        <v>August</v>
      </c>
    </row>
    <row r="1657" spans="1:17" x14ac:dyDescent="0.4">
      <c r="A1657" t="s">
        <v>2038</v>
      </c>
      <c r="B1657" s="1">
        <v>45902</v>
      </c>
      <c r="C1657" t="s">
        <v>251</v>
      </c>
      <c r="D1657" t="s">
        <v>31</v>
      </c>
      <c r="E1657" t="s">
        <v>72</v>
      </c>
      <c r="F1657" t="s">
        <v>28</v>
      </c>
      <c r="G1657">
        <v>2</v>
      </c>
      <c r="H1657">
        <v>2857.39</v>
      </c>
      <c r="I1657">
        <v>5</v>
      </c>
      <c r="J1657">
        <v>1671.05</v>
      </c>
      <c r="K1657" t="s">
        <v>24</v>
      </c>
      <c r="L1657" t="s">
        <v>37</v>
      </c>
      <c r="M1657">
        <f t="shared" si="125"/>
        <v>5429.0409999999993</v>
      </c>
      <c r="N1657">
        <f t="shared" si="126"/>
        <v>2086.9409999999993</v>
      </c>
      <c r="O1657" t="str">
        <f t="shared" si="127"/>
        <v>Tuesday</v>
      </c>
      <c r="P1657" t="b">
        <f t="shared" si="128"/>
        <v>0</v>
      </c>
      <c r="Q1657" t="str">
        <f t="shared" si="129"/>
        <v>September</v>
      </c>
    </row>
    <row r="1658" spans="1:17" x14ac:dyDescent="0.4">
      <c r="A1658" t="s">
        <v>2039</v>
      </c>
      <c r="B1658" s="1">
        <v>45813</v>
      </c>
      <c r="C1658" t="s">
        <v>193</v>
      </c>
      <c r="D1658" t="s">
        <v>46</v>
      </c>
      <c r="E1658" t="s">
        <v>1182</v>
      </c>
      <c r="F1658" t="s">
        <v>16</v>
      </c>
      <c r="G1658">
        <v>4</v>
      </c>
      <c r="H1658">
        <v>2121.4699999999998</v>
      </c>
      <c r="I1658">
        <v>10</v>
      </c>
      <c r="J1658">
        <v>1482.46</v>
      </c>
      <c r="K1658" t="s">
        <v>17</v>
      </c>
      <c r="L1658" t="s">
        <v>37</v>
      </c>
      <c r="M1658">
        <f t="shared" si="125"/>
        <v>7637.2919999999995</v>
      </c>
      <c r="N1658">
        <f t="shared" si="126"/>
        <v>1707.4519999999993</v>
      </c>
      <c r="O1658" t="str">
        <f t="shared" si="127"/>
        <v>Thursday</v>
      </c>
      <c r="P1658" t="b">
        <f t="shared" si="128"/>
        <v>0</v>
      </c>
      <c r="Q1658" t="str">
        <f t="shared" si="129"/>
        <v>June</v>
      </c>
    </row>
    <row r="1659" spans="1:17" x14ac:dyDescent="0.4">
      <c r="A1659" t="s">
        <v>2040</v>
      </c>
      <c r="B1659" s="1">
        <v>45788</v>
      </c>
      <c r="C1659" t="s">
        <v>84</v>
      </c>
      <c r="D1659" t="s">
        <v>31</v>
      </c>
      <c r="E1659" t="s">
        <v>1182</v>
      </c>
      <c r="F1659" t="s">
        <v>23</v>
      </c>
      <c r="G1659">
        <v>4</v>
      </c>
      <c r="H1659">
        <v>851.52</v>
      </c>
      <c r="I1659">
        <v>20</v>
      </c>
      <c r="J1659">
        <v>370.24</v>
      </c>
      <c r="K1659" t="s">
        <v>17</v>
      </c>
      <c r="L1659" t="s">
        <v>33</v>
      </c>
      <c r="M1659">
        <f t="shared" si="125"/>
        <v>2724.864</v>
      </c>
      <c r="N1659">
        <f t="shared" si="126"/>
        <v>1243.904</v>
      </c>
      <c r="O1659" t="str">
        <f t="shared" si="127"/>
        <v>Sunday</v>
      </c>
      <c r="P1659" t="b">
        <f t="shared" si="128"/>
        <v>1</v>
      </c>
      <c r="Q1659" t="str">
        <f t="shared" si="129"/>
        <v>May</v>
      </c>
    </row>
    <row r="1660" spans="1:17" x14ac:dyDescent="0.4">
      <c r="A1660" t="s">
        <v>2041</v>
      </c>
      <c r="B1660" s="1">
        <v>45901</v>
      </c>
      <c r="C1660" t="s">
        <v>128</v>
      </c>
      <c r="D1660" t="s">
        <v>14</v>
      </c>
      <c r="E1660" t="s">
        <v>973</v>
      </c>
      <c r="F1660" t="s">
        <v>28</v>
      </c>
      <c r="G1660">
        <v>5</v>
      </c>
      <c r="H1660">
        <v>2165.15</v>
      </c>
      <c r="I1660">
        <v>5</v>
      </c>
      <c r="J1660">
        <v>1096.28</v>
      </c>
      <c r="K1660" t="s">
        <v>17</v>
      </c>
      <c r="L1660" t="s">
        <v>33</v>
      </c>
      <c r="M1660">
        <f t="shared" si="125"/>
        <v>10284.4625</v>
      </c>
      <c r="N1660">
        <f t="shared" si="126"/>
        <v>4803.0625</v>
      </c>
      <c r="O1660" t="str">
        <f t="shared" si="127"/>
        <v>Monday</v>
      </c>
      <c r="P1660" t="b">
        <f t="shared" si="128"/>
        <v>0</v>
      </c>
      <c r="Q1660" t="str">
        <f t="shared" si="129"/>
        <v>September</v>
      </c>
    </row>
    <row r="1661" spans="1:17" x14ac:dyDescent="0.4">
      <c r="A1661" t="s">
        <v>2042</v>
      </c>
      <c r="B1661" s="1">
        <v>45691</v>
      </c>
      <c r="C1661" t="s">
        <v>98</v>
      </c>
      <c r="D1661" t="s">
        <v>14</v>
      </c>
      <c r="E1661" t="s">
        <v>394</v>
      </c>
      <c r="F1661" t="s">
        <v>16</v>
      </c>
      <c r="G1661">
        <v>2</v>
      </c>
      <c r="H1661">
        <v>484.84</v>
      </c>
      <c r="I1661">
        <v>25</v>
      </c>
      <c r="J1661">
        <v>313.60000000000002</v>
      </c>
      <c r="K1661" t="s">
        <v>24</v>
      </c>
      <c r="L1661" t="s">
        <v>18</v>
      </c>
      <c r="M1661">
        <f t="shared" si="125"/>
        <v>727.26</v>
      </c>
      <c r="N1661">
        <f t="shared" si="126"/>
        <v>100.05999999999995</v>
      </c>
      <c r="O1661" t="str">
        <f t="shared" si="127"/>
        <v>Monday</v>
      </c>
      <c r="P1661" t="b">
        <f t="shared" si="128"/>
        <v>0</v>
      </c>
      <c r="Q1661" t="str">
        <f t="shared" si="129"/>
        <v>February</v>
      </c>
    </row>
    <row r="1662" spans="1:17" x14ac:dyDescent="0.4">
      <c r="A1662" t="s">
        <v>2043</v>
      </c>
      <c r="B1662" s="1">
        <v>45379</v>
      </c>
      <c r="C1662" t="s">
        <v>89</v>
      </c>
      <c r="D1662" t="s">
        <v>46</v>
      </c>
      <c r="E1662" t="s">
        <v>186</v>
      </c>
      <c r="F1662" t="s">
        <v>23</v>
      </c>
      <c r="G1662">
        <v>3</v>
      </c>
      <c r="H1662">
        <v>511.55</v>
      </c>
      <c r="I1662">
        <v>25</v>
      </c>
      <c r="J1662">
        <v>220.16</v>
      </c>
      <c r="K1662" t="s">
        <v>24</v>
      </c>
      <c r="L1662" t="s">
        <v>37</v>
      </c>
      <c r="M1662">
        <f t="shared" si="125"/>
        <v>1150.9875000000002</v>
      </c>
      <c r="N1662">
        <f t="shared" si="126"/>
        <v>490.50750000000016</v>
      </c>
      <c r="O1662" t="str">
        <f t="shared" si="127"/>
        <v>Thursday</v>
      </c>
      <c r="P1662" t="b">
        <f t="shared" si="128"/>
        <v>0</v>
      </c>
      <c r="Q1662" t="str">
        <f t="shared" si="129"/>
        <v>March</v>
      </c>
    </row>
    <row r="1663" spans="1:17" x14ac:dyDescent="0.4">
      <c r="A1663" t="s">
        <v>2044</v>
      </c>
      <c r="B1663" s="1">
        <v>45302</v>
      </c>
      <c r="C1663" t="s">
        <v>68</v>
      </c>
      <c r="D1663" t="s">
        <v>31</v>
      </c>
      <c r="E1663" t="s">
        <v>142</v>
      </c>
      <c r="F1663" t="s">
        <v>28</v>
      </c>
      <c r="G1663">
        <v>5</v>
      </c>
      <c r="H1663">
        <v>983.2</v>
      </c>
      <c r="I1663">
        <v>20</v>
      </c>
      <c r="J1663">
        <v>622.5</v>
      </c>
      <c r="K1663" t="s">
        <v>17</v>
      </c>
      <c r="L1663" t="s">
        <v>37</v>
      </c>
      <c r="M1663">
        <f t="shared" si="125"/>
        <v>3932.8</v>
      </c>
      <c r="N1663">
        <f t="shared" si="126"/>
        <v>820.30000000000018</v>
      </c>
      <c r="O1663" t="str">
        <f t="shared" si="127"/>
        <v>Thursday</v>
      </c>
      <c r="P1663" t="b">
        <f t="shared" si="128"/>
        <v>0</v>
      </c>
      <c r="Q1663" t="str">
        <f t="shared" si="129"/>
        <v>January</v>
      </c>
    </row>
    <row r="1664" spans="1:17" x14ac:dyDescent="0.4">
      <c r="A1664" t="s">
        <v>2045</v>
      </c>
      <c r="B1664" s="1">
        <v>45341</v>
      </c>
      <c r="C1664" t="s">
        <v>122</v>
      </c>
      <c r="D1664" t="s">
        <v>21</v>
      </c>
      <c r="E1664" t="s">
        <v>110</v>
      </c>
      <c r="F1664" t="s">
        <v>23</v>
      </c>
      <c r="G1664">
        <v>3</v>
      </c>
      <c r="H1664">
        <v>2051.2399999999998</v>
      </c>
      <c r="I1664">
        <v>20</v>
      </c>
      <c r="J1664">
        <v>1294.6300000000001</v>
      </c>
      <c r="K1664" t="s">
        <v>17</v>
      </c>
      <c r="L1664" t="s">
        <v>33</v>
      </c>
      <c r="M1664">
        <f t="shared" si="125"/>
        <v>4922.9759999999997</v>
      </c>
      <c r="N1664">
        <f t="shared" si="126"/>
        <v>1039.0859999999993</v>
      </c>
      <c r="O1664" t="str">
        <f t="shared" si="127"/>
        <v>Monday</v>
      </c>
      <c r="P1664" t="b">
        <f t="shared" si="128"/>
        <v>0</v>
      </c>
      <c r="Q1664" t="str">
        <f t="shared" si="129"/>
        <v>February</v>
      </c>
    </row>
    <row r="1665" spans="1:17" x14ac:dyDescent="0.4">
      <c r="A1665" t="s">
        <v>2046</v>
      </c>
      <c r="B1665" s="1">
        <v>45463</v>
      </c>
      <c r="C1665" t="s">
        <v>182</v>
      </c>
      <c r="D1665" t="s">
        <v>31</v>
      </c>
      <c r="E1665" t="s">
        <v>450</v>
      </c>
      <c r="F1665" t="s">
        <v>16</v>
      </c>
      <c r="G1665">
        <v>3</v>
      </c>
      <c r="H1665">
        <v>1288.57</v>
      </c>
      <c r="I1665">
        <v>25</v>
      </c>
      <c r="J1665">
        <v>875.19</v>
      </c>
      <c r="K1665" t="s">
        <v>17</v>
      </c>
      <c r="L1665" t="s">
        <v>18</v>
      </c>
      <c r="M1665">
        <f t="shared" si="125"/>
        <v>2899.2825000000003</v>
      </c>
      <c r="N1665">
        <f t="shared" si="126"/>
        <v>273.71250000000009</v>
      </c>
      <c r="O1665" t="str">
        <f t="shared" si="127"/>
        <v>Thursday</v>
      </c>
      <c r="P1665" t="b">
        <f t="shared" si="128"/>
        <v>0</v>
      </c>
      <c r="Q1665" t="str">
        <f t="shared" si="129"/>
        <v>June</v>
      </c>
    </row>
    <row r="1666" spans="1:17" x14ac:dyDescent="0.4">
      <c r="A1666" t="s">
        <v>2047</v>
      </c>
      <c r="B1666" s="1">
        <v>45303</v>
      </c>
      <c r="C1666" t="s">
        <v>30</v>
      </c>
      <c r="D1666" t="s">
        <v>21</v>
      </c>
      <c r="E1666" t="s">
        <v>1248</v>
      </c>
      <c r="F1666" t="s">
        <v>16</v>
      </c>
      <c r="G1666">
        <v>4</v>
      </c>
      <c r="H1666">
        <v>1360.66</v>
      </c>
      <c r="I1666">
        <v>30</v>
      </c>
      <c r="J1666">
        <v>739.52</v>
      </c>
      <c r="K1666" t="s">
        <v>17</v>
      </c>
      <c r="L1666" t="s">
        <v>18</v>
      </c>
      <c r="M1666">
        <f t="shared" si="125"/>
        <v>3809.848</v>
      </c>
      <c r="N1666">
        <f t="shared" si="126"/>
        <v>851.76800000000003</v>
      </c>
      <c r="O1666" t="str">
        <f t="shared" si="127"/>
        <v>Friday</v>
      </c>
      <c r="P1666" t="b">
        <f t="shared" si="128"/>
        <v>0</v>
      </c>
      <c r="Q1666" t="str">
        <f t="shared" si="129"/>
        <v>January</v>
      </c>
    </row>
    <row r="1667" spans="1:17" x14ac:dyDescent="0.4">
      <c r="A1667" t="s">
        <v>2048</v>
      </c>
      <c r="B1667" s="1">
        <v>45869</v>
      </c>
      <c r="C1667" t="s">
        <v>251</v>
      </c>
      <c r="D1667" t="s">
        <v>21</v>
      </c>
      <c r="E1667" t="s">
        <v>212</v>
      </c>
      <c r="F1667" t="s">
        <v>28</v>
      </c>
      <c r="G1667">
        <v>5</v>
      </c>
      <c r="H1667">
        <v>649.16999999999996</v>
      </c>
      <c r="I1667">
        <v>30</v>
      </c>
      <c r="J1667">
        <v>429.67</v>
      </c>
      <c r="K1667" t="s">
        <v>17</v>
      </c>
      <c r="L1667" t="s">
        <v>18</v>
      </c>
      <c r="M1667">
        <f t="shared" ref="M1667:M1730" si="130">G1667 * H1667 * (1 - I1667/100)</f>
        <v>2272.0949999999998</v>
      </c>
      <c r="N1667">
        <f t="shared" ref="N1667:N1730" si="131">M1667 - (J1667 * G1667)</f>
        <v>123.74499999999989</v>
      </c>
      <c r="O1667" t="str">
        <f t="shared" ref="O1667:O1730" si="132">TEXT(B1667,"dddd")</f>
        <v>Thursday</v>
      </c>
      <c r="P1667" t="b">
        <f t="shared" ref="P1667:P1730" si="133">OR(TEXT(B1667,"ddd")="Sat", TEXT(B1667,"ddd")="Sun")</f>
        <v>0</v>
      </c>
      <c r="Q1667" t="str">
        <f t="shared" ref="Q1667:Q1730" si="134">TEXT(B1667,"mmmm")</f>
        <v>July</v>
      </c>
    </row>
    <row r="1668" spans="1:17" x14ac:dyDescent="0.4">
      <c r="A1668" t="s">
        <v>2049</v>
      </c>
      <c r="B1668" s="1">
        <v>45670</v>
      </c>
      <c r="C1668" t="s">
        <v>71</v>
      </c>
      <c r="D1668" t="s">
        <v>14</v>
      </c>
      <c r="E1668" t="s">
        <v>299</v>
      </c>
      <c r="F1668" t="s">
        <v>28</v>
      </c>
      <c r="G1668">
        <v>1</v>
      </c>
      <c r="H1668">
        <v>2815.13</v>
      </c>
      <c r="I1668">
        <v>25</v>
      </c>
      <c r="J1668">
        <v>1225.46</v>
      </c>
      <c r="K1668" t="s">
        <v>24</v>
      </c>
      <c r="L1668" t="s">
        <v>37</v>
      </c>
      <c r="M1668">
        <f t="shared" si="130"/>
        <v>2111.3474999999999</v>
      </c>
      <c r="N1668">
        <f t="shared" si="131"/>
        <v>885.88749999999982</v>
      </c>
      <c r="O1668" t="str">
        <f t="shared" si="132"/>
        <v>Monday</v>
      </c>
      <c r="P1668" t="b">
        <f t="shared" si="133"/>
        <v>0</v>
      </c>
      <c r="Q1668" t="str">
        <f t="shared" si="134"/>
        <v>January</v>
      </c>
    </row>
    <row r="1669" spans="1:17" x14ac:dyDescent="0.4">
      <c r="A1669" t="s">
        <v>2050</v>
      </c>
      <c r="B1669" s="1">
        <v>45556</v>
      </c>
      <c r="C1669" t="s">
        <v>74</v>
      </c>
      <c r="D1669" t="s">
        <v>31</v>
      </c>
      <c r="E1669" t="s">
        <v>115</v>
      </c>
      <c r="F1669" t="s">
        <v>16</v>
      </c>
      <c r="G1669">
        <v>5</v>
      </c>
      <c r="H1669">
        <v>381.84</v>
      </c>
      <c r="I1669">
        <v>5</v>
      </c>
      <c r="J1669">
        <v>188.77</v>
      </c>
      <c r="K1669" t="s">
        <v>24</v>
      </c>
      <c r="L1669" t="s">
        <v>33</v>
      </c>
      <c r="M1669">
        <f t="shared" si="130"/>
        <v>1813.7399999999998</v>
      </c>
      <c r="N1669">
        <f t="shared" si="131"/>
        <v>869.88999999999976</v>
      </c>
      <c r="O1669" t="str">
        <f t="shared" si="132"/>
        <v>Saturday</v>
      </c>
      <c r="P1669" t="b">
        <f t="shared" si="133"/>
        <v>1</v>
      </c>
      <c r="Q1669" t="str">
        <f t="shared" si="134"/>
        <v>September</v>
      </c>
    </row>
    <row r="1670" spans="1:17" x14ac:dyDescent="0.4">
      <c r="A1670" t="s">
        <v>2051</v>
      </c>
      <c r="B1670" s="1">
        <v>45893</v>
      </c>
      <c r="C1670" t="s">
        <v>45</v>
      </c>
      <c r="D1670" t="s">
        <v>46</v>
      </c>
      <c r="E1670" t="s">
        <v>218</v>
      </c>
      <c r="F1670" t="s">
        <v>16</v>
      </c>
      <c r="G1670">
        <v>5</v>
      </c>
      <c r="H1670">
        <v>2423.21</v>
      </c>
      <c r="I1670">
        <v>10</v>
      </c>
      <c r="J1670">
        <v>1337.16</v>
      </c>
      <c r="K1670" t="s">
        <v>24</v>
      </c>
      <c r="L1670" t="s">
        <v>33</v>
      </c>
      <c r="M1670">
        <f t="shared" si="130"/>
        <v>10904.445</v>
      </c>
      <c r="N1670">
        <f t="shared" si="131"/>
        <v>4218.6449999999995</v>
      </c>
      <c r="O1670" t="str">
        <f t="shared" si="132"/>
        <v>Sunday</v>
      </c>
      <c r="P1670" t="b">
        <f t="shared" si="133"/>
        <v>1</v>
      </c>
      <c r="Q1670" t="str">
        <f t="shared" si="134"/>
        <v>August</v>
      </c>
    </row>
    <row r="1671" spans="1:17" x14ac:dyDescent="0.4">
      <c r="A1671" t="s">
        <v>2052</v>
      </c>
      <c r="B1671" s="1">
        <v>45553</v>
      </c>
      <c r="C1671" t="s">
        <v>54</v>
      </c>
      <c r="D1671" t="s">
        <v>21</v>
      </c>
      <c r="E1671" t="s">
        <v>1273</v>
      </c>
      <c r="F1671" t="s">
        <v>28</v>
      </c>
      <c r="G1671">
        <v>2</v>
      </c>
      <c r="H1671">
        <v>833.61</v>
      </c>
      <c r="I1671">
        <v>30</v>
      </c>
      <c r="J1671">
        <v>425.57</v>
      </c>
      <c r="K1671" t="s">
        <v>17</v>
      </c>
      <c r="L1671" t="s">
        <v>37</v>
      </c>
      <c r="M1671">
        <f t="shared" si="130"/>
        <v>1167.0539999999999</v>
      </c>
      <c r="N1671">
        <f t="shared" si="131"/>
        <v>315.91399999999987</v>
      </c>
      <c r="O1671" t="str">
        <f t="shared" si="132"/>
        <v>Wednesday</v>
      </c>
      <c r="P1671" t="b">
        <f t="shared" si="133"/>
        <v>0</v>
      </c>
      <c r="Q1671" t="str">
        <f t="shared" si="134"/>
        <v>September</v>
      </c>
    </row>
    <row r="1672" spans="1:17" x14ac:dyDescent="0.4">
      <c r="A1672" t="s">
        <v>2053</v>
      </c>
      <c r="B1672" s="1">
        <v>45819</v>
      </c>
      <c r="C1672" t="s">
        <v>185</v>
      </c>
      <c r="D1672" t="s">
        <v>14</v>
      </c>
      <c r="E1672" t="s">
        <v>900</v>
      </c>
      <c r="F1672" t="s">
        <v>28</v>
      </c>
      <c r="G1672">
        <v>2</v>
      </c>
      <c r="H1672">
        <v>700.16</v>
      </c>
      <c r="I1672">
        <v>10</v>
      </c>
      <c r="J1672">
        <v>486.39</v>
      </c>
      <c r="K1672" t="s">
        <v>24</v>
      </c>
      <c r="L1672" t="s">
        <v>33</v>
      </c>
      <c r="M1672">
        <f t="shared" si="130"/>
        <v>1260.288</v>
      </c>
      <c r="N1672">
        <f t="shared" si="131"/>
        <v>287.50800000000004</v>
      </c>
      <c r="O1672" t="str">
        <f t="shared" si="132"/>
        <v>Wednesday</v>
      </c>
      <c r="P1672" t="b">
        <f t="shared" si="133"/>
        <v>0</v>
      </c>
      <c r="Q1672" t="str">
        <f t="shared" si="134"/>
        <v>June</v>
      </c>
    </row>
    <row r="1673" spans="1:17" x14ac:dyDescent="0.4">
      <c r="A1673" t="s">
        <v>2054</v>
      </c>
      <c r="B1673" s="1">
        <v>45756</v>
      </c>
      <c r="C1673" t="s">
        <v>193</v>
      </c>
      <c r="D1673" t="s">
        <v>21</v>
      </c>
      <c r="E1673" t="s">
        <v>667</v>
      </c>
      <c r="F1673" t="s">
        <v>28</v>
      </c>
      <c r="G1673">
        <v>1</v>
      </c>
      <c r="H1673">
        <v>2482.39</v>
      </c>
      <c r="I1673">
        <v>25</v>
      </c>
      <c r="J1673">
        <v>1448.01</v>
      </c>
      <c r="K1673" t="s">
        <v>24</v>
      </c>
      <c r="L1673" t="s">
        <v>18</v>
      </c>
      <c r="M1673">
        <f t="shared" si="130"/>
        <v>1861.7925</v>
      </c>
      <c r="N1673">
        <f t="shared" si="131"/>
        <v>413.78250000000003</v>
      </c>
      <c r="O1673" t="str">
        <f t="shared" si="132"/>
        <v>Wednesday</v>
      </c>
      <c r="P1673" t="b">
        <f t="shared" si="133"/>
        <v>0</v>
      </c>
      <c r="Q1673" t="str">
        <f t="shared" si="134"/>
        <v>April</v>
      </c>
    </row>
    <row r="1674" spans="1:17" x14ac:dyDescent="0.4">
      <c r="A1674" t="s">
        <v>2055</v>
      </c>
      <c r="B1674" s="1">
        <v>45891</v>
      </c>
      <c r="C1674" t="s">
        <v>84</v>
      </c>
      <c r="D1674" t="s">
        <v>21</v>
      </c>
      <c r="E1674" t="s">
        <v>1118</v>
      </c>
      <c r="F1674" t="s">
        <v>23</v>
      </c>
      <c r="G1674">
        <v>3</v>
      </c>
      <c r="H1674">
        <v>649.16</v>
      </c>
      <c r="I1674">
        <v>5</v>
      </c>
      <c r="J1674">
        <v>449.17</v>
      </c>
      <c r="K1674" t="s">
        <v>17</v>
      </c>
      <c r="L1674" t="s">
        <v>37</v>
      </c>
      <c r="M1674">
        <f t="shared" si="130"/>
        <v>1850.106</v>
      </c>
      <c r="N1674">
        <f t="shared" si="131"/>
        <v>502.596</v>
      </c>
      <c r="O1674" t="str">
        <f t="shared" si="132"/>
        <v>Friday</v>
      </c>
      <c r="P1674" t="b">
        <f t="shared" si="133"/>
        <v>0</v>
      </c>
      <c r="Q1674" t="str">
        <f t="shared" si="134"/>
        <v>August</v>
      </c>
    </row>
    <row r="1675" spans="1:17" x14ac:dyDescent="0.4">
      <c r="A1675" t="s">
        <v>2056</v>
      </c>
      <c r="B1675" s="1">
        <v>45962</v>
      </c>
      <c r="C1675" t="s">
        <v>457</v>
      </c>
      <c r="D1675" t="s">
        <v>21</v>
      </c>
      <c r="E1675" t="s">
        <v>458</v>
      </c>
      <c r="F1675" t="s">
        <v>23</v>
      </c>
      <c r="G1675">
        <v>4</v>
      </c>
      <c r="H1675">
        <v>2894.87</v>
      </c>
      <c r="I1675">
        <v>15</v>
      </c>
      <c r="J1675">
        <v>1233.54</v>
      </c>
      <c r="K1675" t="s">
        <v>24</v>
      </c>
      <c r="L1675" t="s">
        <v>18</v>
      </c>
      <c r="M1675">
        <f t="shared" si="130"/>
        <v>9842.5579999999991</v>
      </c>
      <c r="N1675">
        <f t="shared" si="131"/>
        <v>4908.3979999999992</v>
      </c>
      <c r="O1675" t="str">
        <f t="shared" si="132"/>
        <v>Saturday</v>
      </c>
      <c r="P1675" t="b">
        <f t="shared" si="133"/>
        <v>1</v>
      </c>
      <c r="Q1675" t="str">
        <f t="shared" si="134"/>
        <v>November</v>
      </c>
    </row>
    <row r="1676" spans="1:17" x14ac:dyDescent="0.4">
      <c r="A1676" t="s">
        <v>2057</v>
      </c>
      <c r="B1676" s="1">
        <v>45503</v>
      </c>
      <c r="C1676" t="s">
        <v>286</v>
      </c>
      <c r="D1676" t="s">
        <v>46</v>
      </c>
      <c r="E1676" t="s">
        <v>313</v>
      </c>
      <c r="F1676" t="s">
        <v>16</v>
      </c>
      <c r="G1676">
        <v>4</v>
      </c>
      <c r="H1676">
        <v>2956.87</v>
      </c>
      <c r="I1676">
        <v>5</v>
      </c>
      <c r="J1676">
        <v>1240.9100000000001</v>
      </c>
      <c r="K1676" t="s">
        <v>17</v>
      </c>
      <c r="L1676" t="s">
        <v>33</v>
      </c>
      <c r="M1676">
        <f t="shared" si="130"/>
        <v>11236.106</v>
      </c>
      <c r="N1676">
        <f t="shared" si="131"/>
        <v>6272.4659999999994</v>
      </c>
      <c r="O1676" t="str">
        <f t="shared" si="132"/>
        <v>Tuesday</v>
      </c>
      <c r="P1676" t="b">
        <f t="shared" si="133"/>
        <v>0</v>
      </c>
      <c r="Q1676" t="str">
        <f t="shared" si="134"/>
        <v>July</v>
      </c>
    </row>
    <row r="1677" spans="1:17" x14ac:dyDescent="0.4">
      <c r="A1677" t="s">
        <v>2058</v>
      </c>
      <c r="B1677" s="1">
        <v>45576</v>
      </c>
      <c r="C1677" t="s">
        <v>309</v>
      </c>
      <c r="D1677" t="s">
        <v>14</v>
      </c>
      <c r="E1677" t="s">
        <v>115</v>
      </c>
      <c r="F1677" t="s">
        <v>28</v>
      </c>
      <c r="G1677">
        <v>3</v>
      </c>
      <c r="H1677">
        <v>1307.3599999999999</v>
      </c>
      <c r="I1677">
        <v>30</v>
      </c>
      <c r="J1677">
        <v>833.77</v>
      </c>
      <c r="K1677" t="s">
        <v>24</v>
      </c>
      <c r="L1677" t="s">
        <v>18</v>
      </c>
      <c r="M1677">
        <f t="shared" si="130"/>
        <v>2745.4559999999997</v>
      </c>
      <c r="N1677">
        <f t="shared" si="131"/>
        <v>244.14599999999973</v>
      </c>
      <c r="O1677" t="str">
        <f t="shared" si="132"/>
        <v>Friday</v>
      </c>
      <c r="P1677" t="b">
        <f t="shared" si="133"/>
        <v>0</v>
      </c>
      <c r="Q1677" t="str">
        <f t="shared" si="134"/>
        <v>October</v>
      </c>
    </row>
    <row r="1678" spans="1:17" x14ac:dyDescent="0.4">
      <c r="A1678" t="s">
        <v>2059</v>
      </c>
      <c r="B1678" s="1">
        <v>45899</v>
      </c>
      <c r="C1678" t="s">
        <v>122</v>
      </c>
      <c r="D1678" t="s">
        <v>31</v>
      </c>
      <c r="E1678" t="s">
        <v>43</v>
      </c>
      <c r="F1678" t="s">
        <v>23</v>
      </c>
      <c r="G1678">
        <v>2</v>
      </c>
      <c r="H1678">
        <v>1653.48</v>
      </c>
      <c r="I1678">
        <v>15</v>
      </c>
      <c r="J1678">
        <v>895</v>
      </c>
      <c r="K1678" t="s">
        <v>17</v>
      </c>
      <c r="L1678" t="s">
        <v>18</v>
      </c>
      <c r="M1678">
        <f t="shared" si="130"/>
        <v>2810.9160000000002</v>
      </c>
      <c r="N1678">
        <f t="shared" si="131"/>
        <v>1020.9160000000002</v>
      </c>
      <c r="O1678" t="str">
        <f t="shared" si="132"/>
        <v>Saturday</v>
      </c>
      <c r="P1678" t="b">
        <f t="shared" si="133"/>
        <v>1</v>
      </c>
      <c r="Q1678" t="str">
        <f t="shared" si="134"/>
        <v>August</v>
      </c>
    </row>
    <row r="1679" spans="1:17" x14ac:dyDescent="0.4">
      <c r="A1679" t="s">
        <v>2060</v>
      </c>
      <c r="B1679" s="1">
        <v>45742</v>
      </c>
      <c r="C1679" t="s">
        <v>193</v>
      </c>
      <c r="D1679" t="s">
        <v>46</v>
      </c>
      <c r="E1679" t="s">
        <v>579</v>
      </c>
      <c r="F1679" t="s">
        <v>16</v>
      </c>
      <c r="G1679">
        <v>5</v>
      </c>
      <c r="H1679">
        <v>1132.96</v>
      </c>
      <c r="I1679">
        <v>20</v>
      </c>
      <c r="J1679">
        <v>703.11</v>
      </c>
      <c r="K1679" t="s">
        <v>17</v>
      </c>
      <c r="L1679" t="s">
        <v>33</v>
      </c>
      <c r="M1679">
        <f t="shared" si="130"/>
        <v>4531.84</v>
      </c>
      <c r="N1679">
        <f t="shared" si="131"/>
        <v>1016.29</v>
      </c>
      <c r="O1679" t="str">
        <f t="shared" si="132"/>
        <v>Wednesday</v>
      </c>
      <c r="P1679" t="b">
        <f t="shared" si="133"/>
        <v>0</v>
      </c>
      <c r="Q1679" t="str">
        <f t="shared" si="134"/>
        <v>March</v>
      </c>
    </row>
    <row r="1680" spans="1:17" x14ac:dyDescent="0.4">
      <c r="A1680" t="s">
        <v>2061</v>
      </c>
      <c r="B1680" s="1">
        <v>45719</v>
      </c>
      <c r="C1680" t="s">
        <v>182</v>
      </c>
      <c r="D1680" t="s">
        <v>46</v>
      </c>
      <c r="E1680" t="s">
        <v>690</v>
      </c>
      <c r="F1680" t="s">
        <v>16</v>
      </c>
      <c r="G1680">
        <v>2</v>
      </c>
      <c r="H1680">
        <v>457.56</v>
      </c>
      <c r="I1680">
        <v>30</v>
      </c>
      <c r="J1680">
        <v>303.89</v>
      </c>
      <c r="K1680" t="s">
        <v>24</v>
      </c>
      <c r="L1680" t="s">
        <v>33</v>
      </c>
      <c r="M1680">
        <f t="shared" si="130"/>
        <v>640.58399999999995</v>
      </c>
      <c r="N1680">
        <f t="shared" si="131"/>
        <v>32.803999999999974</v>
      </c>
      <c r="O1680" t="str">
        <f t="shared" si="132"/>
        <v>Monday</v>
      </c>
      <c r="P1680" t="b">
        <f t="shared" si="133"/>
        <v>0</v>
      </c>
      <c r="Q1680" t="str">
        <f t="shared" si="134"/>
        <v>March</v>
      </c>
    </row>
    <row r="1681" spans="1:17" x14ac:dyDescent="0.4">
      <c r="A1681" t="s">
        <v>2062</v>
      </c>
      <c r="B1681" s="1">
        <v>45589</v>
      </c>
      <c r="C1681" t="s">
        <v>269</v>
      </c>
      <c r="D1681" t="s">
        <v>46</v>
      </c>
      <c r="E1681" t="s">
        <v>123</v>
      </c>
      <c r="F1681" t="s">
        <v>28</v>
      </c>
      <c r="G1681">
        <v>5</v>
      </c>
      <c r="H1681">
        <v>2272.88</v>
      </c>
      <c r="I1681">
        <v>0</v>
      </c>
      <c r="J1681">
        <v>1012.08</v>
      </c>
      <c r="K1681" t="s">
        <v>17</v>
      </c>
      <c r="L1681" t="s">
        <v>33</v>
      </c>
      <c r="M1681">
        <f t="shared" si="130"/>
        <v>11364.400000000001</v>
      </c>
      <c r="N1681">
        <f t="shared" si="131"/>
        <v>6304.0000000000009</v>
      </c>
      <c r="O1681" t="str">
        <f t="shared" si="132"/>
        <v>Thursday</v>
      </c>
      <c r="P1681" t="b">
        <f t="shared" si="133"/>
        <v>0</v>
      </c>
      <c r="Q1681" t="str">
        <f t="shared" si="134"/>
        <v>October</v>
      </c>
    </row>
    <row r="1682" spans="1:17" x14ac:dyDescent="0.4">
      <c r="A1682" t="s">
        <v>2063</v>
      </c>
      <c r="B1682" s="1">
        <v>45593</v>
      </c>
      <c r="C1682" t="s">
        <v>267</v>
      </c>
      <c r="D1682" t="s">
        <v>14</v>
      </c>
      <c r="E1682" t="s">
        <v>354</v>
      </c>
      <c r="F1682" t="s">
        <v>23</v>
      </c>
      <c r="G1682">
        <v>1</v>
      </c>
      <c r="H1682">
        <v>1544.25</v>
      </c>
      <c r="I1682">
        <v>20</v>
      </c>
      <c r="J1682">
        <v>762.42</v>
      </c>
      <c r="K1682" t="s">
        <v>24</v>
      </c>
      <c r="L1682" t="s">
        <v>18</v>
      </c>
      <c r="M1682">
        <f t="shared" si="130"/>
        <v>1235.4000000000001</v>
      </c>
      <c r="N1682">
        <f t="shared" si="131"/>
        <v>472.98000000000013</v>
      </c>
      <c r="O1682" t="str">
        <f t="shared" si="132"/>
        <v>Monday</v>
      </c>
      <c r="P1682" t="b">
        <f t="shared" si="133"/>
        <v>0</v>
      </c>
      <c r="Q1682" t="str">
        <f t="shared" si="134"/>
        <v>October</v>
      </c>
    </row>
    <row r="1683" spans="1:17" x14ac:dyDescent="0.4">
      <c r="A1683" t="s">
        <v>2064</v>
      </c>
      <c r="B1683" s="1">
        <v>45509</v>
      </c>
      <c r="C1683" t="s">
        <v>39</v>
      </c>
      <c r="D1683" t="s">
        <v>31</v>
      </c>
      <c r="E1683" t="s">
        <v>1614</v>
      </c>
      <c r="F1683" t="s">
        <v>28</v>
      </c>
      <c r="G1683">
        <v>3</v>
      </c>
      <c r="H1683">
        <v>2804.59</v>
      </c>
      <c r="I1683">
        <v>0</v>
      </c>
      <c r="J1683">
        <v>1873.06</v>
      </c>
      <c r="K1683" t="s">
        <v>17</v>
      </c>
      <c r="L1683" t="s">
        <v>18</v>
      </c>
      <c r="M1683">
        <f t="shared" si="130"/>
        <v>8413.77</v>
      </c>
      <c r="N1683">
        <f t="shared" si="131"/>
        <v>2794.59</v>
      </c>
      <c r="O1683" t="str">
        <f t="shared" si="132"/>
        <v>Monday</v>
      </c>
      <c r="P1683" t="b">
        <f t="shared" si="133"/>
        <v>0</v>
      </c>
      <c r="Q1683" t="str">
        <f t="shared" si="134"/>
        <v>August</v>
      </c>
    </row>
    <row r="1684" spans="1:17" x14ac:dyDescent="0.4">
      <c r="A1684" t="s">
        <v>2065</v>
      </c>
      <c r="B1684" s="1">
        <v>45913</v>
      </c>
      <c r="C1684" t="s">
        <v>144</v>
      </c>
      <c r="D1684" t="s">
        <v>31</v>
      </c>
      <c r="E1684" t="s">
        <v>561</v>
      </c>
      <c r="F1684" t="s">
        <v>16</v>
      </c>
      <c r="G1684">
        <v>5</v>
      </c>
      <c r="H1684">
        <v>2980.33</v>
      </c>
      <c r="I1684">
        <v>30</v>
      </c>
      <c r="J1684">
        <v>1757.67</v>
      </c>
      <c r="K1684" t="s">
        <v>17</v>
      </c>
      <c r="L1684" t="s">
        <v>37</v>
      </c>
      <c r="M1684">
        <f t="shared" si="130"/>
        <v>10431.154999999999</v>
      </c>
      <c r="N1684">
        <f t="shared" si="131"/>
        <v>1642.8049999999985</v>
      </c>
      <c r="O1684" t="str">
        <f t="shared" si="132"/>
        <v>Saturday</v>
      </c>
      <c r="P1684" t="b">
        <f t="shared" si="133"/>
        <v>1</v>
      </c>
      <c r="Q1684" t="str">
        <f t="shared" si="134"/>
        <v>September</v>
      </c>
    </row>
    <row r="1685" spans="1:17" x14ac:dyDescent="0.4">
      <c r="A1685" t="s">
        <v>2066</v>
      </c>
      <c r="B1685" s="1">
        <v>45856</v>
      </c>
      <c r="C1685" t="s">
        <v>149</v>
      </c>
      <c r="D1685" t="s">
        <v>31</v>
      </c>
      <c r="E1685" t="s">
        <v>1016</v>
      </c>
      <c r="F1685" t="s">
        <v>28</v>
      </c>
      <c r="G1685">
        <v>1</v>
      </c>
      <c r="H1685">
        <v>2531.02</v>
      </c>
      <c r="I1685">
        <v>25</v>
      </c>
      <c r="J1685">
        <v>1725.59</v>
      </c>
      <c r="K1685" t="s">
        <v>24</v>
      </c>
      <c r="L1685" t="s">
        <v>18</v>
      </c>
      <c r="M1685">
        <f t="shared" si="130"/>
        <v>1898.2649999999999</v>
      </c>
      <c r="N1685">
        <f t="shared" si="131"/>
        <v>172.67499999999995</v>
      </c>
      <c r="O1685" t="str">
        <f t="shared" si="132"/>
        <v>Friday</v>
      </c>
      <c r="P1685" t="b">
        <f t="shared" si="133"/>
        <v>0</v>
      </c>
      <c r="Q1685" t="str">
        <f t="shared" si="134"/>
        <v>July</v>
      </c>
    </row>
    <row r="1686" spans="1:17" x14ac:dyDescent="0.4">
      <c r="A1686" t="s">
        <v>2067</v>
      </c>
      <c r="B1686" s="1">
        <v>45966</v>
      </c>
      <c r="C1686" t="s">
        <v>171</v>
      </c>
      <c r="D1686" t="s">
        <v>21</v>
      </c>
      <c r="E1686" t="s">
        <v>243</v>
      </c>
      <c r="F1686" t="s">
        <v>28</v>
      </c>
      <c r="G1686">
        <v>5</v>
      </c>
      <c r="H1686">
        <v>1691.09</v>
      </c>
      <c r="I1686">
        <v>0</v>
      </c>
      <c r="J1686">
        <v>1118.92</v>
      </c>
      <c r="K1686" t="s">
        <v>17</v>
      </c>
      <c r="L1686" t="s">
        <v>37</v>
      </c>
      <c r="M1686">
        <f t="shared" si="130"/>
        <v>8455.4499999999989</v>
      </c>
      <c r="N1686">
        <f t="shared" si="131"/>
        <v>2860.8499999999985</v>
      </c>
      <c r="O1686" t="str">
        <f t="shared" si="132"/>
        <v>Wednesday</v>
      </c>
      <c r="P1686" t="b">
        <f t="shared" si="133"/>
        <v>0</v>
      </c>
      <c r="Q1686" t="str">
        <f t="shared" si="134"/>
        <v>November</v>
      </c>
    </row>
    <row r="1687" spans="1:17" x14ac:dyDescent="0.4">
      <c r="A1687" t="s">
        <v>2068</v>
      </c>
      <c r="B1687" s="1">
        <v>45499</v>
      </c>
      <c r="C1687" t="s">
        <v>185</v>
      </c>
      <c r="D1687" t="s">
        <v>14</v>
      </c>
      <c r="E1687" t="s">
        <v>348</v>
      </c>
      <c r="F1687" t="s">
        <v>16</v>
      </c>
      <c r="G1687">
        <v>2</v>
      </c>
      <c r="H1687">
        <v>2740.18</v>
      </c>
      <c r="I1687">
        <v>30</v>
      </c>
      <c r="J1687">
        <v>1579.01</v>
      </c>
      <c r="K1687" t="s">
        <v>24</v>
      </c>
      <c r="L1687" t="s">
        <v>37</v>
      </c>
      <c r="M1687">
        <f t="shared" si="130"/>
        <v>3836.2519999999995</v>
      </c>
      <c r="N1687">
        <f t="shared" si="131"/>
        <v>678.23199999999952</v>
      </c>
      <c r="O1687" t="str">
        <f t="shared" si="132"/>
        <v>Friday</v>
      </c>
      <c r="P1687" t="b">
        <f t="shared" si="133"/>
        <v>0</v>
      </c>
      <c r="Q1687" t="str">
        <f t="shared" si="134"/>
        <v>July</v>
      </c>
    </row>
    <row r="1688" spans="1:17" x14ac:dyDescent="0.4">
      <c r="A1688" t="s">
        <v>2069</v>
      </c>
      <c r="B1688" s="1">
        <v>45862</v>
      </c>
      <c r="C1688" t="s">
        <v>125</v>
      </c>
      <c r="D1688" t="s">
        <v>46</v>
      </c>
      <c r="E1688" t="s">
        <v>82</v>
      </c>
      <c r="F1688" t="s">
        <v>28</v>
      </c>
      <c r="G1688">
        <v>2</v>
      </c>
      <c r="H1688">
        <v>830.25</v>
      </c>
      <c r="I1688">
        <v>10</v>
      </c>
      <c r="J1688">
        <v>439.24</v>
      </c>
      <c r="K1688" t="s">
        <v>17</v>
      </c>
      <c r="L1688" t="s">
        <v>33</v>
      </c>
      <c r="M1688">
        <f t="shared" si="130"/>
        <v>1494.45</v>
      </c>
      <c r="N1688">
        <f t="shared" si="131"/>
        <v>615.97</v>
      </c>
      <c r="O1688" t="str">
        <f t="shared" si="132"/>
        <v>Thursday</v>
      </c>
      <c r="P1688" t="b">
        <f t="shared" si="133"/>
        <v>0</v>
      </c>
      <c r="Q1688" t="str">
        <f t="shared" si="134"/>
        <v>July</v>
      </c>
    </row>
    <row r="1689" spans="1:17" x14ac:dyDescent="0.4">
      <c r="A1689" t="s">
        <v>2070</v>
      </c>
      <c r="B1689" s="1">
        <v>45423</v>
      </c>
      <c r="C1689" t="s">
        <v>122</v>
      </c>
      <c r="D1689" t="s">
        <v>31</v>
      </c>
      <c r="E1689" t="s">
        <v>464</v>
      </c>
      <c r="F1689" t="s">
        <v>16</v>
      </c>
      <c r="G1689">
        <v>5</v>
      </c>
      <c r="H1689">
        <v>1425.32</v>
      </c>
      <c r="I1689">
        <v>0</v>
      </c>
      <c r="J1689">
        <v>656.42</v>
      </c>
      <c r="K1689" t="s">
        <v>17</v>
      </c>
      <c r="L1689" t="s">
        <v>37</v>
      </c>
      <c r="M1689">
        <f t="shared" si="130"/>
        <v>7126.5999999999995</v>
      </c>
      <c r="N1689">
        <f t="shared" si="131"/>
        <v>3844.4999999999995</v>
      </c>
      <c r="O1689" t="str">
        <f t="shared" si="132"/>
        <v>Saturday</v>
      </c>
      <c r="P1689" t="b">
        <f t="shared" si="133"/>
        <v>1</v>
      </c>
      <c r="Q1689" t="str">
        <f t="shared" si="134"/>
        <v>May</v>
      </c>
    </row>
    <row r="1690" spans="1:17" x14ac:dyDescent="0.4">
      <c r="A1690" t="s">
        <v>2071</v>
      </c>
      <c r="B1690" s="1">
        <v>45684</v>
      </c>
      <c r="C1690" t="s">
        <v>302</v>
      </c>
      <c r="D1690" t="s">
        <v>14</v>
      </c>
      <c r="E1690" t="s">
        <v>1016</v>
      </c>
      <c r="F1690" t="s">
        <v>23</v>
      </c>
      <c r="G1690">
        <v>3</v>
      </c>
      <c r="H1690">
        <v>344.93</v>
      </c>
      <c r="I1690">
        <v>0</v>
      </c>
      <c r="J1690">
        <v>228.34</v>
      </c>
      <c r="K1690" t="s">
        <v>24</v>
      </c>
      <c r="L1690" t="s">
        <v>33</v>
      </c>
      <c r="M1690">
        <f t="shared" si="130"/>
        <v>1034.79</v>
      </c>
      <c r="N1690">
        <f t="shared" si="131"/>
        <v>349.77</v>
      </c>
      <c r="O1690" t="str">
        <f t="shared" si="132"/>
        <v>Monday</v>
      </c>
      <c r="P1690" t="b">
        <f t="shared" si="133"/>
        <v>0</v>
      </c>
      <c r="Q1690" t="str">
        <f t="shared" si="134"/>
        <v>January</v>
      </c>
    </row>
    <row r="1691" spans="1:17" x14ac:dyDescent="0.4">
      <c r="A1691" t="s">
        <v>2072</v>
      </c>
      <c r="B1691" s="1">
        <v>45603</v>
      </c>
      <c r="C1691" t="s">
        <v>51</v>
      </c>
      <c r="D1691" t="s">
        <v>31</v>
      </c>
      <c r="E1691" t="s">
        <v>425</v>
      </c>
      <c r="F1691" t="s">
        <v>16</v>
      </c>
      <c r="G1691">
        <v>3</v>
      </c>
      <c r="H1691">
        <v>1963.33</v>
      </c>
      <c r="I1691">
        <v>25</v>
      </c>
      <c r="J1691">
        <v>1367.98</v>
      </c>
      <c r="K1691" t="s">
        <v>24</v>
      </c>
      <c r="L1691" t="s">
        <v>18</v>
      </c>
      <c r="M1691">
        <f t="shared" si="130"/>
        <v>4417.4925000000003</v>
      </c>
      <c r="N1691">
        <f t="shared" si="131"/>
        <v>313.55249999999978</v>
      </c>
      <c r="O1691" t="str">
        <f t="shared" si="132"/>
        <v>Thursday</v>
      </c>
      <c r="P1691" t="b">
        <f t="shared" si="133"/>
        <v>0</v>
      </c>
      <c r="Q1691" t="str">
        <f t="shared" si="134"/>
        <v>November</v>
      </c>
    </row>
    <row r="1692" spans="1:17" x14ac:dyDescent="0.4">
      <c r="A1692" t="s">
        <v>2073</v>
      </c>
      <c r="B1692" s="1">
        <v>45339</v>
      </c>
      <c r="C1692" t="s">
        <v>463</v>
      </c>
      <c r="D1692" t="s">
        <v>31</v>
      </c>
      <c r="E1692" t="s">
        <v>27</v>
      </c>
      <c r="F1692" t="s">
        <v>28</v>
      </c>
      <c r="G1692">
        <v>4</v>
      </c>
      <c r="H1692">
        <v>2265.58</v>
      </c>
      <c r="I1692">
        <v>25</v>
      </c>
      <c r="J1692">
        <v>1194.77</v>
      </c>
      <c r="K1692" t="s">
        <v>24</v>
      </c>
      <c r="L1692" t="s">
        <v>37</v>
      </c>
      <c r="M1692">
        <f t="shared" si="130"/>
        <v>6796.74</v>
      </c>
      <c r="N1692">
        <f t="shared" si="131"/>
        <v>2017.6599999999999</v>
      </c>
      <c r="O1692" t="str">
        <f t="shared" si="132"/>
        <v>Saturday</v>
      </c>
      <c r="P1692" t="b">
        <f t="shared" si="133"/>
        <v>1</v>
      </c>
      <c r="Q1692" t="str">
        <f t="shared" si="134"/>
        <v>February</v>
      </c>
    </row>
    <row r="1693" spans="1:17" x14ac:dyDescent="0.4">
      <c r="A1693" t="s">
        <v>2074</v>
      </c>
      <c r="B1693" s="1">
        <v>45348</v>
      </c>
      <c r="C1693" t="s">
        <v>39</v>
      </c>
      <c r="D1693" t="s">
        <v>21</v>
      </c>
      <c r="E1693" t="s">
        <v>1019</v>
      </c>
      <c r="F1693" t="s">
        <v>28</v>
      </c>
      <c r="G1693">
        <v>5</v>
      </c>
      <c r="H1693">
        <v>1156.1099999999999</v>
      </c>
      <c r="I1693">
        <v>20</v>
      </c>
      <c r="J1693">
        <v>744.78</v>
      </c>
      <c r="K1693" t="s">
        <v>17</v>
      </c>
      <c r="L1693" t="s">
        <v>33</v>
      </c>
      <c r="M1693">
        <f t="shared" si="130"/>
        <v>4624.4399999999996</v>
      </c>
      <c r="N1693">
        <f t="shared" si="131"/>
        <v>900.54</v>
      </c>
      <c r="O1693" t="str">
        <f t="shared" si="132"/>
        <v>Monday</v>
      </c>
      <c r="P1693" t="b">
        <f t="shared" si="133"/>
        <v>0</v>
      </c>
      <c r="Q1693" t="str">
        <f t="shared" si="134"/>
        <v>February</v>
      </c>
    </row>
    <row r="1694" spans="1:17" x14ac:dyDescent="0.4">
      <c r="A1694" t="s">
        <v>2075</v>
      </c>
      <c r="B1694" s="1">
        <v>45942</v>
      </c>
      <c r="C1694" t="s">
        <v>109</v>
      </c>
      <c r="D1694" t="s">
        <v>21</v>
      </c>
      <c r="E1694" t="s">
        <v>198</v>
      </c>
      <c r="F1694" t="s">
        <v>23</v>
      </c>
      <c r="G1694">
        <v>5</v>
      </c>
      <c r="H1694">
        <v>1192.21</v>
      </c>
      <c r="I1694">
        <v>15</v>
      </c>
      <c r="J1694">
        <v>752.72</v>
      </c>
      <c r="K1694" t="s">
        <v>17</v>
      </c>
      <c r="L1694" t="s">
        <v>37</v>
      </c>
      <c r="M1694">
        <f t="shared" si="130"/>
        <v>5066.8924999999999</v>
      </c>
      <c r="N1694">
        <f t="shared" si="131"/>
        <v>1303.2924999999996</v>
      </c>
      <c r="O1694" t="str">
        <f t="shared" si="132"/>
        <v>Sunday</v>
      </c>
      <c r="P1694" t="b">
        <f t="shared" si="133"/>
        <v>1</v>
      </c>
      <c r="Q1694" t="str">
        <f t="shared" si="134"/>
        <v>October</v>
      </c>
    </row>
    <row r="1695" spans="1:17" x14ac:dyDescent="0.4">
      <c r="A1695" t="s">
        <v>2076</v>
      </c>
      <c r="B1695" s="1">
        <v>45909</v>
      </c>
      <c r="C1695" t="s">
        <v>286</v>
      </c>
      <c r="D1695" t="s">
        <v>31</v>
      </c>
      <c r="E1695" t="s">
        <v>227</v>
      </c>
      <c r="F1695" t="s">
        <v>16</v>
      </c>
      <c r="G1695">
        <v>5</v>
      </c>
      <c r="H1695">
        <v>1955.49</v>
      </c>
      <c r="I1695">
        <v>5</v>
      </c>
      <c r="J1695">
        <v>950.13</v>
      </c>
      <c r="K1695" t="s">
        <v>24</v>
      </c>
      <c r="L1695" t="s">
        <v>18</v>
      </c>
      <c r="M1695">
        <f t="shared" si="130"/>
        <v>9288.5774999999994</v>
      </c>
      <c r="N1695">
        <f t="shared" si="131"/>
        <v>4537.9274999999998</v>
      </c>
      <c r="O1695" t="str">
        <f t="shared" si="132"/>
        <v>Tuesday</v>
      </c>
      <c r="P1695" t="b">
        <f t="shared" si="133"/>
        <v>0</v>
      </c>
      <c r="Q1695" t="str">
        <f t="shared" si="134"/>
        <v>September</v>
      </c>
    </row>
    <row r="1696" spans="1:17" x14ac:dyDescent="0.4">
      <c r="A1696" t="s">
        <v>2077</v>
      </c>
      <c r="B1696" s="1">
        <v>45646</v>
      </c>
      <c r="C1696" t="s">
        <v>89</v>
      </c>
      <c r="D1696" t="s">
        <v>21</v>
      </c>
      <c r="E1696" t="s">
        <v>96</v>
      </c>
      <c r="F1696" t="s">
        <v>16</v>
      </c>
      <c r="G1696">
        <v>4</v>
      </c>
      <c r="H1696">
        <v>993.9</v>
      </c>
      <c r="I1696">
        <v>10</v>
      </c>
      <c r="J1696">
        <v>585.32000000000005</v>
      </c>
      <c r="K1696" t="s">
        <v>17</v>
      </c>
      <c r="L1696" t="s">
        <v>33</v>
      </c>
      <c r="M1696">
        <f t="shared" si="130"/>
        <v>3578.04</v>
      </c>
      <c r="N1696">
        <f t="shared" si="131"/>
        <v>1236.7599999999998</v>
      </c>
      <c r="O1696" t="str">
        <f t="shared" si="132"/>
        <v>Friday</v>
      </c>
      <c r="P1696" t="b">
        <f t="shared" si="133"/>
        <v>0</v>
      </c>
      <c r="Q1696" t="str">
        <f t="shared" si="134"/>
        <v>December</v>
      </c>
    </row>
    <row r="1697" spans="1:17" x14ac:dyDescent="0.4">
      <c r="A1697" t="s">
        <v>2078</v>
      </c>
      <c r="B1697" s="1">
        <v>45651</v>
      </c>
      <c r="C1697" t="s">
        <v>95</v>
      </c>
      <c r="D1697" t="s">
        <v>14</v>
      </c>
      <c r="E1697" t="s">
        <v>160</v>
      </c>
      <c r="F1697" t="s">
        <v>28</v>
      </c>
      <c r="G1697">
        <v>1</v>
      </c>
      <c r="H1697">
        <v>1078.55</v>
      </c>
      <c r="I1697">
        <v>25</v>
      </c>
      <c r="J1697">
        <v>512.61</v>
      </c>
      <c r="K1697" t="s">
        <v>17</v>
      </c>
      <c r="L1697" t="s">
        <v>33</v>
      </c>
      <c r="M1697">
        <f t="shared" si="130"/>
        <v>808.91249999999991</v>
      </c>
      <c r="N1697">
        <f t="shared" si="131"/>
        <v>296.3024999999999</v>
      </c>
      <c r="O1697" t="str">
        <f t="shared" si="132"/>
        <v>Wednesday</v>
      </c>
      <c r="P1697" t="b">
        <f t="shared" si="133"/>
        <v>0</v>
      </c>
      <c r="Q1697" t="str">
        <f t="shared" si="134"/>
        <v>December</v>
      </c>
    </row>
    <row r="1698" spans="1:17" x14ac:dyDescent="0.4">
      <c r="A1698" t="s">
        <v>2079</v>
      </c>
      <c r="B1698" s="1">
        <v>45829</v>
      </c>
      <c r="C1698" t="s">
        <v>269</v>
      </c>
      <c r="D1698" t="s">
        <v>14</v>
      </c>
      <c r="E1698" t="s">
        <v>1065</v>
      </c>
      <c r="F1698" t="s">
        <v>23</v>
      </c>
      <c r="G1698">
        <v>5</v>
      </c>
      <c r="H1698">
        <v>2289.59</v>
      </c>
      <c r="I1698">
        <v>25</v>
      </c>
      <c r="J1698">
        <v>1060.73</v>
      </c>
      <c r="K1698" t="s">
        <v>17</v>
      </c>
      <c r="L1698" t="s">
        <v>33</v>
      </c>
      <c r="M1698">
        <f t="shared" si="130"/>
        <v>8585.9625000000015</v>
      </c>
      <c r="N1698">
        <f t="shared" si="131"/>
        <v>3282.3125000000018</v>
      </c>
      <c r="O1698" t="str">
        <f t="shared" si="132"/>
        <v>Saturday</v>
      </c>
      <c r="P1698" t="b">
        <f t="shared" si="133"/>
        <v>1</v>
      </c>
      <c r="Q1698" t="str">
        <f t="shared" si="134"/>
        <v>June</v>
      </c>
    </row>
    <row r="1699" spans="1:17" x14ac:dyDescent="0.4">
      <c r="A1699" t="s">
        <v>2080</v>
      </c>
      <c r="B1699" s="1">
        <v>45297</v>
      </c>
      <c r="C1699" t="s">
        <v>152</v>
      </c>
      <c r="D1699" t="s">
        <v>21</v>
      </c>
      <c r="E1699" t="s">
        <v>66</v>
      </c>
      <c r="F1699" t="s">
        <v>28</v>
      </c>
      <c r="G1699">
        <v>1</v>
      </c>
      <c r="H1699">
        <v>1421.37</v>
      </c>
      <c r="I1699">
        <v>15</v>
      </c>
      <c r="J1699">
        <v>895.14</v>
      </c>
      <c r="K1699" t="s">
        <v>17</v>
      </c>
      <c r="L1699" t="s">
        <v>37</v>
      </c>
      <c r="M1699">
        <f t="shared" si="130"/>
        <v>1208.1644999999999</v>
      </c>
      <c r="N1699">
        <f t="shared" si="131"/>
        <v>313.02449999999988</v>
      </c>
      <c r="O1699" t="str">
        <f t="shared" si="132"/>
        <v>Saturday</v>
      </c>
      <c r="P1699" t="b">
        <f t="shared" si="133"/>
        <v>1</v>
      </c>
      <c r="Q1699" t="str">
        <f t="shared" si="134"/>
        <v>January</v>
      </c>
    </row>
    <row r="1700" spans="1:17" x14ac:dyDescent="0.4">
      <c r="A1700" t="s">
        <v>2081</v>
      </c>
      <c r="B1700" s="1">
        <v>45681</v>
      </c>
      <c r="C1700" t="s">
        <v>109</v>
      </c>
      <c r="D1700" t="s">
        <v>46</v>
      </c>
      <c r="E1700" t="s">
        <v>444</v>
      </c>
      <c r="F1700" t="s">
        <v>28</v>
      </c>
      <c r="G1700">
        <v>4</v>
      </c>
      <c r="H1700">
        <v>917.04</v>
      </c>
      <c r="I1700">
        <v>10</v>
      </c>
      <c r="J1700">
        <v>381.14</v>
      </c>
      <c r="K1700" t="s">
        <v>24</v>
      </c>
      <c r="L1700" t="s">
        <v>33</v>
      </c>
      <c r="M1700">
        <f t="shared" si="130"/>
        <v>3301.3440000000001</v>
      </c>
      <c r="N1700">
        <f t="shared" si="131"/>
        <v>1776.7840000000001</v>
      </c>
      <c r="O1700" t="str">
        <f t="shared" si="132"/>
        <v>Friday</v>
      </c>
      <c r="P1700" t="b">
        <f t="shared" si="133"/>
        <v>0</v>
      </c>
      <c r="Q1700" t="str">
        <f t="shared" si="134"/>
        <v>January</v>
      </c>
    </row>
    <row r="1701" spans="1:17" x14ac:dyDescent="0.4">
      <c r="A1701" t="s">
        <v>2082</v>
      </c>
      <c r="B1701" s="1">
        <v>45664</v>
      </c>
      <c r="C1701" t="s">
        <v>35</v>
      </c>
      <c r="D1701" t="s">
        <v>14</v>
      </c>
      <c r="E1701" t="s">
        <v>780</v>
      </c>
      <c r="F1701" t="s">
        <v>16</v>
      </c>
      <c r="G1701">
        <v>2</v>
      </c>
      <c r="H1701">
        <v>2783.31</v>
      </c>
      <c r="I1701">
        <v>30</v>
      </c>
      <c r="J1701">
        <v>1894.28</v>
      </c>
      <c r="K1701" t="s">
        <v>17</v>
      </c>
      <c r="L1701" t="s">
        <v>37</v>
      </c>
      <c r="M1701">
        <f t="shared" si="130"/>
        <v>3896.6339999999996</v>
      </c>
      <c r="N1701">
        <f t="shared" si="131"/>
        <v>108.07399999999961</v>
      </c>
      <c r="O1701" t="str">
        <f t="shared" si="132"/>
        <v>Tuesday</v>
      </c>
      <c r="P1701" t="b">
        <f t="shared" si="133"/>
        <v>0</v>
      </c>
      <c r="Q1701" t="str">
        <f t="shared" si="134"/>
        <v>January</v>
      </c>
    </row>
    <row r="1702" spans="1:17" x14ac:dyDescent="0.4">
      <c r="A1702" t="s">
        <v>2083</v>
      </c>
      <c r="B1702" s="1">
        <v>45635</v>
      </c>
      <c r="C1702" t="s">
        <v>185</v>
      </c>
      <c r="D1702" t="s">
        <v>46</v>
      </c>
      <c r="E1702" t="s">
        <v>336</v>
      </c>
      <c r="F1702" t="s">
        <v>23</v>
      </c>
      <c r="G1702">
        <v>4</v>
      </c>
      <c r="H1702">
        <v>770.15</v>
      </c>
      <c r="I1702">
        <v>25</v>
      </c>
      <c r="J1702">
        <v>486.71</v>
      </c>
      <c r="K1702" t="s">
        <v>24</v>
      </c>
      <c r="L1702" t="s">
        <v>33</v>
      </c>
      <c r="M1702">
        <f t="shared" si="130"/>
        <v>2310.4499999999998</v>
      </c>
      <c r="N1702">
        <f t="shared" si="131"/>
        <v>363.6099999999999</v>
      </c>
      <c r="O1702" t="str">
        <f t="shared" si="132"/>
        <v>Monday</v>
      </c>
      <c r="P1702" t="b">
        <f t="shared" si="133"/>
        <v>0</v>
      </c>
      <c r="Q1702" t="str">
        <f t="shared" si="134"/>
        <v>December</v>
      </c>
    </row>
    <row r="1703" spans="1:17" x14ac:dyDescent="0.4">
      <c r="A1703" t="s">
        <v>2084</v>
      </c>
      <c r="B1703" s="1">
        <v>45986</v>
      </c>
      <c r="C1703" t="s">
        <v>74</v>
      </c>
      <c r="D1703" t="s">
        <v>46</v>
      </c>
      <c r="E1703" t="s">
        <v>665</v>
      </c>
      <c r="F1703" t="s">
        <v>23</v>
      </c>
      <c r="G1703">
        <v>5</v>
      </c>
      <c r="H1703">
        <v>1442.7</v>
      </c>
      <c r="I1703">
        <v>0</v>
      </c>
      <c r="J1703">
        <v>745.62</v>
      </c>
      <c r="K1703" t="s">
        <v>24</v>
      </c>
      <c r="L1703" t="s">
        <v>18</v>
      </c>
      <c r="M1703">
        <f t="shared" si="130"/>
        <v>7213.5</v>
      </c>
      <c r="N1703">
        <f t="shared" si="131"/>
        <v>3485.4</v>
      </c>
      <c r="O1703" t="str">
        <f t="shared" si="132"/>
        <v>Tuesday</v>
      </c>
      <c r="P1703" t="b">
        <f t="shared" si="133"/>
        <v>0</v>
      </c>
      <c r="Q1703" t="str">
        <f t="shared" si="134"/>
        <v>November</v>
      </c>
    </row>
    <row r="1704" spans="1:17" x14ac:dyDescent="0.4">
      <c r="A1704" t="s">
        <v>2085</v>
      </c>
      <c r="B1704" s="1">
        <v>45722</v>
      </c>
      <c r="C1704" t="s">
        <v>51</v>
      </c>
      <c r="D1704" t="s">
        <v>46</v>
      </c>
      <c r="E1704" t="s">
        <v>254</v>
      </c>
      <c r="F1704" t="s">
        <v>16</v>
      </c>
      <c r="G1704">
        <v>1</v>
      </c>
      <c r="H1704">
        <v>1184.7</v>
      </c>
      <c r="I1704">
        <v>0</v>
      </c>
      <c r="J1704">
        <v>618.83000000000004</v>
      </c>
      <c r="K1704" t="s">
        <v>17</v>
      </c>
      <c r="L1704" t="s">
        <v>33</v>
      </c>
      <c r="M1704">
        <f t="shared" si="130"/>
        <v>1184.7</v>
      </c>
      <c r="N1704">
        <f t="shared" si="131"/>
        <v>565.87</v>
      </c>
      <c r="O1704" t="str">
        <f t="shared" si="132"/>
        <v>Thursday</v>
      </c>
      <c r="P1704" t="b">
        <f t="shared" si="133"/>
        <v>0</v>
      </c>
      <c r="Q1704" t="str">
        <f t="shared" si="134"/>
        <v>March</v>
      </c>
    </row>
    <row r="1705" spans="1:17" x14ac:dyDescent="0.4">
      <c r="A1705" t="s">
        <v>2086</v>
      </c>
      <c r="B1705" s="1">
        <v>45815</v>
      </c>
      <c r="C1705" t="s">
        <v>152</v>
      </c>
      <c r="D1705" t="s">
        <v>21</v>
      </c>
      <c r="E1705" t="s">
        <v>438</v>
      </c>
      <c r="F1705" t="s">
        <v>23</v>
      </c>
      <c r="G1705">
        <v>5</v>
      </c>
      <c r="H1705">
        <v>1253.98</v>
      </c>
      <c r="I1705">
        <v>30</v>
      </c>
      <c r="J1705">
        <v>620.45000000000005</v>
      </c>
      <c r="K1705" t="s">
        <v>17</v>
      </c>
      <c r="L1705" t="s">
        <v>33</v>
      </c>
      <c r="M1705">
        <f t="shared" si="130"/>
        <v>4388.9299999999994</v>
      </c>
      <c r="N1705">
        <f t="shared" si="131"/>
        <v>1286.6799999999994</v>
      </c>
      <c r="O1705" t="str">
        <f t="shared" si="132"/>
        <v>Saturday</v>
      </c>
      <c r="P1705" t="b">
        <f t="shared" si="133"/>
        <v>1</v>
      </c>
      <c r="Q1705" t="str">
        <f t="shared" si="134"/>
        <v>June</v>
      </c>
    </row>
    <row r="1706" spans="1:17" x14ac:dyDescent="0.4">
      <c r="A1706" t="s">
        <v>2087</v>
      </c>
      <c r="B1706" s="1">
        <v>45722</v>
      </c>
      <c r="C1706" t="s">
        <v>463</v>
      </c>
      <c r="D1706" t="s">
        <v>14</v>
      </c>
      <c r="E1706" t="s">
        <v>112</v>
      </c>
      <c r="F1706" t="s">
        <v>16</v>
      </c>
      <c r="G1706">
        <v>3</v>
      </c>
      <c r="H1706">
        <v>1230.8499999999999</v>
      </c>
      <c r="I1706">
        <v>15</v>
      </c>
      <c r="J1706">
        <v>666.89</v>
      </c>
      <c r="K1706" t="s">
        <v>24</v>
      </c>
      <c r="L1706" t="s">
        <v>33</v>
      </c>
      <c r="M1706">
        <f t="shared" si="130"/>
        <v>3138.6674999999996</v>
      </c>
      <c r="N1706">
        <f t="shared" si="131"/>
        <v>1137.9974999999995</v>
      </c>
      <c r="O1706" t="str">
        <f t="shared" si="132"/>
        <v>Thursday</v>
      </c>
      <c r="P1706" t="b">
        <f t="shared" si="133"/>
        <v>0</v>
      </c>
      <c r="Q1706" t="str">
        <f t="shared" si="134"/>
        <v>March</v>
      </c>
    </row>
    <row r="1707" spans="1:17" x14ac:dyDescent="0.4">
      <c r="A1707" t="s">
        <v>2088</v>
      </c>
      <c r="B1707" s="1">
        <v>45577</v>
      </c>
      <c r="C1707" t="s">
        <v>100</v>
      </c>
      <c r="D1707" t="s">
        <v>46</v>
      </c>
      <c r="E1707" t="s">
        <v>284</v>
      </c>
      <c r="F1707" t="s">
        <v>16</v>
      </c>
      <c r="G1707">
        <v>4</v>
      </c>
      <c r="H1707">
        <v>1053.2</v>
      </c>
      <c r="I1707">
        <v>10</v>
      </c>
      <c r="J1707">
        <v>585.89</v>
      </c>
      <c r="K1707" t="s">
        <v>24</v>
      </c>
      <c r="L1707" t="s">
        <v>33</v>
      </c>
      <c r="M1707">
        <f t="shared" si="130"/>
        <v>3791.5200000000004</v>
      </c>
      <c r="N1707">
        <f t="shared" si="131"/>
        <v>1447.9600000000005</v>
      </c>
      <c r="O1707" t="str">
        <f t="shared" si="132"/>
        <v>Saturday</v>
      </c>
      <c r="P1707" t="b">
        <f t="shared" si="133"/>
        <v>1</v>
      </c>
      <c r="Q1707" t="str">
        <f t="shared" si="134"/>
        <v>October</v>
      </c>
    </row>
    <row r="1708" spans="1:17" x14ac:dyDescent="0.4">
      <c r="A1708" t="s">
        <v>2089</v>
      </c>
      <c r="B1708" s="1">
        <v>45501</v>
      </c>
      <c r="C1708" t="s">
        <v>152</v>
      </c>
      <c r="D1708" t="s">
        <v>14</v>
      </c>
      <c r="E1708" t="s">
        <v>369</v>
      </c>
      <c r="F1708" t="s">
        <v>28</v>
      </c>
      <c r="G1708">
        <v>5</v>
      </c>
      <c r="H1708">
        <v>1305.49</v>
      </c>
      <c r="I1708">
        <v>15</v>
      </c>
      <c r="J1708">
        <v>729.28</v>
      </c>
      <c r="K1708" t="s">
        <v>24</v>
      </c>
      <c r="L1708" t="s">
        <v>18</v>
      </c>
      <c r="M1708">
        <f t="shared" si="130"/>
        <v>5548.3324999999995</v>
      </c>
      <c r="N1708">
        <f t="shared" si="131"/>
        <v>1901.9324999999999</v>
      </c>
      <c r="O1708" t="str">
        <f t="shared" si="132"/>
        <v>Sunday</v>
      </c>
      <c r="P1708" t="b">
        <f t="shared" si="133"/>
        <v>1</v>
      </c>
      <c r="Q1708" t="str">
        <f t="shared" si="134"/>
        <v>July</v>
      </c>
    </row>
    <row r="1709" spans="1:17" x14ac:dyDescent="0.4">
      <c r="A1709" t="s">
        <v>2090</v>
      </c>
      <c r="B1709" s="1">
        <v>45977</v>
      </c>
      <c r="C1709" t="s">
        <v>20</v>
      </c>
      <c r="D1709" t="s">
        <v>31</v>
      </c>
      <c r="E1709" t="s">
        <v>40</v>
      </c>
      <c r="F1709" t="s">
        <v>23</v>
      </c>
      <c r="G1709">
        <v>2</v>
      </c>
      <c r="H1709">
        <v>2879.61</v>
      </c>
      <c r="I1709">
        <v>10</v>
      </c>
      <c r="J1709">
        <v>1514.68</v>
      </c>
      <c r="K1709" t="s">
        <v>17</v>
      </c>
      <c r="L1709" t="s">
        <v>33</v>
      </c>
      <c r="M1709">
        <f t="shared" si="130"/>
        <v>5183.2980000000007</v>
      </c>
      <c r="N1709">
        <f t="shared" si="131"/>
        <v>2153.9380000000006</v>
      </c>
      <c r="O1709" t="str">
        <f t="shared" si="132"/>
        <v>Sunday</v>
      </c>
      <c r="P1709" t="b">
        <f t="shared" si="133"/>
        <v>1</v>
      </c>
      <c r="Q1709" t="str">
        <f t="shared" si="134"/>
        <v>November</v>
      </c>
    </row>
    <row r="1710" spans="1:17" x14ac:dyDescent="0.4">
      <c r="A1710" t="s">
        <v>2091</v>
      </c>
      <c r="B1710" s="1">
        <v>45669</v>
      </c>
      <c r="C1710" t="s">
        <v>45</v>
      </c>
      <c r="D1710" t="s">
        <v>14</v>
      </c>
      <c r="E1710" t="s">
        <v>180</v>
      </c>
      <c r="F1710" t="s">
        <v>28</v>
      </c>
      <c r="G1710">
        <v>3</v>
      </c>
      <c r="H1710">
        <v>1269.25</v>
      </c>
      <c r="I1710">
        <v>5</v>
      </c>
      <c r="J1710">
        <v>609.49</v>
      </c>
      <c r="K1710" t="s">
        <v>17</v>
      </c>
      <c r="L1710" t="s">
        <v>37</v>
      </c>
      <c r="M1710">
        <f t="shared" si="130"/>
        <v>3617.3624999999997</v>
      </c>
      <c r="N1710">
        <f t="shared" si="131"/>
        <v>1788.8924999999997</v>
      </c>
      <c r="O1710" t="str">
        <f t="shared" si="132"/>
        <v>Sunday</v>
      </c>
      <c r="P1710" t="b">
        <f t="shared" si="133"/>
        <v>1</v>
      </c>
      <c r="Q1710" t="str">
        <f t="shared" si="134"/>
        <v>January</v>
      </c>
    </row>
    <row r="1711" spans="1:17" x14ac:dyDescent="0.4">
      <c r="A1711" t="s">
        <v>2092</v>
      </c>
      <c r="B1711" s="1">
        <v>45400</v>
      </c>
      <c r="C1711" t="s">
        <v>128</v>
      </c>
      <c r="D1711" t="s">
        <v>21</v>
      </c>
      <c r="E1711" t="s">
        <v>348</v>
      </c>
      <c r="F1711" t="s">
        <v>23</v>
      </c>
      <c r="G1711">
        <v>4</v>
      </c>
      <c r="H1711">
        <v>1474.85</v>
      </c>
      <c r="I1711">
        <v>15</v>
      </c>
      <c r="J1711">
        <v>788.06</v>
      </c>
      <c r="K1711" t="s">
        <v>24</v>
      </c>
      <c r="L1711" t="s">
        <v>18</v>
      </c>
      <c r="M1711">
        <f t="shared" si="130"/>
        <v>5014.49</v>
      </c>
      <c r="N1711">
        <f t="shared" si="131"/>
        <v>1862.25</v>
      </c>
      <c r="O1711" t="str">
        <f t="shared" si="132"/>
        <v>Thursday</v>
      </c>
      <c r="P1711" t="b">
        <f t="shared" si="133"/>
        <v>0</v>
      </c>
      <c r="Q1711" t="str">
        <f t="shared" si="134"/>
        <v>April</v>
      </c>
    </row>
    <row r="1712" spans="1:17" x14ac:dyDescent="0.4">
      <c r="A1712" t="s">
        <v>2093</v>
      </c>
      <c r="B1712" s="1">
        <v>45308</v>
      </c>
      <c r="C1712" t="s">
        <v>375</v>
      </c>
      <c r="D1712" t="s">
        <v>14</v>
      </c>
      <c r="E1712" t="s">
        <v>780</v>
      </c>
      <c r="F1712" t="s">
        <v>28</v>
      </c>
      <c r="G1712">
        <v>4</v>
      </c>
      <c r="H1712">
        <v>2438.3200000000002</v>
      </c>
      <c r="I1712">
        <v>15</v>
      </c>
      <c r="J1712">
        <v>1609.36</v>
      </c>
      <c r="K1712" t="s">
        <v>17</v>
      </c>
      <c r="L1712" t="s">
        <v>33</v>
      </c>
      <c r="M1712">
        <f t="shared" si="130"/>
        <v>8290.2880000000005</v>
      </c>
      <c r="N1712">
        <f t="shared" si="131"/>
        <v>1852.8480000000009</v>
      </c>
      <c r="O1712" t="str">
        <f t="shared" si="132"/>
        <v>Wednesday</v>
      </c>
      <c r="P1712" t="b">
        <f t="shared" si="133"/>
        <v>0</v>
      </c>
      <c r="Q1712" t="str">
        <f t="shared" si="134"/>
        <v>January</v>
      </c>
    </row>
    <row r="1713" spans="1:17" x14ac:dyDescent="0.4">
      <c r="A1713" t="s">
        <v>2094</v>
      </c>
      <c r="B1713" s="1">
        <v>45685</v>
      </c>
      <c r="C1713" t="s">
        <v>86</v>
      </c>
      <c r="D1713" t="s">
        <v>14</v>
      </c>
      <c r="E1713" t="s">
        <v>1074</v>
      </c>
      <c r="F1713" t="s">
        <v>23</v>
      </c>
      <c r="G1713">
        <v>4</v>
      </c>
      <c r="H1713">
        <v>2388.44</v>
      </c>
      <c r="I1713">
        <v>10</v>
      </c>
      <c r="J1713">
        <v>1671.63</v>
      </c>
      <c r="K1713" t="s">
        <v>17</v>
      </c>
      <c r="L1713" t="s">
        <v>33</v>
      </c>
      <c r="M1713">
        <f t="shared" si="130"/>
        <v>8598.384</v>
      </c>
      <c r="N1713">
        <f t="shared" si="131"/>
        <v>1911.8639999999996</v>
      </c>
      <c r="O1713" t="str">
        <f t="shared" si="132"/>
        <v>Tuesday</v>
      </c>
      <c r="P1713" t="b">
        <f t="shared" si="133"/>
        <v>0</v>
      </c>
      <c r="Q1713" t="str">
        <f t="shared" si="134"/>
        <v>January</v>
      </c>
    </row>
    <row r="1714" spans="1:17" x14ac:dyDescent="0.4">
      <c r="A1714" t="s">
        <v>2095</v>
      </c>
      <c r="B1714" s="1">
        <v>45676</v>
      </c>
      <c r="C1714" t="s">
        <v>182</v>
      </c>
      <c r="D1714" t="s">
        <v>46</v>
      </c>
      <c r="E1714" t="s">
        <v>559</v>
      </c>
      <c r="F1714" t="s">
        <v>23</v>
      </c>
      <c r="G1714">
        <v>4</v>
      </c>
      <c r="H1714">
        <v>695.3</v>
      </c>
      <c r="I1714">
        <v>10</v>
      </c>
      <c r="J1714">
        <v>484.81</v>
      </c>
      <c r="K1714" t="s">
        <v>17</v>
      </c>
      <c r="L1714" t="s">
        <v>33</v>
      </c>
      <c r="M1714">
        <f t="shared" si="130"/>
        <v>2503.08</v>
      </c>
      <c r="N1714">
        <f t="shared" si="131"/>
        <v>563.83999999999992</v>
      </c>
      <c r="O1714" t="str">
        <f t="shared" si="132"/>
        <v>Sunday</v>
      </c>
      <c r="P1714" t="b">
        <f t="shared" si="133"/>
        <v>1</v>
      </c>
      <c r="Q1714" t="str">
        <f t="shared" si="134"/>
        <v>January</v>
      </c>
    </row>
    <row r="1715" spans="1:17" x14ac:dyDescent="0.4">
      <c r="A1715" t="s">
        <v>2096</v>
      </c>
      <c r="B1715" s="1">
        <v>45418</v>
      </c>
      <c r="C1715" t="s">
        <v>39</v>
      </c>
      <c r="D1715" t="s">
        <v>21</v>
      </c>
      <c r="E1715" t="s">
        <v>843</v>
      </c>
      <c r="F1715" t="s">
        <v>23</v>
      </c>
      <c r="G1715">
        <v>1</v>
      </c>
      <c r="H1715">
        <v>626.66999999999996</v>
      </c>
      <c r="I1715">
        <v>20</v>
      </c>
      <c r="J1715">
        <v>292.5</v>
      </c>
      <c r="K1715" t="s">
        <v>24</v>
      </c>
      <c r="L1715" t="s">
        <v>33</v>
      </c>
      <c r="M1715">
        <f t="shared" si="130"/>
        <v>501.33600000000001</v>
      </c>
      <c r="N1715">
        <f t="shared" si="131"/>
        <v>208.83600000000001</v>
      </c>
      <c r="O1715" t="str">
        <f t="shared" si="132"/>
        <v>Monday</v>
      </c>
      <c r="P1715" t="b">
        <f t="shared" si="133"/>
        <v>0</v>
      </c>
      <c r="Q1715" t="str">
        <f t="shared" si="134"/>
        <v>May</v>
      </c>
    </row>
    <row r="1716" spans="1:17" x14ac:dyDescent="0.4">
      <c r="A1716" t="s">
        <v>2097</v>
      </c>
      <c r="B1716" s="1">
        <v>45488</v>
      </c>
      <c r="C1716" t="s">
        <v>71</v>
      </c>
      <c r="D1716" t="s">
        <v>46</v>
      </c>
      <c r="E1716" t="s">
        <v>955</v>
      </c>
      <c r="F1716" t="s">
        <v>23</v>
      </c>
      <c r="G1716">
        <v>3</v>
      </c>
      <c r="H1716">
        <v>885.67</v>
      </c>
      <c r="I1716">
        <v>30</v>
      </c>
      <c r="J1716">
        <v>558.35</v>
      </c>
      <c r="K1716" t="s">
        <v>24</v>
      </c>
      <c r="L1716" t="s">
        <v>18</v>
      </c>
      <c r="M1716">
        <f t="shared" si="130"/>
        <v>1859.9069999999997</v>
      </c>
      <c r="N1716">
        <f t="shared" si="131"/>
        <v>184.85699999999952</v>
      </c>
      <c r="O1716" t="str">
        <f t="shared" si="132"/>
        <v>Monday</v>
      </c>
      <c r="P1716" t="b">
        <f t="shared" si="133"/>
        <v>0</v>
      </c>
      <c r="Q1716" t="str">
        <f t="shared" si="134"/>
        <v>July</v>
      </c>
    </row>
    <row r="1717" spans="1:17" x14ac:dyDescent="0.4">
      <c r="A1717" t="s">
        <v>2098</v>
      </c>
      <c r="B1717" s="1">
        <v>45673</v>
      </c>
      <c r="C1717" t="s">
        <v>286</v>
      </c>
      <c r="D1717" t="s">
        <v>46</v>
      </c>
      <c r="E1717" t="s">
        <v>461</v>
      </c>
      <c r="F1717" t="s">
        <v>28</v>
      </c>
      <c r="G1717">
        <v>5</v>
      </c>
      <c r="H1717">
        <v>1023.75</v>
      </c>
      <c r="I1717">
        <v>15</v>
      </c>
      <c r="J1717">
        <v>498.46</v>
      </c>
      <c r="K1717" t="s">
        <v>17</v>
      </c>
      <c r="L1717" t="s">
        <v>18</v>
      </c>
      <c r="M1717">
        <f t="shared" si="130"/>
        <v>4350.9375</v>
      </c>
      <c r="N1717">
        <f t="shared" si="131"/>
        <v>1858.6375000000003</v>
      </c>
      <c r="O1717" t="str">
        <f t="shared" si="132"/>
        <v>Thursday</v>
      </c>
      <c r="P1717" t="b">
        <f t="shared" si="133"/>
        <v>0</v>
      </c>
      <c r="Q1717" t="str">
        <f t="shared" si="134"/>
        <v>January</v>
      </c>
    </row>
    <row r="1718" spans="1:17" x14ac:dyDescent="0.4">
      <c r="A1718" t="s">
        <v>2099</v>
      </c>
      <c r="B1718" s="1">
        <v>45378</v>
      </c>
      <c r="C1718" t="s">
        <v>171</v>
      </c>
      <c r="D1718" t="s">
        <v>14</v>
      </c>
      <c r="E1718" t="s">
        <v>49</v>
      </c>
      <c r="F1718" t="s">
        <v>23</v>
      </c>
      <c r="G1718">
        <v>5</v>
      </c>
      <c r="H1718">
        <v>2720.82</v>
      </c>
      <c r="I1718">
        <v>30</v>
      </c>
      <c r="J1718">
        <v>1308.45</v>
      </c>
      <c r="K1718" t="s">
        <v>17</v>
      </c>
      <c r="L1718" t="s">
        <v>33</v>
      </c>
      <c r="M1718">
        <f t="shared" si="130"/>
        <v>9522.869999999999</v>
      </c>
      <c r="N1718">
        <f t="shared" si="131"/>
        <v>2980.619999999999</v>
      </c>
      <c r="O1718" t="str">
        <f t="shared" si="132"/>
        <v>Wednesday</v>
      </c>
      <c r="P1718" t="b">
        <f t="shared" si="133"/>
        <v>0</v>
      </c>
      <c r="Q1718" t="str">
        <f t="shared" si="134"/>
        <v>March</v>
      </c>
    </row>
    <row r="1719" spans="1:17" x14ac:dyDescent="0.4">
      <c r="A1719" t="s">
        <v>2100</v>
      </c>
      <c r="B1719" s="1">
        <v>45557</v>
      </c>
      <c r="C1719" t="s">
        <v>185</v>
      </c>
      <c r="D1719" t="s">
        <v>14</v>
      </c>
      <c r="E1719" t="s">
        <v>673</v>
      </c>
      <c r="F1719" t="s">
        <v>16</v>
      </c>
      <c r="G1719">
        <v>5</v>
      </c>
      <c r="H1719">
        <v>1355.05</v>
      </c>
      <c r="I1719">
        <v>5</v>
      </c>
      <c r="J1719">
        <v>600.73</v>
      </c>
      <c r="K1719" t="s">
        <v>24</v>
      </c>
      <c r="L1719" t="s">
        <v>33</v>
      </c>
      <c r="M1719">
        <f t="shared" si="130"/>
        <v>6436.4874999999993</v>
      </c>
      <c r="N1719">
        <f t="shared" si="131"/>
        <v>3432.8374999999992</v>
      </c>
      <c r="O1719" t="str">
        <f t="shared" si="132"/>
        <v>Sunday</v>
      </c>
      <c r="P1719" t="b">
        <f t="shared" si="133"/>
        <v>1</v>
      </c>
      <c r="Q1719" t="str">
        <f t="shared" si="134"/>
        <v>September</v>
      </c>
    </row>
    <row r="1720" spans="1:17" x14ac:dyDescent="0.4">
      <c r="A1720" t="s">
        <v>2101</v>
      </c>
      <c r="B1720" s="1">
        <v>45344</v>
      </c>
      <c r="C1720" t="s">
        <v>146</v>
      </c>
      <c r="D1720" t="s">
        <v>14</v>
      </c>
      <c r="E1720" t="s">
        <v>246</v>
      </c>
      <c r="F1720" t="s">
        <v>16</v>
      </c>
      <c r="G1720">
        <v>3</v>
      </c>
      <c r="H1720">
        <v>2637.48</v>
      </c>
      <c r="I1720">
        <v>5</v>
      </c>
      <c r="J1720">
        <v>1162.06</v>
      </c>
      <c r="K1720" t="s">
        <v>24</v>
      </c>
      <c r="L1720" t="s">
        <v>18</v>
      </c>
      <c r="M1720">
        <f t="shared" si="130"/>
        <v>7516.8180000000002</v>
      </c>
      <c r="N1720">
        <f t="shared" si="131"/>
        <v>4030.6380000000004</v>
      </c>
      <c r="O1720" t="str">
        <f t="shared" si="132"/>
        <v>Thursday</v>
      </c>
      <c r="P1720" t="b">
        <f t="shared" si="133"/>
        <v>0</v>
      </c>
      <c r="Q1720" t="str">
        <f t="shared" si="134"/>
        <v>February</v>
      </c>
    </row>
    <row r="1721" spans="1:17" x14ac:dyDescent="0.4">
      <c r="A1721" t="s">
        <v>2102</v>
      </c>
      <c r="B1721" s="1">
        <v>45358</v>
      </c>
      <c r="C1721" t="s">
        <v>26</v>
      </c>
      <c r="D1721" t="s">
        <v>21</v>
      </c>
      <c r="E1721" t="s">
        <v>153</v>
      </c>
      <c r="F1721" t="s">
        <v>28</v>
      </c>
      <c r="G1721">
        <v>4</v>
      </c>
      <c r="H1721">
        <v>1795.58</v>
      </c>
      <c r="I1721">
        <v>25</v>
      </c>
      <c r="J1721">
        <v>1246.93</v>
      </c>
      <c r="K1721" t="s">
        <v>24</v>
      </c>
      <c r="L1721" t="s">
        <v>18</v>
      </c>
      <c r="M1721">
        <f t="shared" si="130"/>
        <v>5386.74</v>
      </c>
      <c r="N1721">
        <f t="shared" si="131"/>
        <v>399.01999999999953</v>
      </c>
      <c r="O1721" t="str">
        <f t="shared" si="132"/>
        <v>Thursday</v>
      </c>
      <c r="P1721" t="b">
        <f t="shared" si="133"/>
        <v>0</v>
      </c>
      <c r="Q1721" t="str">
        <f t="shared" si="134"/>
        <v>March</v>
      </c>
    </row>
    <row r="1722" spans="1:17" x14ac:dyDescent="0.4">
      <c r="A1722" t="s">
        <v>2103</v>
      </c>
      <c r="B1722" s="1">
        <v>45675</v>
      </c>
      <c r="C1722" t="s">
        <v>30</v>
      </c>
      <c r="D1722" t="s">
        <v>31</v>
      </c>
      <c r="E1722" t="s">
        <v>409</v>
      </c>
      <c r="F1722" t="s">
        <v>23</v>
      </c>
      <c r="G1722">
        <v>1</v>
      </c>
      <c r="H1722">
        <v>900.54</v>
      </c>
      <c r="I1722">
        <v>0</v>
      </c>
      <c r="J1722">
        <v>503</v>
      </c>
      <c r="K1722" t="s">
        <v>17</v>
      </c>
      <c r="L1722" t="s">
        <v>18</v>
      </c>
      <c r="M1722">
        <f t="shared" si="130"/>
        <v>900.54</v>
      </c>
      <c r="N1722">
        <f t="shared" si="131"/>
        <v>397.53999999999996</v>
      </c>
      <c r="O1722" t="str">
        <f t="shared" si="132"/>
        <v>Saturday</v>
      </c>
      <c r="P1722" t="b">
        <f t="shared" si="133"/>
        <v>1</v>
      </c>
      <c r="Q1722" t="str">
        <f t="shared" si="134"/>
        <v>January</v>
      </c>
    </row>
    <row r="1723" spans="1:17" x14ac:dyDescent="0.4">
      <c r="A1723" t="s">
        <v>2104</v>
      </c>
      <c r="B1723" s="1">
        <v>45341</v>
      </c>
      <c r="C1723" t="s">
        <v>26</v>
      </c>
      <c r="D1723" t="s">
        <v>46</v>
      </c>
      <c r="E1723" t="s">
        <v>287</v>
      </c>
      <c r="F1723" t="s">
        <v>16</v>
      </c>
      <c r="G1723">
        <v>4</v>
      </c>
      <c r="H1723">
        <v>1840.29</v>
      </c>
      <c r="I1723">
        <v>5</v>
      </c>
      <c r="J1723">
        <v>1047.4000000000001</v>
      </c>
      <c r="K1723" t="s">
        <v>24</v>
      </c>
      <c r="L1723" t="s">
        <v>33</v>
      </c>
      <c r="M1723">
        <f t="shared" si="130"/>
        <v>6993.1019999999999</v>
      </c>
      <c r="N1723">
        <f t="shared" si="131"/>
        <v>2803.5019999999995</v>
      </c>
      <c r="O1723" t="str">
        <f t="shared" si="132"/>
        <v>Monday</v>
      </c>
      <c r="P1723" t="b">
        <f t="shared" si="133"/>
        <v>0</v>
      </c>
      <c r="Q1723" t="str">
        <f t="shared" si="134"/>
        <v>February</v>
      </c>
    </row>
    <row r="1724" spans="1:17" x14ac:dyDescent="0.4">
      <c r="A1724" t="s">
        <v>2105</v>
      </c>
      <c r="B1724" s="1">
        <v>45947</v>
      </c>
      <c r="C1724" t="s">
        <v>128</v>
      </c>
      <c r="D1724" t="s">
        <v>14</v>
      </c>
      <c r="E1724" t="s">
        <v>452</v>
      </c>
      <c r="F1724" t="s">
        <v>16</v>
      </c>
      <c r="G1724">
        <v>1</v>
      </c>
      <c r="H1724">
        <v>2036.05</v>
      </c>
      <c r="I1724">
        <v>30</v>
      </c>
      <c r="J1724">
        <v>972.18</v>
      </c>
      <c r="K1724" t="s">
        <v>24</v>
      </c>
      <c r="L1724" t="s">
        <v>37</v>
      </c>
      <c r="M1724">
        <f t="shared" si="130"/>
        <v>1425.2349999999999</v>
      </c>
      <c r="N1724">
        <f t="shared" si="131"/>
        <v>453.05499999999995</v>
      </c>
      <c r="O1724" t="str">
        <f t="shared" si="132"/>
        <v>Friday</v>
      </c>
      <c r="P1724" t="b">
        <f t="shared" si="133"/>
        <v>0</v>
      </c>
      <c r="Q1724" t="str">
        <f t="shared" si="134"/>
        <v>October</v>
      </c>
    </row>
    <row r="1725" spans="1:17" x14ac:dyDescent="0.4">
      <c r="A1725" t="s">
        <v>2106</v>
      </c>
      <c r="B1725" s="1">
        <v>45954</v>
      </c>
      <c r="C1725" t="s">
        <v>68</v>
      </c>
      <c r="D1725" t="s">
        <v>21</v>
      </c>
      <c r="E1725" t="s">
        <v>324</v>
      </c>
      <c r="F1725" t="s">
        <v>23</v>
      </c>
      <c r="G1725">
        <v>4</v>
      </c>
      <c r="H1725">
        <v>1403.18</v>
      </c>
      <c r="I1725">
        <v>0</v>
      </c>
      <c r="J1725">
        <v>796.78</v>
      </c>
      <c r="K1725" t="s">
        <v>24</v>
      </c>
      <c r="L1725" t="s">
        <v>18</v>
      </c>
      <c r="M1725">
        <f t="shared" si="130"/>
        <v>5612.72</v>
      </c>
      <c r="N1725">
        <f t="shared" si="131"/>
        <v>2425.6000000000004</v>
      </c>
      <c r="O1725" t="str">
        <f t="shared" si="132"/>
        <v>Friday</v>
      </c>
      <c r="P1725" t="b">
        <f t="shared" si="133"/>
        <v>0</v>
      </c>
      <c r="Q1725" t="str">
        <f t="shared" si="134"/>
        <v>October</v>
      </c>
    </row>
    <row r="1726" spans="1:17" x14ac:dyDescent="0.4">
      <c r="A1726" t="s">
        <v>2107</v>
      </c>
      <c r="B1726" s="1">
        <v>45746</v>
      </c>
      <c r="C1726" t="s">
        <v>296</v>
      </c>
      <c r="D1726" t="s">
        <v>31</v>
      </c>
      <c r="E1726" t="s">
        <v>1364</v>
      </c>
      <c r="F1726" t="s">
        <v>23</v>
      </c>
      <c r="G1726">
        <v>5</v>
      </c>
      <c r="H1726">
        <v>568</v>
      </c>
      <c r="I1726">
        <v>30</v>
      </c>
      <c r="J1726">
        <v>377.92</v>
      </c>
      <c r="K1726" t="s">
        <v>24</v>
      </c>
      <c r="L1726" t="s">
        <v>33</v>
      </c>
      <c r="M1726">
        <f t="shared" si="130"/>
        <v>1987.9999999999998</v>
      </c>
      <c r="N1726">
        <f t="shared" si="131"/>
        <v>98.399999999999636</v>
      </c>
      <c r="O1726" t="str">
        <f t="shared" si="132"/>
        <v>Sunday</v>
      </c>
      <c r="P1726" t="b">
        <f t="shared" si="133"/>
        <v>1</v>
      </c>
      <c r="Q1726" t="str">
        <f t="shared" si="134"/>
        <v>March</v>
      </c>
    </row>
    <row r="1727" spans="1:17" x14ac:dyDescent="0.4">
      <c r="A1727" t="s">
        <v>2108</v>
      </c>
      <c r="B1727" s="1">
        <v>45662</v>
      </c>
      <c r="C1727" t="s">
        <v>309</v>
      </c>
      <c r="D1727" t="s">
        <v>21</v>
      </c>
      <c r="E1727" t="s">
        <v>63</v>
      </c>
      <c r="F1727" t="s">
        <v>28</v>
      </c>
      <c r="G1727">
        <v>5</v>
      </c>
      <c r="H1727">
        <v>2314.48</v>
      </c>
      <c r="I1727">
        <v>15</v>
      </c>
      <c r="J1727">
        <v>940.41</v>
      </c>
      <c r="K1727" t="s">
        <v>17</v>
      </c>
      <c r="L1727" t="s">
        <v>18</v>
      </c>
      <c r="M1727">
        <f t="shared" si="130"/>
        <v>9836.5399999999991</v>
      </c>
      <c r="N1727">
        <f t="shared" si="131"/>
        <v>5134.4899999999989</v>
      </c>
      <c r="O1727" t="str">
        <f t="shared" si="132"/>
        <v>Sunday</v>
      </c>
      <c r="P1727" t="b">
        <f t="shared" si="133"/>
        <v>1</v>
      </c>
      <c r="Q1727" t="str">
        <f t="shared" si="134"/>
        <v>January</v>
      </c>
    </row>
    <row r="1728" spans="1:17" x14ac:dyDescent="0.4">
      <c r="A1728" t="s">
        <v>2109</v>
      </c>
      <c r="B1728" s="1">
        <v>45909</v>
      </c>
      <c r="C1728" t="s">
        <v>119</v>
      </c>
      <c r="D1728" t="s">
        <v>31</v>
      </c>
      <c r="E1728" t="s">
        <v>1509</v>
      </c>
      <c r="F1728" t="s">
        <v>16</v>
      </c>
      <c r="G1728">
        <v>3</v>
      </c>
      <c r="H1728">
        <v>1174.03</v>
      </c>
      <c r="I1728">
        <v>25</v>
      </c>
      <c r="J1728">
        <v>510.73</v>
      </c>
      <c r="K1728" t="s">
        <v>24</v>
      </c>
      <c r="L1728" t="s">
        <v>33</v>
      </c>
      <c r="M1728">
        <f t="shared" si="130"/>
        <v>2641.5675000000001</v>
      </c>
      <c r="N1728">
        <f t="shared" si="131"/>
        <v>1109.3775000000001</v>
      </c>
      <c r="O1728" t="str">
        <f t="shared" si="132"/>
        <v>Tuesday</v>
      </c>
      <c r="P1728" t="b">
        <f t="shared" si="133"/>
        <v>0</v>
      </c>
      <c r="Q1728" t="str">
        <f t="shared" si="134"/>
        <v>September</v>
      </c>
    </row>
    <row r="1729" spans="1:17" x14ac:dyDescent="0.4">
      <c r="A1729" t="s">
        <v>2110</v>
      </c>
      <c r="B1729" s="1">
        <v>45458</v>
      </c>
      <c r="C1729" t="s">
        <v>375</v>
      </c>
      <c r="D1729" t="s">
        <v>46</v>
      </c>
      <c r="E1729" t="s">
        <v>613</v>
      </c>
      <c r="F1729" t="s">
        <v>28</v>
      </c>
      <c r="G1729">
        <v>2</v>
      </c>
      <c r="H1729">
        <v>1364.9</v>
      </c>
      <c r="I1729">
        <v>10</v>
      </c>
      <c r="J1729">
        <v>939.57</v>
      </c>
      <c r="K1729" t="s">
        <v>17</v>
      </c>
      <c r="L1729" t="s">
        <v>18</v>
      </c>
      <c r="M1729">
        <f t="shared" si="130"/>
        <v>2456.8200000000002</v>
      </c>
      <c r="N1729">
        <f t="shared" si="131"/>
        <v>577.68000000000006</v>
      </c>
      <c r="O1729" t="str">
        <f t="shared" si="132"/>
        <v>Saturday</v>
      </c>
      <c r="P1729" t="b">
        <f t="shared" si="133"/>
        <v>1</v>
      </c>
      <c r="Q1729" t="str">
        <f t="shared" si="134"/>
        <v>June</v>
      </c>
    </row>
    <row r="1730" spans="1:17" x14ac:dyDescent="0.4">
      <c r="A1730" t="s">
        <v>2111</v>
      </c>
      <c r="B1730" s="1">
        <v>45362</v>
      </c>
      <c r="C1730" t="s">
        <v>224</v>
      </c>
      <c r="D1730" t="s">
        <v>14</v>
      </c>
      <c r="E1730" t="s">
        <v>634</v>
      </c>
      <c r="F1730" t="s">
        <v>28</v>
      </c>
      <c r="G1730">
        <v>3</v>
      </c>
      <c r="H1730">
        <v>2935.38</v>
      </c>
      <c r="I1730">
        <v>5</v>
      </c>
      <c r="J1730">
        <v>1364.86</v>
      </c>
      <c r="K1730" t="s">
        <v>24</v>
      </c>
      <c r="L1730" t="s">
        <v>18</v>
      </c>
      <c r="M1730">
        <f t="shared" si="130"/>
        <v>8365.8329999999987</v>
      </c>
      <c r="N1730">
        <f t="shared" si="131"/>
        <v>4271.2529999999988</v>
      </c>
      <c r="O1730" t="str">
        <f t="shared" si="132"/>
        <v>Monday</v>
      </c>
      <c r="P1730" t="b">
        <f t="shared" si="133"/>
        <v>0</v>
      </c>
      <c r="Q1730" t="str">
        <f t="shared" si="134"/>
        <v>March</v>
      </c>
    </row>
    <row r="1731" spans="1:17" x14ac:dyDescent="0.4">
      <c r="A1731" t="s">
        <v>2112</v>
      </c>
      <c r="B1731" s="1">
        <v>45512</v>
      </c>
      <c r="C1731" t="s">
        <v>42</v>
      </c>
      <c r="D1731" t="s">
        <v>31</v>
      </c>
      <c r="E1731" t="s">
        <v>693</v>
      </c>
      <c r="F1731" t="s">
        <v>23</v>
      </c>
      <c r="G1731">
        <v>4</v>
      </c>
      <c r="H1731">
        <v>954.44</v>
      </c>
      <c r="I1731">
        <v>5</v>
      </c>
      <c r="J1731">
        <v>544.91999999999996</v>
      </c>
      <c r="K1731" t="s">
        <v>17</v>
      </c>
      <c r="L1731" t="s">
        <v>33</v>
      </c>
      <c r="M1731">
        <f t="shared" ref="M1731:M1794" si="135">G1731 * H1731 * (1 - I1731/100)</f>
        <v>3626.8719999999998</v>
      </c>
      <c r="N1731">
        <f t="shared" ref="N1731:N1794" si="136">M1731 - (J1731 * G1731)</f>
        <v>1447.192</v>
      </c>
      <c r="O1731" t="str">
        <f t="shared" ref="O1731:O1794" si="137">TEXT(B1731,"dddd")</f>
        <v>Thursday</v>
      </c>
      <c r="P1731" t="b">
        <f t="shared" ref="P1731:P1794" si="138">OR(TEXT(B1731,"ddd")="Sat", TEXT(B1731,"ddd")="Sun")</f>
        <v>0</v>
      </c>
      <c r="Q1731" t="str">
        <f t="shared" ref="Q1731:Q1794" si="139">TEXT(B1731,"mmmm")</f>
        <v>August</v>
      </c>
    </row>
    <row r="1732" spans="1:17" x14ac:dyDescent="0.4">
      <c r="A1732" t="s">
        <v>2113</v>
      </c>
      <c r="B1732" s="1">
        <v>45985</v>
      </c>
      <c r="C1732" t="s">
        <v>95</v>
      </c>
      <c r="D1732" t="s">
        <v>46</v>
      </c>
      <c r="E1732" t="s">
        <v>516</v>
      </c>
      <c r="F1732" t="s">
        <v>28</v>
      </c>
      <c r="G1732">
        <v>3</v>
      </c>
      <c r="H1732">
        <v>351.05</v>
      </c>
      <c r="I1732">
        <v>0</v>
      </c>
      <c r="J1732">
        <v>215.08</v>
      </c>
      <c r="K1732" t="s">
        <v>24</v>
      </c>
      <c r="L1732" t="s">
        <v>37</v>
      </c>
      <c r="M1732">
        <f t="shared" si="135"/>
        <v>1053.1500000000001</v>
      </c>
      <c r="N1732">
        <f t="shared" si="136"/>
        <v>407.91000000000008</v>
      </c>
      <c r="O1732" t="str">
        <f t="shared" si="137"/>
        <v>Monday</v>
      </c>
      <c r="P1732" t="b">
        <f t="shared" si="138"/>
        <v>0</v>
      </c>
      <c r="Q1732" t="str">
        <f t="shared" si="139"/>
        <v>November</v>
      </c>
    </row>
    <row r="1733" spans="1:17" x14ac:dyDescent="0.4">
      <c r="A1733" t="s">
        <v>2114</v>
      </c>
      <c r="B1733" s="1">
        <v>45662</v>
      </c>
      <c r="C1733" t="s">
        <v>74</v>
      </c>
      <c r="D1733" t="s">
        <v>14</v>
      </c>
      <c r="E1733" t="s">
        <v>157</v>
      </c>
      <c r="F1733" t="s">
        <v>23</v>
      </c>
      <c r="G1733">
        <v>5</v>
      </c>
      <c r="H1733">
        <v>437.45</v>
      </c>
      <c r="I1733">
        <v>0</v>
      </c>
      <c r="J1733">
        <v>302.61</v>
      </c>
      <c r="K1733" t="s">
        <v>17</v>
      </c>
      <c r="L1733" t="s">
        <v>33</v>
      </c>
      <c r="M1733">
        <f t="shared" si="135"/>
        <v>2187.25</v>
      </c>
      <c r="N1733">
        <f t="shared" si="136"/>
        <v>674.19999999999982</v>
      </c>
      <c r="O1733" t="str">
        <f t="shared" si="137"/>
        <v>Sunday</v>
      </c>
      <c r="P1733" t="b">
        <f t="shared" si="138"/>
        <v>1</v>
      </c>
      <c r="Q1733" t="str">
        <f t="shared" si="139"/>
        <v>January</v>
      </c>
    </row>
    <row r="1734" spans="1:17" x14ac:dyDescent="0.4">
      <c r="A1734" t="s">
        <v>2115</v>
      </c>
      <c r="B1734" s="1">
        <v>45483</v>
      </c>
      <c r="C1734" t="s">
        <v>100</v>
      </c>
      <c r="D1734" t="s">
        <v>14</v>
      </c>
      <c r="E1734" t="s">
        <v>680</v>
      </c>
      <c r="F1734" t="s">
        <v>16</v>
      </c>
      <c r="G1734">
        <v>5</v>
      </c>
      <c r="H1734">
        <v>1789.77</v>
      </c>
      <c r="I1734">
        <v>30</v>
      </c>
      <c r="J1734">
        <v>1095.5999999999999</v>
      </c>
      <c r="K1734" t="s">
        <v>24</v>
      </c>
      <c r="L1734" t="s">
        <v>18</v>
      </c>
      <c r="M1734">
        <f t="shared" si="135"/>
        <v>6264.1949999999997</v>
      </c>
      <c r="N1734">
        <f t="shared" si="136"/>
        <v>786.19499999999971</v>
      </c>
      <c r="O1734" t="str">
        <f t="shared" si="137"/>
        <v>Wednesday</v>
      </c>
      <c r="P1734" t="b">
        <f t="shared" si="138"/>
        <v>0</v>
      </c>
      <c r="Q1734" t="str">
        <f t="shared" si="139"/>
        <v>July</v>
      </c>
    </row>
    <row r="1735" spans="1:17" x14ac:dyDescent="0.4">
      <c r="A1735" t="s">
        <v>2116</v>
      </c>
      <c r="B1735" s="1">
        <v>45309</v>
      </c>
      <c r="C1735" t="s">
        <v>146</v>
      </c>
      <c r="D1735" t="s">
        <v>31</v>
      </c>
      <c r="E1735" t="s">
        <v>837</v>
      </c>
      <c r="F1735" t="s">
        <v>23</v>
      </c>
      <c r="G1735">
        <v>3</v>
      </c>
      <c r="H1735">
        <v>1836.71</v>
      </c>
      <c r="I1735">
        <v>15</v>
      </c>
      <c r="J1735">
        <v>798.94</v>
      </c>
      <c r="K1735" t="s">
        <v>24</v>
      </c>
      <c r="L1735" t="s">
        <v>37</v>
      </c>
      <c r="M1735">
        <f t="shared" si="135"/>
        <v>4683.6104999999998</v>
      </c>
      <c r="N1735">
        <f t="shared" si="136"/>
        <v>2286.7904999999996</v>
      </c>
      <c r="O1735" t="str">
        <f t="shared" si="137"/>
        <v>Thursday</v>
      </c>
      <c r="P1735" t="b">
        <f t="shared" si="138"/>
        <v>0</v>
      </c>
      <c r="Q1735" t="str">
        <f t="shared" si="139"/>
        <v>January</v>
      </c>
    </row>
    <row r="1736" spans="1:17" x14ac:dyDescent="0.4">
      <c r="A1736" t="s">
        <v>2117</v>
      </c>
      <c r="B1736" s="1">
        <v>45848</v>
      </c>
      <c r="C1736" t="s">
        <v>59</v>
      </c>
      <c r="D1736" t="s">
        <v>31</v>
      </c>
      <c r="E1736" t="s">
        <v>532</v>
      </c>
      <c r="F1736" t="s">
        <v>16</v>
      </c>
      <c r="G1736">
        <v>5</v>
      </c>
      <c r="H1736">
        <v>687.63</v>
      </c>
      <c r="I1736">
        <v>10</v>
      </c>
      <c r="J1736">
        <v>307.89</v>
      </c>
      <c r="K1736" t="s">
        <v>17</v>
      </c>
      <c r="L1736" t="s">
        <v>33</v>
      </c>
      <c r="M1736">
        <f t="shared" si="135"/>
        <v>3094.335</v>
      </c>
      <c r="N1736">
        <f t="shared" si="136"/>
        <v>1554.8850000000002</v>
      </c>
      <c r="O1736" t="str">
        <f t="shared" si="137"/>
        <v>Thursday</v>
      </c>
      <c r="P1736" t="b">
        <f t="shared" si="138"/>
        <v>0</v>
      </c>
      <c r="Q1736" t="str">
        <f t="shared" si="139"/>
        <v>July</v>
      </c>
    </row>
    <row r="1737" spans="1:17" x14ac:dyDescent="0.4">
      <c r="A1737" t="s">
        <v>2118</v>
      </c>
      <c r="B1737" s="1">
        <v>45345</v>
      </c>
      <c r="C1737" t="s">
        <v>296</v>
      </c>
      <c r="D1737" t="s">
        <v>14</v>
      </c>
      <c r="E1737" t="s">
        <v>1170</v>
      </c>
      <c r="F1737" t="s">
        <v>23</v>
      </c>
      <c r="G1737">
        <v>2</v>
      </c>
      <c r="H1737">
        <v>1815.87</v>
      </c>
      <c r="I1737">
        <v>25</v>
      </c>
      <c r="J1737">
        <v>1019.42</v>
      </c>
      <c r="K1737" t="s">
        <v>24</v>
      </c>
      <c r="L1737" t="s">
        <v>37</v>
      </c>
      <c r="M1737">
        <f t="shared" si="135"/>
        <v>2723.8049999999998</v>
      </c>
      <c r="N1737">
        <f t="shared" si="136"/>
        <v>684.96499999999992</v>
      </c>
      <c r="O1737" t="str">
        <f t="shared" si="137"/>
        <v>Friday</v>
      </c>
      <c r="P1737" t="b">
        <f t="shared" si="138"/>
        <v>0</v>
      </c>
      <c r="Q1737" t="str">
        <f t="shared" si="139"/>
        <v>February</v>
      </c>
    </row>
    <row r="1738" spans="1:17" x14ac:dyDescent="0.4">
      <c r="A1738" t="s">
        <v>2119</v>
      </c>
      <c r="B1738" s="1">
        <v>45360</v>
      </c>
      <c r="C1738" t="s">
        <v>114</v>
      </c>
      <c r="D1738" t="s">
        <v>14</v>
      </c>
      <c r="E1738" t="s">
        <v>796</v>
      </c>
      <c r="F1738" t="s">
        <v>28</v>
      </c>
      <c r="G1738">
        <v>5</v>
      </c>
      <c r="H1738">
        <v>780.61</v>
      </c>
      <c r="I1738">
        <v>20</v>
      </c>
      <c r="J1738">
        <v>532.65</v>
      </c>
      <c r="K1738" t="s">
        <v>24</v>
      </c>
      <c r="L1738" t="s">
        <v>33</v>
      </c>
      <c r="M1738">
        <f t="shared" si="135"/>
        <v>3122.4400000000005</v>
      </c>
      <c r="N1738">
        <f t="shared" si="136"/>
        <v>459.19000000000051</v>
      </c>
      <c r="O1738" t="str">
        <f t="shared" si="137"/>
        <v>Saturday</v>
      </c>
      <c r="P1738" t="b">
        <f t="shared" si="138"/>
        <v>1</v>
      </c>
      <c r="Q1738" t="str">
        <f t="shared" si="139"/>
        <v>March</v>
      </c>
    </row>
    <row r="1739" spans="1:17" x14ac:dyDescent="0.4">
      <c r="A1739" t="s">
        <v>2120</v>
      </c>
      <c r="B1739" s="1">
        <v>45562</v>
      </c>
      <c r="C1739" t="s">
        <v>241</v>
      </c>
      <c r="D1739" t="s">
        <v>21</v>
      </c>
      <c r="E1739" t="s">
        <v>807</v>
      </c>
      <c r="F1739" t="s">
        <v>23</v>
      </c>
      <c r="G1739">
        <v>5</v>
      </c>
      <c r="H1739">
        <v>504.05</v>
      </c>
      <c r="I1739">
        <v>0</v>
      </c>
      <c r="J1739">
        <v>307.52</v>
      </c>
      <c r="K1739" t="s">
        <v>17</v>
      </c>
      <c r="L1739" t="s">
        <v>33</v>
      </c>
      <c r="M1739">
        <f t="shared" si="135"/>
        <v>2520.25</v>
      </c>
      <c r="N1739">
        <f t="shared" si="136"/>
        <v>982.65000000000009</v>
      </c>
      <c r="O1739" t="str">
        <f t="shared" si="137"/>
        <v>Friday</v>
      </c>
      <c r="P1739" t="b">
        <f t="shared" si="138"/>
        <v>0</v>
      </c>
      <c r="Q1739" t="str">
        <f t="shared" si="139"/>
        <v>September</v>
      </c>
    </row>
    <row r="1740" spans="1:17" x14ac:dyDescent="0.4">
      <c r="A1740" t="s">
        <v>2121</v>
      </c>
      <c r="B1740" s="1">
        <v>45828</v>
      </c>
      <c r="C1740" t="s">
        <v>296</v>
      </c>
      <c r="D1740" t="s">
        <v>31</v>
      </c>
      <c r="E1740" t="s">
        <v>32</v>
      </c>
      <c r="F1740" t="s">
        <v>28</v>
      </c>
      <c r="G1740">
        <v>2</v>
      </c>
      <c r="H1740">
        <v>994.28</v>
      </c>
      <c r="I1740">
        <v>0</v>
      </c>
      <c r="J1740">
        <v>623.64</v>
      </c>
      <c r="K1740" t="s">
        <v>24</v>
      </c>
      <c r="L1740" t="s">
        <v>37</v>
      </c>
      <c r="M1740">
        <f t="shared" si="135"/>
        <v>1988.56</v>
      </c>
      <c r="N1740">
        <f t="shared" si="136"/>
        <v>741.28</v>
      </c>
      <c r="O1740" t="str">
        <f t="shared" si="137"/>
        <v>Friday</v>
      </c>
      <c r="P1740" t="b">
        <f t="shared" si="138"/>
        <v>0</v>
      </c>
      <c r="Q1740" t="str">
        <f t="shared" si="139"/>
        <v>June</v>
      </c>
    </row>
    <row r="1741" spans="1:17" x14ac:dyDescent="0.4">
      <c r="A1741" t="s">
        <v>2122</v>
      </c>
      <c r="B1741" s="1">
        <v>45301</v>
      </c>
      <c r="C1741" t="s">
        <v>35</v>
      </c>
      <c r="D1741" t="s">
        <v>31</v>
      </c>
      <c r="E1741" t="s">
        <v>55</v>
      </c>
      <c r="F1741" t="s">
        <v>16</v>
      </c>
      <c r="G1741">
        <v>5</v>
      </c>
      <c r="H1741">
        <v>380.61</v>
      </c>
      <c r="I1741">
        <v>25</v>
      </c>
      <c r="J1741">
        <v>186.82</v>
      </c>
      <c r="K1741" t="s">
        <v>17</v>
      </c>
      <c r="L1741" t="s">
        <v>37</v>
      </c>
      <c r="M1741">
        <f t="shared" si="135"/>
        <v>1427.2875000000001</v>
      </c>
      <c r="N1741">
        <f t="shared" si="136"/>
        <v>493.18750000000023</v>
      </c>
      <c r="O1741" t="str">
        <f t="shared" si="137"/>
        <v>Wednesday</v>
      </c>
      <c r="P1741" t="b">
        <f t="shared" si="138"/>
        <v>0</v>
      </c>
      <c r="Q1741" t="str">
        <f t="shared" si="139"/>
        <v>January</v>
      </c>
    </row>
    <row r="1742" spans="1:17" x14ac:dyDescent="0.4">
      <c r="A1742" t="s">
        <v>2123</v>
      </c>
      <c r="B1742" s="1">
        <v>45603</v>
      </c>
      <c r="C1742" t="s">
        <v>146</v>
      </c>
      <c r="D1742" t="s">
        <v>31</v>
      </c>
      <c r="E1742" t="s">
        <v>387</v>
      </c>
      <c r="F1742" t="s">
        <v>28</v>
      </c>
      <c r="G1742">
        <v>5</v>
      </c>
      <c r="H1742">
        <v>2536.7800000000002</v>
      </c>
      <c r="I1742">
        <v>0</v>
      </c>
      <c r="J1742">
        <v>1130.1099999999999</v>
      </c>
      <c r="K1742" t="s">
        <v>24</v>
      </c>
      <c r="L1742" t="s">
        <v>33</v>
      </c>
      <c r="M1742">
        <f t="shared" si="135"/>
        <v>12683.900000000001</v>
      </c>
      <c r="N1742">
        <f t="shared" si="136"/>
        <v>7033.3500000000022</v>
      </c>
      <c r="O1742" t="str">
        <f t="shared" si="137"/>
        <v>Thursday</v>
      </c>
      <c r="P1742" t="b">
        <f t="shared" si="138"/>
        <v>0</v>
      </c>
      <c r="Q1742" t="str">
        <f t="shared" si="139"/>
        <v>November</v>
      </c>
    </row>
    <row r="1743" spans="1:17" x14ac:dyDescent="0.4">
      <c r="A1743" t="s">
        <v>2124</v>
      </c>
      <c r="B1743" s="1">
        <v>45700</v>
      </c>
      <c r="C1743" t="s">
        <v>20</v>
      </c>
      <c r="D1743" t="s">
        <v>21</v>
      </c>
      <c r="E1743" t="s">
        <v>27</v>
      </c>
      <c r="F1743" t="s">
        <v>23</v>
      </c>
      <c r="G1743">
        <v>3</v>
      </c>
      <c r="H1743">
        <v>1716.77</v>
      </c>
      <c r="I1743">
        <v>10</v>
      </c>
      <c r="J1743">
        <v>715.15</v>
      </c>
      <c r="K1743" t="s">
        <v>17</v>
      </c>
      <c r="L1743" t="s">
        <v>18</v>
      </c>
      <c r="M1743">
        <f t="shared" si="135"/>
        <v>4635.2789999999995</v>
      </c>
      <c r="N1743">
        <f t="shared" si="136"/>
        <v>2489.8289999999997</v>
      </c>
      <c r="O1743" t="str">
        <f t="shared" si="137"/>
        <v>Wednesday</v>
      </c>
      <c r="P1743" t="b">
        <f t="shared" si="138"/>
        <v>0</v>
      </c>
      <c r="Q1743" t="str">
        <f t="shared" si="139"/>
        <v>February</v>
      </c>
    </row>
    <row r="1744" spans="1:17" x14ac:dyDescent="0.4">
      <c r="A1744" t="s">
        <v>2125</v>
      </c>
      <c r="B1744" s="1">
        <v>45420</v>
      </c>
      <c r="C1744" t="s">
        <v>174</v>
      </c>
      <c r="D1744" t="s">
        <v>31</v>
      </c>
      <c r="E1744" t="s">
        <v>1154</v>
      </c>
      <c r="F1744" t="s">
        <v>16</v>
      </c>
      <c r="G1744">
        <v>4</v>
      </c>
      <c r="H1744">
        <v>775.18</v>
      </c>
      <c r="I1744">
        <v>5</v>
      </c>
      <c r="J1744">
        <v>342.11</v>
      </c>
      <c r="K1744" t="s">
        <v>17</v>
      </c>
      <c r="L1744" t="s">
        <v>37</v>
      </c>
      <c r="M1744">
        <f t="shared" si="135"/>
        <v>2945.6839999999997</v>
      </c>
      <c r="N1744">
        <f t="shared" si="136"/>
        <v>1577.2439999999997</v>
      </c>
      <c r="O1744" t="str">
        <f t="shared" si="137"/>
        <v>Wednesday</v>
      </c>
      <c r="P1744" t="b">
        <f t="shared" si="138"/>
        <v>0</v>
      </c>
      <c r="Q1744" t="str">
        <f t="shared" si="139"/>
        <v>May</v>
      </c>
    </row>
    <row r="1745" spans="1:17" x14ac:dyDescent="0.4">
      <c r="A1745" t="s">
        <v>2126</v>
      </c>
      <c r="B1745" s="1">
        <v>45421</v>
      </c>
      <c r="C1745" t="s">
        <v>59</v>
      </c>
      <c r="D1745" t="s">
        <v>46</v>
      </c>
      <c r="E1745" t="s">
        <v>1129</v>
      </c>
      <c r="F1745" t="s">
        <v>23</v>
      </c>
      <c r="G1745">
        <v>1</v>
      </c>
      <c r="H1745">
        <v>1807.22</v>
      </c>
      <c r="I1745">
        <v>10</v>
      </c>
      <c r="J1745">
        <v>823.95</v>
      </c>
      <c r="K1745" t="s">
        <v>24</v>
      </c>
      <c r="L1745" t="s">
        <v>33</v>
      </c>
      <c r="M1745">
        <f t="shared" si="135"/>
        <v>1626.498</v>
      </c>
      <c r="N1745">
        <f t="shared" si="136"/>
        <v>802.548</v>
      </c>
      <c r="O1745" t="str">
        <f t="shared" si="137"/>
        <v>Thursday</v>
      </c>
      <c r="P1745" t="b">
        <f t="shared" si="138"/>
        <v>0</v>
      </c>
      <c r="Q1745" t="str">
        <f t="shared" si="139"/>
        <v>May</v>
      </c>
    </row>
    <row r="1746" spans="1:17" x14ac:dyDescent="0.4">
      <c r="A1746" t="s">
        <v>2127</v>
      </c>
      <c r="B1746" s="1">
        <v>45926</v>
      </c>
      <c r="C1746" t="s">
        <v>159</v>
      </c>
      <c r="D1746" t="s">
        <v>14</v>
      </c>
      <c r="E1746" t="s">
        <v>837</v>
      </c>
      <c r="F1746" t="s">
        <v>28</v>
      </c>
      <c r="G1746">
        <v>3</v>
      </c>
      <c r="H1746">
        <v>1177.8599999999999</v>
      </c>
      <c r="I1746">
        <v>30</v>
      </c>
      <c r="J1746">
        <v>612</v>
      </c>
      <c r="K1746" t="s">
        <v>24</v>
      </c>
      <c r="L1746" t="s">
        <v>18</v>
      </c>
      <c r="M1746">
        <f t="shared" si="135"/>
        <v>2473.5059999999999</v>
      </c>
      <c r="N1746">
        <f t="shared" si="136"/>
        <v>637.50599999999986</v>
      </c>
      <c r="O1746" t="str">
        <f t="shared" si="137"/>
        <v>Friday</v>
      </c>
      <c r="P1746" t="b">
        <f t="shared" si="138"/>
        <v>0</v>
      </c>
      <c r="Q1746" t="str">
        <f t="shared" si="139"/>
        <v>September</v>
      </c>
    </row>
    <row r="1747" spans="1:17" x14ac:dyDescent="0.4">
      <c r="A1747" t="s">
        <v>2128</v>
      </c>
      <c r="B1747" s="1">
        <v>45393</v>
      </c>
      <c r="C1747" t="s">
        <v>193</v>
      </c>
      <c r="D1747" t="s">
        <v>31</v>
      </c>
      <c r="E1747" t="s">
        <v>1065</v>
      </c>
      <c r="F1747" t="s">
        <v>28</v>
      </c>
      <c r="G1747">
        <v>1</v>
      </c>
      <c r="H1747">
        <v>1053</v>
      </c>
      <c r="I1747">
        <v>25</v>
      </c>
      <c r="J1747">
        <v>437.23</v>
      </c>
      <c r="K1747" t="s">
        <v>17</v>
      </c>
      <c r="L1747" t="s">
        <v>33</v>
      </c>
      <c r="M1747">
        <f t="shared" si="135"/>
        <v>789.75</v>
      </c>
      <c r="N1747">
        <f t="shared" si="136"/>
        <v>352.52</v>
      </c>
      <c r="O1747" t="str">
        <f t="shared" si="137"/>
        <v>Thursday</v>
      </c>
      <c r="P1747" t="b">
        <f t="shared" si="138"/>
        <v>0</v>
      </c>
      <c r="Q1747" t="str">
        <f t="shared" si="139"/>
        <v>April</v>
      </c>
    </row>
    <row r="1748" spans="1:17" x14ac:dyDescent="0.4">
      <c r="A1748" t="s">
        <v>2129</v>
      </c>
      <c r="B1748" s="1">
        <v>45650</v>
      </c>
      <c r="C1748" t="s">
        <v>65</v>
      </c>
      <c r="D1748" t="s">
        <v>46</v>
      </c>
      <c r="E1748" t="s">
        <v>477</v>
      </c>
      <c r="F1748" t="s">
        <v>28</v>
      </c>
      <c r="G1748">
        <v>4</v>
      </c>
      <c r="H1748">
        <v>772.02</v>
      </c>
      <c r="I1748">
        <v>30</v>
      </c>
      <c r="J1748">
        <v>402.67</v>
      </c>
      <c r="K1748" t="s">
        <v>17</v>
      </c>
      <c r="L1748" t="s">
        <v>18</v>
      </c>
      <c r="M1748">
        <f t="shared" si="135"/>
        <v>2161.6559999999999</v>
      </c>
      <c r="N1748">
        <f t="shared" si="136"/>
        <v>550.97599999999989</v>
      </c>
      <c r="O1748" t="str">
        <f t="shared" si="137"/>
        <v>Tuesday</v>
      </c>
      <c r="P1748" t="b">
        <f t="shared" si="138"/>
        <v>0</v>
      </c>
      <c r="Q1748" t="str">
        <f t="shared" si="139"/>
        <v>December</v>
      </c>
    </row>
    <row r="1749" spans="1:17" x14ac:dyDescent="0.4">
      <c r="A1749" t="s">
        <v>2130</v>
      </c>
      <c r="B1749" s="1">
        <v>45910</v>
      </c>
      <c r="C1749" t="s">
        <v>114</v>
      </c>
      <c r="D1749" t="s">
        <v>31</v>
      </c>
      <c r="E1749" t="s">
        <v>850</v>
      </c>
      <c r="F1749" t="s">
        <v>28</v>
      </c>
      <c r="G1749">
        <v>4</v>
      </c>
      <c r="H1749">
        <v>1804.75</v>
      </c>
      <c r="I1749">
        <v>15</v>
      </c>
      <c r="J1749">
        <v>923.36</v>
      </c>
      <c r="K1749" t="s">
        <v>17</v>
      </c>
      <c r="L1749" t="s">
        <v>18</v>
      </c>
      <c r="M1749">
        <f t="shared" si="135"/>
        <v>6136.15</v>
      </c>
      <c r="N1749">
        <f t="shared" si="136"/>
        <v>2442.7099999999996</v>
      </c>
      <c r="O1749" t="str">
        <f t="shared" si="137"/>
        <v>Wednesday</v>
      </c>
      <c r="P1749" t="b">
        <f t="shared" si="138"/>
        <v>0</v>
      </c>
      <c r="Q1749" t="str">
        <f t="shared" si="139"/>
        <v>September</v>
      </c>
    </row>
    <row r="1750" spans="1:17" x14ac:dyDescent="0.4">
      <c r="A1750" t="s">
        <v>2131</v>
      </c>
      <c r="B1750" s="1">
        <v>45847</v>
      </c>
      <c r="C1750" t="s">
        <v>26</v>
      </c>
      <c r="D1750" t="s">
        <v>46</v>
      </c>
      <c r="E1750" t="s">
        <v>670</v>
      </c>
      <c r="F1750" t="s">
        <v>23</v>
      </c>
      <c r="G1750">
        <v>4</v>
      </c>
      <c r="H1750">
        <v>2082.5300000000002</v>
      </c>
      <c r="I1750">
        <v>5</v>
      </c>
      <c r="J1750">
        <v>1414.02</v>
      </c>
      <c r="K1750" t="s">
        <v>24</v>
      </c>
      <c r="L1750" t="s">
        <v>37</v>
      </c>
      <c r="M1750">
        <f t="shared" si="135"/>
        <v>7913.6140000000005</v>
      </c>
      <c r="N1750">
        <f t="shared" si="136"/>
        <v>2257.5340000000006</v>
      </c>
      <c r="O1750" t="str">
        <f t="shared" si="137"/>
        <v>Wednesday</v>
      </c>
      <c r="P1750" t="b">
        <f t="shared" si="138"/>
        <v>0</v>
      </c>
      <c r="Q1750" t="str">
        <f t="shared" si="139"/>
        <v>July</v>
      </c>
    </row>
    <row r="1751" spans="1:17" x14ac:dyDescent="0.4">
      <c r="A1751" t="s">
        <v>2132</v>
      </c>
      <c r="B1751" s="1">
        <v>45525</v>
      </c>
      <c r="C1751" t="s">
        <v>51</v>
      </c>
      <c r="D1751" t="s">
        <v>31</v>
      </c>
      <c r="E1751" t="s">
        <v>996</v>
      </c>
      <c r="F1751" t="s">
        <v>28</v>
      </c>
      <c r="G1751">
        <v>4</v>
      </c>
      <c r="H1751">
        <v>2685.29</v>
      </c>
      <c r="I1751">
        <v>15</v>
      </c>
      <c r="J1751">
        <v>1255.04</v>
      </c>
      <c r="K1751" t="s">
        <v>24</v>
      </c>
      <c r="L1751" t="s">
        <v>18</v>
      </c>
      <c r="M1751">
        <f t="shared" si="135"/>
        <v>9129.985999999999</v>
      </c>
      <c r="N1751">
        <f t="shared" si="136"/>
        <v>4109.8259999999991</v>
      </c>
      <c r="O1751" t="str">
        <f t="shared" si="137"/>
        <v>Wednesday</v>
      </c>
      <c r="P1751" t="b">
        <f t="shared" si="138"/>
        <v>0</v>
      </c>
      <c r="Q1751" t="str">
        <f t="shared" si="139"/>
        <v>August</v>
      </c>
    </row>
    <row r="1752" spans="1:17" x14ac:dyDescent="0.4">
      <c r="A1752" t="s">
        <v>2133</v>
      </c>
      <c r="B1752" s="1">
        <v>45621</v>
      </c>
      <c r="C1752" t="s">
        <v>296</v>
      </c>
      <c r="D1752" t="s">
        <v>21</v>
      </c>
      <c r="E1752" t="s">
        <v>36</v>
      </c>
      <c r="F1752" t="s">
        <v>16</v>
      </c>
      <c r="G1752">
        <v>5</v>
      </c>
      <c r="H1752">
        <v>543.96</v>
      </c>
      <c r="I1752">
        <v>20</v>
      </c>
      <c r="J1752">
        <v>232.51</v>
      </c>
      <c r="K1752" t="s">
        <v>17</v>
      </c>
      <c r="L1752" t="s">
        <v>37</v>
      </c>
      <c r="M1752">
        <f t="shared" si="135"/>
        <v>2175.84</v>
      </c>
      <c r="N1752">
        <f t="shared" si="136"/>
        <v>1013.2900000000002</v>
      </c>
      <c r="O1752" t="str">
        <f t="shared" si="137"/>
        <v>Monday</v>
      </c>
      <c r="P1752" t="b">
        <f t="shared" si="138"/>
        <v>0</v>
      </c>
      <c r="Q1752" t="str">
        <f t="shared" si="139"/>
        <v>November</v>
      </c>
    </row>
    <row r="1753" spans="1:17" x14ac:dyDescent="0.4">
      <c r="A1753" t="s">
        <v>2134</v>
      </c>
      <c r="B1753" s="1">
        <v>45666</v>
      </c>
      <c r="C1753" t="s">
        <v>89</v>
      </c>
      <c r="D1753" t="s">
        <v>31</v>
      </c>
      <c r="E1753" t="s">
        <v>853</v>
      </c>
      <c r="F1753" t="s">
        <v>16</v>
      </c>
      <c r="G1753">
        <v>5</v>
      </c>
      <c r="H1753">
        <v>2824.46</v>
      </c>
      <c r="I1753">
        <v>0</v>
      </c>
      <c r="J1753">
        <v>1721.54</v>
      </c>
      <c r="K1753" t="s">
        <v>24</v>
      </c>
      <c r="L1753" t="s">
        <v>33</v>
      </c>
      <c r="M1753">
        <f t="shared" si="135"/>
        <v>14122.3</v>
      </c>
      <c r="N1753">
        <f t="shared" si="136"/>
        <v>5514.5999999999985</v>
      </c>
      <c r="O1753" t="str">
        <f t="shared" si="137"/>
        <v>Thursday</v>
      </c>
      <c r="P1753" t="b">
        <f t="shared" si="138"/>
        <v>0</v>
      </c>
      <c r="Q1753" t="str">
        <f t="shared" si="139"/>
        <v>January</v>
      </c>
    </row>
    <row r="1754" spans="1:17" x14ac:dyDescent="0.4">
      <c r="A1754" t="s">
        <v>2135</v>
      </c>
      <c r="B1754" s="1">
        <v>45621</v>
      </c>
      <c r="C1754" t="s">
        <v>375</v>
      </c>
      <c r="D1754" t="s">
        <v>14</v>
      </c>
      <c r="E1754" t="s">
        <v>741</v>
      </c>
      <c r="F1754" t="s">
        <v>28</v>
      </c>
      <c r="G1754">
        <v>3</v>
      </c>
      <c r="H1754">
        <v>1587.36</v>
      </c>
      <c r="I1754">
        <v>5</v>
      </c>
      <c r="J1754">
        <v>1028.56</v>
      </c>
      <c r="K1754" t="s">
        <v>17</v>
      </c>
      <c r="L1754" t="s">
        <v>37</v>
      </c>
      <c r="M1754">
        <f t="shared" si="135"/>
        <v>4523.9759999999997</v>
      </c>
      <c r="N1754">
        <f t="shared" si="136"/>
        <v>1438.2959999999998</v>
      </c>
      <c r="O1754" t="str">
        <f t="shared" si="137"/>
        <v>Monday</v>
      </c>
      <c r="P1754" t="b">
        <f t="shared" si="138"/>
        <v>0</v>
      </c>
      <c r="Q1754" t="str">
        <f t="shared" si="139"/>
        <v>November</v>
      </c>
    </row>
    <row r="1755" spans="1:17" x14ac:dyDescent="0.4">
      <c r="A1755" t="s">
        <v>2136</v>
      </c>
      <c r="B1755" s="1">
        <v>45949</v>
      </c>
      <c r="C1755" t="s">
        <v>149</v>
      </c>
      <c r="D1755" t="s">
        <v>31</v>
      </c>
      <c r="E1755" t="s">
        <v>82</v>
      </c>
      <c r="F1755" t="s">
        <v>28</v>
      </c>
      <c r="G1755">
        <v>5</v>
      </c>
      <c r="H1755">
        <v>566.48</v>
      </c>
      <c r="I1755">
        <v>20</v>
      </c>
      <c r="J1755">
        <v>354.02</v>
      </c>
      <c r="K1755" t="s">
        <v>24</v>
      </c>
      <c r="L1755" t="s">
        <v>37</v>
      </c>
      <c r="M1755">
        <f t="shared" si="135"/>
        <v>2265.92</v>
      </c>
      <c r="N1755">
        <f t="shared" si="136"/>
        <v>495.82000000000016</v>
      </c>
      <c r="O1755" t="str">
        <f t="shared" si="137"/>
        <v>Sunday</v>
      </c>
      <c r="P1755" t="b">
        <f t="shared" si="138"/>
        <v>1</v>
      </c>
      <c r="Q1755" t="str">
        <f t="shared" si="139"/>
        <v>October</v>
      </c>
    </row>
    <row r="1756" spans="1:17" x14ac:dyDescent="0.4">
      <c r="A1756" t="s">
        <v>2137</v>
      </c>
      <c r="B1756" s="1">
        <v>45854</v>
      </c>
      <c r="C1756" t="s">
        <v>68</v>
      </c>
      <c r="D1756" t="s">
        <v>31</v>
      </c>
      <c r="E1756" t="s">
        <v>352</v>
      </c>
      <c r="F1756" t="s">
        <v>28</v>
      </c>
      <c r="G1756">
        <v>2</v>
      </c>
      <c r="H1756">
        <v>2706.01</v>
      </c>
      <c r="I1756">
        <v>10</v>
      </c>
      <c r="J1756">
        <v>1595.74</v>
      </c>
      <c r="K1756" t="s">
        <v>24</v>
      </c>
      <c r="L1756" t="s">
        <v>33</v>
      </c>
      <c r="M1756">
        <f t="shared" si="135"/>
        <v>4870.8180000000002</v>
      </c>
      <c r="N1756">
        <f t="shared" si="136"/>
        <v>1679.3380000000002</v>
      </c>
      <c r="O1756" t="str">
        <f t="shared" si="137"/>
        <v>Wednesday</v>
      </c>
      <c r="P1756" t="b">
        <f t="shared" si="138"/>
        <v>0</v>
      </c>
      <c r="Q1756" t="str">
        <f t="shared" si="139"/>
        <v>July</v>
      </c>
    </row>
    <row r="1757" spans="1:17" x14ac:dyDescent="0.4">
      <c r="A1757" t="s">
        <v>2138</v>
      </c>
      <c r="B1757" s="1">
        <v>45617</v>
      </c>
      <c r="C1757" t="s">
        <v>179</v>
      </c>
      <c r="D1757" t="s">
        <v>14</v>
      </c>
      <c r="E1757" t="s">
        <v>55</v>
      </c>
      <c r="F1757" t="s">
        <v>16</v>
      </c>
      <c r="G1757">
        <v>4</v>
      </c>
      <c r="H1757">
        <v>576.16999999999996</v>
      </c>
      <c r="I1757">
        <v>30</v>
      </c>
      <c r="J1757">
        <v>353.13</v>
      </c>
      <c r="K1757" t="s">
        <v>24</v>
      </c>
      <c r="L1757" t="s">
        <v>37</v>
      </c>
      <c r="M1757">
        <f t="shared" si="135"/>
        <v>1613.2759999999998</v>
      </c>
      <c r="N1757">
        <f t="shared" si="136"/>
        <v>200.75599999999986</v>
      </c>
      <c r="O1757" t="str">
        <f t="shared" si="137"/>
        <v>Thursday</v>
      </c>
      <c r="P1757" t="b">
        <f t="shared" si="138"/>
        <v>0</v>
      </c>
      <c r="Q1757" t="str">
        <f t="shared" si="139"/>
        <v>November</v>
      </c>
    </row>
    <row r="1758" spans="1:17" x14ac:dyDescent="0.4">
      <c r="A1758" t="s">
        <v>2139</v>
      </c>
      <c r="B1758" s="1">
        <v>45571</v>
      </c>
      <c r="C1758" t="s">
        <v>45</v>
      </c>
      <c r="D1758" t="s">
        <v>46</v>
      </c>
      <c r="E1758" t="s">
        <v>57</v>
      </c>
      <c r="F1758" t="s">
        <v>16</v>
      </c>
      <c r="G1758">
        <v>5</v>
      </c>
      <c r="H1758">
        <v>1812.73</v>
      </c>
      <c r="I1758">
        <v>30</v>
      </c>
      <c r="J1758">
        <v>944.33</v>
      </c>
      <c r="K1758" t="s">
        <v>17</v>
      </c>
      <c r="L1758" t="s">
        <v>37</v>
      </c>
      <c r="M1758">
        <f t="shared" si="135"/>
        <v>6344.5549999999994</v>
      </c>
      <c r="N1758">
        <f t="shared" si="136"/>
        <v>1622.9049999999988</v>
      </c>
      <c r="O1758" t="str">
        <f t="shared" si="137"/>
        <v>Sunday</v>
      </c>
      <c r="P1758" t="b">
        <f t="shared" si="138"/>
        <v>1</v>
      </c>
      <c r="Q1758" t="str">
        <f t="shared" si="139"/>
        <v>October</v>
      </c>
    </row>
    <row r="1759" spans="1:17" x14ac:dyDescent="0.4">
      <c r="A1759" t="s">
        <v>2140</v>
      </c>
      <c r="B1759" s="1">
        <v>45395</v>
      </c>
      <c r="C1759" t="s">
        <v>95</v>
      </c>
      <c r="D1759" t="s">
        <v>14</v>
      </c>
      <c r="E1759" t="s">
        <v>464</v>
      </c>
      <c r="F1759" t="s">
        <v>23</v>
      </c>
      <c r="G1759">
        <v>1</v>
      </c>
      <c r="H1759">
        <v>1089.28</v>
      </c>
      <c r="I1759">
        <v>15</v>
      </c>
      <c r="J1759">
        <v>730.93</v>
      </c>
      <c r="K1759" t="s">
        <v>17</v>
      </c>
      <c r="L1759" t="s">
        <v>37</v>
      </c>
      <c r="M1759">
        <f t="shared" si="135"/>
        <v>925.88799999999992</v>
      </c>
      <c r="N1759">
        <f t="shared" si="136"/>
        <v>194.95799999999997</v>
      </c>
      <c r="O1759" t="str">
        <f t="shared" si="137"/>
        <v>Saturday</v>
      </c>
      <c r="P1759" t="b">
        <f t="shared" si="138"/>
        <v>1</v>
      </c>
      <c r="Q1759" t="str">
        <f t="shared" si="139"/>
        <v>April</v>
      </c>
    </row>
    <row r="1760" spans="1:17" x14ac:dyDescent="0.4">
      <c r="A1760" t="s">
        <v>2141</v>
      </c>
      <c r="B1760" s="1">
        <v>45697</v>
      </c>
      <c r="C1760" t="s">
        <v>253</v>
      </c>
      <c r="D1760" t="s">
        <v>46</v>
      </c>
      <c r="E1760" t="s">
        <v>796</v>
      </c>
      <c r="F1760" t="s">
        <v>16</v>
      </c>
      <c r="G1760">
        <v>4</v>
      </c>
      <c r="H1760">
        <v>2372.02</v>
      </c>
      <c r="I1760">
        <v>30</v>
      </c>
      <c r="J1760">
        <v>1178.1300000000001</v>
      </c>
      <c r="K1760" t="s">
        <v>24</v>
      </c>
      <c r="L1760" t="s">
        <v>37</v>
      </c>
      <c r="M1760">
        <f t="shared" si="135"/>
        <v>6641.6559999999999</v>
      </c>
      <c r="N1760">
        <f t="shared" si="136"/>
        <v>1929.1359999999995</v>
      </c>
      <c r="O1760" t="str">
        <f t="shared" si="137"/>
        <v>Sunday</v>
      </c>
      <c r="P1760" t="b">
        <f t="shared" si="138"/>
        <v>1</v>
      </c>
      <c r="Q1760" t="str">
        <f t="shared" si="139"/>
        <v>February</v>
      </c>
    </row>
    <row r="1761" spans="1:17" x14ac:dyDescent="0.4">
      <c r="A1761" t="s">
        <v>2142</v>
      </c>
      <c r="B1761" s="1">
        <v>45429</v>
      </c>
      <c r="C1761" t="s">
        <v>241</v>
      </c>
      <c r="D1761" t="s">
        <v>46</v>
      </c>
      <c r="E1761" t="s">
        <v>591</v>
      </c>
      <c r="F1761" t="s">
        <v>28</v>
      </c>
      <c r="G1761">
        <v>3</v>
      </c>
      <c r="H1761">
        <v>2389.13</v>
      </c>
      <c r="I1761">
        <v>0</v>
      </c>
      <c r="J1761">
        <v>1191.7</v>
      </c>
      <c r="K1761" t="s">
        <v>24</v>
      </c>
      <c r="L1761" t="s">
        <v>18</v>
      </c>
      <c r="M1761">
        <f t="shared" si="135"/>
        <v>7167.39</v>
      </c>
      <c r="N1761">
        <f t="shared" si="136"/>
        <v>3592.29</v>
      </c>
      <c r="O1761" t="str">
        <f t="shared" si="137"/>
        <v>Friday</v>
      </c>
      <c r="P1761" t="b">
        <f t="shared" si="138"/>
        <v>0</v>
      </c>
      <c r="Q1761" t="str">
        <f t="shared" si="139"/>
        <v>May</v>
      </c>
    </row>
    <row r="1762" spans="1:17" x14ac:dyDescent="0.4">
      <c r="A1762" t="s">
        <v>2143</v>
      </c>
      <c r="B1762" s="1">
        <v>45809</v>
      </c>
      <c r="C1762" t="s">
        <v>54</v>
      </c>
      <c r="D1762" t="s">
        <v>31</v>
      </c>
      <c r="E1762" t="s">
        <v>284</v>
      </c>
      <c r="F1762" t="s">
        <v>16</v>
      </c>
      <c r="G1762">
        <v>5</v>
      </c>
      <c r="H1762">
        <v>1217.42</v>
      </c>
      <c r="I1762">
        <v>5</v>
      </c>
      <c r="J1762">
        <v>683.87</v>
      </c>
      <c r="K1762" t="s">
        <v>17</v>
      </c>
      <c r="L1762" t="s">
        <v>18</v>
      </c>
      <c r="M1762">
        <f t="shared" si="135"/>
        <v>5782.7449999999999</v>
      </c>
      <c r="N1762">
        <f t="shared" si="136"/>
        <v>2363.395</v>
      </c>
      <c r="O1762" t="str">
        <f t="shared" si="137"/>
        <v>Sunday</v>
      </c>
      <c r="P1762" t="b">
        <f t="shared" si="138"/>
        <v>1</v>
      </c>
      <c r="Q1762" t="str">
        <f t="shared" si="139"/>
        <v>June</v>
      </c>
    </row>
    <row r="1763" spans="1:17" x14ac:dyDescent="0.4">
      <c r="A1763" t="s">
        <v>2144</v>
      </c>
      <c r="B1763" s="1">
        <v>45914</v>
      </c>
      <c r="C1763" t="s">
        <v>86</v>
      </c>
      <c r="D1763" t="s">
        <v>31</v>
      </c>
      <c r="E1763" t="s">
        <v>411</v>
      </c>
      <c r="F1763" t="s">
        <v>28</v>
      </c>
      <c r="G1763">
        <v>1</v>
      </c>
      <c r="H1763">
        <v>2547.16</v>
      </c>
      <c r="I1763">
        <v>30</v>
      </c>
      <c r="J1763">
        <v>1293.6199999999999</v>
      </c>
      <c r="K1763" t="s">
        <v>24</v>
      </c>
      <c r="L1763" t="s">
        <v>37</v>
      </c>
      <c r="M1763">
        <f t="shared" si="135"/>
        <v>1783.0119999999997</v>
      </c>
      <c r="N1763">
        <f t="shared" si="136"/>
        <v>489.39199999999983</v>
      </c>
      <c r="O1763" t="str">
        <f t="shared" si="137"/>
        <v>Sunday</v>
      </c>
      <c r="P1763" t="b">
        <f t="shared" si="138"/>
        <v>1</v>
      </c>
      <c r="Q1763" t="str">
        <f t="shared" si="139"/>
        <v>September</v>
      </c>
    </row>
    <row r="1764" spans="1:17" x14ac:dyDescent="0.4">
      <c r="A1764" t="s">
        <v>2145</v>
      </c>
      <c r="B1764" s="1">
        <v>45559</v>
      </c>
      <c r="C1764" t="s">
        <v>457</v>
      </c>
      <c r="D1764" t="s">
        <v>46</v>
      </c>
      <c r="E1764" t="s">
        <v>129</v>
      </c>
      <c r="F1764" t="s">
        <v>23</v>
      </c>
      <c r="G1764">
        <v>5</v>
      </c>
      <c r="H1764">
        <v>779.71</v>
      </c>
      <c r="I1764">
        <v>20</v>
      </c>
      <c r="J1764">
        <v>338.05</v>
      </c>
      <c r="K1764" t="s">
        <v>24</v>
      </c>
      <c r="L1764" t="s">
        <v>37</v>
      </c>
      <c r="M1764">
        <f t="shared" si="135"/>
        <v>3118.84</v>
      </c>
      <c r="N1764">
        <f t="shared" si="136"/>
        <v>1428.5900000000001</v>
      </c>
      <c r="O1764" t="str">
        <f t="shared" si="137"/>
        <v>Tuesday</v>
      </c>
      <c r="P1764" t="b">
        <f t="shared" si="138"/>
        <v>0</v>
      </c>
      <c r="Q1764" t="str">
        <f t="shared" si="139"/>
        <v>September</v>
      </c>
    </row>
    <row r="1765" spans="1:17" x14ac:dyDescent="0.4">
      <c r="A1765" t="s">
        <v>2146</v>
      </c>
      <c r="B1765" s="1">
        <v>45316</v>
      </c>
      <c r="C1765" t="s">
        <v>269</v>
      </c>
      <c r="D1765" t="s">
        <v>14</v>
      </c>
      <c r="E1765" t="s">
        <v>680</v>
      </c>
      <c r="F1765" t="s">
        <v>16</v>
      </c>
      <c r="G1765">
        <v>2</v>
      </c>
      <c r="H1765">
        <v>1693.95</v>
      </c>
      <c r="I1765">
        <v>0</v>
      </c>
      <c r="J1765">
        <v>854.17</v>
      </c>
      <c r="K1765" t="s">
        <v>17</v>
      </c>
      <c r="L1765" t="s">
        <v>33</v>
      </c>
      <c r="M1765">
        <f t="shared" si="135"/>
        <v>3387.9</v>
      </c>
      <c r="N1765">
        <f t="shared" si="136"/>
        <v>1679.5600000000002</v>
      </c>
      <c r="O1765" t="str">
        <f t="shared" si="137"/>
        <v>Thursday</v>
      </c>
      <c r="P1765" t="b">
        <f t="shared" si="138"/>
        <v>0</v>
      </c>
      <c r="Q1765" t="str">
        <f t="shared" si="139"/>
        <v>January</v>
      </c>
    </row>
    <row r="1766" spans="1:17" x14ac:dyDescent="0.4">
      <c r="A1766" t="s">
        <v>2147</v>
      </c>
      <c r="B1766" s="1">
        <v>45854</v>
      </c>
      <c r="C1766" t="s">
        <v>296</v>
      </c>
      <c r="D1766" t="s">
        <v>31</v>
      </c>
      <c r="E1766" t="s">
        <v>307</v>
      </c>
      <c r="F1766" t="s">
        <v>28</v>
      </c>
      <c r="G1766">
        <v>1</v>
      </c>
      <c r="H1766">
        <v>2724.94</v>
      </c>
      <c r="I1766">
        <v>15</v>
      </c>
      <c r="J1766">
        <v>1505.06</v>
      </c>
      <c r="K1766" t="s">
        <v>17</v>
      </c>
      <c r="L1766" t="s">
        <v>33</v>
      </c>
      <c r="M1766">
        <f t="shared" si="135"/>
        <v>2316.1990000000001</v>
      </c>
      <c r="N1766">
        <f t="shared" si="136"/>
        <v>811.13900000000012</v>
      </c>
      <c r="O1766" t="str">
        <f t="shared" si="137"/>
        <v>Wednesday</v>
      </c>
      <c r="P1766" t="b">
        <f t="shared" si="138"/>
        <v>0</v>
      </c>
      <c r="Q1766" t="str">
        <f t="shared" si="139"/>
        <v>July</v>
      </c>
    </row>
    <row r="1767" spans="1:17" x14ac:dyDescent="0.4">
      <c r="A1767" t="s">
        <v>2148</v>
      </c>
      <c r="B1767" s="1">
        <v>45314</v>
      </c>
      <c r="C1767" t="s">
        <v>119</v>
      </c>
      <c r="D1767" t="s">
        <v>46</v>
      </c>
      <c r="E1767" t="s">
        <v>891</v>
      </c>
      <c r="F1767" t="s">
        <v>28</v>
      </c>
      <c r="G1767">
        <v>3</v>
      </c>
      <c r="H1767">
        <v>1270.02</v>
      </c>
      <c r="I1767">
        <v>25</v>
      </c>
      <c r="J1767">
        <v>518.92999999999995</v>
      </c>
      <c r="K1767" t="s">
        <v>24</v>
      </c>
      <c r="L1767" t="s">
        <v>18</v>
      </c>
      <c r="M1767">
        <f t="shared" si="135"/>
        <v>2857.5450000000001</v>
      </c>
      <c r="N1767">
        <f t="shared" si="136"/>
        <v>1300.7550000000001</v>
      </c>
      <c r="O1767" t="str">
        <f t="shared" si="137"/>
        <v>Tuesday</v>
      </c>
      <c r="P1767" t="b">
        <f t="shared" si="138"/>
        <v>0</v>
      </c>
      <c r="Q1767" t="str">
        <f t="shared" si="139"/>
        <v>January</v>
      </c>
    </row>
    <row r="1768" spans="1:17" x14ac:dyDescent="0.4">
      <c r="A1768" t="s">
        <v>2149</v>
      </c>
      <c r="B1768" s="1">
        <v>45435</v>
      </c>
      <c r="C1768" t="s">
        <v>296</v>
      </c>
      <c r="D1768" t="s">
        <v>14</v>
      </c>
      <c r="E1768" t="s">
        <v>853</v>
      </c>
      <c r="F1768" t="s">
        <v>28</v>
      </c>
      <c r="G1768">
        <v>3</v>
      </c>
      <c r="H1768">
        <v>669.46</v>
      </c>
      <c r="I1768">
        <v>10</v>
      </c>
      <c r="J1768">
        <v>344.65</v>
      </c>
      <c r="K1768" t="s">
        <v>17</v>
      </c>
      <c r="L1768" t="s">
        <v>18</v>
      </c>
      <c r="M1768">
        <f t="shared" si="135"/>
        <v>1807.5420000000001</v>
      </c>
      <c r="N1768">
        <f t="shared" si="136"/>
        <v>773.59200000000033</v>
      </c>
      <c r="O1768" t="str">
        <f t="shared" si="137"/>
        <v>Thursday</v>
      </c>
      <c r="P1768" t="b">
        <f t="shared" si="138"/>
        <v>0</v>
      </c>
      <c r="Q1768" t="str">
        <f t="shared" si="139"/>
        <v>May</v>
      </c>
    </row>
    <row r="1769" spans="1:17" x14ac:dyDescent="0.4">
      <c r="A1769" t="s">
        <v>2150</v>
      </c>
      <c r="B1769" s="1">
        <v>45666</v>
      </c>
      <c r="C1769" t="s">
        <v>54</v>
      </c>
      <c r="D1769" t="s">
        <v>46</v>
      </c>
      <c r="E1769" t="s">
        <v>792</v>
      </c>
      <c r="F1769" t="s">
        <v>23</v>
      </c>
      <c r="G1769">
        <v>5</v>
      </c>
      <c r="H1769">
        <v>2315.3000000000002</v>
      </c>
      <c r="I1769">
        <v>5</v>
      </c>
      <c r="J1769">
        <v>1435.57</v>
      </c>
      <c r="K1769" t="s">
        <v>17</v>
      </c>
      <c r="L1769" t="s">
        <v>33</v>
      </c>
      <c r="M1769">
        <f t="shared" si="135"/>
        <v>10997.674999999999</v>
      </c>
      <c r="N1769">
        <f t="shared" si="136"/>
        <v>3819.8249999999998</v>
      </c>
      <c r="O1769" t="str">
        <f t="shared" si="137"/>
        <v>Thursday</v>
      </c>
      <c r="P1769" t="b">
        <f t="shared" si="138"/>
        <v>0</v>
      </c>
      <c r="Q1769" t="str">
        <f t="shared" si="139"/>
        <v>January</v>
      </c>
    </row>
    <row r="1770" spans="1:17" x14ac:dyDescent="0.4">
      <c r="A1770" t="s">
        <v>2151</v>
      </c>
      <c r="B1770" s="1">
        <v>45335</v>
      </c>
      <c r="C1770" t="s">
        <v>139</v>
      </c>
      <c r="D1770" t="s">
        <v>21</v>
      </c>
      <c r="E1770" t="s">
        <v>392</v>
      </c>
      <c r="F1770" t="s">
        <v>16</v>
      </c>
      <c r="G1770">
        <v>3</v>
      </c>
      <c r="H1770">
        <v>655.16999999999996</v>
      </c>
      <c r="I1770">
        <v>25</v>
      </c>
      <c r="J1770">
        <v>417.49</v>
      </c>
      <c r="K1770" t="s">
        <v>17</v>
      </c>
      <c r="L1770" t="s">
        <v>33</v>
      </c>
      <c r="M1770">
        <f t="shared" si="135"/>
        <v>1474.1324999999997</v>
      </c>
      <c r="N1770">
        <f t="shared" si="136"/>
        <v>221.66249999999968</v>
      </c>
      <c r="O1770" t="str">
        <f t="shared" si="137"/>
        <v>Tuesday</v>
      </c>
      <c r="P1770" t="b">
        <f t="shared" si="138"/>
        <v>0</v>
      </c>
      <c r="Q1770" t="str">
        <f t="shared" si="139"/>
        <v>February</v>
      </c>
    </row>
    <row r="1771" spans="1:17" x14ac:dyDescent="0.4">
      <c r="A1771" t="s">
        <v>2152</v>
      </c>
      <c r="B1771" s="1">
        <v>45434</v>
      </c>
      <c r="C1771" t="s">
        <v>84</v>
      </c>
      <c r="D1771" t="s">
        <v>46</v>
      </c>
      <c r="E1771" t="s">
        <v>534</v>
      </c>
      <c r="F1771" t="s">
        <v>16</v>
      </c>
      <c r="G1771">
        <v>5</v>
      </c>
      <c r="H1771">
        <v>2132.7399999999998</v>
      </c>
      <c r="I1771">
        <v>15</v>
      </c>
      <c r="J1771">
        <v>1301.3399999999999</v>
      </c>
      <c r="K1771" t="s">
        <v>24</v>
      </c>
      <c r="L1771" t="s">
        <v>33</v>
      </c>
      <c r="M1771">
        <f t="shared" si="135"/>
        <v>9064.1449999999986</v>
      </c>
      <c r="N1771">
        <f t="shared" si="136"/>
        <v>2557.4449999999988</v>
      </c>
      <c r="O1771" t="str">
        <f t="shared" si="137"/>
        <v>Wednesday</v>
      </c>
      <c r="P1771" t="b">
        <f t="shared" si="138"/>
        <v>0</v>
      </c>
      <c r="Q1771" t="str">
        <f t="shared" si="139"/>
        <v>May</v>
      </c>
    </row>
    <row r="1772" spans="1:17" x14ac:dyDescent="0.4">
      <c r="A1772" t="s">
        <v>2153</v>
      </c>
      <c r="B1772" s="1">
        <v>45849</v>
      </c>
      <c r="C1772" t="s">
        <v>159</v>
      </c>
      <c r="D1772" t="s">
        <v>14</v>
      </c>
      <c r="E1772" t="s">
        <v>60</v>
      </c>
      <c r="F1772" t="s">
        <v>23</v>
      </c>
      <c r="G1772">
        <v>5</v>
      </c>
      <c r="H1772">
        <v>521.70000000000005</v>
      </c>
      <c r="I1772">
        <v>5</v>
      </c>
      <c r="J1772">
        <v>318.39</v>
      </c>
      <c r="K1772" t="s">
        <v>24</v>
      </c>
      <c r="L1772" t="s">
        <v>37</v>
      </c>
      <c r="M1772">
        <f t="shared" si="135"/>
        <v>2478.0749999999998</v>
      </c>
      <c r="N1772">
        <f t="shared" si="136"/>
        <v>886.125</v>
      </c>
      <c r="O1772" t="str">
        <f t="shared" si="137"/>
        <v>Friday</v>
      </c>
      <c r="P1772" t="b">
        <f t="shared" si="138"/>
        <v>0</v>
      </c>
      <c r="Q1772" t="str">
        <f t="shared" si="139"/>
        <v>July</v>
      </c>
    </row>
    <row r="1773" spans="1:17" x14ac:dyDescent="0.4">
      <c r="A1773" t="s">
        <v>2154</v>
      </c>
      <c r="B1773" s="1">
        <v>45446</v>
      </c>
      <c r="C1773" t="s">
        <v>182</v>
      </c>
      <c r="D1773" t="s">
        <v>21</v>
      </c>
      <c r="E1773" t="s">
        <v>521</v>
      </c>
      <c r="F1773" t="s">
        <v>23</v>
      </c>
      <c r="G1773">
        <v>2</v>
      </c>
      <c r="H1773">
        <v>2458</v>
      </c>
      <c r="I1773">
        <v>5</v>
      </c>
      <c r="J1773">
        <v>1580.23</v>
      </c>
      <c r="K1773" t="s">
        <v>17</v>
      </c>
      <c r="L1773" t="s">
        <v>33</v>
      </c>
      <c r="M1773">
        <f t="shared" si="135"/>
        <v>4670.2</v>
      </c>
      <c r="N1773">
        <f t="shared" si="136"/>
        <v>1509.7399999999998</v>
      </c>
      <c r="O1773" t="str">
        <f t="shared" si="137"/>
        <v>Monday</v>
      </c>
      <c r="P1773" t="b">
        <f t="shared" si="138"/>
        <v>0</v>
      </c>
      <c r="Q1773" t="str">
        <f t="shared" si="139"/>
        <v>June</v>
      </c>
    </row>
    <row r="1774" spans="1:17" x14ac:dyDescent="0.4">
      <c r="A1774" t="s">
        <v>2155</v>
      </c>
      <c r="B1774" s="1">
        <v>45318</v>
      </c>
      <c r="C1774" t="s">
        <v>273</v>
      </c>
      <c r="D1774" t="s">
        <v>21</v>
      </c>
      <c r="E1774" t="s">
        <v>1195</v>
      </c>
      <c r="F1774" t="s">
        <v>28</v>
      </c>
      <c r="G1774">
        <v>3</v>
      </c>
      <c r="H1774">
        <v>1569.79</v>
      </c>
      <c r="I1774">
        <v>25</v>
      </c>
      <c r="J1774">
        <v>1093.07</v>
      </c>
      <c r="K1774" t="s">
        <v>24</v>
      </c>
      <c r="L1774" t="s">
        <v>37</v>
      </c>
      <c r="M1774">
        <f t="shared" si="135"/>
        <v>3532.0275000000001</v>
      </c>
      <c r="N1774">
        <f t="shared" si="136"/>
        <v>252.81750000000011</v>
      </c>
      <c r="O1774" t="str">
        <f t="shared" si="137"/>
        <v>Saturday</v>
      </c>
      <c r="P1774" t="b">
        <f t="shared" si="138"/>
        <v>1</v>
      </c>
      <c r="Q1774" t="str">
        <f t="shared" si="139"/>
        <v>January</v>
      </c>
    </row>
    <row r="1775" spans="1:17" x14ac:dyDescent="0.4">
      <c r="A1775" t="s">
        <v>2156</v>
      </c>
      <c r="B1775" s="1">
        <v>45692</v>
      </c>
      <c r="C1775" t="s">
        <v>35</v>
      </c>
      <c r="D1775" t="s">
        <v>21</v>
      </c>
      <c r="E1775" t="s">
        <v>680</v>
      </c>
      <c r="F1775" t="s">
        <v>28</v>
      </c>
      <c r="G1775">
        <v>1</v>
      </c>
      <c r="H1775">
        <v>495.29</v>
      </c>
      <c r="I1775">
        <v>10</v>
      </c>
      <c r="J1775">
        <v>205.47</v>
      </c>
      <c r="K1775" t="s">
        <v>17</v>
      </c>
      <c r="L1775" t="s">
        <v>37</v>
      </c>
      <c r="M1775">
        <f t="shared" si="135"/>
        <v>445.76100000000002</v>
      </c>
      <c r="N1775">
        <f t="shared" si="136"/>
        <v>240.29100000000003</v>
      </c>
      <c r="O1775" t="str">
        <f t="shared" si="137"/>
        <v>Tuesday</v>
      </c>
      <c r="P1775" t="b">
        <f t="shared" si="138"/>
        <v>0</v>
      </c>
      <c r="Q1775" t="str">
        <f t="shared" si="139"/>
        <v>February</v>
      </c>
    </row>
    <row r="1776" spans="1:17" x14ac:dyDescent="0.4">
      <c r="A1776" t="s">
        <v>2157</v>
      </c>
      <c r="B1776" s="1">
        <v>45461</v>
      </c>
      <c r="C1776" t="s">
        <v>146</v>
      </c>
      <c r="D1776" t="s">
        <v>21</v>
      </c>
      <c r="E1776" t="s">
        <v>874</v>
      </c>
      <c r="F1776" t="s">
        <v>28</v>
      </c>
      <c r="G1776">
        <v>4</v>
      </c>
      <c r="H1776">
        <v>1843.45</v>
      </c>
      <c r="I1776">
        <v>10</v>
      </c>
      <c r="J1776">
        <v>746.25</v>
      </c>
      <c r="K1776" t="s">
        <v>24</v>
      </c>
      <c r="L1776" t="s">
        <v>33</v>
      </c>
      <c r="M1776">
        <f t="shared" si="135"/>
        <v>6636.42</v>
      </c>
      <c r="N1776">
        <f t="shared" si="136"/>
        <v>3651.42</v>
      </c>
      <c r="O1776" t="str">
        <f t="shared" si="137"/>
        <v>Tuesday</v>
      </c>
      <c r="P1776" t="b">
        <f t="shared" si="138"/>
        <v>0</v>
      </c>
      <c r="Q1776" t="str">
        <f t="shared" si="139"/>
        <v>June</v>
      </c>
    </row>
    <row r="1777" spans="1:17" x14ac:dyDescent="0.4">
      <c r="A1777" t="s">
        <v>2158</v>
      </c>
      <c r="B1777" s="1">
        <v>45555</v>
      </c>
      <c r="C1777" t="s">
        <v>77</v>
      </c>
      <c r="D1777" t="s">
        <v>31</v>
      </c>
      <c r="E1777" t="s">
        <v>996</v>
      </c>
      <c r="F1777" t="s">
        <v>28</v>
      </c>
      <c r="G1777">
        <v>5</v>
      </c>
      <c r="H1777">
        <v>1817.34</v>
      </c>
      <c r="I1777">
        <v>0</v>
      </c>
      <c r="J1777">
        <v>802.92</v>
      </c>
      <c r="K1777" t="s">
        <v>17</v>
      </c>
      <c r="L1777" t="s">
        <v>18</v>
      </c>
      <c r="M1777">
        <f t="shared" si="135"/>
        <v>9086.6999999999989</v>
      </c>
      <c r="N1777">
        <f t="shared" si="136"/>
        <v>5072.0999999999985</v>
      </c>
      <c r="O1777" t="str">
        <f t="shared" si="137"/>
        <v>Friday</v>
      </c>
      <c r="P1777" t="b">
        <f t="shared" si="138"/>
        <v>0</v>
      </c>
      <c r="Q1777" t="str">
        <f t="shared" si="139"/>
        <v>September</v>
      </c>
    </row>
    <row r="1778" spans="1:17" x14ac:dyDescent="0.4">
      <c r="A1778" t="s">
        <v>2159</v>
      </c>
      <c r="B1778" s="1">
        <v>45932</v>
      </c>
      <c r="C1778" t="s">
        <v>128</v>
      </c>
      <c r="D1778" t="s">
        <v>46</v>
      </c>
      <c r="E1778" t="s">
        <v>428</v>
      </c>
      <c r="F1778" t="s">
        <v>16</v>
      </c>
      <c r="G1778">
        <v>5</v>
      </c>
      <c r="H1778">
        <v>1592.78</v>
      </c>
      <c r="I1778">
        <v>0</v>
      </c>
      <c r="J1778">
        <v>755.58</v>
      </c>
      <c r="K1778" t="s">
        <v>24</v>
      </c>
      <c r="L1778" t="s">
        <v>37</v>
      </c>
      <c r="M1778">
        <f t="shared" si="135"/>
        <v>7963.9</v>
      </c>
      <c r="N1778">
        <f t="shared" si="136"/>
        <v>4186</v>
      </c>
      <c r="O1778" t="str">
        <f t="shared" si="137"/>
        <v>Thursday</v>
      </c>
      <c r="P1778" t="b">
        <f t="shared" si="138"/>
        <v>0</v>
      </c>
      <c r="Q1778" t="str">
        <f t="shared" si="139"/>
        <v>October</v>
      </c>
    </row>
    <row r="1779" spans="1:17" x14ac:dyDescent="0.4">
      <c r="A1779" t="s">
        <v>2160</v>
      </c>
      <c r="B1779" s="1">
        <v>45787</v>
      </c>
      <c r="C1779" t="s">
        <v>278</v>
      </c>
      <c r="D1779" t="s">
        <v>46</v>
      </c>
      <c r="E1779" t="s">
        <v>447</v>
      </c>
      <c r="F1779" t="s">
        <v>16</v>
      </c>
      <c r="G1779">
        <v>1</v>
      </c>
      <c r="H1779">
        <v>2769.79</v>
      </c>
      <c r="I1779">
        <v>0</v>
      </c>
      <c r="J1779">
        <v>1346.67</v>
      </c>
      <c r="K1779" t="s">
        <v>24</v>
      </c>
      <c r="L1779" t="s">
        <v>37</v>
      </c>
      <c r="M1779">
        <f t="shared" si="135"/>
        <v>2769.79</v>
      </c>
      <c r="N1779">
        <f t="shared" si="136"/>
        <v>1423.12</v>
      </c>
      <c r="O1779" t="str">
        <f t="shared" si="137"/>
        <v>Saturday</v>
      </c>
      <c r="P1779" t="b">
        <f t="shared" si="138"/>
        <v>1</v>
      </c>
      <c r="Q1779" t="str">
        <f t="shared" si="139"/>
        <v>May</v>
      </c>
    </row>
    <row r="1780" spans="1:17" x14ac:dyDescent="0.4">
      <c r="A1780" t="s">
        <v>2161</v>
      </c>
      <c r="B1780" s="1">
        <v>45388</v>
      </c>
      <c r="C1780" t="s">
        <v>251</v>
      </c>
      <c r="D1780" t="s">
        <v>31</v>
      </c>
      <c r="E1780" t="s">
        <v>579</v>
      </c>
      <c r="F1780" t="s">
        <v>16</v>
      </c>
      <c r="G1780">
        <v>4</v>
      </c>
      <c r="H1780">
        <v>322.98</v>
      </c>
      <c r="I1780">
        <v>10</v>
      </c>
      <c r="J1780">
        <v>130.47</v>
      </c>
      <c r="K1780" t="s">
        <v>24</v>
      </c>
      <c r="L1780" t="s">
        <v>37</v>
      </c>
      <c r="M1780">
        <f t="shared" si="135"/>
        <v>1162.7280000000001</v>
      </c>
      <c r="N1780">
        <f t="shared" si="136"/>
        <v>640.84800000000007</v>
      </c>
      <c r="O1780" t="str">
        <f t="shared" si="137"/>
        <v>Saturday</v>
      </c>
      <c r="P1780" t="b">
        <f t="shared" si="138"/>
        <v>1</v>
      </c>
      <c r="Q1780" t="str">
        <f t="shared" si="139"/>
        <v>April</v>
      </c>
    </row>
    <row r="1781" spans="1:17" x14ac:dyDescent="0.4">
      <c r="A1781" t="s">
        <v>2162</v>
      </c>
      <c r="B1781" s="1">
        <v>45621</v>
      </c>
      <c r="C1781" t="s">
        <v>144</v>
      </c>
      <c r="D1781" t="s">
        <v>31</v>
      </c>
      <c r="E1781" t="s">
        <v>406</v>
      </c>
      <c r="F1781" t="s">
        <v>16</v>
      </c>
      <c r="G1781">
        <v>4</v>
      </c>
      <c r="H1781">
        <v>1837.78</v>
      </c>
      <c r="I1781">
        <v>5</v>
      </c>
      <c r="J1781">
        <v>833.72</v>
      </c>
      <c r="K1781" t="s">
        <v>24</v>
      </c>
      <c r="L1781" t="s">
        <v>18</v>
      </c>
      <c r="M1781">
        <f t="shared" si="135"/>
        <v>6983.5639999999994</v>
      </c>
      <c r="N1781">
        <f t="shared" si="136"/>
        <v>3648.6839999999993</v>
      </c>
      <c r="O1781" t="str">
        <f t="shared" si="137"/>
        <v>Monday</v>
      </c>
      <c r="P1781" t="b">
        <f t="shared" si="138"/>
        <v>0</v>
      </c>
      <c r="Q1781" t="str">
        <f t="shared" si="139"/>
        <v>November</v>
      </c>
    </row>
    <row r="1782" spans="1:17" x14ac:dyDescent="0.4">
      <c r="A1782" t="s">
        <v>2163</v>
      </c>
      <c r="B1782" s="1">
        <v>45678</v>
      </c>
      <c r="C1782" t="s">
        <v>171</v>
      </c>
      <c r="D1782" t="s">
        <v>21</v>
      </c>
      <c r="E1782" t="s">
        <v>364</v>
      </c>
      <c r="F1782" t="s">
        <v>28</v>
      </c>
      <c r="G1782">
        <v>4</v>
      </c>
      <c r="H1782">
        <v>517.66999999999996</v>
      </c>
      <c r="I1782">
        <v>20</v>
      </c>
      <c r="J1782">
        <v>224.93</v>
      </c>
      <c r="K1782" t="s">
        <v>17</v>
      </c>
      <c r="L1782" t="s">
        <v>37</v>
      </c>
      <c r="M1782">
        <f t="shared" si="135"/>
        <v>1656.5439999999999</v>
      </c>
      <c r="N1782">
        <f t="shared" si="136"/>
        <v>756.82399999999984</v>
      </c>
      <c r="O1782" t="str">
        <f t="shared" si="137"/>
        <v>Tuesday</v>
      </c>
      <c r="P1782" t="b">
        <f t="shared" si="138"/>
        <v>0</v>
      </c>
      <c r="Q1782" t="str">
        <f t="shared" si="139"/>
        <v>January</v>
      </c>
    </row>
    <row r="1783" spans="1:17" x14ac:dyDescent="0.4">
      <c r="A1783" t="s">
        <v>2164</v>
      </c>
      <c r="B1783" s="1">
        <v>45315</v>
      </c>
      <c r="C1783" t="s">
        <v>42</v>
      </c>
      <c r="D1783" t="s">
        <v>46</v>
      </c>
      <c r="E1783" t="s">
        <v>1364</v>
      </c>
      <c r="F1783" t="s">
        <v>23</v>
      </c>
      <c r="G1783">
        <v>2</v>
      </c>
      <c r="H1783">
        <v>2826.91</v>
      </c>
      <c r="I1783">
        <v>0</v>
      </c>
      <c r="J1783">
        <v>1511.54</v>
      </c>
      <c r="K1783" t="s">
        <v>17</v>
      </c>
      <c r="L1783" t="s">
        <v>37</v>
      </c>
      <c r="M1783">
        <f t="shared" si="135"/>
        <v>5653.82</v>
      </c>
      <c r="N1783">
        <f t="shared" si="136"/>
        <v>2630.74</v>
      </c>
      <c r="O1783" t="str">
        <f t="shared" si="137"/>
        <v>Wednesday</v>
      </c>
      <c r="P1783" t="b">
        <f t="shared" si="138"/>
        <v>0</v>
      </c>
      <c r="Q1783" t="str">
        <f t="shared" si="139"/>
        <v>January</v>
      </c>
    </row>
    <row r="1784" spans="1:17" x14ac:dyDescent="0.4">
      <c r="A1784" t="s">
        <v>2165</v>
      </c>
      <c r="B1784" s="1">
        <v>45294</v>
      </c>
      <c r="C1784" t="s">
        <v>224</v>
      </c>
      <c r="D1784" t="s">
        <v>21</v>
      </c>
      <c r="E1784" t="s">
        <v>1614</v>
      </c>
      <c r="F1784" t="s">
        <v>16</v>
      </c>
      <c r="G1784">
        <v>3</v>
      </c>
      <c r="H1784">
        <v>2605.08</v>
      </c>
      <c r="I1784">
        <v>20</v>
      </c>
      <c r="J1784">
        <v>1793.63</v>
      </c>
      <c r="K1784" t="s">
        <v>24</v>
      </c>
      <c r="L1784" t="s">
        <v>33</v>
      </c>
      <c r="M1784">
        <f t="shared" si="135"/>
        <v>6252.192</v>
      </c>
      <c r="N1784">
        <f t="shared" si="136"/>
        <v>871.30199999999968</v>
      </c>
      <c r="O1784" t="str">
        <f t="shared" si="137"/>
        <v>Wednesday</v>
      </c>
      <c r="P1784" t="b">
        <f t="shared" si="138"/>
        <v>0</v>
      </c>
      <c r="Q1784" t="str">
        <f t="shared" si="139"/>
        <v>January</v>
      </c>
    </row>
    <row r="1785" spans="1:17" x14ac:dyDescent="0.4">
      <c r="A1785" t="s">
        <v>2166</v>
      </c>
      <c r="B1785" s="1">
        <v>45852</v>
      </c>
      <c r="C1785" t="s">
        <v>68</v>
      </c>
      <c r="D1785" t="s">
        <v>31</v>
      </c>
      <c r="E1785" t="s">
        <v>270</v>
      </c>
      <c r="F1785" t="s">
        <v>23</v>
      </c>
      <c r="G1785">
        <v>4</v>
      </c>
      <c r="H1785">
        <v>2866.4</v>
      </c>
      <c r="I1785">
        <v>30</v>
      </c>
      <c r="J1785">
        <v>1882.79</v>
      </c>
      <c r="K1785" t="s">
        <v>24</v>
      </c>
      <c r="L1785" t="s">
        <v>33</v>
      </c>
      <c r="M1785">
        <f t="shared" si="135"/>
        <v>8025.92</v>
      </c>
      <c r="N1785">
        <f t="shared" si="136"/>
        <v>494.76000000000022</v>
      </c>
      <c r="O1785" t="str">
        <f t="shared" si="137"/>
        <v>Monday</v>
      </c>
      <c r="P1785" t="b">
        <f t="shared" si="138"/>
        <v>0</v>
      </c>
      <c r="Q1785" t="str">
        <f t="shared" si="139"/>
        <v>July</v>
      </c>
    </row>
    <row r="1786" spans="1:17" x14ac:dyDescent="0.4">
      <c r="A1786" t="s">
        <v>2167</v>
      </c>
      <c r="B1786" s="1">
        <v>45814</v>
      </c>
      <c r="C1786" t="s">
        <v>62</v>
      </c>
      <c r="D1786" t="s">
        <v>31</v>
      </c>
      <c r="E1786" t="s">
        <v>444</v>
      </c>
      <c r="F1786" t="s">
        <v>16</v>
      </c>
      <c r="G1786">
        <v>3</v>
      </c>
      <c r="H1786">
        <v>1877.49</v>
      </c>
      <c r="I1786">
        <v>30</v>
      </c>
      <c r="J1786">
        <v>1167.92</v>
      </c>
      <c r="K1786" t="s">
        <v>24</v>
      </c>
      <c r="L1786" t="s">
        <v>18</v>
      </c>
      <c r="M1786">
        <f t="shared" si="135"/>
        <v>3942.7289999999998</v>
      </c>
      <c r="N1786">
        <f t="shared" si="136"/>
        <v>438.9689999999996</v>
      </c>
      <c r="O1786" t="str">
        <f t="shared" si="137"/>
        <v>Friday</v>
      </c>
      <c r="P1786" t="b">
        <f t="shared" si="138"/>
        <v>0</v>
      </c>
      <c r="Q1786" t="str">
        <f t="shared" si="139"/>
        <v>June</v>
      </c>
    </row>
    <row r="1787" spans="1:17" x14ac:dyDescent="0.4">
      <c r="A1787" t="s">
        <v>2168</v>
      </c>
      <c r="B1787" s="1">
        <v>45474</v>
      </c>
      <c r="C1787" t="s">
        <v>71</v>
      </c>
      <c r="D1787" t="s">
        <v>31</v>
      </c>
      <c r="E1787" t="s">
        <v>115</v>
      </c>
      <c r="F1787" t="s">
        <v>23</v>
      </c>
      <c r="G1787">
        <v>1</v>
      </c>
      <c r="H1787">
        <v>1172.95</v>
      </c>
      <c r="I1787">
        <v>25</v>
      </c>
      <c r="J1787">
        <v>508.71</v>
      </c>
      <c r="K1787" t="s">
        <v>24</v>
      </c>
      <c r="L1787" t="s">
        <v>33</v>
      </c>
      <c r="M1787">
        <f t="shared" si="135"/>
        <v>879.71250000000009</v>
      </c>
      <c r="N1787">
        <f t="shared" si="136"/>
        <v>371.00250000000011</v>
      </c>
      <c r="O1787" t="str">
        <f t="shared" si="137"/>
        <v>Monday</v>
      </c>
      <c r="P1787" t="b">
        <f t="shared" si="138"/>
        <v>0</v>
      </c>
      <c r="Q1787" t="str">
        <f t="shared" si="139"/>
        <v>July</v>
      </c>
    </row>
    <row r="1788" spans="1:17" x14ac:dyDescent="0.4">
      <c r="A1788" t="s">
        <v>2169</v>
      </c>
      <c r="B1788" s="1">
        <v>45772</v>
      </c>
      <c r="C1788" t="s">
        <v>463</v>
      </c>
      <c r="D1788" t="s">
        <v>14</v>
      </c>
      <c r="E1788" t="s">
        <v>1037</v>
      </c>
      <c r="F1788" t="s">
        <v>28</v>
      </c>
      <c r="G1788">
        <v>4</v>
      </c>
      <c r="H1788">
        <v>1541.97</v>
      </c>
      <c r="I1788">
        <v>10</v>
      </c>
      <c r="J1788">
        <v>704.04</v>
      </c>
      <c r="K1788" t="s">
        <v>17</v>
      </c>
      <c r="L1788" t="s">
        <v>37</v>
      </c>
      <c r="M1788">
        <f t="shared" si="135"/>
        <v>5551.0920000000006</v>
      </c>
      <c r="N1788">
        <f t="shared" si="136"/>
        <v>2734.9320000000007</v>
      </c>
      <c r="O1788" t="str">
        <f t="shared" si="137"/>
        <v>Friday</v>
      </c>
      <c r="P1788" t="b">
        <f t="shared" si="138"/>
        <v>0</v>
      </c>
      <c r="Q1788" t="str">
        <f t="shared" si="139"/>
        <v>April</v>
      </c>
    </row>
    <row r="1789" spans="1:17" x14ac:dyDescent="0.4">
      <c r="A1789" t="s">
        <v>2170</v>
      </c>
      <c r="B1789" s="1">
        <v>45645</v>
      </c>
      <c r="C1789" t="s">
        <v>59</v>
      </c>
      <c r="D1789" t="s">
        <v>14</v>
      </c>
      <c r="E1789" t="s">
        <v>338</v>
      </c>
      <c r="F1789" t="s">
        <v>23</v>
      </c>
      <c r="G1789">
        <v>1</v>
      </c>
      <c r="H1789">
        <v>1073.29</v>
      </c>
      <c r="I1789">
        <v>15</v>
      </c>
      <c r="J1789">
        <v>454.71</v>
      </c>
      <c r="K1789" t="s">
        <v>24</v>
      </c>
      <c r="L1789" t="s">
        <v>33</v>
      </c>
      <c r="M1789">
        <f t="shared" si="135"/>
        <v>912.29649999999992</v>
      </c>
      <c r="N1789">
        <f t="shared" si="136"/>
        <v>457.58649999999994</v>
      </c>
      <c r="O1789" t="str">
        <f t="shared" si="137"/>
        <v>Thursday</v>
      </c>
      <c r="P1789" t="b">
        <f t="shared" si="138"/>
        <v>0</v>
      </c>
      <c r="Q1789" t="str">
        <f t="shared" si="139"/>
        <v>December</v>
      </c>
    </row>
    <row r="1790" spans="1:17" x14ac:dyDescent="0.4">
      <c r="A1790" t="s">
        <v>2171</v>
      </c>
      <c r="B1790" s="1">
        <v>45528</v>
      </c>
      <c r="C1790" t="s">
        <v>74</v>
      </c>
      <c r="D1790" t="s">
        <v>31</v>
      </c>
      <c r="E1790" t="s">
        <v>210</v>
      </c>
      <c r="F1790" t="s">
        <v>23</v>
      </c>
      <c r="G1790">
        <v>2</v>
      </c>
      <c r="H1790">
        <v>2280.84</v>
      </c>
      <c r="I1790">
        <v>5</v>
      </c>
      <c r="J1790">
        <v>1022.72</v>
      </c>
      <c r="K1790" t="s">
        <v>17</v>
      </c>
      <c r="L1790" t="s">
        <v>33</v>
      </c>
      <c r="M1790">
        <f t="shared" si="135"/>
        <v>4333.5960000000005</v>
      </c>
      <c r="N1790">
        <f t="shared" si="136"/>
        <v>2288.1560000000004</v>
      </c>
      <c r="O1790" t="str">
        <f t="shared" si="137"/>
        <v>Saturday</v>
      </c>
      <c r="P1790" t="b">
        <f t="shared" si="138"/>
        <v>1</v>
      </c>
      <c r="Q1790" t="str">
        <f t="shared" si="139"/>
        <v>August</v>
      </c>
    </row>
    <row r="1791" spans="1:17" x14ac:dyDescent="0.4">
      <c r="A1791" t="s">
        <v>2172</v>
      </c>
      <c r="B1791" s="1">
        <v>45632</v>
      </c>
      <c r="C1791" t="s">
        <v>109</v>
      </c>
      <c r="D1791" t="s">
        <v>21</v>
      </c>
      <c r="E1791" t="s">
        <v>613</v>
      </c>
      <c r="F1791" t="s">
        <v>28</v>
      </c>
      <c r="G1791">
        <v>5</v>
      </c>
      <c r="H1791">
        <v>2896.78</v>
      </c>
      <c r="I1791">
        <v>5</v>
      </c>
      <c r="J1791">
        <v>1336.66</v>
      </c>
      <c r="K1791" t="s">
        <v>24</v>
      </c>
      <c r="L1791" t="s">
        <v>37</v>
      </c>
      <c r="M1791">
        <f t="shared" si="135"/>
        <v>13759.705</v>
      </c>
      <c r="N1791">
        <f t="shared" si="136"/>
        <v>7076.4049999999997</v>
      </c>
      <c r="O1791" t="str">
        <f t="shared" si="137"/>
        <v>Friday</v>
      </c>
      <c r="P1791" t="b">
        <f t="shared" si="138"/>
        <v>0</v>
      </c>
      <c r="Q1791" t="str">
        <f t="shared" si="139"/>
        <v>December</v>
      </c>
    </row>
    <row r="1792" spans="1:17" x14ac:dyDescent="0.4">
      <c r="A1792" t="s">
        <v>2173</v>
      </c>
      <c r="B1792" s="1">
        <v>45741</v>
      </c>
      <c r="C1792" t="s">
        <v>269</v>
      </c>
      <c r="D1792" t="s">
        <v>14</v>
      </c>
      <c r="E1792" t="s">
        <v>112</v>
      </c>
      <c r="F1792" t="s">
        <v>23</v>
      </c>
      <c r="G1792">
        <v>1</v>
      </c>
      <c r="H1792">
        <v>2842.09</v>
      </c>
      <c r="I1792">
        <v>25</v>
      </c>
      <c r="J1792">
        <v>1174.6500000000001</v>
      </c>
      <c r="K1792" t="s">
        <v>24</v>
      </c>
      <c r="L1792" t="s">
        <v>18</v>
      </c>
      <c r="M1792">
        <f t="shared" si="135"/>
        <v>2131.5675000000001</v>
      </c>
      <c r="N1792">
        <f t="shared" si="136"/>
        <v>956.91750000000002</v>
      </c>
      <c r="O1792" t="str">
        <f t="shared" si="137"/>
        <v>Tuesday</v>
      </c>
      <c r="P1792" t="b">
        <f t="shared" si="138"/>
        <v>0</v>
      </c>
      <c r="Q1792" t="str">
        <f t="shared" si="139"/>
        <v>March</v>
      </c>
    </row>
    <row r="1793" spans="1:17" x14ac:dyDescent="0.4">
      <c r="A1793" t="s">
        <v>2174</v>
      </c>
      <c r="B1793" s="1">
        <v>45337</v>
      </c>
      <c r="C1793" t="s">
        <v>71</v>
      </c>
      <c r="D1793" t="s">
        <v>14</v>
      </c>
      <c r="E1793" t="s">
        <v>637</v>
      </c>
      <c r="F1793" t="s">
        <v>23</v>
      </c>
      <c r="G1793">
        <v>1</v>
      </c>
      <c r="H1793">
        <v>1190.71</v>
      </c>
      <c r="I1793">
        <v>5</v>
      </c>
      <c r="J1793">
        <v>495.73</v>
      </c>
      <c r="K1793" t="s">
        <v>17</v>
      </c>
      <c r="L1793" t="s">
        <v>33</v>
      </c>
      <c r="M1793">
        <f t="shared" si="135"/>
        <v>1131.1745000000001</v>
      </c>
      <c r="N1793">
        <f t="shared" si="136"/>
        <v>635.44450000000006</v>
      </c>
      <c r="O1793" t="str">
        <f t="shared" si="137"/>
        <v>Thursday</v>
      </c>
      <c r="P1793" t="b">
        <f t="shared" si="138"/>
        <v>0</v>
      </c>
      <c r="Q1793" t="str">
        <f t="shared" si="139"/>
        <v>February</v>
      </c>
    </row>
    <row r="1794" spans="1:17" x14ac:dyDescent="0.4">
      <c r="A1794" t="s">
        <v>2175</v>
      </c>
      <c r="B1794" s="1">
        <v>45848</v>
      </c>
      <c r="C1794" t="s">
        <v>59</v>
      </c>
      <c r="D1794" t="s">
        <v>46</v>
      </c>
      <c r="E1794" t="s">
        <v>258</v>
      </c>
      <c r="F1794" t="s">
        <v>28</v>
      </c>
      <c r="G1794">
        <v>1</v>
      </c>
      <c r="H1794">
        <v>2475.5700000000002</v>
      </c>
      <c r="I1794">
        <v>10</v>
      </c>
      <c r="J1794">
        <v>1145.17</v>
      </c>
      <c r="K1794" t="s">
        <v>24</v>
      </c>
      <c r="L1794" t="s">
        <v>37</v>
      </c>
      <c r="M1794">
        <f t="shared" si="135"/>
        <v>2228.0130000000004</v>
      </c>
      <c r="N1794">
        <f t="shared" si="136"/>
        <v>1082.8430000000003</v>
      </c>
      <c r="O1794" t="str">
        <f t="shared" si="137"/>
        <v>Thursday</v>
      </c>
      <c r="P1794" t="b">
        <f t="shared" si="138"/>
        <v>0</v>
      </c>
      <c r="Q1794" t="str">
        <f t="shared" si="139"/>
        <v>July</v>
      </c>
    </row>
    <row r="1795" spans="1:17" x14ac:dyDescent="0.4">
      <c r="A1795" t="s">
        <v>2176</v>
      </c>
      <c r="B1795" s="1">
        <v>45396</v>
      </c>
      <c r="C1795" t="s">
        <v>463</v>
      </c>
      <c r="D1795" t="s">
        <v>21</v>
      </c>
      <c r="E1795" t="s">
        <v>1134</v>
      </c>
      <c r="F1795" t="s">
        <v>16</v>
      </c>
      <c r="G1795">
        <v>3</v>
      </c>
      <c r="H1795">
        <v>1030.0999999999999</v>
      </c>
      <c r="I1795">
        <v>0</v>
      </c>
      <c r="J1795">
        <v>558.45000000000005</v>
      </c>
      <c r="K1795" t="s">
        <v>24</v>
      </c>
      <c r="L1795" t="s">
        <v>18</v>
      </c>
      <c r="M1795">
        <f t="shared" ref="M1795:M1858" si="140">G1795 * H1795 * (1 - I1795/100)</f>
        <v>3090.2999999999997</v>
      </c>
      <c r="N1795">
        <f t="shared" ref="N1795:N1858" si="141">M1795 - (J1795 * G1795)</f>
        <v>1414.9499999999996</v>
      </c>
      <c r="O1795" t="str">
        <f t="shared" ref="O1795:O1858" si="142">TEXT(B1795,"dddd")</f>
        <v>Sunday</v>
      </c>
      <c r="P1795" t="b">
        <f t="shared" ref="P1795:P1858" si="143">OR(TEXT(B1795,"ddd")="Sat", TEXT(B1795,"ddd")="Sun")</f>
        <v>1</v>
      </c>
      <c r="Q1795" t="str">
        <f t="shared" ref="Q1795:Q1858" si="144">TEXT(B1795,"mmmm")</f>
        <v>April</v>
      </c>
    </row>
    <row r="1796" spans="1:17" x14ac:dyDescent="0.4">
      <c r="A1796" t="s">
        <v>2177</v>
      </c>
      <c r="B1796" s="1">
        <v>45711</v>
      </c>
      <c r="C1796" t="s">
        <v>95</v>
      </c>
      <c r="D1796" t="s">
        <v>31</v>
      </c>
      <c r="E1796" t="s">
        <v>1175</v>
      </c>
      <c r="F1796" t="s">
        <v>28</v>
      </c>
      <c r="G1796">
        <v>5</v>
      </c>
      <c r="H1796">
        <v>318.43</v>
      </c>
      <c r="I1796">
        <v>30</v>
      </c>
      <c r="J1796">
        <v>198.02</v>
      </c>
      <c r="K1796" t="s">
        <v>17</v>
      </c>
      <c r="L1796" t="s">
        <v>18</v>
      </c>
      <c r="M1796">
        <f t="shared" si="140"/>
        <v>1114.5049999999999</v>
      </c>
      <c r="N1796">
        <f t="shared" si="141"/>
        <v>124.40499999999986</v>
      </c>
      <c r="O1796" t="str">
        <f t="shared" si="142"/>
        <v>Sunday</v>
      </c>
      <c r="P1796" t="b">
        <f t="shared" si="143"/>
        <v>1</v>
      </c>
      <c r="Q1796" t="str">
        <f t="shared" si="144"/>
        <v>February</v>
      </c>
    </row>
    <row r="1797" spans="1:17" x14ac:dyDescent="0.4">
      <c r="A1797" t="s">
        <v>2178</v>
      </c>
      <c r="B1797" s="1">
        <v>45479</v>
      </c>
      <c r="C1797" t="s">
        <v>98</v>
      </c>
      <c r="D1797" t="s">
        <v>14</v>
      </c>
      <c r="E1797" t="s">
        <v>134</v>
      </c>
      <c r="F1797" t="s">
        <v>16</v>
      </c>
      <c r="G1797">
        <v>1</v>
      </c>
      <c r="H1797">
        <v>1330.24</v>
      </c>
      <c r="I1797">
        <v>5</v>
      </c>
      <c r="J1797">
        <v>679.7</v>
      </c>
      <c r="K1797" t="s">
        <v>24</v>
      </c>
      <c r="L1797" t="s">
        <v>33</v>
      </c>
      <c r="M1797">
        <f t="shared" si="140"/>
        <v>1263.7279999999998</v>
      </c>
      <c r="N1797">
        <f t="shared" si="141"/>
        <v>584.02799999999979</v>
      </c>
      <c r="O1797" t="str">
        <f t="shared" si="142"/>
        <v>Saturday</v>
      </c>
      <c r="P1797" t="b">
        <f t="shared" si="143"/>
        <v>1</v>
      </c>
      <c r="Q1797" t="str">
        <f t="shared" si="144"/>
        <v>July</v>
      </c>
    </row>
    <row r="1798" spans="1:17" x14ac:dyDescent="0.4">
      <c r="A1798" t="s">
        <v>2179</v>
      </c>
      <c r="B1798" s="1">
        <v>45585</v>
      </c>
      <c r="C1798" t="s">
        <v>100</v>
      </c>
      <c r="D1798" t="s">
        <v>21</v>
      </c>
      <c r="E1798" t="s">
        <v>15</v>
      </c>
      <c r="F1798" t="s">
        <v>16</v>
      </c>
      <c r="G1798">
        <v>1</v>
      </c>
      <c r="H1798">
        <v>1097.75</v>
      </c>
      <c r="I1798">
        <v>15</v>
      </c>
      <c r="J1798">
        <v>605.04</v>
      </c>
      <c r="K1798" t="s">
        <v>17</v>
      </c>
      <c r="L1798" t="s">
        <v>18</v>
      </c>
      <c r="M1798">
        <f t="shared" si="140"/>
        <v>933.08749999999998</v>
      </c>
      <c r="N1798">
        <f t="shared" si="141"/>
        <v>328.04750000000001</v>
      </c>
      <c r="O1798" t="str">
        <f t="shared" si="142"/>
        <v>Sunday</v>
      </c>
      <c r="P1798" t="b">
        <f t="shared" si="143"/>
        <v>1</v>
      </c>
      <c r="Q1798" t="str">
        <f t="shared" si="144"/>
        <v>October</v>
      </c>
    </row>
    <row r="1799" spans="1:17" x14ac:dyDescent="0.4">
      <c r="A1799" t="s">
        <v>2180</v>
      </c>
      <c r="B1799" s="1">
        <v>45462</v>
      </c>
      <c r="C1799" t="s">
        <v>30</v>
      </c>
      <c r="D1799" t="s">
        <v>21</v>
      </c>
      <c r="E1799" t="s">
        <v>796</v>
      </c>
      <c r="F1799" t="s">
        <v>28</v>
      </c>
      <c r="G1799">
        <v>5</v>
      </c>
      <c r="H1799">
        <v>2423.31</v>
      </c>
      <c r="I1799">
        <v>5</v>
      </c>
      <c r="J1799">
        <v>1075.72</v>
      </c>
      <c r="K1799" t="s">
        <v>17</v>
      </c>
      <c r="L1799" t="s">
        <v>33</v>
      </c>
      <c r="M1799">
        <f t="shared" si="140"/>
        <v>11510.722499999998</v>
      </c>
      <c r="N1799">
        <f t="shared" si="141"/>
        <v>6132.1224999999977</v>
      </c>
      <c r="O1799" t="str">
        <f t="shared" si="142"/>
        <v>Wednesday</v>
      </c>
      <c r="P1799" t="b">
        <f t="shared" si="143"/>
        <v>0</v>
      </c>
      <c r="Q1799" t="str">
        <f t="shared" si="144"/>
        <v>June</v>
      </c>
    </row>
    <row r="1800" spans="1:17" x14ac:dyDescent="0.4">
      <c r="A1800" t="s">
        <v>2181</v>
      </c>
      <c r="B1800" s="1">
        <v>45336</v>
      </c>
      <c r="C1800" t="s">
        <v>59</v>
      </c>
      <c r="D1800" t="s">
        <v>46</v>
      </c>
      <c r="E1800" t="s">
        <v>258</v>
      </c>
      <c r="F1800" t="s">
        <v>23</v>
      </c>
      <c r="G1800">
        <v>4</v>
      </c>
      <c r="H1800">
        <v>1042.42</v>
      </c>
      <c r="I1800">
        <v>25</v>
      </c>
      <c r="J1800">
        <v>629.82000000000005</v>
      </c>
      <c r="K1800" t="s">
        <v>17</v>
      </c>
      <c r="L1800" t="s">
        <v>18</v>
      </c>
      <c r="M1800">
        <f t="shared" si="140"/>
        <v>3127.26</v>
      </c>
      <c r="N1800">
        <f t="shared" si="141"/>
        <v>607.98</v>
      </c>
      <c r="O1800" t="str">
        <f t="shared" si="142"/>
        <v>Wednesday</v>
      </c>
      <c r="P1800" t="b">
        <f t="shared" si="143"/>
        <v>0</v>
      </c>
      <c r="Q1800" t="str">
        <f t="shared" si="144"/>
        <v>February</v>
      </c>
    </row>
    <row r="1801" spans="1:17" x14ac:dyDescent="0.4">
      <c r="A1801" t="s">
        <v>2182</v>
      </c>
      <c r="B1801" s="1">
        <v>45817</v>
      </c>
      <c r="C1801" t="s">
        <v>226</v>
      </c>
      <c r="D1801" t="s">
        <v>21</v>
      </c>
      <c r="E1801" t="s">
        <v>428</v>
      </c>
      <c r="F1801" t="s">
        <v>16</v>
      </c>
      <c r="G1801">
        <v>1</v>
      </c>
      <c r="H1801">
        <v>577.41999999999996</v>
      </c>
      <c r="I1801">
        <v>15</v>
      </c>
      <c r="J1801">
        <v>373.01</v>
      </c>
      <c r="K1801" t="s">
        <v>24</v>
      </c>
      <c r="L1801" t="s">
        <v>33</v>
      </c>
      <c r="M1801">
        <f t="shared" si="140"/>
        <v>490.80699999999996</v>
      </c>
      <c r="N1801">
        <f t="shared" si="141"/>
        <v>117.79699999999997</v>
      </c>
      <c r="O1801" t="str">
        <f t="shared" si="142"/>
        <v>Monday</v>
      </c>
      <c r="P1801" t="b">
        <f t="shared" si="143"/>
        <v>0</v>
      </c>
      <c r="Q1801" t="str">
        <f t="shared" si="144"/>
        <v>June</v>
      </c>
    </row>
    <row r="1802" spans="1:17" x14ac:dyDescent="0.4">
      <c r="A1802" t="s">
        <v>2183</v>
      </c>
      <c r="B1802" s="1">
        <v>45329</v>
      </c>
      <c r="C1802" t="s">
        <v>149</v>
      </c>
      <c r="D1802" t="s">
        <v>31</v>
      </c>
      <c r="E1802" t="s">
        <v>315</v>
      </c>
      <c r="F1802" t="s">
        <v>16</v>
      </c>
      <c r="G1802">
        <v>4</v>
      </c>
      <c r="H1802">
        <v>2980.38</v>
      </c>
      <c r="I1802">
        <v>5</v>
      </c>
      <c r="J1802">
        <v>1622.49</v>
      </c>
      <c r="K1802" t="s">
        <v>24</v>
      </c>
      <c r="L1802" t="s">
        <v>37</v>
      </c>
      <c r="M1802">
        <f t="shared" si="140"/>
        <v>11325.444</v>
      </c>
      <c r="N1802">
        <f t="shared" si="141"/>
        <v>4835.4839999999995</v>
      </c>
      <c r="O1802" t="str">
        <f t="shared" si="142"/>
        <v>Wednesday</v>
      </c>
      <c r="P1802" t="b">
        <f t="shared" si="143"/>
        <v>0</v>
      </c>
      <c r="Q1802" t="str">
        <f t="shared" si="144"/>
        <v>February</v>
      </c>
    </row>
    <row r="1803" spans="1:17" x14ac:dyDescent="0.4">
      <c r="A1803" t="s">
        <v>2184</v>
      </c>
      <c r="B1803" s="1">
        <v>45387</v>
      </c>
      <c r="C1803" t="s">
        <v>182</v>
      </c>
      <c r="D1803" t="s">
        <v>21</v>
      </c>
      <c r="E1803" t="s">
        <v>561</v>
      </c>
      <c r="F1803" t="s">
        <v>28</v>
      </c>
      <c r="G1803">
        <v>4</v>
      </c>
      <c r="H1803">
        <v>921.8</v>
      </c>
      <c r="I1803">
        <v>5</v>
      </c>
      <c r="J1803">
        <v>549.51</v>
      </c>
      <c r="K1803" t="s">
        <v>17</v>
      </c>
      <c r="L1803" t="s">
        <v>33</v>
      </c>
      <c r="M1803">
        <f t="shared" si="140"/>
        <v>3502.8399999999997</v>
      </c>
      <c r="N1803">
        <f t="shared" si="141"/>
        <v>1304.7999999999997</v>
      </c>
      <c r="O1803" t="str">
        <f t="shared" si="142"/>
        <v>Friday</v>
      </c>
      <c r="P1803" t="b">
        <f t="shared" si="143"/>
        <v>0</v>
      </c>
      <c r="Q1803" t="str">
        <f t="shared" si="144"/>
        <v>April</v>
      </c>
    </row>
    <row r="1804" spans="1:17" x14ac:dyDescent="0.4">
      <c r="A1804" t="s">
        <v>2185</v>
      </c>
      <c r="B1804" s="1">
        <v>45714</v>
      </c>
      <c r="C1804" t="s">
        <v>463</v>
      </c>
      <c r="D1804" t="s">
        <v>46</v>
      </c>
      <c r="E1804" t="s">
        <v>510</v>
      </c>
      <c r="F1804" t="s">
        <v>23</v>
      </c>
      <c r="G1804">
        <v>4</v>
      </c>
      <c r="H1804">
        <v>2740.77</v>
      </c>
      <c r="I1804">
        <v>15</v>
      </c>
      <c r="J1804">
        <v>1898.46</v>
      </c>
      <c r="K1804" t="s">
        <v>24</v>
      </c>
      <c r="L1804" t="s">
        <v>37</v>
      </c>
      <c r="M1804">
        <f t="shared" si="140"/>
        <v>9318.6180000000004</v>
      </c>
      <c r="N1804">
        <f t="shared" si="141"/>
        <v>1724.7780000000002</v>
      </c>
      <c r="O1804" t="str">
        <f t="shared" si="142"/>
        <v>Wednesday</v>
      </c>
      <c r="P1804" t="b">
        <f t="shared" si="143"/>
        <v>0</v>
      </c>
      <c r="Q1804" t="str">
        <f t="shared" si="144"/>
        <v>February</v>
      </c>
    </row>
    <row r="1805" spans="1:17" x14ac:dyDescent="0.4">
      <c r="A1805" t="s">
        <v>2186</v>
      </c>
      <c r="B1805" s="1">
        <v>45613</v>
      </c>
      <c r="C1805" t="s">
        <v>42</v>
      </c>
      <c r="D1805" t="s">
        <v>14</v>
      </c>
      <c r="E1805" t="s">
        <v>542</v>
      </c>
      <c r="F1805" t="s">
        <v>16</v>
      </c>
      <c r="G1805">
        <v>2</v>
      </c>
      <c r="H1805">
        <v>490.16</v>
      </c>
      <c r="I1805">
        <v>5</v>
      </c>
      <c r="J1805">
        <v>318.58999999999997</v>
      </c>
      <c r="K1805" t="s">
        <v>17</v>
      </c>
      <c r="L1805" t="s">
        <v>18</v>
      </c>
      <c r="M1805">
        <f t="shared" si="140"/>
        <v>931.30399999999997</v>
      </c>
      <c r="N1805">
        <f t="shared" si="141"/>
        <v>294.12400000000002</v>
      </c>
      <c r="O1805" t="str">
        <f t="shared" si="142"/>
        <v>Sunday</v>
      </c>
      <c r="P1805" t="b">
        <f t="shared" si="143"/>
        <v>1</v>
      </c>
      <c r="Q1805" t="str">
        <f t="shared" si="144"/>
        <v>November</v>
      </c>
    </row>
    <row r="1806" spans="1:17" x14ac:dyDescent="0.4">
      <c r="A1806" t="s">
        <v>2187</v>
      </c>
      <c r="B1806" s="1">
        <v>45549</v>
      </c>
      <c r="C1806" t="s">
        <v>241</v>
      </c>
      <c r="D1806" t="s">
        <v>14</v>
      </c>
      <c r="E1806" t="s">
        <v>1195</v>
      </c>
      <c r="F1806" t="s">
        <v>28</v>
      </c>
      <c r="G1806">
        <v>2</v>
      </c>
      <c r="H1806">
        <v>2757.19</v>
      </c>
      <c r="I1806">
        <v>20</v>
      </c>
      <c r="J1806">
        <v>1491.78</v>
      </c>
      <c r="K1806" t="s">
        <v>24</v>
      </c>
      <c r="L1806" t="s">
        <v>33</v>
      </c>
      <c r="M1806">
        <f t="shared" si="140"/>
        <v>4411.5039999999999</v>
      </c>
      <c r="N1806">
        <f t="shared" si="141"/>
        <v>1427.944</v>
      </c>
      <c r="O1806" t="str">
        <f t="shared" si="142"/>
        <v>Saturday</v>
      </c>
      <c r="P1806" t="b">
        <f t="shared" si="143"/>
        <v>1</v>
      </c>
      <c r="Q1806" t="str">
        <f t="shared" si="144"/>
        <v>September</v>
      </c>
    </row>
    <row r="1807" spans="1:17" x14ac:dyDescent="0.4">
      <c r="A1807" t="s">
        <v>2188</v>
      </c>
      <c r="B1807" s="1">
        <v>45517</v>
      </c>
      <c r="C1807" t="s">
        <v>190</v>
      </c>
      <c r="D1807" t="s">
        <v>31</v>
      </c>
      <c r="E1807" t="s">
        <v>521</v>
      </c>
      <c r="F1807" t="s">
        <v>28</v>
      </c>
      <c r="G1807">
        <v>3</v>
      </c>
      <c r="H1807">
        <v>577.59</v>
      </c>
      <c r="I1807">
        <v>0</v>
      </c>
      <c r="J1807">
        <v>292.13</v>
      </c>
      <c r="K1807" t="s">
        <v>24</v>
      </c>
      <c r="L1807" t="s">
        <v>18</v>
      </c>
      <c r="M1807">
        <f t="shared" si="140"/>
        <v>1732.77</v>
      </c>
      <c r="N1807">
        <f t="shared" si="141"/>
        <v>856.38</v>
      </c>
      <c r="O1807" t="str">
        <f t="shared" si="142"/>
        <v>Tuesday</v>
      </c>
      <c r="P1807" t="b">
        <f t="shared" si="143"/>
        <v>0</v>
      </c>
      <c r="Q1807" t="str">
        <f t="shared" si="144"/>
        <v>August</v>
      </c>
    </row>
    <row r="1808" spans="1:17" x14ac:dyDescent="0.4">
      <c r="A1808" t="s">
        <v>2189</v>
      </c>
      <c r="B1808" s="1">
        <v>45673</v>
      </c>
      <c r="C1808" t="s">
        <v>13</v>
      </c>
      <c r="D1808" t="s">
        <v>31</v>
      </c>
      <c r="E1808" t="s">
        <v>289</v>
      </c>
      <c r="F1808" t="s">
        <v>16</v>
      </c>
      <c r="G1808">
        <v>1</v>
      </c>
      <c r="H1808">
        <v>1297.8499999999999</v>
      </c>
      <c r="I1808">
        <v>20</v>
      </c>
      <c r="J1808">
        <v>591.55999999999995</v>
      </c>
      <c r="K1808" t="s">
        <v>17</v>
      </c>
      <c r="L1808" t="s">
        <v>33</v>
      </c>
      <c r="M1808">
        <f t="shared" si="140"/>
        <v>1038.28</v>
      </c>
      <c r="N1808">
        <f t="shared" si="141"/>
        <v>446.72</v>
      </c>
      <c r="O1808" t="str">
        <f t="shared" si="142"/>
        <v>Thursday</v>
      </c>
      <c r="P1808" t="b">
        <f t="shared" si="143"/>
        <v>0</v>
      </c>
      <c r="Q1808" t="str">
        <f t="shared" si="144"/>
        <v>January</v>
      </c>
    </row>
    <row r="1809" spans="1:17" x14ac:dyDescent="0.4">
      <c r="A1809" t="s">
        <v>2190</v>
      </c>
      <c r="B1809" s="1">
        <v>45837</v>
      </c>
      <c r="C1809" t="s">
        <v>286</v>
      </c>
      <c r="D1809" t="s">
        <v>14</v>
      </c>
      <c r="E1809" t="s">
        <v>591</v>
      </c>
      <c r="F1809" t="s">
        <v>23</v>
      </c>
      <c r="G1809">
        <v>3</v>
      </c>
      <c r="H1809">
        <v>2055.4499999999998</v>
      </c>
      <c r="I1809">
        <v>15</v>
      </c>
      <c r="J1809">
        <v>1263.46</v>
      </c>
      <c r="K1809" t="s">
        <v>17</v>
      </c>
      <c r="L1809" t="s">
        <v>37</v>
      </c>
      <c r="M1809">
        <f t="shared" si="140"/>
        <v>5241.3974999999991</v>
      </c>
      <c r="N1809">
        <f t="shared" si="141"/>
        <v>1451.017499999999</v>
      </c>
      <c r="O1809" t="str">
        <f t="shared" si="142"/>
        <v>Sunday</v>
      </c>
      <c r="P1809" t="b">
        <f t="shared" si="143"/>
        <v>1</v>
      </c>
      <c r="Q1809" t="str">
        <f t="shared" si="144"/>
        <v>June</v>
      </c>
    </row>
    <row r="1810" spans="1:17" x14ac:dyDescent="0.4">
      <c r="A1810" t="s">
        <v>2191</v>
      </c>
      <c r="B1810" s="1">
        <v>45823</v>
      </c>
      <c r="C1810" t="s">
        <v>109</v>
      </c>
      <c r="D1810" t="s">
        <v>14</v>
      </c>
      <c r="E1810" t="s">
        <v>442</v>
      </c>
      <c r="F1810" t="s">
        <v>28</v>
      </c>
      <c r="G1810">
        <v>1</v>
      </c>
      <c r="H1810">
        <v>1372.08</v>
      </c>
      <c r="I1810">
        <v>25</v>
      </c>
      <c r="J1810">
        <v>775.79</v>
      </c>
      <c r="K1810" t="s">
        <v>24</v>
      </c>
      <c r="L1810" t="s">
        <v>33</v>
      </c>
      <c r="M1810">
        <f t="shared" si="140"/>
        <v>1029.06</v>
      </c>
      <c r="N1810">
        <f t="shared" si="141"/>
        <v>253.26999999999998</v>
      </c>
      <c r="O1810" t="str">
        <f t="shared" si="142"/>
        <v>Sunday</v>
      </c>
      <c r="P1810" t="b">
        <f t="shared" si="143"/>
        <v>1</v>
      </c>
      <c r="Q1810" t="str">
        <f t="shared" si="144"/>
        <v>June</v>
      </c>
    </row>
    <row r="1811" spans="1:17" x14ac:dyDescent="0.4">
      <c r="A1811" t="s">
        <v>2192</v>
      </c>
      <c r="B1811" s="1">
        <v>45898</v>
      </c>
      <c r="C1811" t="s">
        <v>273</v>
      </c>
      <c r="D1811" t="s">
        <v>31</v>
      </c>
      <c r="E1811" t="s">
        <v>172</v>
      </c>
      <c r="F1811" t="s">
        <v>28</v>
      </c>
      <c r="G1811">
        <v>2</v>
      </c>
      <c r="H1811">
        <v>447.07</v>
      </c>
      <c r="I1811">
        <v>20</v>
      </c>
      <c r="J1811">
        <v>269.27999999999997</v>
      </c>
      <c r="K1811" t="s">
        <v>24</v>
      </c>
      <c r="L1811" t="s">
        <v>37</v>
      </c>
      <c r="M1811">
        <f t="shared" si="140"/>
        <v>715.31200000000001</v>
      </c>
      <c r="N1811">
        <f t="shared" si="141"/>
        <v>176.75200000000007</v>
      </c>
      <c r="O1811" t="str">
        <f t="shared" si="142"/>
        <v>Friday</v>
      </c>
      <c r="P1811" t="b">
        <f t="shared" si="143"/>
        <v>0</v>
      </c>
      <c r="Q1811" t="str">
        <f t="shared" si="144"/>
        <v>August</v>
      </c>
    </row>
    <row r="1812" spans="1:17" x14ac:dyDescent="0.4">
      <c r="A1812" t="s">
        <v>2193</v>
      </c>
      <c r="B1812" s="1">
        <v>45814</v>
      </c>
      <c r="C1812" t="s">
        <v>71</v>
      </c>
      <c r="D1812" t="s">
        <v>46</v>
      </c>
      <c r="E1812" t="s">
        <v>258</v>
      </c>
      <c r="F1812" t="s">
        <v>16</v>
      </c>
      <c r="G1812">
        <v>1</v>
      </c>
      <c r="H1812">
        <v>2448.8200000000002</v>
      </c>
      <c r="I1812">
        <v>0</v>
      </c>
      <c r="J1812">
        <v>1067.81</v>
      </c>
      <c r="K1812" t="s">
        <v>24</v>
      </c>
      <c r="L1812" t="s">
        <v>33</v>
      </c>
      <c r="M1812">
        <f t="shared" si="140"/>
        <v>2448.8200000000002</v>
      </c>
      <c r="N1812">
        <f t="shared" si="141"/>
        <v>1381.0100000000002</v>
      </c>
      <c r="O1812" t="str">
        <f t="shared" si="142"/>
        <v>Friday</v>
      </c>
      <c r="P1812" t="b">
        <f t="shared" si="143"/>
        <v>0</v>
      </c>
      <c r="Q1812" t="str">
        <f t="shared" si="144"/>
        <v>June</v>
      </c>
    </row>
    <row r="1813" spans="1:17" x14ac:dyDescent="0.4">
      <c r="A1813" t="s">
        <v>2194</v>
      </c>
      <c r="B1813" s="1">
        <v>45708</v>
      </c>
      <c r="C1813" t="s">
        <v>86</v>
      </c>
      <c r="D1813" t="s">
        <v>31</v>
      </c>
      <c r="E1813" t="s">
        <v>229</v>
      </c>
      <c r="F1813" t="s">
        <v>28</v>
      </c>
      <c r="G1813">
        <v>4</v>
      </c>
      <c r="H1813">
        <v>1449.68</v>
      </c>
      <c r="I1813">
        <v>0</v>
      </c>
      <c r="J1813">
        <v>888.85</v>
      </c>
      <c r="K1813" t="s">
        <v>17</v>
      </c>
      <c r="L1813" t="s">
        <v>37</v>
      </c>
      <c r="M1813">
        <f t="shared" si="140"/>
        <v>5798.72</v>
      </c>
      <c r="N1813">
        <f t="shared" si="141"/>
        <v>2243.3200000000002</v>
      </c>
      <c r="O1813" t="str">
        <f t="shared" si="142"/>
        <v>Thursday</v>
      </c>
      <c r="P1813" t="b">
        <f t="shared" si="143"/>
        <v>0</v>
      </c>
      <c r="Q1813" t="str">
        <f t="shared" si="144"/>
        <v>February</v>
      </c>
    </row>
    <row r="1814" spans="1:17" x14ac:dyDescent="0.4">
      <c r="A1814" t="s">
        <v>2195</v>
      </c>
      <c r="B1814" s="1">
        <v>45559</v>
      </c>
      <c r="C1814" t="s">
        <v>205</v>
      </c>
      <c r="D1814" t="s">
        <v>21</v>
      </c>
      <c r="E1814" t="s">
        <v>955</v>
      </c>
      <c r="F1814" t="s">
        <v>28</v>
      </c>
      <c r="G1814">
        <v>3</v>
      </c>
      <c r="H1814">
        <v>1176.4100000000001</v>
      </c>
      <c r="I1814">
        <v>20</v>
      </c>
      <c r="J1814">
        <v>661.77</v>
      </c>
      <c r="K1814" t="s">
        <v>17</v>
      </c>
      <c r="L1814" t="s">
        <v>33</v>
      </c>
      <c r="M1814">
        <f t="shared" si="140"/>
        <v>2823.3840000000005</v>
      </c>
      <c r="N1814">
        <f t="shared" si="141"/>
        <v>838.07400000000052</v>
      </c>
      <c r="O1814" t="str">
        <f t="shared" si="142"/>
        <v>Tuesday</v>
      </c>
      <c r="P1814" t="b">
        <f t="shared" si="143"/>
        <v>0</v>
      </c>
      <c r="Q1814" t="str">
        <f t="shared" si="144"/>
        <v>September</v>
      </c>
    </row>
    <row r="1815" spans="1:17" x14ac:dyDescent="0.4">
      <c r="A1815" t="s">
        <v>2196</v>
      </c>
      <c r="B1815" s="1">
        <v>45424</v>
      </c>
      <c r="C1815" t="s">
        <v>42</v>
      </c>
      <c r="D1815" t="s">
        <v>31</v>
      </c>
      <c r="E1815" t="s">
        <v>452</v>
      </c>
      <c r="F1815" t="s">
        <v>28</v>
      </c>
      <c r="G1815">
        <v>1</v>
      </c>
      <c r="H1815">
        <v>983.71</v>
      </c>
      <c r="I1815">
        <v>5</v>
      </c>
      <c r="J1815">
        <v>652.72</v>
      </c>
      <c r="K1815" t="s">
        <v>24</v>
      </c>
      <c r="L1815" t="s">
        <v>37</v>
      </c>
      <c r="M1815">
        <f t="shared" si="140"/>
        <v>934.52449999999999</v>
      </c>
      <c r="N1815">
        <f t="shared" si="141"/>
        <v>281.80449999999996</v>
      </c>
      <c r="O1815" t="str">
        <f t="shared" si="142"/>
        <v>Sunday</v>
      </c>
      <c r="P1815" t="b">
        <f t="shared" si="143"/>
        <v>1</v>
      </c>
      <c r="Q1815" t="str">
        <f t="shared" si="144"/>
        <v>May</v>
      </c>
    </row>
    <row r="1816" spans="1:17" x14ac:dyDescent="0.4">
      <c r="A1816" t="s">
        <v>2197</v>
      </c>
      <c r="B1816" s="1">
        <v>45465</v>
      </c>
      <c r="C1816" t="s">
        <v>296</v>
      </c>
      <c r="D1816" t="s">
        <v>46</v>
      </c>
      <c r="E1816" t="s">
        <v>780</v>
      </c>
      <c r="F1816" t="s">
        <v>28</v>
      </c>
      <c r="G1816">
        <v>2</v>
      </c>
      <c r="H1816">
        <v>2837.13</v>
      </c>
      <c r="I1816">
        <v>20</v>
      </c>
      <c r="J1816">
        <v>1252.54</v>
      </c>
      <c r="K1816" t="s">
        <v>24</v>
      </c>
      <c r="L1816" t="s">
        <v>18</v>
      </c>
      <c r="M1816">
        <f t="shared" si="140"/>
        <v>4539.4080000000004</v>
      </c>
      <c r="N1816">
        <f t="shared" si="141"/>
        <v>2034.3280000000004</v>
      </c>
      <c r="O1816" t="str">
        <f t="shared" si="142"/>
        <v>Saturday</v>
      </c>
      <c r="P1816" t="b">
        <f t="shared" si="143"/>
        <v>1</v>
      </c>
      <c r="Q1816" t="str">
        <f t="shared" si="144"/>
        <v>June</v>
      </c>
    </row>
    <row r="1817" spans="1:17" x14ac:dyDescent="0.4">
      <c r="A1817" t="s">
        <v>2198</v>
      </c>
      <c r="B1817" s="1">
        <v>45938</v>
      </c>
      <c r="C1817" t="s">
        <v>95</v>
      </c>
      <c r="D1817" t="s">
        <v>21</v>
      </c>
      <c r="E1817" t="s">
        <v>1284</v>
      </c>
      <c r="F1817" t="s">
        <v>16</v>
      </c>
      <c r="G1817">
        <v>5</v>
      </c>
      <c r="H1817">
        <v>2431.84</v>
      </c>
      <c r="I1817">
        <v>0</v>
      </c>
      <c r="J1817">
        <v>1486.4</v>
      </c>
      <c r="K1817" t="s">
        <v>17</v>
      </c>
      <c r="L1817" t="s">
        <v>18</v>
      </c>
      <c r="M1817">
        <f t="shared" si="140"/>
        <v>12159.2</v>
      </c>
      <c r="N1817">
        <f t="shared" si="141"/>
        <v>4727.2000000000007</v>
      </c>
      <c r="O1817" t="str">
        <f t="shared" si="142"/>
        <v>Wednesday</v>
      </c>
      <c r="P1817" t="b">
        <f t="shared" si="143"/>
        <v>0</v>
      </c>
      <c r="Q1817" t="str">
        <f t="shared" si="144"/>
        <v>October</v>
      </c>
    </row>
    <row r="1818" spans="1:17" x14ac:dyDescent="0.4">
      <c r="A1818" t="s">
        <v>2199</v>
      </c>
      <c r="B1818" s="1">
        <v>45641</v>
      </c>
      <c r="C1818" t="s">
        <v>42</v>
      </c>
      <c r="D1818" t="s">
        <v>46</v>
      </c>
      <c r="E1818" t="s">
        <v>481</v>
      </c>
      <c r="F1818" t="s">
        <v>28</v>
      </c>
      <c r="G1818">
        <v>2</v>
      </c>
      <c r="H1818">
        <v>441.27</v>
      </c>
      <c r="I1818">
        <v>15</v>
      </c>
      <c r="J1818">
        <v>176.8</v>
      </c>
      <c r="K1818" t="s">
        <v>17</v>
      </c>
      <c r="L1818" t="s">
        <v>18</v>
      </c>
      <c r="M1818">
        <f t="shared" si="140"/>
        <v>750.15899999999999</v>
      </c>
      <c r="N1818">
        <f t="shared" si="141"/>
        <v>396.55899999999997</v>
      </c>
      <c r="O1818" t="str">
        <f t="shared" si="142"/>
        <v>Sunday</v>
      </c>
      <c r="P1818" t="b">
        <f t="shared" si="143"/>
        <v>1</v>
      </c>
      <c r="Q1818" t="str">
        <f t="shared" si="144"/>
        <v>December</v>
      </c>
    </row>
    <row r="1819" spans="1:17" x14ac:dyDescent="0.4">
      <c r="A1819" t="s">
        <v>2200</v>
      </c>
      <c r="B1819" s="1">
        <v>45933</v>
      </c>
      <c r="C1819" t="s">
        <v>59</v>
      </c>
      <c r="D1819" t="s">
        <v>21</v>
      </c>
      <c r="E1819" t="s">
        <v>475</v>
      </c>
      <c r="F1819" t="s">
        <v>16</v>
      </c>
      <c r="G1819">
        <v>2</v>
      </c>
      <c r="H1819">
        <v>1165.71</v>
      </c>
      <c r="I1819">
        <v>15</v>
      </c>
      <c r="J1819">
        <v>518.08000000000004</v>
      </c>
      <c r="K1819" t="s">
        <v>24</v>
      </c>
      <c r="L1819" t="s">
        <v>37</v>
      </c>
      <c r="M1819">
        <f t="shared" si="140"/>
        <v>1981.7070000000001</v>
      </c>
      <c r="N1819">
        <f t="shared" si="141"/>
        <v>945.54700000000003</v>
      </c>
      <c r="O1819" t="str">
        <f t="shared" si="142"/>
        <v>Friday</v>
      </c>
      <c r="P1819" t="b">
        <f t="shared" si="143"/>
        <v>0</v>
      </c>
      <c r="Q1819" t="str">
        <f t="shared" si="144"/>
        <v>October</v>
      </c>
    </row>
    <row r="1820" spans="1:17" x14ac:dyDescent="0.4">
      <c r="A1820" t="s">
        <v>2201</v>
      </c>
      <c r="B1820" s="1">
        <v>45375</v>
      </c>
      <c r="C1820" t="s">
        <v>26</v>
      </c>
      <c r="D1820" t="s">
        <v>46</v>
      </c>
      <c r="E1820" t="s">
        <v>352</v>
      </c>
      <c r="F1820" t="s">
        <v>28</v>
      </c>
      <c r="G1820">
        <v>5</v>
      </c>
      <c r="H1820">
        <v>1513.04</v>
      </c>
      <c r="I1820">
        <v>20</v>
      </c>
      <c r="J1820">
        <v>879.7</v>
      </c>
      <c r="K1820" t="s">
        <v>17</v>
      </c>
      <c r="L1820" t="s">
        <v>37</v>
      </c>
      <c r="M1820">
        <f t="shared" si="140"/>
        <v>6052.16</v>
      </c>
      <c r="N1820">
        <f t="shared" si="141"/>
        <v>1653.6599999999999</v>
      </c>
      <c r="O1820" t="str">
        <f t="shared" si="142"/>
        <v>Sunday</v>
      </c>
      <c r="P1820" t="b">
        <f t="shared" si="143"/>
        <v>1</v>
      </c>
      <c r="Q1820" t="str">
        <f t="shared" si="144"/>
        <v>March</v>
      </c>
    </row>
    <row r="1821" spans="1:17" x14ac:dyDescent="0.4">
      <c r="A1821" t="s">
        <v>2202</v>
      </c>
      <c r="B1821" s="1">
        <v>45879</v>
      </c>
      <c r="C1821" t="s">
        <v>84</v>
      </c>
      <c r="D1821" t="s">
        <v>14</v>
      </c>
      <c r="E1821" t="s">
        <v>1055</v>
      </c>
      <c r="F1821" t="s">
        <v>23</v>
      </c>
      <c r="G1821">
        <v>4</v>
      </c>
      <c r="H1821">
        <v>2131.85</v>
      </c>
      <c r="I1821">
        <v>25</v>
      </c>
      <c r="J1821">
        <v>1427.99</v>
      </c>
      <c r="K1821" t="s">
        <v>17</v>
      </c>
      <c r="L1821" t="s">
        <v>37</v>
      </c>
      <c r="M1821">
        <f t="shared" si="140"/>
        <v>6395.5499999999993</v>
      </c>
      <c r="N1821">
        <f t="shared" si="141"/>
        <v>683.58999999999924</v>
      </c>
      <c r="O1821" t="str">
        <f t="shared" si="142"/>
        <v>Sunday</v>
      </c>
      <c r="P1821" t="b">
        <f t="shared" si="143"/>
        <v>1</v>
      </c>
      <c r="Q1821" t="str">
        <f t="shared" si="144"/>
        <v>August</v>
      </c>
    </row>
    <row r="1822" spans="1:17" x14ac:dyDescent="0.4">
      <c r="A1822" t="s">
        <v>2203</v>
      </c>
      <c r="B1822" s="1">
        <v>45695</v>
      </c>
      <c r="C1822" t="s">
        <v>149</v>
      </c>
      <c r="D1822" t="s">
        <v>31</v>
      </c>
      <c r="E1822" t="s">
        <v>766</v>
      </c>
      <c r="F1822" t="s">
        <v>28</v>
      </c>
      <c r="G1822">
        <v>1</v>
      </c>
      <c r="H1822">
        <v>1334.38</v>
      </c>
      <c r="I1822">
        <v>10</v>
      </c>
      <c r="J1822">
        <v>591.79</v>
      </c>
      <c r="K1822" t="s">
        <v>17</v>
      </c>
      <c r="L1822" t="s">
        <v>33</v>
      </c>
      <c r="M1822">
        <f t="shared" si="140"/>
        <v>1200.9420000000002</v>
      </c>
      <c r="N1822">
        <f t="shared" si="141"/>
        <v>609.15200000000027</v>
      </c>
      <c r="O1822" t="str">
        <f t="shared" si="142"/>
        <v>Friday</v>
      </c>
      <c r="P1822" t="b">
        <f t="shared" si="143"/>
        <v>0</v>
      </c>
      <c r="Q1822" t="str">
        <f t="shared" si="144"/>
        <v>February</v>
      </c>
    </row>
    <row r="1823" spans="1:17" x14ac:dyDescent="0.4">
      <c r="A1823" t="s">
        <v>2204</v>
      </c>
      <c r="B1823" s="1">
        <v>45378</v>
      </c>
      <c r="C1823" t="s">
        <v>42</v>
      </c>
      <c r="D1823" t="s">
        <v>21</v>
      </c>
      <c r="E1823" t="s">
        <v>57</v>
      </c>
      <c r="F1823" t="s">
        <v>28</v>
      </c>
      <c r="G1823">
        <v>3</v>
      </c>
      <c r="H1823">
        <v>1000.95</v>
      </c>
      <c r="I1823">
        <v>15</v>
      </c>
      <c r="J1823">
        <v>542.47</v>
      </c>
      <c r="K1823" t="s">
        <v>17</v>
      </c>
      <c r="L1823" t="s">
        <v>18</v>
      </c>
      <c r="M1823">
        <f t="shared" si="140"/>
        <v>2552.4225000000001</v>
      </c>
      <c r="N1823">
        <f t="shared" si="141"/>
        <v>925.01250000000005</v>
      </c>
      <c r="O1823" t="str">
        <f t="shared" si="142"/>
        <v>Wednesday</v>
      </c>
      <c r="P1823" t="b">
        <f t="shared" si="143"/>
        <v>0</v>
      </c>
      <c r="Q1823" t="str">
        <f t="shared" si="144"/>
        <v>March</v>
      </c>
    </row>
    <row r="1824" spans="1:17" x14ac:dyDescent="0.4">
      <c r="A1824" t="s">
        <v>2205</v>
      </c>
      <c r="B1824" s="1">
        <v>45945</v>
      </c>
      <c r="C1824" t="s">
        <v>125</v>
      </c>
      <c r="D1824" t="s">
        <v>21</v>
      </c>
      <c r="E1824" t="s">
        <v>1057</v>
      </c>
      <c r="F1824" t="s">
        <v>16</v>
      </c>
      <c r="G1824">
        <v>2</v>
      </c>
      <c r="H1824">
        <v>2303.64</v>
      </c>
      <c r="I1824">
        <v>30</v>
      </c>
      <c r="J1824">
        <v>1454.6</v>
      </c>
      <c r="K1824" t="s">
        <v>17</v>
      </c>
      <c r="L1824" t="s">
        <v>18</v>
      </c>
      <c r="M1824">
        <f t="shared" si="140"/>
        <v>3225.0959999999995</v>
      </c>
      <c r="N1824">
        <f t="shared" si="141"/>
        <v>315.89599999999973</v>
      </c>
      <c r="O1824" t="str">
        <f t="shared" si="142"/>
        <v>Wednesday</v>
      </c>
      <c r="P1824" t="b">
        <f t="shared" si="143"/>
        <v>0</v>
      </c>
      <c r="Q1824" t="str">
        <f t="shared" si="144"/>
        <v>October</v>
      </c>
    </row>
    <row r="1825" spans="1:17" x14ac:dyDescent="0.4">
      <c r="A1825" t="s">
        <v>2206</v>
      </c>
      <c r="B1825" s="1">
        <v>45433</v>
      </c>
      <c r="C1825" t="s">
        <v>54</v>
      </c>
      <c r="D1825" t="s">
        <v>14</v>
      </c>
      <c r="E1825" t="s">
        <v>652</v>
      </c>
      <c r="F1825" t="s">
        <v>16</v>
      </c>
      <c r="G1825">
        <v>5</v>
      </c>
      <c r="H1825">
        <v>2074.98</v>
      </c>
      <c r="I1825">
        <v>10</v>
      </c>
      <c r="J1825">
        <v>893.71</v>
      </c>
      <c r="K1825" t="s">
        <v>24</v>
      </c>
      <c r="L1825" t="s">
        <v>18</v>
      </c>
      <c r="M1825">
        <f t="shared" si="140"/>
        <v>9337.41</v>
      </c>
      <c r="N1825">
        <f t="shared" si="141"/>
        <v>4868.8599999999997</v>
      </c>
      <c r="O1825" t="str">
        <f t="shared" si="142"/>
        <v>Tuesday</v>
      </c>
      <c r="P1825" t="b">
        <f t="shared" si="143"/>
        <v>0</v>
      </c>
      <c r="Q1825" t="str">
        <f t="shared" si="144"/>
        <v>May</v>
      </c>
    </row>
    <row r="1826" spans="1:17" x14ac:dyDescent="0.4">
      <c r="A1826" t="s">
        <v>2207</v>
      </c>
      <c r="B1826" s="1">
        <v>45971</v>
      </c>
      <c r="C1826" t="s">
        <v>152</v>
      </c>
      <c r="D1826" t="s">
        <v>14</v>
      </c>
      <c r="E1826" t="s">
        <v>655</v>
      </c>
      <c r="F1826" t="s">
        <v>28</v>
      </c>
      <c r="G1826">
        <v>2</v>
      </c>
      <c r="H1826">
        <v>1923.51</v>
      </c>
      <c r="I1826">
        <v>5</v>
      </c>
      <c r="J1826">
        <v>982.35</v>
      </c>
      <c r="K1826" t="s">
        <v>24</v>
      </c>
      <c r="L1826" t="s">
        <v>18</v>
      </c>
      <c r="M1826">
        <f t="shared" si="140"/>
        <v>3654.6689999999999</v>
      </c>
      <c r="N1826">
        <f t="shared" si="141"/>
        <v>1689.9689999999998</v>
      </c>
      <c r="O1826" t="str">
        <f t="shared" si="142"/>
        <v>Monday</v>
      </c>
      <c r="P1826" t="b">
        <f t="shared" si="143"/>
        <v>0</v>
      </c>
      <c r="Q1826" t="str">
        <f t="shared" si="144"/>
        <v>November</v>
      </c>
    </row>
    <row r="1827" spans="1:17" x14ac:dyDescent="0.4">
      <c r="A1827" t="s">
        <v>2208</v>
      </c>
      <c r="B1827" s="1">
        <v>45939</v>
      </c>
      <c r="C1827" t="s">
        <v>13</v>
      </c>
      <c r="D1827" t="s">
        <v>14</v>
      </c>
      <c r="E1827" t="s">
        <v>274</v>
      </c>
      <c r="F1827" t="s">
        <v>23</v>
      </c>
      <c r="G1827">
        <v>5</v>
      </c>
      <c r="H1827">
        <v>2458.83</v>
      </c>
      <c r="I1827">
        <v>20</v>
      </c>
      <c r="J1827">
        <v>1373.83</v>
      </c>
      <c r="K1827" t="s">
        <v>24</v>
      </c>
      <c r="L1827" t="s">
        <v>18</v>
      </c>
      <c r="M1827">
        <f t="shared" si="140"/>
        <v>9835.32</v>
      </c>
      <c r="N1827">
        <f t="shared" si="141"/>
        <v>2966.17</v>
      </c>
      <c r="O1827" t="str">
        <f t="shared" si="142"/>
        <v>Thursday</v>
      </c>
      <c r="P1827" t="b">
        <f t="shared" si="143"/>
        <v>0</v>
      </c>
      <c r="Q1827" t="str">
        <f t="shared" si="144"/>
        <v>October</v>
      </c>
    </row>
    <row r="1828" spans="1:17" x14ac:dyDescent="0.4">
      <c r="A1828" t="s">
        <v>2209</v>
      </c>
      <c r="B1828" s="1">
        <v>45876</v>
      </c>
      <c r="C1828" t="s">
        <v>128</v>
      </c>
      <c r="D1828" t="s">
        <v>46</v>
      </c>
      <c r="E1828" t="s">
        <v>150</v>
      </c>
      <c r="F1828" t="s">
        <v>23</v>
      </c>
      <c r="G1828">
        <v>2</v>
      </c>
      <c r="H1828">
        <v>1739.79</v>
      </c>
      <c r="I1828">
        <v>30</v>
      </c>
      <c r="J1828">
        <v>951.3</v>
      </c>
      <c r="K1828" t="s">
        <v>17</v>
      </c>
      <c r="L1828" t="s">
        <v>37</v>
      </c>
      <c r="M1828">
        <f t="shared" si="140"/>
        <v>2435.7059999999997</v>
      </c>
      <c r="N1828">
        <f t="shared" si="141"/>
        <v>533.10599999999977</v>
      </c>
      <c r="O1828" t="str">
        <f t="shared" si="142"/>
        <v>Thursday</v>
      </c>
      <c r="P1828" t="b">
        <f t="shared" si="143"/>
        <v>0</v>
      </c>
      <c r="Q1828" t="str">
        <f t="shared" si="144"/>
        <v>August</v>
      </c>
    </row>
    <row r="1829" spans="1:17" x14ac:dyDescent="0.4">
      <c r="A1829" t="s">
        <v>2210</v>
      </c>
      <c r="B1829" s="1">
        <v>45341</v>
      </c>
      <c r="C1829" t="s">
        <v>100</v>
      </c>
      <c r="D1829" t="s">
        <v>46</v>
      </c>
      <c r="E1829" t="s">
        <v>194</v>
      </c>
      <c r="F1829" t="s">
        <v>16</v>
      </c>
      <c r="G1829">
        <v>1</v>
      </c>
      <c r="H1829">
        <v>2705.23</v>
      </c>
      <c r="I1829">
        <v>5</v>
      </c>
      <c r="J1829">
        <v>1618.1</v>
      </c>
      <c r="K1829" t="s">
        <v>24</v>
      </c>
      <c r="L1829" t="s">
        <v>37</v>
      </c>
      <c r="M1829">
        <f t="shared" si="140"/>
        <v>2569.9684999999999</v>
      </c>
      <c r="N1829">
        <f t="shared" si="141"/>
        <v>951.86850000000004</v>
      </c>
      <c r="O1829" t="str">
        <f t="shared" si="142"/>
        <v>Monday</v>
      </c>
      <c r="P1829" t="b">
        <f t="shared" si="143"/>
        <v>0</v>
      </c>
      <c r="Q1829" t="str">
        <f t="shared" si="144"/>
        <v>February</v>
      </c>
    </row>
    <row r="1830" spans="1:17" x14ac:dyDescent="0.4">
      <c r="A1830" t="s">
        <v>2211</v>
      </c>
      <c r="B1830" s="1">
        <v>45760</v>
      </c>
      <c r="C1830" t="s">
        <v>190</v>
      </c>
      <c r="D1830" t="s">
        <v>31</v>
      </c>
      <c r="E1830" t="s">
        <v>938</v>
      </c>
      <c r="F1830" t="s">
        <v>23</v>
      </c>
      <c r="G1830">
        <v>1</v>
      </c>
      <c r="H1830">
        <v>383.82</v>
      </c>
      <c r="I1830">
        <v>0</v>
      </c>
      <c r="J1830">
        <v>200.89</v>
      </c>
      <c r="K1830" t="s">
        <v>17</v>
      </c>
      <c r="L1830" t="s">
        <v>33</v>
      </c>
      <c r="M1830">
        <f t="shared" si="140"/>
        <v>383.82</v>
      </c>
      <c r="N1830">
        <f t="shared" si="141"/>
        <v>182.93</v>
      </c>
      <c r="O1830" t="str">
        <f t="shared" si="142"/>
        <v>Sunday</v>
      </c>
      <c r="P1830" t="b">
        <f t="shared" si="143"/>
        <v>1</v>
      </c>
      <c r="Q1830" t="str">
        <f t="shared" si="144"/>
        <v>April</v>
      </c>
    </row>
    <row r="1831" spans="1:17" x14ac:dyDescent="0.4">
      <c r="A1831" t="s">
        <v>2212</v>
      </c>
      <c r="B1831" s="1">
        <v>45727</v>
      </c>
      <c r="C1831" t="s">
        <v>224</v>
      </c>
      <c r="D1831" t="s">
        <v>31</v>
      </c>
      <c r="E1831" t="s">
        <v>398</v>
      </c>
      <c r="F1831" t="s">
        <v>28</v>
      </c>
      <c r="G1831">
        <v>4</v>
      </c>
      <c r="H1831">
        <v>2595.7199999999998</v>
      </c>
      <c r="I1831">
        <v>15</v>
      </c>
      <c r="J1831">
        <v>1683.72</v>
      </c>
      <c r="K1831" t="s">
        <v>24</v>
      </c>
      <c r="L1831" t="s">
        <v>37</v>
      </c>
      <c r="M1831">
        <f t="shared" si="140"/>
        <v>8825.4479999999985</v>
      </c>
      <c r="N1831">
        <f t="shared" si="141"/>
        <v>2090.5679999999984</v>
      </c>
      <c r="O1831" t="str">
        <f t="shared" si="142"/>
        <v>Tuesday</v>
      </c>
      <c r="P1831" t="b">
        <f t="shared" si="143"/>
        <v>0</v>
      </c>
      <c r="Q1831" t="str">
        <f t="shared" si="144"/>
        <v>March</v>
      </c>
    </row>
    <row r="1832" spans="1:17" x14ac:dyDescent="0.4">
      <c r="A1832" t="s">
        <v>2213</v>
      </c>
      <c r="B1832" s="1">
        <v>45298</v>
      </c>
      <c r="C1832" t="s">
        <v>309</v>
      </c>
      <c r="D1832" t="s">
        <v>46</v>
      </c>
      <c r="E1832" t="s">
        <v>87</v>
      </c>
      <c r="F1832" t="s">
        <v>16</v>
      </c>
      <c r="G1832">
        <v>4</v>
      </c>
      <c r="H1832">
        <v>1677.58</v>
      </c>
      <c r="I1832">
        <v>20</v>
      </c>
      <c r="J1832">
        <v>874.97</v>
      </c>
      <c r="K1832" t="s">
        <v>17</v>
      </c>
      <c r="L1832" t="s">
        <v>33</v>
      </c>
      <c r="M1832">
        <f t="shared" si="140"/>
        <v>5368.2560000000003</v>
      </c>
      <c r="N1832">
        <f t="shared" si="141"/>
        <v>1868.3760000000002</v>
      </c>
      <c r="O1832" t="str">
        <f t="shared" si="142"/>
        <v>Sunday</v>
      </c>
      <c r="P1832" t="b">
        <f t="shared" si="143"/>
        <v>1</v>
      </c>
      <c r="Q1832" t="str">
        <f t="shared" si="144"/>
        <v>January</v>
      </c>
    </row>
    <row r="1833" spans="1:17" x14ac:dyDescent="0.4">
      <c r="A1833" t="s">
        <v>2214</v>
      </c>
      <c r="B1833" s="1">
        <v>45736</v>
      </c>
      <c r="C1833" t="s">
        <v>171</v>
      </c>
      <c r="D1833" t="s">
        <v>46</v>
      </c>
      <c r="E1833" t="s">
        <v>172</v>
      </c>
      <c r="F1833" t="s">
        <v>28</v>
      </c>
      <c r="G1833">
        <v>2</v>
      </c>
      <c r="H1833">
        <v>580.47</v>
      </c>
      <c r="I1833">
        <v>20</v>
      </c>
      <c r="J1833">
        <v>273.98</v>
      </c>
      <c r="K1833" t="s">
        <v>17</v>
      </c>
      <c r="L1833" t="s">
        <v>37</v>
      </c>
      <c r="M1833">
        <f t="shared" si="140"/>
        <v>928.75200000000007</v>
      </c>
      <c r="N1833">
        <f t="shared" si="141"/>
        <v>380.79200000000003</v>
      </c>
      <c r="O1833" t="str">
        <f t="shared" si="142"/>
        <v>Thursday</v>
      </c>
      <c r="P1833" t="b">
        <f t="shared" si="143"/>
        <v>0</v>
      </c>
      <c r="Q1833" t="str">
        <f t="shared" si="144"/>
        <v>March</v>
      </c>
    </row>
    <row r="1834" spans="1:17" x14ac:dyDescent="0.4">
      <c r="A1834" t="s">
        <v>2215</v>
      </c>
      <c r="B1834" s="1">
        <v>45393</v>
      </c>
      <c r="C1834" t="s">
        <v>185</v>
      </c>
      <c r="D1834" t="s">
        <v>21</v>
      </c>
      <c r="E1834" t="s">
        <v>432</v>
      </c>
      <c r="F1834" t="s">
        <v>28</v>
      </c>
      <c r="G1834">
        <v>2</v>
      </c>
      <c r="H1834">
        <v>1796.57</v>
      </c>
      <c r="I1834">
        <v>25</v>
      </c>
      <c r="J1834">
        <v>818.63</v>
      </c>
      <c r="K1834" t="s">
        <v>24</v>
      </c>
      <c r="L1834" t="s">
        <v>37</v>
      </c>
      <c r="M1834">
        <f t="shared" si="140"/>
        <v>2694.855</v>
      </c>
      <c r="N1834">
        <f t="shared" si="141"/>
        <v>1057.595</v>
      </c>
      <c r="O1834" t="str">
        <f t="shared" si="142"/>
        <v>Thursday</v>
      </c>
      <c r="P1834" t="b">
        <f t="shared" si="143"/>
        <v>0</v>
      </c>
      <c r="Q1834" t="str">
        <f t="shared" si="144"/>
        <v>April</v>
      </c>
    </row>
    <row r="1835" spans="1:17" x14ac:dyDescent="0.4">
      <c r="A1835" t="s">
        <v>2216</v>
      </c>
      <c r="B1835" s="1">
        <v>45825</v>
      </c>
      <c r="C1835" t="s">
        <v>286</v>
      </c>
      <c r="D1835" t="s">
        <v>14</v>
      </c>
      <c r="E1835" t="s">
        <v>1240</v>
      </c>
      <c r="F1835" t="s">
        <v>16</v>
      </c>
      <c r="G1835">
        <v>5</v>
      </c>
      <c r="H1835">
        <v>2623.28</v>
      </c>
      <c r="I1835">
        <v>5</v>
      </c>
      <c r="J1835">
        <v>1441.9</v>
      </c>
      <c r="K1835" t="s">
        <v>24</v>
      </c>
      <c r="L1835" t="s">
        <v>37</v>
      </c>
      <c r="M1835">
        <f t="shared" si="140"/>
        <v>12460.58</v>
      </c>
      <c r="N1835">
        <f t="shared" si="141"/>
        <v>5251.08</v>
      </c>
      <c r="O1835" t="str">
        <f t="shared" si="142"/>
        <v>Tuesday</v>
      </c>
      <c r="P1835" t="b">
        <f t="shared" si="143"/>
        <v>0</v>
      </c>
      <c r="Q1835" t="str">
        <f t="shared" si="144"/>
        <v>June</v>
      </c>
    </row>
    <row r="1836" spans="1:17" x14ac:dyDescent="0.4">
      <c r="A1836" t="s">
        <v>2217</v>
      </c>
      <c r="B1836" s="1">
        <v>45748</v>
      </c>
      <c r="C1836" t="s">
        <v>89</v>
      </c>
      <c r="D1836" t="s">
        <v>21</v>
      </c>
      <c r="E1836" t="s">
        <v>1102</v>
      </c>
      <c r="F1836" t="s">
        <v>23</v>
      </c>
      <c r="G1836">
        <v>2</v>
      </c>
      <c r="H1836">
        <v>2805.91</v>
      </c>
      <c r="I1836">
        <v>15</v>
      </c>
      <c r="J1836">
        <v>1514.05</v>
      </c>
      <c r="K1836" t="s">
        <v>17</v>
      </c>
      <c r="L1836" t="s">
        <v>18</v>
      </c>
      <c r="M1836">
        <f t="shared" si="140"/>
        <v>4770.0469999999996</v>
      </c>
      <c r="N1836">
        <f t="shared" si="141"/>
        <v>1741.9469999999997</v>
      </c>
      <c r="O1836" t="str">
        <f t="shared" si="142"/>
        <v>Tuesday</v>
      </c>
      <c r="P1836" t="b">
        <f t="shared" si="143"/>
        <v>0</v>
      </c>
      <c r="Q1836" t="str">
        <f t="shared" si="144"/>
        <v>April</v>
      </c>
    </row>
    <row r="1837" spans="1:17" x14ac:dyDescent="0.4">
      <c r="A1837" t="s">
        <v>2218</v>
      </c>
      <c r="B1837" s="1">
        <v>45561</v>
      </c>
      <c r="C1837" t="s">
        <v>241</v>
      </c>
      <c r="D1837" t="s">
        <v>31</v>
      </c>
      <c r="E1837" t="s">
        <v>222</v>
      </c>
      <c r="F1837" t="s">
        <v>23</v>
      </c>
      <c r="G1837">
        <v>1</v>
      </c>
      <c r="H1837">
        <v>1370.08</v>
      </c>
      <c r="I1837">
        <v>5</v>
      </c>
      <c r="J1837">
        <v>634.41</v>
      </c>
      <c r="K1837" t="s">
        <v>17</v>
      </c>
      <c r="L1837" t="s">
        <v>18</v>
      </c>
      <c r="M1837">
        <f t="shared" si="140"/>
        <v>1301.5759999999998</v>
      </c>
      <c r="N1837">
        <f t="shared" si="141"/>
        <v>667.16599999999983</v>
      </c>
      <c r="O1837" t="str">
        <f t="shared" si="142"/>
        <v>Thursday</v>
      </c>
      <c r="P1837" t="b">
        <f t="shared" si="143"/>
        <v>0</v>
      </c>
      <c r="Q1837" t="str">
        <f t="shared" si="144"/>
        <v>September</v>
      </c>
    </row>
    <row r="1838" spans="1:17" x14ac:dyDescent="0.4">
      <c r="A1838" t="s">
        <v>2219</v>
      </c>
      <c r="B1838" s="1">
        <v>45589</v>
      </c>
      <c r="C1838" t="s">
        <v>296</v>
      </c>
      <c r="D1838" t="s">
        <v>14</v>
      </c>
      <c r="E1838" t="s">
        <v>238</v>
      </c>
      <c r="F1838" t="s">
        <v>16</v>
      </c>
      <c r="G1838">
        <v>1</v>
      </c>
      <c r="H1838">
        <v>1414.92</v>
      </c>
      <c r="I1838">
        <v>25</v>
      </c>
      <c r="J1838">
        <v>764.58</v>
      </c>
      <c r="K1838" t="s">
        <v>24</v>
      </c>
      <c r="L1838" t="s">
        <v>37</v>
      </c>
      <c r="M1838">
        <f t="shared" si="140"/>
        <v>1061.19</v>
      </c>
      <c r="N1838">
        <f t="shared" si="141"/>
        <v>296.61</v>
      </c>
      <c r="O1838" t="str">
        <f t="shared" si="142"/>
        <v>Thursday</v>
      </c>
      <c r="P1838" t="b">
        <f t="shared" si="143"/>
        <v>0</v>
      </c>
      <c r="Q1838" t="str">
        <f t="shared" si="144"/>
        <v>October</v>
      </c>
    </row>
    <row r="1839" spans="1:17" x14ac:dyDescent="0.4">
      <c r="A1839" t="s">
        <v>2220</v>
      </c>
      <c r="B1839" s="1">
        <v>45348</v>
      </c>
      <c r="C1839" t="s">
        <v>62</v>
      </c>
      <c r="D1839" t="s">
        <v>31</v>
      </c>
      <c r="E1839" t="s">
        <v>354</v>
      </c>
      <c r="F1839" t="s">
        <v>23</v>
      </c>
      <c r="G1839">
        <v>4</v>
      </c>
      <c r="H1839">
        <v>1487.69</v>
      </c>
      <c r="I1839">
        <v>0</v>
      </c>
      <c r="J1839">
        <v>605.35</v>
      </c>
      <c r="K1839" t="s">
        <v>17</v>
      </c>
      <c r="L1839" t="s">
        <v>33</v>
      </c>
      <c r="M1839">
        <f t="shared" si="140"/>
        <v>5950.76</v>
      </c>
      <c r="N1839">
        <f t="shared" si="141"/>
        <v>3529.36</v>
      </c>
      <c r="O1839" t="str">
        <f t="shared" si="142"/>
        <v>Monday</v>
      </c>
      <c r="P1839" t="b">
        <f t="shared" si="143"/>
        <v>0</v>
      </c>
      <c r="Q1839" t="str">
        <f t="shared" si="144"/>
        <v>February</v>
      </c>
    </row>
    <row r="1840" spans="1:17" x14ac:dyDescent="0.4">
      <c r="A1840" t="s">
        <v>2221</v>
      </c>
      <c r="B1840" s="1">
        <v>45566</v>
      </c>
      <c r="C1840" t="s">
        <v>20</v>
      </c>
      <c r="D1840" t="s">
        <v>21</v>
      </c>
      <c r="E1840" t="s">
        <v>87</v>
      </c>
      <c r="F1840" t="s">
        <v>23</v>
      </c>
      <c r="G1840">
        <v>4</v>
      </c>
      <c r="H1840">
        <v>529.12</v>
      </c>
      <c r="I1840">
        <v>25</v>
      </c>
      <c r="J1840">
        <v>278.17</v>
      </c>
      <c r="K1840" t="s">
        <v>24</v>
      </c>
      <c r="L1840" t="s">
        <v>37</v>
      </c>
      <c r="M1840">
        <f t="shared" si="140"/>
        <v>1587.3600000000001</v>
      </c>
      <c r="N1840">
        <f t="shared" si="141"/>
        <v>474.68000000000006</v>
      </c>
      <c r="O1840" t="str">
        <f t="shared" si="142"/>
        <v>Tuesday</v>
      </c>
      <c r="P1840" t="b">
        <f t="shared" si="143"/>
        <v>0</v>
      </c>
      <c r="Q1840" t="str">
        <f t="shared" si="144"/>
        <v>October</v>
      </c>
    </row>
    <row r="1841" spans="1:17" x14ac:dyDescent="0.4">
      <c r="A1841" t="s">
        <v>2222</v>
      </c>
      <c r="B1841" s="1">
        <v>45606</v>
      </c>
      <c r="C1841" t="s">
        <v>253</v>
      </c>
      <c r="D1841" t="s">
        <v>14</v>
      </c>
      <c r="E1841" t="s">
        <v>551</v>
      </c>
      <c r="F1841" t="s">
        <v>16</v>
      </c>
      <c r="G1841">
        <v>2</v>
      </c>
      <c r="H1841">
        <v>1064.46</v>
      </c>
      <c r="I1841">
        <v>15</v>
      </c>
      <c r="J1841">
        <v>655.63</v>
      </c>
      <c r="K1841" t="s">
        <v>17</v>
      </c>
      <c r="L1841" t="s">
        <v>37</v>
      </c>
      <c r="M1841">
        <f t="shared" si="140"/>
        <v>1809.5820000000001</v>
      </c>
      <c r="N1841">
        <f t="shared" si="141"/>
        <v>498.32200000000012</v>
      </c>
      <c r="O1841" t="str">
        <f t="shared" si="142"/>
        <v>Sunday</v>
      </c>
      <c r="P1841" t="b">
        <f t="shared" si="143"/>
        <v>1</v>
      </c>
      <c r="Q1841" t="str">
        <f t="shared" si="144"/>
        <v>November</v>
      </c>
    </row>
    <row r="1842" spans="1:17" x14ac:dyDescent="0.4">
      <c r="A1842" t="s">
        <v>2223</v>
      </c>
      <c r="B1842" s="1">
        <v>45726</v>
      </c>
      <c r="C1842" t="s">
        <v>84</v>
      </c>
      <c r="D1842" t="s">
        <v>46</v>
      </c>
      <c r="E1842" t="s">
        <v>1107</v>
      </c>
      <c r="F1842" t="s">
        <v>16</v>
      </c>
      <c r="G1842">
        <v>2</v>
      </c>
      <c r="H1842">
        <v>1388.8</v>
      </c>
      <c r="I1842">
        <v>15</v>
      </c>
      <c r="J1842">
        <v>555.73</v>
      </c>
      <c r="K1842" t="s">
        <v>17</v>
      </c>
      <c r="L1842" t="s">
        <v>33</v>
      </c>
      <c r="M1842">
        <f t="shared" si="140"/>
        <v>2360.96</v>
      </c>
      <c r="N1842">
        <f t="shared" si="141"/>
        <v>1249.5</v>
      </c>
      <c r="O1842" t="str">
        <f t="shared" si="142"/>
        <v>Monday</v>
      </c>
      <c r="P1842" t="b">
        <f t="shared" si="143"/>
        <v>0</v>
      </c>
      <c r="Q1842" t="str">
        <f t="shared" si="144"/>
        <v>March</v>
      </c>
    </row>
    <row r="1843" spans="1:17" x14ac:dyDescent="0.4">
      <c r="A1843" t="s">
        <v>2224</v>
      </c>
      <c r="B1843" s="1">
        <v>45884</v>
      </c>
      <c r="C1843" t="s">
        <v>149</v>
      </c>
      <c r="D1843" t="s">
        <v>14</v>
      </c>
      <c r="E1843" t="s">
        <v>249</v>
      </c>
      <c r="F1843" t="s">
        <v>28</v>
      </c>
      <c r="G1843">
        <v>4</v>
      </c>
      <c r="H1843">
        <v>2829.15</v>
      </c>
      <c r="I1843">
        <v>25</v>
      </c>
      <c r="J1843">
        <v>1832.1</v>
      </c>
      <c r="K1843" t="s">
        <v>17</v>
      </c>
      <c r="L1843" t="s">
        <v>37</v>
      </c>
      <c r="M1843">
        <f t="shared" si="140"/>
        <v>8487.4500000000007</v>
      </c>
      <c r="N1843">
        <f t="shared" si="141"/>
        <v>1159.0500000000011</v>
      </c>
      <c r="O1843" t="str">
        <f t="shared" si="142"/>
        <v>Friday</v>
      </c>
      <c r="P1843" t="b">
        <f t="shared" si="143"/>
        <v>0</v>
      </c>
      <c r="Q1843" t="str">
        <f t="shared" si="144"/>
        <v>August</v>
      </c>
    </row>
    <row r="1844" spans="1:17" x14ac:dyDescent="0.4">
      <c r="A1844" t="s">
        <v>2225</v>
      </c>
      <c r="B1844" s="1">
        <v>45664</v>
      </c>
      <c r="C1844" t="s">
        <v>296</v>
      </c>
      <c r="D1844" t="s">
        <v>21</v>
      </c>
      <c r="E1844" t="s">
        <v>1170</v>
      </c>
      <c r="F1844" t="s">
        <v>23</v>
      </c>
      <c r="G1844">
        <v>1</v>
      </c>
      <c r="H1844">
        <v>1942.69</v>
      </c>
      <c r="I1844">
        <v>25</v>
      </c>
      <c r="J1844">
        <v>1217.73</v>
      </c>
      <c r="K1844" t="s">
        <v>17</v>
      </c>
      <c r="L1844" t="s">
        <v>18</v>
      </c>
      <c r="M1844">
        <f t="shared" si="140"/>
        <v>1457.0174999999999</v>
      </c>
      <c r="N1844">
        <f t="shared" si="141"/>
        <v>239.28749999999991</v>
      </c>
      <c r="O1844" t="str">
        <f t="shared" si="142"/>
        <v>Tuesday</v>
      </c>
      <c r="P1844" t="b">
        <f t="shared" si="143"/>
        <v>0</v>
      </c>
      <c r="Q1844" t="str">
        <f t="shared" si="144"/>
        <v>January</v>
      </c>
    </row>
    <row r="1845" spans="1:17" x14ac:dyDescent="0.4">
      <c r="A1845" t="s">
        <v>2226</v>
      </c>
      <c r="B1845" s="1">
        <v>45865</v>
      </c>
      <c r="C1845" t="s">
        <v>51</v>
      </c>
      <c r="D1845" t="s">
        <v>31</v>
      </c>
      <c r="E1845" t="s">
        <v>198</v>
      </c>
      <c r="F1845" t="s">
        <v>16</v>
      </c>
      <c r="G1845">
        <v>4</v>
      </c>
      <c r="H1845">
        <v>457.58</v>
      </c>
      <c r="I1845">
        <v>10</v>
      </c>
      <c r="J1845">
        <v>220.37</v>
      </c>
      <c r="K1845" t="s">
        <v>17</v>
      </c>
      <c r="L1845" t="s">
        <v>37</v>
      </c>
      <c r="M1845">
        <f t="shared" si="140"/>
        <v>1647.288</v>
      </c>
      <c r="N1845">
        <f t="shared" si="141"/>
        <v>765.80799999999999</v>
      </c>
      <c r="O1845" t="str">
        <f t="shared" si="142"/>
        <v>Sunday</v>
      </c>
      <c r="P1845" t="b">
        <f t="shared" si="143"/>
        <v>1</v>
      </c>
      <c r="Q1845" t="str">
        <f t="shared" si="144"/>
        <v>July</v>
      </c>
    </row>
    <row r="1846" spans="1:17" x14ac:dyDescent="0.4">
      <c r="A1846" t="s">
        <v>2227</v>
      </c>
      <c r="B1846" s="1">
        <v>45986</v>
      </c>
      <c r="C1846" t="s">
        <v>286</v>
      </c>
      <c r="D1846" t="s">
        <v>21</v>
      </c>
      <c r="E1846" t="s">
        <v>891</v>
      </c>
      <c r="F1846" t="s">
        <v>23</v>
      </c>
      <c r="G1846">
        <v>2</v>
      </c>
      <c r="H1846">
        <v>1150.1199999999999</v>
      </c>
      <c r="I1846">
        <v>15</v>
      </c>
      <c r="J1846">
        <v>639.69000000000005</v>
      </c>
      <c r="K1846" t="s">
        <v>17</v>
      </c>
      <c r="L1846" t="s">
        <v>33</v>
      </c>
      <c r="M1846">
        <f t="shared" si="140"/>
        <v>1955.2039999999997</v>
      </c>
      <c r="N1846">
        <f t="shared" si="141"/>
        <v>675.82399999999961</v>
      </c>
      <c r="O1846" t="str">
        <f t="shared" si="142"/>
        <v>Tuesday</v>
      </c>
      <c r="P1846" t="b">
        <f t="shared" si="143"/>
        <v>0</v>
      </c>
      <c r="Q1846" t="str">
        <f t="shared" si="144"/>
        <v>November</v>
      </c>
    </row>
    <row r="1847" spans="1:17" x14ac:dyDescent="0.4">
      <c r="A1847" t="s">
        <v>2228</v>
      </c>
      <c r="B1847" s="1">
        <v>45591</v>
      </c>
      <c r="C1847" t="s">
        <v>278</v>
      </c>
      <c r="D1847" t="s">
        <v>21</v>
      </c>
      <c r="E1847" t="s">
        <v>52</v>
      </c>
      <c r="F1847" t="s">
        <v>28</v>
      </c>
      <c r="G1847">
        <v>1</v>
      </c>
      <c r="H1847">
        <v>2874.99</v>
      </c>
      <c r="I1847">
        <v>10</v>
      </c>
      <c r="J1847">
        <v>1527.17</v>
      </c>
      <c r="K1847" t="s">
        <v>17</v>
      </c>
      <c r="L1847" t="s">
        <v>37</v>
      </c>
      <c r="M1847">
        <f t="shared" si="140"/>
        <v>2587.491</v>
      </c>
      <c r="N1847">
        <f t="shared" si="141"/>
        <v>1060.3209999999999</v>
      </c>
      <c r="O1847" t="str">
        <f t="shared" si="142"/>
        <v>Saturday</v>
      </c>
      <c r="P1847" t="b">
        <f t="shared" si="143"/>
        <v>1</v>
      </c>
      <c r="Q1847" t="str">
        <f t="shared" si="144"/>
        <v>October</v>
      </c>
    </row>
    <row r="1848" spans="1:17" x14ac:dyDescent="0.4">
      <c r="A1848" t="s">
        <v>2229</v>
      </c>
      <c r="B1848" s="1">
        <v>45442</v>
      </c>
      <c r="C1848" t="s">
        <v>457</v>
      </c>
      <c r="D1848" t="s">
        <v>46</v>
      </c>
      <c r="E1848" t="s">
        <v>534</v>
      </c>
      <c r="F1848" t="s">
        <v>16</v>
      </c>
      <c r="G1848">
        <v>5</v>
      </c>
      <c r="H1848">
        <v>2251.1999999999998</v>
      </c>
      <c r="I1848">
        <v>30</v>
      </c>
      <c r="J1848">
        <v>931.11</v>
      </c>
      <c r="K1848" t="s">
        <v>24</v>
      </c>
      <c r="L1848" t="s">
        <v>18</v>
      </c>
      <c r="M1848">
        <f t="shared" si="140"/>
        <v>7879.2</v>
      </c>
      <c r="N1848">
        <f t="shared" si="141"/>
        <v>3223.6499999999996</v>
      </c>
      <c r="O1848" t="str">
        <f t="shared" si="142"/>
        <v>Thursday</v>
      </c>
      <c r="P1848" t="b">
        <f t="shared" si="143"/>
        <v>0</v>
      </c>
      <c r="Q1848" t="str">
        <f t="shared" si="144"/>
        <v>May</v>
      </c>
    </row>
    <row r="1849" spans="1:17" x14ac:dyDescent="0.4">
      <c r="A1849" t="s">
        <v>2230</v>
      </c>
      <c r="B1849" s="1">
        <v>45402</v>
      </c>
      <c r="C1849" t="s">
        <v>273</v>
      </c>
      <c r="D1849" t="s">
        <v>14</v>
      </c>
      <c r="E1849" t="s">
        <v>637</v>
      </c>
      <c r="F1849" t="s">
        <v>16</v>
      </c>
      <c r="G1849">
        <v>3</v>
      </c>
      <c r="H1849">
        <v>1323.16</v>
      </c>
      <c r="I1849">
        <v>25</v>
      </c>
      <c r="J1849">
        <v>534.86</v>
      </c>
      <c r="K1849" t="s">
        <v>17</v>
      </c>
      <c r="L1849" t="s">
        <v>18</v>
      </c>
      <c r="M1849">
        <f t="shared" si="140"/>
        <v>2977.1100000000006</v>
      </c>
      <c r="N1849">
        <f t="shared" si="141"/>
        <v>1372.5300000000007</v>
      </c>
      <c r="O1849" t="str">
        <f t="shared" si="142"/>
        <v>Saturday</v>
      </c>
      <c r="P1849" t="b">
        <f t="shared" si="143"/>
        <v>1</v>
      </c>
      <c r="Q1849" t="str">
        <f t="shared" si="144"/>
        <v>April</v>
      </c>
    </row>
    <row r="1850" spans="1:17" x14ac:dyDescent="0.4">
      <c r="A1850" t="s">
        <v>2231</v>
      </c>
      <c r="B1850" s="1">
        <v>45679</v>
      </c>
      <c r="C1850" t="s">
        <v>144</v>
      </c>
      <c r="D1850" t="s">
        <v>21</v>
      </c>
      <c r="E1850" t="s">
        <v>958</v>
      </c>
      <c r="F1850" t="s">
        <v>28</v>
      </c>
      <c r="G1850">
        <v>3</v>
      </c>
      <c r="H1850">
        <v>2278.87</v>
      </c>
      <c r="I1850">
        <v>25</v>
      </c>
      <c r="J1850">
        <v>1542.99</v>
      </c>
      <c r="K1850" t="s">
        <v>17</v>
      </c>
      <c r="L1850" t="s">
        <v>18</v>
      </c>
      <c r="M1850">
        <f t="shared" si="140"/>
        <v>5127.4574999999995</v>
      </c>
      <c r="N1850">
        <f t="shared" si="141"/>
        <v>498.48749999999927</v>
      </c>
      <c r="O1850" t="str">
        <f t="shared" si="142"/>
        <v>Wednesday</v>
      </c>
      <c r="P1850" t="b">
        <f t="shared" si="143"/>
        <v>0</v>
      </c>
      <c r="Q1850" t="str">
        <f t="shared" si="144"/>
        <v>January</v>
      </c>
    </row>
    <row r="1851" spans="1:17" x14ac:dyDescent="0.4">
      <c r="A1851" t="s">
        <v>2232</v>
      </c>
      <c r="B1851" s="1">
        <v>45470</v>
      </c>
      <c r="C1851" t="s">
        <v>84</v>
      </c>
      <c r="D1851" t="s">
        <v>21</v>
      </c>
      <c r="E1851" t="s">
        <v>394</v>
      </c>
      <c r="F1851" t="s">
        <v>23</v>
      </c>
      <c r="G1851">
        <v>2</v>
      </c>
      <c r="H1851">
        <v>408.82</v>
      </c>
      <c r="I1851">
        <v>5</v>
      </c>
      <c r="J1851">
        <v>262.27999999999997</v>
      </c>
      <c r="K1851" t="s">
        <v>17</v>
      </c>
      <c r="L1851" t="s">
        <v>18</v>
      </c>
      <c r="M1851">
        <f t="shared" si="140"/>
        <v>776.75799999999992</v>
      </c>
      <c r="N1851">
        <f t="shared" si="141"/>
        <v>252.19799999999998</v>
      </c>
      <c r="O1851" t="str">
        <f t="shared" si="142"/>
        <v>Thursday</v>
      </c>
      <c r="P1851" t="b">
        <f t="shared" si="143"/>
        <v>0</v>
      </c>
      <c r="Q1851" t="str">
        <f t="shared" si="144"/>
        <v>June</v>
      </c>
    </row>
    <row r="1852" spans="1:17" x14ac:dyDescent="0.4">
      <c r="A1852" t="s">
        <v>2233</v>
      </c>
      <c r="B1852" s="1">
        <v>45883</v>
      </c>
      <c r="C1852" t="s">
        <v>273</v>
      </c>
      <c r="D1852" t="s">
        <v>46</v>
      </c>
      <c r="E1852" t="s">
        <v>938</v>
      </c>
      <c r="F1852" t="s">
        <v>28</v>
      </c>
      <c r="G1852">
        <v>1</v>
      </c>
      <c r="H1852">
        <v>2512.4699999999998</v>
      </c>
      <c r="I1852">
        <v>25</v>
      </c>
      <c r="J1852">
        <v>1544.68</v>
      </c>
      <c r="K1852" t="s">
        <v>24</v>
      </c>
      <c r="L1852" t="s">
        <v>18</v>
      </c>
      <c r="M1852">
        <f t="shared" si="140"/>
        <v>1884.3525</v>
      </c>
      <c r="N1852">
        <f t="shared" si="141"/>
        <v>339.6724999999999</v>
      </c>
      <c r="O1852" t="str">
        <f t="shared" si="142"/>
        <v>Thursday</v>
      </c>
      <c r="P1852" t="b">
        <f t="shared" si="143"/>
        <v>0</v>
      </c>
      <c r="Q1852" t="str">
        <f t="shared" si="144"/>
        <v>August</v>
      </c>
    </row>
    <row r="1853" spans="1:17" x14ac:dyDescent="0.4">
      <c r="A1853" t="s">
        <v>2234</v>
      </c>
      <c r="B1853" s="1">
        <v>45947</v>
      </c>
      <c r="C1853" t="s">
        <v>100</v>
      </c>
      <c r="D1853" t="s">
        <v>21</v>
      </c>
      <c r="E1853" t="s">
        <v>289</v>
      </c>
      <c r="F1853" t="s">
        <v>16</v>
      </c>
      <c r="G1853">
        <v>4</v>
      </c>
      <c r="H1853">
        <v>1220.75</v>
      </c>
      <c r="I1853">
        <v>25</v>
      </c>
      <c r="J1853">
        <v>696.76</v>
      </c>
      <c r="K1853" t="s">
        <v>17</v>
      </c>
      <c r="L1853" t="s">
        <v>33</v>
      </c>
      <c r="M1853">
        <f t="shared" si="140"/>
        <v>3662.25</v>
      </c>
      <c r="N1853">
        <f t="shared" si="141"/>
        <v>875.21</v>
      </c>
      <c r="O1853" t="str">
        <f t="shared" si="142"/>
        <v>Friday</v>
      </c>
      <c r="P1853" t="b">
        <f t="shared" si="143"/>
        <v>0</v>
      </c>
      <c r="Q1853" t="str">
        <f t="shared" si="144"/>
        <v>October</v>
      </c>
    </row>
    <row r="1854" spans="1:17" x14ac:dyDescent="0.4">
      <c r="A1854" t="s">
        <v>2235</v>
      </c>
      <c r="B1854" s="1">
        <v>45706</v>
      </c>
      <c r="C1854" t="s">
        <v>193</v>
      </c>
      <c r="D1854" t="s">
        <v>14</v>
      </c>
      <c r="E1854" t="s">
        <v>551</v>
      </c>
      <c r="F1854" t="s">
        <v>16</v>
      </c>
      <c r="G1854">
        <v>5</v>
      </c>
      <c r="H1854">
        <v>1428.02</v>
      </c>
      <c r="I1854">
        <v>15</v>
      </c>
      <c r="J1854">
        <v>739</v>
      </c>
      <c r="K1854" t="s">
        <v>17</v>
      </c>
      <c r="L1854" t="s">
        <v>18</v>
      </c>
      <c r="M1854">
        <f t="shared" si="140"/>
        <v>6069.085</v>
      </c>
      <c r="N1854">
        <f t="shared" si="141"/>
        <v>2374.085</v>
      </c>
      <c r="O1854" t="str">
        <f t="shared" si="142"/>
        <v>Tuesday</v>
      </c>
      <c r="P1854" t="b">
        <f t="shared" si="143"/>
        <v>0</v>
      </c>
      <c r="Q1854" t="str">
        <f t="shared" si="144"/>
        <v>February</v>
      </c>
    </row>
    <row r="1855" spans="1:17" x14ac:dyDescent="0.4">
      <c r="A1855" t="s">
        <v>2236</v>
      </c>
      <c r="B1855" s="1">
        <v>45507</v>
      </c>
      <c r="C1855" t="s">
        <v>122</v>
      </c>
      <c r="D1855" t="s">
        <v>14</v>
      </c>
      <c r="E1855" t="s">
        <v>629</v>
      </c>
      <c r="F1855" t="s">
        <v>23</v>
      </c>
      <c r="G1855">
        <v>4</v>
      </c>
      <c r="H1855">
        <v>1567.64</v>
      </c>
      <c r="I1855">
        <v>20</v>
      </c>
      <c r="J1855">
        <v>822.65</v>
      </c>
      <c r="K1855" t="s">
        <v>17</v>
      </c>
      <c r="L1855" t="s">
        <v>37</v>
      </c>
      <c r="M1855">
        <f t="shared" si="140"/>
        <v>5016.4480000000003</v>
      </c>
      <c r="N1855">
        <f t="shared" si="141"/>
        <v>1725.8480000000004</v>
      </c>
      <c r="O1855" t="str">
        <f t="shared" si="142"/>
        <v>Saturday</v>
      </c>
      <c r="P1855" t="b">
        <f t="shared" si="143"/>
        <v>1</v>
      </c>
      <c r="Q1855" t="str">
        <f t="shared" si="144"/>
        <v>August</v>
      </c>
    </row>
    <row r="1856" spans="1:17" x14ac:dyDescent="0.4">
      <c r="A1856" t="s">
        <v>2237</v>
      </c>
      <c r="B1856" s="1">
        <v>45597</v>
      </c>
      <c r="C1856" t="s">
        <v>224</v>
      </c>
      <c r="D1856" t="s">
        <v>21</v>
      </c>
      <c r="E1856" t="s">
        <v>214</v>
      </c>
      <c r="F1856" t="s">
        <v>23</v>
      </c>
      <c r="G1856">
        <v>3</v>
      </c>
      <c r="H1856">
        <v>685.17</v>
      </c>
      <c r="I1856">
        <v>20</v>
      </c>
      <c r="J1856">
        <v>462.05</v>
      </c>
      <c r="K1856" t="s">
        <v>24</v>
      </c>
      <c r="L1856" t="s">
        <v>18</v>
      </c>
      <c r="M1856">
        <f t="shared" si="140"/>
        <v>1644.4079999999999</v>
      </c>
      <c r="N1856">
        <f t="shared" si="141"/>
        <v>258.25799999999981</v>
      </c>
      <c r="O1856" t="str">
        <f t="shared" si="142"/>
        <v>Friday</v>
      </c>
      <c r="P1856" t="b">
        <f t="shared" si="143"/>
        <v>0</v>
      </c>
      <c r="Q1856" t="str">
        <f t="shared" si="144"/>
        <v>November</v>
      </c>
    </row>
    <row r="1857" spans="1:17" x14ac:dyDescent="0.4">
      <c r="A1857" t="s">
        <v>2238</v>
      </c>
      <c r="B1857" s="1">
        <v>45744</v>
      </c>
      <c r="C1857" t="s">
        <v>182</v>
      </c>
      <c r="D1857" t="s">
        <v>21</v>
      </c>
      <c r="E1857" t="s">
        <v>1118</v>
      </c>
      <c r="F1857" t="s">
        <v>28</v>
      </c>
      <c r="G1857">
        <v>3</v>
      </c>
      <c r="H1857">
        <v>2158.04</v>
      </c>
      <c r="I1857">
        <v>5</v>
      </c>
      <c r="J1857">
        <v>1137.8399999999999</v>
      </c>
      <c r="K1857" t="s">
        <v>24</v>
      </c>
      <c r="L1857" t="s">
        <v>33</v>
      </c>
      <c r="M1857">
        <f t="shared" si="140"/>
        <v>6150.4139999999998</v>
      </c>
      <c r="N1857">
        <f t="shared" si="141"/>
        <v>2736.8940000000002</v>
      </c>
      <c r="O1857" t="str">
        <f t="shared" si="142"/>
        <v>Friday</v>
      </c>
      <c r="P1857" t="b">
        <f t="shared" si="143"/>
        <v>0</v>
      </c>
      <c r="Q1857" t="str">
        <f t="shared" si="144"/>
        <v>March</v>
      </c>
    </row>
    <row r="1858" spans="1:17" x14ac:dyDescent="0.4">
      <c r="A1858" t="s">
        <v>2239</v>
      </c>
      <c r="B1858" s="1">
        <v>45705</v>
      </c>
      <c r="C1858" t="s">
        <v>119</v>
      </c>
      <c r="D1858" t="s">
        <v>31</v>
      </c>
      <c r="E1858" t="s">
        <v>741</v>
      </c>
      <c r="F1858" t="s">
        <v>16</v>
      </c>
      <c r="G1858">
        <v>4</v>
      </c>
      <c r="H1858">
        <v>1425.8</v>
      </c>
      <c r="I1858">
        <v>25</v>
      </c>
      <c r="J1858">
        <v>599.08000000000004</v>
      </c>
      <c r="K1858" t="s">
        <v>17</v>
      </c>
      <c r="L1858" t="s">
        <v>33</v>
      </c>
      <c r="M1858">
        <f t="shared" si="140"/>
        <v>4277.3999999999996</v>
      </c>
      <c r="N1858">
        <f t="shared" si="141"/>
        <v>1881.0799999999995</v>
      </c>
      <c r="O1858" t="str">
        <f t="shared" si="142"/>
        <v>Monday</v>
      </c>
      <c r="P1858" t="b">
        <f t="shared" si="143"/>
        <v>0</v>
      </c>
      <c r="Q1858" t="str">
        <f t="shared" si="144"/>
        <v>February</v>
      </c>
    </row>
    <row r="1859" spans="1:17" x14ac:dyDescent="0.4">
      <c r="A1859" t="s">
        <v>2240</v>
      </c>
      <c r="B1859" s="1">
        <v>45382</v>
      </c>
      <c r="C1859" t="s">
        <v>463</v>
      </c>
      <c r="D1859" t="s">
        <v>46</v>
      </c>
      <c r="E1859" t="s">
        <v>338</v>
      </c>
      <c r="F1859" t="s">
        <v>28</v>
      </c>
      <c r="G1859">
        <v>5</v>
      </c>
      <c r="H1859">
        <v>409.81</v>
      </c>
      <c r="I1859">
        <v>20</v>
      </c>
      <c r="J1859">
        <v>280.56</v>
      </c>
      <c r="K1859" t="s">
        <v>17</v>
      </c>
      <c r="L1859" t="s">
        <v>33</v>
      </c>
      <c r="M1859">
        <f t="shared" ref="M1859:M1922" si="145">G1859 * H1859 * (1 - I1859/100)</f>
        <v>1639.2400000000002</v>
      </c>
      <c r="N1859">
        <f t="shared" ref="N1859:N1922" si="146">M1859 - (J1859 * G1859)</f>
        <v>236.44000000000028</v>
      </c>
      <c r="O1859" t="str">
        <f t="shared" ref="O1859:O1922" si="147">TEXT(B1859,"dddd")</f>
        <v>Sunday</v>
      </c>
      <c r="P1859" t="b">
        <f t="shared" ref="P1859:P1922" si="148">OR(TEXT(B1859,"ddd")="Sat", TEXT(B1859,"ddd")="Sun")</f>
        <v>1</v>
      </c>
      <c r="Q1859" t="str">
        <f t="shared" ref="Q1859:Q1922" si="149">TEXT(B1859,"mmmm")</f>
        <v>March</v>
      </c>
    </row>
    <row r="1860" spans="1:17" x14ac:dyDescent="0.4">
      <c r="A1860" t="s">
        <v>2241</v>
      </c>
      <c r="B1860" s="1">
        <v>45441</v>
      </c>
      <c r="C1860" t="s">
        <v>251</v>
      </c>
      <c r="D1860" t="s">
        <v>31</v>
      </c>
      <c r="E1860" t="s">
        <v>307</v>
      </c>
      <c r="F1860" t="s">
        <v>23</v>
      </c>
      <c r="G1860">
        <v>3</v>
      </c>
      <c r="H1860">
        <v>1694.98</v>
      </c>
      <c r="I1860">
        <v>15</v>
      </c>
      <c r="J1860">
        <v>747.29</v>
      </c>
      <c r="K1860" t="s">
        <v>24</v>
      </c>
      <c r="L1860" t="s">
        <v>18</v>
      </c>
      <c r="M1860">
        <f t="shared" si="145"/>
        <v>4322.1990000000005</v>
      </c>
      <c r="N1860">
        <f t="shared" si="146"/>
        <v>2080.3290000000006</v>
      </c>
      <c r="O1860" t="str">
        <f t="shared" si="147"/>
        <v>Wednesday</v>
      </c>
      <c r="P1860" t="b">
        <f t="shared" si="148"/>
        <v>0</v>
      </c>
      <c r="Q1860" t="str">
        <f t="shared" si="149"/>
        <v>May</v>
      </c>
    </row>
    <row r="1861" spans="1:17" x14ac:dyDescent="0.4">
      <c r="A1861" t="s">
        <v>2242</v>
      </c>
      <c r="B1861" s="1">
        <v>45461</v>
      </c>
      <c r="C1861" t="s">
        <v>95</v>
      </c>
      <c r="D1861" t="s">
        <v>46</v>
      </c>
      <c r="E1861" t="s">
        <v>123</v>
      </c>
      <c r="F1861" t="s">
        <v>23</v>
      </c>
      <c r="G1861">
        <v>5</v>
      </c>
      <c r="H1861">
        <v>2619.66</v>
      </c>
      <c r="I1861">
        <v>15</v>
      </c>
      <c r="J1861">
        <v>1411.65</v>
      </c>
      <c r="K1861" t="s">
        <v>17</v>
      </c>
      <c r="L1861" t="s">
        <v>18</v>
      </c>
      <c r="M1861">
        <f t="shared" si="145"/>
        <v>11133.554999999998</v>
      </c>
      <c r="N1861">
        <f t="shared" si="146"/>
        <v>4075.3049999999985</v>
      </c>
      <c r="O1861" t="str">
        <f t="shared" si="147"/>
        <v>Tuesday</v>
      </c>
      <c r="P1861" t="b">
        <f t="shared" si="148"/>
        <v>0</v>
      </c>
      <c r="Q1861" t="str">
        <f t="shared" si="149"/>
        <v>June</v>
      </c>
    </row>
    <row r="1862" spans="1:17" x14ac:dyDescent="0.4">
      <c r="A1862" t="s">
        <v>2243</v>
      </c>
      <c r="B1862" s="1">
        <v>45707</v>
      </c>
      <c r="C1862" t="s">
        <v>62</v>
      </c>
      <c r="D1862" t="s">
        <v>46</v>
      </c>
      <c r="E1862" t="s">
        <v>126</v>
      </c>
      <c r="F1862" t="s">
        <v>28</v>
      </c>
      <c r="G1862">
        <v>5</v>
      </c>
      <c r="H1862">
        <v>1649.09</v>
      </c>
      <c r="I1862">
        <v>15</v>
      </c>
      <c r="J1862">
        <v>674.09</v>
      </c>
      <c r="K1862" t="s">
        <v>24</v>
      </c>
      <c r="L1862" t="s">
        <v>33</v>
      </c>
      <c r="M1862">
        <f t="shared" si="145"/>
        <v>7008.6324999999988</v>
      </c>
      <c r="N1862">
        <f t="shared" si="146"/>
        <v>3638.1824999999985</v>
      </c>
      <c r="O1862" t="str">
        <f t="shared" si="147"/>
        <v>Wednesday</v>
      </c>
      <c r="P1862" t="b">
        <f t="shared" si="148"/>
        <v>0</v>
      </c>
      <c r="Q1862" t="str">
        <f t="shared" si="149"/>
        <v>February</v>
      </c>
    </row>
    <row r="1863" spans="1:17" x14ac:dyDescent="0.4">
      <c r="A1863" t="s">
        <v>2244</v>
      </c>
      <c r="B1863" s="1">
        <v>45535</v>
      </c>
      <c r="C1863" t="s">
        <v>100</v>
      </c>
      <c r="D1863" t="s">
        <v>31</v>
      </c>
      <c r="E1863" t="s">
        <v>22</v>
      </c>
      <c r="F1863" t="s">
        <v>28</v>
      </c>
      <c r="G1863">
        <v>2</v>
      </c>
      <c r="H1863">
        <v>1197.01</v>
      </c>
      <c r="I1863">
        <v>15</v>
      </c>
      <c r="J1863">
        <v>550.74</v>
      </c>
      <c r="K1863" t="s">
        <v>24</v>
      </c>
      <c r="L1863" t="s">
        <v>18</v>
      </c>
      <c r="M1863">
        <f t="shared" si="145"/>
        <v>2034.9169999999999</v>
      </c>
      <c r="N1863">
        <f t="shared" si="146"/>
        <v>933.4369999999999</v>
      </c>
      <c r="O1863" t="str">
        <f t="shared" si="147"/>
        <v>Saturday</v>
      </c>
      <c r="P1863" t="b">
        <f t="shared" si="148"/>
        <v>1</v>
      </c>
      <c r="Q1863" t="str">
        <f t="shared" si="149"/>
        <v>August</v>
      </c>
    </row>
    <row r="1864" spans="1:17" x14ac:dyDescent="0.4">
      <c r="A1864" t="s">
        <v>2245</v>
      </c>
      <c r="B1864" s="1">
        <v>45376</v>
      </c>
      <c r="C1864" t="s">
        <v>226</v>
      </c>
      <c r="D1864" t="s">
        <v>21</v>
      </c>
      <c r="E1864" t="s">
        <v>354</v>
      </c>
      <c r="F1864" t="s">
        <v>16</v>
      </c>
      <c r="G1864">
        <v>3</v>
      </c>
      <c r="H1864">
        <v>2098.56</v>
      </c>
      <c r="I1864">
        <v>20</v>
      </c>
      <c r="J1864">
        <v>951.73</v>
      </c>
      <c r="K1864" t="s">
        <v>17</v>
      </c>
      <c r="L1864" t="s">
        <v>37</v>
      </c>
      <c r="M1864">
        <f t="shared" si="145"/>
        <v>5036.5440000000008</v>
      </c>
      <c r="N1864">
        <f t="shared" si="146"/>
        <v>2181.3540000000007</v>
      </c>
      <c r="O1864" t="str">
        <f t="shared" si="147"/>
        <v>Monday</v>
      </c>
      <c r="P1864" t="b">
        <f t="shared" si="148"/>
        <v>0</v>
      </c>
      <c r="Q1864" t="str">
        <f t="shared" si="149"/>
        <v>March</v>
      </c>
    </row>
    <row r="1865" spans="1:17" x14ac:dyDescent="0.4">
      <c r="A1865" t="s">
        <v>2246</v>
      </c>
      <c r="B1865" s="1">
        <v>45456</v>
      </c>
      <c r="C1865" t="s">
        <v>35</v>
      </c>
      <c r="D1865" t="s">
        <v>46</v>
      </c>
      <c r="E1865" t="s">
        <v>1057</v>
      </c>
      <c r="F1865" t="s">
        <v>16</v>
      </c>
      <c r="G1865">
        <v>3</v>
      </c>
      <c r="H1865">
        <v>2087.37</v>
      </c>
      <c r="I1865">
        <v>20</v>
      </c>
      <c r="J1865">
        <v>920.73</v>
      </c>
      <c r="K1865" t="s">
        <v>24</v>
      </c>
      <c r="L1865" t="s">
        <v>18</v>
      </c>
      <c r="M1865">
        <f t="shared" si="145"/>
        <v>5009.6880000000001</v>
      </c>
      <c r="N1865">
        <f t="shared" si="146"/>
        <v>2247.498</v>
      </c>
      <c r="O1865" t="str">
        <f t="shared" si="147"/>
        <v>Thursday</v>
      </c>
      <c r="P1865" t="b">
        <f t="shared" si="148"/>
        <v>0</v>
      </c>
      <c r="Q1865" t="str">
        <f t="shared" si="149"/>
        <v>June</v>
      </c>
    </row>
    <row r="1866" spans="1:17" x14ac:dyDescent="0.4">
      <c r="A1866" t="s">
        <v>2247</v>
      </c>
      <c r="B1866" s="1">
        <v>45596</v>
      </c>
      <c r="C1866" t="s">
        <v>65</v>
      </c>
      <c r="D1866" t="s">
        <v>21</v>
      </c>
      <c r="E1866" t="s">
        <v>458</v>
      </c>
      <c r="F1866" t="s">
        <v>28</v>
      </c>
      <c r="G1866">
        <v>1</v>
      </c>
      <c r="H1866">
        <v>784.86</v>
      </c>
      <c r="I1866">
        <v>20</v>
      </c>
      <c r="J1866">
        <v>322.16000000000003</v>
      </c>
      <c r="K1866" t="s">
        <v>17</v>
      </c>
      <c r="L1866" t="s">
        <v>37</v>
      </c>
      <c r="M1866">
        <f t="shared" si="145"/>
        <v>627.88800000000003</v>
      </c>
      <c r="N1866">
        <f t="shared" si="146"/>
        <v>305.72800000000001</v>
      </c>
      <c r="O1866" t="str">
        <f t="shared" si="147"/>
        <v>Thursday</v>
      </c>
      <c r="P1866" t="b">
        <f t="shared" si="148"/>
        <v>0</v>
      </c>
      <c r="Q1866" t="str">
        <f t="shared" si="149"/>
        <v>October</v>
      </c>
    </row>
    <row r="1867" spans="1:17" x14ac:dyDescent="0.4">
      <c r="A1867" t="s">
        <v>2248</v>
      </c>
      <c r="B1867" s="1">
        <v>45875</v>
      </c>
      <c r="C1867" t="s">
        <v>20</v>
      </c>
      <c r="D1867" t="s">
        <v>31</v>
      </c>
      <c r="E1867" t="s">
        <v>1118</v>
      </c>
      <c r="F1867" t="s">
        <v>28</v>
      </c>
      <c r="G1867">
        <v>1</v>
      </c>
      <c r="H1867">
        <v>2067.81</v>
      </c>
      <c r="I1867">
        <v>20</v>
      </c>
      <c r="J1867">
        <v>1029.8399999999999</v>
      </c>
      <c r="K1867" t="s">
        <v>24</v>
      </c>
      <c r="L1867" t="s">
        <v>18</v>
      </c>
      <c r="M1867">
        <f t="shared" si="145"/>
        <v>1654.248</v>
      </c>
      <c r="N1867">
        <f t="shared" si="146"/>
        <v>624.40800000000013</v>
      </c>
      <c r="O1867" t="str">
        <f t="shared" si="147"/>
        <v>Wednesday</v>
      </c>
      <c r="P1867" t="b">
        <f t="shared" si="148"/>
        <v>0</v>
      </c>
      <c r="Q1867" t="str">
        <f t="shared" si="149"/>
        <v>August</v>
      </c>
    </row>
    <row r="1868" spans="1:17" x14ac:dyDescent="0.4">
      <c r="A1868" t="s">
        <v>2249</v>
      </c>
      <c r="B1868" s="1">
        <v>45906</v>
      </c>
      <c r="C1868" t="s">
        <v>114</v>
      </c>
      <c r="D1868" t="s">
        <v>31</v>
      </c>
      <c r="E1868" t="s">
        <v>289</v>
      </c>
      <c r="F1868" t="s">
        <v>28</v>
      </c>
      <c r="G1868">
        <v>5</v>
      </c>
      <c r="H1868">
        <v>380.36</v>
      </c>
      <c r="I1868">
        <v>0</v>
      </c>
      <c r="J1868">
        <v>171.14</v>
      </c>
      <c r="K1868" t="s">
        <v>24</v>
      </c>
      <c r="L1868" t="s">
        <v>18</v>
      </c>
      <c r="M1868">
        <f t="shared" si="145"/>
        <v>1901.8000000000002</v>
      </c>
      <c r="N1868">
        <f t="shared" si="146"/>
        <v>1046.1000000000004</v>
      </c>
      <c r="O1868" t="str">
        <f t="shared" si="147"/>
        <v>Saturday</v>
      </c>
      <c r="P1868" t="b">
        <f t="shared" si="148"/>
        <v>1</v>
      </c>
      <c r="Q1868" t="str">
        <f t="shared" si="149"/>
        <v>September</v>
      </c>
    </row>
    <row r="1869" spans="1:17" x14ac:dyDescent="0.4">
      <c r="A1869" t="s">
        <v>2250</v>
      </c>
      <c r="B1869" s="1">
        <v>45522</v>
      </c>
      <c r="C1869" t="s">
        <v>35</v>
      </c>
      <c r="D1869" t="s">
        <v>21</v>
      </c>
      <c r="E1869" t="s">
        <v>82</v>
      </c>
      <c r="F1869" t="s">
        <v>16</v>
      </c>
      <c r="G1869">
        <v>5</v>
      </c>
      <c r="H1869">
        <v>2781.63</v>
      </c>
      <c r="I1869">
        <v>0</v>
      </c>
      <c r="J1869">
        <v>1187.54</v>
      </c>
      <c r="K1869" t="s">
        <v>24</v>
      </c>
      <c r="L1869" t="s">
        <v>37</v>
      </c>
      <c r="M1869">
        <f t="shared" si="145"/>
        <v>13908.150000000001</v>
      </c>
      <c r="N1869">
        <f t="shared" si="146"/>
        <v>7970.4500000000016</v>
      </c>
      <c r="O1869" t="str">
        <f t="shared" si="147"/>
        <v>Sunday</v>
      </c>
      <c r="P1869" t="b">
        <f t="shared" si="148"/>
        <v>1</v>
      </c>
      <c r="Q1869" t="str">
        <f t="shared" si="149"/>
        <v>August</v>
      </c>
    </row>
    <row r="1870" spans="1:17" x14ac:dyDescent="0.4">
      <c r="A1870" t="s">
        <v>2251</v>
      </c>
      <c r="B1870" s="1">
        <v>45530</v>
      </c>
      <c r="C1870" t="s">
        <v>98</v>
      </c>
      <c r="D1870" t="s">
        <v>14</v>
      </c>
      <c r="E1870" t="s">
        <v>900</v>
      </c>
      <c r="F1870" t="s">
        <v>28</v>
      </c>
      <c r="G1870">
        <v>1</v>
      </c>
      <c r="H1870">
        <v>1820.01</v>
      </c>
      <c r="I1870">
        <v>5</v>
      </c>
      <c r="J1870">
        <v>972.66</v>
      </c>
      <c r="K1870" t="s">
        <v>17</v>
      </c>
      <c r="L1870" t="s">
        <v>33</v>
      </c>
      <c r="M1870">
        <f t="shared" si="145"/>
        <v>1729.0094999999999</v>
      </c>
      <c r="N1870">
        <f t="shared" si="146"/>
        <v>756.34949999999992</v>
      </c>
      <c r="O1870" t="str">
        <f t="shared" si="147"/>
        <v>Monday</v>
      </c>
      <c r="P1870" t="b">
        <f t="shared" si="148"/>
        <v>0</v>
      </c>
      <c r="Q1870" t="str">
        <f t="shared" si="149"/>
        <v>August</v>
      </c>
    </row>
    <row r="1871" spans="1:17" x14ac:dyDescent="0.4">
      <c r="A1871" t="s">
        <v>2252</v>
      </c>
      <c r="B1871" s="1">
        <v>45881</v>
      </c>
      <c r="C1871" t="s">
        <v>149</v>
      </c>
      <c r="D1871" t="s">
        <v>31</v>
      </c>
      <c r="E1871" t="s">
        <v>208</v>
      </c>
      <c r="F1871" t="s">
        <v>28</v>
      </c>
      <c r="G1871">
        <v>1</v>
      </c>
      <c r="H1871">
        <v>1884.37</v>
      </c>
      <c r="I1871">
        <v>10</v>
      </c>
      <c r="J1871">
        <v>1147.78</v>
      </c>
      <c r="K1871" t="s">
        <v>17</v>
      </c>
      <c r="L1871" t="s">
        <v>37</v>
      </c>
      <c r="M1871">
        <f t="shared" si="145"/>
        <v>1695.933</v>
      </c>
      <c r="N1871">
        <f t="shared" si="146"/>
        <v>548.15300000000002</v>
      </c>
      <c r="O1871" t="str">
        <f t="shared" si="147"/>
        <v>Tuesday</v>
      </c>
      <c r="P1871" t="b">
        <f t="shared" si="148"/>
        <v>0</v>
      </c>
      <c r="Q1871" t="str">
        <f t="shared" si="149"/>
        <v>August</v>
      </c>
    </row>
    <row r="1872" spans="1:17" x14ac:dyDescent="0.4">
      <c r="A1872" t="s">
        <v>2253</v>
      </c>
      <c r="B1872" s="1">
        <v>45583</v>
      </c>
      <c r="C1872" t="s">
        <v>241</v>
      </c>
      <c r="D1872" t="s">
        <v>14</v>
      </c>
      <c r="E1872" t="s">
        <v>317</v>
      </c>
      <c r="F1872" t="s">
        <v>16</v>
      </c>
      <c r="G1872">
        <v>4</v>
      </c>
      <c r="H1872">
        <v>649.19000000000005</v>
      </c>
      <c r="I1872">
        <v>15</v>
      </c>
      <c r="J1872">
        <v>264.75</v>
      </c>
      <c r="K1872" t="s">
        <v>17</v>
      </c>
      <c r="L1872" t="s">
        <v>18</v>
      </c>
      <c r="M1872">
        <f t="shared" si="145"/>
        <v>2207.2460000000001</v>
      </c>
      <c r="N1872">
        <f t="shared" si="146"/>
        <v>1148.2460000000001</v>
      </c>
      <c r="O1872" t="str">
        <f t="shared" si="147"/>
        <v>Friday</v>
      </c>
      <c r="P1872" t="b">
        <f t="shared" si="148"/>
        <v>0</v>
      </c>
      <c r="Q1872" t="str">
        <f t="shared" si="149"/>
        <v>October</v>
      </c>
    </row>
    <row r="1873" spans="1:17" x14ac:dyDescent="0.4">
      <c r="A1873" t="s">
        <v>2254</v>
      </c>
      <c r="B1873" s="1">
        <v>45880</v>
      </c>
      <c r="C1873" t="s">
        <v>149</v>
      </c>
      <c r="D1873" t="s">
        <v>21</v>
      </c>
      <c r="E1873" t="s">
        <v>432</v>
      </c>
      <c r="F1873" t="s">
        <v>16</v>
      </c>
      <c r="G1873">
        <v>5</v>
      </c>
      <c r="H1873">
        <v>1188.6400000000001</v>
      </c>
      <c r="I1873">
        <v>0</v>
      </c>
      <c r="J1873">
        <v>553.94000000000005</v>
      </c>
      <c r="K1873" t="s">
        <v>17</v>
      </c>
      <c r="L1873" t="s">
        <v>37</v>
      </c>
      <c r="M1873">
        <f t="shared" si="145"/>
        <v>5943.2000000000007</v>
      </c>
      <c r="N1873">
        <f t="shared" si="146"/>
        <v>3173.5000000000005</v>
      </c>
      <c r="O1873" t="str">
        <f t="shared" si="147"/>
        <v>Monday</v>
      </c>
      <c r="P1873" t="b">
        <f t="shared" si="148"/>
        <v>0</v>
      </c>
      <c r="Q1873" t="str">
        <f t="shared" si="149"/>
        <v>August</v>
      </c>
    </row>
    <row r="1874" spans="1:17" x14ac:dyDescent="0.4">
      <c r="A1874" t="s">
        <v>2255</v>
      </c>
      <c r="B1874" s="1">
        <v>45480</v>
      </c>
      <c r="C1874" t="s">
        <v>296</v>
      </c>
      <c r="D1874" t="s">
        <v>46</v>
      </c>
      <c r="E1874" t="s">
        <v>137</v>
      </c>
      <c r="F1874" t="s">
        <v>23</v>
      </c>
      <c r="G1874">
        <v>3</v>
      </c>
      <c r="H1874">
        <v>2520.34</v>
      </c>
      <c r="I1874">
        <v>25</v>
      </c>
      <c r="J1874">
        <v>1360.68</v>
      </c>
      <c r="K1874" t="s">
        <v>17</v>
      </c>
      <c r="L1874" t="s">
        <v>33</v>
      </c>
      <c r="M1874">
        <f t="shared" si="145"/>
        <v>5670.7650000000003</v>
      </c>
      <c r="N1874">
        <f t="shared" si="146"/>
        <v>1588.7250000000004</v>
      </c>
      <c r="O1874" t="str">
        <f t="shared" si="147"/>
        <v>Sunday</v>
      </c>
      <c r="P1874" t="b">
        <f t="shared" si="148"/>
        <v>1</v>
      </c>
      <c r="Q1874" t="str">
        <f t="shared" si="149"/>
        <v>July</v>
      </c>
    </row>
    <row r="1875" spans="1:17" x14ac:dyDescent="0.4">
      <c r="A1875" t="s">
        <v>2256</v>
      </c>
      <c r="B1875" s="1">
        <v>45861</v>
      </c>
      <c r="C1875" t="s">
        <v>62</v>
      </c>
      <c r="D1875" t="s">
        <v>14</v>
      </c>
      <c r="E1875" t="s">
        <v>328</v>
      </c>
      <c r="F1875" t="s">
        <v>16</v>
      </c>
      <c r="G1875">
        <v>4</v>
      </c>
      <c r="H1875">
        <v>2654.19</v>
      </c>
      <c r="I1875">
        <v>30</v>
      </c>
      <c r="J1875">
        <v>1291.6199999999999</v>
      </c>
      <c r="K1875" t="s">
        <v>17</v>
      </c>
      <c r="L1875" t="s">
        <v>33</v>
      </c>
      <c r="M1875">
        <f t="shared" si="145"/>
        <v>7431.732</v>
      </c>
      <c r="N1875">
        <f t="shared" si="146"/>
        <v>2265.2520000000004</v>
      </c>
      <c r="O1875" t="str">
        <f t="shared" si="147"/>
        <v>Wednesday</v>
      </c>
      <c r="P1875" t="b">
        <f t="shared" si="148"/>
        <v>0</v>
      </c>
      <c r="Q1875" t="str">
        <f t="shared" si="149"/>
        <v>July</v>
      </c>
    </row>
    <row r="1876" spans="1:17" x14ac:dyDescent="0.4">
      <c r="A1876" t="s">
        <v>2257</v>
      </c>
      <c r="B1876" s="1">
        <v>45708</v>
      </c>
      <c r="C1876" t="s">
        <v>51</v>
      </c>
      <c r="D1876" t="s">
        <v>14</v>
      </c>
      <c r="E1876" t="s">
        <v>256</v>
      </c>
      <c r="F1876" t="s">
        <v>28</v>
      </c>
      <c r="G1876">
        <v>3</v>
      </c>
      <c r="H1876">
        <v>461.69</v>
      </c>
      <c r="I1876">
        <v>20</v>
      </c>
      <c r="J1876">
        <v>258.61</v>
      </c>
      <c r="K1876" t="s">
        <v>17</v>
      </c>
      <c r="L1876" t="s">
        <v>18</v>
      </c>
      <c r="M1876">
        <f t="shared" si="145"/>
        <v>1108.056</v>
      </c>
      <c r="N1876">
        <f t="shared" si="146"/>
        <v>332.226</v>
      </c>
      <c r="O1876" t="str">
        <f t="shared" si="147"/>
        <v>Thursday</v>
      </c>
      <c r="P1876" t="b">
        <f t="shared" si="148"/>
        <v>0</v>
      </c>
      <c r="Q1876" t="str">
        <f t="shared" si="149"/>
        <v>February</v>
      </c>
    </row>
    <row r="1877" spans="1:17" x14ac:dyDescent="0.4">
      <c r="A1877" t="s">
        <v>2258</v>
      </c>
      <c r="B1877" s="1">
        <v>45597</v>
      </c>
      <c r="C1877" t="s">
        <v>251</v>
      </c>
      <c r="D1877" t="s">
        <v>21</v>
      </c>
      <c r="E1877" t="s">
        <v>760</v>
      </c>
      <c r="F1877" t="s">
        <v>28</v>
      </c>
      <c r="G1877">
        <v>4</v>
      </c>
      <c r="H1877">
        <v>1296.54</v>
      </c>
      <c r="I1877">
        <v>25</v>
      </c>
      <c r="J1877">
        <v>602.66</v>
      </c>
      <c r="K1877" t="s">
        <v>24</v>
      </c>
      <c r="L1877" t="s">
        <v>18</v>
      </c>
      <c r="M1877">
        <f t="shared" si="145"/>
        <v>3889.62</v>
      </c>
      <c r="N1877">
        <f t="shared" si="146"/>
        <v>1478.98</v>
      </c>
      <c r="O1877" t="str">
        <f t="shared" si="147"/>
        <v>Friday</v>
      </c>
      <c r="P1877" t="b">
        <f t="shared" si="148"/>
        <v>0</v>
      </c>
      <c r="Q1877" t="str">
        <f t="shared" si="149"/>
        <v>November</v>
      </c>
    </row>
    <row r="1878" spans="1:17" x14ac:dyDescent="0.4">
      <c r="A1878" t="s">
        <v>2259</v>
      </c>
      <c r="B1878" s="1">
        <v>45523</v>
      </c>
      <c r="C1878" t="s">
        <v>182</v>
      </c>
      <c r="D1878" t="s">
        <v>46</v>
      </c>
      <c r="E1878" t="s">
        <v>589</v>
      </c>
      <c r="F1878" t="s">
        <v>23</v>
      </c>
      <c r="G1878">
        <v>1</v>
      </c>
      <c r="H1878">
        <v>2717.67</v>
      </c>
      <c r="I1878">
        <v>30</v>
      </c>
      <c r="J1878">
        <v>1570.53</v>
      </c>
      <c r="K1878" t="s">
        <v>24</v>
      </c>
      <c r="L1878" t="s">
        <v>37</v>
      </c>
      <c r="M1878">
        <f t="shared" si="145"/>
        <v>1902.3689999999999</v>
      </c>
      <c r="N1878">
        <f t="shared" si="146"/>
        <v>331.83899999999994</v>
      </c>
      <c r="O1878" t="str">
        <f t="shared" si="147"/>
        <v>Monday</v>
      </c>
      <c r="P1878" t="b">
        <f t="shared" si="148"/>
        <v>0</v>
      </c>
      <c r="Q1878" t="str">
        <f t="shared" si="149"/>
        <v>August</v>
      </c>
    </row>
    <row r="1879" spans="1:17" x14ac:dyDescent="0.4">
      <c r="A1879" t="s">
        <v>2260</v>
      </c>
      <c r="B1879" s="1">
        <v>45475</v>
      </c>
      <c r="C1879" t="s">
        <v>114</v>
      </c>
      <c r="D1879" t="s">
        <v>31</v>
      </c>
      <c r="E1879" t="s">
        <v>340</v>
      </c>
      <c r="F1879" t="s">
        <v>16</v>
      </c>
      <c r="G1879">
        <v>2</v>
      </c>
      <c r="H1879">
        <v>1804.67</v>
      </c>
      <c r="I1879">
        <v>30</v>
      </c>
      <c r="J1879">
        <v>1135.0899999999999</v>
      </c>
      <c r="K1879" t="s">
        <v>24</v>
      </c>
      <c r="L1879" t="s">
        <v>18</v>
      </c>
      <c r="M1879">
        <f t="shared" si="145"/>
        <v>2526.538</v>
      </c>
      <c r="N1879">
        <f t="shared" si="146"/>
        <v>256.35800000000017</v>
      </c>
      <c r="O1879" t="str">
        <f t="shared" si="147"/>
        <v>Tuesday</v>
      </c>
      <c r="P1879" t="b">
        <f t="shared" si="148"/>
        <v>0</v>
      </c>
      <c r="Q1879" t="str">
        <f t="shared" si="149"/>
        <v>July</v>
      </c>
    </row>
    <row r="1880" spans="1:17" x14ac:dyDescent="0.4">
      <c r="A1880" t="s">
        <v>2261</v>
      </c>
      <c r="B1880" s="1">
        <v>45357</v>
      </c>
      <c r="C1880" t="s">
        <v>45</v>
      </c>
      <c r="D1880" t="s">
        <v>21</v>
      </c>
      <c r="E1880" t="s">
        <v>1264</v>
      </c>
      <c r="F1880" t="s">
        <v>23</v>
      </c>
      <c r="G1880">
        <v>3</v>
      </c>
      <c r="H1880">
        <v>1760.02</v>
      </c>
      <c r="I1880">
        <v>10</v>
      </c>
      <c r="J1880">
        <v>1170.3699999999999</v>
      </c>
      <c r="K1880" t="s">
        <v>24</v>
      </c>
      <c r="L1880" t="s">
        <v>33</v>
      </c>
      <c r="M1880">
        <f t="shared" si="145"/>
        <v>4752.0540000000001</v>
      </c>
      <c r="N1880">
        <f t="shared" si="146"/>
        <v>1240.9440000000004</v>
      </c>
      <c r="O1880" t="str">
        <f t="shared" si="147"/>
        <v>Wednesday</v>
      </c>
      <c r="P1880" t="b">
        <f t="shared" si="148"/>
        <v>0</v>
      </c>
      <c r="Q1880" t="str">
        <f t="shared" si="149"/>
        <v>March</v>
      </c>
    </row>
    <row r="1881" spans="1:17" x14ac:dyDescent="0.4">
      <c r="A1881" t="s">
        <v>2262</v>
      </c>
      <c r="B1881" s="1">
        <v>45359</v>
      </c>
      <c r="C1881" t="s">
        <v>253</v>
      </c>
      <c r="D1881" t="s">
        <v>31</v>
      </c>
      <c r="E1881" t="s">
        <v>766</v>
      </c>
      <c r="F1881" t="s">
        <v>28</v>
      </c>
      <c r="G1881">
        <v>5</v>
      </c>
      <c r="H1881">
        <v>701.03</v>
      </c>
      <c r="I1881">
        <v>0</v>
      </c>
      <c r="J1881">
        <v>419.84</v>
      </c>
      <c r="K1881" t="s">
        <v>17</v>
      </c>
      <c r="L1881" t="s">
        <v>33</v>
      </c>
      <c r="M1881">
        <f t="shared" si="145"/>
        <v>3505.1499999999996</v>
      </c>
      <c r="N1881">
        <f t="shared" si="146"/>
        <v>1405.9499999999998</v>
      </c>
      <c r="O1881" t="str">
        <f t="shared" si="147"/>
        <v>Friday</v>
      </c>
      <c r="P1881" t="b">
        <f t="shared" si="148"/>
        <v>0</v>
      </c>
      <c r="Q1881" t="str">
        <f t="shared" si="149"/>
        <v>March</v>
      </c>
    </row>
    <row r="1882" spans="1:17" x14ac:dyDescent="0.4">
      <c r="A1882" t="s">
        <v>2263</v>
      </c>
      <c r="B1882" s="1">
        <v>45623</v>
      </c>
      <c r="C1882" t="s">
        <v>51</v>
      </c>
      <c r="D1882" t="s">
        <v>14</v>
      </c>
      <c r="E1882" t="s">
        <v>596</v>
      </c>
      <c r="F1882" t="s">
        <v>23</v>
      </c>
      <c r="G1882">
        <v>4</v>
      </c>
      <c r="H1882">
        <v>2219.17</v>
      </c>
      <c r="I1882">
        <v>10</v>
      </c>
      <c r="J1882">
        <v>1344.25</v>
      </c>
      <c r="K1882" t="s">
        <v>24</v>
      </c>
      <c r="L1882" t="s">
        <v>37</v>
      </c>
      <c r="M1882">
        <f t="shared" si="145"/>
        <v>7989.0120000000006</v>
      </c>
      <c r="N1882">
        <f t="shared" si="146"/>
        <v>2612.0120000000006</v>
      </c>
      <c r="O1882" t="str">
        <f t="shared" si="147"/>
        <v>Wednesday</v>
      </c>
      <c r="P1882" t="b">
        <f t="shared" si="148"/>
        <v>0</v>
      </c>
      <c r="Q1882" t="str">
        <f t="shared" si="149"/>
        <v>November</v>
      </c>
    </row>
    <row r="1883" spans="1:17" x14ac:dyDescent="0.4">
      <c r="A1883" t="s">
        <v>2264</v>
      </c>
      <c r="B1883" s="1">
        <v>45699</v>
      </c>
      <c r="C1883" t="s">
        <v>269</v>
      </c>
      <c r="D1883" t="s">
        <v>46</v>
      </c>
      <c r="E1883" t="s">
        <v>231</v>
      </c>
      <c r="F1883" t="s">
        <v>23</v>
      </c>
      <c r="G1883">
        <v>4</v>
      </c>
      <c r="H1883">
        <v>1428.32</v>
      </c>
      <c r="I1883">
        <v>15</v>
      </c>
      <c r="J1883">
        <v>815.19</v>
      </c>
      <c r="K1883" t="s">
        <v>17</v>
      </c>
      <c r="L1883" t="s">
        <v>18</v>
      </c>
      <c r="M1883">
        <f t="shared" si="145"/>
        <v>4856.2879999999996</v>
      </c>
      <c r="N1883">
        <f t="shared" si="146"/>
        <v>1595.5279999999993</v>
      </c>
      <c r="O1883" t="str">
        <f t="shared" si="147"/>
        <v>Tuesday</v>
      </c>
      <c r="P1883" t="b">
        <f t="shared" si="148"/>
        <v>0</v>
      </c>
      <c r="Q1883" t="str">
        <f t="shared" si="149"/>
        <v>February</v>
      </c>
    </row>
    <row r="1884" spans="1:17" x14ac:dyDescent="0.4">
      <c r="A1884" t="s">
        <v>2265</v>
      </c>
      <c r="B1884" s="1">
        <v>45298</v>
      </c>
      <c r="C1884" t="s">
        <v>152</v>
      </c>
      <c r="D1884" t="s">
        <v>31</v>
      </c>
      <c r="E1884" t="s">
        <v>435</v>
      </c>
      <c r="F1884" t="s">
        <v>23</v>
      </c>
      <c r="G1884">
        <v>2</v>
      </c>
      <c r="H1884">
        <v>1628.32</v>
      </c>
      <c r="I1884">
        <v>10</v>
      </c>
      <c r="J1884">
        <v>1067.75</v>
      </c>
      <c r="K1884" t="s">
        <v>24</v>
      </c>
      <c r="L1884" t="s">
        <v>18</v>
      </c>
      <c r="M1884">
        <f t="shared" si="145"/>
        <v>2930.9760000000001</v>
      </c>
      <c r="N1884">
        <f t="shared" si="146"/>
        <v>795.47600000000011</v>
      </c>
      <c r="O1884" t="str">
        <f t="shared" si="147"/>
        <v>Sunday</v>
      </c>
      <c r="P1884" t="b">
        <f t="shared" si="148"/>
        <v>1</v>
      </c>
      <c r="Q1884" t="str">
        <f t="shared" si="149"/>
        <v>January</v>
      </c>
    </row>
    <row r="1885" spans="1:17" x14ac:dyDescent="0.4">
      <c r="A1885" t="s">
        <v>2266</v>
      </c>
      <c r="B1885" s="1">
        <v>45819</v>
      </c>
      <c r="C1885" t="s">
        <v>296</v>
      </c>
      <c r="D1885" t="s">
        <v>31</v>
      </c>
      <c r="E1885" t="s">
        <v>493</v>
      </c>
      <c r="F1885" t="s">
        <v>16</v>
      </c>
      <c r="G1885">
        <v>1</v>
      </c>
      <c r="H1885">
        <v>2120.7399999999998</v>
      </c>
      <c r="I1885">
        <v>25</v>
      </c>
      <c r="J1885">
        <v>1243.73</v>
      </c>
      <c r="K1885" t="s">
        <v>24</v>
      </c>
      <c r="L1885" t="s">
        <v>37</v>
      </c>
      <c r="M1885">
        <f t="shared" si="145"/>
        <v>1590.5549999999998</v>
      </c>
      <c r="N1885">
        <f t="shared" si="146"/>
        <v>346.82499999999982</v>
      </c>
      <c r="O1885" t="str">
        <f t="shared" si="147"/>
        <v>Wednesday</v>
      </c>
      <c r="P1885" t="b">
        <f t="shared" si="148"/>
        <v>0</v>
      </c>
      <c r="Q1885" t="str">
        <f t="shared" si="149"/>
        <v>June</v>
      </c>
    </row>
    <row r="1886" spans="1:17" x14ac:dyDescent="0.4">
      <c r="A1886" t="s">
        <v>2267</v>
      </c>
      <c r="B1886" s="1">
        <v>45952</v>
      </c>
      <c r="C1886" t="s">
        <v>125</v>
      </c>
      <c r="D1886" t="s">
        <v>31</v>
      </c>
      <c r="E1886" t="s">
        <v>282</v>
      </c>
      <c r="F1886" t="s">
        <v>28</v>
      </c>
      <c r="G1886">
        <v>1</v>
      </c>
      <c r="H1886">
        <v>843.97</v>
      </c>
      <c r="I1886">
        <v>25</v>
      </c>
      <c r="J1886">
        <v>562.29999999999995</v>
      </c>
      <c r="K1886" t="s">
        <v>24</v>
      </c>
      <c r="L1886" t="s">
        <v>18</v>
      </c>
      <c r="M1886">
        <f t="shared" si="145"/>
        <v>632.97749999999996</v>
      </c>
      <c r="N1886">
        <f t="shared" si="146"/>
        <v>70.677500000000009</v>
      </c>
      <c r="O1886" t="str">
        <f t="shared" si="147"/>
        <v>Wednesday</v>
      </c>
      <c r="P1886" t="b">
        <f t="shared" si="148"/>
        <v>0</v>
      </c>
      <c r="Q1886" t="str">
        <f t="shared" si="149"/>
        <v>October</v>
      </c>
    </row>
    <row r="1887" spans="1:17" x14ac:dyDescent="0.4">
      <c r="A1887" t="s">
        <v>2268</v>
      </c>
      <c r="B1887" s="1">
        <v>45327</v>
      </c>
      <c r="C1887" t="s">
        <v>309</v>
      </c>
      <c r="D1887" t="s">
        <v>14</v>
      </c>
      <c r="E1887" t="s">
        <v>665</v>
      </c>
      <c r="F1887" t="s">
        <v>16</v>
      </c>
      <c r="G1887">
        <v>1</v>
      </c>
      <c r="H1887">
        <v>1457.41</v>
      </c>
      <c r="I1887">
        <v>20</v>
      </c>
      <c r="J1887">
        <v>821.11</v>
      </c>
      <c r="K1887" t="s">
        <v>17</v>
      </c>
      <c r="L1887" t="s">
        <v>37</v>
      </c>
      <c r="M1887">
        <f t="shared" si="145"/>
        <v>1165.9280000000001</v>
      </c>
      <c r="N1887">
        <f t="shared" si="146"/>
        <v>344.8180000000001</v>
      </c>
      <c r="O1887" t="str">
        <f t="shared" si="147"/>
        <v>Monday</v>
      </c>
      <c r="P1887" t="b">
        <f t="shared" si="148"/>
        <v>0</v>
      </c>
      <c r="Q1887" t="str">
        <f t="shared" si="149"/>
        <v>February</v>
      </c>
    </row>
    <row r="1888" spans="1:17" x14ac:dyDescent="0.4">
      <c r="A1888" t="s">
        <v>2269</v>
      </c>
      <c r="B1888" s="1">
        <v>45368</v>
      </c>
      <c r="C1888" t="s">
        <v>269</v>
      </c>
      <c r="D1888" t="s">
        <v>14</v>
      </c>
      <c r="E1888" t="s">
        <v>80</v>
      </c>
      <c r="F1888" t="s">
        <v>23</v>
      </c>
      <c r="G1888">
        <v>2</v>
      </c>
      <c r="H1888">
        <v>2110.6999999999998</v>
      </c>
      <c r="I1888">
        <v>10</v>
      </c>
      <c r="J1888">
        <v>1032.93</v>
      </c>
      <c r="K1888" t="s">
        <v>24</v>
      </c>
      <c r="L1888" t="s">
        <v>37</v>
      </c>
      <c r="M1888">
        <f t="shared" si="145"/>
        <v>3799.2599999999998</v>
      </c>
      <c r="N1888">
        <f t="shared" si="146"/>
        <v>1733.3999999999996</v>
      </c>
      <c r="O1888" t="str">
        <f t="shared" si="147"/>
        <v>Sunday</v>
      </c>
      <c r="P1888" t="b">
        <f t="shared" si="148"/>
        <v>1</v>
      </c>
      <c r="Q1888" t="str">
        <f t="shared" si="149"/>
        <v>March</v>
      </c>
    </row>
    <row r="1889" spans="1:17" x14ac:dyDescent="0.4">
      <c r="A1889" t="s">
        <v>2270</v>
      </c>
      <c r="B1889" s="1">
        <v>45915</v>
      </c>
      <c r="C1889" t="s">
        <v>122</v>
      </c>
      <c r="D1889" t="s">
        <v>31</v>
      </c>
      <c r="E1889" t="s">
        <v>188</v>
      </c>
      <c r="F1889" t="s">
        <v>16</v>
      </c>
      <c r="G1889">
        <v>2</v>
      </c>
      <c r="H1889">
        <v>1062.74</v>
      </c>
      <c r="I1889">
        <v>15</v>
      </c>
      <c r="J1889">
        <v>656.23</v>
      </c>
      <c r="K1889" t="s">
        <v>24</v>
      </c>
      <c r="L1889" t="s">
        <v>18</v>
      </c>
      <c r="M1889">
        <f t="shared" si="145"/>
        <v>1806.6579999999999</v>
      </c>
      <c r="N1889">
        <f t="shared" si="146"/>
        <v>494.19799999999987</v>
      </c>
      <c r="O1889" t="str">
        <f t="shared" si="147"/>
        <v>Monday</v>
      </c>
      <c r="P1889" t="b">
        <f t="shared" si="148"/>
        <v>0</v>
      </c>
      <c r="Q1889" t="str">
        <f t="shared" si="149"/>
        <v>September</v>
      </c>
    </row>
    <row r="1890" spans="1:17" x14ac:dyDescent="0.4">
      <c r="A1890" t="s">
        <v>2271</v>
      </c>
      <c r="B1890" s="1">
        <v>45409</v>
      </c>
      <c r="C1890" t="s">
        <v>457</v>
      </c>
      <c r="D1890" t="s">
        <v>31</v>
      </c>
      <c r="E1890" t="s">
        <v>837</v>
      </c>
      <c r="F1890" t="s">
        <v>23</v>
      </c>
      <c r="G1890">
        <v>1</v>
      </c>
      <c r="H1890">
        <v>1842.54</v>
      </c>
      <c r="I1890">
        <v>15</v>
      </c>
      <c r="J1890">
        <v>845.58</v>
      </c>
      <c r="K1890" t="s">
        <v>17</v>
      </c>
      <c r="L1890" t="s">
        <v>33</v>
      </c>
      <c r="M1890">
        <f t="shared" si="145"/>
        <v>1566.1589999999999</v>
      </c>
      <c r="N1890">
        <f t="shared" si="146"/>
        <v>720.57899999999984</v>
      </c>
      <c r="O1890" t="str">
        <f t="shared" si="147"/>
        <v>Saturday</v>
      </c>
      <c r="P1890" t="b">
        <f t="shared" si="148"/>
        <v>1</v>
      </c>
      <c r="Q1890" t="str">
        <f t="shared" si="149"/>
        <v>April</v>
      </c>
    </row>
    <row r="1891" spans="1:17" x14ac:dyDescent="0.4">
      <c r="A1891" t="s">
        <v>2272</v>
      </c>
      <c r="B1891" s="1">
        <v>45353</v>
      </c>
      <c r="C1891" t="s">
        <v>253</v>
      </c>
      <c r="D1891" t="s">
        <v>14</v>
      </c>
      <c r="E1891" t="s">
        <v>900</v>
      </c>
      <c r="F1891" t="s">
        <v>28</v>
      </c>
      <c r="G1891">
        <v>5</v>
      </c>
      <c r="H1891">
        <v>1022.79</v>
      </c>
      <c r="I1891">
        <v>20</v>
      </c>
      <c r="J1891">
        <v>647.23</v>
      </c>
      <c r="K1891" t="s">
        <v>17</v>
      </c>
      <c r="L1891" t="s">
        <v>37</v>
      </c>
      <c r="M1891">
        <f t="shared" si="145"/>
        <v>4091.16</v>
      </c>
      <c r="N1891">
        <f t="shared" si="146"/>
        <v>855.00999999999976</v>
      </c>
      <c r="O1891" t="str">
        <f t="shared" si="147"/>
        <v>Saturday</v>
      </c>
      <c r="P1891" t="b">
        <f t="shared" si="148"/>
        <v>1</v>
      </c>
      <c r="Q1891" t="str">
        <f t="shared" si="149"/>
        <v>March</v>
      </c>
    </row>
    <row r="1892" spans="1:17" x14ac:dyDescent="0.4">
      <c r="A1892" t="s">
        <v>2273</v>
      </c>
      <c r="B1892" s="1">
        <v>45847</v>
      </c>
      <c r="C1892" t="s">
        <v>109</v>
      </c>
      <c r="D1892" t="s">
        <v>21</v>
      </c>
      <c r="E1892" t="s">
        <v>307</v>
      </c>
      <c r="F1892" t="s">
        <v>23</v>
      </c>
      <c r="G1892">
        <v>4</v>
      </c>
      <c r="H1892">
        <v>1134.32</v>
      </c>
      <c r="I1892">
        <v>20</v>
      </c>
      <c r="J1892">
        <v>711.89</v>
      </c>
      <c r="K1892" t="s">
        <v>17</v>
      </c>
      <c r="L1892" t="s">
        <v>18</v>
      </c>
      <c r="M1892">
        <f t="shared" si="145"/>
        <v>3629.8240000000001</v>
      </c>
      <c r="N1892">
        <f t="shared" si="146"/>
        <v>782.26400000000012</v>
      </c>
      <c r="O1892" t="str">
        <f t="shared" si="147"/>
        <v>Wednesday</v>
      </c>
      <c r="P1892" t="b">
        <f t="shared" si="148"/>
        <v>0</v>
      </c>
      <c r="Q1892" t="str">
        <f t="shared" si="149"/>
        <v>July</v>
      </c>
    </row>
    <row r="1893" spans="1:17" x14ac:dyDescent="0.4">
      <c r="A1893" t="s">
        <v>2274</v>
      </c>
      <c r="B1893" s="1">
        <v>45544</v>
      </c>
      <c r="C1893" t="s">
        <v>224</v>
      </c>
      <c r="D1893" t="s">
        <v>21</v>
      </c>
      <c r="E1893" t="s">
        <v>330</v>
      </c>
      <c r="F1893" t="s">
        <v>16</v>
      </c>
      <c r="G1893">
        <v>4</v>
      </c>
      <c r="H1893">
        <v>606.08000000000004</v>
      </c>
      <c r="I1893">
        <v>0</v>
      </c>
      <c r="J1893">
        <v>258.32</v>
      </c>
      <c r="K1893" t="s">
        <v>17</v>
      </c>
      <c r="L1893" t="s">
        <v>37</v>
      </c>
      <c r="M1893">
        <f t="shared" si="145"/>
        <v>2424.3200000000002</v>
      </c>
      <c r="N1893">
        <f t="shared" si="146"/>
        <v>1391.0400000000002</v>
      </c>
      <c r="O1893" t="str">
        <f t="shared" si="147"/>
        <v>Monday</v>
      </c>
      <c r="P1893" t="b">
        <f t="shared" si="148"/>
        <v>0</v>
      </c>
      <c r="Q1893" t="str">
        <f t="shared" si="149"/>
        <v>September</v>
      </c>
    </row>
    <row r="1894" spans="1:17" x14ac:dyDescent="0.4">
      <c r="A1894" t="s">
        <v>2275</v>
      </c>
      <c r="B1894" s="1">
        <v>45833</v>
      </c>
      <c r="C1894" t="s">
        <v>95</v>
      </c>
      <c r="D1894" t="s">
        <v>21</v>
      </c>
      <c r="E1894" t="s">
        <v>307</v>
      </c>
      <c r="F1894" t="s">
        <v>16</v>
      </c>
      <c r="G1894">
        <v>2</v>
      </c>
      <c r="H1894">
        <v>1887.2</v>
      </c>
      <c r="I1894">
        <v>20</v>
      </c>
      <c r="J1894">
        <v>899.94</v>
      </c>
      <c r="K1894" t="s">
        <v>24</v>
      </c>
      <c r="L1894" t="s">
        <v>18</v>
      </c>
      <c r="M1894">
        <f t="shared" si="145"/>
        <v>3019.5200000000004</v>
      </c>
      <c r="N1894">
        <f t="shared" si="146"/>
        <v>1219.6400000000003</v>
      </c>
      <c r="O1894" t="str">
        <f t="shared" si="147"/>
        <v>Wednesday</v>
      </c>
      <c r="P1894" t="b">
        <f t="shared" si="148"/>
        <v>0</v>
      </c>
      <c r="Q1894" t="str">
        <f t="shared" si="149"/>
        <v>June</v>
      </c>
    </row>
    <row r="1895" spans="1:17" x14ac:dyDescent="0.4">
      <c r="A1895" t="s">
        <v>2276</v>
      </c>
      <c r="B1895" s="1">
        <v>45771</v>
      </c>
      <c r="C1895" t="s">
        <v>51</v>
      </c>
      <c r="D1895" t="s">
        <v>21</v>
      </c>
      <c r="E1895" t="s">
        <v>537</v>
      </c>
      <c r="F1895" t="s">
        <v>28</v>
      </c>
      <c r="G1895">
        <v>3</v>
      </c>
      <c r="H1895">
        <v>1115.3499999999999</v>
      </c>
      <c r="I1895">
        <v>20</v>
      </c>
      <c r="J1895">
        <v>510.76</v>
      </c>
      <c r="K1895" t="s">
        <v>24</v>
      </c>
      <c r="L1895" t="s">
        <v>18</v>
      </c>
      <c r="M1895">
        <f t="shared" si="145"/>
        <v>2676.84</v>
      </c>
      <c r="N1895">
        <f t="shared" si="146"/>
        <v>1144.5600000000002</v>
      </c>
      <c r="O1895" t="str">
        <f t="shared" si="147"/>
        <v>Thursday</v>
      </c>
      <c r="P1895" t="b">
        <f t="shared" si="148"/>
        <v>0</v>
      </c>
      <c r="Q1895" t="str">
        <f t="shared" si="149"/>
        <v>April</v>
      </c>
    </row>
    <row r="1896" spans="1:17" x14ac:dyDescent="0.4">
      <c r="A1896" t="s">
        <v>2277</v>
      </c>
      <c r="B1896" s="1">
        <v>45633</v>
      </c>
      <c r="C1896" t="s">
        <v>152</v>
      </c>
      <c r="D1896" t="s">
        <v>31</v>
      </c>
      <c r="E1896" t="s">
        <v>186</v>
      </c>
      <c r="F1896" t="s">
        <v>28</v>
      </c>
      <c r="G1896">
        <v>2</v>
      </c>
      <c r="H1896">
        <v>2229.11</v>
      </c>
      <c r="I1896">
        <v>25</v>
      </c>
      <c r="J1896">
        <v>1002.58</v>
      </c>
      <c r="K1896" t="s">
        <v>17</v>
      </c>
      <c r="L1896" t="s">
        <v>33</v>
      </c>
      <c r="M1896">
        <f t="shared" si="145"/>
        <v>3343.665</v>
      </c>
      <c r="N1896">
        <f t="shared" si="146"/>
        <v>1338.5049999999999</v>
      </c>
      <c r="O1896" t="str">
        <f t="shared" si="147"/>
        <v>Saturday</v>
      </c>
      <c r="P1896" t="b">
        <f t="shared" si="148"/>
        <v>1</v>
      </c>
      <c r="Q1896" t="str">
        <f t="shared" si="149"/>
        <v>December</v>
      </c>
    </row>
    <row r="1897" spans="1:17" x14ac:dyDescent="0.4">
      <c r="A1897" t="s">
        <v>2278</v>
      </c>
      <c r="B1897" s="1">
        <v>45926</v>
      </c>
      <c r="C1897" t="s">
        <v>171</v>
      </c>
      <c r="D1897" t="s">
        <v>46</v>
      </c>
      <c r="E1897" t="s">
        <v>454</v>
      </c>
      <c r="F1897" t="s">
        <v>16</v>
      </c>
      <c r="G1897">
        <v>2</v>
      </c>
      <c r="H1897">
        <v>955.94</v>
      </c>
      <c r="I1897">
        <v>15</v>
      </c>
      <c r="J1897">
        <v>478.71</v>
      </c>
      <c r="K1897" t="s">
        <v>17</v>
      </c>
      <c r="L1897" t="s">
        <v>18</v>
      </c>
      <c r="M1897">
        <f t="shared" si="145"/>
        <v>1625.098</v>
      </c>
      <c r="N1897">
        <f t="shared" si="146"/>
        <v>667.678</v>
      </c>
      <c r="O1897" t="str">
        <f t="shared" si="147"/>
        <v>Friday</v>
      </c>
      <c r="P1897" t="b">
        <f t="shared" si="148"/>
        <v>0</v>
      </c>
      <c r="Q1897" t="str">
        <f t="shared" si="149"/>
        <v>September</v>
      </c>
    </row>
    <row r="1898" spans="1:17" x14ac:dyDescent="0.4">
      <c r="A1898" t="s">
        <v>2279</v>
      </c>
      <c r="B1898" s="1">
        <v>45975</v>
      </c>
      <c r="C1898" t="s">
        <v>98</v>
      </c>
      <c r="D1898" t="s">
        <v>46</v>
      </c>
      <c r="E1898" t="s">
        <v>32</v>
      </c>
      <c r="F1898" t="s">
        <v>23</v>
      </c>
      <c r="G1898">
        <v>3</v>
      </c>
      <c r="H1898">
        <v>2587.0300000000002</v>
      </c>
      <c r="I1898">
        <v>30</v>
      </c>
      <c r="J1898">
        <v>1155.58</v>
      </c>
      <c r="K1898" t="s">
        <v>17</v>
      </c>
      <c r="L1898" t="s">
        <v>37</v>
      </c>
      <c r="M1898">
        <f t="shared" si="145"/>
        <v>5432.7629999999999</v>
      </c>
      <c r="N1898">
        <f t="shared" si="146"/>
        <v>1966.0230000000001</v>
      </c>
      <c r="O1898" t="str">
        <f t="shared" si="147"/>
        <v>Friday</v>
      </c>
      <c r="P1898" t="b">
        <f t="shared" si="148"/>
        <v>0</v>
      </c>
      <c r="Q1898" t="str">
        <f t="shared" si="149"/>
        <v>November</v>
      </c>
    </row>
    <row r="1899" spans="1:17" x14ac:dyDescent="0.4">
      <c r="A1899" t="s">
        <v>2280</v>
      </c>
      <c r="B1899" s="1">
        <v>45314</v>
      </c>
      <c r="C1899" t="s">
        <v>26</v>
      </c>
      <c r="D1899" t="s">
        <v>21</v>
      </c>
      <c r="E1899" t="s">
        <v>315</v>
      </c>
      <c r="F1899" t="s">
        <v>23</v>
      </c>
      <c r="G1899">
        <v>2</v>
      </c>
      <c r="H1899">
        <v>359.06</v>
      </c>
      <c r="I1899">
        <v>0</v>
      </c>
      <c r="J1899">
        <v>162.07</v>
      </c>
      <c r="K1899" t="s">
        <v>24</v>
      </c>
      <c r="L1899" t="s">
        <v>37</v>
      </c>
      <c r="M1899">
        <f t="shared" si="145"/>
        <v>718.12</v>
      </c>
      <c r="N1899">
        <f t="shared" si="146"/>
        <v>393.98</v>
      </c>
      <c r="O1899" t="str">
        <f t="shared" si="147"/>
        <v>Tuesday</v>
      </c>
      <c r="P1899" t="b">
        <f t="shared" si="148"/>
        <v>0</v>
      </c>
      <c r="Q1899" t="str">
        <f t="shared" si="149"/>
        <v>January</v>
      </c>
    </row>
    <row r="1900" spans="1:17" x14ac:dyDescent="0.4">
      <c r="A1900" t="s">
        <v>2281</v>
      </c>
      <c r="B1900" s="1">
        <v>45637</v>
      </c>
      <c r="C1900" t="s">
        <v>193</v>
      </c>
      <c r="D1900" t="s">
        <v>14</v>
      </c>
      <c r="E1900" t="s">
        <v>732</v>
      </c>
      <c r="F1900" t="s">
        <v>28</v>
      </c>
      <c r="G1900">
        <v>5</v>
      </c>
      <c r="H1900">
        <v>2711.53</v>
      </c>
      <c r="I1900">
        <v>0</v>
      </c>
      <c r="J1900">
        <v>1878.27</v>
      </c>
      <c r="K1900" t="s">
        <v>24</v>
      </c>
      <c r="L1900" t="s">
        <v>37</v>
      </c>
      <c r="M1900">
        <f t="shared" si="145"/>
        <v>13557.650000000001</v>
      </c>
      <c r="N1900">
        <f t="shared" si="146"/>
        <v>4166.3000000000011</v>
      </c>
      <c r="O1900" t="str">
        <f t="shared" si="147"/>
        <v>Wednesday</v>
      </c>
      <c r="P1900" t="b">
        <f t="shared" si="148"/>
        <v>0</v>
      </c>
      <c r="Q1900" t="str">
        <f t="shared" si="149"/>
        <v>December</v>
      </c>
    </row>
    <row r="1901" spans="1:17" x14ac:dyDescent="0.4">
      <c r="A1901" t="s">
        <v>2282</v>
      </c>
      <c r="B1901" s="1">
        <v>45839</v>
      </c>
      <c r="C1901" t="s">
        <v>179</v>
      </c>
      <c r="D1901" t="s">
        <v>14</v>
      </c>
      <c r="E1901" t="s">
        <v>673</v>
      </c>
      <c r="F1901" t="s">
        <v>23</v>
      </c>
      <c r="G1901">
        <v>2</v>
      </c>
      <c r="H1901">
        <v>2468.9699999999998</v>
      </c>
      <c r="I1901">
        <v>0</v>
      </c>
      <c r="J1901">
        <v>1320.73</v>
      </c>
      <c r="K1901" t="s">
        <v>17</v>
      </c>
      <c r="L1901" t="s">
        <v>33</v>
      </c>
      <c r="M1901">
        <f t="shared" si="145"/>
        <v>4937.9399999999996</v>
      </c>
      <c r="N1901">
        <f t="shared" si="146"/>
        <v>2296.4799999999996</v>
      </c>
      <c r="O1901" t="str">
        <f t="shared" si="147"/>
        <v>Tuesday</v>
      </c>
      <c r="P1901" t="b">
        <f t="shared" si="148"/>
        <v>0</v>
      </c>
      <c r="Q1901" t="str">
        <f t="shared" si="149"/>
        <v>July</v>
      </c>
    </row>
    <row r="1902" spans="1:17" x14ac:dyDescent="0.4">
      <c r="A1902" t="s">
        <v>2283</v>
      </c>
      <c r="B1902" s="1">
        <v>45723</v>
      </c>
      <c r="C1902" t="s">
        <v>253</v>
      </c>
      <c r="D1902" t="s">
        <v>46</v>
      </c>
      <c r="E1902" t="s">
        <v>658</v>
      </c>
      <c r="F1902" t="s">
        <v>23</v>
      </c>
      <c r="G1902">
        <v>5</v>
      </c>
      <c r="H1902">
        <v>659.55</v>
      </c>
      <c r="I1902">
        <v>5</v>
      </c>
      <c r="J1902">
        <v>310.31</v>
      </c>
      <c r="K1902" t="s">
        <v>17</v>
      </c>
      <c r="L1902" t="s">
        <v>33</v>
      </c>
      <c r="M1902">
        <f t="shared" si="145"/>
        <v>3132.8624999999997</v>
      </c>
      <c r="N1902">
        <f t="shared" si="146"/>
        <v>1581.3124999999998</v>
      </c>
      <c r="O1902" t="str">
        <f t="shared" si="147"/>
        <v>Friday</v>
      </c>
      <c r="P1902" t="b">
        <f t="shared" si="148"/>
        <v>0</v>
      </c>
      <c r="Q1902" t="str">
        <f t="shared" si="149"/>
        <v>March</v>
      </c>
    </row>
    <row r="1903" spans="1:17" x14ac:dyDescent="0.4">
      <c r="A1903" t="s">
        <v>2284</v>
      </c>
      <c r="B1903" s="1">
        <v>45959</v>
      </c>
      <c r="C1903" t="s">
        <v>149</v>
      </c>
      <c r="D1903" t="s">
        <v>31</v>
      </c>
      <c r="E1903" t="s">
        <v>563</v>
      </c>
      <c r="F1903" t="s">
        <v>28</v>
      </c>
      <c r="G1903">
        <v>5</v>
      </c>
      <c r="H1903">
        <v>1635.94</v>
      </c>
      <c r="I1903">
        <v>20</v>
      </c>
      <c r="J1903">
        <v>749.86</v>
      </c>
      <c r="K1903" t="s">
        <v>24</v>
      </c>
      <c r="L1903" t="s">
        <v>37</v>
      </c>
      <c r="M1903">
        <f t="shared" si="145"/>
        <v>6543.7600000000011</v>
      </c>
      <c r="N1903">
        <f t="shared" si="146"/>
        <v>2794.4600000000009</v>
      </c>
      <c r="O1903" t="str">
        <f t="shared" si="147"/>
        <v>Wednesday</v>
      </c>
      <c r="P1903" t="b">
        <f t="shared" si="148"/>
        <v>0</v>
      </c>
      <c r="Q1903" t="str">
        <f t="shared" si="149"/>
        <v>October</v>
      </c>
    </row>
    <row r="1904" spans="1:17" x14ac:dyDescent="0.4">
      <c r="A1904" t="s">
        <v>2285</v>
      </c>
      <c r="B1904" s="1">
        <v>45442</v>
      </c>
      <c r="C1904" t="s">
        <v>139</v>
      </c>
      <c r="D1904" t="s">
        <v>21</v>
      </c>
      <c r="E1904" t="s">
        <v>435</v>
      </c>
      <c r="F1904" t="s">
        <v>28</v>
      </c>
      <c r="G1904">
        <v>1</v>
      </c>
      <c r="H1904">
        <v>2422.86</v>
      </c>
      <c r="I1904">
        <v>10</v>
      </c>
      <c r="J1904">
        <v>1259.6600000000001</v>
      </c>
      <c r="K1904" t="s">
        <v>17</v>
      </c>
      <c r="L1904" t="s">
        <v>37</v>
      </c>
      <c r="M1904">
        <f t="shared" si="145"/>
        <v>2180.5740000000001</v>
      </c>
      <c r="N1904">
        <f t="shared" si="146"/>
        <v>920.91399999999999</v>
      </c>
      <c r="O1904" t="str">
        <f t="shared" si="147"/>
        <v>Thursday</v>
      </c>
      <c r="P1904" t="b">
        <f t="shared" si="148"/>
        <v>0</v>
      </c>
      <c r="Q1904" t="str">
        <f t="shared" si="149"/>
        <v>May</v>
      </c>
    </row>
    <row r="1905" spans="1:17" x14ac:dyDescent="0.4">
      <c r="A1905" t="s">
        <v>2286</v>
      </c>
      <c r="B1905" s="1">
        <v>45399</v>
      </c>
      <c r="C1905" t="s">
        <v>35</v>
      </c>
      <c r="D1905" t="s">
        <v>21</v>
      </c>
      <c r="E1905" t="s">
        <v>180</v>
      </c>
      <c r="F1905" t="s">
        <v>28</v>
      </c>
      <c r="G1905">
        <v>3</v>
      </c>
      <c r="H1905">
        <v>2100.0500000000002</v>
      </c>
      <c r="I1905">
        <v>15</v>
      </c>
      <c r="J1905">
        <v>899.28</v>
      </c>
      <c r="K1905" t="s">
        <v>17</v>
      </c>
      <c r="L1905" t="s">
        <v>18</v>
      </c>
      <c r="M1905">
        <f t="shared" si="145"/>
        <v>5355.1275000000005</v>
      </c>
      <c r="N1905">
        <f t="shared" si="146"/>
        <v>2657.2875000000004</v>
      </c>
      <c r="O1905" t="str">
        <f t="shared" si="147"/>
        <v>Wednesday</v>
      </c>
      <c r="P1905" t="b">
        <f t="shared" si="148"/>
        <v>0</v>
      </c>
      <c r="Q1905" t="str">
        <f t="shared" si="149"/>
        <v>April</v>
      </c>
    </row>
    <row r="1906" spans="1:17" x14ac:dyDescent="0.4">
      <c r="A1906" t="s">
        <v>2287</v>
      </c>
      <c r="B1906" s="1">
        <v>45808</v>
      </c>
      <c r="C1906" t="s">
        <v>278</v>
      </c>
      <c r="D1906" t="s">
        <v>14</v>
      </c>
      <c r="E1906" t="s">
        <v>137</v>
      </c>
      <c r="F1906" t="s">
        <v>23</v>
      </c>
      <c r="G1906">
        <v>5</v>
      </c>
      <c r="H1906">
        <v>2476.85</v>
      </c>
      <c r="I1906">
        <v>25</v>
      </c>
      <c r="J1906">
        <v>1023.79</v>
      </c>
      <c r="K1906" t="s">
        <v>17</v>
      </c>
      <c r="L1906" t="s">
        <v>37</v>
      </c>
      <c r="M1906">
        <f t="shared" si="145"/>
        <v>9288.1875</v>
      </c>
      <c r="N1906">
        <f t="shared" si="146"/>
        <v>4169.2375000000002</v>
      </c>
      <c r="O1906" t="str">
        <f t="shared" si="147"/>
        <v>Saturday</v>
      </c>
      <c r="P1906" t="b">
        <f t="shared" si="148"/>
        <v>1</v>
      </c>
      <c r="Q1906" t="str">
        <f t="shared" si="149"/>
        <v>May</v>
      </c>
    </row>
    <row r="1907" spans="1:17" x14ac:dyDescent="0.4">
      <c r="A1907" t="s">
        <v>2288</v>
      </c>
      <c r="B1907" s="1">
        <v>45536</v>
      </c>
      <c r="C1907" t="s">
        <v>100</v>
      </c>
      <c r="D1907" t="s">
        <v>46</v>
      </c>
      <c r="E1907" t="s">
        <v>60</v>
      </c>
      <c r="F1907" t="s">
        <v>16</v>
      </c>
      <c r="G1907">
        <v>5</v>
      </c>
      <c r="H1907">
        <v>949.12</v>
      </c>
      <c r="I1907">
        <v>15</v>
      </c>
      <c r="J1907">
        <v>582.51</v>
      </c>
      <c r="K1907" t="s">
        <v>17</v>
      </c>
      <c r="L1907" t="s">
        <v>18</v>
      </c>
      <c r="M1907">
        <f t="shared" si="145"/>
        <v>4033.76</v>
      </c>
      <c r="N1907">
        <f t="shared" si="146"/>
        <v>1121.21</v>
      </c>
      <c r="O1907" t="str">
        <f t="shared" si="147"/>
        <v>Sunday</v>
      </c>
      <c r="P1907" t="b">
        <f t="shared" si="148"/>
        <v>1</v>
      </c>
      <c r="Q1907" t="str">
        <f t="shared" si="149"/>
        <v>September</v>
      </c>
    </row>
    <row r="1908" spans="1:17" x14ac:dyDescent="0.4">
      <c r="A1908" t="s">
        <v>2289</v>
      </c>
      <c r="B1908" s="1">
        <v>45778</v>
      </c>
      <c r="C1908" t="s">
        <v>68</v>
      </c>
      <c r="D1908" t="s">
        <v>21</v>
      </c>
      <c r="E1908" t="s">
        <v>258</v>
      </c>
      <c r="F1908" t="s">
        <v>16</v>
      </c>
      <c r="G1908">
        <v>3</v>
      </c>
      <c r="H1908">
        <v>1104.58</v>
      </c>
      <c r="I1908">
        <v>20</v>
      </c>
      <c r="J1908">
        <v>701.78</v>
      </c>
      <c r="K1908" t="s">
        <v>17</v>
      </c>
      <c r="L1908" t="s">
        <v>18</v>
      </c>
      <c r="M1908">
        <f t="shared" si="145"/>
        <v>2650.9920000000002</v>
      </c>
      <c r="N1908">
        <f t="shared" si="146"/>
        <v>545.65200000000004</v>
      </c>
      <c r="O1908" t="str">
        <f t="shared" si="147"/>
        <v>Thursday</v>
      </c>
      <c r="P1908" t="b">
        <f t="shared" si="148"/>
        <v>0</v>
      </c>
      <c r="Q1908" t="str">
        <f t="shared" si="149"/>
        <v>May</v>
      </c>
    </row>
    <row r="1909" spans="1:17" x14ac:dyDescent="0.4">
      <c r="A1909" t="s">
        <v>2290</v>
      </c>
      <c r="B1909" s="1">
        <v>45704</v>
      </c>
      <c r="C1909" t="s">
        <v>375</v>
      </c>
      <c r="D1909" t="s">
        <v>31</v>
      </c>
      <c r="E1909" t="s">
        <v>47</v>
      </c>
      <c r="F1909" t="s">
        <v>23</v>
      </c>
      <c r="G1909">
        <v>1</v>
      </c>
      <c r="H1909">
        <v>2289.71</v>
      </c>
      <c r="I1909">
        <v>20</v>
      </c>
      <c r="J1909">
        <v>1517.45</v>
      </c>
      <c r="K1909" t="s">
        <v>24</v>
      </c>
      <c r="L1909" t="s">
        <v>33</v>
      </c>
      <c r="M1909">
        <f t="shared" si="145"/>
        <v>1831.768</v>
      </c>
      <c r="N1909">
        <f t="shared" si="146"/>
        <v>314.31799999999998</v>
      </c>
      <c r="O1909" t="str">
        <f t="shared" si="147"/>
        <v>Sunday</v>
      </c>
      <c r="P1909" t="b">
        <f t="shared" si="148"/>
        <v>1</v>
      </c>
      <c r="Q1909" t="str">
        <f t="shared" si="149"/>
        <v>February</v>
      </c>
    </row>
    <row r="1910" spans="1:17" x14ac:dyDescent="0.4">
      <c r="A1910" t="s">
        <v>2291</v>
      </c>
      <c r="B1910" s="1">
        <v>45401</v>
      </c>
      <c r="C1910" t="s">
        <v>159</v>
      </c>
      <c r="D1910" t="s">
        <v>46</v>
      </c>
      <c r="E1910" t="s">
        <v>846</v>
      </c>
      <c r="F1910" t="s">
        <v>23</v>
      </c>
      <c r="G1910">
        <v>5</v>
      </c>
      <c r="H1910">
        <v>1459.26</v>
      </c>
      <c r="I1910">
        <v>10</v>
      </c>
      <c r="J1910">
        <v>971.74</v>
      </c>
      <c r="K1910" t="s">
        <v>24</v>
      </c>
      <c r="L1910" t="s">
        <v>18</v>
      </c>
      <c r="M1910">
        <f t="shared" si="145"/>
        <v>6566.67</v>
      </c>
      <c r="N1910">
        <f t="shared" si="146"/>
        <v>1707.9700000000003</v>
      </c>
      <c r="O1910" t="str">
        <f t="shared" si="147"/>
        <v>Friday</v>
      </c>
      <c r="P1910" t="b">
        <f t="shared" si="148"/>
        <v>0</v>
      </c>
      <c r="Q1910" t="str">
        <f t="shared" si="149"/>
        <v>April</v>
      </c>
    </row>
    <row r="1911" spans="1:17" x14ac:dyDescent="0.4">
      <c r="A1911" t="s">
        <v>2292</v>
      </c>
      <c r="B1911" s="1">
        <v>45739</v>
      </c>
      <c r="C1911" t="s">
        <v>98</v>
      </c>
      <c r="D1911" t="s">
        <v>46</v>
      </c>
      <c r="E1911" t="s">
        <v>546</v>
      </c>
      <c r="F1911" t="s">
        <v>28</v>
      </c>
      <c r="G1911">
        <v>1</v>
      </c>
      <c r="H1911">
        <v>2266.67</v>
      </c>
      <c r="I1911">
        <v>0</v>
      </c>
      <c r="J1911">
        <v>925.49</v>
      </c>
      <c r="K1911" t="s">
        <v>24</v>
      </c>
      <c r="L1911" t="s">
        <v>37</v>
      </c>
      <c r="M1911">
        <f t="shared" si="145"/>
        <v>2266.67</v>
      </c>
      <c r="N1911">
        <f t="shared" si="146"/>
        <v>1341.18</v>
      </c>
      <c r="O1911" t="str">
        <f t="shared" si="147"/>
        <v>Sunday</v>
      </c>
      <c r="P1911" t="b">
        <f t="shared" si="148"/>
        <v>1</v>
      </c>
      <c r="Q1911" t="str">
        <f t="shared" si="149"/>
        <v>March</v>
      </c>
    </row>
    <row r="1912" spans="1:17" x14ac:dyDescent="0.4">
      <c r="A1912" t="s">
        <v>2293</v>
      </c>
      <c r="B1912" s="1">
        <v>45761</v>
      </c>
      <c r="C1912" t="s">
        <v>95</v>
      </c>
      <c r="D1912" t="s">
        <v>14</v>
      </c>
      <c r="E1912" t="s">
        <v>665</v>
      </c>
      <c r="F1912" t="s">
        <v>23</v>
      </c>
      <c r="G1912">
        <v>1</v>
      </c>
      <c r="H1912">
        <v>1794.2</v>
      </c>
      <c r="I1912">
        <v>30</v>
      </c>
      <c r="J1912">
        <v>1071.18</v>
      </c>
      <c r="K1912" t="s">
        <v>17</v>
      </c>
      <c r="L1912" t="s">
        <v>33</v>
      </c>
      <c r="M1912">
        <f t="shared" si="145"/>
        <v>1255.94</v>
      </c>
      <c r="N1912">
        <f t="shared" si="146"/>
        <v>184.76</v>
      </c>
      <c r="O1912" t="str">
        <f t="shared" si="147"/>
        <v>Monday</v>
      </c>
      <c r="P1912" t="b">
        <f t="shared" si="148"/>
        <v>0</v>
      </c>
      <c r="Q1912" t="str">
        <f t="shared" si="149"/>
        <v>April</v>
      </c>
    </row>
    <row r="1913" spans="1:17" x14ac:dyDescent="0.4">
      <c r="A1913" t="s">
        <v>2294</v>
      </c>
      <c r="B1913" s="1">
        <v>45784</v>
      </c>
      <c r="C1913" t="s">
        <v>114</v>
      </c>
      <c r="D1913" t="s">
        <v>21</v>
      </c>
      <c r="E1913" t="s">
        <v>447</v>
      </c>
      <c r="F1913" t="s">
        <v>23</v>
      </c>
      <c r="G1913">
        <v>4</v>
      </c>
      <c r="H1913">
        <v>1471.27</v>
      </c>
      <c r="I1913">
        <v>30</v>
      </c>
      <c r="J1913">
        <v>757.9</v>
      </c>
      <c r="K1913" t="s">
        <v>17</v>
      </c>
      <c r="L1913" t="s">
        <v>37</v>
      </c>
      <c r="M1913">
        <f t="shared" si="145"/>
        <v>4119.5559999999996</v>
      </c>
      <c r="N1913">
        <f t="shared" si="146"/>
        <v>1087.9559999999997</v>
      </c>
      <c r="O1913" t="str">
        <f t="shared" si="147"/>
        <v>Wednesday</v>
      </c>
      <c r="P1913" t="b">
        <f t="shared" si="148"/>
        <v>0</v>
      </c>
      <c r="Q1913" t="str">
        <f t="shared" si="149"/>
        <v>May</v>
      </c>
    </row>
    <row r="1914" spans="1:17" x14ac:dyDescent="0.4">
      <c r="A1914" t="s">
        <v>2295</v>
      </c>
      <c r="B1914" s="1">
        <v>45698</v>
      </c>
      <c r="C1914" t="s">
        <v>71</v>
      </c>
      <c r="D1914" t="s">
        <v>46</v>
      </c>
      <c r="E1914" t="s">
        <v>599</v>
      </c>
      <c r="F1914" t="s">
        <v>28</v>
      </c>
      <c r="G1914">
        <v>2</v>
      </c>
      <c r="H1914">
        <v>2359.04</v>
      </c>
      <c r="I1914">
        <v>30</v>
      </c>
      <c r="J1914">
        <v>1491.36</v>
      </c>
      <c r="K1914" t="s">
        <v>24</v>
      </c>
      <c r="L1914" t="s">
        <v>33</v>
      </c>
      <c r="M1914">
        <f t="shared" si="145"/>
        <v>3302.6559999999999</v>
      </c>
      <c r="N1914">
        <f t="shared" si="146"/>
        <v>319.93600000000015</v>
      </c>
      <c r="O1914" t="str">
        <f t="shared" si="147"/>
        <v>Monday</v>
      </c>
      <c r="P1914" t="b">
        <f t="shared" si="148"/>
        <v>0</v>
      </c>
      <c r="Q1914" t="str">
        <f t="shared" si="149"/>
        <v>February</v>
      </c>
    </row>
    <row r="1915" spans="1:17" x14ac:dyDescent="0.4">
      <c r="A1915" t="s">
        <v>2296</v>
      </c>
      <c r="B1915" s="1">
        <v>45839</v>
      </c>
      <c r="C1915" t="s">
        <v>98</v>
      </c>
      <c r="D1915" t="s">
        <v>14</v>
      </c>
      <c r="E1915" t="s">
        <v>544</v>
      </c>
      <c r="F1915" t="s">
        <v>16</v>
      </c>
      <c r="G1915">
        <v>4</v>
      </c>
      <c r="H1915">
        <v>962.57</v>
      </c>
      <c r="I1915">
        <v>20</v>
      </c>
      <c r="J1915">
        <v>432.21</v>
      </c>
      <c r="K1915" t="s">
        <v>24</v>
      </c>
      <c r="L1915" t="s">
        <v>18</v>
      </c>
      <c r="M1915">
        <f t="shared" si="145"/>
        <v>3080.2240000000002</v>
      </c>
      <c r="N1915">
        <f t="shared" si="146"/>
        <v>1351.3840000000002</v>
      </c>
      <c r="O1915" t="str">
        <f t="shared" si="147"/>
        <v>Tuesday</v>
      </c>
      <c r="P1915" t="b">
        <f t="shared" si="148"/>
        <v>0</v>
      </c>
      <c r="Q1915" t="str">
        <f t="shared" si="149"/>
        <v>July</v>
      </c>
    </row>
    <row r="1916" spans="1:17" x14ac:dyDescent="0.4">
      <c r="A1916" t="s">
        <v>2297</v>
      </c>
      <c r="B1916" s="1">
        <v>45810</v>
      </c>
      <c r="C1916" t="s">
        <v>119</v>
      </c>
      <c r="D1916" t="s">
        <v>14</v>
      </c>
      <c r="E1916" t="s">
        <v>233</v>
      </c>
      <c r="F1916" t="s">
        <v>23</v>
      </c>
      <c r="G1916">
        <v>3</v>
      </c>
      <c r="H1916">
        <v>1798.89</v>
      </c>
      <c r="I1916">
        <v>25</v>
      </c>
      <c r="J1916">
        <v>1110.56</v>
      </c>
      <c r="K1916" t="s">
        <v>24</v>
      </c>
      <c r="L1916" t="s">
        <v>37</v>
      </c>
      <c r="M1916">
        <f t="shared" si="145"/>
        <v>4047.5025000000001</v>
      </c>
      <c r="N1916">
        <f t="shared" si="146"/>
        <v>715.82250000000022</v>
      </c>
      <c r="O1916" t="str">
        <f t="shared" si="147"/>
        <v>Monday</v>
      </c>
      <c r="P1916" t="b">
        <f t="shared" si="148"/>
        <v>0</v>
      </c>
      <c r="Q1916" t="str">
        <f t="shared" si="149"/>
        <v>June</v>
      </c>
    </row>
    <row r="1917" spans="1:17" x14ac:dyDescent="0.4">
      <c r="A1917" t="s">
        <v>2298</v>
      </c>
      <c r="B1917" s="1">
        <v>45715</v>
      </c>
      <c r="C1917" t="s">
        <v>193</v>
      </c>
      <c r="D1917" t="s">
        <v>31</v>
      </c>
      <c r="E1917" t="s">
        <v>354</v>
      </c>
      <c r="F1917" t="s">
        <v>23</v>
      </c>
      <c r="G1917">
        <v>1</v>
      </c>
      <c r="H1917">
        <v>2601.16</v>
      </c>
      <c r="I1917">
        <v>5</v>
      </c>
      <c r="J1917">
        <v>1683.45</v>
      </c>
      <c r="K1917" t="s">
        <v>17</v>
      </c>
      <c r="L1917" t="s">
        <v>37</v>
      </c>
      <c r="M1917">
        <f t="shared" si="145"/>
        <v>2471.1019999999999</v>
      </c>
      <c r="N1917">
        <f t="shared" si="146"/>
        <v>787.65199999999982</v>
      </c>
      <c r="O1917" t="str">
        <f t="shared" si="147"/>
        <v>Thursday</v>
      </c>
      <c r="P1917" t="b">
        <f t="shared" si="148"/>
        <v>0</v>
      </c>
      <c r="Q1917" t="str">
        <f t="shared" si="149"/>
        <v>February</v>
      </c>
    </row>
    <row r="1918" spans="1:17" x14ac:dyDescent="0.4">
      <c r="A1918" t="s">
        <v>2299</v>
      </c>
      <c r="B1918" s="1">
        <v>45463</v>
      </c>
      <c r="C1918" t="s">
        <v>114</v>
      </c>
      <c r="D1918" t="s">
        <v>46</v>
      </c>
      <c r="E1918" t="s">
        <v>748</v>
      </c>
      <c r="F1918" t="s">
        <v>16</v>
      </c>
      <c r="G1918">
        <v>1</v>
      </c>
      <c r="H1918">
        <v>1602.93</v>
      </c>
      <c r="I1918">
        <v>5</v>
      </c>
      <c r="J1918">
        <v>981.98</v>
      </c>
      <c r="K1918" t="s">
        <v>17</v>
      </c>
      <c r="L1918" t="s">
        <v>18</v>
      </c>
      <c r="M1918">
        <f t="shared" si="145"/>
        <v>1522.7835</v>
      </c>
      <c r="N1918">
        <f t="shared" si="146"/>
        <v>540.80349999999999</v>
      </c>
      <c r="O1918" t="str">
        <f t="shared" si="147"/>
        <v>Thursday</v>
      </c>
      <c r="P1918" t="b">
        <f t="shared" si="148"/>
        <v>0</v>
      </c>
      <c r="Q1918" t="str">
        <f t="shared" si="149"/>
        <v>June</v>
      </c>
    </row>
    <row r="1919" spans="1:17" x14ac:dyDescent="0.4">
      <c r="A1919" t="s">
        <v>2300</v>
      </c>
      <c r="B1919" s="1">
        <v>45524</v>
      </c>
      <c r="C1919" t="s">
        <v>114</v>
      </c>
      <c r="D1919" t="s">
        <v>14</v>
      </c>
      <c r="E1919" t="s">
        <v>198</v>
      </c>
      <c r="F1919" t="s">
        <v>16</v>
      </c>
      <c r="G1919">
        <v>3</v>
      </c>
      <c r="H1919">
        <v>2527.88</v>
      </c>
      <c r="I1919">
        <v>10</v>
      </c>
      <c r="J1919">
        <v>1477.18</v>
      </c>
      <c r="K1919" t="s">
        <v>24</v>
      </c>
      <c r="L1919" t="s">
        <v>18</v>
      </c>
      <c r="M1919">
        <f t="shared" si="145"/>
        <v>6825.2760000000007</v>
      </c>
      <c r="N1919">
        <f t="shared" si="146"/>
        <v>2393.7360000000008</v>
      </c>
      <c r="O1919" t="str">
        <f t="shared" si="147"/>
        <v>Tuesday</v>
      </c>
      <c r="P1919" t="b">
        <f t="shared" si="148"/>
        <v>0</v>
      </c>
      <c r="Q1919" t="str">
        <f t="shared" si="149"/>
        <v>August</v>
      </c>
    </row>
    <row r="1920" spans="1:17" x14ac:dyDescent="0.4">
      <c r="A1920" t="s">
        <v>2301</v>
      </c>
      <c r="B1920" s="1">
        <v>45322</v>
      </c>
      <c r="C1920" t="s">
        <v>42</v>
      </c>
      <c r="D1920" t="s">
        <v>21</v>
      </c>
      <c r="E1920" t="s">
        <v>948</v>
      </c>
      <c r="F1920" t="s">
        <v>23</v>
      </c>
      <c r="G1920">
        <v>5</v>
      </c>
      <c r="H1920">
        <v>599.1</v>
      </c>
      <c r="I1920">
        <v>15</v>
      </c>
      <c r="J1920">
        <v>265.17</v>
      </c>
      <c r="K1920" t="s">
        <v>17</v>
      </c>
      <c r="L1920" t="s">
        <v>33</v>
      </c>
      <c r="M1920">
        <f t="shared" si="145"/>
        <v>2546.1749999999997</v>
      </c>
      <c r="N1920">
        <f t="shared" si="146"/>
        <v>1220.3249999999996</v>
      </c>
      <c r="O1920" t="str">
        <f t="shared" si="147"/>
        <v>Wednesday</v>
      </c>
      <c r="P1920" t="b">
        <f t="shared" si="148"/>
        <v>0</v>
      </c>
      <c r="Q1920" t="str">
        <f t="shared" si="149"/>
        <v>January</v>
      </c>
    </row>
    <row r="1921" spans="1:17" x14ac:dyDescent="0.4">
      <c r="A1921" t="s">
        <v>2302</v>
      </c>
      <c r="B1921" s="1">
        <v>45860</v>
      </c>
      <c r="C1921" t="s">
        <v>84</v>
      </c>
      <c r="D1921" t="s">
        <v>46</v>
      </c>
      <c r="E1921" t="s">
        <v>855</v>
      </c>
      <c r="F1921" t="s">
        <v>28</v>
      </c>
      <c r="G1921">
        <v>2</v>
      </c>
      <c r="H1921">
        <v>949.28</v>
      </c>
      <c r="I1921">
        <v>25</v>
      </c>
      <c r="J1921">
        <v>593.66</v>
      </c>
      <c r="K1921" t="s">
        <v>24</v>
      </c>
      <c r="L1921" t="s">
        <v>18</v>
      </c>
      <c r="M1921">
        <f t="shared" si="145"/>
        <v>1423.92</v>
      </c>
      <c r="N1921">
        <f t="shared" si="146"/>
        <v>236.60000000000014</v>
      </c>
      <c r="O1921" t="str">
        <f t="shared" si="147"/>
        <v>Tuesday</v>
      </c>
      <c r="P1921" t="b">
        <f t="shared" si="148"/>
        <v>0</v>
      </c>
      <c r="Q1921" t="str">
        <f t="shared" si="149"/>
        <v>July</v>
      </c>
    </row>
    <row r="1922" spans="1:17" x14ac:dyDescent="0.4">
      <c r="A1922" t="s">
        <v>2303</v>
      </c>
      <c r="B1922" s="1">
        <v>45358</v>
      </c>
      <c r="C1922" t="s">
        <v>74</v>
      </c>
      <c r="D1922" t="s">
        <v>46</v>
      </c>
      <c r="E1922" t="s">
        <v>377</v>
      </c>
      <c r="F1922" t="s">
        <v>16</v>
      </c>
      <c r="G1922">
        <v>3</v>
      </c>
      <c r="H1922">
        <v>2505.36</v>
      </c>
      <c r="I1922">
        <v>20</v>
      </c>
      <c r="J1922">
        <v>1143.0899999999999</v>
      </c>
      <c r="K1922" t="s">
        <v>24</v>
      </c>
      <c r="L1922" t="s">
        <v>33</v>
      </c>
      <c r="M1922">
        <f t="shared" si="145"/>
        <v>6012.8640000000005</v>
      </c>
      <c r="N1922">
        <f t="shared" si="146"/>
        <v>2583.594000000001</v>
      </c>
      <c r="O1922" t="str">
        <f t="shared" si="147"/>
        <v>Thursday</v>
      </c>
      <c r="P1922" t="b">
        <f t="shared" si="148"/>
        <v>0</v>
      </c>
      <c r="Q1922" t="str">
        <f t="shared" si="149"/>
        <v>March</v>
      </c>
    </row>
    <row r="1923" spans="1:17" x14ac:dyDescent="0.4">
      <c r="A1923" t="s">
        <v>2304</v>
      </c>
      <c r="B1923" s="1">
        <v>45952</v>
      </c>
      <c r="C1923" t="s">
        <v>77</v>
      </c>
      <c r="D1923" t="s">
        <v>14</v>
      </c>
      <c r="E1923" t="s">
        <v>475</v>
      </c>
      <c r="F1923" t="s">
        <v>23</v>
      </c>
      <c r="G1923">
        <v>1</v>
      </c>
      <c r="H1923">
        <v>895.99</v>
      </c>
      <c r="I1923">
        <v>25</v>
      </c>
      <c r="J1923">
        <v>454.25</v>
      </c>
      <c r="K1923" t="s">
        <v>24</v>
      </c>
      <c r="L1923" t="s">
        <v>18</v>
      </c>
      <c r="M1923">
        <f t="shared" ref="M1923:M1986" si="150">G1923 * H1923 * (1 - I1923/100)</f>
        <v>671.99250000000006</v>
      </c>
      <c r="N1923">
        <f t="shared" ref="N1923:N1986" si="151">M1923 - (J1923 * G1923)</f>
        <v>217.74250000000006</v>
      </c>
      <c r="O1923" t="str">
        <f t="shared" ref="O1923:O1986" si="152">TEXT(B1923,"dddd")</f>
        <v>Wednesday</v>
      </c>
      <c r="P1923" t="b">
        <f t="shared" ref="P1923:P1986" si="153">OR(TEXT(B1923,"ddd")="Sat", TEXT(B1923,"ddd")="Sun")</f>
        <v>0</v>
      </c>
      <c r="Q1923" t="str">
        <f t="shared" ref="Q1923:Q1986" si="154">TEXT(B1923,"mmmm")</f>
        <v>October</v>
      </c>
    </row>
    <row r="1924" spans="1:17" x14ac:dyDescent="0.4">
      <c r="A1924" t="s">
        <v>2305</v>
      </c>
      <c r="B1924" s="1">
        <v>45927</v>
      </c>
      <c r="C1924" t="s">
        <v>68</v>
      </c>
      <c r="D1924" t="s">
        <v>31</v>
      </c>
      <c r="E1924" t="s">
        <v>90</v>
      </c>
      <c r="F1924" t="s">
        <v>16</v>
      </c>
      <c r="G1924">
        <v>5</v>
      </c>
      <c r="H1924">
        <v>2306.77</v>
      </c>
      <c r="I1924">
        <v>0</v>
      </c>
      <c r="J1924">
        <v>1164.17</v>
      </c>
      <c r="K1924" t="s">
        <v>24</v>
      </c>
      <c r="L1924" t="s">
        <v>33</v>
      </c>
      <c r="M1924">
        <f t="shared" si="150"/>
        <v>11533.85</v>
      </c>
      <c r="N1924">
        <f t="shared" si="151"/>
        <v>5713</v>
      </c>
      <c r="O1924" t="str">
        <f t="shared" si="152"/>
        <v>Saturday</v>
      </c>
      <c r="P1924" t="b">
        <f t="shared" si="153"/>
        <v>1</v>
      </c>
      <c r="Q1924" t="str">
        <f t="shared" si="154"/>
        <v>September</v>
      </c>
    </row>
    <row r="1925" spans="1:17" x14ac:dyDescent="0.4">
      <c r="A1925" t="s">
        <v>2306</v>
      </c>
      <c r="B1925" s="1">
        <v>45795</v>
      </c>
      <c r="C1925" t="s">
        <v>98</v>
      </c>
      <c r="D1925" t="s">
        <v>21</v>
      </c>
      <c r="E1925" t="s">
        <v>458</v>
      </c>
      <c r="F1925" t="s">
        <v>28</v>
      </c>
      <c r="G1925">
        <v>4</v>
      </c>
      <c r="H1925">
        <v>2576.98</v>
      </c>
      <c r="I1925">
        <v>10</v>
      </c>
      <c r="J1925">
        <v>1108.8800000000001</v>
      </c>
      <c r="K1925" t="s">
        <v>24</v>
      </c>
      <c r="L1925" t="s">
        <v>18</v>
      </c>
      <c r="M1925">
        <f t="shared" si="150"/>
        <v>9277.1280000000006</v>
      </c>
      <c r="N1925">
        <f t="shared" si="151"/>
        <v>4841.6080000000002</v>
      </c>
      <c r="O1925" t="str">
        <f t="shared" si="152"/>
        <v>Sunday</v>
      </c>
      <c r="P1925" t="b">
        <f t="shared" si="153"/>
        <v>1</v>
      </c>
      <c r="Q1925" t="str">
        <f t="shared" si="154"/>
        <v>May</v>
      </c>
    </row>
    <row r="1926" spans="1:17" x14ac:dyDescent="0.4">
      <c r="A1926" t="s">
        <v>2307</v>
      </c>
      <c r="B1926" s="1">
        <v>45477</v>
      </c>
      <c r="C1926" t="s">
        <v>253</v>
      </c>
      <c r="D1926" t="s">
        <v>31</v>
      </c>
      <c r="E1926" t="s">
        <v>911</v>
      </c>
      <c r="F1926" t="s">
        <v>23</v>
      </c>
      <c r="G1926">
        <v>4</v>
      </c>
      <c r="H1926">
        <v>1542.64</v>
      </c>
      <c r="I1926">
        <v>20</v>
      </c>
      <c r="J1926">
        <v>951.36</v>
      </c>
      <c r="K1926" t="s">
        <v>24</v>
      </c>
      <c r="L1926" t="s">
        <v>18</v>
      </c>
      <c r="M1926">
        <f t="shared" si="150"/>
        <v>4936.4480000000003</v>
      </c>
      <c r="N1926">
        <f t="shared" si="151"/>
        <v>1131.0080000000003</v>
      </c>
      <c r="O1926" t="str">
        <f t="shared" si="152"/>
        <v>Thursday</v>
      </c>
      <c r="P1926" t="b">
        <f t="shared" si="153"/>
        <v>0</v>
      </c>
      <c r="Q1926" t="str">
        <f t="shared" si="154"/>
        <v>July</v>
      </c>
    </row>
    <row r="1927" spans="1:17" x14ac:dyDescent="0.4">
      <c r="A1927" t="s">
        <v>2308</v>
      </c>
      <c r="B1927" s="1">
        <v>45471</v>
      </c>
      <c r="C1927" t="s">
        <v>114</v>
      </c>
      <c r="D1927" t="s">
        <v>31</v>
      </c>
      <c r="E1927" t="s">
        <v>82</v>
      </c>
      <c r="F1927" t="s">
        <v>28</v>
      </c>
      <c r="G1927">
        <v>5</v>
      </c>
      <c r="H1927">
        <v>752.29</v>
      </c>
      <c r="I1927">
        <v>5</v>
      </c>
      <c r="J1927">
        <v>489.7</v>
      </c>
      <c r="K1927" t="s">
        <v>17</v>
      </c>
      <c r="L1927" t="s">
        <v>37</v>
      </c>
      <c r="M1927">
        <f t="shared" si="150"/>
        <v>3573.3774999999996</v>
      </c>
      <c r="N1927">
        <f t="shared" si="151"/>
        <v>1124.8774999999996</v>
      </c>
      <c r="O1927" t="str">
        <f t="shared" si="152"/>
        <v>Friday</v>
      </c>
      <c r="P1927" t="b">
        <f t="shared" si="153"/>
        <v>0</v>
      </c>
      <c r="Q1927" t="str">
        <f t="shared" si="154"/>
        <v>June</v>
      </c>
    </row>
    <row r="1928" spans="1:17" x14ac:dyDescent="0.4">
      <c r="A1928" t="s">
        <v>2309</v>
      </c>
      <c r="B1928" s="1">
        <v>45314</v>
      </c>
      <c r="C1928" t="s">
        <v>35</v>
      </c>
      <c r="D1928" t="s">
        <v>14</v>
      </c>
      <c r="E1928" t="s">
        <v>1019</v>
      </c>
      <c r="F1928" t="s">
        <v>28</v>
      </c>
      <c r="G1928">
        <v>1</v>
      </c>
      <c r="H1928">
        <v>1566.51</v>
      </c>
      <c r="I1928">
        <v>10</v>
      </c>
      <c r="J1928">
        <v>1018.59</v>
      </c>
      <c r="K1928" t="s">
        <v>24</v>
      </c>
      <c r="L1928" t="s">
        <v>18</v>
      </c>
      <c r="M1928">
        <f t="shared" si="150"/>
        <v>1409.8589999999999</v>
      </c>
      <c r="N1928">
        <f t="shared" si="151"/>
        <v>391.26899999999989</v>
      </c>
      <c r="O1928" t="str">
        <f t="shared" si="152"/>
        <v>Tuesday</v>
      </c>
      <c r="P1928" t="b">
        <f t="shared" si="153"/>
        <v>0</v>
      </c>
      <c r="Q1928" t="str">
        <f t="shared" si="154"/>
        <v>January</v>
      </c>
    </row>
    <row r="1929" spans="1:17" x14ac:dyDescent="0.4">
      <c r="A1929" t="s">
        <v>2310</v>
      </c>
      <c r="B1929" s="1">
        <v>45523</v>
      </c>
      <c r="C1929" t="s">
        <v>159</v>
      </c>
      <c r="D1929" t="s">
        <v>14</v>
      </c>
      <c r="E1929" t="s">
        <v>757</v>
      </c>
      <c r="F1929" t="s">
        <v>28</v>
      </c>
      <c r="G1929">
        <v>2</v>
      </c>
      <c r="H1929">
        <v>2535.2399999999998</v>
      </c>
      <c r="I1929">
        <v>0</v>
      </c>
      <c r="J1929">
        <v>1451.5</v>
      </c>
      <c r="K1929" t="s">
        <v>24</v>
      </c>
      <c r="L1929" t="s">
        <v>37</v>
      </c>
      <c r="M1929">
        <f t="shared" si="150"/>
        <v>5070.4799999999996</v>
      </c>
      <c r="N1929">
        <f t="shared" si="151"/>
        <v>2167.4799999999996</v>
      </c>
      <c r="O1929" t="str">
        <f t="shared" si="152"/>
        <v>Monday</v>
      </c>
      <c r="P1929" t="b">
        <f t="shared" si="153"/>
        <v>0</v>
      </c>
      <c r="Q1929" t="str">
        <f t="shared" si="154"/>
        <v>August</v>
      </c>
    </row>
    <row r="1930" spans="1:17" x14ac:dyDescent="0.4">
      <c r="A1930" t="s">
        <v>2311</v>
      </c>
      <c r="B1930" s="1">
        <v>45811</v>
      </c>
      <c r="C1930" t="s">
        <v>241</v>
      </c>
      <c r="D1930" t="s">
        <v>14</v>
      </c>
      <c r="E1930" t="s">
        <v>458</v>
      </c>
      <c r="F1930" t="s">
        <v>23</v>
      </c>
      <c r="G1930">
        <v>1</v>
      </c>
      <c r="H1930">
        <v>1117.8499999999999</v>
      </c>
      <c r="I1930">
        <v>5</v>
      </c>
      <c r="J1930">
        <v>748.12</v>
      </c>
      <c r="K1930" t="s">
        <v>24</v>
      </c>
      <c r="L1930" t="s">
        <v>33</v>
      </c>
      <c r="M1930">
        <f t="shared" si="150"/>
        <v>1061.9574999999998</v>
      </c>
      <c r="N1930">
        <f t="shared" si="151"/>
        <v>313.83749999999975</v>
      </c>
      <c r="O1930" t="str">
        <f t="shared" si="152"/>
        <v>Tuesday</v>
      </c>
      <c r="P1930" t="b">
        <f t="shared" si="153"/>
        <v>0</v>
      </c>
      <c r="Q1930" t="str">
        <f t="shared" si="154"/>
        <v>June</v>
      </c>
    </row>
    <row r="1931" spans="1:17" x14ac:dyDescent="0.4">
      <c r="A1931" t="s">
        <v>2312</v>
      </c>
      <c r="B1931" s="1">
        <v>45516</v>
      </c>
      <c r="C1931" t="s">
        <v>463</v>
      </c>
      <c r="D1931" t="s">
        <v>14</v>
      </c>
      <c r="E1931" t="s">
        <v>574</v>
      </c>
      <c r="F1931" t="s">
        <v>28</v>
      </c>
      <c r="G1931">
        <v>4</v>
      </c>
      <c r="H1931">
        <v>1951.86</v>
      </c>
      <c r="I1931">
        <v>20</v>
      </c>
      <c r="J1931">
        <v>971.51</v>
      </c>
      <c r="K1931" t="s">
        <v>24</v>
      </c>
      <c r="L1931" t="s">
        <v>33</v>
      </c>
      <c r="M1931">
        <f t="shared" si="150"/>
        <v>6245.9520000000002</v>
      </c>
      <c r="N1931">
        <f t="shared" si="151"/>
        <v>2359.9120000000003</v>
      </c>
      <c r="O1931" t="str">
        <f t="shared" si="152"/>
        <v>Monday</v>
      </c>
      <c r="P1931" t="b">
        <f t="shared" si="153"/>
        <v>0</v>
      </c>
      <c r="Q1931" t="str">
        <f t="shared" si="154"/>
        <v>August</v>
      </c>
    </row>
    <row r="1932" spans="1:17" x14ac:dyDescent="0.4">
      <c r="A1932" t="s">
        <v>2313</v>
      </c>
      <c r="B1932" s="1">
        <v>45685</v>
      </c>
      <c r="C1932" t="s">
        <v>100</v>
      </c>
      <c r="D1932" t="s">
        <v>14</v>
      </c>
      <c r="E1932" t="s">
        <v>191</v>
      </c>
      <c r="F1932" t="s">
        <v>28</v>
      </c>
      <c r="G1932">
        <v>2</v>
      </c>
      <c r="H1932">
        <v>1003.3</v>
      </c>
      <c r="I1932">
        <v>10</v>
      </c>
      <c r="J1932">
        <v>666.57</v>
      </c>
      <c r="K1932" t="s">
        <v>24</v>
      </c>
      <c r="L1932" t="s">
        <v>37</v>
      </c>
      <c r="M1932">
        <f t="shared" si="150"/>
        <v>1805.94</v>
      </c>
      <c r="N1932">
        <f t="shared" si="151"/>
        <v>472.79999999999995</v>
      </c>
      <c r="O1932" t="str">
        <f t="shared" si="152"/>
        <v>Tuesday</v>
      </c>
      <c r="P1932" t="b">
        <f t="shared" si="153"/>
        <v>0</v>
      </c>
      <c r="Q1932" t="str">
        <f t="shared" si="154"/>
        <v>January</v>
      </c>
    </row>
    <row r="1933" spans="1:17" x14ac:dyDescent="0.4">
      <c r="A1933" t="s">
        <v>2314</v>
      </c>
      <c r="B1933" s="1">
        <v>45412</v>
      </c>
      <c r="C1933" t="s">
        <v>54</v>
      </c>
      <c r="D1933" t="s">
        <v>14</v>
      </c>
      <c r="E1933" t="s">
        <v>43</v>
      </c>
      <c r="F1933" t="s">
        <v>23</v>
      </c>
      <c r="G1933">
        <v>2</v>
      </c>
      <c r="H1933">
        <v>2621.78</v>
      </c>
      <c r="I1933">
        <v>10</v>
      </c>
      <c r="J1933">
        <v>1814.62</v>
      </c>
      <c r="K1933" t="s">
        <v>24</v>
      </c>
      <c r="L1933" t="s">
        <v>33</v>
      </c>
      <c r="M1933">
        <f t="shared" si="150"/>
        <v>4719.2040000000006</v>
      </c>
      <c r="N1933">
        <f t="shared" si="151"/>
        <v>1089.9640000000009</v>
      </c>
      <c r="O1933" t="str">
        <f t="shared" si="152"/>
        <v>Tuesday</v>
      </c>
      <c r="P1933" t="b">
        <f t="shared" si="153"/>
        <v>0</v>
      </c>
      <c r="Q1933" t="str">
        <f t="shared" si="154"/>
        <v>April</v>
      </c>
    </row>
    <row r="1934" spans="1:17" x14ac:dyDescent="0.4">
      <c r="A1934" t="s">
        <v>2315</v>
      </c>
      <c r="B1934" s="1">
        <v>45723</v>
      </c>
      <c r="C1934" t="s">
        <v>125</v>
      </c>
      <c r="D1934" t="s">
        <v>46</v>
      </c>
      <c r="E1934" t="s">
        <v>123</v>
      </c>
      <c r="F1934" t="s">
        <v>16</v>
      </c>
      <c r="G1934">
        <v>3</v>
      </c>
      <c r="H1934">
        <v>2876.58</v>
      </c>
      <c r="I1934">
        <v>20</v>
      </c>
      <c r="J1934">
        <v>1702.81</v>
      </c>
      <c r="K1934" t="s">
        <v>24</v>
      </c>
      <c r="L1934" t="s">
        <v>33</v>
      </c>
      <c r="M1934">
        <f t="shared" si="150"/>
        <v>6903.7920000000004</v>
      </c>
      <c r="N1934">
        <f t="shared" si="151"/>
        <v>1795.3620000000001</v>
      </c>
      <c r="O1934" t="str">
        <f t="shared" si="152"/>
        <v>Friday</v>
      </c>
      <c r="P1934" t="b">
        <f t="shared" si="153"/>
        <v>0</v>
      </c>
      <c r="Q1934" t="str">
        <f t="shared" si="154"/>
        <v>March</v>
      </c>
    </row>
    <row r="1935" spans="1:17" x14ac:dyDescent="0.4">
      <c r="A1935" t="s">
        <v>2316</v>
      </c>
      <c r="B1935" s="1">
        <v>45681</v>
      </c>
      <c r="C1935" t="s">
        <v>35</v>
      </c>
      <c r="D1935" t="s">
        <v>21</v>
      </c>
      <c r="E1935" t="s">
        <v>1102</v>
      </c>
      <c r="F1935" t="s">
        <v>28</v>
      </c>
      <c r="G1935">
        <v>5</v>
      </c>
      <c r="H1935">
        <v>306.45</v>
      </c>
      <c r="I1935">
        <v>5</v>
      </c>
      <c r="J1935">
        <v>170.86</v>
      </c>
      <c r="K1935" t="s">
        <v>17</v>
      </c>
      <c r="L1935" t="s">
        <v>18</v>
      </c>
      <c r="M1935">
        <f t="shared" si="150"/>
        <v>1455.6375</v>
      </c>
      <c r="N1935">
        <f t="shared" si="151"/>
        <v>601.33749999999998</v>
      </c>
      <c r="O1935" t="str">
        <f t="shared" si="152"/>
        <v>Friday</v>
      </c>
      <c r="P1935" t="b">
        <f t="shared" si="153"/>
        <v>0</v>
      </c>
      <c r="Q1935" t="str">
        <f t="shared" si="154"/>
        <v>January</v>
      </c>
    </row>
    <row r="1936" spans="1:17" x14ac:dyDescent="0.4">
      <c r="A1936" t="s">
        <v>2317</v>
      </c>
      <c r="B1936" s="1">
        <v>45989</v>
      </c>
      <c r="C1936" t="s">
        <v>193</v>
      </c>
      <c r="D1936" t="s">
        <v>14</v>
      </c>
      <c r="E1936" t="s">
        <v>87</v>
      </c>
      <c r="F1936" t="s">
        <v>16</v>
      </c>
      <c r="G1936">
        <v>5</v>
      </c>
      <c r="H1936">
        <v>316.86</v>
      </c>
      <c r="I1936">
        <v>10</v>
      </c>
      <c r="J1936">
        <v>175.59</v>
      </c>
      <c r="K1936" t="s">
        <v>17</v>
      </c>
      <c r="L1936" t="s">
        <v>37</v>
      </c>
      <c r="M1936">
        <f t="shared" si="150"/>
        <v>1425.8700000000001</v>
      </c>
      <c r="N1936">
        <f t="shared" si="151"/>
        <v>547.92000000000007</v>
      </c>
      <c r="O1936" t="str">
        <f t="shared" si="152"/>
        <v>Friday</v>
      </c>
      <c r="P1936" t="b">
        <f t="shared" si="153"/>
        <v>0</v>
      </c>
      <c r="Q1936" t="str">
        <f t="shared" si="154"/>
        <v>November</v>
      </c>
    </row>
    <row r="1937" spans="1:17" x14ac:dyDescent="0.4">
      <c r="A1937" t="s">
        <v>2318</v>
      </c>
      <c r="B1937" s="1">
        <v>45637</v>
      </c>
      <c r="C1937" t="s">
        <v>190</v>
      </c>
      <c r="D1937" t="s">
        <v>46</v>
      </c>
      <c r="E1937" t="s">
        <v>477</v>
      </c>
      <c r="F1937" t="s">
        <v>16</v>
      </c>
      <c r="G1937">
        <v>2</v>
      </c>
      <c r="H1937">
        <v>2241.8000000000002</v>
      </c>
      <c r="I1937">
        <v>20</v>
      </c>
      <c r="J1937">
        <v>1279.8900000000001</v>
      </c>
      <c r="K1937" t="s">
        <v>24</v>
      </c>
      <c r="L1937" t="s">
        <v>37</v>
      </c>
      <c r="M1937">
        <f t="shared" si="150"/>
        <v>3586.8800000000006</v>
      </c>
      <c r="N1937">
        <f t="shared" si="151"/>
        <v>1027.1000000000004</v>
      </c>
      <c r="O1937" t="str">
        <f t="shared" si="152"/>
        <v>Wednesday</v>
      </c>
      <c r="P1937" t="b">
        <f t="shared" si="153"/>
        <v>0</v>
      </c>
      <c r="Q1937" t="str">
        <f t="shared" si="154"/>
        <v>December</v>
      </c>
    </row>
    <row r="1938" spans="1:17" x14ac:dyDescent="0.4">
      <c r="A1938" t="s">
        <v>2319</v>
      </c>
      <c r="B1938" s="1">
        <v>45321</v>
      </c>
      <c r="C1938" t="s">
        <v>109</v>
      </c>
      <c r="D1938" t="s">
        <v>21</v>
      </c>
      <c r="E1938" t="s">
        <v>450</v>
      </c>
      <c r="F1938" t="s">
        <v>16</v>
      </c>
      <c r="G1938">
        <v>3</v>
      </c>
      <c r="H1938">
        <v>398.89</v>
      </c>
      <c r="I1938">
        <v>5</v>
      </c>
      <c r="J1938">
        <v>162.68</v>
      </c>
      <c r="K1938" t="s">
        <v>17</v>
      </c>
      <c r="L1938" t="s">
        <v>33</v>
      </c>
      <c r="M1938">
        <f t="shared" si="150"/>
        <v>1136.8365000000001</v>
      </c>
      <c r="N1938">
        <f t="shared" si="151"/>
        <v>648.79650000000015</v>
      </c>
      <c r="O1938" t="str">
        <f t="shared" si="152"/>
        <v>Tuesday</v>
      </c>
      <c r="P1938" t="b">
        <f t="shared" si="153"/>
        <v>0</v>
      </c>
      <c r="Q1938" t="str">
        <f t="shared" si="154"/>
        <v>January</v>
      </c>
    </row>
    <row r="1939" spans="1:17" x14ac:dyDescent="0.4">
      <c r="A1939" t="s">
        <v>2320</v>
      </c>
      <c r="B1939" s="1">
        <v>45359</v>
      </c>
      <c r="C1939" t="s">
        <v>286</v>
      </c>
      <c r="D1939" t="s">
        <v>46</v>
      </c>
      <c r="E1939" t="s">
        <v>1273</v>
      </c>
      <c r="F1939" t="s">
        <v>23</v>
      </c>
      <c r="G1939">
        <v>4</v>
      </c>
      <c r="H1939">
        <v>2968.19</v>
      </c>
      <c r="I1939">
        <v>5</v>
      </c>
      <c r="J1939">
        <v>1219.1400000000001</v>
      </c>
      <c r="K1939" t="s">
        <v>17</v>
      </c>
      <c r="L1939" t="s">
        <v>18</v>
      </c>
      <c r="M1939">
        <f t="shared" si="150"/>
        <v>11279.121999999999</v>
      </c>
      <c r="N1939">
        <f t="shared" si="151"/>
        <v>6402.561999999999</v>
      </c>
      <c r="O1939" t="str">
        <f t="shared" si="152"/>
        <v>Friday</v>
      </c>
      <c r="P1939" t="b">
        <f t="shared" si="153"/>
        <v>0</v>
      </c>
      <c r="Q1939" t="str">
        <f t="shared" si="154"/>
        <v>March</v>
      </c>
    </row>
    <row r="1940" spans="1:17" x14ac:dyDescent="0.4">
      <c r="A1940" t="s">
        <v>2321</v>
      </c>
      <c r="B1940" s="1">
        <v>45445</v>
      </c>
      <c r="C1940" t="s">
        <v>128</v>
      </c>
      <c r="D1940" t="s">
        <v>31</v>
      </c>
      <c r="E1940" t="s">
        <v>519</v>
      </c>
      <c r="F1940" t="s">
        <v>23</v>
      </c>
      <c r="G1940">
        <v>3</v>
      </c>
      <c r="H1940">
        <v>1830.46</v>
      </c>
      <c r="I1940">
        <v>10</v>
      </c>
      <c r="J1940">
        <v>773.75</v>
      </c>
      <c r="K1940" t="s">
        <v>24</v>
      </c>
      <c r="L1940" t="s">
        <v>18</v>
      </c>
      <c r="M1940">
        <f t="shared" si="150"/>
        <v>4942.2420000000002</v>
      </c>
      <c r="N1940">
        <f t="shared" si="151"/>
        <v>2620.9920000000002</v>
      </c>
      <c r="O1940" t="str">
        <f t="shared" si="152"/>
        <v>Sunday</v>
      </c>
      <c r="P1940" t="b">
        <f t="shared" si="153"/>
        <v>1</v>
      </c>
      <c r="Q1940" t="str">
        <f t="shared" si="154"/>
        <v>June</v>
      </c>
    </row>
    <row r="1941" spans="1:17" x14ac:dyDescent="0.4">
      <c r="A1941" t="s">
        <v>2322</v>
      </c>
      <c r="B1941" s="1">
        <v>45637</v>
      </c>
      <c r="C1941" t="s">
        <v>77</v>
      </c>
      <c r="D1941" t="s">
        <v>14</v>
      </c>
      <c r="E1941" t="s">
        <v>637</v>
      </c>
      <c r="F1941" t="s">
        <v>23</v>
      </c>
      <c r="G1941">
        <v>5</v>
      </c>
      <c r="H1941">
        <v>1424.04</v>
      </c>
      <c r="I1941">
        <v>25</v>
      </c>
      <c r="J1941">
        <v>780.9</v>
      </c>
      <c r="K1941" t="s">
        <v>24</v>
      </c>
      <c r="L1941" t="s">
        <v>33</v>
      </c>
      <c r="M1941">
        <f t="shared" si="150"/>
        <v>5340.15</v>
      </c>
      <c r="N1941">
        <f t="shared" si="151"/>
        <v>1435.6499999999996</v>
      </c>
      <c r="O1941" t="str">
        <f t="shared" si="152"/>
        <v>Wednesday</v>
      </c>
      <c r="P1941" t="b">
        <f t="shared" si="153"/>
        <v>0</v>
      </c>
      <c r="Q1941" t="str">
        <f t="shared" si="154"/>
        <v>December</v>
      </c>
    </row>
    <row r="1942" spans="1:17" x14ac:dyDescent="0.4">
      <c r="A1942" t="s">
        <v>2323</v>
      </c>
      <c r="B1942" s="1">
        <v>45828</v>
      </c>
      <c r="C1942" t="s">
        <v>278</v>
      </c>
      <c r="D1942" t="s">
        <v>31</v>
      </c>
      <c r="E1942" t="s">
        <v>332</v>
      </c>
      <c r="F1942" t="s">
        <v>23</v>
      </c>
      <c r="G1942">
        <v>4</v>
      </c>
      <c r="H1942">
        <v>1223.79</v>
      </c>
      <c r="I1942">
        <v>5</v>
      </c>
      <c r="J1942">
        <v>538.54999999999995</v>
      </c>
      <c r="K1942" t="s">
        <v>17</v>
      </c>
      <c r="L1942" t="s">
        <v>37</v>
      </c>
      <c r="M1942">
        <f t="shared" si="150"/>
        <v>4650.402</v>
      </c>
      <c r="N1942">
        <f t="shared" si="151"/>
        <v>2496.2020000000002</v>
      </c>
      <c r="O1942" t="str">
        <f t="shared" si="152"/>
        <v>Friday</v>
      </c>
      <c r="P1942" t="b">
        <f t="shared" si="153"/>
        <v>0</v>
      </c>
      <c r="Q1942" t="str">
        <f t="shared" si="154"/>
        <v>June</v>
      </c>
    </row>
    <row r="1943" spans="1:17" x14ac:dyDescent="0.4">
      <c r="A1943" t="s">
        <v>2324</v>
      </c>
      <c r="B1943" s="1">
        <v>45800</v>
      </c>
      <c r="C1943" t="s">
        <v>174</v>
      </c>
      <c r="D1943" t="s">
        <v>21</v>
      </c>
      <c r="E1943" t="s">
        <v>741</v>
      </c>
      <c r="F1943" t="s">
        <v>28</v>
      </c>
      <c r="G1943">
        <v>1</v>
      </c>
      <c r="H1943">
        <v>2613.06</v>
      </c>
      <c r="I1943">
        <v>15</v>
      </c>
      <c r="J1943">
        <v>1576.89</v>
      </c>
      <c r="K1943" t="s">
        <v>17</v>
      </c>
      <c r="L1943" t="s">
        <v>37</v>
      </c>
      <c r="M1943">
        <f t="shared" si="150"/>
        <v>2221.1010000000001</v>
      </c>
      <c r="N1943">
        <f t="shared" si="151"/>
        <v>644.21100000000001</v>
      </c>
      <c r="O1943" t="str">
        <f t="shared" si="152"/>
        <v>Friday</v>
      </c>
      <c r="P1943" t="b">
        <f t="shared" si="153"/>
        <v>0</v>
      </c>
      <c r="Q1943" t="str">
        <f t="shared" si="154"/>
        <v>May</v>
      </c>
    </row>
    <row r="1944" spans="1:17" x14ac:dyDescent="0.4">
      <c r="A1944" t="s">
        <v>2325</v>
      </c>
      <c r="B1944" s="1">
        <v>45899</v>
      </c>
      <c r="C1944" t="s">
        <v>278</v>
      </c>
      <c r="D1944" t="s">
        <v>31</v>
      </c>
      <c r="E1944" t="s">
        <v>763</v>
      </c>
      <c r="F1944" t="s">
        <v>23</v>
      </c>
      <c r="G1944">
        <v>5</v>
      </c>
      <c r="H1944">
        <v>391.06</v>
      </c>
      <c r="I1944">
        <v>25</v>
      </c>
      <c r="J1944">
        <v>256.56</v>
      </c>
      <c r="K1944" t="s">
        <v>17</v>
      </c>
      <c r="L1944" t="s">
        <v>37</v>
      </c>
      <c r="M1944">
        <f t="shared" si="150"/>
        <v>1466.4749999999999</v>
      </c>
      <c r="N1944">
        <f t="shared" si="151"/>
        <v>183.67499999999995</v>
      </c>
      <c r="O1944" t="str">
        <f t="shared" si="152"/>
        <v>Saturday</v>
      </c>
      <c r="P1944" t="b">
        <f t="shared" si="153"/>
        <v>1</v>
      </c>
      <c r="Q1944" t="str">
        <f t="shared" si="154"/>
        <v>August</v>
      </c>
    </row>
    <row r="1945" spans="1:17" x14ac:dyDescent="0.4">
      <c r="A1945" t="s">
        <v>2326</v>
      </c>
      <c r="B1945" s="1">
        <v>45761</v>
      </c>
      <c r="C1945" t="s">
        <v>39</v>
      </c>
      <c r="D1945" t="s">
        <v>21</v>
      </c>
      <c r="E1945" t="s">
        <v>958</v>
      </c>
      <c r="F1945" t="s">
        <v>28</v>
      </c>
      <c r="G1945">
        <v>4</v>
      </c>
      <c r="H1945">
        <v>1498.49</v>
      </c>
      <c r="I1945">
        <v>10</v>
      </c>
      <c r="J1945">
        <v>830.53</v>
      </c>
      <c r="K1945" t="s">
        <v>24</v>
      </c>
      <c r="L1945" t="s">
        <v>18</v>
      </c>
      <c r="M1945">
        <f t="shared" si="150"/>
        <v>5394.5640000000003</v>
      </c>
      <c r="N1945">
        <f t="shared" si="151"/>
        <v>2072.4440000000004</v>
      </c>
      <c r="O1945" t="str">
        <f t="shared" si="152"/>
        <v>Monday</v>
      </c>
      <c r="P1945" t="b">
        <f t="shared" si="153"/>
        <v>0</v>
      </c>
      <c r="Q1945" t="str">
        <f t="shared" si="154"/>
        <v>April</v>
      </c>
    </row>
    <row r="1946" spans="1:17" x14ac:dyDescent="0.4">
      <c r="A1946" t="s">
        <v>2327</v>
      </c>
      <c r="B1946" s="1">
        <v>45626</v>
      </c>
      <c r="C1946" t="s">
        <v>146</v>
      </c>
      <c r="D1946" t="s">
        <v>21</v>
      </c>
      <c r="E1946" t="s">
        <v>334</v>
      </c>
      <c r="F1946" t="s">
        <v>23</v>
      </c>
      <c r="G1946">
        <v>1</v>
      </c>
      <c r="H1946">
        <v>839.06</v>
      </c>
      <c r="I1946">
        <v>0</v>
      </c>
      <c r="J1946">
        <v>435.94</v>
      </c>
      <c r="K1946" t="s">
        <v>17</v>
      </c>
      <c r="L1946" t="s">
        <v>33</v>
      </c>
      <c r="M1946">
        <f t="shared" si="150"/>
        <v>839.06</v>
      </c>
      <c r="N1946">
        <f t="shared" si="151"/>
        <v>403.11999999999995</v>
      </c>
      <c r="O1946" t="str">
        <f t="shared" si="152"/>
        <v>Saturday</v>
      </c>
      <c r="P1946" t="b">
        <f t="shared" si="153"/>
        <v>1</v>
      </c>
      <c r="Q1946" t="str">
        <f t="shared" si="154"/>
        <v>November</v>
      </c>
    </row>
    <row r="1947" spans="1:17" x14ac:dyDescent="0.4">
      <c r="A1947" t="s">
        <v>2328</v>
      </c>
      <c r="B1947" s="1">
        <v>45969</v>
      </c>
      <c r="C1947" t="s">
        <v>98</v>
      </c>
      <c r="D1947" t="s">
        <v>46</v>
      </c>
      <c r="E1947" t="s">
        <v>294</v>
      </c>
      <c r="F1947" t="s">
        <v>28</v>
      </c>
      <c r="G1947">
        <v>1</v>
      </c>
      <c r="H1947">
        <v>1645.11</v>
      </c>
      <c r="I1947">
        <v>20</v>
      </c>
      <c r="J1947">
        <v>932.04</v>
      </c>
      <c r="K1947" t="s">
        <v>17</v>
      </c>
      <c r="L1947" t="s">
        <v>37</v>
      </c>
      <c r="M1947">
        <f t="shared" si="150"/>
        <v>1316.088</v>
      </c>
      <c r="N1947">
        <f t="shared" si="151"/>
        <v>384.048</v>
      </c>
      <c r="O1947" t="str">
        <f t="shared" si="152"/>
        <v>Saturday</v>
      </c>
      <c r="P1947" t="b">
        <f t="shared" si="153"/>
        <v>1</v>
      </c>
      <c r="Q1947" t="str">
        <f t="shared" si="154"/>
        <v>November</v>
      </c>
    </row>
    <row r="1948" spans="1:17" x14ac:dyDescent="0.4">
      <c r="A1948" t="s">
        <v>2329</v>
      </c>
      <c r="B1948" s="1">
        <v>45312</v>
      </c>
      <c r="C1948" t="s">
        <v>286</v>
      </c>
      <c r="D1948" t="s">
        <v>21</v>
      </c>
      <c r="E1948" t="s">
        <v>169</v>
      </c>
      <c r="F1948" t="s">
        <v>28</v>
      </c>
      <c r="G1948">
        <v>4</v>
      </c>
      <c r="H1948">
        <v>1933.27</v>
      </c>
      <c r="I1948">
        <v>10</v>
      </c>
      <c r="J1948">
        <v>1147</v>
      </c>
      <c r="K1948" t="s">
        <v>17</v>
      </c>
      <c r="L1948" t="s">
        <v>33</v>
      </c>
      <c r="M1948">
        <f t="shared" si="150"/>
        <v>6959.7719999999999</v>
      </c>
      <c r="N1948">
        <f t="shared" si="151"/>
        <v>2371.7719999999999</v>
      </c>
      <c r="O1948" t="str">
        <f t="shared" si="152"/>
        <v>Sunday</v>
      </c>
      <c r="P1948" t="b">
        <f t="shared" si="153"/>
        <v>1</v>
      </c>
      <c r="Q1948" t="str">
        <f t="shared" si="154"/>
        <v>January</v>
      </c>
    </row>
    <row r="1949" spans="1:17" x14ac:dyDescent="0.4">
      <c r="A1949" t="s">
        <v>2330</v>
      </c>
      <c r="B1949" s="1">
        <v>45671</v>
      </c>
      <c r="C1949" t="s">
        <v>179</v>
      </c>
      <c r="D1949" t="s">
        <v>46</v>
      </c>
      <c r="E1949" t="s">
        <v>1016</v>
      </c>
      <c r="F1949" t="s">
        <v>28</v>
      </c>
      <c r="G1949">
        <v>3</v>
      </c>
      <c r="H1949">
        <v>1767.69</v>
      </c>
      <c r="I1949">
        <v>0</v>
      </c>
      <c r="J1949">
        <v>1090.54</v>
      </c>
      <c r="K1949" t="s">
        <v>24</v>
      </c>
      <c r="L1949" t="s">
        <v>18</v>
      </c>
      <c r="M1949">
        <f t="shared" si="150"/>
        <v>5303.07</v>
      </c>
      <c r="N1949">
        <f t="shared" si="151"/>
        <v>2031.4499999999998</v>
      </c>
      <c r="O1949" t="str">
        <f t="shared" si="152"/>
        <v>Tuesday</v>
      </c>
      <c r="P1949" t="b">
        <f t="shared" si="153"/>
        <v>0</v>
      </c>
      <c r="Q1949" t="str">
        <f t="shared" si="154"/>
        <v>January</v>
      </c>
    </row>
    <row r="1950" spans="1:17" x14ac:dyDescent="0.4">
      <c r="A1950" t="s">
        <v>2331</v>
      </c>
      <c r="B1950" s="1">
        <v>45508</v>
      </c>
      <c r="C1950" t="s">
        <v>375</v>
      </c>
      <c r="D1950" t="s">
        <v>14</v>
      </c>
      <c r="E1950" t="s">
        <v>916</v>
      </c>
      <c r="F1950" t="s">
        <v>28</v>
      </c>
      <c r="G1950">
        <v>2</v>
      </c>
      <c r="H1950">
        <v>2350.77</v>
      </c>
      <c r="I1950">
        <v>30</v>
      </c>
      <c r="J1950">
        <v>1096.5</v>
      </c>
      <c r="K1950" t="s">
        <v>24</v>
      </c>
      <c r="L1950" t="s">
        <v>18</v>
      </c>
      <c r="M1950">
        <f t="shared" si="150"/>
        <v>3291.078</v>
      </c>
      <c r="N1950">
        <f t="shared" si="151"/>
        <v>1098.078</v>
      </c>
      <c r="O1950" t="str">
        <f t="shared" si="152"/>
        <v>Sunday</v>
      </c>
      <c r="P1950" t="b">
        <f t="shared" si="153"/>
        <v>1</v>
      </c>
      <c r="Q1950" t="str">
        <f t="shared" si="154"/>
        <v>August</v>
      </c>
    </row>
    <row r="1951" spans="1:17" x14ac:dyDescent="0.4">
      <c r="A1951" t="s">
        <v>2332</v>
      </c>
      <c r="B1951" s="1">
        <v>45931</v>
      </c>
      <c r="C1951" t="s">
        <v>42</v>
      </c>
      <c r="D1951" t="s">
        <v>46</v>
      </c>
      <c r="E1951" t="s">
        <v>75</v>
      </c>
      <c r="F1951" t="s">
        <v>28</v>
      </c>
      <c r="G1951">
        <v>5</v>
      </c>
      <c r="H1951">
        <v>679.71</v>
      </c>
      <c r="I1951">
        <v>5</v>
      </c>
      <c r="J1951">
        <v>403.58</v>
      </c>
      <c r="K1951" t="s">
        <v>24</v>
      </c>
      <c r="L1951" t="s">
        <v>37</v>
      </c>
      <c r="M1951">
        <f t="shared" si="150"/>
        <v>3228.6224999999999</v>
      </c>
      <c r="N1951">
        <f t="shared" si="151"/>
        <v>1210.7225000000001</v>
      </c>
      <c r="O1951" t="str">
        <f t="shared" si="152"/>
        <v>Wednesday</v>
      </c>
      <c r="P1951" t="b">
        <f t="shared" si="153"/>
        <v>0</v>
      </c>
      <c r="Q1951" t="str">
        <f t="shared" si="154"/>
        <v>October</v>
      </c>
    </row>
    <row r="1952" spans="1:17" x14ac:dyDescent="0.4">
      <c r="A1952" t="s">
        <v>2333</v>
      </c>
      <c r="B1952" s="1">
        <v>45694</v>
      </c>
      <c r="C1952" t="s">
        <v>51</v>
      </c>
      <c r="D1952" t="s">
        <v>46</v>
      </c>
      <c r="E1952" t="s">
        <v>534</v>
      </c>
      <c r="F1952" t="s">
        <v>16</v>
      </c>
      <c r="G1952">
        <v>2</v>
      </c>
      <c r="H1952">
        <v>2459.31</v>
      </c>
      <c r="I1952">
        <v>5</v>
      </c>
      <c r="J1952">
        <v>1678.32</v>
      </c>
      <c r="K1952" t="s">
        <v>17</v>
      </c>
      <c r="L1952" t="s">
        <v>18</v>
      </c>
      <c r="M1952">
        <f t="shared" si="150"/>
        <v>4672.6889999999994</v>
      </c>
      <c r="N1952">
        <f t="shared" si="151"/>
        <v>1316.0489999999995</v>
      </c>
      <c r="O1952" t="str">
        <f t="shared" si="152"/>
        <v>Thursday</v>
      </c>
      <c r="P1952" t="b">
        <f t="shared" si="153"/>
        <v>0</v>
      </c>
      <c r="Q1952" t="str">
        <f t="shared" si="154"/>
        <v>February</v>
      </c>
    </row>
    <row r="1953" spans="1:17" x14ac:dyDescent="0.4">
      <c r="A1953" t="s">
        <v>2334</v>
      </c>
      <c r="B1953" s="1">
        <v>45845</v>
      </c>
      <c r="C1953" t="s">
        <v>144</v>
      </c>
      <c r="D1953" t="s">
        <v>14</v>
      </c>
      <c r="E1953" t="s">
        <v>202</v>
      </c>
      <c r="F1953" t="s">
        <v>28</v>
      </c>
      <c r="G1953">
        <v>5</v>
      </c>
      <c r="H1953">
        <v>628.35</v>
      </c>
      <c r="I1953">
        <v>5</v>
      </c>
      <c r="J1953">
        <v>350.4</v>
      </c>
      <c r="K1953" t="s">
        <v>24</v>
      </c>
      <c r="L1953" t="s">
        <v>18</v>
      </c>
      <c r="M1953">
        <f t="shared" si="150"/>
        <v>2984.6624999999999</v>
      </c>
      <c r="N1953">
        <f t="shared" si="151"/>
        <v>1232.6624999999999</v>
      </c>
      <c r="O1953" t="str">
        <f t="shared" si="152"/>
        <v>Monday</v>
      </c>
      <c r="P1953" t="b">
        <f t="shared" si="153"/>
        <v>0</v>
      </c>
      <c r="Q1953" t="str">
        <f t="shared" si="154"/>
        <v>July</v>
      </c>
    </row>
    <row r="1954" spans="1:17" x14ac:dyDescent="0.4">
      <c r="A1954" t="s">
        <v>2335</v>
      </c>
      <c r="B1954" s="1">
        <v>45881</v>
      </c>
      <c r="C1954" t="s">
        <v>45</v>
      </c>
      <c r="D1954" t="s">
        <v>31</v>
      </c>
      <c r="E1954" t="s">
        <v>973</v>
      </c>
      <c r="F1954" t="s">
        <v>28</v>
      </c>
      <c r="G1954">
        <v>1</v>
      </c>
      <c r="H1954">
        <v>1628.78</v>
      </c>
      <c r="I1954">
        <v>30</v>
      </c>
      <c r="J1954">
        <v>652.52</v>
      </c>
      <c r="K1954" t="s">
        <v>24</v>
      </c>
      <c r="L1954" t="s">
        <v>37</v>
      </c>
      <c r="M1954">
        <f t="shared" si="150"/>
        <v>1140.146</v>
      </c>
      <c r="N1954">
        <f t="shared" si="151"/>
        <v>487.62599999999998</v>
      </c>
      <c r="O1954" t="str">
        <f t="shared" si="152"/>
        <v>Tuesday</v>
      </c>
      <c r="P1954" t="b">
        <f t="shared" si="153"/>
        <v>0</v>
      </c>
      <c r="Q1954" t="str">
        <f t="shared" si="154"/>
        <v>August</v>
      </c>
    </row>
    <row r="1955" spans="1:17" x14ac:dyDescent="0.4">
      <c r="A1955" t="s">
        <v>2336</v>
      </c>
      <c r="B1955" s="1">
        <v>45531</v>
      </c>
      <c r="C1955" t="s">
        <v>54</v>
      </c>
      <c r="D1955" t="s">
        <v>14</v>
      </c>
      <c r="E1955" t="s">
        <v>40</v>
      </c>
      <c r="F1955" t="s">
        <v>28</v>
      </c>
      <c r="G1955">
        <v>1</v>
      </c>
      <c r="H1955">
        <v>2099.5</v>
      </c>
      <c r="I1955">
        <v>10</v>
      </c>
      <c r="J1955">
        <v>933.27</v>
      </c>
      <c r="K1955" t="s">
        <v>24</v>
      </c>
      <c r="L1955" t="s">
        <v>33</v>
      </c>
      <c r="M1955">
        <f t="shared" si="150"/>
        <v>1889.55</v>
      </c>
      <c r="N1955">
        <f t="shared" si="151"/>
        <v>956.28</v>
      </c>
      <c r="O1955" t="str">
        <f t="shared" si="152"/>
        <v>Tuesday</v>
      </c>
      <c r="P1955" t="b">
        <f t="shared" si="153"/>
        <v>0</v>
      </c>
      <c r="Q1955" t="str">
        <f t="shared" si="154"/>
        <v>August</v>
      </c>
    </row>
    <row r="1956" spans="1:17" x14ac:dyDescent="0.4">
      <c r="A1956" t="s">
        <v>2337</v>
      </c>
      <c r="B1956" s="1">
        <v>45378</v>
      </c>
      <c r="C1956" t="s">
        <v>286</v>
      </c>
      <c r="D1956" t="s">
        <v>46</v>
      </c>
      <c r="E1956" t="s">
        <v>36</v>
      </c>
      <c r="F1956" t="s">
        <v>23</v>
      </c>
      <c r="G1956">
        <v>5</v>
      </c>
      <c r="H1956">
        <v>1978.71</v>
      </c>
      <c r="I1956">
        <v>15</v>
      </c>
      <c r="J1956">
        <v>1191.02</v>
      </c>
      <c r="K1956" t="s">
        <v>17</v>
      </c>
      <c r="L1956" t="s">
        <v>33</v>
      </c>
      <c r="M1956">
        <f t="shared" si="150"/>
        <v>8409.5174999999999</v>
      </c>
      <c r="N1956">
        <f t="shared" si="151"/>
        <v>2454.4174999999996</v>
      </c>
      <c r="O1956" t="str">
        <f t="shared" si="152"/>
        <v>Wednesday</v>
      </c>
      <c r="P1956" t="b">
        <f t="shared" si="153"/>
        <v>0</v>
      </c>
      <c r="Q1956" t="str">
        <f t="shared" si="154"/>
        <v>March</v>
      </c>
    </row>
    <row r="1957" spans="1:17" x14ac:dyDescent="0.4">
      <c r="A1957" t="s">
        <v>2338</v>
      </c>
      <c r="B1957" s="1">
        <v>45884</v>
      </c>
      <c r="C1957" t="s">
        <v>278</v>
      </c>
      <c r="D1957" t="s">
        <v>31</v>
      </c>
      <c r="E1957" t="s">
        <v>202</v>
      </c>
      <c r="F1957" t="s">
        <v>16</v>
      </c>
      <c r="G1957">
        <v>1</v>
      </c>
      <c r="H1957">
        <v>1750.04</v>
      </c>
      <c r="I1957">
        <v>25</v>
      </c>
      <c r="J1957">
        <v>1102.6300000000001</v>
      </c>
      <c r="K1957" t="s">
        <v>17</v>
      </c>
      <c r="L1957" t="s">
        <v>33</v>
      </c>
      <c r="M1957">
        <f t="shared" si="150"/>
        <v>1312.53</v>
      </c>
      <c r="N1957">
        <f t="shared" si="151"/>
        <v>209.89999999999986</v>
      </c>
      <c r="O1957" t="str">
        <f t="shared" si="152"/>
        <v>Friday</v>
      </c>
      <c r="P1957" t="b">
        <f t="shared" si="153"/>
        <v>0</v>
      </c>
      <c r="Q1957" t="str">
        <f t="shared" si="154"/>
        <v>August</v>
      </c>
    </row>
    <row r="1958" spans="1:17" x14ac:dyDescent="0.4">
      <c r="A1958" t="s">
        <v>2339</v>
      </c>
      <c r="B1958" s="1">
        <v>45457</v>
      </c>
      <c r="C1958" t="s">
        <v>39</v>
      </c>
      <c r="D1958" t="s">
        <v>31</v>
      </c>
      <c r="E1958" t="s">
        <v>546</v>
      </c>
      <c r="F1958" t="s">
        <v>28</v>
      </c>
      <c r="G1958">
        <v>3</v>
      </c>
      <c r="H1958">
        <v>1061.5</v>
      </c>
      <c r="I1958">
        <v>15</v>
      </c>
      <c r="J1958">
        <v>583.84</v>
      </c>
      <c r="K1958" t="s">
        <v>17</v>
      </c>
      <c r="L1958" t="s">
        <v>37</v>
      </c>
      <c r="M1958">
        <f t="shared" si="150"/>
        <v>2706.8249999999998</v>
      </c>
      <c r="N1958">
        <f t="shared" si="151"/>
        <v>955.30499999999984</v>
      </c>
      <c r="O1958" t="str">
        <f t="shared" si="152"/>
        <v>Friday</v>
      </c>
      <c r="P1958" t="b">
        <f t="shared" si="153"/>
        <v>0</v>
      </c>
      <c r="Q1958" t="str">
        <f t="shared" si="154"/>
        <v>June</v>
      </c>
    </row>
    <row r="1959" spans="1:17" x14ac:dyDescent="0.4">
      <c r="A1959" t="s">
        <v>2340</v>
      </c>
      <c r="B1959" s="1">
        <v>45950</v>
      </c>
      <c r="C1959" t="s">
        <v>226</v>
      </c>
      <c r="D1959" t="s">
        <v>21</v>
      </c>
      <c r="E1959" t="s">
        <v>157</v>
      </c>
      <c r="F1959" t="s">
        <v>16</v>
      </c>
      <c r="G1959">
        <v>4</v>
      </c>
      <c r="H1959">
        <v>371.84</v>
      </c>
      <c r="I1959">
        <v>10</v>
      </c>
      <c r="J1959">
        <v>224.76</v>
      </c>
      <c r="K1959" t="s">
        <v>17</v>
      </c>
      <c r="L1959" t="s">
        <v>33</v>
      </c>
      <c r="M1959">
        <f t="shared" si="150"/>
        <v>1338.624</v>
      </c>
      <c r="N1959">
        <f t="shared" si="151"/>
        <v>439.58400000000006</v>
      </c>
      <c r="O1959" t="str">
        <f t="shared" si="152"/>
        <v>Monday</v>
      </c>
      <c r="P1959" t="b">
        <f t="shared" si="153"/>
        <v>0</v>
      </c>
      <c r="Q1959" t="str">
        <f t="shared" si="154"/>
        <v>October</v>
      </c>
    </row>
    <row r="1960" spans="1:17" x14ac:dyDescent="0.4">
      <c r="A1960" t="s">
        <v>2341</v>
      </c>
      <c r="B1960" s="1">
        <v>45949</v>
      </c>
      <c r="C1960" t="s">
        <v>86</v>
      </c>
      <c r="D1960" t="s">
        <v>31</v>
      </c>
      <c r="E1960" t="s">
        <v>841</v>
      </c>
      <c r="F1960" t="s">
        <v>23</v>
      </c>
      <c r="G1960">
        <v>4</v>
      </c>
      <c r="H1960">
        <v>2854.56</v>
      </c>
      <c r="I1960">
        <v>25</v>
      </c>
      <c r="J1960">
        <v>1230.56</v>
      </c>
      <c r="K1960" t="s">
        <v>24</v>
      </c>
      <c r="L1960" t="s">
        <v>37</v>
      </c>
      <c r="M1960">
        <f t="shared" si="150"/>
        <v>8563.68</v>
      </c>
      <c r="N1960">
        <f t="shared" si="151"/>
        <v>3641.4400000000005</v>
      </c>
      <c r="O1960" t="str">
        <f t="shared" si="152"/>
        <v>Sunday</v>
      </c>
      <c r="P1960" t="b">
        <f t="shared" si="153"/>
        <v>1</v>
      </c>
      <c r="Q1960" t="str">
        <f t="shared" si="154"/>
        <v>October</v>
      </c>
    </row>
    <row r="1961" spans="1:17" x14ac:dyDescent="0.4">
      <c r="A1961" t="s">
        <v>2342</v>
      </c>
      <c r="B1961" s="1">
        <v>45425</v>
      </c>
      <c r="C1961" t="s">
        <v>114</v>
      </c>
      <c r="D1961" t="s">
        <v>31</v>
      </c>
      <c r="E1961" t="s">
        <v>1526</v>
      </c>
      <c r="F1961" t="s">
        <v>23</v>
      </c>
      <c r="G1961">
        <v>2</v>
      </c>
      <c r="H1961">
        <v>481.38</v>
      </c>
      <c r="I1961">
        <v>20</v>
      </c>
      <c r="J1961">
        <v>227.58</v>
      </c>
      <c r="K1961" t="s">
        <v>24</v>
      </c>
      <c r="L1961" t="s">
        <v>18</v>
      </c>
      <c r="M1961">
        <f t="shared" si="150"/>
        <v>770.20800000000008</v>
      </c>
      <c r="N1961">
        <f t="shared" si="151"/>
        <v>315.04800000000006</v>
      </c>
      <c r="O1961" t="str">
        <f t="shared" si="152"/>
        <v>Monday</v>
      </c>
      <c r="P1961" t="b">
        <f t="shared" si="153"/>
        <v>0</v>
      </c>
      <c r="Q1961" t="str">
        <f t="shared" si="154"/>
        <v>May</v>
      </c>
    </row>
    <row r="1962" spans="1:17" x14ac:dyDescent="0.4">
      <c r="A1962" t="s">
        <v>2343</v>
      </c>
      <c r="B1962" s="1">
        <v>45951</v>
      </c>
      <c r="C1962" t="s">
        <v>128</v>
      </c>
      <c r="D1962" t="s">
        <v>21</v>
      </c>
      <c r="E1962" t="s">
        <v>430</v>
      </c>
      <c r="F1962" t="s">
        <v>28</v>
      </c>
      <c r="G1962">
        <v>1</v>
      </c>
      <c r="H1962">
        <v>2589.66</v>
      </c>
      <c r="I1962">
        <v>5</v>
      </c>
      <c r="J1962">
        <v>1470.49</v>
      </c>
      <c r="K1962" t="s">
        <v>17</v>
      </c>
      <c r="L1962" t="s">
        <v>33</v>
      </c>
      <c r="M1962">
        <f t="shared" si="150"/>
        <v>2460.1769999999997</v>
      </c>
      <c r="N1962">
        <f t="shared" si="151"/>
        <v>989.68699999999967</v>
      </c>
      <c r="O1962" t="str">
        <f t="shared" si="152"/>
        <v>Tuesday</v>
      </c>
      <c r="P1962" t="b">
        <f t="shared" si="153"/>
        <v>0</v>
      </c>
      <c r="Q1962" t="str">
        <f t="shared" si="154"/>
        <v>October</v>
      </c>
    </row>
    <row r="1963" spans="1:17" x14ac:dyDescent="0.4">
      <c r="A1963" t="s">
        <v>2344</v>
      </c>
      <c r="B1963" s="1">
        <v>45923</v>
      </c>
      <c r="C1963" t="s">
        <v>92</v>
      </c>
      <c r="D1963" t="s">
        <v>46</v>
      </c>
      <c r="E1963" t="s">
        <v>1041</v>
      </c>
      <c r="F1963" t="s">
        <v>16</v>
      </c>
      <c r="G1963">
        <v>4</v>
      </c>
      <c r="H1963">
        <v>1414.19</v>
      </c>
      <c r="I1963">
        <v>5</v>
      </c>
      <c r="J1963">
        <v>839.93</v>
      </c>
      <c r="K1963" t="s">
        <v>17</v>
      </c>
      <c r="L1963" t="s">
        <v>37</v>
      </c>
      <c r="M1963">
        <f t="shared" si="150"/>
        <v>5373.9219999999996</v>
      </c>
      <c r="N1963">
        <f t="shared" si="151"/>
        <v>2014.2019999999998</v>
      </c>
      <c r="O1963" t="str">
        <f t="shared" si="152"/>
        <v>Tuesday</v>
      </c>
      <c r="P1963" t="b">
        <f t="shared" si="153"/>
        <v>0</v>
      </c>
      <c r="Q1963" t="str">
        <f t="shared" si="154"/>
        <v>September</v>
      </c>
    </row>
    <row r="1964" spans="1:17" x14ac:dyDescent="0.4">
      <c r="A1964" t="s">
        <v>2345</v>
      </c>
      <c r="B1964" s="1">
        <v>45870</v>
      </c>
      <c r="C1964" t="s">
        <v>114</v>
      </c>
      <c r="D1964" t="s">
        <v>14</v>
      </c>
      <c r="E1964" t="s">
        <v>394</v>
      </c>
      <c r="F1964" t="s">
        <v>23</v>
      </c>
      <c r="G1964">
        <v>4</v>
      </c>
      <c r="H1964">
        <v>2054.11</v>
      </c>
      <c r="I1964">
        <v>0</v>
      </c>
      <c r="J1964">
        <v>1140.21</v>
      </c>
      <c r="K1964" t="s">
        <v>24</v>
      </c>
      <c r="L1964" t="s">
        <v>37</v>
      </c>
      <c r="M1964">
        <f t="shared" si="150"/>
        <v>8216.44</v>
      </c>
      <c r="N1964">
        <f t="shared" si="151"/>
        <v>3655.6000000000004</v>
      </c>
      <c r="O1964" t="str">
        <f t="shared" si="152"/>
        <v>Friday</v>
      </c>
      <c r="P1964" t="b">
        <f t="shared" si="153"/>
        <v>0</v>
      </c>
      <c r="Q1964" t="str">
        <f t="shared" si="154"/>
        <v>August</v>
      </c>
    </row>
    <row r="1965" spans="1:17" x14ac:dyDescent="0.4">
      <c r="A1965" t="s">
        <v>2346</v>
      </c>
      <c r="B1965" s="1">
        <v>45901</v>
      </c>
      <c r="C1965" t="s">
        <v>193</v>
      </c>
      <c r="D1965" t="s">
        <v>21</v>
      </c>
      <c r="E1965" t="s">
        <v>262</v>
      </c>
      <c r="F1965" t="s">
        <v>16</v>
      </c>
      <c r="G1965">
        <v>2</v>
      </c>
      <c r="H1965">
        <v>1652.01</v>
      </c>
      <c r="I1965">
        <v>10</v>
      </c>
      <c r="J1965">
        <v>759.76</v>
      </c>
      <c r="K1965" t="s">
        <v>17</v>
      </c>
      <c r="L1965" t="s">
        <v>18</v>
      </c>
      <c r="M1965">
        <f t="shared" si="150"/>
        <v>2973.6179999999999</v>
      </c>
      <c r="N1965">
        <f t="shared" si="151"/>
        <v>1454.098</v>
      </c>
      <c r="O1965" t="str">
        <f t="shared" si="152"/>
        <v>Monday</v>
      </c>
      <c r="P1965" t="b">
        <f t="shared" si="153"/>
        <v>0</v>
      </c>
      <c r="Q1965" t="str">
        <f t="shared" si="154"/>
        <v>September</v>
      </c>
    </row>
    <row r="1966" spans="1:17" x14ac:dyDescent="0.4">
      <c r="A1966" t="s">
        <v>2347</v>
      </c>
      <c r="B1966" s="1">
        <v>45693</v>
      </c>
      <c r="C1966" t="s">
        <v>51</v>
      </c>
      <c r="D1966" t="s">
        <v>14</v>
      </c>
      <c r="E1966" t="s">
        <v>167</v>
      </c>
      <c r="F1966" t="s">
        <v>16</v>
      </c>
      <c r="G1966">
        <v>3</v>
      </c>
      <c r="H1966">
        <v>541.19000000000005</v>
      </c>
      <c r="I1966">
        <v>10</v>
      </c>
      <c r="J1966">
        <v>305.2</v>
      </c>
      <c r="K1966" t="s">
        <v>17</v>
      </c>
      <c r="L1966" t="s">
        <v>37</v>
      </c>
      <c r="M1966">
        <f t="shared" si="150"/>
        <v>1461.2130000000002</v>
      </c>
      <c r="N1966">
        <f t="shared" si="151"/>
        <v>545.61300000000028</v>
      </c>
      <c r="O1966" t="str">
        <f t="shared" si="152"/>
        <v>Wednesday</v>
      </c>
      <c r="P1966" t="b">
        <f t="shared" si="153"/>
        <v>0</v>
      </c>
      <c r="Q1966" t="str">
        <f t="shared" si="154"/>
        <v>February</v>
      </c>
    </row>
    <row r="1967" spans="1:17" x14ac:dyDescent="0.4">
      <c r="A1967" t="s">
        <v>2348</v>
      </c>
      <c r="B1967" s="1">
        <v>45665</v>
      </c>
      <c r="C1967" t="s">
        <v>190</v>
      </c>
      <c r="D1967" t="s">
        <v>46</v>
      </c>
      <c r="E1967" t="s">
        <v>123</v>
      </c>
      <c r="F1967" t="s">
        <v>23</v>
      </c>
      <c r="G1967">
        <v>1</v>
      </c>
      <c r="H1967">
        <v>592.51</v>
      </c>
      <c r="I1967">
        <v>20</v>
      </c>
      <c r="J1967">
        <v>352.13</v>
      </c>
      <c r="K1967" t="s">
        <v>17</v>
      </c>
      <c r="L1967" t="s">
        <v>33</v>
      </c>
      <c r="M1967">
        <f t="shared" si="150"/>
        <v>474.00800000000004</v>
      </c>
      <c r="N1967">
        <f t="shared" si="151"/>
        <v>121.87800000000004</v>
      </c>
      <c r="O1967" t="str">
        <f t="shared" si="152"/>
        <v>Wednesday</v>
      </c>
      <c r="P1967" t="b">
        <f t="shared" si="153"/>
        <v>0</v>
      </c>
      <c r="Q1967" t="str">
        <f t="shared" si="154"/>
        <v>January</v>
      </c>
    </row>
    <row r="1968" spans="1:17" x14ac:dyDescent="0.4">
      <c r="A1968" t="s">
        <v>2349</v>
      </c>
      <c r="B1968" s="1">
        <v>45882</v>
      </c>
      <c r="C1968" t="s">
        <v>185</v>
      </c>
      <c r="D1968" t="s">
        <v>46</v>
      </c>
      <c r="E1968" t="s">
        <v>858</v>
      </c>
      <c r="F1968" t="s">
        <v>16</v>
      </c>
      <c r="G1968">
        <v>4</v>
      </c>
      <c r="H1968">
        <v>1402.29</v>
      </c>
      <c r="I1968">
        <v>10</v>
      </c>
      <c r="J1968">
        <v>976.7</v>
      </c>
      <c r="K1968" t="s">
        <v>24</v>
      </c>
      <c r="L1968" t="s">
        <v>33</v>
      </c>
      <c r="M1968">
        <f t="shared" si="150"/>
        <v>5048.2439999999997</v>
      </c>
      <c r="N1968">
        <f t="shared" si="151"/>
        <v>1141.4439999999995</v>
      </c>
      <c r="O1968" t="str">
        <f t="shared" si="152"/>
        <v>Wednesday</v>
      </c>
      <c r="P1968" t="b">
        <f t="shared" si="153"/>
        <v>0</v>
      </c>
      <c r="Q1968" t="str">
        <f t="shared" si="154"/>
        <v>August</v>
      </c>
    </row>
    <row r="1969" spans="1:17" x14ac:dyDescent="0.4">
      <c r="A1969" t="s">
        <v>2350</v>
      </c>
      <c r="B1969" s="1">
        <v>45875</v>
      </c>
      <c r="C1969" t="s">
        <v>128</v>
      </c>
      <c r="D1969" t="s">
        <v>46</v>
      </c>
      <c r="E1969" t="s">
        <v>216</v>
      </c>
      <c r="F1969" t="s">
        <v>16</v>
      </c>
      <c r="G1969">
        <v>2</v>
      </c>
      <c r="H1969">
        <v>2551.52</v>
      </c>
      <c r="I1969">
        <v>20</v>
      </c>
      <c r="J1969">
        <v>1503.61</v>
      </c>
      <c r="K1969" t="s">
        <v>17</v>
      </c>
      <c r="L1969" t="s">
        <v>18</v>
      </c>
      <c r="M1969">
        <f t="shared" si="150"/>
        <v>4082.4320000000002</v>
      </c>
      <c r="N1969">
        <f t="shared" si="151"/>
        <v>1075.2120000000004</v>
      </c>
      <c r="O1969" t="str">
        <f t="shared" si="152"/>
        <v>Wednesday</v>
      </c>
      <c r="P1969" t="b">
        <f t="shared" si="153"/>
        <v>0</v>
      </c>
      <c r="Q1969" t="str">
        <f t="shared" si="154"/>
        <v>August</v>
      </c>
    </row>
    <row r="1970" spans="1:17" x14ac:dyDescent="0.4">
      <c r="A1970" t="s">
        <v>2351</v>
      </c>
      <c r="B1970" s="1">
        <v>45976</v>
      </c>
      <c r="C1970" t="s">
        <v>296</v>
      </c>
      <c r="D1970" t="s">
        <v>14</v>
      </c>
      <c r="E1970" t="s">
        <v>188</v>
      </c>
      <c r="F1970" t="s">
        <v>28</v>
      </c>
      <c r="G1970">
        <v>2</v>
      </c>
      <c r="H1970">
        <v>1335.29</v>
      </c>
      <c r="I1970">
        <v>20</v>
      </c>
      <c r="J1970">
        <v>634.66</v>
      </c>
      <c r="K1970" t="s">
        <v>17</v>
      </c>
      <c r="L1970" t="s">
        <v>33</v>
      </c>
      <c r="M1970">
        <f t="shared" si="150"/>
        <v>2136.4639999999999</v>
      </c>
      <c r="N1970">
        <f t="shared" si="151"/>
        <v>867.14400000000001</v>
      </c>
      <c r="O1970" t="str">
        <f t="shared" si="152"/>
        <v>Saturday</v>
      </c>
      <c r="P1970" t="b">
        <f t="shared" si="153"/>
        <v>1</v>
      </c>
      <c r="Q1970" t="str">
        <f t="shared" si="154"/>
        <v>November</v>
      </c>
    </row>
    <row r="1971" spans="1:17" x14ac:dyDescent="0.4">
      <c r="A1971" t="s">
        <v>2352</v>
      </c>
      <c r="B1971" s="1">
        <v>45902</v>
      </c>
      <c r="C1971" t="s">
        <v>193</v>
      </c>
      <c r="D1971" t="s">
        <v>21</v>
      </c>
      <c r="E1971" t="s">
        <v>32</v>
      </c>
      <c r="F1971" t="s">
        <v>16</v>
      </c>
      <c r="G1971">
        <v>3</v>
      </c>
      <c r="H1971">
        <v>2731.19</v>
      </c>
      <c r="I1971">
        <v>15</v>
      </c>
      <c r="J1971">
        <v>1535.04</v>
      </c>
      <c r="K1971" t="s">
        <v>17</v>
      </c>
      <c r="L1971" t="s">
        <v>18</v>
      </c>
      <c r="M1971">
        <f t="shared" si="150"/>
        <v>6964.5344999999998</v>
      </c>
      <c r="N1971">
        <f t="shared" si="151"/>
        <v>2359.4144999999999</v>
      </c>
      <c r="O1971" t="str">
        <f t="shared" si="152"/>
        <v>Tuesday</v>
      </c>
      <c r="P1971" t="b">
        <f t="shared" si="153"/>
        <v>0</v>
      </c>
      <c r="Q1971" t="str">
        <f t="shared" si="154"/>
        <v>September</v>
      </c>
    </row>
    <row r="1972" spans="1:17" x14ac:dyDescent="0.4">
      <c r="A1972" t="s">
        <v>2353</v>
      </c>
      <c r="B1972" s="1">
        <v>45910</v>
      </c>
      <c r="C1972" t="s">
        <v>54</v>
      </c>
      <c r="D1972" t="s">
        <v>46</v>
      </c>
      <c r="E1972" t="s">
        <v>996</v>
      </c>
      <c r="F1972" t="s">
        <v>23</v>
      </c>
      <c r="G1972">
        <v>3</v>
      </c>
      <c r="H1972">
        <v>974.85</v>
      </c>
      <c r="I1972">
        <v>10</v>
      </c>
      <c r="J1972">
        <v>613.17999999999995</v>
      </c>
      <c r="K1972" t="s">
        <v>24</v>
      </c>
      <c r="L1972" t="s">
        <v>18</v>
      </c>
      <c r="M1972">
        <f t="shared" si="150"/>
        <v>2632.0950000000003</v>
      </c>
      <c r="N1972">
        <f t="shared" si="151"/>
        <v>792.55500000000029</v>
      </c>
      <c r="O1972" t="str">
        <f t="shared" si="152"/>
        <v>Wednesday</v>
      </c>
      <c r="P1972" t="b">
        <f t="shared" si="153"/>
        <v>0</v>
      </c>
      <c r="Q1972" t="str">
        <f t="shared" si="154"/>
        <v>September</v>
      </c>
    </row>
    <row r="1973" spans="1:17" x14ac:dyDescent="0.4">
      <c r="A1973" t="s">
        <v>2354</v>
      </c>
      <c r="B1973" s="1">
        <v>45746</v>
      </c>
      <c r="C1973" t="s">
        <v>35</v>
      </c>
      <c r="D1973" t="s">
        <v>31</v>
      </c>
      <c r="E1973" t="s">
        <v>621</v>
      </c>
      <c r="F1973" t="s">
        <v>23</v>
      </c>
      <c r="G1973">
        <v>2</v>
      </c>
      <c r="H1973">
        <v>2003.88</v>
      </c>
      <c r="I1973">
        <v>5</v>
      </c>
      <c r="J1973">
        <v>1236.05</v>
      </c>
      <c r="K1973" t="s">
        <v>17</v>
      </c>
      <c r="L1973" t="s">
        <v>37</v>
      </c>
      <c r="M1973">
        <f t="shared" si="150"/>
        <v>3807.3719999999998</v>
      </c>
      <c r="N1973">
        <f t="shared" si="151"/>
        <v>1335.2719999999999</v>
      </c>
      <c r="O1973" t="str">
        <f t="shared" si="152"/>
        <v>Sunday</v>
      </c>
      <c r="P1973" t="b">
        <f t="shared" si="153"/>
        <v>1</v>
      </c>
      <c r="Q1973" t="str">
        <f t="shared" si="154"/>
        <v>March</v>
      </c>
    </row>
    <row r="1974" spans="1:17" x14ac:dyDescent="0.4">
      <c r="A1974" t="s">
        <v>2355</v>
      </c>
      <c r="B1974" s="1">
        <v>45705</v>
      </c>
      <c r="C1974" t="s">
        <v>309</v>
      </c>
      <c r="D1974" t="s">
        <v>46</v>
      </c>
      <c r="E1974" t="s">
        <v>265</v>
      </c>
      <c r="F1974" t="s">
        <v>28</v>
      </c>
      <c r="G1974">
        <v>5</v>
      </c>
      <c r="H1974">
        <v>2894.6</v>
      </c>
      <c r="I1974">
        <v>5</v>
      </c>
      <c r="J1974">
        <v>1432.09</v>
      </c>
      <c r="K1974" t="s">
        <v>17</v>
      </c>
      <c r="L1974" t="s">
        <v>37</v>
      </c>
      <c r="M1974">
        <f t="shared" si="150"/>
        <v>13749.349999999999</v>
      </c>
      <c r="N1974">
        <f t="shared" si="151"/>
        <v>6588.8999999999987</v>
      </c>
      <c r="O1974" t="str">
        <f t="shared" si="152"/>
        <v>Monday</v>
      </c>
      <c r="P1974" t="b">
        <f t="shared" si="153"/>
        <v>0</v>
      </c>
      <c r="Q1974" t="str">
        <f t="shared" si="154"/>
        <v>February</v>
      </c>
    </row>
    <row r="1975" spans="1:17" x14ac:dyDescent="0.4">
      <c r="A1975" t="s">
        <v>2356</v>
      </c>
      <c r="B1975" s="1">
        <v>45977</v>
      </c>
      <c r="C1975" t="s">
        <v>77</v>
      </c>
      <c r="D1975" t="s">
        <v>21</v>
      </c>
      <c r="E1975" t="s">
        <v>371</v>
      </c>
      <c r="F1975" t="s">
        <v>23</v>
      </c>
      <c r="G1975">
        <v>5</v>
      </c>
      <c r="H1975">
        <v>2767.44</v>
      </c>
      <c r="I1975">
        <v>20</v>
      </c>
      <c r="J1975">
        <v>1509.65</v>
      </c>
      <c r="K1975" t="s">
        <v>24</v>
      </c>
      <c r="L1975" t="s">
        <v>37</v>
      </c>
      <c r="M1975">
        <f t="shared" si="150"/>
        <v>11069.760000000002</v>
      </c>
      <c r="N1975">
        <f t="shared" si="151"/>
        <v>3521.510000000002</v>
      </c>
      <c r="O1975" t="str">
        <f t="shared" si="152"/>
        <v>Sunday</v>
      </c>
      <c r="P1975" t="b">
        <f t="shared" si="153"/>
        <v>1</v>
      </c>
      <c r="Q1975" t="str">
        <f t="shared" si="154"/>
        <v>November</v>
      </c>
    </row>
    <row r="1976" spans="1:17" x14ac:dyDescent="0.4">
      <c r="A1976" t="s">
        <v>2357</v>
      </c>
      <c r="B1976" s="1">
        <v>45787</v>
      </c>
      <c r="C1976" t="s">
        <v>296</v>
      </c>
      <c r="D1976" t="s">
        <v>31</v>
      </c>
      <c r="E1976" t="s">
        <v>40</v>
      </c>
      <c r="F1976" t="s">
        <v>28</v>
      </c>
      <c r="G1976">
        <v>2</v>
      </c>
      <c r="H1976">
        <v>2379.11</v>
      </c>
      <c r="I1976">
        <v>20</v>
      </c>
      <c r="J1976">
        <v>1309.1500000000001</v>
      </c>
      <c r="K1976" t="s">
        <v>17</v>
      </c>
      <c r="L1976" t="s">
        <v>33</v>
      </c>
      <c r="M1976">
        <f t="shared" si="150"/>
        <v>3806.5760000000005</v>
      </c>
      <c r="N1976">
        <f t="shared" si="151"/>
        <v>1188.2760000000003</v>
      </c>
      <c r="O1976" t="str">
        <f t="shared" si="152"/>
        <v>Saturday</v>
      </c>
      <c r="P1976" t="b">
        <f t="shared" si="153"/>
        <v>1</v>
      </c>
      <c r="Q1976" t="str">
        <f t="shared" si="154"/>
        <v>May</v>
      </c>
    </row>
    <row r="1977" spans="1:17" x14ac:dyDescent="0.4">
      <c r="A1977" t="s">
        <v>2358</v>
      </c>
      <c r="B1977" s="1">
        <v>45801</v>
      </c>
      <c r="C1977" t="s">
        <v>77</v>
      </c>
      <c r="D1977" t="s">
        <v>14</v>
      </c>
      <c r="E1977" t="s">
        <v>435</v>
      </c>
      <c r="F1977" t="s">
        <v>23</v>
      </c>
      <c r="G1977">
        <v>4</v>
      </c>
      <c r="H1977">
        <v>2587.21</v>
      </c>
      <c r="I1977">
        <v>10</v>
      </c>
      <c r="J1977">
        <v>1219.95</v>
      </c>
      <c r="K1977" t="s">
        <v>24</v>
      </c>
      <c r="L1977" t="s">
        <v>33</v>
      </c>
      <c r="M1977">
        <f t="shared" si="150"/>
        <v>9313.9560000000001</v>
      </c>
      <c r="N1977">
        <f t="shared" si="151"/>
        <v>4434.1559999999999</v>
      </c>
      <c r="O1977" t="str">
        <f t="shared" si="152"/>
        <v>Saturday</v>
      </c>
      <c r="P1977" t="b">
        <f t="shared" si="153"/>
        <v>1</v>
      </c>
      <c r="Q1977" t="str">
        <f t="shared" si="154"/>
        <v>May</v>
      </c>
    </row>
    <row r="1978" spans="1:17" x14ac:dyDescent="0.4">
      <c r="A1978" t="s">
        <v>2359</v>
      </c>
      <c r="B1978" s="1">
        <v>45500</v>
      </c>
      <c r="C1978" t="s">
        <v>128</v>
      </c>
      <c r="D1978" t="s">
        <v>31</v>
      </c>
      <c r="E1978" t="s">
        <v>322</v>
      </c>
      <c r="F1978" t="s">
        <v>23</v>
      </c>
      <c r="G1978">
        <v>2</v>
      </c>
      <c r="H1978">
        <v>504.94</v>
      </c>
      <c r="I1978">
        <v>10</v>
      </c>
      <c r="J1978">
        <v>314.35000000000002</v>
      </c>
      <c r="K1978" t="s">
        <v>24</v>
      </c>
      <c r="L1978" t="s">
        <v>18</v>
      </c>
      <c r="M1978">
        <f t="shared" si="150"/>
        <v>908.89200000000005</v>
      </c>
      <c r="N1978">
        <f t="shared" si="151"/>
        <v>280.19200000000001</v>
      </c>
      <c r="O1978" t="str">
        <f t="shared" si="152"/>
        <v>Saturday</v>
      </c>
      <c r="P1978" t="b">
        <f t="shared" si="153"/>
        <v>1</v>
      </c>
      <c r="Q1978" t="str">
        <f t="shared" si="154"/>
        <v>July</v>
      </c>
    </row>
    <row r="1979" spans="1:17" x14ac:dyDescent="0.4">
      <c r="A1979" t="s">
        <v>2360</v>
      </c>
      <c r="B1979" s="1">
        <v>45689</v>
      </c>
      <c r="C1979" t="s">
        <v>71</v>
      </c>
      <c r="D1979" t="s">
        <v>21</v>
      </c>
      <c r="E1979" t="s">
        <v>340</v>
      </c>
      <c r="F1979" t="s">
        <v>16</v>
      </c>
      <c r="G1979">
        <v>5</v>
      </c>
      <c r="H1979">
        <v>2048.5</v>
      </c>
      <c r="I1979">
        <v>30</v>
      </c>
      <c r="J1979">
        <v>1277.32</v>
      </c>
      <c r="K1979" t="s">
        <v>17</v>
      </c>
      <c r="L1979" t="s">
        <v>33</v>
      </c>
      <c r="M1979">
        <f t="shared" si="150"/>
        <v>7169.75</v>
      </c>
      <c r="N1979">
        <f t="shared" si="151"/>
        <v>783.15000000000055</v>
      </c>
      <c r="O1979" t="str">
        <f t="shared" si="152"/>
        <v>Saturday</v>
      </c>
      <c r="P1979" t="b">
        <f t="shared" si="153"/>
        <v>1</v>
      </c>
      <c r="Q1979" t="str">
        <f t="shared" si="154"/>
        <v>February</v>
      </c>
    </row>
    <row r="1980" spans="1:17" x14ac:dyDescent="0.4">
      <c r="A1980" t="s">
        <v>2361</v>
      </c>
      <c r="B1980" s="1">
        <v>45732</v>
      </c>
      <c r="C1980" t="s">
        <v>74</v>
      </c>
      <c r="D1980" t="s">
        <v>31</v>
      </c>
      <c r="E1980" t="s">
        <v>534</v>
      </c>
      <c r="F1980" t="s">
        <v>23</v>
      </c>
      <c r="G1980">
        <v>3</v>
      </c>
      <c r="H1980">
        <v>2714.29</v>
      </c>
      <c r="I1980">
        <v>0</v>
      </c>
      <c r="J1980">
        <v>1776.6</v>
      </c>
      <c r="K1980" t="s">
        <v>24</v>
      </c>
      <c r="L1980" t="s">
        <v>37</v>
      </c>
      <c r="M1980">
        <f t="shared" si="150"/>
        <v>8142.87</v>
      </c>
      <c r="N1980">
        <f t="shared" si="151"/>
        <v>2813.0700000000006</v>
      </c>
      <c r="O1980" t="str">
        <f t="shared" si="152"/>
        <v>Sunday</v>
      </c>
      <c r="P1980" t="b">
        <f t="shared" si="153"/>
        <v>1</v>
      </c>
      <c r="Q1980" t="str">
        <f t="shared" si="154"/>
        <v>March</v>
      </c>
    </row>
    <row r="1981" spans="1:17" x14ac:dyDescent="0.4">
      <c r="A1981" t="s">
        <v>2362</v>
      </c>
      <c r="B1981" s="1">
        <v>45623</v>
      </c>
      <c r="C1981" t="s">
        <v>144</v>
      </c>
      <c r="D1981" t="s">
        <v>31</v>
      </c>
      <c r="E1981" t="s">
        <v>1129</v>
      </c>
      <c r="F1981" t="s">
        <v>28</v>
      </c>
      <c r="G1981">
        <v>3</v>
      </c>
      <c r="H1981">
        <v>2542.02</v>
      </c>
      <c r="I1981">
        <v>15</v>
      </c>
      <c r="J1981">
        <v>1736.63</v>
      </c>
      <c r="K1981" t="s">
        <v>24</v>
      </c>
      <c r="L1981" t="s">
        <v>33</v>
      </c>
      <c r="M1981">
        <f t="shared" si="150"/>
        <v>6482.1509999999998</v>
      </c>
      <c r="N1981">
        <f t="shared" si="151"/>
        <v>1272.2609999999995</v>
      </c>
      <c r="O1981" t="str">
        <f t="shared" si="152"/>
        <v>Wednesday</v>
      </c>
      <c r="P1981" t="b">
        <f t="shared" si="153"/>
        <v>0</v>
      </c>
      <c r="Q1981" t="str">
        <f t="shared" si="154"/>
        <v>November</v>
      </c>
    </row>
    <row r="1982" spans="1:17" x14ac:dyDescent="0.4">
      <c r="A1982" t="s">
        <v>2363</v>
      </c>
      <c r="B1982" s="1">
        <v>45837</v>
      </c>
      <c r="C1982" t="s">
        <v>30</v>
      </c>
      <c r="D1982" t="s">
        <v>31</v>
      </c>
      <c r="E1982" t="s">
        <v>291</v>
      </c>
      <c r="F1982" t="s">
        <v>16</v>
      </c>
      <c r="G1982">
        <v>2</v>
      </c>
      <c r="H1982">
        <v>2245.67</v>
      </c>
      <c r="I1982">
        <v>20</v>
      </c>
      <c r="J1982">
        <v>1183.44</v>
      </c>
      <c r="K1982" t="s">
        <v>17</v>
      </c>
      <c r="L1982" t="s">
        <v>18</v>
      </c>
      <c r="M1982">
        <f t="shared" si="150"/>
        <v>3593.0720000000001</v>
      </c>
      <c r="N1982">
        <f t="shared" si="151"/>
        <v>1226.192</v>
      </c>
      <c r="O1982" t="str">
        <f t="shared" si="152"/>
        <v>Sunday</v>
      </c>
      <c r="P1982" t="b">
        <f t="shared" si="153"/>
        <v>1</v>
      </c>
      <c r="Q1982" t="str">
        <f t="shared" si="154"/>
        <v>June</v>
      </c>
    </row>
    <row r="1983" spans="1:17" x14ac:dyDescent="0.4">
      <c r="A1983" t="s">
        <v>2364</v>
      </c>
      <c r="B1983" s="1">
        <v>45609</v>
      </c>
      <c r="C1983" t="s">
        <v>54</v>
      </c>
      <c r="D1983" t="s">
        <v>21</v>
      </c>
      <c r="E1983" t="s">
        <v>364</v>
      </c>
      <c r="F1983" t="s">
        <v>16</v>
      </c>
      <c r="G1983">
        <v>3</v>
      </c>
      <c r="H1983">
        <v>992.31</v>
      </c>
      <c r="I1983">
        <v>30</v>
      </c>
      <c r="J1983">
        <v>591.64</v>
      </c>
      <c r="K1983" t="s">
        <v>24</v>
      </c>
      <c r="L1983" t="s">
        <v>37</v>
      </c>
      <c r="M1983">
        <f t="shared" si="150"/>
        <v>2083.8509999999997</v>
      </c>
      <c r="N1983">
        <f t="shared" si="151"/>
        <v>308.93099999999959</v>
      </c>
      <c r="O1983" t="str">
        <f t="shared" si="152"/>
        <v>Wednesday</v>
      </c>
      <c r="P1983" t="b">
        <f t="shared" si="153"/>
        <v>0</v>
      </c>
      <c r="Q1983" t="str">
        <f t="shared" si="154"/>
        <v>November</v>
      </c>
    </row>
    <row r="1984" spans="1:17" x14ac:dyDescent="0.4">
      <c r="A1984" t="s">
        <v>2365</v>
      </c>
      <c r="B1984" s="1">
        <v>45645</v>
      </c>
      <c r="C1984" t="s">
        <v>39</v>
      </c>
      <c r="D1984" t="s">
        <v>31</v>
      </c>
      <c r="E1984" t="s">
        <v>521</v>
      </c>
      <c r="F1984" t="s">
        <v>28</v>
      </c>
      <c r="G1984">
        <v>4</v>
      </c>
      <c r="H1984">
        <v>2200.79</v>
      </c>
      <c r="I1984">
        <v>15</v>
      </c>
      <c r="J1984">
        <v>1179.53</v>
      </c>
      <c r="K1984" t="s">
        <v>17</v>
      </c>
      <c r="L1984" t="s">
        <v>18</v>
      </c>
      <c r="M1984">
        <f t="shared" si="150"/>
        <v>7482.6859999999997</v>
      </c>
      <c r="N1984">
        <f t="shared" si="151"/>
        <v>2764.5659999999998</v>
      </c>
      <c r="O1984" t="str">
        <f t="shared" si="152"/>
        <v>Thursday</v>
      </c>
      <c r="P1984" t="b">
        <f t="shared" si="153"/>
        <v>0</v>
      </c>
      <c r="Q1984" t="str">
        <f t="shared" si="154"/>
        <v>December</v>
      </c>
    </row>
    <row r="1985" spans="1:17" x14ac:dyDescent="0.4">
      <c r="A1985" t="s">
        <v>2366</v>
      </c>
      <c r="B1985" s="1">
        <v>45855</v>
      </c>
      <c r="C1985" t="s">
        <v>125</v>
      </c>
      <c r="D1985" t="s">
        <v>21</v>
      </c>
      <c r="E1985" t="s">
        <v>690</v>
      </c>
      <c r="F1985" t="s">
        <v>23</v>
      </c>
      <c r="G1985">
        <v>5</v>
      </c>
      <c r="H1985">
        <v>870.25</v>
      </c>
      <c r="I1985">
        <v>25</v>
      </c>
      <c r="J1985">
        <v>394.84</v>
      </c>
      <c r="K1985" t="s">
        <v>24</v>
      </c>
      <c r="L1985" t="s">
        <v>33</v>
      </c>
      <c r="M1985">
        <f t="shared" si="150"/>
        <v>3263.4375</v>
      </c>
      <c r="N1985">
        <f t="shared" si="151"/>
        <v>1289.2375000000002</v>
      </c>
      <c r="O1985" t="str">
        <f t="shared" si="152"/>
        <v>Thursday</v>
      </c>
      <c r="P1985" t="b">
        <f t="shared" si="153"/>
        <v>0</v>
      </c>
      <c r="Q1985" t="str">
        <f t="shared" si="154"/>
        <v>July</v>
      </c>
    </row>
    <row r="1986" spans="1:17" x14ac:dyDescent="0.4">
      <c r="A1986" t="s">
        <v>2367</v>
      </c>
      <c r="B1986" s="1">
        <v>45818</v>
      </c>
      <c r="C1986" t="s">
        <v>114</v>
      </c>
      <c r="D1986" t="s">
        <v>31</v>
      </c>
      <c r="E1986" t="s">
        <v>258</v>
      </c>
      <c r="F1986" t="s">
        <v>23</v>
      </c>
      <c r="G1986">
        <v>5</v>
      </c>
      <c r="H1986">
        <v>2364.7600000000002</v>
      </c>
      <c r="I1986">
        <v>15</v>
      </c>
      <c r="J1986">
        <v>1110.4100000000001</v>
      </c>
      <c r="K1986" t="s">
        <v>17</v>
      </c>
      <c r="L1986" t="s">
        <v>37</v>
      </c>
      <c r="M1986">
        <f t="shared" si="150"/>
        <v>10050.230000000001</v>
      </c>
      <c r="N1986">
        <f t="shared" si="151"/>
        <v>4498.1800000000012</v>
      </c>
      <c r="O1986" t="str">
        <f t="shared" si="152"/>
        <v>Tuesday</v>
      </c>
      <c r="P1986" t="b">
        <f t="shared" si="153"/>
        <v>0</v>
      </c>
      <c r="Q1986" t="str">
        <f t="shared" si="154"/>
        <v>June</v>
      </c>
    </row>
    <row r="1987" spans="1:17" x14ac:dyDescent="0.4">
      <c r="A1987" t="s">
        <v>2368</v>
      </c>
      <c r="B1987" s="1">
        <v>45402</v>
      </c>
      <c r="C1987" t="s">
        <v>68</v>
      </c>
      <c r="D1987" t="s">
        <v>14</v>
      </c>
      <c r="E1987" t="s">
        <v>218</v>
      </c>
      <c r="F1987" t="s">
        <v>23</v>
      </c>
      <c r="G1987">
        <v>2</v>
      </c>
      <c r="H1987">
        <v>449.81</v>
      </c>
      <c r="I1987">
        <v>0</v>
      </c>
      <c r="J1987">
        <v>241.26</v>
      </c>
      <c r="K1987" t="s">
        <v>17</v>
      </c>
      <c r="L1987" t="s">
        <v>37</v>
      </c>
      <c r="M1987">
        <f t="shared" ref="M1987:M2001" si="155">G1987 * H1987 * (1 - I1987/100)</f>
        <v>899.62</v>
      </c>
      <c r="N1987">
        <f t="shared" ref="N1987:N2001" si="156">M1987 - (J1987 * G1987)</f>
        <v>417.1</v>
      </c>
      <c r="O1987" t="str">
        <f t="shared" ref="O1987:O2001" si="157">TEXT(B1987,"dddd")</f>
        <v>Saturday</v>
      </c>
      <c r="P1987" t="b">
        <f t="shared" ref="P1987:P2001" si="158">OR(TEXT(B1987,"ddd")="Sat", TEXT(B1987,"ddd")="Sun")</f>
        <v>1</v>
      </c>
      <c r="Q1987" t="str">
        <f t="shared" ref="Q1987:Q2001" si="159">TEXT(B1987,"mmmm")</f>
        <v>April</v>
      </c>
    </row>
    <row r="1988" spans="1:17" x14ac:dyDescent="0.4">
      <c r="A1988" t="s">
        <v>2369</v>
      </c>
      <c r="B1988" s="1">
        <v>45847</v>
      </c>
      <c r="C1988" t="s">
        <v>251</v>
      </c>
      <c r="D1988" t="s">
        <v>46</v>
      </c>
      <c r="E1988" t="s">
        <v>512</v>
      </c>
      <c r="F1988" t="s">
        <v>28</v>
      </c>
      <c r="G1988">
        <v>3</v>
      </c>
      <c r="H1988">
        <v>334.89</v>
      </c>
      <c r="I1988">
        <v>5</v>
      </c>
      <c r="J1988">
        <v>230.19</v>
      </c>
      <c r="K1988" t="s">
        <v>17</v>
      </c>
      <c r="L1988" t="s">
        <v>33</v>
      </c>
      <c r="M1988">
        <f t="shared" si="155"/>
        <v>954.43649999999991</v>
      </c>
      <c r="N1988">
        <f t="shared" si="156"/>
        <v>263.86649999999997</v>
      </c>
      <c r="O1988" t="str">
        <f t="shared" si="157"/>
        <v>Wednesday</v>
      </c>
      <c r="P1988" t="b">
        <f t="shared" si="158"/>
        <v>0</v>
      </c>
      <c r="Q1988" t="str">
        <f t="shared" si="159"/>
        <v>July</v>
      </c>
    </row>
    <row r="1989" spans="1:17" x14ac:dyDescent="0.4">
      <c r="A1989" t="s">
        <v>2370</v>
      </c>
      <c r="B1989" s="1">
        <v>45712</v>
      </c>
      <c r="C1989" t="s">
        <v>98</v>
      </c>
      <c r="D1989" t="s">
        <v>46</v>
      </c>
      <c r="E1989" t="s">
        <v>799</v>
      </c>
      <c r="F1989" t="s">
        <v>28</v>
      </c>
      <c r="G1989">
        <v>5</v>
      </c>
      <c r="H1989">
        <v>319.83999999999997</v>
      </c>
      <c r="I1989">
        <v>5</v>
      </c>
      <c r="J1989">
        <v>150.52000000000001</v>
      </c>
      <c r="K1989" t="s">
        <v>24</v>
      </c>
      <c r="L1989" t="s">
        <v>37</v>
      </c>
      <c r="M1989">
        <f t="shared" si="155"/>
        <v>1519.2399999999998</v>
      </c>
      <c r="N1989">
        <f t="shared" si="156"/>
        <v>766.63999999999976</v>
      </c>
      <c r="O1989" t="str">
        <f t="shared" si="157"/>
        <v>Monday</v>
      </c>
      <c r="P1989" t="b">
        <f t="shared" si="158"/>
        <v>0</v>
      </c>
      <c r="Q1989" t="str">
        <f t="shared" si="159"/>
        <v>February</v>
      </c>
    </row>
    <row r="1990" spans="1:17" x14ac:dyDescent="0.4">
      <c r="A1990" t="s">
        <v>2371</v>
      </c>
      <c r="B1990" s="1">
        <v>45385</v>
      </c>
      <c r="C1990" t="s">
        <v>54</v>
      </c>
      <c r="D1990" t="s">
        <v>14</v>
      </c>
      <c r="E1990" t="s">
        <v>326</v>
      </c>
      <c r="F1990" t="s">
        <v>23</v>
      </c>
      <c r="G1990">
        <v>3</v>
      </c>
      <c r="H1990">
        <v>553.36</v>
      </c>
      <c r="I1990">
        <v>10</v>
      </c>
      <c r="J1990">
        <v>285.85000000000002</v>
      </c>
      <c r="K1990" t="s">
        <v>17</v>
      </c>
      <c r="L1990" t="s">
        <v>33</v>
      </c>
      <c r="M1990">
        <f t="shared" si="155"/>
        <v>1494.0719999999999</v>
      </c>
      <c r="N1990">
        <f t="shared" si="156"/>
        <v>636.52199999999982</v>
      </c>
      <c r="O1990" t="str">
        <f t="shared" si="157"/>
        <v>Wednesday</v>
      </c>
      <c r="P1990" t="b">
        <f t="shared" si="158"/>
        <v>0</v>
      </c>
      <c r="Q1990" t="str">
        <f t="shared" si="159"/>
        <v>April</v>
      </c>
    </row>
    <row r="1991" spans="1:17" x14ac:dyDescent="0.4">
      <c r="A1991" t="s">
        <v>2372</v>
      </c>
      <c r="B1991" s="1">
        <v>45361</v>
      </c>
      <c r="C1991" t="s">
        <v>267</v>
      </c>
      <c r="D1991" t="s">
        <v>21</v>
      </c>
      <c r="E1991" t="s">
        <v>183</v>
      </c>
      <c r="F1991" t="s">
        <v>16</v>
      </c>
      <c r="G1991">
        <v>2</v>
      </c>
      <c r="H1991">
        <v>2880.16</v>
      </c>
      <c r="I1991">
        <v>30</v>
      </c>
      <c r="J1991">
        <v>1893.75</v>
      </c>
      <c r="K1991" t="s">
        <v>24</v>
      </c>
      <c r="L1991" t="s">
        <v>18</v>
      </c>
      <c r="M1991">
        <f t="shared" si="155"/>
        <v>4032.2239999999997</v>
      </c>
      <c r="N1991">
        <f t="shared" si="156"/>
        <v>244.72399999999971</v>
      </c>
      <c r="O1991" t="str">
        <f t="shared" si="157"/>
        <v>Sunday</v>
      </c>
      <c r="P1991" t="b">
        <f t="shared" si="158"/>
        <v>1</v>
      </c>
      <c r="Q1991" t="str">
        <f t="shared" si="159"/>
        <v>March</v>
      </c>
    </row>
    <row r="1992" spans="1:17" x14ac:dyDescent="0.4">
      <c r="A1992" t="s">
        <v>2373</v>
      </c>
      <c r="B1992" s="1">
        <v>45657</v>
      </c>
      <c r="C1992" t="s">
        <v>68</v>
      </c>
      <c r="D1992" t="s">
        <v>21</v>
      </c>
      <c r="E1992" t="s">
        <v>105</v>
      </c>
      <c r="F1992" t="s">
        <v>16</v>
      </c>
      <c r="G1992">
        <v>3</v>
      </c>
      <c r="H1992">
        <v>1337.47</v>
      </c>
      <c r="I1992">
        <v>25</v>
      </c>
      <c r="J1992">
        <v>639.91</v>
      </c>
      <c r="K1992" t="s">
        <v>24</v>
      </c>
      <c r="L1992" t="s">
        <v>37</v>
      </c>
      <c r="M1992">
        <f t="shared" si="155"/>
        <v>3009.3074999999999</v>
      </c>
      <c r="N1992">
        <f t="shared" si="156"/>
        <v>1089.5774999999999</v>
      </c>
      <c r="O1992" t="str">
        <f t="shared" si="157"/>
        <v>Tuesday</v>
      </c>
      <c r="P1992" t="b">
        <f t="shared" si="158"/>
        <v>0</v>
      </c>
      <c r="Q1992" t="str">
        <f t="shared" si="159"/>
        <v>December</v>
      </c>
    </row>
    <row r="1993" spans="1:17" x14ac:dyDescent="0.4">
      <c r="A1993" t="s">
        <v>2374</v>
      </c>
      <c r="B1993" s="1">
        <v>45375</v>
      </c>
      <c r="C1993" t="s">
        <v>86</v>
      </c>
      <c r="D1993" t="s">
        <v>46</v>
      </c>
      <c r="E1993" t="s">
        <v>1019</v>
      </c>
      <c r="F1993" t="s">
        <v>16</v>
      </c>
      <c r="G1993">
        <v>4</v>
      </c>
      <c r="H1993">
        <v>2357.9</v>
      </c>
      <c r="I1993">
        <v>5</v>
      </c>
      <c r="J1993">
        <v>1381.59</v>
      </c>
      <c r="K1993" t="s">
        <v>24</v>
      </c>
      <c r="L1993" t="s">
        <v>33</v>
      </c>
      <c r="M1993">
        <f t="shared" si="155"/>
        <v>8960.02</v>
      </c>
      <c r="N1993">
        <f t="shared" si="156"/>
        <v>3433.6600000000008</v>
      </c>
      <c r="O1993" t="str">
        <f t="shared" si="157"/>
        <v>Sunday</v>
      </c>
      <c r="P1993" t="b">
        <f t="shared" si="158"/>
        <v>1</v>
      </c>
      <c r="Q1993" t="str">
        <f t="shared" si="159"/>
        <v>March</v>
      </c>
    </row>
    <row r="1994" spans="1:17" x14ac:dyDescent="0.4">
      <c r="A1994" t="s">
        <v>2375</v>
      </c>
      <c r="B1994" s="1">
        <v>45381</v>
      </c>
      <c r="C1994" t="s">
        <v>68</v>
      </c>
      <c r="D1994" t="s">
        <v>31</v>
      </c>
      <c r="E1994" t="s">
        <v>371</v>
      </c>
      <c r="F1994" t="s">
        <v>28</v>
      </c>
      <c r="G1994">
        <v>2</v>
      </c>
      <c r="H1994">
        <v>1281.44</v>
      </c>
      <c r="I1994">
        <v>20</v>
      </c>
      <c r="J1994">
        <v>594.30999999999995</v>
      </c>
      <c r="K1994" t="s">
        <v>24</v>
      </c>
      <c r="L1994" t="s">
        <v>33</v>
      </c>
      <c r="M1994">
        <f t="shared" si="155"/>
        <v>2050.3040000000001</v>
      </c>
      <c r="N1994">
        <f t="shared" si="156"/>
        <v>861.6840000000002</v>
      </c>
      <c r="O1994" t="str">
        <f t="shared" si="157"/>
        <v>Saturday</v>
      </c>
      <c r="P1994" t="b">
        <f t="shared" si="158"/>
        <v>1</v>
      </c>
      <c r="Q1994" t="str">
        <f t="shared" si="159"/>
        <v>March</v>
      </c>
    </row>
    <row r="1995" spans="1:17" x14ac:dyDescent="0.4">
      <c r="A1995" t="s">
        <v>2376</v>
      </c>
      <c r="B1995" s="1">
        <v>45586</v>
      </c>
      <c r="C1995" t="s">
        <v>185</v>
      </c>
      <c r="D1995" t="s">
        <v>31</v>
      </c>
      <c r="E1995" t="s">
        <v>469</v>
      </c>
      <c r="F1995" t="s">
        <v>16</v>
      </c>
      <c r="G1995">
        <v>5</v>
      </c>
      <c r="H1995">
        <v>635.27</v>
      </c>
      <c r="I1995">
        <v>5</v>
      </c>
      <c r="J1995">
        <v>255.88</v>
      </c>
      <c r="K1995" t="s">
        <v>24</v>
      </c>
      <c r="L1995" t="s">
        <v>33</v>
      </c>
      <c r="M1995">
        <f t="shared" si="155"/>
        <v>3017.5324999999998</v>
      </c>
      <c r="N1995">
        <f t="shared" si="156"/>
        <v>1738.1324999999997</v>
      </c>
      <c r="O1995" t="str">
        <f t="shared" si="157"/>
        <v>Monday</v>
      </c>
      <c r="P1995" t="b">
        <f t="shared" si="158"/>
        <v>0</v>
      </c>
      <c r="Q1995" t="str">
        <f t="shared" si="159"/>
        <v>October</v>
      </c>
    </row>
    <row r="1996" spans="1:17" x14ac:dyDescent="0.4">
      <c r="A1996" t="s">
        <v>2377</v>
      </c>
      <c r="B1996" s="1">
        <v>45750</v>
      </c>
      <c r="C1996" t="s">
        <v>159</v>
      </c>
      <c r="D1996" t="s">
        <v>21</v>
      </c>
      <c r="E1996" t="s">
        <v>233</v>
      </c>
      <c r="F1996" t="s">
        <v>23</v>
      </c>
      <c r="G1996">
        <v>5</v>
      </c>
      <c r="H1996">
        <v>1350.75</v>
      </c>
      <c r="I1996">
        <v>30</v>
      </c>
      <c r="J1996">
        <v>690.68</v>
      </c>
      <c r="K1996" t="s">
        <v>24</v>
      </c>
      <c r="L1996" t="s">
        <v>18</v>
      </c>
      <c r="M1996">
        <f t="shared" si="155"/>
        <v>4727.625</v>
      </c>
      <c r="N1996">
        <f t="shared" si="156"/>
        <v>1274.2250000000004</v>
      </c>
      <c r="O1996" t="str">
        <f t="shared" si="157"/>
        <v>Thursday</v>
      </c>
      <c r="P1996" t="b">
        <f t="shared" si="158"/>
        <v>0</v>
      </c>
      <c r="Q1996" t="str">
        <f t="shared" si="159"/>
        <v>April</v>
      </c>
    </row>
    <row r="1997" spans="1:17" x14ac:dyDescent="0.4">
      <c r="A1997" t="s">
        <v>2378</v>
      </c>
      <c r="B1997" s="1">
        <v>45969</v>
      </c>
      <c r="C1997" t="s">
        <v>278</v>
      </c>
      <c r="D1997" t="s">
        <v>21</v>
      </c>
      <c r="E1997" t="s">
        <v>1291</v>
      </c>
      <c r="F1997" t="s">
        <v>28</v>
      </c>
      <c r="G1997">
        <v>1</v>
      </c>
      <c r="H1997">
        <v>898.45</v>
      </c>
      <c r="I1997">
        <v>30</v>
      </c>
      <c r="J1997">
        <v>558.13</v>
      </c>
      <c r="K1997" t="s">
        <v>24</v>
      </c>
      <c r="L1997" t="s">
        <v>37</v>
      </c>
      <c r="M1997">
        <f t="shared" si="155"/>
        <v>628.91499999999996</v>
      </c>
      <c r="N1997">
        <f t="shared" si="156"/>
        <v>70.784999999999968</v>
      </c>
      <c r="O1997" t="str">
        <f t="shared" si="157"/>
        <v>Saturday</v>
      </c>
      <c r="P1997" t="b">
        <f t="shared" si="158"/>
        <v>1</v>
      </c>
      <c r="Q1997" t="str">
        <f t="shared" si="159"/>
        <v>November</v>
      </c>
    </row>
    <row r="1998" spans="1:17" x14ac:dyDescent="0.4">
      <c r="A1998" t="s">
        <v>2379</v>
      </c>
      <c r="B1998" s="1">
        <v>45885</v>
      </c>
      <c r="C1998" t="s">
        <v>26</v>
      </c>
      <c r="D1998" t="s">
        <v>46</v>
      </c>
      <c r="E1998" t="s">
        <v>1154</v>
      </c>
      <c r="F1998" t="s">
        <v>23</v>
      </c>
      <c r="G1998">
        <v>4</v>
      </c>
      <c r="H1998">
        <v>642.75</v>
      </c>
      <c r="I1998">
        <v>0</v>
      </c>
      <c r="J1998">
        <v>413</v>
      </c>
      <c r="K1998" t="s">
        <v>24</v>
      </c>
      <c r="L1998" t="s">
        <v>18</v>
      </c>
      <c r="M1998">
        <f t="shared" si="155"/>
        <v>2571</v>
      </c>
      <c r="N1998">
        <f t="shared" si="156"/>
        <v>919</v>
      </c>
      <c r="O1998" t="str">
        <f t="shared" si="157"/>
        <v>Saturday</v>
      </c>
      <c r="P1998" t="b">
        <f t="shared" si="158"/>
        <v>1</v>
      </c>
      <c r="Q1998" t="str">
        <f t="shared" si="159"/>
        <v>August</v>
      </c>
    </row>
    <row r="1999" spans="1:17" x14ac:dyDescent="0.4">
      <c r="A1999" t="s">
        <v>2380</v>
      </c>
      <c r="B1999" s="1">
        <v>45359</v>
      </c>
      <c r="C1999" t="s">
        <v>77</v>
      </c>
      <c r="D1999" t="s">
        <v>14</v>
      </c>
      <c r="E1999" t="s">
        <v>690</v>
      </c>
      <c r="F1999" t="s">
        <v>23</v>
      </c>
      <c r="G1999">
        <v>3</v>
      </c>
      <c r="H1999">
        <v>1147.67</v>
      </c>
      <c r="I1999">
        <v>30</v>
      </c>
      <c r="J1999">
        <v>768.1</v>
      </c>
      <c r="K1999" t="s">
        <v>17</v>
      </c>
      <c r="L1999" t="s">
        <v>33</v>
      </c>
      <c r="M1999">
        <f t="shared" si="155"/>
        <v>2410.107</v>
      </c>
      <c r="N1999">
        <f t="shared" si="156"/>
        <v>105.80699999999979</v>
      </c>
      <c r="O1999" t="str">
        <f t="shared" si="157"/>
        <v>Friday</v>
      </c>
      <c r="P1999" t="b">
        <f t="shared" si="158"/>
        <v>0</v>
      </c>
      <c r="Q1999" t="str">
        <f t="shared" si="159"/>
        <v>March</v>
      </c>
    </row>
    <row r="2000" spans="1:17" x14ac:dyDescent="0.4">
      <c r="A2000" t="s">
        <v>2381</v>
      </c>
      <c r="B2000" s="1">
        <v>45591</v>
      </c>
      <c r="C2000" t="s">
        <v>39</v>
      </c>
      <c r="D2000" t="s">
        <v>46</v>
      </c>
      <c r="E2000" t="s">
        <v>858</v>
      </c>
      <c r="F2000" t="s">
        <v>23</v>
      </c>
      <c r="G2000">
        <v>5</v>
      </c>
      <c r="H2000">
        <v>981.88</v>
      </c>
      <c r="I2000">
        <v>0</v>
      </c>
      <c r="J2000">
        <v>558.69000000000005</v>
      </c>
      <c r="K2000" t="s">
        <v>17</v>
      </c>
      <c r="L2000" t="s">
        <v>37</v>
      </c>
      <c r="M2000">
        <f t="shared" si="155"/>
        <v>4909.3999999999996</v>
      </c>
      <c r="N2000">
        <f t="shared" si="156"/>
        <v>2115.9499999999994</v>
      </c>
      <c r="O2000" t="str">
        <f t="shared" si="157"/>
        <v>Saturday</v>
      </c>
      <c r="P2000" t="b">
        <f t="shared" si="158"/>
        <v>1</v>
      </c>
      <c r="Q2000" t="str">
        <f t="shared" si="159"/>
        <v>October</v>
      </c>
    </row>
    <row r="2001" spans="1:17" x14ac:dyDescent="0.4">
      <c r="A2001" t="s">
        <v>2382</v>
      </c>
      <c r="B2001" s="1">
        <v>45416</v>
      </c>
      <c r="C2001" t="s">
        <v>205</v>
      </c>
      <c r="D2001" t="s">
        <v>14</v>
      </c>
      <c r="E2001" t="s">
        <v>670</v>
      </c>
      <c r="F2001" t="s">
        <v>28</v>
      </c>
      <c r="G2001">
        <v>5</v>
      </c>
      <c r="H2001">
        <v>2411.4299999999998</v>
      </c>
      <c r="I2001">
        <v>5</v>
      </c>
      <c r="J2001">
        <v>1067.75</v>
      </c>
      <c r="K2001" t="s">
        <v>17</v>
      </c>
      <c r="L2001" t="s">
        <v>18</v>
      </c>
      <c r="M2001">
        <f t="shared" si="155"/>
        <v>11454.2925</v>
      </c>
      <c r="N2001">
        <f t="shared" si="156"/>
        <v>6115.5424999999996</v>
      </c>
      <c r="O2001" t="str">
        <f t="shared" si="157"/>
        <v>Saturday</v>
      </c>
      <c r="P2001" t="b">
        <f t="shared" si="158"/>
        <v>1</v>
      </c>
      <c r="Q2001" t="str">
        <f t="shared" si="159"/>
        <v>May</v>
      </c>
    </row>
  </sheetData>
  <autoFilter ref="A1:L2001" xr:uid="{B2CEAAF8-E90E-49B1-B59D-F5451E5DC76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C4B08-271E-4E0F-A858-36F14814DAD7}">
  <dimension ref="A3:C20"/>
  <sheetViews>
    <sheetView workbookViewId="0">
      <selection activeCell="A3" sqref="A3"/>
    </sheetView>
  </sheetViews>
  <sheetFormatPr defaultRowHeight="14.6" x14ac:dyDescent="0.4"/>
  <sheetData>
    <row r="3" spans="1:3" x14ac:dyDescent="0.4">
      <c r="A3" s="2"/>
      <c r="B3" s="3"/>
      <c r="C3" s="4"/>
    </row>
    <row r="4" spans="1:3" x14ac:dyDescent="0.4">
      <c r="A4" s="5"/>
      <c r="B4" s="6"/>
      <c r="C4" s="7"/>
    </row>
    <row r="5" spans="1:3" x14ac:dyDescent="0.4">
      <c r="A5" s="5"/>
      <c r="B5" s="6"/>
      <c r="C5" s="7"/>
    </row>
    <row r="6" spans="1:3" x14ac:dyDescent="0.4">
      <c r="A6" s="5"/>
      <c r="B6" s="6"/>
      <c r="C6" s="7"/>
    </row>
    <row r="7" spans="1:3" x14ac:dyDescent="0.4">
      <c r="A7" s="5"/>
      <c r="B7" s="6"/>
      <c r="C7" s="7"/>
    </row>
    <row r="8" spans="1:3" x14ac:dyDescent="0.4">
      <c r="A8" s="5"/>
      <c r="B8" s="6"/>
      <c r="C8" s="7"/>
    </row>
    <row r="9" spans="1:3" x14ac:dyDescent="0.4">
      <c r="A9" s="5"/>
      <c r="B9" s="6"/>
      <c r="C9" s="7"/>
    </row>
    <row r="10" spans="1:3" x14ac:dyDescent="0.4">
      <c r="A10" s="5"/>
      <c r="B10" s="6"/>
      <c r="C10" s="7"/>
    </row>
    <row r="11" spans="1:3" x14ac:dyDescent="0.4">
      <c r="A11" s="5"/>
      <c r="B11" s="6"/>
      <c r="C11" s="7"/>
    </row>
    <row r="12" spans="1:3" x14ac:dyDescent="0.4">
      <c r="A12" s="5"/>
      <c r="B12" s="6"/>
      <c r="C12" s="7"/>
    </row>
    <row r="13" spans="1:3" x14ac:dyDescent="0.4">
      <c r="A13" s="5"/>
      <c r="B13" s="6"/>
      <c r="C13" s="7"/>
    </row>
    <row r="14" spans="1:3" x14ac:dyDescent="0.4">
      <c r="A14" s="5"/>
      <c r="B14" s="6"/>
      <c r="C14" s="7"/>
    </row>
    <row r="15" spans="1:3" x14ac:dyDescent="0.4">
      <c r="A15" s="5"/>
      <c r="B15" s="6"/>
      <c r="C15" s="7"/>
    </row>
    <row r="16" spans="1:3" x14ac:dyDescent="0.4">
      <c r="A16" s="5"/>
      <c r="B16" s="6"/>
      <c r="C16" s="7"/>
    </row>
    <row r="17" spans="1:3" x14ac:dyDescent="0.4">
      <c r="A17" s="5"/>
      <c r="B17" s="6"/>
      <c r="C17" s="7"/>
    </row>
    <row r="18" spans="1:3" x14ac:dyDescent="0.4">
      <c r="A18" s="5"/>
      <c r="B18" s="6"/>
      <c r="C18" s="7"/>
    </row>
    <row r="19" spans="1:3" x14ac:dyDescent="0.4">
      <c r="A19" s="5"/>
      <c r="B19" s="6"/>
      <c r="C19" s="7"/>
    </row>
    <row r="20" spans="1:3" x14ac:dyDescent="0.4">
      <c r="A20" s="8"/>
      <c r="B20" s="9"/>
      <c r="C20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338BC-1D93-4446-92F4-356FE78E04B1}">
  <dimension ref="A3:C64"/>
  <sheetViews>
    <sheetView workbookViewId="0">
      <selection activeCell="A5" sqref="A5"/>
    </sheetView>
  </sheetViews>
  <sheetFormatPr defaultRowHeight="14.6" x14ac:dyDescent="0.4"/>
  <cols>
    <col min="1" max="1" width="10.69140625" bestFit="1" customWidth="1"/>
    <col min="2" max="2" width="8.53515625" bestFit="1" customWidth="1"/>
    <col min="3" max="5" width="7.84375" bestFit="1" customWidth="1"/>
    <col min="6" max="6" width="10.69140625" bestFit="1" customWidth="1"/>
  </cols>
  <sheetData>
    <row r="3" spans="1:3" x14ac:dyDescent="0.4">
      <c r="A3" s="11" t="s">
        <v>2</v>
      </c>
      <c r="B3" t="s">
        <v>2393</v>
      </c>
      <c r="C3" t="s">
        <v>2394</v>
      </c>
    </row>
    <row r="4" spans="1:3" x14ac:dyDescent="0.4">
      <c r="A4" s="12" t="s">
        <v>100</v>
      </c>
      <c r="B4" s="14">
        <v>113334.26600000002</v>
      </c>
      <c r="C4" s="14">
        <v>41673.856</v>
      </c>
    </row>
    <row r="5" spans="1:3" x14ac:dyDescent="0.4">
      <c r="A5" s="12" t="s">
        <v>13</v>
      </c>
      <c r="B5" s="14">
        <v>145983.4485</v>
      </c>
      <c r="C5" s="14">
        <v>56194.608500000002</v>
      </c>
    </row>
    <row r="6" spans="1:3" x14ac:dyDescent="0.4">
      <c r="A6" s="12" t="s">
        <v>139</v>
      </c>
      <c r="B6" s="14">
        <v>145633.77799999999</v>
      </c>
      <c r="C6" s="14">
        <v>54906.317999999999</v>
      </c>
    </row>
    <row r="7" spans="1:3" x14ac:dyDescent="0.4">
      <c r="A7" s="12" t="s">
        <v>84</v>
      </c>
      <c r="B7" s="14">
        <v>152410.44149999999</v>
      </c>
      <c r="C7" s="14">
        <v>45635.571499999991</v>
      </c>
    </row>
    <row r="8" spans="1:3" x14ac:dyDescent="0.4">
      <c r="A8" s="12" t="s">
        <v>59</v>
      </c>
      <c r="B8" s="14">
        <v>100869.2905</v>
      </c>
      <c r="C8" s="14">
        <v>37039.6005</v>
      </c>
    </row>
    <row r="9" spans="1:3" x14ac:dyDescent="0.4">
      <c r="A9" s="12" t="s">
        <v>309</v>
      </c>
      <c r="B9" s="14">
        <v>188721.44750000001</v>
      </c>
      <c r="C9" s="14">
        <v>75581.827499999999</v>
      </c>
    </row>
    <row r="10" spans="1:3" x14ac:dyDescent="0.4">
      <c r="A10" s="12" t="s">
        <v>92</v>
      </c>
      <c r="B10" s="14">
        <v>152404.90650000001</v>
      </c>
      <c r="C10" s="14">
        <v>54195.336500000005</v>
      </c>
    </row>
    <row r="11" spans="1:3" x14ac:dyDescent="0.4">
      <c r="A11" s="12" t="s">
        <v>62</v>
      </c>
      <c r="B11" s="14">
        <v>135265.28899999996</v>
      </c>
      <c r="C11" s="14">
        <v>47428.828999999991</v>
      </c>
    </row>
    <row r="12" spans="1:3" x14ac:dyDescent="0.4">
      <c r="A12" s="12" t="s">
        <v>119</v>
      </c>
      <c r="B12" s="14">
        <v>156138.78450000001</v>
      </c>
      <c r="C12" s="14">
        <v>50800.314500000015</v>
      </c>
    </row>
    <row r="13" spans="1:3" x14ac:dyDescent="0.4">
      <c r="A13" s="12" t="s">
        <v>273</v>
      </c>
      <c r="B13" s="14">
        <v>201207.04050000003</v>
      </c>
      <c r="C13" s="14">
        <v>72227.890499999994</v>
      </c>
    </row>
    <row r="14" spans="1:3" x14ac:dyDescent="0.4">
      <c r="A14" s="12" t="s">
        <v>171</v>
      </c>
      <c r="B14" s="14">
        <v>148483.8915</v>
      </c>
      <c r="C14" s="14">
        <v>55106.251500000006</v>
      </c>
    </row>
    <row r="15" spans="1:3" x14ac:dyDescent="0.4">
      <c r="A15" s="12" t="s">
        <v>30</v>
      </c>
      <c r="B15" s="14">
        <v>134200.848</v>
      </c>
      <c r="C15" s="14">
        <v>54243.327999999994</v>
      </c>
    </row>
    <row r="16" spans="1:3" x14ac:dyDescent="0.4">
      <c r="A16" s="12" t="s">
        <v>278</v>
      </c>
      <c r="B16" s="14">
        <v>206676.32600000009</v>
      </c>
      <c r="C16" s="14">
        <v>79900.356</v>
      </c>
    </row>
    <row r="17" spans="1:3" x14ac:dyDescent="0.4">
      <c r="A17" s="12" t="s">
        <v>286</v>
      </c>
      <c r="B17" s="14">
        <v>184611.39499999996</v>
      </c>
      <c r="C17" s="14">
        <v>71303.734999999986</v>
      </c>
    </row>
    <row r="18" spans="1:3" x14ac:dyDescent="0.4">
      <c r="A18" s="12" t="s">
        <v>35</v>
      </c>
      <c r="B18" s="14">
        <v>160446.77550000002</v>
      </c>
      <c r="C18" s="14">
        <v>60905.525500000003</v>
      </c>
    </row>
    <row r="19" spans="1:3" x14ac:dyDescent="0.4">
      <c r="A19" s="12" t="s">
        <v>74</v>
      </c>
      <c r="B19" s="14">
        <v>143247.70250000001</v>
      </c>
      <c r="C19" s="14">
        <v>52938.982500000006</v>
      </c>
    </row>
    <row r="20" spans="1:3" x14ac:dyDescent="0.4">
      <c r="A20" s="12" t="s">
        <v>185</v>
      </c>
      <c r="B20" s="14">
        <v>154841.18600000005</v>
      </c>
      <c r="C20" s="14">
        <v>55816.80599999999</v>
      </c>
    </row>
    <row r="21" spans="1:3" x14ac:dyDescent="0.4">
      <c r="A21" s="12" t="s">
        <v>179</v>
      </c>
      <c r="B21" s="14">
        <v>161419.66900000002</v>
      </c>
      <c r="C21" s="14">
        <v>57903.148999999976</v>
      </c>
    </row>
    <row r="22" spans="1:3" x14ac:dyDescent="0.4">
      <c r="A22" s="12" t="s">
        <v>68</v>
      </c>
      <c r="B22" s="14">
        <v>164031.66300000003</v>
      </c>
      <c r="C22" s="14">
        <v>53737.223000000013</v>
      </c>
    </row>
    <row r="23" spans="1:3" x14ac:dyDescent="0.4">
      <c r="A23" s="12" t="s">
        <v>77</v>
      </c>
      <c r="B23" s="14">
        <v>156981.348</v>
      </c>
      <c r="C23" s="14">
        <v>56748.188000000009</v>
      </c>
    </row>
    <row r="24" spans="1:3" x14ac:dyDescent="0.4">
      <c r="A24" s="12" t="s">
        <v>39</v>
      </c>
      <c r="B24" s="14">
        <v>151072.63099999999</v>
      </c>
      <c r="C24" s="14">
        <v>54054.411000000007</v>
      </c>
    </row>
    <row r="25" spans="1:3" x14ac:dyDescent="0.4">
      <c r="A25" s="12" t="s">
        <v>146</v>
      </c>
      <c r="B25" s="14">
        <v>169344.54200000002</v>
      </c>
      <c r="C25" s="14">
        <v>64249.242000000006</v>
      </c>
    </row>
    <row r="26" spans="1:3" x14ac:dyDescent="0.4">
      <c r="A26" s="12" t="s">
        <v>226</v>
      </c>
      <c r="B26" s="14">
        <v>108588.39149999998</v>
      </c>
      <c r="C26" s="14">
        <v>30842.391499999991</v>
      </c>
    </row>
    <row r="27" spans="1:3" x14ac:dyDescent="0.4">
      <c r="A27" s="12" t="s">
        <v>128</v>
      </c>
      <c r="B27" s="14">
        <v>188091.24599999996</v>
      </c>
      <c r="C27" s="14">
        <v>68823.665999999997</v>
      </c>
    </row>
    <row r="28" spans="1:3" x14ac:dyDescent="0.4">
      <c r="A28" s="12" t="s">
        <v>190</v>
      </c>
      <c r="B28" s="14">
        <v>102823.60700000005</v>
      </c>
      <c r="C28" s="14">
        <v>39803.736999999994</v>
      </c>
    </row>
    <row r="29" spans="1:3" x14ac:dyDescent="0.4">
      <c r="A29" s="12" t="s">
        <v>174</v>
      </c>
      <c r="B29" s="14">
        <v>132681.50099999999</v>
      </c>
      <c r="C29" s="14">
        <v>47413.60100000001</v>
      </c>
    </row>
    <row r="30" spans="1:3" x14ac:dyDescent="0.4">
      <c r="A30" s="12" t="s">
        <v>152</v>
      </c>
      <c r="B30" s="14">
        <v>138076.87400000001</v>
      </c>
      <c r="C30" s="14">
        <v>48151.433999999994</v>
      </c>
    </row>
    <row r="31" spans="1:3" x14ac:dyDescent="0.4">
      <c r="A31" s="12" t="s">
        <v>71</v>
      </c>
      <c r="B31" s="14">
        <v>138811.505</v>
      </c>
      <c r="C31" s="14">
        <v>54707.704999999994</v>
      </c>
    </row>
    <row r="32" spans="1:3" x14ac:dyDescent="0.4">
      <c r="A32" s="12" t="s">
        <v>109</v>
      </c>
      <c r="B32" s="14">
        <v>190833.74450000003</v>
      </c>
      <c r="C32" s="14">
        <v>64699.694499999998</v>
      </c>
    </row>
    <row r="33" spans="1:3" x14ac:dyDescent="0.4">
      <c r="A33" s="12" t="s">
        <v>125</v>
      </c>
      <c r="B33" s="14">
        <v>151758.87950000001</v>
      </c>
      <c r="C33" s="14">
        <v>49571.889499999997</v>
      </c>
    </row>
    <row r="34" spans="1:3" x14ac:dyDescent="0.4">
      <c r="A34" s="12" t="s">
        <v>144</v>
      </c>
      <c r="B34" s="14">
        <v>172416.421</v>
      </c>
      <c r="C34" s="14">
        <v>49240.910999999986</v>
      </c>
    </row>
    <row r="35" spans="1:3" x14ac:dyDescent="0.4">
      <c r="A35" s="12" t="s">
        <v>20</v>
      </c>
      <c r="B35" s="14">
        <v>133349.94349999996</v>
      </c>
      <c r="C35" s="14">
        <v>49682.403500000008</v>
      </c>
    </row>
    <row r="36" spans="1:3" x14ac:dyDescent="0.4">
      <c r="A36" s="12" t="s">
        <v>42</v>
      </c>
      <c r="B36" s="14">
        <v>126578.76</v>
      </c>
      <c r="C36" s="14">
        <v>42939.82</v>
      </c>
    </row>
    <row r="37" spans="1:3" x14ac:dyDescent="0.4">
      <c r="A37" s="12" t="s">
        <v>149</v>
      </c>
      <c r="B37" s="14">
        <v>122289.90049999996</v>
      </c>
      <c r="C37" s="14">
        <v>46036.780500000001</v>
      </c>
    </row>
    <row r="38" spans="1:3" x14ac:dyDescent="0.4">
      <c r="A38" s="12" t="s">
        <v>251</v>
      </c>
      <c r="B38" s="14">
        <v>154865.27099999998</v>
      </c>
      <c r="C38" s="14">
        <v>52346.530999999995</v>
      </c>
    </row>
    <row r="39" spans="1:3" x14ac:dyDescent="0.4">
      <c r="A39" s="12" t="s">
        <v>54</v>
      </c>
      <c r="B39" s="14">
        <v>151463.74649999995</v>
      </c>
      <c r="C39" s="14">
        <v>53936.556499999977</v>
      </c>
    </row>
    <row r="40" spans="1:3" x14ac:dyDescent="0.4">
      <c r="A40" s="12" t="s">
        <v>26</v>
      </c>
      <c r="B40" s="14">
        <v>143522.51850000001</v>
      </c>
      <c r="C40" s="14">
        <v>54293.018499999984</v>
      </c>
    </row>
    <row r="41" spans="1:3" x14ac:dyDescent="0.4">
      <c r="A41" s="12" t="s">
        <v>65</v>
      </c>
      <c r="B41" s="14">
        <v>98417.197499999995</v>
      </c>
      <c r="C41" s="14">
        <v>31363.517499999998</v>
      </c>
    </row>
    <row r="42" spans="1:3" x14ac:dyDescent="0.4">
      <c r="A42" s="12" t="s">
        <v>95</v>
      </c>
      <c r="B42" s="14">
        <v>187246.08299999998</v>
      </c>
      <c r="C42" s="14">
        <v>69882.772999999986</v>
      </c>
    </row>
    <row r="43" spans="1:3" x14ac:dyDescent="0.4">
      <c r="A43" s="12" t="s">
        <v>269</v>
      </c>
      <c r="B43" s="14">
        <v>99786.459499999983</v>
      </c>
      <c r="C43" s="14">
        <v>38791.9395</v>
      </c>
    </row>
    <row r="44" spans="1:3" x14ac:dyDescent="0.4">
      <c r="A44" s="12" t="s">
        <v>463</v>
      </c>
      <c r="B44" s="14">
        <v>98362.961500000019</v>
      </c>
      <c r="C44" s="14">
        <v>35794.541499999992</v>
      </c>
    </row>
    <row r="45" spans="1:3" x14ac:dyDescent="0.4">
      <c r="A45" s="12" t="s">
        <v>193</v>
      </c>
      <c r="B45" s="14">
        <v>212121.25099999999</v>
      </c>
      <c r="C45" s="14">
        <v>75066.85100000001</v>
      </c>
    </row>
    <row r="46" spans="1:3" x14ac:dyDescent="0.4">
      <c r="A46" s="12" t="s">
        <v>114</v>
      </c>
      <c r="B46" s="14">
        <v>182268.35150000002</v>
      </c>
      <c r="C46" s="14">
        <v>67001.641500000012</v>
      </c>
    </row>
    <row r="47" spans="1:3" x14ac:dyDescent="0.4">
      <c r="A47" s="12" t="s">
        <v>89</v>
      </c>
      <c r="B47" s="14">
        <v>162395.07700000002</v>
      </c>
      <c r="C47" s="14">
        <v>61349.936999999998</v>
      </c>
    </row>
    <row r="48" spans="1:3" x14ac:dyDescent="0.4">
      <c r="A48" s="12" t="s">
        <v>45</v>
      </c>
      <c r="B48" s="14">
        <v>137152.7775</v>
      </c>
      <c r="C48" s="14">
        <v>47461.38749999999</v>
      </c>
    </row>
    <row r="49" spans="1:3" x14ac:dyDescent="0.4">
      <c r="A49" s="12" t="s">
        <v>457</v>
      </c>
      <c r="B49" s="14">
        <v>91397.109499999991</v>
      </c>
      <c r="C49" s="14">
        <v>33571.849499999997</v>
      </c>
    </row>
    <row r="50" spans="1:3" x14ac:dyDescent="0.4">
      <c r="A50" s="12" t="s">
        <v>86</v>
      </c>
      <c r="B50" s="14">
        <v>194617.38049999994</v>
      </c>
      <c r="C50" s="14">
        <v>79604.410499999998</v>
      </c>
    </row>
    <row r="51" spans="1:3" x14ac:dyDescent="0.4">
      <c r="A51" s="12" t="s">
        <v>205</v>
      </c>
      <c r="B51" s="14">
        <v>129232.49699999999</v>
      </c>
      <c r="C51" s="14">
        <v>47145.226999999984</v>
      </c>
    </row>
    <row r="52" spans="1:3" x14ac:dyDescent="0.4">
      <c r="A52" s="12" t="s">
        <v>182</v>
      </c>
      <c r="B52" s="14">
        <v>140190.00249999997</v>
      </c>
      <c r="C52" s="14">
        <v>52003.462499999994</v>
      </c>
    </row>
    <row r="53" spans="1:3" x14ac:dyDescent="0.4">
      <c r="A53" s="12" t="s">
        <v>241</v>
      </c>
      <c r="B53" s="14">
        <v>144094.93649999998</v>
      </c>
      <c r="C53" s="14">
        <v>52596.33649999999</v>
      </c>
    </row>
    <row r="54" spans="1:3" x14ac:dyDescent="0.4">
      <c r="A54" s="12" t="s">
        <v>375</v>
      </c>
      <c r="B54" s="14">
        <v>93635.597500000018</v>
      </c>
      <c r="C54" s="14">
        <v>32749.917500000003</v>
      </c>
    </row>
    <row r="55" spans="1:3" x14ac:dyDescent="0.4">
      <c r="A55" s="12" t="s">
        <v>253</v>
      </c>
      <c r="B55" s="14">
        <v>139892.11649999997</v>
      </c>
      <c r="C55" s="14">
        <v>44748.936499999996</v>
      </c>
    </row>
    <row r="56" spans="1:3" x14ac:dyDescent="0.4">
      <c r="A56" s="12" t="s">
        <v>98</v>
      </c>
      <c r="B56" s="14">
        <v>120870.36700000001</v>
      </c>
      <c r="C56" s="14">
        <v>38141.296999999999</v>
      </c>
    </row>
    <row r="57" spans="1:3" x14ac:dyDescent="0.4">
      <c r="A57" s="12" t="s">
        <v>224</v>
      </c>
      <c r="B57" s="14">
        <v>153872.22900000002</v>
      </c>
      <c r="C57" s="14">
        <v>56569.478999999999</v>
      </c>
    </row>
    <row r="58" spans="1:3" x14ac:dyDescent="0.4">
      <c r="A58" s="12" t="s">
        <v>267</v>
      </c>
      <c r="B58" s="14">
        <v>91242.324000000008</v>
      </c>
      <c r="C58" s="14">
        <v>31520.263999999992</v>
      </c>
    </row>
    <row r="59" spans="1:3" x14ac:dyDescent="0.4">
      <c r="A59" s="12" t="s">
        <v>51</v>
      </c>
      <c r="B59" s="14">
        <v>143588.29199999999</v>
      </c>
      <c r="C59" s="14">
        <v>48192.251999999993</v>
      </c>
    </row>
    <row r="60" spans="1:3" x14ac:dyDescent="0.4">
      <c r="A60" s="12" t="s">
        <v>296</v>
      </c>
      <c r="B60" s="14">
        <v>120661.55849999998</v>
      </c>
      <c r="C60" s="14">
        <v>39203.688499999989</v>
      </c>
    </row>
    <row r="61" spans="1:3" x14ac:dyDescent="0.4">
      <c r="A61" s="12" t="s">
        <v>122</v>
      </c>
      <c r="B61" s="14">
        <v>112300.49</v>
      </c>
      <c r="C61" s="14">
        <v>35907.039999999994</v>
      </c>
    </row>
    <row r="62" spans="1:3" x14ac:dyDescent="0.4">
      <c r="A62" s="12" t="s">
        <v>159</v>
      </c>
      <c r="B62" s="14">
        <v>171209.03600000005</v>
      </c>
      <c r="C62" s="14">
        <v>61861.756000000001</v>
      </c>
    </row>
    <row r="63" spans="1:3" x14ac:dyDescent="0.4">
      <c r="A63" s="12" t="s">
        <v>302</v>
      </c>
      <c r="B63" s="14">
        <v>118814.47</v>
      </c>
      <c r="C63" s="14">
        <v>43902.849999999991</v>
      </c>
    </row>
    <row r="64" spans="1:3" x14ac:dyDescent="0.4">
      <c r="A64" s="12" t="s">
        <v>2388</v>
      </c>
      <c r="B64" s="14">
        <v>8726847.5445000008</v>
      </c>
      <c r="C64" s="14">
        <v>3129512.8444999992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6A349-E489-4E4D-9C59-9AAD369EBBBB}">
  <dimension ref="A3:B16"/>
  <sheetViews>
    <sheetView workbookViewId="0">
      <selection activeCell="H20" sqref="H20"/>
    </sheetView>
  </sheetViews>
  <sheetFormatPr defaultRowHeight="14.6" x14ac:dyDescent="0.4"/>
  <cols>
    <col min="1" max="1" width="10.69140625" bestFit="1" customWidth="1"/>
    <col min="2" max="2" width="11.84375" bestFit="1" customWidth="1"/>
  </cols>
  <sheetData>
    <row r="3" spans="1:2" x14ac:dyDescent="0.4">
      <c r="A3" s="11" t="s">
        <v>2409</v>
      </c>
      <c r="B3" t="s">
        <v>2410</v>
      </c>
    </row>
    <row r="4" spans="1:2" x14ac:dyDescent="0.4">
      <c r="A4" s="12" t="s">
        <v>2397</v>
      </c>
      <c r="B4" s="13">
        <v>869926.18849999981</v>
      </c>
    </row>
    <row r="5" spans="1:2" x14ac:dyDescent="0.4">
      <c r="A5" s="12" t="s">
        <v>2398</v>
      </c>
      <c r="B5" s="13">
        <v>699460.62549999973</v>
      </c>
    </row>
    <row r="6" spans="1:2" x14ac:dyDescent="0.4">
      <c r="A6" s="12" t="s">
        <v>2399</v>
      </c>
      <c r="B6" s="13">
        <v>768330.87150000001</v>
      </c>
    </row>
    <row r="7" spans="1:2" x14ac:dyDescent="0.4">
      <c r="A7" s="12" t="s">
        <v>2400</v>
      </c>
      <c r="B7" s="13">
        <v>658383.27599999984</v>
      </c>
    </row>
    <row r="8" spans="1:2" x14ac:dyDescent="0.4">
      <c r="A8" s="12" t="s">
        <v>2401</v>
      </c>
      <c r="B8" s="13">
        <v>770446.52499999991</v>
      </c>
    </row>
    <row r="9" spans="1:2" x14ac:dyDescent="0.4">
      <c r="A9" s="12" t="s">
        <v>2402</v>
      </c>
      <c r="B9" s="13">
        <v>708895.93300000019</v>
      </c>
    </row>
    <row r="10" spans="1:2" x14ac:dyDescent="0.4">
      <c r="A10" s="12" t="s">
        <v>2403</v>
      </c>
      <c r="B10" s="13">
        <v>779134.42150000017</v>
      </c>
    </row>
    <row r="11" spans="1:2" x14ac:dyDescent="0.4">
      <c r="A11" s="12" t="s">
        <v>2404</v>
      </c>
      <c r="B11" s="13">
        <v>756280.3889999995</v>
      </c>
    </row>
    <row r="12" spans="1:2" x14ac:dyDescent="0.4">
      <c r="A12" s="12" t="s">
        <v>2405</v>
      </c>
      <c r="B12" s="13">
        <v>720473.63649999991</v>
      </c>
    </row>
    <row r="13" spans="1:2" x14ac:dyDescent="0.4">
      <c r="A13" s="12" t="s">
        <v>2406</v>
      </c>
      <c r="B13" s="13">
        <v>887535.86150000058</v>
      </c>
    </row>
    <row r="14" spans="1:2" x14ac:dyDescent="0.4">
      <c r="A14" s="12" t="s">
        <v>2407</v>
      </c>
      <c r="B14" s="13">
        <v>762179.60400000028</v>
      </c>
    </row>
    <row r="15" spans="1:2" x14ac:dyDescent="0.4">
      <c r="A15" s="12" t="s">
        <v>2408</v>
      </c>
      <c r="B15" s="13">
        <v>345800.21250000008</v>
      </c>
    </row>
    <row r="16" spans="1:2" x14ac:dyDescent="0.4">
      <c r="A16" s="12" t="s">
        <v>2388</v>
      </c>
      <c r="B16" s="13">
        <v>8726847.5444999989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003A0-4BEB-470B-AABF-2E8ED4F944C0}">
  <dimension ref="A3:B6"/>
  <sheetViews>
    <sheetView workbookViewId="0">
      <selection activeCell="K5" sqref="K5"/>
    </sheetView>
  </sheetViews>
  <sheetFormatPr defaultRowHeight="14.6" x14ac:dyDescent="0.4"/>
  <cols>
    <col min="1" max="1" width="16.15234375" bestFit="1" customWidth="1"/>
    <col min="2" max="2" width="8.921875" bestFit="1" customWidth="1"/>
  </cols>
  <sheetData>
    <row r="3" spans="1:2" x14ac:dyDescent="0.4">
      <c r="A3" s="11" t="s">
        <v>2411</v>
      </c>
      <c r="B3" t="s">
        <v>2412</v>
      </c>
    </row>
    <row r="4" spans="1:2" x14ac:dyDescent="0.4">
      <c r="A4" s="12" t="s">
        <v>24</v>
      </c>
      <c r="B4" s="15">
        <v>4360282.7354999958</v>
      </c>
    </row>
    <row r="5" spans="1:2" x14ac:dyDescent="0.4">
      <c r="A5" s="12" t="s">
        <v>17</v>
      </c>
      <c r="B5" s="15">
        <v>4366564.8090000041</v>
      </c>
    </row>
    <row r="6" spans="1:2" x14ac:dyDescent="0.4">
      <c r="A6" s="12" t="s">
        <v>2388</v>
      </c>
      <c r="B6" s="15">
        <v>8726847.5445000008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96A84-E8CF-488B-86C2-637A7E2F62E8}">
  <dimension ref="A3:B5"/>
  <sheetViews>
    <sheetView workbookViewId="0">
      <selection activeCell="L6" sqref="L6"/>
    </sheetView>
  </sheetViews>
  <sheetFormatPr defaultRowHeight="14.6" x14ac:dyDescent="0.4"/>
  <cols>
    <col min="1" max="1" width="12.3828125" bestFit="1" customWidth="1"/>
    <col min="2" max="2" width="14.3828125" bestFit="1" customWidth="1"/>
  </cols>
  <sheetData>
    <row r="3" spans="1:2" x14ac:dyDescent="0.4">
      <c r="A3" s="11" t="s">
        <v>2391</v>
      </c>
      <c r="B3" t="s">
        <v>2387</v>
      </c>
    </row>
    <row r="4" spans="1:2" x14ac:dyDescent="0.4">
      <c r="A4" s="12" t="s">
        <v>2389</v>
      </c>
      <c r="B4" s="13">
        <v>6324941.5719999988</v>
      </c>
    </row>
    <row r="5" spans="1:2" x14ac:dyDescent="0.4">
      <c r="A5" s="12" t="s">
        <v>2390</v>
      </c>
      <c r="B5" s="13">
        <v>2401905.9724999992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F796B-97E2-4073-9F76-FF07E74403B0}">
  <dimension ref="A3:C6"/>
  <sheetViews>
    <sheetView workbookViewId="0">
      <selection activeCell="C11" sqref="C11"/>
    </sheetView>
  </sheetViews>
  <sheetFormatPr defaultRowHeight="14.6" x14ac:dyDescent="0.4"/>
  <cols>
    <col min="1" max="1" width="12.3828125" bestFit="1" customWidth="1"/>
    <col min="2" max="2" width="8.53515625" bestFit="1" customWidth="1"/>
    <col min="3" max="3" width="7.84375" bestFit="1" customWidth="1"/>
  </cols>
  <sheetData>
    <row r="3" spans="1:3" x14ac:dyDescent="0.4">
      <c r="A3" s="11" t="s">
        <v>5</v>
      </c>
      <c r="B3" t="s">
        <v>2393</v>
      </c>
      <c r="C3" t="s">
        <v>2392</v>
      </c>
    </row>
    <row r="4" spans="1:3" x14ac:dyDescent="0.4">
      <c r="A4" s="12" t="s">
        <v>23</v>
      </c>
      <c r="B4" s="14">
        <v>2945005.0355000021</v>
      </c>
      <c r="C4" s="14">
        <v>1036070.8454999998</v>
      </c>
    </row>
    <row r="5" spans="1:3" x14ac:dyDescent="0.4">
      <c r="A5" s="12" t="s">
        <v>28</v>
      </c>
      <c r="B5" s="14">
        <v>2899359.455000001</v>
      </c>
      <c r="C5" s="14">
        <v>1048356.325</v>
      </c>
    </row>
    <row r="6" spans="1:3" x14ac:dyDescent="0.4">
      <c r="A6" s="12" t="s">
        <v>16</v>
      </c>
      <c r="B6" s="14">
        <v>2882483.0539999986</v>
      </c>
      <c r="C6" s="14">
        <v>1045085.6740000002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729B7-645A-40B0-96C0-4CA6E486D4F2}">
  <dimension ref="A3:C10"/>
  <sheetViews>
    <sheetView workbookViewId="0">
      <selection activeCell="C3" sqref="C3"/>
    </sheetView>
  </sheetViews>
  <sheetFormatPr defaultRowHeight="14.6" x14ac:dyDescent="0.4"/>
  <cols>
    <col min="1" max="1" width="10.3046875" bestFit="1" customWidth="1"/>
    <col min="2" max="2" width="6.84375" bestFit="1" customWidth="1"/>
    <col min="3" max="3" width="9.921875" bestFit="1" customWidth="1"/>
  </cols>
  <sheetData>
    <row r="3" spans="1:3" x14ac:dyDescent="0.4">
      <c r="A3" s="11" t="s">
        <v>8</v>
      </c>
      <c r="B3" t="s">
        <v>2394</v>
      </c>
      <c r="C3" t="s">
        <v>2395</v>
      </c>
    </row>
    <row r="4" spans="1:3" x14ac:dyDescent="0.4">
      <c r="A4" s="12">
        <v>0</v>
      </c>
      <c r="B4" s="14">
        <v>684034.74999999977</v>
      </c>
      <c r="C4" s="14">
        <v>1517858.6600000006</v>
      </c>
    </row>
    <row r="5" spans="1:3" x14ac:dyDescent="0.4">
      <c r="A5" s="12">
        <v>5</v>
      </c>
      <c r="B5" s="14">
        <v>621774.46600000036</v>
      </c>
      <c r="C5" s="14">
        <v>1431774.1459999995</v>
      </c>
    </row>
    <row r="6" spans="1:3" x14ac:dyDescent="0.4">
      <c r="A6" s="12">
        <v>10</v>
      </c>
      <c r="B6" s="14">
        <v>569916.06199999992</v>
      </c>
      <c r="C6" s="14">
        <v>1436903.1719999998</v>
      </c>
    </row>
    <row r="7" spans="1:3" x14ac:dyDescent="0.4">
      <c r="A7" s="12">
        <v>15</v>
      </c>
      <c r="B7" s="14">
        <v>439352.8280000001</v>
      </c>
      <c r="C7" s="14">
        <v>1244255.9080000001</v>
      </c>
    </row>
    <row r="8" spans="1:3" x14ac:dyDescent="0.4">
      <c r="A8" s="12">
        <v>20</v>
      </c>
      <c r="B8" s="14">
        <v>344018.20400000003</v>
      </c>
      <c r="C8" s="14">
        <v>1118271.024</v>
      </c>
    </row>
    <row r="9" spans="1:3" x14ac:dyDescent="0.4">
      <c r="A9" s="12">
        <v>25</v>
      </c>
      <c r="B9" s="14">
        <v>258111.61749999996</v>
      </c>
      <c r="C9" s="14">
        <v>980353.29750000045</v>
      </c>
    </row>
    <row r="10" spans="1:3" x14ac:dyDescent="0.4">
      <c r="A10" s="12">
        <v>30</v>
      </c>
      <c r="B10" s="14">
        <v>212304.91699999987</v>
      </c>
      <c r="C10" s="14">
        <v>997431.33699999948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FashionWave_BaseData</vt:lpstr>
      <vt:lpstr> </vt:lpstr>
      <vt:lpstr>Store_Performance</vt:lpstr>
      <vt:lpstr>Monthly_Trend</vt:lpstr>
      <vt:lpstr>Customer_Analysis</vt:lpstr>
      <vt:lpstr> Weekend vs Weekday _Analysis</vt:lpstr>
      <vt:lpstr>Category_Analysis</vt:lpstr>
      <vt:lpstr>Discount_Impact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 PAIN RELIEF PHYSIOTHERAPY CLINIC</cp:lastModifiedBy>
  <dcterms:created xsi:type="dcterms:W3CDTF">2025-11-09T05:42:24Z</dcterms:created>
  <dcterms:modified xsi:type="dcterms:W3CDTF">2025-11-09T16:20:08Z</dcterms:modified>
</cp:coreProperties>
</file>