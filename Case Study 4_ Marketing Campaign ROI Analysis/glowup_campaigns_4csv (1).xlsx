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e242b75272e33c/Documents/"/>
    </mc:Choice>
  </mc:AlternateContent>
  <xr:revisionPtr revIDLastSave="0" documentId="14_{FE67222D-7AE7-4FA8-A04B-9B31B8149A40}" xr6:coauthVersionLast="47" xr6:coauthVersionMax="47" xr10:uidLastSave="{00000000-0000-0000-0000-000000000000}"/>
  <bookViews>
    <workbookView xWindow="-103" yWindow="-103" windowWidth="22149" windowHeight="11949" xr2:uid="{38938660-234E-4898-81A4-44C36B0B840E}"/>
  </bookViews>
  <sheets>
    <sheet name="glowup_campaigns_clean" sheetId="1" r:id="rId1"/>
    <sheet name="ROI by Campaign" sheetId="2" r:id="rId2"/>
    <sheet name=" Conversions by Channel" sheetId="3" r:id="rId3"/>
    <sheet name="Spend vs Revenue" sheetId="4" r:id="rId4"/>
    <sheet name="Leads vs Conversions" sheetId="5" r:id="rId5"/>
  </sheets>
  <calcPr calcId="0"/>
  <pivotCaches>
    <pivotCache cacheId="7" r:id="rId6"/>
  </pivotCaches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2" i="1"/>
</calcChain>
</file>

<file path=xl/sharedStrings.xml><?xml version="1.0" encoding="utf-8"?>
<sst xmlns="http://schemas.openxmlformats.org/spreadsheetml/2006/main" count="3072" uniqueCount="139">
  <si>
    <t>CampaignID</t>
  </si>
  <si>
    <t>CampaignName</t>
  </si>
  <si>
    <t>StartDate</t>
  </si>
  <si>
    <t>EndDate</t>
  </si>
  <si>
    <t>Channel</t>
  </si>
  <si>
    <t>Spend</t>
  </si>
  <si>
    <t>LeadsGenerated</t>
  </si>
  <si>
    <t>Conversion</t>
  </si>
  <si>
    <t>RevenueGenerated</t>
  </si>
  <si>
    <t>Clicks</t>
  </si>
  <si>
    <t>Impressions</t>
  </si>
  <si>
    <t>CAMP0052</t>
  </si>
  <si>
    <t>Campaign 2</t>
  </si>
  <si>
    <t>Events</t>
  </si>
  <si>
    <t>CAMP0093</t>
  </si>
  <si>
    <t>Campaign 15</t>
  </si>
  <si>
    <t>Email</t>
  </si>
  <si>
    <t>CAMP0015</t>
  </si>
  <si>
    <t>Campaign 8</t>
  </si>
  <si>
    <t>CAMP0072</t>
  </si>
  <si>
    <t>CAMP0061</t>
  </si>
  <si>
    <t>Campaign 1</t>
  </si>
  <si>
    <t>CAMP0021</t>
  </si>
  <si>
    <t>Campaign 12</t>
  </si>
  <si>
    <t>CAMP0083</t>
  </si>
  <si>
    <t>Campaign 3</t>
  </si>
  <si>
    <t>Social Media</t>
  </si>
  <si>
    <t>CAMP0087</t>
  </si>
  <si>
    <t>Campaign 10</t>
  </si>
  <si>
    <t>CAMP0075</t>
  </si>
  <si>
    <t>Campaign 9</t>
  </si>
  <si>
    <t>Campaign 5</t>
  </si>
  <si>
    <t>CAMP0088</t>
  </si>
  <si>
    <t>Campaign 6</t>
  </si>
  <si>
    <t>Influencer</t>
  </si>
  <si>
    <t>CAMP0100</t>
  </si>
  <si>
    <t>Campaign 4</t>
  </si>
  <si>
    <t>CAMP0024</t>
  </si>
  <si>
    <t>CAMP0003</t>
  </si>
  <si>
    <t>CAMP0022</t>
  </si>
  <si>
    <t>Campaign 11</t>
  </si>
  <si>
    <t>CAMP0053</t>
  </si>
  <si>
    <t>CAMP0002</t>
  </si>
  <si>
    <t>Campaign 13</t>
  </si>
  <si>
    <t>CAMP0030</t>
  </si>
  <si>
    <t>CAMP0038</t>
  </si>
  <si>
    <t>CAMP0064</t>
  </si>
  <si>
    <t>CAMP0060</t>
  </si>
  <si>
    <t>CAMP0033</t>
  </si>
  <si>
    <t>CAMP0076</t>
  </si>
  <si>
    <t>CAMP0058</t>
  </si>
  <si>
    <t>Campaign 7</t>
  </si>
  <si>
    <t>CAMP0089</t>
  </si>
  <si>
    <t>CAMP0049</t>
  </si>
  <si>
    <t>Campaign 14</t>
  </si>
  <si>
    <t>CAMP0091</t>
  </si>
  <si>
    <t>CAMP0059</t>
  </si>
  <si>
    <t>CAMP0042</t>
  </si>
  <si>
    <t>CAMP0092</t>
  </si>
  <si>
    <t>CAMP0080</t>
  </si>
  <si>
    <t>CAMP0062</t>
  </si>
  <si>
    <t>CAMP0047</t>
  </si>
  <si>
    <t>CAMP0051</t>
  </si>
  <si>
    <t>CAMP0055</t>
  </si>
  <si>
    <t>CAMP0007</t>
  </si>
  <si>
    <t>CAMP0073</t>
  </si>
  <si>
    <t>CAMP0039</t>
  </si>
  <si>
    <t>CAMP0018</t>
  </si>
  <si>
    <t>CAMP0004</t>
  </si>
  <si>
    <t>CAMP0014</t>
  </si>
  <si>
    <t>CAMP0009</t>
  </si>
  <si>
    <t>CAMP0090</t>
  </si>
  <si>
    <t>CAMP0084</t>
  </si>
  <si>
    <t>CAMP0071</t>
  </si>
  <si>
    <t>CAMP0044</t>
  </si>
  <si>
    <t>CAMP0008</t>
  </si>
  <si>
    <t>CAMP0035</t>
  </si>
  <si>
    <t>CAMP0078</t>
  </si>
  <si>
    <t>CAMP0081</t>
  </si>
  <si>
    <t>CAMP0036</t>
  </si>
  <si>
    <t>CAMP0050</t>
  </si>
  <si>
    <t>CAMP0006</t>
  </si>
  <si>
    <t>CAMP0054</t>
  </si>
  <si>
    <t>CAMP0063</t>
  </si>
  <si>
    <t>CAMP0034</t>
  </si>
  <si>
    <t>CAMP0074</t>
  </si>
  <si>
    <t>CAMP0095</t>
  </si>
  <si>
    <t>CAMP0048</t>
  </si>
  <si>
    <t>CAMP0040</t>
  </si>
  <si>
    <t>CAMP0085</t>
  </si>
  <si>
    <t>CAMP0082</t>
  </si>
  <si>
    <t>CAMP0026</t>
  </si>
  <si>
    <t>CAMP0041</t>
  </si>
  <si>
    <t>CAMP0029</t>
  </si>
  <si>
    <t>CAMP0045</t>
  </si>
  <si>
    <t>CAMP0065</t>
  </si>
  <si>
    <t>CAMP0001</t>
  </si>
  <si>
    <t>CAMP0011</t>
  </si>
  <si>
    <t>CAMP0005</t>
  </si>
  <si>
    <t>CAMP0028</t>
  </si>
  <si>
    <t>CAMP0012</t>
  </si>
  <si>
    <t>CAMP0023</t>
  </si>
  <si>
    <t>CAMP0037</t>
  </si>
  <si>
    <t>CAMP0099</t>
  </si>
  <si>
    <t>CAMP0086</t>
  </si>
  <si>
    <t>CAMP0027</t>
  </si>
  <si>
    <t>CAMP0079</t>
  </si>
  <si>
    <t>CAMP0077</t>
  </si>
  <si>
    <t>CAMP0096</t>
  </si>
  <si>
    <t>CAMP0094</t>
  </si>
  <si>
    <t>CAMP0043</t>
  </si>
  <si>
    <t>CAMP0013</t>
  </si>
  <si>
    <t>CAMP0032</t>
  </si>
  <si>
    <t>CAMP0066</t>
  </si>
  <si>
    <t>CAMP0057</t>
  </si>
  <si>
    <t>CAMP0097</t>
  </si>
  <si>
    <t>CAMP0070</t>
  </si>
  <si>
    <t>CAMP0056</t>
  </si>
  <si>
    <t>CAMP0019</t>
  </si>
  <si>
    <t>CAMP0068</t>
  </si>
  <si>
    <t>CAMP0017</t>
  </si>
  <si>
    <t>CAMP0069</t>
  </si>
  <si>
    <t>CAMP0098</t>
  </si>
  <si>
    <t>CAMP0016</t>
  </si>
  <si>
    <t>CAMP0020</t>
  </si>
  <si>
    <t>CAMP0067</t>
  </si>
  <si>
    <t>CAMP0031</t>
  </si>
  <si>
    <t>CAMP0025</t>
  </si>
  <si>
    <t>CAMP0046</t>
  </si>
  <si>
    <t>CAMP0010</t>
  </si>
  <si>
    <t>ROI (%)</t>
  </si>
  <si>
    <t>CampaignDuration</t>
  </si>
  <si>
    <t>Row Labels</t>
  </si>
  <si>
    <t xml:space="preserve">ROI (%) </t>
  </si>
  <si>
    <t>CampaingName</t>
  </si>
  <si>
    <t>Sum of Conversion</t>
  </si>
  <si>
    <t>Sum of Spend</t>
  </si>
  <si>
    <t>Sum of RevenueGenerated</t>
  </si>
  <si>
    <t>Sum of LeadsGenerated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</si>
</sst>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numFmt numFmtId="0" formatCode="General"/>
    </dxf>
    <dxf>
      <numFmt numFmtId="1" formatCode="0"/>
    </dxf>
    <dxf>
      <numFmt numFmtId="14" formatCode="0.00%"/>
    </dxf>
    <dxf>
      <numFmt numFmtId="0" formatCode="General"/>
    </dxf>
    <dxf>
      <numFmt numFmtId="1" formatCode="0"/>
    </dxf>
    <dxf>
      <numFmt numFmtId="14" formatCode="0.00%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[glowup_campaigns_4csv.xlsx]ROI by Campaign!PivotTable1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ROI by Campaign</a:t>
            </a:r>
            <a:endParaRPr lang="en-US"/>
          </a:p>
        </c:rich>
      </c:tx>
      <c:layout>
        <c:manualLayout>
          <c:xMode val="edge"/>
          <c:yMode val="edge"/>
          <c:x val="0.34613188976377957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'ROI by Campaign'!$B$3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'ROI by Campaign'!$A$4:$A$18</c:f>
              <c:strCache>
                <c:ptCount val="15"/>
                <c:pt idx="0">
                  <c:v>Campaign 1</c:v>
                </c:pt>
                <c:pt idx="1">
                  <c:v>Campaign 10</c:v>
                </c:pt>
                <c:pt idx="2">
                  <c:v>Campaign 11</c:v>
                </c:pt>
                <c:pt idx="3">
                  <c:v>Campaign 12</c:v>
                </c:pt>
                <c:pt idx="4">
                  <c:v>Campaign 13</c:v>
                </c:pt>
                <c:pt idx="5">
                  <c:v>Campaign 14</c:v>
                </c:pt>
                <c:pt idx="6">
                  <c:v>Campaign 15</c:v>
                </c:pt>
                <c:pt idx="7">
                  <c:v>Campaign 2</c:v>
                </c:pt>
                <c:pt idx="8">
                  <c:v>Campaign 3</c:v>
                </c:pt>
                <c:pt idx="9">
                  <c:v>Campaign 4</c:v>
                </c:pt>
                <c:pt idx="10">
                  <c:v>Campaign 5</c:v>
                </c:pt>
                <c:pt idx="11">
                  <c:v>Campaign 6</c:v>
                </c:pt>
                <c:pt idx="12">
                  <c:v>Campaign 7</c:v>
                </c:pt>
                <c:pt idx="13">
                  <c:v>Campaign 8</c:v>
                </c:pt>
                <c:pt idx="14">
                  <c:v>Campaign 9</c:v>
                </c:pt>
              </c:strCache>
            </c:strRef>
          </c:cat>
          <c:val>
            <c:numRef>
              <c:f>'ROI by Campaign'!$B$4:$B$18</c:f>
              <c:numCache>
                <c:formatCode>0.00%</c:formatCode>
                <c:ptCount val="15"/>
                <c:pt idx="0">
                  <c:v>52852.763798860091</c:v>
                </c:pt>
                <c:pt idx="1">
                  <c:v>35400.080556191118</c:v>
                </c:pt>
                <c:pt idx="2">
                  <c:v>47969.380758323539</c:v>
                </c:pt>
                <c:pt idx="3">
                  <c:v>36498.760175025811</c:v>
                </c:pt>
                <c:pt idx="4">
                  <c:v>40440.915825189157</c:v>
                </c:pt>
                <c:pt idx="5">
                  <c:v>80582.804962804192</c:v>
                </c:pt>
                <c:pt idx="6">
                  <c:v>58768.826614608333</c:v>
                </c:pt>
                <c:pt idx="7">
                  <c:v>44505.702414155559</c:v>
                </c:pt>
                <c:pt idx="8">
                  <c:v>60311.129149683853</c:v>
                </c:pt>
                <c:pt idx="9">
                  <c:v>40664.378616825867</c:v>
                </c:pt>
                <c:pt idx="10">
                  <c:v>63241.263278514234</c:v>
                </c:pt>
                <c:pt idx="11">
                  <c:v>37247.612720669509</c:v>
                </c:pt>
                <c:pt idx="12">
                  <c:v>41002.585070030706</c:v>
                </c:pt>
                <c:pt idx="13">
                  <c:v>49936.03168923709</c:v>
                </c:pt>
                <c:pt idx="14">
                  <c:v>47660.914085690689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A-41A1-9A5F-E34E49131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64449168"/>
        <c:axId val="1664456368"/>
      </c:barChart>
      <c:catAx>
        <c:axId val="166444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456368"/>
        <c:crosses val="autoZero"/>
        <c:auto val="1"/>
        <c:lblAlgn val="ctr"/>
        <c:lblOffset val="100"/>
        <c:noMultiLvlLbl val="0"/>
      </c:catAx>
      <c:valAx>
        <c:axId val="166445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444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[glowup_campaigns_4csv.xlsx] Conversions by Channel!PivotTable2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Total Conversions by Channel</a:t>
            </a:r>
            <a:endParaRPr lang="en-IN"/>
          </a:p>
        </c:rich>
      </c:tx>
      <c:layout>
        <c:manualLayout>
          <c:xMode val="edge"/>
          <c:yMode val="edge"/>
          <c:x val="0.26999300087489064"/>
          <c:y val="6.3794109069699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 Conversions by Channel'!$B$3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 Conversions by Channel'!$A$4:$A$7</c:f>
              <c:strCache>
                <c:ptCount val="4"/>
                <c:pt idx="0">
                  <c:v>Email</c:v>
                </c:pt>
                <c:pt idx="1">
                  <c:v>Events</c:v>
                </c:pt>
                <c:pt idx="2">
                  <c:v>Influencer</c:v>
                </c:pt>
                <c:pt idx="3">
                  <c:v>Social Media</c:v>
                </c:pt>
              </c:strCache>
            </c:strRef>
          </c:cat>
          <c:val>
            <c:numRef>
              <c:f>' Conversions by Channel'!$B$4:$B$7</c:f>
              <c:numCache>
                <c:formatCode>General</c:formatCode>
                <c:ptCount val="4"/>
                <c:pt idx="0">
                  <c:v>59730</c:v>
                </c:pt>
                <c:pt idx="1">
                  <c:v>56917</c:v>
                </c:pt>
                <c:pt idx="2">
                  <c:v>63889</c:v>
                </c:pt>
                <c:pt idx="3">
                  <c:v>64480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1-46AB-B35C-57F01B895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55177120"/>
        <c:axId val="2055158400"/>
      </c:barChart>
      <c:catAx>
        <c:axId val="205517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158400"/>
        <c:crosses val="autoZero"/>
        <c:auto val="1"/>
        <c:lblAlgn val="ctr"/>
        <c:lblOffset val="100"/>
        <c:noMultiLvlLbl val="0"/>
      </c:catAx>
      <c:valAx>
        <c:axId val="205515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17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[glowup_campaigns_4csv.xlsx]Spend vs Revenue!PivotTable3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Spend vs Revenue by Campaign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'Spend vs Revenue'!$B$3</c:f>
              <c:strCache>
                <c:ptCount val="1"/>
                <c:pt idx="0">
                  <c:v>Sum of 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'Spend vs Revenue'!$A$4:$A$18</c:f>
              <c:strCache>
                <c:ptCount val="15"/>
                <c:pt idx="0">
                  <c:v>Campaign 1</c:v>
                </c:pt>
                <c:pt idx="1">
                  <c:v>Campaign 10</c:v>
                </c:pt>
                <c:pt idx="2">
                  <c:v>Campaign 11</c:v>
                </c:pt>
                <c:pt idx="3">
                  <c:v>Campaign 12</c:v>
                </c:pt>
                <c:pt idx="4">
                  <c:v>Campaign 13</c:v>
                </c:pt>
                <c:pt idx="5">
                  <c:v>Campaign 14</c:v>
                </c:pt>
                <c:pt idx="6">
                  <c:v>Campaign 15</c:v>
                </c:pt>
                <c:pt idx="7">
                  <c:v>Campaign 2</c:v>
                </c:pt>
                <c:pt idx="8">
                  <c:v>Campaign 3</c:v>
                </c:pt>
                <c:pt idx="9">
                  <c:v>Campaign 4</c:v>
                </c:pt>
                <c:pt idx="10">
                  <c:v>Campaign 5</c:v>
                </c:pt>
                <c:pt idx="11">
                  <c:v>Campaign 6</c:v>
                </c:pt>
                <c:pt idx="12">
                  <c:v>Campaign 7</c:v>
                </c:pt>
                <c:pt idx="13">
                  <c:v>Campaign 8</c:v>
                </c:pt>
                <c:pt idx="14">
                  <c:v>Campaign 9</c:v>
                </c:pt>
              </c:strCache>
            </c:strRef>
          </c:cat>
          <c:val>
            <c:numRef>
              <c:f>'Spend vs Revenue'!$B$4:$B$18</c:f>
              <c:numCache>
                <c:formatCode>General</c:formatCode>
                <c:ptCount val="15"/>
                <c:pt idx="0">
                  <c:v>1774587.7599999998</c:v>
                </c:pt>
                <c:pt idx="1">
                  <c:v>1713216.64</c:v>
                </c:pt>
                <c:pt idx="2">
                  <c:v>2020550.1699999997</c:v>
                </c:pt>
                <c:pt idx="3">
                  <c:v>1219560.7500000002</c:v>
                </c:pt>
                <c:pt idx="4">
                  <c:v>1730673.5700000003</c:v>
                </c:pt>
                <c:pt idx="5">
                  <c:v>1743327.2200000004</c:v>
                </c:pt>
                <c:pt idx="6">
                  <c:v>1625752.5600000008</c:v>
                </c:pt>
                <c:pt idx="7">
                  <c:v>1816731.8300000005</c:v>
                </c:pt>
                <c:pt idx="8">
                  <c:v>1695366.3500000006</c:v>
                </c:pt>
                <c:pt idx="9">
                  <c:v>1483391.66</c:v>
                </c:pt>
                <c:pt idx="10">
                  <c:v>1786269.7499999995</c:v>
                </c:pt>
                <c:pt idx="11">
                  <c:v>1852152.860000001</c:v>
                </c:pt>
                <c:pt idx="12">
                  <c:v>1671743.25</c:v>
                </c:pt>
                <c:pt idx="13">
                  <c:v>2061053.0799999998</c:v>
                </c:pt>
                <c:pt idx="14">
                  <c:v>1611463.4500000007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0-4B5D-8CDF-47B39C0111D9}"/>
            </c:ext>
          </c:extLst>
        </c:ser>
        <c:ser>
          <c:idx val="1"/>
          <c:order val="1"/>
          <c:tx>
            <c:strRef>
              <c:f>'Spend vs Revenue'!$C$3</c:f>
              <c:strCache>
                <c:ptCount val="1"/>
                <c:pt idx="0">
                  <c:v>Sum of RevenueGenerated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'Spend vs Revenue'!$A$4:$A$18</c:f>
              <c:strCache>
                <c:ptCount val="15"/>
                <c:pt idx="0">
                  <c:v>Campaign 1</c:v>
                </c:pt>
                <c:pt idx="1">
                  <c:v>Campaign 10</c:v>
                </c:pt>
                <c:pt idx="2">
                  <c:v>Campaign 11</c:v>
                </c:pt>
                <c:pt idx="3">
                  <c:v>Campaign 12</c:v>
                </c:pt>
                <c:pt idx="4">
                  <c:v>Campaign 13</c:v>
                </c:pt>
                <c:pt idx="5">
                  <c:v>Campaign 14</c:v>
                </c:pt>
                <c:pt idx="6">
                  <c:v>Campaign 15</c:v>
                </c:pt>
                <c:pt idx="7">
                  <c:v>Campaign 2</c:v>
                </c:pt>
                <c:pt idx="8">
                  <c:v>Campaign 3</c:v>
                </c:pt>
                <c:pt idx="9">
                  <c:v>Campaign 4</c:v>
                </c:pt>
                <c:pt idx="10">
                  <c:v>Campaign 5</c:v>
                </c:pt>
                <c:pt idx="11">
                  <c:v>Campaign 6</c:v>
                </c:pt>
                <c:pt idx="12">
                  <c:v>Campaign 7</c:v>
                </c:pt>
                <c:pt idx="13">
                  <c:v>Campaign 8</c:v>
                </c:pt>
                <c:pt idx="14">
                  <c:v>Campaign 9</c:v>
                </c:pt>
              </c:strCache>
            </c:strRef>
          </c:cat>
          <c:val>
            <c:numRef>
              <c:f>'Spend vs Revenue'!$C$4:$C$18</c:f>
              <c:numCache>
                <c:formatCode>General</c:formatCode>
                <c:ptCount val="15"/>
                <c:pt idx="0">
                  <c:v>7723655.3500000071</c:v>
                </c:pt>
                <c:pt idx="1">
                  <c:v>6572893.879999999</c:v>
                </c:pt>
                <c:pt idx="2">
                  <c:v>6571933.120000001</c:v>
                </c:pt>
                <c:pt idx="3">
                  <c:v>5245145.4800000004</c:v>
                </c:pt>
                <c:pt idx="4">
                  <c:v>6930386.1399999978</c:v>
                </c:pt>
                <c:pt idx="5">
                  <c:v>7540790.1799999997</c:v>
                </c:pt>
                <c:pt idx="6">
                  <c:v>6962335.530000004</c:v>
                </c:pt>
                <c:pt idx="7">
                  <c:v>7152527.2999999998</c:v>
                </c:pt>
                <c:pt idx="8">
                  <c:v>6567584.2500000037</c:v>
                </c:pt>
                <c:pt idx="9">
                  <c:v>6353659.4200000018</c:v>
                </c:pt>
                <c:pt idx="10">
                  <c:v>7701212.8200000003</c:v>
                </c:pt>
                <c:pt idx="11">
                  <c:v>6066144.4900000012</c:v>
                </c:pt>
                <c:pt idx="12">
                  <c:v>6265904.8500000015</c:v>
                </c:pt>
                <c:pt idx="13">
                  <c:v>7948605.3999999966</c:v>
                </c:pt>
                <c:pt idx="14">
                  <c:v>5849021.799999998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80-4B5D-8CDF-47B39C011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5170880"/>
        <c:axId val="2055156000"/>
      </c:barChart>
      <c:catAx>
        <c:axId val="205517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156000"/>
        <c:crosses val="autoZero"/>
        <c:auto val="1"/>
        <c:lblAlgn val="ctr"/>
        <c:lblOffset val="100"/>
        <c:noMultiLvlLbl val="0"/>
      </c:catAx>
      <c:valAx>
        <c:axId val="205515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17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[glowup_campaigns_4csv.xlsx]Leads vs Conversions!PivotTable4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Leads vs Conversions by Campaign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'Leads vs Conversions'!$B$3</c:f>
              <c:strCache>
                <c:ptCount val="1"/>
                <c:pt idx="0">
                  <c:v>Sum of Conversion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'Leads vs Conversions'!$A$4:$A$18</c:f>
              <c:strCache>
                <c:ptCount val="15"/>
                <c:pt idx="0">
                  <c:v>Campaign 1</c:v>
                </c:pt>
                <c:pt idx="1">
                  <c:v>Campaign 10</c:v>
                </c:pt>
                <c:pt idx="2">
                  <c:v>Campaign 11</c:v>
                </c:pt>
                <c:pt idx="3">
                  <c:v>Campaign 12</c:v>
                </c:pt>
                <c:pt idx="4">
                  <c:v>Campaign 13</c:v>
                </c:pt>
                <c:pt idx="5">
                  <c:v>Campaign 14</c:v>
                </c:pt>
                <c:pt idx="6">
                  <c:v>Campaign 15</c:v>
                </c:pt>
                <c:pt idx="7">
                  <c:v>Campaign 2</c:v>
                </c:pt>
                <c:pt idx="8">
                  <c:v>Campaign 3</c:v>
                </c:pt>
                <c:pt idx="9">
                  <c:v>Campaign 4</c:v>
                </c:pt>
                <c:pt idx="10">
                  <c:v>Campaign 5</c:v>
                </c:pt>
                <c:pt idx="11">
                  <c:v>Campaign 6</c:v>
                </c:pt>
                <c:pt idx="12">
                  <c:v>Campaign 7</c:v>
                </c:pt>
                <c:pt idx="13">
                  <c:v>Campaign 8</c:v>
                </c:pt>
                <c:pt idx="14">
                  <c:v>Campaign 9</c:v>
                </c:pt>
              </c:strCache>
            </c:strRef>
          </c:cat>
          <c:val>
            <c:numRef>
              <c:f>'Leads vs Conversions'!$B$4:$B$18</c:f>
              <c:numCache>
                <c:formatCode>General</c:formatCode>
                <c:ptCount val="15"/>
                <c:pt idx="0">
                  <c:v>18158</c:v>
                </c:pt>
                <c:pt idx="1">
                  <c:v>16458</c:v>
                </c:pt>
                <c:pt idx="2">
                  <c:v>16565</c:v>
                </c:pt>
                <c:pt idx="3">
                  <c:v>12528</c:v>
                </c:pt>
                <c:pt idx="4">
                  <c:v>16023</c:v>
                </c:pt>
                <c:pt idx="5">
                  <c:v>16663</c:v>
                </c:pt>
                <c:pt idx="6">
                  <c:v>16201</c:v>
                </c:pt>
                <c:pt idx="7">
                  <c:v>19269</c:v>
                </c:pt>
                <c:pt idx="8">
                  <c:v>16456</c:v>
                </c:pt>
                <c:pt idx="9">
                  <c:v>14689</c:v>
                </c:pt>
                <c:pt idx="10">
                  <c:v>17691</c:v>
                </c:pt>
                <c:pt idx="11">
                  <c:v>14544</c:v>
                </c:pt>
                <c:pt idx="12">
                  <c:v>15176</c:v>
                </c:pt>
                <c:pt idx="13">
                  <c:v>18836</c:v>
                </c:pt>
                <c:pt idx="14">
                  <c:v>15759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86-4A5D-9698-28AA369844C5}"/>
            </c:ext>
          </c:extLst>
        </c:ser>
        <c:ser>
          <c:idx val="1"/>
          <c:order val="1"/>
          <c:tx>
            <c:strRef>
              <c:f>'Leads vs Conversions'!$C$3</c:f>
              <c:strCache>
                <c:ptCount val="1"/>
                <c:pt idx="0">
                  <c:v>Sum of LeadsGenerated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'Leads vs Conversions'!$A$4:$A$18</c:f>
              <c:strCache>
                <c:ptCount val="15"/>
                <c:pt idx="0">
                  <c:v>Campaign 1</c:v>
                </c:pt>
                <c:pt idx="1">
                  <c:v>Campaign 10</c:v>
                </c:pt>
                <c:pt idx="2">
                  <c:v>Campaign 11</c:v>
                </c:pt>
                <c:pt idx="3">
                  <c:v>Campaign 12</c:v>
                </c:pt>
                <c:pt idx="4">
                  <c:v>Campaign 13</c:v>
                </c:pt>
                <c:pt idx="5">
                  <c:v>Campaign 14</c:v>
                </c:pt>
                <c:pt idx="6">
                  <c:v>Campaign 15</c:v>
                </c:pt>
                <c:pt idx="7">
                  <c:v>Campaign 2</c:v>
                </c:pt>
                <c:pt idx="8">
                  <c:v>Campaign 3</c:v>
                </c:pt>
                <c:pt idx="9">
                  <c:v>Campaign 4</c:v>
                </c:pt>
                <c:pt idx="10">
                  <c:v>Campaign 5</c:v>
                </c:pt>
                <c:pt idx="11">
                  <c:v>Campaign 6</c:v>
                </c:pt>
                <c:pt idx="12">
                  <c:v>Campaign 7</c:v>
                </c:pt>
                <c:pt idx="13">
                  <c:v>Campaign 8</c:v>
                </c:pt>
                <c:pt idx="14">
                  <c:v>Campaign 9</c:v>
                </c:pt>
              </c:strCache>
            </c:strRef>
          </c:cat>
          <c:val>
            <c:numRef>
              <c:f>'Leads vs Conversions'!$C$4:$C$18</c:f>
              <c:numCache>
                <c:formatCode>General</c:formatCode>
                <c:ptCount val="15"/>
                <c:pt idx="0">
                  <c:v>75213</c:v>
                </c:pt>
                <c:pt idx="1">
                  <c:v>63597</c:v>
                </c:pt>
                <c:pt idx="2">
                  <c:v>77467</c:v>
                </c:pt>
                <c:pt idx="3">
                  <c:v>51230</c:v>
                </c:pt>
                <c:pt idx="4">
                  <c:v>69708</c:v>
                </c:pt>
                <c:pt idx="5">
                  <c:v>79898</c:v>
                </c:pt>
                <c:pt idx="6">
                  <c:v>67339</c:v>
                </c:pt>
                <c:pt idx="7">
                  <c:v>68723</c:v>
                </c:pt>
                <c:pt idx="8">
                  <c:v>68957</c:v>
                </c:pt>
                <c:pt idx="9">
                  <c:v>57377</c:v>
                </c:pt>
                <c:pt idx="10">
                  <c:v>80448</c:v>
                </c:pt>
                <c:pt idx="11">
                  <c:v>64248</c:v>
                </c:pt>
                <c:pt idx="12">
                  <c:v>66370</c:v>
                </c:pt>
                <c:pt idx="13">
                  <c:v>90565</c:v>
                </c:pt>
                <c:pt idx="14">
                  <c:v>69979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86-4A5D-9698-28AA36984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055180960"/>
        <c:axId val="2055181440"/>
        <c:axId val="0"/>
      </c:bar3DChart>
      <c:catAx>
        <c:axId val="205518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181440"/>
        <c:crosses val="autoZero"/>
        <c:auto val="1"/>
        <c:lblAlgn val="ctr"/>
        <c:lblOffset val="100"/>
        <c:noMultiLvlLbl val="0"/>
      </c:catAx>
      <c:valAx>
        <c:axId val="2055181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518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348342</xdr:colOff>
      <xdr:row>1</xdr:row>
      <xdr:rowOff>160564</xdr:rowOff>
    </xdr:from>
    <xdr:to>
      <xdr:col>11</xdr:col>
      <xdr:colOff>348342</xdr:colOff>
      <xdr:row>16</xdr:row>
      <xdr:rowOff>127907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AA7634-3078-B822-F67D-3EDD70457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615041</xdr:colOff>
      <xdr:row>2</xdr:row>
      <xdr:rowOff>8165</xdr:rowOff>
    </xdr:from>
    <xdr:to>
      <xdr:col>9</xdr:col>
      <xdr:colOff>615041</xdr:colOff>
      <xdr:row>16</xdr:row>
      <xdr:rowOff>160565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8E2884-320A-DCE7-6B63-3F663E52C5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560613</xdr:colOff>
      <xdr:row>3</xdr:row>
      <xdr:rowOff>84365</xdr:rowOff>
    </xdr:from>
    <xdr:to>
      <xdr:col>11</xdr:col>
      <xdr:colOff>560613</xdr:colOff>
      <xdr:row>18</xdr:row>
      <xdr:rowOff>51707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3F2757-A8D2-8984-711D-9A62D6893D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332013</xdr:colOff>
      <xdr:row>1</xdr:row>
      <xdr:rowOff>2721</xdr:rowOff>
    </xdr:from>
    <xdr:to>
      <xdr:col>12</xdr:col>
      <xdr:colOff>190500</xdr:colOff>
      <xdr:row>17</xdr:row>
      <xdr:rowOff>179615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9C233C-7D64-0A56-023C-7022CC86C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IT YADUVANSHI" refreshedDate="45972.673882060182" createdVersion="8" refreshedVersion="8" minRefreshableVersion="3" recordCount="1000" xr:uid="{067DEF6C-D6A2-4773-94A6-27F0F520CA26}">
  <cacheSource type="worksheet">
    <worksheetSource ref="A1:M1001" sheet="glowup_campaigns_clean"/>
  </cacheSource>
  <cacheFields count="13">
    <cacheField name="CampaignID" numFmtId="0">
      <sharedItems/>
    </cacheField>
    <cacheField name="CampaignName" numFmtId="0">
      <sharedItems count="15">
        <s v="Campaign 2"/>
        <s v="Campaign 15"/>
        <s v="Campaign 8"/>
        <s v="Campaign 1"/>
        <s v="Campaign 12"/>
        <s v="Campaign 3"/>
        <s v="Campaign 10"/>
        <s v="Campaign 9"/>
        <s v="Campaign 5"/>
        <s v="Campaign 6"/>
        <s v="Campaign 4"/>
        <s v="Campaign 11"/>
        <s v="Campaign 13"/>
        <s v="Campaign 7"/>
        <s v="Campaign 14"/>
      </sharedItems>
    </cacheField>
    <cacheField name="StartDate" numFmtId="14">
      <sharedItems containsSemiMixedTypes="0" containsNonDate="0" containsDate="1" containsString="0" minDate="2024-01-01T00:00:00" maxDate="2024-12-31T00:00:00"/>
    </cacheField>
    <cacheField name="EndDate" numFmtId="14">
      <sharedItems containsSemiMixedTypes="0" containsNonDate="0" containsDate="1" containsString="0" minDate="2024-01-03T00:00:00" maxDate="2024-01-12T00:00:00"/>
    </cacheField>
    <cacheField name="Channel" numFmtId="0">
      <sharedItems count="4">
        <s v="Events"/>
        <s v="Email"/>
        <s v="Social Media"/>
        <s v="Influencer"/>
      </sharedItems>
    </cacheField>
    <cacheField name="Spend" numFmtId="0">
      <sharedItems containsSemiMixedTypes="0" containsString="0" containsNumber="1" minValue="1065.97" maxValue="49883.519999999997"/>
    </cacheField>
    <cacheField name="LeadsGenerated" numFmtId="0">
      <sharedItems containsSemiMixedTypes="0" containsString="0" containsNumber="1" containsInteger="1" minValue="50" maxValue="2000"/>
    </cacheField>
    <cacheField name="Conversion" numFmtId="0">
      <sharedItems containsSemiMixedTypes="0" containsString="0" containsNumber="1" containsInteger="1" minValue="5" maxValue="500"/>
    </cacheField>
    <cacheField name="RevenueGenerated" numFmtId="0">
      <sharedItems containsSemiMixedTypes="0" containsString="0" containsNumber="1" minValue="5764.08" maxValue="199894.83"/>
    </cacheField>
    <cacheField name="Clicks" numFmtId="0">
      <sharedItems containsSemiMixedTypes="0" containsString="0" containsNumber="1" containsInteger="1" minValue="102" maxValue="9994"/>
    </cacheField>
    <cacheField name="Impressions" numFmtId="0">
      <sharedItems containsSemiMixedTypes="0" containsString="0" containsNumber="1" containsInteger="1" minValue="1037" maxValue="499953"/>
    </cacheField>
    <cacheField name="ROI (%)" numFmtId="0">
      <sharedItems containsSemiMixedTypes="0" containsString="0" containsNumber="1" minValue="-88.4368151129772" maxValue="14482.223472436575"/>
    </cacheField>
    <cacheField name="CampaignDuration" numFmtId="0">
      <sharedItems containsSemiMixedTypes="0" containsString="0" containsNumber="1" containsInteger="1" minValue="0" maxValue="3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CAMP0052"/>
    <x v="0"/>
    <d v="2024-12-19T00:00:00"/>
    <d v="2024-01-03T00:00:00"/>
    <x v="0"/>
    <n v="2084.9299999999998"/>
    <n v="362"/>
    <n v="336"/>
    <n v="99619.94"/>
    <n v="3651"/>
    <n v="208925"/>
    <n v="4678.0951878480337"/>
    <n v="351"/>
  </r>
  <r>
    <s v="CAMP0093"/>
    <x v="1"/>
    <d v="2024-07-06T00:00:00"/>
    <d v="2024-01-06T00:00:00"/>
    <x v="1"/>
    <n v="47310.6"/>
    <n v="587"/>
    <n v="302"/>
    <n v="39936.959999999999"/>
    <n v="6500"/>
    <n v="321787"/>
    <n v="-15.585598153479346"/>
    <n v="182"/>
  </r>
  <r>
    <s v="CAMP0015"/>
    <x v="2"/>
    <d v="2024-12-09T00:00:00"/>
    <d v="2024-01-10T00:00:00"/>
    <x v="1"/>
    <n v="35134.74"/>
    <n v="970"/>
    <n v="439"/>
    <n v="178772.32"/>
    <n v="6743"/>
    <n v="415750"/>
    <n v="408.81924841339378"/>
    <n v="334"/>
  </r>
  <r>
    <s v="CAMP0072"/>
    <x v="2"/>
    <d v="2024-12-30T00:00:00"/>
    <d v="2024-01-05T00:00:00"/>
    <x v="0"/>
    <n v="25289.48"/>
    <n v="1127"/>
    <n v="188"/>
    <n v="94769.3"/>
    <n v="8801"/>
    <n v="354414"/>
    <n v="274.73803336407076"/>
    <n v="360"/>
  </r>
  <r>
    <s v="CAMP0061"/>
    <x v="3"/>
    <d v="2024-06-11T00:00:00"/>
    <d v="2024-01-04T00:00:00"/>
    <x v="1"/>
    <n v="46723.23"/>
    <n v="1614"/>
    <n v="183"/>
    <n v="143385.91"/>
    <n v="1923"/>
    <n v="495649"/>
    <n v="206.88355663767251"/>
    <n v="159"/>
  </r>
  <r>
    <s v="CAMP0021"/>
    <x v="4"/>
    <d v="2024-11-21T00:00:00"/>
    <d v="2024-01-11T00:00:00"/>
    <x v="1"/>
    <n v="22515.68"/>
    <n v="1540"/>
    <n v="202"/>
    <n v="196823.76"/>
    <n v="6952"/>
    <n v="164944"/>
    <n v="774.16307213461914"/>
    <n v="315"/>
  </r>
  <r>
    <s v="CAMP0083"/>
    <x v="5"/>
    <d v="2024-03-14T00:00:00"/>
    <d v="2024-01-07T00:00:00"/>
    <x v="2"/>
    <n v="49041.34"/>
    <n v="914"/>
    <n v="132"/>
    <n v="14784.19"/>
    <n v="7877"/>
    <n v="499953"/>
    <n v="-69.853617376686685"/>
    <n v="67"/>
  </r>
  <r>
    <s v="CAMP0087"/>
    <x v="6"/>
    <d v="2024-08-20T00:00:00"/>
    <d v="2024-01-09T00:00:00"/>
    <x v="2"/>
    <n v="26101.95"/>
    <n v="1237"/>
    <n v="24"/>
    <n v="23855.439999999999"/>
    <n v="4332"/>
    <n v="401905"/>
    <n v="-8.6066749802217917"/>
    <n v="224"/>
  </r>
  <r>
    <s v="CAMP0075"/>
    <x v="7"/>
    <d v="2024-08-11T00:00:00"/>
    <d v="2024-01-04T00:00:00"/>
    <x v="1"/>
    <n v="6600"/>
    <n v="831"/>
    <n v="476"/>
    <n v="145489.06"/>
    <n v="6619"/>
    <n v="70103"/>
    <n v="2104.3796969696969"/>
    <n v="220"/>
  </r>
  <r>
    <s v="CAMP0075"/>
    <x v="8"/>
    <d v="2024-11-14T00:00:00"/>
    <d v="2024-01-11T00:00:00"/>
    <x v="0"/>
    <n v="38475.25"/>
    <n v="383"/>
    <n v="415"/>
    <n v="59955.88"/>
    <n v="1877"/>
    <n v="349412"/>
    <n v="55.829734699579589"/>
    <n v="308"/>
  </r>
  <r>
    <s v="CAMP0088"/>
    <x v="9"/>
    <d v="2024-02-29T00:00:00"/>
    <d v="2024-01-11T00:00:00"/>
    <x v="3"/>
    <n v="34265.99"/>
    <n v="1620"/>
    <n v="426"/>
    <n v="40938.769999999997"/>
    <n v="1322"/>
    <n v="87310"/>
    <n v="19.4734779295739"/>
    <n v="49"/>
  </r>
  <r>
    <s v="CAMP0100"/>
    <x v="10"/>
    <d v="2024-11-30T00:00:00"/>
    <d v="2024-01-06T00:00:00"/>
    <x v="0"/>
    <n v="38876.35"/>
    <n v="847"/>
    <n v="332"/>
    <n v="12675.57"/>
    <n v="7730"/>
    <n v="482947"/>
    <n v="-67.395164412296936"/>
    <n v="329"/>
  </r>
  <r>
    <s v="CAMP0024"/>
    <x v="6"/>
    <d v="2024-08-09T00:00:00"/>
    <d v="2024-01-06T00:00:00"/>
    <x v="3"/>
    <n v="47620.66"/>
    <n v="397"/>
    <n v="69"/>
    <n v="9260.11"/>
    <n v="1877"/>
    <n v="38412"/>
    <n v="-80.554427427087319"/>
    <n v="216"/>
  </r>
  <r>
    <s v="CAMP0003"/>
    <x v="0"/>
    <d v="2024-02-06T00:00:00"/>
    <d v="2024-01-08T00:00:00"/>
    <x v="0"/>
    <n v="39047.980000000003"/>
    <n v="322"/>
    <n v="186"/>
    <n v="156024.69"/>
    <n v="9596"/>
    <n v="310878"/>
    <n v="299.571732007648"/>
    <n v="29"/>
  </r>
  <r>
    <s v="CAMP0022"/>
    <x v="11"/>
    <d v="2024-10-04T00:00:00"/>
    <d v="2024-01-08T00:00:00"/>
    <x v="2"/>
    <n v="30955.49"/>
    <n v="1012"/>
    <n v="245"/>
    <n v="31214.52"/>
    <n v="7590"/>
    <n v="350937"/>
    <n v="0.8367821023023666"/>
    <n v="270"/>
  </r>
  <r>
    <s v="CAMP0053"/>
    <x v="2"/>
    <d v="2024-07-14T00:00:00"/>
    <d v="2024-01-03T00:00:00"/>
    <x v="1"/>
    <n v="43008.14"/>
    <n v="769"/>
    <n v="373"/>
    <n v="96205.52"/>
    <n v="4959"/>
    <n v="202002"/>
    <n v="123.69142213543762"/>
    <n v="193"/>
  </r>
  <r>
    <s v="CAMP0002"/>
    <x v="11"/>
    <d v="2024-12-17T00:00:00"/>
    <d v="2024-01-11T00:00:00"/>
    <x v="1"/>
    <n v="33989.08"/>
    <n v="1823"/>
    <n v="28"/>
    <n v="123149.88"/>
    <n v="8993"/>
    <n v="496054"/>
    <n v="262.32189868039967"/>
    <n v="341"/>
  </r>
  <r>
    <s v="CAMP0088"/>
    <x v="12"/>
    <d v="2024-08-29T00:00:00"/>
    <d v="2024-01-04T00:00:00"/>
    <x v="2"/>
    <n v="20997.83"/>
    <n v="1487"/>
    <n v="388"/>
    <n v="88528.6"/>
    <n v="8218"/>
    <n v="23228"/>
    <n v="321.60832809866542"/>
    <n v="238"/>
  </r>
  <r>
    <s v="CAMP0030"/>
    <x v="9"/>
    <d v="2024-11-19T00:00:00"/>
    <d v="2024-01-07T00:00:00"/>
    <x v="3"/>
    <n v="44395.37"/>
    <n v="549"/>
    <n v="435"/>
    <n v="10285.799999999999"/>
    <n v="3089"/>
    <n v="121627"/>
    <n v="-76.831367775513542"/>
    <n v="317"/>
  </r>
  <r>
    <s v="CAMP0038"/>
    <x v="8"/>
    <d v="2024-08-06T00:00:00"/>
    <d v="2024-01-11T00:00:00"/>
    <x v="3"/>
    <n v="11873.12"/>
    <n v="1166"/>
    <n v="459"/>
    <n v="157782.79"/>
    <n v="8443"/>
    <n v="341068"/>
    <n v="1228.9075659978171"/>
    <n v="208"/>
  </r>
  <r>
    <s v="CAMP0002"/>
    <x v="7"/>
    <d v="2024-07-10T00:00:00"/>
    <d v="2024-01-06T00:00:00"/>
    <x v="3"/>
    <n v="36017.42"/>
    <n v="734"/>
    <n v="87"/>
    <n v="7050.08"/>
    <n v="1425"/>
    <n v="12319"/>
    <n v="-80.425916126141175"/>
    <n v="186"/>
  </r>
  <r>
    <s v="CAMP0064"/>
    <x v="3"/>
    <d v="2024-01-17T00:00:00"/>
    <d v="2024-01-05T00:00:00"/>
    <x v="2"/>
    <n v="44196.61"/>
    <n v="128"/>
    <n v="474"/>
    <n v="153568.53"/>
    <n v="9593"/>
    <n v="7475"/>
    <n v="247.46676272229928"/>
    <n v="12"/>
  </r>
  <r>
    <s v="CAMP0060"/>
    <x v="8"/>
    <d v="2024-01-12T00:00:00"/>
    <d v="2024-01-09T00:00:00"/>
    <x v="3"/>
    <n v="36834.51"/>
    <n v="671"/>
    <n v="323"/>
    <n v="179194.38"/>
    <n v="5227"/>
    <n v="229163"/>
    <n v="386.48503807977892"/>
    <n v="3"/>
  </r>
  <r>
    <s v="CAMP0021"/>
    <x v="9"/>
    <d v="2024-07-11T00:00:00"/>
    <d v="2024-01-08T00:00:00"/>
    <x v="2"/>
    <n v="35166.5"/>
    <n v="1290"/>
    <n v="189"/>
    <n v="89403.78"/>
    <n v="9098"/>
    <n v="477910"/>
    <n v="154.22996317518093"/>
    <n v="185"/>
  </r>
  <r>
    <s v="CAMP0033"/>
    <x v="8"/>
    <d v="2024-01-22T00:00:00"/>
    <d v="2024-01-10T00:00:00"/>
    <x v="0"/>
    <n v="37879.279999999999"/>
    <n v="996"/>
    <n v="443"/>
    <n v="109430.78"/>
    <n v="2822"/>
    <n v="146800"/>
    <n v="188.89350589557142"/>
    <n v="12"/>
  </r>
  <r>
    <s v="CAMP0076"/>
    <x v="9"/>
    <d v="2024-04-29T00:00:00"/>
    <d v="2024-01-05T00:00:00"/>
    <x v="0"/>
    <n v="23787.71"/>
    <n v="407"/>
    <n v="320"/>
    <n v="98011.76"/>
    <n v="4756"/>
    <n v="242382"/>
    <n v="312.02688278947403"/>
    <n v="115"/>
  </r>
  <r>
    <s v="CAMP0058"/>
    <x v="9"/>
    <d v="2024-07-28T00:00:00"/>
    <d v="2024-01-07T00:00:00"/>
    <x v="2"/>
    <n v="43834.36"/>
    <n v="667"/>
    <n v="103"/>
    <n v="80895.679999999993"/>
    <n v="1425"/>
    <n v="292689"/>
    <n v="84.548559623090185"/>
    <n v="203"/>
  </r>
  <r>
    <s v="CAMP0022"/>
    <x v="13"/>
    <d v="2024-11-01T00:00:00"/>
    <d v="2024-01-06T00:00:00"/>
    <x v="1"/>
    <n v="10968.39"/>
    <n v="556"/>
    <n v="66"/>
    <n v="178047.78"/>
    <n v="4233"/>
    <n v="359780"/>
    <n v="1523.2809008432416"/>
    <n v="300"/>
  </r>
  <r>
    <s v="CAMP0089"/>
    <x v="10"/>
    <d v="2024-09-26T00:00:00"/>
    <d v="2024-01-06T00:00:00"/>
    <x v="0"/>
    <n v="7241.93"/>
    <n v="1632"/>
    <n v="290"/>
    <n v="179317.03"/>
    <n v="9451"/>
    <n v="475902"/>
    <n v="2376.0944941472781"/>
    <n v="264"/>
  </r>
  <r>
    <s v="CAMP0049"/>
    <x v="14"/>
    <d v="2024-07-10T00:00:00"/>
    <d v="2024-01-06T00:00:00"/>
    <x v="3"/>
    <n v="14989.93"/>
    <n v="1254"/>
    <n v="481"/>
    <n v="70484.19"/>
    <n v="2969"/>
    <n v="492966"/>
    <n v="370.21026782646749"/>
    <n v="186"/>
  </r>
  <r>
    <s v="CAMP0091"/>
    <x v="11"/>
    <d v="2024-06-23T00:00:00"/>
    <d v="2024-01-10T00:00:00"/>
    <x v="2"/>
    <n v="27047.29"/>
    <n v="625"/>
    <n v="26"/>
    <n v="124938.6"/>
    <n v="1342"/>
    <n v="230484"/>
    <n v="361.92649984527094"/>
    <n v="165"/>
  </r>
  <r>
    <s v="CAMP0059"/>
    <x v="14"/>
    <d v="2024-10-11T00:00:00"/>
    <d v="2024-01-08T00:00:00"/>
    <x v="3"/>
    <n v="26017.53"/>
    <n v="1319"/>
    <n v="463"/>
    <n v="185746.97"/>
    <n v="8639"/>
    <n v="193828"/>
    <n v="613.93006945701609"/>
    <n v="277"/>
  </r>
  <r>
    <s v="CAMP0042"/>
    <x v="14"/>
    <d v="2024-07-22T00:00:00"/>
    <d v="2024-01-05T00:00:00"/>
    <x v="3"/>
    <n v="41209.339999999997"/>
    <n v="293"/>
    <n v="216"/>
    <n v="192601.41"/>
    <n v="1931"/>
    <n v="200847"/>
    <n v="367.37319743533874"/>
    <n v="199"/>
  </r>
  <r>
    <s v="CAMP0092"/>
    <x v="14"/>
    <d v="2024-06-12T00:00:00"/>
    <d v="2024-01-07T00:00:00"/>
    <x v="1"/>
    <n v="20823.86"/>
    <n v="555"/>
    <n v="130"/>
    <n v="104247.01"/>
    <n v="1669"/>
    <n v="432915"/>
    <n v="400.61328687380728"/>
    <n v="157"/>
  </r>
  <r>
    <s v="CAMP0060"/>
    <x v="1"/>
    <d v="2024-09-07T00:00:00"/>
    <d v="2024-01-08T00:00:00"/>
    <x v="3"/>
    <n v="24732.880000000001"/>
    <n v="471"/>
    <n v="417"/>
    <n v="93300.84"/>
    <n v="7346"/>
    <n v="431037"/>
    <n v="277.23403016551242"/>
    <n v="243"/>
  </r>
  <r>
    <s v="CAMP0080"/>
    <x v="2"/>
    <d v="2024-08-14T00:00:00"/>
    <d v="2024-01-07T00:00:00"/>
    <x v="1"/>
    <n v="1655.02"/>
    <n v="1393"/>
    <n v="429"/>
    <n v="59345.39"/>
    <n v="2018"/>
    <n v="293759"/>
    <n v="3485.7808364853595"/>
    <n v="220"/>
  </r>
  <r>
    <s v="CAMP0015"/>
    <x v="13"/>
    <d v="2024-01-07T00:00:00"/>
    <d v="2024-01-08T00:00:00"/>
    <x v="0"/>
    <n v="21077.22"/>
    <n v="1160"/>
    <n v="46"/>
    <n v="191980.02"/>
    <n v="6516"/>
    <n v="276890"/>
    <n v="810.84127792944219"/>
    <n v="1"/>
  </r>
  <r>
    <s v="CAMP0062"/>
    <x v="7"/>
    <d v="2024-01-29T00:00:00"/>
    <d v="2024-01-10T00:00:00"/>
    <x v="2"/>
    <n v="32740.94"/>
    <n v="266"/>
    <n v="102"/>
    <n v="32848.79"/>
    <n v="3332"/>
    <n v="480673"/>
    <n v="0.32940410385285879"/>
    <n v="19"/>
  </r>
  <r>
    <s v="CAMP0062"/>
    <x v="13"/>
    <d v="2024-02-02T00:00:00"/>
    <d v="2024-01-09T00:00:00"/>
    <x v="3"/>
    <n v="1759.91"/>
    <n v="1563"/>
    <n v="453"/>
    <n v="118066.77"/>
    <n v="3858"/>
    <n v="154817"/>
    <n v="6608.6822621611336"/>
    <n v="24"/>
  </r>
  <r>
    <s v="CAMP0047"/>
    <x v="5"/>
    <d v="2024-05-13T00:00:00"/>
    <d v="2024-01-07T00:00:00"/>
    <x v="2"/>
    <n v="14763.22"/>
    <n v="1592"/>
    <n v="35"/>
    <n v="60097.3"/>
    <n v="6097"/>
    <n v="264389"/>
    <n v="307.0744729130908"/>
    <n v="127"/>
  </r>
  <r>
    <s v="CAMP0062"/>
    <x v="5"/>
    <d v="2024-03-19T00:00:00"/>
    <d v="2024-01-08T00:00:00"/>
    <x v="3"/>
    <n v="11189.86"/>
    <n v="1351"/>
    <n v="162"/>
    <n v="59406.62"/>
    <n v="2455"/>
    <n v="118408"/>
    <n v="430.89690130171425"/>
    <n v="71"/>
  </r>
  <r>
    <s v="CAMP0051"/>
    <x v="1"/>
    <d v="2024-02-27T00:00:00"/>
    <d v="2024-01-06T00:00:00"/>
    <x v="2"/>
    <n v="3057.29"/>
    <n v="1922"/>
    <n v="116"/>
    <n v="83968.87"/>
    <n v="9689"/>
    <n v="113143"/>
    <n v="2646.5130883887364"/>
    <n v="52"/>
  </r>
  <r>
    <s v="CAMP0055"/>
    <x v="2"/>
    <d v="2024-01-26T00:00:00"/>
    <d v="2024-01-11T00:00:00"/>
    <x v="3"/>
    <n v="24483.74"/>
    <n v="1795"/>
    <n v="406"/>
    <n v="199764.62"/>
    <n v="1924"/>
    <n v="419069"/>
    <n v="715.9072919415089"/>
    <n v="15"/>
  </r>
  <r>
    <s v="CAMP0064"/>
    <x v="8"/>
    <d v="2024-08-13T00:00:00"/>
    <d v="2024-01-06T00:00:00"/>
    <x v="3"/>
    <n v="9904.44"/>
    <n v="1058"/>
    <n v="251"/>
    <n v="15718.43"/>
    <n v="7380"/>
    <n v="290776"/>
    <n v="58.700845277471515"/>
    <n v="220"/>
  </r>
  <r>
    <s v="CAMP0003"/>
    <x v="10"/>
    <d v="2024-10-11T00:00:00"/>
    <d v="2024-01-03T00:00:00"/>
    <x v="3"/>
    <n v="37411"/>
    <n v="1242"/>
    <n v="126"/>
    <n v="117815.65"/>
    <n v="4160"/>
    <n v="276000"/>
    <n v="214.92248269225627"/>
    <n v="282"/>
  </r>
  <r>
    <s v="CAMP0051"/>
    <x v="2"/>
    <d v="2024-01-04T00:00:00"/>
    <d v="2024-01-09T00:00:00"/>
    <x v="3"/>
    <n v="42548.47"/>
    <n v="379"/>
    <n v="277"/>
    <n v="21101.57"/>
    <n v="5424"/>
    <n v="188965"/>
    <n v="-50.405807776401836"/>
    <n v="5"/>
  </r>
  <r>
    <s v="CAMP0007"/>
    <x v="1"/>
    <d v="2024-04-08T00:00:00"/>
    <d v="2024-01-09T00:00:00"/>
    <x v="3"/>
    <n v="27733.67"/>
    <n v="699"/>
    <n v="298"/>
    <n v="35131.56"/>
    <n v="504"/>
    <n v="464857"/>
    <n v="26.674760318414403"/>
    <n v="90"/>
  </r>
  <r>
    <s v="CAMP0021"/>
    <x v="9"/>
    <d v="2024-02-08T00:00:00"/>
    <d v="2024-01-06T00:00:00"/>
    <x v="3"/>
    <n v="49103.66"/>
    <n v="1514"/>
    <n v="402"/>
    <n v="90714.77"/>
    <n v="1821"/>
    <n v="233298"/>
    <n v="84.741361438230882"/>
    <n v="33"/>
  </r>
  <r>
    <s v="CAMP0073"/>
    <x v="0"/>
    <d v="2024-09-27T00:00:00"/>
    <d v="2024-01-05T00:00:00"/>
    <x v="3"/>
    <n v="23073.45"/>
    <n v="440"/>
    <n v="475"/>
    <n v="104539.73"/>
    <n v="5416"/>
    <n v="69049"/>
    <n v="353.0736842561472"/>
    <n v="266"/>
  </r>
  <r>
    <s v="CAMP0039"/>
    <x v="10"/>
    <d v="2024-10-11T00:00:00"/>
    <d v="2024-01-10T00:00:00"/>
    <x v="3"/>
    <n v="26155.040000000001"/>
    <n v="1569"/>
    <n v="477"/>
    <n v="55464.52"/>
    <n v="3945"/>
    <n v="321326"/>
    <n v="112.06054358930437"/>
    <n v="275"/>
  </r>
  <r>
    <s v="CAMP0018"/>
    <x v="4"/>
    <d v="2024-06-05T00:00:00"/>
    <d v="2024-01-07T00:00:00"/>
    <x v="3"/>
    <n v="49471.67"/>
    <n v="430"/>
    <n v="211"/>
    <n v="66709.14"/>
    <n v="4310"/>
    <n v="397017"/>
    <n v="34.843113240365653"/>
    <n v="150"/>
  </r>
  <r>
    <s v="CAMP0004"/>
    <x v="11"/>
    <d v="2024-03-15T00:00:00"/>
    <d v="2024-01-09T00:00:00"/>
    <x v="2"/>
    <n v="12345.87"/>
    <n v="1379"/>
    <n v="114"/>
    <n v="21958.57"/>
    <n v="164"/>
    <n v="229953"/>
    <n v="77.861665480035015"/>
    <n v="66"/>
  </r>
  <r>
    <s v="CAMP0089"/>
    <x v="10"/>
    <d v="2024-10-14T00:00:00"/>
    <d v="2024-01-06T00:00:00"/>
    <x v="1"/>
    <n v="47184.75"/>
    <n v="791"/>
    <n v="444"/>
    <n v="64127.86"/>
    <n v="9591"/>
    <n v="211503"/>
    <n v="35.908021129708224"/>
    <n v="282"/>
  </r>
  <r>
    <s v="CAMP0060"/>
    <x v="1"/>
    <d v="2024-05-09T00:00:00"/>
    <d v="2024-01-06T00:00:00"/>
    <x v="3"/>
    <n v="3099.04"/>
    <n v="869"/>
    <n v="282"/>
    <n v="193478.9"/>
    <n v="6482"/>
    <n v="171821"/>
    <n v="6143.1882131240645"/>
    <n v="124"/>
  </r>
  <r>
    <s v="CAMP0014"/>
    <x v="9"/>
    <d v="2024-06-23T00:00:00"/>
    <d v="2024-01-10T00:00:00"/>
    <x v="1"/>
    <n v="22872.959999999999"/>
    <n v="722"/>
    <n v="455"/>
    <n v="189217.94"/>
    <n v="9707"/>
    <n v="205829"/>
    <n v="727.25602632977996"/>
    <n v="165"/>
  </r>
  <r>
    <s v="CAMP0009"/>
    <x v="9"/>
    <d v="2024-03-24T00:00:00"/>
    <d v="2024-01-10T00:00:00"/>
    <x v="3"/>
    <n v="4430.17"/>
    <n v="562"/>
    <n v="60"/>
    <n v="70301.27"/>
    <n v="1068"/>
    <n v="318798"/>
    <n v="1486.8752214926292"/>
    <n v="74"/>
  </r>
  <r>
    <s v="CAMP0090"/>
    <x v="3"/>
    <d v="2024-01-22T00:00:00"/>
    <d v="2024-01-04T00:00:00"/>
    <x v="3"/>
    <n v="36732.5"/>
    <n v="1821"/>
    <n v="379"/>
    <n v="116316.52"/>
    <n v="468"/>
    <n v="203646"/>
    <n v="216.6583270945348"/>
    <n v="18"/>
  </r>
  <r>
    <s v="CAMP0053"/>
    <x v="14"/>
    <d v="2024-01-27T00:00:00"/>
    <d v="2024-01-04T00:00:00"/>
    <x v="2"/>
    <n v="30812.04"/>
    <n v="998"/>
    <n v="407"/>
    <n v="182371.1"/>
    <n v="8524"/>
    <n v="491783"/>
    <n v="491.88258875426618"/>
    <n v="23"/>
  </r>
  <r>
    <s v="CAMP0002"/>
    <x v="2"/>
    <d v="2024-07-13T00:00:00"/>
    <d v="2024-01-05T00:00:00"/>
    <x v="0"/>
    <n v="35625.08"/>
    <n v="1261"/>
    <n v="61"/>
    <n v="6205.85"/>
    <n v="2342"/>
    <n v="318525"/>
    <n v="-82.580109293789661"/>
    <n v="190"/>
  </r>
  <r>
    <s v="CAMP0084"/>
    <x v="9"/>
    <d v="2024-12-02T00:00:00"/>
    <d v="2024-01-05T00:00:00"/>
    <x v="0"/>
    <n v="19349.54"/>
    <n v="979"/>
    <n v="432"/>
    <n v="163083.29999999999"/>
    <n v="5102"/>
    <n v="59601"/>
    <n v="742.82778815413678"/>
    <n v="332"/>
  </r>
  <r>
    <s v="CAMP0092"/>
    <x v="5"/>
    <d v="2024-08-23T00:00:00"/>
    <d v="2024-01-03T00:00:00"/>
    <x v="2"/>
    <n v="19104.61"/>
    <n v="1589"/>
    <n v="486"/>
    <n v="189932.06"/>
    <n v="3183"/>
    <n v="147154"/>
    <n v="894.16873728382848"/>
    <n v="233"/>
  </r>
  <r>
    <s v="CAMP0060"/>
    <x v="14"/>
    <d v="2024-04-01T00:00:00"/>
    <d v="2024-01-05T00:00:00"/>
    <x v="1"/>
    <n v="3220.64"/>
    <n v="962"/>
    <n v="295"/>
    <n v="22808.52"/>
    <n v="8173"/>
    <n v="146720"/>
    <n v="608.1983705102092"/>
    <n v="87"/>
  </r>
  <r>
    <s v="CAMP0071"/>
    <x v="7"/>
    <d v="2024-01-21T00:00:00"/>
    <d v="2024-01-08T00:00:00"/>
    <x v="0"/>
    <n v="18147.3"/>
    <n v="693"/>
    <n v="118"/>
    <n v="36482.300000000003"/>
    <n v="9212"/>
    <n v="263508"/>
    <n v="101.03431364445402"/>
    <n v="13"/>
  </r>
  <r>
    <s v="CAMP0044"/>
    <x v="0"/>
    <d v="2024-10-29T00:00:00"/>
    <d v="2024-01-10T00:00:00"/>
    <x v="2"/>
    <n v="46535.13"/>
    <n v="476"/>
    <n v="385"/>
    <n v="192345.53"/>
    <n v="8980"/>
    <n v="166640"/>
    <n v="313.33403387935095"/>
    <n v="293"/>
  </r>
  <r>
    <s v="CAMP0008"/>
    <x v="1"/>
    <d v="2024-12-22T00:00:00"/>
    <d v="2024-01-08T00:00:00"/>
    <x v="2"/>
    <n v="19582.099999999999"/>
    <n v="551"/>
    <n v="389"/>
    <n v="109820.33"/>
    <n v="1569"/>
    <n v="473862"/>
    <n v="460.81998355641127"/>
    <n v="349"/>
  </r>
  <r>
    <s v="CAMP0047"/>
    <x v="11"/>
    <d v="2024-03-24T00:00:00"/>
    <d v="2024-01-07T00:00:00"/>
    <x v="0"/>
    <n v="41737.019999999997"/>
    <n v="779"/>
    <n v="312"/>
    <n v="7768.34"/>
    <n v="4825"/>
    <n v="465710"/>
    <n v="-81.387410984301212"/>
    <n v="77"/>
  </r>
  <r>
    <s v="CAMP0035"/>
    <x v="2"/>
    <d v="2024-09-18T00:00:00"/>
    <d v="2024-01-06T00:00:00"/>
    <x v="1"/>
    <n v="42273.95"/>
    <n v="1333"/>
    <n v="345"/>
    <n v="55238.239999999998"/>
    <n v="4359"/>
    <n v="206704"/>
    <n v="30.667325859069244"/>
    <n v="256"/>
  </r>
  <r>
    <s v="CAMP0078"/>
    <x v="6"/>
    <d v="2024-05-26T00:00:00"/>
    <d v="2024-01-05T00:00:00"/>
    <x v="2"/>
    <n v="19288.82"/>
    <n v="1586"/>
    <n v="481"/>
    <n v="92739.02"/>
    <n v="3722"/>
    <n v="270580"/>
    <n v="380.79156734315529"/>
    <n v="142"/>
  </r>
  <r>
    <s v="CAMP0081"/>
    <x v="5"/>
    <d v="2024-09-13T00:00:00"/>
    <d v="2024-01-06T00:00:00"/>
    <x v="3"/>
    <n v="31967.45"/>
    <n v="120"/>
    <n v="202"/>
    <n v="140117.24"/>
    <n v="923"/>
    <n v="349857"/>
    <n v="338.31222071200546"/>
    <n v="251"/>
  </r>
  <r>
    <s v="CAMP0036"/>
    <x v="12"/>
    <d v="2024-02-27T00:00:00"/>
    <d v="2024-01-09T00:00:00"/>
    <x v="1"/>
    <n v="5673.21"/>
    <n v="527"/>
    <n v="425"/>
    <n v="147966.26999999999"/>
    <n v="3531"/>
    <n v="420970"/>
    <n v="2508.1578154166687"/>
    <n v="49"/>
  </r>
  <r>
    <s v="CAMP0050"/>
    <x v="4"/>
    <d v="2024-01-15T00:00:00"/>
    <d v="2024-01-03T00:00:00"/>
    <x v="1"/>
    <n v="6080.25"/>
    <n v="1251"/>
    <n v="325"/>
    <n v="199107.20000000001"/>
    <n v="6628"/>
    <n v="323338"/>
    <n v="3174.6548250483124"/>
    <n v="12"/>
  </r>
  <r>
    <s v="CAMP0004"/>
    <x v="8"/>
    <d v="2024-06-10T00:00:00"/>
    <d v="2024-01-09T00:00:00"/>
    <x v="0"/>
    <n v="3384.23"/>
    <n v="506"/>
    <n v="183"/>
    <n v="61064.68"/>
    <n v="4251"/>
    <n v="25544"/>
    <n v="1704.3891815863578"/>
    <n v="153"/>
  </r>
  <r>
    <s v="CAMP0002"/>
    <x v="9"/>
    <d v="2024-06-11T00:00:00"/>
    <d v="2024-01-03T00:00:00"/>
    <x v="0"/>
    <n v="29469.74"/>
    <n v="238"/>
    <n v="389"/>
    <n v="109952.92"/>
    <n v="4313"/>
    <n v="454396"/>
    <n v="273.10447937443627"/>
    <n v="160"/>
  </r>
  <r>
    <s v="CAMP0006"/>
    <x v="6"/>
    <d v="2024-11-15T00:00:00"/>
    <d v="2024-01-04T00:00:00"/>
    <x v="3"/>
    <n v="21877.48"/>
    <n v="340"/>
    <n v="223"/>
    <n v="108998.09"/>
    <n v="7520"/>
    <n v="64295"/>
    <n v="398.22049888744044"/>
    <n v="316"/>
  </r>
  <r>
    <s v="CAMP0054"/>
    <x v="9"/>
    <d v="2024-10-07T00:00:00"/>
    <d v="2024-01-06T00:00:00"/>
    <x v="2"/>
    <n v="27853.59"/>
    <n v="1593"/>
    <n v="281"/>
    <n v="84100.83"/>
    <n v="9089"/>
    <n v="406854"/>
    <n v="201.93892421048778"/>
    <n v="275"/>
  </r>
  <r>
    <s v="CAMP0004"/>
    <x v="10"/>
    <d v="2024-10-06T00:00:00"/>
    <d v="2024-01-03T00:00:00"/>
    <x v="0"/>
    <n v="26532.59"/>
    <n v="1838"/>
    <n v="441"/>
    <n v="37986.57"/>
    <n v="879"/>
    <n v="197787"/>
    <n v="43.169475727774788"/>
    <n v="277"/>
  </r>
  <r>
    <s v="CAMP0054"/>
    <x v="5"/>
    <d v="2024-01-12T00:00:00"/>
    <d v="2024-01-11T00:00:00"/>
    <x v="0"/>
    <n v="18159.95"/>
    <n v="969"/>
    <n v="20"/>
    <n v="195604.03"/>
    <n v="2992"/>
    <n v="70409"/>
    <n v="977.11766827551833"/>
    <n v="1"/>
  </r>
  <r>
    <s v="CAMP0093"/>
    <x v="10"/>
    <d v="2024-09-30T00:00:00"/>
    <d v="2024-01-08T00:00:00"/>
    <x v="1"/>
    <n v="34196.199999999997"/>
    <n v="341"/>
    <n v="496"/>
    <n v="171396.85"/>
    <n v="5634"/>
    <n v="250720"/>
    <n v="401.21607079149157"/>
    <n v="266"/>
  </r>
  <r>
    <s v="CAMP0063"/>
    <x v="3"/>
    <d v="2024-09-27T00:00:00"/>
    <d v="2024-01-03T00:00:00"/>
    <x v="0"/>
    <n v="38166.589999999997"/>
    <n v="805"/>
    <n v="383"/>
    <n v="102174.94"/>
    <n v="3406"/>
    <n v="477322"/>
    <n v="167.70780412921354"/>
    <n v="268"/>
  </r>
  <r>
    <s v="CAMP0018"/>
    <x v="10"/>
    <d v="2024-07-26T00:00:00"/>
    <d v="2024-01-03T00:00:00"/>
    <x v="0"/>
    <n v="1716.78"/>
    <n v="1708"/>
    <n v="65"/>
    <n v="122632.86"/>
    <n v="3002"/>
    <n v="127839"/>
    <n v="7043.190158319645"/>
    <n v="205"/>
  </r>
  <r>
    <s v="CAMP0090"/>
    <x v="3"/>
    <d v="2024-01-27T00:00:00"/>
    <d v="2024-01-08T00:00:00"/>
    <x v="0"/>
    <n v="11154.87"/>
    <n v="1884"/>
    <n v="58"/>
    <n v="49315.91"/>
    <n v="3818"/>
    <n v="376903"/>
    <n v="342.10205945923173"/>
    <n v="19"/>
  </r>
  <r>
    <s v="CAMP0044"/>
    <x v="4"/>
    <d v="2024-03-12T00:00:00"/>
    <d v="2024-01-06T00:00:00"/>
    <x v="0"/>
    <n v="35948.559999999998"/>
    <n v="1356"/>
    <n v="172"/>
    <n v="111038.48"/>
    <n v="121"/>
    <n v="280301"/>
    <n v="208.88157967940856"/>
    <n v="66"/>
  </r>
  <r>
    <s v="CAMP0034"/>
    <x v="1"/>
    <d v="2024-02-29T00:00:00"/>
    <d v="2024-01-06T00:00:00"/>
    <x v="1"/>
    <n v="19944.39"/>
    <n v="1617"/>
    <n v="30"/>
    <n v="140519.18"/>
    <n v="1600"/>
    <n v="177637"/>
    <n v="604.5549149409934"/>
    <n v="54"/>
  </r>
  <r>
    <s v="CAMP0074"/>
    <x v="3"/>
    <d v="2024-05-24T00:00:00"/>
    <d v="2024-01-08T00:00:00"/>
    <x v="3"/>
    <n v="33461.71"/>
    <n v="1919"/>
    <n v="340"/>
    <n v="105457.57"/>
    <n v="9134"/>
    <n v="202068"/>
    <n v="215.15893838061479"/>
    <n v="137"/>
  </r>
  <r>
    <s v="CAMP0062"/>
    <x v="6"/>
    <d v="2024-04-02T00:00:00"/>
    <d v="2024-01-09T00:00:00"/>
    <x v="3"/>
    <n v="18001.169999999998"/>
    <n v="426"/>
    <n v="480"/>
    <n v="198105.61"/>
    <n v="3741"/>
    <n v="66888"/>
    <n v="1000.5151887349547"/>
    <n v="84"/>
  </r>
  <r>
    <s v="CAMP0100"/>
    <x v="14"/>
    <d v="2024-11-04T00:00:00"/>
    <d v="2024-01-11T00:00:00"/>
    <x v="2"/>
    <n v="20147"/>
    <n v="1731"/>
    <n v="69"/>
    <n v="124211.62"/>
    <n v="5312"/>
    <n v="188167"/>
    <n v="516.52662927483004"/>
    <n v="298"/>
  </r>
  <r>
    <s v="CAMP0014"/>
    <x v="9"/>
    <d v="2024-01-08T00:00:00"/>
    <d v="2024-01-07T00:00:00"/>
    <x v="0"/>
    <n v="8775.26"/>
    <n v="1229"/>
    <n v="104"/>
    <n v="77339.87"/>
    <n v="291"/>
    <n v="328091"/>
    <n v="781.33992611045142"/>
    <n v="1"/>
  </r>
  <r>
    <s v="CAMP0095"/>
    <x v="8"/>
    <d v="2024-03-19T00:00:00"/>
    <d v="2024-01-11T00:00:00"/>
    <x v="1"/>
    <n v="13653.32"/>
    <n v="557"/>
    <n v="78"/>
    <n v="155569.65"/>
    <n v="8687"/>
    <n v="481338"/>
    <n v="1039.4272601828711"/>
    <n v="68"/>
  </r>
  <r>
    <s v="CAMP0048"/>
    <x v="14"/>
    <d v="2024-01-27T00:00:00"/>
    <d v="2024-01-06T00:00:00"/>
    <x v="2"/>
    <n v="30665.18"/>
    <n v="1486"/>
    <n v="196"/>
    <n v="38240.19"/>
    <n v="7274"/>
    <n v="334024"/>
    <n v="24.7023170905894"/>
    <n v="21"/>
  </r>
  <r>
    <s v="CAMP0015"/>
    <x v="11"/>
    <d v="2024-06-22T00:00:00"/>
    <d v="2024-01-04T00:00:00"/>
    <x v="2"/>
    <n v="22224.99"/>
    <n v="577"/>
    <n v="175"/>
    <n v="79980.58"/>
    <n v="5214"/>
    <n v="5507"/>
    <n v="259.86778846694642"/>
    <n v="170"/>
  </r>
  <r>
    <s v="CAMP0072"/>
    <x v="1"/>
    <d v="2024-02-19T00:00:00"/>
    <d v="2024-01-05T00:00:00"/>
    <x v="3"/>
    <n v="38940.83"/>
    <n v="1428"/>
    <n v="277"/>
    <n v="72657"/>
    <n v="4762"/>
    <n v="366278"/>
    <n v="86.583080021663633"/>
    <n v="45"/>
  </r>
  <r>
    <s v="CAMP0078"/>
    <x v="10"/>
    <d v="2024-07-17T00:00:00"/>
    <d v="2024-01-03T00:00:00"/>
    <x v="1"/>
    <n v="42776.66"/>
    <n v="608"/>
    <n v="381"/>
    <n v="89202.38"/>
    <n v="4426"/>
    <n v="44988"/>
    <n v="108.53049303054516"/>
    <n v="196"/>
  </r>
  <r>
    <s v="CAMP0087"/>
    <x v="12"/>
    <d v="2024-12-14T00:00:00"/>
    <d v="2024-01-08T00:00:00"/>
    <x v="1"/>
    <n v="27540.67"/>
    <n v="1836"/>
    <n v="191"/>
    <n v="157447.07"/>
    <n v="9165"/>
    <n v="361565"/>
    <n v="471.68932346235596"/>
    <n v="341"/>
  </r>
  <r>
    <s v="CAMP0062"/>
    <x v="11"/>
    <d v="2024-06-29T00:00:00"/>
    <d v="2024-01-08T00:00:00"/>
    <x v="1"/>
    <n v="38155.1"/>
    <n v="1260"/>
    <n v="27"/>
    <n v="99413.74"/>
    <n v="4435"/>
    <n v="148937"/>
    <n v="160.55164316172676"/>
    <n v="173"/>
  </r>
  <r>
    <s v="CAMP0040"/>
    <x v="5"/>
    <d v="2024-01-24T00:00:00"/>
    <d v="2024-01-03T00:00:00"/>
    <x v="3"/>
    <n v="16038.32"/>
    <n v="1104"/>
    <n v="395"/>
    <n v="159832.82"/>
    <n v="8381"/>
    <n v="365735"/>
    <n v="896.56834381655926"/>
    <n v="21"/>
  </r>
  <r>
    <s v="CAMP0085"/>
    <x v="3"/>
    <d v="2024-11-11T00:00:00"/>
    <d v="2024-01-05T00:00:00"/>
    <x v="3"/>
    <n v="21333.59"/>
    <n v="309"/>
    <n v="432"/>
    <n v="117415.34"/>
    <n v="8748"/>
    <n v="392758"/>
    <n v="450.37778451728008"/>
    <n v="311"/>
  </r>
  <r>
    <s v="CAMP0080"/>
    <x v="9"/>
    <d v="2024-02-15T00:00:00"/>
    <d v="2024-01-07T00:00:00"/>
    <x v="3"/>
    <n v="35926.11"/>
    <n v="470"/>
    <n v="185"/>
    <n v="71703.539999999994"/>
    <n v="9296"/>
    <n v="28213"/>
    <n v="99.586150574053221"/>
    <n v="39"/>
  </r>
  <r>
    <s v="CAMP0082"/>
    <x v="0"/>
    <d v="2024-01-15T00:00:00"/>
    <d v="2024-01-05T00:00:00"/>
    <x v="3"/>
    <n v="19924.39"/>
    <n v="1602"/>
    <n v="331"/>
    <n v="162945.85999999999"/>
    <n v="5594"/>
    <n v="450170"/>
    <n v="717.82107256483118"/>
    <n v="10"/>
  </r>
  <r>
    <s v="CAMP0053"/>
    <x v="2"/>
    <d v="2024-06-01T00:00:00"/>
    <d v="2024-01-05T00:00:00"/>
    <x v="3"/>
    <n v="29836.74"/>
    <n v="1624"/>
    <n v="112"/>
    <n v="51466.49"/>
    <n v="8636"/>
    <n v="58450"/>
    <n v="72.493677258306349"/>
    <n v="148"/>
  </r>
  <r>
    <s v="CAMP0024"/>
    <x v="6"/>
    <d v="2024-08-09T00:00:00"/>
    <d v="2024-01-05T00:00:00"/>
    <x v="0"/>
    <n v="10083.27"/>
    <n v="353"/>
    <n v="339"/>
    <n v="48754.68"/>
    <n v="2811"/>
    <n v="398693"/>
    <n v="383.52052459172472"/>
    <n v="217"/>
  </r>
  <r>
    <s v="CAMP0026"/>
    <x v="8"/>
    <d v="2024-07-24T00:00:00"/>
    <d v="2024-01-07T00:00:00"/>
    <x v="0"/>
    <n v="30388.79"/>
    <n v="991"/>
    <n v="166"/>
    <n v="103378.07"/>
    <n v="7695"/>
    <n v="63222"/>
    <n v="240.18488396543592"/>
    <n v="199"/>
  </r>
  <r>
    <s v="CAMP0089"/>
    <x v="13"/>
    <d v="2024-09-29T00:00:00"/>
    <d v="2024-01-07T00:00:00"/>
    <x v="1"/>
    <n v="43214.17"/>
    <n v="1112"/>
    <n v="306"/>
    <n v="55865.599999999999"/>
    <n v="6373"/>
    <n v="400749"/>
    <n v="29.276114755877529"/>
    <n v="266"/>
  </r>
  <r>
    <s v="CAMP0060"/>
    <x v="6"/>
    <d v="2024-08-23T00:00:00"/>
    <d v="2024-01-06T00:00:00"/>
    <x v="2"/>
    <n v="43563.34"/>
    <n v="1562"/>
    <n v="497"/>
    <n v="6771.97"/>
    <n v="6384"/>
    <n v="443611"/>
    <n v="-84.454887986091052"/>
    <n v="230"/>
  </r>
  <r>
    <s v="CAMP0041"/>
    <x v="4"/>
    <d v="2024-12-05T00:00:00"/>
    <d v="2024-01-03T00:00:00"/>
    <x v="1"/>
    <n v="36492.879999999997"/>
    <n v="1717"/>
    <n v="456"/>
    <n v="131418.01999999999"/>
    <n v="9408"/>
    <n v="155468"/>
    <n v="260.1196178542225"/>
    <n v="337"/>
  </r>
  <r>
    <s v="CAMP0029"/>
    <x v="0"/>
    <d v="2024-08-15T00:00:00"/>
    <d v="2024-01-07T00:00:00"/>
    <x v="2"/>
    <n v="37541.919999999998"/>
    <n v="591"/>
    <n v="210"/>
    <n v="104663.3"/>
    <n v="8917"/>
    <n v="13755"/>
    <n v="178.79048274568805"/>
    <n v="221"/>
  </r>
  <r>
    <s v="CAMP0015"/>
    <x v="12"/>
    <d v="2024-01-09T00:00:00"/>
    <d v="2024-01-07T00:00:00"/>
    <x v="3"/>
    <n v="28338.44"/>
    <n v="1743"/>
    <n v="82"/>
    <n v="91875.97"/>
    <n v="4094"/>
    <n v="132937"/>
    <n v="224.20969538196175"/>
    <n v="2"/>
  </r>
  <r>
    <s v="CAMP0045"/>
    <x v="2"/>
    <d v="2024-06-14T00:00:00"/>
    <d v="2024-01-06T00:00:00"/>
    <x v="2"/>
    <n v="29648.74"/>
    <n v="1351"/>
    <n v="20"/>
    <n v="193558.86"/>
    <n v="1778"/>
    <n v="143245"/>
    <n v="552.8400869649098"/>
    <n v="160"/>
  </r>
  <r>
    <s v="CAMP0065"/>
    <x v="0"/>
    <d v="2024-11-14T00:00:00"/>
    <d v="2024-01-08T00:00:00"/>
    <x v="1"/>
    <n v="7548.88"/>
    <n v="1276"/>
    <n v="331"/>
    <n v="116383.84"/>
    <n v="8514"/>
    <n v="190977"/>
    <n v="1441.7365225040005"/>
    <n v="311"/>
  </r>
  <r>
    <s v="CAMP0089"/>
    <x v="10"/>
    <d v="2024-08-01T00:00:00"/>
    <d v="2024-01-06T00:00:00"/>
    <x v="1"/>
    <n v="22749.1"/>
    <n v="1139"/>
    <n v="100"/>
    <n v="173369.16"/>
    <n v="843"/>
    <n v="170169"/>
    <n v="662.09239046819437"/>
    <n v="208"/>
  </r>
  <r>
    <s v="CAMP0071"/>
    <x v="3"/>
    <d v="2024-04-26T00:00:00"/>
    <d v="2024-01-09T00:00:00"/>
    <x v="2"/>
    <n v="23088.04"/>
    <n v="157"/>
    <n v="151"/>
    <n v="32192.799999999999"/>
    <n v="562"/>
    <n v="296515"/>
    <n v="39.434962863889695"/>
    <n v="108"/>
  </r>
  <r>
    <s v="CAMP0009"/>
    <x v="1"/>
    <d v="2024-12-09T00:00:00"/>
    <d v="2024-01-09T00:00:00"/>
    <x v="0"/>
    <n v="47966.39"/>
    <n v="317"/>
    <n v="6"/>
    <n v="115995.26"/>
    <n v="1668"/>
    <n v="236132"/>
    <n v="141.82612033134032"/>
    <n v="335"/>
  </r>
  <r>
    <s v="CAMP0088"/>
    <x v="8"/>
    <d v="2024-03-12T00:00:00"/>
    <d v="2024-01-04T00:00:00"/>
    <x v="3"/>
    <n v="22123.26"/>
    <n v="271"/>
    <n v="14"/>
    <n v="174256.03"/>
    <n v="1836"/>
    <n v="405470"/>
    <n v="687.65982047853709"/>
    <n v="68"/>
  </r>
  <r>
    <s v="CAMP0001"/>
    <x v="7"/>
    <d v="2024-03-04T00:00:00"/>
    <d v="2024-01-05T00:00:00"/>
    <x v="3"/>
    <n v="27917.79"/>
    <n v="1877"/>
    <n v="438"/>
    <n v="118705.62"/>
    <n v="8003"/>
    <n v="136090"/>
    <n v="325.19705177236443"/>
    <n v="59"/>
  </r>
  <r>
    <s v="CAMP0008"/>
    <x v="3"/>
    <d v="2024-07-23T00:00:00"/>
    <d v="2024-01-03T00:00:00"/>
    <x v="1"/>
    <n v="27129.32"/>
    <n v="1603"/>
    <n v="129"/>
    <n v="145012.76"/>
    <n v="7102"/>
    <n v="268336"/>
    <n v="434.52412371559632"/>
    <n v="202"/>
  </r>
  <r>
    <s v="CAMP0088"/>
    <x v="7"/>
    <d v="2024-07-27T00:00:00"/>
    <d v="2024-01-10T00:00:00"/>
    <x v="0"/>
    <n v="32201.32"/>
    <n v="1163"/>
    <n v="85"/>
    <n v="77548.5"/>
    <n v="8956"/>
    <n v="265159"/>
    <n v="140.82397864435373"/>
    <n v="199"/>
  </r>
  <r>
    <s v="CAMP0063"/>
    <x v="11"/>
    <d v="2024-03-12T00:00:00"/>
    <d v="2024-01-11T00:00:00"/>
    <x v="2"/>
    <n v="37663.410000000003"/>
    <n v="742"/>
    <n v="489"/>
    <n v="23027.66"/>
    <n v="1456"/>
    <n v="371298"/>
    <n v="-38.859333236156793"/>
    <n v="61"/>
  </r>
  <r>
    <s v="CAMP0011"/>
    <x v="1"/>
    <d v="2024-10-03T00:00:00"/>
    <d v="2024-01-06T00:00:00"/>
    <x v="3"/>
    <n v="12027.05"/>
    <n v="304"/>
    <n v="144"/>
    <n v="94290.559999999998"/>
    <n v="1114"/>
    <n v="200988"/>
    <n v="683.98742833862002"/>
    <n v="271"/>
  </r>
  <r>
    <s v="CAMP0081"/>
    <x v="2"/>
    <d v="2024-09-30T00:00:00"/>
    <d v="2024-01-08T00:00:00"/>
    <x v="0"/>
    <n v="26907.5"/>
    <n v="1528"/>
    <n v="330"/>
    <n v="81923.48"/>
    <n v="1154"/>
    <n v="29343"/>
    <n v="204.46336523274181"/>
    <n v="266"/>
  </r>
  <r>
    <s v="CAMP0008"/>
    <x v="9"/>
    <d v="2024-11-15T00:00:00"/>
    <d v="2024-01-11T00:00:00"/>
    <x v="3"/>
    <n v="41469.97"/>
    <n v="302"/>
    <n v="154"/>
    <n v="174076.74"/>
    <n v="1864"/>
    <n v="332450"/>
    <n v="319.76577267839832"/>
    <n v="309"/>
  </r>
  <r>
    <s v="CAMP0035"/>
    <x v="13"/>
    <d v="2024-12-03T00:00:00"/>
    <d v="2024-01-08T00:00:00"/>
    <x v="0"/>
    <n v="23692.62"/>
    <n v="306"/>
    <n v="292"/>
    <n v="52579.08"/>
    <n v="6109"/>
    <n v="6829"/>
    <n v="121.92176297935815"/>
    <n v="330"/>
  </r>
  <r>
    <s v="CAMP0035"/>
    <x v="5"/>
    <d v="2024-04-04T00:00:00"/>
    <d v="2024-01-11T00:00:00"/>
    <x v="0"/>
    <n v="14644.42"/>
    <n v="432"/>
    <n v="365"/>
    <n v="193513.17"/>
    <n v="4558"/>
    <n v="35381"/>
    <n v="1221.4123195046304"/>
    <n v="84"/>
  </r>
  <r>
    <s v="CAMP0033"/>
    <x v="14"/>
    <d v="2024-06-14T00:00:00"/>
    <d v="2024-01-06T00:00:00"/>
    <x v="1"/>
    <n v="33080.74"/>
    <n v="491"/>
    <n v="344"/>
    <n v="191836.93"/>
    <n v="9704"/>
    <n v="374595"/>
    <n v="479.90519559115069"/>
    <n v="160"/>
  </r>
  <r>
    <s v="CAMP0005"/>
    <x v="1"/>
    <d v="2024-02-01T00:00:00"/>
    <d v="2024-01-10T00:00:00"/>
    <x v="3"/>
    <n v="41364.6"/>
    <n v="1931"/>
    <n v="133"/>
    <n v="53288.17"/>
    <n v="767"/>
    <n v="213153"/>
    <n v="28.825541646722076"/>
    <n v="22"/>
  </r>
  <r>
    <s v="CAMP0041"/>
    <x v="3"/>
    <d v="2024-01-11T00:00:00"/>
    <d v="2024-01-11T00:00:00"/>
    <x v="2"/>
    <n v="4093.87"/>
    <n v="648"/>
    <n v="442"/>
    <n v="72870.13"/>
    <n v="3470"/>
    <n v="281407"/>
    <n v="1679.98153336574"/>
    <n v="0"/>
  </r>
  <r>
    <s v="CAMP0028"/>
    <x v="8"/>
    <d v="2024-10-27T00:00:00"/>
    <d v="2024-01-06T00:00:00"/>
    <x v="1"/>
    <n v="39062.730000000003"/>
    <n v="1163"/>
    <n v="243"/>
    <n v="179633.37"/>
    <n v="6076"/>
    <n v="235748"/>
    <n v="359.85871955185922"/>
    <n v="295"/>
  </r>
  <r>
    <s v="CAMP0007"/>
    <x v="14"/>
    <d v="2024-08-04T00:00:00"/>
    <d v="2024-01-07T00:00:00"/>
    <x v="1"/>
    <n v="41260.75"/>
    <n v="1822"/>
    <n v="62"/>
    <n v="193491.33"/>
    <n v="1494"/>
    <n v="447476"/>
    <n v="368.94768030149714"/>
    <n v="210"/>
  </r>
  <r>
    <s v="CAMP0073"/>
    <x v="4"/>
    <d v="2024-10-15T00:00:00"/>
    <d v="2024-01-10T00:00:00"/>
    <x v="2"/>
    <n v="23614.62"/>
    <n v="439"/>
    <n v="202"/>
    <n v="91470.63"/>
    <n v="8390"/>
    <n v="437522"/>
    <n v="287.34745678736317"/>
    <n v="279"/>
  </r>
  <r>
    <s v="CAMP0072"/>
    <x v="4"/>
    <d v="2024-04-11T00:00:00"/>
    <d v="2024-01-08T00:00:00"/>
    <x v="1"/>
    <n v="49181.98"/>
    <n v="631"/>
    <n v="215"/>
    <n v="67594.42"/>
    <n v="4170"/>
    <n v="485427"/>
    <n v="37.437370353938562"/>
    <n v="94"/>
  </r>
  <r>
    <s v="CAMP0012"/>
    <x v="0"/>
    <d v="2024-09-23T00:00:00"/>
    <d v="2024-01-09T00:00:00"/>
    <x v="0"/>
    <n v="39548.71"/>
    <n v="1117"/>
    <n v="406"/>
    <n v="107588.33"/>
    <n v="7082"/>
    <n v="321562"/>
    <n v="172.04004884103679"/>
    <n v="258"/>
  </r>
  <r>
    <s v="CAMP0034"/>
    <x v="14"/>
    <d v="2024-08-01T00:00:00"/>
    <d v="2024-01-05T00:00:00"/>
    <x v="0"/>
    <n v="38909.47"/>
    <n v="1785"/>
    <n v="394"/>
    <n v="139115"/>
    <n v="8713"/>
    <n v="222970"/>
    <n v="257.53506794104368"/>
    <n v="209"/>
  </r>
  <r>
    <s v="CAMP0033"/>
    <x v="8"/>
    <d v="2024-06-27T00:00:00"/>
    <d v="2024-01-09T00:00:00"/>
    <x v="3"/>
    <n v="37644.089999999997"/>
    <n v="1737"/>
    <n v="49"/>
    <n v="58327.53"/>
    <n v="5699"/>
    <n v="1148"/>
    <n v="54.9447204063108"/>
    <n v="170"/>
  </r>
  <r>
    <s v="CAMP0048"/>
    <x v="2"/>
    <d v="2024-03-28T00:00:00"/>
    <d v="2024-01-10T00:00:00"/>
    <x v="3"/>
    <n v="8379.7999999999993"/>
    <n v="647"/>
    <n v="101"/>
    <n v="148612.26999999999"/>
    <n v="3750"/>
    <n v="395970"/>
    <n v="1673.4584357621902"/>
    <n v="78"/>
  </r>
  <r>
    <s v="CAMP0023"/>
    <x v="11"/>
    <d v="2024-02-10T00:00:00"/>
    <d v="2024-01-08T00:00:00"/>
    <x v="2"/>
    <n v="11644.31"/>
    <n v="68"/>
    <n v="283"/>
    <n v="15073.18"/>
    <n v="9424"/>
    <n v="289889"/>
    <n v="29.446742658002073"/>
    <n v="33"/>
  </r>
  <r>
    <s v="CAMP0062"/>
    <x v="7"/>
    <d v="2024-03-16T00:00:00"/>
    <d v="2024-01-11T00:00:00"/>
    <x v="3"/>
    <n v="23735.52"/>
    <n v="1174"/>
    <n v="27"/>
    <n v="14612.43"/>
    <n v="9994"/>
    <n v="73914"/>
    <n v="-38.436444619709199"/>
    <n v="65"/>
  </r>
  <r>
    <s v="CAMP0088"/>
    <x v="0"/>
    <d v="2024-02-15T00:00:00"/>
    <d v="2024-01-08T00:00:00"/>
    <x v="0"/>
    <n v="13936.21"/>
    <n v="1987"/>
    <n v="414"/>
    <n v="80326.100000000006"/>
    <n v="3720"/>
    <n v="450049"/>
    <n v="476.3841101705558"/>
    <n v="38"/>
  </r>
  <r>
    <s v="CAMP0037"/>
    <x v="4"/>
    <d v="2024-06-08T00:00:00"/>
    <d v="2024-01-11T00:00:00"/>
    <x v="2"/>
    <n v="21346.81"/>
    <n v="656"/>
    <n v="465"/>
    <n v="73927.27"/>
    <n v="3290"/>
    <n v="414356"/>
    <n v="246.3153042538909"/>
    <n v="149"/>
  </r>
  <r>
    <s v="CAMP0099"/>
    <x v="5"/>
    <d v="2024-03-20T00:00:00"/>
    <d v="2024-01-06T00:00:00"/>
    <x v="2"/>
    <n v="44534.74"/>
    <n v="1839"/>
    <n v="395"/>
    <n v="66548.479999999996"/>
    <n v="8889"/>
    <n v="469123"/>
    <n v="49.430489545914043"/>
    <n v="74"/>
  </r>
  <r>
    <s v="CAMP0044"/>
    <x v="5"/>
    <d v="2024-11-05T00:00:00"/>
    <d v="2024-01-10T00:00:00"/>
    <x v="3"/>
    <n v="41392.019999999997"/>
    <n v="1430"/>
    <n v="339"/>
    <n v="100748.85"/>
    <n v="491"/>
    <n v="61653"/>
    <n v="143.40162669036209"/>
    <n v="300"/>
  </r>
  <r>
    <s v="CAMP0086"/>
    <x v="3"/>
    <d v="2024-03-26T00:00:00"/>
    <d v="2024-01-06T00:00:00"/>
    <x v="0"/>
    <n v="31871.95"/>
    <n v="1615"/>
    <n v="48"/>
    <n v="67543.05"/>
    <n v="1175"/>
    <n v="224607"/>
    <n v="111.92004254524748"/>
    <n v="80"/>
  </r>
  <r>
    <s v="CAMP0091"/>
    <x v="2"/>
    <d v="2024-04-01T00:00:00"/>
    <d v="2024-01-04T00:00:00"/>
    <x v="2"/>
    <n v="43047.9"/>
    <n v="1834"/>
    <n v="31"/>
    <n v="42490.29"/>
    <n v="2750"/>
    <n v="193593"/>
    <n v="-1.295324510603306"/>
    <n v="88"/>
  </r>
  <r>
    <s v="CAMP0035"/>
    <x v="9"/>
    <d v="2024-05-27T00:00:00"/>
    <d v="2024-01-11T00:00:00"/>
    <x v="0"/>
    <n v="39404.85"/>
    <n v="82"/>
    <n v="286"/>
    <n v="65346.559999999998"/>
    <n v="2484"/>
    <n v="341459"/>
    <n v="65.83379964649022"/>
    <n v="137"/>
  </r>
  <r>
    <s v="CAMP0065"/>
    <x v="4"/>
    <d v="2024-06-09T00:00:00"/>
    <d v="2024-01-07T00:00:00"/>
    <x v="0"/>
    <n v="22020.26"/>
    <n v="1302"/>
    <n v="101"/>
    <n v="195106.33"/>
    <n v="909"/>
    <n v="294219"/>
    <n v="786.03100054222784"/>
    <n v="154"/>
  </r>
  <r>
    <s v="CAMP0099"/>
    <x v="12"/>
    <d v="2024-07-20T00:00:00"/>
    <d v="2024-01-06T00:00:00"/>
    <x v="0"/>
    <n v="10852.19"/>
    <n v="1597"/>
    <n v="467"/>
    <n v="85167.12"/>
    <n v="8147"/>
    <n v="424913"/>
    <n v="684.79200972338288"/>
    <n v="196"/>
  </r>
  <r>
    <s v="CAMP0047"/>
    <x v="2"/>
    <d v="2024-08-29T00:00:00"/>
    <d v="2024-01-04T00:00:00"/>
    <x v="3"/>
    <n v="26195.85"/>
    <n v="1703"/>
    <n v="40"/>
    <n v="91718.99"/>
    <n v="5601"/>
    <n v="448760"/>
    <n v="250.12794011265149"/>
    <n v="238"/>
  </r>
  <r>
    <s v="CAMP0078"/>
    <x v="11"/>
    <d v="2024-12-18T00:00:00"/>
    <d v="2024-01-03T00:00:00"/>
    <x v="1"/>
    <n v="37075.22"/>
    <n v="911"/>
    <n v="113"/>
    <n v="117426.27"/>
    <n v="6995"/>
    <n v="10795"/>
    <n v="216.72440514176316"/>
    <n v="350"/>
  </r>
  <r>
    <s v="CAMP0003"/>
    <x v="7"/>
    <d v="2024-01-02T00:00:00"/>
    <d v="2024-01-09T00:00:00"/>
    <x v="1"/>
    <n v="22384.560000000001"/>
    <n v="204"/>
    <n v="59"/>
    <n v="196751.45"/>
    <n v="1259"/>
    <n v="65555"/>
    <n v="778.96054244532843"/>
    <n v="7"/>
  </r>
  <r>
    <s v="CAMP0001"/>
    <x v="8"/>
    <d v="2024-08-12T00:00:00"/>
    <d v="2024-01-08T00:00:00"/>
    <x v="2"/>
    <n v="33671.82"/>
    <n v="1496"/>
    <n v="196"/>
    <n v="52112.25"/>
    <n v="7674"/>
    <n v="446420"/>
    <n v="54.76517158858654"/>
    <n v="217"/>
  </r>
  <r>
    <s v="CAMP0005"/>
    <x v="14"/>
    <d v="2024-10-15T00:00:00"/>
    <d v="2024-01-04T00:00:00"/>
    <x v="0"/>
    <n v="5622.04"/>
    <n v="954"/>
    <n v="223"/>
    <n v="137850.01"/>
    <n v="1631"/>
    <n v="236068"/>
    <n v="2351.9571187682764"/>
    <n v="285"/>
  </r>
  <r>
    <s v="CAMP0090"/>
    <x v="4"/>
    <d v="2024-08-20T00:00:00"/>
    <d v="2024-01-10T00:00:00"/>
    <x v="3"/>
    <n v="37652.230000000003"/>
    <n v="1319"/>
    <n v="189"/>
    <n v="144617.01999999999"/>
    <n v="5581"/>
    <n v="463970"/>
    <n v="284.08620153441103"/>
    <n v="223"/>
  </r>
  <r>
    <s v="CAMP0014"/>
    <x v="14"/>
    <d v="2024-03-17T00:00:00"/>
    <d v="2024-01-06T00:00:00"/>
    <x v="0"/>
    <n v="40822.97"/>
    <n v="454"/>
    <n v="73"/>
    <n v="123428.26"/>
    <n v="7648"/>
    <n v="459076"/>
    <n v="202.35002499818114"/>
    <n v="71"/>
  </r>
  <r>
    <s v="CAMP0027"/>
    <x v="5"/>
    <d v="2024-04-25T00:00:00"/>
    <d v="2024-01-10T00:00:00"/>
    <x v="0"/>
    <n v="35635.050000000003"/>
    <n v="893"/>
    <n v="321"/>
    <n v="22272.78"/>
    <n v="5076"/>
    <n v="104107"/>
    <n v="-37.497548060126206"/>
    <n v="106"/>
  </r>
  <r>
    <s v="CAMP0009"/>
    <x v="8"/>
    <d v="2024-06-02T00:00:00"/>
    <d v="2024-01-09T00:00:00"/>
    <x v="3"/>
    <n v="48395.92"/>
    <n v="1832"/>
    <n v="134"/>
    <n v="136990.09"/>
    <n v="5795"/>
    <n v="314673"/>
    <n v="183.06123739356542"/>
    <n v="145"/>
  </r>
  <r>
    <s v="CAMP0079"/>
    <x v="8"/>
    <d v="2024-04-12T00:00:00"/>
    <d v="2024-01-07T00:00:00"/>
    <x v="1"/>
    <n v="41505.949999999997"/>
    <n v="1614"/>
    <n v="59"/>
    <n v="17498.47"/>
    <n v="8545"/>
    <n v="405888"/>
    <n v="-57.841056523221368"/>
    <n v="96"/>
  </r>
  <r>
    <s v="CAMP0015"/>
    <x v="8"/>
    <d v="2024-07-12T00:00:00"/>
    <d v="2024-01-10T00:00:00"/>
    <x v="0"/>
    <n v="45251.59"/>
    <n v="1234"/>
    <n v="382"/>
    <n v="121247.82"/>
    <n v="3648"/>
    <n v="448454"/>
    <n v="167.94156846201429"/>
    <n v="184"/>
  </r>
  <r>
    <s v="CAMP0090"/>
    <x v="5"/>
    <d v="2024-06-14T00:00:00"/>
    <d v="2024-01-11T00:00:00"/>
    <x v="0"/>
    <n v="46744.98"/>
    <n v="796"/>
    <n v="101"/>
    <n v="149218.32999999999"/>
    <n v="6263"/>
    <n v="228650"/>
    <n v="219.21787109546301"/>
    <n v="155"/>
  </r>
  <r>
    <s v="CAMP0042"/>
    <x v="11"/>
    <d v="2024-12-24T00:00:00"/>
    <d v="2024-01-07T00:00:00"/>
    <x v="1"/>
    <n v="40266.050000000003"/>
    <n v="1775"/>
    <n v="340"/>
    <n v="46139.13"/>
    <n v="6771"/>
    <n v="168022"/>
    <n v="14.585686949675953"/>
    <n v="352"/>
  </r>
  <r>
    <s v="CAMP0077"/>
    <x v="14"/>
    <d v="2024-03-30T00:00:00"/>
    <d v="2024-01-07T00:00:00"/>
    <x v="3"/>
    <n v="34038.68"/>
    <n v="1190"/>
    <n v="91"/>
    <n v="169116.29"/>
    <n v="5364"/>
    <n v="12009"/>
    <n v="396.83562934872919"/>
    <n v="83"/>
  </r>
  <r>
    <s v="CAMP0051"/>
    <x v="6"/>
    <d v="2024-06-22T00:00:00"/>
    <d v="2024-01-04T00:00:00"/>
    <x v="2"/>
    <n v="1280.21"/>
    <n v="320"/>
    <n v="298"/>
    <n v="10918.99"/>
    <n v="1331"/>
    <n v="179168"/>
    <n v="752.90616383249608"/>
    <n v="170"/>
  </r>
  <r>
    <s v="CAMP0063"/>
    <x v="14"/>
    <d v="2024-05-01T00:00:00"/>
    <d v="2024-01-07T00:00:00"/>
    <x v="1"/>
    <n v="23825.46"/>
    <n v="819"/>
    <n v="123"/>
    <n v="169543.51"/>
    <n v="2523"/>
    <n v="151616"/>
    <n v="611.60644957117313"/>
    <n v="115"/>
  </r>
  <r>
    <s v="CAMP0096"/>
    <x v="10"/>
    <d v="2024-05-22T00:00:00"/>
    <d v="2024-01-05T00:00:00"/>
    <x v="2"/>
    <n v="28986.95"/>
    <n v="1765"/>
    <n v="212"/>
    <n v="94764.160000000003"/>
    <n v="8171"/>
    <n v="449944"/>
    <n v="226.92007955304027"/>
    <n v="138"/>
  </r>
  <r>
    <s v="CAMP0052"/>
    <x v="7"/>
    <d v="2024-04-15T00:00:00"/>
    <d v="2024-01-09T00:00:00"/>
    <x v="2"/>
    <n v="15897.48"/>
    <n v="1560"/>
    <n v="338"/>
    <n v="47429.65"/>
    <n v="4361"/>
    <n v="30381"/>
    <n v="198.34697071485544"/>
    <n v="97"/>
  </r>
  <r>
    <s v="CAMP0096"/>
    <x v="12"/>
    <d v="2024-10-31T00:00:00"/>
    <d v="2024-01-07T00:00:00"/>
    <x v="1"/>
    <n v="16587.12"/>
    <n v="1958"/>
    <n v="417"/>
    <n v="31086.74"/>
    <n v="9865"/>
    <n v="390913"/>
    <n v="87.414933996980821"/>
    <n v="298"/>
  </r>
  <r>
    <s v="CAMP0004"/>
    <x v="6"/>
    <d v="2024-12-25T00:00:00"/>
    <d v="2024-01-10T00:00:00"/>
    <x v="0"/>
    <n v="48096.81"/>
    <n v="221"/>
    <n v="158"/>
    <n v="190894.9"/>
    <n v="3008"/>
    <n v="419503"/>
    <n v="296.89721626028836"/>
    <n v="350"/>
  </r>
  <r>
    <s v="CAMP0094"/>
    <x v="7"/>
    <d v="2024-11-12T00:00:00"/>
    <d v="2024-01-03T00:00:00"/>
    <x v="2"/>
    <n v="44693.83"/>
    <n v="323"/>
    <n v="39"/>
    <n v="19169.79"/>
    <n v="4812"/>
    <n v="327754"/>
    <n v="-57.108643407826087"/>
    <n v="314"/>
  </r>
  <r>
    <s v="CAMP0023"/>
    <x v="0"/>
    <d v="2024-05-02T00:00:00"/>
    <d v="2024-01-05T00:00:00"/>
    <x v="2"/>
    <n v="42609.77"/>
    <n v="308"/>
    <n v="83"/>
    <n v="43823.22"/>
    <n v="6855"/>
    <n v="69122"/>
    <n v="2.8478210513692153"/>
    <n v="118"/>
  </r>
  <r>
    <s v="CAMP0015"/>
    <x v="2"/>
    <d v="2024-01-09T00:00:00"/>
    <d v="2024-01-05T00:00:00"/>
    <x v="3"/>
    <n v="20894.580000000002"/>
    <n v="1208"/>
    <n v="71"/>
    <n v="72825.36"/>
    <n v="9917"/>
    <n v="331328"/>
    <n v="248.53708473680732"/>
    <n v="4"/>
  </r>
  <r>
    <s v="CAMP0043"/>
    <x v="2"/>
    <d v="2024-09-18T00:00:00"/>
    <d v="2024-01-11T00:00:00"/>
    <x v="0"/>
    <n v="1671.23"/>
    <n v="1756"/>
    <n v="347"/>
    <n v="125945.8"/>
    <n v="3983"/>
    <n v="434297"/>
    <n v="7436.1141195406972"/>
    <n v="251"/>
  </r>
  <r>
    <s v="CAMP0029"/>
    <x v="13"/>
    <d v="2024-03-13T00:00:00"/>
    <d v="2024-01-07T00:00:00"/>
    <x v="2"/>
    <n v="4930.8900000000003"/>
    <n v="1795"/>
    <n v="417"/>
    <n v="111236.21"/>
    <n v="3615"/>
    <n v="215709"/>
    <n v="2155.9053233797549"/>
    <n v="66"/>
  </r>
  <r>
    <s v="CAMP0036"/>
    <x v="2"/>
    <d v="2024-12-24T00:00:00"/>
    <d v="2024-01-11T00:00:00"/>
    <x v="3"/>
    <n v="16297.62"/>
    <n v="1821"/>
    <n v="38"/>
    <n v="29500.48"/>
    <n v="3503"/>
    <n v="439528"/>
    <n v="81.010969699870273"/>
    <n v="348"/>
  </r>
  <r>
    <s v="CAMP0013"/>
    <x v="14"/>
    <d v="2024-08-10T00:00:00"/>
    <d v="2024-01-11T00:00:00"/>
    <x v="0"/>
    <n v="1771.4"/>
    <n v="471"/>
    <n v="101"/>
    <n v="61496.959999999999"/>
    <n v="4698"/>
    <n v="88228"/>
    <n v="3371.6585751383086"/>
    <n v="212"/>
  </r>
  <r>
    <s v="CAMP0032"/>
    <x v="5"/>
    <d v="2024-02-10T00:00:00"/>
    <d v="2024-01-03T00:00:00"/>
    <x v="1"/>
    <n v="1840.34"/>
    <n v="1494"/>
    <n v="173"/>
    <n v="51556.6"/>
    <n v="5108"/>
    <n v="336087"/>
    <n v="2701.4714672288819"/>
    <n v="38"/>
  </r>
  <r>
    <s v="CAMP0071"/>
    <x v="12"/>
    <d v="2024-07-22T00:00:00"/>
    <d v="2024-01-04T00:00:00"/>
    <x v="1"/>
    <n v="45913.56"/>
    <n v="1259"/>
    <n v="173"/>
    <n v="46640.86"/>
    <n v="6322"/>
    <n v="477006"/>
    <n v="1.5840636186782355"/>
    <n v="200"/>
  </r>
  <r>
    <s v="CAMP0059"/>
    <x v="9"/>
    <d v="2024-09-20T00:00:00"/>
    <d v="2024-01-07T00:00:00"/>
    <x v="3"/>
    <n v="35601.769999999997"/>
    <n v="413"/>
    <n v="155"/>
    <n v="85173.15"/>
    <n v="4109"/>
    <n v="81770"/>
    <n v="139.23852662381674"/>
    <n v="257"/>
  </r>
  <r>
    <s v="CAMP0086"/>
    <x v="3"/>
    <d v="2024-11-23T00:00:00"/>
    <d v="2024-01-06T00:00:00"/>
    <x v="1"/>
    <n v="16138.84"/>
    <n v="1680"/>
    <n v="75"/>
    <n v="142286.13"/>
    <n v="2835"/>
    <n v="53726"/>
    <n v="781.63789962599549"/>
    <n v="322"/>
  </r>
  <r>
    <s v="CAMP0028"/>
    <x v="13"/>
    <d v="2024-06-26T00:00:00"/>
    <d v="2024-01-11T00:00:00"/>
    <x v="2"/>
    <n v="7499.58"/>
    <n v="427"/>
    <n v="7"/>
    <n v="47403.32"/>
    <n v="4591"/>
    <n v="416427"/>
    <n v="532.07966312780184"/>
    <n v="167"/>
  </r>
  <r>
    <s v="CAMP0066"/>
    <x v="1"/>
    <d v="2024-12-13T00:00:00"/>
    <d v="2024-01-09T00:00:00"/>
    <x v="0"/>
    <n v="26070.15"/>
    <n v="1596"/>
    <n v="318"/>
    <n v="76502.38"/>
    <n v="8693"/>
    <n v="423696"/>
    <n v="193.44817732157276"/>
    <n v="339"/>
  </r>
  <r>
    <s v="CAMP0042"/>
    <x v="1"/>
    <d v="2024-11-13T00:00:00"/>
    <d v="2024-01-08T00:00:00"/>
    <x v="2"/>
    <n v="1261.96"/>
    <n v="629"/>
    <n v="36"/>
    <n v="81228.899999999994"/>
    <n v="1074"/>
    <n v="310924"/>
    <n v="6336.7254112650153"/>
    <n v="310"/>
  </r>
  <r>
    <s v="CAMP0045"/>
    <x v="3"/>
    <d v="2024-03-24T00:00:00"/>
    <d v="2024-01-09T00:00:00"/>
    <x v="2"/>
    <n v="46982.27"/>
    <n v="940"/>
    <n v="291"/>
    <n v="195409.02"/>
    <n v="323"/>
    <n v="189210"/>
    <n v="315.92077181455898"/>
    <n v="75"/>
  </r>
  <r>
    <s v="CAMP0062"/>
    <x v="7"/>
    <d v="2024-11-13T00:00:00"/>
    <d v="2024-01-03T00:00:00"/>
    <x v="1"/>
    <n v="21325.94"/>
    <n v="771"/>
    <n v="86"/>
    <n v="191159.94"/>
    <n v="4713"/>
    <n v="222454"/>
    <n v="796.37286797205661"/>
    <n v="315"/>
  </r>
  <r>
    <s v="CAMP0057"/>
    <x v="3"/>
    <d v="2024-04-20T00:00:00"/>
    <d v="2024-01-03T00:00:00"/>
    <x v="2"/>
    <n v="20714.41"/>
    <n v="1269"/>
    <n v="47"/>
    <n v="161026.82999999999"/>
    <n v="6877"/>
    <n v="305647"/>
    <n v="677.36623925084029"/>
    <n v="108"/>
  </r>
  <r>
    <s v="CAMP0006"/>
    <x v="3"/>
    <d v="2024-09-07T00:00:00"/>
    <d v="2024-01-10T00:00:00"/>
    <x v="1"/>
    <n v="20139.09"/>
    <n v="930"/>
    <n v="395"/>
    <n v="52123.49"/>
    <n v="8527"/>
    <n v="321037"/>
    <n v="158.81750367072195"/>
    <n v="241"/>
  </r>
  <r>
    <s v="CAMP0028"/>
    <x v="1"/>
    <d v="2024-01-07T00:00:00"/>
    <d v="2024-01-04T00:00:00"/>
    <x v="0"/>
    <n v="4397.09"/>
    <n v="1171"/>
    <n v="109"/>
    <n v="18267.28"/>
    <n v="4311"/>
    <n v="178265"/>
    <n v="315.4402115944863"/>
    <n v="3"/>
  </r>
  <r>
    <s v="CAMP0028"/>
    <x v="13"/>
    <d v="2024-03-24T00:00:00"/>
    <d v="2024-01-11T00:00:00"/>
    <x v="0"/>
    <n v="32277.79"/>
    <n v="654"/>
    <n v="5"/>
    <n v="66796.31"/>
    <n v="325"/>
    <n v="246074"/>
    <n v="106.94201802539764"/>
    <n v="73"/>
  </r>
  <r>
    <s v="CAMP0044"/>
    <x v="0"/>
    <d v="2024-07-26T00:00:00"/>
    <d v="2024-01-09T00:00:00"/>
    <x v="2"/>
    <n v="36917.18"/>
    <n v="71"/>
    <n v="65"/>
    <n v="57024.94"/>
    <n v="8283"/>
    <n v="324502"/>
    <n v="54.467215534881049"/>
    <n v="199"/>
  </r>
  <r>
    <s v="CAMP0084"/>
    <x v="14"/>
    <d v="2024-11-09T00:00:00"/>
    <d v="2024-01-08T00:00:00"/>
    <x v="3"/>
    <n v="34130.14"/>
    <n v="1523"/>
    <n v="274"/>
    <n v="103655.53"/>
    <n v="4377"/>
    <n v="81857"/>
    <n v="203.70672373450566"/>
    <n v="306"/>
  </r>
  <r>
    <s v="CAMP0030"/>
    <x v="8"/>
    <d v="2024-01-22T00:00:00"/>
    <d v="2024-01-03T00:00:00"/>
    <x v="1"/>
    <n v="7783.34"/>
    <n v="1245"/>
    <n v="184"/>
    <n v="156656.94"/>
    <n v="1441"/>
    <n v="472398"/>
    <n v="1912.7212739004081"/>
    <n v="19"/>
  </r>
  <r>
    <s v="CAMP0062"/>
    <x v="2"/>
    <d v="2024-01-03T00:00:00"/>
    <d v="2024-01-03T00:00:00"/>
    <x v="1"/>
    <n v="29363.17"/>
    <n v="432"/>
    <n v="228"/>
    <n v="172372.97"/>
    <n v="4136"/>
    <n v="383601"/>
    <n v="487.03801394740418"/>
    <n v="0"/>
  </r>
  <r>
    <s v="CAMP0075"/>
    <x v="2"/>
    <d v="2024-05-06T00:00:00"/>
    <d v="2024-01-04T00:00:00"/>
    <x v="2"/>
    <n v="28904.74"/>
    <n v="183"/>
    <n v="10"/>
    <n v="169748.5"/>
    <n v="8501"/>
    <n v="416333"/>
    <n v="487.26873170282801"/>
    <n v="123"/>
  </r>
  <r>
    <s v="CAMP0092"/>
    <x v="5"/>
    <d v="2024-10-23T00:00:00"/>
    <d v="2024-01-08T00:00:00"/>
    <x v="1"/>
    <n v="43552.13"/>
    <n v="1499"/>
    <n v="107"/>
    <n v="75136.73"/>
    <n v="3827"/>
    <n v="260405"/>
    <n v="72.521366922811808"/>
    <n v="289"/>
  </r>
  <r>
    <s v="CAMP0089"/>
    <x v="13"/>
    <d v="2024-07-06T00:00:00"/>
    <d v="2024-01-08T00:00:00"/>
    <x v="1"/>
    <n v="19577.259999999998"/>
    <n v="1098"/>
    <n v="14"/>
    <n v="139010.70000000001"/>
    <n v="4028"/>
    <n v="191128"/>
    <n v="610.06208223214094"/>
    <n v="180"/>
  </r>
  <r>
    <s v="CAMP0062"/>
    <x v="5"/>
    <d v="2024-12-27T00:00:00"/>
    <d v="2024-01-04T00:00:00"/>
    <x v="3"/>
    <n v="19202.810000000001"/>
    <n v="552"/>
    <n v="75"/>
    <n v="66002.67"/>
    <n v="2903"/>
    <n v="118928"/>
    <n v="243.71360233215867"/>
    <n v="358"/>
  </r>
  <r>
    <s v="CAMP0097"/>
    <x v="9"/>
    <d v="2024-01-14T00:00:00"/>
    <d v="2024-01-03T00:00:00"/>
    <x v="3"/>
    <n v="31307.83"/>
    <n v="1258"/>
    <n v="94"/>
    <n v="16876.580000000002"/>
    <n v="9401"/>
    <n v="59706"/>
    <n v="-46.094698993829972"/>
    <n v="11"/>
  </r>
  <r>
    <s v="CAMP0001"/>
    <x v="9"/>
    <d v="2024-01-12T00:00:00"/>
    <d v="2024-01-07T00:00:00"/>
    <x v="2"/>
    <n v="32020.560000000001"/>
    <n v="1158"/>
    <n v="230"/>
    <n v="141805.23000000001"/>
    <n v="6658"/>
    <n v="464645"/>
    <n v="342.85680825069898"/>
    <n v="5"/>
  </r>
  <r>
    <s v="CAMP0027"/>
    <x v="5"/>
    <d v="2024-03-27T00:00:00"/>
    <d v="2024-01-07T00:00:00"/>
    <x v="3"/>
    <n v="23994.98"/>
    <n v="1640"/>
    <n v="162"/>
    <n v="6916.37"/>
    <n v="493"/>
    <n v="403692"/>
    <n v="-71.175762597009879"/>
    <n v="80"/>
  </r>
  <r>
    <s v="CAMP0062"/>
    <x v="13"/>
    <d v="2024-01-12T00:00:00"/>
    <d v="2024-01-04T00:00:00"/>
    <x v="2"/>
    <n v="22709.91"/>
    <n v="1836"/>
    <n v="232"/>
    <n v="84790.6"/>
    <n v="6939"/>
    <n v="345950"/>
    <n v="273.36387506599544"/>
    <n v="8"/>
  </r>
  <r>
    <s v="CAMP0077"/>
    <x v="5"/>
    <d v="2024-01-25T00:00:00"/>
    <d v="2024-01-08T00:00:00"/>
    <x v="0"/>
    <n v="25213.24"/>
    <n v="193"/>
    <n v="409"/>
    <n v="69228.960000000006"/>
    <n v="9135"/>
    <n v="56006"/>
    <n v="174.57383501684035"/>
    <n v="17"/>
  </r>
  <r>
    <s v="CAMP0003"/>
    <x v="2"/>
    <d v="2024-10-27T00:00:00"/>
    <d v="2024-01-11T00:00:00"/>
    <x v="2"/>
    <n v="43191.22"/>
    <n v="1936"/>
    <n v="130"/>
    <n v="140208.62"/>
    <n v="9816"/>
    <n v="88238"/>
    <n v="224.62296735308703"/>
    <n v="290"/>
  </r>
  <r>
    <s v="CAMP0070"/>
    <x v="6"/>
    <d v="2024-08-30T00:00:00"/>
    <d v="2024-01-04T00:00:00"/>
    <x v="0"/>
    <n v="23597.18"/>
    <n v="1983"/>
    <n v="448"/>
    <n v="154417.87"/>
    <n v="8895"/>
    <n v="249018"/>
    <n v="554.39120267760802"/>
    <n v="239"/>
  </r>
  <r>
    <s v="CAMP0072"/>
    <x v="10"/>
    <d v="2024-05-01T00:00:00"/>
    <d v="2024-01-04T00:00:00"/>
    <x v="2"/>
    <n v="47056.66"/>
    <n v="1752"/>
    <n v="213"/>
    <n v="64298.45"/>
    <n v="681"/>
    <n v="464134"/>
    <n v="36.640488296449412"/>
    <n v="118"/>
  </r>
  <r>
    <s v="CAMP0027"/>
    <x v="1"/>
    <d v="2024-05-26T00:00:00"/>
    <d v="2024-01-05T00:00:00"/>
    <x v="1"/>
    <n v="25696.18"/>
    <n v="1485"/>
    <n v="101"/>
    <n v="163267.26999999999"/>
    <n v="232"/>
    <n v="195227"/>
    <n v="535.37564727519805"/>
    <n v="142"/>
  </r>
  <r>
    <s v="CAMP0009"/>
    <x v="1"/>
    <d v="2024-02-24T00:00:00"/>
    <d v="2024-01-09T00:00:00"/>
    <x v="3"/>
    <n v="47510.83"/>
    <n v="273"/>
    <n v="78"/>
    <n v="62313.77"/>
    <n v="2938"/>
    <n v="461537"/>
    <n v="31.156980418990777"/>
    <n v="46"/>
  </r>
  <r>
    <s v="CAMP0062"/>
    <x v="12"/>
    <d v="2024-08-25T00:00:00"/>
    <d v="2024-01-08T00:00:00"/>
    <x v="0"/>
    <n v="41808.76"/>
    <n v="269"/>
    <n v="119"/>
    <n v="92033.64"/>
    <n v="3485"/>
    <n v="308942"/>
    <n v="120.1300397332999"/>
    <n v="230"/>
  </r>
  <r>
    <s v="CAMP0037"/>
    <x v="3"/>
    <d v="2024-12-21T00:00:00"/>
    <d v="2024-01-10T00:00:00"/>
    <x v="2"/>
    <n v="18759.13"/>
    <n v="228"/>
    <n v="195"/>
    <n v="146768.60999999999"/>
    <n v="3870"/>
    <n v="78271"/>
    <n v="682.38495068801149"/>
    <n v="346"/>
  </r>
  <r>
    <s v="CAMP0097"/>
    <x v="10"/>
    <d v="2024-06-21T00:00:00"/>
    <d v="2024-01-10T00:00:00"/>
    <x v="3"/>
    <n v="43318.43"/>
    <n v="1704"/>
    <n v="499"/>
    <n v="140119.44"/>
    <n v="2368"/>
    <n v="293321"/>
    <n v="223.46380051169908"/>
    <n v="163"/>
  </r>
  <r>
    <s v="CAMP0051"/>
    <x v="14"/>
    <d v="2024-08-08T00:00:00"/>
    <d v="2024-01-08T00:00:00"/>
    <x v="2"/>
    <n v="6393.1"/>
    <n v="482"/>
    <n v="174"/>
    <n v="197536.85"/>
    <n v="1075"/>
    <n v="490464"/>
    <n v="2989.8445198729878"/>
    <n v="213"/>
  </r>
  <r>
    <s v="CAMP0044"/>
    <x v="13"/>
    <d v="2024-04-28T00:00:00"/>
    <d v="2024-01-05T00:00:00"/>
    <x v="3"/>
    <n v="46327.31"/>
    <n v="314"/>
    <n v="311"/>
    <n v="48906.400000000001"/>
    <n v="7705"/>
    <n v="391166"/>
    <n v="5.5671050186164575"/>
    <n v="114"/>
  </r>
  <r>
    <s v="CAMP0024"/>
    <x v="11"/>
    <d v="2024-11-04T00:00:00"/>
    <d v="2024-01-05T00:00:00"/>
    <x v="3"/>
    <n v="31950.53"/>
    <n v="1003"/>
    <n v="452"/>
    <n v="134151.99"/>
    <n v="7313"/>
    <n v="393300"/>
    <n v="319.87406781671541"/>
    <n v="304"/>
  </r>
  <r>
    <s v="CAMP0079"/>
    <x v="10"/>
    <d v="2024-07-01T00:00:00"/>
    <d v="2024-01-03T00:00:00"/>
    <x v="2"/>
    <n v="3665.15"/>
    <n v="478"/>
    <n v="208"/>
    <n v="123887.97"/>
    <n v="9835"/>
    <n v="345359"/>
    <n v="3280.1609756763028"/>
    <n v="180"/>
  </r>
  <r>
    <s v="CAMP0059"/>
    <x v="12"/>
    <d v="2024-10-14T00:00:00"/>
    <d v="2024-01-09T00:00:00"/>
    <x v="0"/>
    <n v="32568.58"/>
    <n v="1735"/>
    <n v="60"/>
    <n v="183444.2"/>
    <n v="2935"/>
    <n v="44013"/>
    <n v="463.25513731332467"/>
    <n v="279"/>
  </r>
  <r>
    <s v="CAMP0032"/>
    <x v="9"/>
    <d v="2024-11-02T00:00:00"/>
    <d v="2024-01-07T00:00:00"/>
    <x v="0"/>
    <n v="48738.14"/>
    <n v="465"/>
    <n v="212"/>
    <n v="35490.620000000003"/>
    <n v="2838"/>
    <n v="495117"/>
    <n v="-27.181012652514021"/>
    <n v="300"/>
  </r>
  <r>
    <s v="CAMP0096"/>
    <x v="7"/>
    <d v="2024-10-26T00:00:00"/>
    <d v="2024-01-06T00:00:00"/>
    <x v="1"/>
    <n v="4420.2299999999996"/>
    <n v="1526"/>
    <n v="45"/>
    <n v="151600.64000000001"/>
    <n v="9649"/>
    <n v="83600"/>
    <n v="3329.7002644658769"/>
    <n v="294"/>
  </r>
  <r>
    <s v="CAMP0088"/>
    <x v="3"/>
    <d v="2024-03-22T00:00:00"/>
    <d v="2024-01-06T00:00:00"/>
    <x v="3"/>
    <n v="28179.7"/>
    <n v="776"/>
    <n v="36"/>
    <n v="115812.38"/>
    <n v="4234"/>
    <n v="359243"/>
    <n v="310.97804447882697"/>
    <n v="76"/>
  </r>
  <r>
    <s v="CAMP0052"/>
    <x v="12"/>
    <d v="2024-07-29T00:00:00"/>
    <d v="2024-01-06T00:00:00"/>
    <x v="1"/>
    <n v="37641.919999999998"/>
    <n v="246"/>
    <n v="19"/>
    <n v="58559.839999999997"/>
    <n v="9608"/>
    <n v="316594"/>
    <n v="55.570810415621729"/>
    <n v="205"/>
  </r>
  <r>
    <s v="CAMP0062"/>
    <x v="8"/>
    <d v="2024-05-29T00:00:00"/>
    <d v="2024-01-08T00:00:00"/>
    <x v="1"/>
    <n v="40702.67"/>
    <n v="1627"/>
    <n v="66"/>
    <n v="97514.81"/>
    <n v="6933"/>
    <n v="492844"/>
    <n v="139.57841094945368"/>
    <n v="142"/>
  </r>
  <r>
    <s v="CAMP0058"/>
    <x v="11"/>
    <d v="2024-02-06T00:00:00"/>
    <d v="2024-01-10T00:00:00"/>
    <x v="2"/>
    <n v="21277.55"/>
    <n v="1126"/>
    <n v="159"/>
    <n v="70086.44"/>
    <n v="8453"/>
    <n v="442144"/>
    <n v="229.3914947914586"/>
    <n v="27"/>
  </r>
  <r>
    <s v="CAMP0052"/>
    <x v="13"/>
    <d v="2024-12-17T00:00:00"/>
    <d v="2024-01-10T00:00:00"/>
    <x v="2"/>
    <n v="11004.16"/>
    <n v="529"/>
    <n v="288"/>
    <n v="117966.11"/>
    <n v="2009"/>
    <n v="385784"/>
    <n v="972.01376570315222"/>
    <n v="342"/>
  </r>
  <r>
    <s v="CAMP0012"/>
    <x v="3"/>
    <d v="2024-11-07T00:00:00"/>
    <d v="2024-01-07T00:00:00"/>
    <x v="2"/>
    <n v="3074.77"/>
    <n v="1516"/>
    <n v="213"/>
    <n v="178355.12"/>
    <n v="9419"/>
    <n v="355547"/>
    <n v="5700.600370108984"/>
    <n v="305"/>
  </r>
  <r>
    <s v="CAMP0039"/>
    <x v="14"/>
    <d v="2024-12-26T00:00:00"/>
    <d v="2024-01-08T00:00:00"/>
    <x v="3"/>
    <n v="29406.58"/>
    <n v="1403"/>
    <n v="324"/>
    <n v="116014.47"/>
    <n v="9950"/>
    <n v="439598"/>
    <n v="294.51874376415071"/>
    <n v="353"/>
  </r>
  <r>
    <s v="CAMP0002"/>
    <x v="10"/>
    <d v="2024-02-28T00:00:00"/>
    <d v="2024-01-06T00:00:00"/>
    <x v="2"/>
    <n v="23192.639999999999"/>
    <n v="1324"/>
    <n v="498"/>
    <n v="128185.87"/>
    <n v="2063"/>
    <n v="100290"/>
    <n v="452.70064123790996"/>
    <n v="53"/>
  </r>
  <r>
    <s v="CAMP0003"/>
    <x v="9"/>
    <d v="2024-05-10T00:00:00"/>
    <d v="2024-01-11T00:00:00"/>
    <x v="2"/>
    <n v="47488.480000000003"/>
    <n v="1880"/>
    <n v="191"/>
    <n v="106155.83"/>
    <n v="5253"/>
    <n v="217110"/>
    <n v="123.54017226914821"/>
    <n v="120"/>
  </r>
  <r>
    <s v="CAMP0056"/>
    <x v="0"/>
    <d v="2024-07-20T00:00:00"/>
    <d v="2024-01-10T00:00:00"/>
    <x v="3"/>
    <n v="3969.64"/>
    <n v="939"/>
    <n v="446"/>
    <n v="14977.27"/>
    <n v="1066"/>
    <n v="132832"/>
    <n v="277.29542225491485"/>
    <n v="192"/>
  </r>
  <r>
    <s v="CAMP0081"/>
    <x v="6"/>
    <d v="2024-08-30T00:00:00"/>
    <d v="2024-01-03T00:00:00"/>
    <x v="3"/>
    <n v="34584.370000000003"/>
    <n v="1856"/>
    <n v="134"/>
    <n v="50407.42"/>
    <n v="989"/>
    <n v="25142"/>
    <n v="45.75202613203593"/>
    <n v="240"/>
  </r>
  <r>
    <s v="CAMP0059"/>
    <x v="8"/>
    <d v="2024-02-04T00:00:00"/>
    <d v="2024-01-04T00:00:00"/>
    <x v="0"/>
    <n v="2223.34"/>
    <n v="974"/>
    <n v="131"/>
    <n v="100940.34"/>
    <n v="3161"/>
    <n v="373333"/>
    <n v="4440.0316640729716"/>
    <n v="31"/>
  </r>
  <r>
    <s v="CAMP0002"/>
    <x v="11"/>
    <d v="2024-04-02T00:00:00"/>
    <d v="2024-01-11T00:00:00"/>
    <x v="2"/>
    <n v="9400.27"/>
    <n v="172"/>
    <n v="296"/>
    <n v="65495.88"/>
    <n v="6561"/>
    <n v="370676"/>
    <n v="596.74466797230286"/>
    <n v="82"/>
  </r>
  <r>
    <s v="CAMP0002"/>
    <x v="6"/>
    <d v="2024-07-25T00:00:00"/>
    <d v="2024-01-10T00:00:00"/>
    <x v="2"/>
    <n v="23225.37"/>
    <n v="1952"/>
    <n v="118"/>
    <n v="40443.9"/>
    <n v="6266"/>
    <n v="411506"/>
    <n v="74.136730652730193"/>
    <n v="197"/>
  </r>
  <r>
    <s v="CAMP0092"/>
    <x v="3"/>
    <d v="2024-12-18T00:00:00"/>
    <d v="2024-01-05T00:00:00"/>
    <x v="2"/>
    <n v="23288.75"/>
    <n v="1460"/>
    <n v="203"/>
    <n v="103305.9"/>
    <n v="7067"/>
    <n v="465251"/>
    <n v="343.58713971338091"/>
    <n v="348"/>
  </r>
  <r>
    <s v="CAMP0054"/>
    <x v="9"/>
    <d v="2024-11-27T00:00:00"/>
    <d v="2024-01-10T00:00:00"/>
    <x v="0"/>
    <n v="34599.33"/>
    <n v="1412"/>
    <n v="17"/>
    <n v="67947.91"/>
    <n v="9958"/>
    <n v="132436"/>
    <n v="96.385045606374462"/>
    <n v="322"/>
  </r>
  <r>
    <s v="CAMP0087"/>
    <x v="9"/>
    <d v="2024-10-31T00:00:00"/>
    <d v="2024-01-03T00:00:00"/>
    <x v="2"/>
    <n v="45600.44"/>
    <n v="827"/>
    <n v="275"/>
    <n v="55330.99"/>
    <n v="8201"/>
    <n v="320065"/>
    <n v="21.338719538671107"/>
    <n v="302"/>
  </r>
  <r>
    <s v="CAMP0096"/>
    <x v="12"/>
    <d v="2024-12-15T00:00:00"/>
    <d v="2024-01-06T00:00:00"/>
    <x v="0"/>
    <n v="32312.58"/>
    <n v="397"/>
    <n v="93"/>
    <n v="95477.16"/>
    <n v="7479"/>
    <n v="282941"/>
    <n v="195.47984097834342"/>
    <n v="344"/>
  </r>
  <r>
    <s v="CAMP0097"/>
    <x v="1"/>
    <d v="2024-07-31T00:00:00"/>
    <d v="2024-01-05T00:00:00"/>
    <x v="1"/>
    <n v="47723.22"/>
    <n v="78"/>
    <n v="219"/>
    <n v="30990.43"/>
    <n v="9733"/>
    <n v="238403"/>
    <n v="-35.062156325579039"/>
    <n v="208"/>
  </r>
  <r>
    <s v="CAMP0001"/>
    <x v="1"/>
    <d v="2024-06-07T00:00:00"/>
    <d v="2024-01-08T00:00:00"/>
    <x v="0"/>
    <n v="44199.17"/>
    <n v="1024"/>
    <n v="448"/>
    <n v="185910.42"/>
    <n v="7380"/>
    <n v="33535"/>
    <n v="320.61970846963868"/>
    <n v="151"/>
  </r>
  <r>
    <s v="CAMP0019"/>
    <x v="10"/>
    <d v="2024-01-24T00:00:00"/>
    <d v="2024-01-09T00:00:00"/>
    <x v="1"/>
    <n v="29640.49"/>
    <n v="84"/>
    <n v="282"/>
    <n v="174201.91"/>
    <n v="1167"/>
    <n v="309444"/>
    <n v="487.71602628701487"/>
    <n v="15"/>
  </r>
  <r>
    <s v="CAMP0002"/>
    <x v="12"/>
    <d v="2024-10-19T00:00:00"/>
    <d v="2024-01-06T00:00:00"/>
    <x v="2"/>
    <n v="41855.81"/>
    <n v="1591"/>
    <n v="451"/>
    <n v="142986.01"/>
    <n v="4323"/>
    <n v="310320"/>
    <n v="241.61568011704949"/>
    <n v="287"/>
  </r>
  <r>
    <s v="CAMP0053"/>
    <x v="2"/>
    <d v="2024-01-04T00:00:00"/>
    <d v="2024-01-09T00:00:00"/>
    <x v="1"/>
    <n v="32486.3"/>
    <n v="1469"/>
    <n v="478"/>
    <n v="25711.7"/>
    <n v="9118"/>
    <n v="17105"/>
    <n v="-20.853713719321679"/>
    <n v="5"/>
  </r>
  <r>
    <s v="CAMP0044"/>
    <x v="10"/>
    <d v="2024-08-07T00:00:00"/>
    <d v="2024-01-11T00:00:00"/>
    <x v="0"/>
    <n v="4849.33"/>
    <n v="672"/>
    <n v="485"/>
    <n v="156296.06"/>
    <n v="4707"/>
    <n v="140011"/>
    <n v="3123.0444205694398"/>
    <n v="209"/>
  </r>
  <r>
    <s v="CAMP0090"/>
    <x v="2"/>
    <d v="2024-12-29T00:00:00"/>
    <d v="2024-01-04T00:00:00"/>
    <x v="3"/>
    <n v="37287.67"/>
    <n v="1367"/>
    <n v="207"/>
    <n v="162551.67999999999"/>
    <n v="4085"/>
    <n v="80472"/>
    <n v="335.93949420813908"/>
    <n v="360"/>
  </r>
  <r>
    <s v="CAMP0032"/>
    <x v="1"/>
    <d v="2024-01-20T00:00:00"/>
    <d v="2024-01-05T00:00:00"/>
    <x v="1"/>
    <n v="5650.51"/>
    <n v="638"/>
    <n v="78"/>
    <n v="154714.1"/>
    <n v="3279"/>
    <n v="174101"/>
    <n v="2638.0555029546003"/>
    <n v="15"/>
  </r>
  <r>
    <s v="CAMP0070"/>
    <x v="12"/>
    <d v="2024-05-31T00:00:00"/>
    <d v="2024-01-07T00:00:00"/>
    <x v="1"/>
    <n v="30110.06"/>
    <n v="1422"/>
    <n v="29"/>
    <n v="27223.35"/>
    <n v="4638"/>
    <n v="147935"/>
    <n v="-9.5871944459758716"/>
    <n v="145"/>
  </r>
  <r>
    <s v="CAMP0032"/>
    <x v="2"/>
    <d v="2024-02-19T00:00:00"/>
    <d v="2024-01-05T00:00:00"/>
    <x v="2"/>
    <n v="35429.370000000003"/>
    <n v="1220"/>
    <n v="105"/>
    <n v="130562.05"/>
    <n v="2462"/>
    <n v="79097"/>
    <n v="268.51360890696049"/>
    <n v="45"/>
  </r>
  <r>
    <s v="CAMP0068"/>
    <x v="8"/>
    <d v="2024-06-25T00:00:00"/>
    <d v="2024-01-10T00:00:00"/>
    <x v="0"/>
    <n v="4259.8500000000004"/>
    <n v="1140"/>
    <n v="180"/>
    <n v="167693.34"/>
    <n v="2324"/>
    <n v="262674"/>
    <n v="3836.6019930279231"/>
    <n v="167"/>
  </r>
  <r>
    <s v="CAMP0055"/>
    <x v="12"/>
    <d v="2024-04-05T00:00:00"/>
    <d v="2024-01-10T00:00:00"/>
    <x v="1"/>
    <n v="12308.94"/>
    <n v="953"/>
    <n v="431"/>
    <n v="117583.91"/>
    <n v="6471"/>
    <n v="142519"/>
    <n v="855.27242800761076"/>
    <n v="86"/>
  </r>
  <r>
    <s v="CAMP0075"/>
    <x v="1"/>
    <d v="2024-04-14T00:00:00"/>
    <d v="2024-01-10T00:00:00"/>
    <x v="1"/>
    <n v="45867.94"/>
    <n v="569"/>
    <n v="121"/>
    <n v="131049.44"/>
    <n v="1826"/>
    <n v="97160"/>
    <n v="185.71032403024856"/>
    <n v="95"/>
  </r>
  <r>
    <s v="CAMP0056"/>
    <x v="10"/>
    <d v="2024-09-06T00:00:00"/>
    <d v="2024-01-11T00:00:00"/>
    <x v="1"/>
    <n v="31199.41"/>
    <n v="171"/>
    <n v="170"/>
    <n v="94380.88"/>
    <n v="5891"/>
    <n v="47940"/>
    <n v="202.50854102689763"/>
    <n v="239"/>
  </r>
  <r>
    <s v="CAMP0017"/>
    <x v="4"/>
    <d v="2024-04-26T00:00:00"/>
    <d v="2024-01-06T00:00:00"/>
    <x v="1"/>
    <n v="13068.01"/>
    <n v="389"/>
    <n v="45"/>
    <n v="108097.93"/>
    <n v="8173"/>
    <n v="210019"/>
    <n v="727.19503581647086"/>
    <n v="111"/>
  </r>
  <r>
    <s v="CAMP0038"/>
    <x v="12"/>
    <d v="2024-12-19T00:00:00"/>
    <d v="2024-01-07T00:00:00"/>
    <x v="3"/>
    <n v="34843.31"/>
    <n v="224"/>
    <n v="433"/>
    <n v="11703.49"/>
    <n v="8558"/>
    <n v="86001"/>
    <n v="-66.411084365980159"/>
    <n v="347"/>
  </r>
  <r>
    <s v="CAMP0024"/>
    <x v="0"/>
    <d v="2024-08-15T00:00:00"/>
    <d v="2024-01-07T00:00:00"/>
    <x v="0"/>
    <n v="30242.04"/>
    <n v="1973"/>
    <n v="348"/>
    <n v="129597.79"/>
    <n v="7113"/>
    <n v="235824"/>
    <n v="328.53521124897662"/>
    <n v="221"/>
  </r>
  <r>
    <s v="CAMP0069"/>
    <x v="11"/>
    <d v="2024-03-06T00:00:00"/>
    <d v="2024-01-10T00:00:00"/>
    <x v="2"/>
    <n v="25577.21"/>
    <n v="1764"/>
    <n v="428"/>
    <n v="20882.21"/>
    <n v="937"/>
    <n v="151714"/>
    <n v="-18.356185056931544"/>
    <n v="56"/>
  </r>
  <r>
    <s v="CAMP0098"/>
    <x v="1"/>
    <d v="2024-11-30T00:00:00"/>
    <d v="2024-01-09T00:00:00"/>
    <x v="2"/>
    <n v="48833.16"/>
    <n v="646"/>
    <n v="370"/>
    <n v="89827.85"/>
    <n v="4684"/>
    <n v="228870"/>
    <n v="83.948468622550749"/>
    <n v="326"/>
  </r>
  <r>
    <s v="CAMP0070"/>
    <x v="5"/>
    <d v="2024-09-18T00:00:00"/>
    <d v="2024-01-11T00:00:00"/>
    <x v="3"/>
    <n v="34489.24"/>
    <n v="500"/>
    <n v="124"/>
    <n v="62067.74"/>
    <n v="786"/>
    <n v="227971"/>
    <n v="79.962620225902342"/>
    <n v="251"/>
  </r>
  <r>
    <s v="CAMP0086"/>
    <x v="5"/>
    <d v="2024-10-21T00:00:00"/>
    <d v="2024-01-10T00:00:00"/>
    <x v="0"/>
    <n v="19396.61"/>
    <n v="606"/>
    <n v="101"/>
    <n v="111358.45"/>
    <n v="456"/>
    <n v="199715"/>
    <n v="474.11295066509041"/>
    <n v="285"/>
  </r>
  <r>
    <s v="CAMP0011"/>
    <x v="10"/>
    <d v="2024-08-30T00:00:00"/>
    <d v="2024-01-04T00:00:00"/>
    <x v="1"/>
    <n v="40203.599999999999"/>
    <n v="1209"/>
    <n v="149"/>
    <n v="31016.19"/>
    <n v="9163"/>
    <n v="8928"/>
    <n v="-22.852207265021043"/>
    <n v="239"/>
  </r>
  <r>
    <s v="CAMP0016"/>
    <x v="10"/>
    <d v="2024-07-04T00:00:00"/>
    <d v="2024-01-06T00:00:00"/>
    <x v="3"/>
    <n v="44344.58"/>
    <n v="1928"/>
    <n v="220"/>
    <n v="139870.46"/>
    <n v="4747"/>
    <n v="49002"/>
    <n v="215.41726181643841"/>
    <n v="180"/>
  </r>
  <r>
    <s v="CAMP0097"/>
    <x v="6"/>
    <d v="2024-09-02T00:00:00"/>
    <d v="2024-01-08T00:00:00"/>
    <x v="0"/>
    <n v="7135.81"/>
    <n v="1089"/>
    <n v="233"/>
    <n v="160027.25"/>
    <n v="4518"/>
    <n v="347997"/>
    <n v="2142.594043283103"/>
    <n v="238"/>
  </r>
  <r>
    <s v="CAMP0073"/>
    <x v="11"/>
    <d v="2024-05-04T00:00:00"/>
    <d v="2024-01-04T00:00:00"/>
    <x v="1"/>
    <n v="10827.1"/>
    <n v="1406"/>
    <n v="317"/>
    <n v="36854.120000000003"/>
    <n v="6742"/>
    <n v="115614"/>
    <n v="240.38773078663723"/>
    <n v="121"/>
  </r>
  <r>
    <s v="CAMP0059"/>
    <x v="11"/>
    <d v="2024-09-24T00:00:00"/>
    <d v="2024-01-09T00:00:00"/>
    <x v="3"/>
    <n v="11595.12"/>
    <n v="1268"/>
    <n v="134"/>
    <n v="25341.05"/>
    <n v="3491"/>
    <n v="118517"/>
    <n v="118.54926900282186"/>
    <n v="259"/>
  </r>
  <r>
    <s v="CAMP0070"/>
    <x v="8"/>
    <d v="2024-05-10T00:00:00"/>
    <d v="2024-01-05T00:00:00"/>
    <x v="0"/>
    <n v="34869.379999999997"/>
    <n v="1569"/>
    <n v="356"/>
    <n v="33375.519999999997"/>
    <n v="4457"/>
    <n v="157089"/>
    <n v="-4.2841599133681205"/>
    <n v="126"/>
  </r>
  <r>
    <s v="CAMP0080"/>
    <x v="10"/>
    <d v="2024-08-24T00:00:00"/>
    <d v="2024-01-05T00:00:00"/>
    <x v="2"/>
    <n v="30548.94"/>
    <n v="58"/>
    <n v="381"/>
    <n v="176039.87"/>
    <n v="4979"/>
    <n v="80064"/>
    <n v="476.25524813626924"/>
    <n v="232"/>
  </r>
  <r>
    <s v="CAMP0093"/>
    <x v="11"/>
    <d v="2024-01-18T00:00:00"/>
    <d v="2024-01-04T00:00:00"/>
    <x v="2"/>
    <n v="31330.59"/>
    <n v="1901"/>
    <n v="322"/>
    <n v="107996.91"/>
    <n v="5419"/>
    <n v="382838"/>
    <n v="244.7011690491625"/>
    <n v="14"/>
  </r>
  <r>
    <s v="CAMP0003"/>
    <x v="14"/>
    <d v="2024-02-09T00:00:00"/>
    <d v="2024-01-10T00:00:00"/>
    <x v="0"/>
    <n v="47097.89"/>
    <n v="383"/>
    <n v="476"/>
    <n v="96115.89"/>
    <n v="2839"/>
    <n v="407529"/>
    <n v="104.07684930259084"/>
    <n v="30"/>
  </r>
  <r>
    <s v="CAMP0020"/>
    <x v="6"/>
    <d v="2024-01-21T00:00:00"/>
    <d v="2024-01-08T00:00:00"/>
    <x v="2"/>
    <n v="39019.67"/>
    <n v="1406"/>
    <n v="141"/>
    <n v="25808.799999999999"/>
    <n v="9610"/>
    <n v="395775"/>
    <n v="-33.856949584658196"/>
    <n v="13"/>
  </r>
  <r>
    <s v="CAMP0059"/>
    <x v="2"/>
    <d v="2024-08-12T00:00:00"/>
    <d v="2024-01-03T00:00:00"/>
    <x v="0"/>
    <n v="7268.91"/>
    <n v="1066"/>
    <n v="328"/>
    <n v="131663.42000000001"/>
    <n v="9827"/>
    <n v="51893"/>
    <n v="1711.3227430247453"/>
    <n v="222"/>
  </r>
  <r>
    <s v="CAMP0036"/>
    <x v="9"/>
    <d v="2024-12-20T00:00:00"/>
    <d v="2024-01-03T00:00:00"/>
    <x v="1"/>
    <n v="18027.849999999999"/>
    <n v="376"/>
    <n v="341"/>
    <n v="174259.92"/>
    <n v="4884"/>
    <n v="278311"/>
    <n v="866.61509830623174"/>
    <n v="352"/>
  </r>
  <r>
    <s v="CAMP0019"/>
    <x v="9"/>
    <d v="2024-10-08T00:00:00"/>
    <d v="2024-01-09T00:00:00"/>
    <x v="0"/>
    <n v="22334.29"/>
    <n v="64"/>
    <n v="277"/>
    <n v="166496.24"/>
    <n v="977"/>
    <n v="475095"/>
    <n v="645.47361926436872"/>
    <n v="273"/>
  </r>
  <r>
    <s v="CAMP0090"/>
    <x v="2"/>
    <d v="2024-01-08T00:00:00"/>
    <d v="2024-01-10T00:00:00"/>
    <x v="1"/>
    <n v="20402.12"/>
    <n v="888"/>
    <n v="121"/>
    <n v="127080.67"/>
    <n v="2970"/>
    <n v="39598"/>
    <n v="522.8797301456907"/>
    <n v="2"/>
  </r>
  <r>
    <s v="CAMP0067"/>
    <x v="13"/>
    <d v="2024-04-09T00:00:00"/>
    <d v="2024-01-07T00:00:00"/>
    <x v="3"/>
    <n v="33796.120000000003"/>
    <n v="1687"/>
    <n v="310"/>
    <n v="19679.349999999999"/>
    <n v="392"/>
    <n v="139595"/>
    <n v="-41.770386659770423"/>
    <n v="93"/>
  </r>
  <r>
    <s v="CAMP0019"/>
    <x v="1"/>
    <d v="2024-08-27T00:00:00"/>
    <d v="2024-01-07T00:00:00"/>
    <x v="0"/>
    <n v="44702.76"/>
    <n v="275"/>
    <n v="372"/>
    <n v="26917.42"/>
    <n v="9943"/>
    <n v="312921"/>
    <n v="-39.785776090782768"/>
    <n v="233"/>
  </r>
  <r>
    <s v="CAMP0020"/>
    <x v="6"/>
    <d v="2024-03-27T00:00:00"/>
    <d v="2024-01-06T00:00:00"/>
    <x v="3"/>
    <n v="15996.52"/>
    <n v="1498"/>
    <n v="98"/>
    <n v="14615.25"/>
    <n v="8828"/>
    <n v="422655"/>
    <n v="-8.6348155723869962"/>
    <n v="81"/>
  </r>
  <r>
    <s v="CAMP0096"/>
    <x v="14"/>
    <d v="2024-10-24T00:00:00"/>
    <d v="2024-01-08T00:00:00"/>
    <x v="2"/>
    <n v="28041.98"/>
    <n v="1863"/>
    <n v="172"/>
    <n v="55208.45"/>
    <n v="2786"/>
    <n v="379522"/>
    <n v="96.877859552000245"/>
    <n v="290"/>
  </r>
  <r>
    <s v="CAMP0071"/>
    <x v="11"/>
    <d v="2024-01-14T00:00:00"/>
    <d v="2024-01-08T00:00:00"/>
    <x v="1"/>
    <n v="39681.06"/>
    <n v="1481"/>
    <n v="446"/>
    <n v="31453.99"/>
    <n v="333"/>
    <n v="82060"/>
    <n v="-20.732989491712157"/>
    <n v="6"/>
  </r>
  <r>
    <s v="CAMP0052"/>
    <x v="4"/>
    <d v="2024-11-29T00:00:00"/>
    <d v="2024-01-05T00:00:00"/>
    <x v="0"/>
    <n v="21394.68"/>
    <n v="162"/>
    <n v="207"/>
    <n v="55709.37"/>
    <n v="2474"/>
    <n v="276429"/>
    <n v="160.3888910701165"/>
    <n v="329"/>
  </r>
  <r>
    <s v="CAMP0033"/>
    <x v="6"/>
    <d v="2024-01-02T00:00:00"/>
    <d v="2024-01-11T00:00:00"/>
    <x v="3"/>
    <n v="9237.7900000000009"/>
    <n v="1501"/>
    <n v="345"/>
    <n v="80086.320000000007"/>
    <n v="2372"/>
    <n v="405189"/>
    <n v="766.94241804587455"/>
    <n v="9"/>
  </r>
  <r>
    <s v="CAMP0040"/>
    <x v="12"/>
    <d v="2024-10-19T00:00:00"/>
    <d v="2024-01-09T00:00:00"/>
    <x v="1"/>
    <n v="24272.6"/>
    <n v="50"/>
    <n v="153"/>
    <n v="188881.64"/>
    <n v="1066"/>
    <n v="386114"/>
    <n v="678.16814020747677"/>
    <n v="284"/>
  </r>
  <r>
    <s v="CAMP0039"/>
    <x v="2"/>
    <d v="2024-11-20T00:00:00"/>
    <d v="2024-01-03T00:00:00"/>
    <x v="1"/>
    <n v="3705.9"/>
    <n v="315"/>
    <n v="406"/>
    <n v="124023.33"/>
    <n v="989"/>
    <n v="23694"/>
    <n v="3246.6453493078602"/>
    <n v="322"/>
  </r>
  <r>
    <s v="CAMP0082"/>
    <x v="14"/>
    <d v="2024-02-10T00:00:00"/>
    <d v="2024-01-09T00:00:00"/>
    <x v="2"/>
    <n v="47176.79"/>
    <n v="1564"/>
    <n v="187"/>
    <n v="167819.89"/>
    <n v="3963"/>
    <n v="429990"/>
    <n v="255.72553791811612"/>
    <n v="32"/>
  </r>
  <r>
    <s v="CAMP0001"/>
    <x v="0"/>
    <d v="2024-11-13T00:00:00"/>
    <d v="2024-01-07T00:00:00"/>
    <x v="2"/>
    <n v="4666.24"/>
    <n v="1281"/>
    <n v="417"/>
    <n v="143518.54"/>
    <n v="6254"/>
    <n v="398518"/>
    <n v="2975.6784906048561"/>
    <n v="311"/>
  </r>
  <r>
    <s v="CAMP0011"/>
    <x v="7"/>
    <d v="2024-11-11T00:00:00"/>
    <d v="2024-01-07T00:00:00"/>
    <x v="1"/>
    <n v="22484.38"/>
    <n v="1695"/>
    <n v="156"/>
    <n v="26938.11"/>
    <n v="3500"/>
    <n v="262401"/>
    <n v="19.808106783464787"/>
    <n v="309"/>
  </r>
  <r>
    <s v="CAMP0092"/>
    <x v="3"/>
    <d v="2024-04-20T00:00:00"/>
    <d v="2024-01-04T00:00:00"/>
    <x v="1"/>
    <n v="26964.18"/>
    <n v="1785"/>
    <n v="78"/>
    <n v="148504.48000000001"/>
    <n v="8326"/>
    <n v="247848"/>
    <n v="450.74725061173757"/>
    <n v="107"/>
  </r>
  <r>
    <s v="CAMP0057"/>
    <x v="1"/>
    <d v="2024-01-14T00:00:00"/>
    <d v="2024-01-06T00:00:00"/>
    <x v="0"/>
    <n v="49279.89"/>
    <n v="1001"/>
    <n v="369"/>
    <n v="58644.28"/>
    <n v="4642"/>
    <n v="154463"/>
    <n v="19.002457188926357"/>
    <n v="8"/>
  </r>
  <r>
    <s v="CAMP0089"/>
    <x v="2"/>
    <d v="2024-08-18T00:00:00"/>
    <d v="2024-01-08T00:00:00"/>
    <x v="1"/>
    <n v="9135.07"/>
    <n v="1442"/>
    <n v="405"/>
    <n v="129626.03"/>
    <n v="3623"/>
    <n v="267755"/>
    <n v="1318.9932863130769"/>
    <n v="223"/>
  </r>
  <r>
    <s v="CAMP0050"/>
    <x v="4"/>
    <d v="2024-03-24T00:00:00"/>
    <d v="2024-01-09T00:00:00"/>
    <x v="0"/>
    <n v="6607.14"/>
    <n v="355"/>
    <n v="278"/>
    <n v="71487.58"/>
    <n v="1863"/>
    <n v="10372"/>
    <n v="981.97465166471409"/>
    <n v="75"/>
  </r>
  <r>
    <s v="CAMP0023"/>
    <x v="11"/>
    <d v="2024-05-09T00:00:00"/>
    <d v="2024-01-07T00:00:00"/>
    <x v="1"/>
    <n v="1426.6"/>
    <n v="61"/>
    <n v="46"/>
    <n v="199546.09"/>
    <n v="3391"/>
    <n v="156384"/>
    <n v="13887.5290901444"/>
    <n v="123"/>
  </r>
  <r>
    <s v="CAMP0031"/>
    <x v="4"/>
    <d v="2024-08-18T00:00:00"/>
    <d v="2024-01-11T00:00:00"/>
    <x v="2"/>
    <n v="8623"/>
    <n v="1418"/>
    <n v="500"/>
    <n v="56392.54"/>
    <n v="2588"/>
    <n v="146152"/>
    <n v="553.97819784297815"/>
    <n v="220"/>
  </r>
  <r>
    <s v="CAMP0094"/>
    <x v="4"/>
    <d v="2024-11-21T00:00:00"/>
    <d v="2024-01-05T00:00:00"/>
    <x v="0"/>
    <n v="11156.38"/>
    <n v="1538"/>
    <n v="216"/>
    <n v="59430.44"/>
    <n v="1658"/>
    <n v="343762"/>
    <n v="432.70361891581325"/>
    <n v="321"/>
  </r>
  <r>
    <s v="CAMP0042"/>
    <x v="10"/>
    <d v="2024-05-24T00:00:00"/>
    <d v="2024-01-03T00:00:00"/>
    <x v="3"/>
    <n v="31898.47"/>
    <n v="1773"/>
    <n v="105"/>
    <n v="186481.09"/>
    <n v="4790"/>
    <n v="113945"/>
    <n v="484.60825864061815"/>
    <n v="142"/>
  </r>
  <r>
    <s v="CAMP0099"/>
    <x v="10"/>
    <d v="2024-12-10T00:00:00"/>
    <d v="2024-01-06T00:00:00"/>
    <x v="2"/>
    <n v="11765.63"/>
    <n v="1739"/>
    <n v="49"/>
    <n v="9805.66"/>
    <n v="6221"/>
    <n v="371541"/>
    <n v="-16.658436479814505"/>
    <n v="339"/>
  </r>
  <r>
    <s v="CAMP0007"/>
    <x v="8"/>
    <d v="2024-01-28T00:00:00"/>
    <d v="2024-01-11T00:00:00"/>
    <x v="0"/>
    <n v="2005.52"/>
    <n v="1567"/>
    <n v="86"/>
    <n v="140854.35"/>
    <n v="2376"/>
    <n v="97213"/>
    <n v="6923.3331006422286"/>
    <n v="17"/>
  </r>
  <r>
    <s v="CAMP0016"/>
    <x v="2"/>
    <d v="2024-03-06T00:00:00"/>
    <d v="2024-01-06T00:00:00"/>
    <x v="0"/>
    <n v="41504.300000000003"/>
    <n v="1441"/>
    <n v="21"/>
    <n v="146438.65"/>
    <n v="4539"/>
    <n v="21874"/>
    <n v="252.82765882089322"/>
    <n v="60"/>
  </r>
  <r>
    <s v="CAMP0090"/>
    <x v="8"/>
    <d v="2024-06-11T00:00:00"/>
    <d v="2024-01-04T00:00:00"/>
    <x v="3"/>
    <n v="18914.189999999999"/>
    <n v="1919"/>
    <n v="77"/>
    <n v="168093.82"/>
    <n v="1203"/>
    <n v="456753"/>
    <n v="788.71804713815402"/>
    <n v="159"/>
  </r>
  <r>
    <s v="CAMP0060"/>
    <x v="2"/>
    <d v="2024-08-16T00:00:00"/>
    <d v="2024-01-07T00:00:00"/>
    <x v="0"/>
    <n v="18331.14"/>
    <n v="986"/>
    <n v="18"/>
    <n v="195015.67"/>
    <n v="7620"/>
    <n v="205986"/>
    <n v="963.84911140278257"/>
    <n v="222"/>
  </r>
  <r>
    <s v="CAMP0002"/>
    <x v="1"/>
    <d v="2024-09-17T00:00:00"/>
    <d v="2024-01-05T00:00:00"/>
    <x v="1"/>
    <n v="15821.47"/>
    <n v="469"/>
    <n v="437"/>
    <n v="195242.37"/>
    <n v="9711"/>
    <n v="395813"/>
    <n v="1134.0343217159973"/>
    <n v="256"/>
  </r>
  <r>
    <s v="CAMP0001"/>
    <x v="6"/>
    <d v="2024-06-12T00:00:00"/>
    <d v="2024-01-11T00:00:00"/>
    <x v="3"/>
    <n v="48793.29"/>
    <n v="938"/>
    <n v="161"/>
    <n v="17728.97"/>
    <n v="5509"/>
    <n v="12600"/>
    <n v="-63.665147400390495"/>
    <n v="153"/>
  </r>
  <r>
    <s v="CAMP0048"/>
    <x v="3"/>
    <d v="2024-10-27T00:00:00"/>
    <d v="2024-01-06T00:00:00"/>
    <x v="2"/>
    <n v="9335.66"/>
    <n v="1864"/>
    <n v="227"/>
    <n v="165258.67000000001"/>
    <n v="9770"/>
    <n v="397963"/>
    <n v="1670.1873247311923"/>
    <n v="295"/>
  </r>
  <r>
    <s v="CAMP0012"/>
    <x v="4"/>
    <d v="2024-10-29T00:00:00"/>
    <d v="2024-01-08T00:00:00"/>
    <x v="2"/>
    <n v="45013.67"/>
    <n v="220"/>
    <n v="136"/>
    <n v="131030.44"/>
    <n v="7969"/>
    <n v="342559"/>
    <n v="191.09032878234547"/>
    <n v="295"/>
  </r>
  <r>
    <s v="CAMP0069"/>
    <x v="1"/>
    <d v="2024-10-13T00:00:00"/>
    <d v="2024-01-04T00:00:00"/>
    <x v="1"/>
    <n v="39063.360000000001"/>
    <n v="183"/>
    <n v="342"/>
    <n v="131231.72"/>
    <n v="3056"/>
    <n v="249430"/>
    <n v="235.94580701711271"/>
    <n v="283"/>
  </r>
  <r>
    <s v="CAMP0037"/>
    <x v="6"/>
    <d v="2024-01-10T00:00:00"/>
    <d v="2024-01-08T00:00:00"/>
    <x v="2"/>
    <n v="4747.5200000000004"/>
    <n v="1014"/>
    <n v="408"/>
    <n v="30028.240000000002"/>
    <n v="7810"/>
    <n v="472769"/>
    <n v="532.5037071987058"/>
    <n v="2"/>
  </r>
  <r>
    <s v="CAMP0032"/>
    <x v="7"/>
    <d v="2024-07-13T00:00:00"/>
    <d v="2024-01-05T00:00:00"/>
    <x v="0"/>
    <n v="49349.73"/>
    <n v="1500"/>
    <n v="380"/>
    <n v="131786.5"/>
    <n v="6117"/>
    <n v="156887"/>
    <n v="167.04604057610848"/>
    <n v="190"/>
  </r>
  <r>
    <s v="CAMP0009"/>
    <x v="9"/>
    <d v="2024-04-27T00:00:00"/>
    <d v="2024-01-11T00:00:00"/>
    <x v="0"/>
    <n v="14296.93"/>
    <n v="1098"/>
    <n v="380"/>
    <n v="196584.1"/>
    <n v="9674"/>
    <n v="216572"/>
    <n v="1275.0091802925524"/>
    <n v="107"/>
  </r>
  <r>
    <s v="CAMP0099"/>
    <x v="5"/>
    <d v="2024-09-26T00:00:00"/>
    <d v="2024-01-04T00:00:00"/>
    <x v="1"/>
    <n v="5830.56"/>
    <n v="1603"/>
    <n v="51"/>
    <n v="182804.62"/>
    <n v="3484"/>
    <n v="95348"/>
    <n v="3035.2840893499078"/>
    <n v="266"/>
  </r>
  <r>
    <s v="CAMP0019"/>
    <x v="12"/>
    <d v="2024-03-20T00:00:00"/>
    <d v="2024-01-11T00:00:00"/>
    <x v="2"/>
    <n v="41636.400000000001"/>
    <n v="1263"/>
    <n v="111"/>
    <n v="90630.48"/>
    <n v="9861"/>
    <n v="106736"/>
    <n v="117.67126840937254"/>
    <n v="69"/>
  </r>
  <r>
    <s v="CAMP0048"/>
    <x v="14"/>
    <d v="2024-04-02T00:00:00"/>
    <d v="2024-01-07T00:00:00"/>
    <x v="2"/>
    <n v="35627.1"/>
    <n v="1214"/>
    <n v="112"/>
    <n v="12789.85"/>
    <n v="128"/>
    <n v="287858"/>
    <n v="-64.100782831047155"/>
    <n v="86"/>
  </r>
  <r>
    <s v="CAMP0080"/>
    <x v="2"/>
    <d v="2024-09-22T00:00:00"/>
    <d v="2024-01-10T00:00:00"/>
    <x v="1"/>
    <n v="31243.72"/>
    <n v="1628"/>
    <n v="269"/>
    <n v="75647.23"/>
    <n v="8997"/>
    <n v="413106"/>
    <n v="142.11979239347937"/>
    <n v="256"/>
  </r>
  <r>
    <s v="CAMP0003"/>
    <x v="7"/>
    <d v="2024-11-27T00:00:00"/>
    <d v="2024-01-04T00:00:00"/>
    <x v="3"/>
    <n v="8643.06"/>
    <n v="1919"/>
    <n v="209"/>
    <n v="166146.10999999999"/>
    <n v="9312"/>
    <n v="455725"/>
    <n v="1822.3065673499896"/>
    <n v="328"/>
  </r>
  <r>
    <s v="CAMP0020"/>
    <x v="9"/>
    <d v="2024-12-15T00:00:00"/>
    <d v="2024-01-08T00:00:00"/>
    <x v="2"/>
    <n v="24446.31"/>
    <n v="1869"/>
    <n v="83"/>
    <n v="141792.32000000001"/>
    <n v="9738"/>
    <n v="456040"/>
    <n v="480.01522520167663"/>
    <n v="342"/>
  </r>
  <r>
    <s v="CAMP0024"/>
    <x v="11"/>
    <d v="2024-12-26T00:00:00"/>
    <d v="2024-01-05T00:00:00"/>
    <x v="3"/>
    <n v="39247.25"/>
    <n v="707"/>
    <n v="159"/>
    <n v="94572.01"/>
    <n v="7856"/>
    <n v="136797"/>
    <n v="140.96467905394644"/>
    <n v="356"/>
  </r>
  <r>
    <s v="CAMP0054"/>
    <x v="13"/>
    <d v="2024-09-13T00:00:00"/>
    <d v="2024-01-07T00:00:00"/>
    <x v="2"/>
    <n v="15877.57"/>
    <n v="1388"/>
    <n v="275"/>
    <n v="15744.8"/>
    <n v="7048"/>
    <n v="437421"/>
    <n v="-0.8362110826782716"/>
    <n v="250"/>
  </r>
  <r>
    <s v="CAMP0033"/>
    <x v="3"/>
    <d v="2024-05-12T00:00:00"/>
    <d v="2024-01-10T00:00:00"/>
    <x v="2"/>
    <n v="16272.8"/>
    <n v="1517"/>
    <n v="480"/>
    <n v="88244.47"/>
    <n v="5855"/>
    <n v="152756"/>
    <n v="442.28202890713339"/>
    <n v="123"/>
  </r>
  <r>
    <s v="CAMP0024"/>
    <x v="14"/>
    <d v="2024-10-02T00:00:00"/>
    <d v="2024-01-03T00:00:00"/>
    <x v="2"/>
    <n v="1153.9000000000001"/>
    <n v="1392"/>
    <n v="489"/>
    <n v="96459.86"/>
    <n v="3702"/>
    <n v="486077"/>
    <n v="8259.4644249935009"/>
    <n v="273"/>
  </r>
  <r>
    <s v="CAMP0075"/>
    <x v="8"/>
    <d v="2024-09-20T00:00:00"/>
    <d v="2024-01-07T00:00:00"/>
    <x v="2"/>
    <n v="9537.93"/>
    <n v="1514"/>
    <n v="251"/>
    <n v="186068.33"/>
    <n v="5162"/>
    <n v="452127"/>
    <n v="1850.8250742037314"/>
    <n v="257"/>
  </r>
  <r>
    <s v="CAMP0072"/>
    <x v="8"/>
    <d v="2024-06-19T00:00:00"/>
    <d v="2024-01-05T00:00:00"/>
    <x v="0"/>
    <n v="43894.879999999997"/>
    <n v="1165"/>
    <n v="23"/>
    <n v="130011.79"/>
    <n v="8171"/>
    <n v="492294"/>
    <n v="196.18896326860903"/>
    <n v="166"/>
  </r>
  <r>
    <s v="CAMP0036"/>
    <x v="6"/>
    <d v="2024-01-01T00:00:00"/>
    <d v="2024-01-06T00:00:00"/>
    <x v="3"/>
    <n v="22645.58"/>
    <n v="228"/>
    <n v="350"/>
    <n v="65772.320000000007"/>
    <n v="7344"/>
    <n v="112573"/>
    <n v="190.44219666707588"/>
    <n v="5"/>
  </r>
  <r>
    <s v="CAMP0038"/>
    <x v="14"/>
    <d v="2024-11-08T00:00:00"/>
    <d v="2024-01-04T00:00:00"/>
    <x v="3"/>
    <n v="49227.49"/>
    <n v="1129"/>
    <n v="440"/>
    <n v="107437.06"/>
    <n v="6472"/>
    <n v="276236"/>
    <n v="118.24606535900976"/>
    <n v="309"/>
  </r>
  <r>
    <s v="CAMP0084"/>
    <x v="10"/>
    <d v="2024-03-04T00:00:00"/>
    <d v="2024-01-11T00:00:00"/>
    <x v="2"/>
    <n v="20389.689999999999"/>
    <n v="1228"/>
    <n v="30"/>
    <n v="17880.79"/>
    <n v="7205"/>
    <n v="359062"/>
    <n v="-12.304748134964278"/>
    <n v="53"/>
  </r>
  <r>
    <s v="CAMP0099"/>
    <x v="9"/>
    <d v="2024-10-10T00:00:00"/>
    <d v="2024-01-05T00:00:00"/>
    <x v="2"/>
    <n v="36044.14"/>
    <n v="1745"/>
    <n v="221"/>
    <n v="194650.81"/>
    <n v="3681"/>
    <n v="433986"/>
    <n v="440.03455207975549"/>
    <n v="279"/>
  </r>
  <r>
    <s v="CAMP0089"/>
    <x v="13"/>
    <d v="2024-04-30T00:00:00"/>
    <d v="2024-01-04T00:00:00"/>
    <x v="3"/>
    <n v="14814.03"/>
    <n v="160"/>
    <n v="158"/>
    <n v="75211.679999999993"/>
    <n v="2862"/>
    <n v="26457"/>
    <n v="407.70573571134923"/>
    <n v="117"/>
  </r>
  <r>
    <s v="CAMP0099"/>
    <x v="7"/>
    <d v="2024-04-16T00:00:00"/>
    <d v="2024-01-11T00:00:00"/>
    <x v="0"/>
    <n v="18826.669999999998"/>
    <n v="186"/>
    <n v="158"/>
    <n v="98184.13"/>
    <n v="672"/>
    <n v="334811"/>
    <n v="421.51617891002502"/>
    <n v="96"/>
  </r>
  <r>
    <s v="CAMP0025"/>
    <x v="3"/>
    <d v="2024-06-23T00:00:00"/>
    <d v="2024-01-09T00:00:00"/>
    <x v="1"/>
    <n v="10345.57"/>
    <n v="281"/>
    <n v="178"/>
    <n v="74280.37"/>
    <n v="7805"/>
    <n v="353895"/>
    <n v="617.99204877063323"/>
    <n v="166"/>
  </r>
  <r>
    <s v="CAMP0093"/>
    <x v="1"/>
    <d v="2024-07-22T00:00:00"/>
    <d v="2024-01-08T00:00:00"/>
    <x v="1"/>
    <n v="18006.060000000001"/>
    <n v="1041"/>
    <n v="96"/>
    <n v="138089.79"/>
    <n v="714"/>
    <n v="63894"/>
    <n v="666.90730787301607"/>
    <n v="196"/>
  </r>
  <r>
    <s v="CAMP0018"/>
    <x v="9"/>
    <d v="2024-06-13T00:00:00"/>
    <d v="2024-01-03T00:00:00"/>
    <x v="3"/>
    <n v="27814.639999999999"/>
    <n v="517"/>
    <n v="437"/>
    <n v="134135.26999999999"/>
    <n v="4150"/>
    <n v="62305"/>
    <n v="382.24701092661991"/>
    <n v="162"/>
  </r>
  <r>
    <s v="CAMP0082"/>
    <x v="13"/>
    <d v="2024-10-31T00:00:00"/>
    <d v="2024-01-07T00:00:00"/>
    <x v="2"/>
    <n v="49596.87"/>
    <n v="781"/>
    <n v="342"/>
    <n v="144487.85"/>
    <n v="425"/>
    <n v="144684"/>
    <n v="191.32453318122697"/>
    <n v="298"/>
  </r>
  <r>
    <s v="CAMP0066"/>
    <x v="5"/>
    <d v="2024-04-29T00:00:00"/>
    <d v="2024-01-05T00:00:00"/>
    <x v="2"/>
    <n v="33545.879999999997"/>
    <n v="530"/>
    <n v="484"/>
    <n v="57287.93"/>
    <n v="3840"/>
    <n v="234913"/>
    <n v="70.774861175202446"/>
    <n v="115"/>
  </r>
  <r>
    <s v="CAMP0054"/>
    <x v="2"/>
    <d v="2024-02-13T00:00:00"/>
    <d v="2024-01-03T00:00:00"/>
    <x v="0"/>
    <n v="10763.05"/>
    <n v="1141"/>
    <n v="185"/>
    <n v="66555.350000000006"/>
    <n v="458"/>
    <n v="210699"/>
    <n v="518.3688638443565"/>
    <n v="41"/>
  </r>
  <r>
    <s v="CAMP0035"/>
    <x v="1"/>
    <d v="2024-11-07T00:00:00"/>
    <d v="2024-01-06T00:00:00"/>
    <x v="1"/>
    <n v="3203.11"/>
    <n v="863"/>
    <n v="135"/>
    <n v="29423.99"/>
    <n v="3877"/>
    <n v="494855"/>
    <n v="818.60691640312075"/>
    <n v="306"/>
  </r>
  <r>
    <s v="CAMP0080"/>
    <x v="8"/>
    <d v="2024-06-04T00:00:00"/>
    <d v="2024-01-04T00:00:00"/>
    <x v="0"/>
    <n v="7191.47"/>
    <n v="1322"/>
    <n v="454"/>
    <n v="132824.44"/>
    <n v="6006"/>
    <n v="431305"/>
    <n v="1746.9720377057818"/>
    <n v="152"/>
  </r>
  <r>
    <s v="CAMP0061"/>
    <x v="1"/>
    <d v="2024-07-25T00:00:00"/>
    <d v="2024-01-04T00:00:00"/>
    <x v="1"/>
    <n v="28565.200000000001"/>
    <n v="1043"/>
    <n v="485"/>
    <n v="12760.44"/>
    <n v="1821"/>
    <n v="489511"/>
    <n v="-55.328721661322163"/>
    <n v="203"/>
  </r>
  <r>
    <s v="CAMP0041"/>
    <x v="7"/>
    <d v="2024-04-17T00:00:00"/>
    <d v="2024-01-05T00:00:00"/>
    <x v="3"/>
    <n v="38492.86"/>
    <n v="372"/>
    <n v="302"/>
    <n v="121548.06"/>
    <n v="1449"/>
    <n v="315281"/>
    <n v="215.76780732842403"/>
    <n v="103"/>
  </r>
  <r>
    <s v="CAMP0100"/>
    <x v="8"/>
    <d v="2024-09-07T00:00:00"/>
    <d v="2024-01-10T00:00:00"/>
    <x v="1"/>
    <n v="47080.54"/>
    <n v="971"/>
    <n v="279"/>
    <n v="174590.7"/>
    <n v="3796"/>
    <n v="1559"/>
    <n v="270.83410683055035"/>
    <n v="241"/>
  </r>
  <r>
    <s v="CAMP0033"/>
    <x v="7"/>
    <d v="2024-11-29T00:00:00"/>
    <d v="2024-01-10T00:00:00"/>
    <x v="0"/>
    <n v="1775.34"/>
    <n v="953"/>
    <n v="277"/>
    <n v="178712.27"/>
    <n v="3996"/>
    <n v="329393"/>
    <n v="9966.3686955738049"/>
    <n v="324"/>
  </r>
  <r>
    <s v="CAMP0068"/>
    <x v="6"/>
    <d v="2024-05-09T00:00:00"/>
    <d v="2024-01-09T00:00:00"/>
    <x v="0"/>
    <n v="26615.25"/>
    <n v="1591"/>
    <n v="496"/>
    <n v="92562.36"/>
    <n v="4360"/>
    <n v="38361"/>
    <n v="247.77941217910785"/>
    <n v="121"/>
  </r>
  <r>
    <s v="CAMP0033"/>
    <x v="10"/>
    <d v="2024-10-19T00:00:00"/>
    <d v="2024-01-08T00:00:00"/>
    <x v="0"/>
    <n v="24072.5"/>
    <n v="1865"/>
    <n v="421"/>
    <n v="94564.22"/>
    <n v="9888"/>
    <n v="343864"/>
    <n v="292.83090663620317"/>
    <n v="285"/>
  </r>
  <r>
    <s v="CAMP0014"/>
    <x v="7"/>
    <d v="2024-01-20T00:00:00"/>
    <d v="2024-01-11T00:00:00"/>
    <x v="3"/>
    <n v="33146.699999999997"/>
    <n v="1505"/>
    <n v="80"/>
    <n v="20008.990000000002"/>
    <n v="9919"/>
    <n v="278405"/>
    <n v="-39.635046626059292"/>
    <n v="9"/>
  </r>
  <r>
    <s v="CAMP0021"/>
    <x v="8"/>
    <d v="2024-10-08T00:00:00"/>
    <d v="2024-01-06T00:00:00"/>
    <x v="1"/>
    <n v="28419.360000000001"/>
    <n v="1560"/>
    <n v="181"/>
    <n v="135799.18"/>
    <n v="7041"/>
    <n v="283516"/>
    <n v="377.84038767938472"/>
    <n v="276"/>
  </r>
  <r>
    <s v="CAMP0048"/>
    <x v="6"/>
    <d v="2024-10-11T00:00:00"/>
    <d v="2024-01-03T00:00:00"/>
    <x v="1"/>
    <n v="34664.92"/>
    <n v="655"/>
    <n v="188"/>
    <n v="165145.59"/>
    <n v="3908"/>
    <n v="318499"/>
    <n v="376.40551312393046"/>
    <n v="282"/>
  </r>
  <r>
    <s v="CAMP0020"/>
    <x v="7"/>
    <d v="2024-01-01T00:00:00"/>
    <d v="2024-01-10T00:00:00"/>
    <x v="0"/>
    <n v="33246.050000000003"/>
    <n v="478"/>
    <n v="323"/>
    <n v="52707.74"/>
    <n v="5346"/>
    <n v="229748"/>
    <n v="58.538352676483349"/>
    <n v="9"/>
  </r>
  <r>
    <s v="CAMP0008"/>
    <x v="5"/>
    <d v="2024-04-28T00:00:00"/>
    <d v="2024-01-09T00:00:00"/>
    <x v="1"/>
    <n v="6733.57"/>
    <n v="1342"/>
    <n v="135"/>
    <n v="87153.67"/>
    <n v="8484"/>
    <n v="361704"/>
    <n v="1194.3159423604418"/>
    <n v="110"/>
  </r>
  <r>
    <s v="CAMP0007"/>
    <x v="1"/>
    <d v="2024-02-04T00:00:00"/>
    <d v="2024-01-09T00:00:00"/>
    <x v="2"/>
    <n v="40186.18"/>
    <n v="1782"/>
    <n v="367"/>
    <n v="168573.67"/>
    <n v="3945"/>
    <n v="189992"/>
    <n v="319.48169743926894"/>
    <n v="26"/>
  </r>
  <r>
    <s v="CAMP0067"/>
    <x v="10"/>
    <d v="2024-07-16T00:00:00"/>
    <d v="2024-01-05T00:00:00"/>
    <x v="2"/>
    <n v="7038.4"/>
    <n v="1610"/>
    <n v="53"/>
    <n v="176038.49"/>
    <n v="2677"/>
    <n v="244950"/>
    <n v="2401.1151682200502"/>
    <n v="193"/>
  </r>
  <r>
    <s v="CAMP0017"/>
    <x v="7"/>
    <d v="2024-09-01T00:00:00"/>
    <d v="2024-01-06T00:00:00"/>
    <x v="2"/>
    <n v="35228"/>
    <n v="197"/>
    <n v="59"/>
    <n v="52420.1"/>
    <n v="191"/>
    <n v="426760"/>
    <n v="48.802373112297033"/>
    <n v="239"/>
  </r>
  <r>
    <s v="CAMP0033"/>
    <x v="6"/>
    <d v="2024-02-28T00:00:00"/>
    <d v="2024-01-11T00:00:00"/>
    <x v="1"/>
    <n v="21391.119999999999"/>
    <n v="1191"/>
    <n v="158"/>
    <n v="112361.27"/>
    <n v="4334"/>
    <n v="1037"/>
    <n v="425.27062631596675"/>
    <n v="48"/>
  </r>
  <r>
    <s v="CAMP0048"/>
    <x v="11"/>
    <d v="2024-11-20T00:00:00"/>
    <d v="2024-01-08T00:00:00"/>
    <x v="3"/>
    <n v="26178.69"/>
    <n v="899"/>
    <n v="359"/>
    <n v="42536.160000000003"/>
    <n v="8772"/>
    <n v="175104"/>
    <n v="62.483913442574881"/>
    <n v="317"/>
  </r>
  <r>
    <s v="CAMP0076"/>
    <x v="9"/>
    <d v="2024-06-09T00:00:00"/>
    <d v="2024-01-07T00:00:00"/>
    <x v="3"/>
    <n v="45261.599999999999"/>
    <n v="416"/>
    <n v="204"/>
    <n v="24866.36"/>
    <n v="6692"/>
    <n v="472449"/>
    <n v="-45.060802092723193"/>
    <n v="154"/>
  </r>
  <r>
    <s v="CAMP0059"/>
    <x v="0"/>
    <d v="2024-06-27T00:00:00"/>
    <d v="2024-01-05T00:00:00"/>
    <x v="3"/>
    <n v="44604.3"/>
    <n v="899"/>
    <n v="312"/>
    <n v="182668.5"/>
    <n v="8228"/>
    <n v="304564"/>
    <n v="309.53114385832754"/>
    <n v="174"/>
  </r>
  <r>
    <s v="CAMP0086"/>
    <x v="13"/>
    <d v="2024-07-24T00:00:00"/>
    <d v="2024-01-11T00:00:00"/>
    <x v="3"/>
    <n v="41074.959999999999"/>
    <n v="1139"/>
    <n v="360"/>
    <n v="164998.96"/>
    <n v="1175"/>
    <n v="98243"/>
    <n v="301.70205886992949"/>
    <n v="195"/>
  </r>
  <r>
    <s v="CAMP0022"/>
    <x v="0"/>
    <d v="2024-01-12T00:00:00"/>
    <d v="2024-01-07T00:00:00"/>
    <x v="2"/>
    <n v="25997.27"/>
    <n v="862"/>
    <n v="377"/>
    <n v="153206.81"/>
    <n v="2613"/>
    <n v="485768"/>
    <n v="489.31884001666327"/>
    <n v="5"/>
  </r>
  <r>
    <s v="CAMP0030"/>
    <x v="11"/>
    <d v="2024-10-02T00:00:00"/>
    <d v="2024-01-07T00:00:00"/>
    <x v="2"/>
    <n v="37075.75"/>
    <n v="1443"/>
    <n v="122"/>
    <n v="14509.43"/>
    <n v="8268"/>
    <n v="130380"/>
    <n v="-60.865444394246914"/>
    <n v="269"/>
  </r>
  <r>
    <s v="CAMP0038"/>
    <x v="0"/>
    <d v="2024-06-29T00:00:00"/>
    <d v="2024-01-06T00:00:00"/>
    <x v="0"/>
    <n v="26131.96"/>
    <n v="224"/>
    <n v="267"/>
    <n v="169527.11"/>
    <n v="6961"/>
    <n v="259430"/>
    <n v="548.73476769442482"/>
    <n v="175"/>
  </r>
  <r>
    <s v="CAMP0051"/>
    <x v="11"/>
    <d v="2024-08-29T00:00:00"/>
    <d v="2024-01-06T00:00:00"/>
    <x v="1"/>
    <n v="43610.7"/>
    <n v="1904"/>
    <n v="50"/>
    <n v="90418.59"/>
    <n v="9090"/>
    <n v="35600"/>
    <n v="107.33120541518481"/>
    <n v="236"/>
  </r>
  <r>
    <s v="CAMP0054"/>
    <x v="3"/>
    <d v="2024-08-03T00:00:00"/>
    <d v="2024-01-03T00:00:00"/>
    <x v="1"/>
    <n v="20736.02"/>
    <n v="637"/>
    <n v="306"/>
    <n v="71767.05"/>
    <n v="704"/>
    <n v="180357"/>
    <n v="246.09847984328718"/>
    <n v="213"/>
  </r>
  <r>
    <s v="CAMP0008"/>
    <x v="11"/>
    <d v="2024-09-07T00:00:00"/>
    <d v="2024-01-09T00:00:00"/>
    <x v="3"/>
    <n v="48541.53"/>
    <n v="544"/>
    <n v="360"/>
    <n v="111562.89"/>
    <n v="3079"/>
    <n v="194080"/>
    <n v="129.82977668812666"/>
    <n v="242"/>
  </r>
  <r>
    <s v="CAMP0027"/>
    <x v="11"/>
    <d v="2024-10-25T00:00:00"/>
    <d v="2024-01-11T00:00:00"/>
    <x v="2"/>
    <n v="46683.82"/>
    <n v="1022"/>
    <n v="404"/>
    <n v="22813.88"/>
    <n v="7240"/>
    <n v="352664"/>
    <n v="-51.131077105515352"/>
    <n v="288"/>
  </r>
  <r>
    <s v="CAMP0027"/>
    <x v="4"/>
    <d v="2024-05-05T00:00:00"/>
    <d v="2024-01-05T00:00:00"/>
    <x v="3"/>
    <n v="37338.53"/>
    <n v="1187"/>
    <n v="412"/>
    <n v="152546.07999999999"/>
    <n v="7165"/>
    <n v="268311"/>
    <n v="308.54870290822907"/>
    <n v="121"/>
  </r>
  <r>
    <s v="CAMP0098"/>
    <x v="11"/>
    <d v="2024-08-04T00:00:00"/>
    <d v="2024-01-04T00:00:00"/>
    <x v="0"/>
    <n v="14691.38"/>
    <n v="1184"/>
    <n v="193"/>
    <n v="118574.84"/>
    <n v="5016"/>
    <n v="258351"/>
    <n v="707.10484651543959"/>
    <n v="213"/>
  </r>
  <r>
    <s v="CAMP0021"/>
    <x v="5"/>
    <d v="2024-11-01T00:00:00"/>
    <d v="2024-01-05T00:00:00"/>
    <x v="1"/>
    <n v="7451.03"/>
    <n v="1834"/>
    <n v="314"/>
    <n v="41385.07"/>
    <n v="6900"/>
    <n v="1432"/>
    <n v="455.42750465371904"/>
    <n v="301"/>
  </r>
  <r>
    <s v="CAMP0030"/>
    <x v="9"/>
    <d v="2024-10-11T00:00:00"/>
    <d v="2024-01-03T00:00:00"/>
    <x v="1"/>
    <n v="42880.47"/>
    <n v="1512"/>
    <n v="322"/>
    <n v="41705.279999999999"/>
    <n v="697"/>
    <n v="262550"/>
    <n v="-2.7406182814694016"/>
    <n v="282"/>
  </r>
  <r>
    <s v="CAMP0097"/>
    <x v="2"/>
    <d v="2024-07-03T00:00:00"/>
    <d v="2024-01-08T00:00:00"/>
    <x v="3"/>
    <n v="9099.81"/>
    <n v="1788"/>
    <n v="133"/>
    <n v="40928.49"/>
    <n v="9824"/>
    <n v="70687"/>
    <n v="349.77301723882152"/>
    <n v="177"/>
  </r>
  <r>
    <s v="CAMP0028"/>
    <x v="7"/>
    <d v="2024-02-08T00:00:00"/>
    <d v="2024-01-09T00:00:00"/>
    <x v="0"/>
    <n v="42858.78"/>
    <n v="1220"/>
    <n v="53"/>
    <n v="16115.47"/>
    <n v="7420"/>
    <n v="245288"/>
    <n v="-62.39867303735663"/>
    <n v="30"/>
  </r>
  <r>
    <s v="CAMP0064"/>
    <x v="13"/>
    <d v="2024-08-10T00:00:00"/>
    <d v="2024-01-04T00:00:00"/>
    <x v="1"/>
    <n v="25047.49"/>
    <n v="84"/>
    <n v="29"/>
    <n v="119620.7"/>
    <n v="8805"/>
    <n v="335091"/>
    <n v="377.57559739518803"/>
    <n v="219"/>
  </r>
  <r>
    <s v="CAMP0097"/>
    <x v="10"/>
    <d v="2024-07-02T00:00:00"/>
    <d v="2024-01-10T00:00:00"/>
    <x v="0"/>
    <n v="20921.28"/>
    <n v="1048"/>
    <n v="270"/>
    <n v="168867.89"/>
    <n v="5722"/>
    <n v="359468"/>
    <n v="707.1585008183057"/>
    <n v="174"/>
  </r>
  <r>
    <s v="CAMP0069"/>
    <x v="9"/>
    <d v="2024-06-26T00:00:00"/>
    <d v="2024-01-08T00:00:00"/>
    <x v="0"/>
    <n v="45256.35"/>
    <n v="1382"/>
    <n v="122"/>
    <n v="8412.15"/>
    <n v="1977"/>
    <n v="314047"/>
    <n v="-81.412221710323522"/>
    <n v="170"/>
  </r>
  <r>
    <s v="CAMP0061"/>
    <x v="8"/>
    <d v="2024-10-20T00:00:00"/>
    <d v="2024-01-06T00:00:00"/>
    <x v="3"/>
    <n v="30588.7"/>
    <n v="587"/>
    <n v="468"/>
    <n v="14555.91"/>
    <n v="1799"/>
    <n v="486375"/>
    <n v="-52.414094093570505"/>
    <n v="288"/>
  </r>
  <r>
    <s v="CAMP0048"/>
    <x v="2"/>
    <d v="2024-12-05T00:00:00"/>
    <d v="2024-01-07T00:00:00"/>
    <x v="2"/>
    <n v="29254.09"/>
    <n v="799"/>
    <n v="148"/>
    <n v="116690.2"/>
    <n v="9321"/>
    <n v="186221"/>
    <n v="298.88507897528177"/>
    <n v="333"/>
  </r>
  <r>
    <s v="CAMP0019"/>
    <x v="3"/>
    <d v="2024-05-30T00:00:00"/>
    <d v="2024-01-10T00:00:00"/>
    <x v="3"/>
    <n v="28379.53"/>
    <n v="1087"/>
    <n v="446"/>
    <n v="164801.66"/>
    <n v="5880"/>
    <n v="219712"/>
    <n v="480.70609344129377"/>
    <n v="141"/>
  </r>
  <r>
    <s v="CAMP0004"/>
    <x v="3"/>
    <d v="2024-05-05T00:00:00"/>
    <d v="2024-01-05T00:00:00"/>
    <x v="2"/>
    <n v="19187.310000000001"/>
    <n v="423"/>
    <n v="204"/>
    <n v="68714.080000000002"/>
    <n v="816"/>
    <n v="188840"/>
    <n v="258.1225299429675"/>
    <n v="121"/>
  </r>
  <r>
    <s v="CAMP0035"/>
    <x v="12"/>
    <d v="2024-10-27T00:00:00"/>
    <d v="2024-01-05T00:00:00"/>
    <x v="0"/>
    <n v="39496.51"/>
    <n v="606"/>
    <n v="161"/>
    <n v="73174.81"/>
    <n v="4186"/>
    <n v="454400"/>
    <n v="85.269052885938507"/>
    <n v="296"/>
  </r>
  <r>
    <s v="CAMP0064"/>
    <x v="1"/>
    <d v="2024-11-03T00:00:00"/>
    <d v="2024-01-06T00:00:00"/>
    <x v="2"/>
    <n v="13387.12"/>
    <n v="1501"/>
    <n v="491"/>
    <n v="121287.57"/>
    <n v="765"/>
    <n v="328936"/>
    <n v="806.00196308093166"/>
    <n v="302"/>
  </r>
  <r>
    <s v="CAMP0049"/>
    <x v="11"/>
    <d v="2024-12-01T00:00:00"/>
    <d v="2024-01-03T00:00:00"/>
    <x v="0"/>
    <n v="47005.85"/>
    <n v="1801"/>
    <n v="352"/>
    <n v="58471.51"/>
    <n v="7946"/>
    <n v="296583"/>
    <n v="24.391985252899381"/>
    <n v="333"/>
  </r>
  <r>
    <s v="CAMP0017"/>
    <x v="9"/>
    <d v="2024-08-21T00:00:00"/>
    <d v="2024-01-11T00:00:00"/>
    <x v="1"/>
    <n v="44805.279999999999"/>
    <n v="282"/>
    <n v="138"/>
    <n v="10188.629999999999"/>
    <n v="6711"/>
    <n v="165329"/>
    <n v="-77.260202369006521"/>
    <n v="223"/>
  </r>
  <r>
    <s v="CAMP0044"/>
    <x v="6"/>
    <d v="2024-01-08T00:00:00"/>
    <d v="2024-01-10T00:00:00"/>
    <x v="1"/>
    <n v="17536.54"/>
    <n v="754"/>
    <n v="404"/>
    <n v="148369.56"/>
    <n v="1179"/>
    <n v="499409"/>
    <n v="746.0594849383059"/>
    <n v="2"/>
  </r>
  <r>
    <s v="CAMP0092"/>
    <x v="4"/>
    <d v="2024-12-06T00:00:00"/>
    <d v="2024-01-10T00:00:00"/>
    <x v="1"/>
    <n v="36743.72"/>
    <n v="612"/>
    <n v="152"/>
    <n v="127001.73"/>
    <n v="8519"/>
    <n v="176746"/>
    <n v="245.6420035859189"/>
    <n v="331"/>
  </r>
  <r>
    <s v="CAMP0030"/>
    <x v="0"/>
    <d v="2024-05-08T00:00:00"/>
    <d v="2024-01-08T00:00:00"/>
    <x v="3"/>
    <n v="29087.94"/>
    <n v="988"/>
    <n v="340"/>
    <n v="118247.42"/>
    <n v="8440"/>
    <n v="314392"/>
    <n v="306.51699639094414"/>
    <n v="121"/>
  </r>
  <r>
    <s v="CAMP0093"/>
    <x v="8"/>
    <d v="2024-09-20T00:00:00"/>
    <d v="2024-01-09T00:00:00"/>
    <x v="3"/>
    <n v="17544.82"/>
    <n v="936"/>
    <n v="75"/>
    <n v="149628.41"/>
    <n v="1169"/>
    <n v="477818"/>
    <n v="752.83525279826188"/>
    <n v="255"/>
  </r>
  <r>
    <s v="CAMP0046"/>
    <x v="3"/>
    <d v="2024-06-05T00:00:00"/>
    <d v="2024-01-08T00:00:00"/>
    <x v="0"/>
    <n v="49437.56"/>
    <n v="775"/>
    <n v="237"/>
    <n v="136670.01"/>
    <n v="5363"/>
    <n v="177443"/>
    <n v="176.44974792445259"/>
    <n v="149"/>
  </r>
  <r>
    <s v="CAMP0006"/>
    <x v="13"/>
    <d v="2024-12-17T00:00:00"/>
    <d v="2024-01-11T00:00:00"/>
    <x v="1"/>
    <n v="2236.63"/>
    <n v="1736"/>
    <n v="338"/>
    <n v="45146.99"/>
    <n v="8051"/>
    <n v="230354"/>
    <n v="1918.5274274242947"/>
    <n v="341"/>
  </r>
  <r>
    <s v="CAMP0099"/>
    <x v="3"/>
    <d v="2024-12-23T00:00:00"/>
    <d v="2024-01-05T00:00:00"/>
    <x v="3"/>
    <n v="13379.66"/>
    <n v="1513"/>
    <n v="303"/>
    <n v="73733.8"/>
    <n v="1463"/>
    <n v="462212"/>
    <n v="451.08874216534656"/>
    <n v="353"/>
  </r>
  <r>
    <s v="CAMP0037"/>
    <x v="10"/>
    <d v="2024-01-05T00:00:00"/>
    <d v="2024-01-05T00:00:00"/>
    <x v="1"/>
    <n v="26483.63"/>
    <n v="1575"/>
    <n v="158"/>
    <n v="29591.48"/>
    <n v="4608"/>
    <n v="169369"/>
    <n v="11.734984969960681"/>
    <n v="0"/>
  </r>
  <r>
    <s v="CAMP0024"/>
    <x v="7"/>
    <d v="2024-03-26T00:00:00"/>
    <d v="2024-01-05T00:00:00"/>
    <x v="3"/>
    <n v="26575.7"/>
    <n v="1348"/>
    <n v="94"/>
    <n v="30322.12"/>
    <n v="1855"/>
    <n v="448489"/>
    <n v="14.097163950526227"/>
    <n v="81"/>
  </r>
  <r>
    <s v="CAMP0093"/>
    <x v="3"/>
    <d v="2024-06-23T00:00:00"/>
    <d v="2024-01-05T00:00:00"/>
    <x v="2"/>
    <n v="29857.72"/>
    <n v="1923"/>
    <n v="338"/>
    <n v="136858.17000000001"/>
    <n v="619"/>
    <n v="455472"/>
    <n v="358.36778561792397"/>
    <n v="170"/>
  </r>
  <r>
    <s v="CAMP0046"/>
    <x v="10"/>
    <d v="2024-10-16T00:00:00"/>
    <d v="2024-01-11T00:00:00"/>
    <x v="2"/>
    <n v="37832.129999999997"/>
    <n v="125"/>
    <n v="203"/>
    <n v="172427.02"/>
    <n v="5563"/>
    <n v="35743"/>
    <n v="355.76873414211673"/>
    <n v="279"/>
  </r>
  <r>
    <s v="CAMP0053"/>
    <x v="9"/>
    <d v="2024-07-11T00:00:00"/>
    <d v="2024-01-06T00:00:00"/>
    <x v="1"/>
    <n v="31550.41"/>
    <n v="488"/>
    <n v="165"/>
    <n v="192732.85"/>
    <n v="7333"/>
    <n v="200824"/>
    <n v="510.87272716899719"/>
    <n v="187"/>
  </r>
  <r>
    <s v="CAMP0095"/>
    <x v="9"/>
    <d v="2024-11-06T00:00:00"/>
    <d v="2024-01-09T00:00:00"/>
    <x v="0"/>
    <n v="30413.79"/>
    <n v="1805"/>
    <n v="30"/>
    <n v="127527.69"/>
    <n v="1202"/>
    <n v="80803"/>
    <n v="319.30877407912658"/>
    <n v="302"/>
  </r>
  <r>
    <s v="CAMP0099"/>
    <x v="4"/>
    <d v="2024-04-28T00:00:00"/>
    <d v="2024-01-11T00:00:00"/>
    <x v="3"/>
    <n v="3622.21"/>
    <n v="1933"/>
    <n v="125"/>
    <n v="40899.760000000002"/>
    <n v="697"/>
    <n v="338261"/>
    <n v="1029.1382885034275"/>
    <n v="108"/>
  </r>
  <r>
    <s v="CAMP0060"/>
    <x v="1"/>
    <d v="2024-08-05T00:00:00"/>
    <d v="2024-01-09T00:00:00"/>
    <x v="3"/>
    <n v="19449.98"/>
    <n v="748"/>
    <n v="305"/>
    <n v="25601.82"/>
    <n v="3373"/>
    <n v="202123"/>
    <n v="31.629029952730033"/>
    <n v="209"/>
  </r>
  <r>
    <s v="CAMP0097"/>
    <x v="12"/>
    <d v="2024-04-23T00:00:00"/>
    <d v="2024-01-11T00:00:00"/>
    <x v="2"/>
    <n v="12370.73"/>
    <n v="1362"/>
    <n v="216"/>
    <n v="163505.94"/>
    <n v="5881"/>
    <n v="23076"/>
    <n v="1221.7161800475801"/>
    <n v="103"/>
  </r>
  <r>
    <s v="CAMP0063"/>
    <x v="2"/>
    <d v="2024-05-24T00:00:00"/>
    <d v="2024-01-05T00:00:00"/>
    <x v="2"/>
    <n v="14003.14"/>
    <n v="964"/>
    <n v="67"/>
    <n v="117857.51"/>
    <n v="6356"/>
    <n v="242424"/>
    <n v="741.65058693978642"/>
    <n v="140"/>
  </r>
  <r>
    <s v="CAMP0085"/>
    <x v="3"/>
    <d v="2024-01-26T00:00:00"/>
    <d v="2024-01-06T00:00:00"/>
    <x v="0"/>
    <n v="28162.54"/>
    <n v="1613"/>
    <n v="455"/>
    <n v="125565.58"/>
    <n v="7358"/>
    <n v="207384"/>
    <n v="345.86028106839797"/>
    <n v="20"/>
  </r>
  <r>
    <s v="CAMP0032"/>
    <x v="13"/>
    <d v="2024-05-15T00:00:00"/>
    <d v="2024-01-10T00:00:00"/>
    <x v="0"/>
    <n v="10775.76"/>
    <n v="940"/>
    <n v="440"/>
    <n v="157385.10999999999"/>
    <n v="8880"/>
    <n v="251699"/>
    <n v="1360.5476551073889"/>
    <n v="126"/>
  </r>
  <r>
    <s v="CAMP0087"/>
    <x v="3"/>
    <d v="2024-10-29T00:00:00"/>
    <d v="2024-01-08T00:00:00"/>
    <x v="0"/>
    <n v="15403.51"/>
    <n v="741"/>
    <n v="72"/>
    <n v="142139.06"/>
    <n v="6654"/>
    <n v="350627"/>
    <n v="822.77058930075032"/>
    <n v="295"/>
  </r>
  <r>
    <s v="CAMP0033"/>
    <x v="12"/>
    <d v="2024-08-19T00:00:00"/>
    <d v="2024-01-07T00:00:00"/>
    <x v="1"/>
    <n v="12617.15"/>
    <n v="302"/>
    <n v="257"/>
    <n v="167719.35999999999"/>
    <n v="9699"/>
    <n v="135035"/>
    <n v="1229.2967112224235"/>
    <n v="225"/>
  </r>
  <r>
    <s v="CAMP0067"/>
    <x v="14"/>
    <d v="2024-03-16T00:00:00"/>
    <d v="2024-01-06T00:00:00"/>
    <x v="2"/>
    <n v="47476.639999999999"/>
    <n v="1199"/>
    <n v="414"/>
    <n v="15961.71"/>
    <n v="8102"/>
    <n v="382361"/>
    <n v="-66.379865971981161"/>
    <n v="70"/>
  </r>
  <r>
    <s v="CAMP0018"/>
    <x v="13"/>
    <d v="2024-11-23T00:00:00"/>
    <d v="2024-01-10T00:00:00"/>
    <x v="1"/>
    <n v="47288.62"/>
    <n v="1250"/>
    <n v="463"/>
    <n v="150766.51999999999"/>
    <n v="4946"/>
    <n v="466538"/>
    <n v="218.82199142203768"/>
    <n v="318"/>
  </r>
  <r>
    <s v="CAMP0025"/>
    <x v="5"/>
    <d v="2024-12-10T00:00:00"/>
    <d v="2024-01-03T00:00:00"/>
    <x v="2"/>
    <n v="30887.14"/>
    <n v="1110"/>
    <n v="6"/>
    <n v="170916.29"/>
    <n v="9921"/>
    <n v="145938"/>
    <n v="453.35744908722535"/>
    <n v="342"/>
  </r>
  <r>
    <s v="CAMP0095"/>
    <x v="11"/>
    <d v="2024-10-28T00:00:00"/>
    <d v="2024-01-11T00:00:00"/>
    <x v="2"/>
    <n v="46301.599999999999"/>
    <n v="459"/>
    <n v="402"/>
    <n v="60796.33"/>
    <n v="9286"/>
    <n v="367648"/>
    <n v="31.305030495706422"/>
    <n v="291"/>
  </r>
  <r>
    <s v="CAMP0054"/>
    <x v="2"/>
    <d v="2024-10-15T00:00:00"/>
    <d v="2024-01-03T00:00:00"/>
    <x v="3"/>
    <n v="39504.82"/>
    <n v="1684"/>
    <n v="112"/>
    <n v="129887.22"/>
    <n v="4898"/>
    <n v="164377"/>
    <n v="228.78828456881971"/>
    <n v="286"/>
  </r>
  <r>
    <s v="CAMP0058"/>
    <x v="5"/>
    <d v="2024-01-01T00:00:00"/>
    <d v="2024-01-10T00:00:00"/>
    <x v="2"/>
    <n v="29907.45"/>
    <n v="1683"/>
    <n v="290"/>
    <n v="66261.600000000006"/>
    <n v="6705"/>
    <n v="456619"/>
    <n v="121.55549871353126"/>
    <n v="9"/>
  </r>
  <r>
    <s v="CAMP0067"/>
    <x v="14"/>
    <d v="2024-05-26T00:00:00"/>
    <d v="2024-01-06T00:00:00"/>
    <x v="2"/>
    <n v="1315.33"/>
    <n v="176"/>
    <n v="53"/>
    <n v="191804.36"/>
    <n v="3086"/>
    <n v="214968"/>
    <n v="14482.223472436575"/>
    <n v="141"/>
  </r>
  <r>
    <s v="CAMP0046"/>
    <x v="14"/>
    <d v="2024-10-13T00:00:00"/>
    <d v="2024-01-11T00:00:00"/>
    <x v="1"/>
    <n v="38853.300000000003"/>
    <n v="1556"/>
    <n v="144"/>
    <n v="11517.6"/>
    <n v="500"/>
    <n v="368793"/>
    <n v="-70.356185961038065"/>
    <n v="276"/>
  </r>
  <r>
    <s v="CAMP0024"/>
    <x v="12"/>
    <d v="2024-05-21T00:00:00"/>
    <d v="2024-01-07T00:00:00"/>
    <x v="2"/>
    <n v="35421.93"/>
    <n v="1241"/>
    <n v="222"/>
    <n v="118059.6"/>
    <n v="2955"/>
    <n v="389388"/>
    <n v="233.29522135016362"/>
    <n v="135"/>
  </r>
  <r>
    <s v="CAMP0032"/>
    <x v="3"/>
    <d v="2024-02-22T00:00:00"/>
    <d v="2024-01-05T00:00:00"/>
    <x v="1"/>
    <n v="31147.43"/>
    <n v="641"/>
    <n v="48"/>
    <n v="37468.19"/>
    <n v="3512"/>
    <n v="295957"/>
    <n v="20.293038623090258"/>
    <n v="48"/>
  </r>
  <r>
    <s v="CAMP0047"/>
    <x v="12"/>
    <d v="2024-10-30T00:00:00"/>
    <d v="2024-01-11T00:00:00"/>
    <x v="0"/>
    <n v="38260.79"/>
    <n v="343"/>
    <n v="421"/>
    <n v="143882.94"/>
    <n v="156"/>
    <n v="329873"/>
    <n v="276.05846612158291"/>
    <n v="293"/>
  </r>
  <r>
    <s v="CAMP0086"/>
    <x v="12"/>
    <d v="2024-03-09T00:00:00"/>
    <d v="2024-01-11T00:00:00"/>
    <x v="2"/>
    <n v="26133.19"/>
    <n v="1918"/>
    <n v="273"/>
    <n v="39298.61"/>
    <n v="8122"/>
    <n v="454902"/>
    <n v="50.378158961841258"/>
    <n v="58"/>
  </r>
  <r>
    <s v="CAMP0023"/>
    <x v="14"/>
    <d v="2024-12-26T00:00:00"/>
    <d v="2024-01-06T00:00:00"/>
    <x v="2"/>
    <n v="35500.080000000002"/>
    <n v="1711"/>
    <n v="82"/>
    <n v="50899.74"/>
    <n v="1975"/>
    <n v="267656"/>
    <n v="43.379226187659285"/>
    <n v="355"/>
  </r>
  <r>
    <s v="CAMP0066"/>
    <x v="2"/>
    <d v="2024-03-30T00:00:00"/>
    <d v="2024-01-06T00:00:00"/>
    <x v="1"/>
    <n v="46823.43"/>
    <n v="1416"/>
    <n v="220"/>
    <n v="101402.31"/>
    <n v="4643"/>
    <n v="251703"/>
    <n v="116.56318215047466"/>
    <n v="84"/>
  </r>
  <r>
    <s v="CAMP0027"/>
    <x v="5"/>
    <d v="2024-08-07T00:00:00"/>
    <d v="2024-01-10T00:00:00"/>
    <x v="0"/>
    <n v="19414.45"/>
    <n v="1069"/>
    <n v="386"/>
    <n v="183392.82"/>
    <n v="4398"/>
    <n v="416882"/>
    <n v="844.62021844553931"/>
    <n v="210"/>
  </r>
  <r>
    <s v="CAMP0002"/>
    <x v="0"/>
    <d v="2024-07-10T00:00:00"/>
    <d v="2024-01-04T00:00:00"/>
    <x v="3"/>
    <n v="35697.97"/>
    <n v="359"/>
    <n v="102"/>
    <n v="46284.3"/>
    <n v="3868"/>
    <n v="148702"/>
    <n v="29.655271714329977"/>
    <n v="188"/>
  </r>
  <r>
    <s v="CAMP0090"/>
    <x v="3"/>
    <d v="2024-03-03T00:00:00"/>
    <d v="2024-01-11T00:00:00"/>
    <x v="0"/>
    <n v="24308.7"/>
    <n v="711"/>
    <n v="240"/>
    <n v="33126.800000000003"/>
    <n v="5852"/>
    <n v="118907"/>
    <n v="36.275489845199466"/>
    <n v="52"/>
  </r>
  <r>
    <s v="CAMP0017"/>
    <x v="14"/>
    <d v="2024-03-13T00:00:00"/>
    <d v="2024-01-08T00:00:00"/>
    <x v="1"/>
    <n v="34045.58"/>
    <n v="577"/>
    <n v="286"/>
    <n v="153000.48000000001"/>
    <n v="4933"/>
    <n v="206591"/>
    <n v="349.3989528156078"/>
    <n v="65"/>
  </r>
  <r>
    <s v="CAMP0033"/>
    <x v="5"/>
    <d v="2024-06-09T00:00:00"/>
    <d v="2024-01-11T00:00:00"/>
    <x v="0"/>
    <n v="38381.769999999997"/>
    <n v="589"/>
    <n v="153"/>
    <n v="102620.81"/>
    <n v="1453"/>
    <n v="394852"/>
    <n v="167.36862317709685"/>
    <n v="150"/>
  </r>
  <r>
    <s v="CAMP0009"/>
    <x v="1"/>
    <d v="2024-06-17T00:00:00"/>
    <d v="2024-01-10T00:00:00"/>
    <x v="1"/>
    <n v="3227.17"/>
    <n v="468"/>
    <n v="416"/>
    <n v="182798.1"/>
    <n v="5087"/>
    <n v="397991"/>
    <n v="5564.3467806158333"/>
    <n v="159"/>
  </r>
  <r>
    <s v="CAMP0043"/>
    <x v="0"/>
    <d v="2024-03-29T00:00:00"/>
    <d v="2024-01-09T00:00:00"/>
    <x v="1"/>
    <n v="32683.42"/>
    <n v="493"/>
    <n v="308"/>
    <n v="33589.839999999997"/>
    <n v="6697"/>
    <n v="462173"/>
    <n v="2.7733327785158295"/>
    <n v="80"/>
  </r>
  <r>
    <s v="CAMP0048"/>
    <x v="0"/>
    <d v="2024-06-24T00:00:00"/>
    <d v="2024-01-03T00:00:00"/>
    <x v="3"/>
    <n v="12110.32"/>
    <n v="734"/>
    <n v="488"/>
    <n v="130955.94"/>
    <n v="4411"/>
    <n v="65591"/>
    <n v="981.35821349064281"/>
    <n v="173"/>
  </r>
  <r>
    <s v="CAMP0039"/>
    <x v="9"/>
    <d v="2024-09-25T00:00:00"/>
    <d v="2024-01-05T00:00:00"/>
    <x v="2"/>
    <n v="33831.589999999997"/>
    <n v="1631"/>
    <n v="428"/>
    <n v="50411.43"/>
    <n v="3034"/>
    <n v="210633"/>
    <n v="49.006978389132776"/>
    <n v="264"/>
  </r>
  <r>
    <s v="CAMP0093"/>
    <x v="4"/>
    <d v="2024-03-13T00:00:00"/>
    <d v="2024-01-04T00:00:00"/>
    <x v="1"/>
    <n v="23948.18"/>
    <n v="889"/>
    <n v="70"/>
    <n v="35568.28"/>
    <n v="122"/>
    <n v="469032"/>
    <n v="48.521850094662724"/>
    <n v="69"/>
  </r>
  <r>
    <s v="CAMP0042"/>
    <x v="3"/>
    <d v="2024-09-01T00:00:00"/>
    <d v="2024-01-07T00:00:00"/>
    <x v="1"/>
    <n v="38904.080000000002"/>
    <n v="285"/>
    <n v="238"/>
    <n v="138268.74"/>
    <n v="1309"/>
    <n v="234559"/>
    <n v="255.40935552260837"/>
    <n v="238"/>
  </r>
  <r>
    <s v="CAMP0026"/>
    <x v="0"/>
    <d v="2024-03-17T00:00:00"/>
    <d v="2024-01-07T00:00:00"/>
    <x v="3"/>
    <n v="7046.64"/>
    <n v="1512"/>
    <n v="461"/>
    <n v="120768.5"/>
    <n v="9040"/>
    <n v="274495"/>
    <n v="1613.8451801142103"/>
    <n v="70"/>
  </r>
  <r>
    <s v="CAMP0099"/>
    <x v="14"/>
    <d v="2024-06-07T00:00:00"/>
    <d v="2024-01-07T00:00:00"/>
    <x v="1"/>
    <n v="31689.8"/>
    <n v="263"/>
    <n v="91"/>
    <n v="152191.35"/>
    <n v="904"/>
    <n v="378544"/>
    <n v="380.25342539239756"/>
    <n v="152"/>
  </r>
  <r>
    <s v="CAMP0050"/>
    <x v="9"/>
    <d v="2024-11-19T00:00:00"/>
    <d v="2024-01-06T00:00:00"/>
    <x v="2"/>
    <n v="14645.07"/>
    <n v="134"/>
    <n v="83"/>
    <n v="65345.2"/>
    <n v="8425"/>
    <n v="121533"/>
    <n v="346.19247296189093"/>
    <n v="318"/>
  </r>
  <r>
    <s v="CAMP0025"/>
    <x v="5"/>
    <d v="2024-04-07T00:00:00"/>
    <d v="2024-01-07T00:00:00"/>
    <x v="3"/>
    <n v="42796.12"/>
    <n v="843"/>
    <n v="209"/>
    <n v="92354.47"/>
    <n v="4516"/>
    <n v="104627"/>
    <n v="115.80103523403523"/>
    <n v="91"/>
  </r>
  <r>
    <s v="CAMP0024"/>
    <x v="1"/>
    <d v="2024-04-11T00:00:00"/>
    <d v="2024-01-05T00:00:00"/>
    <x v="2"/>
    <n v="46490.79"/>
    <n v="1817"/>
    <n v="283"/>
    <n v="84066.98"/>
    <n v="8725"/>
    <n v="449400"/>
    <n v="80.825019321031107"/>
    <n v="97"/>
  </r>
  <r>
    <s v="CAMP0013"/>
    <x v="10"/>
    <d v="2024-05-11T00:00:00"/>
    <d v="2024-01-03T00:00:00"/>
    <x v="2"/>
    <n v="49823.519999999997"/>
    <n v="134"/>
    <n v="341"/>
    <n v="196897.45"/>
    <n v="5241"/>
    <n v="129381"/>
    <n v="295.18976178319002"/>
    <n v="129"/>
  </r>
  <r>
    <s v="CAMP0060"/>
    <x v="3"/>
    <d v="2024-04-11T00:00:00"/>
    <d v="2024-01-07T00:00:00"/>
    <x v="3"/>
    <n v="40004.36"/>
    <n v="1994"/>
    <n v="258"/>
    <n v="61988.55"/>
    <n v="5068"/>
    <n v="243264"/>
    <n v="54.954484961139237"/>
    <n v="95"/>
  </r>
  <r>
    <s v="CAMP0007"/>
    <x v="2"/>
    <d v="2024-01-19T00:00:00"/>
    <d v="2024-01-11T00:00:00"/>
    <x v="1"/>
    <n v="37932.97"/>
    <n v="1562"/>
    <n v="308"/>
    <n v="62489.36"/>
    <n v="3771"/>
    <n v="358851"/>
    <n v="64.73627032104261"/>
    <n v="8"/>
  </r>
  <r>
    <s v="CAMP0057"/>
    <x v="12"/>
    <d v="2024-03-22T00:00:00"/>
    <d v="2024-01-11T00:00:00"/>
    <x v="2"/>
    <n v="11559.54"/>
    <n v="114"/>
    <n v="384"/>
    <n v="74136.899999999994"/>
    <n v="7392"/>
    <n v="463396"/>
    <n v="541.3481851353946"/>
    <n v="71"/>
  </r>
  <r>
    <s v="CAMP0036"/>
    <x v="13"/>
    <d v="2024-10-05T00:00:00"/>
    <d v="2024-01-06T00:00:00"/>
    <x v="2"/>
    <n v="17464.349999999999"/>
    <n v="1719"/>
    <n v="134"/>
    <n v="115095.85"/>
    <n v="7101"/>
    <n v="344822"/>
    <n v="559.03311603351972"/>
    <n v="273"/>
  </r>
  <r>
    <s v="CAMP0045"/>
    <x v="13"/>
    <d v="2024-12-04T00:00:00"/>
    <d v="2024-01-05T00:00:00"/>
    <x v="2"/>
    <n v="23818.44"/>
    <n v="712"/>
    <n v="88"/>
    <n v="54202.94"/>
    <n v="2198"/>
    <n v="74309"/>
    <n v="127.5671286616588"/>
    <n v="334"/>
  </r>
  <r>
    <s v="CAMP0020"/>
    <x v="5"/>
    <d v="2024-12-30T00:00:00"/>
    <d v="2024-01-03T00:00:00"/>
    <x v="2"/>
    <n v="38895.67"/>
    <n v="676"/>
    <n v="280"/>
    <n v="183481.54"/>
    <n v="8544"/>
    <n v="226074"/>
    <n v="371.72741850185378"/>
    <n v="362"/>
  </r>
  <r>
    <s v="CAMP0065"/>
    <x v="6"/>
    <d v="2024-11-26T00:00:00"/>
    <d v="2024-01-04T00:00:00"/>
    <x v="3"/>
    <n v="45833.33"/>
    <n v="113"/>
    <n v="191"/>
    <n v="56808.69"/>
    <n v="5161"/>
    <n v="273922"/>
    <n v="23.946241741544856"/>
    <n v="327"/>
  </r>
  <r>
    <s v="CAMP0008"/>
    <x v="6"/>
    <d v="2024-05-08T00:00:00"/>
    <d v="2024-01-10T00:00:00"/>
    <x v="3"/>
    <n v="10267.82"/>
    <n v="1416"/>
    <n v="50"/>
    <n v="179684.07"/>
    <n v="9421"/>
    <n v="144573"/>
    <n v="1649.9729251194508"/>
    <n v="119"/>
  </r>
  <r>
    <s v="CAMP0016"/>
    <x v="5"/>
    <d v="2024-12-09T00:00:00"/>
    <d v="2024-01-03T00:00:00"/>
    <x v="0"/>
    <n v="46196.01"/>
    <n v="988"/>
    <n v="391"/>
    <n v="25177.64"/>
    <n v="3364"/>
    <n v="375857"/>
    <n v="-45.498236752481439"/>
    <n v="341"/>
  </r>
  <r>
    <s v="CAMP0014"/>
    <x v="14"/>
    <d v="2024-11-05T00:00:00"/>
    <d v="2024-01-10T00:00:00"/>
    <x v="0"/>
    <n v="35085.61"/>
    <n v="1948"/>
    <n v="187"/>
    <n v="133029.73000000001"/>
    <n v="5535"/>
    <n v="396324"/>
    <n v="279.1575235545285"/>
    <n v="300"/>
  </r>
  <r>
    <s v="CAMP0076"/>
    <x v="0"/>
    <d v="2024-03-29T00:00:00"/>
    <d v="2024-01-09T00:00:00"/>
    <x v="2"/>
    <n v="30927.77"/>
    <n v="968"/>
    <n v="272"/>
    <n v="181862.18"/>
    <n v="8593"/>
    <n v="489121"/>
    <n v="488.02228547354042"/>
    <n v="80"/>
  </r>
  <r>
    <s v="CAMP0087"/>
    <x v="4"/>
    <d v="2024-07-31T00:00:00"/>
    <d v="2024-01-10T00:00:00"/>
    <x v="1"/>
    <n v="10792.22"/>
    <n v="1425"/>
    <n v="300"/>
    <n v="37906.14"/>
    <n v="6791"/>
    <n v="37382"/>
    <n v="251.23579763941061"/>
    <n v="203"/>
  </r>
  <r>
    <s v="CAMP0015"/>
    <x v="3"/>
    <d v="2024-05-22T00:00:00"/>
    <d v="2024-01-08T00:00:00"/>
    <x v="2"/>
    <n v="3720.73"/>
    <n v="1231"/>
    <n v="326"/>
    <n v="193823.76"/>
    <n v="2863"/>
    <n v="223426"/>
    <n v="5109.2938751266547"/>
    <n v="135"/>
  </r>
  <r>
    <s v="CAMP0092"/>
    <x v="13"/>
    <d v="2024-03-05T00:00:00"/>
    <d v="2024-01-11T00:00:00"/>
    <x v="1"/>
    <n v="28854.78"/>
    <n v="1662"/>
    <n v="104"/>
    <n v="93312.26"/>
    <n v="4105"/>
    <n v="338931"/>
    <n v="223.38579604488405"/>
    <n v="54"/>
  </r>
  <r>
    <s v="CAMP0098"/>
    <x v="13"/>
    <d v="2024-03-16T00:00:00"/>
    <d v="2024-01-05T00:00:00"/>
    <x v="2"/>
    <n v="32924.269999999997"/>
    <n v="540"/>
    <n v="82"/>
    <n v="189414.45"/>
    <n v="3341"/>
    <n v="24341"/>
    <n v="475.30341599069635"/>
    <n v="71"/>
  </r>
  <r>
    <s v="CAMP0066"/>
    <x v="4"/>
    <d v="2024-07-17T00:00:00"/>
    <d v="2024-01-06T00:00:00"/>
    <x v="0"/>
    <n v="11328.29"/>
    <n v="1731"/>
    <n v="276"/>
    <n v="136979.91"/>
    <n v="3157"/>
    <n v="471430"/>
    <n v="1109.1843517424077"/>
    <n v="193"/>
  </r>
  <r>
    <s v="CAMP0032"/>
    <x v="0"/>
    <d v="2024-05-22T00:00:00"/>
    <d v="2024-01-08T00:00:00"/>
    <x v="0"/>
    <n v="28266.35"/>
    <n v="1928"/>
    <n v="343"/>
    <n v="63809.440000000002"/>
    <n v="650"/>
    <n v="146439"/>
    <n v="125.74347236201351"/>
    <n v="135"/>
  </r>
  <r>
    <s v="CAMP0087"/>
    <x v="13"/>
    <d v="2024-11-11T00:00:00"/>
    <d v="2024-01-10T00:00:00"/>
    <x v="1"/>
    <n v="42968.18"/>
    <n v="1536"/>
    <n v="166"/>
    <n v="41718.99"/>
    <n v="5674"/>
    <n v="383111"/>
    <n v="-2.9072443841000535"/>
    <n v="306"/>
  </r>
  <r>
    <s v="CAMP0063"/>
    <x v="12"/>
    <d v="2024-04-02T00:00:00"/>
    <d v="2024-01-07T00:00:00"/>
    <x v="2"/>
    <n v="41918.230000000003"/>
    <n v="1298"/>
    <n v="48"/>
    <n v="64228.33"/>
    <n v="5511"/>
    <n v="227280"/>
    <n v="53.222905642723937"/>
    <n v="86"/>
  </r>
  <r>
    <s v="CAMP0086"/>
    <x v="2"/>
    <d v="2024-10-31T00:00:00"/>
    <d v="2024-01-05T00:00:00"/>
    <x v="1"/>
    <n v="46440.4"/>
    <n v="1990"/>
    <n v="242"/>
    <n v="23138.39"/>
    <n v="1687"/>
    <n v="132066"/>
    <n v="-50.176161273374042"/>
    <n v="300"/>
  </r>
  <r>
    <s v="CAMP0051"/>
    <x v="3"/>
    <d v="2024-08-11T00:00:00"/>
    <d v="2024-01-08T00:00:00"/>
    <x v="0"/>
    <n v="18928.400000000001"/>
    <n v="362"/>
    <n v="138"/>
    <n v="33054.25"/>
    <n v="6020"/>
    <n v="201940"/>
    <n v="74.627807949958779"/>
    <n v="216"/>
  </r>
  <r>
    <s v="CAMP0025"/>
    <x v="7"/>
    <d v="2024-10-17T00:00:00"/>
    <d v="2024-01-06T00:00:00"/>
    <x v="2"/>
    <n v="16584.43"/>
    <n v="664"/>
    <n v="465"/>
    <n v="25408.79"/>
    <n v="5360"/>
    <n v="406218"/>
    <n v="53.208702379279849"/>
    <n v="285"/>
  </r>
  <r>
    <s v="CAMP0058"/>
    <x v="13"/>
    <d v="2024-04-11T00:00:00"/>
    <d v="2024-01-11T00:00:00"/>
    <x v="2"/>
    <n v="37721.870000000003"/>
    <n v="968"/>
    <n v="196"/>
    <n v="87473.99"/>
    <n v="4509"/>
    <n v="260252"/>
    <n v="131.89197672331727"/>
    <n v="91"/>
  </r>
  <r>
    <s v="CAMP0063"/>
    <x v="5"/>
    <d v="2024-09-23T00:00:00"/>
    <d v="2024-01-05T00:00:00"/>
    <x v="1"/>
    <n v="22124.51"/>
    <n v="1932"/>
    <n v="360"/>
    <n v="160137.78"/>
    <n v="5883"/>
    <n v="86820"/>
    <n v="623.80260624981076"/>
    <n v="262"/>
  </r>
  <r>
    <s v="CAMP0062"/>
    <x v="2"/>
    <d v="2024-12-20T00:00:00"/>
    <d v="2024-01-06T00:00:00"/>
    <x v="3"/>
    <n v="5289.88"/>
    <n v="862"/>
    <n v="282"/>
    <n v="32569.79"/>
    <n v="812"/>
    <n v="60949"/>
    <n v="515.6999780713362"/>
    <n v="349"/>
  </r>
  <r>
    <s v="CAMP0022"/>
    <x v="13"/>
    <d v="2024-04-19T00:00:00"/>
    <d v="2024-01-09T00:00:00"/>
    <x v="1"/>
    <n v="14857.26"/>
    <n v="989"/>
    <n v="22"/>
    <n v="30412.48"/>
    <n v="5506"/>
    <n v="409916"/>
    <n v="104.69777065219293"/>
    <n v="101"/>
  </r>
  <r>
    <s v="CAMP0058"/>
    <x v="11"/>
    <d v="2024-11-25T00:00:00"/>
    <d v="2024-01-09T00:00:00"/>
    <x v="0"/>
    <n v="21510.53"/>
    <n v="1539"/>
    <n v="16"/>
    <n v="130468.65"/>
    <n v="8090"/>
    <n v="211377"/>
    <n v="506.53386969079799"/>
    <n v="321"/>
  </r>
  <r>
    <s v="CAMP0058"/>
    <x v="1"/>
    <d v="2024-09-21T00:00:00"/>
    <d v="2024-01-06T00:00:00"/>
    <x v="0"/>
    <n v="15333.3"/>
    <n v="1161"/>
    <n v="184"/>
    <n v="43450.68"/>
    <n v="7520"/>
    <n v="63543"/>
    <n v="183.374616031774"/>
    <n v="259"/>
  </r>
  <r>
    <s v="CAMP0086"/>
    <x v="12"/>
    <d v="2024-01-03T00:00:00"/>
    <d v="2024-01-08T00:00:00"/>
    <x v="0"/>
    <n v="17278.07"/>
    <n v="1956"/>
    <n v="127"/>
    <n v="24033.96"/>
    <n v="6943"/>
    <n v="423534"/>
    <n v="39.100952826328403"/>
    <n v="5"/>
  </r>
  <r>
    <s v="CAMP0049"/>
    <x v="2"/>
    <d v="2024-03-25T00:00:00"/>
    <d v="2024-01-05T00:00:00"/>
    <x v="0"/>
    <n v="15395.02"/>
    <n v="1376"/>
    <n v="250"/>
    <n v="37535.47"/>
    <n v="2533"/>
    <n v="484075"/>
    <n v="143.81566246747323"/>
    <n v="80"/>
  </r>
  <r>
    <s v="CAMP0052"/>
    <x v="9"/>
    <d v="2024-10-08T00:00:00"/>
    <d v="2024-01-08T00:00:00"/>
    <x v="0"/>
    <n v="3033.46"/>
    <n v="729"/>
    <n v="226"/>
    <n v="185127.62"/>
    <n v="3401"/>
    <n v="290754"/>
    <n v="6002.8535072161822"/>
    <n v="274"/>
  </r>
  <r>
    <s v="CAMP0042"/>
    <x v="7"/>
    <d v="2024-11-23T00:00:00"/>
    <d v="2024-01-04T00:00:00"/>
    <x v="3"/>
    <n v="32217.64"/>
    <n v="484"/>
    <n v="377"/>
    <n v="165186.89000000001"/>
    <n v="370"/>
    <n v="466715"/>
    <n v="412.72188155308703"/>
    <n v="324"/>
  </r>
  <r>
    <s v="CAMP0070"/>
    <x v="1"/>
    <d v="2024-10-30T00:00:00"/>
    <d v="2024-01-10T00:00:00"/>
    <x v="2"/>
    <n v="30267.33"/>
    <n v="731"/>
    <n v="55"/>
    <n v="74042.59"/>
    <n v="1179"/>
    <n v="262878"/>
    <n v="144.62874657262466"/>
    <n v="294"/>
  </r>
  <r>
    <s v="CAMP0015"/>
    <x v="8"/>
    <d v="2024-04-26T00:00:00"/>
    <d v="2024-01-04T00:00:00"/>
    <x v="1"/>
    <n v="33015.79"/>
    <n v="1208"/>
    <n v="492"/>
    <n v="132885.04999999999"/>
    <n v="5422"/>
    <n v="205446"/>
    <n v="302.4893846247507"/>
    <n v="113"/>
  </r>
  <r>
    <s v="CAMP0054"/>
    <x v="5"/>
    <d v="2024-08-08T00:00:00"/>
    <d v="2024-01-09T00:00:00"/>
    <x v="1"/>
    <n v="10423.18"/>
    <n v="1123"/>
    <n v="75"/>
    <n v="109768.76"/>
    <n v="8895"/>
    <n v="328370"/>
    <n v="953.1216001258731"/>
    <n v="212"/>
  </r>
  <r>
    <s v="CAMP0060"/>
    <x v="5"/>
    <d v="2024-06-02T00:00:00"/>
    <d v="2024-01-11T00:00:00"/>
    <x v="0"/>
    <n v="15487.07"/>
    <n v="1505"/>
    <n v="484"/>
    <n v="137039.23000000001"/>
    <n v="5357"/>
    <n v="308311"/>
    <n v="784.86221086364299"/>
    <n v="143"/>
  </r>
  <r>
    <s v="CAMP0097"/>
    <x v="3"/>
    <d v="2024-06-01T00:00:00"/>
    <d v="2024-01-03T00:00:00"/>
    <x v="1"/>
    <n v="31361.18"/>
    <n v="389"/>
    <n v="52"/>
    <n v="138120.87"/>
    <n v="8082"/>
    <n v="209851"/>
    <n v="340.41987578273518"/>
    <n v="150"/>
  </r>
  <r>
    <s v="CAMP0008"/>
    <x v="4"/>
    <d v="2024-01-12T00:00:00"/>
    <d v="2024-01-10T00:00:00"/>
    <x v="0"/>
    <n v="30381.75"/>
    <n v="396"/>
    <n v="23"/>
    <n v="127603.13"/>
    <n v="9877"/>
    <n v="160011"/>
    <n v="319.99927588107994"/>
    <n v="2"/>
  </r>
  <r>
    <s v="CAMP0053"/>
    <x v="1"/>
    <d v="2024-05-12T00:00:00"/>
    <d v="2024-01-09T00:00:00"/>
    <x v="3"/>
    <n v="25810.19"/>
    <n v="695"/>
    <n v="266"/>
    <n v="56889.77"/>
    <n v="6314"/>
    <n v="455581"/>
    <n v="120.4159287475218"/>
    <n v="124"/>
  </r>
  <r>
    <s v="CAMP0060"/>
    <x v="2"/>
    <d v="2024-10-30T00:00:00"/>
    <d v="2024-01-08T00:00:00"/>
    <x v="3"/>
    <n v="18170.25"/>
    <n v="1420"/>
    <n v="88"/>
    <n v="12606.25"/>
    <n v="5106"/>
    <n v="68381"/>
    <n v="-30.621482918506899"/>
    <n v="296"/>
  </r>
  <r>
    <s v="CAMP0005"/>
    <x v="0"/>
    <d v="2024-10-19T00:00:00"/>
    <d v="2024-01-08T00:00:00"/>
    <x v="2"/>
    <n v="45733.62"/>
    <n v="698"/>
    <n v="159"/>
    <n v="93835.520000000004"/>
    <n v="4085"/>
    <n v="309854"/>
    <n v="105.17842235099693"/>
    <n v="285"/>
  </r>
  <r>
    <s v="CAMP0068"/>
    <x v="5"/>
    <d v="2024-10-26T00:00:00"/>
    <d v="2024-01-08T00:00:00"/>
    <x v="3"/>
    <n v="17648.740000000002"/>
    <n v="294"/>
    <n v="57"/>
    <n v="178739.91"/>
    <n v="9687"/>
    <n v="279910"/>
    <n v="912.76300744415744"/>
    <n v="292"/>
  </r>
  <r>
    <s v="CAMP0006"/>
    <x v="2"/>
    <d v="2024-08-15T00:00:00"/>
    <d v="2024-01-11T00:00:00"/>
    <x v="3"/>
    <n v="23325.34"/>
    <n v="158"/>
    <n v="111"/>
    <n v="116051.97"/>
    <n v="8891"/>
    <n v="103416"/>
    <n v="397.53602734193805"/>
    <n v="217"/>
  </r>
  <r>
    <s v="CAMP0096"/>
    <x v="14"/>
    <d v="2024-09-27T00:00:00"/>
    <d v="2024-01-04T00:00:00"/>
    <x v="2"/>
    <n v="34227.58"/>
    <n v="1898"/>
    <n v="361"/>
    <n v="167316.25"/>
    <n v="8805"/>
    <n v="13780"/>
    <n v="388.83458894844443"/>
    <n v="267"/>
  </r>
  <r>
    <s v="CAMP0094"/>
    <x v="2"/>
    <d v="2024-02-12T00:00:00"/>
    <d v="2024-01-03T00:00:00"/>
    <x v="1"/>
    <n v="27608.05"/>
    <n v="1872"/>
    <n v="308"/>
    <n v="198366.75"/>
    <n v="6091"/>
    <n v="49458"/>
    <n v="618.51054312057533"/>
    <n v="40"/>
  </r>
  <r>
    <s v="CAMP0047"/>
    <x v="14"/>
    <d v="2024-12-08T00:00:00"/>
    <d v="2024-01-08T00:00:00"/>
    <x v="0"/>
    <n v="17997.41"/>
    <n v="582"/>
    <n v="139"/>
    <n v="36905.160000000003"/>
    <n v="6327"/>
    <n v="319365"/>
    <n v="105.05817225923066"/>
    <n v="335"/>
  </r>
  <r>
    <s v="CAMP0099"/>
    <x v="11"/>
    <d v="2024-11-21T00:00:00"/>
    <d v="2024-01-10T00:00:00"/>
    <x v="0"/>
    <n v="22346.59"/>
    <n v="1163"/>
    <n v="447"/>
    <n v="139896.64000000001"/>
    <n v="9358"/>
    <n v="264653"/>
    <n v="526.03126472540112"/>
    <n v="316"/>
  </r>
  <r>
    <s v="CAMP0055"/>
    <x v="10"/>
    <d v="2024-10-28T00:00:00"/>
    <d v="2024-01-05T00:00:00"/>
    <x v="1"/>
    <n v="39929.56"/>
    <n v="345"/>
    <n v="73"/>
    <n v="136487.25"/>
    <n v="7933"/>
    <n v="352637"/>
    <n v="241.82007014352277"/>
    <n v="297"/>
  </r>
  <r>
    <s v="CAMP0040"/>
    <x v="10"/>
    <d v="2024-12-29T00:00:00"/>
    <d v="2024-01-03T00:00:00"/>
    <x v="2"/>
    <n v="14628.33"/>
    <n v="161"/>
    <n v="15"/>
    <n v="196091.31"/>
    <n v="2986"/>
    <n v="428562"/>
    <n v="1240.4900627754503"/>
    <n v="361"/>
  </r>
  <r>
    <s v="CAMP0052"/>
    <x v="8"/>
    <d v="2024-01-21T00:00:00"/>
    <d v="2024-01-11T00:00:00"/>
    <x v="1"/>
    <n v="7970.51"/>
    <n v="1886"/>
    <n v="147"/>
    <n v="197192.14"/>
    <n v="2753"/>
    <n v="477015"/>
    <n v="2374.0216121678536"/>
    <n v="10"/>
  </r>
  <r>
    <s v="CAMP0016"/>
    <x v="9"/>
    <d v="2024-04-16T00:00:00"/>
    <d v="2024-01-03T00:00:00"/>
    <x v="3"/>
    <n v="16345"/>
    <n v="1662"/>
    <n v="196"/>
    <n v="138902.32999999999"/>
    <n v="9380"/>
    <n v="379994"/>
    <n v="749.81541755888634"/>
    <n v="104"/>
  </r>
  <r>
    <s v="CAMP0013"/>
    <x v="8"/>
    <d v="2024-12-01T00:00:00"/>
    <d v="2024-01-05T00:00:00"/>
    <x v="2"/>
    <n v="42627.18"/>
    <n v="1250"/>
    <n v="391"/>
    <n v="52504.88"/>
    <n v="4964"/>
    <n v="178946"/>
    <n v="23.172304618790164"/>
    <n v="331"/>
  </r>
  <r>
    <s v="CAMP0030"/>
    <x v="14"/>
    <d v="2024-10-29T00:00:00"/>
    <d v="2024-01-10T00:00:00"/>
    <x v="2"/>
    <n v="5360.5"/>
    <n v="392"/>
    <n v="382"/>
    <n v="160718.39000000001"/>
    <n v="2614"/>
    <n v="420364"/>
    <n v="2898.1977427478782"/>
    <n v="293"/>
  </r>
  <r>
    <s v="CAMP0019"/>
    <x v="1"/>
    <d v="2024-04-26T00:00:00"/>
    <d v="2024-01-05T00:00:00"/>
    <x v="2"/>
    <n v="49593.11"/>
    <n v="1733"/>
    <n v="73"/>
    <n v="25870.68"/>
    <n v="4069"/>
    <n v="32533"/>
    <n v="-47.8341245386708"/>
    <n v="112"/>
  </r>
  <r>
    <s v="CAMP0017"/>
    <x v="13"/>
    <d v="2024-05-03T00:00:00"/>
    <d v="2024-01-06T00:00:00"/>
    <x v="0"/>
    <n v="27509.14"/>
    <n v="150"/>
    <n v="27"/>
    <n v="157236.35999999999"/>
    <n v="3384"/>
    <n v="371288"/>
    <n v="471.57860987293674"/>
    <n v="118"/>
  </r>
  <r>
    <s v="CAMP0063"/>
    <x v="0"/>
    <d v="2024-10-07T00:00:00"/>
    <d v="2024-01-10T00:00:00"/>
    <x v="1"/>
    <n v="49257.440000000002"/>
    <n v="1831"/>
    <n v="185"/>
    <n v="182488.24"/>
    <n v="7840"/>
    <n v="385546"/>
    <n v="270.47853075596294"/>
    <n v="271"/>
  </r>
  <r>
    <s v="CAMP0019"/>
    <x v="13"/>
    <d v="2024-10-18T00:00:00"/>
    <d v="2024-01-03T00:00:00"/>
    <x v="2"/>
    <n v="47010.82"/>
    <n v="678"/>
    <n v="297"/>
    <n v="79652.509999999995"/>
    <n v="4666"/>
    <n v="341611"/>
    <n v="69.434419565538306"/>
    <n v="289"/>
  </r>
  <r>
    <s v="CAMP0092"/>
    <x v="6"/>
    <d v="2024-07-21T00:00:00"/>
    <d v="2024-01-08T00:00:00"/>
    <x v="2"/>
    <n v="23187.87"/>
    <n v="1677"/>
    <n v="13"/>
    <n v="127973.88"/>
    <n v="2296"/>
    <n v="264503"/>
    <n v="451.90010984191309"/>
    <n v="195"/>
  </r>
  <r>
    <s v="CAMP0058"/>
    <x v="13"/>
    <d v="2024-02-20T00:00:00"/>
    <d v="2024-01-03T00:00:00"/>
    <x v="2"/>
    <n v="10726.06"/>
    <n v="1474"/>
    <n v="275"/>
    <n v="88877.83"/>
    <n v="889"/>
    <n v="120119"/>
    <n v="728.61581978844049"/>
    <n v="48"/>
  </r>
  <r>
    <s v="CAMP0055"/>
    <x v="3"/>
    <d v="2024-09-27T00:00:00"/>
    <d v="2024-01-03T00:00:00"/>
    <x v="1"/>
    <n v="9079.35"/>
    <n v="77"/>
    <n v="391"/>
    <n v="90364.19"/>
    <n v="3575"/>
    <n v="222140"/>
    <n v="895.27157781118683"/>
    <n v="268"/>
  </r>
  <r>
    <s v="CAMP0090"/>
    <x v="13"/>
    <d v="2024-11-19T00:00:00"/>
    <d v="2024-01-10T00:00:00"/>
    <x v="0"/>
    <n v="12759.48"/>
    <n v="986"/>
    <n v="97"/>
    <n v="65522.32"/>
    <n v="9956"/>
    <n v="454529"/>
    <n v="413.51873273832479"/>
    <n v="314"/>
  </r>
  <r>
    <s v="CAMP0090"/>
    <x v="8"/>
    <d v="2024-10-03T00:00:00"/>
    <d v="2024-01-06T00:00:00"/>
    <x v="3"/>
    <n v="35796.5"/>
    <n v="1610"/>
    <n v="458"/>
    <n v="153615.28"/>
    <n v="1409"/>
    <n v="283488"/>
    <n v="329.13491542469234"/>
    <n v="271"/>
  </r>
  <r>
    <s v="CAMP0062"/>
    <x v="5"/>
    <d v="2024-05-20T00:00:00"/>
    <d v="2024-01-03T00:00:00"/>
    <x v="0"/>
    <n v="14374.55"/>
    <n v="107"/>
    <n v="21"/>
    <n v="187554.43"/>
    <n v="964"/>
    <n v="381643"/>
    <n v="1204.7673144550613"/>
    <n v="138"/>
  </r>
  <r>
    <s v="CAMP0023"/>
    <x v="12"/>
    <d v="2024-10-01T00:00:00"/>
    <d v="2024-01-09T00:00:00"/>
    <x v="2"/>
    <n v="17729.84"/>
    <n v="1571"/>
    <n v="158"/>
    <n v="188446.42"/>
    <n v="5489"/>
    <n v="332922"/>
    <n v="962.87716076400022"/>
    <n v="266"/>
  </r>
  <r>
    <s v="CAMP0009"/>
    <x v="5"/>
    <d v="2024-10-16T00:00:00"/>
    <d v="2024-01-07T00:00:00"/>
    <x v="0"/>
    <n v="22990.16"/>
    <n v="346"/>
    <n v="409"/>
    <n v="39082.35"/>
    <n v="3463"/>
    <n v="283745"/>
    <n v="69.995989588589197"/>
    <n v="283"/>
  </r>
  <r>
    <s v="CAMP0012"/>
    <x v="10"/>
    <d v="2024-11-29T00:00:00"/>
    <d v="2024-01-07T00:00:00"/>
    <x v="0"/>
    <n v="45748.4"/>
    <n v="183"/>
    <n v="332"/>
    <n v="175575.01"/>
    <n v="8315"/>
    <n v="246840"/>
    <n v="283.78393561304881"/>
    <n v="327"/>
  </r>
  <r>
    <s v="CAMP0001"/>
    <x v="12"/>
    <d v="2024-02-21T00:00:00"/>
    <d v="2024-01-03T00:00:00"/>
    <x v="3"/>
    <n v="10280.280000000001"/>
    <n v="1404"/>
    <n v="153"/>
    <n v="148799.13"/>
    <n v="3103"/>
    <n v="413332"/>
    <n v="1347.4229301147438"/>
    <n v="49"/>
  </r>
  <r>
    <s v="CAMP0058"/>
    <x v="4"/>
    <d v="2024-01-27T00:00:00"/>
    <d v="2024-01-08T00:00:00"/>
    <x v="1"/>
    <n v="1246.3"/>
    <n v="298"/>
    <n v="381"/>
    <n v="54303.29"/>
    <n v="8602"/>
    <n v="189057"/>
    <n v="4257.1603947685144"/>
    <n v="19"/>
  </r>
  <r>
    <s v="CAMP0001"/>
    <x v="0"/>
    <d v="2024-06-05T00:00:00"/>
    <d v="2024-01-11T00:00:00"/>
    <x v="1"/>
    <n v="3944.72"/>
    <n v="1070"/>
    <n v="271"/>
    <n v="18120.5"/>
    <n v="1331"/>
    <n v="364157"/>
    <n v="359.36086718448968"/>
    <n v="146"/>
  </r>
  <r>
    <s v="CAMP0034"/>
    <x v="0"/>
    <d v="2024-08-26T00:00:00"/>
    <d v="2024-01-11T00:00:00"/>
    <x v="0"/>
    <n v="45333.55"/>
    <n v="599"/>
    <n v="426"/>
    <n v="57259.47"/>
    <n v="8059"/>
    <n v="249182"/>
    <n v="26.307050738360438"/>
    <n v="228"/>
  </r>
  <r>
    <s v="CAMP0096"/>
    <x v="3"/>
    <d v="2024-06-04T00:00:00"/>
    <d v="2024-01-10T00:00:00"/>
    <x v="0"/>
    <n v="32728.31"/>
    <n v="951"/>
    <n v="332"/>
    <n v="182880.61"/>
    <n v="2811"/>
    <n v="293926"/>
    <n v="458.78415353557818"/>
    <n v="146"/>
  </r>
  <r>
    <s v="CAMP0048"/>
    <x v="1"/>
    <d v="2024-10-17T00:00:00"/>
    <d v="2024-01-07T00:00:00"/>
    <x v="1"/>
    <n v="14378.99"/>
    <n v="1148"/>
    <n v="110"/>
    <n v="128469.84"/>
    <n v="6681"/>
    <n v="112095"/>
    <n v="793.45524268394365"/>
    <n v="284"/>
  </r>
  <r>
    <s v="CAMP0089"/>
    <x v="8"/>
    <d v="2024-05-15T00:00:00"/>
    <d v="2024-01-03T00:00:00"/>
    <x v="1"/>
    <n v="9682.43"/>
    <n v="1727"/>
    <n v="476"/>
    <n v="145605.66"/>
    <n v="7805"/>
    <n v="444035"/>
    <n v="1403.8131956543968"/>
    <n v="133"/>
  </r>
  <r>
    <s v="CAMP0001"/>
    <x v="10"/>
    <d v="2024-05-23T00:00:00"/>
    <d v="2024-01-11T00:00:00"/>
    <x v="3"/>
    <n v="15419.07"/>
    <n v="883"/>
    <n v="385"/>
    <n v="55144.71"/>
    <n v="521"/>
    <n v="478632"/>
    <n v="257.63966309252118"/>
    <n v="133"/>
  </r>
  <r>
    <s v="CAMP0016"/>
    <x v="11"/>
    <d v="2024-04-15T00:00:00"/>
    <d v="2024-01-03T00:00:00"/>
    <x v="2"/>
    <n v="6625.05"/>
    <n v="1241"/>
    <n v="39"/>
    <n v="145280.69"/>
    <n v="1046"/>
    <n v="463251"/>
    <n v="2092.8995252866016"/>
    <n v="103"/>
  </r>
  <r>
    <s v="CAMP0061"/>
    <x v="6"/>
    <d v="2024-06-06T00:00:00"/>
    <d v="2024-01-10T00:00:00"/>
    <x v="0"/>
    <n v="47135.11"/>
    <n v="820"/>
    <n v="123"/>
    <n v="10483.69"/>
    <n v="9478"/>
    <n v="360267"/>
    <n v="-77.758214630240602"/>
    <n v="148"/>
  </r>
  <r>
    <s v="CAMP0064"/>
    <x v="1"/>
    <d v="2024-05-25T00:00:00"/>
    <d v="2024-01-07T00:00:00"/>
    <x v="1"/>
    <n v="39426.1"/>
    <n v="1576"/>
    <n v="18"/>
    <n v="78187.66"/>
    <n v="1934"/>
    <n v="307602"/>
    <n v="98.314466812593707"/>
    <n v="139"/>
  </r>
  <r>
    <s v="CAMP0063"/>
    <x v="0"/>
    <d v="2024-01-02T00:00:00"/>
    <d v="2024-01-05T00:00:00"/>
    <x v="0"/>
    <n v="23657.17"/>
    <n v="1958"/>
    <n v="18"/>
    <n v="127216.9"/>
    <n v="1664"/>
    <n v="485772"/>
    <n v="437.75197963239049"/>
    <n v="3"/>
  </r>
  <r>
    <s v="CAMP0069"/>
    <x v="5"/>
    <d v="2024-03-17T00:00:00"/>
    <d v="2024-01-09T00:00:00"/>
    <x v="0"/>
    <n v="43383.17"/>
    <n v="1428"/>
    <n v="270"/>
    <n v="33488.83"/>
    <n v="7432"/>
    <n v="387369"/>
    <n v="-22.806862661257803"/>
    <n v="68"/>
  </r>
  <r>
    <s v="CAMP0022"/>
    <x v="13"/>
    <d v="2024-05-11T00:00:00"/>
    <d v="2024-01-09T00:00:00"/>
    <x v="1"/>
    <n v="13223.45"/>
    <n v="1298"/>
    <n v="144"/>
    <n v="165485.70000000001"/>
    <n v="5044"/>
    <n v="140152"/>
    <n v="1151.4563143506421"/>
    <n v="123"/>
  </r>
  <r>
    <s v="CAMP0093"/>
    <x v="13"/>
    <d v="2024-03-30T00:00:00"/>
    <d v="2024-01-11T00:00:00"/>
    <x v="3"/>
    <n v="36138.910000000003"/>
    <n v="1737"/>
    <n v="298"/>
    <n v="50831.1"/>
    <n v="1408"/>
    <n v="482959"/>
    <n v="40.654767949559059"/>
    <n v="79"/>
  </r>
  <r>
    <s v="CAMP0067"/>
    <x v="4"/>
    <d v="2024-12-10T00:00:00"/>
    <d v="2024-01-09T00:00:00"/>
    <x v="0"/>
    <n v="42950.49"/>
    <n v="1604"/>
    <n v="368"/>
    <n v="132194.82"/>
    <n v="3086"/>
    <n v="166029"/>
    <n v="207.78419524433835"/>
    <n v="336"/>
  </r>
  <r>
    <s v="CAMP0076"/>
    <x v="10"/>
    <d v="2024-12-15T00:00:00"/>
    <d v="2024-01-05T00:00:00"/>
    <x v="3"/>
    <n v="18481.669999999998"/>
    <n v="195"/>
    <n v="123"/>
    <n v="84013.440000000002"/>
    <n v="486"/>
    <n v="408124"/>
    <n v="354.5771026103161"/>
    <n v="345"/>
  </r>
  <r>
    <s v="CAMP0026"/>
    <x v="8"/>
    <d v="2024-09-19T00:00:00"/>
    <d v="2024-01-03T00:00:00"/>
    <x v="1"/>
    <n v="38115.760000000002"/>
    <n v="1314"/>
    <n v="242"/>
    <n v="121228.5"/>
    <n v="6231"/>
    <n v="359332"/>
    <n v="218.05347709189058"/>
    <n v="260"/>
  </r>
  <r>
    <s v="CAMP0016"/>
    <x v="8"/>
    <d v="2024-12-16T00:00:00"/>
    <d v="2024-01-10T00:00:00"/>
    <x v="2"/>
    <n v="15458.55"/>
    <n v="1957"/>
    <n v="38"/>
    <n v="25952.86"/>
    <n v="9453"/>
    <n v="227952"/>
    <n v="67.886768163896377"/>
    <n v="341"/>
  </r>
  <r>
    <s v="CAMP0051"/>
    <x v="9"/>
    <d v="2024-04-17T00:00:00"/>
    <d v="2024-01-05T00:00:00"/>
    <x v="2"/>
    <n v="15644"/>
    <n v="942"/>
    <n v="173"/>
    <n v="8298"/>
    <n v="3358"/>
    <n v="122292"/>
    <n v="-46.957299923293277"/>
    <n v="103"/>
  </r>
  <r>
    <s v="CAMP0086"/>
    <x v="14"/>
    <d v="2024-03-14T00:00:00"/>
    <d v="2024-01-10T00:00:00"/>
    <x v="0"/>
    <n v="6245.8"/>
    <n v="393"/>
    <n v="14"/>
    <n v="182365.06"/>
    <n v="6221"/>
    <n v="91570"/>
    <n v="2819.8030676614685"/>
    <n v="64"/>
  </r>
  <r>
    <s v="CAMP0057"/>
    <x v="7"/>
    <d v="2024-02-08T00:00:00"/>
    <d v="2024-01-10T00:00:00"/>
    <x v="1"/>
    <n v="22562.84"/>
    <n v="1822"/>
    <n v="126"/>
    <n v="57577.85"/>
    <n v="4911"/>
    <n v="485540"/>
    <n v="155.1888414756298"/>
    <n v="29"/>
  </r>
  <r>
    <s v="CAMP0029"/>
    <x v="0"/>
    <d v="2024-06-07T00:00:00"/>
    <d v="2024-01-07T00:00:00"/>
    <x v="3"/>
    <n v="36755.879999999997"/>
    <n v="1108"/>
    <n v="405"/>
    <n v="164837.01999999999"/>
    <n v="6674"/>
    <n v="472503"/>
    <n v="348.46435454680994"/>
    <n v="152"/>
  </r>
  <r>
    <s v="CAMP0078"/>
    <x v="8"/>
    <d v="2024-03-11T00:00:00"/>
    <d v="2024-01-03T00:00:00"/>
    <x v="0"/>
    <n v="47070.82"/>
    <n v="751"/>
    <n v="149"/>
    <n v="199873.31"/>
    <n v="6797"/>
    <n v="124791"/>
    <n v="324.62253684979356"/>
    <n v="68"/>
  </r>
  <r>
    <s v="CAMP0092"/>
    <x v="4"/>
    <d v="2024-11-07T00:00:00"/>
    <d v="2024-01-09T00:00:00"/>
    <x v="1"/>
    <n v="30586.05"/>
    <n v="50"/>
    <n v="455"/>
    <n v="46229.1"/>
    <n v="4033"/>
    <n v="441698"/>
    <n v="51.144394258166713"/>
    <n v="303"/>
  </r>
  <r>
    <s v="CAMP0069"/>
    <x v="5"/>
    <d v="2024-08-28T00:00:00"/>
    <d v="2024-01-07T00:00:00"/>
    <x v="1"/>
    <n v="43293.64"/>
    <n v="202"/>
    <n v="450"/>
    <n v="56708.29"/>
    <n v="1539"/>
    <n v="493545"/>
    <n v="30.985267120066602"/>
    <n v="234"/>
  </r>
  <r>
    <s v="CAMP0047"/>
    <x v="10"/>
    <d v="2024-10-24T00:00:00"/>
    <d v="2024-01-10T00:00:00"/>
    <x v="3"/>
    <n v="41302.239999999998"/>
    <n v="478"/>
    <n v="227"/>
    <n v="134257.66"/>
    <n v="6269"/>
    <n v="388435"/>
    <n v="225.06144945165207"/>
    <n v="288"/>
  </r>
  <r>
    <s v="CAMP0094"/>
    <x v="6"/>
    <d v="2024-02-05T00:00:00"/>
    <d v="2024-01-11T00:00:00"/>
    <x v="0"/>
    <n v="9493.81"/>
    <n v="557"/>
    <n v="375"/>
    <n v="193262.48"/>
    <n v="4580"/>
    <n v="361519"/>
    <n v="1935.6682933406084"/>
    <n v="25"/>
  </r>
  <r>
    <s v="CAMP0062"/>
    <x v="9"/>
    <d v="2024-03-24T00:00:00"/>
    <d v="2024-01-09T00:00:00"/>
    <x v="1"/>
    <n v="24805.05"/>
    <n v="1199"/>
    <n v="261"/>
    <n v="183583.8"/>
    <n v="155"/>
    <n v="39314"/>
    <n v="640.1065508837919"/>
    <n v="75"/>
  </r>
  <r>
    <s v="CAMP0069"/>
    <x v="4"/>
    <d v="2024-09-19T00:00:00"/>
    <d v="2024-01-09T00:00:00"/>
    <x v="1"/>
    <n v="6729.25"/>
    <n v="540"/>
    <n v="272"/>
    <n v="103060.73"/>
    <n v="3424"/>
    <n v="233061"/>
    <n v="1431.5336776015156"/>
    <n v="254"/>
  </r>
  <r>
    <s v="CAMP0076"/>
    <x v="2"/>
    <d v="2024-11-05T00:00:00"/>
    <d v="2024-01-03T00:00:00"/>
    <x v="1"/>
    <n v="34425.5"/>
    <n v="1555"/>
    <n v="363"/>
    <n v="160046.51"/>
    <n v="6877"/>
    <n v="206993"/>
    <n v="364.90685683577584"/>
    <n v="307"/>
  </r>
  <r>
    <s v="CAMP0016"/>
    <x v="3"/>
    <d v="2024-06-20T00:00:00"/>
    <d v="2024-01-06T00:00:00"/>
    <x v="3"/>
    <n v="47545.08"/>
    <n v="394"/>
    <n v="8"/>
    <n v="31470.44"/>
    <n v="205"/>
    <n v="477984"/>
    <n v="-33.809260600676247"/>
    <n v="166"/>
  </r>
  <r>
    <s v="CAMP0090"/>
    <x v="6"/>
    <d v="2024-06-21T00:00:00"/>
    <d v="2024-01-04T00:00:00"/>
    <x v="0"/>
    <n v="7717.38"/>
    <n v="1985"/>
    <n v="430"/>
    <n v="195600.45"/>
    <n v="3301"/>
    <n v="372024"/>
    <n v="2434.54475482612"/>
    <n v="169"/>
  </r>
  <r>
    <s v="CAMP0090"/>
    <x v="14"/>
    <d v="2024-12-27T00:00:00"/>
    <d v="2024-01-04T00:00:00"/>
    <x v="0"/>
    <n v="36960.269999999997"/>
    <n v="1811"/>
    <n v="401"/>
    <n v="193048.88"/>
    <n v="769"/>
    <n v="363470"/>
    <n v="422.31458265862238"/>
    <n v="358"/>
  </r>
  <r>
    <s v="CAMP0048"/>
    <x v="2"/>
    <d v="2024-02-16T00:00:00"/>
    <d v="2024-01-04T00:00:00"/>
    <x v="0"/>
    <n v="31979.67"/>
    <n v="270"/>
    <n v="358"/>
    <n v="36927.15"/>
    <n v="9034"/>
    <n v="147903"/>
    <n v="15.470703731464408"/>
    <n v="43"/>
  </r>
  <r>
    <s v="CAMP0085"/>
    <x v="11"/>
    <d v="2024-05-20T00:00:00"/>
    <d v="2024-01-06T00:00:00"/>
    <x v="0"/>
    <n v="29596.65"/>
    <n v="1988"/>
    <n v="110"/>
    <n v="63387.51"/>
    <n v="1066"/>
    <n v="384170"/>
    <n v="114.1712322171597"/>
    <n v="135"/>
  </r>
  <r>
    <s v="CAMP0039"/>
    <x v="14"/>
    <d v="2024-04-27T00:00:00"/>
    <d v="2024-01-03T00:00:00"/>
    <x v="2"/>
    <n v="20115.89"/>
    <n v="1992"/>
    <n v="89"/>
    <n v="24530.22"/>
    <n v="407"/>
    <n v="414341"/>
    <n v="21.944492637412523"/>
    <n v="115"/>
  </r>
  <r>
    <s v="CAMP0100"/>
    <x v="13"/>
    <d v="2024-10-03T00:00:00"/>
    <d v="2024-01-06T00:00:00"/>
    <x v="2"/>
    <n v="18401.45"/>
    <n v="772"/>
    <n v="218"/>
    <n v="57984.93"/>
    <n v="2238"/>
    <n v="325595"/>
    <n v="215.1106570406136"/>
    <n v="271"/>
  </r>
  <r>
    <s v="CAMP0033"/>
    <x v="3"/>
    <d v="2024-08-01T00:00:00"/>
    <d v="2024-01-04T00:00:00"/>
    <x v="0"/>
    <n v="3217.21"/>
    <n v="1098"/>
    <n v="125"/>
    <n v="164111.38"/>
    <n v="209"/>
    <n v="46708"/>
    <n v="5001.0465589750129"/>
    <n v="210"/>
  </r>
  <r>
    <s v="CAMP0094"/>
    <x v="0"/>
    <d v="2024-08-07T00:00:00"/>
    <d v="2024-01-07T00:00:00"/>
    <x v="3"/>
    <n v="11677.53"/>
    <n v="577"/>
    <n v="136"/>
    <n v="78771.539999999994"/>
    <n v="3732"/>
    <n v="280826"/>
    <n v="574.55652008601123"/>
    <n v="213"/>
  </r>
  <r>
    <s v="CAMP0023"/>
    <x v="5"/>
    <d v="2024-01-26T00:00:00"/>
    <d v="2024-01-05T00:00:00"/>
    <x v="2"/>
    <n v="1743.67"/>
    <n v="1255"/>
    <n v="342"/>
    <n v="22237.41"/>
    <n v="6828"/>
    <n v="365550"/>
    <n v="1175.3221653179785"/>
    <n v="21"/>
  </r>
  <r>
    <s v="CAMP0010"/>
    <x v="3"/>
    <d v="2024-01-09T00:00:00"/>
    <d v="2024-01-10T00:00:00"/>
    <x v="1"/>
    <n v="29489.439999999999"/>
    <n v="1572"/>
    <n v="201"/>
    <n v="71733.98"/>
    <n v="5784"/>
    <n v="477040"/>
    <n v="143.25311026591211"/>
    <n v="1"/>
  </r>
  <r>
    <s v="CAMP0069"/>
    <x v="14"/>
    <d v="2024-09-27T00:00:00"/>
    <d v="2024-01-06T00:00:00"/>
    <x v="2"/>
    <n v="6186.81"/>
    <n v="890"/>
    <n v="23"/>
    <n v="196369.75"/>
    <n v="6599"/>
    <n v="167866"/>
    <n v="3074.0064750655019"/>
    <n v="265"/>
  </r>
  <r>
    <s v="CAMP0100"/>
    <x v="7"/>
    <d v="2024-01-10T00:00:00"/>
    <d v="2024-01-03T00:00:00"/>
    <x v="1"/>
    <n v="43777.95"/>
    <n v="1714"/>
    <n v="134"/>
    <n v="127788.3"/>
    <n v="2015"/>
    <n v="322516"/>
    <n v="191.90105978009478"/>
    <n v="7"/>
  </r>
  <r>
    <s v="CAMP0034"/>
    <x v="2"/>
    <d v="2024-04-30T00:00:00"/>
    <d v="2024-01-03T00:00:00"/>
    <x v="0"/>
    <n v="26634.01"/>
    <n v="1115"/>
    <n v="16"/>
    <n v="86151.38"/>
    <n v="656"/>
    <n v="40477"/>
    <n v="223.46379685222021"/>
    <n v="118"/>
  </r>
  <r>
    <s v="CAMP0052"/>
    <x v="0"/>
    <d v="2024-05-04T00:00:00"/>
    <d v="2024-01-05T00:00:00"/>
    <x v="2"/>
    <n v="35284.81"/>
    <n v="1988"/>
    <n v="85"/>
    <n v="37475.01"/>
    <n v="7719"/>
    <n v="448079"/>
    <n v="6.2072036097119536"/>
    <n v="120"/>
  </r>
  <r>
    <s v="CAMP0095"/>
    <x v="12"/>
    <d v="2024-06-18T00:00:00"/>
    <d v="2024-01-11T00:00:00"/>
    <x v="3"/>
    <n v="21132"/>
    <n v="530"/>
    <n v="334"/>
    <n v="197304.48"/>
    <n v="204"/>
    <n v="484157"/>
    <n v="833.67632027257241"/>
    <n v="159"/>
  </r>
  <r>
    <s v="CAMP0010"/>
    <x v="7"/>
    <d v="2024-03-12T00:00:00"/>
    <d v="2024-01-09T00:00:00"/>
    <x v="2"/>
    <n v="28468.41"/>
    <n v="979"/>
    <n v="358"/>
    <n v="165065.56"/>
    <n v="2147"/>
    <n v="170809"/>
    <n v="479.82008830138386"/>
    <n v="63"/>
  </r>
  <r>
    <s v="CAMP0019"/>
    <x v="13"/>
    <d v="2024-05-31T00:00:00"/>
    <d v="2024-01-04T00:00:00"/>
    <x v="2"/>
    <n v="47190.3"/>
    <n v="1921"/>
    <n v="266"/>
    <n v="59888.07"/>
    <n v="245"/>
    <n v="134692"/>
    <n v="26.907584821456943"/>
    <n v="148"/>
  </r>
  <r>
    <s v="CAMP0058"/>
    <x v="7"/>
    <d v="2024-07-26T00:00:00"/>
    <d v="2024-01-11T00:00:00"/>
    <x v="2"/>
    <n v="5053.97"/>
    <n v="1821"/>
    <n v="396"/>
    <n v="18663.400000000001"/>
    <n v="973"/>
    <n v="495166"/>
    <n v="269.28197041137958"/>
    <n v="197"/>
  </r>
  <r>
    <s v="CAMP0096"/>
    <x v="9"/>
    <d v="2024-02-18T00:00:00"/>
    <d v="2024-01-04T00:00:00"/>
    <x v="0"/>
    <n v="13442.95"/>
    <n v="921"/>
    <n v="129"/>
    <n v="16041.98"/>
    <n v="398"/>
    <n v="235241"/>
    <n v="19.333777184323374"/>
    <n v="45"/>
  </r>
  <r>
    <s v="CAMP0001"/>
    <x v="9"/>
    <d v="2024-06-02T00:00:00"/>
    <d v="2024-01-05T00:00:00"/>
    <x v="3"/>
    <n v="39219.43"/>
    <n v="1512"/>
    <n v="311"/>
    <n v="28473.74"/>
    <n v="3338"/>
    <n v="254105"/>
    <n v="-27.398893864597213"/>
    <n v="149"/>
  </r>
  <r>
    <s v="CAMP0069"/>
    <x v="11"/>
    <d v="2024-12-12T00:00:00"/>
    <d v="2024-01-04T00:00:00"/>
    <x v="2"/>
    <n v="5838.12"/>
    <n v="1475"/>
    <n v="271"/>
    <n v="118249.87"/>
    <n v="8937"/>
    <n v="167129"/>
    <n v="1925.4785787205471"/>
    <n v="343"/>
  </r>
  <r>
    <s v="CAMP0004"/>
    <x v="14"/>
    <d v="2024-10-19T00:00:00"/>
    <d v="2024-01-05T00:00:00"/>
    <x v="3"/>
    <n v="4707.3900000000003"/>
    <n v="1619"/>
    <n v="451"/>
    <n v="186108.87"/>
    <n v="6482"/>
    <n v="434354"/>
    <n v="3853.5468699215485"/>
    <n v="288"/>
  </r>
  <r>
    <s v="CAMP0016"/>
    <x v="10"/>
    <d v="2024-03-08T00:00:00"/>
    <d v="2024-01-08T00:00:00"/>
    <x v="0"/>
    <n v="18715.53"/>
    <n v="394"/>
    <n v="445"/>
    <n v="101864.97"/>
    <n v="2611"/>
    <n v="211462"/>
    <n v="444.28044517040126"/>
    <n v="60"/>
  </r>
  <r>
    <s v="CAMP0024"/>
    <x v="6"/>
    <d v="2024-02-19T00:00:00"/>
    <d v="2024-01-11T00:00:00"/>
    <x v="1"/>
    <n v="5516.23"/>
    <n v="1966"/>
    <n v="387"/>
    <n v="169374.37"/>
    <n v="6696"/>
    <n v="54024"/>
    <n v="2970.4733123890774"/>
    <n v="39"/>
  </r>
  <r>
    <s v="CAMP0080"/>
    <x v="6"/>
    <d v="2024-05-31T00:00:00"/>
    <d v="2024-01-11T00:00:00"/>
    <x v="2"/>
    <n v="29668.84"/>
    <n v="94"/>
    <n v="144"/>
    <n v="91947.89"/>
    <n v="883"/>
    <n v="403893"/>
    <n v="209.91400405273683"/>
    <n v="141"/>
  </r>
  <r>
    <s v="CAMP0002"/>
    <x v="12"/>
    <d v="2024-01-19T00:00:00"/>
    <d v="2024-01-09T00:00:00"/>
    <x v="3"/>
    <n v="12087.49"/>
    <n v="1719"/>
    <n v="333"/>
    <n v="143173.79"/>
    <n v="5092"/>
    <n v="176183"/>
    <n v="1084.4790771285025"/>
    <n v="10"/>
  </r>
  <r>
    <s v="CAMP0092"/>
    <x v="12"/>
    <d v="2024-04-09T00:00:00"/>
    <d v="2024-01-05T00:00:00"/>
    <x v="3"/>
    <n v="44889.2"/>
    <n v="70"/>
    <n v="6"/>
    <n v="147715.18"/>
    <n v="470"/>
    <n v="156146"/>
    <n v="229.06618964026984"/>
    <n v="95"/>
  </r>
  <r>
    <s v="CAMP0032"/>
    <x v="0"/>
    <d v="2024-02-29T00:00:00"/>
    <d v="2024-01-06T00:00:00"/>
    <x v="0"/>
    <n v="39391.5"/>
    <n v="1707"/>
    <n v="12"/>
    <n v="38922.92"/>
    <n v="586"/>
    <n v="18824"/>
    <n v="-1.1895459680387945"/>
    <n v="54"/>
  </r>
  <r>
    <s v="CAMP0091"/>
    <x v="13"/>
    <d v="2024-06-15T00:00:00"/>
    <d v="2024-01-08T00:00:00"/>
    <x v="2"/>
    <n v="35285.56"/>
    <n v="1143"/>
    <n v="254"/>
    <n v="75437.13"/>
    <n v="7478"/>
    <n v="394981"/>
    <n v="113.79037203887373"/>
    <n v="159"/>
  </r>
  <r>
    <s v="CAMP0084"/>
    <x v="8"/>
    <d v="2024-07-20T00:00:00"/>
    <d v="2024-01-07T00:00:00"/>
    <x v="1"/>
    <n v="31230.26"/>
    <n v="1937"/>
    <n v="143"/>
    <n v="129273.92"/>
    <n v="3296"/>
    <n v="439655"/>
    <n v="313.93802036870653"/>
    <n v="195"/>
  </r>
  <r>
    <s v="CAMP0024"/>
    <x v="11"/>
    <d v="2024-12-10T00:00:00"/>
    <d v="2024-01-04T00:00:00"/>
    <x v="3"/>
    <n v="43309.82"/>
    <n v="922"/>
    <n v="128"/>
    <n v="18785.84"/>
    <n v="9652"/>
    <n v="360295"/>
    <n v="-56.624525338595269"/>
    <n v="341"/>
  </r>
  <r>
    <s v="CAMP0012"/>
    <x v="9"/>
    <d v="2024-05-25T00:00:00"/>
    <d v="2024-01-08T00:00:00"/>
    <x v="2"/>
    <n v="11930.04"/>
    <n v="97"/>
    <n v="313"/>
    <n v="75500.34"/>
    <n v="4387"/>
    <n v="49926"/>
    <n v="532.85906836858874"/>
    <n v="138"/>
  </r>
  <r>
    <s v="CAMP0050"/>
    <x v="0"/>
    <d v="2024-06-12T00:00:00"/>
    <d v="2024-01-05T00:00:00"/>
    <x v="1"/>
    <n v="43782.33"/>
    <n v="1564"/>
    <n v="232"/>
    <n v="109285.9"/>
    <n v="2361"/>
    <n v="168932"/>
    <n v="149.61188680456246"/>
    <n v="159"/>
  </r>
  <r>
    <s v="CAMP0035"/>
    <x v="8"/>
    <d v="2024-08-29T00:00:00"/>
    <d v="2024-01-10T00:00:00"/>
    <x v="3"/>
    <n v="39685.120000000003"/>
    <n v="600"/>
    <n v="14"/>
    <n v="199263.78"/>
    <n v="9248"/>
    <n v="276119"/>
    <n v="402.11207626435294"/>
    <n v="232"/>
  </r>
  <r>
    <s v="CAMP0033"/>
    <x v="6"/>
    <d v="2024-03-09T00:00:00"/>
    <d v="2024-01-04T00:00:00"/>
    <x v="3"/>
    <n v="37659.879999999997"/>
    <n v="336"/>
    <n v="473"/>
    <n v="97534.04"/>
    <n v="8672"/>
    <n v="338021"/>
    <n v="158.98659262854795"/>
    <n v="65"/>
  </r>
  <r>
    <s v="CAMP0033"/>
    <x v="10"/>
    <d v="2024-06-23T00:00:00"/>
    <d v="2024-01-03T00:00:00"/>
    <x v="1"/>
    <n v="28501.53"/>
    <n v="1051"/>
    <n v="216"/>
    <n v="164131.07"/>
    <n v="338"/>
    <n v="225749"/>
    <n v="475.86757623187248"/>
    <n v="172"/>
  </r>
  <r>
    <s v="CAMP0061"/>
    <x v="7"/>
    <d v="2024-02-18T00:00:00"/>
    <d v="2024-01-11T00:00:00"/>
    <x v="1"/>
    <n v="13065.96"/>
    <n v="1083"/>
    <n v="116"/>
    <n v="89253.119999999995"/>
    <n v="6943"/>
    <n v="341014"/>
    <n v="583.09653481259704"/>
    <n v="38"/>
  </r>
  <r>
    <s v="CAMP0051"/>
    <x v="9"/>
    <d v="2024-04-17T00:00:00"/>
    <d v="2024-01-05T00:00:00"/>
    <x v="0"/>
    <n v="21753.85"/>
    <n v="591"/>
    <n v="12"/>
    <n v="160296.19"/>
    <n v="1205"/>
    <n v="246453"/>
    <n v="636.86354369456444"/>
    <n v="103"/>
  </r>
  <r>
    <s v="CAMP0043"/>
    <x v="0"/>
    <d v="2024-08-13T00:00:00"/>
    <d v="2024-01-03T00:00:00"/>
    <x v="2"/>
    <n v="39884.959999999999"/>
    <n v="805"/>
    <n v="296"/>
    <n v="121105.89"/>
    <n v="1486"/>
    <n v="82371"/>
    <n v="203.63798785306543"/>
    <n v="223"/>
  </r>
  <r>
    <s v="CAMP0012"/>
    <x v="3"/>
    <d v="2024-06-09T00:00:00"/>
    <d v="2024-01-09T00:00:00"/>
    <x v="2"/>
    <n v="2557.15"/>
    <n v="323"/>
    <n v="481"/>
    <n v="177886.11"/>
    <n v="9819"/>
    <n v="158620"/>
    <n v="6856.4206245233945"/>
    <n v="152"/>
  </r>
  <r>
    <s v="CAMP0067"/>
    <x v="8"/>
    <d v="2024-04-28T00:00:00"/>
    <d v="2024-01-07T00:00:00"/>
    <x v="0"/>
    <n v="39320.49"/>
    <n v="1005"/>
    <n v="366"/>
    <n v="85133.8"/>
    <n v="1767"/>
    <n v="364114"/>
    <n v="116.51256126258855"/>
    <n v="112"/>
  </r>
  <r>
    <s v="CAMP0065"/>
    <x v="7"/>
    <d v="2024-05-28T00:00:00"/>
    <d v="2024-01-07T00:00:00"/>
    <x v="3"/>
    <n v="12763.47"/>
    <n v="649"/>
    <n v="464"/>
    <n v="122839.36"/>
    <n v="2791"/>
    <n v="484791"/>
    <n v="862.42918265957462"/>
    <n v="142"/>
  </r>
  <r>
    <s v="CAMP0033"/>
    <x v="9"/>
    <d v="2024-05-29T00:00:00"/>
    <d v="2024-01-03T00:00:00"/>
    <x v="1"/>
    <n v="8071.15"/>
    <n v="1829"/>
    <n v="257"/>
    <n v="127853.64"/>
    <n v="7856"/>
    <n v="99066"/>
    <n v="1484.082070089145"/>
    <n v="147"/>
  </r>
  <r>
    <s v="CAMP0040"/>
    <x v="6"/>
    <d v="2024-10-19T00:00:00"/>
    <d v="2024-01-11T00:00:00"/>
    <x v="1"/>
    <n v="6669.36"/>
    <n v="430"/>
    <n v="18"/>
    <n v="86389.67"/>
    <n v="2096"/>
    <n v="170808"/>
    <n v="1195.3217400170331"/>
    <n v="282"/>
  </r>
  <r>
    <s v="CAMP0074"/>
    <x v="4"/>
    <d v="2024-05-22T00:00:00"/>
    <d v="2024-01-09T00:00:00"/>
    <x v="1"/>
    <n v="2335.25"/>
    <n v="1402"/>
    <n v="244"/>
    <n v="33140.85"/>
    <n v="1525"/>
    <n v="62562"/>
    <n v="1319.1564072369126"/>
    <n v="134"/>
  </r>
  <r>
    <s v="CAMP0043"/>
    <x v="13"/>
    <d v="2024-06-08T00:00:00"/>
    <d v="2024-01-10T00:00:00"/>
    <x v="3"/>
    <n v="26655.74"/>
    <n v="528"/>
    <n v="442"/>
    <n v="23244.080000000002"/>
    <n v="8123"/>
    <n v="303553"/>
    <n v="-12.798969377702512"/>
    <n v="150"/>
  </r>
  <r>
    <s v="CAMP0044"/>
    <x v="8"/>
    <d v="2024-01-11T00:00:00"/>
    <d v="2024-01-11T00:00:00"/>
    <x v="1"/>
    <n v="11694.73"/>
    <n v="64"/>
    <n v="246"/>
    <n v="8250.9500000000007"/>
    <n v="6949"/>
    <n v="478317"/>
    <n v="-29.447280954754824"/>
    <n v="0"/>
  </r>
  <r>
    <s v="CAMP0029"/>
    <x v="6"/>
    <d v="2024-05-17T00:00:00"/>
    <d v="2024-01-08T00:00:00"/>
    <x v="1"/>
    <n v="49482.16"/>
    <n v="565"/>
    <n v="473"/>
    <n v="175339.18"/>
    <n v="3347"/>
    <n v="272978"/>
    <n v="254.34827420629978"/>
    <n v="130"/>
  </r>
  <r>
    <s v="CAMP0013"/>
    <x v="9"/>
    <d v="2024-03-18T00:00:00"/>
    <d v="2024-01-07T00:00:00"/>
    <x v="0"/>
    <n v="29147.4"/>
    <n v="240"/>
    <n v="346"/>
    <n v="51112.61"/>
    <n v="2692"/>
    <n v="103192"/>
    <n v="75.359071478073517"/>
    <n v="71"/>
  </r>
  <r>
    <s v="CAMP0012"/>
    <x v="8"/>
    <d v="2024-03-17T00:00:00"/>
    <d v="2024-01-08T00:00:00"/>
    <x v="3"/>
    <n v="7756.38"/>
    <n v="1241"/>
    <n v="153"/>
    <n v="46243.82"/>
    <n v="1590"/>
    <n v="1840"/>
    <n v="496.20364138941102"/>
    <n v="69"/>
  </r>
  <r>
    <s v="CAMP0095"/>
    <x v="11"/>
    <d v="2024-09-10T00:00:00"/>
    <d v="2024-01-04T00:00:00"/>
    <x v="2"/>
    <n v="34749.360000000001"/>
    <n v="1594"/>
    <n v="240"/>
    <n v="148526.9"/>
    <n v="1324"/>
    <n v="211481"/>
    <n v="327.42341153909018"/>
    <n v="250"/>
  </r>
  <r>
    <s v="CAMP0046"/>
    <x v="7"/>
    <d v="2024-09-14T00:00:00"/>
    <d v="2024-01-06T00:00:00"/>
    <x v="0"/>
    <n v="44989.43"/>
    <n v="670"/>
    <n v="310"/>
    <n v="67403.14"/>
    <n v="2687"/>
    <n v="32568"/>
    <n v="49.819946596344963"/>
    <n v="252"/>
  </r>
  <r>
    <s v="CAMP0002"/>
    <x v="1"/>
    <d v="2024-11-15T00:00:00"/>
    <d v="2024-01-05T00:00:00"/>
    <x v="0"/>
    <n v="37513.800000000003"/>
    <n v="1210"/>
    <n v="482"/>
    <n v="103678.72"/>
    <n v="7814"/>
    <n v="273990"/>
    <n v="176.37488071056515"/>
    <n v="315"/>
  </r>
  <r>
    <s v="CAMP0035"/>
    <x v="9"/>
    <d v="2024-10-17T00:00:00"/>
    <d v="2024-01-09T00:00:00"/>
    <x v="2"/>
    <n v="4745.55"/>
    <n v="203"/>
    <n v="171"/>
    <n v="36689.660000000003"/>
    <n v="3164"/>
    <n v="137971"/>
    <n v="673.13820315874887"/>
    <n v="282"/>
  </r>
  <r>
    <s v="CAMP0087"/>
    <x v="11"/>
    <d v="2024-09-19T00:00:00"/>
    <d v="2024-01-11T00:00:00"/>
    <x v="0"/>
    <n v="44898.32"/>
    <n v="1461"/>
    <n v="24"/>
    <n v="192150.42"/>
    <n v="7904"/>
    <n v="87038"/>
    <n v="327.96795069392351"/>
    <n v="252"/>
  </r>
  <r>
    <s v="CAMP0081"/>
    <x v="2"/>
    <d v="2024-03-25T00:00:00"/>
    <d v="2024-01-07T00:00:00"/>
    <x v="3"/>
    <n v="39902.54"/>
    <n v="1282"/>
    <n v="220"/>
    <n v="171058.37"/>
    <n v="932"/>
    <n v="198173"/>
    <n v="328.69042923082088"/>
    <n v="78"/>
  </r>
  <r>
    <s v="CAMP0090"/>
    <x v="0"/>
    <d v="2024-05-25T00:00:00"/>
    <d v="2024-01-08T00:00:00"/>
    <x v="1"/>
    <n v="8756.89"/>
    <n v="321"/>
    <n v="347"/>
    <n v="173438.98"/>
    <n v="2540"/>
    <n v="432989"/>
    <n v="1880.6001902501919"/>
    <n v="138"/>
  </r>
  <r>
    <s v="CAMP0008"/>
    <x v="4"/>
    <d v="2024-11-18T00:00:00"/>
    <d v="2024-01-04T00:00:00"/>
    <x v="3"/>
    <n v="3537.51"/>
    <n v="192"/>
    <n v="139"/>
    <n v="84320.88"/>
    <n v="4895"/>
    <n v="130789"/>
    <n v="2283.6223784526405"/>
    <n v="319"/>
  </r>
  <r>
    <s v="CAMP0093"/>
    <x v="12"/>
    <d v="2024-02-11T00:00:00"/>
    <d v="2024-01-05T00:00:00"/>
    <x v="2"/>
    <n v="28308.22"/>
    <n v="1684"/>
    <n v="397"/>
    <n v="153660.44"/>
    <n v="1746"/>
    <n v="370604"/>
    <n v="442.81208779640684"/>
    <n v="37"/>
  </r>
  <r>
    <s v="CAMP0026"/>
    <x v="7"/>
    <d v="2024-05-04T00:00:00"/>
    <d v="2024-01-05T00:00:00"/>
    <x v="2"/>
    <n v="8645.75"/>
    <n v="1962"/>
    <n v="133"/>
    <n v="33055.85"/>
    <n v="540"/>
    <n v="75723"/>
    <n v="282.33640806176442"/>
    <n v="120"/>
  </r>
  <r>
    <s v="CAMP0074"/>
    <x v="8"/>
    <d v="2024-06-15T00:00:00"/>
    <d v="2024-01-11T00:00:00"/>
    <x v="0"/>
    <n v="41894.959999999999"/>
    <n v="1893"/>
    <n v="414"/>
    <n v="6680.71"/>
    <n v="6056"/>
    <n v="466978"/>
    <n v="-84.053666598559829"/>
    <n v="156"/>
  </r>
  <r>
    <s v="CAMP0090"/>
    <x v="13"/>
    <d v="2024-08-28T00:00:00"/>
    <d v="2024-01-09T00:00:00"/>
    <x v="3"/>
    <n v="18558.400000000001"/>
    <n v="1142"/>
    <n v="426"/>
    <n v="8894.7199999999993"/>
    <n v="9821"/>
    <n v="239755"/>
    <n v="-52.071730321579459"/>
    <n v="232"/>
  </r>
  <r>
    <s v="CAMP0034"/>
    <x v="6"/>
    <d v="2024-10-06T00:00:00"/>
    <d v="2024-01-10T00:00:00"/>
    <x v="3"/>
    <n v="45731.73"/>
    <n v="296"/>
    <n v="298"/>
    <n v="119387.34"/>
    <n v="2467"/>
    <n v="367338"/>
    <n v="161.06018731414704"/>
    <n v="270"/>
  </r>
  <r>
    <s v="CAMP0007"/>
    <x v="12"/>
    <d v="2024-07-06T00:00:00"/>
    <d v="2024-01-11T00:00:00"/>
    <x v="2"/>
    <n v="28718.720000000001"/>
    <n v="1334"/>
    <n v="250"/>
    <n v="93802.01"/>
    <n v="6796"/>
    <n v="374561"/>
    <n v="226.62322694047643"/>
    <n v="177"/>
  </r>
  <r>
    <s v="CAMP0068"/>
    <x v="3"/>
    <d v="2024-10-28T00:00:00"/>
    <d v="2024-01-08T00:00:00"/>
    <x v="3"/>
    <n v="9950.9500000000007"/>
    <n v="837"/>
    <n v="193"/>
    <n v="106012.99"/>
    <n v="5290"/>
    <n v="398527"/>
    <n v="965.35546857335225"/>
    <n v="294"/>
  </r>
  <r>
    <s v="CAMP0058"/>
    <x v="6"/>
    <d v="2024-01-19T00:00:00"/>
    <d v="2024-01-06T00:00:00"/>
    <x v="2"/>
    <n v="7840.34"/>
    <n v="128"/>
    <n v="48"/>
    <n v="6455.31"/>
    <n v="4763"/>
    <n v="241822"/>
    <n v="-17.66543287663545"/>
    <n v="13"/>
  </r>
  <r>
    <s v="CAMP0075"/>
    <x v="8"/>
    <d v="2024-03-08T00:00:00"/>
    <d v="2024-01-03T00:00:00"/>
    <x v="3"/>
    <n v="29247.15"/>
    <n v="1731"/>
    <n v="90"/>
    <n v="87423.89"/>
    <n v="7162"/>
    <n v="57888"/>
    <n v="198.91421899227785"/>
    <n v="65"/>
  </r>
  <r>
    <s v="CAMP0029"/>
    <x v="4"/>
    <d v="2024-08-05T00:00:00"/>
    <d v="2024-01-10T00:00:00"/>
    <x v="3"/>
    <n v="38332.300000000003"/>
    <n v="672"/>
    <n v="48"/>
    <n v="145023.29"/>
    <n v="4431"/>
    <n v="304760"/>
    <n v="278.33182459701089"/>
    <n v="208"/>
  </r>
  <r>
    <s v="CAMP0036"/>
    <x v="14"/>
    <d v="2024-04-11T00:00:00"/>
    <d v="2024-01-09T00:00:00"/>
    <x v="3"/>
    <n v="39293.78"/>
    <n v="1843"/>
    <n v="334"/>
    <n v="91325.27"/>
    <n v="9596"/>
    <n v="184206"/>
    <n v="132.41660639419268"/>
    <n v="93"/>
  </r>
  <r>
    <s v="CAMP0089"/>
    <x v="6"/>
    <d v="2024-02-11T00:00:00"/>
    <d v="2024-01-04T00:00:00"/>
    <x v="2"/>
    <n v="14512.11"/>
    <n v="1678"/>
    <n v="379"/>
    <n v="147782.75"/>
    <n v="3134"/>
    <n v="485441"/>
    <n v="918.3408890919377"/>
    <n v="38"/>
  </r>
  <r>
    <s v="CAMP0021"/>
    <x v="14"/>
    <d v="2024-10-14T00:00:00"/>
    <d v="2024-01-10T00:00:00"/>
    <x v="0"/>
    <n v="11008.09"/>
    <n v="574"/>
    <n v="450"/>
    <n v="50438.7"/>
    <n v="9477"/>
    <n v="269227"/>
    <n v="358.19665355206945"/>
    <n v="278"/>
  </r>
  <r>
    <s v="CAMP0036"/>
    <x v="0"/>
    <d v="2024-06-15T00:00:00"/>
    <d v="2024-01-07T00:00:00"/>
    <x v="3"/>
    <n v="1821.06"/>
    <n v="821"/>
    <n v="382"/>
    <n v="163562.69"/>
    <n v="3362"/>
    <n v="144670"/>
    <n v="8881.7298716132373"/>
    <n v="160"/>
  </r>
  <r>
    <s v="CAMP0010"/>
    <x v="4"/>
    <d v="2024-04-18T00:00:00"/>
    <d v="2024-01-09T00:00:00"/>
    <x v="2"/>
    <n v="34280.76"/>
    <n v="987"/>
    <n v="394"/>
    <n v="119744.09"/>
    <n v="2207"/>
    <n v="345620"/>
    <n v="249.30407027148755"/>
    <n v="100"/>
  </r>
  <r>
    <s v="CAMP0073"/>
    <x v="9"/>
    <d v="2024-02-05T00:00:00"/>
    <d v="2024-01-06T00:00:00"/>
    <x v="2"/>
    <n v="4751.84"/>
    <n v="1694"/>
    <n v="149"/>
    <n v="46098.8"/>
    <n v="7136"/>
    <n v="93416"/>
    <n v="870.12525674265135"/>
    <n v="30"/>
  </r>
  <r>
    <s v="CAMP0024"/>
    <x v="11"/>
    <d v="2024-08-19T00:00:00"/>
    <d v="2024-01-07T00:00:00"/>
    <x v="3"/>
    <n v="21617.3"/>
    <n v="1403"/>
    <n v="55"/>
    <n v="51160.49"/>
    <n v="4420"/>
    <n v="265724"/>
    <n v="136.66456958084495"/>
    <n v="225"/>
  </r>
  <r>
    <s v="CAMP0064"/>
    <x v="3"/>
    <d v="2024-08-16T00:00:00"/>
    <d v="2024-01-10T00:00:00"/>
    <x v="3"/>
    <n v="30482.43"/>
    <n v="1262"/>
    <n v="246"/>
    <n v="127465.94"/>
    <n v="6038"/>
    <n v="123834"/>
    <n v="318.16200348856705"/>
    <n v="219"/>
  </r>
  <r>
    <s v="CAMP0099"/>
    <x v="5"/>
    <d v="2024-12-18T00:00:00"/>
    <d v="2024-01-03T00:00:00"/>
    <x v="0"/>
    <n v="46918.34"/>
    <n v="1168"/>
    <n v="298"/>
    <n v="166838.22"/>
    <n v="2847"/>
    <n v="113148"/>
    <n v="255.59275967564074"/>
    <n v="350"/>
  </r>
  <r>
    <s v="CAMP0049"/>
    <x v="8"/>
    <d v="2024-06-12T00:00:00"/>
    <d v="2024-01-03T00:00:00"/>
    <x v="2"/>
    <n v="16278.3"/>
    <n v="666"/>
    <n v="412"/>
    <n v="86047.42"/>
    <n v="4777"/>
    <n v="189467"/>
    <n v="428.60200389475563"/>
    <n v="161"/>
  </r>
  <r>
    <s v="CAMP0099"/>
    <x v="10"/>
    <d v="2024-03-13T00:00:00"/>
    <d v="2024-01-06T00:00:00"/>
    <x v="2"/>
    <n v="13238.84"/>
    <n v="1081"/>
    <n v="55"/>
    <n v="55368.58"/>
    <n v="8072"/>
    <n v="305465"/>
    <n v="318.22833420450741"/>
    <n v="67"/>
  </r>
  <r>
    <s v="CAMP0036"/>
    <x v="5"/>
    <d v="2024-05-15T00:00:00"/>
    <d v="2024-01-05T00:00:00"/>
    <x v="1"/>
    <n v="33053.85"/>
    <n v="116"/>
    <n v="270"/>
    <n v="174067.26"/>
    <n v="4364"/>
    <n v="272530"/>
    <n v="426.61720192957853"/>
    <n v="131"/>
  </r>
  <r>
    <s v="CAMP0082"/>
    <x v="6"/>
    <d v="2024-12-18T00:00:00"/>
    <d v="2024-01-04T00:00:00"/>
    <x v="2"/>
    <n v="31342.71"/>
    <n v="1569"/>
    <n v="124"/>
    <n v="135507.32"/>
    <n v="3233"/>
    <n v="316315"/>
    <n v="332.34078993169391"/>
    <n v="349"/>
  </r>
  <r>
    <s v="CAMP0096"/>
    <x v="12"/>
    <d v="2024-03-10T00:00:00"/>
    <d v="2024-01-05T00:00:00"/>
    <x v="0"/>
    <n v="17273.38"/>
    <n v="240"/>
    <n v="204"/>
    <n v="92376.67"/>
    <n v="1565"/>
    <n v="151594"/>
    <n v="434.79209048836987"/>
    <n v="65"/>
  </r>
  <r>
    <s v="CAMP0024"/>
    <x v="8"/>
    <d v="2024-07-14T00:00:00"/>
    <d v="2024-01-03T00:00:00"/>
    <x v="1"/>
    <n v="46476.99"/>
    <n v="1439"/>
    <n v="409"/>
    <n v="100140.54"/>
    <n v="4209"/>
    <n v="197604"/>
    <n v="115.46261924449067"/>
    <n v="193"/>
  </r>
  <r>
    <s v="CAMP0023"/>
    <x v="11"/>
    <d v="2024-09-25T00:00:00"/>
    <d v="2024-01-03T00:00:00"/>
    <x v="1"/>
    <n v="42398.25"/>
    <n v="817"/>
    <n v="252"/>
    <n v="44830.01"/>
    <n v="2311"/>
    <n v="485976"/>
    <n v="5.7355197443290749"/>
    <n v="266"/>
  </r>
  <r>
    <s v="CAMP0062"/>
    <x v="2"/>
    <d v="2024-02-18T00:00:00"/>
    <d v="2024-01-08T00:00:00"/>
    <x v="1"/>
    <n v="11975.14"/>
    <n v="570"/>
    <n v="74"/>
    <n v="127226.51"/>
    <n v="5639"/>
    <n v="408851"/>
    <n v="962.42190070429251"/>
    <n v="41"/>
  </r>
  <r>
    <s v="CAMP0096"/>
    <x v="11"/>
    <d v="2024-11-11T00:00:00"/>
    <d v="2024-01-07T00:00:00"/>
    <x v="3"/>
    <n v="12717.98"/>
    <n v="1039"/>
    <n v="345"/>
    <n v="74954.789999999994"/>
    <n v="9835"/>
    <n v="394887"/>
    <n v="489.36081044316791"/>
    <n v="309"/>
  </r>
  <r>
    <s v="CAMP0037"/>
    <x v="10"/>
    <d v="2024-05-09T00:00:00"/>
    <d v="2024-01-10T00:00:00"/>
    <x v="3"/>
    <n v="26102.720000000001"/>
    <n v="1190"/>
    <n v="61"/>
    <n v="199150.81"/>
    <n v="1789"/>
    <n v="34545"/>
    <n v="662.95041283054024"/>
    <n v="120"/>
  </r>
  <r>
    <s v="CAMP0012"/>
    <x v="3"/>
    <d v="2024-01-05T00:00:00"/>
    <d v="2024-01-04T00:00:00"/>
    <x v="2"/>
    <n v="38905.03"/>
    <n v="316"/>
    <n v="386"/>
    <n v="98635.79"/>
    <n v="9863"/>
    <n v="186151"/>
    <n v="153.52965927542016"/>
    <n v="1"/>
  </r>
  <r>
    <s v="CAMP0055"/>
    <x v="11"/>
    <d v="2024-01-27T00:00:00"/>
    <d v="2024-01-06T00:00:00"/>
    <x v="1"/>
    <n v="3157.98"/>
    <n v="1684"/>
    <n v="43"/>
    <n v="99747.69"/>
    <n v="7827"/>
    <n v="289999"/>
    <n v="3058.5915680276635"/>
    <n v="21"/>
  </r>
  <r>
    <s v="CAMP0013"/>
    <x v="13"/>
    <d v="2024-06-08T00:00:00"/>
    <d v="2024-01-10T00:00:00"/>
    <x v="0"/>
    <n v="34973.42"/>
    <n v="534"/>
    <n v="476"/>
    <n v="115341.1"/>
    <n v="7864"/>
    <n v="36790"/>
    <n v="229.79645685208942"/>
    <n v="150"/>
  </r>
  <r>
    <s v="CAMP0023"/>
    <x v="2"/>
    <d v="2024-05-28T00:00:00"/>
    <d v="2024-01-08T00:00:00"/>
    <x v="3"/>
    <n v="32763.56"/>
    <n v="1582"/>
    <n v="293"/>
    <n v="183767.42"/>
    <n v="4641"/>
    <n v="52012"/>
    <n v="460.88965912129208"/>
    <n v="141"/>
  </r>
  <r>
    <s v="CAMP0089"/>
    <x v="5"/>
    <d v="2024-09-20T00:00:00"/>
    <d v="2024-01-03T00:00:00"/>
    <x v="0"/>
    <n v="12342.52"/>
    <n v="1371"/>
    <n v="447"/>
    <n v="161159.53"/>
    <n v="3641"/>
    <n v="118827"/>
    <n v="1205.7263022462187"/>
    <n v="261"/>
  </r>
  <r>
    <s v="CAMP0099"/>
    <x v="9"/>
    <d v="2024-08-17T00:00:00"/>
    <d v="2024-01-06T00:00:00"/>
    <x v="0"/>
    <n v="34386.300000000003"/>
    <n v="1982"/>
    <n v="22"/>
    <n v="92970.36"/>
    <n v="918"/>
    <n v="261123"/>
    <n v="170.37035098280418"/>
    <n v="224"/>
  </r>
  <r>
    <s v="CAMP0030"/>
    <x v="0"/>
    <d v="2024-07-18T00:00:00"/>
    <d v="2024-01-03T00:00:00"/>
    <x v="3"/>
    <n v="47068.98"/>
    <n v="1237"/>
    <n v="444"/>
    <n v="145146.35999999999"/>
    <n v="4621"/>
    <n v="15260"/>
    <n v="208.36946116104485"/>
    <n v="197"/>
  </r>
  <r>
    <s v="CAMP0017"/>
    <x v="13"/>
    <d v="2024-02-19T00:00:00"/>
    <d v="2024-01-04T00:00:00"/>
    <x v="3"/>
    <n v="3292.51"/>
    <n v="425"/>
    <n v="224"/>
    <n v="119315.92"/>
    <n v="1224"/>
    <n v="197211"/>
    <n v="3523.859001187544"/>
    <n v="46"/>
  </r>
  <r>
    <s v="CAMP0062"/>
    <x v="1"/>
    <d v="2024-03-07T00:00:00"/>
    <d v="2024-01-07T00:00:00"/>
    <x v="3"/>
    <n v="16662.95"/>
    <n v="702"/>
    <n v="317"/>
    <n v="101011.57"/>
    <n v="5760"/>
    <n v="264218"/>
    <n v="506.20460362660873"/>
    <n v="60"/>
  </r>
  <r>
    <s v="CAMP0084"/>
    <x v="2"/>
    <d v="2024-10-26T00:00:00"/>
    <d v="2024-01-10T00:00:00"/>
    <x v="3"/>
    <n v="22470.66"/>
    <n v="1341"/>
    <n v="248"/>
    <n v="42501.58"/>
    <n v="5741"/>
    <n v="436892"/>
    <n v="89.142553000223415"/>
    <n v="290"/>
  </r>
  <r>
    <s v="CAMP0089"/>
    <x v="9"/>
    <d v="2024-02-27T00:00:00"/>
    <d v="2024-01-10T00:00:00"/>
    <x v="1"/>
    <n v="45063.76"/>
    <n v="598"/>
    <n v="356"/>
    <n v="95467.57"/>
    <n v="1229"/>
    <n v="141547"/>
    <n v="111.84998766192614"/>
    <n v="48"/>
  </r>
  <r>
    <s v="CAMP0086"/>
    <x v="9"/>
    <d v="2024-09-15T00:00:00"/>
    <d v="2024-01-05T00:00:00"/>
    <x v="1"/>
    <n v="48150.81"/>
    <n v="1147"/>
    <n v="464"/>
    <n v="52934.62"/>
    <n v="1802"/>
    <n v="210486"/>
    <n v="9.935056128858486"/>
    <n v="254"/>
  </r>
  <r>
    <s v="CAMP0013"/>
    <x v="8"/>
    <d v="2024-12-07T00:00:00"/>
    <d v="2024-01-06T00:00:00"/>
    <x v="1"/>
    <n v="22761.65"/>
    <n v="1581"/>
    <n v="308"/>
    <n v="183394.22"/>
    <n v="2101"/>
    <n v="147192"/>
    <n v="705.71584221706246"/>
    <n v="336"/>
  </r>
  <r>
    <s v="CAMP0059"/>
    <x v="2"/>
    <d v="2024-11-21T00:00:00"/>
    <d v="2024-01-08T00:00:00"/>
    <x v="1"/>
    <n v="37751.39"/>
    <n v="122"/>
    <n v="302"/>
    <n v="70404.33"/>
    <n v="7012"/>
    <n v="417363"/>
    <n v="86.494669467799739"/>
    <n v="318"/>
  </r>
  <r>
    <s v="CAMP0019"/>
    <x v="3"/>
    <d v="2024-05-09T00:00:00"/>
    <d v="2024-01-05T00:00:00"/>
    <x v="2"/>
    <n v="27051.39"/>
    <n v="357"/>
    <n v="287"/>
    <n v="190691.48"/>
    <n v="3978"/>
    <n v="265130"/>
    <n v="604.92303722655299"/>
    <n v="125"/>
  </r>
  <r>
    <s v="CAMP0049"/>
    <x v="6"/>
    <d v="2024-08-02T00:00:00"/>
    <d v="2024-01-04T00:00:00"/>
    <x v="1"/>
    <n v="27351.360000000001"/>
    <n v="248"/>
    <n v="78"/>
    <n v="108945.78"/>
    <n v="7332"/>
    <n v="241201"/>
    <n v="298.31942543259277"/>
    <n v="211"/>
  </r>
  <r>
    <s v="CAMP0100"/>
    <x v="10"/>
    <d v="2024-06-20T00:00:00"/>
    <d v="2024-01-08T00:00:00"/>
    <x v="3"/>
    <n v="14626.88"/>
    <n v="1203"/>
    <n v="114"/>
    <n v="128151.15"/>
    <n v="6431"/>
    <n v="164502"/>
    <n v="776.13455501104806"/>
    <n v="164"/>
  </r>
  <r>
    <s v="CAMP0012"/>
    <x v="1"/>
    <d v="2024-09-14T00:00:00"/>
    <d v="2024-01-07T00:00:00"/>
    <x v="0"/>
    <n v="11630.86"/>
    <n v="1831"/>
    <n v="184"/>
    <n v="110873.39"/>
    <n v="6135"/>
    <n v="239569"/>
    <n v="853.26906178906802"/>
    <n v="251"/>
  </r>
  <r>
    <s v="CAMP0061"/>
    <x v="10"/>
    <d v="2024-04-11T00:00:00"/>
    <d v="2024-01-07T00:00:00"/>
    <x v="1"/>
    <n v="15112.26"/>
    <n v="1897"/>
    <n v="430"/>
    <n v="30229.22"/>
    <n v="6623"/>
    <n v="56479"/>
    <n v="100.03110057661793"/>
    <n v="95"/>
  </r>
  <r>
    <s v="CAMP0019"/>
    <x v="5"/>
    <d v="2024-07-27T00:00:00"/>
    <d v="2024-01-07T00:00:00"/>
    <x v="2"/>
    <n v="28260.07"/>
    <n v="621"/>
    <n v="36"/>
    <n v="78285.14"/>
    <n v="8211"/>
    <n v="477182"/>
    <n v="177.01679436745908"/>
    <n v="202"/>
  </r>
  <r>
    <s v="CAMP0076"/>
    <x v="5"/>
    <d v="2024-10-17T00:00:00"/>
    <d v="2024-01-07T00:00:00"/>
    <x v="3"/>
    <n v="2428.6"/>
    <n v="840"/>
    <n v="238"/>
    <n v="24333.49"/>
    <n v="8836"/>
    <n v="393977"/>
    <n v="901.9554475829699"/>
    <n v="284"/>
  </r>
  <r>
    <s v="CAMP0009"/>
    <x v="10"/>
    <d v="2024-12-19T00:00:00"/>
    <d v="2024-01-05T00:00:00"/>
    <x v="0"/>
    <n v="45455.199999999997"/>
    <n v="1688"/>
    <n v="286"/>
    <n v="126476.04"/>
    <n v="2501"/>
    <n v="265320"/>
    <n v="178.24328129674933"/>
    <n v="349"/>
  </r>
  <r>
    <s v="CAMP0071"/>
    <x v="11"/>
    <d v="2024-10-12T00:00:00"/>
    <d v="2024-01-09T00:00:00"/>
    <x v="0"/>
    <n v="8657.9"/>
    <n v="1881"/>
    <n v="29"/>
    <n v="92140.47"/>
    <n v="9581"/>
    <n v="85258"/>
    <n v="964.23578465909759"/>
    <n v="277"/>
  </r>
  <r>
    <s v="CAMP0028"/>
    <x v="3"/>
    <d v="2024-04-25T00:00:00"/>
    <d v="2024-01-08T00:00:00"/>
    <x v="1"/>
    <n v="11784.35"/>
    <n v="1905"/>
    <n v="335"/>
    <n v="156707.07"/>
    <n v="9074"/>
    <n v="240423"/>
    <n v="1229.7896786840174"/>
    <n v="108"/>
  </r>
  <r>
    <s v="CAMP0078"/>
    <x v="14"/>
    <d v="2024-09-20T00:00:00"/>
    <d v="2024-01-06T00:00:00"/>
    <x v="0"/>
    <n v="26395.53"/>
    <n v="1560"/>
    <n v="283"/>
    <n v="47991.74"/>
    <n v="639"/>
    <n v="378332"/>
    <n v="81.817678978220926"/>
    <n v="258"/>
  </r>
  <r>
    <s v="CAMP0095"/>
    <x v="11"/>
    <d v="2024-05-29T00:00:00"/>
    <d v="2024-01-04T00:00:00"/>
    <x v="1"/>
    <n v="35795.620000000003"/>
    <n v="1926"/>
    <n v="230"/>
    <n v="37090.379999999997"/>
    <n v="5715"/>
    <n v="85153"/>
    <n v="3.6170905825908157"/>
    <n v="146"/>
  </r>
  <r>
    <s v="CAMP0052"/>
    <x v="12"/>
    <d v="2024-10-26T00:00:00"/>
    <d v="2024-01-11T00:00:00"/>
    <x v="1"/>
    <n v="5690.72"/>
    <n v="1224"/>
    <n v="61"/>
    <n v="84234.79"/>
    <n v="3056"/>
    <n v="193990"/>
    <n v="1380.2132243371664"/>
    <n v="289"/>
  </r>
  <r>
    <s v="CAMP0083"/>
    <x v="11"/>
    <d v="2024-02-05T00:00:00"/>
    <d v="2024-01-03T00:00:00"/>
    <x v="3"/>
    <n v="16567.04"/>
    <n v="1742"/>
    <n v="184"/>
    <n v="185684.15"/>
    <n v="8177"/>
    <n v="260642"/>
    <n v="1020.8046217067139"/>
    <n v="33"/>
  </r>
  <r>
    <s v="CAMP0016"/>
    <x v="0"/>
    <d v="2024-11-28T00:00:00"/>
    <d v="2024-01-06T00:00:00"/>
    <x v="3"/>
    <n v="48465.06"/>
    <n v="1279"/>
    <n v="236"/>
    <n v="143532.25"/>
    <n v="3822"/>
    <n v="421331"/>
    <n v="196.15613805079371"/>
    <n v="327"/>
  </r>
  <r>
    <s v="CAMP0069"/>
    <x v="7"/>
    <d v="2024-10-13T00:00:00"/>
    <d v="2024-01-03T00:00:00"/>
    <x v="2"/>
    <n v="13854.81"/>
    <n v="228"/>
    <n v="386"/>
    <n v="86690.11"/>
    <n v="5187"/>
    <n v="234984"/>
    <n v="525.70406956140141"/>
    <n v="284"/>
  </r>
  <r>
    <s v="CAMP0099"/>
    <x v="6"/>
    <d v="2024-10-29T00:00:00"/>
    <d v="2024-01-08T00:00:00"/>
    <x v="3"/>
    <n v="16339.46"/>
    <n v="246"/>
    <n v="347"/>
    <n v="105868.07"/>
    <n v="6560"/>
    <n v="78442"/>
    <n v="547.92881772102635"/>
    <n v="295"/>
  </r>
  <r>
    <s v="CAMP0012"/>
    <x v="0"/>
    <d v="2024-11-06T00:00:00"/>
    <d v="2024-01-06T00:00:00"/>
    <x v="3"/>
    <n v="41988.43"/>
    <n v="784"/>
    <n v="481"/>
    <n v="21421.54"/>
    <n v="2270"/>
    <n v="303146"/>
    <n v="-48.982279165951191"/>
    <n v="305"/>
  </r>
  <r>
    <s v="CAMP0025"/>
    <x v="8"/>
    <d v="2024-07-26T00:00:00"/>
    <d v="2024-01-07T00:00:00"/>
    <x v="1"/>
    <n v="3460.51"/>
    <n v="138"/>
    <n v="291"/>
    <n v="196992.3"/>
    <n v="3491"/>
    <n v="58124"/>
    <n v="5592.5799954341983"/>
    <n v="201"/>
  </r>
  <r>
    <s v="CAMP0052"/>
    <x v="7"/>
    <d v="2024-04-15T00:00:00"/>
    <d v="2024-01-07T00:00:00"/>
    <x v="3"/>
    <n v="23766.05"/>
    <n v="848"/>
    <n v="68"/>
    <n v="134949.42000000001"/>
    <n v="7042"/>
    <n v="400826"/>
    <n v="467.82435448886127"/>
    <n v="99"/>
  </r>
  <r>
    <s v="CAMP0085"/>
    <x v="7"/>
    <d v="2024-06-06T00:00:00"/>
    <d v="2024-01-11T00:00:00"/>
    <x v="1"/>
    <n v="19601.22"/>
    <n v="1507"/>
    <n v="459"/>
    <n v="60653.79"/>
    <n v="1716"/>
    <n v="312896"/>
    <n v="209.43885125517693"/>
    <n v="147"/>
  </r>
  <r>
    <s v="CAMP0100"/>
    <x v="2"/>
    <d v="2024-04-30T00:00:00"/>
    <d v="2024-01-03T00:00:00"/>
    <x v="1"/>
    <n v="16512.75"/>
    <n v="837"/>
    <n v="236"/>
    <n v="119232.64"/>
    <n v="9208"/>
    <n v="260488"/>
    <n v="622.06410198180197"/>
    <n v="118"/>
  </r>
  <r>
    <s v="CAMP0053"/>
    <x v="3"/>
    <d v="2024-02-24T00:00:00"/>
    <d v="2024-01-04T00:00:00"/>
    <x v="3"/>
    <n v="14999.28"/>
    <n v="797"/>
    <n v="293"/>
    <n v="26349.06"/>
    <n v="6558"/>
    <n v="79947"/>
    <n v="75.668832103940986"/>
    <n v="51"/>
  </r>
  <r>
    <s v="CAMP0023"/>
    <x v="3"/>
    <d v="2024-01-12T00:00:00"/>
    <d v="2024-01-08T00:00:00"/>
    <x v="2"/>
    <n v="5477.33"/>
    <n v="1256"/>
    <n v="217"/>
    <n v="193338.15"/>
    <n v="2856"/>
    <n v="382116"/>
    <n v="3429.7882362391897"/>
    <n v="4"/>
  </r>
  <r>
    <s v="CAMP0016"/>
    <x v="7"/>
    <d v="2024-05-24T00:00:00"/>
    <d v="2024-01-07T00:00:00"/>
    <x v="2"/>
    <n v="16426.47"/>
    <n v="258"/>
    <n v="262"/>
    <n v="39083.07"/>
    <n v="6953"/>
    <n v="337860"/>
    <n v="137.92738184162511"/>
    <n v="138"/>
  </r>
  <r>
    <s v="CAMP0057"/>
    <x v="12"/>
    <d v="2024-05-15T00:00:00"/>
    <d v="2024-01-09T00:00:00"/>
    <x v="0"/>
    <n v="3109.57"/>
    <n v="542"/>
    <n v="22"/>
    <n v="131365.91"/>
    <n v="7809"/>
    <n v="442209"/>
    <n v="4124.5683486784346"/>
    <n v="127"/>
  </r>
  <r>
    <s v="CAMP0039"/>
    <x v="11"/>
    <d v="2024-01-03T00:00:00"/>
    <d v="2024-01-05T00:00:00"/>
    <x v="0"/>
    <n v="39267.230000000003"/>
    <n v="1203"/>
    <n v="179"/>
    <n v="52863.62"/>
    <n v="2036"/>
    <n v="273217"/>
    <n v="34.625284238282141"/>
    <n v="2"/>
  </r>
  <r>
    <s v="CAMP0053"/>
    <x v="2"/>
    <d v="2024-05-23T00:00:00"/>
    <d v="2024-01-05T00:00:00"/>
    <x v="3"/>
    <n v="20513.16"/>
    <n v="714"/>
    <n v="421"/>
    <n v="144924.47"/>
    <n v="3191"/>
    <n v="300395"/>
    <n v="606.49509875611557"/>
    <n v="139"/>
  </r>
  <r>
    <s v="CAMP0042"/>
    <x v="6"/>
    <d v="2024-01-30T00:00:00"/>
    <d v="2024-01-04T00:00:00"/>
    <x v="2"/>
    <n v="22751.29"/>
    <n v="1086"/>
    <n v="233"/>
    <n v="156480.17000000001"/>
    <n v="1068"/>
    <n v="97496"/>
    <n v="587.78592334764312"/>
    <n v="26"/>
  </r>
  <r>
    <s v="CAMP0058"/>
    <x v="7"/>
    <d v="2024-08-24T00:00:00"/>
    <d v="2024-01-05T00:00:00"/>
    <x v="1"/>
    <n v="44786.13"/>
    <n v="1707"/>
    <n v="230"/>
    <n v="136316.85"/>
    <n v="7397"/>
    <n v="203509"/>
    <n v="204.37291634709229"/>
    <n v="232"/>
  </r>
  <r>
    <s v="CAMP0039"/>
    <x v="13"/>
    <d v="2024-10-05T00:00:00"/>
    <d v="2024-01-03T00:00:00"/>
    <x v="0"/>
    <n v="33244.69"/>
    <n v="920"/>
    <n v="88"/>
    <n v="124827.39"/>
    <n v="3303"/>
    <n v="302041"/>
    <n v="275.48068578771523"/>
    <n v="276"/>
  </r>
  <r>
    <s v="CAMP0014"/>
    <x v="5"/>
    <d v="2024-12-13T00:00:00"/>
    <d v="2024-01-07T00:00:00"/>
    <x v="1"/>
    <n v="1394.9"/>
    <n v="781"/>
    <n v="295"/>
    <n v="179031.47"/>
    <n v="6599"/>
    <n v="445122"/>
    <n v="12734.717184027528"/>
    <n v="341"/>
  </r>
  <r>
    <s v="CAMP0095"/>
    <x v="5"/>
    <d v="2024-04-24T00:00:00"/>
    <d v="2024-01-07T00:00:00"/>
    <x v="0"/>
    <n v="47215.57"/>
    <n v="1179"/>
    <n v="439"/>
    <n v="20332.21"/>
    <n v="5273"/>
    <n v="314760"/>
    <n v="-56.937489052869637"/>
    <n v="108"/>
  </r>
  <r>
    <s v="CAMP0005"/>
    <x v="0"/>
    <d v="2024-04-13T00:00:00"/>
    <d v="2024-01-09T00:00:00"/>
    <x v="3"/>
    <n v="12620.08"/>
    <n v="1448"/>
    <n v="374"/>
    <n v="69528.38"/>
    <n v="989"/>
    <n v="263037"/>
    <n v="450.93454241177557"/>
    <n v="95"/>
  </r>
  <r>
    <s v="CAMP0035"/>
    <x v="8"/>
    <d v="2024-04-27T00:00:00"/>
    <d v="2024-01-06T00:00:00"/>
    <x v="2"/>
    <n v="6273.1"/>
    <n v="1655"/>
    <n v="250"/>
    <n v="53416.06"/>
    <n v="9084"/>
    <n v="267626"/>
    <n v="751.5097798536608"/>
    <n v="112"/>
  </r>
  <r>
    <s v="CAMP0087"/>
    <x v="4"/>
    <d v="2024-01-05T00:00:00"/>
    <d v="2024-01-05T00:00:00"/>
    <x v="0"/>
    <n v="38638.28"/>
    <n v="1780"/>
    <n v="406"/>
    <n v="197662.72"/>
    <n v="9273"/>
    <n v="371134"/>
    <n v="411.57225425148329"/>
    <n v="0"/>
  </r>
  <r>
    <s v="CAMP0093"/>
    <x v="4"/>
    <d v="2024-12-25T00:00:00"/>
    <d v="2024-01-03T00:00:00"/>
    <x v="2"/>
    <n v="25523.39"/>
    <n v="747"/>
    <n v="114"/>
    <n v="80931.009999999995"/>
    <n v="7482"/>
    <n v="223036"/>
    <n v="217.08566142663651"/>
    <n v="357"/>
  </r>
  <r>
    <s v="CAMP0075"/>
    <x v="5"/>
    <d v="2024-09-04T00:00:00"/>
    <d v="2024-01-10T00:00:00"/>
    <x v="1"/>
    <n v="22254.76"/>
    <n v="1172"/>
    <n v="258"/>
    <n v="147859.48000000001"/>
    <n v="3631"/>
    <n v="467152"/>
    <n v="564.39485305615528"/>
    <n v="238"/>
  </r>
  <r>
    <s v="CAMP0018"/>
    <x v="14"/>
    <d v="2024-12-29T00:00:00"/>
    <d v="2024-01-05T00:00:00"/>
    <x v="3"/>
    <n v="13225.65"/>
    <n v="643"/>
    <n v="92"/>
    <n v="138521.41"/>
    <n v="901"/>
    <n v="171646"/>
    <n v="947.36939205256454"/>
    <n v="359"/>
  </r>
  <r>
    <s v="CAMP0076"/>
    <x v="9"/>
    <d v="2024-11-16T00:00:00"/>
    <d v="2024-01-04T00:00:00"/>
    <x v="2"/>
    <n v="27826.1"/>
    <n v="1660"/>
    <n v="76"/>
    <n v="46355.839999999997"/>
    <n v="8334"/>
    <n v="306428"/>
    <n v="66.591221910364723"/>
    <n v="317"/>
  </r>
  <r>
    <s v="CAMP0009"/>
    <x v="0"/>
    <d v="2024-04-30T00:00:00"/>
    <d v="2024-01-06T00:00:00"/>
    <x v="3"/>
    <n v="14444.85"/>
    <n v="935"/>
    <n v="385"/>
    <n v="51604.55"/>
    <n v="3449"/>
    <n v="336076"/>
    <n v="257.2522386871446"/>
    <n v="115"/>
  </r>
  <r>
    <s v="CAMP0074"/>
    <x v="4"/>
    <d v="2024-10-12T00:00:00"/>
    <d v="2024-01-05T00:00:00"/>
    <x v="2"/>
    <n v="45177.57"/>
    <n v="901"/>
    <n v="34"/>
    <n v="59850.49"/>
    <n v="8105"/>
    <n v="270482"/>
    <n v="32.478329401072251"/>
    <n v="281"/>
  </r>
  <r>
    <s v="CAMP0058"/>
    <x v="5"/>
    <d v="2024-05-28T00:00:00"/>
    <d v="2024-01-03T00:00:00"/>
    <x v="1"/>
    <n v="11545.02"/>
    <n v="1265"/>
    <n v="176"/>
    <n v="85169.82"/>
    <n v="3301"/>
    <n v="174790"/>
    <n v="637.71912045193517"/>
    <n v="146"/>
  </r>
  <r>
    <s v="CAMP0017"/>
    <x v="8"/>
    <d v="2024-03-24T00:00:00"/>
    <d v="2024-01-05T00:00:00"/>
    <x v="1"/>
    <n v="44333.4"/>
    <n v="374"/>
    <n v="313"/>
    <n v="50693.39"/>
    <n v="449"/>
    <n v="144572"/>
    <n v="14.345820532600698"/>
    <n v="79"/>
  </r>
  <r>
    <s v="CAMP0007"/>
    <x v="4"/>
    <d v="2024-08-18T00:00:00"/>
    <d v="2024-01-04T00:00:00"/>
    <x v="3"/>
    <n v="28410.87"/>
    <n v="1028"/>
    <n v="398"/>
    <n v="8832.0400000000009"/>
    <n v="9859"/>
    <n v="143617"/>
    <n v="-68.913165981893542"/>
    <n v="227"/>
  </r>
  <r>
    <s v="CAMP0046"/>
    <x v="11"/>
    <d v="2024-10-14T00:00:00"/>
    <d v="2024-01-10T00:00:00"/>
    <x v="1"/>
    <n v="41595.919999999998"/>
    <n v="1799"/>
    <n v="347"/>
    <n v="176481.65"/>
    <n v="9421"/>
    <n v="62480"/>
    <n v="324.27634729560009"/>
    <n v="278"/>
  </r>
  <r>
    <s v="CAMP0013"/>
    <x v="11"/>
    <d v="2024-06-09T00:00:00"/>
    <d v="2024-01-08T00:00:00"/>
    <x v="0"/>
    <n v="35929.449999999997"/>
    <n v="1900"/>
    <n v="440"/>
    <n v="193293.92"/>
    <n v="683"/>
    <n v="137313"/>
    <n v="437.98185054321743"/>
    <n v="153"/>
  </r>
  <r>
    <s v="CAMP0040"/>
    <x v="3"/>
    <d v="2024-09-28T00:00:00"/>
    <d v="2024-01-11T00:00:00"/>
    <x v="2"/>
    <n v="35138.06"/>
    <n v="1005"/>
    <n v="181"/>
    <n v="71606.23"/>
    <n v="3477"/>
    <n v="221386"/>
    <n v="103.78538257376759"/>
    <n v="261"/>
  </r>
  <r>
    <s v="CAMP0042"/>
    <x v="12"/>
    <d v="2024-02-07T00:00:00"/>
    <d v="2024-01-10T00:00:00"/>
    <x v="1"/>
    <n v="16892.939999999999"/>
    <n v="1540"/>
    <n v="143"/>
    <n v="71008.84"/>
    <n v="6128"/>
    <n v="417037"/>
    <n v="320.34625115580826"/>
    <n v="28"/>
  </r>
  <r>
    <s v="CAMP0009"/>
    <x v="3"/>
    <d v="2024-08-13T00:00:00"/>
    <d v="2024-01-05T00:00:00"/>
    <x v="0"/>
    <n v="12460.95"/>
    <n v="943"/>
    <n v="198"/>
    <n v="6382.9"/>
    <n v="7794"/>
    <n v="5695"/>
    <n v="-48.776778656522986"/>
    <n v="221"/>
  </r>
  <r>
    <s v="CAMP0050"/>
    <x v="6"/>
    <d v="2024-05-21T00:00:00"/>
    <d v="2024-01-07T00:00:00"/>
    <x v="3"/>
    <n v="11333.43"/>
    <n v="1440"/>
    <n v="190"/>
    <n v="137648.88"/>
    <n v="6296"/>
    <n v="209138"/>
    <n v="1114.5385818768018"/>
    <n v="135"/>
  </r>
  <r>
    <s v="CAMP0027"/>
    <x v="7"/>
    <d v="2024-10-18T00:00:00"/>
    <d v="2024-01-09T00:00:00"/>
    <x v="0"/>
    <n v="43002.39"/>
    <n v="1391"/>
    <n v="222"/>
    <n v="165960.78"/>
    <n v="7183"/>
    <n v="15318"/>
    <n v="285.93385158359803"/>
    <n v="283"/>
  </r>
  <r>
    <s v="CAMP0066"/>
    <x v="13"/>
    <d v="2024-05-30T00:00:00"/>
    <d v="2024-01-07T00:00:00"/>
    <x v="3"/>
    <n v="41200.910000000003"/>
    <n v="193"/>
    <n v="168"/>
    <n v="33588.620000000003"/>
    <n v="3501"/>
    <n v="314078"/>
    <n v="-18.476023951898153"/>
    <n v="144"/>
  </r>
  <r>
    <s v="CAMP0005"/>
    <x v="3"/>
    <d v="2024-04-23T00:00:00"/>
    <d v="2024-01-10T00:00:00"/>
    <x v="3"/>
    <n v="22588.1"/>
    <n v="433"/>
    <n v="165"/>
    <n v="36134.94"/>
    <n v="3285"/>
    <n v="416547"/>
    <n v="59.973348798703761"/>
    <n v="104"/>
  </r>
  <r>
    <s v="CAMP0029"/>
    <x v="1"/>
    <d v="2024-08-24T00:00:00"/>
    <d v="2024-01-07T00:00:00"/>
    <x v="2"/>
    <n v="7487.83"/>
    <n v="265"/>
    <n v="435"/>
    <n v="159066.23000000001"/>
    <n v="5385"/>
    <n v="384426"/>
    <n v="2024.3301463841999"/>
    <n v="230"/>
  </r>
  <r>
    <s v="CAMP0037"/>
    <x v="4"/>
    <d v="2024-03-06T00:00:00"/>
    <d v="2024-01-03T00:00:00"/>
    <x v="2"/>
    <n v="19730.36"/>
    <n v="1434"/>
    <n v="17"/>
    <n v="125176.7"/>
    <n v="9454"/>
    <n v="184744"/>
    <n v="534.4369793556732"/>
    <n v="63"/>
  </r>
  <r>
    <s v="CAMP0038"/>
    <x v="14"/>
    <d v="2024-12-26T00:00:00"/>
    <d v="2024-01-07T00:00:00"/>
    <x v="0"/>
    <n v="31347.83"/>
    <n v="373"/>
    <n v="300"/>
    <n v="13747.81"/>
    <n v="6872"/>
    <n v="92891"/>
    <n v="-56.144300897382706"/>
    <n v="354"/>
  </r>
  <r>
    <s v="CAMP0083"/>
    <x v="2"/>
    <d v="2024-12-06T00:00:00"/>
    <d v="2024-01-06T00:00:00"/>
    <x v="2"/>
    <n v="23265.75"/>
    <n v="1088"/>
    <n v="93"/>
    <n v="126396.66"/>
    <n v="8590"/>
    <n v="471076"/>
    <n v="443.27352438670584"/>
    <n v="335"/>
  </r>
  <r>
    <s v="CAMP0008"/>
    <x v="5"/>
    <d v="2024-09-14T00:00:00"/>
    <d v="2024-01-08T00:00:00"/>
    <x v="2"/>
    <n v="39229.269999999997"/>
    <n v="266"/>
    <n v="328"/>
    <n v="65238.96"/>
    <n v="3447"/>
    <n v="225757"/>
    <n v="66.301743570553327"/>
    <n v="250"/>
  </r>
  <r>
    <s v="CAMP0065"/>
    <x v="2"/>
    <d v="2024-09-05T00:00:00"/>
    <d v="2024-01-05T00:00:00"/>
    <x v="2"/>
    <n v="49883.519999999997"/>
    <n v="1565"/>
    <n v="46"/>
    <n v="76901.41"/>
    <n v="888"/>
    <n v="69754"/>
    <n v="54.161955691980054"/>
    <n v="244"/>
  </r>
  <r>
    <s v="CAMP0086"/>
    <x v="1"/>
    <d v="2024-11-26T00:00:00"/>
    <d v="2024-01-07T00:00:00"/>
    <x v="0"/>
    <n v="10365.469999999999"/>
    <n v="1000"/>
    <n v="407"/>
    <n v="155097.63"/>
    <n v="5045"/>
    <n v="348821"/>
    <n v="1396.2913403830219"/>
    <n v="324"/>
  </r>
  <r>
    <s v="CAMP0017"/>
    <x v="8"/>
    <d v="2024-11-18T00:00:00"/>
    <d v="2024-01-04T00:00:00"/>
    <x v="1"/>
    <n v="23522.89"/>
    <n v="1620"/>
    <n v="214"/>
    <n v="163132.35999999999"/>
    <n v="2989"/>
    <n v="365464"/>
    <n v="593.50475217968528"/>
    <n v="319"/>
  </r>
  <r>
    <s v="CAMP0071"/>
    <x v="3"/>
    <d v="2024-06-28T00:00:00"/>
    <d v="2024-01-08T00:00:00"/>
    <x v="2"/>
    <n v="22118.21"/>
    <n v="232"/>
    <n v="233"/>
    <n v="83069.539999999994"/>
    <n v="9669"/>
    <n v="397053"/>
    <n v="275.57080794512757"/>
    <n v="172"/>
  </r>
  <r>
    <s v="CAMP0089"/>
    <x v="13"/>
    <d v="2024-07-08T00:00:00"/>
    <d v="2024-01-08T00:00:00"/>
    <x v="2"/>
    <n v="15920.13"/>
    <n v="319"/>
    <n v="354"/>
    <n v="189694.82"/>
    <n v="5373"/>
    <n v="388405"/>
    <n v="1091.5406469670788"/>
    <n v="182"/>
  </r>
  <r>
    <s v="CAMP0045"/>
    <x v="8"/>
    <d v="2024-06-02T00:00:00"/>
    <d v="2024-01-07T00:00:00"/>
    <x v="0"/>
    <n v="10706.68"/>
    <n v="994"/>
    <n v="279"/>
    <n v="84260.23"/>
    <n v="3372"/>
    <n v="368482"/>
    <n v="686.98746950501913"/>
    <n v="147"/>
  </r>
  <r>
    <s v="CAMP0004"/>
    <x v="9"/>
    <d v="2024-07-14T00:00:00"/>
    <d v="2024-01-08T00:00:00"/>
    <x v="1"/>
    <n v="4218.91"/>
    <n v="1540"/>
    <n v="446"/>
    <n v="155508.03"/>
    <n v="9169"/>
    <n v="41077"/>
    <n v="3585.9764725960026"/>
    <n v="188"/>
  </r>
  <r>
    <s v="CAMP0036"/>
    <x v="9"/>
    <d v="2024-11-06T00:00:00"/>
    <d v="2024-01-09T00:00:00"/>
    <x v="2"/>
    <n v="44468.85"/>
    <n v="919"/>
    <n v="283"/>
    <n v="99356.07"/>
    <n v="5334"/>
    <n v="343059"/>
    <n v="123.42846734287036"/>
    <n v="302"/>
  </r>
  <r>
    <s v="CAMP0070"/>
    <x v="2"/>
    <d v="2024-09-18T00:00:00"/>
    <d v="2024-01-07T00:00:00"/>
    <x v="3"/>
    <n v="21572.59"/>
    <n v="1685"/>
    <n v="255"/>
    <n v="180018.8"/>
    <n v="9869"/>
    <n v="136311"/>
    <n v="734.47930916037433"/>
    <n v="255"/>
  </r>
  <r>
    <s v="CAMP0031"/>
    <x v="7"/>
    <d v="2024-05-22T00:00:00"/>
    <d v="2024-01-03T00:00:00"/>
    <x v="0"/>
    <n v="25347.88"/>
    <n v="1592"/>
    <n v="314"/>
    <n v="182013.44"/>
    <n v="7002"/>
    <n v="242504"/>
    <n v="618.06178662673165"/>
    <n v="140"/>
  </r>
  <r>
    <s v="CAMP0019"/>
    <x v="0"/>
    <d v="2024-12-07T00:00:00"/>
    <d v="2024-01-10T00:00:00"/>
    <x v="2"/>
    <n v="45930.16"/>
    <n v="1615"/>
    <n v="212"/>
    <n v="22046.28"/>
    <n v="7712"/>
    <n v="480564"/>
    <n v="-52.000428476626261"/>
    <n v="332"/>
  </r>
  <r>
    <s v="CAMP0061"/>
    <x v="7"/>
    <d v="2024-11-11T00:00:00"/>
    <d v="2024-01-06T00:00:00"/>
    <x v="2"/>
    <n v="39038.230000000003"/>
    <n v="516"/>
    <n v="325"/>
    <n v="187616.2"/>
    <n v="2592"/>
    <n v="292813"/>
    <n v="380.59607210675279"/>
    <n v="310"/>
  </r>
  <r>
    <s v="CAMP0054"/>
    <x v="4"/>
    <d v="2024-04-10T00:00:00"/>
    <d v="2024-01-11T00:00:00"/>
    <x v="3"/>
    <n v="7394.56"/>
    <n v="354"/>
    <n v="144"/>
    <n v="165979.29"/>
    <n v="6845"/>
    <n v="311768"/>
    <n v="2144.6134726068894"/>
    <n v="90"/>
  </r>
  <r>
    <s v="CAMP0039"/>
    <x v="1"/>
    <d v="2024-08-31T00:00:00"/>
    <d v="2024-01-08T00:00:00"/>
    <x v="3"/>
    <n v="28705.58"/>
    <n v="1217"/>
    <n v="284"/>
    <n v="159305.59"/>
    <n v="9674"/>
    <n v="338291"/>
    <n v="454.96384326670977"/>
    <n v="236"/>
  </r>
  <r>
    <s v="CAMP0091"/>
    <x v="11"/>
    <d v="2024-01-12T00:00:00"/>
    <d v="2024-01-03T00:00:00"/>
    <x v="0"/>
    <n v="22670.36"/>
    <n v="160"/>
    <n v="38"/>
    <n v="44177.71"/>
    <n v="4340"/>
    <n v="136222"/>
    <n v="94.869909432404242"/>
    <n v="9"/>
  </r>
  <r>
    <s v="CAMP0074"/>
    <x v="6"/>
    <d v="2024-08-26T00:00:00"/>
    <d v="2024-01-05T00:00:00"/>
    <x v="0"/>
    <n v="40063.339999999997"/>
    <n v="1063"/>
    <n v="313"/>
    <n v="161998.25"/>
    <n v="2422"/>
    <n v="143181"/>
    <n v="304.35532833757748"/>
    <n v="234"/>
  </r>
  <r>
    <s v="CAMP0090"/>
    <x v="7"/>
    <d v="2024-02-18T00:00:00"/>
    <d v="2024-01-05T00:00:00"/>
    <x v="3"/>
    <n v="36487.39"/>
    <n v="281"/>
    <n v="396"/>
    <n v="170775.88"/>
    <n v="5398"/>
    <n v="231822"/>
    <n v="368.04082177431712"/>
    <n v="44"/>
  </r>
  <r>
    <s v="CAMP0019"/>
    <x v="12"/>
    <d v="2024-02-11T00:00:00"/>
    <d v="2024-01-06T00:00:00"/>
    <x v="0"/>
    <n v="34829.879999999997"/>
    <n v="1764"/>
    <n v="22"/>
    <n v="61384.32"/>
    <n v="1961"/>
    <n v="158088"/>
    <n v="76.24040048372261"/>
    <n v="36"/>
  </r>
  <r>
    <s v="CAMP0039"/>
    <x v="6"/>
    <d v="2024-06-14T00:00:00"/>
    <d v="2024-01-08T00:00:00"/>
    <x v="3"/>
    <n v="17686.7"/>
    <n v="1657"/>
    <n v="61"/>
    <n v="190690.72"/>
    <n v="6720"/>
    <n v="144008"/>
    <n v="978.15884252008573"/>
    <n v="158"/>
  </r>
  <r>
    <s v="CAMP0067"/>
    <x v="1"/>
    <d v="2024-03-22T00:00:00"/>
    <d v="2024-01-09T00:00:00"/>
    <x v="2"/>
    <n v="40443.22"/>
    <n v="1795"/>
    <n v="116"/>
    <n v="14722.73"/>
    <n v="4147"/>
    <n v="143108"/>
    <n v="-63.596543499751014"/>
    <n v="73"/>
  </r>
  <r>
    <s v="CAMP0045"/>
    <x v="6"/>
    <d v="2024-10-17T00:00:00"/>
    <d v="2024-01-06T00:00:00"/>
    <x v="3"/>
    <n v="3567.17"/>
    <n v="1805"/>
    <n v="9"/>
    <n v="34232.300000000003"/>
    <n v="7681"/>
    <n v="433452"/>
    <n v="859.64868509210396"/>
    <n v="285"/>
  </r>
  <r>
    <s v="CAMP0013"/>
    <x v="13"/>
    <d v="2024-06-06T00:00:00"/>
    <d v="2024-01-08T00:00:00"/>
    <x v="3"/>
    <n v="8821.6200000000008"/>
    <n v="1665"/>
    <n v="414"/>
    <n v="109828.32"/>
    <n v="7420"/>
    <n v="146093"/>
    <n v="1144.9903759173485"/>
    <n v="150"/>
  </r>
  <r>
    <s v="CAMP0092"/>
    <x v="3"/>
    <d v="2024-08-03T00:00:00"/>
    <d v="2024-01-03T00:00:00"/>
    <x v="1"/>
    <n v="17445.54"/>
    <n v="1573"/>
    <n v="418"/>
    <n v="117279.53"/>
    <n v="1198"/>
    <n v="300087"/>
    <n v="572.26081852439063"/>
    <n v="213"/>
  </r>
  <r>
    <s v="CAMP0058"/>
    <x v="13"/>
    <d v="2024-06-06T00:00:00"/>
    <d v="2024-01-10T00:00:00"/>
    <x v="3"/>
    <n v="4763.5600000000004"/>
    <n v="644"/>
    <n v="186"/>
    <n v="130804.27"/>
    <n v="5347"/>
    <n v="114694"/>
    <n v="2645.9351829304132"/>
    <n v="148"/>
  </r>
  <r>
    <s v="CAMP0020"/>
    <x v="6"/>
    <d v="2024-05-13T00:00:00"/>
    <d v="2024-01-09T00:00:00"/>
    <x v="3"/>
    <n v="12514.72"/>
    <n v="1627"/>
    <n v="17"/>
    <n v="8308.98"/>
    <n v="1834"/>
    <n v="235456"/>
    <n v="-33.606345167930243"/>
    <n v="125"/>
  </r>
  <r>
    <s v="CAMP0092"/>
    <x v="8"/>
    <d v="2024-03-07T00:00:00"/>
    <d v="2024-01-11T00:00:00"/>
    <x v="1"/>
    <n v="41677.4"/>
    <n v="1346"/>
    <n v="343"/>
    <n v="192271.52"/>
    <n v="4763"/>
    <n v="213079"/>
    <n v="361.33280866848696"/>
    <n v="56"/>
  </r>
  <r>
    <s v="CAMP0072"/>
    <x v="9"/>
    <d v="2024-12-01T00:00:00"/>
    <d v="2024-01-05T00:00:00"/>
    <x v="0"/>
    <n v="47464.33"/>
    <n v="1776"/>
    <n v="289"/>
    <n v="13694.68"/>
    <n v="6009"/>
    <n v="245269"/>
    <n v="-71.147427973806856"/>
    <n v="331"/>
  </r>
  <r>
    <s v="CAMP0061"/>
    <x v="6"/>
    <d v="2024-01-07T00:00:00"/>
    <d v="2024-01-04T00:00:00"/>
    <x v="1"/>
    <n v="15925.52"/>
    <n v="222"/>
    <n v="263"/>
    <n v="32897.08"/>
    <n v="3516"/>
    <n v="444232"/>
    <n v="106.56832555546067"/>
    <n v="3"/>
  </r>
  <r>
    <s v="CAMP0039"/>
    <x v="13"/>
    <d v="2024-01-14T00:00:00"/>
    <d v="2024-01-03T00:00:00"/>
    <x v="2"/>
    <n v="13961.27"/>
    <n v="1022"/>
    <n v="94"/>
    <n v="7732.83"/>
    <n v="6402"/>
    <n v="417460"/>
    <n v="-44.612273811766414"/>
    <n v="11"/>
  </r>
  <r>
    <s v="CAMP0001"/>
    <x v="14"/>
    <d v="2024-03-13T00:00:00"/>
    <d v="2024-01-05T00:00:00"/>
    <x v="1"/>
    <n v="14714.74"/>
    <n v="1080"/>
    <n v="108"/>
    <n v="115537.39"/>
    <n v="7693"/>
    <n v="457243"/>
    <n v="685.18132158638207"/>
    <n v="68"/>
  </r>
  <r>
    <s v="CAMP0003"/>
    <x v="1"/>
    <d v="2024-06-11T00:00:00"/>
    <d v="2024-01-07T00:00:00"/>
    <x v="2"/>
    <n v="14608.24"/>
    <n v="1228"/>
    <n v="383"/>
    <n v="186792.04"/>
    <n v="780"/>
    <n v="246385"/>
    <n v="1178.6758706045357"/>
    <n v="156"/>
  </r>
  <r>
    <s v="CAMP0077"/>
    <x v="8"/>
    <d v="2024-03-06T00:00:00"/>
    <d v="2024-01-04T00:00:00"/>
    <x v="0"/>
    <n v="2760.58"/>
    <n v="1595"/>
    <n v="190"/>
    <n v="134859.70000000001"/>
    <n v="8263"/>
    <n v="124351"/>
    <n v="4785.1944156662739"/>
    <n v="62"/>
  </r>
  <r>
    <s v="CAMP0092"/>
    <x v="13"/>
    <d v="2024-12-12T00:00:00"/>
    <d v="2024-01-05T00:00:00"/>
    <x v="1"/>
    <n v="46418.9"/>
    <n v="595"/>
    <n v="254"/>
    <n v="165418.21"/>
    <n v="2170"/>
    <n v="302129"/>
    <n v="256.35960783215455"/>
    <n v="342"/>
  </r>
  <r>
    <s v="CAMP0062"/>
    <x v="7"/>
    <d v="2024-05-09T00:00:00"/>
    <d v="2024-01-06T00:00:00"/>
    <x v="1"/>
    <n v="11471.21"/>
    <n v="597"/>
    <n v="259"/>
    <n v="7589.83"/>
    <n v="6768"/>
    <n v="498192"/>
    <n v="-33.835837718950309"/>
    <n v="124"/>
  </r>
  <r>
    <s v="CAMP0063"/>
    <x v="5"/>
    <d v="2024-07-24T00:00:00"/>
    <d v="2024-01-09T00:00:00"/>
    <x v="0"/>
    <n v="21580.2"/>
    <n v="1994"/>
    <n v="80"/>
    <n v="110692.98"/>
    <n v="8101"/>
    <n v="395718"/>
    <n v="412.93769288514471"/>
    <n v="197"/>
  </r>
  <r>
    <s v="CAMP0025"/>
    <x v="2"/>
    <d v="2024-10-02T00:00:00"/>
    <d v="2024-01-05T00:00:00"/>
    <x v="2"/>
    <n v="1474.66"/>
    <n v="567"/>
    <n v="390"/>
    <n v="94614.78"/>
    <n v="2291"/>
    <n v="316980"/>
    <n v="6316.0403075963268"/>
    <n v="271"/>
  </r>
  <r>
    <s v="CAMP0056"/>
    <x v="0"/>
    <d v="2024-09-12T00:00:00"/>
    <d v="2024-01-11T00:00:00"/>
    <x v="1"/>
    <n v="43039.8"/>
    <n v="1993"/>
    <n v="463"/>
    <n v="102298.75"/>
    <n v="8959"/>
    <n v="362858"/>
    <n v="137.6840738107519"/>
    <n v="245"/>
  </r>
  <r>
    <s v="CAMP0033"/>
    <x v="11"/>
    <d v="2024-09-22T00:00:00"/>
    <d v="2024-01-10T00:00:00"/>
    <x v="2"/>
    <n v="36826.71"/>
    <n v="963"/>
    <n v="112"/>
    <n v="19081.57"/>
    <n v="9904"/>
    <n v="4770"/>
    <n v="-48.185515350135809"/>
    <n v="256"/>
  </r>
  <r>
    <s v="CAMP0038"/>
    <x v="13"/>
    <d v="2024-01-25T00:00:00"/>
    <d v="2024-01-06T00:00:00"/>
    <x v="1"/>
    <n v="47391.05"/>
    <n v="264"/>
    <n v="160"/>
    <n v="138464.9"/>
    <n v="7686"/>
    <n v="306009"/>
    <n v="192.17521029814699"/>
    <n v="19"/>
  </r>
  <r>
    <s v="CAMP0006"/>
    <x v="12"/>
    <d v="2024-10-07T00:00:00"/>
    <d v="2024-01-03T00:00:00"/>
    <x v="3"/>
    <n v="39299.160000000003"/>
    <n v="183"/>
    <n v="86"/>
    <n v="103127.98"/>
    <n v="8972"/>
    <n v="54811"/>
    <n v="162.41777177934588"/>
    <n v="278"/>
  </r>
  <r>
    <s v="CAMP0058"/>
    <x v="0"/>
    <d v="2024-09-09T00:00:00"/>
    <d v="2024-01-03T00:00:00"/>
    <x v="1"/>
    <n v="16371.62"/>
    <n v="334"/>
    <n v="81"/>
    <n v="154204.03"/>
    <n v="9264"/>
    <n v="267145"/>
    <n v="841.89841933785419"/>
    <n v="250"/>
  </r>
  <r>
    <s v="CAMP0044"/>
    <x v="1"/>
    <d v="2024-11-05T00:00:00"/>
    <d v="2024-01-03T00:00:00"/>
    <x v="0"/>
    <n v="13145.79"/>
    <n v="1199"/>
    <n v="489"/>
    <n v="99631.67"/>
    <n v="2946"/>
    <n v="61848"/>
    <n v="657.8979277776383"/>
    <n v="307"/>
  </r>
  <r>
    <s v="CAMP0045"/>
    <x v="14"/>
    <d v="2024-10-15T00:00:00"/>
    <d v="2024-01-03T00:00:00"/>
    <x v="0"/>
    <n v="35188.1"/>
    <n v="1994"/>
    <n v="474"/>
    <n v="34129.42"/>
    <n v="2563"/>
    <n v="53635"/>
    <n v="-3.0086307586939913"/>
    <n v="286"/>
  </r>
  <r>
    <s v="CAMP0032"/>
    <x v="10"/>
    <d v="2024-06-12T00:00:00"/>
    <d v="2024-01-10T00:00:00"/>
    <x v="2"/>
    <n v="18841.53"/>
    <n v="1512"/>
    <n v="464"/>
    <n v="131410.10999999999"/>
    <n v="6937"/>
    <n v="21946"/>
    <n v="597.44925173274146"/>
    <n v="154"/>
  </r>
  <r>
    <s v="CAMP0045"/>
    <x v="13"/>
    <d v="2024-04-04T00:00:00"/>
    <d v="2024-01-05T00:00:00"/>
    <x v="1"/>
    <n v="28744.54"/>
    <n v="1922"/>
    <n v="262"/>
    <n v="38615.339999999997"/>
    <n v="5022"/>
    <n v="460350"/>
    <n v="34.33973895564165"/>
    <n v="90"/>
  </r>
  <r>
    <s v="CAMP0061"/>
    <x v="5"/>
    <d v="2024-09-26T00:00:00"/>
    <d v="2024-01-08T00:00:00"/>
    <x v="2"/>
    <n v="1306.6199999999999"/>
    <n v="735"/>
    <n v="131"/>
    <n v="175116.94"/>
    <n v="4492"/>
    <n v="96852"/>
    <n v="13302.285285698979"/>
    <n v="262"/>
  </r>
  <r>
    <s v="CAMP0047"/>
    <x v="0"/>
    <d v="2024-11-16T00:00:00"/>
    <d v="2024-01-05T00:00:00"/>
    <x v="2"/>
    <n v="4032.4"/>
    <n v="1225"/>
    <n v="489"/>
    <n v="124557.67"/>
    <n v="3283"/>
    <n v="354247"/>
    <n v="2988.9214859636941"/>
    <n v="316"/>
  </r>
  <r>
    <s v="CAMP0021"/>
    <x v="11"/>
    <d v="2024-04-19T00:00:00"/>
    <d v="2024-01-07T00:00:00"/>
    <x v="3"/>
    <n v="27233.03"/>
    <n v="380"/>
    <n v="395"/>
    <n v="35654.76"/>
    <n v="3267"/>
    <n v="486260"/>
    <n v="30.924689614045896"/>
    <n v="103"/>
  </r>
  <r>
    <s v="CAMP0080"/>
    <x v="6"/>
    <d v="2024-12-01T00:00:00"/>
    <d v="2024-01-09T00:00:00"/>
    <x v="3"/>
    <n v="28737.51"/>
    <n v="1611"/>
    <n v="286"/>
    <n v="192655.92"/>
    <n v="3097"/>
    <n v="306888"/>
    <n v="570.39879237971559"/>
    <n v="327"/>
  </r>
  <r>
    <s v="CAMP0085"/>
    <x v="13"/>
    <d v="2024-11-05T00:00:00"/>
    <d v="2024-01-04T00:00:00"/>
    <x v="0"/>
    <n v="37821.19"/>
    <n v="1456"/>
    <n v="478"/>
    <n v="106081.27"/>
    <n v="6621"/>
    <n v="118729"/>
    <n v="180.48104779357814"/>
    <n v="306"/>
  </r>
  <r>
    <s v="CAMP0075"/>
    <x v="3"/>
    <d v="2024-08-25T00:00:00"/>
    <d v="2024-01-08T00:00:00"/>
    <x v="2"/>
    <n v="7466.3"/>
    <n v="1188"/>
    <n v="92"/>
    <n v="19215.2"/>
    <n v="3327"/>
    <n v="171231"/>
    <n v="157.35906673988455"/>
    <n v="230"/>
  </r>
  <r>
    <s v="CAMP0036"/>
    <x v="14"/>
    <d v="2024-01-25T00:00:00"/>
    <d v="2024-01-08T00:00:00"/>
    <x v="0"/>
    <n v="26145.97"/>
    <n v="943"/>
    <n v="208"/>
    <n v="127232.42"/>
    <n v="6664"/>
    <n v="490028"/>
    <n v="386.6234452192823"/>
    <n v="17"/>
  </r>
  <r>
    <s v="CAMP0099"/>
    <x v="1"/>
    <d v="2024-05-20T00:00:00"/>
    <d v="2024-01-05T00:00:00"/>
    <x v="1"/>
    <n v="10527.93"/>
    <n v="1555"/>
    <n v="20"/>
    <n v="54373.79"/>
    <n v="2124"/>
    <n v="286815"/>
    <n v="416.47180404884915"/>
    <n v="136"/>
  </r>
  <r>
    <s v="CAMP0019"/>
    <x v="2"/>
    <d v="2024-04-26T00:00:00"/>
    <d v="2024-01-08T00:00:00"/>
    <x v="2"/>
    <n v="5566.61"/>
    <n v="1357"/>
    <n v="155"/>
    <n v="161720.22"/>
    <n v="429"/>
    <n v="148522"/>
    <n v="2805.1832264160776"/>
    <n v="109"/>
  </r>
  <r>
    <s v="CAMP0020"/>
    <x v="5"/>
    <d v="2024-01-25T00:00:00"/>
    <d v="2024-01-07T00:00:00"/>
    <x v="2"/>
    <n v="21114.29"/>
    <n v="948"/>
    <n v="428"/>
    <n v="164475.29999999999"/>
    <n v="2586"/>
    <n v="409124"/>
    <n v="678.97622889521733"/>
    <n v="18"/>
  </r>
  <r>
    <s v="CAMP0057"/>
    <x v="4"/>
    <d v="2024-03-19T00:00:00"/>
    <d v="2024-01-04T00:00:00"/>
    <x v="1"/>
    <n v="9003.5"/>
    <n v="1148"/>
    <n v="258"/>
    <n v="195894.73"/>
    <n v="1255"/>
    <n v="451491"/>
    <n v="2075.7619814516579"/>
    <n v="75"/>
  </r>
  <r>
    <s v="CAMP0018"/>
    <x v="4"/>
    <d v="2024-03-08T00:00:00"/>
    <d v="2024-01-11T00:00:00"/>
    <x v="1"/>
    <n v="11867.32"/>
    <n v="1239"/>
    <n v="192"/>
    <n v="102864.56"/>
    <n v="4577"/>
    <n v="438574"/>
    <n v="766.7884577141258"/>
    <n v="57"/>
  </r>
  <r>
    <s v="CAMP0047"/>
    <x v="12"/>
    <d v="2024-06-21T00:00:00"/>
    <d v="2024-01-10T00:00:00"/>
    <x v="0"/>
    <n v="16560.169999999998"/>
    <n v="1262"/>
    <n v="333"/>
    <n v="93716.59"/>
    <n v="2285"/>
    <n v="443263"/>
    <n v="465.91562767773524"/>
    <n v="163"/>
  </r>
  <r>
    <s v="CAMP0049"/>
    <x v="0"/>
    <d v="2024-01-12T00:00:00"/>
    <d v="2024-01-05T00:00:00"/>
    <x v="0"/>
    <n v="13710.03"/>
    <n v="127"/>
    <n v="36"/>
    <n v="151927.74"/>
    <n v="7186"/>
    <n v="429734"/>
    <n v="1008.1503103931939"/>
    <n v="7"/>
  </r>
  <r>
    <s v="CAMP0014"/>
    <x v="5"/>
    <d v="2024-10-14T00:00:00"/>
    <d v="2024-01-10T00:00:00"/>
    <x v="1"/>
    <n v="5291.97"/>
    <n v="996"/>
    <n v="275"/>
    <n v="30831.78"/>
    <n v="2417"/>
    <n v="320957"/>
    <n v="482.61441391391099"/>
    <n v="278"/>
  </r>
  <r>
    <s v="CAMP0015"/>
    <x v="8"/>
    <d v="2024-05-07T00:00:00"/>
    <d v="2024-01-11T00:00:00"/>
    <x v="0"/>
    <n v="5405.9"/>
    <n v="1675"/>
    <n v="489"/>
    <n v="111648.53"/>
    <n v="3721"/>
    <n v="97748"/>
    <n v="1965.3088292421244"/>
    <n v="117"/>
  </r>
  <r>
    <s v="CAMP0031"/>
    <x v="11"/>
    <d v="2024-04-05T00:00:00"/>
    <d v="2024-01-05T00:00:00"/>
    <x v="1"/>
    <n v="10469.219999999999"/>
    <n v="737"/>
    <n v="401"/>
    <n v="111518.28"/>
    <n v="4591"/>
    <n v="240292"/>
    <n v="965.20141901688953"/>
    <n v="91"/>
  </r>
  <r>
    <s v="CAMP0001"/>
    <x v="2"/>
    <d v="2024-04-01T00:00:00"/>
    <d v="2024-01-05T00:00:00"/>
    <x v="2"/>
    <n v="3477.4"/>
    <n v="70"/>
    <n v="9"/>
    <n v="22447.26"/>
    <n v="2611"/>
    <n v="401022"/>
    <n v="545.51849082647936"/>
    <n v="87"/>
  </r>
  <r>
    <s v="CAMP0054"/>
    <x v="6"/>
    <d v="2024-05-20T00:00:00"/>
    <d v="2024-01-04T00:00:00"/>
    <x v="2"/>
    <n v="31696.39"/>
    <n v="615"/>
    <n v="463"/>
    <n v="86506.9"/>
    <n v="7942"/>
    <n v="105733"/>
    <n v="172.92350958579192"/>
    <n v="137"/>
  </r>
  <r>
    <s v="CAMP0003"/>
    <x v="13"/>
    <d v="2024-01-31T00:00:00"/>
    <d v="2024-01-10T00:00:00"/>
    <x v="3"/>
    <n v="15079.01"/>
    <n v="1257"/>
    <n v="334"/>
    <n v="171390.54"/>
    <n v="8741"/>
    <n v="435107"/>
    <n v="1036.6166611733795"/>
    <n v="21"/>
  </r>
  <r>
    <s v="CAMP0016"/>
    <x v="13"/>
    <d v="2024-11-29T00:00:00"/>
    <d v="2024-01-03T00:00:00"/>
    <x v="2"/>
    <n v="14707.55"/>
    <n v="1944"/>
    <n v="312"/>
    <n v="171949.96"/>
    <n v="9646"/>
    <n v="127865"/>
    <n v="1069.1271489813057"/>
    <n v="331"/>
  </r>
  <r>
    <s v="CAMP0087"/>
    <x v="4"/>
    <d v="2024-01-20T00:00:00"/>
    <d v="2024-01-10T00:00:00"/>
    <x v="1"/>
    <n v="17267.919999999998"/>
    <n v="1295"/>
    <n v="337"/>
    <n v="24351.34"/>
    <n v="7948"/>
    <n v="346695"/>
    <n v="41.020690390041203"/>
    <n v="10"/>
  </r>
  <r>
    <s v="CAMP0057"/>
    <x v="13"/>
    <d v="2024-05-25T00:00:00"/>
    <d v="2024-01-09T00:00:00"/>
    <x v="0"/>
    <n v="33477.019999999997"/>
    <n v="876"/>
    <n v="173"/>
    <n v="22690.57"/>
    <n v="5504"/>
    <n v="392479"/>
    <n v="-32.220460483041798"/>
    <n v="137"/>
  </r>
  <r>
    <s v="CAMP0075"/>
    <x v="1"/>
    <d v="2024-11-11T00:00:00"/>
    <d v="2024-01-09T00:00:00"/>
    <x v="3"/>
    <n v="43661.06"/>
    <n v="1401"/>
    <n v="185"/>
    <n v="56225.62"/>
    <n v="5493"/>
    <n v="302364"/>
    <n v="28.77749646939402"/>
    <n v="307"/>
  </r>
  <r>
    <s v="CAMP0012"/>
    <x v="2"/>
    <d v="2024-06-08T00:00:00"/>
    <d v="2024-01-05T00:00:00"/>
    <x v="0"/>
    <n v="38195.26"/>
    <n v="228"/>
    <n v="370"/>
    <n v="175579.38"/>
    <n v="1393"/>
    <n v="280302"/>
    <n v="359.6889247513958"/>
    <n v="155"/>
  </r>
  <r>
    <s v="CAMP0074"/>
    <x v="3"/>
    <d v="2024-12-14T00:00:00"/>
    <d v="2024-01-03T00:00:00"/>
    <x v="1"/>
    <n v="36648.93"/>
    <n v="1861"/>
    <n v="182"/>
    <n v="30136"/>
    <n v="2565"/>
    <n v="344136"/>
    <n v="-17.77113274521248"/>
    <n v="346"/>
  </r>
  <r>
    <s v="CAMP0096"/>
    <x v="10"/>
    <d v="2024-02-12T00:00:00"/>
    <d v="2024-01-06T00:00:00"/>
    <x v="2"/>
    <n v="24735.17"/>
    <n v="1185"/>
    <n v="147"/>
    <n v="145399.38"/>
    <n v="3275"/>
    <n v="421804"/>
    <n v="487.82446209183126"/>
    <n v="37"/>
  </r>
  <r>
    <s v="CAMP0016"/>
    <x v="12"/>
    <d v="2024-09-10T00:00:00"/>
    <d v="2024-01-11T00:00:00"/>
    <x v="3"/>
    <n v="34996.47"/>
    <n v="1809"/>
    <n v="366"/>
    <n v="24727.3"/>
    <n v="7949"/>
    <n v="63576"/>
    <n v="-29.343445210331222"/>
    <n v="243"/>
  </r>
  <r>
    <s v="CAMP0072"/>
    <x v="9"/>
    <d v="2024-05-09T00:00:00"/>
    <d v="2024-01-07T00:00:00"/>
    <x v="1"/>
    <n v="28085.360000000001"/>
    <n v="1799"/>
    <n v="252"/>
    <n v="126511.88"/>
    <n v="9525"/>
    <n v="351171"/>
    <n v="350.4548989224279"/>
    <n v="123"/>
  </r>
  <r>
    <s v="CAMP0076"/>
    <x v="7"/>
    <d v="2024-02-29T00:00:00"/>
    <d v="2024-01-03T00:00:00"/>
    <x v="3"/>
    <n v="11596.28"/>
    <n v="1132"/>
    <n v="131"/>
    <n v="74433.119999999995"/>
    <n v="9729"/>
    <n v="156260"/>
    <n v="541.87066886967193"/>
    <n v="57"/>
  </r>
  <r>
    <s v="CAMP0024"/>
    <x v="12"/>
    <d v="2024-05-30T00:00:00"/>
    <d v="2024-01-07T00:00:00"/>
    <x v="3"/>
    <n v="11220.83"/>
    <n v="1400"/>
    <n v="267"/>
    <n v="158838.22"/>
    <n v="8544"/>
    <n v="224687"/>
    <n v="1315.5656934469198"/>
    <n v="144"/>
  </r>
  <r>
    <s v="CAMP0028"/>
    <x v="0"/>
    <d v="2024-10-13T00:00:00"/>
    <d v="2024-01-10T00:00:00"/>
    <x v="2"/>
    <n v="15523.21"/>
    <n v="954"/>
    <n v="44"/>
    <n v="50569.64"/>
    <n v="8310"/>
    <n v="321974"/>
    <n v="225.7679307308218"/>
    <n v="277"/>
  </r>
  <r>
    <s v="CAMP0008"/>
    <x v="3"/>
    <d v="2024-01-05T00:00:00"/>
    <d v="2024-01-10T00:00:00"/>
    <x v="1"/>
    <n v="45629.33"/>
    <n v="1694"/>
    <n v="416"/>
    <n v="129644.36"/>
    <n v="2859"/>
    <n v="136091"/>
    <n v="184.12505728223491"/>
    <n v="5"/>
  </r>
  <r>
    <s v="CAMP0092"/>
    <x v="12"/>
    <d v="2024-09-22T00:00:00"/>
    <d v="2024-01-07T00:00:00"/>
    <x v="0"/>
    <n v="27823.33"/>
    <n v="1970"/>
    <n v="420"/>
    <n v="50958.09"/>
    <n v="5355"/>
    <n v="13419"/>
    <n v="83.148781975414138"/>
    <n v="259"/>
  </r>
  <r>
    <s v="CAMP0036"/>
    <x v="6"/>
    <d v="2024-12-10T00:00:00"/>
    <d v="2024-01-11T00:00:00"/>
    <x v="3"/>
    <n v="36961.360000000001"/>
    <n v="718"/>
    <n v="359"/>
    <n v="144163.76"/>
    <n v="8514"/>
    <n v="34697"/>
    <n v="290.03911111495898"/>
    <n v="334"/>
  </r>
  <r>
    <s v="CAMP0090"/>
    <x v="4"/>
    <d v="2024-05-09T00:00:00"/>
    <d v="2024-01-03T00:00:00"/>
    <x v="3"/>
    <n v="17981.38"/>
    <n v="240"/>
    <n v="259"/>
    <n v="175367.22"/>
    <n v="102"/>
    <n v="348076"/>
    <n v="875.27119720510882"/>
    <n v="127"/>
  </r>
  <r>
    <s v="CAMP0008"/>
    <x v="14"/>
    <d v="2024-09-23T00:00:00"/>
    <d v="2024-01-06T00:00:00"/>
    <x v="0"/>
    <n v="20978.07"/>
    <n v="1273"/>
    <n v="147"/>
    <n v="29726.35"/>
    <n v="8230"/>
    <n v="382856"/>
    <n v="41.702025019460791"/>
    <n v="261"/>
  </r>
  <r>
    <s v="CAMP0058"/>
    <x v="0"/>
    <d v="2024-06-26T00:00:00"/>
    <d v="2024-01-05T00:00:00"/>
    <x v="1"/>
    <n v="7152.71"/>
    <n v="1385"/>
    <n v="244"/>
    <n v="173986.16"/>
    <n v="1359"/>
    <n v="498784"/>
    <n v="2332.4509172048079"/>
    <n v="173"/>
  </r>
  <r>
    <s v="CAMP0060"/>
    <x v="13"/>
    <d v="2024-09-09T00:00:00"/>
    <d v="2024-01-04T00:00:00"/>
    <x v="3"/>
    <n v="9393.4500000000007"/>
    <n v="757"/>
    <n v="232"/>
    <n v="120747.17"/>
    <n v="8290"/>
    <n v="96428"/>
    <n v="1185.4400672809245"/>
    <n v="249"/>
  </r>
  <r>
    <s v="CAMP0050"/>
    <x v="5"/>
    <d v="2024-02-25T00:00:00"/>
    <d v="2024-01-10T00:00:00"/>
    <x v="3"/>
    <n v="41540.47"/>
    <n v="1108"/>
    <n v="345"/>
    <n v="29786.55"/>
    <n v="4423"/>
    <n v="140045"/>
    <n v="-28.29510595330289"/>
    <n v="46"/>
  </r>
  <r>
    <s v="CAMP0028"/>
    <x v="6"/>
    <d v="2024-03-23T00:00:00"/>
    <d v="2024-01-09T00:00:00"/>
    <x v="3"/>
    <n v="29657.09"/>
    <n v="428"/>
    <n v="202"/>
    <n v="88370.66"/>
    <n v="5873"/>
    <n v="240073"/>
    <n v="197.97481816321158"/>
    <n v="74"/>
  </r>
  <r>
    <s v="CAMP0092"/>
    <x v="0"/>
    <d v="2024-04-08T00:00:00"/>
    <d v="2024-01-11T00:00:00"/>
    <x v="1"/>
    <n v="17539.09"/>
    <n v="436"/>
    <n v="69"/>
    <n v="36367.760000000002"/>
    <n v="2668"/>
    <n v="87649"/>
    <n v="107.3526049527085"/>
    <n v="88"/>
  </r>
  <r>
    <s v="CAMP0041"/>
    <x v="14"/>
    <d v="2024-05-28T00:00:00"/>
    <d v="2024-01-04T00:00:00"/>
    <x v="1"/>
    <n v="40339.71"/>
    <n v="1831"/>
    <n v="392"/>
    <n v="141567.84"/>
    <n v="1985"/>
    <n v="385793"/>
    <n v="250.93916143670842"/>
    <n v="145"/>
  </r>
  <r>
    <s v="CAMP0100"/>
    <x v="11"/>
    <d v="2024-11-24T00:00:00"/>
    <d v="2024-01-06T00:00:00"/>
    <x v="0"/>
    <n v="13079.48"/>
    <n v="286"/>
    <n v="15"/>
    <n v="152979.29"/>
    <n v="7160"/>
    <n v="274280"/>
    <n v="1069.6129356824583"/>
    <n v="323"/>
  </r>
  <r>
    <s v="CAMP0064"/>
    <x v="13"/>
    <d v="2024-06-04T00:00:00"/>
    <d v="2024-01-08T00:00:00"/>
    <x v="1"/>
    <n v="48825.599999999999"/>
    <n v="665"/>
    <n v="112"/>
    <n v="25630.32"/>
    <n v="7944"/>
    <n v="347883"/>
    <n v="-47.506390090444356"/>
    <n v="148"/>
  </r>
  <r>
    <s v="CAMP0027"/>
    <x v="12"/>
    <d v="2024-07-08T00:00:00"/>
    <d v="2024-01-05T00:00:00"/>
    <x v="1"/>
    <n v="17896.060000000001"/>
    <n v="1592"/>
    <n v="30"/>
    <n v="103697.27"/>
    <n v="6211"/>
    <n v="325646"/>
    <n v="479.4418995019015"/>
    <n v="185"/>
  </r>
  <r>
    <s v="CAMP0063"/>
    <x v="12"/>
    <d v="2024-09-19T00:00:00"/>
    <d v="2024-01-10T00:00:00"/>
    <x v="2"/>
    <n v="17528.240000000002"/>
    <n v="332"/>
    <n v="449"/>
    <n v="163851.89000000001"/>
    <n v="9591"/>
    <n v="163357"/>
    <n v="834.78803348196971"/>
    <n v="253"/>
  </r>
  <r>
    <s v="CAMP0017"/>
    <x v="0"/>
    <d v="2024-03-20T00:00:00"/>
    <d v="2024-01-05T00:00:00"/>
    <x v="0"/>
    <n v="16283.68"/>
    <n v="50"/>
    <n v="425"/>
    <n v="187551.79"/>
    <n v="2438"/>
    <n v="286183"/>
    <n v="1051.7776694211627"/>
    <n v="75"/>
  </r>
  <r>
    <s v="CAMP0073"/>
    <x v="5"/>
    <d v="2024-09-08T00:00:00"/>
    <d v="2024-01-04T00:00:00"/>
    <x v="3"/>
    <n v="6983.46"/>
    <n v="1804"/>
    <n v="155"/>
    <n v="105135.98"/>
    <n v="9368"/>
    <n v="329864"/>
    <n v="1405.4998525086417"/>
    <n v="248"/>
  </r>
  <r>
    <s v="CAMP0033"/>
    <x v="11"/>
    <d v="2024-04-06T00:00:00"/>
    <d v="2024-01-05T00:00:00"/>
    <x v="1"/>
    <n v="6445.72"/>
    <n v="513"/>
    <n v="225"/>
    <n v="190304.45"/>
    <n v="3858"/>
    <n v="124168"/>
    <n v="2852.4157115108942"/>
    <n v="92"/>
  </r>
  <r>
    <s v="CAMP0084"/>
    <x v="13"/>
    <d v="2024-09-16T00:00:00"/>
    <d v="2024-01-08T00:00:00"/>
    <x v="3"/>
    <n v="32757.15"/>
    <n v="1303"/>
    <n v="345"/>
    <n v="109459.35"/>
    <n v="4910"/>
    <n v="89263"/>
    <n v="234.1540701800981"/>
    <n v="252"/>
  </r>
  <r>
    <s v="CAMP0077"/>
    <x v="14"/>
    <d v="2024-09-16T00:00:00"/>
    <d v="2024-01-04T00:00:00"/>
    <x v="3"/>
    <n v="43880.78"/>
    <n v="1016"/>
    <n v="500"/>
    <n v="81867.149999999994"/>
    <n v="9239"/>
    <n v="60155"/>
    <n v="86.567216899973047"/>
    <n v="256"/>
  </r>
  <r>
    <s v="CAMP0092"/>
    <x v="10"/>
    <d v="2024-04-12T00:00:00"/>
    <d v="2024-01-10T00:00:00"/>
    <x v="2"/>
    <n v="39735.51"/>
    <n v="221"/>
    <n v="241"/>
    <n v="170399.61"/>
    <n v="6891"/>
    <n v="17911"/>
    <n v="328.83458649454849"/>
    <n v="93"/>
  </r>
  <r>
    <s v="CAMP0029"/>
    <x v="12"/>
    <d v="2024-02-09T00:00:00"/>
    <d v="2024-01-03T00:00:00"/>
    <x v="1"/>
    <n v="7914.27"/>
    <n v="1160"/>
    <n v="241"/>
    <n v="101131.63"/>
    <n v="7271"/>
    <n v="1916"/>
    <n v="1177.8390173698901"/>
    <n v="37"/>
  </r>
  <r>
    <s v="CAMP0013"/>
    <x v="14"/>
    <d v="2024-09-29T00:00:00"/>
    <d v="2024-01-09T00:00:00"/>
    <x v="0"/>
    <n v="27733.52"/>
    <n v="1626"/>
    <n v="223"/>
    <n v="97020.99"/>
    <n v="2831"/>
    <n v="322196"/>
    <n v="249.8329458359415"/>
    <n v="264"/>
  </r>
  <r>
    <s v="CAMP0046"/>
    <x v="3"/>
    <d v="2024-04-10T00:00:00"/>
    <d v="2024-01-04T00:00:00"/>
    <x v="1"/>
    <n v="6173.99"/>
    <n v="1196"/>
    <n v="491"/>
    <n v="100610.94"/>
    <n v="969"/>
    <n v="463326"/>
    <n v="1529.5935043626569"/>
    <n v="97"/>
  </r>
  <r>
    <s v="CAMP0035"/>
    <x v="12"/>
    <d v="2024-12-24T00:00:00"/>
    <d v="2024-01-08T00:00:00"/>
    <x v="3"/>
    <n v="3219.44"/>
    <n v="892"/>
    <n v="428"/>
    <n v="170123.08"/>
    <n v="5266"/>
    <n v="233695"/>
    <n v="5184.2444648758783"/>
    <n v="351"/>
  </r>
  <r>
    <s v="CAMP0006"/>
    <x v="14"/>
    <d v="2024-11-03T00:00:00"/>
    <d v="2024-01-04T00:00:00"/>
    <x v="0"/>
    <n v="33162.910000000003"/>
    <n v="1371"/>
    <n v="465"/>
    <n v="167228.6"/>
    <n v="193"/>
    <n v="280934"/>
    <n v="404.26395029869207"/>
    <n v="304"/>
  </r>
  <r>
    <s v="CAMP0082"/>
    <x v="8"/>
    <d v="2024-08-08T00:00:00"/>
    <d v="2024-01-04T00:00:00"/>
    <x v="1"/>
    <n v="27222.46"/>
    <n v="1958"/>
    <n v="155"/>
    <n v="83686.399999999994"/>
    <n v="3087"/>
    <n v="477377"/>
    <n v="207.4167433802823"/>
    <n v="217"/>
  </r>
  <r>
    <s v="CAMP0069"/>
    <x v="4"/>
    <d v="2024-11-03T00:00:00"/>
    <d v="2024-01-10T00:00:00"/>
    <x v="3"/>
    <n v="5019.16"/>
    <n v="739"/>
    <n v="127"/>
    <n v="69993.47"/>
    <n v="8727"/>
    <n v="399422"/>
    <n v="1294.5255779851609"/>
    <n v="298"/>
  </r>
  <r>
    <s v="CAMP0047"/>
    <x v="7"/>
    <d v="2024-05-03T00:00:00"/>
    <d v="2024-01-04T00:00:00"/>
    <x v="3"/>
    <n v="2712.02"/>
    <n v="624"/>
    <n v="148"/>
    <n v="100925.96"/>
    <n v="5047"/>
    <n v="122937"/>
    <n v="3621.4312578815793"/>
    <n v="120"/>
  </r>
  <r>
    <s v="CAMP0025"/>
    <x v="2"/>
    <d v="2024-08-18T00:00:00"/>
    <d v="2024-01-09T00:00:00"/>
    <x v="2"/>
    <n v="49498.06"/>
    <n v="1557"/>
    <n v="482"/>
    <n v="116690.64"/>
    <n v="6751"/>
    <n v="86053"/>
    <n v="135.7479060795514"/>
    <n v="222"/>
  </r>
  <r>
    <s v="CAMP0066"/>
    <x v="4"/>
    <d v="2024-06-26T00:00:00"/>
    <d v="2024-01-05T00:00:00"/>
    <x v="2"/>
    <n v="2471.0500000000002"/>
    <n v="214"/>
    <n v="193"/>
    <n v="51475.76"/>
    <n v="7079"/>
    <n v="313094"/>
    <n v="1983.1533153922419"/>
    <n v="173"/>
  </r>
  <r>
    <s v="CAMP0010"/>
    <x v="1"/>
    <d v="2024-03-03T00:00:00"/>
    <d v="2024-01-10T00:00:00"/>
    <x v="2"/>
    <n v="22781.88"/>
    <n v="1772"/>
    <n v="259"/>
    <n v="159821.24"/>
    <n v="6894"/>
    <n v="379355"/>
    <n v="601.52788092993194"/>
    <n v="53"/>
  </r>
  <r>
    <s v="CAMP0056"/>
    <x v="7"/>
    <d v="2024-04-25T00:00:00"/>
    <d v="2024-01-09T00:00:00"/>
    <x v="3"/>
    <n v="25726.33"/>
    <n v="432"/>
    <n v="72"/>
    <n v="99864.14"/>
    <n v="6624"/>
    <n v="319505"/>
    <n v="288.17872584235681"/>
    <n v="107"/>
  </r>
  <r>
    <s v="CAMP0030"/>
    <x v="6"/>
    <d v="2024-07-09T00:00:00"/>
    <d v="2024-01-10T00:00:00"/>
    <x v="1"/>
    <n v="6746.73"/>
    <n v="258"/>
    <n v="108"/>
    <n v="70138.880000000005"/>
    <n v="3244"/>
    <n v="324595"/>
    <n v="939.59814606483451"/>
    <n v="181"/>
  </r>
  <r>
    <s v="CAMP0005"/>
    <x v="14"/>
    <d v="2024-03-02T00:00:00"/>
    <d v="2024-01-09T00:00:00"/>
    <x v="2"/>
    <n v="9284.0300000000007"/>
    <n v="1812"/>
    <n v="340"/>
    <n v="25830.09"/>
    <n v="3687"/>
    <n v="300840"/>
    <n v="178.22066494830366"/>
    <n v="53"/>
  </r>
  <r>
    <s v="CAMP0033"/>
    <x v="7"/>
    <d v="2024-09-12T00:00:00"/>
    <d v="2024-01-08T00:00:00"/>
    <x v="1"/>
    <n v="18238.45"/>
    <n v="1505"/>
    <n v="163"/>
    <n v="51574.81"/>
    <n v="176"/>
    <n v="475857"/>
    <n v="182.78066392703326"/>
    <n v="248"/>
  </r>
  <r>
    <s v="CAMP0065"/>
    <x v="1"/>
    <d v="2024-01-07T00:00:00"/>
    <d v="2024-01-09T00:00:00"/>
    <x v="2"/>
    <n v="38322.120000000003"/>
    <n v="1462"/>
    <n v="313"/>
    <n v="190109.83"/>
    <n v="9107"/>
    <n v="495408"/>
    <n v="396.08380225311117"/>
    <n v="2"/>
  </r>
  <r>
    <s v="CAMP0018"/>
    <x v="13"/>
    <d v="2024-06-03T00:00:00"/>
    <d v="2024-01-07T00:00:00"/>
    <x v="0"/>
    <n v="25847.040000000001"/>
    <n v="1633"/>
    <n v="366"/>
    <n v="64494.44"/>
    <n v="9059"/>
    <n v="462442"/>
    <n v="149.523504432229"/>
    <n v="148"/>
  </r>
  <r>
    <s v="CAMP0096"/>
    <x v="10"/>
    <d v="2024-04-01T00:00:00"/>
    <d v="2024-01-09T00:00:00"/>
    <x v="0"/>
    <n v="32257.19"/>
    <n v="273"/>
    <n v="413"/>
    <n v="37927.56"/>
    <n v="6653"/>
    <n v="103395"/>
    <n v="17.578623556484612"/>
    <n v="83"/>
  </r>
  <r>
    <s v="CAMP0049"/>
    <x v="8"/>
    <d v="2024-01-14T00:00:00"/>
    <d v="2024-01-03T00:00:00"/>
    <x v="2"/>
    <n v="49273.55"/>
    <n v="52"/>
    <n v="304"/>
    <n v="94831.19"/>
    <n v="8397"/>
    <n v="387265"/>
    <n v="92.458611161566395"/>
    <n v="11"/>
  </r>
  <r>
    <s v="CAMP0011"/>
    <x v="3"/>
    <d v="2024-08-16T00:00:00"/>
    <d v="2024-01-03T00:00:00"/>
    <x v="3"/>
    <n v="38632.269999999997"/>
    <n v="421"/>
    <n v="400"/>
    <n v="64882.11"/>
    <n v="6794"/>
    <n v="309872"/>
    <n v="67.947961639323822"/>
    <n v="226"/>
  </r>
  <r>
    <s v="CAMP0085"/>
    <x v="14"/>
    <d v="2024-03-26T00:00:00"/>
    <d v="2024-01-11T00:00:00"/>
    <x v="2"/>
    <n v="22283.71"/>
    <n v="1760"/>
    <n v="94"/>
    <n v="11856.05"/>
    <n v="2973"/>
    <n v="318545"/>
    <n v="-46.794990600757238"/>
    <n v="75"/>
  </r>
  <r>
    <s v="CAMP0026"/>
    <x v="3"/>
    <d v="2024-05-12T00:00:00"/>
    <d v="2024-01-07T00:00:00"/>
    <x v="2"/>
    <n v="22875.65"/>
    <n v="1519"/>
    <n v="361"/>
    <n v="68013.320000000007"/>
    <n v="3446"/>
    <n v="198298"/>
    <n v="197.31754070376144"/>
    <n v="126"/>
  </r>
  <r>
    <s v="CAMP0063"/>
    <x v="5"/>
    <d v="2024-07-01T00:00:00"/>
    <d v="2024-01-07T00:00:00"/>
    <x v="3"/>
    <n v="31319.83"/>
    <n v="660"/>
    <n v="260"/>
    <n v="111101.18"/>
    <n v="7124"/>
    <n v="26103"/>
    <n v="254.73110805518417"/>
    <n v="176"/>
  </r>
  <r>
    <s v="CAMP0089"/>
    <x v="12"/>
    <d v="2024-03-02T00:00:00"/>
    <d v="2024-01-05T00:00:00"/>
    <x v="0"/>
    <n v="33602.9"/>
    <n v="165"/>
    <n v="500"/>
    <n v="112583.91"/>
    <n v="3248"/>
    <n v="428479"/>
    <n v="235.04224337780371"/>
    <n v="57"/>
  </r>
  <r>
    <s v="CAMP0086"/>
    <x v="14"/>
    <d v="2024-08-06T00:00:00"/>
    <d v="2024-01-07T00:00:00"/>
    <x v="1"/>
    <n v="25534.84"/>
    <n v="1343"/>
    <n v="357"/>
    <n v="74528.990000000005"/>
    <n v="9757"/>
    <n v="258777"/>
    <n v="191.87177205731467"/>
    <n v="212"/>
  </r>
  <r>
    <s v="CAMP0059"/>
    <x v="2"/>
    <d v="2024-09-02T00:00:00"/>
    <d v="2024-01-05T00:00:00"/>
    <x v="2"/>
    <n v="32598.2"/>
    <n v="496"/>
    <n v="224"/>
    <n v="92224.04"/>
    <n v="344"/>
    <n v="470837"/>
    <n v="182.91144909841645"/>
    <n v="241"/>
  </r>
  <r>
    <s v="CAMP0027"/>
    <x v="14"/>
    <d v="2024-08-17T00:00:00"/>
    <d v="2024-01-11T00:00:00"/>
    <x v="3"/>
    <n v="2153.09"/>
    <n v="1441"/>
    <n v="13"/>
    <n v="193275.99"/>
    <n v="2725"/>
    <n v="313188"/>
    <n v="8876.6795628608179"/>
    <n v="219"/>
  </r>
  <r>
    <s v="CAMP0049"/>
    <x v="0"/>
    <d v="2024-03-19T00:00:00"/>
    <d v="2024-01-11T00:00:00"/>
    <x v="2"/>
    <n v="22051.52"/>
    <n v="1326"/>
    <n v="16"/>
    <n v="78582.95"/>
    <n v="3949"/>
    <n v="58730"/>
    <n v="256.36069531714816"/>
    <n v="68"/>
  </r>
  <r>
    <s v="CAMP0077"/>
    <x v="10"/>
    <d v="2024-05-28T00:00:00"/>
    <d v="2024-01-08T00:00:00"/>
    <x v="3"/>
    <n v="14667.97"/>
    <n v="1390"/>
    <n v="329"/>
    <n v="55354.23"/>
    <n v="9697"/>
    <n v="26825"/>
    <n v="277.38166903804688"/>
    <n v="141"/>
  </r>
  <r>
    <s v="CAMP0033"/>
    <x v="0"/>
    <d v="2024-05-17T00:00:00"/>
    <d v="2024-01-03T00:00:00"/>
    <x v="1"/>
    <n v="7329.55"/>
    <n v="464"/>
    <n v="442"/>
    <n v="52476.07"/>
    <n v="9273"/>
    <n v="208328"/>
    <n v="615.95213894440985"/>
    <n v="135"/>
  </r>
  <r>
    <s v="CAMP0098"/>
    <x v="14"/>
    <d v="2024-11-09T00:00:00"/>
    <d v="2024-01-09T00:00:00"/>
    <x v="1"/>
    <n v="5877.78"/>
    <n v="1168"/>
    <n v="248"/>
    <n v="94264.1"/>
    <n v="7837"/>
    <n v="498393"/>
    <n v="1503.7364447121195"/>
    <n v="305"/>
  </r>
  <r>
    <s v="CAMP0099"/>
    <x v="8"/>
    <d v="2024-03-05T00:00:00"/>
    <d v="2024-01-09T00:00:00"/>
    <x v="0"/>
    <n v="30556.42"/>
    <n v="1858"/>
    <n v="186"/>
    <n v="153106.43"/>
    <n v="8433"/>
    <n v="38271"/>
    <n v="401.06141360800774"/>
    <n v="56"/>
  </r>
  <r>
    <s v="CAMP0001"/>
    <x v="7"/>
    <d v="2024-01-13T00:00:00"/>
    <d v="2024-01-06T00:00:00"/>
    <x v="3"/>
    <n v="26656.43"/>
    <n v="941"/>
    <n v="288"/>
    <n v="45167.7"/>
    <n v="992"/>
    <n v="78256"/>
    <n v="69.443920284899349"/>
    <n v="7"/>
  </r>
  <r>
    <s v="CAMP0021"/>
    <x v="3"/>
    <d v="2024-07-31T00:00:00"/>
    <d v="2024-01-10T00:00:00"/>
    <x v="3"/>
    <n v="13425.62"/>
    <n v="1097"/>
    <n v="316"/>
    <n v="143312.74"/>
    <n v="5587"/>
    <n v="440948"/>
    <n v="967.45714536833293"/>
    <n v="203"/>
  </r>
  <r>
    <s v="CAMP0055"/>
    <x v="8"/>
    <d v="2024-08-29T00:00:00"/>
    <d v="2024-01-08T00:00:00"/>
    <x v="0"/>
    <n v="24076.55"/>
    <n v="1701"/>
    <n v="103"/>
    <n v="9124.2199999999993"/>
    <n v="7351"/>
    <n v="67433"/>
    <n v="-62.103291376879163"/>
    <n v="234"/>
  </r>
  <r>
    <s v="CAMP0006"/>
    <x v="14"/>
    <d v="2024-07-31T00:00:00"/>
    <d v="2024-01-06T00:00:00"/>
    <x v="0"/>
    <n v="25119.38"/>
    <n v="712"/>
    <n v="201"/>
    <n v="86691.93"/>
    <n v="7410"/>
    <n v="214702"/>
    <n v="245.11970438760824"/>
    <n v="207"/>
  </r>
  <r>
    <s v="CAMP0092"/>
    <x v="1"/>
    <d v="2024-06-29T00:00:00"/>
    <d v="2024-01-06T00:00:00"/>
    <x v="3"/>
    <n v="10555.44"/>
    <n v="1923"/>
    <n v="486"/>
    <n v="156293.69"/>
    <n v="2499"/>
    <n v="102999"/>
    <n v="1380.6932728526713"/>
    <n v="175"/>
  </r>
  <r>
    <s v="CAMP0081"/>
    <x v="7"/>
    <d v="2024-12-03T00:00:00"/>
    <d v="2024-01-04T00:00:00"/>
    <x v="0"/>
    <n v="32952.559999999998"/>
    <n v="1123"/>
    <n v="370"/>
    <n v="71052.929999999993"/>
    <n v="4740"/>
    <n v="233062"/>
    <n v="115.62188188110423"/>
    <n v="334"/>
  </r>
  <r>
    <s v="CAMP0069"/>
    <x v="1"/>
    <d v="2024-06-21T00:00:00"/>
    <d v="2024-01-04T00:00:00"/>
    <x v="1"/>
    <n v="39265.050000000003"/>
    <n v="1575"/>
    <n v="230"/>
    <n v="114928.73"/>
    <n v="3060"/>
    <n v="24572"/>
    <n v="192.69981828623671"/>
    <n v="169"/>
  </r>
  <r>
    <s v="CAMP0095"/>
    <x v="3"/>
    <d v="2024-06-08T00:00:00"/>
    <d v="2024-01-06T00:00:00"/>
    <x v="2"/>
    <n v="39781.71"/>
    <n v="767"/>
    <n v="337"/>
    <n v="44970.95"/>
    <n v="7425"/>
    <n v="39546"/>
    <n v="13.044285929388149"/>
    <n v="154"/>
  </r>
  <r>
    <s v="CAMP0005"/>
    <x v="7"/>
    <d v="2024-06-12T00:00:00"/>
    <d v="2024-01-07T00:00:00"/>
    <x v="1"/>
    <n v="30521.02"/>
    <n v="1571"/>
    <n v="107"/>
    <n v="149689.1"/>
    <n v="1569"/>
    <n v="409366"/>
    <n v="390.44592874025835"/>
    <n v="157"/>
  </r>
  <r>
    <s v="CAMP0003"/>
    <x v="2"/>
    <d v="2024-07-06T00:00:00"/>
    <d v="2024-01-10T00:00:00"/>
    <x v="0"/>
    <n v="26070.29"/>
    <n v="1408"/>
    <n v="110"/>
    <n v="15194.43"/>
    <n v="3474"/>
    <n v="317309"/>
    <n v="-41.717449249701481"/>
    <n v="178"/>
  </r>
  <r>
    <s v="CAMP0053"/>
    <x v="10"/>
    <d v="2024-07-09T00:00:00"/>
    <d v="2024-01-08T00:00:00"/>
    <x v="3"/>
    <n v="3989.35"/>
    <n v="1152"/>
    <n v="369"/>
    <n v="171245.82"/>
    <n v="8947"/>
    <n v="326834"/>
    <n v="4192.5744795518067"/>
    <n v="183"/>
  </r>
  <r>
    <s v="CAMP0023"/>
    <x v="4"/>
    <d v="2024-11-03T00:00:00"/>
    <d v="2024-01-06T00:00:00"/>
    <x v="3"/>
    <n v="15103.73"/>
    <n v="1655"/>
    <n v="372"/>
    <n v="43648.3"/>
    <n v="8334"/>
    <n v="447880"/>
    <n v="188.99020308228501"/>
    <n v="302"/>
  </r>
  <r>
    <s v="CAMP0053"/>
    <x v="11"/>
    <d v="2024-09-12T00:00:00"/>
    <d v="2024-01-09T00:00:00"/>
    <x v="1"/>
    <n v="5570.3"/>
    <n v="1100"/>
    <n v="62"/>
    <n v="175507.62"/>
    <n v="8023"/>
    <n v="476551"/>
    <n v="3050.7750031416622"/>
    <n v="247"/>
  </r>
  <r>
    <s v="CAMP0037"/>
    <x v="6"/>
    <d v="2024-07-01T00:00:00"/>
    <d v="2024-01-10T00:00:00"/>
    <x v="3"/>
    <n v="48227.33"/>
    <n v="320"/>
    <n v="82"/>
    <n v="73743.199999999997"/>
    <n v="5222"/>
    <n v="207271"/>
    <n v="52.907490420887896"/>
    <n v="173"/>
  </r>
  <r>
    <s v="CAMP0074"/>
    <x v="8"/>
    <d v="2024-04-26T00:00:00"/>
    <d v="2024-01-04T00:00:00"/>
    <x v="0"/>
    <n v="7618.93"/>
    <n v="611"/>
    <n v="79"/>
    <n v="145923.29999999999"/>
    <n v="9952"/>
    <n v="37948"/>
    <n v="1815.2728795250778"/>
    <n v="113"/>
  </r>
  <r>
    <s v="CAMP0074"/>
    <x v="12"/>
    <d v="2024-10-08T00:00:00"/>
    <d v="2024-01-09T00:00:00"/>
    <x v="1"/>
    <n v="8437"/>
    <n v="853"/>
    <n v="46"/>
    <n v="67248.929999999993"/>
    <n v="5487"/>
    <n v="431246"/>
    <n v="697.07158942752153"/>
    <n v="273"/>
  </r>
  <r>
    <s v="CAMP0083"/>
    <x v="8"/>
    <d v="2024-07-14T00:00:00"/>
    <d v="2024-01-04T00:00:00"/>
    <x v="3"/>
    <n v="44589.25"/>
    <n v="296"/>
    <n v="426"/>
    <n v="181652.78"/>
    <n v="7731"/>
    <n v="290151"/>
    <n v="307.39142282052285"/>
    <n v="192"/>
  </r>
  <r>
    <s v="CAMP0017"/>
    <x v="11"/>
    <d v="2024-02-03T00:00:00"/>
    <d v="2024-01-04T00:00:00"/>
    <x v="2"/>
    <n v="47252.49"/>
    <n v="1849"/>
    <n v="328"/>
    <n v="29694.240000000002"/>
    <n v="7326"/>
    <n v="101819"/>
    <n v="-37.158359273765249"/>
    <n v="30"/>
  </r>
  <r>
    <s v="CAMP0085"/>
    <x v="4"/>
    <d v="2024-02-21T00:00:00"/>
    <d v="2024-01-10T00:00:00"/>
    <x v="2"/>
    <n v="38525.620000000003"/>
    <n v="1664"/>
    <n v="185"/>
    <n v="39811.360000000001"/>
    <n v="5208"/>
    <n v="354351"/>
    <n v="3.3373635518390046"/>
    <n v="42"/>
  </r>
  <r>
    <s v="CAMP0078"/>
    <x v="9"/>
    <d v="2024-04-21T00:00:00"/>
    <d v="2024-01-04T00:00:00"/>
    <x v="0"/>
    <n v="1264.8399999999999"/>
    <n v="436"/>
    <n v="37"/>
    <n v="101140.87"/>
    <n v="2324"/>
    <n v="485137"/>
    <n v="7896.33708611366"/>
    <n v="108"/>
  </r>
  <r>
    <s v="CAMP0073"/>
    <x v="13"/>
    <d v="2024-09-08T00:00:00"/>
    <d v="2024-01-11T00:00:00"/>
    <x v="3"/>
    <n v="1065.97"/>
    <n v="751"/>
    <n v="75"/>
    <n v="20978"/>
    <n v="2210"/>
    <n v="339916"/>
    <n v="1867.972832256067"/>
    <n v="241"/>
  </r>
  <r>
    <s v="CAMP0001"/>
    <x v="2"/>
    <d v="2024-03-22T00:00:00"/>
    <d v="2024-01-03T00:00:00"/>
    <x v="0"/>
    <n v="19526.939999999999"/>
    <n v="608"/>
    <n v="60"/>
    <n v="43216.14"/>
    <n v="1057"/>
    <n v="23024"/>
    <n v="121.31547492848343"/>
    <n v="79"/>
  </r>
  <r>
    <s v="CAMP0051"/>
    <x v="1"/>
    <d v="2024-08-19T00:00:00"/>
    <d v="2024-01-11T00:00:00"/>
    <x v="1"/>
    <n v="8026.37"/>
    <n v="1022"/>
    <n v="109"/>
    <n v="189034.44"/>
    <n v="7246"/>
    <n v="244480"/>
    <n v="2255.167279853782"/>
    <n v="221"/>
  </r>
  <r>
    <s v="CAMP0045"/>
    <x v="14"/>
    <d v="2024-08-14T00:00:00"/>
    <d v="2024-01-03T00:00:00"/>
    <x v="2"/>
    <n v="1900.92"/>
    <n v="1434"/>
    <n v="204"/>
    <n v="195415.48"/>
    <n v="660"/>
    <n v="433600"/>
    <n v="10180.047555920291"/>
    <n v="224"/>
  </r>
  <r>
    <s v="CAMP0077"/>
    <x v="2"/>
    <d v="2024-08-20T00:00:00"/>
    <d v="2024-01-04T00:00:00"/>
    <x v="1"/>
    <n v="23739.27"/>
    <n v="1939"/>
    <n v="105"/>
    <n v="78370.570000000007"/>
    <n v="9622"/>
    <n v="83912"/>
    <n v="230.13049685184086"/>
    <n v="229"/>
  </r>
  <r>
    <s v="CAMP0004"/>
    <x v="11"/>
    <d v="2024-08-08T00:00:00"/>
    <d v="2024-01-08T00:00:00"/>
    <x v="3"/>
    <n v="47210.03"/>
    <n v="1033"/>
    <n v="260"/>
    <n v="185040.77"/>
    <n v="7513"/>
    <n v="256233"/>
    <n v="291.95223981005734"/>
    <n v="213"/>
  </r>
  <r>
    <s v="CAMP0062"/>
    <x v="14"/>
    <d v="2024-02-11T00:00:00"/>
    <d v="2024-01-08T00:00:00"/>
    <x v="0"/>
    <n v="16867.16"/>
    <n v="1561"/>
    <n v="311"/>
    <n v="111240.81"/>
    <n v="1412"/>
    <n v="234746"/>
    <n v="559.51120402011952"/>
    <n v="34"/>
  </r>
  <r>
    <s v="CAMP0065"/>
    <x v="12"/>
    <d v="2024-01-21T00:00:00"/>
    <d v="2024-01-03T00:00:00"/>
    <x v="0"/>
    <n v="33395.89"/>
    <n v="401"/>
    <n v="78"/>
    <n v="57599.78"/>
    <n v="1921"/>
    <n v="412373"/>
    <n v="72.475654938377147"/>
    <n v="18"/>
  </r>
  <r>
    <s v="CAMP0032"/>
    <x v="0"/>
    <d v="2024-02-11T00:00:00"/>
    <d v="2024-01-09T00:00:00"/>
    <x v="0"/>
    <n v="32959.53"/>
    <n v="1774"/>
    <n v="175"/>
    <n v="141967.75"/>
    <n v="5746"/>
    <n v="262139"/>
    <n v="330.73353897946964"/>
    <n v="33"/>
  </r>
  <r>
    <s v="CAMP0034"/>
    <x v="7"/>
    <d v="2024-04-22T00:00:00"/>
    <d v="2024-01-10T00:00:00"/>
    <x v="1"/>
    <n v="13302.93"/>
    <n v="1329"/>
    <n v="381"/>
    <n v="133485.85"/>
    <n v="5045"/>
    <n v="348625"/>
    <n v="903.43195070559648"/>
    <n v="103"/>
  </r>
  <r>
    <s v="CAMP0092"/>
    <x v="13"/>
    <d v="2024-04-14T00:00:00"/>
    <d v="2024-01-04T00:00:00"/>
    <x v="2"/>
    <n v="32870.839999999997"/>
    <n v="1295"/>
    <n v="147"/>
    <n v="197879.44"/>
    <n v="5474"/>
    <n v="496336"/>
    <n v="501.99082226070288"/>
    <n v="101"/>
  </r>
  <r>
    <s v="CAMP0095"/>
    <x v="10"/>
    <d v="2024-07-10T00:00:00"/>
    <d v="2024-01-10T00:00:00"/>
    <x v="1"/>
    <n v="11404.36"/>
    <n v="1957"/>
    <n v="170"/>
    <n v="56684.22"/>
    <n v="2751"/>
    <n v="351697"/>
    <n v="397.03990403670173"/>
    <n v="182"/>
  </r>
  <r>
    <s v="CAMP0072"/>
    <x v="10"/>
    <d v="2024-01-17T00:00:00"/>
    <d v="2024-01-11T00:00:00"/>
    <x v="1"/>
    <n v="6978.36"/>
    <n v="802"/>
    <n v="403"/>
    <n v="136051.6"/>
    <n v="4801"/>
    <n v="133828"/>
    <n v="1849.6214010168578"/>
    <n v="6"/>
  </r>
  <r>
    <s v="CAMP0039"/>
    <x v="11"/>
    <d v="2024-04-29T00:00:00"/>
    <d v="2024-01-08T00:00:00"/>
    <x v="3"/>
    <n v="35367.78"/>
    <n v="830"/>
    <n v="265"/>
    <n v="15144.63"/>
    <n v="2977"/>
    <n v="232749"/>
    <n v="-57.179585487129813"/>
    <n v="112"/>
  </r>
  <r>
    <s v="CAMP0026"/>
    <x v="2"/>
    <d v="2024-05-08T00:00:00"/>
    <d v="2024-01-07T00:00:00"/>
    <x v="3"/>
    <n v="6558.6"/>
    <n v="1074"/>
    <n v="225"/>
    <n v="27160.98"/>
    <n v="5682"/>
    <n v="462328"/>
    <n v="314.12771018205098"/>
    <n v="122"/>
  </r>
  <r>
    <s v="CAMP0034"/>
    <x v="10"/>
    <d v="2024-05-09T00:00:00"/>
    <d v="2024-01-11T00:00:00"/>
    <x v="3"/>
    <n v="49848.55"/>
    <n v="595"/>
    <n v="87"/>
    <n v="5764.08"/>
    <n v="5490"/>
    <n v="485219"/>
    <n v="-88.4368151129772"/>
    <n v="119"/>
  </r>
  <r>
    <s v="CAMP0054"/>
    <x v="12"/>
    <d v="2024-02-29T00:00:00"/>
    <d v="2024-01-11T00:00:00"/>
    <x v="2"/>
    <n v="9989.17"/>
    <n v="1519"/>
    <n v="186"/>
    <n v="199894.83"/>
    <n v="4183"/>
    <n v="103488"/>
    <n v="1901.1155080952669"/>
    <n v="49"/>
  </r>
  <r>
    <s v="CAMP0003"/>
    <x v="1"/>
    <d v="2024-02-17T00:00:00"/>
    <d v="2024-01-03T00:00:00"/>
    <x v="2"/>
    <n v="30112.95"/>
    <n v="128"/>
    <n v="311"/>
    <n v="161443.37"/>
    <n v="845"/>
    <n v="97741"/>
    <n v="436.12605208058318"/>
    <n v="45"/>
  </r>
  <r>
    <s v="CAMP0050"/>
    <x v="9"/>
    <d v="2024-01-29T00:00:00"/>
    <d v="2024-01-05T00:00:00"/>
    <x v="3"/>
    <n v="21157.35"/>
    <n v="1309"/>
    <n v="14"/>
    <n v="158410.99"/>
    <n v="8849"/>
    <n v="190123"/>
    <n v="648.7279361545751"/>
    <n v="24"/>
  </r>
  <r>
    <s v="CAMP0012"/>
    <x v="8"/>
    <d v="2024-04-06T00:00:00"/>
    <d v="2024-01-11T00:00:00"/>
    <x v="3"/>
    <n v="7192.93"/>
    <n v="383"/>
    <n v="400"/>
    <n v="104396.58"/>
    <n v="1041"/>
    <n v="232773"/>
    <n v="1351.3776722420487"/>
    <n v="86"/>
  </r>
  <r>
    <s v="CAMP0065"/>
    <x v="5"/>
    <d v="2024-01-10T00:00:00"/>
    <d v="2024-01-04T00:00:00"/>
    <x v="2"/>
    <n v="2364.35"/>
    <n v="938"/>
    <n v="8"/>
    <n v="63513.08"/>
    <n v="4123"/>
    <n v="458811"/>
    <n v="2586.2807959904417"/>
    <n v="6"/>
  </r>
  <r>
    <s v="CAMP0054"/>
    <x v="12"/>
    <d v="2024-08-29T00:00:00"/>
    <d v="2024-01-06T00:00:00"/>
    <x v="0"/>
    <n v="31513.88"/>
    <n v="1422"/>
    <n v="355"/>
    <n v="34496.54"/>
    <n v="2396"/>
    <n v="341354"/>
    <n v="9.4645914752483655"/>
    <n v="236"/>
  </r>
  <r>
    <s v="CAMP0005"/>
    <x v="14"/>
    <d v="2024-11-09T00:00:00"/>
    <d v="2024-01-06T00:00:00"/>
    <x v="2"/>
    <n v="40531.120000000003"/>
    <n v="1171"/>
    <n v="406"/>
    <n v="60511.57"/>
    <n v="1039"/>
    <n v="175166"/>
    <n v="49.296565207179064"/>
    <n v="308"/>
  </r>
  <r>
    <s v="CAMP0094"/>
    <x v="6"/>
    <d v="2024-08-19T00:00:00"/>
    <d v="2024-01-04T00:00:00"/>
    <x v="2"/>
    <n v="42258.77"/>
    <n v="1155"/>
    <n v="340"/>
    <n v="78314.39"/>
    <n v="1710"/>
    <n v="219961"/>
    <n v="85.321035136611883"/>
    <n v="228"/>
  </r>
  <r>
    <s v="CAMP0094"/>
    <x v="11"/>
    <d v="2024-10-03T00:00:00"/>
    <d v="2024-01-05T00:00:00"/>
    <x v="2"/>
    <n v="24652.959999999999"/>
    <n v="551"/>
    <n v="492"/>
    <n v="152480.47"/>
    <n v="6400"/>
    <n v="489601"/>
    <n v="518.50775728350675"/>
    <n v="272"/>
  </r>
  <r>
    <s v="CAMP0057"/>
    <x v="0"/>
    <d v="2024-10-10T00:00:00"/>
    <d v="2024-01-05T00:00:00"/>
    <x v="3"/>
    <n v="39095.32"/>
    <n v="1550"/>
    <n v="296"/>
    <n v="110234.05"/>
    <n v="1825"/>
    <n v="398751"/>
    <n v="181.9622655601745"/>
    <n v="279"/>
  </r>
  <r>
    <s v="CAMP0017"/>
    <x v="7"/>
    <d v="2024-07-21T00:00:00"/>
    <d v="2024-01-03T00:00:00"/>
    <x v="0"/>
    <n v="33969.51"/>
    <n v="2000"/>
    <n v="285"/>
    <n v="20109.310000000001"/>
    <n v="9276"/>
    <n v="450251"/>
    <n v="-40.801883806978665"/>
    <n v="200"/>
  </r>
  <r>
    <s v="CAMP0047"/>
    <x v="6"/>
    <d v="2024-09-03T00:00:00"/>
    <d v="2024-01-08T00:00:00"/>
    <x v="2"/>
    <n v="36488.47"/>
    <n v="1777"/>
    <n v="219"/>
    <n v="8515.66"/>
    <n v="9879"/>
    <n v="48367"/>
    <n v="-76.66205242368342"/>
    <n v="239"/>
  </r>
  <r>
    <s v="CAMP0023"/>
    <x v="7"/>
    <d v="2024-10-16T00:00:00"/>
    <d v="2024-01-10T00:00:00"/>
    <x v="3"/>
    <n v="25137.35"/>
    <n v="814"/>
    <n v="464"/>
    <n v="24954.78"/>
    <n v="9628"/>
    <n v="239544"/>
    <n v="-0.72628976403638301"/>
    <n v="280"/>
  </r>
  <r>
    <s v="CAMP0079"/>
    <x v="3"/>
    <d v="2024-09-20T00:00:00"/>
    <d v="2024-01-05T00:00:00"/>
    <x v="1"/>
    <n v="32037.18"/>
    <n v="970"/>
    <n v="102"/>
    <n v="85047.25"/>
    <n v="8953"/>
    <n v="411334"/>
    <n v="165.46422000937659"/>
    <n v="259"/>
  </r>
  <r>
    <s v="CAMP0085"/>
    <x v="6"/>
    <d v="2024-08-01T00:00:00"/>
    <d v="2024-01-07T00:00:00"/>
    <x v="1"/>
    <n v="40470.769999999997"/>
    <n v="599"/>
    <n v="424"/>
    <n v="186972.62"/>
    <n v="7287"/>
    <n v="454028"/>
    <n v="361.994224473614"/>
    <n v="207"/>
  </r>
  <r>
    <s v="CAMP0014"/>
    <x v="5"/>
    <d v="2024-07-18T00:00:00"/>
    <d v="2024-01-03T00:00:00"/>
    <x v="2"/>
    <n v="20496.32"/>
    <n v="63"/>
    <n v="105"/>
    <n v="129293.48"/>
    <n v="132"/>
    <n v="60884"/>
    <n v="530.81314109069342"/>
    <n v="197"/>
  </r>
  <r>
    <s v="CAMP0066"/>
    <x v="2"/>
    <d v="2024-03-19T00:00:00"/>
    <d v="2024-01-09T00:00:00"/>
    <x v="1"/>
    <n v="40492.97"/>
    <n v="441"/>
    <n v="455"/>
    <n v="161356.04999999999"/>
    <n v="6085"/>
    <n v="460384"/>
    <n v="298.47916811239082"/>
    <n v="70"/>
  </r>
  <r>
    <s v="CAMP0075"/>
    <x v="9"/>
    <d v="2024-12-08T00:00:00"/>
    <d v="2024-01-03T00:00:00"/>
    <x v="0"/>
    <n v="30008.83"/>
    <n v="1420"/>
    <n v="13"/>
    <n v="95943.05"/>
    <n v="3514"/>
    <n v="145352"/>
    <n v="219.71606357195532"/>
    <n v="340"/>
  </r>
  <r>
    <s v="CAMP0051"/>
    <x v="8"/>
    <d v="2024-12-09T00:00:00"/>
    <d v="2024-01-11T00:00:00"/>
    <x v="1"/>
    <n v="9129.15"/>
    <n v="359"/>
    <n v="65"/>
    <n v="75524.89"/>
    <n v="1256"/>
    <n v="408962"/>
    <n v="727.29377871981512"/>
    <n v="333"/>
  </r>
  <r>
    <s v="CAMP0038"/>
    <x v="8"/>
    <d v="2024-06-21T00:00:00"/>
    <d v="2024-01-10T00:00:00"/>
    <x v="1"/>
    <n v="2209.52"/>
    <n v="435"/>
    <n v="313"/>
    <n v="26138.07"/>
    <n v="3226"/>
    <n v="365716"/>
    <n v="1082.9750353017851"/>
    <n v="163"/>
  </r>
  <r>
    <s v="CAMP0064"/>
    <x v="9"/>
    <d v="2024-03-09T00:00:00"/>
    <d v="2024-01-09T00:00:00"/>
    <x v="0"/>
    <n v="18774.93"/>
    <n v="1282"/>
    <n v="150"/>
    <n v="175806.94"/>
    <n v="8352"/>
    <n v="54251"/>
    <n v="836.39198654801919"/>
    <n v="60"/>
  </r>
  <r>
    <s v="CAMP0098"/>
    <x v="1"/>
    <d v="2024-03-27T00:00:00"/>
    <d v="2024-01-09T00:00:00"/>
    <x v="2"/>
    <n v="27788.12"/>
    <n v="1430"/>
    <n v="431"/>
    <n v="157716.21"/>
    <n v="1643"/>
    <n v="85821"/>
    <n v="467.56703943987577"/>
    <n v="78"/>
  </r>
  <r>
    <s v="CAMP0038"/>
    <x v="13"/>
    <d v="2024-04-10T00:00:00"/>
    <d v="2024-01-07T00:00:00"/>
    <x v="2"/>
    <n v="42151.199999999997"/>
    <n v="1023"/>
    <n v="423"/>
    <n v="37783.03"/>
    <n v="371"/>
    <n v="84583"/>
    <n v="-10.363097610506934"/>
    <n v="94"/>
  </r>
  <r>
    <s v="CAMP0050"/>
    <x v="3"/>
    <d v="2024-01-08T00:00:00"/>
    <d v="2024-01-07T00:00:00"/>
    <x v="0"/>
    <n v="7246.8"/>
    <n v="1674"/>
    <n v="67"/>
    <n v="104890.81"/>
    <n v="5395"/>
    <n v="245697"/>
    <n v="1347.4086493348786"/>
    <n v="1"/>
  </r>
  <r>
    <s v="CAMP0098"/>
    <x v="7"/>
    <d v="2024-11-28T00:00:00"/>
    <d v="2024-01-07T00:00:00"/>
    <x v="0"/>
    <n v="40210.11"/>
    <n v="1641"/>
    <n v="125"/>
    <n v="100038.09"/>
    <n v="4176"/>
    <n v="11207"/>
    <n v="148.7884017228503"/>
    <n v="326"/>
  </r>
  <r>
    <s v="CAMP0082"/>
    <x v="5"/>
    <d v="2024-07-18T00:00:00"/>
    <d v="2024-01-03T00:00:00"/>
    <x v="0"/>
    <n v="43287.44"/>
    <n v="1167"/>
    <n v="230"/>
    <n v="126892.85"/>
    <n v="6002"/>
    <n v="203199"/>
    <n v="193.14011177376162"/>
    <n v="197"/>
  </r>
  <r>
    <s v="CAMP0030"/>
    <x v="10"/>
    <d v="2024-03-27T00:00:00"/>
    <d v="2024-01-10T00:00:00"/>
    <x v="1"/>
    <n v="8383.69"/>
    <n v="1166"/>
    <n v="109"/>
    <n v="189506.44"/>
    <n v="2809"/>
    <n v="28757"/>
    <n v="2160.4180259527725"/>
    <n v="77"/>
  </r>
  <r>
    <s v="CAMP0079"/>
    <x v="6"/>
    <d v="2024-02-12T00:00:00"/>
    <d v="2024-01-03T00:00:00"/>
    <x v="0"/>
    <n v="42728.12"/>
    <n v="389"/>
    <n v="466"/>
    <n v="118055.43"/>
    <n v="9446"/>
    <n v="410442"/>
    <n v="176.29446369276249"/>
    <n v="40"/>
  </r>
  <r>
    <s v="CAMP0091"/>
    <x v="3"/>
    <d v="2024-04-18T00:00:00"/>
    <d v="2024-01-06T00:00:00"/>
    <x v="3"/>
    <n v="49581.22"/>
    <n v="646"/>
    <n v="264"/>
    <n v="110342.37"/>
    <n v="5321"/>
    <n v="489484"/>
    <n v="122.54871905128593"/>
    <n v="103"/>
  </r>
  <r>
    <s v="CAMP0051"/>
    <x v="12"/>
    <d v="2024-05-31T00:00:00"/>
    <d v="2024-01-11T00:00:00"/>
    <x v="1"/>
    <n v="36615.1"/>
    <n v="1518"/>
    <n v="353"/>
    <n v="14812.97"/>
    <n v="8629"/>
    <n v="455623"/>
    <n v="-59.544095195697942"/>
    <n v="141"/>
  </r>
  <r>
    <s v="CAMP0063"/>
    <x v="11"/>
    <d v="2024-01-17T00:00:00"/>
    <d v="2024-01-11T00:00:00"/>
    <x v="2"/>
    <n v="39453.71"/>
    <n v="806"/>
    <n v="429"/>
    <n v="17266.96"/>
    <n v="6822"/>
    <n v="421422"/>
    <n v="-56.234888936933949"/>
    <n v="6"/>
  </r>
  <r>
    <s v="CAMP0098"/>
    <x v="6"/>
    <d v="2024-05-12T00:00:00"/>
    <d v="2024-01-07T00:00:00"/>
    <x v="2"/>
    <n v="49726.35"/>
    <n v="1095"/>
    <n v="259"/>
    <n v="41532.620000000003"/>
    <n v="8301"/>
    <n v="152328"/>
    <n v="-16.477642135407073"/>
    <n v="126"/>
  </r>
  <r>
    <s v="CAMP0052"/>
    <x v="5"/>
    <d v="2024-05-27T00:00:00"/>
    <d v="2024-01-06T00:00:00"/>
    <x v="2"/>
    <n v="30668.58"/>
    <n v="340"/>
    <n v="433"/>
    <n v="11331.8"/>
    <n v="4244"/>
    <n v="296966"/>
    <n v="-63.050783570677225"/>
    <n v="142"/>
  </r>
  <r>
    <s v="CAMP0038"/>
    <x v="0"/>
    <d v="2024-10-03T00:00:00"/>
    <d v="2024-01-05T00:00:00"/>
    <x v="1"/>
    <n v="16086.43"/>
    <n v="1558"/>
    <n v="438"/>
    <n v="149953.81"/>
    <n v="5706"/>
    <n v="263070"/>
    <n v="832.17581526789979"/>
    <n v="272"/>
  </r>
  <r>
    <s v="CAMP0097"/>
    <x v="0"/>
    <d v="2024-08-19T00:00:00"/>
    <d v="2024-01-05T00:00:00"/>
    <x v="3"/>
    <n v="42039.01"/>
    <n v="1857"/>
    <n v="211"/>
    <n v="146049.41"/>
    <n v="6866"/>
    <n v="42340"/>
    <n v="247.41400903589309"/>
    <n v="227"/>
  </r>
  <r>
    <s v="CAMP0088"/>
    <x v="14"/>
    <d v="2024-11-09T00:00:00"/>
    <d v="2024-01-07T00:00:00"/>
    <x v="0"/>
    <n v="31109.8"/>
    <n v="355"/>
    <n v="32"/>
    <n v="31530.97"/>
    <n v="830"/>
    <n v="243955"/>
    <n v="1.353817768034516"/>
    <n v="307"/>
  </r>
  <r>
    <s v="CAMP0079"/>
    <x v="3"/>
    <d v="2024-08-15T00:00:00"/>
    <d v="2024-01-03T00:00:00"/>
    <x v="0"/>
    <n v="29478.58"/>
    <n v="683"/>
    <n v="174"/>
    <n v="168035.39"/>
    <n v="4990"/>
    <n v="446450"/>
    <n v="470.02538792574126"/>
    <n v="225"/>
  </r>
  <r>
    <s v="CAMP0030"/>
    <x v="2"/>
    <d v="2024-05-18T00:00:00"/>
    <d v="2024-01-07T00:00:00"/>
    <x v="2"/>
    <n v="13428.14"/>
    <n v="1201"/>
    <n v="340"/>
    <n v="35183.279999999999"/>
    <n v="1748"/>
    <n v="306495"/>
    <n v="162.01156675459148"/>
    <n v="132"/>
  </r>
  <r>
    <s v="CAMP0051"/>
    <x v="5"/>
    <d v="2024-07-29T00:00:00"/>
    <d v="2024-01-08T00:00:00"/>
    <x v="2"/>
    <n v="38060.379999999997"/>
    <n v="674"/>
    <n v="80"/>
    <n v="63729.24"/>
    <n v="4328"/>
    <n v="369455"/>
    <n v="67.442469045238127"/>
    <n v="203"/>
  </r>
  <r>
    <s v="CAMP0081"/>
    <x v="5"/>
    <d v="2024-01-28T00:00:00"/>
    <d v="2024-01-09T00:00:00"/>
    <x v="1"/>
    <n v="5001.7"/>
    <n v="988"/>
    <n v="120"/>
    <n v="53550.5"/>
    <n v="2230"/>
    <n v="442887"/>
    <n v="970.64598036667553"/>
    <n v="19"/>
  </r>
  <r>
    <s v="CAMP0005"/>
    <x v="9"/>
    <d v="2024-02-20T00:00:00"/>
    <d v="2024-01-11T00:00:00"/>
    <x v="3"/>
    <n v="46290.07"/>
    <n v="1346"/>
    <n v="73"/>
    <n v="77599.88"/>
    <n v="4466"/>
    <n v="76320"/>
    <n v="67.638286137826114"/>
    <n v="40"/>
  </r>
  <r>
    <s v="CAMP0029"/>
    <x v="12"/>
    <d v="2024-09-17T00:00:00"/>
    <d v="2024-01-05T00:00:00"/>
    <x v="0"/>
    <n v="16965.349999999999"/>
    <n v="897"/>
    <n v="358"/>
    <n v="54659.43"/>
    <n v="1606"/>
    <n v="365709"/>
    <n v="222.18274306159321"/>
    <n v="256"/>
  </r>
  <r>
    <s v="CAMP0004"/>
    <x v="2"/>
    <d v="2024-09-17T00:00:00"/>
    <d v="2024-01-04T00:00:00"/>
    <x v="1"/>
    <n v="7260.96"/>
    <n v="491"/>
    <n v="238"/>
    <n v="100345.43"/>
    <n v="2258"/>
    <n v="429373"/>
    <n v="1281.9857153874968"/>
    <n v="257"/>
  </r>
  <r>
    <s v="CAMP0010"/>
    <x v="12"/>
    <d v="2024-12-15T00:00:00"/>
    <d v="2024-01-05T00:00:00"/>
    <x v="0"/>
    <n v="22675.96"/>
    <n v="552"/>
    <n v="5"/>
    <n v="84444.54"/>
    <n v="3016"/>
    <n v="283081"/>
    <n v="272.39675850548332"/>
    <n v="345"/>
  </r>
  <r>
    <s v="CAMP0056"/>
    <x v="1"/>
    <d v="2024-12-17T00:00:00"/>
    <d v="2024-01-11T00:00:00"/>
    <x v="2"/>
    <n v="3081.03"/>
    <n v="179"/>
    <n v="171"/>
    <n v="197381.05"/>
    <n v="3329"/>
    <n v="448506"/>
    <n v="6306.3332716656432"/>
    <n v="341"/>
  </r>
  <r>
    <s v="CAMP0017"/>
    <x v="7"/>
    <d v="2024-01-08T00:00:00"/>
    <d v="2024-01-09T00:00:00"/>
    <x v="0"/>
    <n v="34546.68"/>
    <n v="1205"/>
    <n v="356"/>
    <n v="15905.64"/>
    <n v="9958"/>
    <n v="440923"/>
    <n v="-53.958991138945912"/>
    <n v="1"/>
  </r>
  <r>
    <s v="CAMP0074"/>
    <x v="7"/>
    <d v="2024-11-15T00:00:00"/>
    <d v="2024-01-11T00:00:00"/>
    <x v="3"/>
    <n v="45232.57"/>
    <n v="646"/>
    <n v="222"/>
    <n v="32725.37"/>
    <n v="6365"/>
    <n v="274363"/>
    <n v="-27.650871927020731"/>
    <n v="309"/>
  </r>
  <r>
    <s v="CAMP0017"/>
    <x v="10"/>
    <d v="2024-05-17T00:00:00"/>
    <d v="2024-01-04T00:00:00"/>
    <x v="3"/>
    <n v="42025.89"/>
    <n v="1555"/>
    <n v="277"/>
    <n v="15301.05"/>
    <n v="4236"/>
    <n v="10399"/>
    <n v="-63.591371890042069"/>
    <n v="134"/>
  </r>
  <r>
    <s v="CAMP0084"/>
    <x v="14"/>
    <d v="2024-02-07T00:00:00"/>
    <d v="2024-01-07T00:00:00"/>
    <x v="2"/>
    <n v="7241.1"/>
    <n v="911"/>
    <n v="372"/>
    <n v="127039.03"/>
    <n v="2789"/>
    <n v="127733"/>
    <n v="1654.4161798621753"/>
    <n v="31"/>
  </r>
  <r>
    <s v="CAMP0088"/>
    <x v="8"/>
    <d v="2024-04-20T00:00:00"/>
    <d v="2024-01-06T00:00:00"/>
    <x v="3"/>
    <n v="7187.29"/>
    <n v="1463"/>
    <n v="255"/>
    <n v="15629.31"/>
    <n v="7290"/>
    <n v="230920"/>
    <n v="117.45762310968391"/>
    <n v="105"/>
  </r>
  <r>
    <s v="CAMP0069"/>
    <x v="0"/>
    <d v="2024-08-07T00:00:00"/>
    <d v="2024-01-04T00:00:00"/>
    <x v="3"/>
    <n v="40858.29"/>
    <n v="642"/>
    <n v="351"/>
    <n v="168105.75"/>
    <n v="2910"/>
    <n v="421873"/>
    <n v="311.436088000746"/>
    <n v="216"/>
  </r>
  <r>
    <s v="CAMP0034"/>
    <x v="11"/>
    <d v="2024-12-02T00:00:00"/>
    <d v="2024-01-11T00:00:00"/>
    <x v="1"/>
    <n v="46288.46"/>
    <n v="1048"/>
    <n v="348"/>
    <n v="104828.03"/>
    <n v="6252"/>
    <n v="283191"/>
    <n v="126.46687748955139"/>
    <n v="326"/>
  </r>
  <r>
    <s v="CAMP0006"/>
    <x v="7"/>
    <d v="2024-08-10T00:00:00"/>
    <d v="2024-01-11T00:00:00"/>
    <x v="0"/>
    <n v="23572.82"/>
    <n v="374"/>
    <n v="423"/>
    <n v="107766.49"/>
    <n v="112"/>
    <n v="232615"/>
    <n v="357.16418315670342"/>
    <n v="212"/>
  </r>
  <r>
    <s v="CAMP0053"/>
    <x v="2"/>
    <d v="2024-05-15T00:00:00"/>
    <d v="2024-01-08T00:00:00"/>
    <x v="2"/>
    <n v="25449.58"/>
    <n v="1142"/>
    <n v="178"/>
    <n v="114510.93"/>
    <n v="6038"/>
    <n v="470311"/>
    <n v="349.95214066401087"/>
    <n v="128"/>
  </r>
  <r>
    <s v="CAMP0066"/>
    <x v="5"/>
    <d v="2024-09-12T00:00:00"/>
    <d v="2024-01-08T00:00:00"/>
    <x v="2"/>
    <n v="16594.84"/>
    <n v="1733"/>
    <n v="174"/>
    <n v="38308.67"/>
    <n v="8099"/>
    <n v="86693"/>
    <n v="130.84687770415383"/>
    <n v="248"/>
  </r>
  <r>
    <s v="CAMP0077"/>
    <x v="11"/>
    <d v="2024-12-25T00:00:00"/>
    <d v="2024-01-10T00:00:00"/>
    <x v="2"/>
    <n v="44818.99"/>
    <n v="497"/>
    <n v="250"/>
    <n v="43549.61"/>
    <n v="7319"/>
    <n v="101931"/>
    <n v="-2.8322369602706297"/>
    <n v="350"/>
  </r>
  <r>
    <s v="CAMP0043"/>
    <x v="4"/>
    <d v="2024-11-24T00:00:00"/>
    <d v="2024-01-08T00:00:00"/>
    <x v="2"/>
    <n v="32600.240000000002"/>
    <n v="1601"/>
    <n v="427"/>
    <n v="67169.38"/>
    <n v="5428"/>
    <n v="466370"/>
    <n v="106.03952608937848"/>
    <n v="321"/>
  </r>
  <r>
    <s v="CAMP0075"/>
    <x v="12"/>
    <d v="2024-02-18T00:00:00"/>
    <d v="2024-01-03T00:00:00"/>
    <x v="2"/>
    <n v="15124.33"/>
    <n v="868"/>
    <n v="94"/>
    <n v="120731.8"/>
    <n v="3721"/>
    <n v="176963"/>
    <n v="698.26213789305052"/>
    <n v="46"/>
  </r>
  <r>
    <s v="CAMP0023"/>
    <x v="7"/>
    <d v="2024-10-18T00:00:00"/>
    <d v="2024-01-06T00:00:00"/>
    <x v="3"/>
    <n v="15640.36"/>
    <n v="1690"/>
    <n v="53"/>
    <n v="45972.97"/>
    <n v="3783"/>
    <n v="138852"/>
    <n v="193.9380551342808"/>
    <n v="286"/>
  </r>
  <r>
    <s v="CAMP0055"/>
    <x v="5"/>
    <d v="2024-11-19T00:00:00"/>
    <d v="2024-01-09T00:00:00"/>
    <x v="1"/>
    <n v="44668.800000000003"/>
    <n v="1238"/>
    <n v="450"/>
    <n v="27684.69"/>
    <n v="7972"/>
    <n v="290194"/>
    <n v="-38.022310874704502"/>
    <n v="315"/>
  </r>
  <r>
    <s v="CAMP0080"/>
    <x v="7"/>
    <d v="2024-03-18T00:00:00"/>
    <d v="2024-01-04T00:00:00"/>
    <x v="2"/>
    <n v="1668.07"/>
    <n v="1561"/>
    <n v="298"/>
    <n v="194172.79"/>
    <n v="5410"/>
    <n v="74551"/>
    <n v="11540.566043391465"/>
    <n v="74"/>
  </r>
  <r>
    <s v="CAMP0095"/>
    <x v="0"/>
    <d v="2024-04-14T00:00:00"/>
    <d v="2024-01-11T00:00:00"/>
    <x v="1"/>
    <n v="16813.599999999999"/>
    <n v="1786"/>
    <n v="411"/>
    <n v="9286.4500000000007"/>
    <n v="752"/>
    <n v="331810"/>
    <n v="-44.768223343008032"/>
    <n v="94"/>
  </r>
  <r>
    <s v="CAMP0075"/>
    <x v="4"/>
    <d v="2024-06-17T00:00:00"/>
    <d v="2024-01-10T00:00:00"/>
    <x v="1"/>
    <n v="28163.48"/>
    <n v="758"/>
    <n v="154"/>
    <n v="161525.99"/>
    <n v="5899"/>
    <n v="225691"/>
    <n v="473.52994019205011"/>
    <n v="159"/>
  </r>
  <r>
    <s v="CAMP0016"/>
    <x v="6"/>
    <d v="2024-08-04T00:00:00"/>
    <d v="2024-01-10T00:00:00"/>
    <x v="3"/>
    <n v="8262.66"/>
    <n v="1499"/>
    <n v="136"/>
    <n v="158666.85"/>
    <n v="8912"/>
    <n v="83016"/>
    <n v="1820.2877765755823"/>
    <n v="207"/>
  </r>
  <r>
    <s v="CAMP0008"/>
    <x v="7"/>
    <d v="2024-04-28T00:00:00"/>
    <d v="2024-01-09T00:00:00"/>
    <x v="2"/>
    <n v="5512.84"/>
    <n v="1770"/>
    <n v="437"/>
    <n v="62956.75"/>
    <n v="3890"/>
    <n v="114135"/>
    <n v="1042.0021259459734"/>
    <n v="110"/>
  </r>
  <r>
    <s v="CAMP0004"/>
    <x v="1"/>
    <d v="2024-07-08T00:00:00"/>
    <d v="2024-01-06T00:00:00"/>
    <x v="3"/>
    <n v="40948.54"/>
    <n v="1907"/>
    <n v="63"/>
    <n v="31447.19"/>
    <n v="1745"/>
    <n v="54010"/>
    <n v="-23.203147169593841"/>
    <n v="184"/>
  </r>
  <r>
    <s v="CAMP0004"/>
    <x v="2"/>
    <d v="2024-09-11T00:00:00"/>
    <d v="2024-01-04T00:00:00"/>
    <x v="2"/>
    <n v="44825.82"/>
    <n v="314"/>
    <n v="461"/>
    <n v="33397.589999999997"/>
    <n v="4612"/>
    <n v="233084"/>
    <n v="-25.49474833923842"/>
    <n v="251"/>
  </r>
  <r>
    <s v="CAMP0056"/>
    <x v="7"/>
    <d v="2024-09-22T00:00:00"/>
    <d v="2024-01-05T00:00:00"/>
    <x v="3"/>
    <n v="41356.71"/>
    <n v="1948"/>
    <n v="328"/>
    <n v="140999.17000000001"/>
    <n v="4859"/>
    <n v="39165"/>
    <n v="240.93420390548479"/>
    <n v="261"/>
  </r>
  <r>
    <s v="CAMP0025"/>
    <x v="8"/>
    <d v="2024-05-28T00:00:00"/>
    <d v="2024-01-08T00:00:00"/>
    <x v="1"/>
    <n v="45040.61"/>
    <n v="661"/>
    <n v="203"/>
    <n v="130347.29"/>
    <n v="5974"/>
    <n v="274672"/>
    <n v="189.39947749375506"/>
    <n v="141"/>
  </r>
  <r>
    <s v="CAMP0067"/>
    <x v="11"/>
    <d v="2024-06-12T00:00:00"/>
    <d v="2024-01-07T00:00:00"/>
    <x v="2"/>
    <n v="28102.49"/>
    <n v="1415"/>
    <n v="219"/>
    <n v="157635.41"/>
    <n v="3788"/>
    <n v="383984"/>
    <n v="460.93040154093103"/>
    <n v="157"/>
  </r>
  <r>
    <s v="CAMP0096"/>
    <x v="11"/>
    <d v="2024-05-19T00:00:00"/>
    <d v="2024-01-10T00:00:00"/>
    <x v="0"/>
    <n v="40800.65"/>
    <n v="881"/>
    <n v="390"/>
    <n v="187808.83"/>
    <n v="7789"/>
    <n v="181680"/>
    <n v="360.3084264588922"/>
    <n v="130"/>
  </r>
  <r>
    <s v="CAMP0067"/>
    <x v="0"/>
    <d v="2024-12-12T00:00:00"/>
    <d v="2024-01-08T00:00:00"/>
    <x v="1"/>
    <n v="19818.09"/>
    <n v="1799"/>
    <n v="53"/>
    <n v="139925.84"/>
    <n v="1479"/>
    <n v="400130"/>
    <n v="606.05108766788328"/>
    <n v="339"/>
  </r>
  <r>
    <s v="CAMP0027"/>
    <x v="2"/>
    <d v="2024-09-14T00:00:00"/>
    <d v="2024-01-08T00:00:00"/>
    <x v="0"/>
    <n v="33647.129999999997"/>
    <n v="1351"/>
    <n v="476"/>
    <n v="35391.050000000003"/>
    <n v="4343"/>
    <n v="38136"/>
    <n v="5.1829680570081482"/>
    <n v="250"/>
  </r>
  <r>
    <s v="CAMP0093"/>
    <x v="4"/>
    <d v="2024-09-25T00:00:00"/>
    <d v="2024-01-03T00:00:00"/>
    <x v="1"/>
    <n v="49452.94"/>
    <n v="723"/>
    <n v="236"/>
    <n v="52471.31"/>
    <n v="9680"/>
    <n v="405395"/>
    <n v="6.1035198311768628"/>
    <n v="266"/>
  </r>
  <r>
    <s v="CAMP0032"/>
    <x v="1"/>
    <d v="2024-06-29T00:00:00"/>
    <d v="2024-01-06T00:00:00"/>
    <x v="3"/>
    <n v="12060.66"/>
    <n v="1512"/>
    <n v="251"/>
    <n v="169227.78"/>
    <n v="6607"/>
    <n v="349152"/>
    <n v="1303.1386342040983"/>
    <n v="175"/>
  </r>
  <r>
    <s v="CAMP0050"/>
    <x v="9"/>
    <d v="2024-06-08T00:00:00"/>
    <d v="2024-01-07T00:00:00"/>
    <x v="2"/>
    <n v="20105.09"/>
    <n v="206"/>
    <n v="386"/>
    <n v="45814.68"/>
    <n v="7919"/>
    <n v="13076"/>
    <n v="127.87602542440746"/>
    <n v="153"/>
  </r>
  <r>
    <s v="CAMP0061"/>
    <x v="2"/>
    <d v="2024-12-16T00:00:00"/>
    <d v="2024-01-05T00:00:00"/>
    <x v="1"/>
    <n v="24522.32"/>
    <n v="1495"/>
    <n v="483"/>
    <n v="19141.849999999999"/>
    <n v="8693"/>
    <n v="387055"/>
    <n v="-21.941113238877893"/>
    <n v="346"/>
  </r>
  <r>
    <s v="CAMP0051"/>
    <x v="11"/>
    <d v="2024-10-14T00:00:00"/>
    <d v="2024-01-11T00:00:00"/>
    <x v="3"/>
    <n v="7762.76"/>
    <n v="300"/>
    <n v="243"/>
    <n v="142139.60999999999"/>
    <n v="2753"/>
    <n v="156855"/>
    <n v="1731.0447572770506"/>
    <n v="277"/>
  </r>
  <r>
    <s v="CAMP0019"/>
    <x v="8"/>
    <d v="2024-10-14T00:00:00"/>
    <d v="2024-01-03T00:00:00"/>
    <x v="2"/>
    <n v="4970.8900000000003"/>
    <n v="927"/>
    <n v="419"/>
    <n v="83492.639999999999"/>
    <n v="5711"/>
    <n v="379769"/>
    <n v="1579.6316152640672"/>
    <n v="285"/>
  </r>
  <r>
    <s v="CAMP0021"/>
    <x v="6"/>
    <d v="2024-08-13T00:00:00"/>
    <d v="2024-01-08T00:00:00"/>
    <x v="2"/>
    <n v="41656.42"/>
    <n v="1682"/>
    <n v="371"/>
    <n v="184407.81"/>
    <n v="6227"/>
    <n v="178788"/>
    <n v="342.68760973698653"/>
    <n v="218"/>
  </r>
  <r>
    <s v="CAMP0005"/>
    <x v="0"/>
    <d v="2024-01-11T00:00:00"/>
    <d v="2024-01-08T00:00:00"/>
    <x v="1"/>
    <n v="48862.92"/>
    <n v="579"/>
    <n v="172"/>
    <n v="131799.74"/>
    <n v="4023"/>
    <n v="51298"/>
    <n v="169.73365488595442"/>
    <n v="3"/>
  </r>
  <r>
    <s v="CAMP0082"/>
    <x v="9"/>
    <d v="2024-01-10T00:00:00"/>
    <d v="2024-01-07T00:00:00"/>
    <x v="2"/>
    <n v="20831.53"/>
    <n v="376"/>
    <n v="52"/>
    <n v="22631.7"/>
    <n v="8559"/>
    <n v="317448"/>
    <n v="8.641564013781041"/>
    <n v="3"/>
  </r>
  <r>
    <s v="CAMP0092"/>
    <x v="8"/>
    <d v="2024-09-27T00:00:00"/>
    <d v="2024-01-07T00:00:00"/>
    <x v="1"/>
    <n v="5294.84"/>
    <n v="1010"/>
    <n v="55"/>
    <n v="189832.03"/>
    <n v="6012"/>
    <n v="342504"/>
    <n v="3485.2269379244694"/>
    <n v="264"/>
  </r>
  <r>
    <s v="CAMP0042"/>
    <x v="4"/>
    <d v="2024-09-29T00:00:00"/>
    <d v="2024-01-07T00:00:00"/>
    <x v="2"/>
    <n v="4224.78"/>
    <n v="944"/>
    <n v="303"/>
    <n v="55418.67"/>
    <n v="5230"/>
    <n v="70835"/>
    <n v="1211.7528013293002"/>
    <n v="266"/>
  </r>
  <r>
    <s v="CAMP0061"/>
    <x v="12"/>
    <d v="2024-07-01T00:00:00"/>
    <d v="2024-01-08T00:00:00"/>
    <x v="0"/>
    <n v="44674.59"/>
    <n v="146"/>
    <n v="102"/>
    <n v="70756.44"/>
    <n v="5539"/>
    <n v="113424"/>
    <n v="58.381845250286588"/>
    <n v="175"/>
  </r>
  <r>
    <s v="CAMP0022"/>
    <x v="4"/>
    <d v="2024-06-01T00:00:00"/>
    <d v="2024-01-10T00:00:00"/>
    <x v="3"/>
    <n v="23726.9"/>
    <n v="562"/>
    <n v="443"/>
    <n v="83440.78"/>
    <n v="7980"/>
    <n v="140190"/>
    <n v="251.67164694924321"/>
    <n v="143"/>
  </r>
  <r>
    <s v="CAMP0021"/>
    <x v="8"/>
    <d v="2024-11-10T00:00:00"/>
    <d v="2024-01-04T00:00:00"/>
    <x v="0"/>
    <n v="16681.34"/>
    <n v="265"/>
    <n v="220"/>
    <n v="14988.74"/>
    <n v="6549"/>
    <n v="470508"/>
    <n v="-10.146666874483707"/>
    <n v="311"/>
  </r>
  <r>
    <s v="CAMP0070"/>
    <x v="12"/>
    <d v="2024-11-29T00:00:00"/>
    <d v="2024-01-08T00:00:00"/>
    <x v="1"/>
    <n v="24346.6"/>
    <n v="1205"/>
    <n v="181"/>
    <n v="101820.51"/>
    <n v="1825"/>
    <n v="255394"/>
    <n v="318.21244034074579"/>
    <n v="326"/>
  </r>
  <r>
    <s v="CAMP0001"/>
    <x v="3"/>
    <d v="2024-05-03T00:00:00"/>
    <d v="2024-01-03T00:00:00"/>
    <x v="0"/>
    <n v="16596.900000000001"/>
    <n v="1333"/>
    <n v="384"/>
    <n v="29047.11"/>
    <n v="9404"/>
    <n v="320055"/>
    <n v="75.015273936699018"/>
    <n v="121"/>
  </r>
  <r>
    <s v="CAMP0005"/>
    <x v="0"/>
    <d v="2024-04-23T00:00:00"/>
    <d v="2024-01-06T00:00:00"/>
    <x v="1"/>
    <n v="24962.75"/>
    <n v="174"/>
    <n v="478"/>
    <n v="83189.210000000006"/>
    <n v="7622"/>
    <n v="467705"/>
    <n v="233.2533875474457"/>
    <n v="108"/>
  </r>
  <r>
    <s v="CAMP0012"/>
    <x v="2"/>
    <d v="2024-10-04T00:00:00"/>
    <d v="2024-01-05T00:00:00"/>
    <x v="2"/>
    <n v="43118.26"/>
    <n v="1155"/>
    <n v="84"/>
    <n v="73388.41"/>
    <n v="4884"/>
    <n v="104088"/>
    <n v="70.202624131864326"/>
    <n v="273"/>
  </r>
  <r>
    <s v="CAMP0090"/>
    <x v="12"/>
    <d v="2024-07-31T00:00:00"/>
    <d v="2024-01-11T00:00:00"/>
    <x v="2"/>
    <n v="30022.77"/>
    <n v="1356"/>
    <n v="189"/>
    <n v="155703.82"/>
    <n v="9572"/>
    <n v="16185"/>
    <n v="418.61910143534391"/>
    <n v="202"/>
  </r>
  <r>
    <s v="CAMP0046"/>
    <x v="14"/>
    <d v="2024-06-20T00:00:00"/>
    <d v="2024-01-05T00:00:00"/>
    <x v="1"/>
    <n v="35038.03"/>
    <n v="1756"/>
    <n v="371"/>
    <n v="161618.25"/>
    <n v="1332"/>
    <n v="436008"/>
    <n v="361.26523095048435"/>
    <n v="167"/>
  </r>
  <r>
    <s v="CAMP0034"/>
    <x v="12"/>
    <d v="2024-10-14T00:00:00"/>
    <d v="2024-01-08T00:00:00"/>
    <x v="0"/>
    <n v="18868.86"/>
    <n v="108"/>
    <n v="465"/>
    <n v="34915.51"/>
    <n v="8908"/>
    <n v="474426"/>
    <n v="85.04302856664367"/>
    <n v="280"/>
  </r>
  <r>
    <s v="CAMP0049"/>
    <x v="5"/>
    <d v="2024-06-22T00:00:00"/>
    <d v="2024-01-03T00:00:00"/>
    <x v="2"/>
    <n v="37186.79"/>
    <n v="1617"/>
    <n v="403"/>
    <n v="76477.48"/>
    <n v="8438"/>
    <n v="51613"/>
    <n v="105.65765423689433"/>
    <n v="171"/>
  </r>
  <r>
    <s v="CAMP0078"/>
    <x v="6"/>
    <d v="2024-04-22T00:00:00"/>
    <d v="2024-01-08T00:00:00"/>
    <x v="3"/>
    <n v="33664.239999999998"/>
    <n v="210"/>
    <n v="31"/>
    <n v="77803.87"/>
    <n v="7546"/>
    <n v="242084"/>
    <n v="131.11726270962899"/>
    <n v="105"/>
  </r>
  <r>
    <s v="CAMP0090"/>
    <x v="5"/>
    <d v="2024-05-01T00:00:00"/>
    <d v="2024-01-06T00:00:00"/>
    <x v="2"/>
    <n v="6858.54"/>
    <n v="333"/>
    <n v="456"/>
    <n v="34525.040000000001"/>
    <n v="4716"/>
    <n v="165999"/>
    <n v="403.38760144287266"/>
    <n v="116"/>
  </r>
  <r>
    <s v="CAMP0045"/>
    <x v="2"/>
    <d v="2024-02-01T00:00:00"/>
    <d v="2024-01-10T00:00:00"/>
    <x v="3"/>
    <n v="29059.5"/>
    <n v="155"/>
    <n v="468"/>
    <n v="160698.43"/>
    <n v="4825"/>
    <n v="263530"/>
    <n v="452.99791806466044"/>
    <n v="22"/>
  </r>
  <r>
    <s v="CAMP0027"/>
    <x v="2"/>
    <d v="2024-08-09T00:00:00"/>
    <d v="2024-01-11T00:00:00"/>
    <x v="0"/>
    <n v="13580.43"/>
    <n v="1178"/>
    <n v="452"/>
    <n v="142909.51999999999"/>
    <n v="3777"/>
    <n v="486369"/>
    <n v="952.31955100096229"/>
    <n v="211"/>
  </r>
  <r>
    <s v="CAMP0073"/>
    <x v="0"/>
    <d v="2024-04-28T00:00:00"/>
    <d v="2024-01-06T00:00:00"/>
    <x v="3"/>
    <n v="40400.69"/>
    <n v="1512"/>
    <n v="482"/>
    <n v="42124.45"/>
    <n v="6387"/>
    <n v="466944"/>
    <n v="4.2666598020974265"/>
    <n v="113"/>
  </r>
  <r>
    <s v="CAMP0026"/>
    <x v="2"/>
    <d v="2024-02-08T00:00:00"/>
    <d v="2024-01-08T00:00:00"/>
    <x v="3"/>
    <n v="21870.95"/>
    <n v="277"/>
    <n v="496"/>
    <n v="76510.77"/>
    <n v="8580"/>
    <n v="470497"/>
    <n v="249.82828820878836"/>
    <n v="31"/>
  </r>
  <r>
    <s v="CAMP0047"/>
    <x v="11"/>
    <d v="2024-09-24T00:00:00"/>
    <d v="2024-01-03T00:00:00"/>
    <x v="3"/>
    <n v="49739.519999999997"/>
    <n v="1773"/>
    <n v="418"/>
    <n v="25631.98"/>
    <n v="1509"/>
    <n v="293164"/>
    <n v="-48.467576687511254"/>
    <n v="265"/>
  </r>
  <r>
    <s v="CAMP0086"/>
    <x v="12"/>
    <d v="2024-08-20T00:00:00"/>
    <d v="2024-01-06T00:00:00"/>
    <x v="3"/>
    <n v="5532.52"/>
    <n v="1655"/>
    <n v="424"/>
    <n v="127500.29"/>
    <n v="8305"/>
    <n v="43678"/>
    <n v="2204.5608511130549"/>
    <n v="227"/>
  </r>
  <r>
    <s v="CAMP0056"/>
    <x v="12"/>
    <d v="2024-01-18T00:00:00"/>
    <d v="2024-01-09T00:00:00"/>
    <x v="2"/>
    <n v="39237.050000000003"/>
    <n v="367"/>
    <n v="199"/>
    <n v="28667.53"/>
    <n v="356"/>
    <n v="218767"/>
    <n v="-26.93760106837798"/>
    <n v="9"/>
  </r>
  <r>
    <s v="CAMP0094"/>
    <x v="3"/>
    <d v="2024-05-28T00:00:00"/>
    <d v="2024-01-03T00:00:00"/>
    <x v="3"/>
    <n v="34011.379999999997"/>
    <n v="1537"/>
    <n v="218"/>
    <n v="197257.16"/>
    <n v="1821"/>
    <n v="62394"/>
    <n v="479.97399693867175"/>
    <n v="146"/>
  </r>
  <r>
    <s v="CAMP0063"/>
    <x v="9"/>
    <d v="2024-05-28T00:00:00"/>
    <d v="2024-01-10T00:00:00"/>
    <x v="2"/>
    <n v="38607.440000000002"/>
    <n v="851"/>
    <n v="373"/>
    <n v="157233"/>
    <n v="1523"/>
    <n v="201017"/>
    <n v="307.26088028628675"/>
    <n v="139"/>
  </r>
  <r>
    <s v="CAMP0048"/>
    <x v="2"/>
    <d v="2024-05-05T00:00:00"/>
    <d v="2024-01-08T00:00:00"/>
    <x v="3"/>
    <n v="16068.96"/>
    <n v="1672"/>
    <n v="346"/>
    <n v="81096.52"/>
    <n v="5053"/>
    <n v="116377"/>
    <n v="404.67808744312021"/>
    <n v="118"/>
  </r>
  <r>
    <s v="CAMP0061"/>
    <x v="5"/>
    <d v="2024-10-28T00:00:00"/>
    <d v="2024-01-07T00:00:00"/>
    <x v="1"/>
    <n v="25110.67"/>
    <n v="1955"/>
    <n v="118"/>
    <n v="117819.97"/>
    <n v="3090"/>
    <n v="122716"/>
    <n v="369.2028129874671"/>
    <n v="295"/>
  </r>
  <r>
    <s v="CAMP0081"/>
    <x v="2"/>
    <d v="2024-12-25T00:00:00"/>
    <d v="2024-01-11T00:00:00"/>
    <x v="0"/>
    <n v="40028.92"/>
    <n v="923"/>
    <n v="246"/>
    <n v="182711.65"/>
    <n v="1295"/>
    <n v="188486"/>
    <n v="356.44911229181298"/>
    <n v="349"/>
  </r>
  <r>
    <s v="CAMP0026"/>
    <x v="4"/>
    <d v="2024-08-25T00:00:00"/>
    <d v="2024-01-04T00:00:00"/>
    <x v="3"/>
    <n v="12394.53"/>
    <n v="521"/>
    <n v="128"/>
    <n v="113049.36"/>
    <n v="4659"/>
    <n v="449032"/>
    <n v="812.09073680083077"/>
    <n v="234"/>
  </r>
  <r>
    <s v="CAMP0036"/>
    <x v="3"/>
    <d v="2024-05-14T00:00:00"/>
    <d v="2024-01-07T00:00:00"/>
    <x v="1"/>
    <n v="12075.63"/>
    <n v="1129"/>
    <n v="309"/>
    <n v="39027.199999999997"/>
    <n v="4465"/>
    <n v="56918"/>
    <n v="223.18976318419828"/>
    <n v="128"/>
  </r>
  <r>
    <s v="CAMP0001"/>
    <x v="11"/>
    <d v="2024-05-30T00:00:00"/>
    <d v="2024-01-08T00:00:00"/>
    <x v="3"/>
    <n v="28001.5"/>
    <n v="674"/>
    <n v="80"/>
    <n v="78847.149999999994"/>
    <n v="1344"/>
    <n v="485497"/>
    <n v="181.58187954216737"/>
    <n v="143"/>
  </r>
  <r>
    <s v="CAMP0008"/>
    <x v="11"/>
    <d v="2024-08-23T00:00:00"/>
    <d v="2024-01-09T00:00:00"/>
    <x v="3"/>
    <n v="26654.62"/>
    <n v="62"/>
    <n v="315"/>
    <n v="169413.25"/>
    <n v="6866"/>
    <n v="243556"/>
    <n v="535.58681384315366"/>
    <n v="227"/>
  </r>
  <r>
    <s v="CAMP0099"/>
    <x v="7"/>
    <d v="2024-08-11T00:00:00"/>
    <d v="2024-01-07T00:00:00"/>
    <x v="3"/>
    <n v="14830.86"/>
    <n v="1513"/>
    <n v="473"/>
    <n v="130621.54"/>
    <n v="5402"/>
    <n v="378784"/>
    <n v="780.74150790985811"/>
    <n v="217"/>
  </r>
  <r>
    <s v="CAMP0052"/>
    <x v="12"/>
    <d v="2024-07-21T00:00:00"/>
    <d v="2024-01-11T00:00:00"/>
    <x v="1"/>
    <n v="15605.71"/>
    <n v="1091"/>
    <n v="316"/>
    <n v="131891.25"/>
    <n v="1406"/>
    <n v="456910"/>
    <n v="745.14738515581803"/>
    <n v="192"/>
  </r>
  <r>
    <s v="CAMP0079"/>
    <x v="11"/>
    <d v="2024-09-12T00:00:00"/>
    <d v="2024-01-03T00:00:00"/>
    <x v="0"/>
    <n v="14614.41"/>
    <n v="743"/>
    <n v="200"/>
    <n v="174030.19"/>
    <n v="2502"/>
    <n v="161527"/>
    <n v="1090.8122873246336"/>
    <n v="253"/>
  </r>
  <r>
    <s v="CAMP0047"/>
    <x v="12"/>
    <d v="2024-03-26T00:00:00"/>
    <d v="2024-01-09T00:00:00"/>
    <x v="1"/>
    <n v="38804.089999999997"/>
    <n v="1022"/>
    <n v="355"/>
    <n v="179324.75"/>
    <n v="596"/>
    <n v="367590"/>
    <n v="362.12847666315594"/>
    <n v="77"/>
  </r>
  <r>
    <s v="CAMP0056"/>
    <x v="7"/>
    <d v="2024-05-29T00:00:00"/>
    <d v="2024-01-09T00:00:00"/>
    <x v="0"/>
    <n v="32943.14"/>
    <n v="162"/>
    <n v="48"/>
    <n v="184359.55"/>
    <n v="3499"/>
    <n v="170807"/>
    <n v="459.62956172362431"/>
    <n v="141"/>
  </r>
  <r>
    <s v="CAMP0086"/>
    <x v="8"/>
    <d v="2024-08-22T00:00:00"/>
    <d v="2024-01-06T00:00:00"/>
    <x v="3"/>
    <n v="41788.44"/>
    <n v="278"/>
    <n v="419"/>
    <n v="23495.59"/>
    <n v="1009"/>
    <n v="95702"/>
    <n v="-43.774905213020638"/>
    <n v="229"/>
  </r>
  <r>
    <s v="CAMP0014"/>
    <x v="6"/>
    <d v="2024-12-10T00:00:00"/>
    <d v="2024-01-11T00:00:00"/>
    <x v="2"/>
    <n v="48798.18"/>
    <n v="220"/>
    <n v="190"/>
    <n v="111104.57"/>
    <n v="472"/>
    <n v="106509"/>
    <n v="127.68179059137043"/>
    <n v="334"/>
  </r>
  <r>
    <s v="CAMP0090"/>
    <x v="10"/>
    <d v="2024-01-22T00:00:00"/>
    <d v="2024-01-07T00:00:00"/>
    <x v="3"/>
    <n v="24234.05"/>
    <n v="344"/>
    <n v="347"/>
    <n v="149399.35999999999"/>
    <n v="6336"/>
    <n v="356752"/>
    <n v="516.48531714674175"/>
    <n v="15"/>
  </r>
  <r>
    <s v="CAMP0028"/>
    <x v="1"/>
    <d v="2024-12-13T00:00:00"/>
    <d v="2024-01-06T00:00:00"/>
    <x v="0"/>
    <n v="4268"/>
    <n v="238"/>
    <n v="250"/>
    <n v="152600.73000000001"/>
    <n v="1444"/>
    <n v="115310"/>
    <n v="3475.4622774133081"/>
    <n v="342"/>
  </r>
  <r>
    <s v="CAMP0087"/>
    <x v="11"/>
    <d v="2024-10-11T00:00:00"/>
    <d v="2024-01-09T00:00:00"/>
    <x v="1"/>
    <n v="3356.52"/>
    <n v="475"/>
    <n v="441"/>
    <n v="123309.66"/>
    <n v="8615"/>
    <n v="406325"/>
    <n v="3573.7352972721746"/>
    <n v="276"/>
  </r>
  <r>
    <s v="CAMP0078"/>
    <x v="9"/>
    <d v="2024-09-25T00:00:00"/>
    <d v="2024-01-06T00:00:00"/>
    <x v="3"/>
    <n v="15487.59"/>
    <n v="1026"/>
    <n v="88"/>
    <n v="37523.53"/>
    <n v="2531"/>
    <n v="308946"/>
    <n v="142.28127165039879"/>
    <n v="263"/>
  </r>
  <r>
    <s v="CAMP0088"/>
    <x v="4"/>
    <d v="2024-09-14T00:00:00"/>
    <d v="2024-01-05T00:00:00"/>
    <x v="1"/>
    <n v="46694.68"/>
    <n v="1152"/>
    <n v="211"/>
    <n v="160497.01"/>
    <n v="4770"/>
    <n v="200092"/>
    <n v="243.71583657924205"/>
    <n v="253"/>
  </r>
  <r>
    <s v="CAMP0002"/>
    <x v="13"/>
    <d v="2024-01-29T00:00:00"/>
    <d v="2024-01-11T00:00:00"/>
    <x v="1"/>
    <n v="26637.439999999999"/>
    <n v="707"/>
    <n v="155"/>
    <n v="145421.71"/>
    <n v="2884"/>
    <n v="35622"/>
    <n v="445.92975150765238"/>
    <n v="18"/>
  </r>
  <r>
    <s v="CAMP0026"/>
    <x v="8"/>
    <d v="2024-07-31T00:00:00"/>
    <d v="2024-01-10T00:00:00"/>
    <x v="1"/>
    <n v="14317.54"/>
    <n v="968"/>
    <n v="160"/>
    <n v="21796.48"/>
    <n v="9507"/>
    <n v="110935"/>
    <n v="52.236208175426768"/>
    <n v="203"/>
  </r>
  <r>
    <s v="CAMP0014"/>
    <x v="11"/>
    <d v="2024-10-09T00:00:00"/>
    <d v="2024-01-03T00:00:00"/>
    <x v="3"/>
    <n v="20559.169999999998"/>
    <n v="1255"/>
    <n v="20"/>
    <n v="95442.92"/>
    <n v="1795"/>
    <n v="261440"/>
    <n v="364.23527798057995"/>
    <n v="280"/>
  </r>
  <r>
    <s v="CAMP0059"/>
    <x v="12"/>
    <d v="2024-02-19T00:00:00"/>
    <d v="2024-01-09T00:00:00"/>
    <x v="1"/>
    <n v="30331.16"/>
    <n v="548"/>
    <n v="169"/>
    <n v="38925.589999999997"/>
    <n v="2007"/>
    <n v="118919"/>
    <n v="28.335315892962871"/>
    <n v="41"/>
  </r>
  <r>
    <s v="CAMP0056"/>
    <x v="6"/>
    <d v="2024-04-04T00:00:00"/>
    <d v="2024-01-11T00:00:00"/>
    <x v="1"/>
    <n v="32994.53"/>
    <n v="1871"/>
    <n v="409"/>
    <n v="70808.02"/>
    <n v="4914"/>
    <n v="396813"/>
    <n v="114.60533003500886"/>
    <n v="84"/>
  </r>
  <r>
    <s v="CAMP0007"/>
    <x v="7"/>
    <d v="2024-03-28T00:00:00"/>
    <d v="2024-01-10T00:00:00"/>
    <x v="3"/>
    <n v="8542.06"/>
    <n v="811"/>
    <n v="467"/>
    <n v="8525.81"/>
    <n v="880"/>
    <n v="434813"/>
    <n v="-0.1902351423427136"/>
    <n v="78"/>
  </r>
  <r>
    <s v="CAMP0003"/>
    <x v="5"/>
    <d v="2024-02-13T00:00:00"/>
    <d v="2024-01-10T00:00:00"/>
    <x v="1"/>
    <n v="48874.55"/>
    <n v="915"/>
    <n v="149"/>
    <n v="83064.320000000007"/>
    <n v="1119"/>
    <n v="173026"/>
    <n v="69.95413768515516"/>
    <n v="34"/>
  </r>
  <r>
    <s v="CAMP0023"/>
    <x v="1"/>
    <d v="2024-10-04T00:00:00"/>
    <d v="2024-01-08T00:00:00"/>
    <x v="3"/>
    <n v="27693.84"/>
    <n v="875"/>
    <n v="41"/>
    <n v="112226"/>
    <n v="1503"/>
    <n v="70519"/>
    <n v="305.23813237889726"/>
    <n v="270"/>
  </r>
  <r>
    <s v="CAMP0018"/>
    <x v="13"/>
    <d v="2024-06-19T00:00:00"/>
    <d v="2024-01-06T00:00:00"/>
    <x v="0"/>
    <n v="7648.73"/>
    <n v="1781"/>
    <n v="337"/>
    <n v="125818.61"/>
    <n v="1526"/>
    <n v="188187"/>
    <n v="1544.9607974134269"/>
    <n v="165"/>
  </r>
  <r>
    <s v="CAMP0038"/>
    <x v="6"/>
    <d v="2024-07-07T00:00:00"/>
    <d v="2024-01-10T00:00:00"/>
    <x v="0"/>
    <n v="44788.13"/>
    <n v="1908"/>
    <n v="407"/>
    <n v="134380.62"/>
    <n v="8955"/>
    <n v="499204"/>
    <n v="200.03623727983282"/>
    <n v="179"/>
  </r>
  <r>
    <s v="CAMP0099"/>
    <x v="6"/>
    <d v="2024-12-18T00:00:00"/>
    <d v="2024-01-05T00:00:00"/>
    <x v="0"/>
    <n v="4657.28"/>
    <n v="120"/>
    <n v="418"/>
    <n v="168076.81"/>
    <n v="5968"/>
    <n v="437367"/>
    <n v="3508.90498316614"/>
    <n v="348"/>
  </r>
  <r>
    <s v="CAMP0015"/>
    <x v="11"/>
    <d v="2024-07-02T00:00:00"/>
    <d v="2024-01-11T00:00:00"/>
    <x v="1"/>
    <n v="45479.040000000001"/>
    <n v="297"/>
    <n v="49"/>
    <n v="47015.27"/>
    <n v="110"/>
    <n v="257587"/>
    <n v="3.3778857249405352"/>
    <n v="173"/>
  </r>
  <r>
    <s v="CAMP0064"/>
    <x v="8"/>
    <d v="2024-01-03T00:00:00"/>
    <d v="2024-01-04T00:00:00"/>
    <x v="2"/>
    <n v="49831.72"/>
    <n v="195"/>
    <n v="406"/>
    <n v="28493.96"/>
    <n v="6430"/>
    <n v="149112"/>
    <n v="-42.819633759380579"/>
    <n v="1"/>
  </r>
  <r>
    <s v="CAMP0089"/>
    <x v="14"/>
    <d v="2024-07-09T00:00:00"/>
    <d v="2024-01-04T00:00:00"/>
    <x v="2"/>
    <n v="35321.160000000003"/>
    <n v="1691"/>
    <n v="210"/>
    <n v="171049.75"/>
    <n v="9330"/>
    <n v="45772"/>
    <n v="384.2699107277337"/>
    <n v="187"/>
  </r>
  <r>
    <s v="CAMP0028"/>
    <x v="13"/>
    <d v="2024-04-27T00:00:00"/>
    <d v="2024-01-09T00:00:00"/>
    <x v="1"/>
    <n v="38751.910000000003"/>
    <n v="1848"/>
    <n v="66"/>
    <n v="35539.5"/>
    <n v="2925"/>
    <n v="123431"/>
    <n v="-8.2896817214945102"/>
    <n v="109"/>
  </r>
  <r>
    <s v="CAMP0074"/>
    <x v="1"/>
    <d v="2024-01-19T00:00:00"/>
    <d v="2024-01-06T00:00:00"/>
    <x v="2"/>
    <n v="17527.84"/>
    <n v="1369"/>
    <n v="424"/>
    <n v="195078.22"/>
    <n v="7564"/>
    <n v="359234"/>
    <n v="1012.9621219728158"/>
    <n v="13"/>
  </r>
  <r>
    <s v="CAMP0039"/>
    <x v="0"/>
    <d v="2024-01-23T00:00:00"/>
    <d v="2024-01-10T00:00:00"/>
    <x v="3"/>
    <n v="47137.27"/>
    <n v="631"/>
    <n v="360"/>
    <n v="169294.95"/>
    <n v="3103"/>
    <n v="195904"/>
    <n v="259.15306507992517"/>
    <n v="13"/>
  </r>
  <r>
    <s v="CAMP0057"/>
    <x v="10"/>
    <d v="2024-01-30T00:00:00"/>
    <d v="2024-01-11T00:00:00"/>
    <x v="2"/>
    <n v="26955.98"/>
    <n v="519"/>
    <n v="472"/>
    <n v="102670.94"/>
    <n v="9367"/>
    <n v="159988"/>
    <n v="280.88372227609608"/>
    <n v="19"/>
  </r>
  <r>
    <s v="CAMP0017"/>
    <x v="0"/>
    <d v="2024-10-21T00:00:00"/>
    <d v="2024-01-09T00:00:00"/>
    <x v="1"/>
    <n v="36887.03"/>
    <n v="1579"/>
    <n v="312"/>
    <n v="196377.18"/>
    <n v="7295"/>
    <n v="308015"/>
    <n v="432.37460429858407"/>
    <n v="286"/>
  </r>
  <r>
    <s v="CAMP0086"/>
    <x v="14"/>
    <d v="2024-04-17T00:00:00"/>
    <d v="2024-01-07T00:00:00"/>
    <x v="1"/>
    <n v="46281.279999999999"/>
    <n v="242"/>
    <n v="23"/>
    <n v="23988.46"/>
    <n v="6820"/>
    <n v="289516"/>
    <n v="-48.168114624314626"/>
    <n v="101"/>
  </r>
  <r>
    <s v="CAMP0090"/>
    <x v="12"/>
    <d v="2024-10-07T00:00:00"/>
    <d v="2024-01-10T00:00:00"/>
    <x v="3"/>
    <n v="48783.82"/>
    <n v="1141"/>
    <n v="369"/>
    <n v="64097.82"/>
    <n v="3188"/>
    <n v="455923"/>
    <n v="31.391555642834039"/>
    <n v="271"/>
  </r>
  <r>
    <s v="CAMP0044"/>
    <x v="12"/>
    <d v="2024-05-07T00:00:00"/>
    <d v="2024-01-06T00:00:00"/>
    <x v="0"/>
    <n v="41827.01"/>
    <n v="543"/>
    <n v="304"/>
    <n v="129453.75999999999"/>
    <n v="1889"/>
    <n v="40080"/>
    <n v="209.49800141104996"/>
    <n v="122"/>
  </r>
  <r>
    <s v="CAMP0025"/>
    <x v="4"/>
    <d v="2024-08-16T00:00:00"/>
    <d v="2024-01-04T00:00:00"/>
    <x v="1"/>
    <n v="15847.86"/>
    <n v="1890"/>
    <n v="11"/>
    <n v="73251.34"/>
    <n v="3136"/>
    <n v="107242"/>
    <n v="362.215971115343"/>
    <n v="225"/>
  </r>
  <r>
    <s v="CAMP0017"/>
    <x v="13"/>
    <d v="2024-04-20T00:00:00"/>
    <d v="2024-01-08T00:00:00"/>
    <x v="3"/>
    <n v="48360.83"/>
    <n v="101"/>
    <n v="253"/>
    <n v="186032.65"/>
    <n v="7477"/>
    <n v="305866"/>
    <n v="284.67629691219111"/>
    <n v="103"/>
  </r>
  <r>
    <s v="CAMP0013"/>
    <x v="0"/>
    <d v="2024-05-15T00:00:00"/>
    <d v="2024-01-11T00:00:00"/>
    <x v="2"/>
    <n v="31777.86"/>
    <n v="931"/>
    <n v="432"/>
    <n v="17797.09"/>
    <n v="7698"/>
    <n v="30048"/>
    <n v="-43.995316235895054"/>
    <n v="125"/>
  </r>
  <r>
    <s v="CAMP0084"/>
    <x v="12"/>
    <d v="2024-12-27T00:00:00"/>
    <d v="2024-01-03T00:00:00"/>
    <x v="2"/>
    <n v="46601.48"/>
    <n v="412"/>
    <n v="121"/>
    <n v="112135.31"/>
    <n v="4938"/>
    <n v="86205"/>
    <n v="140.62607024497933"/>
    <n v="359"/>
  </r>
  <r>
    <s v="CAMP0025"/>
    <x v="14"/>
    <d v="2024-07-04T00:00:00"/>
    <d v="2024-01-09T00:00:00"/>
    <x v="3"/>
    <n v="34129.15"/>
    <n v="1870"/>
    <n v="72"/>
    <n v="120218.92"/>
    <n v="5972"/>
    <n v="403993"/>
    <n v="252.24703808914074"/>
    <n v="177"/>
  </r>
  <r>
    <s v="CAMP0068"/>
    <x v="11"/>
    <d v="2024-05-23T00:00:00"/>
    <d v="2024-01-11T00:00:00"/>
    <x v="3"/>
    <n v="16054.71"/>
    <n v="966"/>
    <n v="38"/>
    <n v="132281.98000000001"/>
    <n v="3753"/>
    <n v="317855"/>
    <n v="723.944998072217"/>
    <n v="133"/>
  </r>
  <r>
    <s v="CAMP0010"/>
    <x v="3"/>
    <d v="2024-03-12T00:00:00"/>
    <d v="2024-01-11T00:00:00"/>
    <x v="1"/>
    <n v="19131.2"/>
    <n v="523"/>
    <n v="198"/>
    <n v="54854.91"/>
    <n v="4399"/>
    <n v="168403"/>
    <n v="186.7301057957682"/>
    <n v="61"/>
  </r>
  <r>
    <s v="CAMP0067"/>
    <x v="7"/>
    <d v="2024-05-08T00:00:00"/>
    <d v="2024-01-05T00:00:00"/>
    <x v="2"/>
    <n v="27973.119999999999"/>
    <n v="1919"/>
    <n v="329"/>
    <n v="76090.45"/>
    <n v="9368"/>
    <n v="257392"/>
    <n v="172.01273937265492"/>
    <n v="124"/>
  </r>
  <r>
    <s v="CAMP0018"/>
    <x v="3"/>
    <d v="2024-12-29T00:00:00"/>
    <d v="2024-01-07T00:00:00"/>
    <x v="3"/>
    <n v="39710.730000000003"/>
    <n v="570"/>
    <n v="59"/>
    <n v="169517.7"/>
    <n v="1073"/>
    <n v="21968"/>
    <n v="326.88134919705578"/>
    <n v="357"/>
  </r>
  <r>
    <s v="CAMP0100"/>
    <x v="2"/>
    <d v="2024-09-17T00:00:00"/>
    <d v="2024-01-10T00:00:00"/>
    <x v="2"/>
    <n v="16581.150000000001"/>
    <n v="1836"/>
    <n v="270"/>
    <n v="43013.84"/>
    <n v="7183"/>
    <n v="448185"/>
    <n v="159.41409371485085"/>
    <n v="251"/>
  </r>
  <r>
    <s v="CAMP0086"/>
    <x v="1"/>
    <d v="2024-01-03T00:00:00"/>
    <d v="2024-01-10T00:00:00"/>
    <x v="3"/>
    <n v="29406.83"/>
    <n v="1504"/>
    <n v="484"/>
    <n v="166239.23000000001"/>
    <n v="5594"/>
    <n v="235417"/>
    <n v="465.30822941473122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03838-C394-4F59-8880-35FF027EAA7E}" name="PivotTable1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CampaingName">
  <location ref="A3:B18" firstHeaderRow="1" firstDataRow="1" firstDataCol="1"/>
  <pivotFields count="13">
    <pivotField showAll="0"/>
    <pivotField axis="axisRow" showAll="0">
      <items count="16">
        <item x="3"/>
        <item x="6"/>
        <item x="11"/>
        <item x="4"/>
        <item x="12"/>
        <item x="14"/>
        <item x="1"/>
        <item x="0"/>
        <item x="5"/>
        <item x="10"/>
        <item x="8"/>
        <item x="9"/>
        <item x="13"/>
        <item x="2"/>
        <item x="7"/>
        <item t="default"/>
      </items>
    </pivotField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Items count="1">
    <i/>
  </colItems>
  <dataFields count="1">
    <dataField name="ROI (%) " fld="11" baseField="1" baseItem="0" numFmtId="10"/>
  </dataFields>
  <formats count="3">
    <format dxfId="17">
      <pivotArea dataOnly="0" labelOnly="1" outline="0" axis="axisValues" fieldPosition="0"/>
    </format>
    <format dxfId="11">
      <pivotArea outline="0" fieldPosition="0">
        <references count="1">
          <reference field="4294967294" count="1">
            <x v="0"/>
          </reference>
        </references>
      </pivotArea>
    </format>
    <format dxfId="7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8FC23-D364-4C02-BA48-F8B4532E588E}" name="PivotTable2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B7" firstHeaderRow="1" firstDataRow="1" firstDataCol="1"/>
  <pivotFields count="13">
    <pivotField showAll="0"/>
    <pivotField showAll="0"/>
    <pivotField numFmtId="14" showAll="0"/>
    <pivotField numFmtId="14"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Conversion" fld="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DF6852-F8ED-49EE-A93F-673A28134D4F}" name="PivotTable3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CampaingName">
  <location ref="A3:C18" firstHeaderRow="0" firstDataRow="1" firstDataCol="1"/>
  <pivotFields count="13">
    <pivotField showAll="0"/>
    <pivotField axis="axisRow" showAll="0">
      <items count="16">
        <item x="3"/>
        <item x="6"/>
        <item x="11"/>
        <item x="4"/>
        <item x="12"/>
        <item x="14"/>
        <item x="1"/>
        <item x="0"/>
        <item x="5"/>
        <item x="10"/>
        <item x="8"/>
        <item x="9"/>
        <item x="13"/>
        <item x="2"/>
        <item x="7"/>
        <item t="default"/>
      </items>
    </pivotField>
    <pivotField numFmtId="14" showAll="0"/>
    <pivotField numFmtId="14"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-2"/>
  </colFields>
  <colItems count="2">
    <i>
      <x/>
    </i>
    <i i="1">
      <x v="1"/>
    </i>
  </colItems>
  <dataFields count="2">
    <dataField name="Sum of Spend" fld="5" baseField="0" baseItem="0"/>
    <dataField name="Sum of RevenueGenerated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AAE09-C29B-4D95-AB55-E269263D1C3F}" name="PivotTable4" cacheId="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:C18" firstHeaderRow="0" firstDataRow="1" firstDataCol="1"/>
  <pivotFields count="13">
    <pivotField showAll="0"/>
    <pivotField axis="axisRow" showAll="0">
      <items count="16">
        <item x="3"/>
        <item x="6"/>
        <item x="11"/>
        <item x="4"/>
        <item x="12"/>
        <item x="14"/>
        <item x="1"/>
        <item x="0"/>
        <item x="5"/>
        <item x="10"/>
        <item x="8"/>
        <item x="9"/>
        <item x="13"/>
        <item x="2"/>
        <item x="7"/>
        <item t="default"/>
      </items>
    </pivotField>
    <pivotField numFmtId="14" showAll="0"/>
    <pivotField numFmtId="14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-2"/>
  </colFields>
  <colItems count="2">
    <i>
      <x/>
    </i>
    <i i="1">
      <x v="1"/>
    </i>
  </colItems>
  <dataFields count="2">
    <dataField name="Sum of Conversion" fld="7" baseField="0" baseItem="0"/>
    <dataField name="Sum of LeadsGenerated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B3E87-1420-4A8C-9FF9-BE1EBC0F0B93}">
  <dimension ref="A1:M1001"/>
  <sheetViews>
    <sheetView tabSelected="1" workbookViewId="0">
      <selection activeCell="C17" sqref="C17"/>
    </sheetView>
  </sheetViews>
  <sheetFormatPr defaultRowHeight="14.6" x14ac:dyDescent="0.4"/>
  <cols>
    <col min="1" max="1" width="10.69140625" bestFit="1" customWidth="1"/>
    <col min="2" max="2" width="13.84375" bestFit="1" customWidth="1"/>
    <col min="3" max="4" width="10.07421875" bestFit="1" customWidth="1"/>
    <col min="5" max="5" width="11.15234375" bestFit="1" customWidth="1"/>
    <col min="6" max="6" width="8.84375" bestFit="1" customWidth="1"/>
    <col min="7" max="7" width="14.23046875" bestFit="1" customWidth="1"/>
    <col min="8" max="8" width="10.07421875" bestFit="1" customWidth="1"/>
    <col min="9" max="9" width="16.765625" bestFit="1" customWidth="1"/>
    <col min="10" max="10" width="5.3828125" bestFit="1" customWidth="1"/>
    <col min="11" max="11" width="10.69140625" bestFit="1" customWidth="1"/>
    <col min="13" max="13" width="16.23046875" bestFit="1" customWidth="1"/>
  </cols>
  <sheetData>
    <row r="1" spans="1:1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130</v>
      </c>
      <c r="M1" t="s">
        <v>131</v>
      </c>
    </row>
    <row r="2" spans="1:13" x14ac:dyDescent="0.4">
      <c r="A2" t="s">
        <v>11</v>
      </c>
      <c r="B2" t="s">
        <v>12</v>
      </c>
      <c r="C2" s="1">
        <v>45645</v>
      </c>
      <c r="D2" s="1">
        <v>45294</v>
      </c>
      <c r="E2" t="s">
        <v>13</v>
      </c>
      <c r="F2">
        <v>2084.9299999999998</v>
      </c>
      <c r="G2">
        <v>362</v>
      </c>
      <c r="H2">
        <v>336</v>
      </c>
      <c r="I2">
        <v>99619.94</v>
      </c>
      <c r="J2">
        <v>3651</v>
      </c>
      <c r="K2">
        <v>208925</v>
      </c>
      <c r="L2">
        <f>(I2 - F2)/F2*100</f>
        <v>4678.0951878480337</v>
      </c>
      <c r="M2">
        <f>ABS(D2 - C2)</f>
        <v>351</v>
      </c>
    </row>
    <row r="3" spans="1:13" x14ac:dyDescent="0.4">
      <c r="A3" t="s">
        <v>14</v>
      </c>
      <c r="B3" t="s">
        <v>15</v>
      </c>
      <c r="C3" s="1">
        <v>45479</v>
      </c>
      <c r="D3" s="1">
        <v>45297</v>
      </c>
      <c r="E3" t="s">
        <v>16</v>
      </c>
      <c r="F3">
        <v>47310.6</v>
      </c>
      <c r="G3">
        <v>587</v>
      </c>
      <c r="H3">
        <v>302</v>
      </c>
      <c r="I3">
        <v>39936.959999999999</v>
      </c>
      <c r="J3">
        <v>6500</v>
      </c>
      <c r="K3">
        <v>321787</v>
      </c>
      <c r="L3">
        <f t="shared" ref="L3:L66" si="0">(I3 - F3)/F3*100</f>
        <v>-15.585598153479346</v>
      </c>
      <c r="M3">
        <f t="shared" ref="M3:M66" si="1">ABS(D3 - C3)</f>
        <v>182</v>
      </c>
    </row>
    <row r="4" spans="1:13" x14ac:dyDescent="0.4">
      <c r="A4" t="s">
        <v>17</v>
      </c>
      <c r="B4" t="s">
        <v>18</v>
      </c>
      <c r="C4" s="1">
        <v>45635</v>
      </c>
      <c r="D4" s="1">
        <v>45301</v>
      </c>
      <c r="E4" t="s">
        <v>16</v>
      </c>
      <c r="F4">
        <v>35134.74</v>
      </c>
      <c r="G4">
        <v>970</v>
      </c>
      <c r="H4">
        <v>439</v>
      </c>
      <c r="I4">
        <v>178772.32</v>
      </c>
      <c r="J4">
        <v>6743</v>
      </c>
      <c r="K4">
        <v>415750</v>
      </c>
      <c r="L4">
        <f t="shared" si="0"/>
        <v>408.81924841339378</v>
      </c>
      <c r="M4">
        <f t="shared" si="1"/>
        <v>334</v>
      </c>
    </row>
    <row r="5" spans="1:13" x14ac:dyDescent="0.4">
      <c r="A5" t="s">
        <v>19</v>
      </c>
      <c r="B5" t="s">
        <v>18</v>
      </c>
      <c r="C5" s="1">
        <v>45656</v>
      </c>
      <c r="D5" s="1">
        <v>45296</v>
      </c>
      <c r="E5" t="s">
        <v>13</v>
      </c>
      <c r="F5">
        <v>25289.48</v>
      </c>
      <c r="G5">
        <v>1127</v>
      </c>
      <c r="H5">
        <v>188</v>
      </c>
      <c r="I5">
        <v>94769.3</v>
      </c>
      <c r="J5">
        <v>8801</v>
      </c>
      <c r="K5">
        <v>354414</v>
      </c>
      <c r="L5">
        <f t="shared" si="0"/>
        <v>274.73803336407076</v>
      </c>
      <c r="M5">
        <f t="shared" si="1"/>
        <v>360</v>
      </c>
    </row>
    <row r="6" spans="1:13" x14ac:dyDescent="0.4">
      <c r="A6" t="s">
        <v>20</v>
      </c>
      <c r="B6" t="s">
        <v>21</v>
      </c>
      <c r="C6" s="1">
        <v>45454</v>
      </c>
      <c r="D6" s="1">
        <v>45295</v>
      </c>
      <c r="E6" t="s">
        <v>16</v>
      </c>
      <c r="F6">
        <v>46723.23</v>
      </c>
      <c r="G6">
        <v>1614</v>
      </c>
      <c r="H6">
        <v>183</v>
      </c>
      <c r="I6">
        <v>143385.91</v>
      </c>
      <c r="J6">
        <v>1923</v>
      </c>
      <c r="K6">
        <v>495649</v>
      </c>
      <c r="L6">
        <f t="shared" si="0"/>
        <v>206.88355663767251</v>
      </c>
      <c r="M6">
        <f t="shared" si="1"/>
        <v>159</v>
      </c>
    </row>
    <row r="7" spans="1:13" x14ac:dyDescent="0.4">
      <c r="A7" t="s">
        <v>22</v>
      </c>
      <c r="B7" t="s">
        <v>23</v>
      </c>
      <c r="C7" s="1">
        <v>45617</v>
      </c>
      <c r="D7" s="1">
        <v>45302</v>
      </c>
      <c r="E7" t="s">
        <v>16</v>
      </c>
      <c r="F7">
        <v>22515.68</v>
      </c>
      <c r="G7">
        <v>1540</v>
      </c>
      <c r="H7">
        <v>202</v>
      </c>
      <c r="I7">
        <v>196823.76</v>
      </c>
      <c r="J7">
        <v>6952</v>
      </c>
      <c r="K7">
        <v>164944</v>
      </c>
      <c r="L7">
        <f t="shared" si="0"/>
        <v>774.16307213461914</v>
      </c>
      <c r="M7">
        <f t="shared" si="1"/>
        <v>315</v>
      </c>
    </row>
    <row r="8" spans="1:13" x14ac:dyDescent="0.4">
      <c r="A8" t="s">
        <v>24</v>
      </c>
      <c r="B8" t="s">
        <v>25</v>
      </c>
      <c r="C8" s="1">
        <v>45365</v>
      </c>
      <c r="D8" s="1">
        <v>45298</v>
      </c>
      <c r="E8" t="s">
        <v>26</v>
      </c>
      <c r="F8">
        <v>49041.34</v>
      </c>
      <c r="G8">
        <v>914</v>
      </c>
      <c r="H8">
        <v>132</v>
      </c>
      <c r="I8">
        <v>14784.19</v>
      </c>
      <c r="J8">
        <v>7877</v>
      </c>
      <c r="K8">
        <v>499953</v>
      </c>
      <c r="L8">
        <f t="shared" si="0"/>
        <v>-69.853617376686685</v>
      </c>
      <c r="M8">
        <f t="shared" si="1"/>
        <v>67</v>
      </c>
    </row>
    <row r="9" spans="1:13" x14ac:dyDescent="0.4">
      <c r="A9" t="s">
        <v>27</v>
      </c>
      <c r="B9" t="s">
        <v>28</v>
      </c>
      <c r="C9" s="1">
        <v>45524</v>
      </c>
      <c r="D9" s="1">
        <v>45300</v>
      </c>
      <c r="E9" t="s">
        <v>26</v>
      </c>
      <c r="F9">
        <v>26101.95</v>
      </c>
      <c r="G9">
        <v>1237</v>
      </c>
      <c r="H9">
        <v>24</v>
      </c>
      <c r="I9">
        <v>23855.439999999999</v>
      </c>
      <c r="J9">
        <v>4332</v>
      </c>
      <c r="K9">
        <v>401905</v>
      </c>
      <c r="L9">
        <f t="shared" si="0"/>
        <v>-8.6066749802217917</v>
      </c>
      <c r="M9">
        <f t="shared" si="1"/>
        <v>224</v>
      </c>
    </row>
    <row r="10" spans="1:13" x14ac:dyDescent="0.4">
      <c r="A10" t="s">
        <v>29</v>
      </c>
      <c r="B10" t="s">
        <v>30</v>
      </c>
      <c r="C10" s="1">
        <v>45515</v>
      </c>
      <c r="D10" s="1">
        <v>45295</v>
      </c>
      <c r="E10" t="s">
        <v>16</v>
      </c>
      <c r="F10">
        <v>6600</v>
      </c>
      <c r="G10">
        <v>831</v>
      </c>
      <c r="H10">
        <v>476</v>
      </c>
      <c r="I10">
        <v>145489.06</v>
      </c>
      <c r="J10">
        <v>6619</v>
      </c>
      <c r="K10">
        <v>70103</v>
      </c>
      <c r="L10">
        <f t="shared" si="0"/>
        <v>2104.3796969696969</v>
      </c>
      <c r="M10">
        <f t="shared" si="1"/>
        <v>220</v>
      </c>
    </row>
    <row r="11" spans="1:13" x14ac:dyDescent="0.4">
      <c r="A11" t="s">
        <v>29</v>
      </c>
      <c r="B11" t="s">
        <v>31</v>
      </c>
      <c r="C11" s="1">
        <v>45610</v>
      </c>
      <c r="D11" s="1">
        <v>45302</v>
      </c>
      <c r="E11" t="s">
        <v>13</v>
      </c>
      <c r="F11">
        <v>38475.25</v>
      </c>
      <c r="G11">
        <v>383</v>
      </c>
      <c r="H11">
        <v>415</v>
      </c>
      <c r="I11">
        <v>59955.88</v>
      </c>
      <c r="J11">
        <v>1877</v>
      </c>
      <c r="K11">
        <v>349412</v>
      </c>
      <c r="L11">
        <f t="shared" si="0"/>
        <v>55.829734699579589</v>
      </c>
      <c r="M11">
        <f t="shared" si="1"/>
        <v>308</v>
      </c>
    </row>
    <row r="12" spans="1:13" x14ac:dyDescent="0.4">
      <c r="A12" t="s">
        <v>32</v>
      </c>
      <c r="B12" t="s">
        <v>33</v>
      </c>
      <c r="C12" s="1">
        <v>45351</v>
      </c>
      <c r="D12" s="1">
        <v>45302</v>
      </c>
      <c r="E12" t="s">
        <v>34</v>
      </c>
      <c r="F12">
        <v>34265.99</v>
      </c>
      <c r="G12">
        <v>1620</v>
      </c>
      <c r="H12">
        <v>426</v>
      </c>
      <c r="I12">
        <v>40938.769999999997</v>
      </c>
      <c r="J12">
        <v>1322</v>
      </c>
      <c r="K12">
        <v>87310</v>
      </c>
      <c r="L12">
        <f t="shared" si="0"/>
        <v>19.4734779295739</v>
      </c>
      <c r="M12">
        <f t="shared" si="1"/>
        <v>49</v>
      </c>
    </row>
    <row r="13" spans="1:13" x14ac:dyDescent="0.4">
      <c r="A13" t="s">
        <v>35</v>
      </c>
      <c r="B13" t="s">
        <v>36</v>
      </c>
      <c r="C13" s="1">
        <v>45626</v>
      </c>
      <c r="D13" s="1">
        <v>45297</v>
      </c>
      <c r="E13" t="s">
        <v>13</v>
      </c>
      <c r="F13">
        <v>38876.35</v>
      </c>
      <c r="G13">
        <v>847</v>
      </c>
      <c r="H13">
        <v>332</v>
      </c>
      <c r="I13">
        <v>12675.57</v>
      </c>
      <c r="J13">
        <v>7730</v>
      </c>
      <c r="K13">
        <v>482947</v>
      </c>
      <c r="L13">
        <f t="shared" si="0"/>
        <v>-67.395164412296936</v>
      </c>
      <c r="M13">
        <f t="shared" si="1"/>
        <v>329</v>
      </c>
    </row>
    <row r="14" spans="1:13" x14ac:dyDescent="0.4">
      <c r="A14" t="s">
        <v>37</v>
      </c>
      <c r="B14" t="s">
        <v>28</v>
      </c>
      <c r="C14" s="1">
        <v>45513</v>
      </c>
      <c r="D14" s="1">
        <v>45297</v>
      </c>
      <c r="E14" t="s">
        <v>34</v>
      </c>
      <c r="F14">
        <v>47620.66</v>
      </c>
      <c r="G14">
        <v>397</v>
      </c>
      <c r="H14">
        <v>69</v>
      </c>
      <c r="I14">
        <v>9260.11</v>
      </c>
      <c r="J14">
        <v>1877</v>
      </c>
      <c r="K14">
        <v>38412</v>
      </c>
      <c r="L14">
        <f t="shared" si="0"/>
        <v>-80.554427427087319</v>
      </c>
      <c r="M14">
        <f t="shared" si="1"/>
        <v>216</v>
      </c>
    </row>
    <row r="15" spans="1:13" x14ac:dyDescent="0.4">
      <c r="A15" t="s">
        <v>38</v>
      </c>
      <c r="B15" t="s">
        <v>12</v>
      </c>
      <c r="C15" s="1">
        <v>45328</v>
      </c>
      <c r="D15" s="1">
        <v>45299</v>
      </c>
      <c r="E15" t="s">
        <v>13</v>
      </c>
      <c r="F15">
        <v>39047.980000000003</v>
      </c>
      <c r="G15">
        <v>322</v>
      </c>
      <c r="H15">
        <v>186</v>
      </c>
      <c r="I15">
        <v>156024.69</v>
      </c>
      <c r="J15">
        <v>9596</v>
      </c>
      <c r="K15">
        <v>310878</v>
      </c>
      <c r="L15">
        <f t="shared" si="0"/>
        <v>299.571732007648</v>
      </c>
      <c r="M15">
        <f t="shared" si="1"/>
        <v>29</v>
      </c>
    </row>
    <row r="16" spans="1:13" x14ac:dyDescent="0.4">
      <c r="A16" t="s">
        <v>39</v>
      </c>
      <c r="B16" t="s">
        <v>40</v>
      </c>
      <c r="C16" s="1">
        <v>45569</v>
      </c>
      <c r="D16" s="1">
        <v>45299</v>
      </c>
      <c r="E16" t="s">
        <v>26</v>
      </c>
      <c r="F16">
        <v>30955.49</v>
      </c>
      <c r="G16">
        <v>1012</v>
      </c>
      <c r="H16">
        <v>245</v>
      </c>
      <c r="I16">
        <v>31214.52</v>
      </c>
      <c r="J16">
        <v>7590</v>
      </c>
      <c r="K16">
        <v>350937</v>
      </c>
      <c r="L16">
        <f t="shared" si="0"/>
        <v>0.8367821023023666</v>
      </c>
      <c r="M16">
        <f t="shared" si="1"/>
        <v>270</v>
      </c>
    </row>
    <row r="17" spans="1:13" x14ac:dyDescent="0.4">
      <c r="A17" t="s">
        <v>41</v>
      </c>
      <c r="B17" t="s">
        <v>18</v>
      </c>
      <c r="C17" s="1">
        <v>45487</v>
      </c>
      <c r="D17" s="1">
        <v>45294</v>
      </c>
      <c r="E17" t="s">
        <v>16</v>
      </c>
      <c r="F17">
        <v>43008.14</v>
      </c>
      <c r="G17">
        <v>769</v>
      </c>
      <c r="H17">
        <v>373</v>
      </c>
      <c r="I17">
        <v>96205.52</v>
      </c>
      <c r="J17">
        <v>4959</v>
      </c>
      <c r="K17">
        <v>202002</v>
      </c>
      <c r="L17">
        <f t="shared" si="0"/>
        <v>123.69142213543762</v>
      </c>
      <c r="M17">
        <f t="shared" si="1"/>
        <v>193</v>
      </c>
    </row>
    <row r="18" spans="1:13" x14ac:dyDescent="0.4">
      <c r="A18" t="s">
        <v>42</v>
      </c>
      <c r="B18" t="s">
        <v>40</v>
      </c>
      <c r="C18" s="1">
        <v>45643</v>
      </c>
      <c r="D18" s="1">
        <v>45302</v>
      </c>
      <c r="E18" t="s">
        <v>16</v>
      </c>
      <c r="F18">
        <v>33989.08</v>
      </c>
      <c r="G18">
        <v>1823</v>
      </c>
      <c r="H18">
        <v>28</v>
      </c>
      <c r="I18">
        <v>123149.88</v>
      </c>
      <c r="J18">
        <v>8993</v>
      </c>
      <c r="K18">
        <v>496054</v>
      </c>
      <c r="L18">
        <f t="shared" si="0"/>
        <v>262.32189868039967</v>
      </c>
      <c r="M18">
        <f t="shared" si="1"/>
        <v>341</v>
      </c>
    </row>
    <row r="19" spans="1:13" x14ac:dyDescent="0.4">
      <c r="A19" t="s">
        <v>32</v>
      </c>
      <c r="B19" t="s">
        <v>43</v>
      </c>
      <c r="C19" s="1">
        <v>45533</v>
      </c>
      <c r="D19" s="1">
        <v>45295</v>
      </c>
      <c r="E19" t="s">
        <v>26</v>
      </c>
      <c r="F19">
        <v>20997.83</v>
      </c>
      <c r="G19">
        <v>1487</v>
      </c>
      <c r="H19">
        <v>388</v>
      </c>
      <c r="I19">
        <v>88528.6</v>
      </c>
      <c r="J19">
        <v>8218</v>
      </c>
      <c r="K19">
        <v>23228</v>
      </c>
      <c r="L19">
        <f t="shared" si="0"/>
        <v>321.60832809866542</v>
      </c>
      <c r="M19">
        <f t="shared" si="1"/>
        <v>238</v>
      </c>
    </row>
    <row r="20" spans="1:13" x14ac:dyDescent="0.4">
      <c r="A20" t="s">
        <v>44</v>
      </c>
      <c r="B20" t="s">
        <v>33</v>
      </c>
      <c r="C20" s="1">
        <v>45615</v>
      </c>
      <c r="D20" s="1">
        <v>45298</v>
      </c>
      <c r="E20" t="s">
        <v>34</v>
      </c>
      <c r="F20">
        <v>44395.37</v>
      </c>
      <c r="G20">
        <v>549</v>
      </c>
      <c r="H20">
        <v>435</v>
      </c>
      <c r="I20">
        <v>10285.799999999999</v>
      </c>
      <c r="J20">
        <v>3089</v>
      </c>
      <c r="K20">
        <v>121627</v>
      </c>
      <c r="L20">
        <f t="shared" si="0"/>
        <v>-76.831367775513542</v>
      </c>
      <c r="M20">
        <f t="shared" si="1"/>
        <v>317</v>
      </c>
    </row>
    <row r="21" spans="1:13" x14ac:dyDescent="0.4">
      <c r="A21" t="s">
        <v>45</v>
      </c>
      <c r="B21" t="s">
        <v>31</v>
      </c>
      <c r="C21" s="1">
        <v>45510</v>
      </c>
      <c r="D21" s="1">
        <v>45302</v>
      </c>
      <c r="E21" t="s">
        <v>34</v>
      </c>
      <c r="F21">
        <v>11873.12</v>
      </c>
      <c r="G21">
        <v>1166</v>
      </c>
      <c r="H21">
        <v>459</v>
      </c>
      <c r="I21">
        <v>157782.79</v>
      </c>
      <c r="J21">
        <v>8443</v>
      </c>
      <c r="K21">
        <v>341068</v>
      </c>
      <c r="L21">
        <f t="shared" si="0"/>
        <v>1228.9075659978171</v>
      </c>
      <c r="M21">
        <f t="shared" si="1"/>
        <v>208</v>
      </c>
    </row>
    <row r="22" spans="1:13" x14ac:dyDescent="0.4">
      <c r="A22" t="s">
        <v>42</v>
      </c>
      <c r="B22" t="s">
        <v>30</v>
      </c>
      <c r="C22" s="1">
        <v>45483</v>
      </c>
      <c r="D22" s="1">
        <v>45297</v>
      </c>
      <c r="E22" t="s">
        <v>34</v>
      </c>
      <c r="F22">
        <v>36017.42</v>
      </c>
      <c r="G22">
        <v>734</v>
      </c>
      <c r="H22">
        <v>87</v>
      </c>
      <c r="I22">
        <v>7050.08</v>
      </c>
      <c r="J22">
        <v>1425</v>
      </c>
      <c r="K22">
        <v>12319</v>
      </c>
      <c r="L22">
        <f t="shared" si="0"/>
        <v>-80.425916126141175</v>
      </c>
      <c r="M22">
        <f t="shared" si="1"/>
        <v>186</v>
      </c>
    </row>
    <row r="23" spans="1:13" x14ac:dyDescent="0.4">
      <c r="A23" t="s">
        <v>46</v>
      </c>
      <c r="B23" t="s">
        <v>21</v>
      </c>
      <c r="C23" s="1">
        <v>45308</v>
      </c>
      <c r="D23" s="1">
        <v>45296</v>
      </c>
      <c r="E23" t="s">
        <v>26</v>
      </c>
      <c r="F23">
        <v>44196.61</v>
      </c>
      <c r="G23">
        <v>128</v>
      </c>
      <c r="H23">
        <v>474</v>
      </c>
      <c r="I23">
        <v>153568.53</v>
      </c>
      <c r="J23">
        <v>9593</v>
      </c>
      <c r="K23">
        <v>7475</v>
      </c>
      <c r="L23">
        <f t="shared" si="0"/>
        <v>247.46676272229928</v>
      </c>
      <c r="M23">
        <f t="shared" si="1"/>
        <v>12</v>
      </c>
    </row>
    <row r="24" spans="1:13" x14ac:dyDescent="0.4">
      <c r="A24" t="s">
        <v>47</v>
      </c>
      <c r="B24" t="s">
        <v>31</v>
      </c>
      <c r="C24" s="1">
        <v>45303</v>
      </c>
      <c r="D24" s="1">
        <v>45300</v>
      </c>
      <c r="E24" t="s">
        <v>34</v>
      </c>
      <c r="F24">
        <v>36834.51</v>
      </c>
      <c r="G24">
        <v>671</v>
      </c>
      <c r="H24">
        <v>323</v>
      </c>
      <c r="I24">
        <v>179194.38</v>
      </c>
      <c r="J24">
        <v>5227</v>
      </c>
      <c r="K24">
        <v>229163</v>
      </c>
      <c r="L24">
        <f t="shared" si="0"/>
        <v>386.48503807977892</v>
      </c>
      <c r="M24">
        <f t="shared" si="1"/>
        <v>3</v>
      </c>
    </row>
    <row r="25" spans="1:13" x14ac:dyDescent="0.4">
      <c r="A25" t="s">
        <v>22</v>
      </c>
      <c r="B25" t="s">
        <v>33</v>
      </c>
      <c r="C25" s="1">
        <v>45484</v>
      </c>
      <c r="D25" s="1">
        <v>45299</v>
      </c>
      <c r="E25" t="s">
        <v>26</v>
      </c>
      <c r="F25">
        <v>35166.5</v>
      </c>
      <c r="G25">
        <v>1290</v>
      </c>
      <c r="H25">
        <v>189</v>
      </c>
      <c r="I25">
        <v>89403.78</v>
      </c>
      <c r="J25">
        <v>9098</v>
      </c>
      <c r="K25">
        <v>477910</v>
      </c>
      <c r="L25">
        <f t="shared" si="0"/>
        <v>154.22996317518093</v>
      </c>
      <c r="M25">
        <f t="shared" si="1"/>
        <v>185</v>
      </c>
    </row>
    <row r="26" spans="1:13" x14ac:dyDescent="0.4">
      <c r="A26" t="s">
        <v>48</v>
      </c>
      <c r="B26" t="s">
        <v>31</v>
      </c>
      <c r="C26" s="1">
        <v>45313</v>
      </c>
      <c r="D26" s="1">
        <v>45301</v>
      </c>
      <c r="E26" t="s">
        <v>13</v>
      </c>
      <c r="F26">
        <v>37879.279999999999</v>
      </c>
      <c r="G26">
        <v>996</v>
      </c>
      <c r="H26">
        <v>443</v>
      </c>
      <c r="I26">
        <v>109430.78</v>
      </c>
      <c r="J26">
        <v>2822</v>
      </c>
      <c r="K26">
        <v>146800</v>
      </c>
      <c r="L26">
        <f t="shared" si="0"/>
        <v>188.89350589557142</v>
      </c>
      <c r="M26">
        <f t="shared" si="1"/>
        <v>12</v>
      </c>
    </row>
    <row r="27" spans="1:13" x14ac:dyDescent="0.4">
      <c r="A27" t="s">
        <v>49</v>
      </c>
      <c r="B27" t="s">
        <v>33</v>
      </c>
      <c r="C27" s="1">
        <v>45411</v>
      </c>
      <c r="D27" s="1">
        <v>45296</v>
      </c>
      <c r="E27" t="s">
        <v>13</v>
      </c>
      <c r="F27">
        <v>23787.71</v>
      </c>
      <c r="G27">
        <v>407</v>
      </c>
      <c r="H27">
        <v>320</v>
      </c>
      <c r="I27">
        <v>98011.76</v>
      </c>
      <c r="J27">
        <v>4756</v>
      </c>
      <c r="K27">
        <v>242382</v>
      </c>
      <c r="L27">
        <f t="shared" si="0"/>
        <v>312.02688278947403</v>
      </c>
      <c r="M27">
        <f t="shared" si="1"/>
        <v>115</v>
      </c>
    </row>
    <row r="28" spans="1:13" x14ac:dyDescent="0.4">
      <c r="A28" t="s">
        <v>50</v>
      </c>
      <c r="B28" t="s">
        <v>33</v>
      </c>
      <c r="C28" s="1">
        <v>45501</v>
      </c>
      <c r="D28" s="1">
        <v>45298</v>
      </c>
      <c r="E28" t="s">
        <v>26</v>
      </c>
      <c r="F28">
        <v>43834.36</v>
      </c>
      <c r="G28">
        <v>667</v>
      </c>
      <c r="H28">
        <v>103</v>
      </c>
      <c r="I28">
        <v>80895.679999999993</v>
      </c>
      <c r="J28">
        <v>1425</v>
      </c>
      <c r="K28">
        <v>292689</v>
      </c>
      <c r="L28">
        <f t="shared" si="0"/>
        <v>84.548559623090185</v>
      </c>
      <c r="M28">
        <f t="shared" si="1"/>
        <v>203</v>
      </c>
    </row>
    <row r="29" spans="1:13" x14ac:dyDescent="0.4">
      <c r="A29" t="s">
        <v>39</v>
      </c>
      <c r="B29" t="s">
        <v>51</v>
      </c>
      <c r="C29" s="1">
        <v>45597</v>
      </c>
      <c r="D29" s="1">
        <v>45297</v>
      </c>
      <c r="E29" t="s">
        <v>16</v>
      </c>
      <c r="F29">
        <v>10968.39</v>
      </c>
      <c r="G29">
        <v>556</v>
      </c>
      <c r="H29">
        <v>66</v>
      </c>
      <c r="I29">
        <v>178047.78</v>
      </c>
      <c r="J29">
        <v>4233</v>
      </c>
      <c r="K29">
        <v>359780</v>
      </c>
      <c r="L29">
        <f t="shared" si="0"/>
        <v>1523.2809008432416</v>
      </c>
      <c r="M29">
        <f t="shared" si="1"/>
        <v>300</v>
      </c>
    </row>
    <row r="30" spans="1:13" x14ac:dyDescent="0.4">
      <c r="A30" t="s">
        <v>52</v>
      </c>
      <c r="B30" t="s">
        <v>36</v>
      </c>
      <c r="C30" s="1">
        <v>45561</v>
      </c>
      <c r="D30" s="1">
        <v>45297</v>
      </c>
      <c r="E30" t="s">
        <v>13</v>
      </c>
      <c r="F30">
        <v>7241.93</v>
      </c>
      <c r="G30">
        <v>1632</v>
      </c>
      <c r="H30">
        <v>290</v>
      </c>
      <c r="I30">
        <v>179317.03</v>
      </c>
      <c r="J30">
        <v>9451</v>
      </c>
      <c r="K30">
        <v>475902</v>
      </c>
      <c r="L30">
        <f t="shared" si="0"/>
        <v>2376.0944941472781</v>
      </c>
      <c r="M30">
        <f t="shared" si="1"/>
        <v>264</v>
      </c>
    </row>
    <row r="31" spans="1:13" x14ac:dyDescent="0.4">
      <c r="A31" t="s">
        <v>53</v>
      </c>
      <c r="B31" t="s">
        <v>54</v>
      </c>
      <c r="C31" s="1">
        <v>45483</v>
      </c>
      <c r="D31" s="1">
        <v>45297</v>
      </c>
      <c r="E31" t="s">
        <v>34</v>
      </c>
      <c r="F31">
        <v>14989.93</v>
      </c>
      <c r="G31">
        <v>1254</v>
      </c>
      <c r="H31">
        <v>481</v>
      </c>
      <c r="I31">
        <v>70484.19</v>
      </c>
      <c r="J31">
        <v>2969</v>
      </c>
      <c r="K31">
        <v>492966</v>
      </c>
      <c r="L31">
        <f t="shared" si="0"/>
        <v>370.21026782646749</v>
      </c>
      <c r="M31">
        <f t="shared" si="1"/>
        <v>186</v>
      </c>
    </row>
    <row r="32" spans="1:13" x14ac:dyDescent="0.4">
      <c r="A32" t="s">
        <v>55</v>
      </c>
      <c r="B32" t="s">
        <v>40</v>
      </c>
      <c r="C32" s="1">
        <v>45466</v>
      </c>
      <c r="D32" s="1">
        <v>45301</v>
      </c>
      <c r="E32" t="s">
        <v>26</v>
      </c>
      <c r="F32">
        <v>27047.29</v>
      </c>
      <c r="G32">
        <v>625</v>
      </c>
      <c r="H32">
        <v>26</v>
      </c>
      <c r="I32">
        <v>124938.6</v>
      </c>
      <c r="J32">
        <v>1342</v>
      </c>
      <c r="K32">
        <v>230484</v>
      </c>
      <c r="L32">
        <f t="shared" si="0"/>
        <v>361.92649984527094</v>
      </c>
      <c r="M32">
        <f t="shared" si="1"/>
        <v>165</v>
      </c>
    </row>
    <row r="33" spans="1:13" x14ac:dyDescent="0.4">
      <c r="A33" t="s">
        <v>56</v>
      </c>
      <c r="B33" t="s">
        <v>54</v>
      </c>
      <c r="C33" s="1">
        <v>45576</v>
      </c>
      <c r="D33" s="1">
        <v>45299</v>
      </c>
      <c r="E33" t="s">
        <v>34</v>
      </c>
      <c r="F33">
        <v>26017.53</v>
      </c>
      <c r="G33">
        <v>1319</v>
      </c>
      <c r="H33">
        <v>463</v>
      </c>
      <c r="I33">
        <v>185746.97</v>
      </c>
      <c r="J33">
        <v>8639</v>
      </c>
      <c r="K33">
        <v>193828</v>
      </c>
      <c r="L33">
        <f t="shared" si="0"/>
        <v>613.93006945701609</v>
      </c>
      <c r="M33">
        <f t="shared" si="1"/>
        <v>277</v>
      </c>
    </row>
    <row r="34" spans="1:13" x14ac:dyDescent="0.4">
      <c r="A34" t="s">
        <v>57</v>
      </c>
      <c r="B34" t="s">
        <v>54</v>
      </c>
      <c r="C34" s="1">
        <v>45495</v>
      </c>
      <c r="D34" s="1">
        <v>45296</v>
      </c>
      <c r="E34" t="s">
        <v>34</v>
      </c>
      <c r="F34">
        <v>41209.339999999997</v>
      </c>
      <c r="G34">
        <v>293</v>
      </c>
      <c r="H34">
        <v>216</v>
      </c>
      <c r="I34">
        <v>192601.41</v>
      </c>
      <c r="J34">
        <v>1931</v>
      </c>
      <c r="K34">
        <v>200847</v>
      </c>
      <c r="L34">
        <f t="shared" si="0"/>
        <v>367.37319743533874</v>
      </c>
      <c r="M34">
        <f t="shared" si="1"/>
        <v>199</v>
      </c>
    </row>
    <row r="35" spans="1:13" x14ac:dyDescent="0.4">
      <c r="A35" t="s">
        <v>58</v>
      </c>
      <c r="B35" t="s">
        <v>54</v>
      </c>
      <c r="C35" s="1">
        <v>45455</v>
      </c>
      <c r="D35" s="1">
        <v>45298</v>
      </c>
      <c r="E35" t="s">
        <v>16</v>
      </c>
      <c r="F35">
        <v>20823.86</v>
      </c>
      <c r="G35">
        <v>555</v>
      </c>
      <c r="H35">
        <v>130</v>
      </c>
      <c r="I35">
        <v>104247.01</v>
      </c>
      <c r="J35">
        <v>1669</v>
      </c>
      <c r="K35">
        <v>432915</v>
      </c>
      <c r="L35">
        <f t="shared" si="0"/>
        <v>400.61328687380728</v>
      </c>
      <c r="M35">
        <f t="shared" si="1"/>
        <v>157</v>
      </c>
    </row>
    <row r="36" spans="1:13" x14ac:dyDescent="0.4">
      <c r="A36" t="s">
        <v>47</v>
      </c>
      <c r="B36" t="s">
        <v>15</v>
      </c>
      <c r="C36" s="1">
        <v>45542</v>
      </c>
      <c r="D36" s="1">
        <v>45299</v>
      </c>
      <c r="E36" t="s">
        <v>34</v>
      </c>
      <c r="F36">
        <v>24732.880000000001</v>
      </c>
      <c r="G36">
        <v>471</v>
      </c>
      <c r="H36">
        <v>417</v>
      </c>
      <c r="I36">
        <v>93300.84</v>
      </c>
      <c r="J36">
        <v>7346</v>
      </c>
      <c r="K36">
        <v>431037</v>
      </c>
      <c r="L36">
        <f t="shared" si="0"/>
        <v>277.23403016551242</v>
      </c>
      <c r="M36">
        <f t="shared" si="1"/>
        <v>243</v>
      </c>
    </row>
    <row r="37" spans="1:13" x14ac:dyDescent="0.4">
      <c r="A37" t="s">
        <v>59</v>
      </c>
      <c r="B37" t="s">
        <v>18</v>
      </c>
      <c r="C37" s="1">
        <v>45518</v>
      </c>
      <c r="D37" s="1">
        <v>45298</v>
      </c>
      <c r="E37" t="s">
        <v>16</v>
      </c>
      <c r="F37">
        <v>1655.02</v>
      </c>
      <c r="G37">
        <v>1393</v>
      </c>
      <c r="H37">
        <v>429</v>
      </c>
      <c r="I37">
        <v>59345.39</v>
      </c>
      <c r="J37">
        <v>2018</v>
      </c>
      <c r="K37">
        <v>293759</v>
      </c>
      <c r="L37">
        <f t="shared" si="0"/>
        <v>3485.7808364853595</v>
      </c>
      <c r="M37">
        <f t="shared" si="1"/>
        <v>220</v>
      </c>
    </row>
    <row r="38" spans="1:13" x14ac:dyDescent="0.4">
      <c r="A38" t="s">
        <v>17</v>
      </c>
      <c r="B38" t="s">
        <v>51</v>
      </c>
      <c r="C38" s="1">
        <v>45298</v>
      </c>
      <c r="D38" s="1">
        <v>45299</v>
      </c>
      <c r="E38" t="s">
        <v>13</v>
      </c>
      <c r="F38">
        <v>21077.22</v>
      </c>
      <c r="G38">
        <v>1160</v>
      </c>
      <c r="H38">
        <v>46</v>
      </c>
      <c r="I38">
        <v>191980.02</v>
      </c>
      <c r="J38">
        <v>6516</v>
      </c>
      <c r="K38">
        <v>276890</v>
      </c>
      <c r="L38">
        <f t="shared" si="0"/>
        <v>810.84127792944219</v>
      </c>
      <c r="M38">
        <f t="shared" si="1"/>
        <v>1</v>
      </c>
    </row>
    <row r="39" spans="1:13" x14ac:dyDescent="0.4">
      <c r="A39" t="s">
        <v>60</v>
      </c>
      <c r="B39" t="s">
        <v>30</v>
      </c>
      <c r="C39" s="1">
        <v>45320</v>
      </c>
      <c r="D39" s="1">
        <v>45301</v>
      </c>
      <c r="E39" t="s">
        <v>26</v>
      </c>
      <c r="F39">
        <v>32740.94</v>
      </c>
      <c r="G39">
        <v>266</v>
      </c>
      <c r="H39">
        <v>102</v>
      </c>
      <c r="I39">
        <v>32848.79</v>
      </c>
      <c r="J39">
        <v>3332</v>
      </c>
      <c r="K39">
        <v>480673</v>
      </c>
      <c r="L39">
        <f t="shared" si="0"/>
        <v>0.32940410385285879</v>
      </c>
      <c r="M39">
        <f t="shared" si="1"/>
        <v>19</v>
      </c>
    </row>
    <row r="40" spans="1:13" x14ac:dyDescent="0.4">
      <c r="A40" t="s">
        <v>60</v>
      </c>
      <c r="B40" t="s">
        <v>51</v>
      </c>
      <c r="C40" s="1">
        <v>45324</v>
      </c>
      <c r="D40" s="1">
        <v>45300</v>
      </c>
      <c r="E40" t="s">
        <v>34</v>
      </c>
      <c r="F40">
        <v>1759.91</v>
      </c>
      <c r="G40">
        <v>1563</v>
      </c>
      <c r="H40">
        <v>453</v>
      </c>
      <c r="I40">
        <v>118066.77</v>
      </c>
      <c r="J40">
        <v>3858</v>
      </c>
      <c r="K40">
        <v>154817</v>
      </c>
      <c r="L40">
        <f t="shared" si="0"/>
        <v>6608.6822621611336</v>
      </c>
      <c r="M40">
        <f t="shared" si="1"/>
        <v>24</v>
      </c>
    </row>
    <row r="41" spans="1:13" x14ac:dyDescent="0.4">
      <c r="A41" t="s">
        <v>61</v>
      </c>
      <c r="B41" t="s">
        <v>25</v>
      </c>
      <c r="C41" s="1">
        <v>45425</v>
      </c>
      <c r="D41" s="1">
        <v>45298</v>
      </c>
      <c r="E41" t="s">
        <v>26</v>
      </c>
      <c r="F41">
        <v>14763.22</v>
      </c>
      <c r="G41">
        <v>1592</v>
      </c>
      <c r="H41">
        <v>35</v>
      </c>
      <c r="I41">
        <v>60097.3</v>
      </c>
      <c r="J41">
        <v>6097</v>
      </c>
      <c r="K41">
        <v>264389</v>
      </c>
      <c r="L41">
        <f t="shared" si="0"/>
        <v>307.0744729130908</v>
      </c>
      <c r="M41">
        <f t="shared" si="1"/>
        <v>127</v>
      </c>
    </row>
    <row r="42" spans="1:13" x14ac:dyDescent="0.4">
      <c r="A42" t="s">
        <v>60</v>
      </c>
      <c r="B42" t="s">
        <v>25</v>
      </c>
      <c r="C42" s="1">
        <v>45370</v>
      </c>
      <c r="D42" s="1">
        <v>45299</v>
      </c>
      <c r="E42" t="s">
        <v>34</v>
      </c>
      <c r="F42">
        <v>11189.86</v>
      </c>
      <c r="G42">
        <v>1351</v>
      </c>
      <c r="H42">
        <v>162</v>
      </c>
      <c r="I42">
        <v>59406.62</v>
      </c>
      <c r="J42">
        <v>2455</v>
      </c>
      <c r="K42">
        <v>118408</v>
      </c>
      <c r="L42">
        <f t="shared" si="0"/>
        <v>430.89690130171425</v>
      </c>
      <c r="M42">
        <f t="shared" si="1"/>
        <v>71</v>
      </c>
    </row>
    <row r="43" spans="1:13" x14ac:dyDescent="0.4">
      <c r="A43" t="s">
        <v>62</v>
      </c>
      <c r="B43" t="s">
        <v>15</v>
      </c>
      <c r="C43" s="1">
        <v>45349</v>
      </c>
      <c r="D43" s="1">
        <v>45297</v>
      </c>
      <c r="E43" t="s">
        <v>26</v>
      </c>
      <c r="F43">
        <v>3057.29</v>
      </c>
      <c r="G43">
        <v>1922</v>
      </c>
      <c r="H43">
        <v>116</v>
      </c>
      <c r="I43">
        <v>83968.87</v>
      </c>
      <c r="J43">
        <v>9689</v>
      </c>
      <c r="K43">
        <v>113143</v>
      </c>
      <c r="L43">
        <f t="shared" si="0"/>
        <v>2646.5130883887364</v>
      </c>
      <c r="M43">
        <f t="shared" si="1"/>
        <v>52</v>
      </c>
    </row>
    <row r="44" spans="1:13" x14ac:dyDescent="0.4">
      <c r="A44" t="s">
        <v>63</v>
      </c>
      <c r="B44" t="s">
        <v>18</v>
      </c>
      <c r="C44" s="1">
        <v>45317</v>
      </c>
      <c r="D44" s="1">
        <v>45302</v>
      </c>
      <c r="E44" t="s">
        <v>34</v>
      </c>
      <c r="F44">
        <v>24483.74</v>
      </c>
      <c r="G44">
        <v>1795</v>
      </c>
      <c r="H44">
        <v>406</v>
      </c>
      <c r="I44">
        <v>199764.62</v>
      </c>
      <c r="J44">
        <v>1924</v>
      </c>
      <c r="K44">
        <v>419069</v>
      </c>
      <c r="L44">
        <f t="shared" si="0"/>
        <v>715.9072919415089</v>
      </c>
      <c r="M44">
        <f t="shared" si="1"/>
        <v>15</v>
      </c>
    </row>
    <row r="45" spans="1:13" x14ac:dyDescent="0.4">
      <c r="A45" t="s">
        <v>46</v>
      </c>
      <c r="B45" t="s">
        <v>31</v>
      </c>
      <c r="C45" s="1">
        <v>45517</v>
      </c>
      <c r="D45" s="1">
        <v>45297</v>
      </c>
      <c r="E45" t="s">
        <v>34</v>
      </c>
      <c r="F45">
        <v>9904.44</v>
      </c>
      <c r="G45">
        <v>1058</v>
      </c>
      <c r="H45">
        <v>251</v>
      </c>
      <c r="I45">
        <v>15718.43</v>
      </c>
      <c r="J45">
        <v>7380</v>
      </c>
      <c r="K45">
        <v>290776</v>
      </c>
      <c r="L45">
        <f t="shared" si="0"/>
        <v>58.700845277471515</v>
      </c>
      <c r="M45">
        <f t="shared" si="1"/>
        <v>220</v>
      </c>
    </row>
    <row r="46" spans="1:13" x14ac:dyDescent="0.4">
      <c r="A46" t="s">
        <v>38</v>
      </c>
      <c r="B46" t="s">
        <v>36</v>
      </c>
      <c r="C46" s="1">
        <v>45576</v>
      </c>
      <c r="D46" s="1">
        <v>45294</v>
      </c>
      <c r="E46" t="s">
        <v>34</v>
      </c>
      <c r="F46">
        <v>37411</v>
      </c>
      <c r="G46">
        <v>1242</v>
      </c>
      <c r="H46">
        <v>126</v>
      </c>
      <c r="I46">
        <v>117815.65</v>
      </c>
      <c r="J46">
        <v>4160</v>
      </c>
      <c r="K46">
        <v>276000</v>
      </c>
      <c r="L46">
        <f t="shared" si="0"/>
        <v>214.92248269225627</v>
      </c>
      <c r="M46">
        <f t="shared" si="1"/>
        <v>282</v>
      </c>
    </row>
    <row r="47" spans="1:13" x14ac:dyDescent="0.4">
      <c r="A47" t="s">
        <v>62</v>
      </c>
      <c r="B47" t="s">
        <v>18</v>
      </c>
      <c r="C47" s="1">
        <v>45295</v>
      </c>
      <c r="D47" s="1">
        <v>45300</v>
      </c>
      <c r="E47" t="s">
        <v>34</v>
      </c>
      <c r="F47">
        <v>42548.47</v>
      </c>
      <c r="G47">
        <v>379</v>
      </c>
      <c r="H47">
        <v>277</v>
      </c>
      <c r="I47">
        <v>21101.57</v>
      </c>
      <c r="J47">
        <v>5424</v>
      </c>
      <c r="K47">
        <v>188965</v>
      </c>
      <c r="L47">
        <f t="shared" si="0"/>
        <v>-50.405807776401836</v>
      </c>
      <c r="M47">
        <f t="shared" si="1"/>
        <v>5</v>
      </c>
    </row>
    <row r="48" spans="1:13" x14ac:dyDescent="0.4">
      <c r="A48" t="s">
        <v>64</v>
      </c>
      <c r="B48" t="s">
        <v>15</v>
      </c>
      <c r="C48" s="1">
        <v>45390</v>
      </c>
      <c r="D48" s="1">
        <v>45300</v>
      </c>
      <c r="E48" t="s">
        <v>34</v>
      </c>
      <c r="F48">
        <v>27733.67</v>
      </c>
      <c r="G48">
        <v>699</v>
      </c>
      <c r="H48">
        <v>298</v>
      </c>
      <c r="I48">
        <v>35131.56</v>
      </c>
      <c r="J48">
        <v>504</v>
      </c>
      <c r="K48">
        <v>464857</v>
      </c>
      <c r="L48">
        <f t="shared" si="0"/>
        <v>26.674760318414403</v>
      </c>
      <c r="M48">
        <f t="shared" si="1"/>
        <v>90</v>
      </c>
    </row>
    <row r="49" spans="1:13" x14ac:dyDescent="0.4">
      <c r="A49" t="s">
        <v>22</v>
      </c>
      <c r="B49" t="s">
        <v>33</v>
      </c>
      <c r="C49" s="1">
        <v>45330</v>
      </c>
      <c r="D49" s="1">
        <v>45297</v>
      </c>
      <c r="E49" t="s">
        <v>34</v>
      </c>
      <c r="F49">
        <v>49103.66</v>
      </c>
      <c r="G49">
        <v>1514</v>
      </c>
      <c r="H49">
        <v>402</v>
      </c>
      <c r="I49">
        <v>90714.77</v>
      </c>
      <c r="J49">
        <v>1821</v>
      </c>
      <c r="K49">
        <v>233298</v>
      </c>
      <c r="L49">
        <f t="shared" si="0"/>
        <v>84.741361438230882</v>
      </c>
      <c r="M49">
        <f t="shared" si="1"/>
        <v>33</v>
      </c>
    </row>
    <row r="50" spans="1:13" x14ac:dyDescent="0.4">
      <c r="A50" t="s">
        <v>65</v>
      </c>
      <c r="B50" t="s">
        <v>12</v>
      </c>
      <c r="C50" s="1">
        <v>45562</v>
      </c>
      <c r="D50" s="1">
        <v>45296</v>
      </c>
      <c r="E50" t="s">
        <v>34</v>
      </c>
      <c r="F50">
        <v>23073.45</v>
      </c>
      <c r="G50">
        <v>440</v>
      </c>
      <c r="H50">
        <v>475</v>
      </c>
      <c r="I50">
        <v>104539.73</v>
      </c>
      <c r="J50">
        <v>5416</v>
      </c>
      <c r="K50">
        <v>69049</v>
      </c>
      <c r="L50">
        <f t="shared" si="0"/>
        <v>353.0736842561472</v>
      </c>
      <c r="M50">
        <f t="shared" si="1"/>
        <v>266</v>
      </c>
    </row>
    <row r="51" spans="1:13" x14ac:dyDescent="0.4">
      <c r="A51" t="s">
        <v>66</v>
      </c>
      <c r="B51" t="s">
        <v>36</v>
      </c>
      <c r="C51" s="1">
        <v>45576</v>
      </c>
      <c r="D51" s="1">
        <v>45301</v>
      </c>
      <c r="E51" t="s">
        <v>34</v>
      </c>
      <c r="F51">
        <v>26155.040000000001</v>
      </c>
      <c r="G51">
        <v>1569</v>
      </c>
      <c r="H51">
        <v>477</v>
      </c>
      <c r="I51">
        <v>55464.52</v>
      </c>
      <c r="J51">
        <v>3945</v>
      </c>
      <c r="K51">
        <v>321326</v>
      </c>
      <c r="L51">
        <f t="shared" si="0"/>
        <v>112.06054358930437</v>
      </c>
      <c r="M51">
        <f t="shared" si="1"/>
        <v>275</v>
      </c>
    </row>
    <row r="52" spans="1:13" x14ac:dyDescent="0.4">
      <c r="A52" t="s">
        <v>67</v>
      </c>
      <c r="B52" t="s">
        <v>23</v>
      </c>
      <c r="C52" s="1">
        <v>45448</v>
      </c>
      <c r="D52" s="1">
        <v>45298</v>
      </c>
      <c r="E52" t="s">
        <v>34</v>
      </c>
      <c r="F52">
        <v>49471.67</v>
      </c>
      <c r="G52">
        <v>430</v>
      </c>
      <c r="H52">
        <v>211</v>
      </c>
      <c r="I52">
        <v>66709.14</v>
      </c>
      <c r="J52">
        <v>4310</v>
      </c>
      <c r="K52">
        <v>397017</v>
      </c>
      <c r="L52">
        <f t="shared" si="0"/>
        <v>34.843113240365653</v>
      </c>
      <c r="M52">
        <f t="shared" si="1"/>
        <v>150</v>
      </c>
    </row>
    <row r="53" spans="1:13" x14ac:dyDescent="0.4">
      <c r="A53" t="s">
        <v>68</v>
      </c>
      <c r="B53" t="s">
        <v>40</v>
      </c>
      <c r="C53" s="1">
        <v>45366</v>
      </c>
      <c r="D53" s="1">
        <v>45300</v>
      </c>
      <c r="E53" t="s">
        <v>26</v>
      </c>
      <c r="F53">
        <v>12345.87</v>
      </c>
      <c r="G53">
        <v>1379</v>
      </c>
      <c r="H53">
        <v>114</v>
      </c>
      <c r="I53">
        <v>21958.57</v>
      </c>
      <c r="J53">
        <v>164</v>
      </c>
      <c r="K53">
        <v>229953</v>
      </c>
      <c r="L53">
        <f t="shared" si="0"/>
        <v>77.861665480035015</v>
      </c>
      <c r="M53">
        <f t="shared" si="1"/>
        <v>66</v>
      </c>
    </row>
    <row r="54" spans="1:13" x14ac:dyDescent="0.4">
      <c r="A54" t="s">
        <v>52</v>
      </c>
      <c r="B54" t="s">
        <v>36</v>
      </c>
      <c r="C54" s="1">
        <v>45579</v>
      </c>
      <c r="D54" s="1">
        <v>45297</v>
      </c>
      <c r="E54" t="s">
        <v>16</v>
      </c>
      <c r="F54">
        <v>47184.75</v>
      </c>
      <c r="G54">
        <v>791</v>
      </c>
      <c r="H54">
        <v>444</v>
      </c>
      <c r="I54">
        <v>64127.86</v>
      </c>
      <c r="J54">
        <v>9591</v>
      </c>
      <c r="K54">
        <v>211503</v>
      </c>
      <c r="L54">
        <f t="shared" si="0"/>
        <v>35.908021129708224</v>
      </c>
      <c r="M54">
        <f t="shared" si="1"/>
        <v>282</v>
      </c>
    </row>
    <row r="55" spans="1:13" x14ac:dyDescent="0.4">
      <c r="A55" t="s">
        <v>47</v>
      </c>
      <c r="B55" t="s">
        <v>15</v>
      </c>
      <c r="C55" s="1">
        <v>45421</v>
      </c>
      <c r="D55" s="1">
        <v>45297</v>
      </c>
      <c r="E55" t="s">
        <v>34</v>
      </c>
      <c r="F55">
        <v>3099.04</v>
      </c>
      <c r="G55">
        <v>869</v>
      </c>
      <c r="H55">
        <v>282</v>
      </c>
      <c r="I55">
        <v>193478.9</v>
      </c>
      <c r="J55">
        <v>6482</v>
      </c>
      <c r="K55">
        <v>171821</v>
      </c>
      <c r="L55">
        <f t="shared" si="0"/>
        <v>6143.1882131240645</v>
      </c>
      <c r="M55">
        <f t="shared" si="1"/>
        <v>124</v>
      </c>
    </row>
    <row r="56" spans="1:13" x14ac:dyDescent="0.4">
      <c r="A56" t="s">
        <v>69</v>
      </c>
      <c r="B56" t="s">
        <v>33</v>
      </c>
      <c r="C56" s="1">
        <v>45466</v>
      </c>
      <c r="D56" s="1">
        <v>45301</v>
      </c>
      <c r="E56" t="s">
        <v>16</v>
      </c>
      <c r="F56">
        <v>22872.959999999999</v>
      </c>
      <c r="G56">
        <v>722</v>
      </c>
      <c r="H56">
        <v>455</v>
      </c>
      <c r="I56">
        <v>189217.94</v>
      </c>
      <c r="J56">
        <v>9707</v>
      </c>
      <c r="K56">
        <v>205829</v>
      </c>
      <c r="L56">
        <f t="shared" si="0"/>
        <v>727.25602632977996</v>
      </c>
      <c r="M56">
        <f t="shared" si="1"/>
        <v>165</v>
      </c>
    </row>
    <row r="57" spans="1:13" x14ac:dyDescent="0.4">
      <c r="A57" t="s">
        <v>70</v>
      </c>
      <c r="B57" t="s">
        <v>33</v>
      </c>
      <c r="C57" s="1">
        <v>45375</v>
      </c>
      <c r="D57" s="1">
        <v>45301</v>
      </c>
      <c r="E57" t="s">
        <v>34</v>
      </c>
      <c r="F57">
        <v>4430.17</v>
      </c>
      <c r="G57">
        <v>562</v>
      </c>
      <c r="H57">
        <v>60</v>
      </c>
      <c r="I57">
        <v>70301.27</v>
      </c>
      <c r="J57">
        <v>1068</v>
      </c>
      <c r="K57">
        <v>318798</v>
      </c>
      <c r="L57">
        <f t="shared" si="0"/>
        <v>1486.8752214926292</v>
      </c>
      <c r="M57">
        <f t="shared" si="1"/>
        <v>74</v>
      </c>
    </row>
    <row r="58" spans="1:13" x14ac:dyDescent="0.4">
      <c r="A58" t="s">
        <v>71</v>
      </c>
      <c r="B58" t="s">
        <v>21</v>
      </c>
      <c r="C58" s="1">
        <v>45313</v>
      </c>
      <c r="D58" s="1">
        <v>45295</v>
      </c>
      <c r="E58" t="s">
        <v>34</v>
      </c>
      <c r="F58">
        <v>36732.5</v>
      </c>
      <c r="G58">
        <v>1821</v>
      </c>
      <c r="H58">
        <v>379</v>
      </c>
      <c r="I58">
        <v>116316.52</v>
      </c>
      <c r="J58">
        <v>468</v>
      </c>
      <c r="K58">
        <v>203646</v>
      </c>
      <c r="L58">
        <f t="shared" si="0"/>
        <v>216.6583270945348</v>
      </c>
      <c r="M58">
        <f t="shared" si="1"/>
        <v>18</v>
      </c>
    </row>
    <row r="59" spans="1:13" x14ac:dyDescent="0.4">
      <c r="A59" t="s">
        <v>41</v>
      </c>
      <c r="B59" t="s">
        <v>54</v>
      </c>
      <c r="C59" s="1">
        <v>45318</v>
      </c>
      <c r="D59" s="1">
        <v>45295</v>
      </c>
      <c r="E59" t="s">
        <v>26</v>
      </c>
      <c r="F59">
        <v>30812.04</v>
      </c>
      <c r="G59">
        <v>998</v>
      </c>
      <c r="H59">
        <v>407</v>
      </c>
      <c r="I59">
        <v>182371.1</v>
      </c>
      <c r="J59">
        <v>8524</v>
      </c>
      <c r="K59">
        <v>491783</v>
      </c>
      <c r="L59">
        <f t="shared" si="0"/>
        <v>491.88258875426618</v>
      </c>
      <c r="M59">
        <f t="shared" si="1"/>
        <v>23</v>
      </c>
    </row>
    <row r="60" spans="1:13" x14ac:dyDescent="0.4">
      <c r="A60" t="s">
        <v>42</v>
      </c>
      <c r="B60" t="s">
        <v>18</v>
      </c>
      <c r="C60" s="1">
        <v>45486</v>
      </c>
      <c r="D60" s="1">
        <v>45296</v>
      </c>
      <c r="E60" t="s">
        <v>13</v>
      </c>
      <c r="F60">
        <v>35625.08</v>
      </c>
      <c r="G60">
        <v>1261</v>
      </c>
      <c r="H60">
        <v>61</v>
      </c>
      <c r="I60">
        <v>6205.85</v>
      </c>
      <c r="J60">
        <v>2342</v>
      </c>
      <c r="K60">
        <v>318525</v>
      </c>
      <c r="L60">
        <f t="shared" si="0"/>
        <v>-82.580109293789661</v>
      </c>
      <c r="M60">
        <f t="shared" si="1"/>
        <v>190</v>
      </c>
    </row>
    <row r="61" spans="1:13" x14ac:dyDescent="0.4">
      <c r="A61" t="s">
        <v>72</v>
      </c>
      <c r="B61" t="s">
        <v>33</v>
      </c>
      <c r="C61" s="1">
        <v>45628</v>
      </c>
      <c r="D61" s="1">
        <v>45296</v>
      </c>
      <c r="E61" t="s">
        <v>13</v>
      </c>
      <c r="F61">
        <v>19349.54</v>
      </c>
      <c r="G61">
        <v>979</v>
      </c>
      <c r="H61">
        <v>432</v>
      </c>
      <c r="I61">
        <v>163083.29999999999</v>
      </c>
      <c r="J61">
        <v>5102</v>
      </c>
      <c r="K61">
        <v>59601</v>
      </c>
      <c r="L61">
        <f t="shared" si="0"/>
        <v>742.82778815413678</v>
      </c>
      <c r="M61">
        <f t="shared" si="1"/>
        <v>332</v>
      </c>
    </row>
    <row r="62" spans="1:13" x14ac:dyDescent="0.4">
      <c r="A62" t="s">
        <v>58</v>
      </c>
      <c r="B62" t="s">
        <v>25</v>
      </c>
      <c r="C62" s="1">
        <v>45527</v>
      </c>
      <c r="D62" s="1">
        <v>45294</v>
      </c>
      <c r="E62" t="s">
        <v>26</v>
      </c>
      <c r="F62">
        <v>19104.61</v>
      </c>
      <c r="G62">
        <v>1589</v>
      </c>
      <c r="H62">
        <v>486</v>
      </c>
      <c r="I62">
        <v>189932.06</v>
      </c>
      <c r="J62">
        <v>3183</v>
      </c>
      <c r="K62">
        <v>147154</v>
      </c>
      <c r="L62">
        <f t="shared" si="0"/>
        <v>894.16873728382848</v>
      </c>
      <c r="M62">
        <f t="shared" si="1"/>
        <v>233</v>
      </c>
    </row>
    <row r="63" spans="1:13" x14ac:dyDescent="0.4">
      <c r="A63" t="s">
        <v>47</v>
      </c>
      <c r="B63" t="s">
        <v>54</v>
      </c>
      <c r="C63" s="1">
        <v>45383</v>
      </c>
      <c r="D63" s="1">
        <v>45296</v>
      </c>
      <c r="E63" t="s">
        <v>16</v>
      </c>
      <c r="F63">
        <v>3220.64</v>
      </c>
      <c r="G63">
        <v>962</v>
      </c>
      <c r="H63">
        <v>295</v>
      </c>
      <c r="I63">
        <v>22808.52</v>
      </c>
      <c r="J63">
        <v>8173</v>
      </c>
      <c r="K63">
        <v>146720</v>
      </c>
      <c r="L63">
        <f t="shared" si="0"/>
        <v>608.1983705102092</v>
      </c>
      <c r="M63">
        <f t="shared" si="1"/>
        <v>87</v>
      </c>
    </row>
    <row r="64" spans="1:13" x14ac:dyDescent="0.4">
      <c r="A64" t="s">
        <v>73</v>
      </c>
      <c r="B64" t="s">
        <v>30</v>
      </c>
      <c r="C64" s="1">
        <v>45312</v>
      </c>
      <c r="D64" s="1">
        <v>45299</v>
      </c>
      <c r="E64" t="s">
        <v>13</v>
      </c>
      <c r="F64">
        <v>18147.3</v>
      </c>
      <c r="G64">
        <v>693</v>
      </c>
      <c r="H64">
        <v>118</v>
      </c>
      <c r="I64">
        <v>36482.300000000003</v>
      </c>
      <c r="J64">
        <v>9212</v>
      </c>
      <c r="K64">
        <v>263508</v>
      </c>
      <c r="L64">
        <f t="shared" si="0"/>
        <v>101.03431364445402</v>
      </c>
      <c r="M64">
        <f t="shared" si="1"/>
        <v>13</v>
      </c>
    </row>
    <row r="65" spans="1:13" x14ac:dyDescent="0.4">
      <c r="A65" t="s">
        <v>74</v>
      </c>
      <c r="B65" t="s">
        <v>12</v>
      </c>
      <c r="C65" s="1">
        <v>45594</v>
      </c>
      <c r="D65" s="1">
        <v>45301</v>
      </c>
      <c r="E65" t="s">
        <v>26</v>
      </c>
      <c r="F65">
        <v>46535.13</v>
      </c>
      <c r="G65">
        <v>476</v>
      </c>
      <c r="H65">
        <v>385</v>
      </c>
      <c r="I65">
        <v>192345.53</v>
      </c>
      <c r="J65">
        <v>8980</v>
      </c>
      <c r="K65">
        <v>166640</v>
      </c>
      <c r="L65">
        <f t="shared" si="0"/>
        <v>313.33403387935095</v>
      </c>
      <c r="M65">
        <f t="shared" si="1"/>
        <v>293</v>
      </c>
    </row>
    <row r="66" spans="1:13" x14ac:dyDescent="0.4">
      <c r="A66" t="s">
        <v>75</v>
      </c>
      <c r="B66" t="s">
        <v>15</v>
      </c>
      <c r="C66" s="1">
        <v>45648</v>
      </c>
      <c r="D66" s="1">
        <v>45299</v>
      </c>
      <c r="E66" t="s">
        <v>26</v>
      </c>
      <c r="F66">
        <v>19582.099999999999</v>
      </c>
      <c r="G66">
        <v>551</v>
      </c>
      <c r="H66">
        <v>389</v>
      </c>
      <c r="I66">
        <v>109820.33</v>
      </c>
      <c r="J66">
        <v>1569</v>
      </c>
      <c r="K66">
        <v>473862</v>
      </c>
      <c r="L66">
        <f t="shared" si="0"/>
        <v>460.81998355641127</v>
      </c>
      <c r="M66">
        <f t="shared" si="1"/>
        <v>349</v>
      </c>
    </row>
    <row r="67" spans="1:13" x14ac:dyDescent="0.4">
      <c r="A67" t="s">
        <v>61</v>
      </c>
      <c r="B67" t="s">
        <v>40</v>
      </c>
      <c r="C67" s="1">
        <v>45375</v>
      </c>
      <c r="D67" s="1">
        <v>45298</v>
      </c>
      <c r="E67" t="s">
        <v>13</v>
      </c>
      <c r="F67">
        <v>41737.019999999997</v>
      </c>
      <c r="G67">
        <v>779</v>
      </c>
      <c r="H67">
        <v>312</v>
      </c>
      <c r="I67">
        <v>7768.34</v>
      </c>
      <c r="J67">
        <v>4825</v>
      </c>
      <c r="K67">
        <v>465710</v>
      </c>
      <c r="L67">
        <f t="shared" ref="L67:L130" si="2">(I67 - F67)/F67*100</f>
        <v>-81.387410984301212</v>
      </c>
      <c r="M67">
        <f t="shared" ref="M67:M130" si="3">ABS(D67 - C67)</f>
        <v>77</v>
      </c>
    </row>
    <row r="68" spans="1:13" x14ac:dyDescent="0.4">
      <c r="A68" t="s">
        <v>76</v>
      </c>
      <c r="B68" t="s">
        <v>18</v>
      </c>
      <c r="C68" s="1">
        <v>45553</v>
      </c>
      <c r="D68" s="1">
        <v>45297</v>
      </c>
      <c r="E68" t="s">
        <v>16</v>
      </c>
      <c r="F68">
        <v>42273.95</v>
      </c>
      <c r="G68">
        <v>1333</v>
      </c>
      <c r="H68">
        <v>345</v>
      </c>
      <c r="I68">
        <v>55238.239999999998</v>
      </c>
      <c r="J68">
        <v>4359</v>
      </c>
      <c r="K68">
        <v>206704</v>
      </c>
      <c r="L68">
        <f t="shared" si="2"/>
        <v>30.667325859069244</v>
      </c>
      <c r="M68">
        <f t="shared" si="3"/>
        <v>256</v>
      </c>
    </row>
    <row r="69" spans="1:13" x14ac:dyDescent="0.4">
      <c r="A69" t="s">
        <v>77</v>
      </c>
      <c r="B69" t="s">
        <v>28</v>
      </c>
      <c r="C69" s="1">
        <v>45438</v>
      </c>
      <c r="D69" s="1">
        <v>45296</v>
      </c>
      <c r="E69" t="s">
        <v>26</v>
      </c>
      <c r="F69">
        <v>19288.82</v>
      </c>
      <c r="G69">
        <v>1586</v>
      </c>
      <c r="H69">
        <v>481</v>
      </c>
      <c r="I69">
        <v>92739.02</v>
      </c>
      <c r="J69">
        <v>3722</v>
      </c>
      <c r="K69">
        <v>270580</v>
      </c>
      <c r="L69">
        <f t="shared" si="2"/>
        <v>380.79156734315529</v>
      </c>
      <c r="M69">
        <f t="shared" si="3"/>
        <v>142</v>
      </c>
    </row>
    <row r="70" spans="1:13" x14ac:dyDescent="0.4">
      <c r="A70" t="s">
        <v>78</v>
      </c>
      <c r="B70" t="s">
        <v>25</v>
      </c>
      <c r="C70" s="1">
        <v>45548</v>
      </c>
      <c r="D70" s="1">
        <v>45297</v>
      </c>
      <c r="E70" t="s">
        <v>34</v>
      </c>
      <c r="F70">
        <v>31967.45</v>
      </c>
      <c r="G70">
        <v>120</v>
      </c>
      <c r="H70">
        <v>202</v>
      </c>
      <c r="I70">
        <v>140117.24</v>
      </c>
      <c r="J70">
        <v>923</v>
      </c>
      <c r="K70">
        <v>349857</v>
      </c>
      <c r="L70">
        <f t="shared" si="2"/>
        <v>338.31222071200546</v>
      </c>
      <c r="M70">
        <f t="shared" si="3"/>
        <v>251</v>
      </c>
    </row>
    <row r="71" spans="1:13" x14ac:dyDescent="0.4">
      <c r="A71" t="s">
        <v>79</v>
      </c>
      <c r="B71" t="s">
        <v>43</v>
      </c>
      <c r="C71" s="1">
        <v>45349</v>
      </c>
      <c r="D71" s="1">
        <v>45300</v>
      </c>
      <c r="E71" t="s">
        <v>16</v>
      </c>
      <c r="F71">
        <v>5673.21</v>
      </c>
      <c r="G71">
        <v>527</v>
      </c>
      <c r="H71">
        <v>425</v>
      </c>
      <c r="I71">
        <v>147966.26999999999</v>
      </c>
      <c r="J71">
        <v>3531</v>
      </c>
      <c r="K71">
        <v>420970</v>
      </c>
      <c r="L71">
        <f t="shared" si="2"/>
        <v>2508.1578154166687</v>
      </c>
      <c r="M71">
        <f t="shared" si="3"/>
        <v>49</v>
      </c>
    </row>
    <row r="72" spans="1:13" x14ac:dyDescent="0.4">
      <c r="A72" t="s">
        <v>80</v>
      </c>
      <c r="B72" t="s">
        <v>23</v>
      </c>
      <c r="C72" s="1">
        <v>45306</v>
      </c>
      <c r="D72" s="1">
        <v>45294</v>
      </c>
      <c r="E72" t="s">
        <v>16</v>
      </c>
      <c r="F72">
        <v>6080.25</v>
      </c>
      <c r="G72">
        <v>1251</v>
      </c>
      <c r="H72">
        <v>325</v>
      </c>
      <c r="I72">
        <v>199107.20000000001</v>
      </c>
      <c r="J72">
        <v>6628</v>
      </c>
      <c r="K72">
        <v>323338</v>
      </c>
      <c r="L72">
        <f t="shared" si="2"/>
        <v>3174.6548250483124</v>
      </c>
      <c r="M72">
        <f t="shared" si="3"/>
        <v>12</v>
      </c>
    </row>
    <row r="73" spans="1:13" x14ac:dyDescent="0.4">
      <c r="A73" t="s">
        <v>68</v>
      </c>
      <c r="B73" t="s">
        <v>31</v>
      </c>
      <c r="C73" s="1">
        <v>45453</v>
      </c>
      <c r="D73" s="1">
        <v>45300</v>
      </c>
      <c r="E73" t="s">
        <v>13</v>
      </c>
      <c r="F73">
        <v>3384.23</v>
      </c>
      <c r="G73">
        <v>506</v>
      </c>
      <c r="H73">
        <v>183</v>
      </c>
      <c r="I73">
        <v>61064.68</v>
      </c>
      <c r="J73">
        <v>4251</v>
      </c>
      <c r="K73">
        <v>25544</v>
      </c>
      <c r="L73">
        <f t="shared" si="2"/>
        <v>1704.3891815863578</v>
      </c>
      <c r="M73">
        <f t="shared" si="3"/>
        <v>153</v>
      </c>
    </row>
    <row r="74" spans="1:13" x14ac:dyDescent="0.4">
      <c r="A74" t="s">
        <v>42</v>
      </c>
      <c r="B74" t="s">
        <v>33</v>
      </c>
      <c r="C74" s="1">
        <v>45454</v>
      </c>
      <c r="D74" s="1">
        <v>45294</v>
      </c>
      <c r="E74" t="s">
        <v>13</v>
      </c>
      <c r="F74">
        <v>29469.74</v>
      </c>
      <c r="G74">
        <v>238</v>
      </c>
      <c r="H74">
        <v>389</v>
      </c>
      <c r="I74">
        <v>109952.92</v>
      </c>
      <c r="J74">
        <v>4313</v>
      </c>
      <c r="K74">
        <v>454396</v>
      </c>
      <c r="L74">
        <f t="shared" si="2"/>
        <v>273.10447937443627</v>
      </c>
      <c r="M74">
        <f t="shared" si="3"/>
        <v>160</v>
      </c>
    </row>
    <row r="75" spans="1:13" x14ac:dyDescent="0.4">
      <c r="A75" t="s">
        <v>81</v>
      </c>
      <c r="B75" t="s">
        <v>28</v>
      </c>
      <c r="C75" s="1">
        <v>45611</v>
      </c>
      <c r="D75" s="1">
        <v>45295</v>
      </c>
      <c r="E75" t="s">
        <v>34</v>
      </c>
      <c r="F75">
        <v>21877.48</v>
      </c>
      <c r="G75">
        <v>340</v>
      </c>
      <c r="H75">
        <v>223</v>
      </c>
      <c r="I75">
        <v>108998.09</v>
      </c>
      <c r="J75">
        <v>7520</v>
      </c>
      <c r="K75">
        <v>64295</v>
      </c>
      <c r="L75">
        <f t="shared" si="2"/>
        <v>398.22049888744044</v>
      </c>
      <c r="M75">
        <f t="shared" si="3"/>
        <v>316</v>
      </c>
    </row>
    <row r="76" spans="1:13" x14ac:dyDescent="0.4">
      <c r="A76" t="s">
        <v>82</v>
      </c>
      <c r="B76" t="s">
        <v>33</v>
      </c>
      <c r="C76" s="1">
        <v>45572</v>
      </c>
      <c r="D76" s="1">
        <v>45297</v>
      </c>
      <c r="E76" t="s">
        <v>26</v>
      </c>
      <c r="F76">
        <v>27853.59</v>
      </c>
      <c r="G76">
        <v>1593</v>
      </c>
      <c r="H76">
        <v>281</v>
      </c>
      <c r="I76">
        <v>84100.83</v>
      </c>
      <c r="J76">
        <v>9089</v>
      </c>
      <c r="K76">
        <v>406854</v>
      </c>
      <c r="L76">
        <f t="shared" si="2"/>
        <v>201.93892421048778</v>
      </c>
      <c r="M76">
        <f t="shared" si="3"/>
        <v>275</v>
      </c>
    </row>
    <row r="77" spans="1:13" x14ac:dyDescent="0.4">
      <c r="A77" t="s">
        <v>68</v>
      </c>
      <c r="B77" t="s">
        <v>36</v>
      </c>
      <c r="C77" s="1">
        <v>45571</v>
      </c>
      <c r="D77" s="1">
        <v>45294</v>
      </c>
      <c r="E77" t="s">
        <v>13</v>
      </c>
      <c r="F77">
        <v>26532.59</v>
      </c>
      <c r="G77">
        <v>1838</v>
      </c>
      <c r="H77">
        <v>441</v>
      </c>
      <c r="I77">
        <v>37986.57</v>
      </c>
      <c r="J77">
        <v>879</v>
      </c>
      <c r="K77">
        <v>197787</v>
      </c>
      <c r="L77">
        <f t="shared" si="2"/>
        <v>43.169475727774788</v>
      </c>
      <c r="M77">
        <f t="shared" si="3"/>
        <v>277</v>
      </c>
    </row>
    <row r="78" spans="1:13" x14ac:dyDescent="0.4">
      <c r="A78" t="s">
        <v>82</v>
      </c>
      <c r="B78" t="s">
        <v>25</v>
      </c>
      <c r="C78" s="1">
        <v>45303</v>
      </c>
      <c r="D78" s="1">
        <v>45302</v>
      </c>
      <c r="E78" t="s">
        <v>13</v>
      </c>
      <c r="F78">
        <v>18159.95</v>
      </c>
      <c r="G78">
        <v>969</v>
      </c>
      <c r="H78">
        <v>20</v>
      </c>
      <c r="I78">
        <v>195604.03</v>
      </c>
      <c r="J78">
        <v>2992</v>
      </c>
      <c r="K78">
        <v>70409</v>
      </c>
      <c r="L78">
        <f t="shared" si="2"/>
        <v>977.11766827551833</v>
      </c>
      <c r="M78">
        <f t="shared" si="3"/>
        <v>1</v>
      </c>
    </row>
    <row r="79" spans="1:13" x14ac:dyDescent="0.4">
      <c r="A79" t="s">
        <v>14</v>
      </c>
      <c r="B79" t="s">
        <v>36</v>
      </c>
      <c r="C79" s="1">
        <v>45565</v>
      </c>
      <c r="D79" s="1">
        <v>45299</v>
      </c>
      <c r="E79" t="s">
        <v>16</v>
      </c>
      <c r="F79">
        <v>34196.199999999997</v>
      </c>
      <c r="G79">
        <v>341</v>
      </c>
      <c r="H79">
        <v>496</v>
      </c>
      <c r="I79">
        <v>171396.85</v>
      </c>
      <c r="J79">
        <v>5634</v>
      </c>
      <c r="K79">
        <v>250720</v>
      </c>
      <c r="L79">
        <f t="shared" si="2"/>
        <v>401.21607079149157</v>
      </c>
      <c r="M79">
        <f t="shared" si="3"/>
        <v>266</v>
      </c>
    </row>
    <row r="80" spans="1:13" x14ac:dyDescent="0.4">
      <c r="A80" t="s">
        <v>83</v>
      </c>
      <c r="B80" t="s">
        <v>21</v>
      </c>
      <c r="C80" s="1">
        <v>45562</v>
      </c>
      <c r="D80" s="1">
        <v>45294</v>
      </c>
      <c r="E80" t="s">
        <v>13</v>
      </c>
      <c r="F80">
        <v>38166.589999999997</v>
      </c>
      <c r="G80">
        <v>805</v>
      </c>
      <c r="H80">
        <v>383</v>
      </c>
      <c r="I80">
        <v>102174.94</v>
      </c>
      <c r="J80">
        <v>3406</v>
      </c>
      <c r="K80">
        <v>477322</v>
      </c>
      <c r="L80">
        <f t="shared" si="2"/>
        <v>167.70780412921354</v>
      </c>
      <c r="M80">
        <f t="shared" si="3"/>
        <v>268</v>
      </c>
    </row>
    <row r="81" spans="1:13" x14ac:dyDescent="0.4">
      <c r="A81" t="s">
        <v>67</v>
      </c>
      <c r="B81" t="s">
        <v>36</v>
      </c>
      <c r="C81" s="1">
        <v>45499</v>
      </c>
      <c r="D81" s="1">
        <v>45294</v>
      </c>
      <c r="E81" t="s">
        <v>13</v>
      </c>
      <c r="F81">
        <v>1716.78</v>
      </c>
      <c r="G81">
        <v>1708</v>
      </c>
      <c r="H81">
        <v>65</v>
      </c>
      <c r="I81">
        <v>122632.86</v>
      </c>
      <c r="J81">
        <v>3002</v>
      </c>
      <c r="K81">
        <v>127839</v>
      </c>
      <c r="L81">
        <f t="shared" si="2"/>
        <v>7043.190158319645</v>
      </c>
      <c r="M81">
        <f t="shared" si="3"/>
        <v>205</v>
      </c>
    </row>
    <row r="82" spans="1:13" x14ac:dyDescent="0.4">
      <c r="A82" t="s">
        <v>71</v>
      </c>
      <c r="B82" t="s">
        <v>21</v>
      </c>
      <c r="C82" s="1">
        <v>45318</v>
      </c>
      <c r="D82" s="1">
        <v>45299</v>
      </c>
      <c r="E82" t="s">
        <v>13</v>
      </c>
      <c r="F82">
        <v>11154.87</v>
      </c>
      <c r="G82">
        <v>1884</v>
      </c>
      <c r="H82">
        <v>58</v>
      </c>
      <c r="I82">
        <v>49315.91</v>
      </c>
      <c r="J82">
        <v>3818</v>
      </c>
      <c r="K82">
        <v>376903</v>
      </c>
      <c r="L82">
        <f t="shared" si="2"/>
        <v>342.10205945923173</v>
      </c>
      <c r="M82">
        <f t="shared" si="3"/>
        <v>19</v>
      </c>
    </row>
    <row r="83" spans="1:13" x14ac:dyDescent="0.4">
      <c r="A83" t="s">
        <v>74</v>
      </c>
      <c r="B83" t="s">
        <v>23</v>
      </c>
      <c r="C83" s="1">
        <v>45363</v>
      </c>
      <c r="D83" s="1">
        <v>45297</v>
      </c>
      <c r="E83" t="s">
        <v>13</v>
      </c>
      <c r="F83">
        <v>35948.559999999998</v>
      </c>
      <c r="G83">
        <v>1356</v>
      </c>
      <c r="H83">
        <v>172</v>
      </c>
      <c r="I83">
        <v>111038.48</v>
      </c>
      <c r="J83">
        <v>121</v>
      </c>
      <c r="K83">
        <v>280301</v>
      </c>
      <c r="L83">
        <f t="shared" si="2"/>
        <v>208.88157967940856</v>
      </c>
      <c r="M83">
        <f t="shared" si="3"/>
        <v>66</v>
      </c>
    </row>
    <row r="84" spans="1:13" x14ac:dyDescent="0.4">
      <c r="A84" t="s">
        <v>84</v>
      </c>
      <c r="B84" t="s">
        <v>15</v>
      </c>
      <c r="C84" s="1">
        <v>45351</v>
      </c>
      <c r="D84" s="1">
        <v>45297</v>
      </c>
      <c r="E84" t="s">
        <v>16</v>
      </c>
      <c r="F84">
        <v>19944.39</v>
      </c>
      <c r="G84">
        <v>1617</v>
      </c>
      <c r="H84">
        <v>30</v>
      </c>
      <c r="I84">
        <v>140519.18</v>
      </c>
      <c r="J84">
        <v>1600</v>
      </c>
      <c r="K84">
        <v>177637</v>
      </c>
      <c r="L84">
        <f t="shared" si="2"/>
        <v>604.5549149409934</v>
      </c>
      <c r="M84">
        <f t="shared" si="3"/>
        <v>54</v>
      </c>
    </row>
    <row r="85" spans="1:13" x14ac:dyDescent="0.4">
      <c r="A85" t="s">
        <v>85</v>
      </c>
      <c r="B85" t="s">
        <v>21</v>
      </c>
      <c r="C85" s="1">
        <v>45436</v>
      </c>
      <c r="D85" s="1">
        <v>45299</v>
      </c>
      <c r="E85" t="s">
        <v>34</v>
      </c>
      <c r="F85">
        <v>33461.71</v>
      </c>
      <c r="G85">
        <v>1919</v>
      </c>
      <c r="H85">
        <v>340</v>
      </c>
      <c r="I85">
        <v>105457.57</v>
      </c>
      <c r="J85">
        <v>9134</v>
      </c>
      <c r="K85">
        <v>202068</v>
      </c>
      <c r="L85">
        <f t="shared" si="2"/>
        <v>215.15893838061479</v>
      </c>
      <c r="M85">
        <f t="shared" si="3"/>
        <v>137</v>
      </c>
    </row>
    <row r="86" spans="1:13" x14ac:dyDescent="0.4">
      <c r="A86" t="s">
        <v>60</v>
      </c>
      <c r="B86" t="s">
        <v>28</v>
      </c>
      <c r="C86" s="1">
        <v>45384</v>
      </c>
      <c r="D86" s="1">
        <v>45300</v>
      </c>
      <c r="E86" t="s">
        <v>34</v>
      </c>
      <c r="F86">
        <v>18001.169999999998</v>
      </c>
      <c r="G86">
        <v>426</v>
      </c>
      <c r="H86">
        <v>480</v>
      </c>
      <c r="I86">
        <v>198105.61</v>
      </c>
      <c r="J86">
        <v>3741</v>
      </c>
      <c r="K86">
        <v>66888</v>
      </c>
      <c r="L86">
        <f t="shared" si="2"/>
        <v>1000.5151887349547</v>
      </c>
      <c r="M86">
        <f t="shared" si="3"/>
        <v>84</v>
      </c>
    </row>
    <row r="87" spans="1:13" x14ac:dyDescent="0.4">
      <c r="A87" t="s">
        <v>35</v>
      </c>
      <c r="B87" t="s">
        <v>54</v>
      </c>
      <c r="C87" s="1">
        <v>45600</v>
      </c>
      <c r="D87" s="1">
        <v>45302</v>
      </c>
      <c r="E87" t="s">
        <v>26</v>
      </c>
      <c r="F87">
        <v>20147</v>
      </c>
      <c r="G87">
        <v>1731</v>
      </c>
      <c r="H87">
        <v>69</v>
      </c>
      <c r="I87">
        <v>124211.62</v>
      </c>
      <c r="J87">
        <v>5312</v>
      </c>
      <c r="K87">
        <v>188167</v>
      </c>
      <c r="L87">
        <f t="shared" si="2"/>
        <v>516.52662927483004</v>
      </c>
      <c r="M87">
        <f t="shared" si="3"/>
        <v>298</v>
      </c>
    </row>
    <row r="88" spans="1:13" x14ac:dyDescent="0.4">
      <c r="A88" t="s">
        <v>69</v>
      </c>
      <c r="B88" t="s">
        <v>33</v>
      </c>
      <c r="C88" s="1">
        <v>45299</v>
      </c>
      <c r="D88" s="1">
        <v>45298</v>
      </c>
      <c r="E88" t="s">
        <v>13</v>
      </c>
      <c r="F88">
        <v>8775.26</v>
      </c>
      <c r="G88">
        <v>1229</v>
      </c>
      <c r="H88">
        <v>104</v>
      </c>
      <c r="I88">
        <v>77339.87</v>
      </c>
      <c r="J88">
        <v>291</v>
      </c>
      <c r="K88">
        <v>328091</v>
      </c>
      <c r="L88">
        <f t="shared" si="2"/>
        <v>781.33992611045142</v>
      </c>
      <c r="M88">
        <f t="shared" si="3"/>
        <v>1</v>
      </c>
    </row>
    <row r="89" spans="1:13" x14ac:dyDescent="0.4">
      <c r="A89" t="s">
        <v>86</v>
      </c>
      <c r="B89" t="s">
        <v>31</v>
      </c>
      <c r="C89" s="1">
        <v>45370</v>
      </c>
      <c r="D89" s="1">
        <v>45302</v>
      </c>
      <c r="E89" t="s">
        <v>16</v>
      </c>
      <c r="F89">
        <v>13653.32</v>
      </c>
      <c r="G89">
        <v>557</v>
      </c>
      <c r="H89">
        <v>78</v>
      </c>
      <c r="I89">
        <v>155569.65</v>
      </c>
      <c r="J89">
        <v>8687</v>
      </c>
      <c r="K89">
        <v>481338</v>
      </c>
      <c r="L89">
        <f t="shared" si="2"/>
        <v>1039.4272601828711</v>
      </c>
      <c r="M89">
        <f t="shared" si="3"/>
        <v>68</v>
      </c>
    </row>
    <row r="90" spans="1:13" x14ac:dyDescent="0.4">
      <c r="A90" t="s">
        <v>87</v>
      </c>
      <c r="B90" t="s">
        <v>54</v>
      </c>
      <c r="C90" s="1">
        <v>45318</v>
      </c>
      <c r="D90" s="1">
        <v>45297</v>
      </c>
      <c r="E90" t="s">
        <v>26</v>
      </c>
      <c r="F90">
        <v>30665.18</v>
      </c>
      <c r="G90">
        <v>1486</v>
      </c>
      <c r="H90">
        <v>196</v>
      </c>
      <c r="I90">
        <v>38240.19</v>
      </c>
      <c r="J90">
        <v>7274</v>
      </c>
      <c r="K90">
        <v>334024</v>
      </c>
      <c r="L90">
        <f t="shared" si="2"/>
        <v>24.7023170905894</v>
      </c>
      <c r="M90">
        <f t="shared" si="3"/>
        <v>21</v>
      </c>
    </row>
    <row r="91" spans="1:13" x14ac:dyDescent="0.4">
      <c r="A91" t="s">
        <v>17</v>
      </c>
      <c r="B91" t="s">
        <v>40</v>
      </c>
      <c r="C91" s="1">
        <v>45465</v>
      </c>
      <c r="D91" s="1">
        <v>45295</v>
      </c>
      <c r="E91" t="s">
        <v>26</v>
      </c>
      <c r="F91">
        <v>22224.99</v>
      </c>
      <c r="G91">
        <v>577</v>
      </c>
      <c r="H91">
        <v>175</v>
      </c>
      <c r="I91">
        <v>79980.58</v>
      </c>
      <c r="J91">
        <v>5214</v>
      </c>
      <c r="K91">
        <v>5507</v>
      </c>
      <c r="L91">
        <f t="shared" si="2"/>
        <v>259.86778846694642</v>
      </c>
      <c r="M91">
        <f t="shared" si="3"/>
        <v>170</v>
      </c>
    </row>
    <row r="92" spans="1:13" x14ac:dyDescent="0.4">
      <c r="A92" t="s">
        <v>19</v>
      </c>
      <c r="B92" t="s">
        <v>15</v>
      </c>
      <c r="C92" s="1">
        <v>45341</v>
      </c>
      <c r="D92" s="1">
        <v>45296</v>
      </c>
      <c r="E92" t="s">
        <v>34</v>
      </c>
      <c r="F92">
        <v>38940.83</v>
      </c>
      <c r="G92">
        <v>1428</v>
      </c>
      <c r="H92">
        <v>277</v>
      </c>
      <c r="I92">
        <v>72657</v>
      </c>
      <c r="J92">
        <v>4762</v>
      </c>
      <c r="K92">
        <v>366278</v>
      </c>
      <c r="L92">
        <f t="shared" si="2"/>
        <v>86.583080021663633</v>
      </c>
      <c r="M92">
        <f t="shared" si="3"/>
        <v>45</v>
      </c>
    </row>
    <row r="93" spans="1:13" x14ac:dyDescent="0.4">
      <c r="A93" t="s">
        <v>77</v>
      </c>
      <c r="B93" t="s">
        <v>36</v>
      </c>
      <c r="C93" s="1">
        <v>45490</v>
      </c>
      <c r="D93" s="1">
        <v>45294</v>
      </c>
      <c r="E93" t="s">
        <v>16</v>
      </c>
      <c r="F93">
        <v>42776.66</v>
      </c>
      <c r="G93">
        <v>608</v>
      </c>
      <c r="H93">
        <v>381</v>
      </c>
      <c r="I93">
        <v>89202.38</v>
      </c>
      <c r="J93">
        <v>4426</v>
      </c>
      <c r="K93">
        <v>44988</v>
      </c>
      <c r="L93">
        <f t="shared" si="2"/>
        <v>108.53049303054516</v>
      </c>
      <c r="M93">
        <f t="shared" si="3"/>
        <v>196</v>
      </c>
    </row>
    <row r="94" spans="1:13" x14ac:dyDescent="0.4">
      <c r="A94" t="s">
        <v>27</v>
      </c>
      <c r="B94" t="s">
        <v>43</v>
      </c>
      <c r="C94" s="1">
        <v>45640</v>
      </c>
      <c r="D94" s="1">
        <v>45299</v>
      </c>
      <c r="E94" t="s">
        <v>16</v>
      </c>
      <c r="F94">
        <v>27540.67</v>
      </c>
      <c r="G94">
        <v>1836</v>
      </c>
      <c r="H94">
        <v>191</v>
      </c>
      <c r="I94">
        <v>157447.07</v>
      </c>
      <c r="J94">
        <v>9165</v>
      </c>
      <c r="K94">
        <v>361565</v>
      </c>
      <c r="L94">
        <f t="shared" si="2"/>
        <v>471.68932346235596</v>
      </c>
      <c r="M94">
        <f t="shared" si="3"/>
        <v>341</v>
      </c>
    </row>
    <row r="95" spans="1:13" x14ac:dyDescent="0.4">
      <c r="A95" t="s">
        <v>60</v>
      </c>
      <c r="B95" t="s">
        <v>40</v>
      </c>
      <c r="C95" s="1">
        <v>45472</v>
      </c>
      <c r="D95" s="1">
        <v>45299</v>
      </c>
      <c r="E95" t="s">
        <v>16</v>
      </c>
      <c r="F95">
        <v>38155.1</v>
      </c>
      <c r="G95">
        <v>1260</v>
      </c>
      <c r="H95">
        <v>27</v>
      </c>
      <c r="I95">
        <v>99413.74</v>
      </c>
      <c r="J95">
        <v>4435</v>
      </c>
      <c r="K95">
        <v>148937</v>
      </c>
      <c r="L95">
        <f t="shared" si="2"/>
        <v>160.55164316172676</v>
      </c>
      <c r="M95">
        <f t="shared" si="3"/>
        <v>173</v>
      </c>
    </row>
    <row r="96" spans="1:13" x14ac:dyDescent="0.4">
      <c r="A96" t="s">
        <v>88</v>
      </c>
      <c r="B96" t="s">
        <v>25</v>
      </c>
      <c r="C96" s="1">
        <v>45315</v>
      </c>
      <c r="D96" s="1">
        <v>45294</v>
      </c>
      <c r="E96" t="s">
        <v>34</v>
      </c>
      <c r="F96">
        <v>16038.32</v>
      </c>
      <c r="G96">
        <v>1104</v>
      </c>
      <c r="H96">
        <v>395</v>
      </c>
      <c r="I96">
        <v>159832.82</v>
      </c>
      <c r="J96">
        <v>8381</v>
      </c>
      <c r="K96">
        <v>365735</v>
      </c>
      <c r="L96">
        <f t="shared" si="2"/>
        <v>896.56834381655926</v>
      </c>
      <c r="M96">
        <f t="shared" si="3"/>
        <v>21</v>
      </c>
    </row>
    <row r="97" spans="1:13" x14ac:dyDescent="0.4">
      <c r="A97" t="s">
        <v>89</v>
      </c>
      <c r="B97" t="s">
        <v>21</v>
      </c>
      <c r="C97" s="1">
        <v>45607</v>
      </c>
      <c r="D97" s="1">
        <v>45296</v>
      </c>
      <c r="E97" t="s">
        <v>34</v>
      </c>
      <c r="F97">
        <v>21333.59</v>
      </c>
      <c r="G97">
        <v>309</v>
      </c>
      <c r="H97">
        <v>432</v>
      </c>
      <c r="I97">
        <v>117415.34</v>
      </c>
      <c r="J97">
        <v>8748</v>
      </c>
      <c r="K97">
        <v>392758</v>
      </c>
      <c r="L97">
        <f t="shared" si="2"/>
        <v>450.37778451728008</v>
      </c>
      <c r="M97">
        <f t="shared" si="3"/>
        <v>311</v>
      </c>
    </row>
    <row r="98" spans="1:13" x14ac:dyDescent="0.4">
      <c r="A98" t="s">
        <v>59</v>
      </c>
      <c r="B98" t="s">
        <v>33</v>
      </c>
      <c r="C98" s="1">
        <v>45337</v>
      </c>
      <c r="D98" s="1">
        <v>45298</v>
      </c>
      <c r="E98" t="s">
        <v>34</v>
      </c>
      <c r="F98">
        <v>35926.11</v>
      </c>
      <c r="G98">
        <v>470</v>
      </c>
      <c r="H98">
        <v>185</v>
      </c>
      <c r="I98">
        <v>71703.539999999994</v>
      </c>
      <c r="J98">
        <v>9296</v>
      </c>
      <c r="K98">
        <v>28213</v>
      </c>
      <c r="L98">
        <f t="shared" si="2"/>
        <v>99.586150574053221</v>
      </c>
      <c r="M98">
        <f t="shared" si="3"/>
        <v>39</v>
      </c>
    </row>
    <row r="99" spans="1:13" x14ac:dyDescent="0.4">
      <c r="A99" t="s">
        <v>90</v>
      </c>
      <c r="B99" t="s">
        <v>12</v>
      </c>
      <c r="C99" s="1">
        <v>45306</v>
      </c>
      <c r="D99" s="1">
        <v>45296</v>
      </c>
      <c r="E99" t="s">
        <v>34</v>
      </c>
      <c r="F99">
        <v>19924.39</v>
      </c>
      <c r="G99">
        <v>1602</v>
      </c>
      <c r="H99">
        <v>331</v>
      </c>
      <c r="I99">
        <v>162945.85999999999</v>
      </c>
      <c r="J99">
        <v>5594</v>
      </c>
      <c r="K99">
        <v>450170</v>
      </c>
      <c r="L99">
        <f t="shared" si="2"/>
        <v>717.82107256483118</v>
      </c>
      <c r="M99">
        <f t="shared" si="3"/>
        <v>10</v>
      </c>
    </row>
    <row r="100" spans="1:13" x14ac:dyDescent="0.4">
      <c r="A100" t="s">
        <v>41</v>
      </c>
      <c r="B100" t="s">
        <v>18</v>
      </c>
      <c r="C100" s="1">
        <v>45444</v>
      </c>
      <c r="D100" s="1">
        <v>45296</v>
      </c>
      <c r="E100" t="s">
        <v>34</v>
      </c>
      <c r="F100">
        <v>29836.74</v>
      </c>
      <c r="G100">
        <v>1624</v>
      </c>
      <c r="H100">
        <v>112</v>
      </c>
      <c r="I100">
        <v>51466.49</v>
      </c>
      <c r="J100">
        <v>8636</v>
      </c>
      <c r="K100">
        <v>58450</v>
      </c>
      <c r="L100">
        <f t="shared" si="2"/>
        <v>72.493677258306349</v>
      </c>
      <c r="M100">
        <f t="shared" si="3"/>
        <v>148</v>
      </c>
    </row>
    <row r="101" spans="1:13" x14ac:dyDescent="0.4">
      <c r="A101" t="s">
        <v>37</v>
      </c>
      <c r="B101" t="s">
        <v>28</v>
      </c>
      <c r="C101" s="1">
        <v>45513</v>
      </c>
      <c r="D101" s="1">
        <v>45296</v>
      </c>
      <c r="E101" t="s">
        <v>13</v>
      </c>
      <c r="F101">
        <v>10083.27</v>
      </c>
      <c r="G101">
        <v>353</v>
      </c>
      <c r="H101">
        <v>339</v>
      </c>
      <c r="I101">
        <v>48754.68</v>
      </c>
      <c r="J101">
        <v>2811</v>
      </c>
      <c r="K101">
        <v>398693</v>
      </c>
      <c r="L101">
        <f t="shared" si="2"/>
        <v>383.52052459172472</v>
      </c>
      <c r="M101">
        <f t="shared" si="3"/>
        <v>217</v>
      </c>
    </row>
    <row r="102" spans="1:13" x14ac:dyDescent="0.4">
      <c r="A102" t="s">
        <v>91</v>
      </c>
      <c r="B102" t="s">
        <v>31</v>
      </c>
      <c r="C102" s="1">
        <v>45497</v>
      </c>
      <c r="D102" s="1">
        <v>45298</v>
      </c>
      <c r="E102" t="s">
        <v>13</v>
      </c>
      <c r="F102">
        <v>30388.79</v>
      </c>
      <c r="G102">
        <v>991</v>
      </c>
      <c r="H102">
        <v>166</v>
      </c>
      <c r="I102">
        <v>103378.07</v>
      </c>
      <c r="J102">
        <v>7695</v>
      </c>
      <c r="K102">
        <v>63222</v>
      </c>
      <c r="L102">
        <f t="shared" si="2"/>
        <v>240.18488396543592</v>
      </c>
      <c r="M102">
        <f t="shared" si="3"/>
        <v>199</v>
      </c>
    </row>
    <row r="103" spans="1:13" x14ac:dyDescent="0.4">
      <c r="A103" t="s">
        <v>52</v>
      </c>
      <c r="B103" t="s">
        <v>51</v>
      </c>
      <c r="C103" s="1">
        <v>45564</v>
      </c>
      <c r="D103" s="1">
        <v>45298</v>
      </c>
      <c r="E103" t="s">
        <v>16</v>
      </c>
      <c r="F103">
        <v>43214.17</v>
      </c>
      <c r="G103">
        <v>1112</v>
      </c>
      <c r="H103">
        <v>306</v>
      </c>
      <c r="I103">
        <v>55865.599999999999</v>
      </c>
      <c r="J103">
        <v>6373</v>
      </c>
      <c r="K103">
        <v>400749</v>
      </c>
      <c r="L103">
        <f t="shared" si="2"/>
        <v>29.276114755877529</v>
      </c>
      <c r="M103">
        <f t="shared" si="3"/>
        <v>266</v>
      </c>
    </row>
    <row r="104" spans="1:13" x14ac:dyDescent="0.4">
      <c r="A104" t="s">
        <v>47</v>
      </c>
      <c r="B104" t="s">
        <v>28</v>
      </c>
      <c r="C104" s="1">
        <v>45527</v>
      </c>
      <c r="D104" s="1">
        <v>45297</v>
      </c>
      <c r="E104" t="s">
        <v>26</v>
      </c>
      <c r="F104">
        <v>43563.34</v>
      </c>
      <c r="G104">
        <v>1562</v>
      </c>
      <c r="H104">
        <v>497</v>
      </c>
      <c r="I104">
        <v>6771.97</v>
      </c>
      <c r="J104">
        <v>6384</v>
      </c>
      <c r="K104">
        <v>443611</v>
      </c>
      <c r="L104">
        <f t="shared" si="2"/>
        <v>-84.454887986091052</v>
      </c>
      <c r="M104">
        <f t="shared" si="3"/>
        <v>230</v>
      </c>
    </row>
    <row r="105" spans="1:13" x14ac:dyDescent="0.4">
      <c r="A105" t="s">
        <v>92</v>
      </c>
      <c r="B105" t="s">
        <v>23</v>
      </c>
      <c r="C105" s="1">
        <v>45631</v>
      </c>
      <c r="D105" s="1">
        <v>45294</v>
      </c>
      <c r="E105" t="s">
        <v>16</v>
      </c>
      <c r="F105">
        <v>36492.879999999997</v>
      </c>
      <c r="G105">
        <v>1717</v>
      </c>
      <c r="H105">
        <v>456</v>
      </c>
      <c r="I105">
        <v>131418.01999999999</v>
      </c>
      <c r="J105">
        <v>9408</v>
      </c>
      <c r="K105">
        <v>155468</v>
      </c>
      <c r="L105">
        <f t="shared" si="2"/>
        <v>260.1196178542225</v>
      </c>
      <c r="M105">
        <f t="shared" si="3"/>
        <v>337</v>
      </c>
    </row>
    <row r="106" spans="1:13" x14ac:dyDescent="0.4">
      <c r="A106" t="s">
        <v>93</v>
      </c>
      <c r="B106" t="s">
        <v>12</v>
      </c>
      <c r="C106" s="1">
        <v>45519</v>
      </c>
      <c r="D106" s="1">
        <v>45298</v>
      </c>
      <c r="E106" t="s">
        <v>26</v>
      </c>
      <c r="F106">
        <v>37541.919999999998</v>
      </c>
      <c r="G106">
        <v>591</v>
      </c>
      <c r="H106">
        <v>210</v>
      </c>
      <c r="I106">
        <v>104663.3</v>
      </c>
      <c r="J106">
        <v>8917</v>
      </c>
      <c r="K106">
        <v>13755</v>
      </c>
      <c r="L106">
        <f t="shared" si="2"/>
        <v>178.79048274568805</v>
      </c>
      <c r="M106">
        <f t="shared" si="3"/>
        <v>221</v>
      </c>
    </row>
    <row r="107" spans="1:13" x14ac:dyDescent="0.4">
      <c r="A107" t="s">
        <v>17</v>
      </c>
      <c r="B107" t="s">
        <v>43</v>
      </c>
      <c r="C107" s="1">
        <v>45300</v>
      </c>
      <c r="D107" s="1">
        <v>45298</v>
      </c>
      <c r="E107" t="s">
        <v>34</v>
      </c>
      <c r="F107">
        <v>28338.44</v>
      </c>
      <c r="G107">
        <v>1743</v>
      </c>
      <c r="H107">
        <v>82</v>
      </c>
      <c r="I107">
        <v>91875.97</v>
      </c>
      <c r="J107">
        <v>4094</v>
      </c>
      <c r="K107">
        <v>132937</v>
      </c>
      <c r="L107">
        <f t="shared" si="2"/>
        <v>224.20969538196175</v>
      </c>
      <c r="M107">
        <f t="shared" si="3"/>
        <v>2</v>
      </c>
    </row>
    <row r="108" spans="1:13" x14ac:dyDescent="0.4">
      <c r="A108" t="s">
        <v>94</v>
      </c>
      <c r="B108" t="s">
        <v>18</v>
      </c>
      <c r="C108" s="1">
        <v>45457</v>
      </c>
      <c r="D108" s="1">
        <v>45297</v>
      </c>
      <c r="E108" t="s">
        <v>26</v>
      </c>
      <c r="F108">
        <v>29648.74</v>
      </c>
      <c r="G108">
        <v>1351</v>
      </c>
      <c r="H108">
        <v>20</v>
      </c>
      <c r="I108">
        <v>193558.86</v>
      </c>
      <c r="J108">
        <v>1778</v>
      </c>
      <c r="K108">
        <v>143245</v>
      </c>
      <c r="L108">
        <f t="shared" si="2"/>
        <v>552.8400869649098</v>
      </c>
      <c r="M108">
        <f t="shared" si="3"/>
        <v>160</v>
      </c>
    </row>
    <row r="109" spans="1:13" x14ac:dyDescent="0.4">
      <c r="A109" t="s">
        <v>95</v>
      </c>
      <c r="B109" t="s">
        <v>12</v>
      </c>
      <c r="C109" s="1">
        <v>45610</v>
      </c>
      <c r="D109" s="1">
        <v>45299</v>
      </c>
      <c r="E109" t="s">
        <v>16</v>
      </c>
      <c r="F109">
        <v>7548.88</v>
      </c>
      <c r="G109">
        <v>1276</v>
      </c>
      <c r="H109">
        <v>331</v>
      </c>
      <c r="I109">
        <v>116383.84</v>
      </c>
      <c r="J109">
        <v>8514</v>
      </c>
      <c r="K109">
        <v>190977</v>
      </c>
      <c r="L109">
        <f t="shared" si="2"/>
        <v>1441.7365225040005</v>
      </c>
      <c r="M109">
        <f t="shared" si="3"/>
        <v>311</v>
      </c>
    </row>
    <row r="110" spans="1:13" x14ac:dyDescent="0.4">
      <c r="A110" t="s">
        <v>52</v>
      </c>
      <c r="B110" t="s">
        <v>36</v>
      </c>
      <c r="C110" s="1">
        <v>45505</v>
      </c>
      <c r="D110" s="1">
        <v>45297</v>
      </c>
      <c r="E110" t="s">
        <v>16</v>
      </c>
      <c r="F110">
        <v>22749.1</v>
      </c>
      <c r="G110">
        <v>1139</v>
      </c>
      <c r="H110">
        <v>100</v>
      </c>
      <c r="I110">
        <v>173369.16</v>
      </c>
      <c r="J110">
        <v>843</v>
      </c>
      <c r="K110">
        <v>170169</v>
      </c>
      <c r="L110">
        <f t="shared" si="2"/>
        <v>662.09239046819437</v>
      </c>
      <c r="M110">
        <f t="shared" si="3"/>
        <v>208</v>
      </c>
    </row>
    <row r="111" spans="1:13" x14ac:dyDescent="0.4">
      <c r="A111" t="s">
        <v>73</v>
      </c>
      <c r="B111" t="s">
        <v>21</v>
      </c>
      <c r="C111" s="1">
        <v>45408</v>
      </c>
      <c r="D111" s="1">
        <v>45300</v>
      </c>
      <c r="E111" t="s">
        <v>26</v>
      </c>
      <c r="F111">
        <v>23088.04</v>
      </c>
      <c r="G111">
        <v>157</v>
      </c>
      <c r="H111">
        <v>151</v>
      </c>
      <c r="I111">
        <v>32192.799999999999</v>
      </c>
      <c r="J111">
        <v>562</v>
      </c>
      <c r="K111">
        <v>296515</v>
      </c>
      <c r="L111">
        <f t="shared" si="2"/>
        <v>39.434962863889695</v>
      </c>
      <c r="M111">
        <f t="shared" si="3"/>
        <v>108</v>
      </c>
    </row>
    <row r="112" spans="1:13" x14ac:dyDescent="0.4">
      <c r="A112" t="s">
        <v>70</v>
      </c>
      <c r="B112" t="s">
        <v>15</v>
      </c>
      <c r="C112" s="1">
        <v>45635</v>
      </c>
      <c r="D112" s="1">
        <v>45300</v>
      </c>
      <c r="E112" t="s">
        <v>13</v>
      </c>
      <c r="F112">
        <v>47966.39</v>
      </c>
      <c r="G112">
        <v>317</v>
      </c>
      <c r="H112">
        <v>6</v>
      </c>
      <c r="I112">
        <v>115995.26</v>
      </c>
      <c r="J112">
        <v>1668</v>
      </c>
      <c r="K112">
        <v>236132</v>
      </c>
      <c r="L112">
        <f t="shared" si="2"/>
        <v>141.82612033134032</v>
      </c>
      <c r="M112">
        <f t="shared" si="3"/>
        <v>335</v>
      </c>
    </row>
    <row r="113" spans="1:13" x14ac:dyDescent="0.4">
      <c r="A113" t="s">
        <v>32</v>
      </c>
      <c r="B113" t="s">
        <v>31</v>
      </c>
      <c r="C113" s="1">
        <v>45363</v>
      </c>
      <c r="D113" s="1">
        <v>45295</v>
      </c>
      <c r="E113" t="s">
        <v>34</v>
      </c>
      <c r="F113">
        <v>22123.26</v>
      </c>
      <c r="G113">
        <v>271</v>
      </c>
      <c r="H113">
        <v>14</v>
      </c>
      <c r="I113">
        <v>174256.03</v>
      </c>
      <c r="J113">
        <v>1836</v>
      </c>
      <c r="K113">
        <v>405470</v>
      </c>
      <c r="L113">
        <f t="shared" si="2"/>
        <v>687.65982047853709</v>
      </c>
      <c r="M113">
        <f t="shared" si="3"/>
        <v>68</v>
      </c>
    </row>
    <row r="114" spans="1:13" x14ac:dyDescent="0.4">
      <c r="A114" t="s">
        <v>96</v>
      </c>
      <c r="B114" t="s">
        <v>30</v>
      </c>
      <c r="C114" s="1">
        <v>45355</v>
      </c>
      <c r="D114" s="1">
        <v>45296</v>
      </c>
      <c r="E114" t="s">
        <v>34</v>
      </c>
      <c r="F114">
        <v>27917.79</v>
      </c>
      <c r="G114">
        <v>1877</v>
      </c>
      <c r="H114">
        <v>438</v>
      </c>
      <c r="I114">
        <v>118705.62</v>
      </c>
      <c r="J114">
        <v>8003</v>
      </c>
      <c r="K114">
        <v>136090</v>
      </c>
      <c r="L114">
        <f t="shared" si="2"/>
        <v>325.19705177236443</v>
      </c>
      <c r="M114">
        <f t="shared" si="3"/>
        <v>59</v>
      </c>
    </row>
    <row r="115" spans="1:13" x14ac:dyDescent="0.4">
      <c r="A115" t="s">
        <v>75</v>
      </c>
      <c r="B115" t="s">
        <v>21</v>
      </c>
      <c r="C115" s="1">
        <v>45496</v>
      </c>
      <c r="D115" s="1">
        <v>45294</v>
      </c>
      <c r="E115" t="s">
        <v>16</v>
      </c>
      <c r="F115">
        <v>27129.32</v>
      </c>
      <c r="G115">
        <v>1603</v>
      </c>
      <c r="H115">
        <v>129</v>
      </c>
      <c r="I115">
        <v>145012.76</v>
      </c>
      <c r="J115">
        <v>7102</v>
      </c>
      <c r="K115">
        <v>268336</v>
      </c>
      <c r="L115">
        <f t="shared" si="2"/>
        <v>434.52412371559632</v>
      </c>
      <c r="M115">
        <f t="shared" si="3"/>
        <v>202</v>
      </c>
    </row>
    <row r="116" spans="1:13" x14ac:dyDescent="0.4">
      <c r="A116" t="s">
        <v>32</v>
      </c>
      <c r="B116" t="s">
        <v>30</v>
      </c>
      <c r="C116" s="1">
        <v>45500</v>
      </c>
      <c r="D116" s="1">
        <v>45301</v>
      </c>
      <c r="E116" t="s">
        <v>13</v>
      </c>
      <c r="F116">
        <v>32201.32</v>
      </c>
      <c r="G116">
        <v>1163</v>
      </c>
      <c r="H116">
        <v>85</v>
      </c>
      <c r="I116">
        <v>77548.5</v>
      </c>
      <c r="J116">
        <v>8956</v>
      </c>
      <c r="K116">
        <v>265159</v>
      </c>
      <c r="L116">
        <f t="shared" si="2"/>
        <v>140.82397864435373</v>
      </c>
      <c r="M116">
        <f t="shared" si="3"/>
        <v>199</v>
      </c>
    </row>
    <row r="117" spans="1:13" x14ac:dyDescent="0.4">
      <c r="A117" t="s">
        <v>83</v>
      </c>
      <c r="B117" t="s">
        <v>40</v>
      </c>
      <c r="C117" s="1">
        <v>45363</v>
      </c>
      <c r="D117" s="1">
        <v>45302</v>
      </c>
      <c r="E117" t="s">
        <v>26</v>
      </c>
      <c r="F117">
        <v>37663.410000000003</v>
      </c>
      <c r="G117">
        <v>742</v>
      </c>
      <c r="H117">
        <v>489</v>
      </c>
      <c r="I117">
        <v>23027.66</v>
      </c>
      <c r="J117">
        <v>1456</v>
      </c>
      <c r="K117">
        <v>371298</v>
      </c>
      <c r="L117">
        <f t="shared" si="2"/>
        <v>-38.859333236156793</v>
      </c>
      <c r="M117">
        <f t="shared" si="3"/>
        <v>61</v>
      </c>
    </row>
    <row r="118" spans="1:13" x14ac:dyDescent="0.4">
      <c r="A118" t="s">
        <v>97</v>
      </c>
      <c r="B118" t="s">
        <v>15</v>
      </c>
      <c r="C118" s="1">
        <v>45568</v>
      </c>
      <c r="D118" s="1">
        <v>45297</v>
      </c>
      <c r="E118" t="s">
        <v>34</v>
      </c>
      <c r="F118">
        <v>12027.05</v>
      </c>
      <c r="G118">
        <v>304</v>
      </c>
      <c r="H118">
        <v>144</v>
      </c>
      <c r="I118">
        <v>94290.559999999998</v>
      </c>
      <c r="J118">
        <v>1114</v>
      </c>
      <c r="K118">
        <v>200988</v>
      </c>
      <c r="L118">
        <f t="shared" si="2"/>
        <v>683.98742833862002</v>
      </c>
      <c r="M118">
        <f t="shared" si="3"/>
        <v>271</v>
      </c>
    </row>
    <row r="119" spans="1:13" x14ac:dyDescent="0.4">
      <c r="A119" t="s">
        <v>78</v>
      </c>
      <c r="B119" t="s">
        <v>18</v>
      </c>
      <c r="C119" s="1">
        <v>45565</v>
      </c>
      <c r="D119" s="1">
        <v>45299</v>
      </c>
      <c r="E119" t="s">
        <v>13</v>
      </c>
      <c r="F119">
        <v>26907.5</v>
      </c>
      <c r="G119">
        <v>1528</v>
      </c>
      <c r="H119">
        <v>330</v>
      </c>
      <c r="I119">
        <v>81923.48</v>
      </c>
      <c r="J119">
        <v>1154</v>
      </c>
      <c r="K119">
        <v>29343</v>
      </c>
      <c r="L119">
        <f t="shared" si="2"/>
        <v>204.46336523274181</v>
      </c>
      <c r="M119">
        <f t="shared" si="3"/>
        <v>266</v>
      </c>
    </row>
    <row r="120" spans="1:13" x14ac:dyDescent="0.4">
      <c r="A120" t="s">
        <v>75</v>
      </c>
      <c r="B120" t="s">
        <v>33</v>
      </c>
      <c r="C120" s="1">
        <v>45611</v>
      </c>
      <c r="D120" s="1">
        <v>45302</v>
      </c>
      <c r="E120" t="s">
        <v>34</v>
      </c>
      <c r="F120">
        <v>41469.97</v>
      </c>
      <c r="G120">
        <v>302</v>
      </c>
      <c r="H120">
        <v>154</v>
      </c>
      <c r="I120">
        <v>174076.74</v>
      </c>
      <c r="J120">
        <v>1864</v>
      </c>
      <c r="K120">
        <v>332450</v>
      </c>
      <c r="L120">
        <f t="shared" si="2"/>
        <v>319.76577267839832</v>
      </c>
      <c r="M120">
        <f t="shared" si="3"/>
        <v>309</v>
      </c>
    </row>
    <row r="121" spans="1:13" x14ac:dyDescent="0.4">
      <c r="A121" t="s">
        <v>76</v>
      </c>
      <c r="B121" t="s">
        <v>51</v>
      </c>
      <c r="C121" s="1">
        <v>45629</v>
      </c>
      <c r="D121" s="1">
        <v>45299</v>
      </c>
      <c r="E121" t="s">
        <v>13</v>
      </c>
      <c r="F121">
        <v>23692.62</v>
      </c>
      <c r="G121">
        <v>306</v>
      </c>
      <c r="H121">
        <v>292</v>
      </c>
      <c r="I121">
        <v>52579.08</v>
      </c>
      <c r="J121">
        <v>6109</v>
      </c>
      <c r="K121">
        <v>6829</v>
      </c>
      <c r="L121">
        <f t="shared" si="2"/>
        <v>121.92176297935815</v>
      </c>
      <c r="M121">
        <f t="shared" si="3"/>
        <v>330</v>
      </c>
    </row>
    <row r="122" spans="1:13" x14ac:dyDescent="0.4">
      <c r="A122" t="s">
        <v>76</v>
      </c>
      <c r="B122" t="s">
        <v>25</v>
      </c>
      <c r="C122" s="1">
        <v>45386</v>
      </c>
      <c r="D122" s="1">
        <v>45302</v>
      </c>
      <c r="E122" t="s">
        <v>13</v>
      </c>
      <c r="F122">
        <v>14644.42</v>
      </c>
      <c r="G122">
        <v>432</v>
      </c>
      <c r="H122">
        <v>365</v>
      </c>
      <c r="I122">
        <v>193513.17</v>
      </c>
      <c r="J122">
        <v>4558</v>
      </c>
      <c r="K122">
        <v>35381</v>
      </c>
      <c r="L122">
        <f t="shared" si="2"/>
        <v>1221.4123195046304</v>
      </c>
      <c r="M122">
        <f t="shared" si="3"/>
        <v>84</v>
      </c>
    </row>
    <row r="123" spans="1:13" x14ac:dyDescent="0.4">
      <c r="A123" t="s">
        <v>48</v>
      </c>
      <c r="B123" t="s">
        <v>54</v>
      </c>
      <c r="C123" s="1">
        <v>45457</v>
      </c>
      <c r="D123" s="1">
        <v>45297</v>
      </c>
      <c r="E123" t="s">
        <v>16</v>
      </c>
      <c r="F123">
        <v>33080.74</v>
      </c>
      <c r="G123">
        <v>491</v>
      </c>
      <c r="H123">
        <v>344</v>
      </c>
      <c r="I123">
        <v>191836.93</v>
      </c>
      <c r="J123">
        <v>9704</v>
      </c>
      <c r="K123">
        <v>374595</v>
      </c>
      <c r="L123">
        <f t="shared" si="2"/>
        <v>479.90519559115069</v>
      </c>
      <c r="M123">
        <f t="shared" si="3"/>
        <v>160</v>
      </c>
    </row>
    <row r="124" spans="1:13" x14ac:dyDescent="0.4">
      <c r="A124" t="s">
        <v>98</v>
      </c>
      <c r="B124" t="s">
        <v>15</v>
      </c>
      <c r="C124" s="1">
        <v>45323</v>
      </c>
      <c r="D124" s="1">
        <v>45301</v>
      </c>
      <c r="E124" t="s">
        <v>34</v>
      </c>
      <c r="F124">
        <v>41364.6</v>
      </c>
      <c r="G124">
        <v>1931</v>
      </c>
      <c r="H124">
        <v>133</v>
      </c>
      <c r="I124">
        <v>53288.17</v>
      </c>
      <c r="J124">
        <v>767</v>
      </c>
      <c r="K124">
        <v>213153</v>
      </c>
      <c r="L124">
        <f t="shared" si="2"/>
        <v>28.825541646722076</v>
      </c>
      <c r="M124">
        <f t="shared" si="3"/>
        <v>22</v>
      </c>
    </row>
    <row r="125" spans="1:13" x14ac:dyDescent="0.4">
      <c r="A125" t="s">
        <v>92</v>
      </c>
      <c r="B125" t="s">
        <v>21</v>
      </c>
      <c r="C125" s="1">
        <v>45302</v>
      </c>
      <c r="D125" s="1">
        <v>45302</v>
      </c>
      <c r="E125" t="s">
        <v>26</v>
      </c>
      <c r="F125">
        <v>4093.87</v>
      </c>
      <c r="G125">
        <v>648</v>
      </c>
      <c r="H125">
        <v>442</v>
      </c>
      <c r="I125">
        <v>72870.13</v>
      </c>
      <c r="J125">
        <v>3470</v>
      </c>
      <c r="K125">
        <v>281407</v>
      </c>
      <c r="L125">
        <f t="shared" si="2"/>
        <v>1679.98153336574</v>
      </c>
      <c r="M125">
        <f t="shared" si="3"/>
        <v>0</v>
      </c>
    </row>
    <row r="126" spans="1:13" x14ac:dyDescent="0.4">
      <c r="A126" t="s">
        <v>99</v>
      </c>
      <c r="B126" t="s">
        <v>31</v>
      </c>
      <c r="C126" s="1">
        <v>45592</v>
      </c>
      <c r="D126" s="1">
        <v>45297</v>
      </c>
      <c r="E126" t="s">
        <v>16</v>
      </c>
      <c r="F126">
        <v>39062.730000000003</v>
      </c>
      <c r="G126">
        <v>1163</v>
      </c>
      <c r="H126">
        <v>243</v>
      </c>
      <c r="I126">
        <v>179633.37</v>
      </c>
      <c r="J126">
        <v>6076</v>
      </c>
      <c r="K126">
        <v>235748</v>
      </c>
      <c r="L126">
        <f t="shared" si="2"/>
        <v>359.85871955185922</v>
      </c>
      <c r="M126">
        <f t="shared" si="3"/>
        <v>295</v>
      </c>
    </row>
    <row r="127" spans="1:13" x14ac:dyDescent="0.4">
      <c r="A127" t="s">
        <v>64</v>
      </c>
      <c r="B127" t="s">
        <v>54</v>
      </c>
      <c r="C127" s="1">
        <v>45508</v>
      </c>
      <c r="D127" s="1">
        <v>45298</v>
      </c>
      <c r="E127" t="s">
        <v>16</v>
      </c>
      <c r="F127">
        <v>41260.75</v>
      </c>
      <c r="G127">
        <v>1822</v>
      </c>
      <c r="H127">
        <v>62</v>
      </c>
      <c r="I127">
        <v>193491.33</v>
      </c>
      <c r="J127">
        <v>1494</v>
      </c>
      <c r="K127">
        <v>447476</v>
      </c>
      <c r="L127">
        <f t="shared" si="2"/>
        <v>368.94768030149714</v>
      </c>
      <c r="M127">
        <f t="shared" si="3"/>
        <v>210</v>
      </c>
    </row>
    <row r="128" spans="1:13" x14ac:dyDescent="0.4">
      <c r="A128" t="s">
        <v>65</v>
      </c>
      <c r="B128" t="s">
        <v>23</v>
      </c>
      <c r="C128" s="1">
        <v>45580</v>
      </c>
      <c r="D128" s="1">
        <v>45301</v>
      </c>
      <c r="E128" t="s">
        <v>26</v>
      </c>
      <c r="F128">
        <v>23614.62</v>
      </c>
      <c r="G128">
        <v>439</v>
      </c>
      <c r="H128">
        <v>202</v>
      </c>
      <c r="I128">
        <v>91470.63</v>
      </c>
      <c r="J128">
        <v>8390</v>
      </c>
      <c r="K128">
        <v>437522</v>
      </c>
      <c r="L128">
        <f t="shared" si="2"/>
        <v>287.34745678736317</v>
      </c>
      <c r="M128">
        <f t="shared" si="3"/>
        <v>279</v>
      </c>
    </row>
    <row r="129" spans="1:13" x14ac:dyDescent="0.4">
      <c r="A129" t="s">
        <v>19</v>
      </c>
      <c r="B129" t="s">
        <v>23</v>
      </c>
      <c r="C129" s="1">
        <v>45393</v>
      </c>
      <c r="D129" s="1">
        <v>45299</v>
      </c>
      <c r="E129" t="s">
        <v>16</v>
      </c>
      <c r="F129">
        <v>49181.98</v>
      </c>
      <c r="G129">
        <v>631</v>
      </c>
      <c r="H129">
        <v>215</v>
      </c>
      <c r="I129">
        <v>67594.42</v>
      </c>
      <c r="J129">
        <v>4170</v>
      </c>
      <c r="K129">
        <v>485427</v>
      </c>
      <c r="L129">
        <f t="shared" si="2"/>
        <v>37.437370353938562</v>
      </c>
      <c r="M129">
        <f t="shared" si="3"/>
        <v>94</v>
      </c>
    </row>
    <row r="130" spans="1:13" x14ac:dyDescent="0.4">
      <c r="A130" t="s">
        <v>100</v>
      </c>
      <c r="B130" t="s">
        <v>12</v>
      </c>
      <c r="C130" s="1">
        <v>45558</v>
      </c>
      <c r="D130" s="1">
        <v>45300</v>
      </c>
      <c r="E130" t="s">
        <v>13</v>
      </c>
      <c r="F130">
        <v>39548.71</v>
      </c>
      <c r="G130">
        <v>1117</v>
      </c>
      <c r="H130">
        <v>406</v>
      </c>
      <c r="I130">
        <v>107588.33</v>
      </c>
      <c r="J130">
        <v>7082</v>
      </c>
      <c r="K130">
        <v>321562</v>
      </c>
      <c r="L130">
        <f t="shared" si="2"/>
        <v>172.04004884103679</v>
      </c>
      <c r="M130">
        <f t="shared" si="3"/>
        <v>258</v>
      </c>
    </row>
    <row r="131" spans="1:13" x14ac:dyDescent="0.4">
      <c r="A131" t="s">
        <v>84</v>
      </c>
      <c r="B131" t="s">
        <v>54</v>
      </c>
      <c r="C131" s="1">
        <v>45505</v>
      </c>
      <c r="D131" s="1">
        <v>45296</v>
      </c>
      <c r="E131" t="s">
        <v>13</v>
      </c>
      <c r="F131">
        <v>38909.47</v>
      </c>
      <c r="G131">
        <v>1785</v>
      </c>
      <c r="H131">
        <v>394</v>
      </c>
      <c r="I131">
        <v>139115</v>
      </c>
      <c r="J131">
        <v>8713</v>
      </c>
      <c r="K131">
        <v>222970</v>
      </c>
      <c r="L131">
        <f t="shared" ref="L131:L194" si="4">(I131 - F131)/F131*100</f>
        <v>257.53506794104368</v>
      </c>
      <c r="M131">
        <f t="shared" ref="M131:M194" si="5">ABS(D131 - C131)</f>
        <v>209</v>
      </c>
    </row>
    <row r="132" spans="1:13" x14ac:dyDescent="0.4">
      <c r="A132" t="s">
        <v>48</v>
      </c>
      <c r="B132" t="s">
        <v>31</v>
      </c>
      <c r="C132" s="1">
        <v>45470</v>
      </c>
      <c r="D132" s="1">
        <v>45300</v>
      </c>
      <c r="E132" t="s">
        <v>34</v>
      </c>
      <c r="F132">
        <v>37644.089999999997</v>
      </c>
      <c r="G132">
        <v>1737</v>
      </c>
      <c r="H132">
        <v>49</v>
      </c>
      <c r="I132">
        <v>58327.53</v>
      </c>
      <c r="J132">
        <v>5699</v>
      </c>
      <c r="K132">
        <v>1148</v>
      </c>
      <c r="L132">
        <f t="shared" si="4"/>
        <v>54.9447204063108</v>
      </c>
      <c r="M132">
        <f t="shared" si="5"/>
        <v>170</v>
      </c>
    </row>
    <row r="133" spans="1:13" x14ac:dyDescent="0.4">
      <c r="A133" t="s">
        <v>87</v>
      </c>
      <c r="B133" t="s">
        <v>18</v>
      </c>
      <c r="C133" s="1">
        <v>45379</v>
      </c>
      <c r="D133" s="1">
        <v>45301</v>
      </c>
      <c r="E133" t="s">
        <v>34</v>
      </c>
      <c r="F133">
        <v>8379.7999999999993</v>
      </c>
      <c r="G133">
        <v>647</v>
      </c>
      <c r="H133">
        <v>101</v>
      </c>
      <c r="I133">
        <v>148612.26999999999</v>
      </c>
      <c r="J133">
        <v>3750</v>
      </c>
      <c r="K133">
        <v>395970</v>
      </c>
      <c r="L133">
        <f t="shared" si="4"/>
        <v>1673.4584357621902</v>
      </c>
      <c r="M133">
        <f t="shared" si="5"/>
        <v>78</v>
      </c>
    </row>
    <row r="134" spans="1:13" x14ac:dyDescent="0.4">
      <c r="A134" t="s">
        <v>101</v>
      </c>
      <c r="B134" t="s">
        <v>40</v>
      </c>
      <c r="C134" s="1">
        <v>45332</v>
      </c>
      <c r="D134" s="1">
        <v>45299</v>
      </c>
      <c r="E134" t="s">
        <v>26</v>
      </c>
      <c r="F134">
        <v>11644.31</v>
      </c>
      <c r="G134">
        <v>68</v>
      </c>
      <c r="H134">
        <v>283</v>
      </c>
      <c r="I134">
        <v>15073.18</v>
      </c>
      <c r="J134">
        <v>9424</v>
      </c>
      <c r="K134">
        <v>289889</v>
      </c>
      <c r="L134">
        <f t="shared" si="4"/>
        <v>29.446742658002073</v>
      </c>
      <c r="M134">
        <f t="shared" si="5"/>
        <v>33</v>
      </c>
    </row>
    <row r="135" spans="1:13" x14ac:dyDescent="0.4">
      <c r="A135" t="s">
        <v>60</v>
      </c>
      <c r="B135" t="s">
        <v>30</v>
      </c>
      <c r="C135" s="1">
        <v>45367</v>
      </c>
      <c r="D135" s="1">
        <v>45302</v>
      </c>
      <c r="E135" t="s">
        <v>34</v>
      </c>
      <c r="F135">
        <v>23735.52</v>
      </c>
      <c r="G135">
        <v>1174</v>
      </c>
      <c r="H135">
        <v>27</v>
      </c>
      <c r="I135">
        <v>14612.43</v>
      </c>
      <c r="J135">
        <v>9994</v>
      </c>
      <c r="K135">
        <v>73914</v>
      </c>
      <c r="L135">
        <f t="shared" si="4"/>
        <v>-38.436444619709199</v>
      </c>
      <c r="M135">
        <f t="shared" si="5"/>
        <v>65</v>
      </c>
    </row>
    <row r="136" spans="1:13" x14ac:dyDescent="0.4">
      <c r="A136" t="s">
        <v>32</v>
      </c>
      <c r="B136" t="s">
        <v>12</v>
      </c>
      <c r="C136" s="1">
        <v>45337</v>
      </c>
      <c r="D136" s="1">
        <v>45299</v>
      </c>
      <c r="E136" t="s">
        <v>13</v>
      </c>
      <c r="F136">
        <v>13936.21</v>
      </c>
      <c r="G136">
        <v>1987</v>
      </c>
      <c r="H136">
        <v>414</v>
      </c>
      <c r="I136">
        <v>80326.100000000006</v>
      </c>
      <c r="J136">
        <v>3720</v>
      </c>
      <c r="K136">
        <v>450049</v>
      </c>
      <c r="L136">
        <f t="shared" si="4"/>
        <v>476.3841101705558</v>
      </c>
      <c r="M136">
        <f t="shared" si="5"/>
        <v>38</v>
      </c>
    </row>
    <row r="137" spans="1:13" x14ac:dyDescent="0.4">
      <c r="A137" t="s">
        <v>102</v>
      </c>
      <c r="B137" t="s">
        <v>23</v>
      </c>
      <c r="C137" s="1">
        <v>45451</v>
      </c>
      <c r="D137" s="1">
        <v>45302</v>
      </c>
      <c r="E137" t="s">
        <v>26</v>
      </c>
      <c r="F137">
        <v>21346.81</v>
      </c>
      <c r="G137">
        <v>656</v>
      </c>
      <c r="H137">
        <v>465</v>
      </c>
      <c r="I137">
        <v>73927.27</v>
      </c>
      <c r="J137">
        <v>3290</v>
      </c>
      <c r="K137">
        <v>414356</v>
      </c>
      <c r="L137">
        <f t="shared" si="4"/>
        <v>246.3153042538909</v>
      </c>
      <c r="M137">
        <f t="shared" si="5"/>
        <v>149</v>
      </c>
    </row>
    <row r="138" spans="1:13" x14ac:dyDescent="0.4">
      <c r="A138" t="s">
        <v>103</v>
      </c>
      <c r="B138" t="s">
        <v>25</v>
      </c>
      <c r="C138" s="1">
        <v>45371</v>
      </c>
      <c r="D138" s="1">
        <v>45297</v>
      </c>
      <c r="E138" t="s">
        <v>26</v>
      </c>
      <c r="F138">
        <v>44534.74</v>
      </c>
      <c r="G138">
        <v>1839</v>
      </c>
      <c r="H138">
        <v>395</v>
      </c>
      <c r="I138">
        <v>66548.479999999996</v>
      </c>
      <c r="J138">
        <v>8889</v>
      </c>
      <c r="K138">
        <v>469123</v>
      </c>
      <c r="L138">
        <f t="shared" si="4"/>
        <v>49.430489545914043</v>
      </c>
      <c r="M138">
        <f t="shared" si="5"/>
        <v>74</v>
      </c>
    </row>
    <row r="139" spans="1:13" x14ac:dyDescent="0.4">
      <c r="A139" t="s">
        <v>74</v>
      </c>
      <c r="B139" t="s">
        <v>25</v>
      </c>
      <c r="C139" s="1">
        <v>45601</v>
      </c>
      <c r="D139" s="1">
        <v>45301</v>
      </c>
      <c r="E139" t="s">
        <v>34</v>
      </c>
      <c r="F139">
        <v>41392.019999999997</v>
      </c>
      <c r="G139">
        <v>1430</v>
      </c>
      <c r="H139">
        <v>339</v>
      </c>
      <c r="I139">
        <v>100748.85</v>
      </c>
      <c r="J139">
        <v>491</v>
      </c>
      <c r="K139">
        <v>61653</v>
      </c>
      <c r="L139">
        <f t="shared" si="4"/>
        <v>143.40162669036209</v>
      </c>
      <c r="M139">
        <f t="shared" si="5"/>
        <v>300</v>
      </c>
    </row>
    <row r="140" spans="1:13" x14ac:dyDescent="0.4">
      <c r="A140" t="s">
        <v>104</v>
      </c>
      <c r="B140" t="s">
        <v>21</v>
      </c>
      <c r="C140" s="1">
        <v>45377</v>
      </c>
      <c r="D140" s="1">
        <v>45297</v>
      </c>
      <c r="E140" t="s">
        <v>13</v>
      </c>
      <c r="F140">
        <v>31871.95</v>
      </c>
      <c r="G140">
        <v>1615</v>
      </c>
      <c r="H140">
        <v>48</v>
      </c>
      <c r="I140">
        <v>67543.05</v>
      </c>
      <c r="J140">
        <v>1175</v>
      </c>
      <c r="K140">
        <v>224607</v>
      </c>
      <c r="L140">
        <f t="shared" si="4"/>
        <v>111.92004254524748</v>
      </c>
      <c r="M140">
        <f t="shared" si="5"/>
        <v>80</v>
      </c>
    </row>
    <row r="141" spans="1:13" x14ac:dyDescent="0.4">
      <c r="A141" t="s">
        <v>55</v>
      </c>
      <c r="B141" t="s">
        <v>18</v>
      </c>
      <c r="C141" s="1">
        <v>45383</v>
      </c>
      <c r="D141" s="1">
        <v>45295</v>
      </c>
      <c r="E141" t="s">
        <v>26</v>
      </c>
      <c r="F141">
        <v>43047.9</v>
      </c>
      <c r="G141">
        <v>1834</v>
      </c>
      <c r="H141">
        <v>31</v>
      </c>
      <c r="I141">
        <v>42490.29</v>
      </c>
      <c r="J141">
        <v>2750</v>
      </c>
      <c r="K141">
        <v>193593</v>
      </c>
      <c r="L141">
        <f t="shared" si="4"/>
        <v>-1.295324510603306</v>
      </c>
      <c r="M141">
        <f t="shared" si="5"/>
        <v>88</v>
      </c>
    </row>
    <row r="142" spans="1:13" x14ac:dyDescent="0.4">
      <c r="A142" t="s">
        <v>76</v>
      </c>
      <c r="B142" t="s">
        <v>33</v>
      </c>
      <c r="C142" s="1">
        <v>45439</v>
      </c>
      <c r="D142" s="1">
        <v>45302</v>
      </c>
      <c r="E142" t="s">
        <v>13</v>
      </c>
      <c r="F142">
        <v>39404.85</v>
      </c>
      <c r="G142">
        <v>82</v>
      </c>
      <c r="H142">
        <v>286</v>
      </c>
      <c r="I142">
        <v>65346.559999999998</v>
      </c>
      <c r="J142">
        <v>2484</v>
      </c>
      <c r="K142">
        <v>341459</v>
      </c>
      <c r="L142">
        <f t="shared" si="4"/>
        <v>65.83379964649022</v>
      </c>
      <c r="M142">
        <f t="shared" si="5"/>
        <v>137</v>
      </c>
    </row>
    <row r="143" spans="1:13" x14ac:dyDescent="0.4">
      <c r="A143" t="s">
        <v>95</v>
      </c>
      <c r="B143" t="s">
        <v>23</v>
      </c>
      <c r="C143" s="1">
        <v>45452</v>
      </c>
      <c r="D143" s="1">
        <v>45298</v>
      </c>
      <c r="E143" t="s">
        <v>13</v>
      </c>
      <c r="F143">
        <v>22020.26</v>
      </c>
      <c r="G143">
        <v>1302</v>
      </c>
      <c r="H143">
        <v>101</v>
      </c>
      <c r="I143">
        <v>195106.33</v>
      </c>
      <c r="J143">
        <v>909</v>
      </c>
      <c r="K143">
        <v>294219</v>
      </c>
      <c r="L143">
        <f t="shared" si="4"/>
        <v>786.03100054222784</v>
      </c>
      <c r="M143">
        <f t="shared" si="5"/>
        <v>154</v>
      </c>
    </row>
    <row r="144" spans="1:13" x14ac:dyDescent="0.4">
      <c r="A144" t="s">
        <v>103</v>
      </c>
      <c r="B144" t="s">
        <v>43</v>
      </c>
      <c r="C144" s="1">
        <v>45493</v>
      </c>
      <c r="D144" s="1">
        <v>45297</v>
      </c>
      <c r="E144" t="s">
        <v>13</v>
      </c>
      <c r="F144">
        <v>10852.19</v>
      </c>
      <c r="G144">
        <v>1597</v>
      </c>
      <c r="H144">
        <v>467</v>
      </c>
      <c r="I144">
        <v>85167.12</v>
      </c>
      <c r="J144">
        <v>8147</v>
      </c>
      <c r="K144">
        <v>424913</v>
      </c>
      <c r="L144">
        <f t="shared" si="4"/>
        <v>684.79200972338288</v>
      </c>
      <c r="M144">
        <f t="shared" si="5"/>
        <v>196</v>
      </c>
    </row>
    <row r="145" spans="1:13" x14ac:dyDescent="0.4">
      <c r="A145" t="s">
        <v>61</v>
      </c>
      <c r="B145" t="s">
        <v>18</v>
      </c>
      <c r="C145" s="1">
        <v>45533</v>
      </c>
      <c r="D145" s="1">
        <v>45295</v>
      </c>
      <c r="E145" t="s">
        <v>34</v>
      </c>
      <c r="F145">
        <v>26195.85</v>
      </c>
      <c r="G145">
        <v>1703</v>
      </c>
      <c r="H145">
        <v>40</v>
      </c>
      <c r="I145">
        <v>91718.99</v>
      </c>
      <c r="J145">
        <v>5601</v>
      </c>
      <c r="K145">
        <v>448760</v>
      </c>
      <c r="L145">
        <f t="shared" si="4"/>
        <v>250.12794011265149</v>
      </c>
      <c r="M145">
        <f t="shared" si="5"/>
        <v>238</v>
      </c>
    </row>
    <row r="146" spans="1:13" x14ac:dyDescent="0.4">
      <c r="A146" t="s">
        <v>77</v>
      </c>
      <c r="B146" t="s">
        <v>40</v>
      </c>
      <c r="C146" s="1">
        <v>45644</v>
      </c>
      <c r="D146" s="1">
        <v>45294</v>
      </c>
      <c r="E146" t="s">
        <v>16</v>
      </c>
      <c r="F146">
        <v>37075.22</v>
      </c>
      <c r="G146">
        <v>911</v>
      </c>
      <c r="H146">
        <v>113</v>
      </c>
      <c r="I146">
        <v>117426.27</v>
      </c>
      <c r="J146">
        <v>6995</v>
      </c>
      <c r="K146">
        <v>10795</v>
      </c>
      <c r="L146">
        <f t="shared" si="4"/>
        <v>216.72440514176316</v>
      </c>
      <c r="M146">
        <f t="shared" si="5"/>
        <v>350</v>
      </c>
    </row>
    <row r="147" spans="1:13" x14ac:dyDescent="0.4">
      <c r="A147" t="s">
        <v>38</v>
      </c>
      <c r="B147" t="s">
        <v>30</v>
      </c>
      <c r="C147" s="1">
        <v>45293</v>
      </c>
      <c r="D147" s="1">
        <v>45300</v>
      </c>
      <c r="E147" t="s">
        <v>16</v>
      </c>
      <c r="F147">
        <v>22384.560000000001</v>
      </c>
      <c r="G147">
        <v>204</v>
      </c>
      <c r="H147">
        <v>59</v>
      </c>
      <c r="I147">
        <v>196751.45</v>
      </c>
      <c r="J147">
        <v>1259</v>
      </c>
      <c r="K147">
        <v>65555</v>
      </c>
      <c r="L147">
        <f t="shared" si="4"/>
        <v>778.96054244532843</v>
      </c>
      <c r="M147">
        <f t="shared" si="5"/>
        <v>7</v>
      </c>
    </row>
    <row r="148" spans="1:13" x14ac:dyDescent="0.4">
      <c r="A148" t="s">
        <v>96</v>
      </c>
      <c r="B148" t="s">
        <v>31</v>
      </c>
      <c r="C148" s="1">
        <v>45516</v>
      </c>
      <c r="D148" s="1">
        <v>45299</v>
      </c>
      <c r="E148" t="s">
        <v>26</v>
      </c>
      <c r="F148">
        <v>33671.82</v>
      </c>
      <c r="G148">
        <v>1496</v>
      </c>
      <c r="H148">
        <v>196</v>
      </c>
      <c r="I148">
        <v>52112.25</v>
      </c>
      <c r="J148">
        <v>7674</v>
      </c>
      <c r="K148">
        <v>446420</v>
      </c>
      <c r="L148">
        <f t="shared" si="4"/>
        <v>54.76517158858654</v>
      </c>
      <c r="M148">
        <f t="shared" si="5"/>
        <v>217</v>
      </c>
    </row>
    <row r="149" spans="1:13" x14ac:dyDescent="0.4">
      <c r="A149" t="s">
        <v>98</v>
      </c>
      <c r="B149" t="s">
        <v>54</v>
      </c>
      <c r="C149" s="1">
        <v>45580</v>
      </c>
      <c r="D149" s="1">
        <v>45295</v>
      </c>
      <c r="E149" t="s">
        <v>13</v>
      </c>
      <c r="F149">
        <v>5622.04</v>
      </c>
      <c r="G149">
        <v>954</v>
      </c>
      <c r="H149">
        <v>223</v>
      </c>
      <c r="I149">
        <v>137850.01</v>
      </c>
      <c r="J149">
        <v>1631</v>
      </c>
      <c r="K149">
        <v>236068</v>
      </c>
      <c r="L149">
        <f t="shared" si="4"/>
        <v>2351.9571187682764</v>
      </c>
      <c r="M149">
        <f t="shared" si="5"/>
        <v>285</v>
      </c>
    </row>
    <row r="150" spans="1:13" x14ac:dyDescent="0.4">
      <c r="A150" t="s">
        <v>71</v>
      </c>
      <c r="B150" t="s">
        <v>23</v>
      </c>
      <c r="C150" s="1">
        <v>45524</v>
      </c>
      <c r="D150" s="1">
        <v>45301</v>
      </c>
      <c r="E150" t="s">
        <v>34</v>
      </c>
      <c r="F150">
        <v>37652.230000000003</v>
      </c>
      <c r="G150">
        <v>1319</v>
      </c>
      <c r="H150">
        <v>189</v>
      </c>
      <c r="I150">
        <v>144617.01999999999</v>
      </c>
      <c r="J150">
        <v>5581</v>
      </c>
      <c r="K150">
        <v>463970</v>
      </c>
      <c r="L150">
        <f t="shared" si="4"/>
        <v>284.08620153441103</v>
      </c>
      <c r="M150">
        <f t="shared" si="5"/>
        <v>223</v>
      </c>
    </row>
    <row r="151" spans="1:13" x14ac:dyDescent="0.4">
      <c r="A151" t="s">
        <v>69</v>
      </c>
      <c r="B151" t="s">
        <v>54</v>
      </c>
      <c r="C151" s="1">
        <v>45368</v>
      </c>
      <c r="D151" s="1">
        <v>45297</v>
      </c>
      <c r="E151" t="s">
        <v>13</v>
      </c>
      <c r="F151">
        <v>40822.97</v>
      </c>
      <c r="G151">
        <v>454</v>
      </c>
      <c r="H151">
        <v>73</v>
      </c>
      <c r="I151">
        <v>123428.26</v>
      </c>
      <c r="J151">
        <v>7648</v>
      </c>
      <c r="K151">
        <v>459076</v>
      </c>
      <c r="L151">
        <f t="shared" si="4"/>
        <v>202.35002499818114</v>
      </c>
      <c r="M151">
        <f t="shared" si="5"/>
        <v>71</v>
      </c>
    </row>
    <row r="152" spans="1:13" x14ac:dyDescent="0.4">
      <c r="A152" t="s">
        <v>105</v>
      </c>
      <c r="B152" t="s">
        <v>25</v>
      </c>
      <c r="C152" s="1">
        <v>45407</v>
      </c>
      <c r="D152" s="1">
        <v>45301</v>
      </c>
      <c r="E152" t="s">
        <v>13</v>
      </c>
      <c r="F152">
        <v>35635.050000000003</v>
      </c>
      <c r="G152">
        <v>893</v>
      </c>
      <c r="H152">
        <v>321</v>
      </c>
      <c r="I152">
        <v>22272.78</v>
      </c>
      <c r="J152">
        <v>5076</v>
      </c>
      <c r="K152">
        <v>104107</v>
      </c>
      <c r="L152">
        <f t="shared" si="4"/>
        <v>-37.497548060126206</v>
      </c>
      <c r="M152">
        <f t="shared" si="5"/>
        <v>106</v>
      </c>
    </row>
    <row r="153" spans="1:13" x14ac:dyDescent="0.4">
      <c r="A153" t="s">
        <v>70</v>
      </c>
      <c r="B153" t="s">
        <v>31</v>
      </c>
      <c r="C153" s="1">
        <v>45445</v>
      </c>
      <c r="D153" s="1">
        <v>45300</v>
      </c>
      <c r="E153" t="s">
        <v>34</v>
      </c>
      <c r="F153">
        <v>48395.92</v>
      </c>
      <c r="G153">
        <v>1832</v>
      </c>
      <c r="H153">
        <v>134</v>
      </c>
      <c r="I153">
        <v>136990.09</v>
      </c>
      <c r="J153">
        <v>5795</v>
      </c>
      <c r="K153">
        <v>314673</v>
      </c>
      <c r="L153">
        <f t="shared" si="4"/>
        <v>183.06123739356542</v>
      </c>
      <c r="M153">
        <f t="shared" si="5"/>
        <v>145</v>
      </c>
    </row>
    <row r="154" spans="1:13" x14ac:dyDescent="0.4">
      <c r="A154" t="s">
        <v>106</v>
      </c>
      <c r="B154" t="s">
        <v>31</v>
      </c>
      <c r="C154" s="1">
        <v>45394</v>
      </c>
      <c r="D154" s="1">
        <v>45298</v>
      </c>
      <c r="E154" t="s">
        <v>16</v>
      </c>
      <c r="F154">
        <v>41505.949999999997</v>
      </c>
      <c r="G154">
        <v>1614</v>
      </c>
      <c r="H154">
        <v>59</v>
      </c>
      <c r="I154">
        <v>17498.47</v>
      </c>
      <c r="J154">
        <v>8545</v>
      </c>
      <c r="K154">
        <v>405888</v>
      </c>
      <c r="L154">
        <f t="shared" si="4"/>
        <v>-57.841056523221368</v>
      </c>
      <c r="M154">
        <f t="shared" si="5"/>
        <v>96</v>
      </c>
    </row>
    <row r="155" spans="1:13" x14ac:dyDescent="0.4">
      <c r="A155" t="s">
        <v>17</v>
      </c>
      <c r="B155" t="s">
        <v>31</v>
      </c>
      <c r="C155" s="1">
        <v>45485</v>
      </c>
      <c r="D155" s="1">
        <v>45301</v>
      </c>
      <c r="E155" t="s">
        <v>13</v>
      </c>
      <c r="F155">
        <v>45251.59</v>
      </c>
      <c r="G155">
        <v>1234</v>
      </c>
      <c r="H155">
        <v>382</v>
      </c>
      <c r="I155">
        <v>121247.82</v>
      </c>
      <c r="J155">
        <v>3648</v>
      </c>
      <c r="K155">
        <v>448454</v>
      </c>
      <c r="L155">
        <f t="shared" si="4"/>
        <v>167.94156846201429</v>
      </c>
      <c r="M155">
        <f t="shared" si="5"/>
        <v>184</v>
      </c>
    </row>
    <row r="156" spans="1:13" x14ac:dyDescent="0.4">
      <c r="A156" t="s">
        <v>71</v>
      </c>
      <c r="B156" t="s">
        <v>25</v>
      </c>
      <c r="C156" s="1">
        <v>45457</v>
      </c>
      <c r="D156" s="1">
        <v>45302</v>
      </c>
      <c r="E156" t="s">
        <v>13</v>
      </c>
      <c r="F156">
        <v>46744.98</v>
      </c>
      <c r="G156">
        <v>796</v>
      </c>
      <c r="H156">
        <v>101</v>
      </c>
      <c r="I156">
        <v>149218.32999999999</v>
      </c>
      <c r="J156">
        <v>6263</v>
      </c>
      <c r="K156">
        <v>228650</v>
      </c>
      <c r="L156">
        <f t="shared" si="4"/>
        <v>219.21787109546301</v>
      </c>
      <c r="M156">
        <f t="shared" si="5"/>
        <v>155</v>
      </c>
    </row>
    <row r="157" spans="1:13" x14ac:dyDescent="0.4">
      <c r="A157" t="s">
        <v>57</v>
      </c>
      <c r="B157" t="s">
        <v>40</v>
      </c>
      <c r="C157" s="1">
        <v>45650</v>
      </c>
      <c r="D157" s="1">
        <v>45298</v>
      </c>
      <c r="E157" t="s">
        <v>16</v>
      </c>
      <c r="F157">
        <v>40266.050000000003</v>
      </c>
      <c r="G157">
        <v>1775</v>
      </c>
      <c r="H157">
        <v>340</v>
      </c>
      <c r="I157">
        <v>46139.13</v>
      </c>
      <c r="J157">
        <v>6771</v>
      </c>
      <c r="K157">
        <v>168022</v>
      </c>
      <c r="L157">
        <f t="shared" si="4"/>
        <v>14.585686949675953</v>
      </c>
      <c r="M157">
        <f t="shared" si="5"/>
        <v>352</v>
      </c>
    </row>
    <row r="158" spans="1:13" x14ac:dyDescent="0.4">
      <c r="A158" t="s">
        <v>107</v>
      </c>
      <c r="B158" t="s">
        <v>54</v>
      </c>
      <c r="C158" s="1">
        <v>45381</v>
      </c>
      <c r="D158" s="1">
        <v>45298</v>
      </c>
      <c r="E158" t="s">
        <v>34</v>
      </c>
      <c r="F158">
        <v>34038.68</v>
      </c>
      <c r="G158">
        <v>1190</v>
      </c>
      <c r="H158">
        <v>91</v>
      </c>
      <c r="I158">
        <v>169116.29</v>
      </c>
      <c r="J158">
        <v>5364</v>
      </c>
      <c r="K158">
        <v>12009</v>
      </c>
      <c r="L158">
        <f t="shared" si="4"/>
        <v>396.83562934872919</v>
      </c>
      <c r="M158">
        <f t="shared" si="5"/>
        <v>83</v>
      </c>
    </row>
    <row r="159" spans="1:13" x14ac:dyDescent="0.4">
      <c r="A159" t="s">
        <v>62</v>
      </c>
      <c r="B159" t="s">
        <v>28</v>
      </c>
      <c r="C159" s="1">
        <v>45465</v>
      </c>
      <c r="D159" s="1">
        <v>45295</v>
      </c>
      <c r="E159" t="s">
        <v>26</v>
      </c>
      <c r="F159">
        <v>1280.21</v>
      </c>
      <c r="G159">
        <v>320</v>
      </c>
      <c r="H159">
        <v>298</v>
      </c>
      <c r="I159">
        <v>10918.99</v>
      </c>
      <c r="J159">
        <v>1331</v>
      </c>
      <c r="K159">
        <v>179168</v>
      </c>
      <c r="L159">
        <f t="shared" si="4"/>
        <v>752.90616383249608</v>
      </c>
      <c r="M159">
        <f t="shared" si="5"/>
        <v>170</v>
      </c>
    </row>
    <row r="160" spans="1:13" x14ac:dyDescent="0.4">
      <c r="A160" t="s">
        <v>83</v>
      </c>
      <c r="B160" t="s">
        <v>54</v>
      </c>
      <c r="C160" s="1">
        <v>45413</v>
      </c>
      <c r="D160" s="1">
        <v>45298</v>
      </c>
      <c r="E160" t="s">
        <v>16</v>
      </c>
      <c r="F160">
        <v>23825.46</v>
      </c>
      <c r="G160">
        <v>819</v>
      </c>
      <c r="H160">
        <v>123</v>
      </c>
      <c r="I160">
        <v>169543.51</v>
      </c>
      <c r="J160">
        <v>2523</v>
      </c>
      <c r="K160">
        <v>151616</v>
      </c>
      <c r="L160">
        <f t="shared" si="4"/>
        <v>611.60644957117313</v>
      </c>
      <c r="M160">
        <f t="shared" si="5"/>
        <v>115</v>
      </c>
    </row>
    <row r="161" spans="1:13" x14ac:dyDescent="0.4">
      <c r="A161" t="s">
        <v>108</v>
      </c>
      <c r="B161" t="s">
        <v>36</v>
      </c>
      <c r="C161" s="1">
        <v>45434</v>
      </c>
      <c r="D161" s="1">
        <v>45296</v>
      </c>
      <c r="E161" t="s">
        <v>26</v>
      </c>
      <c r="F161">
        <v>28986.95</v>
      </c>
      <c r="G161">
        <v>1765</v>
      </c>
      <c r="H161">
        <v>212</v>
      </c>
      <c r="I161">
        <v>94764.160000000003</v>
      </c>
      <c r="J161">
        <v>8171</v>
      </c>
      <c r="K161">
        <v>449944</v>
      </c>
      <c r="L161">
        <f t="shared" si="4"/>
        <v>226.92007955304027</v>
      </c>
      <c r="M161">
        <f t="shared" si="5"/>
        <v>138</v>
      </c>
    </row>
    <row r="162" spans="1:13" x14ac:dyDescent="0.4">
      <c r="A162" t="s">
        <v>11</v>
      </c>
      <c r="B162" t="s">
        <v>30</v>
      </c>
      <c r="C162" s="1">
        <v>45397</v>
      </c>
      <c r="D162" s="1">
        <v>45300</v>
      </c>
      <c r="E162" t="s">
        <v>26</v>
      </c>
      <c r="F162">
        <v>15897.48</v>
      </c>
      <c r="G162">
        <v>1560</v>
      </c>
      <c r="H162">
        <v>338</v>
      </c>
      <c r="I162">
        <v>47429.65</v>
      </c>
      <c r="J162">
        <v>4361</v>
      </c>
      <c r="K162">
        <v>30381</v>
      </c>
      <c r="L162">
        <f t="shared" si="4"/>
        <v>198.34697071485544</v>
      </c>
      <c r="M162">
        <f t="shared" si="5"/>
        <v>97</v>
      </c>
    </row>
    <row r="163" spans="1:13" x14ac:dyDescent="0.4">
      <c r="A163" t="s">
        <v>108</v>
      </c>
      <c r="B163" t="s">
        <v>43</v>
      </c>
      <c r="C163" s="1">
        <v>45596</v>
      </c>
      <c r="D163" s="1">
        <v>45298</v>
      </c>
      <c r="E163" t="s">
        <v>16</v>
      </c>
      <c r="F163">
        <v>16587.12</v>
      </c>
      <c r="G163">
        <v>1958</v>
      </c>
      <c r="H163">
        <v>417</v>
      </c>
      <c r="I163">
        <v>31086.74</v>
      </c>
      <c r="J163">
        <v>9865</v>
      </c>
      <c r="K163">
        <v>390913</v>
      </c>
      <c r="L163">
        <f t="shared" si="4"/>
        <v>87.414933996980821</v>
      </c>
      <c r="M163">
        <f t="shared" si="5"/>
        <v>298</v>
      </c>
    </row>
    <row r="164" spans="1:13" x14ac:dyDescent="0.4">
      <c r="A164" t="s">
        <v>68</v>
      </c>
      <c r="B164" t="s">
        <v>28</v>
      </c>
      <c r="C164" s="1">
        <v>45651</v>
      </c>
      <c r="D164" s="1">
        <v>45301</v>
      </c>
      <c r="E164" t="s">
        <v>13</v>
      </c>
      <c r="F164">
        <v>48096.81</v>
      </c>
      <c r="G164">
        <v>221</v>
      </c>
      <c r="H164">
        <v>158</v>
      </c>
      <c r="I164">
        <v>190894.9</v>
      </c>
      <c r="J164">
        <v>3008</v>
      </c>
      <c r="K164">
        <v>419503</v>
      </c>
      <c r="L164">
        <f t="shared" si="4"/>
        <v>296.89721626028836</v>
      </c>
      <c r="M164">
        <f t="shared" si="5"/>
        <v>350</v>
      </c>
    </row>
    <row r="165" spans="1:13" x14ac:dyDescent="0.4">
      <c r="A165" t="s">
        <v>109</v>
      </c>
      <c r="B165" t="s">
        <v>30</v>
      </c>
      <c r="C165" s="1">
        <v>45608</v>
      </c>
      <c r="D165" s="1">
        <v>45294</v>
      </c>
      <c r="E165" t="s">
        <v>26</v>
      </c>
      <c r="F165">
        <v>44693.83</v>
      </c>
      <c r="G165">
        <v>323</v>
      </c>
      <c r="H165">
        <v>39</v>
      </c>
      <c r="I165">
        <v>19169.79</v>
      </c>
      <c r="J165">
        <v>4812</v>
      </c>
      <c r="K165">
        <v>327754</v>
      </c>
      <c r="L165">
        <f t="shared" si="4"/>
        <v>-57.108643407826087</v>
      </c>
      <c r="M165">
        <f t="shared" si="5"/>
        <v>314</v>
      </c>
    </row>
    <row r="166" spans="1:13" x14ac:dyDescent="0.4">
      <c r="A166" t="s">
        <v>101</v>
      </c>
      <c r="B166" t="s">
        <v>12</v>
      </c>
      <c r="C166" s="1">
        <v>45414</v>
      </c>
      <c r="D166" s="1">
        <v>45296</v>
      </c>
      <c r="E166" t="s">
        <v>26</v>
      </c>
      <c r="F166">
        <v>42609.77</v>
      </c>
      <c r="G166">
        <v>308</v>
      </c>
      <c r="H166">
        <v>83</v>
      </c>
      <c r="I166">
        <v>43823.22</v>
      </c>
      <c r="J166">
        <v>6855</v>
      </c>
      <c r="K166">
        <v>69122</v>
      </c>
      <c r="L166">
        <f t="shared" si="4"/>
        <v>2.8478210513692153</v>
      </c>
      <c r="M166">
        <f t="shared" si="5"/>
        <v>118</v>
      </c>
    </row>
    <row r="167" spans="1:13" x14ac:dyDescent="0.4">
      <c r="A167" t="s">
        <v>17</v>
      </c>
      <c r="B167" t="s">
        <v>18</v>
      </c>
      <c r="C167" s="1">
        <v>45300</v>
      </c>
      <c r="D167" s="1">
        <v>45296</v>
      </c>
      <c r="E167" t="s">
        <v>34</v>
      </c>
      <c r="F167">
        <v>20894.580000000002</v>
      </c>
      <c r="G167">
        <v>1208</v>
      </c>
      <c r="H167">
        <v>71</v>
      </c>
      <c r="I167">
        <v>72825.36</v>
      </c>
      <c r="J167">
        <v>9917</v>
      </c>
      <c r="K167">
        <v>331328</v>
      </c>
      <c r="L167">
        <f t="shared" si="4"/>
        <v>248.53708473680732</v>
      </c>
      <c r="M167">
        <f t="shared" si="5"/>
        <v>4</v>
      </c>
    </row>
    <row r="168" spans="1:13" x14ac:dyDescent="0.4">
      <c r="A168" t="s">
        <v>110</v>
      </c>
      <c r="B168" t="s">
        <v>18</v>
      </c>
      <c r="C168" s="1">
        <v>45553</v>
      </c>
      <c r="D168" s="1">
        <v>45302</v>
      </c>
      <c r="E168" t="s">
        <v>13</v>
      </c>
      <c r="F168">
        <v>1671.23</v>
      </c>
      <c r="G168">
        <v>1756</v>
      </c>
      <c r="H168">
        <v>347</v>
      </c>
      <c r="I168">
        <v>125945.8</v>
      </c>
      <c r="J168">
        <v>3983</v>
      </c>
      <c r="K168">
        <v>434297</v>
      </c>
      <c r="L168">
        <f t="shared" si="4"/>
        <v>7436.1141195406972</v>
      </c>
      <c r="M168">
        <f t="shared" si="5"/>
        <v>251</v>
      </c>
    </row>
    <row r="169" spans="1:13" x14ac:dyDescent="0.4">
      <c r="A169" t="s">
        <v>93</v>
      </c>
      <c r="B169" t="s">
        <v>51</v>
      </c>
      <c r="C169" s="1">
        <v>45364</v>
      </c>
      <c r="D169" s="1">
        <v>45298</v>
      </c>
      <c r="E169" t="s">
        <v>26</v>
      </c>
      <c r="F169">
        <v>4930.8900000000003</v>
      </c>
      <c r="G169">
        <v>1795</v>
      </c>
      <c r="H169">
        <v>417</v>
      </c>
      <c r="I169">
        <v>111236.21</v>
      </c>
      <c r="J169">
        <v>3615</v>
      </c>
      <c r="K169">
        <v>215709</v>
      </c>
      <c r="L169">
        <f t="shared" si="4"/>
        <v>2155.9053233797549</v>
      </c>
      <c r="M169">
        <f t="shared" si="5"/>
        <v>66</v>
      </c>
    </row>
    <row r="170" spans="1:13" x14ac:dyDescent="0.4">
      <c r="A170" t="s">
        <v>79</v>
      </c>
      <c r="B170" t="s">
        <v>18</v>
      </c>
      <c r="C170" s="1">
        <v>45650</v>
      </c>
      <c r="D170" s="1">
        <v>45302</v>
      </c>
      <c r="E170" t="s">
        <v>34</v>
      </c>
      <c r="F170">
        <v>16297.62</v>
      </c>
      <c r="G170">
        <v>1821</v>
      </c>
      <c r="H170">
        <v>38</v>
      </c>
      <c r="I170">
        <v>29500.48</v>
      </c>
      <c r="J170">
        <v>3503</v>
      </c>
      <c r="K170">
        <v>439528</v>
      </c>
      <c r="L170">
        <f t="shared" si="4"/>
        <v>81.010969699870273</v>
      </c>
      <c r="M170">
        <f t="shared" si="5"/>
        <v>348</v>
      </c>
    </row>
    <row r="171" spans="1:13" x14ac:dyDescent="0.4">
      <c r="A171" t="s">
        <v>111</v>
      </c>
      <c r="B171" t="s">
        <v>54</v>
      </c>
      <c r="C171" s="1">
        <v>45514</v>
      </c>
      <c r="D171" s="1">
        <v>45302</v>
      </c>
      <c r="E171" t="s">
        <v>13</v>
      </c>
      <c r="F171">
        <v>1771.4</v>
      </c>
      <c r="G171">
        <v>471</v>
      </c>
      <c r="H171">
        <v>101</v>
      </c>
      <c r="I171">
        <v>61496.959999999999</v>
      </c>
      <c r="J171">
        <v>4698</v>
      </c>
      <c r="K171">
        <v>88228</v>
      </c>
      <c r="L171">
        <f t="shared" si="4"/>
        <v>3371.6585751383086</v>
      </c>
      <c r="M171">
        <f t="shared" si="5"/>
        <v>212</v>
      </c>
    </row>
    <row r="172" spans="1:13" x14ac:dyDescent="0.4">
      <c r="A172" t="s">
        <v>112</v>
      </c>
      <c r="B172" t="s">
        <v>25</v>
      </c>
      <c r="C172" s="1">
        <v>45332</v>
      </c>
      <c r="D172" s="1">
        <v>45294</v>
      </c>
      <c r="E172" t="s">
        <v>16</v>
      </c>
      <c r="F172">
        <v>1840.34</v>
      </c>
      <c r="G172">
        <v>1494</v>
      </c>
      <c r="H172">
        <v>173</v>
      </c>
      <c r="I172">
        <v>51556.6</v>
      </c>
      <c r="J172">
        <v>5108</v>
      </c>
      <c r="K172">
        <v>336087</v>
      </c>
      <c r="L172">
        <f t="shared" si="4"/>
        <v>2701.4714672288819</v>
      </c>
      <c r="M172">
        <f t="shared" si="5"/>
        <v>38</v>
      </c>
    </row>
    <row r="173" spans="1:13" x14ac:dyDescent="0.4">
      <c r="A173" t="s">
        <v>73</v>
      </c>
      <c r="B173" t="s">
        <v>43</v>
      </c>
      <c r="C173" s="1">
        <v>45495</v>
      </c>
      <c r="D173" s="1">
        <v>45295</v>
      </c>
      <c r="E173" t="s">
        <v>16</v>
      </c>
      <c r="F173">
        <v>45913.56</v>
      </c>
      <c r="G173">
        <v>1259</v>
      </c>
      <c r="H173">
        <v>173</v>
      </c>
      <c r="I173">
        <v>46640.86</v>
      </c>
      <c r="J173">
        <v>6322</v>
      </c>
      <c r="K173">
        <v>477006</v>
      </c>
      <c r="L173">
        <f t="shared" si="4"/>
        <v>1.5840636186782355</v>
      </c>
      <c r="M173">
        <f t="shared" si="5"/>
        <v>200</v>
      </c>
    </row>
    <row r="174" spans="1:13" x14ac:dyDescent="0.4">
      <c r="A174" t="s">
        <v>56</v>
      </c>
      <c r="B174" t="s">
        <v>33</v>
      </c>
      <c r="C174" s="1">
        <v>45555</v>
      </c>
      <c r="D174" s="1">
        <v>45298</v>
      </c>
      <c r="E174" t="s">
        <v>34</v>
      </c>
      <c r="F174">
        <v>35601.769999999997</v>
      </c>
      <c r="G174">
        <v>413</v>
      </c>
      <c r="H174">
        <v>155</v>
      </c>
      <c r="I174">
        <v>85173.15</v>
      </c>
      <c r="J174">
        <v>4109</v>
      </c>
      <c r="K174">
        <v>81770</v>
      </c>
      <c r="L174">
        <f t="shared" si="4"/>
        <v>139.23852662381674</v>
      </c>
      <c r="M174">
        <f t="shared" si="5"/>
        <v>257</v>
      </c>
    </row>
    <row r="175" spans="1:13" x14ac:dyDescent="0.4">
      <c r="A175" t="s">
        <v>104</v>
      </c>
      <c r="B175" t="s">
        <v>21</v>
      </c>
      <c r="C175" s="1">
        <v>45619</v>
      </c>
      <c r="D175" s="1">
        <v>45297</v>
      </c>
      <c r="E175" t="s">
        <v>16</v>
      </c>
      <c r="F175">
        <v>16138.84</v>
      </c>
      <c r="G175">
        <v>1680</v>
      </c>
      <c r="H175">
        <v>75</v>
      </c>
      <c r="I175">
        <v>142286.13</v>
      </c>
      <c r="J175">
        <v>2835</v>
      </c>
      <c r="K175">
        <v>53726</v>
      </c>
      <c r="L175">
        <f t="shared" si="4"/>
        <v>781.63789962599549</v>
      </c>
      <c r="M175">
        <f t="shared" si="5"/>
        <v>322</v>
      </c>
    </row>
    <row r="176" spans="1:13" x14ac:dyDescent="0.4">
      <c r="A176" t="s">
        <v>99</v>
      </c>
      <c r="B176" t="s">
        <v>51</v>
      </c>
      <c r="C176" s="1">
        <v>45469</v>
      </c>
      <c r="D176" s="1">
        <v>45302</v>
      </c>
      <c r="E176" t="s">
        <v>26</v>
      </c>
      <c r="F176">
        <v>7499.58</v>
      </c>
      <c r="G176">
        <v>427</v>
      </c>
      <c r="H176">
        <v>7</v>
      </c>
      <c r="I176">
        <v>47403.32</v>
      </c>
      <c r="J176">
        <v>4591</v>
      </c>
      <c r="K176">
        <v>416427</v>
      </c>
      <c r="L176">
        <f t="shared" si="4"/>
        <v>532.07966312780184</v>
      </c>
      <c r="M176">
        <f t="shared" si="5"/>
        <v>167</v>
      </c>
    </row>
    <row r="177" spans="1:13" x14ac:dyDescent="0.4">
      <c r="A177" t="s">
        <v>113</v>
      </c>
      <c r="B177" t="s">
        <v>15</v>
      </c>
      <c r="C177" s="1">
        <v>45639</v>
      </c>
      <c r="D177" s="1">
        <v>45300</v>
      </c>
      <c r="E177" t="s">
        <v>13</v>
      </c>
      <c r="F177">
        <v>26070.15</v>
      </c>
      <c r="G177">
        <v>1596</v>
      </c>
      <c r="H177">
        <v>318</v>
      </c>
      <c r="I177">
        <v>76502.38</v>
      </c>
      <c r="J177">
        <v>8693</v>
      </c>
      <c r="K177">
        <v>423696</v>
      </c>
      <c r="L177">
        <f t="shared" si="4"/>
        <v>193.44817732157276</v>
      </c>
      <c r="M177">
        <f t="shared" si="5"/>
        <v>339</v>
      </c>
    </row>
    <row r="178" spans="1:13" x14ac:dyDescent="0.4">
      <c r="A178" t="s">
        <v>57</v>
      </c>
      <c r="B178" t="s">
        <v>15</v>
      </c>
      <c r="C178" s="1">
        <v>45609</v>
      </c>
      <c r="D178" s="1">
        <v>45299</v>
      </c>
      <c r="E178" t="s">
        <v>26</v>
      </c>
      <c r="F178">
        <v>1261.96</v>
      </c>
      <c r="G178">
        <v>629</v>
      </c>
      <c r="H178">
        <v>36</v>
      </c>
      <c r="I178">
        <v>81228.899999999994</v>
      </c>
      <c r="J178">
        <v>1074</v>
      </c>
      <c r="K178">
        <v>310924</v>
      </c>
      <c r="L178">
        <f t="shared" si="4"/>
        <v>6336.7254112650153</v>
      </c>
      <c r="M178">
        <f t="shared" si="5"/>
        <v>310</v>
      </c>
    </row>
    <row r="179" spans="1:13" x14ac:dyDescent="0.4">
      <c r="A179" t="s">
        <v>94</v>
      </c>
      <c r="B179" t="s">
        <v>21</v>
      </c>
      <c r="C179" s="1">
        <v>45375</v>
      </c>
      <c r="D179" s="1">
        <v>45300</v>
      </c>
      <c r="E179" t="s">
        <v>26</v>
      </c>
      <c r="F179">
        <v>46982.27</v>
      </c>
      <c r="G179">
        <v>940</v>
      </c>
      <c r="H179">
        <v>291</v>
      </c>
      <c r="I179">
        <v>195409.02</v>
      </c>
      <c r="J179">
        <v>323</v>
      </c>
      <c r="K179">
        <v>189210</v>
      </c>
      <c r="L179">
        <f t="shared" si="4"/>
        <v>315.92077181455898</v>
      </c>
      <c r="M179">
        <f t="shared" si="5"/>
        <v>75</v>
      </c>
    </row>
    <row r="180" spans="1:13" x14ac:dyDescent="0.4">
      <c r="A180" t="s">
        <v>60</v>
      </c>
      <c r="B180" t="s">
        <v>30</v>
      </c>
      <c r="C180" s="1">
        <v>45609</v>
      </c>
      <c r="D180" s="1">
        <v>45294</v>
      </c>
      <c r="E180" t="s">
        <v>16</v>
      </c>
      <c r="F180">
        <v>21325.94</v>
      </c>
      <c r="G180">
        <v>771</v>
      </c>
      <c r="H180">
        <v>86</v>
      </c>
      <c r="I180">
        <v>191159.94</v>
      </c>
      <c r="J180">
        <v>4713</v>
      </c>
      <c r="K180">
        <v>222454</v>
      </c>
      <c r="L180">
        <f t="shared" si="4"/>
        <v>796.37286797205661</v>
      </c>
      <c r="M180">
        <f t="shared" si="5"/>
        <v>315</v>
      </c>
    </row>
    <row r="181" spans="1:13" x14ac:dyDescent="0.4">
      <c r="A181" t="s">
        <v>114</v>
      </c>
      <c r="B181" t="s">
        <v>21</v>
      </c>
      <c r="C181" s="1">
        <v>45402</v>
      </c>
      <c r="D181" s="1">
        <v>45294</v>
      </c>
      <c r="E181" t="s">
        <v>26</v>
      </c>
      <c r="F181">
        <v>20714.41</v>
      </c>
      <c r="G181">
        <v>1269</v>
      </c>
      <c r="H181">
        <v>47</v>
      </c>
      <c r="I181">
        <v>161026.82999999999</v>
      </c>
      <c r="J181">
        <v>6877</v>
      </c>
      <c r="K181">
        <v>305647</v>
      </c>
      <c r="L181">
        <f t="shared" si="4"/>
        <v>677.36623925084029</v>
      </c>
      <c r="M181">
        <f t="shared" si="5"/>
        <v>108</v>
      </c>
    </row>
    <row r="182" spans="1:13" x14ac:dyDescent="0.4">
      <c r="A182" t="s">
        <v>81</v>
      </c>
      <c r="B182" t="s">
        <v>21</v>
      </c>
      <c r="C182" s="1">
        <v>45542</v>
      </c>
      <c r="D182" s="1">
        <v>45301</v>
      </c>
      <c r="E182" t="s">
        <v>16</v>
      </c>
      <c r="F182">
        <v>20139.09</v>
      </c>
      <c r="G182">
        <v>930</v>
      </c>
      <c r="H182">
        <v>395</v>
      </c>
      <c r="I182">
        <v>52123.49</v>
      </c>
      <c r="J182">
        <v>8527</v>
      </c>
      <c r="K182">
        <v>321037</v>
      </c>
      <c r="L182">
        <f t="shared" si="4"/>
        <v>158.81750367072195</v>
      </c>
      <c r="M182">
        <f t="shared" si="5"/>
        <v>241</v>
      </c>
    </row>
    <row r="183" spans="1:13" x14ac:dyDescent="0.4">
      <c r="A183" t="s">
        <v>99</v>
      </c>
      <c r="B183" t="s">
        <v>15</v>
      </c>
      <c r="C183" s="1">
        <v>45298</v>
      </c>
      <c r="D183" s="1">
        <v>45295</v>
      </c>
      <c r="E183" t="s">
        <v>13</v>
      </c>
      <c r="F183">
        <v>4397.09</v>
      </c>
      <c r="G183">
        <v>1171</v>
      </c>
      <c r="H183">
        <v>109</v>
      </c>
      <c r="I183">
        <v>18267.28</v>
      </c>
      <c r="J183">
        <v>4311</v>
      </c>
      <c r="K183">
        <v>178265</v>
      </c>
      <c r="L183">
        <f t="shared" si="4"/>
        <v>315.4402115944863</v>
      </c>
      <c r="M183">
        <f t="shared" si="5"/>
        <v>3</v>
      </c>
    </row>
    <row r="184" spans="1:13" x14ac:dyDescent="0.4">
      <c r="A184" t="s">
        <v>99</v>
      </c>
      <c r="B184" t="s">
        <v>51</v>
      </c>
      <c r="C184" s="1">
        <v>45375</v>
      </c>
      <c r="D184" s="1">
        <v>45302</v>
      </c>
      <c r="E184" t="s">
        <v>13</v>
      </c>
      <c r="F184">
        <v>32277.79</v>
      </c>
      <c r="G184">
        <v>654</v>
      </c>
      <c r="H184">
        <v>5</v>
      </c>
      <c r="I184">
        <v>66796.31</v>
      </c>
      <c r="J184">
        <v>325</v>
      </c>
      <c r="K184">
        <v>246074</v>
      </c>
      <c r="L184">
        <f t="shared" si="4"/>
        <v>106.94201802539764</v>
      </c>
      <c r="M184">
        <f t="shared" si="5"/>
        <v>73</v>
      </c>
    </row>
    <row r="185" spans="1:13" x14ac:dyDescent="0.4">
      <c r="A185" t="s">
        <v>74</v>
      </c>
      <c r="B185" t="s">
        <v>12</v>
      </c>
      <c r="C185" s="1">
        <v>45499</v>
      </c>
      <c r="D185" s="1">
        <v>45300</v>
      </c>
      <c r="E185" t="s">
        <v>26</v>
      </c>
      <c r="F185">
        <v>36917.18</v>
      </c>
      <c r="G185">
        <v>71</v>
      </c>
      <c r="H185">
        <v>65</v>
      </c>
      <c r="I185">
        <v>57024.94</v>
      </c>
      <c r="J185">
        <v>8283</v>
      </c>
      <c r="K185">
        <v>324502</v>
      </c>
      <c r="L185">
        <f t="shared" si="4"/>
        <v>54.467215534881049</v>
      </c>
      <c r="M185">
        <f t="shared" si="5"/>
        <v>199</v>
      </c>
    </row>
    <row r="186" spans="1:13" x14ac:dyDescent="0.4">
      <c r="A186" t="s">
        <v>72</v>
      </c>
      <c r="B186" t="s">
        <v>54</v>
      </c>
      <c r="C186" s="1">
        <v>45605</v>
      </c>
      <c r="D186" s="1">
        <v>45299</v>
      </c>
      <c r="E186" t="s">
        <v>34</v>
      </c>
      <c r="F186">
        <v>34130.14</v>
      </c>
      <c r="G186">
        <v>1523</v>
      </c>
      <c r="H186">
        <v>274</v>
      </c>
      <c r="I186">
        <v>103655.53</v>
      </c>
      <c r="J186">
        <v>4377</v>
      </c>
      <c r="K186">
        <v>81857</v>
      </c>
      <c r="L186">
        <f t="shared" si="4"/>
        <v>203.70672373450566</v>
      </c>
      <c r="M186">
        <f t="shared" si="5"/>
        <v>306</v>
      </c>
    </row>
    <row r="187" spans="1:13" x14ac:dyDescent="0.4">
      <c r="A187" t="s">
        <v>44</v>
      </c>
      <c r="B187" t="s">
        <v>31</v>
      </c>
      <c r="C187" s="1">
        <v>45313</v>
      </c>
      <c r="D187" s="1">
        <v>45294</v>
      </c>
      <c r="E187" t="s">
        <v>16</v>
      </c>
      <c r="F187">
        <v>7783.34</v>
      </c>
      <c r="G187">
        <v>1245</v>
      </c>
      <c r="H187">
        <v>184</v>
      </c>
      <c r="I187">
        <v>156656.94</v>
      </c>
      <c r="J187">
        <v>1441</v>
      </c>
      <c r="K187">
        <v>472398</v>
      </c>
      <c r="L187">
        <f t="shared" si="4"/>
        <v>1912.7212739004081</v>
      </c>
      <c r="M187">
        <f t="shared" si="5"/>
        <v>19</v>
      </c>
    </row>
    <row r="188" spans="1:13" x14ac:dyDescent="0.4">
      <c r="A188" t="s">
        <v>60</v>
      </c>
      <c r="B188" t="s">
        <v>18</v>
      </c>
      <c r="C188" s="1">
        <v>45294</v>
      </c>
      <c r="D188" s="1">
        <v>45294</v>
      </c>
      <c r="E188" t="s">
        <v>16</v>
      </c>
      <c r="F188">
        <v>29363.17</v>
      </c>
      <c r="G188">
        <v>432</v>
      </c>
      <c r="H188">
        <v>228</v>
      </c>
      <c r="I188">
        <v>172372.97</v>
      </c>
      <c r="J188">
        <v>4136</v>
      </c>
      <c r="K188">
        <v>383601</v>
      </c>
      <c r="L188">
        <f t="shared" si="4"/>
        <v>487.03801394740418</v>
      </c>
      <c r="M188">
        <f t="shared" si="5"/>
        <v>0</v>
      </c>
    </row>
    <row r="189" spans="1:13" x14ac:dyDescent="0.4">
      <c r="A189" t="s">
        <v>29</v>
      </c>
      <c r="B189" t="s">
        <v>18</v>
      </c>
      <c r="C189" s="1">
        <v>45418</v>
      </c>
      <c r="D189" s="1">
        <v>45295</v>
      </c>
      <c r="E189" t="s">
        <v>26</v>
      </c>
      <c r="F189">
        <v>28904.74</v>
      </c>
      <c r="G189">
        <v>183</v>
      </c>
      <c r="H189">
        <v>10</v>
      </c>
      <c r="I189">
        <v>169748.5</v>
      </c>
      <c r="J189">
        <v>8501</v>
      </c>
      <c r="K189">
        <v>416333</v>
      </c>
      <c r="L189">
        <f t="shared" si="4"/>
        <v>487.26873170282801</v>
      </c>
      <c r="M189">
        <f t="shared" si="5"/>
        <v>123</v>
      </c>
    </row>
    <row r="190" spans="1:13" x14ac:dyDescent="0.4">
      <c r="A190" t="s">
        <v>58</v>
      </c>
      <c r="B190" t="s">
        <v>25</v>
      </c>
      <c r="C190" s="1">
        <v>45588</v>
      </c>
      <c r="D190" s="1">
        <v>45299</v>
      </c>
      <c r="E190" t="s">
        <v>16</v>
      </c>
      <c r="F190">
        <v>43552.13</v>
      </c>
      <c r="G190">
        <v>1499</v>
      </c>
      <c r="H190">
        <v>107</v>
      </c>
      <c r="I190">
        <v>75136.73</v>
      </c>
      <c r="J190">
        <v>3827</v>
      </c>
      <c r="K190">
        <v>260405</v>
      </c>
      <c r="L190">
        <f t="shared" si="4"/>
        <v>72.521366922811808</v>
      </c>
      <c r="M190">
        <f t="shared" si="5"/>
        <v>289</v>
      </c>
    </row>
    <row r="191" spans="1:13" x14ac:dyDescent="0.4">
      <c r="A191" t="s">
        <v>52</v>
      </c>
      <c r="B191" t="s">
        <v>51</v>
      </c>
      <c r="C191" s="1">
        <v>45479</v>
      </c>
      <c r="D191" s="1">
        <v>45299</v>
      </c>
      <c r="E191" t="s">
        <v>16</v>
      </c>
      <c r="F191">
        <v>19577.259999999998</v>
      </c>
      <c r="G191">
        <v>1098</v>
      </c>
      <c r="H191">
        <v>14</v>
      </c>
      <c r="I191">
        <v>139010.70000000001</v>
      </c>
      <c r="J191">
        <v>4028</v>
      </c>
      <c r="K191">
        <v>191128</v>
      </c>
      <c r="L191">
        <f t="shared" si="4"/>
        <v>610.06208223214094</v>
      </c>
      <c r="M191">
        <f t="shared" si="5"/>
        <v>180</v>
      </c>
    </row>
    <row r="192" spans="1:13" x14ac:dyDescent="0.4">
      <c r="A192" t="s">
        <v>60</v>
      </c>
      <c r="B192" t="s">
        <v>25</v>
      </c>
      <c r="C192" s="1">
        <v>45653</v>
      </c>
      <c r="D192" s="1">
        <v>45295</v>
      </c>
      <c r="E192" t="s">
        <v>34</v>
      </c>
      <c r="F192">
        <v>19202.810000000001</v>
      </c>
      <c r="G192">
        <v>552</v>
      </c>
      <c r="H192">
        <v>75</v>
      </c>
      <c r="I192">
        <v>66002.67</v>
      </c>
      <c r="J192">
        <v>2903</v>
      </c>
      <c r="K192">
        <v>118928</v>
      </c>
      <c r="L192">
        <f t="shared" si="4"/>
        <v>243.71360233215867</v>
      </c>
      <c r="M192">
        <f t="shared" si="5"/>
        <v>358</v>
      </c>
    </row>
    <row r="193" spans="1:13" x14ac:dyDescent="0.4">
      <c r="A193" t="s">
        <v>115</v>
      </c>
      <c r="B193" t="s">
        <v>33</v>
      </c>
      <c r="C193" s="1">
        <v>45305</v>
      </c>
      <c r="D193" s="1">
        <v>45294</v>
      </c>
      <c r="E193" t="s">
        <v>34</v>
      </c>
      <c r="F193">
        <v>31307.83</v>
      </c>
      <c r="G193">
        <v>1258</v>
      </c>
      <c r="H193">
        <v>94</v>
      </c>
      <c r="I193">
        <v>16876.580000000002</v>
      </c>
      <c r="J193">
        <v>9401</v>
      </c>
      <c r="K193">
        <v>59706</v>
      </c>
      <c r="L193">
        <f t="shared" si="4"/>
        <v>-46.094698993829972</v>
      </c>
      <c r="M193">
        <f t="shared" si="5"/>
        <v>11</v>
      </c>
    </row>
    <row r="194" spans="1:13" x14ac:dyDescent="0.4">
      <c r="A194" t="s">
        <v>96</v>
      </c>
      <c r="B194" t="s">
        <v>33</v>
      </c>
      <c r="C194" s="1">
        <v>45303</v>
      </c>
      <c r="D194" s="1">
        <v>45298</v>
      </c>
      <c r="E194" t="s">
        <v>26</v>
      </c>
      <c r="F194">
        <v>32020.560000000001</v>
      </c>
      <c r="G194">
        <v>1158</v>
      </c>
      <c r="H194">
        <v>230</v>
      </c>
      <c r="I194">
        <v>141805.23000000001</v>
      </c>
      <c r="J194">
        <v>6658</v>
      </c>
      <c r="K194">
        <v>464645</v>
      </c>
      <c r="L194">
        <f t="shared" si="4"/>
        <v>342.85680825069898</v>
      </c>
      <c r="M194">
        <f t="shared" si="5"/>
        <v>5</v>
      </c>
    </row>
    <row r="195" spans="1:13" x14ac:dyDescent="0.4">
      <c r="A195" t="s">
        <v>105</v>
      </c>
      <c r="B195" t="s">
        <v>25</v>
      </c>
      <c r="C195" s="1">
        <v>45378</v>
      </c>
      <c r="D195" s="1">
        <v>45298</v>
      </c>
      <c r="E195" t="s">
        <v>34</v>
      </c>
      <c r="F195">
        <v>23994.98</v>
      </c>
      <c r="G195">
        <v>1640</v>
      </c>
      <c r="H195">
        <v>162</v>
      </c>
      <c r="I195">
        <v>6916.37</v>
      </c>
      <c r="J195">
        <v>493</v>
      </c>
      <c r="K195">
        <v>403692</v>
      </c>
      <c r="L195">
        <f t="shared" ref="L195:L258" si="6">(I195 - F195)/F195*100</f>
        <v>-71.175762597009879</v>
      </c>
      <c r="M195">
        <f t="shared" ref="M195:M258" si="7">ABS(D195 - C195)</f>
        <v>80</v>
      </c>
    </row>
    <row r="196" spans="1:13" x14ac:dyDescent="0.4">
      <c r="A196" t="s">
        <v>60</v>
      </c>
      <c r="B196" t="s">
        <v>51</v>
      </c>
      <c r="C196" s="1">
        <v>45303</v>
      </c>
      <c r="D196" s="1">
        <v>45295</v>
      </c>
      <c r="E196" t="s">
        <v>26</v>
      </c>
      <c r="F196">
        <v>22709.91</v>
      </c>
      <c r="G196">
        <v>1836</v>
      </c>
      <c r="H196">
        <v>232</v>
      </c>
      <c r="I196">
        <v>84790.6</v>
      </c>
      <c r="J196">
        <v>6939</v>
      </c>
      <c r="K196">
        <v>345950</v>
      </c>
      <c r="L196">
        <f t="shared" si="6"/>
        <v>273.36387506599544</v>
      </c>
      <c r="M196">
        <f t="shared" si="7"/>
        <v>8</v>
      </c>
    </row>
    <row r="197" spans="1:13" x14ac:dyDescent="0.4">
      <c r="A197" t="s">
        <v>107</v>
      </c>
      <c r="B197" t="s">
        <v>25</v>
      </c>
      <c r="C197" s="1">
        <v>45316</v>
      </c>
      <c r="D197" s="1">
        <v>45299</v>
      </c>
      <c r="E197" t="s">
        <v>13</v>
      </c>
      <c r="F197">
        <v>25213.24</v>
      </c>
      <c r="G197">
        <v>193</v>
      </c>
      <c r="H197">
        <v>409</v>
      </c>
      <c r="I197">
        <v>69228.960000000006</v>
      </c>
      <c r="J197">
        <v>9135</v>
      </c>
      <c r="K197">
        <v>56006</v>
      </c>
      <c r="L197">
        <f t="shared" si="6"/>
        <v>174.57383501684035</v>
      </c>
      <c r="M197">
        <f t="shared" si="7"/>
        <v>17</v>
      </c>
    </row>
    <row r="198" spans="1:13" x14ac:dyDescent="0.4">
      <c r="A198" t="s">
        <v>38</v>
      </c>
      <c r="B198" t="s">
        <v>18</v>
      </c>
      <c r="C198" s="1">
        <v>45592</v>
      </c>
      <c r="D198" s="1">
        <v>45302</v>
      </c>
      <c r="E198" t="s">
        <v>26</v>
      </c>
      <c r="F198">
        <v>43191.22</v>
      </c>
      <c r="G198">
        <v>1936</v>
      </c>
      <c r="H198">
        <v>130</v>
      </c>
      <c r="I198">
        <v>140208.62</v>
      </c>
      <c r="J198">
        <v>9816</v>
      </c>
      <c r="K198">
        <v>88238</v>
      </c>
      <c r="L198">
        <f t="shared" si="6"/>
        <v>224.62296735308703</v>
      </c>
      <c r="M198">
        <f t="shared" si="7"/>
        <v>290</v>
      </c>
    </row>
    <row r="199" spans="1:13" x14ac:dyDescent="0.4">
      <c r="A199" t="s">
        <v>116</v>
      </c>
      <c r="B199" t="s">
        <v>28</v>
      </c>
      <c r="C199" s="1">
        <v>45534</v>
      </c>
      <c r="D199" s="1">
        <v>45295</v>
      </c>
      <c r="E199" t="s">
        <v>13</v>
      </c>
      <c r="F199">
        <v>23597.18</v>
      </c>
      <c r="G199">
        <v>1983</v>
      </c>
      <c r="H199">
        <v>448</v>
      </c>
      <c r="I199">
        <v>154417.87</v>
      </c>
      <c r="J199">
        <v>8895</v>
      </c>
      <c r="K199">
        <v>249018</v>
      </c>
      <c r="L199">
        <f t="shared" si="6"/>
        <v>554.39120267760802</v>
      </c>
      <c r="M199">
        <f t="shared" si="7"/>
        <v>239</v>
      </c>
    </row>
    <row r="200" spans="1:13" x14ac:dyDescent="0.4">
      <c r="A200" t="s">
        <v>19</v>
      </c>
      <c r="B200" t="s">
        <v>36</v>
      </c>
      <c r="C200" s="1">
        <v>45413</v>
      </c>
      <c r="D200" s="1">
        <v>45295</v>
      </c>
      <c r="E200" t="s">
        <v>26</v>
      </c>
      <c r="F200">
        <v>47056.66</v>
      </c>
      <c r="G200">
        <v>1752</v>
      </c>
      <c r="H200">
        <v>213</v>
      </c>
      <c r="I200">
        <v>64298.45</v>
      </c>
      <c r="J200">
        <v>681</v>
      </c>
      <c r="K200">
        <v>464134</v>
      </c>
      <c r="L200">
        <f t="shared" si="6"/>
        <v>36.640488296449412</v>
      </c>
      <c r="M200">
        <f t="shared" si="7"/>
        <v>118</v>
      </c>
    </row>
    <row r="201" spans="1:13" x14ac:dyDescent="0.4">
      <c r="A201" t="s">
        <v>105</v>
      </c>
      <c r="B201" t="s">
        <v>15</v>
      </c>
      <c r="C201" s="1">
        <v>45438</v>
      </c>
      <c r="D201" s="1">
        <v>45296</v>
      </c>
      <c r="E201" t="s">
        <v>16</v>
      </c>
      <c r="F201">
        <v>25696.18</v>
      </c>
      <c r="G201">
        <v>1485</v>
      </c>
      <c r="H201">
        <v>101</v>
      </c>
      <c r="I201">
        <v>163267.26999999999</v>
      </c>
      <c r="J201">
        <v>232</v>
      </c>
      <c r="K201">
        <v>195227</v>
      </c>
      <c r="L201">
        <f t="shared" si="6"/>
        <v>535.37564727519805</v>
      </c>
      <c r="M201">
        <f t="shared" si="7"/>
        <v>142</v>
      </c>
    </row>
    <row r="202" spans="1:13" x14ac:dyDescent="0.4">
      <c r="A202" t="s">
        <v>70</v>
      </c>
      <c r="B202" t="s">
        <v>15</v>
      </c>
      <c r="C202" s="1">
        <v>45346</v>
      </c>
      <c r="D202" s="1">
        <v>45300</v>
      </c>
      <c r="E202" t="s">
        <v>34</v>
      </c>
      <c r="F202">
        <v>47510.83</v>
      </c>
      <c r="G202">
        <v>273</v>
      </c>
      <c r="H202">
        <v>78</v>
      </c>
      <c r="I202">
        <v>62313.77</v>
      </c>
      <c r="J202">
        <v>2938</v>
      </c>
      <c r="K202">
        <v>461537</v>
      </c>
      <c r="L202">
        <f t="shared" si="6"/>
        <v>31.156980418990777</v>
      </c>
      <c r="M202">
        <f t="shared" si="7"/>
        <v>46</v>
      </c>
    </row>
    <row r="203" spans="1:13" x14ac:dyDescent="0.4">
      <c r="A203" t="s">
        <v>60</v>
      </c>
      <c r="B203" t="s">
        <v>43</v>
      </c>
      <c r="C203" s="1">
        <v>45529</v>
      </c>
      <c r="D203" s="1">
        <v>45299</v>
      </c>
      <c r="E203" t="s">
        <v>13</v>
      </c>
      <c r="F203">
        <v>41808.76</v>
      </c>
      <c r="G203">
        <v>269</v>
      </c>
      <c r="H203">
        <v>119</v>
      </c>
      <c r="I203">
        <v>92033.64</v>
      </c>
      <c r="J203">
        <v>3485</v>
      </c>
      <c r="K203">
        <v>308942</v>
      </c>
      <c r="L203">
        <f t="shared" si="6"/>
        <v>120.1300397332999</v>
      </c>
      <c r="M203">
        <f t="shared" si="7"/>
        <v>230</v>
      </c>
    </row>
    <row r="204" spans="1:13" x14ac:dyDescent="0.4">
      <c r="A204" t="s">
        <v>102</v>
      </c>
      <c r="B204" t="s">
        <v>21</v>
      </c>
      <c r="C204" s="1">
        <v>45647</v>
      </c>
      <c r="D204" s="1">
        <v>45301</v>
      </c>
      <c r="E204" t="s">
        <v>26</v>
      </c>
      <c r="F204">
        <v>18759.13</v>
      </c>
      <c r="G204">
        <v>228</v>
      </c>
      <c r="H204">
        <v>195</v>
      </c>
      <c r="I204">
        <v>146768.60999999999</v>
      </c>
      <c r="J204">
        <v>3870</v>
      </c>
      <c r="K204">
        <v>78271</v>
      </c>
      <c r="L204">
        <f t="shared" si="6"/>
        <v>682.38495068801149</v>
      </c>
      <c r="M204">
        <f t="shared" si="7"/>
        <v>346</v>
      </c>
    </row>
    <row r="205" spans="1:13" x14ac:dyDescent="0.4">
      <c r="A205" t="s">
        <v>115</v>
      </c>
      <c r="B205" t="s">
        <v>36</v>
      </c>
      <c r="C205" s="1">
        <v>45464</v>
      </c>
      <c r="D205" s="1">
        <v>45301</v>
      </c>
      <c r="E205" t="s">
        <v>34</v>
      </c>
      <c r="F205">
        <v>43318.43</v>
      </c>
      <c r="G205">
        <v>1704</v>
      </c>
      <c r="H205">
        <v>499</v>
      </c>
      <c r="I205">
        <v>140119.44</v>
      </c>
      <c r="J205">
        <v>2368</v>
      </c>
      <c r="K205">
        <v>293321</v>
      </c>
      <c r="L205">
        <f t="shared" si="6"/>
        <v>223.46380051169908</v>
      </c>
      <c r="M205">
        <f t="shared" si="7"/>
        <v>163</v>
      </c>
    </row>
    <row r="206" spans="1:13" x14ac:dyDescent="0.4">
      <c r="A206" t="s">
        <v>62</v>
      </c>
      <c r="B206" t="s">
        <v>54</v>
      </c>
      <c r="C206" s="1">
        <v>45512</v>
      </c>
      <c r="D206" s="1">
        <v>45299</v>
      </c>
      <c r="E206" t="s">
        <v>26</v>
      </c>
      <c r="F206">
        <v>6393.1</v>
      </c>
      <c r="G206">
        <v>482</v>
      </c>
      <c r="H206">
        <v>174</v>
      </c>
      <c r="I206">
        <v>197536.85</v>
      </c>
      <c r="J206">
        <v>1075</v>
      </c>
      <c r="K206">
        <v>490464</v>
      </c>
      <c r="L206">
        <f t="shared" si="6"/>
        <v>2989.8445198729878</v>
      </c>
      <c r="M206">
        <f t="shared" si="7"/>
        <v>213</v>
      </c>
    </row>
    <row r="207" spans="1:13" x14ac:dyDescent="0.4">
      <c r="A207" t="s">
        <v>74</v>
      </c>
      <c r="B207" t="s">
        <v>51</v>
      </c>
      <c r="C207" s="1">
        <v>45410</v>
      </c>
      <c r="D207" s="1">
        <v>45296</v>
      </c>
      <c r="E207" t="s">
        <v>34</v>
      </c>
      <c r="F207">
        <v>46327.31</v>
      </c>
      <c r="G207">
        <v>314</v>
      </c>
      <c r="H207">
        <v>311</v>
      </c>
      <c r="I207">
        <v>48906.400000000001</v>
      </c>
      <c r="J207">
        <v>7705</v>
      </c>
      <c r="K207">
        <v>391166</v>
      </c>
      <c r="L207">
        <f t="shared" si="6"/>
        <v>5.5671050186164575</v>
      </c>
      <c r="M207">
        <f t="shared" si="7"/>
        <v>114</v>
      </c>
    </row>
    <row r="208" spans="1:13" x14ac:dyDescent="0.4">
      <c r="A208" t="s">
        <v>37</v>
      </c>
      <c r="B208" t="s">
        <v>40</v>
      </c>
      <c r="C208" s="1">
        <v>45600</v>
      </c>
      <c r="D208" s="1">
        <v>45296</v>
      </c>
      <c r="E208" t="s">
        <v>34</v>
      </c>
      <c r="F208">
        <v>31950.53</v>
      </c>
      <c r="G208">
        <v>1003</v>
      </c>
      <c r="H208">
        <v>452</v>
      </c>
      <c r="I208">
        <v>134151.99</v>
      </c>
      <c r="J208">
        <v>7313</v>
      </c>
      <c r="K208">
        <v>393300</v>
      </c>
      <c r="L208">
        <f t="shared" si="6"/>
        <v>319.87406781671541</v>
      </c>
      <c r="M208">
        <f t="shared" si="7"/>
        <v>304</v>
      </c>
    </row>
    <row r="209" spans="1:13" x14ac:dyDescent="0.4">
      <c r="A209" t="s">
        <v>106</v>
      </c>
      <c r="B209" t="s">
        <v>36</v>
      </c>
      <c r="C209" s="1">
        <v>45474</v>
      </c>
      <c r="D209" s="1">
        <v>45294</v>
      </c>
      <c r="E209" t="s">
        <v>26</v>
      </c>
      <c r="F209">
        <v>3665.15</v>
      </c>
      <c r="G209">
        <v>478</v>
      </c>
      <c r="H209">
        <v>208</v>
      </c>
      <c r="I209">
        <v>123887.97</v>
      </c>
      <c r="J209">
        <v>9835</v>
      </c>
      <c r="K209">
        <v>345359</v>
      </c>
      <c r="L209">
        <f t="shared" si="6"/>
        <v>3280.1609756763028</v>
      </c>
      <c r="M209">
        <f t="shared" si="7"/>
        <v>180</v>
      </c>
    </row>
    <row r="210" spans="1:13" x14ac:dyDescent="0.4">
      <c r="A210" t="s">
        <v>56</v>
      </c>
      <c r="B210" t="s">
        <v>43</v>
      </c>
      <c r="C210" s="1">
        <v>45579</v>
      </c>
      <c r="D210" s="1">
        <v>45300</v>
      </c>
      <c r="E210" t="s">
        <v>13</v>
      </c>
      <c r="F210">
        <v>32568.58</v>
      </c>
      <c r="G210">
        <v>1735</v>
      </c>
      <c r="H210">
        <v>60</v>
      </c>
      <c r="I210">
        <v>183444.2</v>
      </c>
      <c r="J210">
        <v>2935</v>
      </c>
      <c r="K210">
        <v>44013</v>
      </c>
      <c r="L210">
        <f t="shared" si="6"/>
        <v>463.25513731332467</v>
      </c>
      <c r="M210">
        <f t="shared" si="7"/>
        <v>279</v>
      </c>
    </row>
    <row r="211" spans="1:13" x14ac:dyDescent="0.4">
      <c r="A211" t="s">
        <v>112</v>
      </c>
      <c r="B211" t="s">
        <v>33</v>
      </c>
      <c r="C211" s="1">
        <v>45598</v>
      </c>
      <c r="D211" s="1">
        <v>45298</v>
      </c>
      <c r="E211" t="s">
        <v>13</v>
      </c>
      <c r="F211">
        <v>48738.14</v>
      </c>
      <c r="G211">
        <v>465</v>
      </c>
      <c r="H211">
        <v>212</v>
      </c>
      <c r="I211">
        <v>35490.620000000003</v>
      </c>
      <c r="J211">
        <v>2838</v>
      </c>
      <c r="K211">
        <v>495117</v>
      </c>
      <c r="L211">
        <f t="shared" si="6"/>
        <v>-27.181012652514021</v>
      </c>
      <c r="M211">
        <f t="shared" si="7"/>
        <v>300</v>
      </c>
    </row>
    <row r="212" spans="1:13" x14ac:dyDescent="0.4">
      <c r="A212" t="s">
        <v>108</v>
      </c>
      <c r="B212" t="s">
        <v>30</v>
      </c>
      <c r="C212" s="1">
        <v>45591</v>
      </c>
      <c r="D212" s="1">
        <v>45297</v>
      </c>
      <c r="E212" t="s">
        <v>16</v>
      </c>
      <c r="F212">
        <v>4420.2299999999996</v>
      </c>
      <c r="G212">
        <v>1526</v>
      </c>
      <c r="H212">
        <v>45</v>
      </c>
      <c r="I212">
        <v>151600.64000000001</v>
      </c>
      <c r="J212">
        <v>9649</v>
      </c>
      <c r="K212">
        <v>83600</v>
      </c>
      <c r="L212">
        <f t="shared" si="6"/>
        <v>3329.7002644658769</v>
      </c>
      <c r="M212">
        <f t="shared" si="7"/>
        <v>294</v>
      </c>
    </row>
    <row r="213" spans="1:13" x14ac:dyDescent="0.4">
      <c r="A213" t="s">
        <v>32</v>
      </c>
      <c r="B213" t="s">
        <v>21</v>
      </c>
      <c r="C213" s="1">
        <v>45373</v>
      </c>
      <c r="D213" s="1">
        <v>45297</v>
      </c>
      <c r="E213" t="s">
        <v>34</v>
      </c>
      <c r="F213">
        <v>28179.7</v>
      </c>
      <c r="G213">
        <v>776</v>
      </c>
      <c r="H213">
        <v>36</v>
      </c>
      <c r="I213">
        <v>115812.38</v>
      </c>
      <c r="J213">
        <v>4234</v>
      </c>
      <c r="K213">
        <v>359243</v>
      </c>
      <c r="L213">
        <f t="shared" si="6"/>
        <v>310.97804447882697</v>
      </c>
      <c r="M213">
        <f t="shared" si="7"/>
        <v>76</v>
      </c>
    </row>
    <row r="214" spans="1:13" x14ac:dyDescent="0.4">
      <c r="A214" t="s">
        <v>11</v>
      </c>
      <c r="B214" t="s">
        <v>43</v>
      </c>
      <c r="C214" s="1">
        <v>45502</v>
      </c>
      <c r="D214" s="1">
        <v>45297</v>
      </c>
      <c r="E214" t="s">
        <v>16</v>
      </c>
      <c r="F214">
        <v>37641.919999999998</v>
      </c>
      <c r="G214">
        <v>246</v>
      </c>
      <c r="H214">
        <v>19</v>
      </c>
      <c r="I214">
        <v>58559.839999999997</v>
      </c>
      <c r="J214">
        <v>9608</v>
      </c>
      <c r="K214">
        <v>316594</v>
      </c>
      <c r="L214">
        <f t="shared" si="6"/>
        <v>55.570810415621729</v>
      </c>
      <c r="M214">
        <f t="shared" si="7"/>
        <v>205</v>
      </c>
    </row>
    <row r="215" spans="1:13" x14ac:dyDescent="0.4">
      <c r="A215" t="s">
        <v>60</v>
      </c>
      <c r="B215" t="s">
        <v>31</v>
      </c>
      <c r="C215" s="1">
        <v>45441</v>
      </c>
      <c r="D215" s="1">
        <v>45299</v>
      </c>
      <c r="E215" t="s">
        <v>16</v>
      </c>
      <c r="F215">
        <v>40702.67</v>
      </c>
      <c r="G215">
        <v>1627</v>
      </c>
      <c r="H215">
        <v>66</v>
      </c>
      <c r="I215">
        <v>97514.81</v>
      </c>
      <c r="J215">
        <v>6933</v>
      </c>
      <c r="K215">
        <v>492844</v>
      </c>
      <c r="L215">
        <f t="shared" si="6"/>
        <v>139.57841094945368</v>
      </c>
      <c r="M215">
        <f t="shared" si="7"/>
        <v>142</v>
      </c>
    </row>
    <row r="216" spans="1:13" x14ac:dyDescent="0.4">
      <c r="A216" t="s">
        <v>50</v>
      </c>
      <c r="B216" t="s">
        <v>40</v>
      </c>
      <c r="C216" s="1">
        <v>45328</v>
      </c>
      <c r="D216" s="1">
        <v>45301</v>
      </c>
      <c r="E216" t="s">
        <v>26</v>
      </c>
      <c r="F216">
        <v>21277.55</v>
      </c>
      <c r="G216">
        <v>1126</v>
      </c>
      <c r="H216">
        <v>159</v>
      </c>
      <c r="I216">
        <v>70086.44</v>
      </c>
      <c r="J216">
        <v>8453</v>
      </c>
      <c r="K216">
        <v>442144</v>
      </c>
      <c r="L216">
        <f t="shared" si="6"/>
        <v>229.3914947914586</v>
      </c>
      <c r="M216">
        <f t="shared" si="7"/>
        <v>27</v>
      </c>
    </row>
    <row r="217" spans="1:13" x14ac:dyDescent="0.4">
      <c r="A217" t="s">
        <v>11</v>
      </c>
      <c r="B217" t="s">
        <v>51</v>
      </c>
      <c r="C217" s="1">
        <v>45643</v>
      </c>
      <c r="D217" s="1">
        <v>45301</v>
      </c>
      <c r="E217" t="s">
        <v>26</v>
      </c>
      <c r="F217">
        <v>11004.16</v>
      </c>
      <c r="G217">
        <v>529</v>
      </c>
      <c r="H217">
        <v>288</v>
      </c>
      <c r="I217">
        <v>117966.11</v>
      </c>
      <c r="J217">
        <v>2009</v>
      </c>
      <c r="K217">
        <v>385784</v>
      </c>
      <c r="L217">
        <f t="shared" si="6"/>
        <v>972.01376570315222</v>
      </c>
      <c r="M217">
        <f t="shared" si="7"/>
        <v>342</v>
      </c>
    </row>
    <row r="218" spans="1:13" x14ac:dyDescent="0.4">
      <c r="A218" t="s">
        <v>100</v>
      </c>
      <c r="B218" t="s">
        <v>21</v>
      </c>
      <c r="C218" s="1">
        <v>45603</v>
      </c>
      <c r="D218" s="1">
        <v>45298</v>
      </c>
      <c r="E218" t="s">
        <v>26</v>
      </c>
      <c r="F218">
        <v>3074.77</v>
      </c>
      <c r="G218">
        <v>1516</v>
      </c>
      <c r="H218">
        <v>213</v>
      </c>
      <c r="I218">
        <v>178355.12</v>
      </c>
      <c r="J218">
        <v>9419</v>
      </c>
      <c r="K218">
        <v>355547</v>
      </c>
      <c r="L218">
        <f t="shared" si="6"/>
        <v>5700.600370108984</v>
      </c>
      <c r="M218">
        <f t="shared" si="7"/>
        <v>305</v>
      </c>
    </row>
    <row r="219" spans="1:13" x14ac:dyDescent="0.4">
      <c r="A219" t="s">
        <v>66</v>
      </c>
      <c r="B219" t="s">
        <v>54</v>
      </c>
      <c r="C219" s="1">
        <v>45652</v>
      </c>
      <c r="D219" s="1">
        <v>45299</v>
      </c>
      <c r="E219" t="s">
        <v>34</v>
      </c>
      <c r="F219">
        <v>29406.58</v>
      </c>
      <c r="G219">
        <v>1403</v>
      </c>
      <c r="H219">
        <v>324</v>
      </c>
      <c r="I219">
        <v>116014.47</v>
      </c>
      <c r="J219">
        <v>9950</v>
      </c>
      <c r="K219">
        <v>439598</v>
      </c>
      <c r="L219">
        <f t="shared" si="6"/>
        <v>294.51874376415071</v>
      </c>
      <c r="M219">
        <f t="shared" si="7"/>
        <v>353</v>
      </c>
    </row>
    <row r="220" spans="1:13" x14ac:dyDescent="0.4">
      <c r="A220" t="s">
        <v>42</v>
      </c>
      <c r="B220" t="s">
        <v>36</v>
      </c>
      <c r="C220" s="1">
        <v>45350</v>
      </c>
      <c r="D220" s="1">
        <v>45297</v>
      </c>
      <c r="E220" t="s">
        <v>26</v>
      </c>
      <c r="F220">
        <v>23192.639999999999</v>
      </c>
      <c r="G220">
        <v>1324</v>
      </c>
      <c r="H220">
        <v>498</v>
      </c>
      <c r="I220">
        <v>128185.87</v>
      </c>
      <c r="J220">
        <v>2063</v>
      </c>
      <c r="K220">
        <v>100290</v>
      </c>
      <c r="L220">
        <f t="shared" si="6"/>
        <v>452.70064123790996</v>
      </c>
      <c r="M220">
        <f t="shared" si="7"/>
        <v>53</v>
      </c>
    </row>
    <row r="221" spans="1:13" x14ac:dyDescent="0.4">
      <c r="A221" t="s">
        <v>38</v>
      </c>
      <c r="B221" t="s">
        <v>33</v>
      </c>
      <c r="C221" s="1">
        <v>45422</v>
      </c>
      <c r="D221" s="1">
        <v>45302</v>
      </c>
      <c r="E221" t="s">
        <v>26</v>
      </c>
      <c r="F221">
        <v>47488.480000000003</v>
      </c>
      <c r="G221">
        <v>1880</v>
      </c>
      <c r="H221">
        <v>191</v>
      </c>
      <c r="I221">
        <v>106155.83</v>
      </c>
      <c r="J221">
        <v>5253</v>
      </c>
      <c r="K221">
        <v>217110</v>
      </c>
      <c r="L221">
        <f t="shared" si="6"/>
        <v>123.54017226914821</v>
      </c>
      <c r="M221">
        <f t="shared" si="7"/>
        <v>120</v>
      </c>
    </row>
    <row r="222" spans="1:13" x14ac:dyDescent="0.4">
      <c r="A222" t="s">
        <v>117</v>
      </c>
      <c r="B222" t="s">
        <v>12</v>
      </c>
      <c r="C222" s="1">
        <v>45493</v>
      </c>
      <c r="D222" s="1">
        <v>45301</v>
      </c>
      <c r="E222" t="s">
        <v>34</v>
      </c>
      <c r="F222">
        <v>3969.64</v>
      </c>
      <c r="G222">
        <v>939</v>
      </c>
      <c r="H222">
        <v>446</v>
      </c>
      <c r="I222">
        <v>14977.27</v>
      </c>
      <c r="J222">
        <v>1066</v>
      </c>
      <c r="K222">
        <v>132832</v>
      </c>
      <c r="L222">
        <f t="shared" si="6"/>
        <v>277.29542225491485</v>
      </c>
      <c r="M222">
        <f t="shared" si="7"/>
        <v>192</v>
      </c>
    </row>
    <row r="223" spans="1:13" x14ac:dyDescent="0.4">
      <c r="A223" t="s">
        <v>78</v>
      </c>
      <c r="B223" t="s">
        <v>28</v>
      </c>
      <c r="C223" s="1">
        <v>45534</v>
      </c>
      <c r="D223" s="1">
        <v>45294</v>
      </c>
      <c r="E223" t="s">
        <v>34</v>
      </c>
      <c r="F223">
        <v>34584.370000000003</v>
      </c>
      <c r="G223">
        <v>1856</v>
      </c>
      <c r="H223">
        <v>134</v>
      </c>
      <c r="I223">
        <v>50407.42</v>
      </c>
      <c r="J223">
        <v>989</v>
      </c>
      <c r="K223">
        <v>25142</v>
      </c>
      <c r="L223">
        <f t="shared" si="6"/>
        <v>45.75202613203593</v>
      </c>
      <c r="M223">
        <f t="shared" si="7"/>
        <v>240</v>
      </c>
    </row>
    <row r="224" spans="1:13" x14ac:dyDescent="0.4">
      <c r="A224" t="s">
        <v>56</v>
      </c>
      <c r="B224" t="s">
        <v>31</v>
      </c>
      <c r="C224" s="1">
        <v>45326</v>
      </c>
      <c r="D224" s="1">
        <v>45295</v>
      </c>
      <c r="E224" t="s">
        <v>13</v>
      </c>
      <c r="F224">
        <v>2223.34</v>
      </c>
      <c r="G224">
        <v>974</v>
      </c>
      <c r="H224">
        <v>131</v>
      </c>
      <c r="I224">
        <v>100940.34</v>
      </c>
      <c r="J224">
        <v>3161</v>
      </c>
      <c r="K224">
        <v>373333</v>
      </c>
      <c r="L224">
        <f t="shared" si="6"/>
        <v>4440.0316640729716</v>
      </c>
      <c r="M224">
        <f t="shared" si="7"/>
        <v>31</v>
      </c>
    </row>
    <row r="225" spans="1:13" x14ac:dyDescent="0.4">
      <c r="A225" t="s">
        <v>42</v>
      </c>
      <c r="B225" t="s">
        <v>40</v>
      </c>
      <c r="C225" s="1">
        <v>45384</v>
      </c>
      <c r="D225" s="1">
        <v>45302</v>
      </c>
      <c r="E225" t="s">
        <v>26</v>
      </c>
      <c r="F225">
        <v>9400.27</v>
      </c>
      <c r="G225">
        <v>172</v>
      </c>
      <c r="H225">
        <v>296</v>
      </c>
      <c r="I225">
        <v>65495.88</v>
      </c>
      <c r="J225">
        <v>6561</v>
      </c>
      <c r="K225">
        <v>370676</v>
      </c>
      <c r="L225">
        <f t="shared" si="6"/>
        <v>596.74466797230286</v>
      </c>
      <c r="M225">
        <f t="shared" si="7"/>
        <v>82</v>
      </c>
    </row>
    <row r="226" spans="1:13" x14ac:dyDescent="0.4">
      <c r="A226" t="s">
        <v>42</v>
      </c>
      <c r="B226" t="s">
        <v>28</v>
      </c>
      <c r="C226" s="1">
        <v>45498</v>
      </c>
      <c r="D226" s="1">
        <v>45301</v>
      </c>
      <c r="E226" t="s">
        <v>26</v>
      </c>
      <c r="F226">
        <v>23225.37</v>
      </c>
      <c r="G226">
        <v>1952</v>
      </c>
      <c r="H226">
        <v>118</v>
      </c>
      <c r="I226">
        <v>40443.9</v>
      </c>
      <c r="J226">
        <v>6266</v>
      </c>
      <c r="K226">
        <v>411506</v>
      </c>
      <c r="L226">
        <f t="shared" si="6"/>
        <v>74.136730652730193</v>
      </c>
      <c r="M226">
        <f t="shared" si="7"/>
        <v>197</v>
      </c>
    </row>
    <row r="227" spans="1:13" x14ac:dyDescent="0.4">
      <c r="A227" t="s">
        <v>58</v>
      </c>
      <c r="B227" t="s">
        <v>21</v>
      </c>
      <c r="C227" s="1">
        <v>45644</v>
      </c>
      <c r="D227" s="1">
        <v>45296</v>
      </c>
      <c r="E227" t="s">
        <v>26</v>
      </c>
      <c r="F227">
        <v>23288.75</v>
      </c>
      <c r="G227">
        <v>1460</v>
      </c>
      <c r="H227">
        <v>203</v>
      </c>
      <c r="I227">
        <v>103305.9</v>
      </c>
      <c r="J227">
        <v>7067</v>
      </c>
      <c r="K227">
        <v>465251</v>
      </c>
      <c r="L227">
        <f t="shared" si="6"/>
        <v>343.58713971338091</v>
      </c>
      <c r="M227">
        <f t="shared" si="7"/>
        <v>348</v>
      </c>
    </row>
    <row r="228" spans="1:13" x14ac:dyDescent="0.4">
      <c r="A228" t="s">
        <v>82</v>
      </c>
      <c r="B228" t="s">
        <v>33</v>
      </c>
      <c r="C228" s="1">
        <v>45623</v>
      </c>
      <c r="D228" s="1">
        <v>45301</v>
      </c>
      <c r="E228" t="s">
        <v>13</v>
      </c>
      <c r="F228">
        <v>34599.33</v>
      </c>
      <c r="G228">
        <v>1412</v>
      </c>
      <c r="H228">
        <v>17</v>
      </c>
      <c r="I228">
        <v>67947.91</v>
      </c>
      <c r="J228">
        <v>9958</v>
      </c>
      <c r="K228">
        <v>132436</v>
      </c>
      <c r="L228">
        <f t="shared" si="6"/>
        <v>96.385045606374462</v>
      </c>
      <c r="M228">
        <f t="shared" si="7"/>
        <v>322</v>
      </c>
    </row>
    <row r="229" spans="1:13" x14ac:dyDescent="0.4">
      <c r="A229" t="s">
        <v>27</v>
      </c>
      <c r="B229" t="s">
        <v>33</v>
      </c>
      <c r="C229" s="1">
        <v>45596</v>
      </c>
      <c r="D229" s="1">
        <v>45294</v>
      </c>
      <c r="E229" t="s">
        <v>26</v>
      </c>
      <c r="F229">
        <v>45600.44</v>
      </c>
      <c r="G229">
        <v>827</v>
      </c>
      <c r="H229">
        <v>275</v>
      </c>
      <c r="I229">
        <v>55330.99</v>
      </c>
      <c r="J229">
        <v>8201</v>
      </c>
      <c r="K229">
        <v>320065</v>
      </c>
      <c r="L229">
        <f t="shared" si="6"/>
        <v>21.338719538671107</v>
      </c>
      <c r="M229">
        <f t="shared" si="7"/>
        <v>302</v>
      </c>
    </row>
    <row r="230" spans="1:13" x14ac:dyDescent="0.4">
      <c r="A230" t="s">
        <v>108</v>
      </c>
      <c r="B230" t="s">
        <v>43</v>
      </c>
      <c r="C230" s="1">
        <v>45641</v>
      </c>
      <c r="D230" s="1">
        <v>45297</v>
      </c>
      <c r="E230" t="s">
        <v>13</v>
      </c>
      <c r="F230">
        <v>32312.58</v>
      </c>
      <c r="G230">
        <v>397</v>
      </c>
      <c r="H230">
        <v>93</v>
      </c>
      <c r="I230">
        <v>95477.16</v>
      </c>
      <c r="J230">
        <v>7479</v>
      </c>
      <c r="K230">
        <v>282941</v>
      </c>
      <c r="L230">
        <f t="shared" si="6"/>
        <v>195.47984097834342</v>
      </c>
      <c r="M230">
        <f t="shared" si="7"/>
        <v>344</v>
      </c>
    </row>
    <row r="231" spans="1:13" x14ac:dyDescent="0.4">
      <c r="A231" t="s">
        <v>115</v>
      </c>
      <c r="B231" t="s">
        <v>15</v>
      </c>
      <c r="C231" s="1">
        <v>45504</v>
      </c>
      <c r="D231" s="1">
        <v>45296</v>
      </c>
      <c r="E231" t="s">
        <v>16</v>
      </c>
      <c r="F231">
        <v>47723.22</v>
      </c>
      <c r="G231">
        <v>78</v>
      </c>
      <c r="H231">
        <v>219</v>
      </c>
      <c r="I231">
        <v>30990.43</v>
      </c>
      <c r="J231">
        <v>9733</v>
      </c>
      <c r="K231">
        <v>238403</v>
      </c>
      <c r="L231">
        <f t="shared" si="6"/>
        <v>-35.062156325579039</v>
      </c>
      <c r="M231">
        <f t="shared" si="7"/>
        <v>208</v>
      </c>
    </row>
    <row r="232" spans="1:13" x14ac:dyDescent="0.4">
      <c r="A232" t="s">
        <v>96</v>
      </c>
      <c r="B232" t="s">
        <v>15</v>
      </c>
      <c r="C232" s="1">
        <v>45450</v>
      </c>
      <c r="D232" s="1">
        <v>45299</v>
      </c>
      <c r="E232" t="s">
        <v>13</v>
      </c>
      <c r="F232">
        <v>44199.17</v>
      </c>
      <c r="G232">
        <v>1024</v>
      </c>
      <c r="H232">
        <v>448</v>
      </c>
      <c r="I232">
        <v>185910.42</v>
      </c>
      <c r="J232">
        <v>7380</v>
      </c>
      <c r="K232">
        <v>33535</v>
      </c>
      <c r="L232">
        <f t="shared" si="6"/>
        <v>320.61970846963868</v>
      </c>
      <c r="M232">
        <f t="shared" si="7"/>
        <v>151</v>
      </c>
    </row>
    <row r="233" spans="1:13" x14ac:dyDescent="0.4">
      <c r="A233" t="s">
        <v>118</v>
      </c>
      <c r="B233" t="s">
        <v>36</v>
      </c>
      <c r="C233" s="1">
        <v>45315</v>
      </c>
      <c r="D233" s="1">
        <v>45300</v>
      </c>
      <c r="E233" t="s">
        <v>16</v>
      </c>
      <c r="F233">
        <v>29640.49</v>
      </c>
      <c r="G233">
        <v>84</v>
      </c>
      <c r="H233">
        <v>282</v>
      </c>
      <c r="I233">
        <v>174201.91</v>
      </c>
      <c r="J233">
        <v>1167</v>
      </c>
      <c r="K233">
        <v>309444</v>
      </c>
      <c r="L233">
        <f t="shared" si="6"/>
        <v>487.71602628701487</v>
      </c>
      <c r="M233">
        <f t="shared" si="7"/>
        <v>15</v>
      </c>
    </row>
    <row r="234" spans="1:13" x14ac:dyDescent="0.4">
      <c r="A234" t="s">
        <v>42</v>
      </c>
      <c r="B234" t="s">
        <v>43</v>
      </c>
      <c r="C234" s="1">
        <v>45584</v>
      </c>
      <c r="D234" s="1">
        <v>45297</v>
      </c>
      <c r="E234" t="s">
        <v>26</v>
      </c>
      <c r="F234">
        <v>41855.81</v>
      </c>
      <c r="G234">
        <v>1591</v>
      </c>
      <c r="H234">
        <v>451</v>
      </c>
      <c r="I234">
        <v>142986.01</v>
      </c>
      <c r="J234">
        <v>4323</v>
      </c>
      <c r="K234">
        <v>310320</v>
      </c>
      <c r="L234">
        <f t="shared" si="6"/>
        <v>241.61568011704949</v>
      </c>
      <c r="M234">
        <f t="shared" si="7"/>
        <v>287</v>
      </c>
    </row>
    <row r="235" spans="1:13" x14ac:dyDescent="0.4">
      <c r="A235" t="s">
        <v>41</v>
      </c>
      <c r="B235" t="s">
        <v>18</v>
      </c>
      <c r="C235" s="1">
        <v>45295</v>
      </c>
      <c r="D235" s="1">
        <v>45300</v>
      </c>
      <c r="E235" t="s">
        <v>16</v>
      </c>
      <c r="F235">
        <v>32486.3</v>
      </c>
      <c r="G235">
        <v>1469</v>
      </c>
      <c r="H235">
        <v>478</v>
      </c>
      <c r="I235">
        <v>25711.7</v>
      </c>
      <c r="J235">
        <v>9118</v>
      </c>
      <c r="K235">
        <v>17105</v>
      </c>
      <c r="L235">
        <f t="shared" si="6"/>
        <v>-20.853713719321679</v>
      </c>
      <c r="M235">
        <f t="shared" si="7"/>
        <v>5</v>
      </c>
    </row>
    <row r="236" spans="1:13" x14ac:dyDescent="0.4">
      <c r="A236" t="s">
        <v>74</v>
      </c>
      <c r="B236" t="s">
        <v>36</v>
      </c>
      <c r="C236" s="1">
        <v>45511</v>
      </c>
      <c r="D236" s="1">
        <v>45302</v>
      </c>
      <c r="E236" t="s">
        <v>13</v>
      </c>
      <c r="F236">
        <v>4849.33</v>
      </c>
      <c r="G236">
        <v>672</v>
      </c>
      <c r="H236">
        <v>485</v>
      </c>
      <c r="I236">
        <v>156296.06</v>
      </c>
      <c r="J236">
        <v>4707</v>
      </c>
      <c r="K236">
        <v>140011</v>
      </c>
      <c r="L236">
        <f t="shared" si="6"/>
        <v>3123.0444205694398</v>
      </c>
      <c r="M236">
        <f t="shared" si="7"/>
        <v>209</v>
      </c>
    </row>
    <row r="237" spans="1:13" x14ac:dyDescent="0.4">
      <c r="A237" t="s">
        <v>71</v>
      </c>
      <c r="B237" t="s">
        <v>18</v>
      </c>
      <c r="C237" s="1">
        <v>45655</v>
      </c>
      <c r="D237" s="1">
        <v>45295</v>
      </c>
      <c r="E237" t="s">
        <v>34</v>
      </c>
      <c r="F237">
        <v>37287.67</v>
      </c>
      <c r="G237">
        <v>1367</v>
      </c>
      <c r="H237">
        <v>207</v>
      </c>
      <c r="I237">
        <v>162551.67999999999</v>
      </c>
      <c r="J237">
        <v>4085</v>
      </c>
      <c r="K237">
        <v>80472</v>
      </c>
      <c r="L237">
        <f t="shared" si="6"/>
        <v>335.93949420813908</v>
      </c>
      <c r="M237">
        <f t="shared" si="7"/>
        <v>360</v>
      </c>
    </row>
    <row r="238" spans="1:13" x14ac:dyDescent="0.4">
      <c r="A238" t="s">
        <v>112</v>
      </c>
      <c r="B238" t="s">
        <v>15</v>
      </c>
      <c r="C238" s="1">
        <v>45311</v>
      </c>
      <c r="D238" s="1">
        <v>45296</v>
      </c>
      <c r="E238" t="s">
        <v>16</v>
      </c>
      <c r="F238">
        <v>5650.51</v>
      </c>
      <c r="G238">
        <v>638</v>
      </c>
      <c r="H238">
        <v>78</v>
      </c>
      <c r="I238">
        <v>154714.1</v>
      </c>
      <c r="J238">
        <v>3279</v>
      </c>
      <c r="K238">
        <v>174101</v>
      </c>
      <c r="L238">
        <f t="shared" si="6"/>
        <v>2638.0555029546003</v>
      </c>
      <c r="M238">
        <f t="shared" si="7"/>
        <v>15</v>
      </c>
    </row>
    <row r="239" spans="1:13" x14ac:dyDescent="0.4">
      <c r="A239" t="s">
        <v>116</v>
      </c>
      <c r="B239" t="s">
        <v>43</v>
      </c>
      <c r="C239" s="1">
        <v>45443</v>
      </c>
      <c r="D239" s="1">
        <v>45298</v>
      </c>
      <c r="E239" t="s">
        <v>16</v>
      </c>
      <c r="F239">
        <v>30110.06</v>
      </c>
      <c r="G239">
        <v>1422</v>
      </c>
      <c r="H239">
        <v>29</v>
      </c>
      <c r="I239">
        <v>27223.35</v>
      </c>
      <c r="J239">
        <v>4638</v>
      </c>
      <c r="K239">
        <v>147935</v>
      </c>
      <c r="L239">
        <f t="shared" si="6"/>
        <v>-9.5871944459758716</v>
      </c>
      <c r="M239">
        <f t="shared" si="7"/>
        <v>145</v>
      </c>
    </row>
    <row r="240" spans="1:13" x14ac:dyDescent="0.4">
      <c r="A240" t="s">
        <v>112</v>
      </c>
      <c r="B240" t="s">
        <v>18</v>
      </c>
      <c r="C240" s="1">
        <v>45341</v>
      </c>
      <c r="D240" s="1">
        <v>45296</v>
      </c>
      <c r="E240" t="s">
        <v>26</v>
      </c>
      <c r="F240">
        <v>35429.370000000003</v>
      </c>
      <c r="G240">
        <v>1220</v>
      </c>
      <c r="H240">
        <v>105</v>
      </c>
      <c r="I240">
        <v>130562.05</v>
      </c>
      <c r="J240">
        <v>2462</v>
      </c>
      <c r="K240">
        <v>79097</v>
      </c>
      <c r="L240">
        <f t="shared" si="6"/>
        <v>268.51360890696049</v>
      </c>
      <c r="M240">
        <f t="shared" si="7"/>
        <v>45</v>
      </c>
    </row>
    <row r="241" spans="1:13" x14ac:dyDescent="0.4">
      <c r="A241" t="s">
        <v>119</v>
      </c>
      <c r="B241" t="s">
        <v>31</v>
      </c>
      <c r="C241" s="1">
        <v>45468</v>
      </c>
      <c r="D241" s="1">
        <v>45301</v>
      </c>
      <c r="E241" t="s">
        <v>13</v>
      </c>
      <c r="F241">
        <v>4259.8500000000004</v>
      </c>
      <c r="G241">
        <v>1140</v>
      </c>
      <c r="H241">
        <v>180</v>
      </c>
      <c r="I241">
        <v>167693.34</v>
      </c>
      <c r="J241">
        <v>2324</v>
      </c>
      <c r="K241">
        <v>262674</v>
      </c>
      <c r="L241">
        <f t="shared" si="6"/>
        <v>3836.6019930279231</v>
      </c>
      <c r="M241">
        <f t="shared" si="7"/>
        <v>167</v>
      </c>
    </row>
    <row r="242" spans="1:13" x14ac:dyDescent="0.4">
      <c r="A242" t="s">
        <v>63</v>
      </c>
      <c r="B242" t="s">
        <v>43</v>
      </c>
      <c r="C242" s="1">
        <v>45387</v>
      </c>
      <c r="D242" s="1">
        <v>45301</v>
      </c>
      <c r="E242" t="s">
        <v>16</v>
      </c>
      <c r="F242">
        <v>12308.94</v>
      </c>
      <c r="G242">
        <v>953</v>
      </c>
      <c r="H242">
        <v>431</v>
      </c>
      <c r="I242">
        <v>117583.91</v>
      </c>
      <c r="J242">
        <v>6471</v>
      </c>
      <c r="K242">
        <v>142519</v>
      </c>
      <c r="L242">
        <f t="shared" si="6"/>
        <v>855.27242800761076</v>
      </c>
      <c r="M242">
        <f t="shared" si="7"/>
        <v>86</v>
      </c>
    </row>
    <row r="243" spans="1:13" x14ac:dyDescent="0.4">
      <c r="A243" t="s">
        <v>29</v>
      </c>
      <c r="B243" t="s">
        <v>15</v>
      </c>
      <c r="C243" s="1">
        <v>45396</v>
      </c>
      <c r="D243" s="1">
        <v>45301</v>
      </c>
      <c r="E243" t="s">
        <v>16</v>
      </c>
      <c r="F243">
        <v>45867.94</v>
      </c>
      <c r="G243">
        <v>569</v>
      </c>
      <c r="H243">
        <v>121</v>
      </c>
      <c r="I243">
        <v>131049.44</v>
      </c>
      <c r="J243">
        <v>1826</v>
      </c>
      <c r="K243">
        <v>97160</v>
      </c>
      <c r="L243">
        <f t="shared" si="6"/>
        <v>185.71032403024856</v>
      </c>
      <c r="M243">
        <f t="shared" si="7"/>
        <v>95</v>
      </c>
    </row>
    <row r="244" spans="1:13" x14ac:dyDescent="0.4">
      <c r="A244" t="s">
        <v>117</v>
      </c>
      <c r="B244" t="s">
        <v>36</v>
      </c>
      <c r="C244" s="1">
        <v>45541</v>
      </c>
      <c r="D244" s="1">
        <v>45302</v>
      </c>
      <c r="E244" t="s">
        <v>16</v>
      </c>
      <c r="F244">
        <v>31199.41</v>
      </c>
      <c r="G244">
        <v>171</v>
      </c>
      <c r="H244">
        <v>170</v>
      </c>
      <c r="I244">
        <v>94380.88</v>
      </c>
      <c r="J244">
        <v>5891</v>
      </c>
      <c r="K244">
        <v>47940</v>
      </c>
      <c r="L244">
        <f t="shared" si="6"/>
        <v>202.50854102689763</v>
      </c>
      <c r="M244">
        <f t="shared" si="7"/>
        <v>239</v>
      </c>
    </row>
    <row r="245" spans="1:13" x14ac:dyDescent="0.4">
      <c r="A245" t="s">
        <v>120</v>
      </c>
      <c r="B245" t="s">
        <v>23</v>
      </c>
      <c r="C245" s="1">
        <v>45408</v>
      </c>
      <c r="D245" s="1">
        <v>45297</v>
      </c>
      <c r="E245" t="s">
        <v>16</v>
      </c>
      <c r="F245">
        <v>13068.01</v>
      </c>
      <c r="G245">
        <v>389</v>
      </c>
      <c r="H245">
        <v>45</v>
      </c>
      <c r="I245">
        <v>108097.93</v>
      </c>
      <c r="J245">
        <v>8173</v>
      </c>
      <c r="K245">
        <v>210019</v>
      </c>
      <c r="L245">
        <f t="shared" si="6"/>
        <v>727.19503581647086</v>
      </c>
      <c r="M245">
        <f t="shared" si="7"/>
        <v>111</v>
      </c>
    </row>
    <row r="246" spans="1:13" x14ac:dyDescent="0.4">
      <c r="A246" t="s">
        <v>45</v>
      </c>
      <c r="B246" t="s">
        <v>43</v>
      </c>
      <c r="C246" s="1">
        <v>45645</v>
      </c>
      <c r="D246" s="1">
        <v>45298</v>
      </c>
      <c r="E246" t="s">
        <v>34</v>
      </c>
      <c r="F246">
        <v>34843.31</v>
      </c>
      <c r="G246">
        <v>224</v>
      </c>
      <c r="H246">
        <v>433</v>
      </c>
      <c r="I246">
        <v>11703.49</v>
      </c>
      <c r="J246">
        <v>8558</v>
      </c>
      <c r="K246">
        <v>86001</v>
      </c>
      <c r="L246">
        <f t="shared" si="6"/>
        <v>-66.411084365980159</v>
      </c>
      <c r="M246">
        <f t="shared" si="7"/>
        <v>347</v>
      </c>
    </row>
    <row r="247" spans="1:13" x14ac:dyDescent="0.4">
      <c r="A247" t="s">
        <v>37</v>
      </c>
      <c r="B247" t="s">
        <v>12</v>
      </c>
      <c r="C247" s="1">
        <v>45519</v>
      </c>
      <c r="D247" s="1">
        <v>45298</v>
      </c>
      <c r="E247" t="s">
        <v>13</v>
      </c>
      <c r="F247">
        <v>30242.04</v>
      </c>
      <c r="G247">
        <v>1973</v>
      </c>
      <c r="H247">
        <v>348</v>
      </c>
      <c r="I247">
        <v>129597.79</v>
      </c>
      <c r="J247">
        <v>7113</v>
      </c>
      <c r="K247">
        <v>235824</v>
      </c>
      <c r="L247">
        <f t="shared" si="6"/>
        <v>328.53521124897662</v>
      </c>
      <c r="M247">
        <f t="shared" si="7"/>
        <v>221</v>
      </c>
    </row>
    <row r="248" spans="1:13" x14ac:dyDescent="0.4">
      <c r="A248" t="s">
        <v>121</v>
      </c>
      <c r="B248" t="s">
        <v>40</v>
      </c>
      <c r="C248" s="1">
        <v>45357</v>
      </c>
      <c r="D248" s="1">
        <v>45301</v>
      </c>
      <c r="E248" t="s">
        <v>26</v>
      </c>
      <c r="F248">
        <v>25577.21</v>
      </c>
      <c r="G248">
        <v>1764</v>
      </c>
      <c r="H248">
        <v>428</v>
      </c>
      <c r="I248">
        <v>20882.21</v>
      </c>
      <c r="J248">
        <v>937</v>
      </c>
      <c r="K248">
        <v>151714</v>
      </c>
      <c r="L248">
        <f t="shared" si="6"/>
        <v>-18.356185056931544</v>
      </c>
      <c r="M248">
        <f t="shared" si="7"/>
        <v>56</v>
      </c>
    </row>
    <row r="249" spans="1:13" x14ac:dyDescent="0.4">
      <c r="A249" t="s">
        <v>122</v>
      </c>
      <c r="B249" t="s">
        <v>15</v>
      </c>
      <c r="C249" s="1">
        <v>45626</v>
      </c>
      <c r="D249" s="1">
        <v>45300</v>
      </c>
      <c r="E249" t="s">
        <v>26</v>
      </c>
      <c r="F249">
        <v>48833.16</v>
      </c>
      <c r="G249">
        <v>646</v>
      </c>
      <c r="H249">
        <v>370</v>
      </c>
      <c r="I249">
        <v>89827.85</v>
      </c>
      <c r="J249">
        <v>4684</v>
      </c>
      <c r="K249">
        <v>228870</v>
      </c>
      <c r="L249">
        <f t="shared" si="6"/>
        <v>83.948468622550749</v>
      </c>
      <c r="M249">
        <f t="shared" si="7"/>
        <v>326</v>
      </c>
    </row>
    <row r="250" spans="1:13" x14ac:dyDescent="0.4">
      <c r="A250" t="s">
        <v>116</v>
      </c>
      <c r="B250" t="s">
        <v>25</v>
      </c>
      <c r="C250" s="1">
        <v>45553</v>
      </c>
      <c r="D250" s="1">
        <v>45302</v>
      </c>
      <c r="E250" t="s">
        <v>34</v>
      </c>
      <c r="F250">
        <v>34489.24</v>
      </c>
      <c r="G250">
        <v>500</v>
      </c>
      <c r="H250">
        <v>124</v>
      </c>
      <c r="I250">
        <v>62067.74</v>
      </c>
      <c r="J250">
        <v>786</v>
      </c>
      <c r="K250">
        <v>227971</v>
      </c>
      <c r="L250">
        <f t="shared" si="6"/>
        <v>79.962620225902342</v>
      </c>
      <c r="M250">
        <f t="shared" si="7"/>
        <v>251</v>
      </c>
    </row>
    <row r="251" spans="1:13" x14ac:dyDescent="0.4">
      <c r="A251" t="s">
        <v>104</v>
      </c>
      <c r="B251" t="s">
        <v>25</v>
      </c>
      <c r="C251" s="1">
        <v>45586</v>
      </c>
      <c r="D251" s="1">
        <v>45301</v>
      </c>
      <c r="E251" t="s">
        <v>13</v>
      </c>
      <c r="F251">
        <v>19396.61</v>
      </c>
      <c r="G251">
        <v>606</v>
      </c>
      <c r="H251">
        <v>101</v>
      </c>
      <c r="I251">
        <v>111358.45</v>
      </c>
      <c r="J251">
        <v>456</v>
      </c>
      <c r="K251">
        <v>199715</v>
      </c>
      <c r="L251">
        <f t="shared" si="6"/>
        <v>474.11295066509041</v>
      </c>
      <c r="M251">
        <f t="shared" si="7"/>
        <v>285</v>
      </c>
    </row>
    <row r="252" spans="1:13" x14ac:dyDescent="0.4">
      <c r="A252" t="s">
        <v>97</v>
      </c>
      <c r="B252" t="s">
        <v>36</v>
      </c>
      <c r="C252" s="1">
        <v>45534</v>
      </c>
      <c r="D252" s="1">
        <v>45295</v>
      </c>
      <c r="E252" t="s">
        <v>16</v>
      </c>
      <c r="F252">
        <v>40203.599999999999</v>
      </c>
      <c r="G252">
        <v>1209</v>
      </c>
      <c r="H252">
        <v>149</v>
      </c>
      <c r="I252">
        <v>31016.19</v>
      </c>
      <c r="J252">
        <v>9163</v>
      </c>
      <c r="K252">
        <v>8928</v>
      </c>
      <c r="L252">
        <f t="shared" si="6"/>
        <v>-22.852207265021043</v>
      </c>
      <c r="M252">
        <f t="shared" si="7"/>
        <v>239</v>
      </c>
    </row>
    <row r="253" spans="1:13" x14ac:dyDescent="0.4">
      <c r="A253" t="s">
        <v>123</v>
      </c>
      <c r="B253" t="s">
        <v>36</v>
      </c>
      <c r="C253" s="1">
        <v>45477</v>
      </c>
      <c r="D253" s="1">
        <v>45297</v>
      </c>
      <c r="E253" t="s">
        <v>34</v>
      </c>
      <c r="F253">
        <v>44344.58</v>
      </c>
      <c r="G253">
        <v>1928</v>
      </c>
      <c r="H253">
        <v>220</v>
      </c>
      <c r="I253">
        <v>139870.46</v>
      </c>
      <c r="J253">
        <v>4747</v>
      </c>
      <c r="K253">
        <v>49002</v>
      </c>
      <c r="L253">
        <f t="shared" si="6"/>
        <v>215.41726181643841</v>
      </c>
      <c r="M253">
        <f t="shared" si="7"/>
        <v>180</v>
      </c>
    </row>
    <row r="254" spans="1:13" x14ac:dyDescent="0.4">
      <c r="A254" t="s">
        <v>115</v>
      </c>
      <c r="B254" t="s">
        <v>28</v>
      </c>
      <c r="C254" s="1">
        <v>45537</v>
      </c>
      <c r="D254" s="1">
        <v>45299</v>
      </c>
      <c r="E254" t="s">
        <v>13</v>
      </c>
      <c r="F254">
        <v>7135.81</v>
      </c>
      <c r="G254">
        <v>1089</v>
      </c>
      <c r="H254">
        <v>233</v>
      </c>
      <c r="I254">
        <v>160027.25</v>
      </c>
      <c r="J254">
        <v>4518</v>
      </c>
      <c r="K254">
        <v>347997</v>
      </c>
      <c r="L254">
        <f t="shared" si="6"/>
        <v>2142.594043283103</v>
      </c>
      <c r="M254">
        <f t="shared" si="7"/>
        <v>238</v>
      </c>
    </row>
    <row r="255" spans="1:13" x14ac:dyDescent="0.4">
      <c r="A255" t="s">
        <v>65</v>
      </c>
      <c r="B255" t="s">
        <v>40</v>
      </c>
      <c r="C255" s="1">
        <v>45416</v>
      </c>
      <c r="D255" s="1">
        <v>45295</v>
      </c>
      <c r="E255" t="s">
        <v>16</v>
      </c>
      <c r="F255">
        <v>10827.1</v>
      </c>
      <c r="G255">
        <v>1406</v>
      </c>
      <c r="H255">
        <v>317</v>
      </c>
      <c r="I255">
        <v>36854.120000000003</v>
      </c>
      <c r="J255">
        <v>6742</v>
      </c>
      <c r="K255">
        <v>115614</v>
      </c>
      <c r="L255">
        <f t="shared" si="6"/>
        <v>240.38773078663723</v>
      </c>
      <c r="M255">
        <f t="shared" si="7"/>
        <v>121</v>
      </c>
    </row>
    <row r="256" spans="1:13" x14ac:dyDescent="0.4">
      <c r="A256" t="s">
        <v>56</v>
      </c>
      <c r="B256" t="s">
        <v>40</v>
      </c>
      <c r="C256" s="1">
        <v>45559</v>
      </c>
      <c r="D256" s="1">
        <v>45300</v>
      </c>
      <c r="E256" t="s">
        <v>34</v>
      </c>
      <c r="F256">
        <v>11595.12</v>
      </c>
      <c r="G256">
        <v>1268</v>
      </c>
      <c r="H256">
        <v>134</v>
      </c>
      <c r="I256">
        <v>25341.05</v>
      </c>
      <c r="J256">
        <v>3491</v>
      </c>
      <c r="K256">
        <v>118517</v>
      </c>
      <c r="L256">
        <f t="shared" si="6"/>
        <v>118.54926900282186</v>
      </c>
      <c r="M256">
        <f t="shared" si="7"/>
        <v>259</v>
      </c>
    </row>
    <row r="257" spans="1:13" x14ac:dyDescent="0.4">
      <c r="A257" t="s">
        <v>116</v>
      </c>
      <c r="B257" t="s">
        <v>31</v>
      </c>
      <c r="C257" s="1">
        <v>45422</v>
      </c>
      <c r="D257" s="1">
        <v>45296</v>
      </c>
      <c r="E257" t="s">
        <v>13</v>
      </c>
      <c r="F257">
        <v>34869.379999999997</v>
      </c>
      <c r="G257">
        <v>1569</v>
      </c>
      <c r="H257">
        <v>356</v>
      </c>
      <c r="I257">
        <v>33375.519999999997</v>
      </c>
      <c r="J257">
        <v>4457</v>
      </c>
      <c r="K257">
        <v>157089</v>
      </c>
      <c r="L257">
        <f t="shared" si="6"/>
        <v>-4.2841599133681205</v>
      </c>
      <c r="M257">
        <f t="shared" si="7"/>
        <v>126</v>
      </c>
    </row>
    <row r="258" spans="1:13" x14ac:dyDescent="0.4">
      <c r="A258" t="s">
        <v>59</v>
      </c>
      <c r="B258" t="s">
        <v>36</v>
      </c>
      <c r="C258" s="1">
        <v>45528</v>
      </c>
      <c r="D258" s="1">
        <v>45296</v>
      </c>
      <c r="E258" t="s">
        <v>26</v>
      </c>
      <c r="F258">
        <v>30548.94</v>
      </c>
      <c r="G258">
        <v>58</v>
      </c>
      <c r="H258">
        <v>381</v>
      </c>
      <c r="I258">
        <v>176039.87</v>
      </c>
      <c r="J258">
        <v>4979</v>
      </c>
      <c r="K258">
        <v>80064</v>
      </c>
      <c r="L258">
        <f t="shared" si="6"/>
        <v>476.25524813626924</v>
      </c>
      <c r="M258">
        <f t="shared" si="7"/>
        <v>232</v>
      </c>
    </row>
    <row r="259" spans="1:13" x14ac:dyDescent="0.4">
      <c r="A259" t="s">
        <v>14</v>
      </c>
      <c r="B259" t="s">
        <v>40</v>
      </c>
      <c r="C259" s="1">
        <v>45309</v>
      </c>
      <c r="D259" s="1">
        <v>45295</v>
      </c>
      <c r="E259" t="s">
        <v>26</v>
      </c>
      <c r="F259">
        <v>31330.59</v>
      </c>
      <c r="G259">
        <v>1901</v>
      </c>
      <c r="H259">
        <v>322</v>
      </c>
      <c r="I259">
        <v>107996.91</v>
      </c>
      <c r="J259">
        <v>5419</v>
      </c>
      <c r="K259">
        <v>382838</v>
      </c>
      <c r="L259">
        <f t="shared" ref="L259:L322" si="8">(I259 - F259)/F259*100</f>
        <v>244.7011690491625</v>
      </c>
      <c r="M259">
        <f t="shared" ref="M259:M322" si="9">ABS(D259 - C259)</f>
        <v>14</v>
      </c>
    </row>
    <row r="260" spans="1:13" x14ac:dyDescent="0.4">
      <c r="A260" t="s">
        <v>38</v>
      </c>
      <c r="B260" t="s">
        <v>54</v>
      </c>
      <c r="C260" s="1">
        <v>45331</v>
      </c>
      <c r="D260" s="1">
        <v>45301</v>
      </c>
      <c r="E260" t="s">
        <v>13</v>
      </c>
      <c r="F260">
        <v>47097.89</v>
      </c>
      <c r="G260">
        <v>383</v>
      </c>
      <c r="H260">
        <v>476</v>
      </c>
      <c r="I260">
        <v>96115.89</v>
      </c>
      <c r="J260">
        <v>2839</v>
      </c>
      <c r="K260">
        <v>407529</v>
      </c>
      <c r="L260">
        <f t="shared" si="8"/>
        <v>104.07684930259084</v>
      </c>
      <c r="M260">
        <f t="shared" si="9"/>
        <v>30</v>
      </c>
    </row>
    <row r="261" spans="1:13" x14ac:dyDescent="0.4">
      <c r="A261" t="s">
        <v>124</v>
      </c>
      <c r="B261" t="s">
        <v>28</v>
      </c>
      <c r="C261" s="1">
        <v>45312</v>
      </c>
      <c r="D261" s="1">
        <v>45299</v>
      </c>
      <c r="E261" t="s">
        <v>26</v>
      </c>
      <c r="F261">
        <v>39019.67</v>
      </c>
      <c r="G261">
        <v>1406</v>
      </c>
      <c r="H261">
        <v>141</v>
      </c>
      <c r="I261">
        <v>25808.799999999999</v>
      </c>
      <c r="J261">
        <v>9610</v>
      </c>
      <c r="K261">
        <v>395775</v>
      </c>
      <c r="L261">
        <f t="shared" si="8"/>
        <v>-33.856949584658196</v>
      </c>
      <c r="M261">
        <f t="shared" si="9"/>
        <v>13</v>
      </c>
    </row>
    <row r="262" spans="1:13" x14ac:dyDescent="0.4">
      <c r="A262" t="s">
        <v>56</v>
      </c>
      <c r="B262" t="s">
        <v>18</v>
      </c>
      <c r="C262" s="1">
        <v>45516</v>
      </c>
      <c r="D262" s="1">
        <v>45294</v>
      </c>
      <c r="E262" t="s">
        <v>13</v>
      </c>
      <c r="F262">
        <v>7268.91</v>
      </c>
      <c r="G262">
        <v>1066</v>
      </c>
      <c r="H262">
        <v>328</v>
      </c>
      <c r="I262">
        <v>131663.42000000001</v>
      </c>
      <c r="J262">
        <v>9827</v>
      </c>
      <c r="K262">
        <v>51893</v>
      </c>
      <c r="L262">
        <f t="shared" si="8"/>
        <v>1711.3227430247453</v>
      </c>
      <c r="M262">
        <f t="shared" si="9"/>
        <v>222</v>
      </c>
    </row>
    <row r="263" spans="1:13" x14ac:dyDescent="0.4">
      <c r="A263" t="s">
        <v>79</v>
      </c>
      <c r="B263" t="s">
        <v>33</v>
      </c>
      <c r="C263" s="1">
        <v>45646</v>
      </c>
      <c r="D263" s="1">
        <v>45294</v>
      </c>
      <c r="E263" t="s">
        <v>16</v>
      </c>
      <c r="F263">
        <v>18027.849999999999</v>
      </c>
      <c r="G263">
        <v>376</v>
      </c>
      <c r="H263">
        <v>341</v>
      </c>
      <c r="I263">
        <v>174259.92</v>
      </c>
      <c r="J263">
        <v>4884</v>
      </c>
      <c r="K263">
        <v>278311</v>
      </c>
      <c r="L263">
        <f t="shared" si="8"/>
        <v>866.61509830623174</v>
      </c>
      <c r="M263">
        <f t="shared" si="9"/>
        <v>352</v>
      </c>
    </row>
    <row r="264" spans="1:13" x14ac:dyDescent="0.4">
      <c r="A264" t="s">
        <v>118</v>
      </c>
      <c r="B264" t="s">
        <v>33</v>
      </c>
      <c r="C264" s="1">
        <v>45573</v>
      </c>
      <c r="D264" s="1">
        <v>45300</v>
      </c>
      <c r="E264" t="s">
        <v>13</v>
      </c>
      <c r="F264">
        <v>22334.29</v>
      </c>
      <c r="G264">
        <v>64</v>
      </c>
      <c r="H264">
        <v>277</v>
      </c>
      <c r="I264">
        <v>166496.24</v>
      </c>
      <c r="J264">
        <v>977</v>
      </c>
      <c r="K264">
        <v>475095</v>
      </c>
      <c r="L264">
        <f t="shared" si="8"/>
        <v>645.47361926436872</v>
      </c>
      <c r="M264">
        <f t="shared" si="9"/>
        <v>273</v>
      </c>
    </row>
    <row r="265" spans="1:13" x14ac:dyDescent="0.4">
      <c r="A265" t="s">
        <v>71</v>
      </c>
      <c r="B265" t="s">
        <v>18</v>
      </c>
      <c r="C265" s="1">
        <v>45299</v>
      </c>
      <c r="D265" s="1">
        <v>45301</v>
      </c>
      <c r="E265" t="s">
        <v>16</v>
      </c>
      <c r="F265">
        <v>20402.12</v>
      </c>
      <c r="G265">
        <v>888</v>
      </c>
      <c r="H265">
        <v>121</v>
      </c>
      <c r="I265">
        <v>127080.67</v>
      </c>
      <c r="J265">
        <v>2970</v>
      </c>
      <c r="K265">
        <v>39598</v>
      </c>
      <c r="L265">
        <f t="shared" si="8"/>
        <v>522.8797301456907</v>
      </c>
      <c r="M265">
        <f t="shared" si="9"/>
        <v>2</v>
      </c>
    </row>
    <row r="266" spans="1:13" x14ac:dyDescent="0.4">
      <c r="A266" t="s">
        <v>125</v>
      </c>
      <c r="B266" t="s">
        <v>51</v>
      </c>
      <c r="C266" s="1">
        <v>45391</v>
      </c>
      <c r="D266" s="1">
        <v>45298</v>
      </c>
      <c r="E266" t="s">
        <v>34</v>
      </c>
      <c r="F266">
        <v>33796.120000000003</v>
      </c>
      <c r="G266">
        <v>1687</v>
      </c>
      <c r="H266">
        <v>310</v>
      </c>
      <c r="I266">
        <v>19679.349999999999</v>
      </c>
      <c r="J266">
        <v>392</v>
      </c>
      <c r="K266">
        <v>139595</v>
      </c>
      <c r="L266">
        <f t="shared" si="8"/>
        <v>-41.770386659770423</v>
      </c>
      <c r="M266">
        <f t="shared" si="9"/>
        <v>93</v>
      </c>
    </row>
    <row r="267" spans="1:13" x14ac:dyDescent="0.4">
      <c r="A267" t="s">
        <v>118</v>
      </c>
      <c r="B267" t="s">
        <v>15</v>
      </c>
      <c r="C267" s="1">
        <v>45531</v>
      </c>
      <c r="D267" s="1">
        <v>45298</v>
      </c>
      <c r="E267" t="s">
        <v>13</v>
      </c>
      <c r="F267">
        <v>44702.76</v>
      </c>
      <c r="G267">
        <v>275</v>
      </c>
      <c r="H267">
        <v>372</v>
      </c>
      <c r="I267">
        <v>26917.42</v>
      </c>
      <c r="J267">
        <v>9943</v>
      </c>
      <c r="K267">
        <v>312921</v>
      </c>
      <c r="L267">
        <f t="shared" si="8"/>
        <v>-39.785776090782768</v>
      </c>
      <c r="M267">
        <f t="shared" si="9"/>
        <v>233</v>
      </c>
    </row>
    <row r="268" spans="1:13" x14ac:dyDescent="0.4">
      <c r="A268" t="s">
        <v>124</v>
      </c>
      <c r="B268" t="s">
        <v>28</v>
      </c>
      <c r="C268" s="1">
        <v>45378</v>
      </c>
      <c r="D268" s="1">
        <v>45297</v>
      </c>
      <c r="E268" t="s">
        <v>34</v>
      </c>
      <c r="F268">
        <v>15996.52</v>
      </c>
      <c r="G268">
        <v>1498</v>
      </c>
      <c r="H268">
        <v>98</v>
      </c>
      <c r="I268">
        <v>14615.25</v>
      </c>
      <c r="J268">
        <v>8828</v>
      </c>
      <c r="K268">
        <v>422655</v>
      </c>
      <c r="L268">
        <f t="shared" si="8"/>
        <v>-8.6348155723869962</v>
      </c>
      <c r="M268">
        <f t="shared" si="9"/>
        <v>81</v>
      </c>
    </row>
    <row r="269" spans="1:13" x14ac:dyDescent="0.4">
      <c r="A269" t="s">
        <v>108</v>
      </c>
      <c r="B269" t="s">
        <v>54</v>
      </c>
      <c r="C269" s="1">
        <v>45589</v>
      </c>
      <c r="D269" s="1">
        <v>45299</v>
      </c>
      <c r="E269" t="s">
        <v>26</v>
      </c>
      <c r="F269">
        <v>28041.98</v>
      </c>
      <c r="G269">
        <v>1863</v>
      </c>
      <c r="H269">
        <v>172</v>
      </c>
      <c r="I269">
        <v>55208.45</v>
      </c>
      <c r="J269">
        <v>2786</v>
      </c>
      <c r="K269">
        <v>379522</v>
      </c>
      <c r="L269">
        <f t="shared" si="8"/>
        <v>96.877859552000245</v>
      </c>
      <c r="M269">
        <f t="shared" si="9"/>
        <v>290</v>
      </c>
    </row>
    <row r="270" spans="1:13" x14ac:dyDescent="0.4">
      <c r="A270" t="s">
        <v>73</v>
      </c>
      <c r="B270" t="s">
        <v>40</v>
      </c>
      <c r="C270" s="1">
        <v>45305</v>
      </c>
      <c r="D270" s="1">
        <v>45299</v>
      </c>
      <c r="E270" t="s">
        <v>16</v>
      </c>
      <c r="F270">
        <v>39681.06</v>
      </c>
      <c r="G270">
        <v>1481</v>
      </c>
      <c r="H270">
        <v>446</v>
      </c>
      <c r="I270">
        <v>31453.99</v>
      </c>
      <c r="J270">
        <v>333</v>
      </c>
      <c r="K270">
        <v>82060</v>
      </c>
      <c r="L270">
        <f t="shared" si="8"/>
        <v>-20.732989491712157</v>
      </c>
      <c r="M270">
        <f t="shared" si="9"/>
        <v>6</v>
      </c>
    </row>
    <row r="271" spans="1:13" x14ac:dyDescent="0.4">
      <c r="A271" t="s">
        <v>11</v>
      </c>
      <c r="B271" t="s">
        <v>23</v>
      </c>
      <c r="C271" s="1">
        <v>45625</v>
      </c>
      <c r="D271" s="1">
        <v>45296</v>
      </c>
      <c r="E271" t="s">
        <v>13</v>
      </c>
      <c r="F271">
        <v>21394.68</v>
      </c>
      <c r="G271">
        <v>162</v>
      </c>
      <c r="H271">
        <v>207</v>
      </c>
      <c r="I271">
        <v>55709.37</v>
      </c>
      <c r="J271">
        <v>2474</v>
      </c>
      <c r="K271">
        <v>276429</v>
      </c>
      <c r="L271">
        <f t="shared" si="8"/>
        <v>160.3888910701165</v>
      </c>
      <c r="M271">
        <f t="shared" si="9"/>
        <v>329</v>
      </c>
    </row>
    <row r="272" spans="1:13" x14ac:dyDescent="0.4">
      <c r="A272" t="s">
        <v>48</v>
      </c>
      <c r="B272" t="s">
        <v>28</v>
      </c>
      <c r="C272" s="1">
        <v>45293</v>
      </c>
      <c r="D272" s="1">
        <v>45302</v>
      </c>
      <c r="E272" t="s">
        <v>34</v>
      </c>
      <c r="F272">
        <v>9237.7900000000009</v>
      </c>
      <c r="G272">
        <v>1501</v>
      </c>
      <c r="H272">
        <v>345</v>
      </c>
      <c r="I272">
        <v>80086.320000000007</v>
      </c>
      <c r="J272">
        <v>2372</v>
      </c>
      <c r="K272">
        <v>405189</v>
      </c>
      <c r="L272">
        <f t="shared" si="8"/>
        <v>766.94241804587455</v>
      </c>
      <c r="M272">
        <f t="shared" si="9"/>
        <v>9</v>
      </c>
    </row>
    <row r="273" spans="1:13" x14ac:dyDescent="0.4">
      <c r="A273" t="s">
        <v>88</v>
      </c>
      <c r="B273" t="s">
        <v>43</v>
      </c>
      <c r="C273" s="1">
        <v>45584</v>
      </c>
      <c r="D273" s="1">
        <v>45300</v>
      </c>
      <c r="E273" t="s">
        <v>16</v>
      </c>
      <c r="F273">
        <v>24272.6</v>
      </c>
      <c r="G273">
        <v>50</v>
      </c>
      <c r="H273">
        <v>153</v>
      </c>
      <c r="I273">
        <v>188881.64</v>
      </c>
      <c r="J273">
        <v>1066</v>
      </c>
      <c r="K273">
        <v>386114</v>
      </c>
      <c r="L273">
        <f t="shared" si="8"/>
        <v>678.16814020747677</v>
      </c>
      <c r="M273">
        <f t="shared" si="9"/>
        <v>284</v>
      </c>
    </row>
    <row r="274" spans="1:13" x14ac:dyDescent="0.4">
      <c r="A274" t="s">
        <v>66</v>
      </c>
      <c r="B274" t="s">
        <v>18</v>
      </c>
      <c r="C274" s="1">
        <v>45616</v>
      </c>
      <c r="D274" s="1">
        <v>45294</v>
      </c>
      <c r="E274" t="s">
        <v>16</v>
      </c>
      <c r="F274">
        <v>3705.9</v>
      </c>
      <c r="G274">
        <v>315</v>
      </c>
      <c r="H274">
        <v>406</v>
      </c>
      <c r="I274">
        <v>124023.33</v>
      </c>
      <c r="J274">
        <v>989</v>
      </c>
      <c r="K274">
        <v>23694</v>
      </c>
      <c r="L274">
        <f t="shared" si="8"/>
        <v>3246.6453493078602</v>
      </c>
      <c r="M274">
        <f t="shared" si="9"/>
        <v>322</v>
      </c>
    </row>
    <row r="275" spans="1:13" x14ac:dyDescent="0.4">
      <c r="A275" t="s">
        <v>90</v>
      </c>
      <c r="B275" t="s">
        <v>54</v>
      </c>
      <c r="C275" s="1">
        <v>45332</v>
      </c>
      <c r="D275" s="1">
        <v>45300</v>
      </c>
      <c r="E275" t="s">
        <v>26</v>
      </c>
      <c r="F275">
        <v>47176.79</v>
      </c>
      <c r="G275">
        <v>1564</v>
      </c>
      <c r="H275">
        <v>187</v>
      </c>
      <c r="I275">
        <v>167819.89</v>
      </c>
      <c r="J275">
        <v>3963</v>
      </c>
      <c r="K275">
        <v>429990</v>
      </c>
      <c r="L275">
        <f t="shared" si="8"/>
        <v>255.72553791811612</v>
      </c>
      <c r="M275">
        <f t="shared" si="9"/>
        <v>32</v>
      </c>
    </row>
    <row r="276" spans="1:13" x14ac:dyDescent="0.4">
      <c r="A276" t="s">
        <v>96</v>
      </c>
      <c r="B276" t="s">
        <v>12</v>
      </c>
      <c r="C276" s="1">
        <v>45609</v>
      </c>
      <c r="D276" s="1">
        <v>45298</v>
      </c>
      <c r="E276" t="s">
        <v>26</v>
      </c>
      <c r="F276">
        <v>4666.24</v>
      </c>
      <c r="G276">
        <v>1281</v>
      </c>
      <c r="H276">
        <v>417</v>
      </c>
      <c r="I276">
        <v>143518.54</v>
      </c>
      <c r="J276">
        <v>6254</v>
      </c>
      <c r="K276">
        <v>398518</v>
      </c>
      <c r="L276">
        <f t="shared" si="8"/>
        <v>2975.6784906048561</v>
      </c>
      <c r="M276">
        <f t="shared" si="9"/>
        <v>311</v>
      </c>
    </row>
    <row r="277" spans="1:13" x14ac:dyDescent="0.4">
      <c r="A277" t="s">
        <v>97</v>
      </c>
      <c r="B277" t="s">
        <v>30</v>
      </c>
      <c r="C277" s="1">
        <v>45607</v>
      </c>
      <c r="D277" s="1">
        <v>45298</v>
      </c>
      <c r="E277" t="s">
        <v>16</v>
      </c>
      <c r="F277">
        <v>22484.38</v>
      </c>
      <c r="G277">
        <v>1695</v>
      </c>
      <c r="H277">
        <v>156</v>
      </c>
      <c r="I277">
        <v>26938.11</v>
      </c>
      <c r="J277">
        <v>3500</v>
      </c>
      <c r="K277">
        <v>262401</v>
      </c>
      <c r="L277">
        <f t="shared" si="8"/>
        <v>19.808106783464787</v>
      </c>
      <c r="M277">
        <f t="shared" si="9"/>
        <v>309</v>
      </c>
    </row>
    <row r="278" spans="1:13" x14ac:dyDescent="0.4">
      <c r="A278" t="s">
        <v>58</v>
      </c>
      <c r="B278" t="s">
        <v>21</v>
      </c>
      <c r="C278" s="1">
        <v>45402</v>
      </c>
      <c r="D278" s="1">
        <v>45295</v>
      </c>
      <c r="E278" t="s">
        <v>16</v>
      </c>
      <c r="F278">
        <v>26964.18</v>
      </c>
      <c r="G278">
        <v>1785</v>
      </c>
      <c r="H278">
        <v>78</v>
      </c>
      <c r="I278">
        <v>148504.48000000001</v>
      </c>
      <c r="J278">
        <v>8326</v>
      </c>
      <c r="K278">
        <v>247848</v>
      </c>
      <c r="L278">
        <f t="shared" si="8"/>
        <v>450.74725061173757</v>
      </c>
      <c r="M278">
        <f t="shared" si="9"/>
        <v>107</v>
      </c>
    </row>
    <row r="279" spans="1:13" x14ac:dyDescent="0.4">
      <c r="A279" t="s">
        <v>114</v>
      </c>
      <c r="B279" t="s">
        <v>15</v>
      </c>
      <c r="C279" s="1">
        <v>45305</v>
      </c>
      <c r="D279" s="1">
        <v>45297</v>
      </c>
      <c r="E279" t="s">
        <v>13</v>
      </c>
      <c r="F279">
        <v>49279.89</v>
      </c>
      <c r="G279">
        <v>1001</v>
      </c>
      <c r="H279">
        <v>369</v>
      </c>
      <c r="I279">
        <v>58644.28</v>
      </c>
      <c r="J279">
        <v>4642</v>
      </c>
      <c r="K279">
        <v>154463</v>
      </c>
      <c r="L279">
        <f t="shared" si="8"/>
        <v>19.002457188926357</v>
      </c>
      <c r="M279">
        <f t="shared" si="9"/>
        <v>8</v>
      </c>
    </row>
    <row r="280" spans="1:13" x14ac:dyDescent="0.4">
      <c r="A280" t="s">
        <v>52</v>
      </c>
      <c r="B280" t="s">
        <v>18</v>
      </c>
      <c r="C280" s="1">
        <v>45522</v>
      </c>
      <c r="D280" s="1">
        <v>45299</v>
      </c>
      <c r="E280" t="s">
        <v>16</v>
      </c>
      <c r="F280">
        <v>9135.07</v>
      </c>
      <c r="G280">
        <v>1442</v>
      </c>
      <c r="H280">
        <v>405</v>
      </c>
      <c r="I280">
        <v>129626.03</v>
      </c>
      <c r="J280">
        <v>3623</v>
      </c>
      <c r="K280">
        <v>267755</v>
      </c>
      <c r="L280">
        <f t="shared" si="8"/>
        <v>1318.9932863130769</v>
      </c>
      <c r="M280">
        <f t="shared" si="9"/>
        <v>223</v>
      </c>
    </row>
    <row r="281" spans="1:13" x14ac:dyDescent="0.4">
      <c r="A281" t="s">
        <v>80</v>
      </c>
      <c r="B281" t="s">
        <v>23</v>
      </c>
      <c r="C281" s="1">
        <v>45375</v>
      </c>
      <c r="D281" s="1">
        <v>45300</v>
      </c>
      <c r="E281" t="s">
        <v>13</v>
      </c>
      <c r="F281">
        <v>6607.14</v>
      </c>
      <c r="G281">
        <v>355</v>
      </c>
      <c r="H281">
        <v>278</v>
      </c>
      <c r="I281">
        <v>71487.58</v>
      </c>
      <c r="J281">
        <v>1863</v>
      </c>
      <c r="K281">
        <v>10372</v>
      </c>
      <c r="L281">
        <f t="shared" si="8"/>
        <v>981.97465166471409</v>
      </c>
      <c r="M281">
        <f t="shared" si="9"/>
        <v>75</v>
      </c>
    </row>
    <row r="282" spans="1:13" x14ac:dyDescent="0.4">
      <c r="A282" t="s">
        <v>101</v>
      </c>
      <c r="B282" t="s">
        <v>40</v>
      </c>
      <c r="C282" s="1">
        <v>45421</v>
      </c>
      <c r="D282" s="1">
        <v>45298</v>
      </c>
      <c r="E282" t="s">
        <v>16</v>
      </c>
      <c r="F282">
        <v>1426.6</v>
      </c>
      <c r="G282">
        <v>61</v>
      </c>
      <c r="H282">
        <v>46</v>
      </c>
      <c r="I282">
        <v>199546.09</v>
      </c>
      <c r="J282">
        <v>3391</v>
      </c>
      <c r="K282">
        <v>156384</v>
      </c>
      <c r="L282">
        <f t="shared" si="8"/>
        <v>13887.5290901444</v>
      </c>
      <c r="M282">
        <f t="shared" si="9"/>
        <v>123</v>
      </c>
    </row>
    <row r="283" spans="1:13" x14ac:dyDescent="0.4">
      <c r="A283" t="s">
        <v>126</v>
      </c>
      <c r="B283" t="s">
        <v>23</v>
      </c>
      <c r="C283" s="1">
        <v>45522</v>
      </c>
      <c r="D283" s="1">
        <v>45302</v>
      </c>
      <c r="E283" t="s">
        <v>26</v>
      </c>
      <c r="F283">
        <v>8623</v>
      </c>
      <c r="G283">
        <v>1418</v>
      </c>
      <c r="H283">
        <v>500</v>
      </c>
      <c r="I283">
        <v>56392.54</v>
      </c>
      <c r="J283">
        <v>2588</v>
      </c>
      <c r="K283">
        <v>146152</v>
      </c>
      <c r="L283">
        <f t="shared" si="8"/>
        <v>553.97819784297815</v>
      </c>
      <c r="M283">
        <f t="shared" si="9"/>
        <v>220</v>
      </c>
    </row>
    <row r="284" spans="1:13" x14ac:dyDescent="0.4">
      <c r="A284" t="s">
        <v>109</v>
      </c>
      <c r="B284" t="s">
        <v>23</v>
      </c>
      <c r="C284" s="1">
        <v>45617</v>
      </c>
      <c r="D284" s="1">
        <v>45296</v>
      </c>
      <c r="E284" t="s">
        <v>13</v>
      </c>
      <c r="F284">
        <v>11156.38</v>
      </c>
      <c r="G284">
        <v>1538</v>
      </c>
      <c r="H284">
        <v>216</v>
      </c>
      <c r="I284">
        <v>59430.44</v>
      </c>
      <c r="J284">
        <v>1658</v>
      </c>
      <c r="K284">
        <v>343762</v>
      </c>
      <c r="L284">
        <f t="shared" si="8"/>
        <v>432.70361891581325</v>
      </c>
      <c r="M284">
        <f t="shared" si="9"/>
        <v>321</v>
      </c>
    </row>
    <row r="285" spans="1:13" x14ac:dyDescent="0.4">
      <c r="A285" t="s">
        <v>57</v>
      </c>
      <c r="B285" t="s">
        <v>36</v>
      </c>
      <c r="C285" s="1">
        <v>45436</v>
      </c>
      <c r="D285" s="1">
        <v>45294</v>
      </c>
      <c r="E285" t="s">
        <v>34</v>
      </c>
      <c r="F285">
        <v>31898.47</v>
      </c>
      <c r="G285">
        <v>1773</v>
      </c>
      <c r="H285">
        <v>105</v>
      </c>
      <c r="I285">
        <v>186481.09</v>
      </c>
      <c r="J285">
        <v>4790</v>
      </c>
      <c r="K285">
        <v>113945</v>
      </c>
      <c r="L285">
        <f t="shared" si="8"/>
        <v>484.60825864061815</v>
      </c>
      <c r="M285">
        <f t="shared" si="9"/>
        <v>142</v>
      </c>
    </row>
    <row r="286" spans="1:13" x14ac:dyDescent="0.4">
      <c r="A286" t="s">
        <v>103</v>
      </c>
      <c r="B286" t="s">
        <v>36</v>
      </c>
      <c r="C286" s="1">
        <v>45636</v>
      </c>
      <c r="D286" s="1">
        <v>45297</v>
      </c>
      <c r="E286" t="s">
        <v>26</v>
      </c>
      <c r="F286">
        <v>11765.63</v>
      </c>
      <c r="G286">
        <v>1739</v>
      </c>
      <c r="H286">
        <v>49</v>
      </c>
      <c r="I286">
        <v>9805.66</v>
      </c>
      <c r="J286">
        <v>6221</v>
      </c>
      <c r="K286">
        <v>371541</v>
      </c>
      <c r="L286">
        <f t="shared" si="8"/>
        <v>-16.658436479814505</v>
      </c>
      <c r="M286">
        <f t="shared" si="9"/>
        <v>339</v>
      </c>
    </row>
    <row r="287" spans="1:13" x14ac:dyDescent="0.4">
      <c r="A287" t="s">
        <v>64</v>
      </c>
      <c r="B287" t="s">
        <v>31</v>
      </c>
      <c r="C287" s="1">
        <v>45319</v>
      </c>
      <c r="D287" s="1">
        <v>45302</v>
      </c>
      <c r="E287" t="s">
        <v>13</v>
      </c>
      <c r="F287">
        <v>2005.52</v>
      </c>
      <c r="G287">
        <v>1567</v>
      </c>
      <c r="H287">
        <v>86</v>
      </c>
      <c r="I287">
        <v>140854.35</v>
      </c>
      <c r="J287">
        <v>2376</v>
      </c>
      <c r="K287">
        <v>97213</v>
      </c>
      <c r="L287">
        <f t="shared" si="8"/>
        <v>6923.3331006422286</v>
      </c>
      <c r="M287">
        <f t="shared" si="9"/>
        <v>17</v>
      </c>
    </row>
    <row r="288" spans="1:13" x14ac:dyDescent="0.4">
      <c r="A288" t="s">
        <v>123</v>
      </c>
      <c r="B288" t="s">
        <v>18</v>
      </c>
      <c r="C288" s="1">
        <v>45357</v>
      </c>
      <c r="D288" s="1">
        <v>45297</v>
      </c>
      <c r="E288" t="s">
        <v>13</v>
      </c>
      <c r="F288">
        <v>41504.300000000003</v>
      </c>
      <c r="G288">
        <v>1441</v>
      </c>
      <c r="H288">
        <v>21</v>
      </c>
      <c r="I288">
        <v>146438.65</v>
      </c>
      <c r="J288">
        <v>4539</v>
      </c>
      <c r="K288">
        <v>21874</v>
      </c>
      <c r="L288">
        <f t="shared" si="8"/>
        <v>252.82765882089322</v>
      </c>
      <c r="M288">
        <f t="shared" si="9"/>
        <v>60</v>
      </c>
    </row>
    <row r="289" spans="1:13" x14ac:dyDescent="0.4">
      <c r="A289" t="s">
        <v>71</v>
      </c>
      <c r="B289" t="s">
        <v>31</v>
      </c>
      <c r="C289" s="1">
        <v>45454</v>
      </c>
      <c r="D289" s="1">
        <v>45295</v>
      </c>
      <c r="E289" t="s">
        <v>34</v>
      </c>
      <c r="F289">
        <v>18914.189999999999</v>
      </c>
      <c r="G289">
        <v>1919</v>
      </c>
      <c r="H289">
        <v>77</v>
      </c>
      <c r="I289">
        <v>168093.82</v>
      </c>
      <c r="J289">
        <v>1203</v>
      </c>
      <c r="K289">
        <v>456753</v>
      </c>
      <c r="L289">
        <f t="shared" si="8"/>
        <v>788.71804713815402</v>
      </c>
      <c r="M289">
        <f t="shared" si="9"/>
        <v>159</v>
      </c>
    </row>
    <row r="290" spans="1:13" x14ac:dyDescent="0.4">
      <c r="A290" t="s">
        <v>47</v>
      </c>
      <c r="B290" t="s">
        <v>18</v>
      </c>
      <c r="C290" s="1">
        <v>45520</v>
      </c>
      <c r="D290" s="1">
        <v>45298</v>
      </c>
      <c r="E290" t="s">
        <v>13</v>
      </c>
      <c r="F290">
        <v>18331.14</v>
      </c>
      <c r="G290">
        <v>986</v>
      </c>
      <c r="H290">
        <v>18</v>
      </c>
      <c r="I290">
        <v>195015.67</v>
      </c>
      <c r="J290">
        <v>7620</v>
      </c>
      <c r="K290">
        <v>205986</v>
      </c>
      <c r="L290">
        <f t="shared" si="8"/>
        <v>963.84911140278257</v>
      </c>
      <c r="M290">
        <f t="shared" si="9"/>
        <v>222</v>
      </c>
    </row>
    <row r="291" spans="1:13" x14ac:dyDescent="0.4">
      <c r="A291" t="s">
        <v>42</v>
      </c>
      <c r="B291" t="s">
        <v>15</v>
      </c>
      <c r="C291" s="1">
        <v>45552</v>
      </c>
      <c r="D291" s="1">
        <v>45296</v>
      </c>
      <c r="E291" t="s">
        <v>16</v>
      </c>
      <c r="F291">
        <v>15821.47</v>
      </c>
      <c r="G291">
        <v>469</v>
      </c>
      <c r="H291">
        <v>437</v>
      </c>
      <c r="I291">
        <v>195242.37</v>
      </c>
      <c r="J291">
        <v>9711</v>
      </c>
      <c r="K291">
        <v>395813</v>
      </c>
      <c r="L291">
        <f t="shared" si="8"/>
        <v>1134.0343217159973</v>
      </c>
      <c r="M291">
        <f t="shared" si="9"/>
        <v>256</v>
      </c>
    </row>
    <row r="292" spans="1:13" x14ac:dyDescent="0.4">
      <c r="A292" t="s">
        <v>96</v>
      </c>
      <c r="B292" t="s">
        <v>28</v>
      </c>
      <c r="C292" s="1">
        <v>45455</v>
      </c>
      <c r="D292" s="1">
        <v>45302</v>
      </c>
      <c r="E292" t="s">
        <v>34</v>
      </c>
      <c r="F292">
        <v>48793.29</v>
      </c>
      <c r="G292">
        <v>938</v>
      </c>
      <c r="H292">
        <v>161</v>
      </c>
      <c r="I292">
        <v>17728.97</v>
      </c>
      <c r="J292">
        <v>5509</v>
      </c>
      <c r="K292">
        <v>12600</v>
      </c>
      <c r="L292">
        <f t="shared" si="8"/>
        <v>-63.665147400390495</v>
      </c>
      <c r="M292">
        <f t="shared" si="9"/>
        <v>153</v>
      </c>
    </row>
    <row r="293" spans="1:13" x14ac:dyDescent="0.4">
      <c r="A293" t="s">
        <v>87</v>
      </c>
      <c r="B293" t="s">
        <v>21</v>
      </c>
      <c r="C293" s="1">
        <v>45592</v>
      </c>
      <c r="D293" s="1">
        <v>45297</v>
      </c>
      <c r="E293" t="s">
        <v>26</v>
      </c>
      <c r="F293">
        <v>9335.66</v>
      </c>
      <c r="G293">
        <v>1864</v>
      </c>
      <c r="H293">
        <v>227</v>
      </c>
      <c r="I293">
        <v>165258.67000000001</v>
      </c>
      <c r="J293">
        <v>9770</v>
      </c>
      <c r="K293">
        <v>397963</v>
      </c>
      <c r="L293">
        <f t="shared" si="8"/>
        <v>1670.1873247311923</v>
      </c>
      <c r="M293">
        <f t="shared" si="9"/>
        <v>295</v>
      </c>
    </row>
    <row r="294" spans="1:13" x14ac:dyDescent="0.4">
      <c r="A294" t="s">
        <v>100</v>
      </c>
      <c r="B294" t="s">
        <v>23</v>
      </c>
      <c r="C294" s="1">
        <v>45594</v>
      </c>
      <c r="D294" s="1">
        <v>45299</v>
      </c>
      <c r="E294" t="s">
        <v>26</v>
      </c>
      <c r="F294">
        <v>45013.67</v>
      </c>
      <c r="G294">
        <v>220</v>
      </c>
      <c r="H294">
        <v>136</v>
      </c>
      <c r="I294">
        <v>131030.44</v>
      </c>
      <c r="J294">
        <v>7969</v>
      </c>
      <c r="K294">
        <v>342559</v>
      </c>
      <c r="L294">
        <f t="shared" si="8"/>
        <v>191.09032878234547</v>
      </c>
      <c r="M294">
        <f t="shared" si="9"/>
        <v>295</v>
      </c>
    </row>
    <row r="295" spans="1:13" x14ac:dyDescent="0.4">
      <c r="A295" t="s">
        <v>121</v>
      </c>
      <c r="B295" t="s">
        <v>15</v>
      </c>
      <c r="C295" s="1">
        <v>45578</v>
      </c>
      <c r="D295" s="1">
        <v>45295</v>
      </c>
      <c r="E295" t="s">
        <v>16</v>
      </c>
      <c r="F295">
        <v>39063.360000000001</v>
      </c>
      <c r="G295">
        <v>183</v>
      </c>
      <c r="H295">
        <v>342</v>
      </c>
      <c r="I295">
        <v>131231.72</v>
      </c>
      <c r="J295">
        <v>3056</v>
      </c>
      <c r="K295">
        <v>249430</v>
      </c>
      <c r="L295">
        <f t="shared" si="8"/>
        <v>235.94580701711271</v>
      </c>
      <c r="M295">
        <f t="shared" si="9"/>
        <v>283</v>
      </c>
    </row>
    <row r="296" spans="1:13" x14ac:dyDescent="0.4">
      <c r="A296" t="s">
        <v>102</v>
      </c>
      <c r="B296" t="s">
        <v>28</v>
      </c>
      <c r="C296" s="1">
        <v>45301</v>
      </c>
      <c r="D296" s="1">
        <v>45299</v>
      </c>
      <c r="E296" t="s">
        <v>26</v>
      </c>
      <c r="F296">
        <v>4747.5200000000004</v>
      </c>
      <c r="G296">
        <v>1014</v>
      </c>
      <c r="H296">
        <v>408</v>
      </c>
      <c r="I296">
        <v>30028.240000000002</v>
      </c>
      <c r="J296">
        <v>7810</v>
      </c>
      <c r="K296">
        <v>472769</v>
      </c>
      <c r="L296">
        <f t="shared" si="8"/>
        <v>532.5037071987058</v>
      </c>
      <c r="M296">
        <f t="shared" si="9"/>
        <v>2</v>
      </c>
    </row>
    <row r="297" spans="1:13" x14ac:dyDescent="0.4">
      <c r="A297" t="s">
        <v>112</v>
      </c>
      <c r="B297" t="s">
        <v>30</v>
      </c>
      <c r="C297" s="1">
        <v>45486</v>
      </c>
      <c r="D297" s="1">
        <v>45296</v>
      </c>
      <c r="E297" t="s">
        <v>13</v>
      </c>
      <c r="F297">
        <v>49349.73</v>
      </c>
      <c r="G297">
        <v>1500</v>
      </c>
      <c r="H297">
        <v>380</v>
      </c>
      <c r="I297">
        <v>131786.5</v>
      </c>
      <c r="J297">
        <v>6117</v>
      </c>
      <c r="K297">
        <v>156887</v>
      </c>
      <c r="L297">
        <f t="shared" si="8"/>
        <v>167.04604057610848</v>
      </c>
      <c r="M297">
        <f t="shared" si="9"/>
        <v>190</v>
      </c>
    </row>
    <row r="298" spans="1:13" x14ac:dyDescent="0.4">
      <c r="A298" t="s">
        <v>70</v>
      </c>
      <c r="B298" t="s">
        <v>33</v>
      </c>
      <c r="C298" s="1">
        <v>45409</v>
      </c>
      <c r="D298" s="1">
        <v>45302</v>
      </c>
      <c r="E298" t="s">
        <v>13</v>
      </c>
      <c r="F298">
        <v>14296.93</v>
      </c>
      <c r="G298">
        <v>1098</v>
      </c>
      <c r="H298">
        <v>380</v>
      </c>
      <c r="I298">
        <v>196584.1</v>
      </c>
      <c r="J298">
        <v>9674</v>
      </c>
      <c r="K298">
        <v>216572</v>
      </c>
      <c r="L298">
        <f t="shared" si="8"/>
        <v>1275.0091802925524</v>
      </c>
      <c r="M298">
        <f t="shared" si="9"/>
        <v>107</v>
      </c>
    </row>
    <row r="299" spans="1:13" x14ac:dyDescent="0.4">
      <c r="A299" t="s">
        <v>103</v>
      </c>
      <c r="B299" t="s">
        <v>25</v>
      </c>
      <c r="C299" s="1">
        <v>45561</v>
      </c>
      <c r="D299" s="1">
        <v>45295</v>
      </c>
      <c r="E299" t="s">
        <v>16</v>
      </c>
      <c r="F299">
        <v>5830.56</v>
      </c>
      <c r="G299">
        <v>1603</v>
      </c>
      <c r="H299">
        <v>51</v>
      </c>
      <c r="I299">
        <v>182804.62</v>
      </c>
      <c r="J299">
        <v>3484</v>
      </c>
      <c r="K299">
        <v>95348</v>
      </c>
      <c r="L299">
        <f t="shared" si="8"/>
        <v>3035.2840893499078</v>
      </c>
      <c r="M299">
        <f t="shared" si="9"/>
        <v>266</v>
      </c>
    </row>
    <row r="300" spans="1:13" x14ac:dyDescent="0.4">
      <c r="A300" t="s">
        <v>118</v>
      </c>
      <c r="B300" t="s">
        <v>43</v>
      </c>
      <c r="C300" s="1">
        <v>45371</v>
      </c>
      <c r="D300" s="1">
        <v>45302</v>
      </c>
      <c r="E300" t="s">
        <v>26</v>
      </c>
      <c r="F300">
        <v>41636.400000000001</v>
      </c>
      <c r="G300">
        <v>1263</v>
      </c>
      <c r="H300">
        <v>111</v>
      </c>
      <c r="I300">
        <v>90630.48</v>
      </c>
      <c r="J300">
        <v>9861</v>
      </c>
      <c r="K300">
        <v>106736</v>
      </c>
      <c r="L300">
        <f t="shared" si="8"/>
        <v>117.67126840937254</v>
      </c>
      <c r="M300">
        <f t="shared" si="9"/>
        <v>69</v>
      </c>
    </row>
    <row r="301" spans="1:13" x14ac:dyDescent="0.4">
      <c r="A301" t="s">
        <v>87</v>
      </c>
      <c r="B301" t="s">
        <v>54</v>
      </c>
      <c r="C301" s="1">
        <v>45384</v>
      </c>
      <c r="D301" s="1">
        <v>45298</v>
      </c>
      <c r="E301" t="s">
        <v>26</v>
      </c>
      <c r="F301">
        <v>35627.1</v>
      </c>
      <c r="G301">
        <v>1214</v>
      </c>
      <c r="H301">
        <v>112</v>
      </c>
      <c r="I301">
        <v>12789.85</v>
      </c>
      <c r="J301">
        <v>128</v>
      </c>
      <c r="K301">
        <v>287858</v>
      </c>
      <c r="L301">
        <f t="shared" si="8"/>
        <v>-64.100782831047155</v>
      </c>
      <c r="M301">
        <f t="shared" si="9"/>
        <v>86</v>
      </c>
    </row>
    <row r="302" spans="1:13" x14ac:dyDescent="0.4">
      <c r="A302" t="s">
        <v>59</v>
      </c>
      <c r="B302" t="s">
        <v>18</v>
      </c>
      <c r="C302" s="1">
        <v>45557</v>
      </c>
      <c r="D302" s="1">
        <v>45301</v>
      </c>
      <c r="E302" t="s">
        <v>16</v>
      </c>
      <c r="F302">
        <v>31243.72</v>
      </c>
      <c r="G302">
        <v>1628</v>
      </c>
      <c r="H302">
        <v>269</v>
      </c>
      <c r="I302">
        <v>75647.23</v>
      </c>
      <c r="J302">
        <v>8997</v>
      </c>
      <c r="K302">
        <v>413106</v>
      </c>
      <c r="L302">
        <f t="shared" si="8"/>
        <v>142.11979239347937</v>
      </c>
      <c r="M302">
        <f t="shared" si="9"/>
        <v>256</v>
      </c>
    </row>
    <row r="303" spans="1:13" x14ac:dyDescent="0.4">
      <c r="A303" t="s">
        <v>38</v>
      </c>
      <c r="B303" t="s">
        <v>30</v>
      </c>
      <c r="C303" s="1">
        <v>45623</v>
      </c>
      <c r="D303" s="1">
        <v>45295</v>
      </c>
      <c r="E303" t="s">
        <v>34</v>
      </c>
      <c r="F303">
        <v>8643.06</v>
      </c>
      <c r="G303">
        <v>1919</v>
      </c>
      <c r="H303">
        <v>209</v>
      </c>
      <c r="I303">
        <v>166146.10999999999</v>
      </c>
      <c r="J303">
        <v>9312</v>
      </c>
      <c r="K303">
        <v>455725</v>
      </c>
      <c r="L303">
        <f t="shared" si="8"/>
        <v>1822.3065673499896</v>
      </c>
      <c r="M303">
        <f t="shared" si="9"/>
        <v>328</v>
      </c>
    </row>
    <row r="304" spans="1:13" x14ac:dyDescent="0.4">
      <c r="A304" t="s">
        <v>124</v>
      </c>
      <c r="B304" t="s">
        <v>33</v>
      </c>
      <c r="C304" s="1">
        <v>45641</v>
      </c>
      <c r="D304" s="1">
        <v>45299</v>
      </c>
      <c r="E304" t="s">
        <v>26</v>
      </c>
      <c r="F304">
        <v>24446.31</v>
      </c>
      <c r="G304">
        <v>1869</v>
      </c>
      <c r="H304">
        <v>83</v>
      </c>
      <c r="I304">
        <v>141792.32000000001</v>
      </c>
      <c r="J304">
        <v>9738</v>
      </c>
      <c r="K304">
        <v>456040</v>
      </c>
      <c r="L304">
        <f t="shared" si="8"/>
        <v>480.01522520167663</v>
      </c>
      <c r="M304">
        <f t="shared" si="9"/>
        <v>342</v>
      </c>
    </row>
    <row r="305" spans="1:13" x14ac:dyDescent="0.4">
      <c r="A305" t="s">
        <v>37</v>
      </c>
      <c r="B305" t="s">
        <v>40</v>
      </c>
      <c r="C305" s="1">
        <v>45652</v>
      </c>
      <c r="D305" s="1">
        <v>45296</v>
      </c>
      <c r="E305" t="s">
        <v>34</v>
      </c>
      <c r="F305">
        <v>39247.25</v>
      </c>
      <c r="G305">
        <v>707</v>
      </c>
      <c r="H305">
        <v>159</v>
      </c>
      <c r="I305">
        <v>94572.01</v>
      </c>
      <c r="J305">
        <v>7856</v>
      </c>
      <c r="K305">
        <v>136797</v>
      </c>
      <c r="L305">
        <f t="shared" si="8"/>
        <v>140.96467905394644</v>
      </c>
      <c r="M305">
        <f t="shared" si="9"/>
        <v>356</v>
      </c>
    </row>
    <row r="306" spans="1:13" x14ac:dyDescent="0.4">
      <c r="A306" t="s">
        <v>82</v>
      </c>
      <c r="B306" t="s">
        <v>51</v>
      </c>
      <c r="C306" s="1">
        <v>45548</v>
      </c>
      <c r="D306" s="1">
        <v>45298</v>
      </c>
      <c r="E306" t="s">
        <v>26</v>
      </c>
      <c r="F306">
        <v>15877.57</v>
      </c>
      <c r="G306">
        <v>1388</v>
      </c>
      <c r="H306">
        <v>275</v>
      </c>
      <c r="I306">
        <v>15744.8</v>
      </c>
      <c r="J306">
        <v>7048</v>
      </c>
      <c r="K306">
        <v>437421</v>
      </c>
      <c r="L306">
        <f t="shared" si="8"/>
        <v>-0.8362110826782716</v>
      </c>
      <c r="M306">
        <f t="shared" si="9"/>
        <v>250</v>
      </c>
    </row>
    <row r="307" spans="1:13" x14ac:dyDescent="0.4">
      <c r="A307" t="s">
        <v>48</v>
      </c>
      <c r="B307" t="s">
        <v>21</v>
      </c>
      <c r="C307" s="1">
        <v>45424</v>
      </c>
      <c r="D307" s="1">
        <v>45301</v>
      </c>
      <c r="E307" t="s">
        <v>26</v>
      </c>
      <c r="F307">
        <v>16272.8</v>
      </c>
      <c r="G307">
        <v>1517</v>
      </c>
      <c r="H307">
        <v>480</v>
      </c>
      <c r="I307">
        <v>88244.47</v>
      </c>
      <c r="J307">
        <v>5855</v>
      </c>
      <c r="K307">
        <v>152756</v>
      </c>
      <c r="L307">
        <f t="shared" si="8"/>
        <v>442.28202890713339</v>
      </c>
      <c r="M307">
        <f t="shared" si="9"/>
        <v>123</v>
      </c>
    </row>
    <row r="308" spans="1:13" x14ac:dyDescent="0.4">
      <c r="A308" t="s">
        <v>37</v>
      </c>
      <c r="B308" t="s">
        <v>54</v>
      </c>
      <c r="C308" s="1">
        <v>45567</v>
      </c>
      <c r="D308" s="1">
        <v>45294</v>
      </c>
      <c r="E308" t="s">
        <v>26</v>
      </c>
      <c r="F308">
        <v>1153.9000000000001</v>
      </c>
      <c r="G308">
        <v>1392</v>
      </c>
      <c r="H308">
        <v>489</v>
      </c>
      <c r="I308">
        <v>96459.86</v>
      </c>
      <c r="J308">
        <v>3702</v>
      </c>
      <c r="K308">
        <v>486077</v>
      </c>
      <c r="L308">
        <f t="shared" si="8"/>
        <v>8259.4644249935009</v>
      </c>
      <c r="M308">
        <f t="shared" si="9"/>
        <v>273</v>
      </c>
    </row>
    <row r="309" spans="1:13" x14ac:dyDescent="0.4">
      <c r="A309" t="s">
        <v>29</v>
      </c>
      <c r="B309" t="s">
        <v>31</v>
      </c>
      <c r="C309" s="1">
        <v>45555</v>
      </c>
      <c r="D309" s="1">
        <v>45298</v>
      </c>
      <c r="E309" t="s">
        <v>26</v>
      </c>
      <c r="F309">
        <v>9537.93</v>
      </c>
      <c r="G309">
        <v>1514</v>
      </c>
      <c r="H309">
        <v>251</v>
      </c>
      <c r="I309">
        <v>186068.33</v>
      </c>
      <c r="J309">
        <v>5162</v>
      </c>
      <c r="K309">
        <v>452127</v>
      </c>
      <c r="L309">
        <f t="shared" si="8"/>
        <v>1850.8250742037314</v>
      </c>
      <c r="M309">
        <f t="shared" si="9"/>
        <v>257</v>
      </c>
    </row>
    <row r="310" spans="1:13" x14ac:dyDescent="0.4">
      <c r="A310" t="s">
        <v>19</v>
      </c>
      <c r="B310" t="s">
        <v>31</v>
      </c>
      <c r="C310" s="1">
        <v>45462</v>
      </c>
      <c r="D310" s="1">
        <v>45296</v>
      </c>
      <c r="E310" t="s">
        <v>13</v>
      </c>
      <c r="F310">
        <v>43894.879999999997</v>
      </c>
      <c r="G310">
        <v>1165</v>
      </c>
      <c r="H310">
        <v>23</v>
      </c>
      <c r="I310">
        <v>130011.79</v>
      </c>
      <c r="J310">
        <v>8171</v>
      </c>
      <c r="K310">
        <v>492294</v>
      </c>
      <c r="L310">
        <f t="shared" si="8"/>
        <v>196.18896326860903</v>
      </c>
      <c r="M310">
        <f t="shared" si="9"/>
        <v>166</v>
      </c>
    </row>
    <row r="311" spans="1:13" x14ac:dyDescent="0.4">
      <c r="A311" t="s">
        <v>79</v>
      </c>
      <c r="B311" t="s">
        <v>28</v>
      </c>
      <c r="C311" s="1">
        <v>45292</v>
      </c>
      <c r="D311" s="1">
        <v>45297</v>
      </c>
      <c r="E311" t="s">
        <v>34</v>
      </c>
      <c r="F311">
        <v>22645.58</v>
      </c>
      <c r="G311">
        <v>228</v>
      </c>
      <c r="H311">
        <v>350</v>
      </c>
      <c r="I311">
        <v>65772.320000000007</v>
      </c>
      <c r="J311">
        <v>7344</v>
      </c>
      <c r="K311">
        <v>112573</v>
      </c>
      <c r="L311">
        <f t="shared" si="8"/>
        <v>190.44219666707588</v>
      </c>
      <c r="M311">
        <f t="shared" si="9"/>
        <v>5</v>
      </c>
    </row>
    <row r="312" spans="1:13" x14ac:dyDescent="0.4">
      <c r="A312" t="s">
        <v>45</v>
      </c>
      <c r="B312" t="s">
        <v>54</v>
      </c>
      <c r="C312" s="1">
        <v>45604</v>
      </c>
      <c r="D312" s="1">
        <v>45295</v>
      </c>
      <c r="E312" t="s">
        <v>34</v>
      </c>
      <c r="F312">
        <v>49227.49</v>
      </c>
      <c r="G312">
        <v>1129</v>
      </c>
      <c r="H312">
        <v>440</v>
      </c>
      <c r="I312">
        <v>107437.06</v>
      </c>
      <c r="J312">
        <v>6472</v>
      </c>
      <c r="K312">
        <v>276236</v>
      </c>
      <c r="L312">
        <f t="shared" si="8"/>
        <v>118.24606535900976</v>
      </c>
      <c r="M312">
        <f t="shared" si="9"/>
        <v>309</v>
      </c>
    </row>
    <row r="313" spans="1:13" x14ac:dyDescent="0.4">
      <c r="A313" t="s">
        <v>72</v>
      </c>
      <c r="B313" t="s">
        <v>36</v>
      </c>
      <c r="C313" s="1">
        <v>45355</v>
      </c>
      <c r="D313" s="1">
        <v>45302</v>
      </c>
      <c r="E313" t="s">
        <v>26</v>
      </c>
      <c r="F313">
        <v>20389.689999999999</v>
      </c>
      <c r="G313">
        <v>1228</v>
      </c>
      <c r="H313">
        <v>30</v>
      </c>
      <c r="I313">
        <v>17880.79</v>
      </c>
      <c r="J313">
        <v>7205</v>
      </c>
      <c r="K313">
        <v>359062</v>
      </c>
      <c r="L313">
        <f t="shared" si="8"/>
        <v>-12.304748134964278</v>
      </c>
      <c r="M313">
        <f t="shared" si="9"/>
        <v>53</v>
      </c>
    </row>
    <row r="314" spans="1:13" x14ac:dyDescent="0.4">
      <c r="A314" t="s">
        <v>103</v>
      </c>
      <c r="B314" t="s">
        <v>33</v>
      </c>
      <c r="C314" s="1">
        <v>45575</v>
      </c>
      <c r="D314" s="1">
        <v>45296</v>
      </c>
      <c r="E314" t="s">
        <v>26</v>
      </c>
      <c r="F314">
        <v>36044.14</v>
      </c>
      <c r="G314">
        <v>1745</v>
      </c>
      <c r="H314">
        <v>221</v>
      </c>
      <c r="I314">
        <v>194650.81</v>
      </c>
      <c r="J314">
        <v>3681</v>
      </c>
      <c r="K314">
        <v>433986</v>
      </c>
      <c r="L314">
        <f t="shared" si="8"/>
        <v>440.03455207975549</v>
      </c>
      <c r="M314">
        <f t="shared" si="9"/>
        <v>279</v>
      </c>
    </row>
    <row r="315" spans="1:13" x14ac:dyDescent="0.4">
      <c r="A315" t="s">
        <v>52</v>
      </c>
      <c r="B315" t="s">
        <v>51</v>
      </c>
      <c r="C315" s="1">
        <v>45412</v>
      </c>
      <c r="D315" s="1">
        <v>45295</v>
      </c>
      <c r="E315" t="s">
        <v>34</v>
      </c>
      <c r="F315">
        <v>14814.03</v>
      </c>
      <c r="G315">
        <v>160</v>
      </c>
      <c r="H315">
        <v>158</v>
      </c>
      <c r="I315">
        <v>75211.679999999993</v>
      </c>
      <c r="J315">
        <v>2862</v>
      </c>
      <c r="K315">
        <v>26457</v>
      </c>
      <c r="L315">
        <f t="shared" si="8"/>
        <v>407.70573571134923</v>
      </c>
      <c r="M315">
        <f t="shared" si="9"/>
        <v>117</v>
      </c>
    </row>
    <row r="316" spans="1:13" x14ac:dyDescent="0.4">
      <c r="A316" t="s">
        <v>103</v>
      </c>
      <c r="B316" t="s">
        <v>30</v>
      </c>
      <c r="C316" s="1">
        <v>45398</v>
      </c>
      <c r="D316" s="1">
        <v>45302</v>
      </c>
      <c r="E316" t="s">
        <v>13</v>
      </c>
      <c r="F316">
        <v>18826.669999999998</v>
      </c>
      <c r="G316">
        <v>186</v>
      </c>
      <c r="H316">
        <v>158</v>
      </c>
      <c r="I316">
        <v>98184.13</v>
      </c>
      <c r="J316">
        <v>672</v>
      </c>
      <c r="K316">
        <v>334811</v>
      </c>
      <c r="L316">
        <f t="shared" si="8"/>
        <v>421.51617891002502</v>
      </c>
      <c r="M316">
        <f t="shared" si="9"/>
        <v>96</v>
      </c>
    </row>
    <row r="317" spans="1:13" x14ac:dyDescent="0.4">
      <c r="A317" t="s">
        <v>127</v>
      </c>
      <c r="B317" t="s">
        <v>21</v>
      </c>
      <c r="C317" s="1">
        <v>45466</v>
      </c>
      <c r="D317" s="1">
        <v>45300</v>
      </c>
      <c r="E317" t="s">
        <v>16</v>
      </c>
      <c r="F317">
        <v>10345.57</v>
      </c>
      <c r="G317">
        <v>281</v>
      </c>
      <c r="H317">
        <v>178</v>
      </c>
      <c r="I317">
        <v>74280.37</v>
      </c>
      <c r="J317">
        <v>7805</v>
      </c>
      <c r="K317">
        <v>353895</v>
      </c>
      <c r="L317">
        <f t="shared" si="8"/>
        <v>617.99204877063323</v>
      </c>
      <c r="M317">
        <f t="shared" si="9"/>
        <v>166</v>
      </c>
    </row>
    <row r="318" spans="1:13" x14ac:dyDescent="0.4">
      <c r="A318" t="s">
        <v>14</v>
      </c>
      <c r="B318" t="s">
        <v>15</v>
      </c>
      <c r="C318" s="1">
        <v>45495</v>
      </c>
      <c r="D318" s="1">
        <v>45299</v>
      </c>
      <c r="E318" t="s">
        <v>16</v>
      </c>
      <c r="F318">
        <v>18006.060000000001</v>
      </c>
      <c r="G318">
        <v>1041</v>
      </c>
      <c r="H318">
        <v>96</v>
      </c>
      <c r="I318">
        <v>138089.79</v>
      </c>
      <c r="J318">
        <v>714</v>
      </c>
      <c r="K318">
        <v>63894</v>
      </c>
      <c r="L318">
        <f t="shared" si="8"/>
        <v>666.90730787301607</v>
      </c>
      <c r="M318">
        <f t="shared" si="9"/>
        <v>196</v>
      </c>
    </row>
    <row r="319" spans="1:13" x14ac:dyDescent="0.4">
      <c r="A319" t="s">
        <v>67</v>
      </c>
      <c r="B319" t="s">
        <v>33</v>
      </c>
      <c r="C319" s="1">
        <v>45456</v>
      </c>
      <c r="D319" s="1">
        <v>45294</v>
      </c>
      <c r="E319" t="s">
        <v>34</v>
      </c>
      <c r="F319">
        <v>27814.639999999999</v>
      </c>
      <c r="G319">
        <v>517</v>
      </c>
      <c r="H319">
        <v>437</v>
      </c>
      <c r="I319">
        <v>134135.26999999999</v>
      </c>
      <c r="J319">
        <v>4150</v>
      </c>
      <c r="K319">
        <v>62305</v>
      </c>
      <c r="L319">
        <f t="shared" si="8"/>
        <v>382.24701092661991</v>
      </c>
      <c r="M319">
        <f t="shared" si="9"/>
        <v>162</v>
      </c>
    </row>
    <row r="320" spans="1:13" x14ac:dyDescent="0.4">
      <c r="A320" t="s">
        <v>90</v>
      </c>
      <c r="B320" t="s">
        <v>51</v>
      </c>
      <c r="C320" s="1">
        <v>45596</v>
      </c>
      <c r="D320" s="1">
        <v>45298</v>
      </c>
      <c r="E320" t="s">
        <v>26</v>
      </c>
      <c r="F320">
        <v>49596.87</v>
      </c>
      <c r="G320">
        <v>781</v>
      </c>
      <c r="H320">
        <v>342</v>
      </c>
      <c r="I320">
        <v>144487.85</v>
      </c>
      <c r="J320">
        <v>425</v>
      </c>
      <c r="K320">
        <v>144684</v>
      </c>
      <c r="L320">
        <f t="shared" si="8"/>
        <v>191.32453318122697</v>
      </c>
      <c r="M320">
        <f t="shared" si="9"/>
        <v>298</v>
      </c>
    </row>
    <row r="321" spans="1:13" x14ac:dyDescent="0.4">
      <c r="A321" t="s">
        <v>113</v>
      </c>
      <c r="B321" t="s">
        <v>25</v>
      </c>
      <c r="C321" s="1">
        <v>45411</v>
      </c>
      <c r="D321" s="1">
        <v>45296</v>
      </c>
      <c r="E321" t="s">
        <v>26</v>
      </c>
      <c r="F321">
        <v>33545.879999999997</v>
      </c>
      <c r="G321">
        <v>530</v>
      </c>
      <c r="H321">
        <v>484</v>
      </c>
      <c r="I321">
        <v>57287.93</v>
      </c>
      <c r="J321">
        <v>3840</v>
      </c>
      <c r="K321">
        <v>234913</v>
      </c>
      <c r="L321">
        <f t="shared" si="8"/>
        <v>70.774861175202446</v>
      </c>
      <c r="M321">
        <f t="shared" si="9"/>
        <v>115</v>
      </c>
    </row>
    <row r="322" spans="1:13" x14ac:dyDescent="0.4">
      <c r="A322" t="s">
        <v>82</v>
      </c>
      <c r="B322" t="s">
        <v>18</v>
      </c>
      <c r="C322" s="1">
        <v>45335</v>
      </c>
      <c r="D322" s="1">
        <v>45294</v>
      </c>
      <c r="E322" t="s">
        <v>13</v>
      </c>
      <c r="F322">
        <v>10763.05</v>
      </c>
      <c r="G322">
        <v>1141</v>
      </c>
      <c r="H322">
        <v>185</v>
      </c>
      <c r="I322">
        <v>66555.350000000006</v>
      </c>
      <c r="J322">
        <v>458</v>
      </c>
      <c r="K322">
        <v>210699</v>
      </c>
      <c r="L322">
        <f t="shared" si="8"/>
        <v>518.3688638443565</v>
      </c>
      <c r="M322">
        <f t="shared" si="9"/>
        <v>41</v>
      </c>
    </row>
    <row r="323" spans="1:13" x14ac:dyDescent="0.4">
      <c r="A323" t="s">
        <v>76</v>
      </c>
      <c r="B323" t="s">
        <v>15</v>
      </c>
      <c r="C323" s="1">
        <v>45603</v>
      </c>
      <c r="D323" s="1">
        <v>45297</v>
      </c>
      <c r="E323" t="s">
        <v>16</v>
      </c>
      <c r="F323">
        <v>3203.11</v>
      </c>
      <c r="G323">
        <v>863</v>
      </c>
      <c r="H323">
        <v>135</v>
      </c>
      <c r="I323">
        <v>29423.99</v>
      </c>
      <c r="J323">
        <v>3877</v>
      </c>
      <c r="K323">
        <v>494855</v>
      </c>
      <c r="L323">
        <f t="shared" ref="L323:L386" si="10">(I323 - F323)/F323*100</f>
        <v>818.60691640312075</v>
      </c>
      <c r="M323">
        <f t="shared" ref="M323:M386" si="11">ABS(D323 - C323)</f>
        <v>306</v>
      </c>
    </row>
    <row r="324" spans="1:13" x14ac:dyDescent="0.4">
      <c r="A324" t="s">
        <v>59</v>
      </c>
      <c r="B324" t="s">
        <v>31</v>
      </c>
      <c r="C324" s="1">
        <v>45447</v>
      </c>
      <c r="D324" s="1">
        <v>45295</v>
      </c>
      <c r="E324" t="s">
        <v>13</v>
      </c>
      <c r="F324">
        <v>7191.47</v>
      </c>
      <c r="G324">
        <v>1322</v>
      </c>
      <c r="H324">
        <v>454</v>
      </c>
      <c r="I324">
        <v>132824.44</v>
      </c>
      <c r="J324">
        <v>6006</v>
      </c>
      <c r="K324">
        <v>431305</v>
      </c>
      <c r="L324">
        <f t="shared" si="10"/>
        <v>1746.9720377057818</v>
      </c>
      <c r="M324">
        <f t="shared" si="11"/>
        <v>152</v>
      </c>
    </row>
    <row r="325" spans="1:13" x14ac:dyDescent="0.4">
      <c r="A325" t="s">
        <v>20</v>
      </c>
      <c r="B325" t="s">
        <v>15</v>
      </c>
      <c r="C325" s="1">
        <v>45498</v>
      </c>
      <c r="D325" s="1">
        <v>45295</v>
      </c>
      <c r="E325" t="s">
        <v>16</v>
      </c>
      <c r="F325">
        <v>28565.200000000001</v>
      </c>
      <c r="G325">
        <v>1043</v>
      </c>
      <c r="H325">
        <v>485</v>
      </c>
      <c r="I325">
        <v>12760.44</v>
      </c>
      <c r="J325">
        <v>1821</v>
      </c>
      <c r="K325">
        <v>489511</v>
      </c>
      <c r="L325">
        <f t="shared" si="10"/>
        <v>-55.328721661322163</v>
      </c>
      <c r="M325">
        <f t="shared" si="11"/>
        <v>203</v>
      </c>
    </row>
    <row r="326" spans="1:13" x14ac:dyDescent="0.4">
      <c r="A326" t="s">
        <v>92</v>
      </c>
      <c r="B326" t="s">
        <v>30</v>
      </c>
      <c r="C326" s="1">
        <v>45399</v>
      </c>
      <c r="D326" s="1">
        <v>45296</v>
      </c>
      <c r="E326" t="s">
        <v>34</v>
      </c>
      <c r="F326">
        <v>38492.86</v>
      </c>
      <c r="G326">
        <v>372</v>
      </c>
      <c r="H326">
        <v>302</v>
      </c>
      <c r="I326">
        <v>121548.06</v>
      </c>
      <c r="J326">
        <v>1449</v>
      </c>
      <c r="K326">
        <v>315281</v>
      </c>
      <c r="L326">
        <f t="shared" si="10"/>
        <v>215.76780732842403</v>
      </c>
      <c r="M326">
        <f t="shared" si="11"/>
        <v>103</v>
      </c>
    </row>
    <row r="327" spans="1:13" x14ac:dyDescent="0.4">
      <c r="A327" t="s">
        <v>35</v>
      </c>
      <c r="B327" t="s">
        <v>31</v>
      </c>
      <c r="C327" s="1">
        <v>45542</v>
      </c>
      <c r="D327" s="1">
        <v>45301</v>
      </c>
      <c r="E327" t="s">
        <v>16</v>
      </c>
      <c r="F327">
        <v>47080.54</v>
      </c>
      <c r="G327">
        <v>971</v>
      </c>
      <c r="H327">
        <v>279</v>
      </c>
      <c r="I327">
        <v>174590.7</v>
      </c>
      <c r="J327">
        <v>3796</v>
      </c>
      <c r="K327">
        <v>1559</v>
      </c>
      <c r="L327">
        <f t="shared" si="10"/>
        <v>270.83410683055035</v>
      </c>
      <c r="M327">
        <f t="shared" si="11"/>
        <v>241</v>
      </c>
    </row>
    <row r="328" spans="1:13" x14ac:dyDescent="0.4">
      <c r="A328" t="s">
        <v>48</v>
      </c>
      <c r="B328" t="s">
        <v>30</v>
      </c>
      <c r="C328" s="1">
        <v>45625</v>
      </c>
      <c r="D328" s="1">
        <v>45301</v>
      </c>
      <c r="E328" t="s">
        <v>13</v>
      </c>
      <c r="F328">
        <v>1775.34</v>
      </c>
      <c r="G328">
        <v>953</v>
      </c>
      <c r="H328">
        <v>277</v>
      </c>
      <c r="I328">
        <v>178712.27</v>
      </c>
      <c r="J328">
        <v>3996</v>
      </c>
      <c r="K328">
        <v>329393</v>
      </c>
      <c r="L328">
        <f t="shared" si="10"/>
        <v>9966.3686955738049</v>
      </c>
      <c r="M328">
        <f t="shared" si="11"/>
        <v>324</v>
      </c>
    </row>
    <row r="329" spans="1:13" x14ac:dyDescent="0.4">
      <c r="A329" t="s">
        <v>119</v>
      </c>
      <c r="B329" t="s">
        <v>28</v>
      </c>
      <c r="C329" s="1">
        <v>45421</v>
      </c>
      <c r="D329" s="1">
        <v>45300</v>
      </c>
      <c r="E329" t="s">
        <v>13</v>
      </c>
      <c r="F329">
        <v>26615.25</v>
      </c>
      <c r="G329">
        <v>1591</v>
      </c>
      <c r="H329">
        <v>496</v>
      </c>
      <c r="I329">
        <v>92562.36</v>
      </c>
      <c r="J329">
        <v>4360</v>
      </c>
      <c r="K329">
        <v>38361</v>
      </c>
      <c r="L329">
        <f t="shared" si="10"/>
        <v>247.77941217910785</v>
      </c>
      <c r="M329">
        <f t="shared" si="11"/>
        <v>121</v>
      </c>
    </row>
    <row r="330" spans="1:13" x14ac:dyDescent="0.4">
      <c r="A330" t="s">
        <v>48</v>
      </c>
      <c r="B330" t="s">
        <v>36</v>
      </c>
      <c r="C330" s="1">
        <v>45584</v>
      </c>
      <c r="D330" s="1">
        <v>45299</v>
      </c>
      <c r="E330" t="s">
        <v>13</v>
      </c>
      <c r="F330">
        <v>24072.5</v>
      </c>
      <c r="G330">
        <v>1865</v>
      </c>
      <c r="H330">
        <v>421</v>
      </c>
      <c r="I330">
        <v>94564.22</v>
      </c>
      <c r="J330">
        <v>9888</v>
      </c>
      <c r="K330">
        <v>343864</v>
      </c>
      <c r="L330">
        <f t="shared" si="10"/>
        <v>292.83090663620317</v>
      </c>
      <c r="M330">
        <f t="shared" si="11"/>
        <v>285</v>
      </c>
    </row>
    <row r="331" spans="1:13" x14ac:dyDescent="0.4">
      <c r="A331" t="s">
        <v>69</v>
      </c>
      <c r="B331" t="s">
        <v>30</v>
      </c>
      <c r="C331" s="1">
        <v>45311</v>
      </c>
      <c r="D331" s="1">
        <v>45302</v>
      </c>
      <c r="E331" t="s">
        <v>34</v>
      </c>
      <c r="F331">
        <v>33146.699999999997</v>
      </c>
      <c r="G331">
        <v>1505</v>
      </c>
      <c r="H331">
        <v>80</v>
      </c>
      <c r="I331">
        <v>20008.990000000002</v>
      </c>
      <c r="J331">
        <v>9919</v>
      </c>
      <c r="K331">
        <v>278405</v>
      </c>
      <c r="L331">
        <f t="shared" si="10"/>
        <v>-39.635046626059292</v>
      </c>
      <c r="M331">
        <f t="shared" si="11"/>
        <v>9</v>
      </c>
    </row>
    <row r="332" spans="1:13" x14ac:dyDescent="0.4">
      <c r="A332" t="s">
        <v>22</v>
      </c>
      <c r="B332" t="s">
        <v>31</v>
      </c>
      <c r="C332" s="1">
        <v>45573</v>
      </c>
      <c r="D332" s="1">
        <v>45297</v>
      </c>
      <c r="E332" t="s">
        <v>16</v>
      </c>
      <c r="F332">
        <v>28419.360000000001</v>
      </c>
      <c r="G332">
        <v>1560</v>
      </c>
      <c r="H332">
        <v>181</v>
      </c>
      <c r="I332">
        <v>135799.18</v>
      </c>
      <c r="J332">
        <v>7041</v>
      </c>
      <c r="K332">
        <v>283516</v>
      </c>
      <c r="L332">
        <f t="shared" si="10"/>
        <v>377.84038767938472</v>
      </c>
      <c r="M332">
        <f t="shared" si="11"/>
        <v>276</v>
      </c>
    </row>
    <row r="333" spans="1:13" x14ac:dyDescent="0.4">
      <c r="A333" t="s">
        <v>87</v>
      </c>
      <c r="B333" t="s">
        <v>28</v>
      </c>
      <c r="C333" s="1">
        <v>45576</v>
      </c>
      <c r="D333" s="1">
        <v>45294</v>
      </c>
      <c r="E333" t="s">
        <v>16</v>
      </c>
      <c r="F333">
        <v>34664.92</v>
      </c>
      <c r="G333">
        <v>655</v>
      </c>
      <c r="H333">
        <v>188</v>
      </c>
      <c r="I333">
        <v>165145.59</v>
      </c>
      <c r="J333">
        <v>3908</v>
      </c>
      <c r="K333">
        <v>318499</v>
      </c>
      <c r="L333">
        <f t="shared" si="10"/>
        <v>376.40551312393046</v>
      </c>
      <c r="M333">
        <f t="shared" si="11"/>
        <v>282</v>
      </c>
    </row>
    <row r="334" spans="1:13" x14ac:dyDescent="0.4">
      <c r="A334" t="s">
        <v>124</v>
      </c>
      <c r="B334" t="s">
        <v>30</v>
      </c>
      <c r="C334" s="1">
        <v>45292</v>
      </c>
      <c r="D334" s="1">
        <v>45301</v>
      </c>
      <c r="E334" t="s">
        <v>13</v>
      </c>
      <c r="F334">
        <v>33246.050000000003</v>
      </c>
      <c r="G334">
        <v>478</v>
      </c>
      <c r="H334">
        <v>323</v>
      </c>
      <c r="I334">
        <v>52707.74</v>
      </c>
      <c r="J334">
        <v>5346</v>
      </c>
      <c r="K334">
        <v>229748</v>
      </c>
      <c r="L334">
        <f t="shared" si="10"/>
        <v>58.538352676483349</v>
      </c>
      <c r="M334">
        <f t="shared" si="11"/>
        <v>9</v>
      </c>
    </row>
    <row r="335" spans="1:13" x14ac:dyDescent="0.4">
      <c r="A335" t="s">
        <v>75</v>
      </c>
      <c r="B335" t="s">
        <v>25</v>
      </c>
      <c r="C335" s="1">
        <v>45410</v>
      </c>
      <c r="D335" s="1">
        <v>45300</v>
      </c>
      <c r="E335" t="s">
        <v>16</v>
      </c>
      <c r="F335">
        <v>6733.57</v>
      </c>
      <c r="G335">
        <v>1342</v>
      </c>
      <c r="H335">
        <v>135</v>
      </c>
      <c r="I335">
        <v>87153.67</v>
      </c>
      <c r="J335">
        <v>8484</v>
      </c>
      <c r="K335">
        <v>361704</v>
      </c>
      <c r="L335">
        <f t="shared" si="10"/>
        <v>1194.3159423604418</v>
      </c>
      <c r="M335">
        <f t="shared" si="11"/>
        <v>110</v>
      </c>
    </row>
    <row r="336" spans="1:13" x14ac:dyDescent="0.4">
      <c r="A336" t="s">
        <v>64</v>
      </c>
      <c r="B336" t="s">
        <v>15</v>
      </c>
      <c r="C336" s="1">
        <v>45326</v>
      </c>
      <c r="D336" s="1">
        <v>45300</v>
      </c>
      <c r="E336" t="s">
        <v>26</v>
      </c>
      <c r="F336">
        <v>40186.18</v>
      </c>
      <c r="G336">
        <v>1782</v>
      </c>
      <c r="H336">
        <v>367</v>
      </c>
      <c r="I336">
        <v>168573.67</v>
      </c>
      <c r="J336">
        <v>3945</v>
      </c>
      <c r="K336">
        <v>189992</v>
      </c>
      <c r="L336">
        <f t="shared" si="10"/>
        <v>319.48169743926894</v>
      </c>
      <c r="M336">
        <f t="shared" si="11"/>
        <v>26</v>
      </c>
    </row>
    <row r="337" spans="1:13" x14ac:dyDescent="0.4">
      <c r="A337" t="s">
        <v>125</v>
      </c>
      <c r="B337" t="s">
        <v>36</v>
      </c>
      <c r="C337" s="1">
        <v>45489</v>
      </c>
      <c r="D337" s="1">
        <v>45296</v>
      </c>
      <c r="E337" t="s">
        <v>26</v>
      </c>
      <c r="F337">
        <v>7038.4</v>
      </c>
      <c r="G337">
        <v>1610</v>
      </c>
      <c r="H337">
        <v>53</v>
      </c>
      <c r="I337">
        <v>176038.49</v>
      </c>
      <c r="J337">
        <v>2677</v>
      </c>
      <c r="K337">
        <v>244950</v>
      </c>
      <c r="L337">
        <f t="shared" si="10"/>
        <v>2401.1151682200502</v>
      </c>
      <c r="M337">
        <f t="shared" si="11"/>
        <v>193</v>
      </c>
    </row>
    <row r="338" spans="1:13" x14ac:dyDescent="0.4">
      <c r="A338" t="s">
        <v>120</v>
      </c>
      <c r="B338" t="s">
        <v>30</v>
      </c>
      <c r="C338" s="1">
        <v>45536</v>
      </c>
      <c r="D338" s="1">
        <v>45297</v>
      </c>
      <c r="E338" t="s">
        <v>26</v>
      </c>
      <c r="F338">
        <v>35228</v>
      </c>
      <c r="G338">
        <v>197</v>
      </c>
      <c r="H338">
        <v>59</v>
      </c>
      <c r="I338">
        <v>52420.1</v>
      </c>
      <c r="J338">
        <v>191</v>
      </c>
      <c r="K338">
        <v>426760</v>
      </c>
      <c r="L338">
        <f t="shared" si="10"/>
        <v>48.802373112297033</v>
      </c>
      <c r="M338">
        <f t="shared" si="11"/>
        <v>239</v>
      </c>
    </row>
    <row r="339" spans="1:13" x14ac:dyDescent="0.4">
      <c r="A339" t="s">
        <v>48</v>
      </c>
      <c r="B339" t="s">
        <v>28</v>
      </c>
      <c r="C339" s="1">
        <v>45350</v>
      </c>
      <c r="D339" s="1">
        <v>45302</v>
      </c>
      <c r="E339" t="s">
        <v>16</v>
      </c>
      <c r="F339">
        <v>21391.119999999999</v>
      </c>
      <c r="G339">
        <v>1191</v>
      </c>
      <c r="H339">
        <v>158</v>
      </c>
      <c r="I339">
        <v>112361.27</v>
      </c>
      <c r="J339">
        <v>4334</v>
      </c>
      <c r="K339">
        <v>1037</v>
      </c>
      <c r="L339">
        <f t="shared" si="10"/>
        <v>425.27062631596675</v>
      </c>
      <c r="M339">
        <f t="shared" si="11"/>
        <v>48</v>
      </c>
    </row>
    <row r="340" spans="1:13" x14ac:dyDescent="0.4">
      <c r="A340" t="s">
        <v>87</v>
      </c>
      <c r="B340" t="s">
        <v>40</v>
      </c>
      <c r="C340" s="1">
        <v>45616</v>
      </c>
      <c r="D340" s="1">
        <v>45299</v>
      </c>
      <c r="E340" t="s">
        <v>34</v>
      </c>
      <c r="F340">
        <v>26178.69</v>
      </c>
      <c r="G340">
        <v>899</v>
      </c>
      <c r="H340">
        <v>359</v>
      </c>
      <c r="I340">
        <v>42536.160000000003</v>
      </c>
      <c r="J340">
        <v>8772</v>
      </c>
      <c r="K340">
        <v>175104</v>
      </c>
      <c r="L340">
        <f t="shared" si="10"/>
        <v>62.483913442574881</v>
      </c>
      <c r="M340">
        <f t="shared" si="11"/>
        <v>317</v>
      </c>
    </row>
    <row r="341" spans="1:13" x14ac:dyDescent="0.4">
      <c r="A341" t="s">
        <v>49</v>
      </c>
      <c r="B341" t="s">
        <v>33</v>
      </c>
      <c r="C341" s="1">
        <v>45452</v>
      </c>
      <c r="D341" s="1">
        <v>45298</v>
      </c>
      <c r="E341" t="s">
        <v>34</v>
      </c>
      <c r="F341">
        <v>45261.599999999999</v>
      </c>
      <c r="G341">
        <v>416</v>
      </c>
      <c r="H341">
        <v>204</v>
      </c>
      <c r="I341">
        <v>24866.36</v>
      </c>
      <c r="J341">
        <v>6692</v>
      </c>
      <c r="K341">
        <v>472449</v>
      </c>
      <c r="L341">
        <f t="shared" si="10"/>
        <v>-45.060802092723193</v>
      </c>
      <c r="M341">
        <f t="shared" si="11"/>
        <v>154</v>
      </c>
    </row>
    <row r="342" spans="1:13" x14ac:dyDescent="0.4">
      <c r="A342" t="s">
        <v>56</v>
      </c>
      <c r="B342" t="s">
        <v>12</v>
      </c>
      <c r="C342" s="1">
        <v>45470</v>
      </c>
      <c r="D342" s="1">
        <v>45296</v>
      </c>
      <c r="E342" t="s">
        <v>34</v>
      </c>
      <c r="F342">
        <v>44604.3</v>
      </c>
      <c r="G342">
        <v>899</v>
      </c>
      <c r="H342">
        <v>312</v>
      </c>
      <c r="I342">
        <v>182668.5</v>
      </c>
      <c r="J342">
        <v>8228</v>
      </c>
      <c r="K342">
        <v>304564</v>
      </c>
      <c r="L342">
        <f t="shared" si="10"/>
        <v>309.53114385832754</v>
      </c>
      <c r="M342">
        <f t="shared" si="11"/>
        <v>174</v>
      </c>
    </row>
    <row r="343" spans="1:13" x14ac:dyDescent="0.4">
      <c r="A343" t="s">
        <v>104</v>
      </c>
      <c r="B343" t="s">
        <v>51</v>
      </c>
      <c r="C343" s="1">
        <v>45497</v>
      </c>
      <c r="D343" s="1">
        <v>45302</v>
      </c>
      <c r="E343" t="s">
        <v>34</v>
      </c>
      <c r="F343">
        <v>41074.959999999999</v>
      </c>
      <c r="G343">
        <v>1139</v>
      </c>
      <c r="H343">
        <v>360</v>
      </c>
      <c r="I343">
        <v>164998.96</v>
      </c>
      <c r="J343">
        <v>1175</v>
      </c>
      <c r="K343">
        <v>98243</v>
      </c>
      <c r="L343">
        <f t="shared" si="10"/>
        <v>301.70205886992949</v>
      </c>
      <c r="M343">
        <f t="shared" si="11"/>
        <v>195</v>
      </c>
    </row>
    <row r="344" spans="1:13" x14ac:dyDescent="0.4">
      <c r="A344" t="s">
        <v>39</v>
      </c>
      <c r="B344" t="s">
        <v>12</v>
      </c>
      <c r="C344" s="1">
        <v>45303</v>
      </c>
      <c r="D344" s="1">
        <v>45298</v>
      </c>
      <c r="E344" t="s">
        <v>26</v>
      </c>
      <c r="F344">
        <v>25997.27</v>
      </c>
      <c r="G344">
        <v>862</v>
      </c>
      <c r="H344">
        <v>377</v>
      </c>
      <c r="I344">
        <v>153206.81</v>
      </c>
      <c r="J344">
        <v>2613</v>
      </c>
      <c r="K344">
        <v>485768</v>
      </c>
      <c r="L344">
        <f t="shared" si="10"/>
        <v>489.31884001666327</v>
      </c>
      <c r="M344">
        <f t="shared" si="11"/>
        <v>5</v>
      </c>
    </row>
    <row r="345" spans="1:13" x14ac:dyDescent="0.4">
      <c r="A345" t="s">
        <v>44</v>
      </c>
      <c r="B345" t="s">
        <v>40</v>
      </c>
      <c r="C345" s="1">
        <v>45567</v>
      </c>
      <c r="D345" s="1">
        <v>45298</v>
      </c>
      <c r="E345" t="s">
        <v>26</v>
      </c>
      <c r="F345">
        <v>37075.75</v>
      </c>
      <c r="G345">
        <v>1443</v>
      </c>
      <c r="H345">
        <v>122</v>
      </c>
      <c r="I345">
        <v>14509.43</v>
      </c>
      <c r="J345">
        <v>8268</v>
      </c>
      <c r="K345">
        <v>130380</v>
      </c>
      <c r="L345">
        <f t="shared" si="10"/>
        <v>-60.865444394246914</v>
      </c>
      <c r="M345">
        <f t="shared" si="11"/>
        <v>269</v>
      </c>
    </row>
    <row r="346" spans="1:13" x14ac:dyDescent="0.4">
      <c r="A346" t="s">
        <v>45</v>
      </c>
      <c r="B346" t="s">
        <v>12</v>
      </c>
      <c r="C346" s="1">
        <v>45472</v>
      </c>
      <c r="D346" s="1">
        <v>45297</v>
      </c>
      <c r="E346" t="s">
        <v>13</v>
      </c>
      <c r="F346">
        <v>26131.96</v>
      </c>
      <c r="G346">
        <v>224</v>
      </c>
      <c r="H346">
        <v>267</v>
      </c>
      <c r="I346">
        <v>169527.11</v>
      </c>
      <c r="J346">
        <v>6961</v>
      </c>
      <c r="K346">
        <v>259430</v>
      </c>
      <c r="L346">
        <f t="shared" si="10"/>
        <v>548.73476769442482</v>
      </c>
      <c r="M346">
        <f t="shared" si="11"/>
        <v>175</v>
      </c>
    </row>
    <row r="347" spans="1:13" x14ac:dyDescent="0.4">
      <c r="A347" t="s">
        <v>62</v>
      </c>
      <c r="B347" t="s">
        <v>40</v>
      </c>
      <c r="C347" s="1">
        <v>45533</v>
      </c>
      <c r="D347" s="1">
        <v>45297</v>
      </c>
      <c r="E347" t="s">
        <v>16</v>
      </c>
      <c r="F347">
        <v>43610.7</v>
      </c>
      <c r="G347">
        <v>1904</v>
      </c>
      <c r="H347">
        <v>50</v>
      </c>
      <c r="I347">
        <v>90418.59</v>
      </c>
      <c r="J347">
        <v>9090</v>
      </c>
      <c r="K347">
        <v>35600</v>
      </c>
      <c r="L347">
        <f t="shared" si="10"/>
        <v>107.33120541518481</v>
      </c>
      <c r="M347">
        <f t="shared" si="11"/>
        <v>236</v>
      </c>
    </row>
    <row r="348" spans="1:13" x14ac:dyDescent="0.4">
      <c r="A348" t="s">
        <v>82</v>
      </c>
      <c r="B348" t="s">
        <v>21</v>
      </c>
      <c r="C348" s="1">
        <v>45507</v>
      </c>
      <c r="D348" s="1">
        <v>45294</v>
      </c>
      <c r="E348" t="s">
        <v>16</v>
      </c>
      <c r="F348">
        <v>20736.02</v>
      </c>
      <c r="G348">
        <v>637</v>
      </c>
      <c r="H348">
        <v>306</v>
      </c>
      <c r="I348">
        <v>71767.05</v>
      </c>
      <c r="J348">
        <v>704</v>
      </c>
      <c r="K348">
        <v>180357</v>
      </c>
      <c r="L348">
        <f t="shared" si="10"/>
        <v>246.09847984328718</v>
      </c>
      <c r="M348">
        <f t="shared" si="11"/>
        <v>213</v>
      </c>
    </row>
    <row r="349" spans="1:13" x14ac:dyDescent="0.4">
      <c r="A349" t="s">
        <v>75</v>
      </c>
      <c r="B349" t="s">
        <v>40</v>
      </c>
      <c r="C349" s="1">
        <v>45542</v>
      </c>
      <c r="D349" s="1">
        <v>45300</v>
      </c>
      <c r="E349" t="s">
        <v>34</v>
      </c>
      <c r="F349">
        <v>48541.53</v>
      </c>
      <c r="G349">
        <v>544</v>
      </c>
      <c r="H349">
        <v>360</v>
      </c>
      <c r="I349">
        <v>111562.89</v>
      </c>
      <c r="J349">
        <v>3079</v>
      </c>
      <c r="K349">
        <v>194080</v>
      </c>
      <c r="L349">
        <f t="shared" si="10"/>
        <v>129.82977668812666</v>
      </c>
      <c r="M349">
        <f t="shared" si="11"/>
        <v>242</v>
      </c>
    </row>
    <row r="350" spans="1:13" x14ac:dyDescent="0.4">
      <c r="A350" t="s">
        <v>105</v>
      </c>
      <c r="B350" t="s">
        <v>40</v>
      </c>
      <c r="C350" s="1">
        <v>45590</v>
      </c>
      <c r="D350" s="1">
        <v>45302</v>
      </c>
      <c r="E350" t="s">
        <v>26</v>
      </c>
      <c r="F350">
        <v>46683.82</v>
      </c>
      <c r="G350">
        <v>1022</v>
      </c>
      <c r="H350">
        <v>404</v>
      </c>
      <c r="I350">
        <v>22813.88</v>
      </c>
      <c r="J350">
        <v>7240</v>
      </c>
      <c r="K350">
        <v>352664</v>
      </c>
      <c r="L350">
        <f t="shared" si="10"/>
        <v>-51.131077105515352</v>
      </c>
      <c r="M350">
        <f t="shared" si="11"/>
        <v>288</v>
      </c>
    </row>
    <row r="351" spans="1:13" x14ac:dyDescent="0.4">
      <c r="A351" t="s">
        <v>105</v>
      </c>
      <c r="B351" t="s">
        <v>23</v>
      </c>
      <c r="C351" s="1">
        <v>45417</v>
      </c>
      <c r="D351" s="1">
        <v>45296</v>
      </c>
      <c r="E351" t="s">
        <v>34</v>
      </c>
      <c r="F351">
        <v>37338.53</v>
      </c>
      <c r="G351">
        <v>1187</v>
      </c>
      <c r="H351">
        <v>412</v>
      </c>
      <c r="I351">
        <v>152546.07999999999</v>
      </c>
      <c r="J351">
        <v>7165</v>
      </c>
      <c r="K351">
        <v>268311</v>
      </c>
      <c r="L351">
        <f t="shared" si="10"/>
        <v>308.54870290822907</v>
      </c>
      <c r="M351">
        <f t="shared" si="11"/>
        <v>121</v>
      </c>
    </row>
    <row r="352" spans="1:13" x14ac:dyDescent="0.4">
      <c r="A352" t="s">
        <v>122</v>
      </c>
      <c r="B352" t="s">
        <v>40</v>
      </c>
      <c r="C352" s="1">
        <v>45508</v>
      </c>
      <c r="D352" s="1">
        <v>45295</v>
      </c>
      <c r="E352" t="s">
        <v>13</v>
      </c>
      <c r="F352">
        <v>14691.38</v>
      </c>
      <c r="G352">
        <v>1184</v>
      </c>
      <c r="H352">
        <v>193</v>
      </c>
      <c r="I352">
        <v>118574.84</v>
      </c>
      <c r="J352">
        <v>5016</v>
      </c>
      <c r="K352">
        <v>258351</v>
      </c>
      <c r="L352">
        <f t="shared" si="10"/>
        <v>707.10484651543959</v>
      </c>
      <c r="M352">
        <f t="shared" si="11"/>
        <v>213</v>
      </c>
    </row>
    <row r="353" spans="1:13" x14ac:dyDescent="0.4">
      <c r="A353" t="s">
        <v>22</v>
      </c>
      <c r="B353" t="s">
        <v>25</v>
      </c>
      <c r="C353" s="1">
        <v>45597</v>
      </c>
      <c r="D353" s="1">
        <v>45296</v>
      </c>
      <c r="E353" t="s">
        <v>16</v>
      </c>
      <c r="F353">
        <v>7451.03</v>
      </c>
      <c r="G353">
        <v>1834</v>
      </c>
      <c r="H353">
        <v>314</v>
      </c>
      <c r="I353">
        <v>41385.07</v>
      </c>
      <c r="J353">
        <v>6900</v>
      </c>
      <c r="K353">
        <v>1432</v>
      </c>
      <c r="L353">
        <f t="shared" si="10"/>
        <v>455.42750465371904</v>
      </c>
      <c r="M353">
        <f t="shared" si="11"/>
        <v>301</v>
      </c>
    </row>
    <row r="354" spans="1:13" x14ac:dyDescent="0.4">
      <c r="A354" t="s">
        <v>44</v>
      </c>
      <c r="B354" t="s">
        <v>33</v>
      </c>
      <c r="C354" s="1">
        <v>45576</v>
      </c>
      <c r="D354" s="1">
        <v>45294</v>
      </c>
      <c r="E354" t="s">
        <v>16</v>
      </c>
      <c r="F354">
        <v>42880.47</v>
      </c>
      <c r="G354">
        <v>1512</v>
      </c>
      <c r="H354">
        <v>322</v>
      </c>
      <c r="I354">
        <v>41705.279999999999</v>
      </c>
      <c r="J354">
        <v>697</v>
      </c>
      <c r="K354">
        <v>262550</v>
      </c>
      <c r="L354">
        <f t="shared" si="10"/>
        <v>-2.7406182814694016</v>
      </c>
      <c r="M354">
        <f t="shared" si="11"/>
        <v>282</v>
      </c>
    </row>
    <row r="355" spans="1:13" x14ac:dyDescent="0.4">
      <c r="A355" t="s">
        <v>115</v>
      </c>
      <c r="B355" t="s">
        <v>18</v>
      </c>
      <c r="C355" s="1">
        <v>45476</v>
      </c>
      <c r="D355" s="1">
        <v>45299</v>
      </c>
      <c r="E355" t="s">
        <v>34</v>
      </c>
      <c r="F355">
        <v>9099.81</v>
      </c>
      <c r="G355">
        <v>1788</v>
      </c>
      <c r="H355">
        <v>133</v>
      </c>
      <c r="I355">
        <v>40928.49</v>
      </c>
      <c r="J355">
        <v>9824</v>
      </c>
      <c r="K355">
        <v>70687</v>
      </c>
      <c r="L355">
        <f t="shared" si="10"/>
        <v>349.77301723882152</v>
      </c>
      <c r="M355">
        <f t="shared" si="11"/>
        <v>177</v>
      </c>
    </row>
    <row r="356" spans="1:13" x14ac:dyDescent="0.4">
      <c r="A356" t="s">
        <v>99</v>
      </c>
      <c r="B356" t="s">
        <v>30</v>
      </c>
      <c r="C356" s="1">
        <v>45330</v>
      </c>
      <c r="D356" s="1">
        <v>45300</v>
      </c>
      <c r="E356" t="s">
        <v>13</v>
      </c>
      <c r="F356">
        <v>42858.78</v>
      </c>
      <c r="G356">
        <v>1220</v>
      </c>
      <c r="H356">
        <v>53</v>
      </c>
      <c r="I356">
        <v>16115.47</v>
      </c>
      <c r="J356">
        <v>7420</v>
      </c>
      <c r="K356">
        <v>245288</v>
      </c>
      <c r="L356">
        <f t="shared" si="10"/>
        <v>-62.39867303735663</v>
      </c>
      <c r="M356">
        <f t="shared" si="11"/>
        <v>30</v>
      </c>
    </row>
    <row r="357" spans="1:13" x14ac:dyDescent="0.4">
      <c r="A357" t="s">
        <v>46</v>
      </c>
      <c r="B357" t="s">
        <v>51</v>
      </c>
      <c r="C357" s="1">
        <v>45514</v>
      </c>
      <c r="D357" s="1">
        <v>45295</v>
      </c>
      <c r="E357" t="s">
        <v>16</v>
      </c>
      <c r="F357">
        <v>25047.49</v>
      </c>
      <c r="G357">
        <v>84</v>
      </c>
      <c r="H357">
        <v>29</v>
      </c>
      <c r="I357">
        <v>119620.7</v>
      </c>
      <c r="J357">
        <v>8805</v>
      </c>
      <c r="K357">
        <v>335091</v>
      </c>
      <c r="L357">
        <f t="shared" si="10"/>
        <v>377.57559739518803</v>
      </c>
      <c r="M357">
        <f t="shared" si="11"/>
        <v>219</v>
      </c>
    </row>
    <row r="358" spans="1:13" x14ac:dyDescent="0.4">
      <c r="A358" t="s">
        <v>115</v>
      </c>
      <c r="B358" t="s">
        <v>36</v>
      </c>
      <c r="C358" s="1">
        <v>45475</v>
      </c>
      <c r="D358" s="1">
        <v>45301</v>
      </c>
      <c r="E358" t="s">
        <v>13</v>
      </c>
      <c r="F358">
        <v>20921.28</v>
      </c>
      <c r="G358">
        <v>1048</v>
      </c>
      <c r="H358">
        <v>270</v>
      </c>
      <c r="I358">
        <v>168867.89</v>
      </c>
      <c r="J358">
        <v>5722</v>
      </c>
      <c r="K358">
        <v>359468</v>
      </c>
      <c r="L358">
        <f t="shared" si="10"/>
        <v>707.1585008183057</v>
      </c>
      <c r="M358">
        <f t="shared" si="11"/>
        <v>174</v>
      </c>
    </row>
    <row r="359" spans="1:13" x14ac:dyDescent="0.4">
      <c r="A359" t="s">
        <v>121</v>
      </c>
      <c r="B359" t="s">
        <v>33</v>
      </c>
      <c r="C359" s="1">
        <v>45469</v>
      </c>
      <c r="D359" s="1">
        <v>45299</v>
      </c>
      <c r="E359" t="s">
        <v>13</v>
      </c>
      <c r="F359">
        <v>45256.35</v>
      </c>
      <c r="G359">
        <v>1382</v>
      </c>
      <c r="H359">
        <v>122</v>
      </c>
      <c r="I359">
        <v>8412.15</v>
      </c>
      <c r="J359">
        <v>1977</v>
      </c>
      <c r="K359">
        <v>314047</v>
      </c>
      <c r="L359">
        <f t="shared" si="10"/>
        <v>-81.412221710323522</v>
      </c>
      <c r="M359">
        <f t="shared" si="11"/>
        <v>170</v>
      </c>
    </row>
    <row r="360" spans="1:13" x14ac:dyDescent="0.4">
      <c r="A360" t="s">
        <v>20</v>
      </c>
      <c r="B360" t="s">
        <v>31</v>
      </c>
      <c r="C360" s="1">
        <v>45585</v>
      </c>
      <c r="D360" s="1">
        <v>45297</v>
      </c>
      <c r="E360" t="s">
        <v>34</v>
      </c>
      <c r="F360">
        <v>30588.7</v>
      </c>
      <c r="G360">
        <v>587</v>
      </c>
      <c r="H360">
        <v>468</v>
      </c>
      <c r="I360">
        <v>14555.91</v>
      </c>
      <c r="J360">
        <v>1799</v>
      </c>
      <c r="K360">
        <v>486375</v>
      </c>
      <c r="L360">
        <f t="shared" si="10"/>
        <v>-52.414094093570505</v>
      </c>
      <c r="M360">
        <f t="shared" si="11"/>
        <v>288</v>
      </c>
    </row>
    <row r="361" spans="1:13" x14ac:dyDescent="0.4">
      <c r="A361" t="s">
        <v>87</v>
      </c>
      <c r="B361" t="s">
        <v>18</v>
      </c>
      <c r="C361" s="1">
        <v>45631</v>
      </c>
      <c r="D361" s="1">
        <v>45298</v>
      </c>
      <c r="E361" t="s">
        <v>26</v>
      </c>
      <c r="F361">
        <v>29254.09</v>
      </c>
      <c r="G361">
        <v>799</v>
      </c>
      <c r="H361">
        <v>148</v>
      </c>
      <c r="I361">
        <v>116690.2</v>
      </c>
      <c r="J361">
        <v>9321</v>
      </c>
      <c r="K361">
        <v>186221</v>
      </c>
      <c r="L361">
        <f t="shared" si="10"/>
        <v>298.88507897528177</v>
      </c>
      <c r="M361">
        <f t="shared" si="11"/>
        <v>333</v>
      </c>
    </row>
    <row r="362" spans="1:13" x14ac:dyDescent="0.4">
      <c r="A362" t="s">
        <v>118</v>
      </c>
      <c r="B362" t="s">
        <v>21</v>
      </c>
      <c r="C362" s="1">
        <v>45442</v>
      </c>
      <c r="D362" s="1">
        <v>45301</v>
      </c>
      <c r="E362" t="s">
        <v>34</v>
      </c>
      <c r="F362">
        <v>28379.53</v>
      </c>
      <c r="G362">
        <v>1087</v>
      </c>
      <c r="H362">
        <v>446</v>
      </c>
      <c r="I362">
        <v>164801.66</v>
      </c>
      <c r="J362">
        <v>5880</v>
      </c>
      <c r="K362">
        <v>219712</v>
      </c>
      <c r="L362">
        <f t="shared" si="10"/>
        <v>480.70609344129377</v>
      </c>
      <c r="M362">
        <f t="shared" si="11"/>
        <v>141</v>
      </c>
    </row>
    <row r="363" spans="1:13" x14ac:dyDescent="0.4">
      <c r="A363" t="s">
        <v>68</v>
      </c>
      <c r="B363" t="s">
        <v>21</v>
      </c>
      <c r="C363" s="1">
        <v>45417</v>
      </c>
      <c r="D363" s="1">
        <v>45296</v>
      </c>
      <c r="E363" t="s">
        <v>26</v>
      </c>
      <c r="F363">
        <v>19187.310000000001</v>
      </c>
      <c r="G363">
        <v>423</v>
      </c>
      <c r="H363">
        <v>204</v>
      </c>
      <c r="I363">
        <v>68714.080000000002</v>
      </c>
      <c r="J363">
        <v>816</v>
      </c>
      <c r="K363">
        <v>188840</v>
      </c>
      <c r="L363">
        <f t="shared" si="10"/>
        <v>258.1225299429675</v>
      </c>
      <c r="M363">
        <f t="shared" si="11"/>
        <v>121</v>
      </c>
    </row>
    <row r="364" spans="1:13" x14ac:dyDescent="0.4">
      <c r="A364" t="s">
        <v>76</v>
      </c>
      <c r="B364" t="s">
        <v>43</v>
      </c>
      <c r="C364" s="1">
        <v>45592</v>
      </c>
      <c r="D364" s="1">
        <v>45296</v>
      </c>
      <c r="E364" t="s">
        <v>13</v>
      </c>
      <c r="F364">
        <v>39496.51</v>
      </c>
      <c r="G364">
        <v>606</v>
      </c>
      <c r="H364">
        <v>161</v>
      </c>
      <c r="I364">
        <v>73174.81</v>
      </c>
      <c r="J364">
        <v>4186</v>
      </c>
      <c r="K364">
        <v>454400</v>
      </c>
      <c r="L364">
        <f t="shared" si="10"/>
        <v>85.269052885938507</v>
      </c>
      <c r="M364">
        <f t="shared" si="11"/>
        <v>296</v>
      </c>
    </row>
    <row r="365" spans="1:13" x14ac:dyDescent="0.4">
      <c r="A365" t="s">
        <v>46</v>
      </c>
      <c r="B365" t="s">
        <v>15</v>
      </c>
      <c r="C365" s="1">
        <v>45599</v>
      </c>
      <c r="D365" s="1">
        <v>45297</v>
      </c>
      <c r="E365" t="s">
        <v>26</v>
      </c>
      <c r="F365">
        <v>13387.12</v>
      </c>
      <c r="G365">
        <v>1501</v>
      </c>
      <c r="H365">
        <v>491</v>
      </c>
      <c r="I365">
        <v>121287.57</v>
      </c>
      <c r="J365">
        <v>765</v>
      </c>
      <c r="K365">
        <v>328936</v>
      </c>
      <c r="L365">
        <f t="shared" si="10"/>
        <v>806.00196308093166</v>
      </c>
      <c r="M365">
        <f t="shared" si="11"/>
        <v>302</v>
      </c>
    </row>
    <row r="366" spans="1:13" x14ac:dyDescent="0.4">
      <c r="A366" t="s">
        <v>53</v>
      </c>
      <c r="B366" t="s">
        <v>40</v>
      </c>
      <c r="C366" s="1">
        <v>45627</v>
      </c>
      <c r="D366" s="1">
        <v>45294</v>
      </c>
      <c r="E366" t="s">
        <v>13</v>
      </c>
      <c r="F366">
        <v>47005.85</v>
      </c>
      <c r="G366">
        <v>1801</v>
      </c>
      <c r="H366">
        <v>352</v>
      </c>
      <c r="I366">
        <v>58471.51</v>
      </c>
      <c r="J366">
        <v>7946</v>
      </c>
      <c r="K366">
        <v>296583</v>
      </c>
      <c r="L366">
        <f t="shared" si="10"/>
        <v>24.391985252899381</v>
      </c>
      <c r="M366">
        <f t="shared" si="11"/>
        <v>333</v>
      </c>
    </row>
    <row r="367" spans="1:13" x14ac:dyDescent="0.4">
      <c r="A367" t="s">
        <v>120</v>
      </c>
      <c r="B367" t="s">
        <v>33</v>
      </c>
      <c r="C367" s="1">
        <v>45525</v>
      </c>
      <c r="D367" s="1">
        <v>45302</v>
      </c>
      <c r="E367" t="s">
        <v>16</v>
      </c>
      <c r="F367">
        <v>44805.279999999999</v>
      </c>
      <c r="G367">
        <v>282</v>
      </c>
      <c r="H367">
        <v>138</v>
      </c>
      <c r="I367">
        <v>10188.629999999999</v>
      </c>
      <c r="J367">
        <v>6711</v>
      </c>
      <c r="K367">
        <v>165329</v>
      </c>
      <c r="L367">
        <f t="shared" si="10"/>
        <v>-77.260202369006521</v>
      </c>
      <c r="M367">
        <f t="shared" si="11"/>
        <v>223</v>
      </c>
    </row>
    <row r="368" spans="1:13" x14ac:dyDescent="0.4">
      <c r="A368" t="s">
        <v>74</v>
      </c>
      <c r="B368" t="s">
        <v>28</v>
      </c>
      <c r="C368" s="1">
        <v>45299</v>
      </c>
      <c r="D368" s="1">
        <v>45301</v>
      </c>
      <c r="E368" t="s">
        <v>16</v>
      </c>
      <c r="F368">
        <v>17536.54</v>
      </c>
      <c r="G368">
        <v>754</v>
      </c>
      <c r="H368">
        <v>404</v>
      </c>
      <c r="I368">
        <v>148369.56</v>
      </c>
      <c r="J368">
        <v>1179</v>
      </c>
      <c r="K368">
        <v>499409</v>
      </c>
      <c r="L368">
        <f t="shared" si="10"/>
        <v>746.0594849383059</v>
      </c>
      <c r="M368">
        <f t="shared" si="11"/>
        <v>2</v>
      </c>
    </row>
    <row r="369" spans="1:13" x14ac:dyDescent="0.4">
      <c r="A369" t="s">
        <v>58</v>
      </c>
      <c r="B369" t="s">
        <v>23</v>
      </c>
      <c r="C369" s="1">
        <v>45632</v>
      </c>
      <c r="D369" s="1">
        <v>45301</v>
      </c>
      <c r="E369" t="s">
        <v>16</v>
      </c>
      <c r="F369">
        <v>36743.72</v>
      </c>
      <c r="G369">
        <v>612</v>
      </c>
      <c r="H369">
        <v>152</v>
      </c>
      <c r="I369">
        <v>127001.73</v>
      </c>
      <c r="J369">
        <v>8519</v>
      </c>
      <c r="K369">
        <v>176746</v>
      </c>
      <c r="L369">
        <f t="shared" si="10"/>
        <v>245.6420035859189</v>
      </c>
      <c r="M369">
        <f t="shared" si="11"/>
        <v>331</v>
      </c>
    </row>
    <row r="370" spans="1:13" x14ac:dyDescent="0.4">
      <c r="A370" t="s">
        <v>44</v>
      </c>
      <c r="B370" t="s">
        <v>12</v>
      </c>
      <c r="C370" s="1">
        <v>45420</v>
      </c>
      <c r="D370" s="1">
        <v>45299</v>
      </c>
      <c r="E370" t="s">
        <v>34</v>
      </c>
      <c r="F370">
        <v>29087.94</v>
      </c>
      <c r="G370">
        <v>988</v>
      </c>
      <c r="H370">
        <v>340</v>
      </c>
      <c r="I370">
        <v>118247.42</v>
      </c>
      <c r="J370">
        <v>8440</v>
      </c>
      <c r="K370">
        <v>314392</v>
      </c>
      <c r="L370">
        <f t="shared" si="10"/>
        <v>306.51699639094414</v>
      </c>
      <c r="M370">
        <f t="shared" si="11"/>
        <v>121</v>
      </c>
    </row>
    <row r="371" spans="1:13" x14ac:dyDescent="0.4">
      <c r="A371" t="s">
        <v>14</v>
      </c>
      <c r="B371" t="s">
        <v>31</v>
      </c>
      <c r="C371" s="1">
        <v>45555</v>
      </c>
      <c r="D371" s="1">
        <v>45300</v>
      </c>
      <c r="E371" t="s">
        <v>34</v>
      </c>
      <c r="F371">
        <v>17544.82</v>
      </c>
      <c r="G371">
        <v>936</v>
      </c>
      <c r="H371">
        <v>75</v>
      </c>
      <c r="I371">
        <v>149628.41</v>
      </c>
      <c r="J371">
        <v>1169</v>
      </c>
      <c r="K371">
        <v>477818</v>
      </c>
      <c r="L371">
        <f t="shared" si="10"/>
        <v>752.83525279826188</v>
      </c>
      <c r="M371">
        <f t="shared" si="11"/>
        <v>255</v>
      </c>
    </row>
    <row r="372" spans="1:13" x14ac:dyDescent="0.4">
      <c r="A372" t="s">
        <v>128</v>
      </c>
      <c r="B372" t="s">
        <v>21</v>
      </c>
      <c r="C372" s="1">
        <v>45448</v>
      </c>
      <c r="D372" s="1">
        <v>45299</v>
      </c>
      <c r="E372" t="s">
        <v>13</v>
      </c>
      <c r="F372">
        <v>49437.56</v>
      </c>
      <c r="G372">
        <v>775</v>
      </c>
      <c r="H372">
        <v>237</v>
      </c>
      <c r="I372">
        <v>136670.01</v>
      </c>
      <c r="J372">
        <v>5363</v>
      </c>
      <c r="K372">
        <v>177443</v>
      </c>
      <c r="L372">
        <f t="shared" si="10"/>
        <v>176.44974792445259</v>
      </c>
      <c r="M372">
        <f t="shared" si="11"/>
        <v>149</v>
      </c>
    </row>
    <row r="373" spans="1:13" x14ac:dyDescent="0.4">
      <c r="A373" t="s">
        <v>81</v>
      </c>
      <c r="B373" t="s">
        <v>51</v>
      </c>
      <c r="C373" s="1">
        <v>45643</v>
      </c>
      <c r="D373" s="1">
        <v>45302</v>
      </c>
      <c r="E373" t="s">
        <v>16</v>
      </c>
      <c r="F373">
        <v>2236.63</v>
      </c>
      <c r="G373">
        <v>1736</v>
      </c>
      <c r="H373">
        <v>338</v>
      </c>
      <c r="I373">
        <v>45146.99</v>
      </c>
      <c r="J373">
        <v>8051</v>
      </c>
      <c r="K373">
        <v>230354</v>
      </c>
      <c r="L373">
        <f t="shared" si="10"/>
        <v>1918.5274274242947</v>
      </c>
      <c r="M373">
        <f t="shared" si="11"/>
        <v>341</v>
      </c>
    </row>
    <row r="374" spans="1:13" x14ac:dyDescent="0.4">
      <c r="A374" t="s">
        <v>103</v>
      </c>
      <c r="B374" t="s">
        <v>21</v>
      </c>
      <c r="C374" s="1">
        <v>45649</v>
      </c>
      <c r="D374" s="1">
        <v>45296</v>
      </c>
      <c r="E374" t="s">
        <v>34</v>
      </c>
      <c r="F374">
        <v>13379.66</v>
      </c>
      <c r="G374">
        <v>1513</v>
      </c>
      <c r="H374">
        <v>303</v>
      </c>
      <c r="I374">
        <v>73733.8</v>
      </c>
      <c r="J374">
        <v>1463</v>
      </c>
      <c r="K374">
        <v>462212</v>
      </c>
      <c r="L374">
        <f t="shared" si="10"/>
        <v>451.08874216534656</v>
      </c>
      <c r="M374">
        <f t="shared" si="11"/>
        <v>353</v>
      </c>
    </row>
    <row r="375" spans="1:13" x14ac:dyDescent="0.4">
      <c r="A375" t="s">
        <v>102</v>
      </c>
      <c r="B375" t="s">
        <v>36</v>
      </c>
      <c r="C375" s="1">
        <v>45296</v>
      </c>
      <c r="D375" s="1">
        <v>45296</v>
      </c>
      <c r="E375" t="s">
        <v>16</v>
      </c>
      <c r="F375">
        <v>26483.63</v>
      </c>
      <c r="G375">
        <v>1575</v>
      </c>
      <c r="H375">
        <v>158</v>
      </c>
      <c r="I375">
        <v>29591.48</v>
      </c>
      <c r="J375">
        <v>4608</v>
      </c>
      <c r="K375">
        <v>169369</v>
      </c>
      <c r="L375">
        <f t="shared" si="10"/>
        <v>11.734984969960681</v>
      </c>
      <c r="M375">
        <f t="shared" si="11"/>
        <v>0</v>
      </c>
    </row>
    <row r="376" spans="1:13" x14ac:dyDescent="0.4">
      <c r="A376" t="s">
        <v>37</v>
      </c>
      <c r="B376" t="s">
        <v>30</v>
      </c>
      <c r="C376" s="1">
        <v>45377</v>
      </c>
      <c r="D376" s="1">
        <v>45296</v>
      </c>
      <c r="E376" t="s">
        <v>34</v>
      </c>
      <c r="F376">
        <v>26575.7</v>
      </c>
      <c r="G376">
        <v>1348</v>
      </c>
      <c r="H376">
        <v>94</v>
      </c>
      <c r="I376">
        <v>30322.12</v>
      </c>
      <c r="J376">
        <v>1855</v>
      </c>
      <c r="K376">
        <v>448489</v>
      </c>
      <c r="L376">
        <f t="shared" si="10"/>
        <v>14.097163950526227</v>
      </c>
      <c r="M376">
        <f t="shared" si="11"/>
        <v>81</v>
      </c>
    </row>
    <row r="377" spans="1:13" x14ac:dyDescent="0.4">
      <c r="A377" t="s">
        <v>14</v>
      </c>
      <c r="B377" t="s">
        <v>21</v>
      </c>
      <c r="C377" s="1">
        <v>45466</v>
      </c>
      <c r="D377" s="1">
        <v>45296</v>
      </c>
      <c r="E377" t="s">
        <v>26</v>
      </c>
      <c r="F377">
        <v>29857.72</v>
      </c>
      <c r="G377">
        <v>1923</v>
      </c>
      <c r="H377">
        <v>338</v>
      </c>
      <c r="I377">
        <v>136858.17000000001</v>
      </c>
      <c r="J377">
        <v>619</v>
      </c>
      <c r="K377">
        <v>455472</v>
      </c>
      <c r="L377">
        <f t="shared" si="10"/>
        <v>358.36778561792397</v>
      </c>
      <c r="M377">
        <f t="shared" si="11"/>
        <v>170</v>
      </c>
    </row>
    <row r="378" spans="1:13" x14ac:dyDescent="0.4">
      <c r="A378" t="s">
        <v>128</v>
      </c>
      <c r="B378" t="s">
        <v>36</v>
      </c>
      <c r="C378" s="1">
        <v>45581</v>
      </c>
      <c r="D378" s="1">
        <v>45302</v>
      </c>
      <c r="E378" t="s">
        <v>26</v>
      </c>
      <c r="F378">
        <v>37832.129999999997</v>
      </c>
      <c r="G378">
        <v>125</v>
      </c>
      <c r="H378">
        <v>203</v>
      </c>
      <c r="I378">
        <v>172427.02</v>
      </c>
      <c r="J378">
        <v>5563</v>
      </c>
      <c r="K378">
        <v>35743</v>
      </c>
      <c r="L378">
        <f t="shared" si="10"/>
        <v>355.76873414211673</v>
      </c>
      <c r="M378">
        <f t="shared" si="11"/>
        <v>279</v>
      </c>
    </row>
    <row r="379" spans="1:13" x14ac:dyDescent="0.4">
      <c r="A379" t="s">
        <v>41</v>
      </c>
      <c r="B379" t="s">
        <v>33</v>
      </c>
      <c r="C379" s="1">
        <v>45484</v>
      </c>
      <c r="D379" s="1">
        <v>45297</v>
      </c>
      <c r="E379" t="s">
        <v>16</v>
      </c>
      <c r="F379">
        <v>31550.41</v>
      </c>
      <c r="G379">
        <v>488</v>
      </c>
      <c r="H379">
        <v>165</v>
      </c>
      <c r="I379">
        <v>192732.85</v>
      </c>
      <c r="J379">
        <v>7333</v>
      </c>
      <c r="K379">
        <v>200824</v>
      </c>
      <c r="L379">
        <f t="shared" si="10"/>
        <v>510.87272716899719</v>
      </c>
      <c r="M379">
        <f t="shared" si="11"/>
        <v>187</v>
      </c>
    </row>
    <row r="380" spans="1:13" x14ac:dyDescent="0.4">
      <c r="A380" t="s">
        <v>86</v>
      </c>
      <c r="B380" t="s">
        <v>33</v>
      </c>
      <c r="C380" s="1">
        <v>45602</v>
      </c>
      <c r="D380" s="1">
        <v>45300</v>
      </c>
      <c r="E380" t="s">
        <v>13</v>
      </c>
      <c r="F380">
        <v>30413.79</v>
      </c>
      <c r="G380">
        <v>1805</v>
      </c>
      <c r="H380">
        <v>30</v>
      </c>
      <c r="I380">
        <v>127527.69</v>
      </c>
      <c r="J380">
        <v>1202</v>
      </c>
      <c r="K380">
        <v>80803</v>
      </c>
      <c r="L380">
        <f t="shared" si="10"/>
        <v>319.30877407912658</v>
      </c>
      <c r="M380">
        <f t="shared" si="11"/>
        <v>302</v>
      </c>
    </row>
    <row r="381" spans="1:13" x14ac:dyDescent="0.4">
      <c r="A381" t="s">
        <v>103</v>
      </c>
      <c r="B381" t="s">
        <v>23</v>
      </c>
      <c r="C381" s="1">
        <v>45410</v>
      </c>
      <c r="D381" s="1">
        <v>45302</v>
      </c>
      <c r="E381" t="s">
        <v>34</v>
      </c>
      <c r="F381">
        <v>3622.21</v>
      </c>
      <c r="G381">
        <v>1933</v>
      </c>
      <c r="H381">
        <v>125</v>
      </c>
      <c r="I381">
        <v>40899.760000000002</v>
      </c>
      <c r="J381">
        <v>697</v>
      </c>
      <c r="K381">
        <v>338261</v>
      </c>
      <c r="L381">
        <f t="shared" si="10"/>
        <v>1029.1382885034275</v>
      </c>
      <c r="M381">
        <f t="shared" si="11"/>
        <v>108</v>
      </c>
    </row>
    <row r="382" spans="1:13" x14ac:dyDescent="0.4">
      <c r="A382" t="s">
        <v>47</v>
      </c>
      <c r="B382" t="s">
        <v>15</v>
      </c>
      <c r="C382" s="1">
        <v>45509</v>
      </c>
      <c r="D382" s="1">
        <v>45300</v>
      </c>
      <c r="E382" t="s">
        <v>34</v>
      </c>
      <c r="F382">
        <v>19449.98</v>
      </c>
      <c r="G382">
        <v>748</v>
      </c>
      <c r="H382">
        <v>305</v>
      </c>
      <c r="I382">
        <v>25601.82</v>
      </c>
      <c r="J382">
        <v>3373</v>
      </c>
      <c r="K382">
        <v>202123</v>
      </c>
      <c r="L382">
        <f t="shared" si="10"/>
        <v>31.629029952730033</v>
      </c>
      <c r="M382">
        <f t="shared" si="11"/>
        <v>209</v>
      </c>
    </row>
    <row r="383" spans="1:13" x14ac:dyDescent="0.4">
      <c r="A383" t="s">
        <v>115</v>
      </c>
      <c r="B383" t="s">
        <v>43</v>
      </c>
      <c r="C383" s="1">
        <v>45405</v>
      </c>
      <c r="D383" s="1">
        <v>45302</v>
      </c>
      <c r="E383" t="s">
        <v>26</v>
      </c>
      <c r="F383">
        <v>12370.73</v>
      </c>
      <c r="G383">
        <v>1362</v>
      </c>
      <c r="H383">
        <v>216</v>
      </c>
      <c r="I383">
        <v>163505.94</v>
      </c>
      <c r="J383">
        <v>5881</v>
      </c>
      <c r="K383">
        <v>23076</v>
      </c>
      <c r="L383">
        <f t="shared" si="10"/>
        <v>1221.7161800475801</v>
      </c>
      <c r="M383">
        <f t="shared" si="11"/>
        <v>103</v>
      </c>
    </row>
    <row r="384" spans="1:13" x14ac:dyDescent="0.4">
      <c r="A384" t="s">
        <v>83</v>
      </c>
      <c r="B384" t="s">
        <v>18</v>
      </c>
      <c r="C384" s="1">
        <v>45436</v>
      </c>
      <c r="D384" s="1">
        <v>45296</v>
      </c>
      <c r="E384" t="s">
        <v>26</v>
      </c>
      <c r="F384">
        <v>14003.14</v>
      </c>
      <c r="G384">
        <v>964</v>
      </c>
      <c r="H384">
        <v>67</v>
      </c>
      <c r="I384">
        <v>117857.51</v>
      </c>
      <c r="J384">
        <v>6356</v>
      </c>
      <c r="K384">
        <v>242424</v>
      </c>
      <c r="L384">
        <f t="shared" si="10"/>
        <v>741.65058693978642</v>
      </c>
      <c r="M384">
        <f t="shared" si="11"/>
        <v>140</v>
      </c>
    </row>
    <row r="385" spans="1:13" x14ac:dyDescent="0.4">
      <c r="A385" t="s">
        <v>89</v>
      </c>
      <c r="B385" t="s">
        <v>21</v>
      </c>
      <c r="C385" s="1">
        <v>45317</v>
      </c>
      <c r="D385" s="1">
        <v>45297</v>
      </c>
      <c r="E385" t="s">
        <v>13</v>
      </c>
      <c r="F385">
        <v>28162.54</v>
      </c>
      <c r="G385">
        <v>1613</v>
      </c>
      <c r="H385">
        <v>455</v>
      </c>
      <c r="I385">
        <v>125565.58</v>
      </c>
      <c r="J385">
        <v>7358</v>
      </c>
      <c r="K385">
        <v>207384</v>
      </c>
      <c r="L385">
        <f t="shared" si="10"/>
        <v>345.86028106839797</v>
      </c>
      <c r="M385">
        <f t="shared" si="11"/>
        <v>20</v>
      </c>
    </row>
    <row r="386" spans="1:13" x14ac:dyDescent="0.4">
      <c r="A386" t="s">
        <v>112</v>
      </c>
      <c r="B386" t="s">
        <v>51</v>
      </c>
      <c r="C386" s="1">
        <v>45427</v>
      </c>
      <c r="D386" s="1">
        <v>45301</v>
      </c>
      <c r="E386" t="s">
        <v>13</v>
      </c>
      <c r="F386">
        <v>10775.76</v>
      </c>
      <c r="G386">
        <v>940</v>
      </c>
      <c r="H386">
        <v>440</v>
      </c>
      <c r="I386">
        <v>157385.10999999999</v>
      </c>
      <c r="J386">
        <v>8880</v>
      </c>
      <c r="K386">
        <v>251699</v>
      </c>
      <c r="L386">
        <f t="shared" si="10"/>
        <v>1360.5476551073889</v>
      </c>
      <c r="M386">
        <f t="shared" si="11"/>
        <v>126</v>
      </c>
    </row>
    <row r="387" spans="1:13" x14ac:dyDescent="0.4">
      <c r="A387" t="s">
        <v>27</v>
      </c>
      <c r="B387" t="s">
        <v>21</v>
      </c>
      <c r="C387" s="1">
        <v>45594</v>
      </c>
      <c r="D387" s="1">
        <v>45299</v>
      </c>
      <c r="E387" t="s">
        <v>13</v>
      </c>
      <c r="F387">
        <v>15403.51</v>
      </c>
      <c r="G387">
        <v>741</v>
      </c>
      <c r="H387">
        <v>72</v>
      </c>
      <c r="I387">
        <v>142139.06</v>
      </c>
      <c r="J387">
        <v>6654</v>
      </c>
      <c r="K387">
        <v>350627</v>
      </c>
      <c r="L387">
        <f t="shared" ref="L387:L450" si="12">(I387 - F387)/F387*100</f>
        <v>822.77058930075032</v>
      </c>
      <c r="M387">
        <f t="shared" ref="M387:M450" si="13">ABS(D387 - C387)</f>
        <v>295</v>
      </c>
    </row>
    <row r="388" spans="1:13" x14ac:dyDescent="0.4">
      <c r="A388" t="s">
        <v>48</v>
      </c>
      <c r="B388" t="s">
        <v>43</v>
      </c>
      <c r="C388" s="1">
        <v>45523</v>
      </c>
      <c r="D388" s="1">
        <v>45298</v>
      </c>
      <c r="E388" t="s">
        <v>16</v>
      </c>
      <c r="F388">
        <v>12617.15</v>
      </c>
      <c r="G388">
        <v>302</v>
      </c>
      <c r="H388">
        <v>257</v>
      </c>
      <c r="I388">
        <v>167719.35999999999</v>
      </c>
      <c r="J388">
        <v>9699</v>
      </c>
      <c r="K388">
        <v>135035</v>
      </c>
      <c r="L388">
        <f t="shared" si="12"/>
        <v>1229.2967112224235</v>
      </c>
      <c r="M388">
        <f t="shared" si="13"/>
        <v>225</v>
      </c>
    </row>
    <row r="389" spans="1:13" x14ac:dyDescent="0.4">
      <c r="A389" t="s">
        <v>125</v>
      </c>
      <c r="B389" t="s">
        <v>54</v>
      </c>
      <c r="C389" s="1">
        <v>45367</v>
      </c>
      <c r="D389" s="1">
        <v>45297</v>
      </c>
      <c r="E389" t="s">
        <v>26</v>
      </c>
      <c r="F389">
        <v>47476.639999999999</v>
      </c>
      <c r="G389">
        <v>1199</v>
      </c>
      <c r="H389">
        <v>414</v>
      </c>
      <c r="I389">
        <v>15961.71</v>
      </c>
      <c r="J389">
        <v>8102</v>
      </c>
      <c r="K389">
        <v>382361</v>
      </c>
      <c r="L389">
        <f t="shared" si="12"/>
        <v>-66.379865971981161</v>
      </c>
      <c r="M389">
        <f t="shared" si="13"/>
        <v>70</v>
      </c>
    </row>
    <row r="390" spans="1:13" x14ac:dyDescent="0.4">
      <c r="A390" t="s">
        <v>67</v>
      </c>
      <c r="B390" t="s">
        <v>51</v>
      </c>
      <c r="C390" s="1">
        <v>45619</v>
      </c>
      <c r="D390" s="1">
        <v>45301</v>
      </c>
      <c r="E390" t="s">
        <v>16</v>
      </c>
      <c r="F390">
        <v>47288.62</v>
      </c>
      <c r="G390">
        <v>1250</v>
      </c>
      <c r="H390">
        <v>463</v>
      </c>
      <c r="I390">
        <v>150766.51999999999</v>
      </c>
      <c r="J390">
        <v>4946</v>
      </c>
      <c r="K390">
        <v>466538</v>
      </c>
      <c r="L390">
        <f t="shared" si="12"/>
        <v>218.82199142203768</v>
      </c>
      <c r="M390">
        <f t="shared" si="13"/>
        <v>318</v>
      </c>
    </row>
    <row r="391" spans="1:13" x14ac:dyDescent="0.4">
      <c r="A391" t="s">
        <v>127</v>
      </c>
      <c r="B391" t="s">
        <v>25</v>
      </c>
      <c r="C391" s="1">
        <v>45636</v>
      </c>
      <c r="D391" s="1">
        <v>45294</v>
      </c>
      <c r="E391" t="s">
        <v>26</v>
      </c>
      <c r="F391">
        <v>30887.14</v>
      </c>
      <c r="G391">
        <v>1110</v>
      </c>
      <c r="H391">
        <v>6</v>
      </c>
      <c r="I391">
        <v>170916.29</v>
      </c>
      <c r="J391">
        <v>9921</v>
      </c>
      <c r="K391">
        <v>145938</v>
      </c>
      <c r="L391">
        <f t="shared" si="12"/>
        <v>453.35744908722535</v>
      </c>
      <c r="M391">
        <f t="shared" si="13"/>
        <v>342</v>
      </c>
    </row>
    <row r="392" spans="1:13" x14ac:dyDescent="0.4">
      <c r="A392" t="s">
        <v>86</v>
      </c>
      <c r="B392" t="s">
        <v>40</v>
      </c>
      <c r="C392" s="1">
        <v>45593</v>
      </c>
      <c r="D392" s="1">
        <v>45302</v>
      </c>
      <c r="E392" t="s">
        <v>26</v>
      </c>
      <c r="F392">
        <v>46301.599999999999</v>
      </c>
      <c r="G392">
        <v>459</v>
      </c>
      <c r="H392">
        <v>402</v>
      </c>
      <c r="I392">
        <v>60796.33</v>
      </c>
      <c r="J392">
        <v>9286</v>
      </c>
      <c r="K392">
        <v>367648</v>
      </c>
      <c r="L392">
        <f t="shared" si="12"/>
        <v>31.305030495706422</v>
      </c>
      <c r="M392">
        <f t="shared" si="13"/>
        <v>291</v>
      </c>
    </row>
    <row r="393" spans="1:13" x14ac:dyDescent="0.4">
      <c r="A393" t="s">
        <v>82</v>
      </c>
      <c r="B393" t="s">
        <v>18</v>
      </c>
      <c r="C393" s="1">
        <v>45580</v>
      </c>
      <c r="D393" s="1">
        <v>45294</v>
      </c>
      <c r="E393" t="s">
        <v>34</v>
      </c>
      <c r="F393">
        <v>39504.82</v>
      </c>
      <c r="G393">
        <v>1684</v>
      </c>
      <c r="H393">
        <v>112</v>
      </c>
      <c r="I393">
        <v>129887.22</v>
      </c>
      <c r="J393">
        <v>4898</v>
      </c>
      <c r="K393">
        <v>164377</v>
      </c>
      <c r="L393">
        <f t="shared" si="12"/>
        <v>228.78828456881971</v>
      </c>
      <c r="M393">
        <f t="shared" si="13"/>
        <v>286</v>
      </c>
    </row>
    <row r="394" spans="1:13" x14ac:dyDescent="0.4">
      <c r="A394" t="s">
        <v>50</v>
      </c>
      <c r="B394" t="s">
        <v>25</v>
      </c>
      <c r="C394" s="1">
        <v>45292</v>
      </c>
      <c r="D394" s="1">
        <v>45301</v>
      </c>
      <c r="E394" t="s">
        <v>26</v>
      </c>
      <c r="F394">
        <v>29907.45</v>
      </c>
      <c r="G394">
        <v>1683</v>
      </c>
      <c r="H394">
        <v>290</v>
      </c>
      <c r="I394">
        <v>66261.600000000006</v>
      </c>
      <c r="J394">
        <v>6705</v>
      </c>
      <c r="K394">
        <v>456619</v>
      </c>
      <c r="L394">
        <f t="shared" si="12"/>
        <v>121.55549871353126</v>
      </c>
      <c r="M394">
        <f t="shared" si="13"/>
        <v>9</v>
      </c>
    </row>
    <row r="395" spans="1:13" x14ac:dyDescent="0.4">
      <c r="A395" t="s">
        <v>125</v>
      </c>
      <c r="B395" t="s">
        <v>54</v>
      </c>
      <c r="C395" s="1">
        <v>45438</v>
      </c>
      <c r="D395" s="1">
        <v>45297</v>
      </c>
      <c r="E395" t="s">
        <v>26</v>
      </c>
      <c r="F395">
        <v>1315.33</v>
      </c>
      <c r="G395">
        <v>176</v>
      </c>
      <c r="H395">
        <v>53</v>
      </c>
      <c r="I395">
        <v>191804.36</v>
      </c>
      <c r="J395">
        <v>3086</v>
      </c>
      <c r="K395">
        <v>214968</v>
      </c>
      <c r="L395">
        <f t="shared" si="12"/>
        <v>14482.223472436575</v>
      </c>
      <c r="M395">
        <f t="shared" si="13"/>
        <v>141</v>
      </c>
    </row>
    <row r="396" spans="1:13" x14ac:dyDescent="0.4">
      <c r="A396" t="s">
        <v>128</v>
      </c>
      <c r="B396" t="s">
        <v>54</v>
      </c>
      <c r="C396" s="1">
        <v>45578</v>
      </c>
      <c r="D396" s="1">
        <v>45302</v>
      </c>
      <c r="E396" t="s">
        <v>16</v>
      </c>
      <c r="F396">
        <v>38853.300000000003</v>
      </c>
      <c r="G396">
        <v>1556</v>
      </c>
      <c r="H396">
        <v>144</v>
      </c>
      <c r="I396">
        <v>11517.6</v>
      </c>
      <c r="J396">
        <v>500</v>
      </c>
      <c r="K396">
        <v>368793</v>
      </c>
      <c r="L396">
        <f t="shared" si="12"/>
        <v>-70.356185961038065</v>
      </c>
      <c r="M396">
        <f t="shared" si="13"/>
        <v>276</v>
      </c>
    </row>
    <row r="397" spans="1:13" x14ac:dyDescent="0.4">
      <c r="A397" t="s">
        <v>37</v>
      </c>
      <c r="B397" t="s">
        <v>43</v>
      </c>
      <c r="C397" s="1">
        <v>45433</v>
      </c>
      <c r="D397" s="1">
        <v>45298</v>
      </c>
      <c r="E397" t="s">
        <v>26</v>
      </c>
      <c r="F397">
        <v>35421.93</v>
      </c>
      <c r="G397">
        <v>1241</v>
      </c>
      <c r="H397">
        <v>222</v>
      </c>
      <c r="I397">
        <v>118059.6</v>
      </c>
      <c r="J397">
        <v>2955</v>
      </c>
      <c r="K397">
        <v>389388</v>
      </c>
      <c r="L397">
        <f t="shared" si="12"/>
        <v>233.29522135016362</v>
      </c>
      <c r="M397">
        <f t="shared" si="13"/>
        <v>135</v>
      </c>
    </row>
    <row r="398" spans="1:13" x14ac:dyDescent="0.4">
      <c r="A398" t="s">
        <v>112</v>
      </c>
      <c r="B398" t="s">
        <v>21</v>
      </c>
      <c r="C398" s="1">
        <v>45344</v>
      </c>
      <c r="D398" s="1">
        <v>45296</v>
      </c>
      <c r="E398" t="s">
        <v>16</v>
      </c>
      <c r="F398">
        <v>31147.43</v>
      </c>
      <c r="G398">
        <v>641</v>
      </c>
      <c r="H398">
        <v>48</v>
      </c>
      <c r="I398">
        <v>37468.19</v>
      </c>
      <c r="J398">
        <v>3512</v>
      </c>
      <c r="K398">
        <v>295957</v>
      </c>
      <c r="L398">
        <f t="shared" si="12"/>
        <v>20.293038623090258</v>
      </c>
      <c r="M398">
        <f t="shared" si="13"/>
        <v>48</v>
      </c>
    </row>
    <row r="399" spans="1:13" x14ac:dyDescent="0.4">
      <c r="A399" t="s">
        <v>61</v>
      </c>
      <c r="B399" t="s">
        <v>43</v>
      </c>
      <c r="C399" s="1">
        <v>45595</v>
      </c>
      <c r="D399" s="1">
        <v>45302</v>
      </c>
      <c r="E399" t="s">
        <v>13</v>
      </c>
      <c r="F399">
        <v>38260.79</v>
      </c>
      <c r="G399">
        <v>343</v>
      </c>
      <c r="H399">
        <v>421</v>
      </c>
      <c r="I399">
        <v>143882.94</v>
      </c>
      <c r="J399">
        <v>156</v>
      </c>
      <c r="K399">
        <v>329873</v>
      </c>
      <c r="L399">
        <f t="shared" si="12"/>
        <v>276.05846612158291</v>
      </c>
      <c r="M399">
        <f t="shared" si="13"/>
        <v>293</v>
      </c>
    </row>
    <row r="400" spans="1:13" x14ac:dyDescent="0.4">
      <c r="A400" t="s">
        <v>104</v>
      </c>
      <c r="B400" t="s">
        <v>43</v>
      </c>
      <c r="C400" s="1">
        <v>45360</v>
      </c>
      <c r="D400" s="1">
        <v>45302</v>
      </c>
      <c r="E400" t="s">
        <v>26</v>
      </c>
      <c r="F400">
        <v>26133.19</v>
      </c>
      <c r="G400">
        <v>1918</v>
      </c>
      <c r="H400">
        <v>273</v>
      </c>
      <c r="I400">
        <v>39298.61</v>
      </c>
      <c r="J400">
        <v>8122</v>
      </c>
      <c r="K400">
        <v>454902</v>
      </c>
      <c r="L400">
        <f t="shared" si="12"/>
        <v>50.378158961841258</v>
      </c>
      <c r="M400">
        <f t="shared" si="13"/>
        <v>58</v>
      </c>
    </row>
    <row r="401" spans="1:13" x14ac:dyDescent="0.4">
      <c r="A401" t="s">
        <v>101</v>
      </c>
      <c r="B401" t="s">
        <v>54</v>
      </c>
      <c r="C401" s="1">
        <v>45652</v>
      </c>
      <c r="D401" s="1">
        <v>45297</v>
      </c>
      <c r="E401" t="s">
        <v>26</v>
      </c>
      <c r="F401">
        <v>35500.080000000002</v>
      </c>
      <c r="G401">
        <v>1711</v>
      </c>
      <c r="H401">
        <v>82</v>
      </c>
      <c r="I401">
        <v>50899.74</v>
      </c>
      <c r="J401">
        <v>1975</v>
      </c>
      <c r="K401">
        <v>267656</v>
      </c>
      <c r="L401">
        <f t="shared" si="12"/>
        <v>43.379226187659285</v>
      </c>
      <c r="M401">
        <f t="shared" si="13"/>
        <v>355</v>
      </c>
    </row>
    <row r="402" spans="1:13" x14ac:dyDescent="0.4">
      <c r="A402" t="s">
        <v>113</v>
      </c>
      <c r="B402" t="s">
        <v>18</v>
      </c>
      <c r="C402" s="1">
        <v>45381</v>
      </c>
      <c r="D402" s="1">
        <v>45297</v>
      </c>
      <c r="E402" t="s">
        <v>16</v>
      </c>
      <c r="F402">
        <v>46823.43</v>
      </c>
      <c r="G402">
        <v>1416</v>
      </c>
      <c r="H402">
        <v>220</v>
      </c>
      <c r="I402">
        <v>101402.31</v>
      </c>
      <c r="J402">
        <v>4643</v>
      </c>
      <c r="K402">
        <v>251703</v>
      </c>
      <c r="L402">
        <f t="shared" si="12"/>
        <v>116.56318215047466</v>
      </c>
      <c r="M402">
        <f t="shared" si="13"/>
        <v>84</v>
      </c>
    </row>
    <row r="403" spans="1:13" x14ac:dyDescent="0.4">
      <c r="A403" t="s">
        <v>105</v>
      </c>
      <c r="B403" t="s">
        <v>25</v>
      </c>
      <c r="C403" s="1">
        <v>45511</v>
      </c>
      <c r="D403" s="1">
        <v>45301</v>
      </c>
      <c r="E403" t="s">
        <v>13</v>
      </c>
      <c r="F403">
        <v>19414.45</v>
      </c>
      <c r="G403">
        <v>1069</v>
      </c>
      <c r="H403">
        <v>386</v>
      </c>
      <c r="I403">
        <v>183392.82</v>
      </c>
      <c r="J403">
        <v>4398</v>
      </c>
      <c r="K403">
        <v>416882</v>
      </c>
      <c r="L403">
        <f t="shared" si="12"/>
        <v>844.62021844553931</v>
      </c>
      <c r="M403">
        <f t="shared" si="13"/>
        <v>210</v>
      </c>
    </row>
    <row r="404" spans="1:13" x14ac:dyDescent="0.4">
      <c r="A404" t="s">
        <v>42</v>
      </c>
      <c r="B404" t="s">
        <v>12</v>
      </c>
      <c r="C404" s="1">
        <v>45483</v>
      </c>
      <c r="D404" s="1">
        <v>45295</v>
      </c>
      <c r="E404" t="s">
        <v>34</v>
      </c>
      <c r="F404">
        <v>35697.97</v>
      </c>
      <c r="G404">
        <v>359</v>
      </c>
      <c r="H404">
        <v>102</v>
      </c>
      <c r="I404">
        <v>46284.3</v>
      </c>
      <c r="J404">
        <v>3868</v>
      </c>
      <c r="K404">
        <v>148702</v>
      </c>
      <c r="L404">
        <f t="shared" si="12"/>
        <v>29.655271714329977</v>
      </c>
      <c r="M404">
        <f t="shared" si="13"/>
        <v>188</v>
      </c>
    </row>
    <row r="405" spans="1:13" x14ac:dyDescent="0.4">
      <c r="A405" t="s">
        <v>71</v>
      </c>
      <c r="B405" t="s">
        <v>21</v>
      </c>
      <c r="C405" s="1">
        <v>45354</v>
      </c>
      <c r="D405" s="1">
        <v>45302</v>
      </c>
      <c r="E405" t="s">
        <v>13</v>
      </c>
      <c r="F405">
        <v>24308.7</v>
      </c>
      <c r="G405">
        <v>711</v>
      </c>
      <c r="H405">
        <v>240</v>
      </c>
      <c r="I405">
        <v>33126.800000000003</v>
      </c>
      <c r="J405">
        <v>5852</v>
      </c>
      <c r="K405">
        <v>118907</v>
      </c>
      <c r="L405">
        <f t="shared" si="12"/>
        <v>36.275489845199466</v>
      </c>
      <c r="M405">
        <f t="shared" si="13"/>
        <v>52</v>
      </c>
    </row>
    <row r="406" spans="1:13" x14ac:dyDescent="0.4">
      <c r="A406" t="s">
        <v>120</v>
      </c>
      <c r="B406" t="s">
        <v>54</v>
      </c>
      <c r="C406" s="1">
        <v>45364</v>
      </c>
      <c r="D406" s="1">
        <v>45299</v>
      </c>
      <c r="E406" t="s">
        <v>16</v>
      </c>
      <c r="F406">
        <v>34045.58</v>
      </c>
      <c r="G406">
        <v>577</v>
      </c>
      <c r="H406">
        <v>286</v>
      </c>
      <c r="I406">
        <v>153000.48000000001</v>
      </c>
      <c r="J406">
        <v>4933</v>
      </c>
      <c r="K406">
        <v>206591</v>
      </c>
      <c r="L406">
        <f t="shared" si="12"/>
        <v>349.3989528156078</v>
      </c>
      <c r="M406">
        <f t="shared" si="13"/>
        <v>65</v>
      </c>
    </row>
    <row r="407" spans="1:13" x14ac:dyDescent="0.4">
      <c r="A407" t="s">
        <v>48</v>
      </c>
      <c r="B407" t="s">
        <v>25</v>
      </c>
      <c r="C407" s="1">
        <v>45452</v>
      </c>
      <c r="D407" s="1">
        <v>45302</v>
      </c>
      <c r="E407" t="s">
        <v>13</v>
      </c>
      <c r="F407">
        <v>38381.769999999997</v>
      </c>
      <c r="G407">
        <v>589</v>
      </c>
      <c r="H407">
        <v>153</v>
      </c>
      <c r="I407">
        <v>102620.81</v>
      </c>
      <c r="J407">
        <v>1453</v>
      </c>
      <c r="K407">
        <v>394852</v>
      </c>
      <c r="L407">
        <f t="shared" si="12"/>
        <v>167.36862317709685</v>
      </c>
      <c r="M407">
        <f t="shared" si="13"/>
        <v>150</v>
      </c>
    </row>
    <row r="408" spans="1:13" x14ac:dyDescent="0.4">
      <c r="A408" t="s">
        <v>70</v>
      </c>
      <c r="B408" t="s">
        <v>15</v>
      </c>
      <c r="C408" s="1">
        <v>45460</v>
      </c>
      <c r="D408" s="1">
        <v>45301</v>
      </c>
      <c r="E408" t="s">
        <v>16</v>
      </c>
      <c r="F408">
        <v>3227.17</v>
      </c>
      <c r="G408">
        <v>468</v>
      </c>
      <c r="H408">
        <v>416</v>
      </c>
      <c r="I408">
        <v>182798.1</v>
      </c>
      <c r="J408">
        <v>5087</v>
      </c>
      <c r="K408">
        <v>397991</v>
      </c>
      <c r="L408">
        <f t="shared" si="12"/>
        <v>5564.3467806158333</v>
      </c>
      <c r="M408">
        <f t="shared" si="13"/>
        <v>159</v>
      </c>
    </row>
    <row r="409" spans="1:13" x14ac:dyDescent="0.4">
      <c r="A409" t="s">
        <v>110</v>
      </c>
      <c r="B409" t="s">
        <v>12</v>
      </c>
      <c r="C409" s="1">
        <v>45380</v>
      </c>
      <c r="D409" s="1">
        <v>45300</v>
      </c>
      <c r="E409" t="s">
        <v>16</v>
      </c>
      <c r="F409">
        <v>32683.42</v>
      </c>
      <c r="G409">
        <v>493</v>
      </c>
      <c r="H409">
        <v>308</v>
      </c>
      <c r="I409">
        <v>33589.839999999997</v>
      </c>
      <c r="J409">
        <v>6697</v>
      </c>
      <c r="K409">
        <v>462173</v>
      </c>
      <c r="L409">
        <f t="shared" si="12"/>
        <v>2.7733327785158295</v>
      </c>
      <c r="M409">
        <f t="shared" si="13"/>
        <v>80</v>
      </c>
    </row>
    <row r="410" spans="1:13" x14ac:dyDescent="0.4">
      <c r="A410" t="s">
        <v>87</v>
      </c>
      <c r="B410" t="s">
        <v>12</v>
      </c>
      <c r="C410" s="1">
        <v>45467</v>
      </c>
      <c r="D410" s="1">
        <v>45294</v>
      </c>
      <c r="E410" t="s">
        <v>34</v>
      </c>
      <c r="F410">
        <v>12110.32</v>
      </c>
      <c r="G410">
        <v>734</v>
      </c>
      <c r="H410">
        <v>488</v>
      </c>
      <c r="I410">
        <v>130955.94</v>
      </c>
      <c r="J410">
        <v>4411</v>
      </c>
      <c r="K410">
        <v>65591</v>
      </c>
      <c r="L410">
        <f t="shared" si="12"/>
        <v>981.35821349064281</v>
      </c>
      <c r="M410">
        <f t="shared" si="13"/>
        <v>173</v>
      </c>
    </row>
    <row r="411" spans="1:13" x14ac:dyDescent="0.4">
      <c r="A411" t="s">
        <v>66</v>
      </c>
      <c r="B411" t="s">
        <v>33</v>
      </c>
      <c r="C411" s="1">
        <v>45560</v>
      </c>
      <c r="D411" s="1">
        <v>45296</v>
      </c>
      <c r="E411" t="s">
        <v>26</v>
      </c>
      <c r="F411">
        <v>33831.589999999997</v>
      </c>
      <c r="G411">
        <v>1631</v>
      </c>
      <c r="H411">
        <v>428</v>
      </c>
      <c r="I411">
        <v>50411.43</v>
      </c>
      <c r="J411">
        <v>3034</v>
      </c>
      <c r="K411">
        <v>210633</v>
      </c>
      <c r="L411">
        <f t="shared" si="12"/>
        <v>49.006978389132776</v>
      </c>
      <c r="M411">
        <f t="shared" si="13"/>
        <v>264</v>
      </c>
    </row>
    <row r="412" spans="1:13" x14ac:dyDescent="0.4">
      <c r="A412" t="s">
        <v>14</v>
      </c>
      <c r="B412" t="s">
        <v>23</v>
      </c>
      <c r="C412" s="1">
        <v>45364</v>
      </c>
      <c r="D412" s="1">
        <v>45295</v>
      </c>
      <c r="E412" t="s">
        <v>16</v>
      </c>
      <c r="F412">
        <v>23948.18</v>
      </c>
      <c r="G412">
        <v>889</v>
      </c>
      <c r="H412">
        <v>70</v>
      </c>
      <c r="I412">
        <v>35568.28</v>
      </c>
      <c r="J412">
        <v>122</v>
      </c>
      <c r="K412">
        <v>469032</v>
      </c>
      <c r="L412">
        <f t="shared" si="12"/>
        <v>48.521850094662724</v>
      </c>
      <c r="M412">
        <f t="shared" si="13"/>
        <v>69</v>
      </c>
    </row>
    <row r="413" spans="1:13" x14ac:dyDescent="0.4">
      <c r="A413" t="s">
        <v>57</v>
      </c>
      <c r="B413" t="s">
        <v>21</v>
      </c>
      <c r="C413" s="1">
        <v>45536</v>
      </c>
      <c r="D413" s="1">
        <v>45298</v>
      </c>
      <c r="E413" t="s">
        <v>16</v>
      </c>
      <c r="F413">
        <v>38904.080000000002</v>
      </c>
      <c r="G413">
        <v>285</v>
      </c>
      <c r="H413">
        <v>238</v>
      </c>
      <c r="I413">
        <v>138268.74</v>
      </c>
      <c r="J413">
        <v>1309</v>
      </c>
      <c r="K413">
        <v>234559</v>
      </c>
      <c r="L413">
        <f t="shared" si="12"/>
        <v>255.40935552260837</v>
      </c>
      <c r="M413">
        <f t="shared" si="13"/>
        <v>238</v>
      </c>
    </row>
    <row r="414" spans="1:13" x14ac:dyDescent="0.4">
      <c r="A414" t="s">
        <v>91</v>
      </c>
      <c r="B414" t="s">
        <v>12</v>
      </c>
      <c r="C414" s="1">
        <v>45368</v>
      </c>
      <c r="D414" s="1">
        <v>45298</v>
      </c>
      <c r="E414" t="s">
        <v>34</v>
      </c>
      <c r="F414">
        <v>7046.64</v>
      </c>
      <c r="G414">
        <v>1512</v>
      </c>
      <c r="H414">
        <v>461</v>
      </c>
      <c r="I414">
        <v>120768.5</v>
      </c>
      <c r="J414">
        <v>9040</v>
      </c>
      <c r="K414">
        <v>274495</v>
      </c>
      <c r="L414">
        <f t="shared" si="12"/>
        <v>1613.8451801142103</v>
      </c>
      <c r="M414">
        <f t="shared" si="13"/>
        <v>70</v>
      </c>
    </row>
    <row r="415" spans="1:13" x14ac:dyDescent="0.4">
      <c r="A415" t="s">
        <v>103</v>
      </c>
      <c r="B415" t="s">
        <v>54</v>
      </c>
      <c r="C415" s="1">
        <v>45450</v>
      </c>
      <c r="D415" s="1">
        <v>45298</v>
      </c>
      <c r="E415" t="s">
        <v>16</v>
      </c>
      <c r="F415">
        <v>31689.8</v>
      </c>
      <c r="G415">
        <v>263</v>
      </c>
      <c r="H415">
        <v>91</v>
      </c>
      <c r="I415">
        <v>152191.35</v>
      </c>
      <c r="J415">
        <v>904</v>
      </c>
      <c r="K415">
        <v>378544</v>
      </c>
      <c r="L415">
        <f t="shared" si="12"/>
        <v>380.25342539239756</v>
      </c>
      <c r="M415">
        <f t="shared" si="13"/>
        <v>152</v>
      </c>
    </row>
    <row r="416" spans="1:13" x14ac:dyDescent="0.4">
      <c r="A416" t="s">
        <v>80</v>
      </c>
      <c r="B416" t="s">
        <v>33</v>
      </c>
      <c r="C416" s="1">
        <v>45615</v>
      </c>
      <c r="D416" s="1">
        <v>45297</v>
      </c>
      <c r="E416" t="s">
        <v>26</v>
      </c>
      <c r="F416">
        <v>14645.07</v>
      </c>
      <c r="G416">
        <v>134</v>
      </c>
      <c r="H416">
        <v>83</v>
      </c>
      <c r="I416">
        <v>65345.2</v>
      </c>
      <c r="J416">
        <v>8425</v>
      </c>
      <c r="K416">
        <v>121533</v>
      </c>
      <c r="L416">
        <f t="shared" si="12"/>
        <v>346.19247296189093</v>
      </c>
      <c r="M416">
        <f t="shared" si="13"/>
        <v>318</v>
      </c>
    </row>
    <row r="417" spans="1:13" x14ac:dyDescent="0.4">
      <c r="A417" t="s">
        <v>127</v>
      </c>
      <c r="B417" t="s">
        <v>25</v>
      </c>
      <c r="C417" s="1">
        <v>45389</v>
      </c>
      <c r="D417" s="1">
        <v>45298</v>
      </c>
      <c r="E417" t="s">
        <v>34</v>
      </c>
      <c r="F417">
        <v>42796.12</v>
      </c>
      <c r="G417">
        <v>843</v>
      </c>
      <c r="H417">
        <v>209</v>
      </c>
      <c r="I417">
        <v>92354.47</v>
      </c>
      <c r="J417">
        <v>4516</v>
      </c>
      <c r="K417">
        <v>104627</v>
      </c>
      <c r="L417">
        <f t="shared" si="12"/>
        <v>115.80103523403523</v>
      </c>
      <c r="M417">
        <f t="shared" si="13"/>
        <v>91</v>
      </c>
    </row>
    <row r="418" spans="1:13" x14ac:dyDescent="0.4">
      <c r="A418" t="s">
        <v>37</v>
      </c>
      <c r="B418" t="s">
        <v>15</v>
      </c>
      <c r="C418" s="1">
        <v>45393</v>
      </c>
      <c r="D418" s="1">
        <v>45296</v>
      </c>
      <c r="E418" t="s">
        <v>26</v>
      </c>
      <c r="F418">
        <v>46490.79</v>
      </c>
      <c r="G418">
        <v>1817</v>
      </c>
      <c r="H418">
        <v>283</v>
      </c>
      <c r="I418">
        <v>84066.98</v>
      </c>
      <c r="J418">
        <v>8725</v>
      </c>
      <c r="K418">
        <v>449400</v>
      </c>
      <c r="L418">
        <f t="shared" si="12"/>
        <v>80.825019321031107</v>
      </c>
      <c r="M418">
        <f t="shared" si="13"/>
        <v>97</v>
      </c>
    </row>
    <row r="419" spans="1:13" x14ac:dyDescent="0.4">
      <c r="A419" t="s">
        <v>111</v>
      </c>
      <c r="B419" t="s">
        <v>36</v>
      </c>
      <c r="C419" s="1">
        <v>45423</v>
      </c>
      <c r="D419" s="1">
        <v>45294</v>
      </c>
      <c r="E419" t="s">
        <v>26</v>
      </c>
      <c r="F419">
        <v>49823.519999999997</v>
      </c>
      <c r="G419">
        <v>134</v>
      </c>
      <c r="H419">
        <v>341</v>
      </c>
      <c r="I419">
        <v>196897.45</v>
      </c>
      <c r="J419">
        <v>5241</v>
      </c>
      <c r="K419">
        <v>129381</v>
      </c>
      <c r="L419">
        <f t="shared" si="12"/>
        <v>295.18976178319002</v>
      </c>
      <c r="M419">
        <f t="shared" si="13"/>
        <v>129</v>
      </c>
    </row>
    <row r="420" spans="1:13" x14ac:dyDescent="0.4">
      <c r="A420" t="s">
        <v>47</v>
      </c>
      <c r="B420" t="s">
        <v>21</v>
      </c>
      <c r="C420" s="1">
        <v>45393</v>
      </c>
      <c r="D420" s="1">
        <v>45298</v>
      </c>
      <c r="E420" t="s">
        <v>34</v>
      </c>
      <c r="F420">
        <v>40004.36</v>
      </c>
      <c r="G420">
        <v>1994</v>
      </c>
      <c r="H420">
        <v>258</v>
      </c>
      <c r="I420">
        <v>61988.55</v>
      </c>
      <c r="J420">
        <v>5068</v>
      </c>
      <c r="K420">
        <v>243264</v>
      </c>
      <c r="L420">
        <f t="shared" si="12"/>
        <v>54.954484961139237</v>
      </c>
      <c r="M420">
        <f t="shared" si="13"/>
        <v>95</v>
      </c>
    </row>
    <row r="421" spans="1:13" x14ac:dyDescent="0.4">
      <c r="A421" t="s">
        <v>64</v>
      </c>
      <c r="B421" t="s">
        <v>18</v>
      </c>
      <c r="C421" s="1">
        <v>45310</v>
      </c>
      <c r="D421" s="1">
        <v>45302</v>
      </c>
      <c r="E421" t="s">
        <v>16</v>
      </c>
      <c r="F421">
        <v>37932.97</v>
      </c>
      <c r="G421">
        <v>1562</v>
      </c>
      <c r="H421">
        <v>308</v>
      </c>
      <c r="I421">
        <v>62489.36</v>
      </c>
      <c r="J421">
        <v>3771</v>
      </c>
      <c r="K421">
        <v>358851</v>
      </c>
      <c r="L421">
        <f t="shared" si="12"/>
        <v>64.73627032104261</v>
      </c>
      <c r="M421">
        <f t="shared" si="13"/>
        <v>8</v>
      </c>
    </row>
    <row r="422" spans="1:13" x14ac:dyDescent="0.4">
      <c r="A422" t="s">
        <v>114</v>
      </c>
      <c r="B422" t="s">
        <v>43</v>
      </c>
      <c r="C422" s="1">
        <v>45373</v>
      </c>
      <c r="D422" s="1">
        <v>45302</v>
      </c>
      <c r="E422" t="s">
        <v>26</v>
      </c>
      <c r="F422">
        <v>11559.54</v>
      </c>
      <c r="G422">
        <v>114</v>
      </c>
      <c r="H422">
        <v>384</v>
      </c>
      <c r="I422">
        <v>74136.899999999994</v>
      </c>
      <c r="J422">
        <v>7392</v>
      </c>
      <c r="K422">
        <v>463396</v>
      </c>
      <c r="L422">
        <f t="shared" si="12"/>
        <v>541.3481851353946</v>
      </c>
      <c r="M422">
        <f t="shared" si="13"/>
        <v>71</v>
      </c>
    </row>
    <row r="423" spans="1:13" x14ac:dyDescent="0.4">
      <c r="A423" t="s">
        <v>79</v>
      </c>
      <c r="B423" t="s">
        <v>51</v>
      </c>
      <c r="C423" s="1">
        <v>45570</v>
      </c>
      <c r="D423" s="1">
        <v>45297</v>
      </c>
      <c r="E423" t="s">
        <v>26</v>
      </c>
      <c r="F423">
        <v>17464.349999999999</v>
      </c>
      <c r="G423">
        <v>1719</v>
      </c>
      <c r="H423">
        <v>134</v>
      </c>
      <c r="I423">
        <v>115095.85</v>
      </c>
      <c r="J423">
        <v>7101</v>
      </c>
      <c r="K423">
        <v>344822</v>
      </c>
      <c r="L423">
        <f t="shared" si="12"/>
        <v>559.03311603351972</v>
      </c>
      <c r="M423">
        <f t="shared" si="13"/>
        <v>273</v>
      </c>
    </row>
    <row r="424" spans="1:13" x14ac:dyDescent="0.4">
      <c r="A424" t="s">
        <v>94</v>
      </c>
      <c r="B424" t="s">
        <v>51</v>
      </c>
      <c r="C424" s="1">
        <v>45630</v>
      </c>
      <c r="D424" s="1">
        <v>45296</v>
      </c>
      <c r="E424" t="s">
        <v>26</v>
      </c>
      <c r="F424">
        <v>23818.44</v>
      </c>
      <c r="G424">
        <v>712</v>
      </c>
      <c r="H424">
        <v>88</v>
      </c>
      <c r="I424">
        <v>54202.94</v>
      </c>
      <c r="J424">
        <v>2198</v>
      </c>
      <c r="K424">
        <v>74309</v>
      </c>
      <c r="L424">
        <f t="shared" si="12"/>
        <v>127.5671286616588</v>
      </c>
      <c r="M424">
        <f t="shared" si="13"/>
        <v>334</v>
      </c>
    </row>
    <row r="425" spans="1:13" x14ac:dyDescent="0.4">
      <c r="A425" t="s">
        <v>124</v>
      </c>
      <c r="B425" t="s">
        <v>25</v>
      </c>
      <c r="C425" s="1">
        <v>45656</v>
      </c>
      <c r="D425" s="1">
        <v>45294</v>
      </c>
      <c r="E425" t="s">
        <v>26</v>
      </c>
      <c r="F425">
        <v>38895.67</v>
      </c>
      <c r="G425">
        <v>676</v>
      </c>
      <c r="H425">
        <v>280</v>
      </c>
      <c r="I425">
        <v>183481.54</v>
      </c>
      <c r="J425">
        <v>8544</v>
      </c>
      <c r="K425">
        <v>226074</v>
      </c>
      <c r="L425">
        <f t="shared" si="12"/>
        <v>371.72741850185378</v>
      </c>
      <c r="M425">
        <f t="shared" si="13"/>
        <v>362</v>
      </c>
    </row>
    <row r="426" spans="1:13" x14ac:dyDescent="0.4">
      <c r="A426" t="s">
        <v>95</v>
      </c>
      <c r="B426" t="s">
        <v>28</v>
      </c>
      <c r="C426" s="1">
        <v>45622</v>
      </c>
      <c r="D426" s="1">
        <v>45295</v>
      </c>
      <c r="E426" t="s">
        <v>34</v>
      </c>
      <c r="F426">
        <v>45833.33</v>
      </c>
      <c r="G426">
        <v>113</v>
      </c>
      <c r="H426">
        <v>191</v>
      </c>
      <c r="I426">
        <v>56808.69</v>
      </c>
      <c r="J426">
        <v>5161</v>
      </c>
      <c r="K426">
        <v>273922</v>
      </c>
      <c r="L426">
        <f t="shared" si="12"/>
        <v>23.946241741544856</v>
      </c>
      <c r="M426">
        <f t="shared" si="13"/>
        <v>327</v>
      </c>
    </row>
    <row r="427" spans="1:13" x14ac:dyDescent="0.4">
      <c r="A427" t="s">
        <v>75</v>
      </c>
      <c r="B427" t="s">
        <v>28</v>
      </c>
      <c r="C427" s="1">
        <v>45420</v>
      </c>
      <c r="D427" s="1">
        <v>45301</v>
      </c>
      <c r="E427" t="s">
        <v>34</v>
      </c>
      <c r="F427">
        <v>10267.82</v>
      </c>
      <c r="G427">
        <v>1416</v>
      </c>
      <c r="H427">
        <v>50</v>
      </c>
      <c r="I427">
        <v>179684.07</v>
      </c>
      <c r="J427">
        <v>9421</v>
      </c>
      <c r="K427">
        <v>144573</v>
      </c>
      <c r="L427">
        <f t="shared" si="12"/>
        <v>1649.9729251194508</v>
      </c>
      <c r="M427">
        <f t="shared" si="13"/>
        <v>119</v>
      </c>
    </row>
    <row r="428" spans="1:13" x14ac:dyDescent="0.4">
      <c r="A428" t="s">
        <v>123</v>
      </c>
      <c r="B428" t="s">
        <v>25</v>
      </c>
      <c r="C428" s="1">
        <v>45635</v>
      </c>
      <c r="D428" s="1">
        <v>45294</v>
      </c>
      <c r="E428" t="s">
        <v>13</v>
      </c>
      <c r="F428">
        <v>46196.01</v>
      </c>
      <c r="G428">
        <v>988</v>
      </c>
      <c r="H428">
        <v>391</v>
      </c>
      <c r="I428">
        <v>25177.64</v>
      </c>
      <c r="J428">
        <v>3364</v>
      </c>
      <c r="K428">
        <v>375857</v>
      </c>
      <c r="L428">
        <f t="shared" si="12"/>
        <v>-45.498236752481439</v>
      </c>
      <c r="M428">
        <f t="shared" si="13"/>
        <v>341</v>
      </c>
    </row>
    <row r="429" spans="1:13" x14ac:dyDescent="0.4">
      <c r="A429" t="s">
        <v>69</v>
      </c>
      <c r="B429" t="s">
        <v>54</v>
      </c>
      <c r="C429" s="1">
        <v>45601</v>
      </c>
      <c r="D429" s="1">
        <v>45301</v>
      </c>
      <c r="E429" t="s">
        <v>13</v>
      </c>
      <c r="F429">
        <v>35085.61</v>
      </c>
      <c r="G429">
        <v>1948</v>
      </c>
      <c r="H429">
        <v>187</v>
      </c>
      <c r="I429">
        <v>133029.73000000001</v>
      </c>
      <c r="J429">
        <v>5535</v>
      </c>
      <c r="K429">
        <v>396324</v>
      </c>
      <c r="L429">
        <f t="shared" si="12"/>
        <v>279.1575235545285</v>
      </c>
      <c r="M429">
        <f t="shared" si="13"/>
        <v>300</v>
      </c>
    </row>
    <row r="430" spans="1:13" x14ac:dyDescent="0.4">
      <c r="A430" t="s">
        <v>49</v>
      </c>
      <c r="B430" t="s">
        <v>12</v>
      </c>
      <c r="C430" s="1">
        <v>45380</v>
      </c>
      <c r="D430" s="1">
        <v>45300</v>
      </c>
      <c r="E430" t="s">
        <v>26</v>
      </c>
      <c r="F430">
        <v>30927.77</v>
      </c>
      <c r="G430">
        <v>968</v>
      </c>
      <c r="H430">
        <v>272</v>
      </c>
      <c r="I430">
        <v>181862.18</v>
      </c>
      <c r="J430">
        <v>8593</v>
      </c>
      <c r="K430">
        <v>489121</v>
      </c>
      <c r="L430">
        <f t="shared" si="12"/>
        <v>488.02228547354042</v>
      </c>
      <c r="M430">
        <f t="shared" si="13"/>
        <v>80</v>
      </c>
    </row>
    <row r="431" spans="1:13" x14ac:dyDescent="0.4">
      <c r="A431" t="s">
        <v>27</v>
      </c>
      <c r="B431" t="s">
        <v>23</v>
      </c>
      <c r="C431" s="1">
        <v>45504</v>
      </c>
      <c r="D431" s="1">
        <v>45301</v>
      </c>
      <c r="E431" t="s">
        <v>16</v>
      </c>
      <c r="F431">
        <v>10792.22</v>
      </c>
      <c r="G431">
        <v>1425</v>
      </c>
      <c r="H431">
        <v>300</v>
      </c>
      <c r="I431">
        <v>37906.14</v>
      </c>
      <c r="J431">
        <v>6791</v>
      </c>
      <c r="K431">
        <v>37382</v>
      </c>
      <c r="L431">
        <f t="shared" si="12"/>
        <v>251.23579763941061</v>
      </c>
      <c r="M431">
        <f t="shared" si="13"/>
        <v>203</v>
      </c>
    </row>
    <row r="432" spans="1:13" x14ac:dyDescent="0.4">
      <c r="A432" t="s">
        <v>17</v>
      </c>
      <c r="B432" t="s">
        <v>21</v>
      </c>
      <c r="C432" s="1">
        <v>45434</v>
      </c>
      <c r="D432" s="1">
        <v>45299</v>
      </c>
      <c r="E432" t="s">
        <v>26</v>
      </c>
      <c r="F432">
        <v>3720.73</v>
      </c>
      <c r="G432">
        <v>1231</v>
      </c>
      <c r="H432">
        <v>326</v>
      </c>
      <c r="I432">
        <v>193823.76</v>
      </c>
      <c r="J432">
        <v>2863</v>
      </c>
      <c r="K432">
        <v>223426</v>
      </c>
      <c r="L432">
        <f t="shared" si="12"/>
        <v>5109.2938751266547</v>
      </c>
      <c r="M432">
        <f t="shared" si="13"/>
        <v>135</v>
      </c>
    </row>
    <row r="433" spans="1:13" x14ac:dyDescent="0.4">
      <c r="A433" t="s">
        <v>58</v>
      </c>
      <c r="B433" t="s">
        <v>51</v>
      </c>
      <c r="C433" s="1">
        <v>45356</v>
      </c>
      <c r="D433" s="1">
        <v>45302</v>
      </c>
      <c r="E433" t="s">
        <v>16</v>
      </c>
      <c r="F433">
        <v>28854.78</v>
      </c>
      <c r="G433">
        <v>1662</v>
      </c>
      <c r="H433">
        <v>104</v>
      </c>
      <c r="I433">
        <v>93312.26</v>
      </c>
      <c r="J433">
        <v>4105</v>
      </c>
      <c r="K433">
        <v>338931</v>
      </c>
      <c r="L433">
        <f t="shared" si="12"/>
        <v>223.38579604488405</v>
      </c>
      <c r="M433">
        <f t="shared" si="13"/>
        <v>54</v>
      </c>
    </row>
    <row r="434" spans="1:13" x14ac:dyDescent="0.4">
      <c r="A434" t="s">
        <v>122</v>
      </c>
      <c r="B434" t="s">
        <v>51</v>
      </c>
      <c r="C434" s="1">
        <v>45367</v>
      </c>
      <c r="D434" s="1">
        <v>45296</v>
      </c>
      <c r="E434" t="s">
        <v>26</v>
      </c>
      <c r="F434">
        <v>32924.269999999997</v>
      </c>
      <c r="G434">
        <v>540</v>
      </c>
      <c r="H434">
        <v>82</v>
      </c>
      <c r="I434">
        <v>189414.45</v>
      </c>
      <c r="J434">
        <v>3341</v>
      </c>
      <c r="K434">
        <v>24341</v>
      </c>
      <c r="L434">
        <f t="shared" si="12"/>
        <v>475.30341599069635</v>
      </c>
      <c r="M434">
        <f t="shared" si="13"/>
        <v>71</v>
      </c>
    </row>
    <row r="435" spans="1:13" x14ac:dyDescent="0.4">
      <c r="A435" t="s">
        <v>113</v>
      </c>
      <c r="B435" t="s">
        <v>23</v>
      </c>
      <c r="C435" s="1">
        <v>45490</v>
      </c>
      <c r="D435" s="1">
        <v>45297</v>
      </c>
      <c r="E435" t="s">
        <v>13</v>
      </c>
      <c r="F435">
        <v>11328.29</v>
      </c>
      <c r="G435">
        <v>1731</v>
      </c>
      <c r="H435">
        <v>276</v>
      </c>
      <c r="I435">
        <v>136979.91</v>
      </c>
      <c r="J435">
        <v>3157</v>
      </c>
      <c r="K435">
        <v>471430</v>
      </c>
      <c r="L435">
        <f t="shared" si="12"/>
        <v>1109.1843517424077</v>
      </c>
      <c r="M435">
        <f t="shared" si="13"/>
        <v>193</v>
      </c>
    </row>
    <row r="436" spans="1:13" x14ac:dyDescent="0.4">
      <c r="A436" t="s">
        <v>112</v>
      </c>
      <c r="B436" t="s">
        <v>12</v>
      </c>
      <c r="C436" s="1">
        <v>45434</v>
      </c>
      <c r="D436" s="1">
        <v>45299</v>
      </c>
      <c r="E436" t="s">
        <v>13</v>
      </c>
      <c r="F436">
        <v>28266.35</v>
      </c>
      <c r="G436">
        <v>1928</v>
      </c>
      <c r="H436">
        <v>343</v>
      </c>
      <c r="I436">
        <v>63809.440000000002</v>
      </c>
      <c r="J436">
        <v>650</v>
      </c>
      <c r="K436">
        <v>146439</v>
      </c>
      <c r="L436">
        <f t="shared" si="12"/>
        <v>125.74347236201351</v>
      </c>
      <c r="M436">
        <f t="shared" si="13"/>
        <v>135</v>
      </c>
    </row>
    <row r="437" spans="1:13" x14ac:dyDescent="0.4">
      <c r="A437" t="s">
        <v>27</v>
      </c>
      <c r="B437" t="s">
        <v>51</v>
      </c>
      <c r="C437" s="1">
        <v>45607</v>
      </c>
      <c r="D437" s="1">
        <v>45301</v>
      </c>
      <c r="E437" t="s">
        <v>16</v>
      </c>
      <c r="F437">
        <v>42968.18</v>
      </c>
      <c r="G437">
        <v>1536</v>
      </c>
      <c r="H437">
        <v>166</v>
      </c>
      <c r="I437">
        <v>41718.99</v>
      </c>
      <c r="J437">
        <v>5674</v>
      </c>
      <c r="K437">
        <v>383111</v>
      </c>
      <c r="L437">
        <f t="shared" si="12"/>
        <v>-2.9072443841000535</v>
      </c>
      <c r="M437">
        <f t="shared" si="13"/>
        <v>306</v>
      </c>
    </row>
    <row r="438" spans="1:13" x14ac:dyDescent="0.4">
      <c r="A438" t="s">
        <v>83</v>
      </c>
      <c r="B438" t="s">
        <v>43</v>
      </c>
      <c r="C438" s="1">
        <v>45384</v>
      </c>
      <c r="D438" s="1">
        <v>45298</v>
      </c>
      <c r="E438" t="s">
        <v>26</v>
      </c>
      <c r="F438">
        <v>41918.230000000003</v>
      </c>
      <c r="G438">
        <v>1298</v>
      </c>
      <c r="H438">
        <v>48</v>
      </c>
      <c r="I438">
        <v>64228.33</v>
      </c>
      <c r="J438">
        <v>5511</v>
      </c>
      <c r="K438">
        <v>227280</v>
      </c>
      <c r="L438">
        <f t="shared" si="12"/>
        <v>53.222905642723937</v>
      </c>
      <c r="M438">
        <f t="shared" si="13"/>
        <v>86</v>
      </c>
    </row>
    <row r="439" spans="1:13" x14ac:dyDescent="0.4">
      <c r="A439" t="s">
        <v>104</v>
      </c>
      <c r="B439" t="s">
        <v>18</v>
      </c>
      <c r="C439" s="1">
        <v>45596</v>
      </c>
      <c r="D439" s="1">
        <v>45296</v>
      </c>
      <c r="E439" t="s">
        <v>16</v>
      </c>
      <c r="F439">
        <v>46440.4</v>
      </c>
      <c r="G439">
        <v>1990</v>
      </c>
      <c r="H439">
        <v>242</v>
      </c>
      <c r="I439">
        <v>23138.39</v>
      </c>
      <c r="J439">
        <v>1687</v>
      </c>
      <c r="K439">
        <v>132066</v>
      </c>
      <c r="L439">
        <f t="shared" si="12"/>
        <v>-50.176161273374042</v>
      </c>
      <c r="M439">
        <f t="shared" si="13"/>
        <v>300</v>
      </c>
    </row>
    <row r="440" spans="1:13" x14ac:dyDescent="0.4">
      <c r="A440" t="s">
        <v>62</v>
      </c>
      <c r="B440" t="s">
        <v>21</v>
      </c>
      <c r="C440" s="1">
        <v>45515</v>
      </c>
      <c r="D440" s="1">
        <v>45299</v>
      </c>
      <c r="E440" t="s">
        <v>13</v>
      </c>
      <c r="F440">
        <v>18928.400000000001</v>
      </c>
      <c r="G440">
        <v>362</v>
      </c>
      <c r="H440">
        <v>138</v>
      </c>
      <c r="I440">
        <v>33054.25</v>
      </c>
      <c r="J440">
        <v>6020</v>
      </c>
      <c r="K440">
        <v>201940</v>
      </c>
      <c r="L440">
        <f t="shared" si="12"/>
        <v>74.627807949958779</v>
      </c>
      <c r="M440">
        <f t="shared" si="13"/>
        <v>216</v>
      </c>
    </row>
    <row r="441" spans="1:13" x14ac:dyDescent="0.4">
      <c r="A441" t="s">
        <v>127</v>
      </c>
      <c r="B441" t="s">
        <v>30</v>
      </c>
      <c r="C441" s="1">
        <v>45582</v>
      </c>
      <c r="D441" s="1">
        <v>45297</v>
      </c>
      <c r="E441" t="s">
        <v>26</v>
      </c>
      <c r="F441">
        <v>16584.43</v>
      </c>
      <c r="G441">
        <v>664</v>
      </c>
      <c r="H441">
        <v>465</v>
      </c>
      <c r="I441">
        <v>25408.79</v>
      </c>
      <c r="J441">
        <v>5360</v>
      </c>
      <c r="K441">
        <v>406218</v>
      </c>
      <c r="L441">
        <f t="shared" si="12"/>
        <v>53.208702379279849</v>
      </c>
      <c r="M441">
        <f t="shared" si="13"/>
        <v>285</v>
      </c>
    </row>
    <row r="442" spans="1:13" x14ac:dyDescent="0.4">
      <c r="A442" t="s">
        <v>50</v>
      </c>
      <c r="B442" t="s">
        <v>51</v>
      </c>
      <c r="C442" s="1">
        <v>45393</v>
      </c>
      <c r="D442" s="1">
        <v>45302</v>
      </c>
      <c r="E442" t="s">
        <v>26</v>
      </c>
      <c r="F442">
        <v>37721.870000000003</v>
      </c>
      <c r="G442">
        <v>968</v>
      </c>
      <c r="H442">
        <v>196</v>
      </c>
      <c r="I442">
        <v>87473.99</v>
      </c>
      <c r="J442">
        <v>4509</v>
      </c>
      <c r="K442">
        <v>260252</v>
      </c>
      <c r="L442">
        <f t="shared" si="12"/>
        <v>131.89197672331727</v>
      </c>
      <c r="M442">
        <f t="shared" si="13"/>
        <v>91</v>
      </c>
    </row>
    <row r="443" spans="1:13" x14ac:dyDescent="0.4">
      <c r="A443" t="s">
        <v>83</v>
      </c>
      <c r="B443" t="s">
        <v>25</v>
      </c>
      <c r="C443" s="1">
        <v>45558</v>
      </c>
      <c r="D443" s="1">
        <v>45296</v>
      </c>
      <c r="E443" t="s">
        <v>16</v>
      </c>
      <c r="F443">
        <v>22124.51</v>
      </c>
      <c r="G443">
        <v>1932</v>
      </c>
      <c r="H443">
        <v>360</v>
      </c>
      <c r="I443">
        <v>160137.78</v>
      </c>
      <c r="J443">
        <v>5883</v>
      </c>
      <c r="K443">
        <v>86820</v>
      </c>
      <c r="L443">
        <f t="shared" si="12"/>
        <v>623.80260624981076</v>
      </c>
      <c r="M443">
        <f t="shared" si="13"/>
        <v>262</v>
      </c>
    </row>
    <row r="444" spans="1:13" x14ac:dyDescent="0.4">
      <c r="A444" t="s">
        <v>60</v>
      </c>
      <c r="B444" t="s">
        <v>18</v>
      </c>
      <c r="C444" s="1">
        <v>45646</v>
      </c>
      <c r="D444" s="1">
        <v>45297</v>
      </c>
      <c r="E444" t="s">
        <v>34</v>
      </c>
      <c r="F444">
        <v>5289.88</v>
      </c>
      <c r="G444">
        <v>862</v>
      </c>
      <c r="H444">
        <v>282</v>
      </c>
      <c r="I444">
        <v>32569.79</v>
      </c>
      <c r="J444">
        <v>812</v>
      </c>
      <c r="K444">
        <v>60949</v>
      </c>
      <c r="L444">
        <f t="shared" si="12"/>
        <v>515.6999780713362</v>
      </c>
      <c r="M444">
        <f t="shared" si="13"/>
        <v>349</v>
      </c>
    </row>
    <row r="445" spans="1:13" x14ac:dyDescent="0.4">
      <c r="A445" t="s">
        <v>39</v>
      </c>
      <c r="B445" t="s">
        <v>51</v>
      </c>
      <c r="C445" s="1">
        <v>45401</v>
      </c>
      <c r="D445" s="1">
        <v>45300</v>
      </c>
      <c r="E445" t="s">
        <v>16</v>
      </c>
      <c r="F445">
        <v>14857.26</v>
      </c>
      <c r="G445">
        <v>989</v>
      </c>
      <c r="H445">
        <v>22</v>
      </c>
      <c r="I445">
        <v>30412.48</v>
      </c>
      <c r="J445">
        <v>5506</v>
      </c>
      <c r="K445">
        <v>409916</v>
      </c>
      <c r="L445">
        <f t="shared" si="12"/>
        <v>104.69777065219293</v>
      </c>
      <c r="M445">
        <f t="shared" si="13"/>
        <v>101</v>
      </c>
    </row>
    <row r="446" spans="1:13" x14ac:dyDescent="0.4">
      <c r="A446" t="s">
        <v>50</v>
      </c>
      <c r="B446" t="s">
        <v>40</v>
      </c>
      <c r="C446" s="1">
        <v>45621</v>
      </c>
      <c r="D446" s="1">
        <v>45300</v>
      </c>
      <c r="E446" t="s">
        <v>13</v>
      </c>
      <c r="F446">
        <v>21510.53</v>
      </c>
      <c r="G446">
        <v>1539</v>
      </c>
      <c r="H446">
        <v>16</v>
      </c>
      <c r="I446">
        <v>130468.65</v>
      </c>
      <c r="J446">
        <v>8090</v>
      </c>
      <c r="K446">
        <v>211377</v>
      </c>
      <c r="L446">
        <f t="shared" si="12"/>
        <v>506.53386969079799</v>
      </c>
      <c r="M446">
        <f t="shared" si="13"/>
        <v>321</v>
      </c>
    </row>
    <row r="447" spans="1:13" x14ac:dyDescent="0.4">
      <c r="A447" t="s">
        <v>50</v>
      </c>
      <c r="B447" t="s">
        <v>15</v>
      </c>
      <c r="C447" s="1">
        <v>45556</v>
      </c>
      <c r="D447" s="1">
        <v>45297</v>
      </c>
      <c r="E447" t="s">
        <v>13</v>
      </c>
      <c r="F447">
        <v>15333.3</v>
      </c>
      <c r="G447">
        <v>1161</v>
      </c>
      <c r="H447">
        <v>184</v>
      </c>
      <c r="I447">
        <v>43450.68</v>
      </c>
      <c r="J447">
        <v>7520</v>
      </c>
      <c r="K447">
        <v>63543</v>
      </c>
      <c r="L447">
        <f t="shared" si="12"/>
        <v>183.374616031774</v>
      </c>
      <c r="M447">
        <f t="shared" si="13"/>
        <v>259</v>
      </c>
    </row>
    <row r="448" spans="1:13" x14ac:dyDescent="0.4">
      <c r="A448" t="s">
        <v>104</v>
      </c>
      <c r="B448" t="s">
        <v>43</v>
      </c>
      <c r="C448" s="1">
        <v>45294</v>
      </c>
      <c r="D448" s="1">
        <v>45299</v>
      </c>
      <c r="E448" t="s">
        <v>13</v>
      </c>
      <c r="F448">
        <v>17278.07</v>
      </c>
      <c r="G448">
        <v>1956</v>
      </c>
      <c r="H448">
        <v>127</v>
      </c>
      <c r="I448">
        <v>24033.96</v>
      </c>
      <c r="J448">
        <v>6943</v>
      </c>
      <c r="K448">
        <v>423534</v>
      </c>
      <c r="L448">
        <f t="shared" si="12"/>
        <v>39.100952826328403</v>
      </c>
      <c r="M448">
        <f t="shared" si="13"/>
        <v>5</v>
      </c>
    </row>
    <row r="449" spans="1:13" x14ac:dyDescent="0.4">
      <c r="A449" t="s">
        <v>53</v>
      </c>
      <c r="B449" t="s">
        <v>18</v>
      </c>
      <c r="C449" s="1">
        <v>45376</v>
      </c>
      <c r="D449" s="1">
        <v>45296</v>
      </c>
      <c r="E449" t="s">
        <v>13</v>
      </c>
      <c r="F449">
        <v>15395.02</v>
      </c>
      <c r="G449">
        <v>1376</v>
      </c>
      <c r="H449">
        <v>250</v>
      </c>
      <c r="I449">
        <v>37535.47</v>
      </c>
      <c r="J449">
        <v>2533</v>
      </c>
      <c r="K449">
        <v>484075</v>
      </c>
      <c r="L449">
        <f t="shared" si="12"/>
        <v>143.81566246747323</v>
      </c>
      <c r="M449">
        <f t="shared" si="13"/>
        <v>80</v>
      </c>
    </row>
    <row r="450" spans="1:13" x14ac:dyDescent="0.4">
      <c r="A450" t="s">
        <v>11</v>
      </c>
      <c r="B450" t="s">
        <v>33</v>
      </c>
      <c r="C450" s="1">
        <v>45573</v>
      </c>
      <c r="D450" s="1">
        <v>45299</v>
      </c>
      <c r="E450" t="s">
        <v>13</v>
      </c>
      <c r="F450">
        <v>3033.46</v>
      </c>
      <c r="G450">
        <v>729</v>
      </c>
      <c r="H450">
        <v>226</v>
      </c>
      <c r="I450">
        <v>185127.62</v>
      </c>
      <c r="J450">
        <v>3401</v>
      </c>
      <c r="K450">
        <v>290754</v>
      </c>
      <c r="L450">
        <f t="shared" si="12"/>
        <v>6002.8535072161822</v>
      </c>
      <c r="M450">
        <f t="shared" si="13"/>
        <v>274</v>
      </c>
    </row>
    <row r="451" spans="1:13" x14ac:dyDescent="0.4">
      <c r="A451" t="s">
        <v>57</v>
      </c>
      <c r="B451" t="s">
        <v>30</v>
      </c>
      <c r="C451" s="1">
        <v>45619</v>
      </c>
      <c r="D451" s="1">
        <v>45295</v>
      </c>
      <c r="E451" t="s">
        <v>34</v>
      </c>
      <c r="F451">
        <v>32217.64</v>
      </c>
      <c r="G451">
        <v>484</v>
      </c>
      <c r="H451">
        <v>377</v>
      </c>
      <c r="I451">
        <v>165186.89000000001</v>
      </c>
      <c r="J451">
        <v>370</v>
      </c>
      <c r="K451">
        <v>466715</v>
      </c>
      <c r="L451">
        <f t="shared" ref="L451:L514" si="14">(I451 - F451)/F451*100</f>
        <v>412.72188155308703</v>
      </c>
      <c r="M451">
        <f t="shared" ref="M451:M514" si="15">ABS(D451 - C451)</f>
        <v>324</v>
      </c>
    </row>
    <row r="452" spans="1:13" x14ac:dyDescent="0.4">
      <c r="A452" t="s">
        <v>116</v>
      </c>
      <c r="B452" t="s">
        <v>15</v>
      </c>
      <c r="C452" s="1">
        <v>45595</v>
      </c>
      <c r="D452" s="1">
        <v>45301</v>
      </c>
      <c r="E452" t="s">
        <v>26</v>
      </c>
      <c r="F452">
        <v>30267.33</v>
      </c>
      <c r="G452">
        <v>731</v>
      </c>
      <c r="H452">
        <v>55</v>
      </c>
      <c r="I452">
        <v>74042.59</v>
      </c>
      <c r="J452">
        <v>1179</v>
      </c>
      <c r="K452">
        <v>262878</v>
      </c>
      <c r="L452">
        <f t="shared" si="14"/>
        <v>144.62874657262466</v>
      </c>
      <c r="M452">
        <f t="shared" si="15"/>
        <v>294</v>
      </c>
    </row>
    <row r="453" spans="1:13" x14ac:dyDescent="0.4">
      <c r="A453" t="s">
        <v>17</v>
      </c>
      <c r="B453" t="s">
        <v>31</v>
      </c>
      <c r="C453" s="1">
        <v>45408</v>
      </c>
      <c r="D453" s="1">
        <v>45295</v>
      </c>
      <c r="E453" t="s">
        <v>16</v>
      </c>
      <c r="F453">
        <v>33015.79</v>
      </c>
      <c r="G453">
        <v>1208</v>
      </c>
      <c r="H453">
        <v>492</v>
      </c>
      <c r="I453">
        <v>132885.04999999999</v>
      </c>
      <c r="J453">
        <v>5422</v>
      </c>
      <c r="K453">
        <v>205446</v>
      </c>
      <c r="L453">
        <f t="shared" si="14"/>
        <v>302.4893846247507</v>
      </c>
      <c r="M453">
        <f t="shared" si="15"/>
        <v>113</v>
      </c>
    </row>
    <row r="454" spans="1:13" x14ac:dyDescent="0.4">
      <c r="A454" t="s">
        <v>82</v>
      </c>
      <c r="B454" t="s">
        <v>25</v>
      </c>
      <c r="C454" s="1">
        <v>45512</v>
      </c>
      <c r="D454" s="1">
        <v>45300</v>
      </c>
      <c r="E454" t="s">
        <v>16</v>
      </c>
      <c r="F454">
        <v>10423.18</v>
      </c>
      <c r="G454">
        <v>1123</v>
      </c>
      <c r="H454">
        <v>75</v>
      </c>
      <c r="I454">
        <v>109768.76</v>
      </c>
      <c r="J454">
        <v>8895</v>
      </c>
      <c r="K454">
        <v>328370</v>
      </c>
      <c r="L454">
        <f t="shared" si="14"/>
        <v>953.1216001258731</v>
      </c>
      <c r="M454">
        <f t="shared" si="15"/>
        <v>212</v>
      </c>
    </row>
    <row r="455" spans="1:13" x14ac:dyDescent="0.4">
      <c r="A455" t="s">
        <v>47</v>
      </c>
      <c r="B455" t="s">
        <v>25</v>
      </c>
      <c r="C455" s="1">
        <v>45445</v>
      </c>
      <c r="D455" s="1">
        <v>45302</v>
      </c>
      <c r="E455" t="s">
        <v>13</v>
      </c>
      <c r="F455">
        <v>15487.07</v>
      </c>
      <c r="G455">
        <v>1505</v>
      </c>
      <c r="H455">
        <v>484</v>
      </c>
      <c r="I455">
        <v>137039.23000000001</v>
      </c>
      <c r="J455">
        <v>5357</v>
      </c>
      <c r="K455">
        <v>308311</v>
      </c>
      <c r="L455">
        <f t="shared" si="14"/>
        <v>784.86221086364299</v>
      </c>
      <c r="M455">
        <f t="shared" si="15"/>
        <v>143</v>
      </c>
    </row>
    <row r="456" spans="1:13" x14ac:dyDescent="0.4">
      <c r="A456" t="s">
        <v>115</v>
      </c>
      <c r="B456" t="s">
        <v>21</v>
      </c>
      <c r="C456" s="1">
        <v>45444</v>
      </c>
      <c r="D456" s="1">
        <v>45294</v>
      </c>
      <c r="E456" t="s">
        <v>16</v>
      </c>
      <c r="F456">
        <v>31361.18</v>
      </c>
      <c r="G456">
        <v>389</v>
      </c>
      <c r="H456">
        <v>52</v>
      </c>
      <c r="I456">
        <v>138120.87</v>
      </c>
      <c r="J456">
        <v>8082</v>
      </c>
      <c r="K456">
        <v>209851</v>
      </c>
      <c r="L456">
        <f t="shared" si="14"/>
        <v>340.41987578273518</v>
      </c>
      <c r="M456">
        <f t="shared" si="15"/>
        <v>150</v>
      </c>
    </row>
    <row r="457" spans="1:13" x14ac:dyDescent="0.4">
      <c r="A457" t="s">
        <v>75</v>
      </c>
      <c r="B457" t="s">
        <v>23</v>
      </c>
      <c r="C457" s="1">
        <v>45303</v>
      </c>
      <c r="D457" s="1">
        <v>45301</v>
      </c>
      <c r="E457" t="s">
        <v>13</v>
      </c>
      <c r="F457">
        <v>30381.75</v>
      </c>
      <c r="G457">
        <v>396</v>
      </c>
      <c r="H457">
        <v>23</v>
      </c>
      <c r="I457">
        <v>127603.13</v>
      </c>
      <c r="J457">
        <v>9877</v>
      </c>
      <c r="K457">
        <v>160011</v>
      </c>
      <c r="L457">
        <f t="shared" si="14"/>
        <v>319.99927588107994</v>
      </c>
      <c r="M457">
        <f t="shared" si="15"/>
        <v>2</v>
      </c>
    </row>
    <row r="458" spans="1:13" x14ac:dyDescent="0.4">
      <c r="A458" t="s">
        <v>41</v>
      </c>
      <c r="B458" t="s">
        <v>15</v>
      </c>
      <c r="C458" s="1">
        <v>45424</v>
      </c>
      <c r="D458" s="1">
        <v>45300</v>
      </c>
      <c r="E458" t="s">
        <v>34</v>
      </c>
      <c r="F458">
        <v>25810.19</v>
      </c>
      <c r="G458">
        <v>695</v>
      </c>
      <c r="H458">
        <v>266</v>
      </c>
      <c r="I458">
        <v>56889.77</v>
      </c>
      <c r="J458">
        <v>6314</v>
      </c>
      <c r="K458">
        <v>455581</v>
      </c>
      <c r="L458">
        <f t="shared" si="14"/>
        <v>120.4159287475218</v>
      </c>
      <c r="M458">
        <f t="shared" si="15"/>
        <v>124</v>
      </c>
    </row>
    <row r="459" spans="1:13" x14ac:dyDescent="0.4">
      <c r="A459" t="s">
        <v>47</v>
      </c>
      <c r="B459" t="s">
        <v>18</v>
      </c>
      <c r="C459" s="1">
        <v>45595</v>
      </c>
      <c r="D459" s="1">
        <v>45299</v>
      </c>
      <c r="E459" t="s">
        <v>34</v>
      </c>
      <c r="F459">
        <v>18170.25</v>
      </c>
      <c r="G459">
        <v>1420</v>
      </c>
      <c r="H459">
        <v>88</v>
      </c>
      <c r="I459">
        <v>12606.25</v>
      </c>
      <c r="J459">
        <v>5106</v>
      </c>
      <c r="K459">
        <v>68381</v>
      </c>
      <c r="L459">
        <f t="shared" si="14"/>
        <v>-30.621482918506899</v>
      </c>
      <c r="M459">
        <f t="shared" si="15"/>
        <v>296</v>
      </c>
    </row>
    <row r="460" spans="1:13" x14ac:dyDescent="0.4">
      <c r="A460" t="s">
        <v>98</v>
      </c>
      <c r="B460" t="s">
        <v>12</v>
      </c>
      <c r="C460" s="1">
        <v>45584</v>
      </c>
      <c r="D460" s="1">
        <v>45299</v>
      </c>
      <c r="E460" t="s">
        <v>26</v>
      </c>
      <c r="F460">
        <v>45733.62</v>
      </c>
      <c r="G460">
        <v>698</v>
      </c>
      <c r="H460">
        <v>159</v>
      </c>
      <c r="I460">
        <v>93835.520000000004</v>
      </c>
      <c r="J460">
        <v>4085</v>
      </c>
      <c r="K460">
        <v>309854</v>
      </c>
      <c r="L460">
        <f t="shared" si="14"/>
        <v>105.17842235099693</v>
      </c>
      <c r="M460">
        <f t="shared" si="15"/>
        <v>285</v>
      </c>
    </row>
    <row r="461" spans="1:13" x14ac:dyDescent="0.4">
      <c r="A461" t="s">
        <v>119</v>
      </c>
      <c r="B461" t="s">
        <v>25</v>
      </c>
      <c r="C461" s="1">
        <v>45591</v>
      </c>
      <c r="D461" s="1">
        <v>45299</v>
      </c>
      <c r="E461" t="s">
        <v>34</v>
      </c>
      <c r="F461">
        <v>17648.740000000002</v>
      </c>
      <c r="G461">
        <v>294</v>
      </c>
      <c r="H461">
        <v>57</v>
      </c>
      <c r="I461">
        <v>178739.91</v>
      </c>
      <c r="J461">
        <v>9687</v>
      </c>
      <c r="K461">
        <v>279910</v>
      </c>
      <c r="L461">
        <f t="shared" si="14"/>
        <v>912.76300744415744</v>
      </c>
      <c r="M461">
        <f t="shared" si="15"/>
        <v>292</v>
      </c>
    </row>
    <row r="462" spans="1:13" x14ac:dyDescent="0.4">
      <c r="A462" t="s">
        <v>81</v>
      </c>
      <c r="B462" t="s">
        <v>18</v>
      </c>
      <c r="C462" s="1">
        <v>45519</v>
      </c>
      <c r="D462" s="1">
        <v>45302</v>
      </c>
      <c r="E462" t="s">
        <v>34</v>
      </c>
      <c r="F462">
        <v>23325.34</v>
      </c>
      <c r="G462">
        <v>158</v>
      </c>
      <c r="H462">
        <v>111</v>
      </c>
      <c r="I462">
        <v>116051.97</v>
      </c>
      <c r="J462">
        <v>8891</v>
      </c>
      <c r="K462">
        <v>103416</v>
      </c>
      <c r="L462">
        <f t="shared" si="14"/>
        <v>397.53602734193805</v>
      </c>
      <c r="M462">
        <f t="shared" si="15"/>
        <v>217</v>
      </c>
    </row>
    <row r="463" spans="1:13" x14ac:dyDescent="0.4">
      <c r="A463" t="s">
        <v>108</v>
      </c>
      <c r="B463" t="s">
        <v>54</v>
      </c>
      <c r="C463" s="1">
        <v>45562</v>
      </c>
      <c r="D463" s="1">
        <v>45295</v>
      </c>
      <c r="E463" t="s">
        <v>26</v>
      </c>
      <c r="F463">
        <v>34227.58</v>
      </c>
      <c r="G463">
        <v>1898</v>
      </c>
      <c r="H463">
        <v>361</v>
      </c>
      <c r="I463">
        <v>167316.25</v>
      </c>
      <c r="J463">
        <v>8805</v>
      </c>
      <c r="K463">
        <v>13780</v>
      </c>
      <c r="L463">
        <f t="shared" si="14"/>
        <v>388.83458894844443</v>
      </c>
      <c r="M463">
        <f t="shared" si="15"/>
        <v>267</v>
      </c>
    </row>
    <row r="464" spans="1:13" x14ac:dyDescent="0.4">
      <c r="A464" t="s">
        <v>109</v>
      </c>
      <c r="B464" t="s">
        <v>18</v>
      </c>
      <c r="C464" s="1">
        <v>45334</v>
      </c>
      <c r="D464" s="1">
        <v>45294</v>
      </c>
      <c r="E464" t="s">
        <v>16</v>
      </c>
      <c r="F464">
        <v>27608.05</v>
      </c>
      <c r="G464">
        <v>1872</v>
      </c>
      <c r="H464">
        <v>308</v>
      </c>
      <c r="I464">
        <v>198366.75</v>
      </c>
      <c r="J464">
        <v>6091</v>
      </c>
      <c r="K464">
        <v>49458</v>
      </c>
      <c r="L464">
        <f t="shared" si="14"/>
        <v>618.51054312057533</v>
      </c>
      <c r="M464">
        <f t="shared" si="15"/>
        <v>40</v>
      </c>
    </row>
    <row r="465" spans="1:13" x14ac:dyDescent="0.4">
      <c r="A465" t="s">
        <v>61</v>
      </c>
      <c r="B465" t="s">
        <v>54</v>
      </c>
      <c r="C465" s="1">
        <v>45634</v>
      </c>
      <c r="D465" s="1">
        <v>45299</v>
      </c>
      <c r="E465" t="s">
        <v>13</v>
      </c>
      <c r="F465">
        <v>17997.41</v>
      </c>
      <c r="G465">
        <v>582</v>
      </c>
      <c r="H465">
        <v>139</v>
      </c>
      <c r="I465">
        <v>36905.160000000003</v>
      </c>
      <c r="J465">
        <v>6327</v>
      </c>
      <c r="K465">
        <v>319365</v>
      </c>
      <c r="L465">
        <f t="shared" si="14"/>
        <v>105.05817225923066</v>
      </c>
      <c r="M465">
        <f t="shared" si="15"/>
        <v>335</v>
      </c>
    </row>
    <row r="466" spans="1:13" x14ac:dyDescent="0.4">
      <c r="A466" t="s">
        <v>103</v>
      </c>
      <c r="B466" t="s">
        <v>40</v>
      </c>
      <c r="C466" s="1">
        <v>45617</v>
      </c>
      <c r="D466" s="1">
        <v>45301</v>
      </c>
      <c r="E466" t="s">
        <v>13</v>
      </c>
      <c r="F466">
        <v>22346.59</v>
      </c>
      <c r="G466">
        <v>1163</v>
      </c>
      <c r="H466">
        <v>447</v>
      </c>
      <c r="I466">
        <v>139896.64000000001</v>
      </c>
      <c r="J466">
        <v>9358</v>
      </c>
      <c r="K466">
        <v>264653</v>
      </c>
      <c r="L466">
        <f t="shared" si="14"/>
        <v>526.03126472540112</v>
      </c>
      <c r="M466">
        <f t="shared" si="15"/>
        <v>316</v>
      </c>
    </row>
    <row r="467" spans="1:13" x14ac:dyDescent="0.4">
      <c r="A467" t="s">
        <v>63</v>
      </c>
      <c r="B467" t="s">
        <v>36</v>
      </c>
      <c r="C467" s="1">
        <v>45593</v>
      </c>
      <c r="D467" s="1">
        <v>45296</v>
      </c>
      <c r="E467" t="s">
        <v>16</v>
      </c>
      <c r="F467">
        <v>39929.56</v>
      </c>
      <c r="G467">
        <v>345</v>
      </c>
      <c r="H467">
        <v>73</v>
      </c>
      <c r="I467">
        <v>136487.25</v>
      </c>
      <c r="J467">
        <v>7933</v>
      </c>
      <c r="K467">
        <v>352637</v>
      </c>
      <c r="L467">
        <f t="shared" si="14"/>
        <v>241.82007014352277</v>
      </c>
      <c r="M467">
        <f t="shared" si="15"/>
        <v>297</v>
      </c>
    </row>
    <row r="468" spans="1:13" x14ac:dyDescent="0.4">
      <c r="A468" t="s">
        <v>88</v>
      </c>
      <c r="B468" t="s">
        <v>36</v>
      </c>
      <c r="C468" s="1">
        <v>45655</v>
      </c>
      <c r="D468" s="1">
        <v>45294</v>
      </c>
      <c r="E468" t="s">
        <v>26</v>
      </c>
      <c r="F468">
        <v>14628.33</v>
      </c>
      <c r="G468">
        <v>161</v>
      </c>
      <c r="H468">
        <v>15</v>
      </c>
      <c r="I468">
        <v>196091.31</v>
      </c>
      <c r="J468">
        <v>2986</v>
      </c>
      <c r="K468">
        <v>428562</v>
      </c>
      <c r="L468">
        <f t="shared" si="14"/>
        <v>1240.4900627754503</v>
      </c>
      <c r="M468">
        <f t="shared" si="15"/>
        <v>361</v>
      </c>
    </row>
    <row r="469" spans="1:13" x14ac:dyDescent="0.4">
      <c r="A469" t="s">
        <v>11</v>
      </c>
      <c r="B469" t="s">
        <v>31</v>
      </c>
      <c r="C469" s="1">
        <v>45312</v>
      </c>
      <c r="D469" s="1">
        <v>45302</v>
      </c>
      <c r="E469" t="s">
        <v>16</v>
      </c>
      <c r="F469">
        <v>7970.51</v>
      </c>
      <c r="G469">
        <v>1886</v>
      </c>
      <c r="H469">
        <v>147</v>
      </c>
      <c r="I469">
        <v>197192.14</v>
      </c>
      <c r="J469">
        <v>2753</v>
      </c>
      <c r="K469">
        <v>477015</v>
      </c>
      <c r="L469">
        <f t="shared" si="14"/>
        <v>2374.0216121678536</v>
      </c>
      <c r="M469">
        <f t="shared" si="15"/>
        <v>10</v>
      </c>
    </row>
    <row r="470" spans="1:13" x14ac:dyDescent="0.4">
      <c r="A470" t="s">
        <v>123</v>
      </c>
      <c r="B470" t="s">
        <v>33</v>
      </c>
      <c r="C470" s="1">
        <v>45398</v>
      </c>
      <c r="D470" s="1">
        <v>45294</v>
      </c>
      <c r="E470" t="s">
        <v>34</v>
      </c>
      <c r="F470">
        <v>16345</v>
      </c>
      <c r="G470">
        <v>1662</v>
      </c>
      <c r="H470">
        <v>196</v>
      </c>
      <c r="I470">
        <v>138902.32999999999</v>
      </c>
      <c r="J470">
        <v>9380</v>
      </c>
      <c r="K470">
        <v>379994</v>
      </c>
      <c r="L470">
        <f t="shared" si="14"/>
        <v>749.81541755888634</v>
      </c>
      <c r="M470">
        <f t="shared" si="15"/>
        <v>104</v>
      </c>
    </row>
    <row r="471" spans="1:13" x14ac:dyDescent="0.4">
      <c r="A471" t="s">
        <v>111</v>
      </c>
      <c r="B471" t="s">
        <v>31</v>
      </c>
      <c r="C471" s="1">
        <v>45627</v>
      </c>
      <c r="D471" s="1">
        <v>45296</v>
      </c>
      <c r="E471" t="s">
        <v>26</v>
      </c>
      <c r="F471">
        <v>42627.18</v>
      </c>
      <c r="G471">
        <v>1250</v>
      </c>
      <c r="H471">
        <v>391</v>
      </c>
      <c r="I471">
        <v>52504.88</v>
      </c>
      <c r="J471">
        <v>4964</v>
      </c>
      <c r="K471">
        <v>178946</v>
      </c>
      <c r="L471">
        <f t="shared" si="14"/>
        <v>23.172304618790164</v>
      </c>
      <c r="M471">
        <f t="shared" si="15"/>
        <v>331</v>
      </c>
    </row>
    <row r="472" spans="1:13" x14ac:dyDescent="0.4">
      <c r="A472" t="s">
        <v>44</v>
      </c>
      <c r="B472" t="s">
        <v>54</v>
      </c>
      <c r="C472" s="1">
        <v>45594</v>
      </c>
      <c r="D472" s="1">
        <v>45301</v>
      </c>
      <c r="E472" t="s">
        <v>26</v>
      </c>
      <c r="F472">
        <v>5360.5</v>
      </c>
      <c r="G472">
        <v>392</v>
      </c>
      <c r="H472">
        <v>382</v>
      </c>
      <c r="I472">
        <v>160718.39000000001</v>
      </c>
      <c r="J472">
        <v>2614</v>
      </c>
      <c r="K472">
        <v>420364</v>
      </c>
      <c r="L472">
        <f t="shared" si="14"/>
        <v>2898.1977427478782</v>
      </c>
      <c r="M472">
        <f t="shared" si="15"/>
        <v>293</v>
      </c>
    </row>
    <row r="473" spans="1:13" x14ac:dyDescent="0.4">
      <c r="A473" t="s">
        <v>118</v>
      </c>
      <c r="B473" t="s">
        <v>15</v>
      </c>
      <c r="C473" s="1">
        <v>45408</v>
      </c>
      <c r="D473" s="1">
        <v>45296</v>
      </c>
      <c r="E473" t="s">
        <v>26</v>
      </c>
      <c r="F473">
        <v>49593.11</v>
      </c>
      <c r="G473">
        <v>1733</v>
      </c>
      <c r="H473">
        <v>73</v>
      </c>
      <c r="I473">
        <v>25870.68</v>
      </c>
      <c r="J473">
        <v>4069</v>
      </c>
      <c r="K473">
        <v>32533</v>
      </c>
      <c r="L473">
        <f t="shared" si="14"/>
        <v>-47.8341245386708</v>
      </c>
      <c r="M473">
        <f t="shared" si="15"/>
        <v>112</v>
      </c>
    </row>
    <row r="474" spans="1:13" x14ac:dyDescent="0.4">
      <c r="A474" t="s">
        <v>120</v>
      </c>
      <c r="B474" t="s">
        <v>51</v>
      </c>
      <c r="C474" s="1">
        <v>45415</v>
      </c>
      <c r="D474" s="1">
        <v>45297</v>
      </c>
      <c r="E474" t="s">
        <v>13</v>
      </c>
      <c r="F474">
        <v>27509.14</v>
      </c>
      <c r="G474">
        <v>150</v>
      </c>
      <c r="H474">
        <v>27</v>
      </c>
      <c r="I474">
        <v>157236.35999999999</v>
      </c>
      <c r="J474">
        <v>3384</v>
      </c>
      <c r="K474">
        <v>371288</v>
      </c>
      <c r="L474">
        <f t="shared" si="14"/>
        <v>471.57860987293674</v>
      </c>
      <c r="M474">
        <f t="shared" si="15"/>
        <v>118</v>
      </c>
    </row>
    <row r="475" spans="1:13" x14ac:dyDescent="0.4">
      <c r="A475" t="s">
        <v>83</v>
      </c>
      <c r="B475" t="s">
        <v>12</v>
      </c>
      <c r="C475" s="1">
        <v>45572</v>
      </c>
      <c r="D475" s="1">
        <v>45301</v>
      </c>
      <c r="E475" t="s">
        <v>16</v>
      </c>
      <c r="F475">
        <v>49257.440000000002</v>
      </c>
      <c r="G475">
        <v>1831</v>
      </c>
      <c r="H475">
        <v>185</v>
      </c>
      <c r="I475">
        <v>182488.24</v>
      </c>
      <c r="J475">
        <v>7840</v>
      </c>
      <c r="K475">
        <v>385546</v>
      </c>
      <c r="L475">
        <f t="shared" si="14"/>
        <v>270.47853075596294</v>
      </c>
      <c r="M475">
        <f t="shared" si="15"/>
        <v>271</v>
      </c>
    </row>
    <row r="476" spans="1:13" x14ac:dyDescent="0.4">
      <c r="A476" t="s">
        <v>118</v>
      </c>
      <c r="B476" t="s">
        <v>51</v>
      </c>
      <c r="C476" s="1">
        <v>45583</v>
      </c>
      <c r="D476" s="1">
        <v>45294</v>
      </c>
      <c r="E476" t="s">
        <v>26</v>
      </c>
      <c r="F476">
        <v>47010.82</v>
      </c>
      <c r="G476">
        <v>678</v>
      </c>
      <c r="H476">
        <v>297</v>
      </c>
      <c r="I476">
        <v>79652.509999999995</v>
      </c>
      <c r="J476">
        <v>4666</v>
      </c>
      <c r="K476">
        <v>341611</v>
      </c>
      <c r="L476">
        <f t="shared" si="14"/>
        <v>69.434419565538306</v>
      </c>
      <c r="M476">
        <f t="shared" si="15"/>
        <v>289</v>
      </c>
    </row>
    <row r="477" spans="1:13" x14ac:dyDescent="0.4">
      <c r="A477" t="s">
        <v>58</v>
      </c>
      <c r="B477" t="s">
        <v>28</v>
      </c>
      <c r="C477" s="1">
        <v>45494</v>
      </c>
      <c r="D477" s="1">
        <v>45299</v>
      </c>
      <c r="E477" t="s">
        <v>26</v>
      </c>
      <c r="F477">
        <v>23187.87</v>
      </c>
      <c r="G477">
        <v>1677</v>
      </c>
      <c r="H477">
        <v>13</v>
      </c>
      <c r="I477">
        <v>127973.88</v>
      </c>
      <c r="J477">
        <v>2296</v>
      </c>
      <c r="K477">
        <v>264503</v>
      </c>
      <c r="L477">
        <f t="shared" si="14"/>
        <v>451.90010984191309</v>
      </c>
      <c r="M477">
        <f t="shared" si="15"/>
        <v>195</v>
      </c>
    </row>
    <row r="478" spans="1:13" x14ac:dyDescent="0.4">
      <c r="A478" t="s">
        <v>50</v>
      </c>
      <c r="B478" t="s">
        <v>51</v>
      </c>
      <c r="C478" s="1">
        <v>45342</v>
      </c>
      <c r="D478" s="1">
        <v>45294</v>
      </c>
      <c r="E478" t="s">
        <v>26</v>
      </c>
      <c r="F478">
        <v>10726.06</v>
      </c>
      <c r="G478">
        <v>1474</v>
      </c>
      <c r="H478">
        <v>275</v>
      </c>
      <c r="I478">
        <v>88877.83</v>
      </c>
      <c r="J478">
        <v>889</v>
      </c>
      <c r="K478">
        <v>120119</v>
      </c>
      <c r="L478">
        <f t="shared" si="14"/>
        <v>728.61581978844049</v>
      </c>
      <c r="M478">
        <f t="shared" si="15"/>
        <v>48</v>
      </c>
    </row>
    <row r="479" spans="1:13" x14ac:dyDescent="0.4">
      <c r="A479" t="s">
        <v>63</v>
      </c>
      <c r="B479" t="s">
        <v>21</v>
      </c>
      <c r="C479" s="1">
        <v>45562</v>
      </c>
      <c r="D479" s="1">
        <v>45294</v>
      </c>
      <c r="E479" t="s">
        <v>16</v>
      </c>
      <c r="F479">
        <v>9079.35</v>
      </c>
      <c r="G479">
        <v>77</v>
      </c>
      <c r="H479">
        <v>391</v>
      </c>
      <c r="I479">
        <v>90364.19</v>
      </c>
      <c r="J479">
        <v>3575</v>
      </c>
      <c r="K479">
        <v>222140</v>
      </c>
      <c r="L479">
        <f t="shared" si="14"/>
        <v>895.27157781118683</v>
      </c>
      <c r="M479">
        <f t="shared" si="15"/>
        <v>268</v>
      </c>
    </row>
    <row r="480" spans="1:13" x14ac:dyDescent="0.4">
      <c r="A480" t="s">
        <v>71</v>
      </c>
      <c r="B480" t="s">
        <v>51</v>
      </c>
      <c r="C480" s="1">
        <v>45615</v>
      </c>
      <c r="D480" s="1">
        <v>45301</v>
      </c>
      <c r="E480" t="s">
        <v>13</v>
      </c>
      <c r="F480">
        <v>12759.48</v>
      </c>
      <c r="G480">
        <v>986</v>
      </c>
      <c r="H480">
        <v>97</v>
      </c>
      <c r="I480">
        <v>65522.32</v>
      </c>
      <c r="J480">
        <v>9956</v>
      </c>
      <c r="K480">
        <v>454529</v>
      </c>
      <c r="L480">
        <f t="shared" si="14"/>
        <v>413.51873273832479</v>
      </c>
      <c r="M480">
        <f t="shared" si="15"/>
        <v>314</v>
      </c>
    </row>
    <row r="481" spans="1:13" x14ac:dyDescent="0.4">
      <c r="A481" t="s">
        <v>71</v>
      </c>
      <c r="B481" t="s">
        <v>31</v>
      </c>
      <c r="C481" s="1">
        <v>45568</v>
      </c>
      <c r="D481" s="1">
        <v>45297</v>
      </c>
      <c r="E481" t="s">
        <v>34</v>
      </c>
      <c r="F481">
        <v>35796.5</v>
      </c>
      <c r="G481">
        <v>1610</v>
      </c>
      <c r="H481">
        <v>458</v>
      </c>
      <c r="I481">
        <v>153615.28</v>
      </c>
      <c r="J481">
        <v>1409</v>
      </c>
      <c r="K481">
        <v>283488</v>
      </c>
      <c r="L481">
        <f t="shared" si="14"/>
        <v>329.13491542469234</v>
      </c>
      <c r="M481">
        <f t="shared" si="15"/>
        <v>271</v>
      </c>
    </row>
    <row r="482" spans="1:13" x14ac:dyDescent="0.4">
      <c r="A482" t="s">
        <v>60</v>
      </c>
      <c r="B482" t="s">
        <v>25</v>
      </c>
      <c r="C482" s="1">
        <v>45432</v>
      </c>
      <c r="D482" s="1">
        <v>45294</v>
      </c>
      <c r="E482" t="s">
        <v>13</v>
      </c>
      <c r="F482">
        <v>14374.55</v>
      </c>
      <c r="G482">
        <v>107</v>
      </c>
      <c r="H482">
        <v>21</v>
      </c>
      <c r="I482">
        <v>187554.43</v>
      </c>
      <c r="J482">
        <v>964</v>
      </c>
      <c r="K482">
        <v>381643</v>
      </c>
      <c r="L482">
        <f t="shared" si="14"/>
        <v>1204.7673144550613</v>
      </c>
      <c r="M482">
        <f t="shared" si="15"/>
        <v>138</v>
      </c>
    </row>
    <row r="483" spans="1:13" x14ac:dyDescent="0.4">
      <c r="A483" t="s">
        <v>101</v>
      </c>
      <c r="B483" t="s">
        <v>43</v>
      </c>
      <c r="C483" s="1">
        <v>45566</v>
      </c>
      <c r="D483" s="1">
        <v>45300</v>
      </c>
      <c r="E483" t="s">
        <v>26</v>
      </c>
      <c r="F483">
        <v>17729.84</v>
      </c>
      <c r="G483">
        <v>1571</v>
      </c>
      <c r="H483">
        <v>158</v>
      </c>
      <c r="I483">
        <v>188446.42</v>
      </c>
      <c r="J483">
        <v>5489</v>
      </c>
      <c r="K483">
        <v>332922</v>
      </c>
      <c r="L483">
        <f t="shared" si="14"/>
        <v>962.87716076400022</v>
      </c>
      <c r="M483">
        <f t="shared" si="15"/>
        <v>266</v>
      </c>
    </row>
    <row r="484" spans="1:13" x14ac:dyDescent="0.4">
      <c r="A484" t="s">
        <v>70</v>
      </c>
      <c r="B484" t="s">
        <v>25</v>
      </c>
      <c r="C484" s="1">
        <v>45581</v>
      </c>
      <c r="D484" s="1">
        <v>45298</v>
      </c>
      <c r="E484" t="s">
        <v>13</v>
      </c>
      <c r="F484">
        <v>22990.16</v>
      </c>
      <c r="G484">
        <v>346</v>
      </c>
      <c r="H484">
        <v>409</v>
      </c>
      <c r="I484">
        <v>39082.35</v>
      </c>
      <c r="J484">
        <v>3463</v>
      </c>
      <c r="K484">
        <v>283745</v>
      </c>
      <c r="L484">
        <f t="shared" si="14"/>
        <v>69.995989588589197</v>
      </c>
      <c r="M484">
        <f t="shared" si="15"/>
        <v>283</v>
      </c>
    </row>
    <row r="485" spans="1:13" x14ac:dyDescent="0.4">
      <c r="A485" t="s">
        <v>100</v>
      </c>
      <c r="B485" t="s">
        <v>36</v>
      </c>
      <c r="C485" s="1">
        <v>45625</v>
      </c>
      <c r="D485" s="1">
        <v>45298</v>
      </c>
      <c r="E485" t="s">
        <v>13</v>
      </c>
      <c r="F485">
        <v>45748.4</v>
      </c>
      <c r="G485">
        <v>183</v>
      </c>
      <c r="H485">
        <v>332</v>
      </c>
      <c r="I485">
        <v>175575.01</v>
      </c>
      <c r="J485">
        <v>8315</v>
      </c>
      <c r="K485">
        <v>246840</v>
      </c>
      <c r="L485">
        <f t="shared" si="14"/>
        <v>283.78393561304881</v>
      </c>
      <c r="M485">
        <f t="shared" si="15"/>
        <v>327</v>
      </c>
    </row>
    <row r="486" spans="1:13" x14ac:dyDescent="0.4">
      <c r="A486" t="s">
        <v>96</v>
      </c>
      <c r="B486" t="s">
        <v>43</v>
      </c>
      <c r="C486" s="1">
        <v>45343</v>
      </c>
      <c r="D486" s="1">
        <v>45294</v>
      </c>
      <c r="E486" t="s">
        <v>34</v>
      </c>
      <c r="F486">
        <v>10280.280000000001</v>
      </c>
      <c r="G486">
        <v>1404</v>
      </c>
      <c r="H486">
        <v>153</v>
      </c>
      <c r="I486">
        <v>148799.13</v>
      </c>
      <c r="J486">
        <v>3103</v>
      </c>
      <c r="K486">
        <v>413332</v>
      </c>
      <c r="L486">
        <f t="shared" si="14"/>
        <v>1347.4229301147438</v>
      </c>
      <c r="M486">
        <f t="shared" si="15"/>
        <v>49</v>
      </c>
    </row>
    <row r="487" spans="1:13" x14ac:dyDescent="0.4">
      <c r="A487" t="s">
        <v>50</v>
      </c>
      <c r="B487" t="s">
        <v>23</v>
      </c>
      <c r="C487" s="1">
        <v>45318</v>
      </c>
      <c r="D487" s="1">
        <v>45299</v>
      </c>
      <c r="E487" t="s">
        <v>16</v>
      </c>
      <c r="F487">
        <v>1246.3</v>
      </c>
      <c r="G487">
        <v>298</v>
      </c>
      <c r="H487">
        <v>381</v>
      </c>
      <c r="I487">
        <v>54303.29</v>
      </c>
      <c r="J487">
        <v>8602</v>
      </c>
      <c r="K487">
        <v>189057</v>
      </c>
      <c r="L487">
        <f t="shared" si="14"/>
        <v>4257.1603947685144</v>
      </c>
      <c r="M487">
        <f t="shared" si="15"/>
        <v>19</v>
      </c>
    </row>
    <row r="488" spans="1:13" x14ac:dyDescent="0.4">
      <c r="A488" t="s">
        <v>96</v>
      </c>
      <c r="B488" t="s">
        <v>12</v>
      </c>
      <c r="C488" s="1">
        <v>45448</v>
      </c>
      <c r="D488" s="1">
        <v>45302</v>
      </c>
      <c r="E488" t="s">
        <v>16</v>
      </c>
      <c r="F488">
        <v>3944.72</v>
      </c>
      <c r="G488">
        <v>1070</v>
      </c>
      <c r="H488">
        <v>271</v>
      </c>
      <c r="I488">
        <v>18120.5</v>
      </c>
      <c r="J488">
        <v>1331</v>
      </c>
      <c r="K488">
        <v>364157</v>
      </c>
      <c r="L488">
        <f t="shared" si="14"/>
        <v>359.36086718448968</v>
      </c>
      <c r="M488">
        <f t="shared" si="15"/>
        <v>146</v>
      </c>
    </row>
    <row r="489" spans="1:13" x14ac:dyDescent="0.4">
      <c r="A489" t="s">
        <v>84</v>
      </c>
      <c r="B489" t="s">
        <v>12</v>
      </c>
      <c r="C489" s="1">
        <v>45530</v>
      </c>
      <c r="D489" s="1">
        <v>45302</v>
      </c>
      <c r="E489" t="s">
        <v>13</v>
      </c>
      <c r="F489">
        <v>45333.55</v>
      </c>
      <c r="G489">
        <v>599</v>
      </c>
      <c r="H489">
        <v>426</v>
      </c>
      <c r="I489">
        <v>57259.47</v>
      </c>
      <c r="J489">
        <v>8059</v>
      </c>
      <c r="K489">
        <v>249182</v>
      </c>
      <c r="L489">
        <f t="shared" si="14"/>
        <v>26.307050738360438</v>
      </c>
      <c r="M489">
        <f t="shared" si="15"/>
        <v>228</v>
      </c>
    </row>
    <row r="490" spans="1:13" x14ac:dyDescent="0.4">
      <c r="A490" t="s">
        <v>108</v>
      </c>
      <c r="B490" t="s">
        <v>21</v>
      </c>
      <c r="C490" s="1">
        <v>45447</v>
      </c>
      <c r="D490" s="1">
        <v>45301</v>
      </c>
      <c r="E490" t="s">
        <v>13</v>
      </c>
      <c r="F490">
        <v>32728.31</v>
      </c>
      <c r="G490">
        <v>951</v>
      </c>
      <c r="H490">
        <v>332</v>
      </c>
      <c r="I490">
        <v>182880.61</v>
      </c>
      <c r="J490">
        <v>2811</v>
      </c>
      <c r="K490">
        <v>293926</v>
      </c>
      <c r="L490">
        <f t="shared" si="14"/>
        <v>458.78415353557818</v>
      </c>
      <c r="M490">
        <f t="shared" si="15"/>
        <v>146</v>
      </c>
    </row>
    <row r="491" spans="1:13" x14ac:dyDescent="0.4">
      <c r="A491" t="s">
        <v>87</v>
      </c>
      <c r="B491" t="s">
        <v>15</v>
      </c>
      <c r="C491" s="1">
        <v>45582</v>
      </c>
      <c r="D491" s="1">
        <v>45298</v>
      </c>
      <c r="E491" t="s">
        <v>16</v>
      </c>
      <c r="F491">
        <v>14378.99</v>
      </c>
      <c r="G491">
        <v>1148</v>
      </c>
      <c r="H491">
        <v>110</v>
      </c>
      <c r="I491">
        <v>128469.84</v>
      </c>
      <c r="J491">
        <v>6681</v>
      </c>
      <c r="K491">
        <v>112095</v>
      </c>
      <c r="L491">
        <f t="shared" si="14"/>
        <v>793.45524268394365</v>
      </c>
      <c r="M491">
        <f t="shared" si="15"/>
        <v>284</v>
      </c>
    </row>
    <row r="492" spans="1:13" x14ac:dyDescent="0.4">
      <c r="A492" t="s">
        <v>52</v>
      </c>
      <c r="B492" t="s">
        <v>31</v>
      </c>
      <c r="C492" s="1">
        <v>45427</v>
      </c>
      <c r="D492" s="1">
        <v>45294</v>
      </c>
      <c r="E492" t="s">
        <v>16</v>
      </c>
      <c r="F492">
        <v>9682.43</v>
      </c>
      <c r="G492">
        <v>1727</v>
      </c>
      <c r="H492">
        <v>476</v>
      </c>
      <c r="I492">
        <v>145605.66</v>
      </c>
      <c r="J492">
        <v>7805</v>
      </c>
      <c r="K492">
        <v>444035</v>
      </c>
      <c r="L492">
        <f t="shared" si="14"/>
        <v>1403.8131956543968</v>
      </c>
      <c r="M492">
        <f t="shared" si="15"/>
        <v>133</v>
      </c>
    </row>
    <row r="493" spans="1:13" x14ac:dyDescent="0.4">
      <c r="A493" t="s">
        <v>96</v>
      </c>
      <c r="B493" t="s">
        <v>36</v>
      </c>
      <c r="C493" s="1">
        <v>45435</v>
      </c>
      <c r="D493" s="1">
        <v>45302</v>
      </c>
      <c r="E493" t="s">
        <v>34</v>
      </c>
      <c r="F493">
        <v>15419.07</v>
      </c>
      <c r="G493">
        <v>883</v>
      </c>
      <c r="H493">
        <v>385</v>
      </c>
      <c r="I493">
        <v>55144.71</v>
      </c>
      <c r="J493">
        <v>521</v>
      </c>
      <c r="K493">
        <v>478632</v>
      </c>
      <c r="L493">
        <f t="shared" si="14"/>
        <v>257.63966309252118</v>
      </c>
      <c r="M493">
        <f t="shared" si="15"/>
        <v>133</v>
      </c>
    </row>
    <row r="494" spans="1:13" x14ac:dyDescent="0.4">
      <c r="A494" t="s">
        <v>123</v>
      </c>
      <c r="B494" t="s">
        <v>40</v>
      </c>
      <c r="C494" s="1">
        <v>45397</v>
      </c>
      <c r="D494" s="1">
        <v>45294</v>
      </c>
      <c r="E494" t="s">
        <v>26</v>
      </c>
      <c r="F494">
        <v>6625.05</v>
      </c>
      <c r="G494">
        <v>1241</v>
      </c>
      <c r="H494">
        <v>39</v>
      </c>
      <c r="I494">
        <v>145280.69</v>
      </c>
      <c r="J494">
        <v>1046</v>
      </c>
      <c r="K494">
        <v>463251</v>
      </c>
      <c r="L494">
        <f t="shared" si="14"/>
        <v>2092.8995252866016</v>
      </c>
      <c r="M494">
        <f t="shared" si="15"/>
        <v>103</v>
      </c>
    </row>
    <row r="495" spans="1:13" x14ac:dyDescent="0.4">
      <c r="A495" t="s">
        <v>20</v>
      </c>
      <c r="B495" t="s">
        <v>28</v>
      </c>
      <c r="C495" s="1">
        <v>45449</v>
      </c>
      <c r="D495" s="1">
        <v>45301</v>
      </c>
      <c r="E495" t="s">
        <v>13</v>
      </c>
      <c r="F495">
        <v>47135.11</v>
      </c>
      <c r="G495">
        <v>820</v>
      </c>
      <c r="H495">
        <v>123</v>
      </c>
      <c r="I495">
        <v>10483.69</v>
      </c>
      <c r="J495">
        <v>9478</v>
      </c>
      <c r="K495">
        <v>360267</v>
      </c>
      <c r="L495">
        <f t="shared" si="14"/>
        <v>-77.758214630240602</v>
      </c>
      <c r="M495">
        <f t="shared" si="15"/>
        <v>148</v>
      </c>
    </row>
    <row r="496" spans="1:13" x14ac:dyDescent="0.4">
      <c r="A496" t="s">
        <v>46</v>
      </c>
      <c r="B496" t="s">
        <v>15</v>
      </c>
      <c r="C496" s="1">
        <v>45437</v>
      </c>
      <c r="D496" s="1">
        <v>45298</v>
      </c>
      <c r="E496" t="s">
        <v>16</v>
      </c>
      <c r="F496">
        <v>39426.1</v>
      </c>
      <c r="G496">
        <v>1576</v>
      </c>
      <c r="H496">
        <v>18</v>
      </c>
      <c r="I496">
        <v>78187.66</v>
      </c>
      <c r="J496">
        <v>1934</v>
      </c>
      <c r="K496">
        <v>307602</v>
      </c>
      <c r="L496">
        <f t="shared" si="14"/>
        <v>98.314466812593707</v>
      </c>
      <c r="M496">
        <f t="shared" si="15"/>
        <v>139</v>
      </c>
    </row>
    <row r="497" spans="1:13" x14ac:dyDescent="0.4">
      <c r="A497" t="s">
        <v>83</v>
      </c>
      <c r="B497" t="s">
        <v>12</v>
      </c>
      <c r="C497" s="1">
        <v>45293</v>
      </c>
      <c r="D497" s="1">
        <v>45296</v>
      </c>
      <c r="E497" t="s">
        <v>13</v>
      </c>
      <c r="F497">
        <v>23657.17</v>
      </c>
      <c r="G497">
        <v>1958</v>
      </c>
      <c r="H497">
        <v>18</v>
      </c>
      <c r="I497">
        <v>127216.9</v>
      </c>
      <c r="J497">
        <v>1664</v>
      </c>
      <c r="K497">
        <v>485772</v>
      </c>
      <c r="L497">
        <f t="shared" si="14"/>
        <v>437.75197963239049</v>
      </c>
      <c r="M497">
        <f t="shared" si="15"/>
        <v>3</v>
      </c>
    </row>
    <row r="498" spans="1:13" x14ac:dyDescent="0.4">
      <c r="A498" t="s">
        <v>121</v>
      </c>
      <c r="B498" t="s">
        <v>25</v>
      </c>
      <c r="C498" s="1">
        <v>45368</v>
      </c>
      <c r="D498" s="1">
        <v>45300</v>
      </c>
      <c r="E498" t="s">
        <v>13</v>
      </c>
      <c r="F498">
        <v>43383.17</v>
      </c>
      <c r="G498">
        <v>1428</v>
      </c>
      <c r="H498">
        <v>270</v>
      </c>
      <c r="I498">
        <v>33488.83</v>
      </c>
      <c r="J498">
        <v>7432</v>
      </c>
      <c r="K498">
        <v>387369</v>
      </c>
      <c r="L498">
        <f t="shared" si="14"/>
        <v>-22.806862661257803</v>
      </c>
      <c r="M498">
        <f t="shared" si="15"/>
        <v>68</v>
      </c>
    </row>
    <row r="499" spans="1:13" x14ac:dyDescent="0.4">
      <c r="A499" t="s">
        <v>39</v>
      </c>
      <c r="B499" t="s">
        <v>51</v>
      </c>
      <c r="C499" s="1">
        <v>45423</v>
      </c>
      <c r="D499" s="1">
        <v>45300</v>
      </c>
      <c r="E499" t="s">
        <v>16</v>
      </c>
      <c r="F499">
        <v>13223.45</v>
      </c>
      <c r="G499">
        <v>1298</v>
      </c>
      <c r="H499">
        <v>144</v>
      </c>
      <c r="I499">
        <v>165485.70000000001</v>
      </c>
      <c r="J499">
        <v>5044</v>
      </c>
      <c r="K499">
        <v>140152</v>
      </c>
      <c r="L499">
        <f t="shared" si="14"/>
        <v>1151.4563143506421</v>
      </c>
      <c r="M499">
        <f t="shared" si="15"/>
        <v>123</v>
      </c>
    </row>
    <row r="500" spans="1:13" x14ac:dyDescent="0.4">
      <c r="A500" t="s">
        <v>14</v>
      </c>
      <c r="B500" t="s">
        <v>51</v>
      </c>
      <c r="C500" s="1">
        <v>45381</v>
      </c>
      <c r="D500" s="1">
        <v>45302</v>
      </c>
      <c r="E500" t="s">
        <v>34</v>
      </c>
      <c r="F500">
        <v>36138.910000000003</v>
      </c>
      <c r="G500">
        <v>1737</v>
      </c>
      <c r="H500">
        <v>298</v>
      </c>
      <c r="I500">
        <v>50831.1</v>
      </c>
      <c r="J500">
        <v>1408</v>
      </c>
      <c r="K500">
        <v>482959</v>
      </c>
      <c r="L500">
        <f t="shared" si="14"/>
        <v>40.654767949559059</v>
      </c>
      <c r="M500">
        <f t="shared" si="15"/>
        <v>79</v>
      </c>
    </row>
    <row r="501" spans="1:13" x14ac:dyDescent="0.4">
      <c r="A501" t="s">
        <v>125</v>
      </c>
      <c r="B501" t="s">
        <v>23</v>
      </c>
      <c r="C501" s="1">
        <v>45636</v>
      </c>
      <c r="D501" s="1">
        <v>45300</v>
      </c>
      <c r="E501" t="s">
        <v>13</v>
      </c>
      <c r="F501">
        <v>42950.49</v>
      </c>
      <c r="G501">
        <v>1604</v>
      </c>
      <c r="H501">
        <v>368</v>
      </c>
      <c r="I501">
        <v>132194.82</v>
      </c>
      <c r="J501">
        <v>3086</v>
      </c>
      <c r="K501">
        <v>166029</v>
      </c>
      <c r="L501">
        <f t="shared" si="14"/>
        <v>207.78419524433835</v>
      </c>
      <c r="M501">
        <f t="shared" si="15"/>
        <v>336</v>
      </c>
    </row>
    <row r="502" spans="1:13" x14ac:dyDescent="0.4">
      <c r="A502" t="s">
        <v>49</v>
      </c>
      <c r="B502" t="s">
        <v>36</v>
      </c>
      <c r="C502" s="1">
        <v>45641</v>
      </c>
      <c r="D502" s="1">
        <v>45296</v>
      </c>
      <c r="E502" t="s">
        <v>34</v>
      </c>
      <c r="F502">
        <v>18481.669999999998</v>
      </c>
      <c r="G502">
        <v>195</v>
      </c>
      <c r="H502">
        <v>123</v>
      </c>
      <c r="I502">
        <v>84013.440000000002</v>
      </c>
      <c r="J502">
        <v>486</v>
      </c>
      <c r="K502">
        <v>408124</v>
      </c>
      <c r="L502">
        <f t="shared" si="14"/>
        <v>354.5771026103161</v>
      </c>
      <c r="M502">
        <f t="shared" si="15"/>
        <v>345</v>
      </c>
    </row>
    <row r="503" spans="1:13" x14ac:dyDescent="0.4">
      <c r="A503" t="s">
        <v>91</v>
      </c>
      <c r="B503" t="s">
        <v>31</v>
      </c>
      <c r="C503" s="1">
        <v>45554</v>
      </c>
      <c r="D503" s="1">
        <v>45294</v>
      </c>
      <c r="E503" t="s">
        <v>16</v>
      </c>
      <c r="F503">
        <v>38115.760000000002</v>
      </c>
      <c r="G503">
        <v>1314</v>
      </c>
      <c r="H503">
        <v>242</v>
      </c>
      <c r="I503">
        <v>121228.5</v>
      </c>
      <c r="J503">
        <v>6231</v>
      </c>
      <c r="K503">
        <v>359332</v>
      </c>
      <c r="L503">
        <f t="shared" si="14"/>
        <v>218.05347709189058</v>
      </c>
      <c r="M503">
        <f t="shared" si="15"/>
        <v>260</v>
      </c>
    </row>
    <row r="504" spans="1:13" x14ac:dyDescent="0.4">
      <c r="A504" t="s">
        <v>123</v>
      </c>
      <c r="B504" t="s">
        <v>31</v>
      </c>
      <c r="C504" s="1">
        <v>45642</v>
      </c>
      <c r="D504" s="1">
        <v>45301</v>
      </c>
      <c r="E504" t="s">
        <v>26</v>
      </c>
      <c r="F504">
        <v>15458.55</v>
      </c>
      <c r="G504">
        <v>1957</v>
      </c>
      <c r="H504">
        <v>38</v>
      </c>
      <c r="I504">
        <v>25952.86</v>
      </c>
      <c r="J504">
        <v>9453</v>
      </c>
      <c r="K504">
        <v>227952</v>
      </c>
      <c r="L504">
        <f t="shared" si="14"/>
        <v>67.886768163896377</v>
      </c>
      <c r="M504">
        <f t="shared" si="15"/>
        <v>341</v>
      </c>
    </row>
    <row r="505" spans="1:13" x14ac:dyDescent="0.4">
      <c r="A505" t="s">
        <v>62</v>
      </c>
      <c r="B505" t="s">
        <v>33</v>
      </c>
      <c r="C505" s="1">
        <v>45399</v>
      </c>
      <c r="D505" s="1">
        <v>45296</v>
      </c>
      <c r="E505" t="s">
        <v>26</v>
      </c>
      <c r="F505">
        <v>15644</v>
      </c>
      <c r="G505">
        <v>942</v>
      </c>
      <c r="H505">
        <v>173</v>
      </c>
      <c r="I505">
        <v>8298</v>
      </c>
      <c r="J505">
        <v>3358</v>
      </c>
      <c r="K505">
        <v>122292</v>
      </c>
      <c r="L505">
        <f t="shared" si="14"/>
        <v>-46.957299923293277</v>
      </c>
      <c r="M505">
        <f t="shared" si="15"/>
        <v>103</v>
      </c>
    </row>
    <row r="506" spans="1:13" x14ac:dyDescent="0.4">
      <c r="A506" t="s">
        <v>104</v>
      </c>
      <c r="B506" t="s">
        <v>54</v>
      </c>
      <c r="C506" s="1">
        <v>45365</v>
      </c>
      <c r="D506" s="1">
        <v>45301</v>
      </c>
      <c r="E506" t="s">
        <v>13</v>
      </c>
      <c r="F506">
        <v>6245.8</v>
      </c>
      <c r="G506">
        <v>393</v>
      </c>
      <c r="H506">
        <v>14</v>
      </c>
      <c r="I506">
        <v>182365.06</v>
      </c>
      <c r="J506">
        <v>6221</v>
      </c>
      <c r="K506">
        <v>91570</v>
      </c>
      <c r="L506">
        <f t="shared" si="14"/>
        <v>2819.8030676614685</v>
      </c>
      <c r="M506">
        <f t="shared" si="15"/>
        <v>64</v>
      </c>
    </row>
    <row r="507" spans="1:13" x14ac:dyDescent="0.4">
      <c r="A507" t="s">
        <v>114</v>
      </c>
      <c r="B507" t="s">
        <v>30</v>
      </c>
      <c r="C507" s="1">
        <v>45330</v>
      </c>
      <c r="D507" s="1">
        <v>45301</v>
      </c>
      <c r="E507" t="s">
        <v>16</v>
      </c>
      <c r="F507">
        <v>22562.84</v>
      </c>
      <c r="G507">
        <v>1822</v>
      </c>
      <c r="H507">
        <v>126</v>
      </c>
      <c r="I507">
        <v>57577.85</v>
      </c>
      <c r="J507">
        <v>4911</v>
      </c>
      <c r="K507">
        <v>485540</v>
      </c>
      <c r="L507">
        <f t="shared" si="14"/>
        <v>155.1888414756298</v>
      </c>
      <c r="M507">
        <f t="shared" si="15"/>
        <v>29</v>
      </c>
    </row>
    <row r="508" spans="1:13" x14ac:dyDescent="0.4">
      <c r="A508" t="s">
        <v>93</v>
      </c>
      <c r="B508" t="s">
        <v>12</v>
      </c>
      <c r="C508" s="1">
        <v>45450</v>
      </c>
      <c r="D508" s="1">
        <v>45298</v>
      </c>
      <c r="E508" t="s">
        <v>34</v>
      </c>
      <c r="F508">
        <v>36755.879999999997</v>
      </c>
      <c r="G508">
        <v>1108</v>
      </c>
      <c r="H508">
        <v>405</v>
      </c>
      <c r="I508">
        <v>164837.01999999999</v>
      </c>
      <c r="J508">
        <v>6674</v>
      </c>
      <c r="K508">
        <v>472503</v>
      </c>
      <c r="L508">
        <f t="shared" si="14"/>
        <v>348.46435454680994</v>
      </c>
      <c r="M508">
        <f t="shared" si="15"/>
        <v>152</v>
      </c>
    </row>
    <row r="509" spans="1:13" x14ac:dyDescent="0.4">
      <c r="A509" t="s">
        <v>77</v>
      </c>
      <c r="B509" t="s">
        <v>31</v>
      </c>
      <c r="C509" s="1">
        <v>45362</v>
      </c>
      <c r="D509" s="1">
        <v>45294</v>
      </c>
      <c r="E509" t="s">
        <v>13</v>
      </c>
      <c r="F509">
        <v>47070.82</v>
      </c>
      <c r="G509">
        <v>751</v>
      </c>
      <c r="H509">
        <v>149</v>
      </c>
      <c r="I509">
        <v>199873.31</v>
      </c>
      <c r="J509">
        <v>6797</v>
      </c>
      <c r="K509">
        <v>124791</v>
      </c>
      <c r="L509">
        <f t="shared" si="14"/>
        <v>324.62253684979356</v>
      </c>
      <c r="M509">
        <f t="shared" si="15"/>
        <v>68</v>
      </c>
    </row>
    <row r="510" spans="1:13" x14ac:dyDescent="0.4">
      <c r="A510" t="s">
        <v>58</v>
      </c>
      <c r="B510" t="s">
        <v>23</v>
      </c>
      <c r="C510" s="1">
        <v>45603</v>
      </c>
      <c r="D510" s="1">
        <v>45300</v>
      </c>
      <c r="E510" t="s">
        <v>16</v>
      </c>
      <c r="F510">
        <v>30586.05</v>
      </c>
      <c r="G510">
        <v>50</v>
      </c>
      <c r="H510">
        <v>455</v>
      </c>
      <c r="I510">
        <v>46229.1</v>
      </c>
      <c r="J510">
        <v>4033</v>
      </c>
      <c r="K510">
        <v>441698</v>
      </c>
      <c r="L510">
        <f t="shared" si="14"/>
        <v>51.144394258166713</v>
      </c>
      <c r="M510">
        <f t="shared" si="15"/>
        <v>303</v>
      </c>
    </row>
    <row r="511" spans="1:13" x14ac:dyDescent="0.4">
      <c r="A511" t="s">
        <v>121</v>
      </c>
      <c r="B511" t="s">
        <v>25</v>
      </c>
      <c r="C511" s="1">
        <v>45532</v>
      </c>
      <c r="D511" s="1">
        <v>45298</v>
      </c>
      <c r="E511" t="s">
        <v>16</v>
      </c>
      <c r="F511">
        <v>43293.64</v>
      </c>
      <c r="G511">
        <v>202</v>
      </c>
      <c r="H511">
        <v>450</v>
      </c>
      <c r="I511">
        <v>56708.29</v>
      </c>
      <c r="J511">
        <v>1539</v>
      </c>
      <c r="K511">
        <v>493545</v>
      </c>
      <c r="L511">
        <f t="shared" si="14"/>
        <v>30.985267120066602</v>
      </c>
      <c r="M511">
        <f t="shared" si="15"/>
        <v>234</v>
      </c>
    </row>
    <row r="512" spans="1:13" x14ac:dyDescent="0.4">
      <c r="A512" t="s">
        <v>61</v>
      </c>
      <c r="B512" t="s">
        <v>36</v>
      </c>
      <c r="C512" s="1">
        <v>45589</v>
      </c>
      <c r="D512" s="1">
        <v>45301</v>
      </c>
      <c r="E512" t="s">
        <v>34</v>
      </c>
      <c r="F512">
        <v>41302.239999999998</v>
      </c>
      <c r="G512">
        <v>478</v>
      </c>
      <c r="H512">
        <v>227</v>
      </c>
      <c r="I512">
        <v>134257.66</v>
      </c>
      <c r="J512">
        <v>6269</v>
      </c>
      <c r="K512">
        <v>388435</v>
      </c>
      <c r="L512">
        <f t="shared" si="14"/>
        <v>225.06144945165207</v>
      </c>
      <c r="M512">
        <f t="shared" si="15"/>
        <v>288</v>
      </c>
    </row>
    <row r="513" spans="1:13" x14ac:dyDescent="0.4">
      <c r="A513" t="s">
        <v>109</v>
      </c>
      <c r="B513" t="s">
        <v>28</v>
      </c>
      <c r="C513" s="1">
        <v>45327</v>
      </c>
      <c r="D513" s="1">
        <v>45302</v>
      </c>
      <c r="E513" t="s">
        <v>13</v>
      </c>
      <c r="F513">
        <v>9493.81</v>
      </c>
      <c r="G513">
        <v>557</v>
      </c>
      <c r="H513">
        <v>375</v>
      </c>
      <c r="I513">
        <v>193262.48</v>
      </c>
      <c r="J513">
        <v>4580</v>
      </c>
      <c r="K513">
        <v>361519</v>
      </c>
      <c r="L513">
        <f t="shared" si="14"/>
        <v>1935.6682933406084</v>
      </c>
      <c r="M513">
        <f t="shared" si="15"/>
        <v>25</v>
      </c>
    </row>
    <row r="514" spans="1:13" x14ac:dyDescent="0.4">
      <c r="A514" t="s">
        <v>60</v>
      </c>
      <c r="B514" t="s">
        <v>33</v>
      </c>
      <c r="C514" s="1">
        <v>45375</v>
      </c>
      <c r="D514" s="1">
        <v>45300</v>
      </c>
      <c r="E514" t="s">
        <v>16</v>
      </c>
      <c r="F514">
        <v>24805.05</v>
      </c>
      <c r="G514">
        <v>1199</v>
      </c>
      <c r="H514">
        <v>261</v>
      </c>
      <c r="I514">
        <v>183583.8</v>
      </c>
      <c r="J514">
        <v>155</v>
      </c>
      <c r="K514">
        <v>39314</v>
      </c>
      <c r="L514">
        <f t="shared" si="14"/>
        <v>640.1065508837919</v>
      </c>
      <c r="M514">
        <f t="shared" si="15"/>
        <v>75</v>
      </c>
    </row>
    <row r="515" spans="1:13" x14ac:dyDescent="0.4">
      <c r="A515" t="s">
        <v>121</v>
      </c>
      <c r="B515" t="s">
        <v>23</v>
      </c>
      <c r="C515" s="1">
        <v>45554</v>
      </c>
      <c r="D515" s="1">
        <v>45300</v>
      </c>
      <c r="E515" t="s">
        <v>16</v>
      </c>
      <c r="F515">
        <v>6729.25</v>
      </c>
      <c r="G515">
        <v>540</v>
      </c>
      <c r="H515">
        <v>272</v>
      </c>
      <c r="I515">
        <v>103060.73</v>
      </c>
      <c r="J515">
        <v>3424</v>
      </c>
      <c r="K515">
        <v>233061</v>
      </c>
      <c r="L515">
        <f t="shared" ref="L515:L578" si="16">(I515 - F515)/F515*100</f>
        <v>1431.5336776015156</v>
      </c>
      <c r="M515">
        <f t="shared" ref="M515:M578" si="17">ABS(D515 - C515)</f>
        <v>254</v>
      </c>
    </row>
    <row r="516" spans="1:13" x14ac:dyDescent="0.4">
      <c r="A516" t="s">
        <v>49</v>
      </c>
      <c r="B516" t="s">
        <v>18</v>
      </c>
      <c r="C516" s="1">
        <v>45601</v>
      </c>
      <c r="D516" s="1">
        <v>45294</v>
      </c>
      <c r="E516" t="s">
        <v>16</v>
      </c>
      <c r="F516">
        <v>34425.5</v>
      </c>
      <c r="G516">
        <v>1555</v>
      </c>
      <c r="H516">
        <v>363</v>
      </c>
      <c r="I516">
        <v>160046.51</v>
      </c>
      <c r="J516">
        <v>6877</v>
      </c>
      <c r="K516">
        <v>206993</v>
      </c>
      <c r="L516">
        <f t="shared" si="16"/>
        <v>364.90685683577584</v>
      </c>
      <c r="M516">
        <f t="shared" si="17"/>
        <v>307</v>
      </c>
    </row>
    <row r="517" spans="1:13" x14ac:dyDescent="0.4">
      <c r="A517" t="s">
        <v>123</v>
      </c>
      <c r="B517" t="s">
        <v>21</v>
      </c>
      <c r="C517" s="1">
        <v>45463</v>
      </c>
      <c r="D517" s="1">
        <v>45297</v>
      </c>
      <c r="E517" t="s">
        <v>34</v>
      </c>
      <c r="F517">
        <v>47545.08</v>
      </c>
      <c r="G517">
        <v>394</v>
      </c>
      <c r="H517">
        <v>8</v>
      </c>
      <c r="I517">
        <v>31470.44</v>
      </c>
      <c r="J517">
        <v>205</v>
      </c>
      <c r="K517">
        <v>477984</v>
      </c>
      <c r="L517">
        <f t="shared" si="16"/>
        <v>-33.809260600676247</v>
      </c>
      <c r="M517">
        <f t="shared" si="17"/>
        <v>166</v>
      </c>
    </row>
    <row r="518" spans="1:13" x14ac:dyDescent="0.4">
      <c r="A518" t="s">
        <v>71</v>
      </c>
      <c r="B518" t="s">
        <v>28</v>
      </c>
      <c r="C518" s="1">
        <v>45464</v>
      </c>
      <c r="D518" s="1">
        <v>45295</v>
      </c>
      <c r="E518" t="s">
        <v>13</v>
      </c>
      <c r="F518">
        <v>7717.38</v>
      </c>
      <c r="G518">
        <v>1985</v>
      </c>
      <c r="H518">
        <v>430</v>
      </c>
      <c r="I518">
        <v>195600.45</v>
      </c>
      <c r="J518">
        <v>3301</v>
      </c>
      <c r="K518">
        <v>372024</v>
      </c>
      <c r="L518">
        <f t="shared" si="16"/>
        <v>2434.54475482612</v>
      </c>
      <c r="M518">
        <f t="shared" si="17"/>
        <v>169</v>
      </c>
    </row>
    <row r="519" spans="1:13" x14ac:dyDescent="0.4">
      <c r="A519" t="s">
        <v>71</v>
      </c>
      <c r="B519" t="s">
        <v>54</v>
      </c>
      <c r="C519" s="1">
        <v>45653</v>
      </c>
      <c r="D519" s="1">
        <v>45295</v>
      </c>
      <c r="E519" t="s">
        <v>13</v>
      </c>
      <c r="F519">
        <v>36960.269999999997</v>
      </c>
      <c r="G519">
        <v>1811</v>
      </c>
      <c r="H519">
        <v>401</v>
      </c>
      <c r="I519">
        <v>193048.88</v>
      </c>
      <c r="J519">
        <v>769</v>
      </c>
      <c r="K519">
        <v>363470</v>
      </c>
      <c r="L519">
        <f t="shared" si="16"/>
        <v>422.31458265862238</v>
      </c>
      <c r="M519">
        <f t="shared" si="17"/>
        <v>358</v>
      </c>
    </row>
    <row r="520" spans="1:13" x14ac:dyDescent="0.4">
      <c r="A520" t="s">
        <v>87</v>
      </c>
      <c r="B520" t="s">
        <v>18</v>
      </c>
      <c r="C520" s="1">
        <v>45338</v>
      </c>
      <c r="D520" s="1">
        <v>45295</v>
      </c>
      <c r="E520" t="s">
        <v>13</v>
      </c>
      <c r="F520">
        <v>31979.67</v>
      </c>
      <c r="G520">
        <v>270</v>
      </c>
      <c r="H520">
        <v>358</v>
      </c>
      <c r="I520">
        <v>36927.15</v>
      </c>
      <c r="J520">
        <v>9034</v>
      </c>
      <c r="K520">
        <v>147903</v>
      </c>
      <c r="L520">
        <f t="shared" si="16"/>
        <v>15.470703731464408</v>
      </c>
      <c r="M520">
        <f t="shared" si="17"/>
        <v>43</v>
      </c>
    </row>
    <row r="521" spans="1:13" x14ac:dyDescent="0.4">
      <c r="A521" t="s">
        <v>89</v>
      </c>
      <c r="B521" t="s">
        <v>40</v>
      </c>
      <c r="C521" s="1">
        <v>45432</v>
      </c>
      <c r="D521" s="1">
        <v>45297</v>
      </c>
      <c r="E521" t="s">
        <v>13</v>
      </c>
      <c r="F521">
        <v>29596.65</v>
      </c>
      <c r="G521">
        <v>1988</v>
      </c>
      <c r="H521">
        <v>110</v>
      </c>
      <c r="I521">
        <v>63387.51</v>
      </c>
      <c r="J521">
        <v>1066</v>
      </c>
      <c r="K521">
        <v>384170</v>
      </c>
      <c r="L521">
        <f t="shared" si="16"/>
        <v>114.1712322171597</v>
      </c>
      <c r="M521">
        <f t="shared" si="17"/>
        <v>135</v>
      </c>
    </row>
    <row r="522" spans="1:13" x14ac:dyDescent="0.4">
      <c r="A522" t="s">
        <v>66</v>
      </c>
      <c r="B522" t="s">
        <v>54</v>
      </c>
      <c r="C522" s="1">
        <v>45409</v>
      </c>
      <c r="D522" s="1">
        <v>45294</v>
      </c>
      <c r="E522" t="s">
        <v>26</v>
      </c>
      <c r="F522">
        <v>20115.89</v>
      </c>
      <c r="G522">
        <v>1992</v>
      </c>
      <c r="H522">
        <v>89</v>
      </c>
      <c r="I522">
        <v>24530.22</v>
      </c>
      <c r="J522">
        <v>407</v>
      </c>
      <c r="K522">
        <v>414341</v>
      </c>
      <c r="L522">
        <f t="shared" si="16"/>
        <v>21.944492637412523</v>
      </c>
      <c r="M522">
        <f t="shared" si="17"/>
        <v>115</v>
      </c>
    </row>
    <row r="523" spans="1:13" x14ac:dyDescent="0.4">
      <c r="A523" t="s">
        <v>35</v>
      </c>
      <c r="B523" t="s">
        <v>51</v>
      </c>
      <c r="C523" s="1">
        <v>45568</v>
      </c>
      <c r="D523" s="1">
        <v>45297</v>
      </c>
      <c r="E523" t="s">
        <v>26</v>
      </c>
      <c r="F523">
        <v>18401.45</v>
      </c>
      <c r="G523">
        <v>772</v>
      </c>
      <c r="H523">
        <v>218</v>
      </c>
      <c r="I523">
        <v>57984.93</v>
      </c>
      <c r="J523">
        <v>2238</v>
      </c>
      <c r="K523">
        <v>325595</v>
      </c>
      <c r="L523">
        <f t="shared" si="16"/>
        <v>215.1106570406136</v>
      </c>
      <c r="M523">
        <f t="shared" si="17"/>
        <v>271</v>
      </c>
    </row>
    <row r="524" spans="1:13" x14ac:dyDescent="0.4">
      <c r="A524" t="s">
        <v>48</v>
      </c>
      <c r="B524" t="s">
        <v>21</v>
      </c>
      <c r="C524" s="1">
        <v>45505</v>
      </c>
      <c r="D524" s="1">
        <v>45295</v>
      </c>
      <c r="E524" t="s">
        <v>13</v>
      </c>
      <c r="F524">
        <v>3217.21</v>
      </c>
      <c r="G524">
        <v>1098</v>
      </c>
      <c r="H524">
        <v>125</v>
      </c>
      <c r="I524">
        <v>164111.38</v>
      </c>
      <c r="J524">
        <v>209</v>
      </c>
      <c r="K524">
        <v>46708</v>
      </c>
      <c r="L524">
        <f t="shared" si="16"/>
        <v>5001.0465589750129</v>
      </c>
      <c r="M524">
        <f t="shared" si="17"/>
        <v>210</v>
      </c>
    </row>
    <row r="525" spans="1:13" x14ac:dyDescent="0.4">
      <c r="A525" t="s">
        <v>109</v>
      </c>
      <c r="B525" t="s">
        <v>12</v>
      </c>
      <c r="C525" s="1">
        <v>45511</v>
      </c>
      <c r="D525" s="1">
        <v>45298</v>
      </c>
      <c r="E525" t="s">
        <v>34</v>
      </c>
      <c r="F525">
        <v>11677.53</v>
      </c>
      <c r="G525">
        <v>577</v>
      </c>
      <c r="H525">
        <v>136</v>
      </c>
      <c r="I525">
        <v>78771.539999999994</v>
      </c>
      <c r="J525">
        <v>3732</v>
      </c>
      <c r="K525">
        <v>280826</v>
      </c>
      <c r="L525">
        <f t="shared" si="16"/>
        <v>574.55652008601123</v>
      </c>
      <c r="M525">
        <f t="shared" si="17"/>
        <v>213</v>
      </c>
    </row>
    <row r="526" spans="1:13" x14ac:dyDescent="0.4">
      <c r="A526" t="s">
        <v>101</v>
      </c>
      <c r="B526" t="s">
        <v>25</v>
      </c>
      <c r="C526" s="1">
        <v>45317</v>
      </c>
      <c r="D526" s="1">
        <v>45296</v>
      </c>
      <c r="E526" t="s">
        <v>26</v>
      </c>
      <c r="F526">
        <v>1743.67</v>
      </c>
      <c r="G526">
        <v>1255</v>
      </c>
      <c r="H526">
        <v>342</v>
      </c>
      <c r="I526">
        <v>22237.41</v>
      </c>
      <c r="J526">
        <v>6828</v>
      </c>
      <c r="K526">
        <v>365550</v>
      </c>
      <c r="L526">
        <f t="shared" si="16"/>
        <v>1175.3221653179785</v>
      </c>
      <c r="M526">
        <f t="shared" si="17"/>
        <v>21</v>
      </c>
    </row>
    <row r="527" spans="1:13" x14ac:dyDescent="0.4">
      <c r="A527" t="s">
        <v>129</v>
      </c>
      <c r="B527" t="s">
        <v>21</v>
      </c>
      <c r="C527" s="1">
        <v>45300</v>
      </c>
      <c r="D527" s="1">
        <v>45301</v>
      </c>
      <c r="E527" t="s">
        <v>16</v>
      </c>
      <c r="F527">
        <v>29489.439999999999</v>
      </c>
      <c r="G527">
        <v>1572</v>
      </c>
      <c r="H527">
        <v>201</v>
      </c>
      <c r="I527">
        <v>71733.98</v>
      </c>
      <c r="J527">
        <v>5784</v>
      </c>
      <c r="K527">
        <v>477040</v>
      </c>
      <c r="L527">
        <f t="shared" si="16"/>
        <v>143.25311026591211</v>
      </c>
      <c r="M527">
        <f t="shared" si="17"/>
        <v>1</v>
      </c>
    </row>
    <row r="528" spans="1:13" x14ac:dyDescent="0.4">
      <c r="A528" t="s">
        <v>121</v>
      </c>
      <c r="B528" t="s">
        <v>54</v>
      </c>
      <c r="C528" s="1">
        <v>45562</v>
      </c>
      <c r="D528" s="1">
        <v>45297</v>
      </c>
      <c r="E528" t="s">
        <v>26</v>
      </c>
      <c r="F528">
        <v>6186.81</v>
      </c>
      <c r="G528">
        <v>890</v>
      </c>
      <c r="H528">
        <v>23</v>
      </c>
      <c r="I528">
        <v>196369.75</v>
      </c>
      <c r="J528">
        <v>6599</v>
      </c>
      <c r="K528">
        <v>167866</v>
      </c>
      <c r="L528">
        <f t="shared" si="16"/>
        <v>3074.0064750655019</v>
      </c>
      <c r="M528">
        <f t="shared" si="17"/>
        <v>265</v>
      </c>
    </row>
    <row r="529" spans="1:13" x14ac:dyDescent="0.4">
      <c r="A529" t="s">
        <v>35</v>
      </c>
      <c r="B529" t="s">
        <v>30</v>
      </c>
      <c r="C529" s="1">
        <v>45301</v>
      </c>
      <c r="D529" s="1">
        <v>45294</v>
      </c>
      <c r="E529" t="s">
        <v>16</v>
      </c>
      <c r="F529">
        <v>43777.95</v>
      </c>
      <c r="G529">
        <v>1714</v>
      </c>
      <c r="H529">
        <v>134</v>
      </c>
      <c r="I529">
        <v>127788.3</v>
      </c>
      <c r="J529">
        <v>2015</v>
      </c>
      <c r="K529">
        <v>322516</v>
      </c>
      <c r="L529">
        <f t="shared" si="16"/>
        <v>191.90105978009478</v>
      </c>
      <c r="M529">
        <f t="shared" si="17"/>
        <v>7</v>
      </c>
    </row>
    <row r="530" spans="1:13" x14ac:dyDescent="0.4">
      <c r="A530" t="s">
        <v>84</v>
      </c>
      <c r="B530" t="s">
        <v>18</v>
      </c>
      <c r="C530" s="1">
        <v>45412</v>
      </c>
      <c r="D530" s="1">
        <v>45294</v>
      </c>
      <c r="E530" t="s">
        <v>13</v>
      </c>
      <c r="F530">
        <v>26634.01</v>
      </c>
      <c r="G530">
        <v>1115</v>
      </c>
      <c r="H530">
        <v>16</v>
      </c>
      <c r="I530">
        <v>86151.38</v>
      </c>
      <c r="J530">
        <v>656</v>
      </c>
      <c r="K530">
        <v>40477</v>
      </c>
      <c r="L530">
        <f t="shared" si="16"/>
        <v>223.46379685222021</v>
      </c>
      <c r="M530">
        <f t="shared" si="17"/>
        <v>118</v>
      </c>
    </row>
    <row r="531" spans="1:13" x14ac:dyDescent="0.4">
      <c r="A531" t="s">
        <v>11</v>
      </c>
      <c r="B531" t="s">
        <v>12</v>
      </c>
      <c r="C531" s="1">
        <v>45416</v>
      </c>
      <c r="D531" s="1">
        <v>45296</v>
      </c>
      <c r="E531" t="s">
        <v>26</v>
      </c>
      <c r="F531">
        <v>35284.81</v>
      </c>
      <c r="G531">
        <v>1988</v>
      </c>
      <c r="H531">
        <v>85</v>
      </c>
      <c r="I531">
        <v>37475.01</v>
      </c>
      <c r="J531">
        <v>7719</v>
      </c>
      <c r="K531">
        <v>448079</v>
      </c>
      <c r="L531">
        <f t="shared" si="16"/>
        <v>6.2072036097119536</v>
      </c>
      <c r="M531">
        <f t="shared" si="17"/>
        <v>120</v>
      </c>
    </row>
    <row r="532" spans="1:13" x14ac:dyDescent="0.4">
      <c r="A532" t="s">
        <v>86</v>
      </c>
      <c r="B532" t="s">
        <v>43</v>
      </c>
      <c r="C532" s="1">
        <v>45461</v>
      </c>
      <c r="D532" s="1">
        <v>45302</v>
      </c>
      <c r="E532" t="s">
        <v>34</v>
      </c>
      <c r="F532">
        <v>21132</v>
      </c>
      <c r="G532">
        <v>530</v>
      </c>
      <c r="H532">
        <v>334</v>
      </c>
      <c r="I532">
        <v>197304.48</v>
      </c>
      <c r="J532">
        <v>204</v>
      </c>
      <c r="K532">
        <v>484157</v>
      </c>
      <c r="L532">
        <f t="shared" si="16"/>
        <v>833.67632027257241</v>
      </c>
      <c r="M532">
        <f t="shared" si="17"/>
        <v>159</v>
      </c>
    </row>
    <row r="533" spans="1:13" x14ac:dyDescent="0.4">
      <c r="A533" t="s">
        <v>129</v>
      </c>
      <c r="B533" t="s">
        <v>30</v>
      </c>
      <c r="C533" s="1">
        <v>45363</v>
      </c>
      <c r="D533" s="1">
        <v>45300</v>
      </c>
      <c r="E533" t="s">
        <v>26</v>
      </c>
      <c r="F533">
        <v>28468.41</v>
      </c>
      <c r="G533">
        <v>979</v>
      </c>
      <c r="H533">
        <v>358</v>
      </c>
      <c r="I533">
        <v>165065.56</v>
      </c>
      <c r="J533">
        <v>2147</v>
      </c>
      <c r="K533">
        <v>170809</v>
      </c>
      <c r="L533">
        <f t="shared" si="16"/>
        <v>479.82008830138386</v>
      </c>
      <c r="M533">
        <f t="shared" si="17"/>
        <v>63</v>
      </c>
    </row>
    <row r="534" spans="1:13" x14ac:dyDescent="0.4">
      <c r="A534" t="s">
        <v>118</v>
      </c>
      <c r="B534" t="s">
        <v>51</v>
      </c>
      <c r="C534" s="1">
        <v>45443</v>
      </c>
      <c r="D534" s="1">
        <v>45295</v>
      </c>
      <c r="E534" t="s">
        <v>26</v>
      </c>
      <c r="F534">
        <v>47190.3</v>
      </c>
      <c r="G534">
        <v>1921</v>
      </c>
      <c r="H534">
        <v>266</v>
      </c>
      <c r="I534">
        <v>59888.07</v>
      </c>
      <c r="J534">
        <v>245</v>
      </c>
      <c r="K534">
        <v>134692</v>
      </c>
      <c r="L534">
        <f t="shared" si="16"/>
        <v>26.907584821456943</v>
      </c>
      <c r="M534">
        <f t="shared" si="17"/>
        <v>148</v>
      </c>
    </row>
    <row r="535" spans="1:13" x14ac:dyDescent="0.4">
      <c r="A535" t="s">
        <v>50</v>
      </c>
      <c r="B535" t="s">
        <v>30</v>
      </c>
      <c r="C535" s="1">
        <v>45499</v>
      </c>
      <c r="D535" s="1">
        <v>45302</v>
      </c>
      <c r="E535" t="s">
        <v>26</v>
      </c>
      <c r="F535">
        <v>5053.97</v>
      </c>
      <c r="G535">
        <v>1821</v>
      </c>
      <c r="H535">
        <v>396</v>
      </c>
      <c r="I535">
        <v>18663.400000000001</v>
      </c>
      <c r="J535">
        <v>973</v>
      </c>
      <c r="K535">
        <v>495166</v>
      </c>
      <c r="L535">
        <f t="shared" si="16"/>
        <v>269.28197041137958</v>
      </c>
      <c r="M535">
        <f t="shared" si="17"/>
        <v>197</v>
      </c>
    </row>
    <row r="536" spans="1:13" x14ac:dyDescent="0.4">
      <c r="A536" t="s">
        <v>108</v>
      </c>
      <c r="B536" t="s">
        <v>33</v>
      </c>
      <c r="C536" s="1">
        <v>45340</v>
      </c>
      <c r="D536" s="1">
        <v>45295</v>
      </c>
      <c r="E536" t="s">
        <v>13</v>
      </c>
      <c r="F536">
        <v>13442.95</v>
      </c>
      <c r="G536">
        <v>921</v>
      </c>
      <c r="H536">
        <v>129</v>
      </c>
      <c r="I536">
        <v>16041.98</v>
      </c>
      <c r="J536">
        <v>398</v>
      </c>
      <c r="K536">
        <v>235241</v>
      </c>
      <c r="L536">
        <f t="shared" si="16"/>
        <v>19.333777184323374</v>
      </c>
      <c r="M536">
        <f t="shared" si="17"/>
        <v>45</v>
      </c>
    </row>
    <row r="537" spans="1:13" x14ac:dyDescent="0.4">
      <c r="A537" t="s">
        <v>96</v>
      </c>
      <c r="B537" t="s">
        <v>33</v>
      </c>
      <c r="C537" s="1">
        <v>45445</v>
      </c>
      <c r="D537" s="1">
        <v>45296</v>
      </c>
      <c r="E537" t="s">
        <v>34</v>
      </c>
      <c r="F537">
        <v>39219.43</v>
      </c>
      <c r="G537">
        <v>1512</v>
      </c>
      <c r="H537">
        <v>311</v>
      </c>
      <c r="I537">
        <v>28473.74</v>
      </c>
      <c r="J537">
        <v>3338</v>
      </c>
      <c r="K537">
        <v>254105</v>
      </c>
      <c r="L537">
        <f t="shared" si="16"/>
        <v>-27.398893864597213</v>
      </c>
      <c r="M537">
        <f t="shared" si="17"/>
        <v>149</v>
      </c>
    </row>
    <row r="538" spans="1:13" x14ac:dyDescent="0.4">
      <c r="A538" t="s">
        <v>121</v>
      </c>
      <c r="B538" t="s">
        <v>40</v>
      </c>
      <c r="C538" s="1">
        <v>45638</v>
      </c>
      <c r="D538" s="1">
        <v>45295</v>
      </c>
      <c r="E538" t="s">
        <v>26</v>
      </c>
      <c r="F538">
        <v>5838.12</v>
      </c>
      <c r="G538">
        <v>1475</v>
      </c>
      <c r="H538">
        <v>271</v>
      </c>
      <c r="I538">
        <v>118249.87</v>
      </c>
      <c r="J538">
        <v>8937</v>
      </c>
      <c r="K538">
        <v>167129</v>
      </c>
      <c r="L538">
        <f t="shared" si="16"/>
        <v>1925.4785787205471</v>
      </c>
      <c r="M538">
        <f t="shared" si="17"/>
        <v>343</v>
      </c>
    </row>
    <row r="539" spans="1:13" x14ac:dyDescent="0.4">
      <c r="A539" t="s">
        <v>68</v>
      </c>
      <c r="B539" t="s">
        <v>54</v>
      </c>
      <c r="C539" s="1">
        <v>45584</v>
      </c>
      <c r="D539" s="1">
        <v>45296</v>
      </c>
      <c r="E539" t="s">
        <v>34</v>
      </c>
      <c r="F539">
        <v>4707.3900000000003</v>
      </c>
      <c r="G539">
        <v>1619</v>
      </c>
      <c r="H539">
        <v>451</v>
      </c>
      <c r="I539">
        <v>186108.87</v>
      </c>
      <c r="J539">
        <v>6482</v>
      </c>
      <c r="K539">
        <v>434354</v>
      </c>
      <c r="L539">
        <f t="shared" si="16"/>
        <v>3853.5468699215485</v>
      </c>
      <c r="M539">
        <f t="shared" si="17"/>
        <v>288</v>
      </c>
    </row>
    <row r="540" spans="1:13" x14ac:dyDescent="0.4">
      <c r="A540" t="s">
        <v>123</v>
      </c>
      <c r="B540" t="s">
        <v>36</v>
      </c>
      <c r="C540" s="1">
        <v>45359</v>
      </c>
      <c r="D540" s="1">
        <v>45299</v>
      </c>
      <c r="E540" t="s">
        <v>13</v>
      </c>
      <c r="F540">
        <v>18715.53</v>
      </c>
      <c r="G540">
        <v>394</v>
      </c>
      <c r="H540">
        <v>445</v>
      </c>
      <c r="I540">
        <v>101864.97</v>
      </c>
      <c r="J540">
        <v>2611</v>
      </c>
      <c r="K540">
        <v>211462</v>
      </c>
      <c r="L540">
        <f t="shared" si="16"/>
        <v>444.28044517040126</v>
      </c>
      <c r="M540">
        <f t="shared" si="17"/>
        <v>60</v>
      </c>
    </row>
    <row r="541" spans="1:13" x14ac:dyDescent="0.4">
      <c r="A541" t="s">
        <v>37</v>
      </c>
      <c r="B541" t="s">
        <v>28</v>
      </c>
      <c r="C541" s="1">
        <v>45341</v>
      </c>
      <c r="D541" s="1">
        <v>45302</v>
      </c>
      <c r="E541" t="s">
        <v>16</v>
      </c>
      <c r="F541">
        <v>5516.23</v>
      </c>
      <c r="G541">
        <v>1966</v>
      </c>
      <c r="H541">
        <v>387</v>
      </c>
      <c r="I541">
        <v>169374.37</v>
      </c>
      <c r="J541">
        <v>6696</v>
      </c>
      <c r="K541">
        <v>54024</v>
      </c>
      <c r="L541">
        <f t="shared" si="16"/>
        <v>2970.4733123890774</v>
      </c>
      <c r="M541">
        <f t="shared" si="17"/>
        <v>39</v>
      </c>
    </row>
    <row r="542" spans="1:13" x14ac:dyDescent="0.4">
      <c r="A542" t="s">
        <v>59</v>
      </c>
      <c r="B542" t="s">
        <v>28</v>
      </c>
      <c r="C542" s="1">
        <v>45443</v>
      </c>
      <c r="D542" s="1">
        <v>45302</v>
      </c>
      <c r="E542" t="s">
        <v>26</v>
      </c>
      <c r="F542">
        <v>29668.84</v>
      </c>
      <c r="G542">
        <v>94</v>
      </c>
      <c r="H542">
        <v>144</v>
      </c>
      <c r="I542">
        <v>91947.89</v>
      </c>
      <c r="J542">
        <v>883</v>
      </c>
      <c r="K542">
        <v>403893</v>
      </c>
      <c r="L542">
        <f t="shared" si="16"/>
        <v>209.91400405273683</v>
      </c>
      <c r="M542">
        <f t="shared" si="17"/>
        <v>141</v>
      </c>
    </row>
    <row r="543" spans="1:13" x14ac:dyDescent="0.4">
      <c r="A543" t="s">
        <v>42</v>
      </c>
      <c r="B543" t="s">
        <v>43</v>
      </c>
      <c r="C543" s="1">
        <v>45310</v>
      </c>
      <c r="D543" s="1">
        <v>45300</v>
      </c>
      <c r="E543" t="s">
        <v>34</v>
      </c>
      <c r="F543">
        <v>12087.49</v>
      </c>
      <c r="G543">
        <v>1719</v>
      </c>
      <c r="H543">
        <v>333</v>
      </c>
      <c r="I543">
        <v>143173.79</v>
      </c>
      <c r="J543">
        <v>5092</v>
      </c>
      <c r="K543">
        <v>176183</v>
      </c>
      <c r="L543">
        <f t="shared" si="16"/>
        <v>1084.4790771285025</v>
      </c>
      <c r="M543">
        <f t="shared" si="17"/>
        <v>10</v>
      </c>
    </row>
    <row r="544" spans="1:13" x14ac:dyDescent="0.4">
      <c r="A544" t="s">
        <v>58</v>
      </c>
      <c r="B544" t="s">
        <v>43</v>
      </c>
      <c r="C544" s="1">
        <v>45391</v>
      </c>
      <c r="D544" s="1">
        <v>45296</v>
      </c>
      <c r="E544" t="s">
        <v>34</v>
      </c>
      <c r="F544">
        <v>44889.2</v>
      </c>
      <c r="G544">
        <v>70</v>
      </c>
      <c r="H544">
        <v>6</v>
      </c>
      <c r="I544">
        <v>147715.18</v>
      </c>
      <c r="J544">
        <v>470</v>
      </c>
      <c r="K544">
        <v>156146</v>
      </c>
      <c r="L544">
        <f t="shared" si="16"/>
        <v>229.06618964026984</v>
      </c>
      <c r="M544">
        <f t="shared" si="17"/>
        <v>95</v>
      </c>
    </row>
    <row r="545" spans="1:13" x14ac:dyDescent="0.4">
      <c r="A545" t="s">
        <v>112</v>
      </c>
      <c r="B545" t="s">
        <v>12</v>
      </c>
      <c r="C545" s="1">
        <v>45351</v>
      </c>
      <c r="D545" s="1">
        <v>45297</v>
      </c>
      <c r="E545" t="s">
        <v>13</v>
      </c>
      <c r="F545">
        <v>39391.5</v>
      </c>
      <c r="G545">
        <v>1707</v>
      </c>
      <c r="H545">
        <v>12</v>
      </c>
      <c r="I545">
        <v>38922.92</v>
      </c>
      <c r="J545">
        <v>586</v>
      </c>
      <c r="K545">
        <v>18824</v>
      </c>
      <c r="L545">
        <f t="shared" si="16"/>
        <v>-1.1895459680387945</v>
      </c>
      <c r="M545">
        <f t="shared" si="17"/>
        <v>54</v>
      </c>
    </row>
    <row r="546" spans="1:13" x14ac:dyDescent="0.4">
      <c r="A546" t="s">
        <v>55</v>
      </c>
      <c r="B546" t="s">
        <v>51</v>
      </c>
      <c r="C546" s="1">
        <v>45458</v>
      </c>
      <c r="D546" s="1">
        <v>45299</v>
      </c>
      <c r="E546" t="s">
        <v>26</v>
      </c>
      <c r="F546">
        <v>35285.56</v>
      </c>
      <c r="G546">
        <v>1143</v>
      </c>
      <c r="H546">
        <v>254</v>
      </c>
      <c r="I546">
        <v>75437.13</v>
      </c>
      <c r="J546">
        <v>7478</v>
      </c>
      <c r="K546">
        <v>394981</v>
      </c>
      <c r="L546">
        <f t="shared" si="16"/>
        <v>113.79037203887373</v>
      </c>
      <c r="M546">
        <f t="shared" si="17"/>
        <v>159</v>
      </c>
    </row>
    <row r="547" spans="1:13" x14ac:dyDescent="0.4">
      <c r="A547" t="s">
        <v>72</v>
      </c>
      <c r="B547" t="s">
        <v>31</v>
      </c>
      <c r="C547" s="1">
        <v>45493</v>
      </c>
      <c r="D547" s="1">
        <v>45298</v>
      </c>
      <c r="E547" t="s">
        <v>16</v>
      </c>
      <c r="F547">
        <v>31230.26</v>
      </c>
      <c r="G547">
        <v>1937</v>
      </c>
      <c r="H547">
        <v>143</v>
      </c>
      <c r="I547">
        <v>129273.92</v>
      </c>
      <c r="J547">
        <v>3296</v>
      </c>
      <c r="K547">
        <v>439655</v>
      </c>
      <c r="L547">
        <f t="shared" si="16"/>
        <v>313.93802036870653</v>
      </c>
      <c r="M547">
        <f t="shared" si="17"/>
        <v>195</v>
      </c>
    </row>
    <row r="548" spans="1:13" x14ac:dyDescent="0.4">
      <c r="A548" t="s">
        <v>37</v>
      </c>
      <c r="B548" t="s">
        <v>40</v>
      </c>
      <c r="C548" s="1">
        <v>45636</v>
      </c>
      <c r="D548" s="1">
        <v>45295</v>
      </c>
      <c r="E548" t="s">
        <v>34</v>
      </c>
      <c r="F548">
        <v>43309.82</v>
      </c>
      <c r="G548">
        <v>922</v>
      </c>
      <c r="H548">
        <v>128</v>
      </c>
      <c r="I548">
        <v>18785.84</v>
      </c>
      <c r="J548">
        <v>9652</v>
      </c>
      <c r="K548">
        <v>360295</v>
      </c>
      <c r="L548">
        <f t="shared" si="16"/>
        <v>-56.624525338595269</v>
      </c>
      <c r="M548">
        <f t="shared" si="17"/>
        <v>341</v>
      </c>
    </row>
    <row r="549" spans="1:13" x14ac:dyDescent="0.4">
      <c r="A549" t="s">
        <v>100</v>
      </c>
      <c r="B549" t="s">
        <v>33</v>
      </c>
      <c r="C549" s="1">
        <v>45437</v>
      </c>
      <c r="D549" s="1">
        <v>45299</v>
      </c>
      <c r="E549" t="s">
        <v>26</v>
      </c>
      <c r="F549">
        <v>11930.04</v>
      </c>
      <c r="G549">
        <v>97</v>
      </c>
      <c r="H549">
        <v>313</v>
      </c>
      <c r="I549">
        <v>75500.34</v>
      </c>
      <c r="J549">
        <v>4387</v>
      </c>
      <c r="K549">
        <v>49926</v>
      </c>
      <c r="L549">
        <f t="shared" si="16"/>
        <v>532.85906836858874</v>
      </c>
      <c r="M549">
        <f t="shared" si="17"/>
        <v>138</v>
      </c>
    </row>
    <row r="550" spans="1:13" x14ac:dyDescent="0.4">
      <c r="A550" t="s">
        <v>80</v>
      </c>
      <c r="B550" t="s">
        <v>12</v>
      </c>
      <c r="C550" s="1">
        <v>45455</v>
      </c>
      <c r="D550" s="1">
        <v>45296</v>
      </c>
      <c r="E550" t="s">
        <v>16</v>
      </c>
      <c r="F550">
        <v>43782.33</v>
      </c>
      <c r="G550">
        <v>1564</v>
      </c>
      <c r="H550">
        <v>232</v>
      </c>
      <c r="I550">
        <v>109285.9</v>
      </c>
      <c r="J550">
        <v>2361</v>
      </c>
      <c r="K550">
        <v>168932</v>
      </c>
      <c r="L550">
        <f t="shared" si="16"/>
        <v>149.61188680456246</v>
      </c>
      <c r="M550">
        <f t="shared" si="17"/>
        <v>159</v>
      </c>
    </row>
    <row r="551" spans="1:13" x14ac:dyDescent="0.4">
      <c r="A551" t="s">
        <v>76</v>
      </c>
      <c r="B551" t="s">
        <v>31</v>
      </c>
      <c r="C551" s="1">
        <v>45533</v>
      </c>
      <c r="D551" s="1">
        <v>45301</v>
      </c>
      <c r="E551" t="s">
        <v>34</v>
      </c>
      <c r="F551">
        <v>39685.120000000003</v>
      </c>
      <c r="G551">
        <v>600</v>
      </c>
      <c r="H551">
        <v>14</v>
      </c>
      <c r="I551">
        <v>199263.78</v>
      </c>
      <c r="J551">
        <v>9248</v>
      </c>
      <c r="K551">
        <v>276119</v>
      </c>
      <c r="L551">
        <f t="shared" si="16"/>
        <v>402.11207626435294</v>
      </c>
      <c r="M551">
        <f t="shared" si="17"/>
        <v>232</v>
      </c>
    </row>
    <row r="552" spans="1:13" x14ac:dyDescent="0.4">
      <c r="A552" t="s">
        <v>48</v>
      </c>
      <c r="B552" t="s">
        <v>28</v>
      </c>
      <c r="C552" s="1">
        <v>45360</v>
      </c>
      <c r="D552" s="1">
        <v>45295</v>
      </c>
      <c r="E552" t="s">
        <v>34</v>
      </c>
      <c r="F552">
        <v>37659.879999999997</v>
      </c>
      <c r="G552">
        <v>336</v>
      </c>
      <c r="H552">
        <v>473</v>
      </c>
      <c r="I552">
        <v>97534.04</v>
      </c>
      <c r="J552">
        <v>8672</v>
      </c>
      <c r="K552">
        <v>338021</v>
      </c>
      <c r="L552">
        <f t="shared" si="16"/>
        <v>158.98659262854795</v>
      </c>
      <c r="M552">
        <f t="shared" si="17"/>
        <v>65</v>
      </c>
    </row>
    <row r="553" spans="1:13" x14ac:dyDescent="0.4">
      <c r="A553" t="s">
        <v>48</v>
      </c>
      <c r="B553" t="s">
        <v>36</v>
      </c>
      <c r="C553" s="1">
        <v>45466</v>
      </c>
      <c r="D553" s="1">
        <v>45294</v>
      </c>
      <c r="E553" t="s">
        <v>16</v>
      </c>
      <c r="F553">
        <v>28501.53</v>
      </c>
      <c r="G553">
        <v>1051</v>
      </c>
      <c r="H553">
        <v>216</v>
      </c>
      <c r="I553">
        <v>164131.07</v>
      </c>
      <c r="J553">
        <v>338</v>
      </c>
      <c r="K553">
        <v>225749</v>
      </c>
      <c r="L553">
        <f t="shared" si="16"/>
        <v>475.86757623187248</v>
      </c>
      <c r="M553">
        <f t="shared" si="17"/>
        <v>172</v>
      </c>
    </row>
    <row r="554" spans="1:13" x14ac:dyDescent="0.4">
      <c r="A554" t="s">
        <v>20</v>
      </c>
      <c r="B554" t="s">
        <v>30</v>
      </c>
      <c r="C554" s="1">
        <v>45340</v>
      </c>
      <c r="D554" s="1">
        <v>45302</v>
      </c>
      <c r="E554" t="s">
        <v>16</v>
      </c>
      <c r="F554">
        <v>13065.96</v>
      </c>
      <c r="G554">
        <v>1083</v>
      </c>
      <c r="H554">
        <v>116</v>
      </c>
      <c r="I554">
        <v>89253.119999999995</v>
      </c>
      <c r="J554">
        <v>6943</v>
      </c>
      <c r="K554">
        <v>341014</v>
      </c>
      <c r="L554">
        <f t="shared" si="16"/>
        <v>583.09653481259704</v>
      </c>
      <c r="M554">
        <f t="shared" si="17"/>
        <v>38</v>
      </c>
    </row>
    <row r="555" spans="1:13" x14ac:dyDescent="0.4">
      <c r="A555" t="s">
        <v>62</v>
      </c>
      <c r="B555" t="s">
        <v>33</v>
      </c>
      <c r="C555" s="1">
        <v>45399</v>
      </c>
      <c r="D555" s="1">
        <v>45296</v>
      </c>
      <c r="E555" t="s">
        <v>13</v>
      </c>
      <c r="F555">
        <v>21753.85</v>
      </c>
      <c r="G555">
        <v>591</v>
      </c>
      <c r="H555">
        <v>12</v>
      </c>
      <c r="I555">
        <v>160296.19</v>
      </c>
      <c r="J555">
        <v>1205</v>
      </c>
      <c r="K555">
        <v>246453</v>
      </c>
      <c r="L555">
        <f t="shared" si="16"/>
        <v>636.86354369456444</v>
      </c>
      <c r="M555">
        <f t="shared" si="17"/>
        <v>103</v>
      </c>
    </row>
    <row r="556" spans="1:13" x14ac:dyDescent="0.4">
      <c r="A556" t="s">
        <v>110</v>
      </c>
      <c r="B556" t="s">
        <v>12</v>
      </c>
      <c r="C556" s="1">
        <v>45517</v>
      </c>
      <c r="D556" s="1">
        <v>45294</v>
      </c>
      <c r="E556" t="s">
        <v>26</v>
      </c>
      <c r="F556">
        <v>39884.959999999999</v>
      </c>
      <c r="G556">
        <v>805</v>
      </c>
      <c r="H556">
        <v>296</v>
      </c>
      <c r="I556">
        <v>121105.89</v>
      </c>
      <c r="J556">
        <v>1486</v>
      </c>
      <c r="K556">
        <v>82371</v>
      </c>
      <c r="L556">
        <f t="shared" si="16"/>
        <v>203.63798785306543</v>
      </c>
      <c r="M556">
        <f t="shared" si="17"/>
        <v>223</v>
      </c>
    </row>
    <row r="557" spans="1:13" x14ac:dyDescent="0.4">
      <c r="A557" t="s">
        <v>100</v>
      </c>
      <c r="B557" t="s">
        <v>21</v>
      </c>
      <c r="C557" s="1">
        <v>45452</v>
      </c>
      <c r="D557" s="1">
        <v>45300</v>
      </c>
      <c r="E557" t="s">
        <v>26</v>
      </c>
      <c r="F557">
        <v>2557.15</v>
      </c>
      <c r="G557">
        <v>323</v>
      </c>
      <c r="H557">
        <v>481</v>
      </c>
      <c r="I557">
        <v>177886.11</v>
      </c>
      <c r="J557">
        <v>9819</v>
      </c>
      <c r="K557">
        <v>158620</v>
      </c>
      <c r="L557">
        <f t="shared" si="16"/>
        <v>6856.4206245233945</v>
      </c>
      <c r="M557">
        <f t="shared" si="17"/>
        <v>152</v>
      </c>
    </row>
    <row r="558" spans="1:13" x14ac:dyDescent="0.4">
      <c r="A558" t="s">
        <v>125</v>
      </c>
      <c r="B558" t="s">
        <v>31</v>
      </c>
      <c r="C558" s="1">
        <v>45410</v>
      </c>
      <c r="D558" s="1">
        <v>45298</v>
      </c>
      <c r="E558" t="s">
        <v>13</v>
      </c>
      <c r="F558">
        <v>39320.49</v>
      </c>
      <c r="G558">
        <v>1005</v>
      </c>
      <c r="H558">
        <v>366</v>
      </c>
      <c r="I558">
        <v>85133.8</v>
      </c>
      <c r="J558">
        <v>1767</v>
      </c>
      <c r="K558">
        <v>364114</v>
      </c>
      <c r="L558">
        <f t="shared" si="16"/>
        <v>116.51256126258855</v>
      </c>
      <c r="M558">
        <f t="shared" si="17"/>
        <v>112</v>
      </c>
    </row>
    <row r="559" spans="1:13" x14ac:dyDescent="0.4">
      <c r="A559" t="s">
        <v>95</v>
      </c>
      <c r="B559" t="s">
        <v>30</v>
      </c>
      <c r="C559" s="1">
        <v>45440</v>
      </c>
      <c r="D559" s="1">
        <v>45298</v>
      </c>
      <c r="E559" t="s">
        <v>34</v>
      </c>
      <c r="F559">
        <v>12763.47</v>
      </c>
      <c r="G559">
        <v>649</v>
      </c>
      <c r="H559">
        <v>464</v>
      </c>
      <c r="I559">
        <v>122839.36</v>
      </c>
      <c r="J559">
        <v>2791</v>
      </c>
      <c r="K559">
        <v>484791</v>
      </c>
      <c r="L559">
        <f t="shared" si="16"/>
        <v>862.42918265957462</v>
      </c>
      <c r="M559">
        <f t="shared" si="17"/>
        <v>142</v>
      </c>
    </row>
    <row r="560" spans="1:13" x14ac:dyDescent="0.4">
      <c r="A560" t="s">
        <v>48</v>
      </c>
      <c r="B560" t="s">
        <v>33</v>
      </c>
      <c r="C560" s="1">
        <v>45441</v>
      </c>
      <c r="D560" s="1">
        <v>45294</v>
      </c>
      <c r="E560" t="s">
        <v>16</v>
      </c>
      <c r="F560">
        <v>8071.15</v>
      </c>
      <c r="G560">
        <v>1829</v>
      </c>
      <c r="H560">
        <v>257</v>
      </c>
      <c r="I560">
        <v>127853.64</v>
      </c>
      <c r="J560">
        <v>7856</v>
      </c>
      <c r="K560">
        <v>99066</v>
      </c>
      <c r="L560">
        <f t="shared" si="16"/>
        <v>1484.082070089145</v>
      </c>
      <c r="M560">
        <f t="shared" si="17"/>
        <v>147</v>
      </c>
    </row>
    <row r="561" spans="1:13" x14ac:dyDescent="0.4">
      <c r="A561" t="s">
        <v>88</v>
      </c>
      <c r="B561" t="s">
        <v>28</v>
      </c>
      <c r="C561" s="1">
        <v>45584</v>
      </c>
      <c r="D561" s="1">
        <v>45302</v>
      </c>
      <c r="E561" t="s">
        <v>16</v>
      </c>
      <c r="F561">
        <v>6669.36</v>
      </c>
      <c r="G561">
        <v>430</v>
      </c>
      <c r="H561">
        <v>18</v>
      </c>
      <c r="I561">
        <v>86389.67</v>
      </c>
      <c r="J561">
        <v>2096</v>
      </c>
      <c r="K561">
        <v>170808</v>
      </c>
      <c r="L561">
        <f t="shared" si="16"/>
        <v>1195.3217400170331</v>
      </c>
      <c r="M561">
        <f t="shared" si="17"/>
        <v>282</v>
      </c>
    </row>
    <row r="562" spans="1:13" x14ac:dyDescent="0.4">
      <c r="A562" t="s">
        <v>85</v>
      </c>
      <c r="B562" t="s">
        <v>23</v>
      </c>
      <c r="C562" s="1">
        <v>45434</v>
      </c>
      <c r="D562" s="1">
        <v>45300</v>
      </c>
      <c r="E562" t="s">
        <v>16</v>
      </c>
      <c r="F562">
        <v>2335.25</v>
      </c>
      <c r="G562">
        <v>1402</v>
      </c>
      <c r="H562">
        <v>244</v>
      </c>
      <c r="I562">
        <v>33140.85</v>
      </c>
      <c r="J562">
        <v>1525</v>
      </c>
      <c r="K562">
        <v>62562</v>
      </c>
      <c r="L562">
        <f t="shared" si="16"/>
        <v>1319.1564072369126</v>
      </c>
      <c r="M562">
        <f t="shared" si="17"/>
        <v>134</v>
      </c>
    </row>
    <row r="563" spans="1:13" x14ac:dyDescent="0.4">
      <c r="A563" t="s">
        <v>110</v>
      </c>
      <c r="B563" t="s">
        <v>51</v>
      </c>
      <c r="C563" s="1">
        <v>45451</v>
      </c>
      <c r="D563" s="1">
        <v>45301</v>
      </c>
      <c r="E563" t="s">
        <v>34</v>
      </c>
      <c r="F563">
        <v>26655.74</v>
      </c>
      <c r="G563">
        <v>528</v>
      </c>
      <c r="H563">
        <v>442</v>
      </c>
      <c r="I563">
        <v>23244.080000000002</v>
      </c>
      <c r="J563">
        <v>8123</v>
      </c>
      <c r="K563">
        <v>303553</v>
      </c>
      <c r="L563">
        <f t="shared" si="16"/>
        <v>-12.798969377702512</v>
      </c>
      <c r="M563">
        <f t="shared" si="17"/>
        <v>150</v>
      </c>
    </row>
    <row r="564" spans="1:13" x14ac:dyDescent="0.4">
      <c r="A564" t="s">
        <v>74</v>
      </c>
      <c r="B564" t="s">
        <v>31</v>
      </c>
      <c r="C564" s="1">
        <v>45302</v>
      </c>
      <c r="D564" s="1">
        <v>45302</v>
      </c>
      <c r="E564" t="s">
        <v>16</v>
      </c>
      <c r="F564">
        <v>11694.73</v>
      </c>
      <c r="G564">
        <v>64</v>
      </c>
      <c r="H564">
        <v>246</v>
      </c>
      <c r="I564">
        <v>8250.9500000000007</v>
      </c>
      <c r="J564">
        <v>6949</v>
      </c>
      <c r="K564">
        <v>478317</v>
      </c>
      <c r="L564">
        <f t="shared" si="16"/>
        <v>-29.447280954754824</v>
      </c>
      <c r="M564">
        <f t="shared" si="17"/>
        <v>0</v>
      </c>
    </row>
    <row r="565" spans="1:13" x14ac:dyDescent="0.4">
      <c r="A565" t="s">
        <v>93</v>
      </c>
      <c r="B565" t="s">
        <v>28</v>
      </c>
      <c r="C565" s="1">
        <v>45429</v>
      </c>
      <c r="D565" s="1">
        <v>45299</v>
      </c>
      <c r="E565" t="s">
        <v>16</v>
      </c>
      <c r="F565">
        <v>49482.16</v>
      </c>
      <c r="G565">
        <v>565</v>
      </c>
      <c r="H565">
        <v>473</v>
      </c>
      <c r="I565">
        <v>175339.18</v>
      </c>
      <c r="J565">
        <v>3347</v>
      </c>
      <c r="K565">
        <v>272978</v>
      </c>
      <c r="L565">
        <f t="shared" si="16"/>
        <v>254.34827420629978</v>
      </c>
      <c r="M565">
        <f t="shared" si="17"/>
        <v>130</v>
      </c>
    </row>
    <row r="566" spans="1:13" x14ac:dyDescent="0.4">
      <c r="A566" t="s">
        <v>111</v>
      </c>
      <c r="B566" t="s">
        <v>33</v>
      </c>
      <c r="C566" s="1">
        <v>45369</v>
      </c>
      <c r="D566" s="1">
        <v>45298</v>
      </c>
      <c r="E566" t="s">
        <v>13</v>
      </c>
      <c r="F566">
        <v>29147.4</v>
      </c>
      <c r="G566">
        <v>240</v>
      </c>
      <c r="H566">
        <v>346</v>
      </c>
      <c r="I566">
        <v>51112.61</v>
      </c>
      <c r="J566">
        <v>2692</v>
      </c>
      <c r="K566">
        <v>103192</v>
      </c>
      <c r="L566">
        <f t="shared" si="16"/>
        <v>75.359071478073517</v>
      </c>
      <c r="M566">
        <f t="shared" si="17"/>
        <v>71</v>
      </c>
    </row>
    <row r="567" spans="1:13" x14ac:dyDescent="0.4">
      <c r="A567" t="s">
        <v>100</v>
      </c>
      <c r="B567" t="s">
        <v>31</v>
      </c>
      <c r="C567" s="1">
        <v>45368</v>
      </c>
      <c r="D567" s="1">
        <v>45299</v>
      </c>
      <c r="E567" t="s">
        <v>34</v>
      </c>
      <c r="F567">
        <v>7756.38</v>
      </c>
      <c r="G567">
        <v>1241</v>
      </c>
      <c r="H567">
        <v>153</v>
      </c>
      <c r="I567">
        <v>46243.82</v>
      </c>
      <c r="J567">
        <v>1590</v>
      </c>
      <c r="K567">
        <v>1840</v>
      </c>
      <c r="L567">
        <f t="shared" si="16"/>
        <v>496.20364138941102</v>
      </c>
      <c r="M567">
        <f t="shared" si="17"/>
        <v>69</v>
      </c>
    </row>
    <row r="568" spans="1:13" x14ac:dyDescent="0.4">
      <c r="A568" t="s">
        <v>86</v>
      </c>
      <c r="B568" t="s">
        <v>40</v>
      </c>
      <c r="C568" s="1">
        <v>45545</v>
      </c>
      <c r="D568" s="1">
        <v>45295</v>
      </c>
      <c r="E568" t="s">
        <v>26</v>
      </c>
      <c r="F568">
        <v>34749.360000000001</v>
      </c>
      <c r="G568">
        <v>1594</v>
      </c>
      <c r="H568">
        <v>240</v>
      </c>
      <c r="I568">
        <v>148526.9</v>
      </c>
      <c r="J568">
        <v>1324</v>
      </c>
      <c r="K568">
        <v>211481</v>
      </c>
      <c r="L568">
        <f t="shared" si="16"/>
        <v>327.42341153909018</v>
      </c>
      <c r="M568">
        <f t="shared" si="17"/>
        <v>250</v>
      </c>
    </row>
    <row r="569" spans="1:13" x14ac:dyDescent="0.4">
      <c r="A569" t="s">
        <v>128</v>
      </c>
      <c r="B569" t="s">
        <v>30</v>
      </c>
      <c r="C569" s="1">
        <v>45549</v>
      </c>
      <c r="D569" s="1">
        <v>45297</v>
      </c>
      <c r="E569" t="s">
        <v>13</v>
      </c>
      <c r="F569">
        <v>44989.43</v>
      </c>
      <c r="G569">
        <v>670</v>
      </c>
      <c r="H569">
        <v>310</v>
      </c>
      <c r="I569">
        <v>67403.14</v>
      </c>
      <c r="J569">
        <v>2687</v>
      </c>
      <c r="K569">
        <v>32568</v>
      </c>
      <c r="L569">
        <f t="shared" si="16"/>
        <v>49.819946596344963</v>
      </c>
      <c r="M569">
        <f t="shared" si="17"/>
        <v>252</v>
      </c>
    </row>
    <row r="570" spans="1:13" x14ac:dyDescent="0.4">
      <c r="A570" t="s">
        <v>42</v>
      </c>
      <c r="B570" t="s">
        <v>15</v>
      </c>
      <c r="C570" s="1">
        <v>45611</v>
      </c>
      <c r="D570" s="1">
        <v>45296</v>
      </c>
      <c r="E570" t="s">
        <v>13</v>
      </c>
      <c r="F570">
        <v>37513.800000000003</v>
      </c>
      <c r="G570">
        <v>1210</v>
      </c>
      <c r="H570">
        <v>482</v>
      </c>
      <c r="I570">
        <v>103678.72</v>
      </c>
      <c r="J570">
        <v>7814</v>
      </c>
      <c r="K570">
        <v>273990</v>
      </c>
      <c r="L570">
        <f t="shared" si="16"/>
        <v>176.37488071056515</v>
      </c>
      <c r="M570">
        <f t="shared" si="17"/>
        <v>315</v>
      </c>
    </row>
    <row r="571" spans="1:13" x14ac:dyDescent="0.4">
      <c r="A571" t="s">
        <v>76</v>
      </c>
      <c r="B571" t="s">
        <v>33</v>
      </c>
      <c r="C571" s="1">
        <v>45582</v>
      </c>
      <c r="D571" s="1">
        <v>45300</v>
      </c>
      <c r="E571" t="s">
        <v>26</v>
      </c>
      <c r="F571">
        <v>4745.55</v>
      </c>
      <c r="G571">
        <v>203</v>
      </c>
      <c r="H571">
        <v>171</v>
      </c>
      <c r="I571">
        <v>36689.660000000003</v>
      </c>
      <c r="J571">
        <v>3164</v>
      </c>
      <c r="K571">
        <v>137971</v>
      </c>
      <c r="L571">
        <f t="shared" si="16"/>
        <v>673.13820315874887</v>
      </c>
      <c r="M571">
        <f t="shared" si="17"/>
        <v>282</v>
      </c>
    </row>
    <row r="572" spans="1:13" x14ac:dyDescent="0.4">
      <c r="A572" t="s">
        <v>27</v>
      </c>
      <c r="B572" t="s">
        <v>40</v>
      </c>
      <c r="C572" s="1">
        <v>45554</v>
      </c>
      <c r="D572" s="1">
        <v>45302</v>
      </c>
      <c r="E572" t="s">
        <v>13</v>
      </c>
      <c r="F572">
        <v>44898.32</v>
      </c>
      <c r="G572">
        <v>1461</v>
      </c>
      <c r="H572">
        <v>24</v>
      </c>
      <c r="I572">
        <v>192150.42</v>
      </c>
      <c r="J572">
        <v>7904</v>
      </c>
      <c r="K572">
        <v>87038</v>
      </c>
      <c r="L572">
        <f t="shared" si="16"/>
        <v>327.96795069392351</v>
      </c>
      <c r="M572">
        <f t="shared" si="17"/>
        <v>252</v>
      </c>
    </row>
    <row r="573" spans="1:13" x14ac:dyDescent="0.4">
      <c r="A573" t="s">
        <v>78</v>
      </c>
      <c r="B573" t="s">
        <v>18</v>
      </c>
      <c r="C573" s="1">
        <v>45376</v>
      </c>
      <c r="D573" s="1">
        <v>45298</v>
      </c>
      <c r="E573" t="s">
        <v>34</v>
      </c>
      <c r="F573">
        <v>39902.54</v>
      </c>
      <c r="G573">
        <v>1282</v>
      </c>
      <c r="H573">
        <v>220</v>
      </c>
      <c r="I573">
        <v>171058.37</v>
      </c>
      <c r="J573">
        <v>932</v>
      </c>
      <c r="K573">
        <v>198173</v>
      </c>
      <c r="L573">
        <f t="shared" si="16"/>
        <v>328.69042923082088</v>
      </c>
      <c r="M573">
        <f t="shared" si="17"/>
        <v>78</v>
      </c>
    </row>
    <row r="574" spans="1:13" x14ac:dyDescent="0.4">
      <c r="A574" t="s">
        <v>71</v>
      </c>
      <c r="B574" t="s">
        <v>12</v>
      </c>
      <c r="C574" s="1">
        <v>45437</v>
      </c>
      <c r="D574" s="1">
        <v>45299</v>
      </c>
      <c r="E574" t="s">
        <v>16</v>
      </c>
      <c r="F574">
        <v>8756.89</v>
      </c>
      <c r="G574">
        <v>321</v>
      </c>
      <c r="H574">
        <v>347</v>
      </c>
      <c r="I574">
        <v>173438.98</v>
      </c>
      <c r="J574">
        <v>2540</v>
      </c>
      <c r="K574">
        <v>432989</v>
      </c>
      <c r="L574">
        <f t="shared" si="16"/>
        <v>1880.6001902501919</v>
      </c>
      <c r="M574">
        <f t="shared" si="17"/>
        <v>138</v>
      </c>
    </row>
    <row r="575" spans="1:13" x14ac:dyDescent="0.4">
      <c r="A575" t="s">
        <v>75</v>
      </c>
      <c r="B575" t="s">
        <v>23</v>
      </c>
      <c r="C575" s="1">
        <v>45614</v>
      </c>
      <c r="D575" s="1">
        <v>45295</v>
      </c>
      <c r="E575" t="s">
        <v>34</v>
      </c>
      <c r="F575">
        <v>3537.51</v>
      </c>
      <c r="G575">
        <v>192</v>
      </c>
      <c r="H575">
        <v>139</v>
      </c>
      <c r="I575">
        <v>84320.88</v>
      </c>
      <c r="J575">
        <v>4895</v>
      </c>
      <c r="K575">
        <v>130789</v>
      </c>
      <c r="L575">
        <f t="shared" si="16"/>
        <v>2283.6223784526405</v>
      </c>
      <c r="M575">
        <f t="shared" si="17"/>
        <v>319</v>
      </c>
    </row>
    <row r="576" spans="1:13" x14ac:dyDescent="0.4">
      <c r="A576" t="s">
        <v>14</v>
      </c>
      <c r="B576" t="s">
        <v>43</v>
      </c>
      <c r="C576" s="1">
        <v>45333</v>
      </c>
      <c r="D576" s="1">
        <v>45296</v>
      </c>
      <c r="E576" t="s">
        <v>26</v>
      </c>
      <c r="F576">
        <v>28308.22</v>
      </c>
      <c r="G576">
        <v>1684</v>
      </c>
      <c r="H576">
        <v>397</v>
      </c>
      <c r="I576">
        <v>153660.44</v>
      </c>
      <c r="J576">
        <v>1746</v>
      </c>
      <c r="K576">
        <v>370604</v>
      </c>
      <c r="L576">
        <f t="shared" si="16"/>
        <v>442.81208779640684</v>
      </c>
      <c r="M576">
        <f t="shared" si="17"/>
        <v>37</v>
      </c>
    </row>
    <row r="577" spans="1:13" x14ac:dyDescent="0.4">
      <c r="A577" t="s">
        <v>91</v>
      </c>
      <c r="B577" t="s">
        <v>30</v>
      </c>
      <c r="C577" s="1">
        <v>45416</v>
      </c>
      <c r="D577" s="1">
        <v>45296</v>
      </c>
      <c r="E577" t="s">
        <v>26</v>
      </c>
      <c r="F577">
        <v>8645.75</v>
      </c>
      <c r="G577">
        <v>1962</v>
      </c>
      <c r="H577">
        <v>133</v>
      </c>
      <c r="I577">
        <v>33055.85</v>
      </c>
      <c r="J577">
        <v>540</v>
      </c>
      <c r="K577">
        <v>75723</v>
      </c>
      <c r="L577">
        <f t="shared" si="16"/>
        <v>282.33640806176442</v>
      </c>
      <c r="M577">
        <f t="shared" si="17"/>
        <v>120</v>
      </c>
    </row>
    <row r="578" spans="1:13" x14ac:dyDescent="0.4">
      <c r="A578" t="s">
        <v>85</v>
      </c>
      <c r="B578" t="s">
        <v>31</v>
      </c>
      <c r="C578" s="1">
        <v>45458</v>
      </c>
      <c r="D578" s="1">
        <v>45302</v>
      </c>
      <c r="E578" t="s">
        <v>13</v>
      </c>
      <c r="F578">
        <v>41894.959999999999</v>
      </c>
      <c r="G578">
        <v>1893</v>
      </c>
      <c r="H578">
        <v>414</v>
      </c>
      <c r="I578">
        <v>6680.71</v>
      </c>
      <c r="J578">
        <v>6056</v>
      </c>
      <c r="K578">
        <v>466978</v>
      </c>
      <c r="L578">
        <f t="shared" si="16"/>
        <v>-84.053666598559829</v>
      </c>
      <c r="M578">
        <f t="shared" si="17"/>
        <v>156</v>
      </c>
    </row>
    <row r="579" spans="1:13" x14ac:dyDescent="0.4">
      <c r="A579" t="s">
        <v>71</v>
      </c>
      <c r="B579" t="s">
        <v>51</v>
      </c>
      <c r="C579" s="1">
        <v>45532</v>
      </c>
      <c r="D579" s="1">
        <v>45300</v>
      </c>
      <c r="E579" t="s">
        <v>34</v>
      </c>
      <c r="F579">
        <v>18558.400000000001</v>
      </c>
      <c r="G579">
        <v>1142</v>
      </c>
      <c r="H579">
        <v>426</v>
      </c>
      <c r="I579">
        <v>8894.7199999999993</v>
      </c>
      <c r="J579">
        <v>9821</v>
      </c>
      <c r="K579">
        <v>239755</v>
      </c>
      <c r="L579">
        <f t="shared" ref="L579:L642" si="18">(I579 - F579)/F579*100</f>
        <v>-52.071730321579459</v>
      </c>
      <c r="M579">
        <f t="shared" ref="M579:M642" si="19">ABS(D579 - C579)</f>
        <v>232</v>
      </c>
    </row>
    <row r="580" spans="1:13" x14ac:dyDescent="0.4">
      <c r="A580" t="s">
        <v>84</v>
      </c>
      <c r="B580" t="s">
        <v>28</v>
      </c>
      <c r="C580" s="1">
        <v>45571</v>
      </c>
      <c r="D580" s="1">
        <v>45301</v>
      </c>
      <c r="E580" t="s">
        <v>34</v>
      </c>
      <c r="F580">
        <v>45731.73</v>
      </c>
      <c r="G580">
        <v>296</v>
      </c>
      <c r="H580">
        <v>298</v>
      </c>
      <c r="I580">
        <v>119387.34</v>
      </c>
      <c r="J580">
        <v>2467</v>
      </c>
      <c r="K580">
        <v>367338</v>
      </c>
      <c r="L580">
        <f t="shared" si="18"/>
        <v>161.06018731414704</v>
      </c>
      <c r="M580">
        <f t="shared" si="19"/>
        <v>270</v>
      </c>
    </row>
    <row r="581" spans="1:13" x14ac:dyDescent="0.4">
      <c r="A581" t="s">
        <v>64</v>
      </c>
      <c r="B581" t="s">
        <v>43</v>
      </c>
      <c r="C581" s="1">
        <v>45479</v>
      </c>
      <c r="D581" s="1">
        <v>45302</v>
      </c>
      <c r="E581" t="s">
        <v>26</v>
      </c>
      <c r="F581">
        <v>28718.720000000001</v>
      </c>
      <c r="G581">
        <v>1334</v>
      </c>
      <c r="H581">
        <v>250</v>
      </c>
      <c r="I581">
        <v>93802.01</v>
      </c>
      <c r="J581">
        <v>6796</v>
      </c>
      <c r="K581">
        <v>374561</v>
      </c>
      <c r="L581">
        <f t="shared" si="18"/>
        <v>226.62322694047643</v>
      </c>
      <c r="M581">
        <f t="shared" si="19"/>
        <v>177</v>
      </c>
    </row>
    <row r="582" spans="1:13" x14ac:dyDescent="0.4">
      <c r="A582" t="s">
        <v>119</v>
      </c>
      <c r="B582" t="s">
        <v>21</v>
      </c>
      <c r="C582" s="1">
        <v>45593</v>
      </c>
      <c r="D582" s="1">
        <v>45299</v>
      </c>
      <c r="E582" t="s">
        <v>34</v>
      </c>
      <c r="F582">
        <v>9950.9500000000007</v>
      </c>
      <c r="G582">
        <v>837</v>
      </c>
      <c r="H582">
        <v>193</v>
      </c>
      <c r="I582">
        <v>106012.99</v>
      </c>
      <c r="J582">
        <v>5290</v>
      </c>
      <c r="K582">
        <v>398527</v>
      </c>
      <c r="L582">
        <f t="shared" si="18"/>
        <v>965.35546857335225</v>
      </c>
      <c r="M582">
        <f t="shared" si="19"/>
        <v>294</v>
      </c>
    </row>
    <row r="583" spans="1:13" x14ac:dyDescent="0.4">
      <c r="A583" t="s">
        <v>50</v>
      </c>
      <c r="B583" t="s">
        <v>28</v>
      </c>
      <c r="C583" s="1">
        <v>45310</v>
      </c>
      <c r="D583" s="1">
        <v>45297</v>
      </c>
      <c r="E583" t="s">
        <v>26</v>
      </c>
      <c r="F583">
        <v>7840.34</v>
      </c>
      <c r="G583">
        <v>128</v>
      </c>
      <c r="H583">
        <v>48</v>
      </c>
      <c r="I583">
        <v>6455.31</v>
      </c>
      <c r="J583">
        <v>4763</v>
      </c>
      <c r="K583">
        <v>241822</v>
      </c>
      <c r="L583">
        <f t="shared" si="18"/>
        <v>-17.66543287663545</v>
      </c>
      <c r="M583">
        <f t="shared" si="19"/>
        <v>13</v>
      </c>
    </row>
    <row r="584" spans="1:13" x14ac:dyDescent="0.4">
      <c r="A584" t="s">
        <v>29</v>
      </c>
      <c r="B584" t="s">
        <v>31</v>
      </c>
      <c r="C584" s="1">
        <v>45359</v>
      </c>
      <c r="D584" s="1">
        <v>45294</v>
      </c>
      <c r="E584" t="s">
        <v>34</v>
      </c>
      <c r="F584">
        <v>29247.15</v>
      </c>
      <c r="G584">
        <v>1731</v>
      </c>
      <c r="H584">
        <v>90</v>
      </c>
      <c r="I584">
        <v>87423.89</v>
      </c>
      <c r="J584">
        <v>7162</v>
      </c>
      <c r="K584">
        <v>57888</v>
      </c>
      <c r="L584">
        <f t="shared" si="18"/>
        <v>198.91421899227785</v>
      </c>
      <c r="M584">
        <f t="shared" si="19"/>
        <v>65</v>
      </c>
    </row>
    <row r="585" spans="1:13" x14ac:dyDescent="0.4">
      <c r="A585" t="s">
        <v>93</v>
      </c>
      <c r="B585" t="s">
        <v>23</v>
      </c>
      <c r="C585" s="1">
        <v>45509</v>
      </c>
      <c r="D585" s="1">
        <v>45301</v>
      </c>
      <c r="E585" t="s">
        <v>34</v>
      </c>
      <c r="F585">
        <v>38332.300000000003</v>
      </c>
      <c r="G585">
        <v>672</v>
      </c>
      <c r="H585">
        <v>48</v>
      </c>
      <c r="I585">
        <v>145023.29</v>
      </c>
      <c r="J585">
        <v>4431</v>
      </c>
      <c r="K585">
        <v>304760</v>
      </c>
      <c r="L585">
        <f t="shared" si="18"/>
        <v>278.33182459701089</v>
      </c>
      <c r="M585">
        <f t="shared" si="19"/>
        <v>208</v>
      </c>
    </row>
    <row r="586" spans="1:13" x14ac:dyDescent="0.4">
      <c r="A586" t="s">
        <v>79</v>
      </c>
      <c r="B586" t="s">
        <v>54</v>
      </c>
      <c r="C586" s="1">
        <v>45393</v>
      </c>
      <c r="D586" s="1">
        <v>45300</v>
      </c>
      <c r="E586" t="s">
        <v>34</v>
      </c>
      <c r="F586">
        <v>39293.78</v>
      </c>
      <c r="G586">
        <v>1843</v>
      </c>
      <c r="H586">
        <v>334</v>
      </c>
      <c r="I586">
        <v>91325.27</v>
      </c>
      <c r="J586">
        <v>9596</v>
      </c>
      <c r="K586">
        <v>184206</v>
      </c>
      <c r="L586">
        <f t="shared" si="18"/>
        <v>132.41660639419268</v>
      </c>
      <c r="M586">
        <f t="shared" si="19"/>
        <v>93</v>
      </c>
    </row>
    <row r="587" spans="1:13" x14ac:dyDescent="0.4">
      <c r="A587" t="s">
        <v>52</v>
      </c>
      <c r="B587" t="s">
        <v>28</v>
      </c>
      <c r="C587" s="1">
        <v>45333</v>
      </c>
      <c r="D587" s="1">
        <v>45295</v>
      </c>
      <c r="E587" t="s">
        <v>26</v>
      </c>
      <c r="F587">
        <v>14512.11</v>
      </c>
      <c r="G587">
        <v>1678</v>
      </c>
      <c r="H587">
        <v>379</v>
      </c>
      <c r="I587">
        <v>147782.75</v>
      </c>
      <c r="J587">
        <v>3134</v>
      </c>
      <c r="K587">
        <v>485441</v>
      </c>
      <c r="L587">
        <f t="shared" si="18"/>
        <v>918.3408890919377</v>
      </c>
      <c r="M587">
        <f t="shared" si="19"/>
        <v>38</v>
      </c>
    </row>
    <row r="588" spans="1:13" x14ac:dyDescent="0.4">
      <c r="A588" t="s">
        <v>22</v>
      </c>
      <c r="B588" t="s">
        <v>54</v>
      </c>
      <c r="C588" s="1">
        <v>45579</v>
      </c>
      <c r="D588" s="1">
        <v>45301</v>
      </c>
      <c r="E588" t="s">
        <v>13</v>
      </c>
      <c r="F588">
        <v>11008.09</v>
      </c>
      <c r="G588">
        <v>574</v>
      </c>
      <c r="H588">
        <v>450</v>
      </c>
      <c r="I588">
        <v>50438.7</v>
      </c>
      <c r="J588">
        <v>9477</v>
      </c>
      <c r="K588">
        <v>269227</v>
      </c>
      <c r="L588">
        <f t="shared" si="18"/>
        <v>358.19665355206945</v>
      </c>
      <c r="M588">
        <f t="shared" si="19"/>
        <v>278</v>
      </c>
    </row>
    <row r="589" spans="1:13" x14ac:dyDescent="0.4">
      <c r="A589" t="s">
        <v>79</v>
      </c>
      <c r="B589" t="s">
        <v>12</v>
      </c>
      <c r="C589" s="1">
        <v>45458</v>
      </c>
      <c r="D589" s="1">
        <v>45298</v>
      </c>
      <c r="E589" t="s">
        <v>34</v>
      </c>
      <c r="F589">
        <v>1821.06</v>
      </c>
      <c r="G589">
        <v>821</v>
      </c>
      <c r="H589">
        <v>382</v>
      </c>
      <c r="I589">
        <v>163562.69</v>
      </c>
      <c r="J589">
        <v>3362</v>
      </c>
      <c r="K589">
        <v>144670</v>
      </c>
      <c r="L589">
        <f t="shared" si="18"/>
        <v>8881.7298716132373</v>
      </c>
      <c r="M589">
        <f t="shared" si="19"/>
        <v>160</v>
      </c>
    </row>
    <row r="590" spans="1:13" x14ac:dyDescent="0.4">
      <c r="A590" t="s">
        <v>129</v>
      </c>
      <c r="B590" t="s">
        <v>23</v>
      </c>
      <c r="C590" s="1">
        <v>45400</v>
      </c>
      <c r="D590" s="1">
        <v>45300</v>
      </c>
      <c r="E590" t="s">
        <v>26</v>
      </c>
      <c r="F590">
        <v>34280.76</v>
      </c>
      <c r="G590">
        <v>987</v>
      </c>
      <c r="H590">
        <v>394</v>
      </c>
      <c r="I590">
        <v>119744.09</v>
      </c>
      <c r="J590">
        <v>2207</v>
      </c>
      <c r="K590">
        <v>345620</v>
      </c>
      <c r="L590">
        <f t="shared" si="18"/>
        <v>249.30407027148755</v>
      </c>
      <c r="M590">
        <f t="shared" si="19"/>
        <v>100</v>
      </c>
    </row>
    <row r="591" spans="1:13" x14ac:dyDescent="0.4">
      <c r="A591" t="s">
        <v>65</v>
      </c>
      <c r="B591" t="s">
        <v>33</v>
      </c>
      <c r="C591" s="1">
        <v>45327</v>
      </c>
      <c r="D591" s="1">
        <v>45297</v>
      </c>
      <c r="E591" t="s">
        <v>26</v>
      </c>
      <c r="F591">
        <v>4751.84</v>
      </c>
      <c r="G591">
        <v>1694</v>
      </c>
      <c r="H591">
        <v>149</v>
      </c>
      <c r="I591">
        <v>46098.8</v>
      </c>
      <c r="J591">
        <v>7136</v>
      </c>
      <c r="K591">
        <v>93416</v>
      </c>
      <c r="L591">
        <f t="shared" si="18"/>
        <v>870.12525674265135</v>
      </c>
      <c r="M591">
        <f t="shared" si="19"/>
        <v>30</v>
      </c>
    </row>
    <row r="592" spans="1:13" x14ac:dyDescent="0.4">
      <c r="A592" t="s">
        <v>37</v>
      </c>
      <c r="B592" t="s">
        <v>40</v>
      </c>
      <c r="C592" s="1">
        <v>45523</v>
      </c>
      <c r="D592" s="1">
        <v>45298</v>
      </c>
      <c r="E592" t="s">
        <v>34</v>
      </c>
      <c r="F592">
        <v>21617.3</v>
      </c>
      <c r="G592">
        <v>1403</v>
      </c>
      <c r="H592">
        <v>55</v>
      </c>
      <c r="I592">
        <v>51160.49</v>
      </c>
      <c r="J592">
        <v>4420</v>
      </c>
      <c r="K592">
        <v>265724</v>
      </c>
      <c r="L592">
        <f t="shared" si="18"/>
        <v>136.66456958084495</v>
      </c>
      <c r="M592">
        <f t="shared" si="19"/>
        <v>225</v>
      </c>
    </row>
    <row r="593" spans="1:13" x14ac:dyDescent="0.4">
      <c r="A593" t="s">
        <v>46</v>
      </c>
      <c r="B593" t="s">
        <v>21</v>
      </c>
      <c r="C593" s="1">
        <v>45520</v>
      </c>
      <c r="D593" s="1">
        <v>45301</v>
      </c>
      <c r="E593" t="s">
        <v>34</v>
      </c>
      <c r="F593">
        <v>30482.43</v>
      </c>
      <c r="G593">
        <v>1262</v>
      </c>
      <c r="H593">
        <v>246</v>
      </c>
      <c r="I593">
        <v>127465.94</v>
      </c>
      <c r="J593">
        <v>6038</v>
      </c>
      <c r="K593">
        <v>123834</v>
      </c>
      <c r="L593">
        <f t="shared" si="18"/>
        <v>318.16200348856705</v>
      </c>
      <c r="M593">
        <f t="shared" si="19"/>
        <v>219</v>
      </c>
    </row>
    <row r="594" spans="1:13" x14ac:dyDescent="0.4">
      <c r="A594" t="s">
        <v>103</v>
      </c>
      <c r="B594" t="s">
        <v>25</v>
      </c>
      <c r="C594" s="1">
        <v>45644</v>
      </c>
      <c r="D594" s="1">
        <v>45294</v>
      </c>
      <c r="E594" t="s">
        <v>13</v>
      </c>
      <c r="F594">
        <v>46918.34</v>
      </c>
      <c r="G594">
        <v>1168</v>
      </c>
      <c r="H594">
        <v>298</v>
      </c>
      <c r="I594">
        <v>166838.22</v>
      </c>
      <c r="J594">
        <v>2847</v>
      </c>
      <c r="K594">
        <v>113148</v>
      </c>
      <c r="L594">
        <f t="shared" si="18"/>
        <v>255.59275967564074</v>
      </c>
      <c r="M594">
        <f t="shared" si="19"/>
        <v>350</v>
      </c>
    </row>
    <row r="595" spans="1:13" x14ac:dyDescent="0.4">
      <c r="A595" t="s">
        <v>53</v>
      </c>
      <c r="B595" t="s">
        <v>31</v>
      </c>
      <c r="C595" s="1">
        <v>45455</v>
      </c>
      <c r="D595" s="1">
        <v>45294</v>
      </c>
      <c r="E595" t="s">
        <v>26</v>
      </c>
      <c r="F595">
        <v>16278.3</v>
      </c>
      <c r="G595">
        <v>666</v>
      </c>
      <c r="H595">
        <v>412</v>
      </c>
      <c r="I595">
        <v>86047.42</v>
      </c>
      <c r="J595">
        <v>4777</v>
      </c>
      <c r="K595">
        <v>189467</v>
      </c>
      <c r="L595">
        <f t="shared" si="18"/>
        <v>428.60200389475563</v>
      </c>
      <c r="M595">
        <f t="shared" si="19"/>
        <v>161</v>
      </c>
    </row>
    <row r="596" spans="1:13" x14ac:dyDescent="0.4">
      <c r="A596" t="s">
        <v>103</v>
      </c>
      <c r="B596" t="s">
        <v>36</v>
      </c>
      <c r="C596" s="1">
        <v>45364</v>
      </c>
      <c r="D596" s="1">
        <v>45297</v>
      </c>
      <c r="E596" t="s">
        <v>26</v>
      </c>
      <c r="F596">
        <v>13238.84</v>
      </c>
      <c r="G596">
        <v>1081</v>
      </c>
      <c r="H596">
        <v>55</v>
      </c>
      <c r="I596">
        <v>55368.58</v>
      </c>
      <c r="J596">
        <v>8072</v>
      </c>
      <c r="K596">
        <v>305465</v>
      </c>
      <c r="L596">
        <f t="shared" si="18"/>
        <v>318.22833420450741</v>
      </c>
      <c r="M596">
        <f t="shared" si="19"/>
        <v>67</v>
      </c>
    </row>
    <row r="597" spans="1:13" x14ac:dyDescent="0.4">
      <c r="A597" t="s">
        <v>79</v>
      </c>
      <c r="B597" t="s">
        <v>25</v>
      </c>
      <c r="C597" s="1">
        <v>45427</v>
      </c>
      <c r="D597" s="1">
        <v>45296</v>
      </c>
      <c r="E597" t="s">
        <v>16</v>
      </c>
      <c r="F597">
        <v>33053.85</v>
      </c>
      <c r="G597">
        <v>116</v>
      </c>
      <c r="H597">
        <v>270</v>
      </c>
      <c r="I597">
        <v>174067.26</v>
      </c>
      <c r="J597">
        <v>4364</v>
      </c>
      <c r="K597">
        <v>272530</v>
      </c>
      <c r="L597">
        <f t="shared" si="18"/>
        <v>426.61720192957853</v>
      </c>
      <c r="M597">
        <f t="shared" si="19"/>
        <v>131</v>
      </c>
    </row>
    <row r="598" spans="1:13" x14ac:dyDescent="0.4">
      <c r="A598" t="s">
        <v>90</v>
      </c>
      <c r="B598" t="s">
        <v>28</v>
      </c>
      <c r="C598" s="1">
        <v>45644</v>
      </c>
      <c r="D598" s="1">
        <v>45295</v>
      </c>
      <c r="E598" t="s">
        <v>26</v>
      </c>
      <c r="F598">
        <v>31342.71</v>
      </c>
      <c r="G598">
        <v>1569</v>
      </c>
      <c r="H598">
        <v>124</v>
      </c>
      <c r="I598">
        <v>135507.32</v>
      </c>
      <c r="J598">
        <v>3233</v>
      </c>
      <c r="K598">
        <v>316315</v>
      </c>
      <c r="L598">
        <f t="shared" si="18"/>
        <v>332.34078993169391</v>
      </c>
      <c r="M598">
        <f t="shared" si="19"/>
        <v>349</v>
      </c>
    </row>
    <row r="599" spans="1:13" x14ac:dyDescent="0.4">
      <c r="A599" t="s">
        <v>108</v>
      </c>
      <c r="B599" t="s">
        <v>43</v>
      </c>
      <c r="C599" s="1">
        <v>45361</v>
      </c>
      <c r="D599" s="1">
        <v>45296</v>
      </c>
      <c r="E599" t="s">
        <v>13</v>
      </c>
      <c r="F599">
        <v>17273.38</v>
      </c>
      <c r="G599">
        <v>240</v>
      </c>
      <c r="H599">
        <v>204</v>
      </c>
      <c r="I599">
        <v>92376.67</v>
      </c>
      <c r="J599">
        <v>1565</v>
      </c>
      <c r="K599">
        <v>151594</v>
      </c>
      <c r="L599">
        <f t="shared" si="18"/>
        <v>434.79209048836987</v>
      </c>
      <c r="M599">
        <f t="shared" si="19"/>
        <v>65</v>
      </c>
    </row>
    <row r="600" spans="1:13" x14ac:dyDescent="0.4">
      <c r="A600" t="s">
        <v>37</v>
      </c>
      <c r="B600" t="s">
        <v>31</v>
      </c>
      <c r="C600" s="1">
        <v>45487</v>
      </c>
      <c r="D600" s="1">
        <v>45294</v>
      </c>
      <c r="E600" t="s">
        <v>16</v>
      </c>
      <c r="F600">
        <v>46476.99</v>
      </c>
      <c r="G600">
        <v>1439</v>
      </c>
      <c r="H600">
        <v>409</v>
      </c>
      <c r="I600">
        <v>100140.54</v>
      </c>
      <c r="J600">
        <v>4209</v>
      </c>
      <c r="K600">
        <v>197604</v>
      </c>
      <c r="L600">
        <f t="shared" si="18"/>
        <v>115.46261924449067</v>
      </c>
      <c r="M600">
        <f t="shared" si="19"/>
        <v>193</v>
      </c>
    </row>
    <row r="601" spans="1:13" x14ac:dyDescent="0.4">
      <c r="A601" t="s">
        <v>101</v>
      </c>
      <c r="B601" t="s">
        <v>40</v>
      </c>
      <c r="C601" s="1">
        <v>45560</v>
      </c>
      <c r="D601" s="1">
        <v>45294</v>
      </c>
      <c r="E601" t="s">
        <v>16</v>
      </c>
      <c r="F601">
        <v>42398.25</v>
      </c>
      <c r="G601">
        <v>817</v>
      </c>
      <c r="H601">
        <v>252</v>
      </c>
      <c r="I601">
        <v>44830.01</v>
      </c>
      <c r="J601">
        <v>2311</v>
      </c>
      <c r="K601">
        <v>485976</v>
      </c>
      <c r="L601">
        <f t="shared" si="18"/>
        <v>5.7355197443290749</v>
      </c>
      <c r="M601">
        <f t="shared" si="19"/>
        <v>266</v>
      </c>
    </row>
    <row r="602" spans="1:13" x14ac:dyDescent="0.4">
      <c r="A602" t="s">
        <v>60</v>
      </c>
      <c r="B602" t="s">
        <v>18</v>
      </c>
      <c r="C602" s="1">
        <v>45340</v>
      </c>
      <c r="D602" s="1">
        <v>45299</v>
      </c>
      <c r="E602" t="s">
        <v>16</v>
      </c>
      <c r="F602">
        <v>11975.14</v>
      </c>
      <c r="G602">
        <v>570</v>
      </c>
      <c r="H602">
        <v>74</v>
      </c>
      <c r="I602">
        <v>127226.51</v>
      </c>
      <c r="J602">
        <v>5639</v>
      </c>
      <c r="K602">
        <v>408851</v>
      </c>
      <c r="L602">
        <f t="shared" si="18"/>
        <v>962.42190070429251</v>
      </c>
      <c r="M602">
        <f t="shared" si="19"/>
        <v>41</v>
      </c>
    </row>
    <row r="603" spans="1:13" x14ac:dyDescent="0.4">
      <c r="A603" t="s">
        <v>108</v>
      </c>
      <c r="B603" t="s">
        <v>40</v>
      </c>
      <c r="C603" s="1">
        <v>45607</v>
      </c>
      <c r="D603" s="1">
        <v>45298</v>
      </c>
      <c r="E603" t="s">
        <v>34</v>
      </c>
      <c r="F603">
        <v>12717.98</v>
      </c>
      <c r="G603">
        <v>1039</v>
      </c>
      <c r="H603">
        <v>345</v>
      </c>
      <c r="I603">
        <v>74954.789999999994</v>
      </c>
      <c r="J603">
        <v>9835</v>
      </c>
      <c r="K603">
        <v>394887</v>
      </c>
      <c r="L603">
        <f t="shared" si="18"/>
        <v>489.36081044316791</v>
      </c>
      <c r="M603">
        <f t="shared" si="19"/>
        <v>309</v>
      </c>
    </row>
    <row r="604" spans="1:13" x14ac:dyDescent="0.4">
      <c r="A604" t="s">
        <v>102</v>
      </c>
      <c r="B604" t="s">
        <v>36</v>
      </c>
      <c r="C604" s="1">
        <v>45421</v>
      </c>
      <c r="D604" s="1">
        <v>45301</v>
      </c>
      <c r="E604" t="s">
        <v>34</v>
      </c>
      <c r="F604">
        <v>26102.720000000001</v>
      </c>
      <c r="G604">
        <v>1190</v>
      </c>
      <c r="H604">
        <v>61</v>
      </c>
      <c r="I604">
        <v>199150.81</v>
      </c>
      <c r="J604">
        <v>1789</v>
      </c>
      <c r="K604">
        <v>34545</v>
      </c>
      <c r="L604">
        <f t="shared" si="18"/>
        <v>662.95041283054024</v>
      </c>
      <c r="M604">
        <f t="shared" si="19"/>
        <v>120</v>
      </c>
    </row>
    <row r="605" spans="1:13" x14ac:dyDescent="0.4">
      <c r="A605" t="s">
        <v>100</v>
      </c>
      <c r="B605" t="s">
        <v>21</v>
      </c>
      <c r="C605" s="1">
        <v>45296</v>
      </c>
      <c r="D605" s="1">
        <v>45295</v>
      </c>
      <c r="E605" t="s">
        <v>26</v>
      </c>
      <c r="F605">
        <v>38905.03</v>
      </c>
      <c r="G605">
        <v>316</v>
      </c>
      <c r="H605">
        <v>386</v>
      </c>
      <c r="I605">
        <v>98635.79</v>
      </c>
      <c r="J605">
        <v>9863</v>
      </c>
      <c r="K605">
        <v>186151</v>
      </c>
      <c r="L605">
        <f t="shared" si="18"/>
        <v>153.52965927542016</v>
      </c>
      <c r="M605">
        <f t="shared" si="19"/>
        <v>1</v>
      </c>
    </row>
    <row r="606" spans="1:13" x14ac:dyDescent="0.4">
      <c r="A606" t="s">
        <v>63</v>
      </c>
      <c r="B606" t="s">
        <v>40</v>
      </c>
      <c r="C606" s="1">
        <v>45318</v>
      </c>
      <c r="D606" s="1">
        <v>45297</v>
      </c>
      <c r="E606" t="s">
        <v>16</v>
      </c>
      <c r="F606">
        <v>3157.98</v>
      </c>
      <c r="G606">
        <v>1684</v>
      </c>
      <c r="H606">
        <v>43</v>
      </c>
      <c r="I606">
        <v>99747.69</v>
      </c>
      <c r="J606">
        <v>7827</v>
      </c>
      <c r="K606">
        <v>289999</v>
      </c>
      <c r="L606">
        <f t="shared" si="18"/>
        <v>3058.5915680276635</v>
      </c>
      <c r="M606">
        <f t="shared" si="19"/>
        <v>21</v>
      </c>
    </row>
    <row r="607" spans="1:13" x14ac:dyDescent="0.4">
      <c r="A607" t="s">
        <v>111</v>
      </c>
      <c r="B607" t="s">
        <v>51</v>
      </c>
      <c r="C607" s="1">
        <v>45451</v>
      </c>
      <c r="D607" s="1">
        <v>45301</v>
      </c>
      <c r="E607" t="s">
        <v>13</v>
      </c>
      <c r="F607">
        <v>34973.42</v>
      </c>
      <c r="G607">
        <v>534</v>
      </c>
      <c r="H607">
        <v>476</v>
      </c>
      <c r="I607">
        <v>115341.1</v>
      </c>
      <c r="J607">
        <v>7864</v>
      </c>
      <c r="K607">
        <v>36790</v>
      </c>
      <c r="L607">
        <f t="shared" si="18"/>
        <v>229.79645685208942</v>
      </c>
      <c r="M607">
        <f t="shared" si="19"/>
        <v>150</v>
      </c>
    </row>
    <row r="608" spans="1:13" x14ac:dyDescent="0.4">
      <c r="A608" t="s">
        <v>101</v>
      </c>
      <c r="B608" t="s">
        <v>18</v>
      </c>
      <c r="C608" s="1">
        <v>45440</v>
      </c>
      <c r="D608" s="1">
        <v>45299</v>
      </c>
      <c r="E608" t="s">
        <v>34</v>
      </c>
      <c r="F608">
        <v>32763.56</v>
      </c>
      <c r="G608">
        <v>1582</v>
      </c>
      <c r="H608">
        <v>293</v>
      </c>
      <c r="I608">
        <v>183767.42</v>
      </c>
      <c r="J608">
        <v>4641</v>
      </c>
      <c r="K608">
        <v>52012</v>
      </c>
      <c r="L608">
        <f t="shared" si="18"/>
        <v>460.88965912129208</v>
      </c>
      <c r="M608">
        <f t="shared" si="19"/>
        <v>141</v>
      </c>
    </row>
    <row r="609" spans="1:13" x14ac:dyDescent="0.4">
      <c r="A609" t="s">
        <v>52</v>
      </c>
      <c r="B609" t="s">
        <v>25</v>
      </c>
      <c r="C609" s="1">
        <v>45555</v>
      </c>
      <c r="D609" s="1">
        <v>45294</v>
      </c>
      <c r="E609" t="s">
        <v>13</v>
      </c>
      <c r="F609">
        <v>12342.52</v>
      </c>
      <c r="G609">
        <v>1371</v>
      </c>
      <c r="H609">
        <v>447</v>
      </c>
      <c r="I609">
        <v>161159.53</v>
      </c>
      <c r="J609">
        <v>3641</v>
      </c>
      <c r="K609">
        <v>118827</v>
      </c>
      <c r="L609">
        <f t="shared" si="18"/>
        <v>1205.7263022462187</v>
      </c>
      <c r="M609">
        <f t="shared" si="19"/>
        <v>261</v>
      </c>
    </row>
    <row r="610" spans="1:13" x14ac:dyDescent="0.4">
      <c r="A610" t="s">
        <v>103</v>
      </c>
      <c r="B610" t="s">
        <v>33</v>
      </c>
      <c r="C610" s="1">
        <v>45521</v>
      </c>
      <c r="D610" s="1">
        <v>45297</v>
      </c>
      <c r="E610" t="s">
        <v>13</v>
      </c>
      <c r="F610">
        <v>34386.300000000003</v>
      </c>
      <c r="G610">
        <v>1982</v>
      </c>
      <c r="H610">
        <v>22</v>
      </c>
      <c r="I610">
        <v>92970.36</v>
      </c>
      <c r="J610">
        <v>918</v>
      </c>
      <c r="K610">
        <v>261123</v>
      </c>
      <c r="L610">
        <f t="shared" si="18"/>
        <v>170.37035098280418</v>
      </c>
      <c r="M610">
        <f t="shared" si="19"/>
        <v>224</v>
      </c>
    </row>
    <row r="611" spans="1:13" x14ac:dyDescent="0.4">
      <c r="A611" t="s">
        <v>44</v>
      </c>
      <c r="B611" t="s">
        <v>12</v>
      </c>
      <c r="C611" s="1">
        <v>45491</v>
      </c>
      <c r="D611" s="1">
        <v>45294</v>
      </c>
      <c r="E611" t="s">
        <v>34</v>
      </c>
      <c r="F611">
        <v>47068.98</v>
      </c>
      <c r="G611">
        <v>1237</v>
      </c>
      <c r="H611">
        <v>444</v>
      </c>
      <c r="I611">
        <v>145146.35999999999</v>
      </c>
      <c r="J611">
        <v>4621</v>
      </c>
      <c r="K611">
        <v>15260</v>
      </c>
      <c r="L611">
        <f t="shared" si="18"/>
        <v>208.36946116104485</v>
      </c>
      <c r="M611">
        <f t="shared" si="19"/>
        <v>197</v>
      </c>
    </row>
    <row r="612" spans="1:13" x14ac:dyDescent="0.4">
      <c r="A612" t="s">
        <v>120</v>
      </c>
      <c r="B612" t="s">
        <v>51</v>
      </c>
      <c r="C612" s="1">
        <v>45341</v>
      </c>
      <c r="D612" s="1">
        <v>45295</v>
      </c>
      <c r="E612" t="s">
        <v>34</v>
      </c>
      <c r="F612">
        <v>3292.51</v>
      </c>
      <c r="G612">
        <v>425</v>
      </c>
      <c r="H612">
        <v>224</v>
      </c>
      <c r="I612">
        <v>119315.92</v>
      </c>
      <c r="J612">
        <v>1224</v>
      </c>
      <c r="K612">
        <v>197211</v>
      </c>
      <c r="L612">
        <f t="shared" si="18"/>
        <v>3523.859001187544</v>
      </c>
      <c r="M612">
        <f t="shared" si="19"/>
        <v>46</v>
      </c>
    </row>
    <row r="613" spans="1:13" x14ac:dyDescent="0.4">
      <c r="A613" t="s">
        <v>60</v>
      </c>
      <c r="B613" t="s">
        <v>15</v>
      </c>
      <c r="C613" s="1">
        <v>45358</v>
      </c>
      <c r="D613" s="1">
        <v>45298</v>
      </c>
      <c r="E613" t="s">
        <v>34</v>
      </c>
      <c r="F613">
        <v>16662.95</v>
      </c>
      <c r="G613">
        <v>702</v>
      </c>
      <c r="H613">
        <v>317</v>
      </c>
      <c r="I613">
        <v>101011.57</v>
      </c>
      <c r="J613">
        <v>5760</v>
      </c>
      <c r="K613">
        <v>264218</v>
      </c>
      <c r="L613">
        <f t="shared" si="18"/>
        <v>506.20460362660873</v>
      </c>
      <c r="M613">
        <f t="shared" si="19"/>
        <v>60</v>
      </c>
    </row>
    <row r="614" spans="1:13" x14ac:dyDescent="0.4">
      <c r="A614" t="s">
        <v>72</v>
      </c>
      <c r="B614" t="s">
        <v>18</v>
      </c>
      <c r="C614" s="1">
        <v>45591</v>
      </c>
      <c r="D614" s="1">
        <v>45301</v>
      </c>
      <c r="E614" t="s">
        <v>34</v>
      </c>
      <c r="F614">
        <v>22470.66</v>
      </c>
      <c r="G614">
        <v>1341</v>
      </c>
      <c r="H614">
        <v>248</v>
      </c>
      <c r="I614">
        <v>42501.58</v>
      </c>
      <c r="J614">
        <v>5741</v>
      </c>
      <c r="K614">
        <v>436892</v>
      </c>
      <c r="L614">
        <f t="shared" si="18"/>
        <v>89.142553000223415</v>
      </c>
      <c r="M614">
        <f t="shared" si="19"/>
        <v>290</v>
      </c>
    </row>
    <row r="615" spans="1:13" x14ac:dyDescent="0.4">
      <c r="A615" t="s">
        <v>52</v>
      </c>
      <c r="B615" t="s">
        <v>33</v>
      </c>
      <c r="C615" s="1">
        <v>45349</v>
      </c>
      <c r="D615" s="1">
        <v>45301</v>
      </c>
      <c r="E615" t="s">
        <v>16</v>
      </c>
      <c r="F615">
        <v>45063.76</v>
      </c>
      <c r="G615">
        <v>598</v>
      </c>
      <c r="H615">
        <v>356</v>
      </c>
      <c r="I615">
        <v>95467.57</v>
      </c>
      <c r="J615">
        <v>1229</v>
      </c>
      <c r="K615">
        <v>141547</v>
      </c>
      <c r="L615">
        <f t="shared" si="18"/>
        <v>111.84998766192614</v>
      </c>
      <c r="M615">
        <f t="shared" si="19"/>
        <v>48</v>
      </c>
    </row>
    <row r="616" spans="1:13" x14ac:dyDescent="0.4">
      <c r="A616" t="s">
        <v>104</v>
      </c>
      <c r="B616" t="s">
        <v>33</v>
      </c>
      <c r="C616" s="1">
        <v>45550</v>
      </c>
      <c r="D616" s="1">
        <v>45296</v>
      </c>
      <c r="E616" t="s">
        <v>16</v>
      </c>
      <c r="F616">
        <v>48150.81</v>
      </c>
      <c r="G616">
        <v>1147</v>
      </c>
      <c r="H616">
        <v>464</v>
      </c>
      <c r="I616">
        <v>52934.62</v>
      </c>
      <c r="J616">
        <v>1802</v>
      </c>
      <c r="K616">
        <v>210486</v>
      </c>
      <c r="L616">
        <f t="shared" si="18"/>
        <v>9.935056128858486</v>
      </c>
      <c r="M616">
        <f t="shared" si="19"/>
        <v>254</v>
      </c>
    </row>
    <row r="617" spans="1:13" x14ac:dyDescent="0.4">
      <c r="A617" t="s">
        <v>111</v>
      </c>
      <c r="B617" t="s">
        <v>31</v>
      </c>
      <c r="C617" s="1">
        <v>45633</v>
      </c>
      <c r="D617" s="1">
        <v>45297</v>
      </c>
      <c r="E617" t="s">
        <v>16</v>
      </c>
      <c r="F617">
        <v>22761.65</v>
      </c>
      <c r="G617">
        <v>1581</v>
      </c>
      <c r="H617">
        <v>308</v>
      </c>
      <c r="I617">
        <v>183394.22</v>
      </c>
      <c r="J617">
        <v>2101</v>
      </c>
      <c r="K617">
        <v>147192</v>
      </c>
      <c r="L617">
        <f t="shared" si="18"/>
        <v>705.71584221706246</v>
      </c>
      <c r="M617">
        <f t="shared" si="19"/>
        <v>336</v>
      </c>
    </row>
    <row r="618" spans="1:13" x14ac:dyDescent="0.4">
      <c r="A618" t="s">
        <v>56</v>
      </c>
      <c r="B618" t="s">
        <v>18</v>
      </c>
      <c r="C618" s="1">
        <v>45617</v>
      </c>
      <c r="D618" s="1">
        <v>45299</v>
      </c>
      <c r="E618" t="s">
        <v>16</v>
      </c>
      <c r="F618">
        <v>37751.39</v>
      </c>
      <c r="G618">
        <v>122</v>
      </c>
      <c r="H618">
        <v>302</v>
      </c>
      <c r="I618">
        <v>70404.33</v>
      </c>
      <c r="J618">
        <v>7012</v>
      </c>
      <c r="K618">
        <v>417363</v>
      </c>
      <c r="L618">
        <f t="shared" si="18"/>
        <v>86.494669467799739</v>
      </c>
      <c r="M618">
        <f t="shared" si="19"/>
        <v>318</v>
      </c>
    </row>
    <row r="619" spans="1:13" x14ac:dyDescent="0.4">
      <c r="A619" t="s">
        <v>118</v>
      </c>
      <c r="B619" t="s">
        <v>21</v>
      </c>
      <c r="C619" s="1">
        <v>45421</v>
      </c>
      <c r="D619" s="1">
        <v>45296</v>
      </c>
      <c r="E619" t="s">
        <v>26</v>
      </c>
      <c r="F619">
        <v>27051.39</v>
      </c>
      <c r="G619">
        <v>357</v>
      </c>
      <c r="H619">
        <v>287</v>
      </c>
      <c r="I619">
        <v>190691.48</v>
      </c>
      <c r="J619">
        <v>3978</v>
      </c>
      <c r="K619">
        <v>265130</v>
      </c>
      <c r="L619">
        <f t="shared" si="18"/>
        <v>604.92303722655299</v>
      </c>
      <c r="M619">
        <f t="shared" si="19"/>
        <v>125</v>
      </c>
    </row>
    <row r="620" spans="1:13" x14ac:dyDescent="0.4">
      <c r="A620" t="s">
        <v>53</v>
      </c>
      <c r="B620" t="s">
        <v>28</v>
      </c>
      <c r="C620" s="1">
        <v>45506</v>
      </c>
      <c r="D620" s="1">
        <v>45295</v>
      </c>
      <c r="E620" t="s">
        <v>16</v>
      </c>
      <c r="F620">
        <v>27351.360000000001</v>
      </c>
      <c r="G620">
        <v>248</v>
      </c>
      <c r="H620">
        <v>78</v>
      </c>
      <c r="I620">
        <v>108945.78</v>
      </c>
      <c r="J620">
        <v>7332</v>
      </c>
      <c r="K620">
        <v>241201</v>
      </c>
      <c r="L620">
        <f t="shared" si="18"/>
        <v>298.31942543259277</v>
      </c>
      <c r="M620">
        <f t="shared" si="19"/>
        <v>211</v>
      </c>
    </row>
    <row r="621" spans="1:13" x14ac:dyDescent="0.4">
      <c r="A621" t="s">
        <v>35</v>
      </c>
      <c r="B621" t="s">
        <v>36</v>
      </c>
      <c r="C621" s="1">
        <v>45463</v>
      </c>
      <c r="D621" s="1">
        <v>45299</v>
      </c>
      <c r="E621" t="s">
        <v>34</v>
      </c>
      <c r="F621">
        <v>14626.88</v>
      </c>
      <c r="G621">
        <v>1203</v>
      </c>
      <c r="H621">
        <v>114</v>
      </c>
      <c r="I621">
        <v>128151.15</v>
      </c>
      <c r="J621">
        <v>6431</v>
      </c>
      <c r="K621">
        <v>164502</v>
      </c>
      <c r="L621">
        <f t="shared" si="18"/>
        <v>776.13455501104806</v>
      </c>
      <c r="M621">
        <f t="shared" si="19"/>
        <v>164</v>
      </c>
    </row>
    <row r="622" spans="1:13" x14ac:dyDescent="0.4">
      <c r="A622" t="s">
        <v>100</v>
      </c>
      <c r="B622" t="s">
        <v>15</v>
      </c>
      <c r="C622" s="1">
        <v>45549</v>
      </c>
      <c r="D622" s="1">
        <v>45298</v>
      </c>
      <c r="E622" t="s">
        <v>13</v>
      </c>
      <c r="F622">
        <v>11630.86</v>
      </c>
      <c r="G622">
        <v>1831</v>
      </c>
      <c r="H622">
        <v>184</v>
      </c>
      <c r="I622">
        <v>110873.39</v>
      </c>
      <c r="J622">
        <v>6135</v>
      </c>
      <c r="K622">
        <v>239569</v>
      </c>
      <c r="L622">
        <f t="shared" si="18"/>
        <v>853.26906178906802</v>
      </c>
      <c r="M622">
        <f t="shared" si="19"/>
        <v>251</v>
      </c>
    </row>
    <row r="623" spans="1:13" x14ac:dyDescent="0.4">
      <c r="A623" t="s">
        <v>20</v>
      </c>
      <c r="B623" t="s">
        <v>36</v>
      </c>
      <c r="C623" s="1">
        <v>45393</v>
      </c>
      <c r="D623" s="1">
        <v>45298</v>
      </c>
      <c r="E623" t="s">
        <v>16</v>
      </c>
      <c r="F623">
        <v>15112.26</v>
      </c>
      <c r="G623">
        <v>1897</v>
      </c>
      <c r="H623">
        <v>430</v>
      </c>
      <c r="I623">
        <v>30229.22</v>
      </c>
      <c r="J623">
        <v>6623</v>
      </c>
      <c r="K623">
        <v>56479</v>
      </c>
      <c r="L623">
        <f t="shared" si="18"/>
        <v>100.03110057661793</v>
      </c>
      <c r="M623">
        <f t="shared" si="19"/>
        <v>95</v>
      </c>
    </row>
    <row r="624" spans="1:13" x14ac:dyDescent="0.4">
      <c r="A624" t="s">
        <v>118</v>
      </c>
      <c r="B624" t="s">
        <v>25</v>
      </c>
      <c r="C624" s="1">
        <v>45500</v>
      </c>
      <c r="D624" s="1">
        <v>45298</v>
      </c>
      <c r="E624" t="s">
        <v>26</v>
      </c>
      <c r="F624">
        <v>28260.07</v>
      </c>
      <c r="G624">
        <v>621</v>
      </c>
      <c r="H624">
        <v>36</v>
      </c>
      <c r="I624">
        <v>78285.14</v>
      </c>
      <c r="J624">
        <v>8211</v>
      </c>
      <c r="K624">
        <v>477182</v>
      </c>
      <c r="L624">
        <f t="shared" si="18"/>
        <v>177.01679436745908</v>
      </c>
      <c r="M624">
        <f t="shared" si="19"/>
        <v>202</v>
      </c>
    </row>
    <row r="625" spans="1:13" x14ac:dyDescent="0.4">
      <c r="A625" t="s">
        <v>49</v>
      </c>
      <c r="B625" t="s">
        <v>25</v>
      </c>
      <c r="C625" s="1">
        <v>45582</v>
      </c>
      <c r="D625" s="1">
        <v>45298</v>
      </c>
      <c r="E625" t="s">
        <v>34</v>
      </c>
      <c r="F625">
        <v>2428.6</v>
      </c>
      <c r="G625">
        <v>840</v>
      </c>
      <c r="H625">
        <v>238</v>
      </c>
      <c r="I625">
        <v>24333.49</v>
      </c>
      <c r="J625">
        <v>8836</v>
      </c>
      <c r="K625">
        <v>393977</v>
      </c>
      <c r="L625">
        <f t="shared" si="18"/>
        <v>901.9554475829699</v>
      </c>
      <c r="M625">
        <f t="shared" si="19"/>
        <v>284</v>
      </c>
    </row>
    <row r="626" spans="1:13" x14ac:dyDescent="0.4">
      <c r="A626" t="s">
        <v>70</v>
      </c>
      <c r="B626" t="s">
        <v>36</v>
      </c>
      <c r="C626" s="1">
        <v>45645</v>
      </c>
      <c r="D626" s="1">
        <v>45296</v>
      </c>
      <c r="E626" t="s">
        <v>13</v>
      </c>
      <c r="F626">
        <v>45455.199999999997</v>
      </c>
      <c r="G626">
        <v>1688</v>
      </c>
      <c r="H626">
        <v>286</v>
      </c>
      <c r="I626">
        <v>126476.04</v>
      </c>
      <c r="J626">
        <v>2501</v>
      </c>
      <c r="K626">
        <v>265320</v>
      </c>
      <c r="L626">
        <f t="shared" si="18"/>
        <v>178.24328129674933</v>
      </c>
      <c r="M626">
        <f t="shared" si="19"/>
        <v>349</v>
      </c>
    </row>
    <row r="627" spans="1:13" x14ac:dyDescent="0.4">
      <c r="A627" t="s">
        <v>73</v>
      </c>
      <c r="B627" t="s">
        <v>40</v>
      </c>
      <c r="C627" s="1">
        <v>45577</v>
      </c>
      <c r="D627" s="1">
        <v>45300</v>
      </c>
      <c r="E627" t="s">
        <v>13</v>
      </c>
      <c r="F627">
        <v>8657.9</v>
      </c>
      <c r="G627">
        <v>1881</v>
      </c>
      <c r="H627">
        <v>29</v>
      </c>
      <c r="I627">
        <v>92140.47</v>
      </c>
      <c r="J627">
        <v>9581</v>
      </c>
      <c r="K627">
        <v>85258</v>
      </c>
      <c r="L627">
        <f t="shared" si="18"/>
        <v>964.23578465909759</v>
      </c>
      <c r="M627">
        <f t="shared" si="19"/>
        <v>277</v>
      </c>
    </row>
    <row r="628" spans="1:13" x14ac:dyDescent="0.4">
      <c r="A628" t="s">
        <v>99</v>
      </c>
      <c r="B628" t="s">
        <v>21</v>
      </c>
      <c r="C628" s="1">
        <v>45407</v>
      </c>
      <c r="D628" s="1">
        <v>45299</v>
      </c>
      <c r="E628" t="s">
        <v>16</v>
      </c>
      <c r="F628">
        <v>11784.35</v>
      </c>
      <c r="G628">
        <v>1905</v>
      </c>
      <c r="H628">
        <v>335</v>
      </c>
      <c r="I628">
        <v>156707.07</v>
      </c>
      <c r="J628">
        <v>9074</v>
      </c>
      <c r="K628">
        <v>240423</v>
      </c>
      <c r="L628">
        <f t="shared" si="18"/>
        <v>1229.7896786840174</v>
      </c>
      <c r="M628">
        <f t="shared" si="19"/>
        <v>108</v>
      </c>
    </row>
    <row r="629" spans="1:13" x14ac:dyDescent="0.4">
      <c r="A629" t="s">
        <v>77</v>
      </c>
      <c r="B629" t="s">
        <v>54</v>
      </c>
      <c r="C629" s="1">
        <v>45555</v>
      </c>
      <c r="D629" s="1">
        <v>45297</v>
      </c>
      <c r="E629" t="s">
        <v>13</v>
      </c>
      <c r="F629">
        <v>26395.53</v>
      </c>
      <c r="G629">
        <v>1560</v>
      </c>
      <c r="H629">
        <v>283</v>
      </c>
      <c r="I629">
        <v>47991.74</v>
      </c>
      <c r="J629">
        <v>639</v>
      </c>
      <c r="K629">
        <v>378332</v>
      </c>
      <c r="L629">
        <f t="shared" si="18"/>
        <v>81.817678978220926</v>
      </c>
      <c r="M629">
        <f t="shared" si="19"/>
        <v>258</v>
      </c>
    </row>
    <row r="630" spans="1:13" x14ac:dyDescent="0.4">
      <c r="A630" t="s">
        <v>86</v>
      </c>
      <c r="B630" t="s">
        <v>40</v>
      </c>
      <c r="C630" s="1">
        <v>45441</v>
      </c>
      <c r="D630" s="1">
        <v>45295</v>
      </c>
      <c r="E630" t="s">
        <v>16</v>
      </c>
      <c r="F630">
        <v>35795.620000000003</v>
      </c>
      <c r="G630">
        <v>1926</v>
      </c>
      <c r="H630">
        <v>230</v>
      </c>
      <c r="I630">
        <v>37090.379999999997</v>
      </c>
      <c r="J630">
        <v>5715</v>
      </c>
      <c r="K630">
        <v>85153</v>
      </c>
      <c r="L630">
        <f t="shared" si="18"/>
        <v>3.6170905825908157</v>
      </c>
      <c r="M630">
        <f t="shared" si="19"/>
        <v>146</v>
      </c>
    </row>
    <row r="631" spans="1:13" x14ac:dyDescent="0.4">
      <c r="A631" t="s">
        <v>11</v>
      </c>
      <c r="B631" t="s">
        <v>43</v>
      </c>
      <c r="C631" s="1">
        <v>45591</v>
      </c>
      <c r="D631" s="1">
        <v>45302</v>
      </c>
      <c r="E631" t="s">
        <v>16</v>
      </c>
      <c r="F631">
        <v>5690.72</v>
      </c>
      <c r="G631">
        <v>1224</v>
      </c>
      <c r="H631">
        <v>61</v>
      </c>
      <c r="I631">
        <v>84234.79</v>
      </c>
      <c r="J631">
        <v>3056</v>
      </c>
      <c r="K631">
        <v>193990</v>
      </c>
      <c r="L631">
        <f t="shared" si="18"/>
        <v>1380.2132243371664</v>
      </c>
      <c r="M631">
        <f t="shared" si="19"/>
        <v>289</v>
      </c>
    </row>
    <row r="632" spans="1:13" x14ac:dyDescent="0.4">
      <c r="A632" t="s">
        <v>24</v>
      </c>
      <c r="B632" t="s">
        <v>40</v>
      </c>
      <c r="C632" s="1">
        <v>45327</v>
      </c>
      <c r="D632" s="1">
        <v>45294</v>
      </c>
      <c r="E632" t="s">
        <v>34</v>
      </c>
      <c r="F632">
        <v>16567.04</v>
      </c>
      <c r="G632">
        <v>1742</v>
      </c>
      <c r="H632">
        <v>184</v>
      </c>
      <c r="I632">
        <v>185684.15</v>
      </c>
      <c r="J632">
        <v>8177</v>
      </c>
      <c r="K632">
        <v>260642</v>
      </c>
      <c r="L632">
        <f t="shared" si="18"/>
        <v>1020.8046217067139</v>
      </c>
      <c r="M632">
        <f t="shared" si="19"/>
        <v>33</v>
      </c>
    </row>
    <row r="633" spans="1:13" x14ac:dyDescent="0.4">
      <c r="A633" t="s">
        <v>123</v>
      </c>
      <c r="B633" t="s">
        <v>12</v>
      </c>
      <c r="C633" s="1">
        <v>45624</v>
      </c>
      <c r="D633" s="1">
        <v>45297</v>
      </c>
      <c r="E633" t="s">
        <v>34</v>
      </c>
      <c r="F633">
        <v>48465.06</v>
      </c>
      <c r="G633">
        <v>1279</v>
      </c>
      <c r="H633">
        <v>236</v>
      </c>
      <c r="I633">
        <v>143532.25</v>
      </c>
      <c r="J633">
        <v>3822</v>
      </c>
      <c r="K633">
        <v>421331</v>
      </c>
      <c r="L633">
        <f t="shared" si="18"/>
        <v>196.15613805079371</v>
      </c>
      <c r="M633">
        <f t="shared" si="19"/>
        <v>327</v>
      </c>
    </row>
    <row r="634" spans="1:13" x14ac:dyDescent="0.4">
      <c r="A634" t="s">
        <v>121</v>
      </c>
      <c r="B634" t="s">
        <v>30</v>
      </c>
      <c r="C634" s="1">
        <v>45578</v>
      </c>
      <c r="D634" s="1">
        <v>45294</v>
      </c>
      <c r="E634" t="s">
        <v>26</v>
      </c>
      <c r="F634">
        <v>13854.81</v>
      </c>
      <c r="G634">
        <v>228</v>
      </c>
      <c r="H634">
        <v>386</v>
      </c>
      <c r="I634">
        <v>86690.11</v>
      </c>
      <c r="J634">
        <v>5187</v>
      </c>
      <c r="K634">
        <v>234984</v>
      </c>
      <c r="L634">
        <f t="shared" si="18"/>
        <v>525.70406956140141</v>
      </c>
      <c r="M634">
        <f t="shared" si="19"/>
        <v>284</v>
      </c>
    </row>
    <row r="635" spans="1:13" x14ac:dyDescent="0.4">
      <c r="A635" t="s">
        <v>103</v>
      </c>
      <c r="B635" t="s">
        <v>28</v>
      </c>
      <c r="C635" s="1">
        <v>45594</v>
      </c>
      <c r="D635" s="1">
        <v>45299</v>
      </c>
      <c r="E635" t="s">
        <v>34</v>
      </c>
      <c r="F635">
        <v>16339.46</v>
      </c>
      <c r="G635">
        <v>246</v>
      </c>
      <c r="H635">
        <v>347</v>
      </c>
      <c r="I635">
        <v>105868.07</v>
      </c>
      <c r="J635">
        <v>6560</v>
      </c>
      <c r="K635">
        <v>78442</v>
      </c>
      <c r="L635">
        <f t="shared" si="18"/>
        <v>547.92881772102635</v>
      </c>
      <c r="M635">
        <f t="shared" si="19"/>
        <v>295</v>
      </c>
    </row>
    <row r="636" spans="1:13" x14ac:dyDescent="0.4">
      <c r="A636" t="s">
        <v>100</v>
      </c>
      <c r="B636" t="s">
        <v>12</v>
      </c>
      <c r="C636" s="1">
        <v>45602</v>
      </c>
      <c r="D636" s="1">
        <v>45297</v>
      </c>
      <c r="E636" t="s">
        <v>34</v>
      </c>
      <c r="F636">
        <v>41988.43</v>
      </c>
      <c r="G636">
        <v>784</v>
      </c>
      <c r="H636">
        <v>481</v>
      </c>
      <c r="I636">
        <v>21421.54</v>
      </c>
      <c r="J636">
        <v>2270</v>
      </c>
      <c r="K636">
        <v>303146</v>
      </c>
      <c r="L636">
        <f t="shared" si="18"/>
        <v>-48.982279165951191</v>
      </c>
      <c r="M636">
        <f t="shared" si="19"/>
        <v>305</v>
      </c>
    </row>
    <row r="637" spans="1:13" x14ac:dyDescent="0.4">
      <c r="A637" t="s">
        <v>127</v>
      </c>
      <c r="B637" t="s">
        <v>31</v>
      </c>
      <c r="C637" s="1">
        <v>45499</v>
      </c>
      <c r="D637" s="1">
        <v>45298</v>
      </c>
      <c r="E637" t="s">
        <v>16</v>
      </c>
      <c r="F637">
        <v>3460.51</v>
      </c>
      <c r="G637">
        <v>138</v>
      </c>
      <c r="H637">
        <v>291</v>
      </c>
      <c r="I637">
        <v>196992.3</v>
      </c>
      <c r="J637">
        <v>3491</v>
      </c>
      <c r="K637">
        <v>58124</v>
      </c>
      <c r="L637">
        <f t="shared" si="18"/>
        <v>5592.5799954341983</v>
      </c>
      <c r="M637">
        <f t="shared" si="19"/>
        <v>201</v>
      </c>
    </row>
    <row r="638" spans="1:13" x14ac:dyDescent="0.4">
      <c r="A638" t="s">
        <v>11</v>
      </c>
      <c r="B638" t="s">
        <v>30</v>
      </c>
      <c r="C638" s="1">
        <v>45397</v>
      </c>
      <c r="D638" s="1">
        <v>45298</v>
      </c>
      <c r="E638" t="s">
        <v>34</v>
      </c>
      <c r="F638">
        <v>23766.05</v>
      </c>
      <c r="G638">
        <v>848</v>
      </c>
      <c r="H638">
        <v>68</v>
      </c>
      <c r="I638">
        <v>134949.42000000001</v>
      </c>
      <c r="J638">
        <v>7042</v>
      </c>
      <c r="K638">
        <v>400826</v>
      </c>
      <c r="L638">
        <f t="shared" si="18"/>
        <v>467.82435448886127</v>
      </c>
      <c r="M638">
        <f t="shared" si="19"/>
        <v>99</v>
      </c>
    </row>
    <row r="639" spans="1:13" x14ac:dyDescent="0.4">
      <c r="A639" t="s">
        <v>89</v>
      </c>
      <c r="B639" t="s">
        <v>30</v>
      </c>
      <c r="C639" s="1">
        <v>45449</v>
      </c>
      <c r="D639" s="1">
        <v>45302</v>
      </c>
      <c r="E639" t="s">
        <v>16</v>
      </c>
      <c r="F639">
        <v>19601.22</v>
      </c>
      <c r="G639">
        <v>1507</v>
      </c>
      <c r="H639">
        <v>459</v>
      </c>
      <c r="I639">
        <v>60653.79</v>
      </c>
      <c r="J639">
        <v>1716</v>
      </c>
      <c r="K639">
        <v>312896</v>
      </c>
      <c r="L639">
        <f t="shared" si="18"/>
        <v>209.43885125517693</v>
      </c>
      <c r="M639">
        <f t="shared" si="19"/>
        <v>147</v>
      </c>
    </row>
    <row r="640" spans="1:13" x14ac:dyDescent="0.4">
      <c r="A640" t="s">
        <v>35</v>
      </c>
      <c r="B640" t="s">
        <v>18</v>
      </c>
      <c r="C640" s="1">
        <v>45412</v>
      </c>
      <c r="D640" s="1">
        <v>45294</v>
      </c>
      <c r="E640" t="s">
        <v>16</v>
      </c>
      <c r="F640">
        <v>16512.75</v>
      </c>
      <c r="G640">
        <v>837</v>
      </c>
      <c r="H640">
        <v>236</v>
      </c>
      <c r="I640">
        <v>119232.64</v>
      </c>
      <c r="J640">
        <v>9208</v>
      </c>
      <c r="K640">
        <v>260488</v>
      </c>
      <c r="L640">
        <f t="shared" si="18"/>
        <v>622.06410198180197</v>
      </c>
      <c r="M640">
        <f t="shared" si="19"/>
        <v>118</v>
      </c>
    </row>
    <row r="641" spans="1:13" x14ac:dyDescent="0.4">
      <c r="A641" t="s">
        <v>41</v>
      </c>
      <c r="B641" t="s">
        <v>21</v>
      </c>
      <c r="C641" s="1">
        <v>45346</v>
      </c>
      <c r="D641" s="1">
        <v>45295</v>
      </c>
      <c r="E641" t="s">
        <v>34</v>
      </c>
      <c r="F641">
        <v>14999.28</v>
      </c>
      <c r="G641">
        <v>797</v>
      </c>
      <c r="H641">
        <v>293</v>
      </c>
      <c r="I641">
        <v>26349.06</v>
      </c>
      <c r="J641">
        <v>6558</v>
      </c>
      <c r="K641">
        <v>79947</v>
      </c>
      <c r="L641">
        <f t="shared" si="18"/>
        <v>75.668832103940986</v>
      </c>
      <c r="M641">
        <f t="shared" si="19"/>
        <v>51</v>
      </c>
    </row>
    <row r="642" spans="1:13" x14ac:dyDescent="0.4">
      <c r="A642" t="s">
        <v>101</v>
      </c>
      <c r="B642" t="s">
        <v>21</v>
      </c>
      <c r="C642" s="1">
        <v>45303</v>
      </c>
      <c r="D642" s="1">
        <v>45299</v>
      </c>
      <c r="E642" t="s">
        <v>26</v>
      </c>
      <c r="F642">
        <v>5477.33</v>
      </c>
      <c r="G642">
        <v>1256</v>
      </c>
      <c r="H642">
        <v>217</v>
      </c>
      <c r="I642">
        <v>193338.15</v>
      </c>
      <c r="J642">
        <v>2856</v>
      </c>
      <c r="K642">
        <v>382116</v>
      </c>
      <c r="L642">
        <f t="shared" si="18"/>
        <v>3429.7882362391897</v>
      </c>
      <c r="M642">
        <f t="shared" si="19"/>
        <v>4</v>
      </c>
    </row>
    <row r="643" spans="1:13" x14ac:dyDescent="0.4">
      <c r="A643" t="s">
        <v>123</v>
      </c>
      <c r="B643" t="s">
        <v>30</v>
      </c>
      <c r="C643" s="1">
        <v>45436</v>
      </c>
      <c r="D643" s="1">
        <v>45298</v>
      </c>
      <c r="E643" t="s">
        <v>26</v>
      </c>
      <c r="F643">
        <v>16426.47</v>
      </c>
      <c r="G643">
        <v>258</v>
      </c>
      <c r="H643">
        <v>262</v>
      </c>
      <c r="I643">
        <v>39083.07</v>
      </c>
      <c r="J643">
        <v>6953</v>
      </c>
      <c r="K643">
        <v>337860</v>
      </c>
      <c r="L643">
        <f t="shared" ref="L643:L706" si="20">(I643 - F643)/F643*100</f>
        <v>137.92738184162511</v>
      </c>
      <c r="M643">
        <f t="shared" ref="M643:M706" si="21">ABS(D643 - C643)</f>
        <v>138</v>
      </c>
    </row>
    <row r="644" spans="1:13" x14ac:dyDescent="0.4">
      <c r="A644" t="s">
        <v>114</v>
      </c>
      <c r="B644" t="s">
        <v>43</v>
      </c>
      <c r="C644" s="1">
        <v>45427</v>
      </c>
      <c r="D644" s="1">
        <v>45300</v>
      </c>
      <c r="E644" t="s">
        <v>13</v>
      </c>
      <c r="F644">
        <v>3109.57</v>
      </c>
      <c r="G644">
        <v>542</v>
      </c>
      <c r="H644">
        <v>22</v>
      </c>
      <c r="I644">
        <v>131365.91</v>
      </c>
      <c r="J644">
        <v>7809</v>
      </c>
      <c r="K644">
        <v>442209</v>
      </c>
      <c r="L644">
        <f t="shared" si="20"/>
        <v>4124.5683486784346</v>
      </c>
      <c r="M644">
        <f t="shared" si="21"/>
        <v>127</v>
      </c>
    </row>
    <row r="645" spans="1:13" x14ac:dyDescent="0.4">
      <c r="A645" t="s">
        <v>66</v>
      </c>
      <c r="B645" t="s">
        <v>40</v>
      </c>
      <c r="C645" s="1">
        <v>45294</v>
      </c>
      <c r="D645" s="1">
        <v>45296</v>
      </c>
      <c r="E645" t="s">
        <v>13</v>
      </c>
      <c r="F645">
        <v>39267.230000000003</v>
      </c>
      <c r="G645">
        <v>1203</v>
      </c>
      <c r="H645">
        <v>179</v>
      </c>
      <c r="I645">
        <v>52863.62</v>
      </c>
      <c r="J645">
        <v>2036</v>
      </c>
      <c r="K645">
        <v>273217</v>
      </c>
      <c r="L645">
        <f t="shared" si="20"/>
        <v>34.625284238282141</v>
      </c>
      <c r="M645">
        <f t="shared" si="21"/>
        <v>2</v>
      </c>
    </row>
    <row r="646" spans="1:13" x14ac:dyDescent="0.4">
      <c r="A646" t="s">
        <v>41</v>
      </c>
      <c r="B646" t="s">
        <v>18</v>
      </c>
      <c r="C646" s="1">
        <v>45435</v>
      </c>
      <c r="D646" s="1">
        <v>45296</v>
      </c>
      <c r="E646" t="s">
        <v>34</v>
      </c>
      <c r="F646">
        <v>20513.16</v>
      </c>
      <c r="G646">
        <v>714</v>
      </c>
      <c r="H646">
        <v>421</v>
      </c>
      <c r="I646">
        <v>144924.47</v>
      </c>
      <c r="J646">
        <v>3191</v>
      </c>
      <c r="K646">
        <v>300395</v>
      </c>
      <c r="L646">
        <f t="shared" si="20"/>
        <v>606.49509875611557</v>
      </c>
      <c r="M646">
        <f t="shared" si="21"/>
        <v>139</v>
      </c>
    </row>
    <row r="647" spans="1:13" x14ac:dyDescent="0.4">
      <c r="A647" t="s">
        <v>57</v>
      </c>
      <c r="B647" t="s">
        <v>28</v>
      </c>
      <c r="C647" s="1">
        <v>45321</v>
      </c>
      <c r="D647" s="1">
        <v>45295</v>
      </c>
      <c r="E647" t="s">
        <v>26</v>
      </c>
      <c r="F647">
        <v>22751.29</v>
      </c>
      <c r="G647">
        <v>1086</v>
      </c>
      <c r="H647">
        <v>233</v>
      </c>
      <c r="I647">
        <v>156480.17000000001</v>
      </c>
      <c r="J647">
        <v>1068</v>
      </c>
      <c r="K647">
        <v>97496</v>
      </c>
      <c r="L647">
        <f t="shared" si="20"/>
        <v>587.78592334764312</v>
      </c>
      <c r="M647">
        <f t="shared" si="21"/>
        <v>26</v>
      </c>
    </row>
    <row r="648" spans="1:13" x14ac:dyDescent="0.4">
      <c r="A648" t="s">
        <v>50</v>
      </c>
      <c r="B648" t="s">
        <v>30</v>
      </c>
      <c r="C648" s="1">
        <v>45528</v>
      </c>
      <c r="D648" s="1">
        <v>45296</v>
      </c>
      <c r="E648" t="s">
        <v>16</v>
      </c>
      <c r="F648">
        <v>44786.13</v>
      </c>
      <c r="G648">
        <v>1707</v>
      </c>
      <c r="H648">
        <v>230</v>
      </c>
      <c r="I648">
        <v>136316.85</v>
      </c>
      <c r="J648">
        <v>7397</v>
      </c>
      <c r="K648">
        <v>203509</v>
      </c>
      <c r="L648">
        <f t="shared" si="20"/>
        <v>204.37291634709229</v>
      </c>
      <c r="M648">
        <f t="shared" si="21"/>
        <v>232</v>
      </c>
    </row>
    <row r="649" spans="1:13" x14ac:dyDescent="0.4">
      <c r="A649" t="s">
        <v>66</v>
      </c>
      <c r="B649" t="s">
        <v>51</v>
      </c>
      <c r="C649" s="1">
        <v>45570</v>
      </c>
      <c r="D649" s="1">
        <v>45294</v>
      </c>
      <c r="E649" t="s">
        <v>13</v>
      </c>
      <c r="F649">
        <v>33244.69</v>
      </c>
      <c r="G649">
        <v>920</v>
      </c>
      <c r="H649">
        <v>88</v>
      </c>
      <c r="I649">
        <v>124827.39</v>
      </c>
      <c r="J649">
        <v>3303</v>
      </c>
      <c r="K649">
        <v>302041</v>
      </c>
      <c r="L649">
        <f t="shared" si="20"/>
        <v>275.48068578771523</v>
      </c>
      <c r="M649">
        <f t="shared" si="21"/>
        <v>276</v>
      </c>
    </row>
    <row r="650" spans="1:13" x14ac:dyDescent="0.4">
      <c r="A650" t="s">
        <v>69</v>
      </c>
      <c r="B650" t="s">
        <v>25</v>
      </c>
      <c r="C650" s="1">
        <v>45639</v>
      </c>
      <c r="D650" s="1">
        <v>45298</v>
      </c>
      <c r="E650" t="s">
        <v>16</v>
      </c>
      <c r="F650">
        <v>1394.9</v>
      </c>
      <c r="G650">
        <v>781</v>
      </c>
      <c r="H650">
        <v>295</v>
      </c>
      <c r="I650">
        <v>179031.47</v>
      </c>
      <c r="J650">
        <v>6599</v>
      </c>
      <c r="K650">
        <v>445122</v>
      </c>
      <c r="L650">
        <f t="shared" si="20"/>
        <v>12734.717184027528</v>
      </c>
      <c r="M650">
        <f t="shared" si="21"/>
        <v>341</v>
      </c>
    </row>
    <row r="651" spans="1:13" x14ac:dyDescent="0.4">
      <c r="A651" t="s">
        <v>86</v>
      </c>
      <c r="B651" t="s">
        <v>25</v>
      </c>
      <c r="C651" s="1">
        <v>45406</v>
      </c>
      <c r="D651" s="1">
        <v>45298</v>
      </c>
      <c r="E651" t="s">
        <v>13</v>
      </c>
      <c r="F651">
        <v>47215.57</v>
      </c>
      <c r="G651">
        <v>1179</v>
      </c>
      <c r="H651">
        <v>439</v>
      </c>
      <c r="I651">
        <v>20332.21</v>
      </c>
      <c r="J651">
        <v>5273</v>
      </c>
      <c r="K651">
        <v>314760</v>
      </c>
      <c r="L651">
        <f t="shared" si="20"/>
        <v>-56.937489052869637</v>
      </c>
      <c r="M651">
        <f t="shared" si="21"/>
        <v>108</v>
      </c>
    </row>
    <row r="652" spans="1:13" x14ac:dyDescent="0.4">
      <c r="A652" t="s">
        <v>98</v>
      </c>
      <c r="B652" t="s">
        <v>12</v>
      </c>
      <c r="C652" s="1">
        <v>45395</v>
      </c>
      <c r="D652" s="1">
        <v>45300</v>
      </c>
      <c r="E652" t="s">
        <v>34</v>
      </c>
      <c r="F652">
        <v>12620.08</v>
      </c>
      <c r="G652">
        <v>1448</v>
      </c>
      <c r="H652">
        <v>374</v>
      </c>
      <c r="I652">
        <v>69528.38</v>
      </c>
      <c r="J652">
        <v>989</v>
      </c>
      <c r="K652">
        <v>263037</v>
      </c>
      <c r="L652">
        <f t="shared" si="20"/>
        <v>450.93454241177557</v>
      </c>
      <c r="M652">
        <f t="shared" si="21"/>
        <v>95</v>
      </c>
    </row>
    <row r="653" spans="1:13" x14ac:dyDescent="0.4">
      <c r="A653" t="s">
        <v>76</v>
      </c>
      <c r="B653" t="s">
        <v>31</v>
      </c>
      <c r="C653" s="1">
        <v>45409</v>
      </c>
      <c r="D653" s="1">
        <v>45297</v>
      </c>
      <c r="E653" t="s">
        <v>26</v>
      </c>
      <c r="F653">
        <v>6273.1</v>
      </c>
      <c r="G653">
        <v>1655</v>
      </c>
      <c r="H653">
        <v>250</v>
      </c>
      <c r="I653">
        <v>53416.06</v>
      </c>
      <c r="J653">
        <v>9084</v>
      </c>
      <c r="K653">
        <v>267626</v>
      </c>
      <c r="L653">
        <f t="shared" si="20"/>
        <v>751.5097798536608</v>
      </c>
      <c r="M653">
        <f t="shared" si="21"/>
        <v>112</v>
      </c>
    </row>
    <row r="654" spans="1:13" x14ac:dyDescent="0.4">
      <c r="A654" t="s">
        <v>27</v>
      </c>
      <c r="B654" t="s">
        <v>23</v>
      </c>
      <c r="C654" s="1">
        <v>45296</v>
      </c>
      <c r="D654" s="1">
        <v>45296</v>
      </c>
      <c r="E654" t="s">
        <v>13</v>
      </c>
      <c r="F654">
        <v>38638.28</v>
      </c>
      <c r="G654">
        <v>1780</v>
      </c>
      <c r="H654">
        <v>406</v>
      </c>
      <c r="I654">
        <v>197662.72</v>
      </c>
      <c r="J654">
        <v>9273</v>
      </c>
      <c r="K654">
        <v>371134</v>
      </c>
      <c r="L654">
        <f t="shared" si="20"/>
        <v>411.57225425148329</v>
      </c>
      <c r="M654">
        <f t="shared" si="21"/>
        <v>0</v>
      </c>
    </row>
    <row r="655" spans="1:13" x14ac:dyDescent="0.4">
      <c r="A655" t="s">
        <v>14</v>
      </c>
      <c r="B655" t="s">
        <v>23</v>
      </c>
      <c r="C655" s="1">
        <v>45651</v>
      </c>
      <c r="D655" s="1">
        <v>45294</v>
      </c>
      <c r="E655" t="s">
        <v>26</v>
      </c>
      <c r="F655">
        <v>25523.39</v>
      </c>
      <c r="G655">
        <v>747</v>
      </c>
      <c r="H655">
        <v>114</v>
      </c>
      <c r="I655">
        <v>80931.009999999995</v>
      </c>
      <c r="J655">
        <v>7482</v>
      </c>
      <c r="K655">
        <v>223036</v>
      </c>
      <c r="L655">
        <f t="shared" si="20"/>
        <v>217.08566142663651</v>
      </c>
      <c r="M655">
        <f t="shared" si="21"/>
        <v>357</v>
      </c>
    </row>
    <row r="656" spans="1:13" x14ac:dyDescent="0.4">
      <c r="A656" t="s">
        <v>29</v>
      </c>
      <c r="B656" t="s">
        <v>25</v>
      </c>
      <c r="C656" s="1">
        <v>45539</v>
      </c>
      <c r="D656" s="1">
        <v>45301</v>
      </c>
      <c r="E656" t="s">
        <v>16</v>
      </c>
      <c r="F656">
        <v>22254.76</v>
      </c>
      <c r="G656">
        <v>1172</v>
      </c>
      <c r="H656">
        <v>258</v>
      </c>
      <c r="I656">
        <v>147859.48000000001</v>
      </c>
      <c r="J656">
        <v>3631</v>
      </c>
      <c r="K656">
        <v>467152</v>
      </c>
      <c r="L656">
        <f t="shared" si="20"/>
        <v>564.39485305615528</v>
      </c>
      <c r="M656">
        <f t="shared" si="21"/>
        <v>238</v>
      </c>
    </row>
    <row r="657" spans="1:13" x14ac:dyDescent="0.4">
      <c r="A657" t="s">
        <v>67</v>
      </c>
      <c r="B657" t="s">
        <v>54</v>
      </c>
      <c r="C657" s="1">
        <v>45655</v>
      </c>
      <c r="D657" s="1">
        <v>45296</v>
      </c>
      <c r="E657" t="s">
        <v>34</v>
      </c>
      <c r="F657">
        <v>13225.65</v>
      </c>
      <c r="G657">
        <v>643</v>
      </c>
      <c r="H657">
        <v>92</v>
      </c>
      <c r="I657">
        <v>138521.41</v>
      </c>
      <c r="J657">
        <v>901</v>
      </c>
      <c r="K657">
        <v>171646</v>
      </c>
      <c r="L657">
        <f t="shared" si="20"/>
        <v>947.36939205256454</v>
      </c>
      <c r="M657">
        <f t="shared" si="21"/>
        <v>359</v>
      </c>
    </row>
    <row r="658" spans="1:13" x14ac:dyDescent="0.4">
      <c r="A658" t="s">
        <v>49</v>
      </c>
      <c r="B658" t="s">
        <v>33</v>
      </c>
      <c r="C658" s="1">
        <v>45612</v>
      </c>
      <c r="D658" s="1">
        <v>45295</v>
      </c>
      <c r="E658" t="s">
        <v>26</v>
      </c>
      <c r="F658">
        <v>27826.1</v>
      </c>
      <c r="G658">
        <v>1660</v>
      </c>
      <c r="H658">
        <v>76</v>
      </c>
      <c r="I658">
        <v>46355.839999999997</v>
      </c>
      <c r="J658">
        <v>8334</v>
      </c>
      <c r="K658">
        <v>306428</v>
      </c>
      <c r="L658">
        <f t="shared" si="20"/>
        <v>66.591221910364723</v>
      </c>
      <c r="M658">
        <f t="shared" si="21"/>
        <v>317</v>
      </c>
    </row>
    <row r="659" spans="1:13" x14ac:dyDescent="0.4">
      <c r="A659" t="s">
        <v>70</v>
      </c>
      <c r="B659" t="s">
        <v>12</v>
      </c>
      <c r="C659" s="1">
        <v>45412</v>
      </c>
      <c r="D659" s="1">
        <v>45297</v>
      </c>
      <c r="E659" t="s">
        <v>34</v>
      </c>
      <c r="F659">
        <v>14444.85</v>
      </c>
      <c r="G659">
        <v>935</v>
      </c>
      <c r="H659">
        <v>385</v>
      </c>
      <c r="I659">
        <v>51604.55</v>
      </c>
      <c r="J659">
        <v>3449</v>
      </c>
      <c r="K659">
        <v>336076</v>
      </c>
      <c r="L659">
        <f t="shared" si="20"/>
        <v>257.2522386871446</v>
      </c>
      <c r="M659">
        <f t="shared" si="21"/>
        <v>115</v>
      </c>
    </row>
    <row r="660" spans="1:13" x14ac:dyDescent="0.4">
      <c r="A660" t="s">
        <v>85</v>
      </c>
      <c r="B660" t="s">
        <v>23</v>
      </c>
      <c r="C660" s="1">
        <v>45577</v>
      </c>
      <c r="D660" s="1">
        <v>45296</v>
      </c>
      <c r="E660" t="s">
        <v>26</v>
      </c>
      <c r="F660">
        <v>45177.57</v>
      </c>
      <c r="G660">
        <v>901</v>
      </c>
      <c r="H660">
        <v>34</v>
      </c>
      <c r="I660">
        <v>59850.49</v>
      </c>
      <c r="J660">
        <v>8105</v>
      </c>
      <c r="K660">
        <v>270482</v>
      </c>
      <c r="L660">
        <f t="shared" si="20"/>
        <v>32.478329401072251</v>
      </c>
      <c r="M660">
        <f t="shared" si="21"/>
        <v>281</v>
      </c>
    </row>
    <row r="661" spans="1:13" x14ac:dyDescent="0.4">
      <c r="A661" t="s">
        <v>50</v>
      </c>
      <c r="B661" t="s">
        <v>25</v>
      </c>
      <c r="C661" s="1">
        <v>45440</v>
      </c>
      <c r="D661" s="1">
        <v>45294</v>
      </c>
      <c r="E661" t="s">
        <v>16</v>
      </c>
      <c r="F661">
        <v>11545.02</v>
      </c>
      <c r="G661">
        <v>1265</v>
      </c>
      <c r="H661">
        <v>176</v>
      </c>
      <c r="I661">
        <v>85169.82</v>
      </c>
      <c r="J661">
        <v>3301</v>
      </c>
      <c r="K661">
        <v>174790</v>
      </c>
      <c r="L661">
        <f t="shared" si="20"/>
        <v>637.71912045193517</v>
      </c>
      <c r="M661">
        <f t="shared" si="21"/>
        <v>146</v>
      </c>
    </row>
    <row r="662" spans="1:13" x14ac:dyDescent="0.4">
      <c r="A662" t="s">
        <v>120</v>
      </c>
      <c r="B662" t="s">
        <v>31</v>
      </c>
      <c r="C662" s="1">
        <v>45375</v>
      </c>
      <c r="D662" s="1">
        <v>45296</v>
      </c>
      <c r="E662" t="s">
        <v>16</v>
      </c>
      <c r="F662">
        <v>44333.4</v>
      </c>
      <c r="G662">
        <v>374</v>
      </c>
      <c r="H662">
        <v>313</v>
      </c>
      <c r="I662">
        <v>50693.39</v>
      </c>
      <c r="J662">
        <v>449</v>
      </c>
      <c r="K662">
        <v>144572</v>
      </c>
      <c r="L662">
        <f t="shared" si="20"/>
        <v>14.345820532600698</v>
      </c>
      <c r="M662">
        <f t="shared" si="21"/>
        <v>79</v>
      </c>
    </row>
    <row r="663" spans="1:13" x14ac:dyDescent="0.4">
      <c r="A663" t="s">
        <v>64</v>
      </c>
      <c r="B663" t="s">
        <v>23</v>
      </c>
      <c r="C663" s="1">
        <v>45522</v>
      </c>
      <c r="D663" s="1">
        <v>45295</v>
      </c>
      <c r="E663" t="s">
        <v>34</v>
      </c>
      <c r="F663">
        <v>28410.87</v>
      </c>
      <c r="G663">
        <v>1028</v>
      </c>
      <c r="H663">
        <v>398</v>
      </c>
      <c r="I663">
        <v>8832.0400000000009</v>
      </c>
      <c r="J663">
        <v>9859</v>
      </c>
      <c r="K663">
        <v>143617</v>
      </c>
      <c r="L663">
        <f t="shared" si="20"/>
        <v>-68.913165981893542</v>
      </c>
      <c r="M663">
        <f t="shared" si="21"/>
        <v>227</v>
      </c>
    </row>
    <row r="664" spans="1:13" x14ac:dyDescent="0.4">
      <c r="A664" t="s">
        <v>128</v>
      </c>
      <c r="B664" t="s">
        <v>40</v>
      </c>
      <c r="C664" s="1">
        <v>45579</v>
      </c>
      <c r="D664" s="1">
        <v>45301</v>
      </c>
      <c r="E664" t="s">
        <v>16</v>
      </c>
      <c r="F664">
        <v>41595.919999999998</v>
      </c>
      <c r="G664">
        <v>1799</v>
      </c>
      <c r="H664">
        <v>347</v>
      </c>
      <c r="I664">
        <v>176481.65</v>
      </c>
      <c r="J664">
        <v>9421</v>
      </c>
      <c r="K664">
        <v>62480</v>
      </c>
      <c r="L664">
        <f t="shared" si="20"/>
        <v>324.27634729560009</v>
      </c>
      <c r="M664">
        <f t="shared" si="21"/>
        <v>278</v>
      </c>
    </row>
    <row r="665" spans="1:13" x14ac:dyDescent="0.4">
      <c r="A665" t="s">
        <v>111</v>
      </c>
      <c r="B665" t="s">
        <v>40</v>
      </c>
      <c r="C665" s="1">
        <v>45452</v>
      </c>
      <c r="D665" s="1">
        <v>45299</v>
      </c>
      <c r="E665" t="s">
        <v>13</v>
      </c>
      <c r="F665">
        <v>35929.449999999997</v>
      </c>
      <c r="G665">
        <v>1900</v>
      </c>
      <c r="H665">
        <v>440</v>
      </c>
      <c r="I665">
        <v>193293.92</v>
      </c>
      <c r="J665">
        <v>683</v>
      </c>
      <c r="K665">
        <v>137313</v>
      </c>
      <c r="L665">
        <f t="shared" si="20"/>
        <v>437.98185054321743</v>
      </c>
      <c r="M665">
        <f t="shared" si="21"/>
        <v>153</v>
      </c>
    </row>
    <row r="666" spans="1:13" x14ac:dyDescent="0.4">
      <c r="A666" t="s">
        <v>88</v>
      </c>
      <c r="B666" t="s">
        <v>21</v>
      </c>
      <c r="C666" s="1">
        <v>45563</v>
      </c>
      <c r="D666" s="1">
        <v>45302</v>
      </c>
      <c r="E666" t="s">
        <v>26</v>
      </c>
      <c r="F666">
        <v>35138.06</v>
      </c>
      <c r="G666">
        <v>1005</v>
      </c>
      <c r="H666">
        <v>181</v>
      </c>
      <c r="I666">
        <v>71606.23</v>
      </c>
      <c r="J666">
        <v>3477</v>
      </c>
      <c r="K666">
        <v>221386</v>
      </c>
      <c r="L666">
        <f t="shared" si="20"/>
        <v>103.78538257376759</v>
      </c>
      <c r="M666">
        <f t="shared" si="21"/>
        <v>261</v>
      </c>
    </row>
    <row r="667" spans="1:13" x14ac:dyDescent="0.4">
      <c r="A667" t="s">
        <v>57</v>
      </c>
      <c r="B667" t="s">
        <v>43</v>
      </c>
      <c r="C667" s="1">
        <v>45329</v>
      </c>
      <c r="D667" s="1">
        <v>45301</v>
      </c>
      <c r="E667" t="s">
        <v>16</v>
      </c>
      <c r="F667">
        <v>16892.939999999999</v>
      </c>
      <c r="G667">
        <v>1540</v>
      </c>
      <c r="H667">
        <v>143</v>
      </c>
      <c r="I667">
        <v>71008.84</v>
      </c>
      <c r="J667">
        <v>6128</v>
      </c>
      <c r="K667">
        <v>417037</v>
      </c>
      <c r="L667">
        <f t="shared" si="20"/>
        <v>320.34625115580826</v>
      </c>
      <c r="M667">
        <f t="shared" si="21"/>
        <v>28</v>
      </c>
    </row>
    <row r="668" spans="1:13" x14ac:dyDescent="0.4">
      <c r="A668" t="s">
        <v>70</v>
      </c>
      <c r="B668" t="s">
        <v>21</v>
      </c>
      <c r="C668" s="1">
        <v>45517</v>
      </c>
      <c r="D668" s="1">
        <v>45296</v>
      </c>
      <c r="E668" t="s">
        <v>13</v>
      </c>
      <c r="F668">
        <v>12460.95</v>
      </c>
      <c r="G668">
        <v>943</v>
      </c>
      <c r="H668">
        <v>198</v>
      </c>
      <c r="I668">
        <v>6382.9</v>
      </c>
      <c r="J668">
        <v>7794</v>
      </c>
      <c r="K668">
        <v>5695</v>
      </c>
      <c r="L668">
        <f t="shared" si="20"/>
        <v>-48.776778656522986</v>
      </c>
      <c r="M668">
        <f t="shared" si="21"/>
        <v>221</v>
      </c>
    </row>
    <row r="669" spans="1:13" x14ac:dyDescent="0.4">
      <c r="A669" t="s">
        <v>80</v>
      </c>
      <c r="B669" t="s">
        <v>28</v>
      </c>
      <c r="C669" s="1">
        <v>45433</v>
      </c>
      <c r="D669" s="1">
        <v>45298</v>
      </c>
      <c r="E669" t="s">
        <v>34</v>
      </c>
      <c r="F669">
        <v>11333.43</v>
      </c>
      <c r="G669">
        <v>1440</v>
      </c>
      <c r="H669">
        <v>190</v>
      </c>
      <c r="I669">
        <v>137648.88</v>
      </c>
      <c r="J669">
        <v>6296</v>
      </c>
      <c r="K669">
        <v>209138</v>
      </c>
      <c r="L669">
        <f t="shared" si="20"/>
        <v>1114.5385818768018</v>
      </c>
      <c r="M669">
        <f t="shared" si="21"/>
        <v>135</v>
      </c>
    </row>
    <row r="670" spans="1:13" x14ac:dyDescent="0.4">
      <c r="A670" t="s">
        <v>105</v>
      </c>
      <c r="B670" t="s">
        <v>30</v>
      </c>
      <c r="C670" s="1">
        <v>45583</v>
      </c>
      <c r="D670" s="1">
        <v>45300</v>
      </c>
      <c r="E670" t="s">
        <v>13</v>
      </c>
      <c r="F670">
        <v>43002.39</v>
      </c>
      <c r="G670">
        <v>1391</v>
      </c>
      <c r="H670">
        <v>222</v>
      </c>
      <c r="I670">
        <v>165960.78</v>
      </c>
      <c r="J670">
        <v>7183</v>
      </c>
      <c r="K670">
        <v>15318</v>
      </c>
      <c r="L670">
        <f t="shared" si="20"/>
        <v>285.93385158359803</v>
      </c>
      <c r="M670">
        <f t="shared" si="21"/>
        <v>283</v>
      </c>
    </row>
    <row r="671" spans="1:13" x14ac:dyDescent="0.4">
      <c r="A671" t="s">
        <v>113</v>
      </c>
      <c r="B671" t="s">
        <v>51</v>
      </c>
      <c r="C671" s="1">
        <v>45442</v>
      </c>
      <c r="D671" s="1">
        <v>45298</v>
      </c>
      <c r="E671" t="s">
        <v>34</v>
      </c>
      <c r="F671">
        <v>41200.910000000003</v>
      </c>
      <c r="G671">
        <v>193</v>
      </c>
      <c r="H671">
        <v>168</v>
      </c>
      <c r="I671">
        <v>33588.620000000003</v>
      </c>
      <c r="J671">
        <v>3501</v>
      </c>
      <c r="K671">
        <v>314078</v>
      </c>
      <c r="L671">
        <f t="shared" si="20"/>
        <v>-18.476023951898153</v>
      </c>
      <c r="M671">
        <f t="shared" si="21"/>
        <v>144</v>
      </c>
    </row>
    <row r="672" spans="1:13" x14ac:dyDescent="0.4">
      <c r="A672" t="s">
        <v>98</v>
      </c>
      <c r="B672" t="s">
        <v>21</v>
      </c>
      <c r="C672" s="1">
        <v>45405</v>
      </c>
      <c r="D672" s="1">
        <v>45301</v>
      </c>
      <c r="E672" t="s">
        <v>34</v>
      </c>
      <c r="F672">
        <v>22588.1</v>
      </c>
      <c r="G672">
        <v>433</v>
      </c>
      <c r="H672">
        <v>165</v>
      </c>
      <c r="I672">
        <v>36134.94</v>
      </c>
      <c r="J672">
        <v>3285</v>
      </c>
      <c r="K672">
        <v>416547</v>
      </c>
      <c r="L672">
        <f t="shared" si="20"/>
        <v>59.973348798703761</v>
      </c>
      <c r="M672">
        <f t="shared" si="21"/>
        <v>104</v>
      </c>
    </row>
    <row r="673" spans="1:13" x14ac:dyDescent="0.4">
      <c r="A673" t="s">
        <v>93</v>
      </c>
      <c r="B673" t="s">
        <v>15</v>
      </c>
      <c r="C673" s="1">
        <v>45528</v>
      </c>
      <c r="D673" s="1">
        <v>45298</v>
      </c>
      <c r="E673" t="s">
        <v>26</v>
      </c>
      <c r="F673">
        <v>7487.83</v>
      </c>
      <c r="G673">
        <v>265</v>
      </c>
      <c r="H673">
        <v>435</v>
      </c>
      <c r="I673">
        <v>159066.23000000001</v>
      </c>
      <c r="J673">
        <v>5385</v>
      </c>
      <c r="K673">
        <v>384426</v>
      </c>
      <c r="L673">
        <f t="shared" si="20"/>
        <v>2024.3301463841999</v>
      </c>
      <c r="M673">
        <f t="shared" si="21"/>
        <v>230</v>
      </c>
    </row>
    <row r="674" spans="1:13" x14ac:dyDescent="0.4">
      <c r="A674" t="s">
        <v>102</v>
      </c>
      <c r="B674" t="s">
        <v>23</v>
      </c>
      <c r="C674" s="1">
        <v>45357</v>
      </c>
      <c r="D674" s="1">
        <v>45294</v>
      </c>
      <c r="E674" t="s">
        <v>26</v>
      </c>
      <c r="F674">
        <v>19730.36</v>
      </c>
      <c r="G674">
        <v>1434</v>
      </c>
      <c r="H674">
        <v>17</v>
      </c>
      <c r="I674">
        <v>125176.7</v>
      </c>
      <c r="J674">
        <v>9454</v>
      </c>
      <c r="K674">
        <v>184744</v>
      </c>
      <c r="L674">
        <f t="shared" si="20"/>
        <v>534.4369793556732</v>
      </c>
      <c r="M674">
        <f t="shared" si="21"/>
        <v>63</v>
      </c>
    </row>
    <row r="675" spans="1:13" x14ac:dyDescent="0.4">
      <c r="A675" t="s">
        <v>45</v>
      </c>
      <c r="B675" t="s">
        <v>54</v>
      </c>
      <c r="C675" s="1">
        <v>45652</v>
      </c>
      <c r="D675" s="1">
        <v>45298</v>
      </c>
      <c r="E675" t="s">
        <v>13</v>
      </c>
      <c r="F675">
        <v>31347.83</v>
      </c>
      <c r="G675">
        <v>373</v>
      </c>
      <c r="H675">
        <v>300</v>
      </c>
      <c r="I675">
        <v>13747.81</v>
      </c>
      <c r="J675">
        <v>6872</v>
      </c>
      <c r="K675">
        <v>92891</v>
      </c>
      <c r="L675">
        <f t="shared" si="20"/>
        <v>-56.144300897382706</v>
      </c>
      <c r="M675">
        <f t="shared" si="21"/>
        <v>354</v>
      </c>
    </row>
    <row r="676" spans="1:13" x14ac:dyDescent="0.4">
      <c r="A676" t="s">
        <v>24</v>
      </c>
      <c r="B676" t="s">
        <v>18</v>
      </c>
      <c r="C676" s="1">
        <v>45632</v>
      </c>
      <c r="D676" s="1">
        <v>45297</v>
      </c>
      <c r="E676" t="s">
        <v>26</v>
      </c>
      <c r="F676">
        <v>23265.75</v>
      </c>
      <c r="G676">
        <v>1088</v>
      </c>
      <c r="H676">
        <v>93</v>
      </c>
      <c r="I676">
        <v>126396.66</v>
      </c>
      <c r="J676">
        <v>8590</v>
      </c>
      <c r="K676">
        <v>471076</v>
      </c>
      <c r="L676">
        <f t="shared" si="20"/>
        <v>443.27352438670584</v>
      </c>
      <c r="M676">
        <f t="shared" si="21"/>
        <v>335</v>
      </c>
    </row>
    <row r="677" spans="1:13" x14ac:dyDescent="0.4">
      <c r="A677" t="s">
        <v>75</v>
      </c>
      <c r="B677" t="s">
        <v>25</v>
      </c>
      <c r="C677" s="1">
        <v>45549</v>
      </c>
      <c r="D677" s="1">
        <v>45299</v>
      </c>
      <c r="E677" t="s">
        <v>26</v>
      </c>
      <c r="F677">
        <v>39229.269999999997</v>
      </c>
      <c r="G677">
        <v>266</v>
      </c>
      <c r="H677">
        <v>328</v>
      </c>
      <c r="I677">
        <v>65238.96</v>
      </c>
      <c r="J677">
        <v>3447</v>
      </c>
      <c r="K677">
        <v>225757</v>
      </c>
      <c r="L677">
        <f t="shared" si="20"/>
        <v>66.301743570553327</v>
      </c>
      <c r="M677">
        <f t="shared" si="21"/>
        <v>250</v>
      </c>
    </row>
    <row r="678" spans="1:13" x14ac:dyDescent="0.4">
      <c r="A678" t="s">
        <v>95</v>
      </c>
      <c r="B678" t="s">
        <v>18</v>
      </c>
      <c r="C678" s="1">
        <v>45540</v>
      </c>
      <c r="D678" s="1">
        <v>45296</v>
      </c>
      <c r="E678" t="s">
        <v>26</v>
      </c>
      <c r="F678">
        <v>49883.519999999997</v>
      </c>
      <c r="G678">
        <v>1565</v>
      </c>
      <c r="H678">
        <v>46</v>
      </c>
      <c r="I678">
        <v>76901.41</v>
      </c>
      <c r="J678">
        <v>888</v>
      </c>
      <c r="K678">
        <v>69754</v>
      </c>
      <c r="L678">
        <f t="shared" si="20"/>
        <v>54.161955691980054</v>
      </c>
      <c r="M678">
        <f t="shared" si="21"/>
        <v>244</v>
      </c>
    </row>
    <row r="679" spans="1:13" x14ac:dyDescent="0.4">
      <c r="A679" t="s">
        <v>104</v>
      </c>
      <c r="B679" t="s">
        <v>15</v>
      </c>
      <c r="C679" s="1">
        <v>45622</v>
      </c>
      <c r="D679" s="1">
        <v>45298</v>
      </c>
      <c r="E679" t="s">
        <v>13</v>
      </c>
      <c r="F679">
        <v>10365.469999999999</v>
      </c>
      <c r="G679">
        <v>1000</v>
      </c>
      <c r="H679">
        <v>407</v>
      </c>
      <c r="I679">
        <v>155097.63</v>
      </c>
      <c r="J679">
        <v>5045</v>
      </c>
      <c r="K679">
        <v>348821</v>
      </c>
      <c r="L679">
        <f t="shared" si="20"/>
        <v>1396.2913403830219</v>
      </c>
      <c r="M679">
        <f t="shared" si="21"/>
        <v>324</v>
      </c>
    </row>
    <row r="680" spans="1:13" x14ac:dyDescent="0.4">
      <c r="A680" t="s">
        <v>120</v>
      </c>
      <c r="B680" t="s">
        <v>31</v>
      </c>
      <c r="C680" s="1">
        <v>45614</v>
      </c>
      <c r="D680" s="1">
        <v>45295</v>
      </c>
      <c r="E680" t="s">
        <v>16</v>
      </c>
      <c r="F680">
        <v>23522.89</v>
      </c>
      <c r="G680">
        <v>1620</v>
      </c>
      <c r="H680">
        <v>214</v>
      </c>
      <c r="I680">
        <v>163132.35999999999</v>
      </c>
      <c r="J680">
        <v>2989</v>
      </c>
      <c r="K680">
        <v>365464</v>
      </c>
      <c r="L680">
        <f t="shared" si="20"/>
        <v>593.50475217968528</v>
      </c>
      <c r="M680">
        <f t="shared" si="21"/>
        <v>319</v>
      </c>
    </row>
    <row r="681" spans="1:13" x14ac:dyDescent="0.4">
      <c r="A681" t="s">
        <v>73</v>
      </c>
      <c r="B681" t="s">
        <v>21</v>
      </c>
      <c r="C681" s="1">
        <v>45471</v>
      </c>
      <c r="D681" s="1">
        <v>45299</v>
      </c>
      <c r="E681" t="s">
        <v>26</v>
      </c>
      <c r="F681">
        <v>22118.21</v>
      </c>
      <c r="G681">
        <v>232</v>
      </c>
      <c r="H681">
        <v>233</v>
      </c>
      <c r="I681">
        <v>83069.539999999994</v>
      </c>
      <c r="J681">
        <v>9669</v>
      </c>
      <c r="K681">
        <v>397053</v>
      </c>
      <c r="L681">
        <f t="shared" si="20"/>
        <v>275.57080794512757</v>
      </c>
      <c r="M681">
        <f t="shared" si="21"/>
        <v>172</v>
      </c>
    </row>
    <row r="682" spans="1:13" x14ac:dyDescent="0.4">
      <c r="A682" t="s">
        <v>52</v>
      </c>
      <c r="B682" t="s">
        <v>51</v>
      </c>
      <c r="C682" s="1">
        <v>45481</v>
      </c>
      <c r="D682" s="1">
        <v>45299</v>
      </c>
      <c r="E682" t="s">
        <v>26</v>
      </c>
      <c r="F682">
        <v>15920.13</v>
      </c>
      <c r="G682">
        <v>319</v>
      </c>
      <c r="H682">
        <v>354</v>
      </c>
      <c r="I682">
        <v>189694.82</v>
      </c>
      <c r="J682">
        <v>5373</v>
      </c>
      <c r="K682">
        <v>388405</v>
      </c>
      <c r="L682">
        <f t="shared" si="20"/>
        <v>1091.5406469670788</v>
      </c>
      <c r="M682">
        <f t="shared" si="21"/>
        <v>182</v>
      </c>
    </row>
    <row r="683" spans="1:13" x14ac:dyDescent="0.4">
      <c r="A683" t="s">
        <v>94</v>
      </c>
      <c r="B683" t="s">
        <v>31</v>
      </c>
      <c r="C683" s="1">
        <v>45445</v>
      </c>
      <c r="D683" s="1">
        <v>45298</v>
      </c>
      <c r="E683" t="s">
        <v>13</v>
      </c>
      <c r="F683">
        <v>10706.68</v>
      </c>
      <c r="G683">
        <v>994</v>
      </c>
      <c r="H683">
        <v>279</v>
      </c>
      <c r="I683">
        <v>84260.23</v>
      </c>
      <c r="J683">
        <v>3372</v>
      </c>
      <c r="K683">
        <v>368482</v>
      </c>
      <c r="L683">
        <f t="shared" si="20"/>
        <v>686.98746950501913</v>
      </c>
      <c r="M683">
        <f t="shared" si="21"/>
        <v>147</v>
      </c>
    </row>
    <row r="684" spans="1:13" x14ac:dyDescent="0.4">
      <c r="A684" t="s">
        <v>68</v>
      </c>
      <c r="B684" t="s">
        <v>33</v>
      </c>
      <c r="C684" s="1">
        <v>45487</v>
      </c>
      <c r="D684" s="1">
        <v>45299</v>
      </c>
      <c r="E684" t="s">
        <v>16</v>
      </c>
      <c r="F684">
        <v>4218.91</v>
      </c>
      <c r="G684">
        <v>1540</v>
      </c>
      <c r="H684">
        <v>446</v>
      </c>
      <c r="I684">
        <v>155508.03</v>
      </c>
      <c r="J684">
        <v>9169</v>
      </c>
      <c r="K684">
        <v>41077</v>
      </c>
      <c r="L684">
        <f t="shared" si="20"/>
        <v>3585.9764725960026</v>
      </c>
      <c r="M684">
        <f t="shared" si="21"/>
        <v>188</v>
      </c>
    </row>
    <row r="685" spans="1:13" x14ac:dyDescent="0.4">
      <c r="A685" t="s">
        <v>79</v>
      </c>
      <c r="B685" t="s">
        <v>33</v>
      </c>
      <c r="C685" s="1">
        <v>45602</v>
      </c>
      <c r="D685" s="1">
        <v>45300</v>
      </c>
      <c r="E685" t="s">
        <v>26</v>
      </c>
      <c r="F685">
        <v>44468.85</v>
      </c>
      <c r="G685">
        <v>919</v>
      </c>
      <c r="H685">
        <v>283</v>
      </c>
      <c r="I685">
        <v>99356.07</v>
      </c>
      <c r="J685">
        <v>5334</v>
      </c>
      <c r="K685">
        <v>343059</v>
      </c>
      <c r="L685">
        <f t="shared" si="20"/>
        <v>123.42846734287036</v>
      </c>
      <c r="M685">
        <f t="shared" si="21"/>
        <v>302</v>
      </c>
    </row>
    <row r="686" spans="1:13" x14ac:dyDescent="0.4">
      <c r="A686" t="s">
        <v>116</v>
      </c>
      <c r="B686" t="s">
        <v>18</v>
      </c>
      <c r="C686" s="1">
        <v>45553</v>
      </c>
      <c r="D686" s="1">
        <v>45298</v>
      </c>
      <c r="E686" t="s">
        <v>34</v>
      </c>
      <c r="F686">
        <v>21572.59</v>
      </c>
      <c r="G686">
        <v>1685</v>
      </c>
      <c r="H686">
        <v>255</v>
      </c>
      <c r="I686">
        <v>180018.8</v>
      </c>
      <c r="J686">
        <v>9869</v>
      </c>
      <c r="K686">
        <v>136311</v>
      </c>
      <c r="L686">
        <f t="shared" si="20"/>
        <v>734.47930916037433</v>
      </c>
      <c r="M686">
        <f t="shared" si="21"/>
        <v>255</v>
      </c>
    </row>
    <row r="687" spans="1:13" x14ac:dyDescent="0.4">
      <c r="A687" t="s">
        <v>126</v>
      </c>
      <c r="B687" t="s">
        <v>30</v>
      </c>
      <c r="C687" s="1">
        <v>45434</v>
      </c>
      <c r="D687" s="1">
        <v>45294</v>
      </c>
      <c r="E687" t="s">
        <v>13</v>
      </c>
      <c r="F687">
        <v>25347.88</v>
      </c>
      <c r="G687">
        <v>1592</v>
      </c>
      <c r="H687">
        <v>314</v>
      </c>
      <c r="I687">
        <v>182013.44</v>
      </c>
      <c r="J687">
        <v>7002</v>
      </c>
      <c r="K687">
        <v>242504</v>
      </c>
      <c r="L687">
        <f t="shared" si="20"/>
        <v>618.06178662673165</v>
      </c>
      <c r="M687">
        <f t="shared" si="21"/>
        <v>140</v>
      </c>
    </row>
    <row r="688" spans="1:13" x14ac:dyDescent="0.4">
      <c r="A688" t="s">
        <v>118</v>
      </c>
      <c r="B688" t="s">
        <v>12</v>
      </c>
      <c r="C688" s="1">
        <v>45633</v>
      </c>
      <c r="D688" s="1">
        <v>45301</v>
      </c>
      <c r="E688" t="s">
        <v>26</v>
      </c>
      <c r="F688">
        <v>45930.16</v>
      </c>
      <c r="G688">
        <v>1615</v>
      </c>
      <c r="H688">
        <v>212</v>
      </c>
      <c r="I688">
        <v>22046.28</v>
      </c>
      <c r="J688">
        <v>7712</v>
      </c>
      <c r="K688">
        <v>480564</v>
      </c>
      <c r="L688">
        <f t="shared" si="20"/>
        <v>-52.000428476626261</v>
      </c>
      <c r="M688">
        <f t="shared" si="21"/>
        <v>332</v>
      </c>
    </row>
    <row r="689" spans="1:13" x14ac:dyDescent="0.4">
      <c r="A689" t="s">
        <v>20</v>
      </c>
      <c r="B689" t="s">
        <v>30</v>
      </c>
      <c r="C689" s="1">
        <v>45607</v>
      </c>
      <c r="D689" s="1">
        <v>45297</v>
      </c>
      <c r="E689" t="s">
        <v>26</v>
      </c>
      <c r="F689">
        <v>39038.230000000003</v>
      </c>
      <c r="G689">
        <v>516</v>
      </c>
      <c r="H689">
        <v>325</v>
      </c>
      <c r="I689">
        <v>187616.2</v>
      </c>
      <c r="J689">
        <v>2592</v>
      </c>
      <c r="K689">
        <v>292813</v>
      </c>
      <c r="L689">
        <f t="shared" si="20"/>
        <v>380.59607210675279</v>
      </c>
      <c r="M689">
        <f t="shared" si="21"/>
        <v>310</v>
      </c>
    </row>
    <row r="690" spans="1:13" x14ac:dyDescent="0.4">
      <c r="A690" t="s">
        <v>82</v>
      </c>
      <c r="B690" t="s">
        <v>23</v>
      </c>
      <c r="C690" s="1">
        <v>45392</v>
      </c>
      <c r="D690" s="1">
        <v>45302</v>
      </c>
      <c r="E690" t="s">
        <v>34</v>
      </c>
      <c r="F690">
        <v>7394.56</v>
      </c>
      <c r="G690">
        <v>354</v>
      </c>
      <c r="H690">
        <v>144</v>
      </c>
      <c r="I690">
        <v>165979.29</v>
      </c>
      <c r="J690">
        <v>6845</v>
      </c>
      <c r="K690">
        <v>311768</v>
      </c>
      <c r="L690">
        <f t="shared" si="20"/>
        <v>2144.6134726068894</v>
      </c>
      <c r="M690">
        <f t="shared" si="21"/>
        <v>90</v>
      </c>
    </row>
    <row r="691" spans="1:13" x14ac:dyDescent="0.4">
      <c r="A691" t="s">
        <v>66</v>
      </c>
      <c r="B691" t="s">
        <v>15</v>
      </c>
      <c r="C691" s="1">
        <v>45535</v>
      </c>
      <c r="D691" s="1">
        <v>45299</v>
      </c>
      <c r="E691" t="s">
        <v>34</v>
      </c>
      <c r="F691">
        <v>28705.58</v>
      </c>
      <c r="G691">
        <v>1217</v>
      </c>
      <c r="H691">
        <v>284</v>
      </c>
      <c r="I691">
        <v>159305.59</v>
      </c>
      <c r="J691">
        <v>9674</v>
      </c>
      <c r="K691">
        <v>338291</v>
      </c>
      <c r="L691">
        <f t="shared" si="20"/>
        <v>454.96384326670977</v>
      </c>
      <c r="M691">
        <f t="shared" si="21"/>
        <v>236</v>
      </c>
    </row>
    <row r="692" spans="1:13" x14ac:dyDescent="0.4">
      <c r="A692" t="s">
        <v>55</v>
      </c>
      <c r="B692" t="s">
        <v>40</v>
      </c>
      <c r="C692" s="1">
        <v>45303</v>
      </c>
      <c r="D692" s="1">
        <v>45294</v>
      </c>
      <c r="E692" t="s">
        <v>13</v>
      </c>
      <c r="F692">
        <v>22670.36</v>
      </c>
      <c r="G692">
        <v>160</v>
      </c>
      <c r="H692">
        <v>38</v>
      </c>
      <c r="I692">
        <v>44177.71</v>
      </c>
      <c r="J692">
        <v>4340</v>
      </c>
      <c r="K692">
        <v>136222</v>
      </c>
      <c r="L692">
        <f t="shared" si="20"/>
        <v>94.869909432404242</v>
      </c>
      <c r="M692">
        <f t="shared" si="21"/>
        <v>9</v>
      </c>
    </row>
    <row r="693" spans="1:13" x14ac:dyDescent="0.4">
      <c r="A693" t="s">
        <v>85</v>
      </c>
      <c r="B693" t="s">
        <v>28</v>
      </c>
      <c r="C693" s="1">
        <v>45530</v>
      </c>
      <c r="D693" s="1">
        <v>45296</v>
      </c>
      <c r="E693" t="s">
        <v>13</v>
      </c>
      <c r="F693">
        <v>40063.339999999997</v>
      </c>
      <c r="G693">
        <v>1063</v>
      </c>
      <c r="H693">
        <v>313</v>
      </c>
      <c r="I693">
        <v>161998.25</v>
      </c>
      <c r="J693">
        <v>2422</v>
      </c>
      <c r="K693">
        <v>143181</v>
      </c>
      <c r="L693">
        <f t="shared" si="20"/>
        <v>304.35532833757748</v>
      </c>
      <c r="M693">
        <f t="shared" si="21"/>
        <v>234</v>
      </c>
    </row>
    <row r="694" spans="1:13" x14ac:dyDescent="0.4">
      <c r="A694" t="s">
        <v>71</v>
      </c>
      <c r="B694" t="s">
        <v>30</v>
      </c>
      <c r="C694" s="1">
        <v>45340</v>
      </c>
      <c r="D694" s="1">
        <v>45296</v>
      </c>
      <c r="E694" t="s">
        <v>34</v>
      </c>
      <c r="F694">
        <v>36487.39</v>
      </c>
      <c r="G694">
        <v>281</v>
      </c>
      <c r="H694">
        <v>396</v>
      </c>
      <c r="I694">
        <v>170775.88</v>
      </c>
      <c r="J694">
        <v>5398</v>
      </c>
      <c r="K694">
        <v>231822</v>
      </c>
      <c r="L694">
        <f t="shared" si="20"/>
        <v>368.04082177431712</v>
      </c>
      <c r="M694">
        <f t="shared" si="21"/>
        <v>44</v>
      </c>
    </row>
    <row r="695" spans="1:13" x14ac:dyDescent="0.4">
      <c r="A695" t="s">
        <v>118</v>
      </c>
      <c r="B695" t="s">
        <v>43</v>
      </c>
      <c r="C695" s="1">
        <v>45333</v>
      </c>
      <c r="D695" s="1">
        <v>45297</v>
      </c>
      <c r="E695" t="s">
        <v>13</v>
      </c>
      <c r="F695">
        <v>34829.879999999997</v>
      </c>
      <c r="G695">
        <v>1764</v>
      </c>
      <c r="H695">
        <v>22</v>
      </c>
      <c r="I695">
        <v>61384.32</v>
      </c>
      <c r="J695">
        <v>1961</v>
      </c>
      <c r="K695">
        <v>158088</v>
      </c>
      <c r="L695">
        <f t="shared" si="20"/>
        <v>76.24040048372261</v>
      </c>
      <c r="M695">
        <f t="shared" si="21"/>
        <v>36</v>
      </c>
    </row>
    <row r="696" spans="1:13" x14ac:dyDescent="0.4">
      <c r="A696" t="s">
        <v>66</v>
      </c>
      <c r="B696" t="s">
        <v>28</v>
      </c>
      <c r="C696" s="1">
        <v>45457</v>
      </c>
      <c r="D696" s="1">
        <v>45299</v>
      </c>
      <c r="E696" t="s">
        <v>34</v>
      </c>
      <c r="F696">
        <v>17686.7</v>
      </c>
      <c r="G696">
        <v>1657</v>
      </c>
      <c r="H696">
        <v>61</v>
      </c>
      <c r="I696">
        <v>190690.72</v>
      </c>
      <c r="J696">
        <v>6720</v>
      </c>
      <c r="K696">
        <v>144008</v>
      </c>
      <c r="L696">
        <f t="shared" si="20"/>
        <v>978.15884252008573</v>
      </c>
      <c r="M696">
        <f t="shared" si="21"/>
        <v>158</v>
      </c>
    </row>
    <row r="697" spans="1:13" x14ac:dyDescent="0.4">
      <c r="A697" t="s">
        <v>125</v>
      </c>
      <c r="B697" t="s">
        <v>15</v>
      </c>
      <c r="C697" s="1">
        <v>45373</v>
      </c>
      <c r="D697" s="1">
        <v>45300</v>
      </c>
      <c r="E697" t="s">
        <v>26</v>
      </c>
      <c r="F697">
        <v>40443.22</v>
      </c>
      <c r="G697">
        <v>1795</v>
      </c>
      <c r="H697">
        <v>116</v>
      </c>
      <c r="I697">
        <v>14722.73</v>
      </c>
      <c r="J697">
        <v>4147</v>
      </c>
      <c r="K697">
        <v>143108</v>
      </c>
      <c r="L697">
        <f t="shared" si="20"/>
        <v>-63.596543499751014</v>
      </c>
      <c r="M697">
        <f t="shared" si="21"/>
        <v>73</v>
      </c>
    </row>
    <row r="698" spans="1:13" x14ac:dyDescent="0.4">
      <c r="A698" t="s">
        <v>94</v>
      </c>
      <c r="B698" t="s">
        <v>28</v>
      </c>
      <c r="C698" s="1">
        <v>45582</v>
      </c>
      <c r="D698" s="1">
        <v>45297</v>
      </c>
      <c r="E698" t="s">
        <v>34</v>
      </c>
      <c r="F698">
        <v>3567.17</v>
      </c>
      <c r="G698">
        <v>1805</v>
      </c>
      <c r="H698">
        <v>9</v>
      </c>
      <c r="I698">
        <v>34232.300000000003</v>
      </c>
      <c r="J698">
        <v>7681</v>
      </c>
      <c r="K698">
        <v>433452</v>
      </c>
      <c r="L698">
        <f t="shared" si="20"/>
        <v>859.64868509210396</v>
      </c>
      <c r="M698">
        <f t="shared" si="21"/>
        <v>285</v>
      </c>
    </row>
    <row r="699" spans="1:13" x14ac:dyDescent="0.4">
      <c r="A699" t="s">
        <v>111</v>
      </c>
      <c r="B699" t="s">
        <v>51</v>
      </c>
      <c r="C699" s="1">
        <v>45449</v>
      </c>
      <c r="D699" s="1">
        <v>45299</v>
      </c>
      <c r="E699" t="s">
        <v>34</v>
      </c>
      <c r="F699">
        <v>8821.6200000000008</v>
      </c>
      <c r="G699">
        <v>1665</v>
      </c>
      <c r="H699">
        <v>414</v>
      </c>
      <c r="I699">
        <v>109828.32</v>
      </c>
      <c r="J699">
        <v>7420</v>
      </c>
      <c r="K699">
        <v>146093</v>
      </c>
      <c r="L699">
        <f t="shared" si="20"/>
        <v>1144.9903759173485</v>
      </c>
      <c r="M699">
        <f t="shared" si="21"/>
        <v>150</v>
      </c>
    </row>
    <row r="700" spans="1:13" x14ac:dyDescent="0.4">
      <c r="A700" t="s">
        <v>58</v>
      </c>
      <c r="B700" t="s">
        <v>21</v>
      </c>
      <c r="C700" s="1">
        <v>45507</v>
      </c>
      <c r="D700" s="1">
        <v>45294</v>
      </c>
      <c r="E700" t="s">
        <v>16</v>
      </c>
      <c r="F700">
        <v>17445.54</v>
      </c>
      <c r="G700">
        <v>1573</v>
      </c>
      <c r="H700">
        <v>418</v>
      </c>
      <c r="I700">
        <v>117279.53</v>
      </c>
      <c r="J700">
        <v>1198</v>
      </c>
      <c r="K700">
        <v>300087</v>
      </c>
      <c r="L700">
        <f t="shared" si="20"/>
        <v>572.26081852439063</v>
      </c>
      <c r="M700">
        <f t="shared" si="21"/>
        <v>213</v>
      </c>
    </row>
    <row r="701" spans="1:13" x14ac:dyDescent="0.4">
      <c r="A701" t="s">
        <v>50</v>
      </c>
      <c r="B701" t="s">
        <v>51</v>
      </c>
      <c r="C701" s="1">
        <v>45449</v>
      </c>
      <c r="D701" s="1">
        <v>45301</v>
      </c>
      <c r="E701" t="s">
        <v>34</v>
      </c>
      <c r="F701">
        <v>4763.5600000000004</v>
      </c>
      <c r="G701">
        <v>644</v>
      </c>
      <c r="H701">
        <v>186</v>
      </c>
      <c r="I701">
        <v>130804.27</v>
      </c>
      <c r="J701">
        <v>5347</v>
      </c>
      <c r="K701">
        <v>114694</v>
      </c>
      <c r="L701">
        <f t="shared" si="20"/>
        <v>2645.9351829304132</v>
      </c>
      <c r="M701">
        <f t="shared" si="21"/>
        <v>148</v>
      </c>
    </row>
    <row r="702" spans="1:13" x14ac:dyDescent="0.4">
      <c r="A702" t="s">
        <v>124</v>
      </c>
      <c r="B702" t="s">
        <v>28</v>
      </c>
      <c r="C702" s="1">
        <v>45425</v>
      </c>
      <c r="D702" s="1">
        <v>45300</v>
      </c>
      <c r="E702" t="s">
        <v>34</v>
      </c>
      <c r="F702">
        <v>12514.72</v>
      </c>
      <c r="G702">
        <v>1627</v>
      </c>
      <c r="H702">
        <v>17</v>
      </c>
      <c r="I702">
        <v>8308.98</v>
      </c>
      <c r="J702">
        <v>1834</v>
      </c>
      <c r="K702">
        <v>235456</v>
      </c>
      <c r="L702">
        <f t="shared" si="20"/>
        <v>-33.606345167930243</v>
      </c>
      <c r="M702">
        <f t="shared" si="21"/>
        <v>125</v>
      </c>
    </row>
    <row r="703" spans="1:13" x14ac:dyDescent="0.4">
      <c r="A703" t="s">
        <v>58</v>
      </c>
      <c r="B703" t="s">
        <v>31</v>
      </c>
      <c r="C703" s="1">
        <v>45358</v>
      </c>
      <c r="D703" s="1">
        <v>45302</v>
      </c>
      <c r="E703" t="s">
        <v>16</v>
      </c>
      <c r="F703">
        <v>41677.4</v>
      </c>
      <c r="G703">
        <v>1346</v>
      </c>
      <c r="H703">
        <v>343</v>
      </c>
      <c r="I703">
        <v>192271.52</v>
      </c>
      <c r="J703">
        <v>4763</v>
      </c>
      <c r="K703">
        <v>213079</v>
      </c>
      <c r="L703">
        <f t="shared" si="20"/>
        <v>361.33280866848696</v>
      </c>
      <c r="M703">
        <f t="shared" si="21"/>
        <v>56</v>
      </c>
    </row>
    <row r="704" spans="1:13" x14ac:dyDescent="0.4">
      <c r="A704" t="s">
        <v>19</v>
      </c>
      <c r="B704" t="s">
        <v>33</v>
      </c>
      <c r="C704" s="1">
        <v>45627</v>
      </c>
      <c r="D704" s="1">
        <v>45296</v>
      </c>
      <c r="E704" t="s">
        <v>13</v>
      </c>
      <c r="F704">
        <v>47464.33</v>
      </c>
      <c r="G704">
        <v>1776</v>
      </c>
      <c r="H704">
        <v>289</v>
      </c>
      <c r="I704">
        <v>13694.68</v>
      </c>
      <c r="J704">
        <v>6009</v>
      </c>
      <c r="K704">
        <v>245269</v>
      </c>
      <c r="L704">
        <f t="shared" si="20"/>
        <v>-71.147427973806856</v>
      </c>
      <c r="M704">
        <f t="shared" si="21"/>
        <v>331</v>
      </c>
    </row>
    <row r="705" spans="1:13" x14ac:dyDescent="0.4">
      <c r="A705" t="s">
        <v>20</v>
      </c>
      <c r="B705" t="s">
        <v>28</v>
      </c>
      <c r="C705" s="1">
        <v>45298</v>
      </c>
      <c r="D705" s="1">
        <v>45295</v>
      </c>
      <c r="E705" t="s">
        <v>16</v>
      </c>
      <c r="F705">
        <v>15925.52</v>
      </c>
      <c r="G705">
        <v>222</v>
      </c>
      <c r="H705">
        <v>263</v>
      </c>
      <c r="I705">
        <v>32897.08</v>
      </c>
      <c r="J705">
        <v>3516</v>
      </c>
      <c r="K705">
        <v>444232</v>
      </c>
      <c r="L705">
        <f t="shared" si="20"/>
        <v>106.56832555546067</v>
      </c>
      <c r="M705">
        <f t="shared" si="21"/>
        <v>3</v>
      </c>
    </row>
    <row r="706" spans="1:13" x14ac:dyDescent="0.4">
      <c r="A706" t="s">
        <v>66</v>
      </c>
      <c r="B706" t="s">
        <v>51</v>
      </c>
      <c r="C706" s="1">
        <v>45305</v>
      </c>
      <c r="D706" s="1">
        <v>45294</v>
      </c>
      <c r="E706" t="s">
        <v>26</v>
      </c>
      <c r="F706">
        <v>13961.27</v>
      </c>
      <c r="G706">
        <v>1022</v>
      </c>
      <c r="H706">
        <v>94</v>
      </c>
      <c r="I706">
        <v>7732.83</v>
      </c>
      <c r="J706">
        <v>6402</v>
      </c>
      <c r="K706">
        <v>417460</v>
      </c>
      <c r="L706">
        <f t="shared" si="20"/>
        <v>-44.612273811766414</v>
      </c>
      <c r="M706">
        <f t="shared" si="21"/>
        <v>11</v>
      </c>
    </row>
    <row r="707" spans="1:13" x14ac:dyDescent="0.4">
      <c r="A707" t="s">
        <v>96</v>
      </c>
      <c r="B707" t="s">
        <v>54</v>
      </c>
      <c r="C707" s="1">
        <v>45364</v>
      </c>
      <c r="D707" s="1">
        <v>45296</v>
      </c>
      <c r="E707" t="s">
        <v>16</v>
      </c>
      <c r="F707">
        <v>14714.74</v>
      </c>
      <c r="G707">
        <v>1080</v>
      </c>
      <c r="H707">
        <v>108</v>
      </c>
      <c r="I707">
        <v>115537.39</v>
      </c>
      <c r="J707">
        <v>7693</v>
      </c>
      <c r="K707">
        <v>457243</v>
      </c>
      <c r="L707">
        <f t="shared" ref="L707:L770" si="22">(I707 - F707)/F707*100</f>
        <v>685.18132158638207</v>
      </c>
      <c r="M707">
        <f t="shared" ref="M707:M770" si="23">ABS(D707 - C707)</f>
        <v>68</v>
      </c>
    </row>
    <row r="708" spans="1:13" x14ac:dyDescent="0.4">
      <c r="A708" t="s">
        <v>38</v>
      </c>
      <c r="B708" t="s">
        <v>15</v>
      </c>
      <c r="C708" s="1">
        <v>45454</v>
      </c>
      <c r="D708" s="1">
        <v>45298</v>
      </c>
      <c r="E708" t="s">
        <v>26</v>
      </c>
      <c r="F708">
        <v>14608.24</v>
      </c>
      <c r="G708">
        <v>1228</v>
      </c>
      <c r="H708">
        <v>383</v>
      </c>
      <c r="I708">
        <v>186792.04</v>
      </c>
      <c r="J708">
        <v>780</v>
      </c>
      <c r="K708">
        <v>246385</v>
      </c>
      <c r="L708">
        <f t="shared" si="22"/>
        <v>1178.6758706045357</v>
      </c>
      <c r="M708">
        <f t="shared" si="23"/>
        <v>156</v>
      </c>
    </row>
    <row r="709" spans="1:13" x14ac:dyDescent="0.4">
      <c r="A709" t="s">
        <v>107</v>
      </c>
      <c r="B709" t="s">
        <v>31</v>
      </c>
      <c r="C709" s="1">
        <v>45357</v>
      </c>
      <c r="D709" s="1">
        <v>45295</v>
      </c>
      <c r="E709" t="s">
        <v>13</v>
      </c>
      <c r="F709">
        <v>2760.58</v>
      </c>
      <c r="G709">
        <v>1595</v>
      </c>
      <c r="H709">
        <v>190</v>
      </c>
      <c r="I709">
        <v>134859.70000000001</v>
      </c>
      <c r="J709">
        <v>8263</v>
      </c>
      <c r="K709">
        <v>124351</v>
      </c>
      <c r="L709">
        <f t="shared" si="22"/>
        <v>4785.1944156662739</v>
      </c>
      <c r="M709">
        <f t="shared" si="23"/>
        <v>62</v>
      </c>
    </row>
    <row r="710" spans="1:13" x14ac:dyDescent="0.4">
      <c r="A710" t="s">
        <v>58</v>
      </c>
      <c r="B710" t="s">
        <v>51</v>
      </c>
      <c r="C710" s="1">
        <v>45638</v>
      </c>
      <c r="D710" s="1">
        <v>45296</v>
      </c>
      <c r="E710" t="s">
        <v>16</v>
      </c>
      <c r="F710">
        <v>46418.9</v>
      </c>
      <c r="G710">
        <v>595</v>
      </c>
      <c r="H710">
        <v>254</v>
      </c>
      <c r="I710">
        <v>165418.21</v>
      </c>
      <c r="J710">
        <v>2170</v>
      </c>
      <c r="K710">
        <v>302129</v>
      </c>
      <c r="L710">
        <f t="shared" si="22"/>
        <v>256.35960783215455</v>
      </c>
      <c r="M710">
        <f t="shared" si="23"/>
        <v>342</v>
      </c>
    </row>
    <row r="711" spans="1:13" x14ac:dyDescent="0.4">
      <c r="A711" t="s">
        <v>60</v>
      </c>
      <c r="B711" t="s">
        <v>30</v>
      </c>
      <c r="C711" s="1">
        <v>45421</v>
      </c>
      <c r="D711" s="1">
        <v>45297</v>
      </c>
      <c r="E711" t="s">
        <v>16</v>
      </c>
      <c r="F711">
        <v>11471.21</v>
      </c>
      <c r="G711">
        <v>597</v>
      </c>
      <c r="H711">
        <v>259</v>
      </c>
      <c r="I711">
        <v>7589.83</v>
      </c>
      <c r="J711">
        <v>6768</v>
      </c>
      <c r="K711">
        <v>498192</v>
      </c>
      <c r="L711">
        <f t="shared" si="22"/>
        <v>-33.835837718950309</v>
      </c>
      <c r="M711">
        <f t="shared" si="23"/>
        <v>124</v>
      </c>
    </row>
    <row r="712" spans="1:13" x14ac:dyDescent="0.4">
      <c r="A712" t="s">
        <v>83</v>
      </c>
      <c r="B712" t="s">
        <v>25</v>
      </c>
      <c r="C712" s="1">
        <v>45497</v>
      </c>
      <c r="D712" s="1">
        <v>45300</v>
      </c>
      <c r="E712" t="s">
        <v>13</v>
      </c>
      <c r="F712">
        <v>21580.2</v>
      </c>
      <c r="G712">
        <v>1994</v>
      </c>
      <c r="H712">
        <v>80</v>
      </c>
      <c r="I712">
        <v>110692.98</v>
      </c>
      <c r="J712">
        <v>8101</v>
      </c>
      <c r="K712">
        <v>395718</v>
      </c>
      <c r="L712">
        <f t="shared" si="22"/>
        <v>412.93769288514471</v>
      </c>
      <c r="M712">
        <f t="shared" si="23"/>
        <v>197</v>
      </c>
    </row>
    <row r="713" spans="1:13" x14ac:dyDescent="0.4">
      <c r="A713" t="s">
        <v>127</v>
      </c>
      <c r="B713" t="s">
        <v>18</v>
      </c>
      <c r="C713" s="1">
        <v>45567</v>
      </c>
      <c r="D713" s="1">
        <v>45296</v>
      </c>
      <c r="E713" t="s">
        <v>26</v>
      </c>
      <c r="F713">
        <v>1474.66</v>
      </c>
      <c r="G713">
        <v>567</v>
      </c>
      <c r="H713">
        <v>390</v>
      </c>
      <c r="I713">
        <v>94614.78</v>
      </c>
      <c r="J713">
        <v>2291</v>
      </c>
      <c r="K713">
        <v>316980</v>
      </c>
      <c r="L713">
        <f t="shared" si="22"/>
        <v>6316.0403075963268</v>
      </c>
      <c r="M713">
        <f t="shared" si="23"/>
        <v>271</v>
      </c>
    </row>
    <row r="714" spans="1:13" x14ac:dyDescent="0.4">
      <c r="A714" t="s">
        <v>117</v>
      </c>
      <c r="B714" t="s">
        <v>12</v>
      </c>
      <c r="C714" s="1">
        <v>45547</v>
      </c>
      <c r="D714" s="1">
        <v>45302</v>
      </c>
      <c r="E714" t="s">
        <v>16</v>
      </c>
      <c r="F714">
        <v>43039.8</v>
      </c>
      <c r="G714">
        <v>1993</v>
      </c>
      <c r="H714">
        <v>463</v>
      </c>
      <c r="I714">
        <v>102298.75</v>
      </c>
      <c r="J714">
        <v>8959</v>
      </c>
      <c r="K714">
        <v>362858</v>
      </c>
      <c r="L714">
        <f t="shared" si="22"/>
        <v>137.6840738107519</v>
      </c>
      <c r="M714">
        <f t="shared" si="23"/>
        <v>245</v>
      </c>
    </row>
    <row r="715" spans="1:13" x14ac:dyDescent="0.4">
      <c r="A715" t="s">
        <v>48</v>
      </c>
      <c r="B715" t="s">
        <v>40</v>
      </c>
      <c r="C715" s="1">
        <v>45557</v>
      </c>
      <c r="D715" s="1">
        <v>45301</v>
      </c>
      <c r="E715" t="s">
        <v>26</v>
      </c>
      <c r="F715">
        <v>36826.71</v>
      </c>
      <c r="G715">
        <v>963</v>
      </c>
      <c r="H715">
        <v>112</v>
      </c>
      <c r="I715">
        <v>19081.57</v>
      </c>
      <c r="J715">
        <v>9904</v>
      </c>
      <c r="K715">
        <v>4770</v>
      </c>
      <c r="L715">
        <f t="shared" si="22"/>
        <v>-48.185515350135809</v>
      </c>
      <c r="M715">
        <f t="shared" si="23"/>
        <v>256</v>
      </c>
    </row>
    <row r="716" spans="1:13" x14ac:dyDescent="0.4">
      <c r="A716" t="s">
        <v>45</v>
      </c>
      <c r="B716" t="s">
        <v>51</v>
      </c>
      <c r="C716" s="1">
        <v>45316</v>
      </c>
      <c r="D716" s="1">
        <v>45297</v>
      </c>
      <c r="E716" t="s">
        <v>16</v>
      </c>
      <c r="F716">
        <v>47391.05</v>
      </c>
      <c r="G716">
        <v>264</v>
      </c>
      <c r="H716">
        <v>160</v>
      </c>
      <c r="I716">
        <v>138464.9</v>
      </c>
      <c r="J716">
        <v>7686</v>
      </c>
      <c r="K716">
        <v>306009</v>
      </c>
      <c r="L716">
        <f t="shared" si="22"/>
        <v>192.17521029814699</v>
      </c>
      <c r="M716">
        <f t="shared" si="23"/>
        <v>19</v>
      </c>
    </row>
    <row r="717" spans="1:13" x14ac:dyDescent="0.4">
      <c r="A717" t="s">
        <v>81</v>
      </c>
      <c r="B717" t="s">
        <v>43</v>
      </c>
      <c r="C717" s="1">
        <v>45572</v>
      </c>
      <c r="D717" s="1">
        <v>45294</v>
      </c>
      <c r="E717" t="s">
        <v>34</v>
      </c>
      <c r="F717">
        <v>39299.160000000003</v>
      </c>
      <c r="G717">
        <v>183</v>
      </c>
      <c r="H717">
        <v>86</v>
      </c>
      <c r="I717">
        <v>103127.98</v>
      </c>
      <c r="J717">
        <v>8972</v>
      </c>
      <c r="K717">
        <v>54811</v>
      </c>
      <c r="L717">
        <f t="shared" si="22"/>
        <v>162.41777177934588</v>
      </c>
      <c r="M717">
        <f t="shared" si="23"/>
        <v>278</v>
      </c>
    </row>
    <row r="718" spans="1:13" x14ac:dyDescent="0.4">
      <c r="A718" t="s">
        <v>50</v>
      </c>
      <c r="B718" t="s">
        <v>12</v>
      </c>
      <c r="C718" s="1">
        <v>45544</v>
      </c>
      <c r="D718" s="1">
        <v>45294</v>
      </c>
      <c r="E718" t="s">
        <v>16</v>
      </c>
      <c r="F718">
        <v>16371.62</v>
      </c>
      <c r="G718">
        <v>334</v>
      </c>
      <c r="H718">
        <v>81</v>
      </c>
      <c r="I718">
        <v>154204.03</v>
      </c>
      <c r="J718">
        <v>9264</v>
      </c>
      <c r="K718">
        <v>267145</v>
      </c>
      <c r="L718">
        <f t="shared" si="22"/>
        <v>841.89841933785419</v>
      </c>
      <c r="M718">
        <f t="shared" si="23"/>
        <v>250</v>
      </c>
    </row>
    <row r="719" spans="1:13" x14ac:dyDescent="0.4">
      <c r="A719" t="s">
        <v>74</v>
      </c>
      <c r="B719" t="s">
        <v>15</v>
      </c>
      <c r="C719" s="1">
        <v>45601</v>
      </c>
      <c r="D719" s="1">
        <v>45294</v>
      </c>
      <c r="E719" t="s">
        <v>13</v>
      </c>
      <c r="F719">
        <v>13145.79</v>
      </c>
      <c r="G719">
        <v>1199</v>
      </c>
      <c r="H719">
        <v>489</v>
      </c>
      <c r="I719">
        <v>99631.67</v>
      </c>
      <c r="J719">
        <v>2946</v>
      </c>
      <c r="K719">
        <v>61848</v>
      </c>
      <c r="L719">
        <f t="shared" si="22"/>
        <v>657.8979277776383</v>
      </c>
      <c r="M719">
        <f t="shared" si="23"/>
        <v>307</v>
      </c>
    </row>
    <row r="720" spans="1:13" x14ac:dyDescent="0.4">
      <c r="A720" t="s">
        <v>94</v>
      </c>
      <c r="B720" t="s">
        <v>54</v>
      </c>
      <c r="C720" s="1">
        <v>45580</v>
      </c>
      <c r="D720" s="1">
        <v>45294</v>
      </c>
      <c r="E720" t="s">
        <v>13</v>
      </c>
      <c r="F720">
        <v>35188.1</v>
      </c>
      <c r="G720">
        <v>1994</v>
      </c>
      <c r="H720">
        <v>474</v>
      </c>
      <c r="I720">
        <v>34129.42</v>
      </c>
      <c r="J720">
        <v>2563</v>
      </c>
      <c r="K720">
        <v>53635</v>
      </c>
      <c r="L720">
        <f t="shared" si="22"/>
        <v>-3.0086307586939913</v>
      </c>
      <c r="M720">
        <f t="shared" si="23"/>
        <v>286</v>
      </c>
    </row>
    <row r="721" spans="1:13" x14ac:dyDescent="0.4">
      <c r="A721" t="s">
        <v>112</v>
      </c>
      <c r="B721" t="s">
        <v>36</v>
      </c>
      <c r="C721" s="1">
        <v>45455</v>
      </c>
      <c r="D721" s="1">
        <v>45301</v>
      </c>
      <c r="E721" t="s">
        <v>26</v>
      </c>
      <c r="F721">
        <v>18841.53</v>
      </c>
      <c r="G721">
        <v>1512</v>
      </c>
      <c r="H721">
        <v>464</v>
      </c>
      <c r="I721">
        <v>131410.10999999999</v>
      </c>
      <c r="J721">
        <v>6937</v>
      </c>
      <c r="K721">
        <v>21946</v>
      </c>
      <c r="L721">
        <f t="shared" si="22"/>
        <v>597.44925173274146</v>
      </c>
      <c r="M721">
        <f t="shared" si="23"/>
        <v>154</v>
      </c>
    </row>
    <row r="722" spans="1:13" x14ac:dyDescent="0.4">
      <c r="A722" t="s">
        <v>94</v>
      </c>
      <c r="B722" t="s">
        <v>51</v>
      </c>
      <c r="C722" s="1">
        <v>45386</v>
      </c>
      <c r="D722" s="1">
        <v>45296</v>
      </c>
      <c r="E722" t="s">
        <v>16</v>
      </c>
      <c r="F722">
        <v>28744.54</v>
      </c>
      <c r="G722">
        <v>1922</v>
      </c>
      <c r="H722">
        <v>262</v>
      </c>
      <c r="I722">
        <v>38615.339999999997</v>
      </c>
      <c r="J722">
        <v>5022</v>
      </c>
      <c r="K722">
        <v>460350</v>
      </c>
      <c r="L722">
        <f t="shared" si="22"/>
        <v>34.33973895564165</v>
      </c>
      <c r="M722">
        <f t="shared" si="23"/>
        <v>90</v>
      </c>
    </row>
    <row r="723" spans="1:13" x14ac:dyDescent="0.4">
      <c r="A723" t="s">
        <v>20</v>
      </c>
      <c r="B723" t="s">
        <v>25</v>
      </c>
      <c r="C723" s="1">
        <v>45561</v>
      </c>
      <c r="D723" s="1">
        <v>45299</v>
      </c>
      <c r="E723" t="s">
        <v>26</v>
      </c>
      <c r="F723">
        <v>1306.6199999999999</v>
      </c>
      <c r="G723">
        <v>735</v>
      </c>
      <c r="H723">
        <v>131</v>
      </c>
      <c r="I723">
        <v>175116.94</v>
      </c>
      <c r="J723">
        <v>4492</v>
      </c>
      <c r="K723">
        <v>96852</v>
      </c>
      <c r="L723">
        <f t="shared" si="22"/>
        <v>13302.285285698979</v>
      </c>
      <c r="M723">
        <f t="shared" si="23"/>
        <v>262</v>
      </c>
    </row>
    <row r="724" spans="1:13" x14ac:dyDescent="0.4">
      <c r="A724" t="s">
        <v>61</v>
      </c>
      <c r="B724" t="s">
        <v>12</v>
      </c>
      <c r="C724" s="1">
        <v>45612</v>
      </c>
      <c r="D724" s="1">
        <v>45296</v>
      </c>
      <c r="E724" t="s">
        <v>26</v>
      </c>
      <c r="F724">
        <v>4032.4</v>
      </c>
      <c r="G724">
        <v>1225</v>
      </c>
      <c r="H724">
        <v>489</v>
      </c>
      <c r="I724">
        <v>124557.67</v>
      </c>
      <c r="J724">
        <v>3283</v>
      </c>
      <c r="K724">
        <v>354247</v>
      </c>
      <c r="L724">
        <f t="shared" si="22"/>
        <v>2988.9214859636941</v>
      </c>
      <c r="M724">
        <f t="shared" si="23"/>
        <v>316</v>
      </c>
    </row>
    <row r="725" spans="1:13" x14ac:dyDescent="0.4">
      <c r="A725" t="s">
        <v>22</v>
      </c>
      <c r="B725" t="s">
        <v>40</v>
      </c>
      <c r="C725" s="1">
        <v>45401</v>
      </c>
      <c r="D725" s="1">
        <v>45298</v>
      </c>
      <c r="E725" t="s">
        <v>34</v>
      </c>
      <c r="F725">
        <v>27233.03</v>
      </c>
      <c r="G725">
        <v>380</v>
      </c>
      <c r="H725">
        <v>395</v>
      </c>
      <c r="I725">
        <v>35654.76</v>
      </c>
      <c r="J725">
        <v>3267</v>
      </c>
      <c r="K725">
        <v>486260</v>
      </c>
      <c r="L725">
        <f t="shared" si="22"/>
        <v>30.924689614045896</v>
      </c>
      <c r="M725">
        <f t="shared" si="23"/>
        <v>103</v>
      </c>
    </row>
    <row r="726" spans="1:13" x14ac:dyDescent="0.4">
      <c r="A726" t="s">
        <v>59</v>
      </c>
      <c r="B726" t="s">
        <v>28</v>
      </c>
      <c r="C726" s="1">
        <v>45627</v>
      </c>
      <c r="D726" s="1">
        <v>45300</v>
      </c>
      <c r="E726" t="s">
        <v>34</v>
      </c>
      <c r="F726">
        <v>28737.51</v>
      </c>
      <c r="G726">
        <v>1611</v>
      </c>
      <c r="H726">
        <v>286</v>
      </c>
      <c r="I726">
        <v>192655.92</v>
      </c>
      <c r="J726">
        <v>3097</v>
      </c>
      <c r="K726">
        <v>306888</v>
      </c>
      <c r="L726">
        <f t="shared" si="22"/>
        <v>570.39879237971559</v>
      </c>
      <c r="M726">
        <f t="shared" si="23"/>
        <v>327</v>
      </c>
    </row>
    <row r="727" spans="1:13" x14ac:dyDescent="0.4">
      <c r="A727" t="s">
        <v>89</v>
      </c>
      <c r="B727" t="s">
        <v>51</v>
      </c>
      <c r="C727" s="1">
        <v>45601</v>
      </c>
      <c r="D727" s="1">
        <v>45295</v>
      </c>
      <c r="E727" t="s">
        <v>13</v>
      </c>
      <c r="F727">
        <v>37821.19</v>
      </c>
      <c r="G727">
        <v>1456</v>
      </c>
      <c r="H727">
        <v>478</v>
      </c>
      <c r="I727">
        <v>106081.27</v>
      </c>
      <c r="J727">
        <v>6621</v>
      </c>
      <c r="K727">
        <v>118729</v>
      </c>
      <c r="L727">
        <f t="shared" si="22"/>
        <v>180.48104779357814</v>
      </c>
      <c r="M727">
        <f t="shared" si="23"/>
        <v>306</v>
      </c>
    </row>
    <row r="728" spans="1:13" x14ac:dyDescent="0.4">
      <c r="A728" t="s">
        <v>29</v>
      </c>
      <c r="B728" t="s">
        <v>21</v>
      </c>
      <c r="C728" s="1">
        <v>45529</v>
      </c>
      <c r="D728" s="1">
        <v>45299</v>
      </c>
      <c r="E728" t="s">
        <v>26</v>
      </c>
      <c r="F728">
        <v>7466.3</v>
      </c>
      <c r="G728">
        <v>1188</v>
      </c>
      <c r="H728">
        <v>92</v>
      </c>
      <c r="I728">
        <v>19215.2</v>
      </c>
      <c r="J728">
        <v>3327</v>
      </c>
      <c r="K728">
        <v>171231</v>
      </c>
      <c r="L728">
        <f t="shared" si="22"/>
        <v>157.35906673988455</v>
      </c>
      <c r="M728">
        <f t="shared" si="23"/>
        <v>230</v>
      </c>
    </row>
    <row r="729" spans="1:13" x14ac:dyDescent="0.4">
      <c r="A729" t="s">
        <v>79</v>
      </c>
      <c r="B729" t="s">
        <v>54</v>
      </c>
      <c r="C729" s="1">
        <v>45316</v>
      </c>
      <c r="D729" s="1">
        <v>45299</v>
      </c>
      <c r="E729" t="s">
        <v>13</v>
      </c>
      <c r="F729">
        <v>26145.97</v>
      </c>
      <c r="G729">
        <v>943</v>
      </c>
      <c r="H729">
        <v>208</v>
      </c>
      <c r="I729">
        <v>127232.42</v>
      </c>
      <c r="J729">
        <v>6664</v>
      </c>
      <c r="K729">
        <v>490028</v>
      </c>
      <c r="L729">
        <f t="shared" si="22"/>
        <v>386.6234452192823</v>
      </c>
      <c r="M729">
        <f t="shared" si="23"/>
        <v>17</v>
      </c>
    </row>
    <row r="730" spans="1:13" x14ac:dyDescent="0.4">
      <c r="A730" t="s">
        <v>103</v>
      </c>
      <c r="B730" t="s">
        <v>15</v>
      </c>
      <c r="C730" s="1">
        <v>45432</v>
      </c>
      <c r="D730" s="1">
        <v>45296</v>
      </c>
      <c r="E730" t="s">
        <v>16</v>
      </c>
      <c r="F730">
        <v>10527.93</v>
      </c>
      <c r="G730">
        <v>1555</v>
      </c>
      <c r="H730">
        <v>20</v>
      </c>
      <c r="I730">
        <v>54373.79</v>
      </c>
      <c r="J730">
        <v>2124</v>
      </c>
      <c r="K730">
        <v>286815</v>
      </c>
      <c r="L730">
        <f t="shared" si="22"/>
        <v>416.47180404884915</v>
      </c>
      <c r="M730">
        <f t="shared" si="23"/>
        <v>136</v>
      </c>
    </row>
    <row r="731" spans="1:13" x14ac:dyDescent="0.4">
      <c r="A731" t="s">
        <v>118</v>
      </c>
      <c r="B731" t="s">
        <v>18</v>
      </c>
      <c r="C731" s="1">
        <v>45408</v>
      </c>
      <c r="D731" s="1">
        <v>45299</v>
      </c>
      <c r="E731" t="s">
        <v>26</v>
      </c>
      <c r="F731">
        <v>5566.61</v>
      </c>
      <c r="G731">
        <v>1357</v>
      </c>
      <c r="H731">
        <v>155</v>
      </c>
      <c r="I731">
        <v>161720.22</v>
      </c>
      <c r="J731">
        <v>429</v>
      </c>
      <c r="K731">
        <v>148522</v>
      </c>
      <c r="L731">
        <f t="shared" si="22"/>
        <v>2805.1832264160776</v>
      </c>
      <c r="M731">
        <f t="shared" si="23"/>
        <v>109</v>
      </c>
    </row>
    <row r="732" spans="1:13" x14ac:dyDescent="0.4">
      <c r="A732" t="s">
        <v>124</v>
      </c>
      <c r="B732" t="s">
        <v>25</v>
      </c>
      <c r="C732" s="1">
        <v>45316</v>
      </c>
      <c r="D732" s="1">
        <v>45298</v>
      </c>
      <c r="E732" t="s">
        <v>26</v>
      </c>
      <c r="F732">
        <v>21114.29</v>
      </c>
      <c r="G732">
        <v>948</v>
      </c>
      <c r="H732">
        <v>428</v>
      </c>
      <c r="I732">
        <v>164475.29999999999</v>
      </c>
      <c r="J732">
        <v>2586</v>
      </c>
      <c r="K732">
        <v>409124</v>
      </c>
      <c r="L732">
        <f t="shared" si="22"/>
        <v>678.97622889521733</v>
      </c>
      <c r="M732">
        <f t="shared" si="23"/>
        <v>18</v>
      </c>
    </row>
    <row r="733" spans="1:13" x14ac:dyDescent="0.4">
      <c r="A733" t="s">
        <v>114</v>
      </c>
      <c r="B733" t="s">
        <v>23</v>
      </c>
      <c r="C733" s="1">
        <v>45370</v>
      </c>
      <c r="D733" s="1">
        <v>45295</v>
      </c>
      <c r="E733" t="s">
        <v>16</v>
      </c>
      <c r="F733">
        <v>9003.5</v>
      </c>
      <c r="G733">
        <v>1148</v>
      </c>
      <c r="H733">
        <v>258</v>
      </c>
      <c r="I733">
        <v>195894.73</v>
      </c>
      <c r="J733">
        <v>1255</v>
      </c>
      <c r="K733">
        <v>451491</v>
      </c>
      <c r="L733">
        <f t="shared" si="22"/>
        <v>2075.7619814516579</v>
      </c>
      <c r="M733">
        <f t="shared" si="23"/>
        <v>75</v>
      </c>
    </row>
    <row r="734" spans="1:13" x14ac:dyDescent="0.4">
      <c r="A734" t="s">
        <v>67</v>
      </c>
      <c r="B734" t="s">
        <v>23</v>
      </c>
      <c r="C734" s="1">
        <v>45359</v>
      </c>
      <c r="D734" s="1">
        <v>45302</v>
      </c>
      <c r="E734" t="s">
        <v>16</v>
      </c>
      <c r="F734">
        <v>11867.32</v>
      </c>
      <c r="G734">
        <v>1239</v>
      </c>
      <c r="H734">
        <v>192</v>
      </c>
      <c r="I734">
        <v>102864.56</v>
      </c>
      <c r="J734">
        <v>4577</v>
      </c>
      <c r="K734">
        <v>438574</v>
      </c>
      <c r="L734">
        <f t="shared" si="22"/>
        <v>766.7884577141258</v>
      </c>
      <c r="M734">
        <f t="shared" si="23"/>
        <v>57</v>
      </c>
    </row>
    <row r="735" spans="1:13" x14ac:dyDescent="0.4">
      <c r="A735" t="s">
        <v>61</v>
      </c>
      <c r="B735" t="s">
        <v>43</v>
      </c>
      <c r="C735" s="1">
        <v>45464</v>
      </c>
      <c r="D735" s="1">
        <v>45301</v>
      </c>
      <c r="E735" t="s">
        <v>13</v>
      </c>
      <c r="F735">
        <v>16560.169999999998</v>
      </c>
      <c r="G735">
        <v>1262</v>
      </c>
      <c r="H735">
        <v>333</v>
      </c>
      <c r="I735">
        <v>93716.59</v>
      </c>
      <c r="J735">
        <v>2285</v>
      </c>
      <c r="K735">
        <v>443263</v>
      </c>
      <c r="L735">
        <f t="shared" si="22"/>
        <v>465.91562767773524</v>
      </c>
      <c r="M735">
        <f t="shared" si="23"/>
        <v>163</v>
      </c>
    </row>
    <row r="736" spans="1:13" x14ac:dyDescent="0.4">
      <c r="A736" t="s">
        <v>53</v>
      </c>
      <c r="B736" t="s">
        <v>12</v>
      </c>
      <c r="C736" s="1">
        <v>45303</v>
      </c>
      <c r="D736" s="1">
        <v>45296</v>
      </c>
      <c r="E736" t="s">
        <v>13</v>
      </c>
      <c r="F736">
        <v>13710.03</v>
      </c>
      <c r="G736">
        <v>127</v>
      </c>
      <c r="H736">
        <v>36</v>
      </c>
      <c r="I736">
        <v>151927.74</v>
      </c>
      <c r="J736">
        <v>7186</v>
      </c>
      <c r="K736">
        <v>429734</v>
      </c>
      <c r="L736">
        <f t="shared" si="22"/>
        <v>1008.1503103931939</v>
      </c>
      <c r="M736">
        <f t="shared" si="23"/>
        <v>7</v>
      </c>
    </row>
    <row r="737" spans="1:13" x14ac:dyDescent="0.4">
      <c r="A737" t="s">
        <v>69</v>
      </c>
      <c r="B737" t="s">
        <v>25</v>
      </c>
      <c r="C737" s="1">
        <v>45579</v>
      </c>
      <c r="D737" s="1">
        <v>45301</v>
      </c>
      <c r="E737" t="s">
        <v>16</v>
      </c>
      <c r="F737">
        <v>5291.97</v>
      </c>
      <c r="G737">
        <v>996</v>
      </c>
      <c r="H737">
        <v>275</v>
      </c>
      <c r="I737">
        <v>30831.78</v>
      </c>
      <c r="J737">
        <v>2417</v>
      </c>
      <c r="K737">
        <v>320957</v>
      </c>
      <c r="L737">
        <f t="shared" si="22"/>
        <v>482.61441391391099</v>
      </c>
      <c r="M737">
        <f t="shared" si="23"/>
        <v>278</v>
      </c>
    </row>
    <row r="738" spans="1:13" x14ac:dyDescent="0.4">
      <c r="A738" t="s">
        <v>17</v>
      </c>
      <c r="B738" t="s">
        <v>31</v>
      </c>
      <c r="C738" s="1">
        <v>45419</v>
      </c>
      <c r="D738" s="1">
        <v>45302</v>
      </c>
      <c r="E738" t="s">
        <v>13</v>
      </c>
      <c r="F738">
        <v>5405.9</v>
      </c>
      <c r="G738">
        <v>1675</v>
      </c>
      <c r="H738">
        <v>489</v>
      </c>
      <c r="I738">
        <v>111648.53</v>
      </c>
      <c r="J738">
        <v>3721</v>
      </c>
      <c r="K738">
        <v>97748</v>
      </c>
      <c r="L738">
        <f t="shared" si="22"/>
        <v>1965.3088292421244</v>
      </c>
      <c r="M738">
        <f t="shared" si="23"/>
        <v>117</v>
      </c>
    </row>
    <row r="739" spans="1:13" x14ac:dyDescent="0.4">
      <c r="A739" t="s">
        <v>126</v>
      </c>
      <c r="B739" t="s">
        <v>40</v>
      </c>
      <c r="C739" s="1">
        <v>45387</v>
      </c>
      <c r="D739" s="1">
        <v>45296</v>
      </c>
      <c r="E739" t="s">
        <v>16</v>
      </c>
      <c r="F739">
        <v>10469.219999999999</v>
      </c>
      <c r="G739">
        <v>737</v>
      </c>
      <c r="H739">
        <v>401</v>
      </c>
      <c r="I739">
        <v>111518.28</v>
      </c>
      <c r="J739">
        <v>4591</v>
      </c>
      <c r="K739">
        <v>240292</v>
      </c>
      <c r="L739">
        <f t="shared" si="22"/>
        <v>965.20141901688953</v>
      </c>
      <c r="M739">
        <f t="shared" si="23"/>
        <v>91</v>
      </c>
    </row>
    <row r="740" spans="1:13" x14ac:dyDescent="0.4">
      <c r="A740" t="s">
        <v>96</v>
      </c>
      <c r="B740" t="s">
        <v>18</v>
      </c>
      <c r="C740" s="1">
        <v>45383</v>
      </c>
      <c r="D740" s="1">
        <v>45296</v>
      </c>
      <c r="E740" t="s">
        <v>26</v>
      </c>
      <c r="F740">
        <v>3477.4</v>
      </c>
      <c r="G740">
        <v>70</v>
      </c>
      <c r="H740">
        <v>9</v>
      </c>
      <c r="I740">
        <v>22447.26</v>
      </c>
      <c r="J740">
        <v>2611</v>
      </c>
      <c r="K740">
        <v>401022</v>
      </c>
      <c r="L740">
        <f t="shared" si="22"/>
        <v>545.51849082647936</v>
      </c>
      <c r="M740">
        <f t="shared" si="23"/>
        <v>87</v>
      </c>
    </row>
    <row r="741" spans="1:13" x14ac:dyDescent="0.4">
      <c r="A741" t="s">
        <v>82</v>
      </c>
      <c r="B741" t="s">
        <v>28</v>
      </c>
      <c r="C741" s="1">
        <v>45432</v>
      </c>
      <c r="D741" s="1">
        <v>45295</v>
      </c>
      <c r="E741" t="s">
        <v>26</v>
      </c>
      <c r="F741">
        <v>31696.39</v>
      </c>
      <c r="G741">
        <v>615</v>
      </c>
      <c r="H741">
        <v>463</v>
      </c>
      <c r="I741">
        <v>86506.9</v>
      </c>
      <c r="J741">
        <v>7942</v>
      </c>
      <c r="K741">
        <v>105733</v>
      </c>
      <c r="L741">
        <f t="shared" si="22"/>
        <v>172.92350958579192</v>
      </c>
      <c r="M741">
        <f t="shared" si="23"/>
        <v>137</v>
      </c>
    </row>
    <row r="742" spans="1:13" x14ac:dyDescent="0.4">
      <c r="A742" t="s">
        <v>38</v>
      </c>
      <c r="B742" t="s">
        <v>51</v>
      </c>
      <c r="C742" s="1">
        <v>45322</v>
      </c>
      <c r="D742" s="1">
        <v>45301</v>
      </c>
      <c r="E742" t="s">
        <v>34</v>
      </c>
      <c r="F742">
        <v>15079.01</v>
      </c>
      <c r="G742">
        <v>1257</v>
      </c>
      <c r="H742">
        <v>334</v>
      </c>
      <c r="I742">
        <v>171390.54</v>
      </c>
      <c r="J742">
        <v>8741</v>
      </c>
      <c r="K742">
        <v>435107</v>
      </c>
      <c r="L742">
        <f t="shared" si="22"/>
        <v>1036.6166611733795</v>
      </c>
      <c r="M742">
        <f t="shared" si="23"/>
        <v>21</v>
      </c>
    </row>
    <row r="743" spans="1:13" x14ac:dyDescent="0.4">
      <c r="A743" t="s">
        <v>123</v>
      </c>
      <c r="B743" t="s">
        <v>51</v>
      </c>
      <c r="C743" s="1">
        <v>45625</v>
      </c>
      <c r="D743" s="1">
        <v>45294</v>
      </c>
      <c r="E743" t="s">
        <v>26</v>
      </c>
      <c r="F743">
        <v>14707.55</v>
      </c>
      <c r="G743">
        <v>1944</v>
      </c>
      <c r="H743">
        <v>312</v>
      </c>
      <c r="I743">
        <v>171949.96</v>
      </c>
      <c r="J743">
        <v>9646</v>
      </c>
      <c r="K743">
        <v>127865</v>
      </c>
      <c r="L743">
        <f t="shared" si="22"/>
        <v>1069.1271489813057</v>
      </c>
      <c r="M743">
        <f t="shared" si="23"/>
        <v>331</v>
      </c>
    </row>
    <row r="744" spans="1:13" x14ac:dyDescent="0.4">
      <c r="A744" t="s">
        <v>27</v>
      </c>
      <c r="B744" t="s">
        <v>23</v>
      </c>
      <c r="C744" s="1">
        <v>45311</v>
      </c>
      <c r="D744" s="1">
        <v>45301</v>
      </c>
      <c r="E744" t="s">
        <v>16</v>
      </c>
      <c r="F744">
        <v>17267.919999999998</v>
      </c>
      <c r="G744">
        <v>1295</v>
      </c>
      <c r="H744">
        <v>337</v>
      </c>
      <c r="I744">
        <v>24351.34</v>
      </c>
      <c r="J744">
        <v>7948</v>
      </c>
      <c r="K744">
        <v>346695</v>
      </c>
      <c r="L744">
        <f t="shared" si="22"/>
        <v>41.020690390041203</v>
      </c>
      <c r="M744">
        <f t="shared" si="23"/>
        <v>10</v>
      </c>
    </row>
    <row r="745" spans="1:13" x14ac:dyDescent="0.4">
      <c r="A745" t="s">
        <v>114</v>
      </c>
      <c r="B745" t="s">
        <v>51</v>
      </c>
      <c r="C745" s="1">
        <v>45437</v>
      </c>
      <c r="D745" s="1">
        <v>45300</v>
      </c>
      <c r="E745" t="s">
        <v>13</v>
      </c>
      <c r="F745">
        <v>33477.019999999997</v>
      </c>
      <c r="G745">
        <v>876</v>
      </c>
      <c r="H745">
        <v>173</v>
      </c>
      <c r="I745">
        <v>22690.57</v>
      </c>
      <c r="J745">
        <v>5504</v>
      </c>
      <c r="K745">
        <v>392479</v>
      </c>
      <c r="L745">
        <f t="shared" si="22"/>
        <v>-32.220460483041798</v>
      </c>
      <c r="M745">
        <f t="shared" si="23"/>
        <v>137</v>
      </c>
    </row>
    <row r="746" spans="1:13" x14ac:dyDescent="0.4">
      <c r="A746" t="s">
        <v>29</v>
      </c>
      <c r="B746" t="s">
        <v>15</v>
      </c>
      <c r="C746" s="1">
        <v>45607</v>
      </c>
      <c r="D746" s="1">
        <v>45300</v>
      </c>
      <c r="E746" t="s">
        <v>34</v>
      </c>
      <c r="F746">
        <v>43661.06</v>
      </c>
      <c r="G746">
        <v>1401</v>
      </c>
      <c r="H746">
        <v>185</v>
      </c>
      <c r="I746">
        <v>56225.62</v>
      </c>
      <c r="J746">
        <v>5493</v>
      </c>
      <c r="K746">
        <v>302364</v>
      </c>
      <c r="L746">
        <f t="shared" si="22"/>
        <v>28.77749646939402</v>
      </c>
      <c r="M746">
        <f t="shared" si="23"/>
        <v>307</v>
      </c>
    </row>
    <row r="747" spans="1:13" x14ac:dyDescent="0.4">
      <c r="A747" t="s">
        <v>100</v>
      </c>
      <c r="B747" t="s">
        <v>18</v>
      </c>
      <c r="C747" s="1">
        <v>45451</v>
      </c>
      <c r="D747" s="1">
        <v>45296</v>
      </c>
      <c r="E747" t="s">
        <v>13</v>
      </c>
      <c r="F747">
        <v>38195.26</v>
      </c>
      <c r="G747">
        <v>228</v>
      </c>
      <c r="H747">
        <v>370</v>
      </c>
      <c r="I747">
        <v>175579.38</v>
      </c>
      <c r="J747">
        <v>1393</v>
      </c>
      <c r="K747">
        <v>280302</v>
      </c>
      <c r="L747">
        <f t="shared" si="22"/>
        <v>359.6889247513958</v>
      </c>
      <c r="M747">
        <f t="shared" si="23"/>
        <v>155</v>
      </c>
    </row>
    <row r="748" spans="1:13" x14ac:dyDescent="0.4">
      <c r="A748" t="s">
        <v>85</v>
      </c>
      <c r="B748" t="s">
        <v>21</v>
      </c>
      <c r="C748" s="1">
        <v>45640</v>
      </c>
      <c r="D748" s="1">
        <v>45294</v>
      </c>
      <c r="E748" t="s">
        <v>16</v>
      </c>
      <c r="F748">
        <v>36648.93</v>
      </c>
      <c r="G748">
        <v>1861</v>
      </c>
      <c r="H748">
        <v>182</v>
      </c>
      <c r="I748">
        <v>30136</v>
      </c>
      <c r="J748">
        <v>2565</v>
      </c>
      <c r="K748">
        <v>344136</v>
      </c>
      <c r="L748">
        <f t="shared" si="22"/>
        <v>-17.77113274521248</v>
      </c>
      <c r="M748">
        <f t="shared" si="23"/>
        <v>346</v>
      </c>
    </row>
    <row r="749" spans="1:13" x14ac:dyDescent="0.4">
      <c r="A749" t="s">
        <v>108</v>
      </c>
      <c r="B749" t="s">
        <v>36</v>
      </c>
      <c r="C749" s="1">
        <v>45334</v>
      </c>
      <c r="D749" s="1">
        <v>45297</v>
      </c>
      <c r="E749" t="s">
        <v>26</v>
      </c>
      <c r="F749">
        <v>24735.17</v>
      </c>
      <c r="G749">
        <v>1185</v>
      </c>
      <c r="H749">
        <v>147</v>
      </c>
      <c r="I749">
        <v>145399.38</v>
      </c>
      <c r="J749">
        <v>3275</v>
      </c>
      <c r="K749">
        <v>421804</v>
      </c>
      <c r="L749">
        <f t="shared" si="22"/>
        <v>487.82446209183126</v>
      </c>
      <c r="M749">
        <f t="shared" si="23"/>
        <v>37</v>
      </c>
    </row>
    <row r="750" spans="1:13" x14ac:dyDescent="0.4">
      <c r="A750" t="s">
        <v>123</v>
      </c>
      <c r="B750" t="s">
        <v>43</v>
      </c>
      <c r="C750" s="1">
        <v>45545</v>
      </c>
      <c r="D750" s="1">
        <v>45302</v>
      </c>
      <c r="E750" t="s">
        <v>34</v>
      </c>
      <c r="F750">
        <v>34996.47</v>
      </c>
      <c r="G750">
        <v>1809</v>
      </c>
      <c r="H750">
        <v>366</v>
      </c>
      <c r="I750">
        <v>24727.3</v>
      </c>
      <c r="J750">
        <v>7949</v>
      </c>
      <c r="K750">
        <v>63576</v>
      </c>
      <c r="L750">
        <f t="shared" si="22"/>
        <v>-29.343445210331222</v>
      </c>
      <c r="M750">
        <f t="shared" si="23"/>
        <v>243</v>
      </c>
    </row>
    <row r="751" spans="1:13" x14ac:dyDescent="0.4">
      <c r="A751" t="s">
        <v>19</v>
      </c>
      <c r="B751" t="s">
        <v>33</v>
      </c>
      <c r="C751" s="1">
        <v>45421</v>
      </c>
      <c r="D751" s="1">
        <v>45298</v>
      </c>
      <c r="E751" t="s">
        <v>16</v>
      </c>
      <c r="F751">
        <v>28085.360000000001</v>
      </c>
      <c r="G751">
        <v>1799</v>
      </c>
      <c r="H751">
        <v>252</v>
      </c>
      <c r="I751">
        <v>126511.88</v>
      </c>
      <c r="J751">
        <v>9525</v>
      </c>
      <c r="K751">
        <v>351171</v>
      </c>
      <c r="L751">
        <f t="shared" si="22"/>
        <v>350.4548989224279</v>
      </c>
      <c r="M751">
        <f t="shared" si="23"/>
        <v>123</v>
      </c>
    </row>
    <row r="752" spans="1:13" x14ac:dyDescent="0.4">
      <c r="A752" t="s">
        <v>49</v>
      </c>
      <c r="B752" t="s">
        <v>30</v>
      </c>
      <c r="C752" s="1">
        <v>45351</v>
      </c>
      <c r="D752" s="1">
        <v>45294</v>
      </c>
      <c r="E752" t="s">
        <v>34</v>
      </c>
      <c r="F752">
        <v>11596.28</v>
      </c>
      <c r="G752">
        <v>1132</v>
      </c>
      <c r="H752">
        <v>131</v>
      </c>
      <c r="I752">
        <v>74433.119999999995</v>
      </c>
      <c r="J752">
        <v>9729</v>
      </c>
      <c r="K752">
        <v>156260</v>
      </c>
      <c r="L752">
        <f t="shared" si="22"/>
        <v>541.87066886967193</v>
      </c>
      <c r="M752">
        <f t="shared" si="23"/>
        <v>57</v>
      </c>
    </row>
    <row r="753" spans="1:13" x14ac:dyDescent="0.4">
      <c r="A753" t="s">
        <v>37</v>
      </c>
      <c r="B753" t="s">
        <v>43</v>
      </c>
      <c r="C753" s="1">
        <v>45442</v>
      </c>
      <c r="D753" s="1">
        <v>45298</v>
      </c>
      <c r="E753" t="s">
        <v>34</v>
      </c>
      <c r="F753">
        <v>11220.83</v>
      </c>
      <c r="G753">
        <v>1400</v>
      </c>
      <c r="H753">
        <v>267</v>
      </c>
      <c r="I753">
        <v>158838.22</v>
      </c>
      <c r="J753">
        <v>8544</v>
      </c>
      <c r="K753">
        <v>224687</v>
      </c>
      <c r="L753">
        <f t="shared" si="22"/>
        <v>1315.5656934469198</v>
      </c>
      <c r="M753">
        <f t="shared" si="23"/>
        <v>144</v>
      </c>
    </row>
    <row r="754" spans="1:13" x14ac:dyDescent="0.4">
      <c r="A754" t="s">
        <v>99</v>
      </c>
      <c r="B754" t="s">
        <v>12</v>
      </c>
      <c r="C754" s="1">
        <v>45578</v>
      </c>
      <c r="D754" s="1">
        <v>45301</v>
      </c>
      <c r="E754" t="s">
        <v>26</v>
      </c>
      <c r="F754">
        <v>15523.21</v>
      </c>
      <c r="G754">
        <v>954</v>
      </c>
      <c r="H754">
        <v>44</v>
      </c>
      <c r="I754">
        <v>50569.64</v>
      </c>
      <c r="J754">
        <v>8310</v>
      </c>
      <c r="K754">
        <v>321974</v>
      </c>
      <c r="L754">
        <f t="shared" si="22"/>
        <v>225.7679307308218</v>
      </c>
      <c r="M754">
        <f t="shared" si="23"/>
        <v>277</v>
      </c>
    </row>
    <row r="755" spans="1:13" x14ac:dyDescent="0.4">
      <c r="A755" t="s">
        <v>75</v>
      </c>
      <c r="B755" t="s">
        <v>21</v>
      </c>
      <c r="C755" s="1">
        <v>45296</v>
      </c>
      <c r="D755" s="1">
        <v>45301</v>
      </c>
      <c r="E755" t="s">
        <v>16</v>
      </c>
      <c r="F755">
        <v>45629.33</v>
      </c>
      <c r="G755">
        <v>1694</v>
      </c>
      <c r="H755">
        <v>416</v>
      </c>
      <c r="I755">
        <v>129644.36</v>
      </c>
      <c r="J755">
        <v>2859</v>
      </c>
      <c r="K755">
        <v>136091</v>
      </c>
      <c r="L755">
        <f t="shared" si="22"/>
        <v>184.12505728223491</v>
      </c>
      <c r="M755">
        <f t="shared" si="23"/>
        <v>5</v>
      </c>
    </row>
    <row r="756" spans="1:13" x14ac:dyDescent="0.4">
      <c r="A756" t="s">
        <v>58</v>
      </c>
      <c r="B756" t="s">
        <v>43</v>
      </c>
      <c r="C756" s="1">
        <v>45557</v>
      </c>
      <c r="D756" s="1">
        <v>45298</v>
      </c>
      <c r="E756" t="s">
        <v>13</v>
      </c>
      <c r="F756">
        <v>27823.33</v>
      </c>
      <c r="G756">
        <v>1970</v>
      </c>
      <c r="H756">
        <v>420</v>
      </c>
      <c r="I756">
        <v>50958.09</v>
      </c>
      <c r="J756">
        <v>5355</v>
      </c>
      <c r="K756">
        <v>13419</v>
      </c>
      <c r="L756">
        <f t="shared" si="22"/>
        <v>83.148781975414138</v>
      </c>
      <c r="M756">
        <f t="shared" si="23"/>
        <v>259</v>
      </c>
    </row>
    <row r="757" spans="1:13" x14ac:dyDescent="0.4">
      <c r="A757" t="s">
        <v>79</v>
      </c>
      <c r="B757" t="s">
        <v>28</v>
      </c>
      <c r="C757" s="1">
        <v>45636</v>
      </c>
      <c r="D757" s="1">
        <v>45302</v>
      </c>
      <c r="E757" t="s">
        <v>34</v>
      </c>
      <c r="F757">
        <v>36961.360000000001</v>
      </c>
      <c r="G757">
        <v>718</v>
      </c>
      <c r="H757">
        <v>359</v>
      </c>
      <c r="I757">
        <v>144163.76</v>
      </c>
      <c r="J757">
        <v>8514</v>
      </c>
      <c r="K757">
        <v>34697</v>
      </c>
      <c r="L757">
        <f t="shared" si="22"/>
        <v>290.03911111495898</v>
      </c>
      <c r="M757">
        <f t="shared" si="23"/>
        <v>334</v>
      </c>
    </row>
    <row r="758" spans="1:13" x14ac:dyDescent="0.4">
      <c r="A758" t="s">
        <v>71</v>
      </c>
      <c r="B758" t="s">
        <v>23</v>
      </c>
      <c r="C758" s="1">
        <v>45421</v>
      </c>
      <c r="D758" s="1">
        <v>45294</v>
      </c>
      <c r="E758" t="s">
        <v>34</v>
      </c>
      <c r="F758">
        <v>17981.38</v>
      </c>
      <c r="G758">
        <v>240</v>
      </c>
      <c r="H758">
        <v>259</v>
      </c>
      <c r="I758">
        <v>175367.22</v>
      </c>
      <c r="J758">
        <v>102</v>
      </c>
      <c r="K758">
        <v>348076</v>
      </c>
      <c r="L758">
        <f t="shared" si="22"/>
        <v>875.27119720510882</v>
      </c>
      <c r="M758">
        <f t="shared" si="23"/>
        <v>127</v>
      </c>
    </row>
    <row r="759" spans="1:13" x14ac:dyDescent="0.4">
      <c r="A759" t="s">
        <v>75</v>
      </c>
      <c r="B759" t="s">
        <v>54</v>
      </c>
      <c r="C759" s="1">
        <v>45558</v>
      </c>
      <c r="D759" s="1">
        <v>45297</v>
      </c>
      <c r="E759" t="s">
        <v>13</v>
      </c>
      <c r="F759">
        <v>20978.07</v>
      </c>
      <c r="G759">
        <v>1273</v>
      </c>
      <c r="H759">
        <v>147</v>
      </c>
      <c r="I759">
        <v>29726.35</v>
      </c>
      <c r="J759">
        <v>8230</v>
      </c>
      <c r="K759">
        <v>382856</v>
      </c>
      <c r="L759">
        <f t="shared" si="22"/>
        <v>41.702025019460791</v>
      </c>
      <c r="M759">
        <f t="shared" si="23"/>
        <v>261</v>
      </c>
    </row>
    <row r="760" spans="1:13" x14ac:dyDescent="0.4">
      <c r="A760" t="s">
        <v>50</v>
      </c>
      <c r="B760" t="s">
        <v>12</v>
      </c>
      <c r="C760" s="1">
        <v>45469</v>
      </c>
      <c r="D760" s="1">
        <v>45296</v>
      </c>
      <c r="E760" t="s">
        <v>16</v>
      </c>
      <c r="F760">
        <v>7152.71</v>
      </c>
      <c r="G760">
        <v>1385</v>
      </c>
      <c r="H760">
        <v>244</v>
      </c>
      <c r="I760">
        <v>173986.16</v>
      </c>
      <c r="J760">
        <v>1359</v>
      </c>
      <c r="K760">
        <v>498784</v>
      </c>
      <c r="L760">
        <f t="shared" si="22"/>
        <v>2332.4509172048079</v>
      </c>
      <c r="M760">
        <f t="shared" si="23"/>
        <v>173</v>
      </c>
    </row>
    <row r="761" spans="1:13" x14ac:dyDescent="0.4">
      <c r="A761" t="s">
        <v>47</v>
      </c>
      <c r="B761" t="s">
        <v>51</v>
      </c>
      <c r="C761" s="1">
        <v>45544</v>
      </c>
      <c r="D761" s="1">
        <v>45295</v>
      </c>
      <c r="E761" t="s">
        <v>34</v>
      </c>
      <c r="F761">
        <v>9393.4500000000007</v>
      </c>
      <c r="G761">
        <v>757</v>
      </c>
      <c r="H761">
        <v>232</v>
      </c>
      <c r="I761">
        <v>120747.17</v>
      </c>
      <c r="J761">
        <v>8290</v>
      </c>
      <c r="K761">
        <v>96428</v>
      </c>
      <c r="L761">
        <f t="shared" si="22"/>
        <v>1185.4400672809245</v>
      </c>
      <c r="M761">
        <f t="shared" si="23"/>
        <v>249</v>
      </c>
    </row>
    <row r="762" spans="1:13" x14ac:dyDescent="0.4">
      <c r="A762" t="s">
        <v>80</v>
      </c>
      <c r="B762" t="s">
        <v>25</v>
      </c>
      <c r="C762" s="1">
        <v>45347</v>
      </c>
      <c r="D762" s="1">
        <v>45301</v>
      </c>
      <c r="E762" t="s">
        <v>34</v>
      </c>
      <c r="F762">
        <v>41540.47</v>
      </c>
      <c r="G762">
        <v>1108</v>
      </c>
      <c r="H762">
        <v>345</v>
      </c>
      <c r="I762">
        <v>29786.55</v>
      </c>
      <c r="J762">
        <v>4423</v>
      </c>
      <c r="K762">
        <v>140045</v>
      </c>
      <c r="L762">
        <f t="shared" si="22"/>
        <v>-28.29510595330289</v>
      </c>
      <c r="M762">
        <f t="shared" si="23"/>
        <v>46</v>
      </c>
    </row>
    <row r="763" spans="1:13" x14ac:dyDescent="0.4">
      <c r="A763" t="s">
        <v>99</v>
      </c>
      <c r="B763" t="s">
        <v>28</v>
      </c>
      <c r="C763" s="1">
        <v>45374</v>
      </c>
      <c r="D763" s="1">
        <v>45300</v>
      </c>
      <c r="E763" t="s">
        <v>34</v>
      </c>
      <c r="F763">
        <v>29657.09</v>
      </c>
      <c r="G763">
        <v>428</v>
      </c>
      <c r="H763">
        <v>202</v>
      </c>
      <c r="I763">
        <v>88370.66</v>
      </c>
      <c r="J763">
        <v>5873</v>
      </c>
      <c r="K763">
        <v>240073</v>
      </c>
      <c r="L763">
        <f t="shared" si="22"/>
        <v>197.97481816321158</v>
      </c>
      <c r="M763">
        <f t="shared" si="23"/>
        <v>74</v>
      </c>
    </row>
    <row r="764" spans="1:13" x14ac:dyDescent="0.4">
      <c r="A764" t="s">
        <v>58</v>
      </c>
      <c r="B764" t="s">
        <v>12</v>
      </c>
      <c r="C764" s="1">
        <v>45390</v>
      </c>
      <c r="D764" s="1">
        <v>45302</v>
      </c>
      <c r="E764" t="s">
        <v>16</v>
      </c>
      <c r="F764">
        <v>17539.09</v>
      </c>
      <c r="G764">
        <v>436</v>
      </c>
      <c r="H764">
        <v>69</v>
      </c>
      <c r="I764">
        <v>36367.760000000002</v>
      </c>
      <c r="J764">
        <v>2668</v>
      </c>
      <c r="K764">
        <v>87649</v>
      </c>
      <c r="L764">
        <f t="shared" si="22"/>
        <v>107.3526049527085</v>
      </c>
      <c r="M764">
        <f t="shared" si="23"/>
        <v>88</v>
      </c>
    </row>
    <row r="765" spans="1:13" x14ac:dyDescent="0.4">
      <c r="A765" t="s">
        <v>92</v>
      </c>
      <c r="B765" t="s">
        <v>54</v>
      </c>
      <c r="C765" s="1">
        <v>45440</v>
      </c>
      <c r="D765" s="1">
        <v>45295</v>
      </c>
      <c r="E765" t="s">
        <v>16</v>
      </c>
      <c r="F765">
        <v>40339.71</v>
      </c>
      <c r="G765">
        <v>1831</v>
      </c>
      <c r="H765">
        <v>392</v>
      </c>
      <c r="I765">
        <v>141567.84</v>
      </c>
      <c r="J765">
        <v>1985</v>
      </c>
      <c r="K765">
        <v>385793</v>
      </c>
      <c r="L765">
        <f t="shared" si="22"/>
        <v>250.93916143670842</v>
      </c>
      <c r="M765">
        <f t="shared" si="23"/>
        <v>145</v>
      </c>
    </row>
    <row r="766" spans="1:13" x14ac:dyDescent="0.4">
      <c r="A766" t="s">
        <v>35</v>
      </c>
      <c r="B766" t="s">
        <v>40</v>
      </c>
      <c r="C766" s="1">
        <v>45620</v>
      </c>
      <c r="D766" s="1">
        <v>45297</v>
      </c>
      <c r="E766" t="s">
        <v>13</v>
      </c>
      <c r="F766">
        <v>13079.48</v>
      </c>
      <c r="G766">
        <v>286</v>
      </c>
      <c r="H766">
        <v>15</v>
      </c>
      <c r="I766">
        <v>152979.29</v>
      </c>
      <c r="J766">
        <v>7160</v>
      </c>
      <c r="K766">
        <v>274280</v>
      </c>
      <c r="L766">
        <f t="shared" si="22"/>
        <v>1069.6129356824583</v>
      </c>
      <c r="M766">
        <f t="shared" si="23"/>
        <v>323</v>
      </c>
    </row>
    <row r="767" spans="1:13" x14ac:dyDescent="0.4">
      <c r="A767" t="s">
        <v>46</v>
      </c>
      <c r="B767" t="s">
        <v>51</v>
      </c>
      <c r="C767" s="1">
        <v>45447</v>
      </c>
      <c r="D767" s="1">
        <v>45299</v>
      </c>
      <c r="E767" t="s">
        <v>16</v>
      </c>
      <c r="F767">
        <v>48825.599999999999</v>
      </c>
      <c r="G767">
        <v>665</v>
      </c>
      <c r="H767">
        <v>112</v>
      </c>
      <c r="I767">
        <v>25630.32</v>
      </c>
      <c r="J767">
        <v>7944</v>
      </c>
      <c r="K767">
        <v>347883</v>
      </c>
      <c r="L767">
        <f t="shared" si="22"/>
        <v>-47.506390090444356</v>
      </c>
      <c r="M767">
        <f t="shared" si="23"/>
        <v>148</v>
      </c>
    </row>
    <row r="768" spans="1:13" x14ac:dyDescent="0.4">
      <c r="A768" t="s">
        <v>105</v>
      </c>
      <c r="B768" t="s">
        <v>43</v>
      </c>
      <c r="C768" s="1">
        <v>45481</v>
      </c>
      <c r="D768" s="1">
        <v>45296</v>
      </c>
      <c r="E768" t="s">
        <v>16</v>
      </c>
      <c r="F768">
        <v>17896.060000000001</v>
      </c>
      <c r="G768">
        <v>1592</v>
      </c>
      <c r="H768">
        <v>30</v>
      </c>
      <c r="I768">
        <v>103697.27</v>
      </c>
      <c r="J768">
        <v>6211</v>
      </c>
      <c r="K768">
        <v>325646</v>
      </c>
      <c r="L768">
        <f t="shared" si="22"/>
        <v>479.4418995019015</v>
      </c>
      <c r="M768">
        <f t="shared" si="23"/>
        <v>185</v>
      </c>
    </row>
    <row r="769" spans="1:13" x14ac:dyDescent="0.4">
      <c r="A769" t="s">
        <v>83</v>
      </c>
      <c r="B769" t="s">
        <v>43</v>
      </c>
      <c r="C769" s="1">
        <v>45554</v>
      </c>
      <c r="D769" s="1">
        <v>45301</v>
      </c>
      <c r="E769" t="s">
        <v>26</v>
      </c>
      <c r="F769">
        <v>17528.240000000002</v>
      </c>
      <c r="G769">
        <v>332</v>
      </c>
      <c r="H769">
        <v>449</v>
      </c>
      <c r="I769">
        <v>163851.89000000001</v>
      </c>
      <c r="J769">
        <v>9591</v>
      </c>
      <c r="K769">
        <v>163357</v>
      </c>
      <c r="L769">
        <f t="shared" si="22"/>
        <v>834.78803348196971</v>
      </c>
      <c r="M769">
        <f t="shared" si="23"/>
        <v>253</v>
      </c>
    </row>
    <row r="770" spans="1:13" x14ac:dyDescent="0.4">
      <c r="A770" t="s">
        <v>120</v>
      </c>
      <c r="B770" t="s">
        <v>12</v>
      </c>
      <c r="C770" s="1">
        <v>45371</v>
      </c>
      <c r="D770" s="1">
        <v>45296</v>
      </c>
      <c r="E770" t="s">
        <v>13</v>
      </c>
      <c r="F770">
        <v>16283.68</v>
      </c>
      <c r="G770">
        <v>50</v>
      </c>
      <c r="H770">
        <v>425</v>
      </c>
      <c r="I770">
        <v>187551.79</v>
      </c>
      <c r="J770">
        <v>2438</v>
      </c>
      <c r="K770">
        <v>286183</v>
      </c>
      <c r="L770">
        <f t="shared" si="22"/>
        <v>1051.7776694211627</v>
      </c>
      <c r="M770">
        <f t="shared" si="23"/>
        <v>75</v>
      </c>
    </row>
    <row r="771" spans="1:13" x14ac:dyDescent="0.4">
      <c r="A771" t="s">
        <v>65</v>
      </c>
      <c r="B771" t="s">
        <v>25</v>
      </c>
      <c r="C771" s="1">
        <v>45543</v>
      </c>
      <c r="D771" s="1">
        <v>45295</v>
      </c>
      <c r="E771" t="s">
        <v>34</v>
      </c>
      <c r="F771">
        <v>6983.46</v>
      </c>
      <c r="G771">
        <v>1804</v>
      </c>
      <c r="H771">
        <v>155</v>
      </c>
      <c r="I771">
        <v>105135.98</v>
      </c>
      <c r="J771">
        <v>9368</v>
      </c>
      <c r="K771">
        <v>329864</v>
      </c>
      <c r="L771">
        <f t="shared" ref="L771:L834" si="24">(I771 - F771)/F771*100</f>
        <v>1405.4998525086417</v>
      </c>
      <c r="M771">
        <f t="shared" ref="M771:M834" si="25">ABS(D771 - C771)</f>
        <v>248</v>
      </c>
    </row>
    <row r="772" spans="1:13" x14ac:dyDescent="0.4">
      <c r="A772" t="s">
        <v>48</v>
      </c>
      <c r="B772" t="s">
        <v>40</v>
      </c>
      <c r="C772" s="1">
        <v>45388</v>
      </c>
      <c r="D772" s="1">
        <v>45296</v>
      </c>
      <c r="E772" t="s">
        <v>16</v>
      </c>
      <c r="F772">
        <v>6445.72</v>
      </c>
      <c r="G772">
        <v>513</v>
      </c>
      <c r="H772">
        <v>225</v>
      </c>
      <c r="I772">
        <v>190304.45</v>
      </c>
      <c r="J772">
        <v>3858</v>
      </c>
      <c r="K772">
        <v>124168</v>
      </c>
      <c r="L772">
        <f t="shared" si="24"/>
        <v>2852.4157115108942</v>
      </c>
      <c r="M772">
        <f t="shared" si="25"/>
        <v>92</v>
      </c>
    </row>
    <row r="773" spans="1:13" x14ac:dyDescent="0.4">
      <c r="A773" t="s">
        <v>72</v>
      </c>
      <c r="B773" t="s">
        <v>51</v>
      </c>
      <c r="C773" s="1">
        <v>45551</v>
      </c>
      <c r="D773" s="1">
        <v>45299</v>
      </c>
      <c r="E773" t="s">
        <v>34</v>
      </c>
      <c r="F773">
        <v>32757.15</v>
      </c>
      <c r="G773">
        <v>1303</v>
      </c>
      <c r="H773">
        <v>345</v>
      </c>
      <c r="I773">
        <v>109459.35</v>
      </c>
      <c r="J773">
        <v>4910</v>
      </c>
      <c r="K773">
        <v>89263</v>
      </c>
      <c r="L773">
        <f t="shared" si="24"/>
        <v>234.1540701800981</v>
      </c>
      <c r="M773">
        <f t="shared" si="25"/>
        <v>252</v>
      </c>
    </row>
    <row r="774" spans="1:13" x14ac:dyDescent="0.4">
      <c r="A774" t="s">
        <v>107</v>
      </c>
      <c r="B774" t="s">
        <v>54</v>
      </c>
      <c r="C774" s="1">
        <v>45551</v>
      </c>
      <c r="D774" s="1">
        <v>45295</v>
      </c>
      <c r="E774" t="s">
        <v>34</v>
      </c>
      <c r="F774">
        <v>43880.78</v>
      </c>
      <c r="G774">
        <v>1016</v>
      </c>
      <c r="H774">
        <v>500</v>
      </c>
      <c r="I774">
        <v>81867.149999999994</v>
      </c>
      <c r="J774">
        <v>9239</v>
      </c>
      <c r="K774">
        <v>60155</v>
      </c>
      <c r="L774">
        <f t="shared" si="24"/>
        <v>86.567216899973047</v>
      </c>
      <c r="M774">
        <f t="shared" si="25"/>
        <v>256</v>
      </c>
    </row>
    <row r="775" spans="1:13" x14ac:dyDescent="0.4">
      <c r="A775" t="s">
        <v>58</v>
      </c>
      <c r="B775" t="s">
        <v>36</v>
      </c>
      <c r="C775" s="1">
        <v>45394</v>
      </c>
      <c r="D775" s="1">
        <v>45301</v>
      </c>
      <c r="E775" t="s">
        <v>26</v>
      </c>
      <c r="F775">
        <v>39735.51</v>
      </c>
      <c r="G775">
        <v>221</v>
      </c>
      <c r="H775">
        <v>241</v>
      </c>
      <c r="I775">
        <v>170399.61</v>
      </c>
      <c r="J775">
        <v>6891</v>
      </c>
      <c r="K775">
        <v>17911</v>
      </c>
      <c r="L775">
        <f t="shared" si="24"/>
        <v>328.83458649454849</v>
      </c>
      <c r="M775">
        <f t="shared" si="25"/>
        <v>93</v>
      </c>
    </row>
    <row r="776" spans="1:13" x14ac:dyDescent="0.4">
      <c r="A776" t="s">
        <v>93</v>
      </c>
      <c r="B776" t="s">
        <v>43</v>
      </c>
      <c r="C776" s="1">
        <v>45331</v>
      </c>
      <c r="D776" s="1">
        <v>45294</v>
      </c>
      <c r="E776" t="s">
        <v>16</v>
      </c>
      <c r="F776">
        <v>7914.27</v>
      </c>
      <c r="G776">
        <v>1160</v>
      </c>
      <c r="H776">
        <v>241</v>
      </c>
      <c r="I776">
        <v>101131.63</v>
      </c>
      <c r="J776">
        <v>7271</v>
      </c>
      <c r="K776">
        <v>1916</v>
      </c>
      <c r="L776">
        <f t="shared" si="24"/>
        <v>1177.8390173698901</v>
      </c>
      <c r="M776">
        <f t="shared" si="25"/>
        <v>37</v>
      </c>
    </row>
    <row r="777" spans="1:13" x14ac:dyDescent="0.4">
      <c r="A777" t="s">
        <v>111</v>
      </c>
      <c r="B777" t="s">
        <v>54</v>
      </c>
      <c r="C777" s="1">
        <v>45564</v>
      </c>
      <c r="D777" s="1">
        <v>45300</v>
      </c>
      <c r="E777" t="s">
        <v>13</v>
      </c>
      <c r="F777">
        <v>27733.52</v>
      </c>
      <c r="G777">
        <v>1626</v>
      </c>
      <c r="H777">
        <v>223</v>
      </c>
      <c r="I777">
        <v>97020.99</v>
      </c>
      <c r="J777">
        <v>2831</v>
      </c>
      <c r="K777">
        <v>322196</v>
      </c>
      <c r="L777">
        <f t="shared" si="24"/>
        <v>249.8329458359415</v>
      </c>
      <c r="M777">
        <f t="shared" si="25"/>
        <v>264</v>
      </c>
    </row>
    <row r="778" spans="1:13" x14ac:dyDescent="0.4">
      <c r="A778" t="s">
        <v>128</v>
      </c>
      <c r="B778" t="s">
        <v>21</v>
      </c>
      <c r="C778" s="1">
        <v>45392</v>
      </c>
      <c r="D778" s="1">
        <v>45295</v>
      </c>
      <c r="E778" t="s">
        <v>16</v>
      </c>
      <c r="F778">
        <v>6173.99</v>
      </c>
      <c r="G778">
        <v>1196</v>
      </c>
      <c r="H778">
        <v>491</v>
      </c>
      <c r="I778">
        <v>100610.94</v>
      </c>
      <c r="J778">
        <v>969</v>
      </c>
      <c r="K778">
        <v>463326</v>
      </c>
      <c r="L778">
        <f t="shared" si="24"/>
        <v>1529.5935043626569</v>
      </c>
      <c r="M778">
        <f t="shared" si="25"/>
        <v>97</v>
      </c>
    </row>
    <row r="779" spans="1:13" x14ac:dyDescent="0.4">
      <c r="A779" t="s">
        <v>76</v>
      </c>
      <c r="B779" t="s">
        <v>43</v>
      </c>
      <c r="C779" s="1">
        <v>45650</v>
      </c>
      <c r="D779" s="1">
        <v>45299</v>
      </c>
      <c r="E779" t="s">
        <v>34</v>
      </c>
      <c r="F779">
        <v>3219.44</v>
      </c>
      <c r="G779">
        <v>892</v>
      </c>
      <c r="H779">
        <v>428</v>
      </c>
      <c r="I779">
        <v>170123.08</v>
      </c>
      <c r="J779">
        <v>5266</v>
      </c>
      <c r="K779">
        <v>233695</v>
      </c>
      <c r="L779">
        <f t="shared" si="24"/>
        <v>5184.2444648758783</v>
      </c>
      <c r="M779">
        <f t="shared" si="25"/>
        <v>351</v>
      </c>
    </row>
    <row r="780" spans="1:13" x14ac:dyDescent="0.4">
      <c r="A780" t="s">
        <v>81</v>
      </c>
      <c r="B780" t="s">
        <v>54</v>
      </c>
      <c r="C780" s="1">
        <v>45599</v>
      </c>
      <c r="D780" s="1">
        <v>45295</v>
      </c>
      <c r="E780" t="s">
        <v>13</v>
      </c>
      <c r="F780">
        <v>33162.910000000003</v>
      </c>
      <c r="G780">
        <v>1371</v>
      </c>
      <c r="H780">
        <v>465</v>
      </c>
      <c r="I780">
        <v>167228.6</v>
      </c>
      <c r="J780">
        <v>193</v>
      </c>
      <c r="K780">
        <v>280934</v>
      </c>
      <c r="L780">
        <f t="shared" si="24"/>
        <v>404.26395029869207</v>
      </c>
      <c r="M780">
        <f t="shared" si="25"/>
        <v>304</v>
      </c>
    </row>
    <row r="781" spans="1:13" x14ac:dyDescent="0.4">
      <c r="A781" t="s">
        <v>90</v>
      </c>
      <c r="B781" t="s">
        <v>31</v>
      </c>
      <c r="C781" s="1">
        <v>45512</v>
      </c>
      <c r="D781" s="1">
        <v>45295</v>
      </c>
      <c r="E781" t="s">
        <v>16</v>
      </c>
      <c r="F781">
        <v>27222.46</v>
      </c>
      <c r="G781">
        <v>1958</v>
      </c>
      <c r="H781">
        <v>155</v>
      </c>
      <c r="I781">
        <v>83686.399999999994</v>
      </c>
      <c r="J781">
        <v>3087</v>
      </c>
      <c r="K781">
        <v>477377</v>
      </c>
      <c r="L781">
        <f t="shared" si="24"/>
        <v>207.4167433802823</v>
      </c>
      <c r="M781">
        <f t="shared" si="25"/>
        <v>217</v>
      </c>
    </row>
    <row r="782" spans="1:13" x14ac:dyDescent="0.4">
      <c r="A782" t="s">
        <v>121</v>
      </c>
      <c r="B782" t="s">
        <v>23</v>
      </c>
      <c r="C782" s="1">
        <v>45599</v>
      </c>
      <c r="D782" s="1">
        <v>45301</v>
      </c>
      <c r="E782" t="s">
        <v>34</v>
      </c>
      <c r="F782">
        <v>5019.16</v>
      </c>
      <c r="G782">
        <v>739</v>
      </c>
      <c r="H782">
        <v>127</v>
      </c>
      <c r="I782">
        <v>69993.47</v>
      </c>
      <c r="J782">
        <v>8727</v>
      </c>
      <c r="K782">
        <v>399422</v>
      </c>
      <c r="L782">
        <f t="shared" si="24"/>
        <v>1294.5255779851609</v>
      </c>
      <c r="M782">
        <f t="shared" si="25"/>
        <v>298</v>
      </c>
    </row>
    <row r="783" spans="1:13" x14ac:dyDescent="0.4">
      <c r="A783" t="s">
        <v>61</v>
      </c>
      <c r="B783" t="s">
        <v>30</v>
      </c>
      <c r="C783" s="1">
        <v>45415</v>
      </c>
      <c r="D783" s="1">
        <v>45295</v>
      </c>
      <c r="E783" t="s">
        <v>34</v>
      </c>
      <c r="F783">
        <v>2712.02</v>
      </c>
      <c r="G783">
        <v>624</v>
      </c>
      <c r="H783">
        <v>148</v>
      </c>
      <c r="I783">
        <v>100925.96</v>
      </c>
      <c r="J783">
        <v>5047</v>
      </c>
      <c r="K783">
        <v>122937</v>
      </c>
      <c r="L783">
        <f t="shared" si="24"/>
        <v>3621.4312578815793</v>
      </c>
      <c r="M783">
        <f t="shared" si="25"/>
        <v>120</v>
      </c>
    </row>
    <row r="784" spans="1:13" x14ac:dyDescent="0.4">
      <c r="A784" t="s">
        <v>127</v>
      </c>
      <c r="B784" t="s">
        <v>18</v>
      </c>
      <c r="C784" s="1">
        <v>45522</v>
      </c>
      <c r="D784" s="1">
        <v>45300</v>
      </c>
      <c r="E784" t="s">
        <v>26</v>
      </c>
      <c r="F784">
        <v>49498.06</v>
      </c>
      <c r="G784">
        <v>1557</v>
      </c>
      <c r="H784">
        <v>482</v>
      </c>
      <c r="I784">
        <v>116690.64</v>
      </c>
      <c r="J784">
        <v>6751</v>
      </c>
      <c r="K784">
        <v>86053</v>
      </c>
      <c r="L784">
        <f t="shared" si="24"/>
        <v>135.7479060795514</v>
      </c>
      <c r="M784">
        <f t="shared" si="25"/>
        <v>222</v>
      </c>
    </row>
    <row r="785" spans="1:13" x14ac:dyDescent="0.4">
      <c r="A785" t="s">
        <v>113</v>
      </c>
      <c r="B785" t="s">
        <v>23</v>
      </c>
      <c r="C785" s="1">
        <v>45469</v>
      </c>
      <c r="D785" s="1">
        <v>45296</v>
      </c>
      <c r="E785" t="s">
        <v>26</v>
      </c>
      <c r="F785">
        <v>2471.0500000000002</v>
      </c>
      <c r="G785">
        <v>214</v>
      </c>
      <c r="H785">
        <v>193</v>
      </c>
      <c r="I785">
        <v>51475.76</v>
      </c>
      <c r="J785">
        <v>7079</v>
      </c>
      <c r="K785">
        <v>313094</v>
      </c>
      <c r="L785">
        <f t="shared" si="24"/>
        <v>1983.1533153922419</v>
      </c>
      <c r="M785">
        <f t="shared" si="25"/>
        <v>173</v>
      </c>
    </row>
    <row r="786" spans="1:13" x14ac:dyDescent="0.4">
      <c r="A786" t="s">
        <v>129</v>
      </c>
      <c r="B786" t="s">
        <v>15</v>
      </c>
      <c r="C786" s="1">
        <v>45354</v>
      </c>
      <c r="D786" s="1">
        <v>45301</v>
      </c>
      <c r="E786" t="s">
        <v>26</v>
      </c>
      <c r="F786">
        <v>22781.88</v>
      </c>
      <c r="G786">
        <v>1772</v>
      </c>
      <c r="H786">
        <v>259</v>
      </c>
      <c r="I786">
        <v>159821.24</v>
      </c>
      <c r="J786">
        <v>6894</v>
      </c>
      <c r="K786">
        <v>379355</v>
      </c>
      <c r="L786">
        <f t="shared" si="24"/>
        <v>601.52788092993194</v>
      </c>
      <c r="M786">
        <f t="shared" si="25"/>
        <v>53</v>
      </c>
    </row>
    <row r="787" spans="1:13" x14ac:dyDescent="0.4">
      <c r="A787" t="s">
        <v>117</v>
      </c>
      <c r="B787" t="s">
        <v>30</v>
      </c>
      <c r="C787" s="1">
        <v>45407</v>
      </c>
      <c r="D787" s="1">
        <v>45300</v>
      </c>
      <c r="E787" t="s">
        <v>34</v>
      </c>
      <c r="F787">
        <v>25726.33</v>
      </c>
      <c r="G787">
        <v>432</v>
      </c>
      <c r="H787">
        <v>72</v>
      </c>
      <c r="I787">
        <v>99864.14</v>
      </c>
      <c r="J787">
        <v>6624</v>
      </c>
      <c r="K787">
        <v>319505</v>
      </c>
      <c r="L787">
        <f t="shared" si="24"/>
        <v>288.17872584235681</v>
      </c>
      <c r="M787">
        <f t="shared" si="25"/>
        <v>107</v>
      </c>
    </row>
    <row r="788" spans="1:13" x14ac:dyDescent="0.4">
      <c r="A788" t="s">
        <v>44</v>
      </c>
      <c r="B788" t="s">
        <v>28</v>
      </c>
      <c r="C788" s="1">
        <v>45482</v>
      </c>
      <c r="D788" s="1">
        <v>45301</v>
      </c>
      <c r="E788" t="s">
        <v>16</v>
      </c>
      <c r="F788">
        <v>6746.73</v>
      </c>
      <c r="G788">
        <v>258</v>
      </c>
      <c r="H788">
        <v>108</v>
      </c>
      <c r="I788">
        <v>70138.880000000005</v>
      </c>
      <c r="J788">
        <v>3244</v>
      </c>
      <c r="K788">
        <v>324595</v>
      </c>
      <c r="L788">
        <f t="shared" si="24"/>
        <v>939.59814606483451</v>
      </c>
      <c r="M788">
        <f t="shared" si="25"/>
        <v>181</v>
      </c>
    </row>
    <row r="789" spans="1:13" x14ac:dyDescent="0.4">
      <c r="A789" t="s">
        <v>98</v>
      </c>
      <c r="B789" t="s">
        <v>54</v>
      </c>
      <c r="C789" s="1">
        <v>45353</v>
      </c>
      <c r="D789" s="1">
        <v>45300</v>
      </c>
      <c r="E789" t="s">
        <v>26</v>
      </c>
      <c r="F789">
        <v>9284.0300000000007</v>
      </c>
      <c r="G789">
        <v>1812</v>
      </c>
      <c r="H789">
        <v>340</v>
      </c>
      <c r="I789">
        <v>25830.09</v>
      </c>
      <c r="J789">
        <v>3687</v>
      </c>
      <c r="K789">
        <v>300840</v>
      </c>
      <c r="L789">
        <f t="shared" si="24"/>
        <v>178.22066494830366</v>
      </c>
      <c r="M789">
        <f t="shared" si="25"/>
        <v>53</v>
      </c>
    </row>
    <row r="790" spans="1:13" x14ac:dyDescent="0.4">
      <c r="A790" t="s">
        <v>48</v>
      </c>
      <c r="B790" t="s">
        <v>30</v>
      </c>
      <c r="C790" s="1">
        <v>45547</v>
      </c>
      <c r="D790" s="1">
        <v>45299</v>
      </c>
      <c r="E790" t="s">
        <v>16</v>
      </c>
      <c r="F790">
        <v>18238.45</v>
      </c>
      <c r="G790">
        <v>1505</v>
      </c>
      <c r="H790">
        <v>163</v>
      </c>
      <c r="I790">
        <v>51574.81</v>
      </c>
      <c r="J790">
        <v>176</v>
      </c>
      <c r="K790">
        <v>475857</v>
      </c>
      <c r="L790">
        <f t="shared" si="24"/>
        <v>182.78066392703326</v>
      </c>
      <c r="M790">
        <f t="shared" si="25"/>
        <v>248</v>
      </c>
    </row>
    <row r="791" spans="1:13" x14ac:dyDescent="0.4">
      <c r="A791" t="s">
        <v>95</v>
      </c>
      <c r="B791" t="s">
        <v>15</v>
      </c>
      <c r="C791" s="1">
        <v>45298</v>
      </c>
      <c r="D791" s="1">
        <v>45300</v>
      </c>
      <c r="E791" t="s">
        <v>26</v>
      </c>
      <c r="F791">
        <v>38322.120000000003</v>
      </c>
      <c r="G791">
        <v>1462</v>
      </c>
      <c r="H791">
        <v>313</v>
      </c>
      <c r="I791">
        <v>190109.83</v>
      </c>
      <c r="J791">
        <v>9107</v>
      </c>
      <c r="K791">
        <v>495408</v>
      </c>
      <c r="L791">
        <f t="shared" si="24"/>
        <v>396.08380225311117</v>
      </c>
      <c r="M791">
        <f t="shared" si="25"/>
        <v>2</v>
      </c>
    </row>
    <row r="792" spans="1:13" x14ac:dyDescent="0.4">
      <c r="A792" t="s">
        <v>67</v>
      </c>
      <c r="B792" t="s">
        <v>51</v>
      </c>
      <c r="C792" s="1">
        <v>45446</v>
      </c>
      <c r="D792" s="1">
        <v>45298</v>
      </c>
      <c r="E792" t="s">
        <v>13</v>
      </c>
      <c r="F792">
        <v>25847.040000000001</v>
      </c>
      <c r="G792">
        <v>1633</v>
      </c>
      <c r="H792">
        <v>366</v>
      </c>
      <c r="I792">
        <v>64494.44</v>
      </c>
      <c r="J792">
        <v>9059</v>
      </c>
      <c r="K792">
        <v>462442</v>
      </c>
      <c r="L792">
        <f t="shared" si="24"/>
        <v>149.523504432229</v>
      </c>
      <c r="M792">
        <f t="shared" si="25"/>
        <v>148</v>
      </c>
    </row>
    <row r="793" spans="1:13" x14ac:dyDescent="0.4">
      <c r="A793" t="s">
        <v>108</v>
      </c>
      <c r="B793" t="s">
        <v>36</v>
      </c>
      <c r="C793" s="1">
        <v>45383</v>
      </c>
      <c r="D793" s="1">
        <v>45300</v>
      </c>
      <c r="E793" t="s">
        <v>13</v>
      </c>
      <c r="F793">
        <v>32257.19</v>
      </c>
      <c r="G793">
        <v>273</v>
      </c>
      <c r="H793">
        <v>413</v>
      </c>
      <c r="I793">
        <v>37927.56</v>
      </c>
      <c r="J793">
        <v>6653</v>
      </c>
      <c r="K793">
        <v>103395</v>
      </c>
      <c r="L793">
        <f t="shared" si="24"/>
        <v>17.578623556484612</v>
      </c>
      <c r="M793">
        <f t="shared" si="25"/>
        <v>83</v>
      </c>
    </row>
    <row r="794" spans="1:13" x14ac:dyDescent="0.4">
      <c r="A794" t="s">
        <v>53</v>
      </c>
      <c r="B794" t="s">
        <v>31</v>
      </c>
      <c r="C794" s="1">
        <v>45305</v>
      </c>
      <c r="D794" s="1">
        <v>45294</v>
      </c>
      <c r="E794" t="s">
        <v>26</v>
      </c>
      <c r="F794">
        <v>49273.55</v>
      </c>
      <c r="G794">
        <v>52</v>
      </c>
      <c r="H794">
        <v>304</v>
      </c>
      <c r="I794">
        <v>94831.19</v>
      </c>
      <c r="J794">
        <v>8397</v>
      </c>
      <c r="K794">
        <v>387265</v>
      </c>
      <c r="L794">
        <f t="shared" si="24"/>
        <v>92.458611161566395</v>
      </c>
      <c r="M794">
        <f t="shared" si="25"/>
        <v>11</v>
      </c>
    </row>
    <row r="795" spans="1:13" x14ac:dyDescent="0.4">
      <c r="A795" t="s">
        <v>97</v>
      </c>
      <c r="B795" t="s">
        <v>21</v>
      </c>
      <c r="C795" s="1">
        <v>45520</v>
      </c>
      <c r="D795" s="1">
        <v>45294</v>
      </c>
      <c r="E795" t="s">
        <v>34</v>
      </c>
      <c r="F795">
        <v>38632.269999999997</v>
      </c>
      <c r="G795">
        <v>421</v>
      </c>
      <c r="H795">
        <v>400</v>
      </c>
      <c r="I795">
        <v>64882.11</v>
      </c>
      <c r="J795">
        <v>6794</v>
      </c>
      <c r="K795">
        <v>309872</v>
      </c>
      <c r="L795">
        <f t="shared" si="24"/>
        <v>67.947961639323822</v>
      </c>
      <c r="M795">
        <f t="shared" si="25"/>
        <v>226</v>
      </c>
    </row>
    <row r="796" spans="1:13" x14ac:dyDescent="0.4">
      <c r="A796" t="s">
        <v>89</v>
      </c>
      <c r="B796" t="s">
        <v>54</v>
      </c>
      <c r="C796" s="1">
        <v>45377</v>
      </c>
      <c r="D796" s="1">
        <v>45302</v>
      </c>
      <c r="E796" t="s">
        <v>26</v>
      </c>
      <c r="F796">
        <v>22283.71</v>
      </c>
      <c r="G796">
        <v>1760</v>
      </c>
      <c r="H796">
        <v>94</v>
      </c>
      <c r="I796">
        <v>11856.05</v>
      </c>
      <c r="J796">
        <v>2973</v>
      </c>
      <c r="K796">
        <v>318545</v>
      </c>
      <c r="L796">
        <f t="shared" si="24"/>
        <v>-46.794990600757238</v>
      </c>
      <c r="M796">
        <f t="shared" si="25"/>
        <v>75</v>
      </c>
    </row>
    <row r="797" spans="1:13" x14ac:dyDescent="0.4">
      <c r="A797" t="s">
        <v>91</v>
      </c>
      <c r="B797" t="s">
        <v>21</v>
      </c>
      <c r="C797" s="1">
        <v>45424</v>
      </c>
      <c r="D797" s="1">
        <v>45298</v>
      </c>
      <c r="E797" t="s">
        <v>26</v>
      </c>
      <c r="F797">
        <v>22875.65</v>
      </c>
      <c r="G797">
        <v>1519</v>
      </c>
      <c r="H797">
        <v>361</v>
      </c>
      <c r="I797">
        <v>68013.320000000007</v>
      </c>
      <c r="J797">
        <v>3446</v>
      </c>
      <c r="K797">
        <v>198298</v>
      </c>
      <c r="L797">
        <f t="shared" si="24"/>
        <v>197.31754070376144</v>
      </c>
      <c r="M797">
        <f t="shared" si="25"/>
        <v>126</v>
      </c>
    </row>
    <row r="798" spans="1:13" x14ac:dyDescent="0.4">
      <c r="A798" t="s">
        <v>83</v>
      </c>
      <c r="B798" t="s">
        <v>25</v>
      </c>
      <c r="C798" s="1">
        <v>45474</v>
      </c>
      <c r="D798" s="1">
        <v>45298</v>
      </c>
      <c r="E798" t="s">
        <v>34</v>
      </c>
      <c r="F798">
        <v>31319.83</v>
      </c>
      <c r="G798">
        <v>660</v>
      </c>
      <c r="H798">
        <v>260</v>
      </c>
      <c r="I798">
        <v>111101.18</v>
      </c>
      <c r="J798">
        <v>7124</v>
      </c>
      <c r="K798">
        <v>26103</v>
      </c>
      <c r="L798">
        <f t="shared" si="24"/>
        <v>254.73110805518417</v>
      </c>
      <c r="M798">
        <f t="shared" si="25"/>
        <v>176</v>
      </c>
    </row>
    <row r="799" spans="1:13" x14ac:dyDescent="0.4">
      <c r="A799" t="s">
        <v>52</v>
      </c>
      <c r="B799" t="s">
        <v>43</v>
      </c>
      <c r="C799" s="1">
        <v>45353</v>
      </c>
      <c r="D799" s="1">
        <v>45296</v>
      </c>
      <c r="E799" t="s">
        <v>13</v>
      </c>
      <c r="F799">
        <v>33602.9</v>
      </c>
      <c r="G799">
        <v>165</v>
      </c>
      <c r="H799">
        <v>500</v>
      </c>
      <c r="I799">
        <v>112583.91</v>
      </c>
      <c r="J799">
        <v>3248</v>
      </c>
      <c r="K799">
        <v>428479</v>
      </c>
      <c r="L799">
        <f t="shared" si="24"/>
        <v>235.04224337780371</v>
      </c>
      <c r="M799">
        <f t="shared" si="25"/>
        <v>57</v>
      </c>
    </row>
    <row r="800" spans="1:13" x14ac:dyDescent="0.4">
      <c r="A800" t="s">
        <v>104</v>
      </c>
      <c r="B800" t="s">
        <v>54</v>
      </c>
      <c r="C800" s="1">
        <v>45510</v>
      </c>
      <c r="D800" s="1">
        <v>45298</v>
      </c>
      <c r="E800" t="s">
        <v>16</v>
      </c>
      <c r="F800">
        <v>25534.84</v>
      </c>
      <c r="G800">
        <v>1343</v>
      </c>
      <c r="H800">
        <v>357</v>
      </c>
      <c r="I800">
        <v>74528.990000000005</v>
      </c>
      <c r="J800">
        <v>9757</v>
      </c>
      <c r="K800">
        <v>258777</v>
      </c>
      <c r="L800">
        <f t="shared" si="24"/>
        <v>191.87177205731467</v>
      </c>
      <c r="M800">
        <f t="shared" si="25"/>
        <v>212</v>
      </c>
    </row>
    <row r="801" spans="1:13" x14ac:dyDescent="0.4">
      <c r="A801" t="s">
        <v>56</v>
      </c>
      <c r="B801" t="s">
        <v>18</v>
      </c>
      <c r="C801" s="1">
        <v>45537</v>
      </c>
      <c r="D801" s="1">
        <v>45296</v>
      </c>
      <c r="E801" t="s">
        <v>26</v>
      </c>
      <c r="F801">
        <v>32598.2</v>
      </c>
      <c r="G801">
        <v>496</v>
      </c>
      <c r="H801">
        <v>224</v>
      </c>
      <c r="I801">
        <v>92224.04</v>
      </c>
      <c r="J801">
        <v>344</v>
      </c>
      <c r="K801">
        <v>470837</v>
      </c>
      <c r="L801">
        <f t="shared" si="24"/>
        <v>182.91144909841645</v>
      </c>
      <c r="M801">
        <f t="shared" si="25"/>
        <v>241</v>
      </c>
    </row>
    <row r="802" spans="1:13" x14ac:dyDescent="0.4">
      <c r="A802" t="s">
        <v>105</v>
      </c>
      <c r="B802" t="s">
        <v>54</v>
      </c>
      <c r="C802" s="1">
        <v>45521</v>
      </c>
      <c r="D802" s="1">
        <v>45302</v>
      </c>
      <c r="E802" t="s">
        <v>34</v>
      </c>
      <c r="F802">
        <v>2153.09</v>
      </c>
      <c r="G802">
        <v>1441</v>
      </c>
      <c r="H802">
        <v>13</v>
      </c>
      <c r="I802">
        <v>193275.99</v>
      </c>
      <c r="J802">
        <v>2725</v>
      </c>
      <c r="K802">
        <v>313188</v>
      </c>
      <c r="L802">
        <f t="shared" si="24"/>
        <v>8876.6795628608179</v>
      </c>
      <c r="M802">
        <f t="shared" si="25"/>
        <v>219</v>
      </c>
    </row>
    <row r="803" spans="1:13" x14ac:dyDescent="0.4">
      <c r="A803" t="s">
        <v>53</v>
      </c>
      <c r="B803" t="s">
        <v>12</v>
      </c>
      <c r="C803" s="1">
        <v>45370</v>
      </c>
      <c r="D803" s="1">
        <v>45302</v>
      </c>
      <c r="E803" t="s">
        <v>26</v>
      </c>
      <c r="F803">
        <v>22051.52</v>
      </c>
      <c r="G803">
        <v>1326</v>
      </c>
      <c r="H803">
        <v>16</v>
      </c>
      <c r="I803">
        <v>78582.95</v>
      </c>
      <c r="J803">
        <v>3949</v>
      </c>
      <c r="K803">
        <v>58730</v>
      </c>
      <c r="L803">
        <f t="shared" si="24"/>
        <v>256.36069531714816</v>
      </c>
      <c r="M803">
        <f t="shared" si="25"/>
        <v>68</v>
      </c>
    </row>
    <row r="804" spans="1:13" x14ac:dyDescent="0.4">
      <c r="A804" t="s">
        <v>107</v>
      </c>
      <c r="B804" t="s">
        <v>36</v>
      </c>
      <c r="C804" s="1">
        <v>45440</v>
      </c>
      <c r="D804" s="1">
        <v>45299</v>
      </c>
      <c r="E804" t="s">
        <v>34</v>
      </c>
      <c r="F804">
        <v>14667.97</v>
      </c>
      <c r="G804">
        <v>1390</v>
      </c>
      <c r="H804">
        <v>329</v>
      </c>
      <c r="I804">
        <v>55354.23</v>
      </c>
      <c r="J804">
        <v>9697</v>
      </c>
      <c r="K804">
        <v>26825</v>
      </c>
      <c r="L804">
        <f t="shared" si="24"/>
        <v>277.38166903804688</v>
      </c>
      <c r="M804">
        <f t="shared" si="25"/>
        <v>141</v>
      </c>
    </row>
    <row r="805" spans="1:13" x14ac:dyDescent="0.4">
      <c r="A805" t="s">
        <v>48</v>
      </c>
      <c r="B805" t="s">
        <v>12</v>
      </c>
      <c r="C805" s="1">
        <v>45429</v>
      </c>
      <c r="D805" s="1">
        <v>45294</v>
      </c>
      <c r="E805" t="s">
        <v>16</v>
      </c>
      <c r="F805">
        <v>7329.55</v>
      </c>
      <c r="G805">
        <v>464</v>
      </c>
      <c r="H805">
        <v>442</v>
      </c>
      <c r="I805">
        <v>52476.07</v>
      </c>
      <c r="J805">
        <v>9273</v>
      </c>
      <c r="K805">
        <v>208328</v>
      </c>
      <c r="L805">
        <f t="shared" si="24"/>
        <v>615.95213894440985</v>
      </c>
      <c r="M805">
        <f t="shared" si="25"/>
        <v>135</v>
      </c>
    </row>
    <row r="806" spans="1:13" x14ac:dyDescent="0.4">
      <c r="A806" t="s">
        <v>122</v>
      </c>
      <c r="B806" t="s">
        <v>54</v>
      </c>
      <c r="C806" s="1">
        <v>45605</v>
      </c>
      <c r="D806" s="1">
        <v>45300</v>
      </c>
      <c r="E806" t="s">
        <v>16</v>
      </c>
      <c r="F806">
        <v>5877.78</v>
      </c>
      <c r="G806">
        <v>1168</v>
      </c>
      <c r="H806">
        <v>248</v>
      </c>
      <c r="I806">
        <v>94264.1</v>
      </c>
      <c r="J806">
        <v>7837</v>
      </c>
      <c r="K806">
        <v>498393</v>
      </c>
      <c r="L806">
        <f t="shared" si="24"/>
        <v>1503.7364447121195</v>
      </c>
      <c r="M806">
        <f t="shared" si="25"/>
        <v>305</v>
      </c>
    </row>
    <row r="807" spans="1:13" x14ac:dyDescent="0.4">
      <c r="A807" t="s">
        <v>103</v>
      </c>
      <c r="B807" t="s">
        <v>31</v>
      </c>
      <c r="C807" s="1">
        <v>45356</v>
      </c>
      <c r="D807" s="1">
        <v>45300</v>
      </c>
      <c r="E807" t="s">
        <v>13</v>
      </c>
      <c r="F807">
        <v>30556.42</v>
      </c>
      <c r="G807">
        <v>1858</v>
      </c>
      <c r="H807">
        <v>186</v>
      </c>
      <c r="I807">
        <v>153106.43</v>
      </c>
      <c r="J807">
        <v>8433</v>
      </c>
      <c r="K807">
        <v>38271</v>
      </c>
      <c r="L807">
        <f t="shared" si="24"/>
        <v>401.06141360800774</v>
      </c>
      <c r="M807">
        <f t="shared" si="25"/>
        <v>56</v>
      </c>
    </row>
    <row r="808" spans="1:13" x14ac:dyDescent="0.4">
      <c r="A808" t="s">
        <v>96</v>
      </c>
      <c r="B808" t="s">
        <v>30</v>
      </c>
      <c r="C808" s="1">
        <v>45304</v>
      </c>
      <c r="D808" s="1">
        <v>45297</v>
      </c>
      <c r="E808" t="s">
        <v>34</v>
      </c>
      <c r="F808">
        <v>26656.43</v>
      </c>
      <c r="G808">
        <v>941</v>
      </c>
      <c r="H808">
        <v>288</v>
      </c>
      <c r="I808">
        <v>45167.7</v>
      </c>
      <c r="J808">
        <v>992</v>
      </c>
      <c r="K808">
        <v>78256</v>
      </c>
      <c r="L808">
        <f t="shared" si="24"/>
        <v>69.443920284899349</v>
      </c>
      <c r="M808">
        <f t="shared" si="25"/>
        <v>7</v>
      </c>
    </row>
    <row r="809" spans="1:13" x14ac:dyDescent="0.4">
      <c r="A809" t="s">
        <v>22</v>
      </c>
      <c r="B809" t="s">
        <v>21</v>
      </c>
      <c r="C809" s="1">
        <v>45504</v>
      </c>
      <c r="D809" s="1">
        <v>45301</v>
      </c>
      <c r="E809" t="s">
        <v>34</v>
      </c>
      <c r="F809">
        <v>13425.62</v>
      </c>
      <c r="G809">
        <v>1097</v>
      </c>
      <c r="H809">
        <v>316</v>
      </c>
      <c r="I809">
        <v>143312.74</v>
      </c>
      <c r="J809">
        <v>5587</v>
      </c>
      <c r="K809">
        <v>440948</v>
      </c>
      <c r="L809">
        <f t="shared" si="24"/>
        <v>967.45714536833293</v>
      </c>
      <c r="M809">
        <f t="shared" si="25"/>
        <v>203</v>
      </c>
    </row>
    <row r="810" spans="1:13" x14ac:dyDescent="0.4">
      <c r="A810" t="s">
        <v>63</v>
      </c>
      <c r="B810" t="s">
        <v>31</v>
      </c>
      <c r="C810" s="1">
        <v>45533</v>
      </c>
      <c r="D810" s="1">
        <v>45299</v>
      </c>
      <c r="E810" t="s">
        <v>13</v>
      </c>
      <c r="F810">
        <v>24076.55</v>
      </c>
      <c r="G810">
        <v>1701</v>
      </c>
      <c r="H810">
        <v>103</v>
      </c>
      <c r="I810">
        <v>9124.2199999999993</v>
      </c>
      <c r="J810">
        <v>7351</v>
      </c>
      <c r="K810">
        <v>67433</v>
      </c>
      <c r="L810">
        <f t="shared" si="24"/>
        <v>-62.103291376879163</v>
      </c>
      <c r="M810">
        <f t="shared" si="25"/>
        <v>234</v>
      </c>
    </row>
    <row r="811" spans="1:13" x14ac:dyDescent="0.4">
      <c r="A811" t="s">
        <v>81</v>
      </c>
      <c r="B811" t="s">
        <v>54</v>
      </c>
      <c r="C811" s="1">
        <v>45504</v>
      </c>
      <c r="D811" s="1">
        <v>45297</v>
      </c>
      <c r="E811" t="s">
        <v>13</v>
      </c>
      <c r="F811">
        <v>25119.38</v>
      </c>
      <c r="G811">
        <v>712</v>
      </c>
      <c r="H811">
        <v>201</v>
      </c>
      <c r="I811">
        <v>86691.93</v>
      </c>
      <c r="J811">
        <v>7410</v>
      </c>
      <c r="K811">
        <v>214702</v>
      </c>
      <c r="L811">
        <f t="shared" si="24"/>
        <v>245.11970438760824</v>
      </c>
      <c r="M811">
        <f t="shared" si="25"/>
        <v>207</v>
      </c>
    </row>
    <row r="812" spans="1:13" x14ac:dyDescent="0.4">
      <c r="A812" t="s">
        <v>58</v>
      </c>
      <c r="B812" t="s">
        <v>15</v>
      </c>
      <c r="C812" s="1">
        <v>45472</v>
      </c>
      <c r="D812" s="1">
        <v>45297</v>
      </c>
      <c r="E812" t="s">
        <v>34</v>
      </c>
      <c r="F812">
        <v>10555.44</v>
      </c>
      <c r="G812">
        <v>1923</v>
      </c>
      <c r="H812">
        <v>486</v>
      </c>
      <c r="I812">
        <v>156293.69</v>
      </c>
      <c r="J812">
        <v>2499</v>
      </c>
      <c r="K812">
        <v>102999</v>
      </c>
      <c r="L812">
        <f t="shared" si="24"/>
        <v>1380.6932728526713</v>
      </c>
      <c r="M812">
        <f t="shared" si="25"/>
        <v>175</v>
      </c>
    </row>
    <row r="813" spans="1:13" x14ac:dyDescent="0.4">
      <c r="A813" t="s">
        <v>78</v>
      </c>
      <c r="B813" t="s">
        <v>30</v>
      </c>
      <c r="C813" s="1">
        <v>45629</v>
      </c>
      <c r="D813" s="1">
        <v>45295</v>
      </c>
      <c r="E813" t="s">
        <v>13</v>
      </c>
      <c r="F813">
        <v>32952.559999999998</v>
      </c>
      <c r="G813">
        <v>1123</v>
      </c>
      <c r="H813">
        <v>370</v>
      </c>
      <c r="I813">
        <v>71052.929999999993</v>
      </c>
      <c r="J813">
        <v>4740</v>
      </c>
      <c r="K813">
        <v>233062</v>
      </c>
      <c r="L813">
        <f t="shared" si="24"/>
        <v>115.62188188110423</v>
      </c>
      <c r="M813">
        <f t="shared" si="25"/>
        <v>334</v>
      </c>
    </row>
    <row r="814" spans="1:13" x14ac:dyDescent="0.4">
      <c r="A814" t="s">
        <v>121</v>
      </c>
      <c r="B814" t="s">
        <v>15</v>
      </c>
      <c r="C814" s="1">
        <v>45464</v>
      </c>
      <c r="D814" s="1">
        <v>45295</v>
      </c>
      <c r="E814" t="s">
        <v>16</v>
      </c>
      <c r="F814">
        <v>39265.050000000003</v>
      </c>
      <c r="G814">
        <v>1575</v>
      </c>
      <c r="H814">
        <v>230</v>
      </c>
      <c r="I814">
        <v>114928.73</v>
      </c>
      <c r="J814">
        <v>3060</v>
      </c>
      <c r="K814">
        <v>24572</v>
      </c>
      <c r="L814">
        <f t="shared" si="24"/>
        <v>192.69981828623671</v>
      </c>
      <c r="M814">
        <f t="shared" si="25"/>
        <v>169</v>
      </c>
    </row>
    <row r="815" spans="1:13" x14ac:dyDescent="0.4">
      <c r="A815" t="s">
        <v>86</v>
      </c>
      <c r="B815" t="s">
        <v>21</v>
      </c>
      <c r="C815" s="1">
        <v>45451</v>
      </c>
      <c r="D815" s="1">
        <v>45297</v>
      </c>
      <c r="E815" t="s">
        <v>26</v>
      </c>
      <c r="F815">
        <v>39781.71</v>
      </c>
      <c r="G815">
        <v>767</v>
      </c>
      <c r="H815">
        <v>337</v>
      </c>
      <c r="I815">
        <v>44970.95</v>
      </c>
      <c r="J815">
        <v>7425</v>
      </c>
      <c r="K815">
        <v>39546</v>
      </c>
      <c r="L815">
        <f t="shared" si="24"/>
        <v>13.044285929388149</v>
      </c>
      <c r="M815">
        <f t="shared" si="25"/>
        <v>154</v>
      </c>
    </row>
    <row r="816" spans="1:13" x14ac:dyDescent="0.4">
      <c r="A816" t="s">
        <v>98</v>
      </c>
      <c r="B816" t="s">
        <v>30</v>
      </c>
      <c r="C816" s="1">
        <v>45455</v>
      </c>
      <c r="D816" s="1">
        <v>45298</v>
      </c>
      <c r="E816" t="s">
        <v>16</v>
      </c>
      <c r="F816">
        <v>30521.02</v>
      </c>
      <c r="G816">
        <v>1571</v>
      </c>
      <c r="H816">
        <v>107</v>
      </c>
      <c r="I816">
        <v>149689.1</v>
      </c>
      <c r="J816">
        <v>1569</v>
      </c>
      <c r="K816">
        <v>409366</v>
      </c>
      <c r="L816">
        <f t="shared" si="24"/>
        <v>390.44592874025835</v>
      </c>
      <c r="M816">
        <f t="shared" si="25"/>
        <v>157</v>
      </c>
    </row>
    <row r="817" spans="1:13" x14ac:dyDescent="0.4">
      <c r="A817" t="s">
        <v>38</v>
      </c>
      <c r="B817" t="s">
        <v>18</v>
      </c>
      <c r="C817" s="1">
        <v>45479</v>
      </c>
      <c r="D817" s="1">
        <v>45301</v>
      </c>
      <c r="E817" t="s">
        <v>13</v>
      </c>
      <c r="F817">
        <v>26070.29</v>
      </c>
      <c r="G817">
        <v>1408</v>
      </c>
      <c r="H817">
        <v>110</v>
      </c>
      <c r="I817">
        <v>15194.43</v>
      </c>
      <c r="J817">
        <v>3474</v>
      </c>
      <c r="K817">
        <v>317309</v>
      </c>
      <c r="L817">
        <f t="shared" si="24"/>
        <v>-41.717449249701481</v>
      </c>
      <c r="M817">
        <f t="shared" si="25"/>
        <v>178</v>
      </c>
    </row>
    <row r="818" spans="1:13" x14ac:dyDescent="0.4">
      <c r="A818" t="s">
        <v>41</v>
      </c>
      <c r="B818" t="s">
        <v>36</v>
      </c>
      <c r="C818" s="1">
        <v>45482</v>
      </c>
      <c r="D818" s="1">
        <v>45299</v>
      </c>
      <c r="E818" t="s">
        <v>34</v>
      </c>
      <c r="F818">
        <v>3989.35</v>
      </c>
      <c r="G818">
        <v>1152</v>
      </c>
      <c r="H818">
        <v>369</v>
      </c>
      <c r="I818">
        <v>171245.82</v>
      </c>
      <c r="J818">
        <v>8947</v>
      </c>
      <c r="K818">
        <v>326834</v>
      </c>
      <c r="L818">
        <f t="shared" si="24"/>
        <v>4192.5744795518067</v>
      </c>
      <c r="M818">
        <f t="shared" si="25"/>
        <v>183</v>
      </c>
    </row>
    <row r="819" spans="1:13" x14ac:dyDescent="0.4">
      <c r="A819" t="s">
        <v>101</v>
      </c>
      <c r="B819" t="s">
        <v>23</v>
      </c>
      <c r="C819" s="1">
        <v>45599</v>
      </c>
      <c r="D819" s="1">
        <v>45297</v>
      </c>
      <c r="E819" t="s">
        <v>34</v>
      </c>
      <c r="F819">
        <v>15103.73</v>
      </c>
      <c r="G819">
        <v>1655</v>
      </c>
      <c r="H819">
        <v>372</v>
      </c>
      <c r="I819">
        <v>43648.3</v>
      </c>
      <c r="J819">
        <v>8334</v>
      </c>
      <c r="K819">
        <v>447880</v>
      </c>
      <c r="L819">
        <f t="shared" si="24"/>
        <v>188.99020308228501</v>
      </c>
      <c r="M819">
        <f t="shared" si="25"/>
        <v>302</v>
      </c>
    </row>
    <row r="820" spans="1:13" x14ac:dyDescent="0.4">
      <c r="A820" t="s">
        <v>41</v>
      </c>
      <c r="B820" t="s">
        <v>40</v>
      </c>
      <c r="C820" s="1">
        <v>45547</v>
      </c>
      <c r="D820" s="1">
        <v>45300</v>
      </c>
      <c r="E820" t="s">
        <v>16</v>
      </c>
      <c r="F820">
        <v>5570.3</v>
      </c>
      <c r="G820">
        <v>1100</v>
      </c>
      <c r="H820">
        <v>62</v>
      </c>
      <c r="I820">
        <v>175507.62</v>
      </c>
      <c r="J820">
        <v>8023</v>
      </c>
      <c r="K820">
        <v>476551</v>
      </c>
      <c r="L820">
        <f t="shared" si="24"/>
        <v>3050.7750031416622</v>
      </c>
      <c r="M820">
        <f t="shared" si="25"/>
        <v>247</v>
      </c>
    </row>
    <row r="821" spans="1:13" x14ac:dyDescent="0.4">
      <c r="A821" t="s">
        <v>102</v>
      </c>
      <c r="B821" t="s">
        <v>28</v>
      </c>
      <c r="C821" s="1">
        <v>45474</v>
      </c>
      <c r="D821" s="1">
        <v>45301</v>
      </c>
      <c r="E821" t="s">
        <v>34</v>
      </c>
      <c r="F821">
        <v>48227.33</v>
      </c>
      <c r="G821">
        <v>320</v>
      </c>
      <c r="H821">
        <v>82</v>
      </c>
      <c r="I821">
        <v>73743.199999999997</v>
      </c>
      <c r="J821">
        <v>5222</v>
      </c>
      <c r="K821">
        <v>207271</v>
      </c>
      <c r="L821">
        <f t="shared" si="24"/>
        <v>52.907490420887896</v>
      </c>
      <c r="M821">
        <f t="shared" si="25"/>
        <v>173</v>
      </c>
    </row>
    <row r="822" spans="1:13" x14ac:dyDescent="0.4">
      <c r="A822" t="s">
        <v>85</v>
      </c>
      <c r="B822" t="s">
        <v>31</v>
      </c>
      <c r="C822" s="1">
        <v>45408</v>
      </c>
      <c r="D822" s="1">
        <v>45295</v>
      </c>
      <c r="E822" t="s">
        <v>13</v>
      </c>
      <c r="F822">
        <v>7618.93</v>
      </c>
      <c r="G822">
        <v>611</v>
      </c>
      <c r="H822">
        <v>79</v>
      </c>
      <c r="I822">
        <v>145923.29999999999</v>
      </c>
      <c r="J822">
        <v>9952</v>
      </c>
      <c r="K822">
        <v>37948</v>
      </c>
      <c r="L822">
        <f t="shared" si="24"/>
        <v>1815.2728795250778</v>
      </c>
      <c r="M822">
        <f t="shared" si="25"/>
        <v>113</v>
      </c>
    </row>
    <row r="823" spans="1:13" x14ac:dyDescent="0.4">
      <c r="A823" t="s">
        <v>85</v>
      </c>
      <c r="B823" t="s">
        <v>43</v>
      </c>
      <c r="C823" s="1">
        <v>45573</v>
      </c>
      <c r="D823" s="1">
        <v>45300</v>
      </c>
      <c r="E823" t="s">
        <v>16</v>
      </c>
      <c r="F823">
        <v>8437</v>
      </c>
      <c r="G823">
        <v>853</v>
      </c>
      <c r="H823">
        <v>46</v>
      </c>
      <c r="I823">
        <v>67248.929999999993</v>
      </c>
      <c r="J823">
        <v>5487</v>
      </c>
      <c r="K823">
        <v>431246</v>
      </c>
      <c r="L823">
        <f t="shared" si="24"/>
        <v>697.07158942752153</v>
      </c>
      <c r="M823">
        <f t="shared" si="25"/>
        <v>273</v>
      </c>
    </row>
    <row r="824" spans="1:13" x14ac:dyDescent="0.4">
      <c r="A824" t="s">
        <v>24</v>
      </c>
      <c r="B824" t="s">
        <v>31</v>
      </c>
      <c r="C824" s="1">
        <v>45487</v>
      </c>
      <c r="D824" s="1">
        <v>45295</v>
      </c>
      <c r="E824" t="s">
        <v>34</v>
      </c>
      <c r="F824">
        <v>44589.25</v>
      </c>
      <c r="G824">
        <v>296</v>
      </c>
      <c r="H824">
        <v>426</v>
      </c>
      <c r="I824">
        <v>181652.78</v>
      </c>
      <c r="J824">
        <v>7731</v>
      </c>
      <c r="K824">
        <v>290151</v>
      </c>
      <c r="L824">
        <f t="shared" si="24"/>
        <v>307.39142282052285</v>
      </c>
      <c r="M824">
        <f t="shared" si="25"/>
        <v>192</v>
      </c>
    </row>
    <row r="825" spans="1:13" x14ac:dyDescent="0.4">
      <c r="A825" t="s">
        <v>120</v>
      </c>
      <c r="B825" t="s">
        <v>40</v>
      </c>
      <c r="C825" s="1">
        <v>45325</v>
      </c>
      <c r="D825" s="1">
        <v>45295</v>
      </c>
      <c r="E825" t="s">
        <v>26</v>
      </c>
      <c r="F825">
        <v>47252.49</v>
      </c>
      <c r="G825">
        <v>1849</v>
      </c>
      <c r="H825">
        <v>328</v>
      </c>
      <c r="I825">
        <v>29694.240000000002</v>
      </c>
      <c r="J825">
        <v>7326</v>
      </c>
      <c r="K825">
        <v>101819</v>
      </c>
      <c r="L825">
        <f t="shared" si="24"/>
        <v>-37.158359273765249</v>
      </c>
      <c r="M825">
        <f t="shared" si="25"/>
        <v>30</v>
      </c>
    </row>
    <row r="826" spans="1:13" x14ac:dyDescent="0.4">
      <c r="A826" t="s">
        <v>89</v>
      </c>
      <c r="B826" t="s">
        <v>23</v>
      </c>
      <c r="C826" s="1">
        <v>45343</v>
      </c>
      <c r="D826" s="1">
        <v>45301</v>
      </c>
      <c r="E826" t="s">
        <v>26</v>
      </c>
      <c r="F826">
        <v>38525.620000000003</v>
      </c>
      <c r="G826">
        <v>1664</v>
      </c>
      <c r="H826">
        <v>185</v>
      </c>
      <c r="I826">
        <v>39811.360000000001</v>
      </c>
      <c r="J826">
        <v>5208</v>
      </c>
      <c r="K826">
        <v>354351</v>
      </c>
      <c r="L826">
        <f t="shared" si="24"/>
        <v>3.3373635518390046</v>
      </c>
      <c r="M826">
        <f t="shared" si="25"/>
        <v>42</v>
      </c>
    </row>
    <row r="827" spans="1:13" x14ac:dyDescent="0.4">
      <c r="A827" t="s">
        <v>77</v>
      </c>
      <c r="B827" t="s">
        <v>33</v>
      </c>
      <c r="C827" s="1">
        <v>45403</v>
      </c>
      <c r="D827" s="1">
        <v>45295</v>
      </c>
      <c r="E827" t="s">
        <v>13</v>
      </c>
      <c r="F827">
        <v>1264.8399999999999</v>
      </c>
      <c r="G827">
        <v>436</v>
      </c>
      <c r="H827">
        <v>37</v>
      </c>
      <c r="I827">
        <v>101140.87</v>
      </c>
      <c r="J827">
        <v>2324</v>
      </c>
      <c r="K827">
        <v>485137</v>
      </c>
      <c r="L827">
        <f t="shared" si="24"/>
        <v>7896.33708611366</v>
      </c>
      <c r="M827">
        <f t="shared" si="25"/>
        <v>108</v>
      </c>
    </row>
    <row r="828" spans="1:13" x14ac:dyDescent="0.4">
      <c r="A828" t="s">
        <v>65</v>
      </c>
      <c r="B828" t="s">
        <v>51</v>
      </c>
      <c r="C828" s="1">
        <v>45543</v>
      </c>
      <c r="D828" s="1">
        <v>45302</v>
      </c>
      <c r="E828" t="s">
        <v>34</v>
      </c>
      <c r="F828">
        <v>1065.97</v>
      </c>
      <c r="G828">
        <v>751</v>
      </c>
      <c r="H828">
        <v>75</v>
      </c>
      <c r="I828">
        <v>20978</v>
      </c>
      <c r="J828">
        <v>2210</v>
      </c>
      <c r="K828">
        <v>339916</v>
      </c>
      <c r="L828">
        <f t="shared" si="24"/>
        <v>1867.972832256067</v>
      </c>
      <c r="M828">
        <f t="shared" si="25"/>
        <v>241</v>
      </c>
    </row>
    <row r="829" spans="1:13" x14ac:dyDescent="0.4">
      <c r="A829" t="s">
        <v>96</v>
      </c>
      <c r="B829" t="s">
        <v>18</v>
      </c>
      <c r="C829" s="1">
        <v>45373</v>
      </c>
      <c r="D829" s="1">
        <v>45294</v>
      </c>
      <c r="E829" t="s">
        <v>13</v>
      </c>
      <c r="F829">
        <v>19526.939999999999</v>
      </c>
      <c r="G829">
        <v>608</v>
      </c>
      <c r="H829">
        <v>60</v>
      </c>
      <c r="I829">
        <v>43216.14</v>
      </c>
      <c r="J829">
        <v>1057</v>
      </c>
      <c r="K829">
        <v>23024</v>
      </c>
      <c r="L829">
        <f t="shared" si="24"/>
        <v>121.31547492848343</v>
      </c>
      <c r="M829">
        <f t="shared" si="25"/>
        <v>79</v>
      </c>
    </row>
    <row r="830" spans="1:13" x14ac:dyDescent="0.4">
      <c r="A830" t="s">
        <v>62</v>
      </c>
      <c r="B830" t="s">
        <v>15</v>
      </c>
      <c r="C830" s="1">
        <v>45523</v>
      </c>
      <c r="D830" s="1">
        <v>45302</v>
      </c>
      <c r="E830" t="s">
        <v>16</v>
      </c>
      <c r="F830">
        <v>8026.37</v>
      </c>
      <c r="G830">
        <v>1022</v>
      </c>
      <c r="H830">
        <v>109</v>
      </c>
      <c r="I830">
        <v>189034.44</v>
      </c>
      <c r="J830">
        <v>7246</v>
      </c>
      <c r="K830">
        <v>244480</v>
      </c>
      <c r="L830">
        <f t="shared" si="24"/>
        <v>2255.167279853782</v>
      </c>
      <c r="M830">
        <f t="shared" si="25"/>
        <v>221</v>
      </c>
    </row>
    <row r="831" spans="1:13" x14ac:dyDescent="0.4">
      <c r="A831" t="s">
        <v>94</v>
      </c>
      <c r="B831" t="s">
        <v>54</v>
      </c>
      <c r="C831" s="1">
        <v>45518</v>
      </c>
      <c r="D831" s="1">
        <v>45294</v>
      </c>
      <c r="E831" t="s">
        <v>26</v>
      </c>
      <c r="F831">
        <v>1900.92</v>
      </c>
      <c r="G831">
        <v>1434</v>
      </c>
      <c r="H831">
        <v>204</v>
      </c>
      <c r="I831">
        <v>195415.48</v>
      </c>
      <c r="J831">
        <v>660</v>
      </c>
      <c r="K831">
        <v>433600</v>
      </c>
      <c r="L831">
        <f t="shared" si="24"/>
        <v>10180.047555920291</v>
      </c>
      <c r="M831">
        <f t="shared" si="25"/>
        <v>224</v>
      </c>
    </row>
    <row r="832" spans="1:13" x14ac:dyDescent="0.4">
      <c r="A832" t="s">
        <v>107</v>
      </c>
      <c r="B832" t="s">
        <v>18</v>
      </c>
      <c r="C832" s="1">
        <v>45524</v>
      </c>
      <c r="D832" s="1">
        <v>45295</v>
      </c>
      <c r="E832" t="s">
        <v>16</v>
      </c>
      <c r="F832">
        <v>23739.27</v>
      </c>
      <c r="G832">
        <v>1939</v>
      </c>
      <c r="H832">
        <v>105</v>
      </c>
      <c r="I832">
        <v>78370.570000000007</v>
      </c>
      <c r="J832">
        <v>9622</v>
      </c>
      <c r="K832">
        <v>83912</v>
      </c>
      <c r="L832">
        <f t="shared" si="24"/>
        <v>230.13049685184086</v>
      </c>
      <c r="M832">
        <f t="shared" si="25"/>
        <v>229</v>
      </c>
    </row>
    <row r="833" spans="1:13" x14ac:dyDescent="0.4">
      <c r="A833" t="s">
        <v>68</v>
      </c>
      <c r="B833" t="s">
        <v>40</v>
      </c>
      <c r="C833" s="1">
        <v>45512</v>
      </c>
      <c r="D833" s="1">
        <v>45299</v>
      </c>
      <c r="E833" t="s">
        <v>34</v>
      </c>
      <c r="F833">
        <v>47210.03</v>
      </c>
      <c r="G833">
        <v>1033</v>
      </c>
      <c r="H833">
        <v>260</v>
      </c>
      <c r="I833">
        <v>185040.77</v>
      </c>
      <c r="J833">
        <v>7513</v>
      </c>
      <c r="K833">
        <v>256233</v>
      </c>
      <c r="L833">
        <f t="shared" si="24"/>
        <v>291.95223981005734</v>
      </c>
      <c r="M833">
        <f t="shared" si="25"/>
        <v>213</v>
      </c>
    </row>
    <row r="834" spans="1:13" x14ac:dyDescent="0.4">
      <c r="A834" t="s">
        <v>60</v>
      </c>
      <c r="B834" t="s">
        <v>54</v>
      </c>
      <c r="C834" s="1">
        <v>45333</v>
      </c>
      <c r="D834" s="1">
        <v>45299</v>
      </c>
      <c r="E834" t="s">
        <v>13</v>
      </c>
      <c r="F834">
        <v>16867.16</v>
      </c>
      <c r="G834">
        <v>1561</v>
      </c>
      <c r="H834">
        <v>311</v>
      </c>
      <c r="I834">
        <v>111240.81</v>
      </c>
      <c r="J834">
        <v>1412</v>
      </c>
      <c r="K834">
        <v>234746</v>
      </c>
      <c r="L834">
        <f t="shared" si="24"/>
        <v>559.51120402011952</v>
      </c>
      <c r="M834">
        <f t="shared" si="25"/>
        <v>34</v>
      </c>
    </row>
    <row r="835" spans="1:13" x14ac:dyDescent="0.4">
      <c r="A835" t="s">
        <v>95</v>
      </c>
      <c r="B835" t="s">
        <v>43</v>
      </c>
      <c r="C835" s="1">
        <v>45312</v>
      </c>
      <c r="D835" s="1">
        <v>45294</v>
      </c>
      <c r="E835" t="s">
        <v>13</v>
      </c>
      <c r="F835">
        <v>33395.89</v>
      </c>
      <c r="G835">
        <v>401</v>
      </c>
      <c r="H835">
        <v>78</v>
      </c>
      <c r="I835">
        <v>57599.78</v>
      </c>
      <c r="J835">
        <v>1921</v>
      </c>
      <c r="K835">
        <v>412373</v>
      </c>
      <c r="L835">
        <f t="shared" ref="L835:L898" si="26">(I835 - F835)/F835*100</f>
        <v>72.475654938377147</v>
      </c>
      <c r="M835">
        <f t="shared" ref="M835:M898" si="27">ABS(D835 - C835)</f>
        <v>18</v>
      </c>
    </row>
    <row r="836" spans="1:13" x14ac:dyDescent="0.4">
      <c r="A836" t="s">
        <v>112</v>
      </c>
      <c r="B836" t="s">
        <v>12</v>
      </c>
      <c r="C836" s="1">
        <v>45333</v>
      </c>
      <c r="D836" s="1">
        <v>45300</v>
      </c>
      <c r="E836" t="s">
        <v>13</v>
      </c>
      <c r="F836">
        <v>32959.53</v>
      </c>
      <c r="G836">
        <v>1774</v>
      </c>
      <c r="H836">
        <v>175</v>
      </c>
      <c r="I836">
        <v>141967.75</v>
      </c>
      <c r="J836">
        <v>5746</v>
      </c>
      <c r="K836">
        <v>262139</v>
      </c>
      <c r="L836">
        <f t="shared" si="26"/>
        <v>330.73353897946964</v>
      </c>
      <c r="M836">
        <f t="shared" si="27"/>
        <v>33</v>
      </c>
    </row>
    <row r="837" spans="1:13" x14ac:dyDescent="0.4">
      <c r="A837" t="s">
        <v>84</v>
      </c>
      <c r="B837" t="s">
        <v>30</v>
      </c>
      <c r="C837" s="1">
        <v>45404</v>
      </c>
      <c r="D837" s="1">
        <v>45301</v>
      </c>
      <c r="E837" t="s">
        <v>16</v>
      </c>
      <c r="F837">
        <v>13302.93</v>
      </c>
      <c r="G837">
        <v>1329</v>
      </c>
      <c r="H837">
        <v>381</v>
      </c>
      <c r="I837">
        <v>133485.85</v>
      </c>
      <c r="J837">
        <v>5045</v>
      </c>
      <c r="K837">
        <v>348625</v>
      </c>
      <c r="L837">
        <f t="shared" si="26"/>
        <v>903.43195070559648</v>
      </c>
      <c r="M837">
        <f t="shared" si="27"/>
        <v>103</v>
      </c>
    </row>
    <row r="838" spans="1:13" x14ac:dyDescent="0.4">
      <c r="A838" t="s">
        <v>58</v>
      </c>
      <c r="B838" t="s">
        <v>51</v>
      </c>
      <c r="C838" s="1">
        <v>45396</v>
      </c>
      <c r="D838" s="1">
        <v>45295</v>
      </c>
      <c r="E838" t="s">
        <v>26</v>
      </c>
      <c r="F838">
        <v>32870.839999999997</v>
      </c>
      <c r="G838">
        <v>1295</v>
      </c>
      <c r="H838">
        <v>147</v>
      </c>
      <c r="I838">
        <v>197879.44</v>
      </c>
      <c r="J838">
        <v>5474</v>
      </c>
      <c r="K838">
        <v>496336</v>
      </c>
      <c r="L838">
        <f t="shared" si="26"/>
        <v>501.99082226070288</v>
      </c>
      <c r="M838">
        <f t="shared" si="27"/>
        <v>101</v>
      </c>
    </row>
    <row r="839" spans="1:13" x14ac:dyDescent="0.4">
      <c r="A839" t="s">
        <v>86</v>
      </c>
      <c r="B839" t="s">
        <v>36</v>
      </c>
      <c r="C839" s="1">
        <v>45483</v>
      </c>
      <c r="D839" s="1">
        <v>45301</v>
      </c>
      <c r="E839" t="s">
        <v>16</v>
      </c>
      <c r="F839">
        <v>11404.36</v>
      </c>
      <c r="G839">
        <v>1957</v>
      </c>
      <c r="H839">
        <v>170</v>
      </c>
      <c r="I839">
        <v>56684.22</v>
      </c>
      <c r="J839">
        <v>2751</v>
      </c>
      <c r="K839">
        <v>351697</v>
      </c>
      <c r="L839">
        <f t="shared" si="26"/>
        <v>397.03990403670173</v>
      </c>
      <c r="M839">
        <f t="shared" si="27"/>
        <v>182</v>
      </c>
    </row>
    <row r="840" spans="1:13" x14ac:dyDescent="0.4">
      <c r="A840" t="s">
        <v>19</v>
      </c>
      <c r="B840" t="s">
        <v>36</v>
      </c>
      <c r="C840" s="1">
        <v>45308</v>
      </c>
      <c r="D840" s="1">
        <v>45302</v>
      </c>
      <c r="E840" t="s">
        <v>16</v>
      </c>
      <c r="F840">
        <v>6978.36</v>
      </c>
      <c r="G840">
        <v>802</v>
      </c>
      <c r="H840">
        <v>403</v>
      </c>
      <c r="I840">
        <v>136051.6</v>
      </c>
      <c r="J840">
        <v>4801</v>
      </c>
      <c r="K840">
        <v>133828</v>
      </c>
      <c r="L840">
        <f t="shared" si="26"/>
        <v>1849.6214010168578</v>
      </c>
      <c r="M840">
        <f t="shared" si="27"/>
        <v>6</v>
      </c>
    </row>
    <row r="841" spans="1:13" x14ac:dyDescent="0.4">
      <c r="A841" t="s">
        <v>66</v>
      </c>
      <c r="B841" t="s">
        <v>40</v>
      </c>
      <c r="C841" s="1">
        <v>45411</v>
      </c>
      <c r="D841" s="1">
        <v>45299</v>
      </c>
      <c r="E841" t="s">
        <v>34</v>
      </c>
      <c r="F841">
        <v>35367.78</v>
      </c>
      <c r="G841">
        <v>830</v>
      </c>
      <c r="H841">
        <v>265</v>
      </c>
      <c r="I841">
        <v>15144.63</v>
      </c>
      <c r="J841">
        <v>2977</v>
      </c>
      <c r="K841">
        <v>232749</v>
      </c>
      <c r="L841">
        <f t="shared" si="26"/>
        <v>-57.179585487129813</v>
      </c>
      <c r="M841">
        <f t="shared" si="27"/>
        <v>112</v>
      </c>
    </row>
    <row r="842" spans="1:13" x14ac:dyDescent="0.4">
      <c r="A842" t="s">
        <v>91</v>
      </c>
      <c r="B842" t="s">
        <v>18</v>
      </c>
      <c r="C842" s="1">
        <v>45420</v>
      </c>
      <c r="D842" s="1">
        <v>45298</v>
      </c>
      <c r="E842" t="s">
        <v>34</v>
      </c>
      <c r="F842">
        <v>6558.6</v>
      </c>
      <c r="G842">
        <v>1074</v>
      </c>
      <c r="H842">
        <v>225</v>
      </c>
      <c r="I842">
        <v>27160.98</v>
      </c>
      <c r="J842">
        <v>5682</v>
      </c>
      <c r="K842">
        <v>462328</v>
      </c>
      <c r="L842">
        <f t="shared" si="26"/>
        <v>314.12771018205098</v>
      </c>
      <c r="M842">
        <f t="shared" si="27"/>
        <v>122</v>
      </c>
    </row>
    <row r="843" spans="1:13" x14ac:dyDescent="0.4">
      <c r="A843" t="s">
        <v>84</v>
      </c>
      <c r="B843" t="s">
        <v>36</v>
      </c>
      <c r="C843" s="1">
        <v>45421</v>
      </c>
      <c r="D843" s="1">
        <v>45302</v>
      </c>
      <c r="E843" t="s">
        <v>34</v>
      </c>
      <c r="F843">
        <v>49848.55</v>
      </c>
      <c r="G843">
        <v>595</v>
      </c>
      <c r="H843">
        <v>87</v>
      </c>
      <c r="I843">
        <v>5764.08</v>
      </c>
      <c r="J843">
        <v>5490</v>
      </c>
      <c r="K843">
        <v>485219</v>
      </c>
      <c r="L843">
        <f t="shared" si="26"/>
        <v>-88.4368151129772</v>
      </c>
      <c r="M843">
        <f t="shared" si="27"/>
        <v>119</v>
      </c>
    </row>
    <row r="844" spans="1:13" x14ac:dyDescent="0.4">
      <c r="A844" t="s">
        <v>82</v>
      </c>
      <c r="B844" t="s">
        <v>43</v>
      </c>
      <c r="C844" s="1">
        <v>45351</v>
      </c>
      <c r="D844" s="1">
        <v>45302</v>
      </c>
      <c r="E844" t="s">
        <v>26</v>
      </c>
      <c r="F844">
        <v>9989.17</v>
      </c>
      <c r="G844">
        <v>1519</v>
      </c>
      <c r="H844">
        <v>186</v>
      </c>
      <c r="I844">
        <v>199894.83</v>
      </c>
      <c r="J844">
        <v>4183</v>
      </c>
      <c r="K844">
        <v>103488</v>
      </c>
      <c r="L844">
        <f t="shared" si="26"/>
        <v>1901.1155080952669</v>
      </c>
      <c r="M844">
        <f t="shared" si="27"/>
        <v>49</v>
      </c>
    </row>
    <row r="845" spans="1:13" x14ac:dyDescent="0.4">
      <c r="A845" t="s">
        <v>38</v>
      </c>
      <c r="B845" t="s">
        <v>15</v>
      </c>
      <c r="C845" s="1">
        <v>45339</v>
      </c>
      <c r="D845" s="1">
        <v>45294</v>
      </c>
      <c r="E845" t="s">
        <v>26</v>
      </c>
      <c r="F845">
        <v>30112.95</v>
      </c>
      <c r="G845">
        <v>128</v>
      </c>
      <c r="H845">
        <v>311</v>
      </c>
      <c r="I845">
        <v>161443.37</v>
      </c>
      <c r="J845">
        <v>845</v>
      </c>
      <c r="K845">
        <v>97741</v>
      </c>
      <c r="L845">
        <f t="shared" si="26"/>
        <v>436.12605208058318</v>
      </c>
      <c r="M845">
        <f t="shared" si="27"/>
        <v>45</v>
      </c>
    </row>
    <row r="846" spans="1:13" x14ac:dyDescent="0.4">
      <c r="A846" t="s">
        <v>80</v>
      </c>
      <c r="B846" t="s">
        <v>33</v>
      </c>
      <c r="C846" s="1">
        <v>45320</v>
      </c>
      <c r="D846" s="1">
        <v>45296</v>
      </c>
      <c r="E846" t="s">
        <v>34</v>
      </c>
      <c r="F846">
        <v>21157.35</v>
      </c>
      <c r="G846">
        <v>1309</v>
      </c>
      <c r="H846">
        <v>14</v>
      </c>
      <c r="I846">
        <v>158410.99</v>
      </c>
      <c r="J846">
        <v>8849</v>
      </c>
      <c r="K846">
        <v>190123</v>
      </c>
      <c r="L846">
        <f t="shared" si="26"/>
        <v>648.7279361545751</v>
      </c>
      <c r="M846">
        <f t="shared" si="27"/>
        <v>24</v>
      </c>
    </row>
    <row r="847" spans="1:13" x14ac:dyDescent="0.4">
      <c r="A847" t="s">
        <v>100</v>
      </c>
      <c r="B847" t="s">
        <v>31</v>
      </c>
      <c r="C847" s="1">
        <v>45388</v>
      </c>
      <c r="D847" s="1">
        <v>45302</v>
      </c>
      <c r="E847" t="s">
        <v>34</v>
      </c>
      <c r="F847">
        <v>7192.93</v>
      </c>
      <c r="G847">
        <v>383</v>
      </c>
      <c r="H847">
        <v>400</v>
      </c>
      <c r="I847">
        <v>104396.58</v>
      </c>
      <c r="J847">
        <v>1041</v>
      </c>
      <c r="K847">
        <v>232773</v>
      </c>
      <c r="L847">
        <f t="shared" si="26"/>
        <v>1351.3776722420487</v>
      </c>
      <c r="M847">
        <f t="shared" si="27"/>
        <v>86</v>
      </c>
    </row>
    <row r="848" spans="1:13" x14ac:dyDescent="0.4">
      <c r="A848" t="s">
        <v>95</v>
      </c>
      <c r="B848" t="s">
        <v>25</v>
      </c>
      <c r="C848" s="1">
        <v>45301</v>
      </c>
      <c r="D848" s="1">
        <v>45295</v>
      </c>
      <c r="E848" t="s">
        <v>26</v>
      </c>
      <c r="F848">
        <v>2364.35</v>
      </c>
      <c r="G848">
        <v>938</v>
      </c>
      <c r="H848">
        <v>8</v>
      </c>
      <c r="I848">
        <v>63513.08</v>
      </c>
      <c r="J848">
        <v>4123</v>
      </c>
      <c r="K848">
        <v>458811</v>
      </c>
      <c r="L848">
        <f t="shared" si="26"/>
        <v>2586.2807959904417</v>
      </c>
      <c r="M848">
        <f t="shared" si="27"/>
        <v>6</v>
      </c>
    </row>
    <row r="849" spans="1:13" x14ac:dyDescent="0.4">
      <c r="A849" t="s">
        <v>82</v>
      </c>
      <c r="B849" t="s">
        <v>43</v>
      </c>
      <c r="C849" s="1">
        <v>45533</v>
      </c>
      <c r="D849" s="1">
        <v>45297</v>
      </c>
      <c r="E849" t="s">
        <v>13</v>
      </c>
      <c r="F849">
        <v>31513.88</v>
      </c>
      <c r="G849">
        <v>1422</v>
      </c>
      <c r="H849">
        <v>355</v>
      </c>
      <c r="I849">
        <v>34496.54</v>
      </c>
      <c r="J849">
        <v>2396</v>
      </c>
      <c r="K849">
        <v>341354</v>
      </c>
      <c r="L849">
        <f t="shared" si="26"/>
        <v>9.4645914752483655</v>
      </c>
      <c r="M849">
        <f t="shared" si="27"/>
        <v>236</v>
      </c>
    </row>
    <row r="850" spans="1:13" x14ac:dyDescent="0.4">
      <c r="A850" t="s">
        <v>98</v>
      </c>
      <c r="B850" t="s">
        <v>54</v>
      </c>
      <c r="C850" s="1">
        <v>45605</v>
      </c>
      <c r="D850" s="1">
        <v>45297</v>
      </c>
      <c r="E850" t="s">
        <v>26</v>
      </c>
      <c r="F850">
        <v>40531.120000000003</v>
      </c>
      <c r="G850">
        <v>1171</v>
      </c>
      <c r="H850">
        <v>406</v>
      </c>
      <c r="I850">
        <v>60511.57</v>
      </c>
      <c r="J850">
        <v>1039</v>
      </c>
      <c r="K850">
        <v>175166</v>
      </c>
      <c r="L850">
        <f t="shared" si="26"/>
        <v>49.296565207179064</v>
      </c>
      <c r="M850">
        <f t="shared" si="27"/>
        <v>308</v>
      </c>
    </row>
    <row r="851" spans="1:13" x14ac:dyDescent="0.4">
      <c r="A851" t="s">
        <v>109</v>
      </c>
      <c r="B851" t="s">
        <v>28</v>
      </c>
      <c r="C851" s="1">
        <v>45523</v>
      </c>
      <c r="D851" s="1">
        <v>45295</v>
      </c>
      <c r="E851" t="s">
        <v>26</v>
      </c>
      <c r="F851">
        <v>42258.77</v>
      </c>
      <c r="G851">
        <v>1155</v>
      </c>
      <c r="H851">
        <v>340</v>
      </c>
      <c r="I851">
        <v>78314.39</v>
      </c>
      <c r="J851">
        <v>1710</v>
      </c>
      <c r="K851">
        <v>219961</v>
      </c>
      <c r="L851">
        <f t="shared" si="26"/>
        <v>85.321035136611883</v>
      </c>
      <c r="M851">
        <f t="shared" si="27"/>
        <v>228</v>
      </c>
    </row>
    <row r="852" spans="1:13" x14ac:dyDescent="0.4">
      <c r="A852" t="s">
        <v>109</v>
      </c>
      <c r="B852" t="s">
        <v>40</v>
      </c>
      <c r="C852" s="1">
        <v>45568</v>
      </c>
      <c r="D852" s="1">
        <v>45296</v>
      </c>
      <c r="E852" t="s">
        <v>26</v>
      </c>
      <c r="F852">
        <v>24652.959999999999</v>
      </c>
      <c r="G852">
        <v>551</v>
      </c>
      <c r="H852">
        <v>492</v>
      </c>
      <c r="I852">
        <v>152480.47</v>
      </c>
      <c r="J852">
        <v>6400</v>
      </c>
      <c r="K852">
        <v>489601</v>
      </c>
      <c r="L852">
        <f t="shared" si="26"/>
        <v>518.50775728350675</v>
      </c>
      <c r="M852">
        <f t="shared" si="27"/>
        <v>272</v>
      </c>
    </row>
    <row r="853" spans="1:13" x14ac:dyDescent="0.4">
      <c r="A853" t="s">
        <v>114</v>
      </c>
      <c r="B853" t="s">
        <v>12</v>
      </c>
      <c r="C853" s="1">
        <v>45575</v>
      </c>
      <c r="D853" s="1">
        <v>45296</v>
      </c>
      <c r="E853" t="s">
        <v>34</v>
      </c>
      <c r="F853">
        <v>39095.32</v>
      </c>
      <c r="G853">
        <v>1550</v>
      </c>
      <c r="H853">
        <v>296</v>
      </c>
      <c r="I853">
        <v>110234.05</v>
      </c>
      <c r="J853">
        <v>1825</v>
      </c>
      <c r="K853">
        <v>398751</v>
      </c>
      <c r="L853">
        <f t="shared" si="26"/>
        <v>181.9622655601745</v>
      </c>
      <c r="M853">
        <f t="shared" si="27"/>
        <v>279</v>
      </c>
    </row>
    <row r="854" spans="1:13" x14ac:dyDescent="0.4">
      <c r="A854" t="s">
        <v>120</v>
      </c>
      <c r="B854" t="s">
        <v>30</v>
      </c>
      <c r="C854" s="1">
        <v>45494</v>
      </c>
      <c r="D854" s="1">
        <v>45294</v>
      </c>
      <c r="E854" t="s">
        <v>13</v>
      </c>
      <c r="F854">
        <v>33969.51</v>
      </c>
      <c r="G854">
        <v>2000</v>
      </c>
      <c r="H854">
        <v>285</v>
      </c>
      <c r="I854">
        <v>20109.310000000001</v>
      </c>
      <c r="J854">
        <v>9276</v>
      </c>
      <c r="K854">
        <v>450251</v>
      </c>
      <c r="L854">
        <f t="shared" si="26"/>
        <v>-40.801883806978665</v>
      </c>
      <c r="M854">
        <f t="shared" si="27"/>
        <v>200</v>
      </c>
    </row>
    <row r="855" spans="1:13" x14ac:dyDescent="0.4">
      <c r="A855" t="s">
        <v>61</v>
      </c>
      <c r="B855" t="s">
        <v>28</v>
      </c>
      <c r="C855" s="1">
        <v>45538</v>
      </c>
      <c r="D855" s="1">
        <v>45299</v>
      </c>
      <c r="E855" t="s">
        <v>26</v>
      </c>
      <c r="F855">
        <v>36488.47</v>
      </c>
      <c r="G855">
        <v>1777</v>
      </c>
      <c r="H855">
        <v>219</v>
      </c>
      <c r="I855">
        <v>8515.66</v>
      </c>
      <c r="J855">
        <v>9879</v>
      </c>
      <c r="K855">
        <v>48367</v>
      </c>
      <c r="L855">
        <f t="shared" si="26"/>
        <v>-76.66205242368342</v>
      </c>
      <c r="M855">
        <f t="shared" si="27"/>
        <v>239</v>
      </c>
    </row>
    <row r="856" spans="1:13" x14ac:dyDescent="0.4">
      <c r="A856" t="s">
        <v>101</v>
      </c>
      <c r="B856" t="s">
        <v>30</v>
      </c>
      <c r="C856" s="1">
        <v>45581</v>
      </c>
      <c r="D856" s="1">
        <v>45301</v>
      </c>
      <c r="E856" t="s">
        <v>34</v>
      </c>
      <c r="F856">
        <v>25137.35</v>
      </c>
      <c r="G856">
        <v>814</v>
      </c>
      <c r="H856">
        <v>464</v>
      </c>
      <c r="I856">
        <v>24954.78</v>
      </c>
      <c r="J856">
        <v>9628</v>
      </c>
      <c r="K856">
        <v>239544</v>
      </c>
      <c r="L856">
        <f t="shared" si="26"/>
        <v>-0.72628976403638301</v>
      </c>
      <c r="M856">
        <f t="shared" si="27"/>
        <v>280</v>
      </c>
    </row>
    <row r="857" spans="1:13" x14ac:dyDescent="0.4">
      <c r="A857" t="s">
        <v>106</v>
      </c>
      <c r="B857" t="s">
        <v>21</v>
      </c>
      <c r="C857" s="1">
        <v>45555</v>
      </c>
      <c r="D857" s="1">
        <v>45296</v>
      </c>
      <c r="E857" t="s">
        <v>16</v>
      </c>
      <c r="F857">
        <v>32037.18</v>
      </c>
      <c r="G857">
        <v>970</v>
      </c>
      <c r="H857">
        <v>102</v>
      </c>
      <c r="I857">
        <v>85047.25</v>
      </c>
      <c r="J857">
        <v>8953</v>
      </c>
      <c r="K857">
        <v>411334</v>
      </c>
      <c r="L857">
        <f t="shared" si="26"/>
        <v>165.46422000937659</v>
      </c>
      <c r="M857">
        <f t="shared" si="27"/>
        <v>259</v>
      </c>
    </row>
    <row r="858" spans="1:13" x14ac:dyDescent="0.4">
      <c r="A858" t="s">
        <v>89</v>
      </c>
      <c r="B858" t="s">
        <v>28</v>
      </c>
      <c r="C858" s="1">
        <v>45505</v>
      </c>
      <c r="D858" s="1">
        <v>45298</v>
      </c>
      <c r="E858" t="s">
        <v>16</v>
      </c>
      <c r="F858">
        <v>40470.769999999997</v>
      </c>
      <c r="G858">
        <v>599</v>
      </c>
      <c r="H858">
        <v>424</v>
      </c>
      <c r="I858">
        <v>186972.62</v>
      </c>
      <c r="J858">
        <v>7287</v>
      </c>
      <c r="K858">
        <v>454028</v>
      </c>
      <c r="L858">
        <f t="shared" si="26"/>
        <v>361.994224473614</v>
      </c>
      <c r="M858">
        <f t="shared" si="27"/>
        <v>207</v>
      </c>
    </row>
    <row r="859" spans="1:13" x14ac:dyDescent="0.4">
      <c r="A859" t="s">
        <v>69</v>
      </c>
      <c r="B859" t="s">
        <v>25</v>
      </c>
      <c r="C859" s="1">
        <v>45491</v>
      </c>
      <c r="D859" s="1">
        <v>45294</v>
      </c>
      <c r="E859" t="s">
        <v>26</v>
      </c>
      <c r="F859">
        <v>20496.32</v>
      </c>
      <c r="G859">
        <v>63</v>
      </c>
      <c r="H859">
        <v>105</v>
      </c>
      <c r="I859">
        <v>129293.48</v>
      </c>
      <c r="J859">
        <v>132</v>
      </c>
      <c r="K859">
        <v>60884</v>
      </c>
      <c r="L859">
        <f t="shared" si="26"/>
        <v>530.81314109069342</v>
      </c>
      <c r="M859">
        <f t="shared" si="27"/>
        <v>197</v>
      </c>
    </row>
    <row r="860" spans="1:13" x14ac:dyDescent="0.4">
      <c r="A860" t="s">
        <v>113</v>
      </c>
      <c r="B860" t="s">
        <v>18</v>
      </c>
      <c r="C860" s="1">
        <v>45370</v>
      </c>
      <c r="D860" s="1">
        <v>45300</v>
      </c>
      <c r="E860" t="s">
        <v>16</v>
      </c>
      <c r="F860">
        <v>40492.97</v>
      </c>
      <c r="G860">
        <v>441</v>
      </c>
      <c r="H860">
        <v>455</v>
      </c>
      <c r="I860">
        <v>161356.04999999999</v>
      </c>
      <c r="J860">
        <v>6085</v>
      </c>
      <c r="K860">
        <v>460384</v>
      </c>
      <c r="L860">
        <f t="shared" si="26"/>
        <v>298.47916811239082</v>
      </c>
      <c r="M860">
        <f t="shared" si="27"/>
        <v>70</v>
      </c>
    </row>
    <row r="861" spans="1:13" x14ac:dyDescent="0.4">
      <c r="A861" t="s">
        <v>29</v>
      </c>
      <c r="B861" t="s">
        <v>33</v>
      </c>
      <c r="C861" s="1">
        <v>45634</v>
      </c>
      <c r="D861" s="1">
        <v>45294</v>
      </c>
      <c r="E861" t="s">
        <v>13</v>
      </c>
      <c r="F861">
        <v>30008.83</v>
      </c>
      <c r="G861">
        <v>1420</v>
      </c>
      <c r="H861">
        <v>13</v>
      </c>
      <c r="I861">
        <v>95943.05</v>
      </c>
      <c r="J861">
        <v>3514</v>
      </c>
      <c r="K861">
        <v>145352</v>
      </c>
      <c r="L861">
        <f t="shared" si="26"/>
        <v>219.71606357195532</v>
      </c>
      <c r="M861">
        <f t="shared" si="27"/>
        <v>340</v>
      </c>
    </row>
    <row r="862" spans="1:13" x14ac:dyDescent="0.4">
      <c r="A862" t="s">
        <v>62</v>
      </c>
      <c r="B862" t="s">
        <v>31</v>
      </c>
      <c r="C862" s="1">
        <v>45635</v>
      </c>
      <c r="D862" s="1">
        <v>45302</v>
      </c>
      <c r="E862" t="s">
        <v>16</v>
      </c>
      <c r="F862">
        <v>9129.15</v>
      </c>
      <c r="G862">
        <v>359</v>
      </c>
      <c r="H862">
        <v>65</v>
      </c>
      <c r="I862">
        <v>75524.89</v>
      </c>
      <c r="J862">
        <v>1256</v>
      </c>
      <c r="K862">
        <v>408962</v>
      </c>
      <c r="L862">
        <f t="shared" si="26"/>
        <v>727.29377871981512</v>
      </c>
      <c r="M862">
        <f t="shared" si="27"/>
        <v>333</v>
      </c>
    </row>
    <row r="863" spans="1:13" x14ac:dyDescent="0.4">
      <c r="A863" t="s">
        <v>45</v>
      </c>
      <c r="B863" t="s">
        <v>31</v>
      </c>
      <c r="C863" s="1">
        <v>45464</v>
      </c>
      <c r="D863" s="1">
        <v>45301</v>
      </c>
      <c r="E863" t="s">
        <v>16</v>
      </c>
      <c r="F863">
        <v>2209.52</v>
      </c>
      <c r="G863">
        <v>435</v>
      </c>
      <c r="H863">
        <v>313</v>
      </c>
      <c r="I863">
        <v>26138.07</v>
      </c>
      <c r="J863">
        <v>3226</v>
      </c>
      <c r="K863">
        <v>365716</v>
      </c>
      <c r="L863">
        <f t="shared" si="26"/>
        <v>1082.9750353017851</v>
      </c>
      <c r="M863">
        <f t="shared" si="27"/>
        <v>163</v>
      </c>
    </row>
    <row r="864" spans="1:13" x14ac:dyDescent="0.4">
      <c r="A864" t="s">
        <v>46</v>
      </c>
      <c r="B864" t="s">
        <v>33</v>
      </c>
      <c r="C864" s="1">
        <v>45360</v>
      </c>
      <c r="D864" s="1">
        <v>45300</v>
      </c>
      <c r="E864" t="s">
        <v>13</v>
      </c>
      <c r="F864">
        <v>18774.93</v>
      </c>
      <c r="G864">
        <v>1282</v>
      </c>
      <c r="H864">
        <v>150</v>
      </c>
      <c r="I864">
        <v>175806.94</v>
      </c>
      <c r="J864">
        <v>8352</v>
      </c>
      <c r="K864">
        <v>54251</v>
      </c>
      <c r="L864">
        <f t="shared" si="26"/>
        <v>836.39198654801919</v>
      </c>
      <c r="M864">
        <f t="shared" si="27"/>
        <v>60</v>
      </c>
    </row>
    <row r="865" spans="1:13" x14ac:dyDescent="0.4">
      <c r="A865" t="s">
        <v>122</v>
      </c>
      <c r="B865" t="s">
        <v>15</v>
      </c>
      <c r="C865" s="1">
        <v>45378</v>
      </c>
      <c r="D865" s="1">
        <v>45300</v>
      </c>
      <c r="E865" t="s">
        <v>26</v>
      </c>
      <c r="F865">
        <v>27788.12</v>
      </c>
      <c r="G865">
        <v>1430</v>
      </c>
      <c r="H865">
        <v>431</v>
      </c>
      <c r="I865">
        <v>157716.21</v>
      </c>
      <c r="J865">
        <v>1643</v>
      </c>
      <c r="K865">
        <v>85821</v>
      </c>
      <c r="L865">
        <f t="shared" si="26"/>
        <v>467.56703943987577</v>
      </c>
      <c r="M865">
        <f t="shared" si="27"/>
        <v>78</v>
      </c>
    </row>
    <row r="866" spans="1:13" x14ac:dyDescent="0.4">
      <c r="A866" t="s">
        <v>45</v>
      </c>
      <c r="B866" t="s">
        <v>51</v>
      </c>
      <c r="C866" s="1">
        <v>45392</v>
      </c>
      <c r="D866" s="1">
        <v>45298</v>
      </c>
      <c r="E866" t="s">
        <v>26</v>
      </c>
      <c r="F866">
        <v>42151.199999999997</v>
      </c>
      <c r="G866">
        <v>1023</v>
      </c>
      <c r="H866">
        <v>423</v>
      </c>
      <c r="I866">
        <v>37783.03</v>
      </c>
      <c r="J866">
        <v>371</v>
      </c>
      <c r="K866">
        <v>84583</v>
      </c>
      <c r="L866">
        <f t="shared" si="26"/>
        <v>-10.363097610506934</v>
      </c>
      <c r="M866">
        <f t="shared" si="27"/>
        <v>94</v>
      </c>
    </row>
    <row r="867" spans="1:13" x14ac:dyDescent="0.4">
      <c r="A867" t="s">
        <v>80</v>
      </c>
      <c r="B867" t="s">
        <v>21</v>
      </c>
      <c r="C867" s="1">
        <v>45299</v>
      </c>
      <c r="D867" s="1">
        <v>45298</v>
      </c>
      <c r="E867" t="s">
        <v>13</v>
      </c>
      <c r="F867">
        <v>7246.8</v>
      </c>
      <c r="G867">
        <v>1674</v>
      </c>
      <c r="H867">
        <v>67</v>
      </c>
      <c r="I867">
        <v>104890.81</v>
      </c>
      <c r="J867">
        <v>5395</v>
      </c>
      <c r="K867">
        <v>245697</v>
      </c>
      <c r="L867">
        <f t="shared" si="26"/>
        <v>1347.4086493348786</v>
      </c>
      <c r="M867">
        <f t="shared" si="27"/>
        <v>1</v>
      </c>
    </row>
    <row r="868" spans="1:13" x14ac:dyDescent="0.4">
      <c r="A868" t="s">
        <v>122</v>
      </c>
      <c r="B868" t="s">
        <v>30</v>
      </c>
      <c r="C868" s="1">
        <v>45624</v>
      </c>
      <c r="D868" s="1">
        <v>45298</v>
      </c>
      <c r="E868" t="s">
        <v>13</v>
      </c>
      <c r="F868">
        <v>40210.11</v>
      </c>
      <c r="G868">
        <v>1641</v>
      </c>
      <c r="H868">
        <v>125</v>
      </c>
      <c r="I868">
        <v>100038.09</v>
      </c>
      <c r="J868">
        <v>4176</v>
      </c>
      <c r="K868">
        <v>11207</v>
      </c>
      <c r="L868">
        <f t="shared" si="26"/>
        <v>148.7884017228503</v>
      </c>
      <c r="M868">
        <f t="shared" si="27"/>
        <v>326</v>
      </c>
    </row>
    <row r="869" spans="1:13" x14ac:dyDescent="0.4">
      <c r="A869" t="s">
        <v>90</v>
      </c>
      <c r="B869" t="s">
        <v>25</v>
      </c>
      <c r="C869" s="1">
        <v>45491</v>
      </c>
      <c r="D869" s="1">
        <v>45294</v>
      </c>
      <c r="E869" t="s">
        <v>13</v>
      </c>
      <c r="F869">
        <v>43287.44</v>
      </c>
      <c r="G869">
        <v>1167</v>
      </c>
      <c r="H869">
        <v>230</v>
      </c>
      <c r="I869">
        <v>126892.85</v>
      </c>
      <c r="J869">
        <v>6002</v>
      </c>
      <c r="K869">
        <v>203199</v>
      </c>
      <c r="L869">
        <f t="shared" si="26"/>
        <v>193.14011177376162</v>
      </c>
      <c r="M869">
        <f t="shared" si="27"/>
        <v>197</v>
      </c>
    </row>
    <row r="870" spans="1:13" x14ac:dyDescent="0.4">
      <c r="A870" t="s">
        <v>44</v>
      </c>
      <c r="B870" t="s">
        <v>36</v>
      </c>
      <c r="C870" s="1">
        <v>45378</v>
      </c>
      <c r="D870" s="1">
        <v>45301</v>
      </c>
      <c r="E870" t="s">
        <v>16</v>
      </c>
      <c r="F870">
        <v>8383.69</v>
      </c>
      <c r="G870">
        <v>1166</v>
      </c>
      <c r="H870">
        <v>109</v>
      </c>
      <c r="I870">
        <v>189506.44</v>
      </c>
      <c r="J870">
        <v>2809</v>
      </c>
      <c r="K870">
        <v>28757</v>
      </c>
      <c r="L870">
        <f t="shared" si="26"/>
        <v>2160.4180259527725</v>
      </c>
      <c r="M870">
        <f t="shared" si="27"/>
        <v>77</v>
      </c>
    </row>
    <row r="871" spans="1:13" x14ac:dyDescent="0.4">
      <c r="A871" t="s">
        <v>106</v>
      </c>
      <c r="B871" t="s">
        <v>28</v>
      </c>
      <c r="C871" s="1">
        <v>45334</v>
      </c>
      <c r="D871" s="1">
        <v>45294</v>
      </c>
      <c r="E871" t="s">
        <v>13</v>
      </c>
      <c r="F871">
        <v>42728.12</v>
      </c>
      <c r="G871">
        <v>389</v>
      </c>
      <c r="H871">
        <v>466</v>
      </c>
      <c r="I871">
        <v>118055.43</v>
      </c>
      <c r="J871">
        <v>9446</v>
      </c>
      <c r="K871">
        <v>410442</v>
      </c>
      <c r="L871">
        <f t="shared" si="26"/>
        <v>176.29446369276249</v>
      </c>
      <c r="M871">
        <f t="shared" si="27"/>
        <v>40</v>
      </c>
    </row>
    <row r="872" spans="1:13" x14ac:dyDescent="0.4">
      <c r="A872" t="s">
        <v>55</v>
      </c>
      <c r="B872" t="s">
        <v>21</v>
      </c>
      <c r="C872" s="1">
        <v>45400</v>
      </c>
      <c r="D872" s="1">
        <v>45297</v>
      </c>
      <c r="E872" t="s">
        <v>34</v>
      </c>
      <c r="F872">
        <v>49581.22</v>
      </c>
      <c r="G872">
        <v>646</v>
      </c>
      <c r="H872">
        <v>264</v>
      </c>
      <c r="I872">
        <v>110342.37</v>
      </c>
      <c r="J872">
        <v>5321</v>
      </c>
      <c r="K872">
        <v>489484</v>
      </c>
      <c r="L872">
        <f t="shared" si="26"/>
        <v>122.54871905128593</v>
      </c>
      <c r="M872">
        <f t="shared" si="27"/>
        <v>103</v>
      </c>
    </row>
    <row r="873" spans="1:13" x14ac:dyDescent="0.4">
      <c r="A873" t="s">
        <v>62</v>
      </c>
      <c r="B873" t="s">
        <v>43</v>
      </c>
      <c r="C873" s="1">
        <v>45443</v>
      </c>
      <c r="D873" s="1">
        <v>45302</v>
      </c>
      <c r="E873" t="s">
        <v>16</v>
      </c>
      <c r="F873">
        <v>36615.1</v>
      </c>
      <c r="G873">
        <v>1518</v>
      </c>
      <c r="H873">
        <v>353</v>
      </c>
      <c r="I873">
        <v>14812.97</v>
      </c>
      <c r="J873">
        <v>8629</v>
      </c>
      <c r="K873">
        <v>455623</v>
      </c>
      <c r="L873">
        <f t="shared" si="26"/>
        <v>-59.544095195697942</v>
      </c>
      <c r="M873">
        <f t="shared" si="27"/>
        <v>141</v>
      </c>
    </row>
    <row r="874" spans="1:13" x14ac:dyDescent="0.4">
      <c r="A874" t="s">
        <v>83</v>
      </c>
      <c r="B874" t="s">
        <v>40</v>
      </c>
      <c r="C874" s="1">
        <v>45308</v>
      </c>
      <c r="D874" s="1">
        <v>45302</v>
      </c>
      <c r="E874" t="s">
        <v>26</v>
      </c>
      <c r="F874">
        <v>39453.71</v>
      </c>
      <c r="G874">
        <v>806</v>
      </c>
      <c r="H874">
        <v>429</v>
      </c>
      <c r="I874">
        <v>17266.96</v>
      </c>
      <c r="J874">
        <v>6822</v>
      </c>
      <c r="K874">
        <v>421422</v>
      </c>
      <c r="L874">
        <f t="shared" si="26"/>
        <v>-56.234888936933949</v>
      </c>
      <c r="M874">
        <f t="shared" si="27"/>
        <v>6</v>
      </c>
    </row>
    <row r="875" spans="1:13" x14ac:dyDescent="0.4">
      <c r="A875" t="s">
        <v>122</v>
      </c>
      <c r="B875" t="s">
        <v>28</v>
      </c>
      <c r="C875" s="1">
        <v>45424</v>
      </c>
      <c r="D875" s="1">
        <v>45298</v>
      </c>
      <c r="E875" t="s">
        <v>26</v>
      </c>
      <c r="F875">
        <v>49726.35</v>
      </c>
      <c r="G875">
        <v>1095</v>
      </c>
      <c r="H875">
        <v>259</v>
      </c>
      <c r="I875">
        <v>41532.620000000003</v>
      </c>
      <c r="J875">
        <v>8301</v>
      </c>
      <c r="K875">
        <v>152328</v>
      </c>
      <c r="L875">
        <f t="shared" si="26"/>
        <v>-16.477642135407073</v>
      </c>
      <c r="M875">
        <f t="shared" si="27"/>
        <v>126</v>
      </c>
    </row>
    <row r="876" spans="1:13" x14ac:dyDescent="0.4">
      <c r="A876" t="s">
        <v>11</v>
      </c>
      <c r="B876" t="s">
        <v>25</v>
      </c>
      <c r="C876" s="1">
        <v>45439</v>
      </c>
      <c r="D876" s="1">
        <v>45297</v>
      </c>
      <c r="E876" t="s">
        <v>26</v>
      </c>
      <c r="F876">
        <v>30668.58</v>
      </c>
      <c r="G876">
        <v>340</v>
      </c>
      <c r="H876">
        <v>433</v>
      </c>
      <c r="I876">
        <v>11331.8</v>
      </c>
      <c r="J876">
        <v>4244</v>
      </c>
      <c r="K876">
        <v>296966</v>
      </c>
      <c r="L876">
        <f t="shared" si="26"/>
        <v>-63.050783570677225</v>
      </c>
      <c r="M876">
        <f t="shared" si="27"/>
        <v>142</v>
      </c>
    </row>
    <row r="877" spans="1:13" x14ac:dyDescent="0.4">
      <c r="A877" t="s">
        <v>45</v>
      </c>
      <c r="B877" t="s">
        <v>12</v>
      </c>
      <c r="C877" s="1">
        <v>45568</v>
      </c>
      <c r="D877" s="1">
        <v>45296</v>
      </c>
      <c r="E877" t="s">
        <v>16</v>
      </c>
      <c r="F877">
        <v>16086.43</v>
      </c>
      <c r="G877">
        <v>1558</v>
      </c>
      <c r="H877">
        <v>438</v>
      </c>
      <c r="I877">
        <v>149953.81</v>
      </c>
      <c r="J877">
        <v>5706</v>
      </c>
      <c r="K877">
        <v>263070</v>
      </c>
      <c r="L877">
        <f t="shared" si="26"/>
        <v>832.17581526789979</v>
      </c>
      <c r="M877">
        <f t="shared" si="27"/>
        <v>272</v>
      </c>
    </row>
    <row r="878" spans="1:13" x14ac:dyDescent="0.4">
      <c r="A878" t="s">
        <v>115</v>
      </c>
      <c r="B878" t="s">
        <v>12</v>
      </c>
      <c r="C878" s="1">
        <v>45523</v>
      </c>
      <c r="D878" s="1">
        <v>45296</v>
      </c>
      <c r="E878" t="s">
        <v>34</v>
      </c>
      <c r="F878">
        <v>42039.01</v>
      </c>
      <c r="G878">
        <v>1857</v>
      </c>
      <c r="H878">
        <v>211</v>
      </c>
      <c r="I878">
        <v>146049.41</v>
      </c>
      <c r="J878">
        <v>6866</v>
      </c>
      <c r="K878">
        <v>42340</v>
      </c>
      <c r="L878">
        <f t="shared" si="26"/>
        <v>247.41400903589309</v>
      </c>
      <c r="M878">
        <f t="shared" si="27"/>
        <v>227</v>
      </c>
    </row>
    <row r="879" spans="1:13" x14ac:dyDescent="0.4">
      <c r="A879" t="s">
        <v>32</v>
      </c>
      <c r="B879" t="s">
        <v>54</v>
      </c>
      <c r="C879" s="1">
        <v>45605</v>
      </c>
      <c r="D879" s="1">
        <v>45298</v>
      </c>
      <c r="E879" t="s">
        <v>13</v>
      </c>
      <c r="F879">
        <v>31109.8</v>
      </c>
      <c r="G879">
        <v>355</v>
      </c>
      <c r="H879">
        <v>32</v>
      </c>
      <c r="I879">
        <v>31530.97</v>
      </c>
      <c r="J879">
        <v>830</v>
      </c>
      <c r="K879">
        <v>243955</v>
      </c>
      <c r="L879">
        <f t="shared" si="26"/>
        <v>1.353817768034516</v>
      </c>
      <c r="M879">
        <f t="shared" si="27"/>
        <v>307</v>
      </c>
    </row>
    <row r="880" spans="1:13" x14ac:dyDescent="0.4">
      <c r="A880" t="s">
        <v>106</v>
      </c>
      <c r="B880" t="s">
        <v>21</v>
      </c>
      <c r="C880" s="1">
        <v>45519</v>
      </c>
      <c r="D880" s="1">
        <v>45294</v>
      </c>
      <c r="E880" t="s">
        <v>13</v>
      </c>
      <c r="F880">
        <v>29478.58</v>
      </c>
      <c r="G880">
        <v>683</v>
      </c>
      <c r="H880">
        <v>174</v>
      </c>
      <c r="I880">
        <v>168035.39</v>
      </c>
      <c r="J880">
        <v>4990</v>
      </c>
      <c r="K880">
        <v>446450</v>
      </c>
      <c r="L880">
        <f t="shared" si="26"/>
        <v>470.02538792574126</v>
      </c>
      <c r="M880">
        <f t="shared" si="27"/>
        <v>225</v>
      </c>
    </row>
    <row r="881" spans="1:13" x14ac:dyDescent="0.4">
      <c r="A881" t="s">
        <v>44</v>
      </c>
      <c r="B881" t="s">
        <v>18</v>
      </c>
      <c r="C881" s="1">
        <v>45430</v>
      </c>
      <c r="D881" s="1">
        <v>45298</v>
      </c>
      <c r="E881" t="s">
        <v>26</v>
      </c>
      <c r="F881">
        <v>13428.14</v>
      </c>
      <c r="G881">
        <v>1201</v>
      </c>
      <c r="H881">
        <v>340</v>
      </c>
      <c r="I881">
        <v>35183.279999999999</v>
      </c>
      <c r="J881">
        <v>1748</v>
      </c>
      <c r="K881">
        <v>306495</v>
      </c>
      <c r="L881">
        <f t="shared" si="26"/>
        <v>162.01156675459148</v>
      </c>
      <c r="M881">
        <f t="shared" si="27"/>
        <v>132</v>
      </c>
    </row>
    <row r="882" spans="1:13" x14ac:dyDescent="0.4">
      <c r="A882" t="s">
        <v>62</v>
      </c>
      <c r="B882" t="s">
        <v>25</v>
      </c>
      <c r="C882" s="1">
        <v>45502</v>
      </c>
      <c r="D882" s="1">
        <v>45299</v>
      </c>
      <c r="E882" t="s">
        <v>26</v>
      </c>
      <c r="F882">
        <v>38060.379999999997</v>
      </c>
      <c r="G882">
        <v>674</v>
      </c>
      <c r="H882">
        <v>80</v>
      </c>
      <c r="I882">
        <v>63729.24</v>
      </c>
      <c r="J882">
        <v>4328</v>
      </c>
      <c r="K882">
        <v>369455</v>
      </c>
      <c r="L882">
        <f t="shared" si="26"/>
        <v>67.442469045238127</v>
      </c>
      <c r="M882">
        <f t="shared" si="27"/>
        <v>203</v>
      </c>
    </row>
    <row r="883" spans="1:13" x14ac:dyDescent="0.4">
      <c r="A883" t="s">
        <v>78</v>
      </c>
      <c r="B883" t="s">
        <v>25</v>
      </c>
      <c r="C883" s="1">
        <v>45319</v>
      </c>
      <c r="D883" s="1">
        <v>45300</v>
      </c>
      <c r="E883" t="s">
        <v>16</v>
      </c>
      <c r="F883">
        <v>5001.7</v>
      </c>
      <c r="G883">
        <v>988</v>
      </c>
      <c r="H883">
        <v>120</v>
      </c>
      <c r="I883">
        <v>53550.5</v>
      </c>
      <c r="J883">
        <v>2230</v>
      </c>
      <c r="K883">
        <v>442887</v>
      </c>
      <c r="L883">
        <f t="shared" si="26"/>
        <v>970.64598036667553</v>
      </c>
      <c r="M883">
        <f t="shared" si="27"/>
        <v>19</v>
      </c>
    </row>
    <row r="884" spans="1:13" x14ac:dyDescent="0.4">
      <c r="A884" t="s">
        <v>98</v>
      </c>
      <c r="B884" t="s">
        <v>33</v>
      </c>
      <c r="C884" s="1">
        <v>45342</v>
      </c>
      <c r="D884" s="1">
        <v>45302</v>
      </c>
      <c r="E884" t="s">
        <v>34</v>
      </c>
      <c r="F884">
        <v>46290.07</v>
      </c>
      <c r="G884">
        <v>1346</v>
      </c>
      <c r="H884">
        <v>73</v>
      </c>
      <c r="I884">
        <v>77599.88</v>
      </c>
      <c r="J884">
        <v>4466</v>
      </c>
      <c r="K884">
        <v>76320</v>
      </c>
      <c r="L884">
        <f t="shared" si="26"/>
        <v>67.638286137826114</v>
      </c>
      <c r="M884">
        <f t="shared" si="27"/>
        <v>40</v>
      </c>
    </row>
    <row r="885" spans="1:13" x14ac:dyDescent="0.4">
      <c r="A885" t="s">
        <v>93</v>
      </c>
      <c r="B885" t="s">
        <v>43</v>
      </c>
      <c r="C885" s="1">
        <v>45552</v>
      </c>
      <c r="D885" s="1">
        <v>45296</v>
      </c>
      <c r="E885" t="s">
        <v>13</v>
      </c>
      <c r="F885">
        <v>16965.349999999999</v>
      </c>
      <c r="G885">
        <v>897</v>
      </c>
      <c r="H885">
        <v>358</v>
      </c>
      <c r="I885">
        <v>54659.43</v>
      </c>
      <c r="J885">
        <v>1606</v>
      </c>
      <c r="K885">
        <v>365709</v>
      </c>
      <c r="L885">
        <f t="shared" si="26"/>
        <v>222.18274306159321</v>
      </c>
      <c r="M885">
        <f t="shared" si="27"/>
        <v>256</v>
      </c>
    </row>
    <row r="886" spans="1:13" x14ac:dyDescent="0.4">
      <c r="A886" t="s">
        <v>68</v>
      </c>
      <c r="B886" t="s">
        <v>18</v>
      </c>
      <c r="C886" s="1">
        <v>45552</v>
      </c>
      <c r="D886" s="1">
        <v>45295</v>
      </c>
      <c r="E886" t="s">
        <v>16</v>
      </c>
      <c r="F886">
        <v>7260.96</v>
      </c>
      <c r="G886">
        <v>491</v>
      </c>
      <c r="H886">
        <v>238</v>
      </c>
      <c r="I886">
        <v>100345.43</v>
      </c>
      <c r="J886">
        <v>2258</v>
      </c>
      <c r="K886">
        <v>429373</v>
      </c>
      <c r="L886">
        <f t="shared" si="26"/>
        <v>1281.9857153874968</v>
      </c>
      <c r="M886">
        <f t="shared" si="27"/>
        <v>257</v>
      </c>
    </row>
    <row r="887" spans="1:13" x14ac:dyDescent="0.4">
      <c r="A887" t="s">
        <v>129</v>
      </c>
      <c r="B887" t="s">
        <v>43</v>
      </c>
      <c r="C887" s="1">
        <v>45641</v>
      </c>
      <c r="D887" s="1">
        <v>45296</v>
      </c>
      <c r="E887" t="s">
        <v>13</v>
      </c>
      <c r="F887">
        <v>22675.96</v>
      </c>
      <c r="G887">
        <v>552</v>
      </c>
      <c r="H887">
        <v>5</v>
      </c>
      <c r="I887">
        <v>84444.54</v>
      </c>
      <c r="J887">
        <v>3016</v>
      </c>
      <c r="K887">
        <v>283081</v>
      </c>
      <c r="L887">
        <f t="shared" si="26"/>
        <v>272.39675850548332</v>
      </c>
      <c r="M887">
        <f t="shared" si="27"/>
        <v>345</v>
      </c>
    </row>
    <row r="888" spans="1:13" x14ac:dyDescent="0.4">
      <c r="A888" t="s">
        <v>117</v>
      </c>
      <c r="B888" t="s">
        <v>15</v>
      </c>
      <c r="C888" s="1">
        <v>45643</v>
      </c>
      <c r="D888" s="1">
        <v>45302</v>
      </c>
      <c r="E888" t="s">
        <v>26</v>
      </c>
      <c r="F888">
        <v>3081.03</v>
      </c>
      <c r="G888">
        <v>179</v>
      </c>
      <c r="H888">
        <v>171</v>
      </c>
      <c r="I888">
        <v>197381.05</v>
      </c>
      <c r="J888">
        <v>3329</v>
      </c>
      <c r="K888">
        <v>448506</v>
      </c>
      <c r="L888">
        <f t="shared" si="26"/>
        <v>6306.3332716656432</v>
      </c>
      <c r="M888">
        <f t="shared" si="27"/>
        <v>341</v>
      </c>
    </row>
    <row r="889" spans="1:13" x14ac:dyDescent="0.4">
      <c r="A889" t="s">
        <v>120</v>
      </c>
      <c r="B889" t="s">
        <v>30</v>
      </c>
      <c r="C889" s="1">
        <v>45299</v>
      </c>
      <c r="D889" s="1">
        <v>45300</v>
      </c>
      <c r="E889" t="s">
        <v>13</v>
      </c>
      <c r="F889">
        <v>34546.68</v>
      </c>
      <c r="G889">
        <v>1205</v>
      </c>
      <c r="H889">
        <v>356</v>
      </c>
      <c r="I889">
        <v>15905.64</v>
      </c>
      <c r="J889">
        <v>9958</v>
      </c>
      <c r="K889">
        <v>440923</v>
      </c>
      <c r="L889">
        <f t="shared" si="26"/>
        <v>-53.958991138945912</v>
      </c>
      <c r="M889">
        <f t="shared" si="27"/>
        <v>1</v>
      </c>
    </row>
    <row r="890" spans="1:13" x14ac:dyDescent="0.4">
      <c r="A890" t="s">
        <v>85</v>
      </c>
      <c r="B890" t="s">
        <v>30</v>
      </c>
      <c r="C890" s="1">
        <v>45611</v>
      </c>
      <c r="D890" s="1">
        <v>45302</v>
      </c>
      <c r="E890" t="s">
        <v>34</v>
      </c>
      <c r="F890">
        <v>45232.57</v>
      </c>
      <c r="G890">
        <v>646</v>
      </c>
      <c r="H890">
        <v>222</v>
      </c>
      <c r="I890">
        <v>32725.37</v>
      </c>
      <c r="J890">
        <v>6365</v>
      </c>
      <c r="K890">
        <v>274363</v>
      </c>
      <c r="L890">
        <f t="shared" si="26"/>
        <v>-27.650871927020731</v>
      </c>
      <c r="M890">
        <f t="shared" si="27"/>
        <v>309</v>
      </c>
    </row>
    <row r="891" spans="1:13" x14ac:dyDescent="0.4">
      <c r="A891" t="s">
        <v>120</v>
      </c>
      <c r="B891" t="s">
        <v>36</v>
      </c>
      <c r="C891" s="1">
        <v>45429</v>
      </c>
      <c r="D891" s="1">
        <v>45295</v>
      </c>
      <c r="E891" t="s">
        <v>34</v>
      </c>
      <c r="F891">
        <v>42025.89</v>
      </c>
      <c r="G891">
        <v>1555</v>
      </c>
      <c r="H891">
        <v>277</v>
      </c>
      <c r="I891">
        <v>15301.05</v>
      </c>
      <c r="J891">
        <v>4236</v>
      </c>
      <c r="K891">
        <v>10399</v>
      </c>
      <c r="L891">
        <f t="shared" si="26"/>
        <v>-63.591371890042069</v>
      </c>
      <c r="M891">
        <f t="shared" si="27"/>
        <v>134</v>
      </c>
    </row>
    <row r="892" spans="1:13" x14ac:dyDescent="0.4">
      <c r="A892" t="s">
        <v>72</v>
      </c>
      <c r="B892" t="s">
        <v>54</v>
      </c>
      <c r="C892" s="1">
        <v>45329</v>
      </c>
      <c r="D892" s="1">
        <v>45298</v>
      </c>
      <c r="E892" t="s">
        <v>26</v>
      </c>
      <c r="F892">
        <v>7241.1</v>
      </c>
      <c r="G892">
        <v>911</v>
      </c>
      <c r="H892">
        <v>372</v>
      </c>
      <c r="I892">
        <v>127039.03</v>
      </c>
      <c r="J892">
        <v>2789</v>
      </c>
      <c r="K892">
        <v>127733</v>
      </c>
      <c r="L892">
        <f t="shared" si="26"/>
        <v>1654.4161798621753</v>
      </c>
      <c r="M892">
        <f t="shared" si="27"/>
        <v>31</v>
      </c>
    </row>
    <row r="893" spans="1:13" x14ac:dyDescent="0.4">
      <c r="A893" t="s">
        <v>32</v>
      </c>
      <c r="B893" t="s">
        <v>31</v>
      </c>
      <c r="C893" s="1">
        <v>45402</v>
      </c>
      <c r="D893" s="1">
        <v>45297</v>
      </c>
      <c r="E893" t="s">
        <v>34</v>
      </c>
      <c r="F893">
        <v>7187.29</v>
      </c>
      <c r="G893">
        <v>1463</v>
      </c>
      <c r="H893">
        <v>255</v>
      </c>
      <c r="I893">
        <v>15629.31</v>
      </c>
      <c r="J893">
        <v>7290</v>
      </c>
      <c r="K893">
        <v>230920</v>
      </c>
      <c r="L893">
        <f t="shared" si="26"/>
        <v>117.45762310968391</v>
      </c>
      <c r="M893">
        <f t="shared" si="27"/>
        <v>105</v>
      </c>
    </row>
    <row r="894" spans="1:13" x14ac:dyDescent="0.4">
      <c r="A894" t="s">
        <v>121</v>
      </c>
      <c r="B894" t="s">
        <v>12</v>
      </c>
      <c r="C894" s="1">
        <v>45511</v>
      </c>
      <c r="D894" s="1">
        <v>45295</v>
      </c>
      <c r="E894" t="s">
        <v>34</v>
      </c>
      <c r="F894">
        <v>40858.29</v>
      </c>
      <c r="G894">
        <v>642</v>
      </c>
      <c r="H894">
        <v>351</v>
      </c>
      <c r="I894">
        <v>168105.75</v>
      </c>
      <c r="J894">
        <v>2910</v>
      </c>
      <c r="K894">
        <v>421873</v>
      </c>
      <c r="L894">
        <f t="shared" si="26"/>
        <v>311.436088000746</v>
      </c>
      <c r="M894">
        <f t="shared" si="27"/>
        <v>216</v>
      </c>
    </row>
    <row r="895" spans="1:13" x14ac:dyDescent="0.4">
      <c r="A895" t="s">
        <v>84</v>
      </c>
      <c r="B895" t="s">
        <v>40</v>
      </c>
      <c r="C895" s="1">
        <v>45628</v>
      </c>
      <c r="D895" s="1">
        <v>45302</v>
      </c>
      <c r="E895" t="s">
        <v>16</v>
      </c>
      <c r="F895">
        <v>46288.46</v>
      </c>
      <c r="G895">
        <v>1048</v>
      </c>
      <c r="H895">
        <v>348</v>
      </c>
      <c r="I895">
        <v>104828.03</v>
      </c>
      <c r="J895">
        <v>6252</v>
      </c>
      <c r="K895">
        <v>283191</v>
      </c>
      <c r="L895">
        <f t="shared" si="26"/>
        <v>126.46687748955139</v>
      </c>
      <c r="M895">
        <f t="shared" si="27"/>
        <v>326</v>
      </c>
    </row>
    <row r="896" spans="1:13" x14ac:dyDescent="0.4">
      <c r="A896" t="s">
        <v>81</v>
      </c>
      <c r="B896" t="s">
        <v>30</v>
      </c>
      <c r="C896" s="1">
        <v>45514</v>
      </c>
      <c r="D896" s="1">
        <v>45302</v>
      </c>
      <c r="E896" t="s">
        <v>13</v>
      </c>
      <c r="F896">
        <v>23572.82</v>
      </c>
      <c r="G896">
        <v>374</v>
      </c>
      <c r="H896">
        <v>423</v>
      </c>
      <c r="I896">
        <v>107766.49</v>
      </c>
      <c r="J896">
        <v>112</v>
      </c>
      <c r="K896">
        <v>232615</v>
      </c>
      <c r="L896">
        <f t="shared" si="26"/>
        <v>357.16418315670342</v>
      </c>
      <c r="M896">
        <f t="shared" si="27"/>
        <v>212</v>
      </c>
    </row>
    <row r="897" spans="1:13" x14ac:dyDescent="0.4">
      <c r="A897" t="s">
        <v>41</v>
      </c>
      <c r="B897" t="s">
        <v>18</v>
      </c>
      <c r="C897" s="1">
        <v>45427</v>
      </c>
      <c r="D897" s="1">
        <v>45299</v>
      </c>
      <c r="E897" t="s">
        <v>26</v>
      </c>
      <c r="F897">
        <v>25449.58</v>
      </c>
      <c r="G897">
        <v>1142</v>
      </c>
      <c r="H897">
        <v>178</v>
      </c>
      <c r="I897">
        <v>114510.93</v>
      </c>
      <c r="J897">
        <v>6038</v>
      </c>
      <c r="K897">
        <v>470311</v>
      </c>
      <c r="L897">
        <f t="shared" si="26"/>
        <v>349.95214066401087</v>
      </c>
      <c r="M897">
        <f t="shared" si="27"/>
        <v>128</v>
      </c>
    </row>
    <row r="898" spans="1:13" x14ac:dyDescent="0.4">
      <c r="A898" t="s">
        <v>113</v>
      </c>
      <c r="B898" t="s">
        <v>25</v>
      </c>
      <c r="C898" s="1">
        <v>45547</v>
      </c>
      <c r="D898" s="1">
        <v>45299</v>
      </c>
      <c r="E898" t="s">
        <v>26</v>
      </c>
      <c r="F898">
        <v>16594.84</v>
      </c>
      <c r="G898">
        <v>1733</v>
      </c>
      <c r="H898">
        <v>174</v>
      </c>
      <c r="I898">
        <v>38308.67</v>
      </c>
      <c r="J898">
        <v>8099</v>
      </c>
      <c r="K898">
        <v>86693</v>
      </c>
      <c r="L898">
        <f t="shared" si="26"/>
        <v>130.84687770415383</v>
      </c>
      <c r="M898">
        <f t="shared" si="27"/>
        <v>248</v>
      </c>
    </row>
    <row r="899" spans="1:13" x14ac:dyDescent="0.4">
      <c r="A899" t="s">
        <v>107</v>
      </c>
      <c r="B899" t="s">
        <v>40</v>
      </c>
      <c r="C899" s="1">
        <v>45651</v>
      </c>
      <c r="D899" s="1">
        <v>45301</v>
      </c>
      <c r="E899" t="s">
        <v>26</v>
      </c>
      <c r="F899">
        <v>44818.99</v>
      </c>
      <c r="G899">
        <v>497</v>
      </c>
      <c r="H899">
        <v>250</v>
      </c>
      <c r="I899">
        <v>43549.61</v>
      </c>
      <c r="J899">
        <v>7319</v>
      </c>
      <c r="K899">
        <v>101931</v>
      </c>
      <c r="L899">
        <f t="shared" ref="L899:L962" si="28">(I899 - F899)/F899*100</f>
        <v>-2.8322369602706297</v>
      </c>
      <c r="M899">
        <f t="shared" ref="M899:M962" si="29">ABS(D899 - C899)</f>
        <v>350</v>
      </c>
    </row>
    <row r="900" spans="1:13" x14ac:dyDescent="0.4">
      <c r="A900" t="s">
        <v>110</v>
      </c>
      <c r="B900" t="s">
        <v>23</v>
      </c>
      <c r="C900" s="1">
        <v>45620</v>
      </c>
      <c r="D900" s="1">
        <v>45299</v>
      </c>
      <c r="E900" t="s">
        <v>26</v>
      </c>
      <c r="F900">
        <v>32600.240000000002</v>
      </c>
      <c r="G900">
        <v>1601</v>
      </c>
      <c r="H900">
        <v>427</v>
      </c>
      <c r="I900">
        <v>67169.38</v>
      </c>
      <c r="J900">
        <v>5428</v>
      </c>
      <c r="K900">
        <v>466370</v>
      </c>
      <c r="L900">
        <f t="shared" si="28"/>
        <v>106.03952608937848</v>
      </c>
      <c r="M900">
        <f t="shared" si="29"/>
        <v>321</v>
      </c>
    </row>
    <row r="901" spans="1:13" x14ac:dyDescent="0.4">
      <c r="A901" t="s">
        <v>29</v>
      </c>
      <c r="B901" t="s">
        <v>43</v>
      </c>
      <c r="C901" s="1">
        <v>45340</v>
      </c>
      <c r="D901" s="1">
        <v>45294</v>
      </c>
      <c r="E901" t="s">
        <v>26</v>
      </c>
      <c r="F901">
        <v>15124.33</v>
      </c>
      <c r="G901">
        <v>868</v>
      </c>
      <c r="H901">
        <v>94</v>
      </c>
      <c r="I901">
        <v>120731.8</v>
      </c>
      <c r="J901">
        <v>3721</v>
      </c>
      <c r="K901">
        <v>176963</v>
      </c>
      <c r="L901">
        <f t="shared" si="28"/>
        <v>698.26213789305052</v>
      </c>
      <c r="M901">
        <f t="shared" si="29"/>
        <v>46</v>
      </c>
    </row>
    <row r="902" spans="1:13" x14ac:dyDescent="0.4">
      <c r="A902" t="s">
        <v>101</v>
      </c>
      <c r="B902" t="s">
        <v>30</v>
      </c>
      <c r="C902" s="1">
        <v>45583</v>
      </c>
      <c r="D902" s="1">
        <v>45297</v>
      </c>
      <c r="E902" t="s">
        <v>34</v>
      </c>
      <c r="F902">
        <v>15640.36</v>
      </c>
      <c r="G902">
        <v>1690</v>
      </c>
      <c r="H902">
        <v>53</v>
      </c>
      <c r="I902">
        <v>45972.97</v>
      </c>
      <c r="J902">
        <v>3783</v>
      </c>
      <c r="K902">
        <v>138852</v>
      </c>
      <c r="L902">
        <f t="shared" si="28"/>
        <v>193.9380551342808</v>
      </c>
      <c r="M902">
        <f t="shared" si="29"/>
        <v>286</v>
      </c>
    </row>
    <row r="903" spans="1:13" x14ac:dyDescent="0.4">
      <c r="A903" t="s">
        <v>63</v>
      </c>
      <c r="B903" t="s">
        <v>25</v>
      </c>
      <c r="C903" s="1">
        <v>45615</v>
      </c>
      <c r="D903" s="1">
        <v>45300</v>
      </c>
      <c r="E903" t="s">
        <v>16</v>
      </c>
      <c r="F903">
        <v>44668.800000000003</v>
      </c>
      <c r="G903">
        <v>1238</v>
      </c>
      <c r="H903">
        <v>450</v>
      </c>
      <c r="I903">
        <v>27684.69</v>
      </c>
      <c r="J903">
        <v>7972</v>
      </c>
      <c r="K903">
        <v>290194</v>
      </c>
      <c r="L903">
        <f t="shared" si="28"/>
        <v>-38.022310874704502</v>
      </c>
      <c r="M903">
        <f t="shared" si="29"/>
        <v>315</v>
      </c>
    </row>
    <row r="904" spans="1:13" x14ac:dyDescent="0.4">
      <c r="A904" t="s">
        <v>59</v>
      </c>
      <c r="B904" t="s">
        <v>30</v>
      </c>
      <c r="C904" s="1">
        <v>45369</v>
      </c>
      <c r="D904" s="1">
        <v>45295</v>
      </c>
      <c r="E904" t="s">
        <v>26</v>
      </c>
      <c r="F904">
        <v>1668.07</v>
      </c>
      <c r="G904">
        <v>1561</v>
      </c>
      <c r="H904">
        <v>298</v>
      </c>
      <c r="I904">
        <v>194172.79</v>
      </c>
      <c r="J904">
        <v>5410</v>
      </c>
      <c r="K904">
        <v>74551</v>
      </c>
      <c r="L904">
        <f t="shared" si="28"/>
        <v>11540.566043391465</v>
      </c>
      <c r="M904">
        <f t="shared" si="29"/>
        <v>74</v>
      </c>
    </row>
    <row r="905" spans="1:13" x14ac:dyDescent="0.4">
      <c r="A905" t="s">
        <v>86</v>
      </c>
      <c r="B905" t="s">
        <v>12</v>
      </c>
      <c r="C905" s="1">
        <v>45396</v>
      </c>
      <c r="D905" s="1">
        <v>45302</v>
      </c>
      <c r="E905" t="s">
        <v>16</v>
      </c>
      <c r="F905">
        <v>16813.599999999999</v>
      </c>
      <c r="G905">
        <v>1786</v>
      </c>
      <c r="H905">
        <v>411</v>
      </c>
      <c r="I905">
        <v>9286.4500000000007</v>
      </c>
      <c r="J905">
        <v>752</v>
      </c>
      <c r="K905">
        <v>331810</v>
      </c>
      <c r="L905">
        <f t="shared" si="28"/>
        <v>-44.768223343008032</v>
      </c>
      <c r="M905">
        <f t="shared" si="29"/>
        <v>94</v>
      </c>
    </row>
    <row r="906" spans="1:13" x14ac:dyDescent="0.4">
      <c r="A906" t="s">
        <v>29</v>
      </c>
      <c r="B906" t="s">
        <v>23</v>
      </c>
      <c r="C906" s="1">
        <v>45460</v>
      </c>
      <c r="D906" s="1">
        <v>45301</v>
      </c>
      <c r="E906" t="s">
        <v>16</v>
      </c>
      <c r="F906">
        <v>28163.48</v>
      </c>
      <c r="G906">
        <v>758</v>
      </c>
      <c r="H906">
        <v>154</v>
      </c>
      <c r="I906">
        <v>161525.99</v>
      </c>
      <c r="J906">
        <v>5899</v>
      </c>
      <c r="K906">
        <v>225691</v>
      </c>
      <c r="L906">
        <f t="shared" si="28"/>
        <v>473.52994019205011</v>
      </c>
      <c r="M906">
        <f t="shared" si="29"/>
        <v>159</v>
      </c>
    </row>
    <row r="907" spans="1:13" x14ac:dyDescent="0.4">
      <c r="A907" t="s">
        <v>123</v>
      </c>
      <c r="B907" t="s">
        <v>28</v>
      </c>
      <c r="C907" s="1">
        <v>45508</v>
      </c>
      <c r="D907" s="1">
        <v>45301</v>
      </c>
      <c r="E907" t="s">
        <v>34</v>
      </c>
      <c r="F907">
        <v>8262.66</v>
      </c>
      <c r="G907">
        <v>1499</v>
      </c>
      <c r="H907">
        <v>136</v>
      </c>
      <c r="I907">
        <v>158666.85</v>
      </c>
      <c r="J907">
        <v>8912</v>
      </c>
      <c r="K907">
        <v>83016</v>
      </c>
      <c r="L907">
        <f t="shared" si="28"/>
        <v>1820.2877765755823</v>
      </c>
      <c r="M907">
        <f t="shared" si="29"/>
        <v>207</v>
      </c>
    </row>
    <row r="908" spans="1:13" x14ac:dyDescent="0.4">
      <c r="A908" t="s">
        <v>75</v>
      </c>
      <c r="B908" t="s">
        <v>30</v>
      </c>
      <c r="C908" s="1">
        <v>45410</v>
      </c>
      <c r="D908" s="1">
        <v>45300</v>
      </c>
      <c r="E908" t="s">
        <v>26</v>
      </c>
      <c r="F908">
        <v>5512.84</v>
      </c>
      <c r="G908">
        <v>1770</v>
      </c>
      <c r="H908">
        <v>437</v>
      </c>
      <c r="I908">
        <v>62956.75</v>
      </c>
      <c r="J908">
        <v>3890</v>
      </c>
      <c r="K908">
        <v>114135</v>
      </c>
      <c r="L908">
        <f t="shared" si="28"/>
        <v>1042.0021259459734</v>
      </c>
      <c r="M908">
        <f t="shared" si="29"/>
        <v>110</v>
      </c>
    </row>
    <row r="909" spans="1:13" x14ac:dyDescent="0.4">
      <c r="A909" t="s">
        <v>68</v>
      </c>
      <c r="B909" t="s">
        <v>15</v>
      </c>
      <c r="C909" s="1">
        <v>45481</v>
      </c>
      <c r="D909" s="1">
        <v>45297</v>
      </c>
      <c r="E909" t="s">
        <v>34</v>
      </c>
      <c r="F909">
        <v>40948.54</v>
      </c>
      <c r="G909">
        <v>1907</v>
      </c>
      <c r="H909">
        <v>63</v>
      </c>
      <c r="I909">
        <v>31447.19</v>
      </c>
      <c r="J909">
        <v>1745</v>
      </c>
      <c r="K909">
        <v>54010</v>
      </c>
      <c r="L909">
        <f t="shared" si="28"/>
        <v>-23.203147169593841</v>
      </c>
      <c r="M909">
        <f t="shared" si="29"/>
        <v>184</v>
      </c>
    </row>
    <row r="910" spans="1:13" x14ac:dyDescent="0.4">
      <c r="A910" t="s">
        <v>68</v>
      </c>
      <c r="B910" t="s">
        <v>18</v>
      </c>
      <c r="C910" s="1">
        <v>45546</v>
      </c>
      <c r="D910" s="1">
        <v>45295</v>
      </c>
      <c r="E910" t="s">
        <v>26</v>
      </c>
      <c r="F910">
        <v>44825.82</v>
      </c>
      <c r="G910">
        <v>314</v>
      </c>
      <c r="H910">
        <v>461</v>
      </c>
      <c r="I910">
        <v>33397.589999999997</v>
      </c>
      <c r="J910">
        <v>4612</v>
      </c>
      <c r="K910">
        <v>233084</v>
      </c>
      <c r="L910">
        <f t="shared" si="28"/>
        <v>-25.49474833923842</v>
      </c>
      <c r="M910">
        <f t="shared" si="29"/>
        <v>251</v>
      </c>
    </row>
    <row r="911" spans="1:13" x14ac:dyDescent="0.4">
      <c r="A911" t="s">
        <v>117</v>
      </c>
      <c r="B911" t="s">
        <v>30</v>
      </c>
      <c r="C911" s="1">
        <v>45557</v>
      </c>
      <c r="D911" s="1">
        <v>45296</v>
      </c>
      <c r="E911" t="s">
        <v>34</v>
      </c>
      <c r="F911">
        <v>41356.71</v>
      </c>
      <c r="G911">
        <v>1948</v>
      </c>
      <c r="H911">
        <v>328</v>
      </c>
      <c r="I911">
        <v>140999.17000000001</v>
      </c>
      <c r="J911">
        <v>4859</v>
      </c>
      <c r="K911">
        <v>39165</v>
      </c>
      <c r="L911">
        <f t="shared" si="28"/>
        <v>240.93420390548479</v>
      </c>
      <c r="M911">
        <f t="shared" si="29"/>
        <v>261</v>
      </c>
    </row>
    <row r="912" spans="1:13" x14ac:dyDescent="0.4">
      <c r="A912" t="s">
        <v>127</v>
      </c>
      <c r="B912" t="s">
        <v>31</v>
      </c>
      <c r="C912" s="1">
        <v>45440</v>
      </c>
      <c r="D912" s="1">
        <v>45299</v>
      </c>
      <c r="E912" t="s">
        <v>16</v>
      </c>
      <c r="F912">
        <v>45040.61</v>
      </c>
      <c r="G912">
        <v>661</v>
      </c>
      <c r="H912">
        <v>203</v>
      </c>
      <c r="I912">
        <v>130347.29</v>
      </c>
      <c r="J912">
        <v>5974</v>
      </c>
      <c r="K912">
        <v>274672</v>
      </c>
      <c r="L912">
        <f t="shared" si="28"/>
        <v>189.39947749375506</v>
      </c>
      <c r="M912">
        <f t="shared" si="29"/>
        <v>141</v>
      </c>
    </row>
    <row r="913" spans="1:13" x14ac:dyDescent="0.4">
      <c r="A913" t="s">
        <v>125</v>
      </c>
      <c r="B913" t="s">
        <v>40</v>
      </c>
      <c r="C913" s="1">
        <v>45455</v>
      </c>
      <c r="D913" s="1">
        <v>45298</v>
      </c>
      <c r="E913" t="s">
        <v>26</v>
      </c>
      <c r="F913">
        <v>28102.49</v>
      </c>
      <c r="G913">
        <v>1415</v>
      </c>
      <c r="H913">
        <v>219</v>
      </c>
      <c r="I913">
        <v>157635.41</v>
      </c>
      <c r="J913">
        <v>3788</v>
      </c>
      <c r="K913">
        <v>383984</v>
      </c>
      <c r="L913">
        <f t="shared" si="28"/>
        <v>460.93040154093103</v>
      </c>
      <c r="M913">
        <f t="shared" si="29"/>
        <v>157</v>
      </c>
    </row>
    <row r="914" spans="1:13" x14ac:dyDescent="0.4">
      <c r="A914" t="s">
        <v>108</v>
      </c>
      <c r="B914" t="s">
        <v>40</v>
      </c>
      <c r="C914" s="1">
        <v>45431</v>
      </c>
      <c r="D914" s="1">
        <v>45301</v>
      </c>
      <c r="E914" t="s">
        <v>13</v>
      </c>
      <c r="F914">
        <v>40800.65</v>
      </c>
      <c r="G914">
        <v>881</v>
      </c>
      <c r="H914">
        <v>390</v>
      </c>
      <c r="I914">
        <v>187808.83</v>
      </c>
      <c r="J914">
        <v>7789</v>
      </c>
      <c r="K914">
        <v>181680</v>
      </c>
      <c r="L914">
        <f t="shared" si="28"/>
        <v>360.3084264588922</v>
      </c>
      <c r="M914">
        <f t="shared" si="29"/>
        <v>130</v>
      </c>
    </row>
    <row r="915" spans="1:13" x14ac:dyDescent="0.4">
      <c r="A915" t="s">
        <v>125</v>
      </c>
      <c r="B915" t="s">
        <v>12</v>
      </c>
      <c r="C915" s="1">
        <v>45638</v>
      </c>
      <c r="D915" s="1">
        <v>45299</v>
      </c>
      <c r="E915" t="s">
        <v>16</v>
      </c>
      <c r="F915">
        <v>19818.09</v>
      </c>
      <c r="G915">
        <v>1799</v>
      </c>
      <c r="H915">
        <v>53</v>
      </c>
      <c r="I915">
        <v>139925.84</v>
      </c>
      <c r="J915">
        <v>1479</v>
      </c>
      <c r="K915">
        <v>400130</v>
      </c>
      <c r="L915">
        <f t="shared" si="28"/>
        <v>606.05108766788328</v>
      </c>
      <c r="M915">
        <f t="shared" si="29"/>
        <v>339</v>
      </c>
    </row>
    <row r="916" spans="1:13" x14ac:dyDescent="0.4">
      <c r="A916" t="s">
        <v>105</v>
      </c>
      <c r="B916" t="s">
        <v>18</v>
      </c>
      <c r="C916" s="1">
        <v>45549</v>
      </c>
      <c r="D916" s="1">
        <v>45299</v>
      </c>
      <c r="E916" t="s">
        <v>13</v>
      </c>
      <c r="F916">
        <v>33647.129999999997</v>
      </c>
      <c r="G916">
        <v>1351</v>
      </c>
      <c r="H916">
        <v>476</v>
      </c>
      <c r="I916">
        <v>35391.050000000003</v>
      </c>
      <c r="J916">
        <v>4343</v>
      </c>
      <c r="K916">
        <v>38136</v>
      </c>
      <c r="L916">
        <f t="shared" si="28"/>
        <v>5.1829680570081482</v>
      </c>
      <c r="M916">
        <f t="shared" si="29"/>
        <v>250</v>
      </c>
    </row>
    <row r="917" spans="1:13" x14ac:dyDescent="0.4">
      <c r="A917" t="s">
        <v>14</v>
      </c>
      <c r="B917" t="s">
        <v>23</v>
      </c>
      <c r="C917" s="1">
        <v>45560</v>
      </c>
      <c r="D917" s="1">
        <v>45294</v>
      </c>
      <c r="E917" t="s">
        <v>16</v>
      </c>
      <c r="F917">
        <v>49452.94</v>
      </c>
      <c r="G917">
        <v>723</v>
      </c>
      <c r="H917">
        <v>236</v>
      </c>
      <c r="I917">
        <v>52471.31</v>
      </c>
      <c r="J917">
        <v>9680</v>
      </c>
      <c r="K917">
        <v>405395</v>
      </c>
      <c r="L917">
        <f t="shared" si="28"/>
        <v>6.1035198311768628</v>
      </c>
      <c r="M917">
        <f t="shared" si="29"/>
        <v>266</v>
      </c>
    </row>
    <row r="918" spans="1:13" x14ac:dyDescent="0.4">
      <c r="A918" t="s">
        <v>112</v>
      </c>
      <c r="B918" t="s">
        <v>15</v>
      </c>
      <c r="C918" s="1">
        <v>45472</v>
      </c>
      <c r="D918" s="1">
        <v>45297</v>
      </c>
      <c r="E918" t="s">
        <v>34</v>
      </c>
      <c r="F918">
        <v>12060.66</v>
      </c>
      <c r="G918">
        <v>1512</v>
      </c>
      <c r="H918">
        <v>251</v>
      </c>
      <c r="I918">
        <v>169227.78</v>
      </c>
      <c r="J918">
        <v>6607</v>
      </c>
      <c r="K918">
        <v>349152</v>
      </c>
      <c r="L918">
        <f t="shared" si="28"/>
        <v>1303.1386342040983</v>
      </c>
      <c r="M918">
        <f t="shared" si="29"/>
        <v>175</v>
      </c>
    </row>
    <row r="919" spans="1:13" x14ac:dyDescent="0.4">
      <c r="A919" t="s">
        <v>80</v>
      </c>
      <c r="B919" t="s">
        <v>33</v>
      </c>
      <c r="C919" s="1">
        <v>45451</v>
      </c>
      <c r="D919" s="1">
        <v>45298</v>
      </c>
      <c r="E919" t="s">
        <v>26</v>
      </c>
      <c r="F919">
        <v>20105.09</v>
      </c>
      <c r="G919">
        <v>206</v>
      </c>
      <c r="H919">
        <v>386</v>
      </c>
      <c r="I919">
        <v>45814.68</v>
      </c>
      <c r="J919">
        <v>7919</v>
      </c>
      <c r="K919">
        <v>13076</v>
      </c>
      <c r="L919">
        <f t="shared" si="28"/>
        <v>127.87602542440746</v>
      </c>
      <c r="M919">
        <f t="shared" si="29"/>
        <v>153</v>
      </c>
    </row>
    <row r="920" spans="1:13" x14ac:dyDescent="0.4">
      <c r="A920" t="s">
        <v>20</v>
      </c>
      <c r="B920" t="s">
        <v>18</v>
      </c>
      <c r="C920" s="1">
        <v>45642</v>
      </c>
      <c r="D920" s="1">
        <v>45296</v>
      </c>
      <c r="E920" t="s">
        <v>16</v>
      </c>
      <c r="F920">
        <v>24522.32</v>
      </c>
      <c r="G920">
        <v>1495</v>
      </c>
      <c r="H920">
        <v>483</v>
      </c>
      <c r="I920">
        <v>19141.849999999999</v>
      </c>
      <c r="J920">
        <v>8693</v>
      </c>
      <c r="K920">
        <v>387055</v>
      </c>
      <c r="L920">
        <f t="shared" si="28"/>
        <v>-21.941113238877893</v>
      </c>
      <c r="M920">
        <f t="shared" si="29"/>
        <v>346</v>
      </c>
    </row>
    <row r="921" spans="1:13" x14ac:dyDescent="0.4">
      <c r="A921" t="s">
        <v>62</v>
      </c>
      <c r="B921" t="s">
        <v>40</v>
      </c>
      <c r="C921" s="1">
        <v>45579</v>
      </c>
      <c r="D921" s="1">
        <v>45302</v>
      </c>
      <c r="E921" t="s">
        <v>34</v>
      </c>
      <c r="F921">
        <v>7762.76</v>
      </c>
      <c r="G921">
        <v>300</v>
      </c>
      <c r="H921">
        <v>243</v>
      </c>
      <c r="I921">
        <v>142139.60999999999</v>
      </c>
      <c r="J921">
        <v>2753</v>
      </c>
      <c r="K921">
        <v>156855</v>
      </c>
      <c r="L921">
        <f t="shared" si="28"/>
        <v>1731.0447572770506</v>
      </c>
      <c r="M921">
        <f t="shared" si="29"/>
        <v>277</v>
      </c>
    </row>
    <row r="922" spans="1:13" x14ac:dyDescent="0.4">
      <c r="A922" t="s">
        <v>118</v>
      </c>
      <c r="B922" t="s">
        <v>31</v>
      </c>
      <c r="C922" s="1">
        <v>45579</v>
      </c>
      <c r="D922" s="1">
        <v>45294</v>
      </c>
      <c r="E922" t="s">
        <v>26</v>
      </c>
      <c r="F922">
        <v>4970.8900000000003</v>
      </c>
      <c r="G922">
        <v>927</v>
      </c>
      <c r="H922">
        <v>419</v>
      </c>
      <c r="I922">
        <v>83492.639999999999</v>
      </c>
      <c r="J922">
        <v>5711</v>
      </c>
      <c r="K922">
        <v>379769</v>
      </c>
      <c r="L922">
        <f t="shared" si="28"/>
        <v>1579.6316152640672</v>
      </c>
      <c r="M922">
        <f t="shared" si="29"/>
        <v>285</v>
      </c>
    </row>
    <row r="923" spans="1:13" x14ac:dyDescent="0.4">
      <c r="A923" t="s">
        <v>22</v>
      </c>
      <c r="B923" t="s">
        <v>28</v>
      </c>
      <c r="C923" s="1">
        <v>45517</v>
      </c>
      <c r="D923" s="1">
        <v>45299</v>
      </c>
      <c r="E923" t="s">
        <v>26</v>
      </c>
      <c r="F923">
        <v>41656.42</v>
      </c>
      <c r="G923">
        <v>1682</v>
      </c>
      <c r="H923">
        <v>371</v>
      </c>
      <c r="I923">
        <v>184407.81</v>
      </c>
      <c r="J923">
        <v>6227</v>
      </c>
      <c r="K923">
        <v>178788</v>
      </c>
      <c r="L923">
        <f t="shared" si="28"/>
        <v>342.68760973698653</v>
      </c>
      <c r="M923">
        <f t="shared" si="29"/>
        <v>218</v>
      </c>
    </row>
    <row r="924" spans="1:13" x14ac:dyDescent="0.4">
      <c r="A924" t="s">
        <v>98</v>
      </c>
      <c r="B924" t="s">
        <v>12</v>
      </c>
      <c r="C924" s="1">
        <v>45302</v>
      </c>
      <c r="D924" s="1">
        <v>45299</v>
      </c>
      <c r="E924" t="s">
        <v>16</v>
      </c>
      <c r="F924">
        <v>48862.92</v>
      </c>
      <c r="G924">
        <v>579</v>
      </c>
      <c r="H924">
        <v>172</v>
      </c>
      <c r="I924">
        <v>131799.74</v>
      </c>
      <c r="J924">
        <v>4023</v>
      </c>
      <c r="K924">
        <v>51298</v>
      </c>
      <c r="L924">
        <f t="shared" si="28"/>
        <v>169.73365488595442</v>
      </c>
      <c r="M924">
        <f t="shared" si="29"/>
        <v>3</v>
      </c>
    </row>
    <row r="925" spans="1:13" x14ac:dyDescent="0.4">
      <c r="A925" t="s">
        <v>90</v>
      </c>
      <c r="B925" t="s">
        <v>33</v>
      </c>
      <c r="C925" s="1">
        <v>45301</v>
      </c>
      <c r="D925" s="1">
        <v>45298</v>
      </c>
      <c r="E925" t="s">
        <v>26</v>
      </c>
      <c r="F925">
        <v>20831.53</v>
      </c>
      <c r="G925">
        <v>376</v>
      </c>
      <c r="H925">
        <v>52</v>
      </c>
      <c r="I925">
        <v>22631.7</v>
      </c>
      <c r="J925">
        <v>8559</v>
      </c>
      <c r="K925">
        <v>317448</v>
      </c>
      <c r="L925">
        <f t="shared" si="28"/>
        <v>8.641564013781041</v>
      </c>
      <c r="M925">
        <f t="shared" si="29"/>
        <v>3</v>
      </c>
    </row>
    <row r="926" spans="1:13" x14ac:dyDescent="0.4">
      <c r="A926" t="s">
        <v>58</v>
      </c>
      <c r="B926" t="s">
        <v>31</v>
      </c>
      <c r="C926" s="1">
        <v>45562</v>
      </c>
      <c r="D926" s="1">
        <v>45298</v>
      </c>
      <c r="E926" t="s">
        <v>16</v>
      </c>
      <c r="F926">
        <v>5294.84</v>
      </c>
      <c r="G926">
        <v>1010</v>
      </c>
      <c r="H926">
        <v>55</v>
      </c>
      <c r="I926">
        <v>189832.03</v>
      </c>
      <c r="J926">
        <v>6012</v>
      </c>
      <c r="K926">
        <v>342504</v>
      </c>
      <c r="L926">
        <f t="shared" si="28"/>
        <v>3485.2269379244694</v>
      </c>
      <c r="M926">
        <f t="shared" si="29"/>
        <v>264</v>
      </c>
    </row>
    <row r="927" spans="1:13" x14ac:dyDescent="0.4">
      <c r="A927" t="s">
        <v>57</v>
      </c>
      <c r="B927" t="s">
        <v>23</v>
      </c>
      <c r="C927" s="1">
        <v>45564</v>
      </c>
      <c r="D927" s="1">
        <v>45298</v>
      </c>
      <c r="E927" t="s">
        <v>26</v>
      </c>
      <c r="F927">
        <v>4224.78</v>
      </c>
      <c r="G927">
        <v>944</v>
      </c>
      <c r="H927">
        <v>303</v>
      </c>
      <c r="I927">
        <v>55418.67</v>
      </c>
      <c r="J927">
        <v>5230</v>
      </c>
      <c r="K927">
        <v>70835</v>
      </c>
      <c r="L927">
        <f t="shared" si="28"/>
        <v>1211.7528013293002</v>
      </c>
      <c r="M927">
        <f t="shared" si="29"/>
        <v>266</v>
      </c>
    </row>
    <row r="928" spans="1:13" x14ac:dyDescent="0.4">
      <c r="A928" t="s">
        <v>20</v>
      </c>
      <c r="B928" t="s">
        <v>43</v>
      </c>
      <c r="C928" s="1">
        <v>45474</v>
      </c>
      <c r="D928" s="1">
        <v>45299</v>
      </c>
      <c r="E928" t="s">
        <v>13</v>
      </c>
      <c r="F928">
        <v>44674.59</v>
      </c>
      <c r="G928">
        <v>146</v>
      </c>
      <c r="H928">
        <v>102</v>
      </c>
      <c r="I928">
        <v>70756.44</v>
      </c>
      <c r="J928">
        <v>5539</v>
      </c>
      <c r="K928">
        <v>113424</v>
      </c>
      <c r="L928">
        <f t="shared" si="28"/>
        <v>58.381845250286588</v>
      </c>
      <c r="M928">
        <f t="shared" si="29"/>
        <v>175</v>
      </c>
    </row>
    <row r="929" spans="1:13" x14ac:dyDescent="0.4">
      <c r="A929" t="s">
        <v>39</v>
      </c>
      <c r="B929" t="s">
        <v>23</v>
      </c>
      <c r="C929" s="1">
        <v>45444</v>
      </c>
      <c r="D929" s="1">
        <v>45301</v>
      </c>
      <c r="E929" t="s">
        <v>34</v>
      </c>
      <c r="F929">
        <v>23726.9</v>
      </c>
      <c r="G929">
        <v>562</v>
      </c>
      <c r="H929">
        <v>443</v>
      </c>
      <c r="I929">
        <v>83440.78</v>
      </c>
      <c r="J929">
        <v>7980</v>
      </c>
      <c r="K929">
        <v>140190</v>
      </c>
      <c r="L929">
        <f t="shared" si="28"/>
        <v>251.67164694924321</v>
      </c>
      <c r="M929">
        <f t="shared" si="29"/>
        <v>143</v>
      </c>
    </row>
    <row r="930" spans="1:13" x14ac:dyDescent="0.4">
      <c r="A930" t="s">
        <v>22</v>
      </c>
      <c r="B930" t="s">
        <v>31</v>
      </c>
      <c r="C930" s="1">
        <v>45606</v>
      </c>
      <c r="D930" s="1">
        <v>45295</v>
      </c>
      <c r="E930" t="s">
        <v>13</v>
      </c>
      <c r="F930">
        <v>16681.34</v>
      </c>
      <c r="G930">
        <v>265</v>
      </c>
      <c r="H930">
        <v>220</v>
      </c>
      <c r="I930">
        <v>14988.74</v>
      </c>
      <c r="J930">
        <v>6549</v>
      </c>
      <c r="K930">
        <v>470508</v>
      </c>
      <c r="L930">
        <f t="shared" si="28"/>
        <v>-10.146666874483707</v>
      </c>
      <c r="M930">
        <f t="shared" si="29"/>
        <v>311</v>
      </c>
    </row>
    <row r="931" spans="1:13" x14ac:dyDescent="0.4">
      <c r="A931" t="s">
        <v>116</v>
      </c>
      <c r="B931" t="s">
        <v>43</v>
      </c>
      <c r="C931" s="1">
        <v>45625</v>
      </c>
      <c r="D931" s="1">
        <v>45299</v>
      </c>
      <c r="E931" t="s">
        <v>16</v>
      </c>
      <c r="F931">
        <v>24346.6</v>
      </c>
      <c r="G931">
        <v>1205</v>
      </c>
      <c r="H931">
        <v>181</v>
      </c>
      <c r="I931">
        <v>101820.51</v>
      </c>
      <c r="J931">
        <v>1825</v>
      </c>
      <c r="K931">
        <v>255394</v>
      </c>
      <c r="L931">
        <f t="shared" si="28"/>
        <v>318.21244034074579</v>
      </c>
      <c r="M931">
        <f t="shared" si="29"/>
        <v>326</v>
      </c>
    </row>
    <row r="932" spans="1:13" x14ac:dyDescent="0.4">
      <c r="A932" t="s">
        <v>96</v>
      </c>
      <c r="B932" t="s">
        <v>21</v>
      </c>
      <c r="C932" s="1">
        <v>45415</v>
      </c>
      <c r="D932" s="1">
        <v>45294</v>
      </c>
      <c r="E932" t="s">
        <v>13</v>
      </c>
      <c r="F932">
        <v>16596.900000000001</v>
      </c>
      <c r="G932">
        <v>1333</v>
      </c>
      <c r="H932">
        <v>384</v>
      </c>
      <c r="I932">
        <v>29047.11</v>
      </c>
      <c r="J932">
        <v>9404</v>
      </c>
      <c r="K932">
        <v>320055</v>
      </c>
      <c r="L932">
        <f t="shared" si="28"/>
        <v>75.015273936699018</v>
      </c>
      <c r="M932">
        <f t="shared" si="29"/>
        <v>121</v>
      </c>
    </row>
    <row r="933" spans="1:13" x14ac:dyDescent="0.4">
      <c r="A933" t="s">
        <v>98</v>
      </c>
      <c r="B933" t="s">
        <v>12</v>
      </c>
      <c r="C933" s="1">
        <v>45405</v>
      </c>
      <c r="D933" s="1">
        <v>45297</v>
      </c>
      <c r="E933" t="s">
        <v>16</v>
      </c>
      <c r="F933">
        <v>24962.75</v>
      </c>
      <c r="G933">
        <v>174</v>
      </c>
      <c r="H933">
        <v>478</v>
      </c>
      <c r="I933">
        <v>83189.210000000006</v>
      </c>
      <c r="J933">
        <v>7622</v>
      </c>
      <c r="K933">
        <v>467705</v>
      </c>
      <c r="L933">
        <f t="shared" si="28"/>
        <v>233.2533875474457</v>
      </c>
      <c r="M933">
        <f t="shared" si="29"/>
        <v>108</v>
      </c>
    </row>
    <row r="934" spans="1:13" x14ac:dyDescent="0.4">
      <c r="A934" t="s">
        <v>100</v>
      </c>
      <c r="B934" t="s">
        <v>18</v>
      </c>
      <c r="C934" s="1">
        <v>45569</v>
      </c>
      <c r="D934" s="1">
        <v>45296</v>
      </c>
      <c r="E934" t="s">
        <v>26</v>
      </c>
      <c r="F934">
        <v>43118.26</v>
      </c>
      <c r="G934">
        <v>1155</v>
      </c>
      <c r="H934">
        <v>84</v>
      </c>
      <c r="I934">
        <v>73388.41</v>
      </c>
      <c r="J934">
        <v>4884</v>
      </c>
      <c r="K934">
        <v>104088</v>
      </c>
      <c r="L934">
        <f t="shared" si="28"/>
        <v>70.202624131864326</v>
      </c>
      <c r="M934">
        <f t="shared" si="29"/>
        <v>273</v>
      </c>
    </row>
    <row r="935" spans="1:13" x14ac:dyDescent="0.4">
      <c r="A935" t="s">
        <v>71</v>
      </c>
      <c r="B935" t="s">
        <v>43</v>
      </c>
      <c r="C935" s="1">
        <v>45504</v>
      </c>
      <c r="D935" s="1">
        <v>45302</v>
      </c>
      <c r="E935" t="s">
        <v>26</v>
      </c>
      <c r="F935">
        <v>30022.77</v>
      </c>
      <c r="G935">
        <v>1356</v>
      </c>
      <c r="H935">
        <v>189</v>
      </c>
      <c r="I935">
        <v>155703.82</v>
      </c>
      <c r="J935">
        <v>9572</v>
      </c>
      <c r="K935">
        <v>16185</v>
      </c>
      <c r="L935">
        <f t="shared" si="28"/>
        <v>418.61910143534391</v>
      </c>
      <c r="M935">
        <f t="shared" si="29"/>
        <v>202</v>
      </c>
    </row>
    <row r="936" spans="1:13" x14ac:dyDescent="0.4">
      <c r="A936" t="s">
        <v>128</v>
      </c>
      <c r="B936" t="s">
        <v>54</v>
      </c>
      <c r="C936" s="1">
        <v>45463</v>
      </c>
      <c r="D936" s="1">
        <v>45296</v>
      </c>
      <c r="E936" t="s">
        <v>16</v>
      </c>
      <c r="F936">
        <v>35038.03</v>
      </c>
      <c r="G936">
        <v>1756</v>
      </c>
      <c r="H936">
        <v>371</v>
      </c>
      <c r="I936">
        <v>161618.25</v>
      </c>
      <c r="J936">
        <v>1332</v>
      </c>
      <c r="K936">
        <v>436008</v>
      </c>
      <c r="L936">
        <f t="shared" si="28"/>
        <v>361.26523095048435</v>
      </c>
      <c r="M936">
        <f t="shared" si="29"/>
        <v>167</v>
      </c>
    </row>
    <row r="937" spans="1:13" x14ac:dyDescent="0.4">
      <c r="A937" t="s">
        <v>84</v>
      </c>
      <c r="B937" t="s">
        <v>43</v>
      </c>
      <c r="C937" s="1">
        <v>45579</v>
      </c>
      <c r="D937" s="1">
        <v>45299</v>
      </c>
      <c r="E937" t="s">
        <v>13</v>
      </c>
      <c r="F937">
        <v>18868.86</v>
      </c>
      <c r="G937">
        <v>108</v>
      </c>
      <c r="H937">
        <v>465</v>
      </c>
      <c r="I937">
        <v>34915.51</v>
      </c>
      <c r="J937">
        <v>8908</v>
      </c>
      <c r="K937">
        <v>474426</v>
      </c>
      <c r="L937">
        <f t="shared" si="28"/>
        <v>85.04302856664367</v>
      </c>
      <c r="M937">
        <f t="shared" si="29"/>
        <v>280</v>
      </c>
    </row>
    <row r="938" spans="1:13" x14ac:dyDescent="0.4">
      <c r="A938" t="s">
        <v>53</v>
      </c>
      <c r="B938" t="s">
        <v>25</v>
      </c>
      <c r="C938" s="1">
        <v>45465</v>
      </c>
      <c r="D938" s="1">
        <v>45294</v>
      </c>
      <c r="E938" t="s">
        <v>26</v>
      </c>
      <c r="F938">
        <v>37186.79</v>
      </c>
      <c r="G938">
        <v>1617</v>
      </c>
      <c r="H938">
        <v>403</v>
      </c>
      <c r="I938">
        <v>76477.48</v>
      </c>
      <c r="J938">
        <v>8438</v>
      </c>
      <c r="K938">
        <v>51613</v>
      </c>
      <c r="L938">
        <f t="shared" si="28"/>
        <v>105.65765423689433</v>
      </c>
      <c r="M938">
        <f t="shared" si="29"/>
        <v>171</v>
      </c>
    </row>
    <row r="939" spans="1:13" x14ac:dyDescent="0.4">
      <c r="A939" t="s">
        <v>77</v>
      </c>
      <c r="B939" t="s">
        <v>28</v>
      </c>
      <c r="C939" s="1">
        <v>45404</v>
      </c>
      <c r="D939" s="1">
        <v>45299</v>
      </c>
      <c r="E939" t="s">
        <v>34</v>
      </c>
      <c r="F939">
        <v>33664.239999999998</v>
      </c>
      <c r="G939">
        <v>210</v>
      </c>
      <c r="H939">
        <v>31</v>
      </c>
      <c r="I939">
        <v>77803.87</v>
      </c>
      <c r="J939">
        <v>7546</v>
      </c>
      <c r="K939">
        <v>242084</v>
      </c>
      <c r="L939">
        <f t="shared" si="28"/>
        <v>131.11726270962899</v>
      </c>
      <c r="M939">
        <f t="shared" si="29"/>
        <v>105</v>
      </c>
    </row>
    <row r="940" spans="1:13" x14ac:dyDescent="0.4">
      <c r="A940" t="s">
        <v>71</v>
      </c>
      <c r="B940" t="s">
        <v>25</v>
      </c>
      <c r="C940" s="1">
        <v>45413</v>
      </c>
      <c r="D940" s="1">
        <v>45297</v>
      </c>
      <c r="E940" t="s">
        <v>26</v>
      </c>
      <c r="F940">
        <v>6858.54</v>
      </c>
      <c r="G940">
        <v>333</v>
      </c>
      <c r="H940">
        <v>456</v>
      </c>
      <c r="I940">
        <v>34525.040000000001</v>
      </c>
      <c r="J940">
        <v>4716</v>
      </c>
      <c r="K940">
        <v>165999</v>
      </c>
      <c r="L940">
        <f t="shared" si="28"/>
        <v>403.38760144287266</v>
      </c>
      <c r="M940">
        <f t="shared" si="29"/>
        <v>116</v>
      </c>
    </row>
    <row r="941" spans="1:13" x14ac:dyDescent="0.4">
      <c r="A941" t="s">
        <v>94</v>
      </c>
      <c r="B941" t="s">
        <v>18</v>
      </c>
      <c r="C941" s="1">
        <v>45323</v>
      </c>
      <c r="D941" s="1">
        <v>45301</v>
      </c>
      <c r="E941" t="s">
        <v>34</v>
      </c>
      <c r="F941">
        <v>29059.5</v>
      </c>
      <c r="G941">
        <v>155</v>
      </c>
      <c r="H941">
        <v>468</v>
      </c>
      <c r="I941">
        <v>160698.43</v>
      </c>
      <c r="J941">
        <v>4825</v>
      </c>
      <c r="K941">
        <v>263530</v>
      </c>
      <c r="L941">
        <f t="shared" si="28"/>
        <v>452.99791806466044</v>
      </c>
      <c r="M941">
        <f t="shared" si="29"/>
        <v>22</v>
      </c>
    </row>
    <row r="942" spans="1:13" x14ac:dyDescent="0.4">
      <c r="A942" t="s">
        <v>105</v>
      </c>
      <c r="B942" t="s">
        <v>18</v>
      </c>
      <c r="C942" s="1">
        <v>45513</v>
      </c>
      <c r="D942" s="1">
        <v>45302</v>
      </c>
      <c r="E942" t="s">
        <v>13</v>
      </c>
      <c r="F942">
        <v>13580.43</v>
      </c>
      <c r="G942">
        <v>1178</v>
      </c>
      <c r="H942">
        <v>452</v>
      </c>
      <c r="I942">
        <v>142909.51999999999</v>
      </c>
      <c r="J942">
        <v>3777</v>
      </c>
      <c r="K942">
        <v>486369</v>
      </c>
      <c r="L942">
        <f t="shared" si="28"/>
        <v>952.31955100096229</v>
      </c>
      <c r="M942">
        <f t="shared" si="29"/>
        <v>211</v>
      </c>
    </row>
    <row r="943" spans="1:13" x14ac:dyDescent="0.4">
      <c r="A943" t="s">
        <v>65</v>
      </c>
      <c r="B943" t="s">
        <v>12</v>
      </c>
      <c r="C943" s="1">
        <v>45410</v>
      </c>
      <c r="D943" s="1">
        <v>45297</v>
      </c>
      <c r="E943" t="s">
        <v>34</v>
      </c>
      <c r="F943">
        <v>40400.69</v>
      </c>
      <c r="G943">
        <v>1512</v>
      </c>
      <c r="H943">
        <v>482</v>
      </c>
      <c r="I943">
        <v>42124.45</v>
      </c>
      <c r="J943">
        <v>6387</v>
      </c>
      <c r="K943">
        <v>466944</v>
      </c>
      <c r="L943">
        <f t="shared" si="28"/>
        <v>4.2666598020974265</v>
      </c>
      <c r="M943">
        <f t="shared" si="29"/>
        <v>113</v>
      </c>
    </row>
    <row r="944" spans="1:13" x14ac:dyDescent="0.4">
      <c r="A944" t="s">
        <v>91</v>
      </c>
      <c r="B944" t="s">
        <v>18</v>
      </c>
      <c r="C944" s="1">
        <v>45330</v>
      </c>
      <c r="D944" s="1">
        <v>45299</v>
      </c>
      <c r="E944" t="s">
        <v>34</v>
      </c>
      <c r="F944">
        <v>21870.95</v>
      </c>
      <c r="G944">
        <v>277</v>
      </c>
      <c r="H944">
        <v>496</v>
      </c>
      <c r="I944">
        <v>76510.77</v>
      </c>
      <c r="J944">
        <v>8580</v>
      </c>
      <c r="K944">
        <v>470497</v>
      </c>
      <c r="L944">
        <f t="shared" si="28"/>
        <v>249.82828820878836</v>
      </c>
      <c r="M944">
        <f t="shared" si="29"/>
        <v>31</v>
      </c>
    </row>
    <row r="945" spans="1:13" x14ac:dyDescent="0.4">
      <c r="A945" t="s">
        <v>61</v>
      </c>
      <c r="B945" t="s">
        <v>40</v>
      </c>
      <c r="C945" s="1">
        <v>45559</v>
      </c>
      <c r="D945" s="1">
        <v>45294</v>
      </c>
      <c r="E945" t="s">
        <v>34</v>
      </c>
      <c r="F945">
        <v>49739.519999999997</v>
      </c>
      <c r="G945">
        <v>1773</v>
      </c>
      <c r="H945">
        <v>418</v>
      </c>
      <c r="I945">
        <v>25631.98</v>
      </c>
      <c r="J945">
        <v>1509</v>
      </c>
      <c r="K945">
        <v>293164</v>
      </c>
      <c r="L945">
        <f t="shared" si="28"/>
        <v>-48.467576687511254</v>
      </c>
      <c r="M945">
        <f t="shared" si="29"/>
        <v>265</v>
      </c>
    </row>
    <row r="946" spans="1:13" x14ac:dyDescent="0.4">
      <c r="A946" t="s">
        <v>104</v>
      </c>
      <c r="B946" t="s">
        <v>43</v>
      </c>
      <c r="C946" s="1">
        <v>45524</v>
      </c>
      <c r="D946" s="1">
        <v>45297</v>
      </c>
      <c r="E946" t="s">
        <v>34</v>
      </c>
      <c r="F946">
        <v>5532.52</v>
      </c>
      <c r="G946">
        <v>1655</v>
      </c>
      <c r="H946">
        <v>424</v>
      </c>
      <c r="I946">
        <v>127500.29</v>
      </c>
      <c r="J946">
        <v>8305</v>
      </c>
      <c r="K946">
        <v>43678</v>
      </c>
      <c r="L946">
        <f t="shared" si="28"/>
        <v>2204.5608511130549</v>
      </c>
      <c r="M946">
        <f t="shared" si="29"/>
        <v>227</v>
      </c>
    </row>
    <row r="947" spans="1:13" x14ac:dyDescent="0.4">
      <c r="A947" t="s">
        <v>117</v>
      </c>
      <c r="B947" t="s">
        <v>43</v>
      </c>
      <c r="C947" s="1">
        <v>45309</v>
      </c>
      <c r="D947" s="1">
        <v>45300</v>
      </c>
      <c r="E947" t="s">
        <v>26</v>
      </c>
      <c r="F947">
        <v>39237.050000000003</v>
      </c>
      <c r="G947">
        <v>367</v>
      </c>
      <c r="H947">
        <v>199</v>
      </c>
      <c r="I947">
        <v>28667.53</v>
      </c>
      <c r="J947">
        <v>356</v>
      </c>
      <c r="K947">
        <v>218767</v>
      </c>
      <c r="L947">
        <f t="shared" si="28"/>
        <v>-26.93760106837798</v>
      </c>
      <c r="M947">
        <f t="shared" si="29"/>
        <v>9</v>
      </c>
    </row>
    <row r="948" spans="1:13" x14ac:dyDescent="0.4">
      <c r="A948" t="s">
        <v>109</v>
      </c>
      <c r="B948" t="s">
        <v>21</v>
      </c>
      <c r="C948" s="1">
        <v>45440</v>
      </c>
      <c r="D948" s="1">
        <v>45294</v>
      </c>
      <c r="E948" t="s">
        <v>34</v>
      </c>
      <c r="F948">
        <v>34011.379999999997</v>
      </c>
      <c r="G948">
        <v>1537</v>
      </c>
      <c r="H948">
        <v>218</v>
      </c>
      <c r="I948">
        <v>197257.16</v>
      </c>
      <c r="J948">
        <v>1821</v>
      </c>
      <c r="K948">
        <v>62394</v>
      </c>
      <c r="L948">
        <f t="shared" si="28"/>
        <v>479.97399693867175</v>
      </c>
      <c r="M948">
        <f t="shared" si="29"/>
        <v>146</v>
      </c>
    </row>
    <row r="949" spans="1:13" x14ac:dyDescent="0.4">
      <c r="A949" t="s">
        <v>83</v>
      </c>
      <c r="B949" t="s">
        <v>33</v>
      </c>
      <c r="C949" s="1">
        <v>45440</v>
      </c>
      <c r="D949" s="1">
        <v>45301</v>
      </c>
      <c r="E949" t="s">
        <v>26</v>
      </c>
      <c r="F949">
        <v>38607.440000000002</v>
      </c>
      <c r="G949">
        <v>851</v>
      </c>
      <c r="H949">
        <v>373</v>
      </c>
      <c r="I949">
        <v>157233</v>
      </c>
      <c r="J949">
        <v>1523</v>
      </c>
      <c r="K949">
        <v>201017</v>
      </c>
      <c r="L949">
        <f t="shared" si="28"/>
        <v>307.26088028628675</v>
      </c>
      <c r="M949">
        <f t="shared" si="29"/>
        <v>139</v>
      </c>
    </row>
    <row r="950" spans="1:13" x14ac:dyDescent="0.4">
      <c r="A950" t="s">
        <v>87</v>
      </c>
      <c r="B950" t="s">
        <v>18</v>
      </c>
      <c r="C950" s="1">
        <v>45417</v>
      </c>
      <c r="D950" s="1">
        <v>45299</v>
      </c>
      <c r="E950" t="s">
        <v>34</v>
      </c>
      <c r="F950">
        <v>16068.96</v>
      </c>
      <c r="G950">
        <v>1672</v>
      </c>
      <c r="H950">
        <v>346</v>
      </c>
      <c r="I950">
        <v>81096.52</v>
      </c>
      <c r="J950">
        <v>5053</v>
      </c>
      <c r="K950">
        <v>116377</v>
      </c>
      <c r="L950">
        <f t="shared" si="28"/>
        <v>404.67808744312021</v>
      </c>
      <c r="M950">
        <f t="shared" si="29"/>
        <v>118</v>
      </c>
    </row>
    <row r="951" spans="1:13" x14ac:dyDescent="0.4">
      <c r="A951" t="s">
        <v>20</v>
      </c>
      <c r="B951" t="s">
        <v>25</v>
      </c>
      <c r="C951" s="1">
        <v>45593</v>
      </c>
      <c r="D951" s="1">
        <v>45298</v>
      </c>
      <c r="E951" t="s">
        <v>16</v>
      </c>
      <c r="F951">
        <v>25110.67</v>
      </c>
      <c r="G951">
        <v>1955</v>
      </c>
      <c r="H951">
        <v>118</v>
      </c>
      <c r="I951">
        <v>117819.97</v>
      </c>
      <c r="J951">
        <v>3090</v>
      </c>
      <c r="K951">
        <v>122716</v>
      </c>
      <c r="L951">
        <f t="shared" si="28"/>
        <v>369.2028129874671</v>
      </c>
      <c r="M951">
        <f t="shared" si="29"/>
        <v>295</v>
      </c>
    </row>
    <row r="952" spans="1:13" x14ac:dyDescent="0.4">
      <c r="A952" t="s">
        <v>78</v>
      </c>
      <c r="B952" t="s">
        <v>18</v>
      </c>
      <c r="C952" s="1">
        <v>45651</v>
      </c>
      <c r="D952" s="1">
        <v>45302</v>
      </c>
      <c r="E952" t="s">
        <v>13</v>
      </c>
      <c r="F952">
        <v>40028.92</v>
      </c>
      <c r="G952">
        <v>923</v>
      </c>
      <c r="H952">
        <v>246</v>
      </c>
      <c r="I952">
        <v>182711.65</v>
      </c>
      <c r="J952">
        <v>1295</v>
      </c>
      <c r="K952">
        <v>188486</v>
      </c>
      <c r="L952">
        <f t="shared" si="28"/>
        <v>356.44911229181298</v>
      </c>
      <c r="M952">
        <f t="shared" si="29"/>
        <v>349</v>
      </c>
    </row>
    <row r="953" spans="1:13" x14ac:dyDescent="0.4">
      <c r="A953" t="s">
        <v>91</v>
      </c>
      <c r="B953" t="s">
        <v>23</v>
      </c>
      <c r="C953" s="1">
        <v>45529</v>
      </c>
      <c r="D953" s="1">
        <v>45295</v>
      </c>
      <c r="E953" t="s">
        <v>34</v>
      </c>
      <c r="F953">
        <v>12394.53</v>
      </c>
      <c r="G953">
        <v>521</v>
      </c>
      <c r="H953">
        <v>128</v>
      </c>
      <c r="I953">
        <v>113049.36</v>
      </c>
      <c r="J953">
        <v>4659</v>
      </c>
      <c r="K953">
        <v>449032</v>
      </c>
      <c r="L953">
        <f t="shared" si="28"/>
        <v>812.09073680083077</v>
      </c>
      <c r="M953">
        <f t="shared" si="29"/>
        <v>234</v>
      </c>
    </row>
    <row r="954" spans="1:13" x14ac:dyDescent="0.4">
      <c r="A954" t="s">
        <v>79</v>
      </c>
      <c r="B954" t="s">
        <v>21</v>
      </c>
      <c r="C954" s="1">
        <v>45426</v>
      </c>
      <c r="D954" s="1">
        <v>45298</v>
      </c>
      <c r="E954" t="s">
        <v>16</v>
      </c>
      <c r="F954">
        <v>12075.63</v>
      </c>
      <c r="G954">
        <v>1129</v>
      </c>
      <c r="H954">
        <v>309</v>
      </c>
      <c r="I954">
        <v>39027.199999999997</v>
      </c>
      <c r="J954">
        <v>4465</v>
      </c>
      <c r="K954">
        <v>56918</v>
      </c>
      <c r="L954">
        <f t="shared" si="28"/>
        <v>223.18976318419828</v>
      </c>
      <c r="M954">
        <f t="shared" si="29"/>
        <v>128</v>
      </c>
    </row>
    <row r="955" spans="1:13" x14ac:dyDescent="0.4">
      <c r="A955" t="s">
        <v>96</v>
      </c>
      <c r="B955" t="s">
        <v>40</v>
      </c>
      <c r="C955" s="1">
        <v>45442</v>
      </c>
      <c r="D955" s="1">
        <v>45299</v>
      </c>
      <c r="E955" t="s">
        <v>34</v>
      </c>
      <c r="F955">
        <v>28001.5</v>
      </c>
      <c r="G955">
        <v>674</v>
      </c>
      <c r="H955">
        <v>80</v>
      </c>
      <c r="I955">
        <v>78847.149999999994</v>
      </c>
      <c r="J955">
        <v>1344</v>
      </c>
      <c r="K955">
        <v>485497</v>
      </c>
      <c r="L955">
        <f t="shared" si="28"/>
        <v>181.58187954216737</v>
      </c>
      <c r="M955">
        <f t="shared" si="29"/>
        <v>143</v>
      </c>
    </row>
    <row r="956" spans="1:13" x14ac:dyDescent="0.4">
      <c r="A956" t="s">
        <v>75</v>
      </c>
      <c r="B956" t="s">
        <v>40</v>
      </c>
      <c r="C956" s="1">
        <v>45527</v>
      </c>
      <c r="D956" s="1">
        <v>45300</v>
      </c>
      <c r="E956" t="s">
        <v>34</v>
      </c>
      <c r="F956">
        <v>26654.62</v>
      </c>
      <c r="G956">
        <v>62</v>
      </c>
      <c r="H956">
        <v>315</v>
      </c>
      <c r="I956">
        <v>169413.25</v>
      </c>
      <c r="J956">
        <v>6866</v>
      </c>
      <c r="K956">
        <v>243556</v>
      </c>
      <c r="L956">
        <f t="shared" si="28"/>
        <v>535.58681384315366</v>
      </c>
      <c r="M956">
        <f t="shared" si="29"/>
        <v>227</v>
      </c>
    </row>
    <row r="957" spans="1:13" x14ac:dyDescent="0.4">
      <c r="A957" t="s">
        <v>103</v>
      </c>
      <c r="B957" t="s">
        <v>30</v>
      </c>
      <c r="C957" s="1">
        <v>45515</v>
      </c>
      <c r="D957" s="1">
        <v>45298</v>
      </c>
      <c r="E957" t="s">
        <v>34</v>
      </c>
      <c r="F957">
        <v>14830.86</v>
      </c>
      <c r="G957">
        <v>1513</v>
      </c>
      <c r="H957">
        <v>473</v>
      </c>
      <c r="I957">
        <v>130621.54</v>
      </c>
      <c r="J957">
        <v>5402</v>
      </c>
      <c r="K957">
        <v>378784</v>
      </c>
      <c r="L957">
        <f t="shared" si="28"/>
        <v>780.74150790985811</v>
      </c>
      <c r="M957">
        <f t="shared" si="29"/>
        <v>217</v>
      </c>
    </row>
    <row r="958" spans="1:13" x14ac:dyDescent="0.4">
      <c r="A958" t="s">
        <v>11</v>
      </c>
      <c r="B958" t="s">
        <v>43</v>
      </c>
      <c r="C958" s="1">
        <v>45494</v>
      </c>
      <c r="D958" s="1">
        <v>45302</v>
      </c>
      <c r="E958" t="s">
        <v>16</v>
      </c>
      <c r="F958">
        <v>15605.71</v>
      </c>
      <c r="G958">
        <v>1091</v>
      </c>
      <c r="H958">
        <v>316</v>
      </c>
      <c r="I958">
        <v>131891.25</v>
      </c>
      <c r="J958">
        <v>1406</v>
      </c>
      <c r="K958">
        <v>456910</v>
      </c>
      <c r="L958">
        <f t="shared" si="28"/>
        <v>745.14738515581803</v>
      </c>
      <c r="M958">
        <f t="shared" si="29"/>
        <v>192</v>
      </c>
    </row>
    <row r="959" spans="1:13" x14ac:dyDescent="0.4">
      <c r="A959" t="s">
        <v>106</v>
      </c>
      <c r="B959" t="s">
        <v>40</v>
      </c>
      <c r="C959" s="1">
        <v>45547</v>
      </c>
      <c r="D959" s="1">
        <v>45294</v>
      </c>
      <c r="E959" t="s">
        <v>13</v>
      </c>
      <c r="F959">
        <v>14614.41</v>
      </c>
      <c r="G959">
        <v>743</v>
      </c>
      <c r="H959">
        <v>200</v>
      </c>
      <c r="I959">
        <v>174030.19</v>
      </c>
      <c r="J959">
        <v>2502</v>
      </c>
      <c r="K959">
        <v>161527</v>
      </c>
      <c r="L959">
        <f t="shared" si="28"/>
        <v>1090.8122873246336</v>
      </c>
      <c r="M959">
        <f t="shared" si="29"/>
        <v>253</v>
      </c>
    </row>
    <row r="960" spans="1:13" x14ac:dyDescent="0.4">
      <c r="A960" t="s">
        <v>61</v>
      </c>
      <c r="B960" t="s">
        <v>43</v>
      </c>
      <c r="C960" s="1">
        <v>45377</v>
      </c>
      <c r="D960" s="1">
        <v>45300</v>
      </c>
      <c r="E960" t="s">
        <v>16</v>
      </c>
      <c r="F960">
        <v>38804.089999999997</v>
      </c>
      <c r="G960">
        <v>1022</v>
      </c>
      <c r="H960">
        <v>355</v>
      </c>
      <c r="I960">
        <v>179324.75</v>
      </c>
      <c r="J960">
        <v>596</v>
      </c>
      <c r="K960">
        <v>367590</v>
      </c>
      <c r="L960">
        <f t="shared" si="28"/>
        <v>362.12847666315594</v>
      </c>
      <c r="M960">
        <f t="shared" si="29"/>
        <v>77</v>
      </c>
    </row>
    <row r="961" spans="1:13" x14ac:dyDescent="0.4">
      <c r="A961" t="s">
        <v>117</v>
      </c>
      <c r="B961" t="s">
        <v>30</v>
      </c>
      <c r="C961" s="1">
        <v>45441</v>
      </c>
      <c r="D961" s="1">
        <v>45300</v>
      </c>
      <c r="E961" t="s">
        <v>13</v>
      </c>
      <c r="F961">
        <v>32943.14</v>
      </c>
      <c r="G961">
        <v>162</v>
      </c>
      <c r="H961">
        <v>48</v>
      </c>
      <c r="I961">
        <v>184359.55</v>
      </c>
      <c r="J961">
        <v>3499</v>
      </c>
      <c r="K961">
        <v>170807</v>
      </c>
      <c r="L961">
        <f t="shared" si="28"/>
        <v>459.62956172362431</v>
      </c>
      <c r="M961">
        <f t="shared" si="29"/>
        <v>141</v>
      </c>
    </row>
    <row r="962" spans="1:13" x14ac:dyDescent="0.4">
      <c r="A962" t="s">
        <v>104</v>
      </c>
      <c r="B962" t="s">
        <v>31</v>
      </c>
      <c r="C962" s="1">
        <v>45526</v>
      </c>
      <c r="D962" s="1">
        <v>45297</v>
      </c>
      <c r="E962" t="s">
        <v>34</v>
      </c>
      <c r="F962">
        <v>41788.44</v>
      </c>
      <c r="G962">
        <v>278</v>
      </c>
      <c r="H962">
        <v>419</v>
      </c>
      <c r="I962">
        <v>23495.59</v>
      </c>
      <c r="J962">
        <v>1009</v>
      </c>
      <c r="K962">
        <v>95702</v>
      </c>
      <c r="L962">
        <f t="shared" si="28"/>
        <v>-43.774905213020638</v>
      </c>
      <c r="M962">
        <f t="shared" si="29"/>
        <v>229</v>
      </c>
    </row>
    <row r="963" spans="1:13" x14ac:dyDescent="0.4">
      <c r="A963" t="s">
        <v>69</v>
      </c>
      <c r="B963" t="s">
        <v>28</v>
      </c>
      <c r="C963" s="1">
        <v>45636</v>
      </c>
      <c r="D963" s="1">
        <v>45302</v>
      </c>
      <c r="E963" t="s">
        <v>26</v>
      </c>
      <c r="F963">
        <v>48798.18</v>
      </c>
      <c r="G963">
        <v>220</v>
      </c>
      <c r="H963">
        <v>190</v>
      </c>
      <c r="I963">
        <v>111104.57</v>
      </c>
      <c r="J963">
        <v>472</v>
      </c>
      <c r="K963">
        <v>106509</v>
      </c>
      <c r="L963">
        <f t="shared" ref="L963:L1001" si="30">(I963 - F963)/F963*100</f>
        <v>127.68179059137043</v>
      </c>
      <c r="M963">
        <f t="shared" ref="M963:M1001" si="31">ABS(D963 - C963)</f>
        <v>334</v>
      </c>
    </row>
    <row r="964" spans="1:13" x14ac:dyDescent="0.4">
      <c r="A964" t="s">
        <v>71</v>
      </c>
      <c r="B964" t="s">
        <v>36</v>
      </c>
      <c r="C964" s="1">
        <v>45313</v>
      </c>
      <c r="D964" s="1">
        <v>45298</v>
      </c>
      <c r="E964" t="s">
        <v>34</v>
      </c>
      <c r="F964">
        <v>24234.05</v>
      </c>
      <c r="G964">
        <v>344</v>
      </c>
      <c r="H964">
        <v>347</v>
      </c>
      <c r="I964">
        <v>149399.35999999999</v>
      </c>
      <c r="J964">
        <v>6336</v>
      </c>
      <c r="K964">
        <v>356752</v>
      </c>
      <c r="L964">
        <f t="shared" si="30"/>
        <v>516.48531714674175</v>
      </c>
      <c r="M964">
        <f t="shared" si="31"/>
        <v>15</v>
      </c>
    </row>
    <row r="965" spans="1:13" x14ac:dyDescent="0.4">
      <c r="A965" t="s">
        <v>99</v>
      </c>
      <c r="B965" t="s">
        <v>15</v>
      </c>
      <c r="C965" s="1">
        <v>45639</v>
      </c>
      <c r="D965" s="1">
        <v>45297</v>
      </c>
      <c r="E965" t="s">
        <v>13</v>
      </c>
      <c r="F965">
        <v>4268</v>
      </c>
      <c r="G965">
        <v>238</v>
      </c>
      <c r="H965">
        <v>250</v>
      </c>
      <c r="I965">
        <v>152600.73000000001</v>
      </c>
      <c r="J965">
        <v>1444</v>
      </c>
      <c r="K965">
        <v>115310</v>
      </c>
      <c r="L965">
        <f t="shared" si="30"/>
        <v>3475.4622774133081</v>
      </c>
      <c r="M965">
        <f t="shared" si="31"/>
        <v>342</v>
      </c>
    </row>
    <row r="966" spans="1:13" x14ac:dyDescent="0.4">
      <c r="A966" t="s">
        <v>27</v>
      </c>
      <c r="B966" t="s">
        <v>40</v>
      </c>
      <c r="C966" s="1">
        <v>45576</v>
      </c>
      <c r="D966" s="1">
        <v>45300</v>
      </c>
      <c r="E966" t="s">
        <v>16</v>
      </c>
      <c r="F966">
        <v>3356.52</v>
      </c>
      <c r="G966">
        <v>475</v>
      </c>
      <c r="H966">
        <v>441</v>
      </c>
      <c r="I966">
        <v>123309.66</v>
      </c>
      <c r="J966">
        <v>8615</v>
      </c>
      <c r="K966">
        <v>406325</v>
      </c>
      <c r="L966">
        <f t="shared" si="30"/>
        <v>3573.7352972721746</v>
      </c>
      <c r="M966">
        <f t="shared" si="31"/>
        <v>276</v>
      </c>
    </row>
    <row r="967" spans="1:13" x14ac:dyDescent="0.4">
      <c r="A967" t="s">
        <v>77</v>
      </c>
      <c r="B967" t="s">
        <v>33</v>
      </c>
      <c r="C967" s="1">
        <v>45560</v>
      </c>
      <c r="D967" s="1">
        <v>45297</v>
      </c>
      <c r="E967" t="s">
        <v>34</v>
      </c>
      <c r="F967">
        <v>15487.59</v>
      </c>
      <c r="G967">
        <v>1026</v>
      </c>
      <c r="H967">
        <v>88</v>
      </c>
      <c r="I967">
        <v>37523.53</v>
      </c>
      <c r="J967">
        <v>2531</v>
      </c>
      <c r="K967">
        <v>308946</v>
      </c>
      <c r="L967">
        <f t="shared" si="30"/>
        <v>142.28127165039879</v>
      </c>
      <c r="M967">
        <f t="shared" si="31"/>
        <v>263</v>
      </c>
    </row>
    <row r="968" spans="1:13" x14ac:dyDescent="0.4">
      <c r="A968" t="s">
        <v>32</v>
      </c>
      <c r="B968" t="s">
        <v>23</v>
      </c>
      <c r="C968" s="1">
        <v>45549</v>
      </c>
      <c r="D968" s="1">
        <v>45296</v>
      </c>
      <c r="E968" t="s">
        <v>16</v>
      </c>
      <c r="F968">
        <v>46694.68</v>
      </c>
      <c r="G968">
        <v>1152</v>
      </c>
      <c r="H968">
        <v>211</v>
      </c>
      <c r="I968">
        <v>160497.01</v>
      </c>
      <c r="J968">
        <v>4770</v>
      </c>
      <c r="K968">
        <v>200092</v>
      </c>
      <c r="L968">
        <f t="shared" si="30"/>
        <v>243.71583657924205</v>
      </c>
      <c r="M968">
        <f t="shared" si="31"/>
        <v>253</v>
      </c>
    </row>
    <row r="969" spans="1:13" x14ac:dyDescent="0.4">
      <c r="A969" t="s">
        <v>42</v>
      </c>
      <c r="B969" t="s">
        <v>51</v>
      </c>
      <c r="C969" s="1">
        <v>45320</v>
      </c>
      <c r="D969" s="1">
        <v>45302</v>
      </c>
      <c r="E969" t="s">
        <v>16</v>
      </c>
      <c r="F969">
        <v>26637.439999999999</v>
      </c>
      <c r="G969">
        <v>707</v>
      </c>
      <c r="H969">
        <v>155</v>
      </c>
      <c r="I969">
        <v>145421.71</v>
      </c>
      <c r="J969">
        <v>2884</v>
      </c>
      <c r="K969">
        <v>35622</v>
      </c>
      <c r="L969">
        <f t="shared" si="30"/>
        <v>445.92975150765238</v>
      </c>
      <c r="M969">
        <f t="shared" si="31"/>
        <v>18</v>
      </c>
    </row>
    <row r="970" spans="1:13" x14ac:dyDescent="0.4">
      <c r="A970" t="s">
        <v>91</v>
      </c>
      <c r="B970" t="s">
        <v>31</v>
      </c>
      <c r="C970" s="1">
        <v>45504</v>
      </c>
      <c r="D970" s="1">
        <v>45301</v>
      </c>
      <c r="E970" t="s">
        <v>16</v>
      </c>
      <c r="F970">
        <v>14317.54</v>
      </c>
      <c r="G970">
        <v>968</v>
      </c>
      <c r="H970">
        <v>160</v>
      </c>
      <c r="I970">
        <v>21796.48</v>
      </c>
      <c r="J970">
        <v>9507</v>
      </c>
      <c r="K970">
        <v>110935</v>
      </c>
      <c r="L970">
        <f t="shared" si="30"/>
        <v>52.236208175426768</v>
      </c>
      <c r="M970">
        <f t="shared" si="31"/>
        <v>203</v>
      </c>
    </row>
    <row r="971" spans="1:13" x14ac:dyDescent="0.4">
      <c r="A971" t="s">
        <v>69</v>
      </c>
      <c r="B971" t="s">
        <v>40</v>
      </c>
      <c r="C971" s="1">
        <v>45574</v>
      </c>
      <c r="D971" s="1">
        <v>45294</v>
      </c>
      <c r="E971" t="s">
        <v>34</v>
      </c>
      <c r="F971">
        <v>20559.169999999998</v>
      </c>
      <c r="G971">
        <v>1255</v>
      </c>
      <c r="H971">
        <v>20</v>
      </c>
      <c r="I971">
        <v>95442.92</v>
      </c>
      <c r="J971">
        <v>1795</v>
      </c>
      <c r="K971">
        <v>261440</v>
      </c>
      <c r="L971">
        <f t="shared" si="30"/>
        <v>364.23527798057995</v>
      </c>
      <c r="M971">
        <f t="shared" si="31"/>
        <v>280</v>
      </c>
    </row>
    <row r="972" spans="1:13" x14ac:dyDescent="0.4">
      <c r="A972" t="s">
        <v>56</v>
      </c>
      <c r="B972" t="s">
        <v>43</v>
      </c>
      <c r="C972" s="1">
        <v>45341</v>
      </c>
      <c r="D972" s="1">
        <v>45300</v>
      </c>
      <c r="E972" t="s">
        <v>16</v>
      </c>
      <c r="F972">
        <v>30331.16</v>
      </c>
      <c r="G972">
        <v>548</v>
      </c>
      <c r="H972">
        <v>169</v>
      </c>
      <c r="I972">
        <v>38925.589999999997</v>
      </c>
      <c r="J972">
        <v>2007</v>
      </c>
      <c r="K972">
        <v>118919</v>
      </c>
      <c r="L972">
        <f t="shared" si="30"/>
        <v>28.335315892962871</v>
      </c>
      <c r="M972">
        <f t="shared" si="31"/>
        <v>41</v>
      </c>
    </row>
    <row r="973" spans="1:13" x14ac:dyDescent="0.4">
      <c r="A973" t="s">
        <v>117</v>
      </c>
      <c r="B973" t="s">
        <v>28</v>
      </c>
      <c r="C973" s="1">
        <v>45386</v>
      </c>
      <c r="D973" s="1">
        <v>45302</v>
      </c>
      <c r="E973" t="s">
        <v>16</v>
      </c>
      <c r="F973">
        <v>32994.53</v>
      </c>
      <c r="G973">
        <v>1871</v>
      </c>
      <c r="H973">
        <v>409</v>
      </c>
      <c r="I973">
        <v>70808.02</v>
      </c>
      <c r="J973">
        <v>4914</v>
      </c>
      <c r="K973">
        <v>396813</v>
      </c>
      <c r="L973">
        <f t="shared" si="30"/>
        <v>114.60533003500886</v>
      </c>
      <c r="M973">
        <f t="shared" si="31"/>
        <v>84</v>
      </c>
    </row>
    <row r="974" spans="1:13" x14ac:dyDescent="0.4">
      <c r="A974" t="s">
        <v>64</v>
      </c>
      <c r="B974" t="s">
        <v>30</v>
      </c>
      <c r="C974" s="1">
        <v>45379</v>
      </c>
      <c r="D974" s="1">
        <v>45301</v>
      </c>
      <c r="E974" t="s">
        <v>34</v>
      </c>
      <c r="F974">
        <v>8542.06</v>
      </c>
      <c r="G974">
        <v>811</v>
      </c>
      <c r="H974">
        <v>467</v>
      </c>
      <c r="I974">
        <v>8525.81</v>
      </c>
      <c r="J974">
        <v>880</v>
      </c>
      <c r="K974">
        <v>434813</v>
      </c>
      <c r="L974">
        <f t="shared" si="30"/>
        <v>-0.1902351423427136</v>
      </c>
      <c r="M974">
        <f t="shared" si="31"/>
        <v>78</v>
      </c>
    </row>
    <row r="975" spans="1:13" x14ac:dyDescent="0.4">
      <c r="A975" t="s">
        <v>38</v>
      </c>
      <c r="B975" t="s">
        <v>25</v>
      </c>
      <c r="C975" s="1">
        <v>45335</v>
      </c>
      <c r="D975" s="1">
        <v>45301</v>
      </c>
      <c r="E975" t="s">
        <v>16</v>
      </c>
      <c r="F975">
        <v>48874.55</v>
      </c>
      <c r="G975">
        <v>915</v>
      </c>
      <c r="H975">
        <v>149</v>
      </c>
      <c r="I975">
        <v>83064.320000000007</v>
      </c>
      <c r="J975">
        <v>1119</v>
      </c>
      <c r="K975">
        <v>173026</v>
      </c>
      <c r="L975">
        <f t="shared" si="30"/>
        <v>69.95413768515516</v>
      </c>
      <c r="M975">
        <f t="shared" si="31"/>
        <v>34</v>
      </c>
    </row>
    <row r="976" spans="1:13" x14ac:dyDescent="0.4">
      <c r="A976" t="s">
        <v>101</v>
      </c>
      <c r="B976" t="s">
        <v>15</v>
      </c>
      <c r="C976" s="1">
        <v>45569</v>
      </c>
      <c r="D976" s="1">
        <v>45299</v>
      </c>
      <c r="E976" t="s">
        <v>34</v>
      </c>
      <c r="F976">
        <v>27693.84</v>
      </c>
      <c r="G976">
        <v>875</v>
      </c>
      <c r="H976">
        <v>41</v>
      </c>
      <c r="I976">
        <v>112226</v>
      </c>
      <c r="J976">
        <v>1503</v>
      </c>
      <c r="K976">
        <v>70519</v>
      </c>
      <c r="L976">
        <f t="shared" si="30"/>
        <v>305.23813237889726</v>
      </c>
      <c r="M976">
        <f t="shared" si="31"/>
        <v>270</v>
      </c>
    </row>
    <row r="977" spans="1:13" x14ac:dyDescent="0.4">
      <c r="A977" t="s">
        <v>67</v>
      </c>
      <c r="B977" t="s">
        <v>51</v>
      </c>
      <c r="C977" s="1">
        <v>45462</v>
      </c>
      <c r="D977" s="1">
        <v>45297</v>
      </c>
      <c r="E977" t="s">
        <v>13</v>
      </c>
      <c r="F977">
        <v>7648.73</v>
      </c>
      <c r="G977">
        <v>1781</v>
      </c>
      <c r="H977">
        <v>337</v>
      </c>
      <c r="I977">
        <v>125818.61</v>
      </c>
      <c r="J977">
        <v>1526</v>
      </c>
      <c r="K977">
        <v>188187</v>
      </c>
      <c r="L977">
        <f t="shared" si="30"/>
        <v>1544.9607974134269</v>
      </c>
      <c r="M977">
        <f t="shared" si="31"/>
        <v>165</v>
      </c>
    </row>
    <row r="978" spans="1:13" x14ac:dyDescent="0.4">
      <c r="A978" t="s">
        <v>45</v>
      </c>
      <c r="B978" t="s">
        <v>28</v>
      </c>
      <c r="C978" s="1">
        <v>45480</v>
      </c>
      <c r="D978" s="1">
        <v>45301</v>
      </c>
      <c r="E978" t="s">
        <v>13</v>
      </c>
      <c r="F978">
        <v>44788.13</v>
      </c>
      <c r="G978">
        <v>1908</v>
      </c>
      <c r="H978">
        <v>407</v>
      </c>
      <c r="I978">
        <v>134380.62</v>
      </c>
      <c r="J978">
        <v>8955</v>
      </c>
      <c r="K978">
        <v>499204</v>
      </c>
      <c r="L978">
        <f t="shared" si="30"/>
        <v>200.03623727983282</v>
      </c>
      <c r="M978">
        <f t="shared" si="31"/>
        <v>179</v>
      </c>
    </row>
    <row r="979" spans="1:13" x14ac:dyDescent="0.4">
      <c r="A979" t="s">
        <v>103</v>
      </c>
      <c r="B979" t="s">
        <v>28</v>
      </c>
      <c r="C979" s="1">
        <v>45644</v>
      </c>
      <c r="D979" s="1">
        <v>45296</v>
      </c>
      <c r="E979" t="s">
        <v>13</v>
      </c>
      <c r="F979">
        <v>4657.28</v>
      </c>
      <c r="G979">
        <v>120</v>
      </c>
      <c r="H979">
        <v>418</v>
      </c>
      <c r="I979">
        <v>168076.81</v>
      </c>
      <c r="J979">
        <v>5968</v>
      </c>
      <c r="K979">
        <v>437367</v>
      </c>
      <c r="L979">
        <f t="shared" si="30"/>
        <v>3508.90498316614</v>
      </c>
      <c r="M979">
        <f t="shared" si="31"/>
        <v>348</v>
      </c>
    </row>
    <row r="980" spans="1:13" x14ac:dyDescent="0.4">
      <c r="A980" t="s">
        <v>17</v>
      </c>
      <c r="B980" t="s">
        <v>40</v>
      </c>
      <c r="C980" s="1">
        <v>45475</v>
      </c>
      <c r="D980" s="1">
        <v>45302</v>
      </c>
      <c r="E980" t="s">
        <v>16</v>
      </c>
      <c r="F980">
        <v>45479.040000000001</v>
      </c>
      <c r="G980">
        <v>297</v>
      </c>
      <c r="H980">
        <v>49</v>
      </c>
      <c r="I980">
        <v>47015.27</v>
      </c>
      <c r="J980">
        <v>110</v>
      </c>
      <c r="K980">
        <v>257587</v>
      </c>
      <c r="L980">
        <f t="shared" si="30"/>
        <v>3.3778857249405352</v>
      </c>
      <c r="M980">
        <f t="shared" si="31"/>
        <v>173</v>
      </c>
    </row>
    <row r="981" spans="1:13" x14ac:dyDescent="0.4">
      <c r="A981" t="s">
        <v>46</v>
      </c>
      <c r="B981" t="s">
        <v>31</v>
      </c>
      <c r="C981" s="1">
        <v>45294</v>
      </c>
      <c r="D981" s="1">
        <v>45295</v>
      </c>
      <c r="E981" t="s">
        <v>26</v>
      </c>
      <c r="F981">
        <v>49831.72</v>
      </c>
      <c r="G981">
        <v>195</v>
      </c>
      <c r="H981">
        <v>406</v>
      </c>
      <c r="I981">
        <v>28493.96</v>
      </c>
      <c r="J981">
        <v>6430</v>
      </c>
      <c r="K981">
        <v>149112</v>
      </c>
      <c r="L981">
        <f t="shared" si="30"/>
        <v>-42.819633759380579</v>
      </c>
      <c r="M981">
        <f t="shared" si="31"/>
        <v>1</v>
      </c>
    </row>
    <row r="982" spans="1:13" x14ac:dyDescent="0.4">
      <c r="A982" t="s">
        <v>52</v>
      </c>
      <c r="B982" t="s">
        <v>54</v>
      </c>
      <c r="C982" s="1">
        <v>45482</v>
      </c>
      <c r="D982" s="1">
        <v>45295</v>
      </c>
      <c r="E982" t="s">
        <v>26</v>
      </c>
      <c r="F982">
        <v>35321.160000000003</v>
      </c>
      <c r="G982">
        <v>1691</v>
      </c>
      <c r="H982">
        <v>210</v>
      </c>
      <c r="I982">
        <v>171049.75</v>
      </c>
      <c r="J982">
        <v>9330</v>
      </c>
      <c r="K982">
        <v>45772</v>
      </c>
      <c r="L982">
        <f t="shared" si="30"/>
        <v>384.2699107277337</v>
      </c>
      <c r="M982">
        <f t="shared" si="31"/>
        <v>187</v>
      </c>
    </row>
    <row r="983" spans="1:13" x14ac:dyDescent="0.4">
      <c r="A983" t="s">
        <v>99</v>
      </c>
      <c r="B983" t="s">
        <v>51</v>
      </c>
      <c r="C983" s="1">
        <v>45409</v>
      </c>
      <c r="D983" s="1">
        <v>45300</v>
      </c>
      <c r="E983" t="s">
        <v>16</v>
      </c>
      <c r="F983">
        <v>38751.910000000003</v>
      </c>
      <c r="G983">
        <v>1848</v>
      </c>
      <c r="H983">
        <v>66</v>
      </c>
      <c r="I983">
        <v>35539.5</v>
      </c>
      <c r="J983">
        <v>2925</v>
      </c>
      <c r="K983">
        <v>123431</v>
      </c>
      <c r="L983">
        <f t="shared" si="30"/>
        <v>-8.2896817214945102</v>
      </c>
      <c r="M983">
        <f t="shared" si="31"/>
        <v>109</v>
      </c>
    </row>
    <row r="984" spans="1:13" x14ac:dyDescent="0.4">
      <c r="A984" t="s">
        <v>85</v>
      </c>
      <c r="B984" t="s">
        <v>15</v>
      </c>
      <c r="C984" s="1">
        <v>45310</v>
      </c>
      <c r="D984" s="1">
        <v>45297</v>
      </c>
      <c r="E984" t="s">
        <v>26</v>
      </c>
      <c r="F984">
        <v>17527.84</v>
      </c>
      <c r="G984">
        <v>1369</v>
      </c>
      <c r="H984">
        <v>424</v>
      </c>
      <c r="I984">
        <v>195078.22</v>
      </c>
      <c r="J984">
        <v>7564</v>
      </c>
      <c r="K984">
        <v>359234</v>
      </c>
      <c r="L984">
        <f t="shared" si="30"/>
        <v>1012.9621219728158</v>
      </c>
      <c r="M984">
        <f t="shared" si="31"/>
        <v>13</v>
      </c>
    </row>
    <row r="985" spans="1:13" x14ac:dyDescent="0.4">
      <c r="A985" t="s">
        <v>66</v>
      </c>
      <c r="B985" t="s">
        <v>12</v>
      </c>
      <c r="C985" s="1">
        <v>45314</v>
      </c>
      <c r="D985" s="1">
        <v>45301</v>
      </c>
      <c r="E985" t="s">
        <v>34</v>
      </c>
      <c r="F985">
        <v>47137.27</v>
      </c>
      <c r="G985">
        <v>631</v>
      </c>
      <c r="H985">
        <v>360</v>
      </c>
      <c r="I985">
        <v>169294.95</v>
      </c>
      <c r="J985">
        <v>3103</v>
      </c>
      <c r="K985">
        <v>195904</v>
      </c>
      <c r="L985">
        <f t="shared" si="30"/>
        <v>259.15306507992517</v>
      </c>
      <c r="M985">
        <f t="shared" si="31"/>
        <v>13</v>
      </c>
    </row>
    <row r="986" spans="1:13" x14ac:dyDescent="0.4">
      <c r="A986" t="s">
        <v>114</v>
      </c>
      <c r="B986" t="s">
        <v>36</v>
      </c>
      <c r="C986" s="1">
        <v>45321</v>
      </c>
      <c r="D986" s="1">
        <v>45302</v>
      </c>
      <c r="E986" t="s">
        <v>26</v>
      </c>
      <c r="F986">
        <v>26955.98</v>
      </c>
      <c r="G986">
        <v>519</v>
      </c>
      <c r="H986">
        <v>472</v>
      </c>
      <c r="I986">
        <v>102670.94</v>
      </c>
      <c r="J986">
        <v>9367</v>
      </c>
      <c r="K986">
        <v>159988</v>
      </c>
      <c r="L986">
        <f t="shared" si="30"/>
        <v>280.88372227609608</v>
      </c>
      <c r="M986">
        <f t="shared" si="31"/>
        <v>19</v>
      </c>
    </row>
    <row r="987" spans="1:13" x14ac:dyDescent="0.4">
      <c r="A987" t="s">
        <v>120</v>
      </c>
      <c r="B987" t="s">
        <v>12</v>
      </c>
      <c r="C987" s="1">
        <v>45586</v>
      </c>
      <c r="D987" s="1">
        <v>45300</v>
      </c>
      <c r="E987" t="s">
        <v>16</v>
      </c>
      <c r="F987">
        <v>36887.03</v>
      </c>
      <c r="G987">
        <v>1579</v>
      </c>
      <c r="H987">
        <v>312</v>
      </c>
      <c r="I987">
        <v>196377.18</v>
      </c>
      <c r="J987">
        <v>7295</v>
      </c>
      <c r="K987">
        <v>308015</v>
      </c>
      <c r="L987">
        <f t="shared" si="30"/>
        <v>432.37460429858407</v>
      </c>
      <c r="M987">
        <f t="shared" si="31"/>
        <v>286</v>
      </c>
    </row>
    <row r="988" spans="1:13" x14ac:dyDescent="0.4">
      <c r="A988" t="s">
        <v>104</v>
      </c>
      <c r="B988" t="s">
        <v>54</v>
      </c>
      <c r="C988" s="1">
        <v>45399</v>
      </c>
      <c r="D988" s="1">
        <v>45298</v>
      </c>
      <c r="E988" t="s">
        <v>16</v>
      </c>
      <c r="F988">
        <v>46281.279999999999</v>
      </c>
      <c r="G988">
        <v>242</v>
      </c>
      <c r="H988">
        <v>23</v>
      </c>
      <c r="I988">
        <v>23988.46</v>
      </c>
      <c r="J988">
        <v>6820</v>
      </c>
      <c r="K988">
        <v>289516</v>
      </c>
      <c r="L988">
        <f t="shared" si="30"/>
        <v>-48.168114624314626</v>
      </c>
      <c r="M988">
        <f t="shared" si="31"/>
        <v>101</v>
      </c>
    </row>
    <row r="989" spans="1:13" x14ac:dyDescent="0.4">
      <c r="A989" t="s">
        <v>71</v>
      </c>
      <c r="B989" t="s">
        <v>43</v>
      </c>
      <c r="C989" s="1">
        <v>45572</v>
      </c>
      <c r="D989" s="1">
        <v>45301</v>
      </c>
      <c r="E989" t="s">
        <v>34</v>
      </c>
      <c r="F989">
        <v>48783.82</v>
      </c>
      <c r="G989">
        <v>1141</v>
      </c>
      <c r="H989">
        <v>369</v>
      </c>
      <c r="I989">
        <v>64097.82</v>
      </c>
      <c r="J989">
        <v>3188</v>
      </c>
      <c r="K989">
        <v>455923</v>
      </c>
      <c r="L989">
        <f t="shared" si="30"/>
        <v>31.391555642834039</v>
      </c>
      <c r="M989">
        <f t="shared" si="31"/>
        <v>271</v>
      </c>
    </row>
    <row r="990" spans="1:13" x14ac:dyDescent="0.4">
      <c r="A990" t="s">
        <v>74</v>
      </c>
      <c r="B990" t="s">
        <v>43</v>
      </c>
      <c r="C990" s="1">
        <v>45419</v>
      </c>
      <c r="D990" s="1">
        <v>45297</v>
      </c>
      <c r="E990" t="s">
        <v>13</v>
      </c>
      <c r="F990">
        <v>41827.01</v>
      </c>
      <c r="G990">
        <v>543</v>
      </c>
      <c r="H990">
        <v>304</v>
      </c>
      <c r="I990">
        <v>129453.75999999999</v>
      </c>
      <c r="J990">
        <v>1889</v>
      </c>
      <c r="K990">
        <v>40080</v>
      </c>
      <c r="L990">
        <f t="shared" si="30"/>
        <v>209.49800141104996</v>
      </c>
      <c r="M990">
        <f t="shared" si="31"/>
        <v>122</v>
      </c>
    </row>
    <row r="991" spans="1:13" x14ac:dyDescent="0.4">
      <c r="A991" t="s">
        <v>127</v>
      </c>
      <c r="B991" t="s">
        <v>23</v>
      </c>
      <c r="C991" s="1">
        <v>45520</v>
      </c>
      <c r="D991" s="1">
        <v>45295</v>
      </c>
      <c r="E991" t="s">
        <v>16</v>
      </c>
      <c r="F991">
        <v>15847.86</v>
      </c>
      <c r="G991">
        <v>1890</v>
      </c>
      <c r="H991">
        <v>11</v>
      </c>
      <c r="I991">
        <v>73251.34</v>
      </c>
      <c r="J991">
        <v>3136</v>
      </c>
      <c r="K991">
        <v>107242</v>
      </c>
      <c r="L991">
        <f t="shared" si="30"/>
        <v>362.215971115343</v>
      </c>
      <c r="M991">
        <f t="shared" si="31"/>
        <v>225</v>
      </c>
    </row>
    <row r="992" spans="1:13" x14ac:dyDescent="0.4">
      <c r="A992" t="s">
        <v>120</v>
      </c>
      <c r="B992" t="s">
        <v>51</v>
      </c>
      <c r="C992" s="1">
        <v>45402</v>
      </c>
      <c r="D992" s="1">
        <v>45299</v>
      </c>
      <c r="E992" t="s">
        <v>34</v>
      </c>
      <c r="F992">
        <v>48360.83</v>
      </c>
      <c r="G992">
        <v>101</v>
      </c>
      <c r="H992">
        <v>253</v>
      </c>
      <c r="I992">
        <v>186032.65</v>
      </c>
      <c r="J992">
        <v>7477</v>
      </c>
      <c r="K992">
        <v>305866</v>
      </c>
      <c r="L992">
        <f t="shared" si="30"/>
        <v>284.67629691219111</v>
      </c>
      <c r="M992">
        <f t="shared" si="31"/>
        <v>103</v>
      </c>
    </row>
    <row r="993" spans="1:13" x14ac:dyDescent="0.4">
      <c r="A993" t="s">
        <v>111</v>
      </c>
      <c r="B993" t="s">
        <v>12</v>
      </c>
      <c r="C993" s="1">
        <v>45427</v>
      </c>
      <c r="D993" s="1">
        <v>45302</v>
      </c>
      <c r="E993" t="s">
        <v>26</v>
      </c>
      <c r="F993">
        <v>31777.86</v>
      </c>
      <c r="G993">
        <v>931</v>
      </c>
      <c r="H993">
        <v>432</v>
      </c>
      <c r="I993">
        <v>17797.09</v>
      </c>
      <c r="J993">
        <v>7698</v>
      </c>
      <c r="K993">
        <v>30048</v>
      </c>
      <c r="L993">
        <f t="shared" si="30"/>
        <v>-43.995316235895054</v>
      </c>
      <c r="M993">
        <f t="shared" si="31"/>
        <v>125</v>
      </c>
    </row>
    <row r="994" spans="1:13" x14ac:dyDescent="0.4">
      <c r="A994" t="s">
        <v>72</v>
      </c>
      <c r="B994" t="s">
        <v>43</v>
      </c>
      <c r="C994" s="1">
        <v>45653</v>
      </c>
      <c r="D994" s="1">
        <v>45294</v>
      </c>
      <c r="E994" t="s">
        <v>26</v>
      </c>
      <c r="F994">
        <v>46601.48</v>
      </c>
      <c r="G994">
        <v>412</v>
      </c>
      <c r="H994">
        <v>121</v>
      </c>
      <c r="I994">
        <v>112135.31</v>
      </c>
      <c r="J994">
        <v>4938</v>
      </c>
      <c r="K994">
        <v>86205</v>
      </c>
      <c r="L994">
        <f t="shared" si="30"/>
        <v>140.62607024497933</v>
      </c>
      <c r="M994">
        <f t="shared" si="31"/>
        <v>359</v>
      </c>
    </row>
    <row r="995" spans="1:13" x14ac:dyDescent="0.4">
      <c r="A995" t="s">
        <v>127</v>
      </c>
      <c r="B995" t="s">
        <v>54</v>
      </c>
      <c r="C995" s="1">
        <v>45477</v>
      </c>
      <c r="D995" s="1">
        <v>45300</v>
      </c>
      <c r="E995" t="s">
        <v>34</v>
      </c>
      <c r="F995">
        <v>34129.15</v>
      </c>
      <c r="G995">
        <v>1870</v>
      </c>
      <c r="H995">
        <v>72</v>
      </c>
      <c r="I995">
        <v>120218.92</v>
      </c>
      <c r="J995">
        <v>5972</v>
      </c>
      <c r="K995">
        <v>403993</v>
      </c>
      <c r="L995">
        <f t="shared" si="30"/>
        <v>252.24703808914074</v>
      </c>
      <c r="M995">
        <f t="shared" si="31"/>
        <v>177</v>
      </c>
    </row>
    <row r="996" spans="1:13" x14ac:dyDescent="0.4">
      <c r="A996" t="s">
        <v>119</v>
      </c>
      <c r="B996" t="s">
        <v>40</v>
      </c>
      <c r="C996" s="1">
        <v>45435</v>
      </c>
      <c r="D996" s="1">
        <v>45302</v>
      </c>
      <c r="E996" t="s">
        <v>34</v>
      </c>
      <c r="F996">
        <v>16054.71</v>
      </c>
      <c r="G996">
        <v>966</v>
      </c>
      <c r="H996">
        <v>38</v>
      </c>
      <c r="I996">
        <v>132281.98000000001</v>
      </c>
      <c r="J996">
        <v>3753</v>
      </c>
      <c r="K996">
        <v>317855</v>
      </c>
      <c r="L996">
        <f t="shared" si="30"/>
        <v>723.944998072217</v>
      </c>
      <c r="M996">
        <f t="shared" si="31"/>
        <v>133</v>
      </c>
    </row>
    <row r="997" spans="1:13" x14ac:dyDescent="0.4">
      <c r="A997" t="s">
        <v>129</v>
      </c>
      <c r="B997" t="s">
        <v>21</v>
      </c>
      <c r="C997" s="1">
        <v>45363</v>
      </c>
      <c r="D997" s="1">
        <v>45302</v>
      </c>
      <c r="E997" t="s">
        <v>16</v>
      </c>
      <c r="F997">
        <v>19131.2</v>
      </c>
      <c r="G997">
        <v>523</v>
      </c>
      <c r="H997">
        <v>198</v>
      </c>
      <c r="I997">
        <v>54854.91</v>
      </c>
      <c r="J997">
        <v>4399</v>
      </c>
      <c r="K997">
        <v>168403</v>
      </c>
      <c r="L997">
        <f t="shared" si="30"/>
        <v>186.7301057957682</v>
      </c>
      <c r="M997">
        <f t="shared" si="31"/>
        <v>61</v>
      </c>
    </row>
    <row r="998" spans="1:13" x14ac:dyDescent="0.4">
      <c r="A998" t="s">
        <v>125</v>
      </c>
      <c r="B998" t="s">
        <v>30</v>
      </c>
      <c r="C998" s="1">
        <v>45420</v>
      </c>
      <c r="D998" s="1">
        <v>45296</v>
      </c>
      <c r="E998" t="s">
        <v>26</v>
      </c>
      <c r="F998">
        <v>27973.119999999999</v>
      </c>
      <c r="G998">
        <v>1919</v>
      </c>
      <c r="H998">
        <v>329</v>
      </c>
      <c r="I998">
        <v>76090.45</v>
      </c>
      <c r="J998">
        <v>9368</v>
      </c>
      <c r="K998">
        <v>257392</v>
      </c>
      <c r="L998">
        <f t="shared" si="30"/>
        <v>172.01273937265492</v>
      </c>
      <c r="M998">
        <f t="shared" si="31"/>
        <v>124</v>
      </c>
    </row>
    <row r="999" spans="1:13" x14ac:dyDescent="0.4">
      <c r="A999" t="s">
        <v>67</v>
      </c>
      <c r="B999" t="s">
        <v>21</v>
      </c>
      <c r="C999" s="1">
        <v>45655</v>
      </c>
      <c r="D999" s="1">
        <v>45298</v>
      </c>
      <c r="E999" t="s">
        <v>34</v>
      </c>
      <c r="F999">
        <v>39710.730000000003</v>
      </c>
      <c r="G999">
        <v>570</v>
      </c>
      <c r="H999">
        <v>59</v>
      </c>
      <c r="I999">
        <v>169517.7</v>
      </c>
      <c r="J999">
        <v>1073</v>
      </c>
      <c r="K999">
        <v>21968</v>
      </c>
      <c r="L999">
        <f t="shared" si="30"/>
        <v>326.88134919705578</v>
      </c>
      <c r="M999">
        <f t="shared" si="31"/>
        <v>357</v>
      </c>
    </row>
    <row r="1000" spans="1:13" x14ac:dyDescent="0.4">
      <c r="A1000" t="s">
        <v>35</v>
      </c>
      <c r="B1000" t="s">
        <v>18</v>
      </c>
      <c r="C1000" s="1">
        <v>45552</v>
      </c>
      <c r="D1000" s="1">
        <v>45301</v>
      </c>
      <c r="E1000" t="s">
        <v>26</v>
      </c>
      <c r="F1000">
        <v>16581.150000000001</v>
      </c>
      <c r="G1000">
        <v>1836</v>
      </c>
      <c r="H1000">
        <v>270</v>
      </c>
      <c r="I1000">
        <v>43013.84</v>
      </c>
      <c r="J1000">
        <v>7183</v>
      </c>
      <c r="K1000">
        <v>448185</v>
      </c>
      <c r="L1000">
        <f t="shared" si="30"/>
        <v>159.41409371485085</v>
      </c>
      <c r="M1000">
        <f t="shared" si="31"/>
        <v>251</v>
      </c>
    </row>
    <row r="1001" spans="1:13" x14ac:dyDescent="0.4">
      <c r="A1001" t="s">
        <v>104</v>
      </c>
      <c r="B1001" t="s">
        <v>15</v>
      </c>
      <c r="C1001" s="1">
        <v>45294</v>
      </c>
      <c r="D1001" s="1">
        <v>45301</v>
      </c>
      <c r="E1001" t="s">
        <v>34</v>
      </c>
      <c r="F1001">
        <v>29406.83</v>
      </c>
      <c r="G1001">
        <v>1504</v>
      </c>
      <c r="H1001">
        <v>484</v>
      </c>
      <c r="I1001">
        <v>166239.23000000001</v>
      </c>
      <c r="J1001">
        <v>5594</v>
      </c>
      <c r="K1001">
        <v>235417</v>
      </c>
      <c r="L1001">
        <f t="shared" si="30"/>
        <v>465.30822941473122</v>
      </c>
      <c r="M1001">
        <f t="shared" si="31"/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1B1D8-5EF9-4CCC-A427-BF7262E65257}">
  <dimension ref="A3:B19"/>
  <sheetViews>
    <sheetView workbookViewId="0">
      <selection activeCell="E21" sqref="E21"/>
    </sheetView>
  </sheetViews>
  <sheetFormatPr defaultRowHeight="14.6" x14ac:dyDescent="0.4"/>
  <cols>
    <col min="1" max="1" width="16.3046875" bestFit="1" customWidth="1"/>
    <col min="2" max="2" width="11.84375" bestFit="1" customWidth="1"/>
  </cols>
  <sheetData>
    <row r="3" spans="1:2" x14ac:dyDescent="0.4">
      <c r="A3" s="2" t="s">
        <v>134</v>
      </c>
      <c r="B3" s="4" t="s">
        <v>133</v>
      </c>
    </row>
    <row r="4" spans="1:2" x14ac:dyDescent="0.4">
      <c r="A4" s="3" t="s">
        <v>21</v>
      </c>
      <c r="B4" s="5">
        <v>52852.763798860091</v>
      </c>
    </row>
    <row r="5" spans="1:2" x14ac:dyDescent="0.4">
      <c r="A5" s="3" t="s">
        <v>28</v>
      </c>
      <c r="B5" s="5">
        <v>35400.080556191118</v>
      </c>
    </row>
    <row r="6" spans="1:2" x14ac:dyDescent="0.4">
      <c r="A6" s="3" t="s">
        <v>40</v>
      </c>
      <c r="B6" s="5">
        <v>47969.380758323539</v>
      </c>
    </row>
    <row r="7" spans="1:2" x14ac:dyDescent="0.4">
      <c r="A7" s="3" t="s">
        <v>23</v>
      </c>
      <c r="B7" s="5">
        <v>36498.760175025811</v>
      </c>
    </row>
    <row r="8" spans="1:2" x14ac:dyDescent="0.4">
      <c r="A8" s="3" t="s">
        <v>43</v>
      </c>
      <c r="B8" s="5">
        <v>40440.915825189157</v>
      </c>
    </row>
    <row r="9" spans="1:2" x14ac:dyDescent="0.4">
      <c r="A9" s="3" t="s">
        <v>54</v>
      </c>
      <c r="B9" s="5">
        <v>80582.804962804192</v>
      </c>
    </row>
    <row r="10" spans="1:2" x14ac:dyDescent="0.4">
      <c r="A10" s="3" t="s">
        <v>15</v>
      </c>
      <c r="B10" s="5">
        <v>58768.826614608333</v>
      </c>
    </row>
    <row r="11" spans="1:2" x14ac:dyDescent="0.4">
      <c r="A11" s="3" t="s">
        <v>12</v>
      </c>
      <c r="B11" s="5">
        <v>44505.702414155559</v>
      </c>
    </row>
    <row r="12" spans="1:2" x14ac:dyDescent="0.4">
      <c r="A12" s="3" t="s">
        <v>25</v>
      </c>
      <c r="B12" s="5">
        <v>60311.129149683853</v>
      </c>
    </row>
    <row r="13" spans="1:2" x14ac:dyDescent="0.4">
      <c r="A13" s="3" t="s">
        <v>36</v>
      </c>
      <c r="B13" s="5">
        <v>40664.378616825867</v>
      </c>
    </row>
    <row r="14" spans="1:2" x14ac:dyDescent="0.4">
      <c r="A14" s="3" t="s">
        <v>31</v>
      </c>
      <c r="B14" s="5">
        <v>63241.263278514234</v>
      </c>
    </row>
    <row r="15" spans="1:2" x14ac:dyDescent="0.4">
      <c r="A15" s="3" t="s">
        <v>33</v>
      </c>
      <c r="B15" s="5">
        <v>37247.612720669509</v>
      </c>
    </row>
    <row r="16" spans="1:2" x14ac:dyDescent="0.4">
      <c r="A16" s="3" t="s">
        <v>51</v>
      </c>
      <c r="B16" s="5">
        <v>41002.585070030706</v>
      </c>
    </row>
    <row r="17" spans="1:2" x14ac:dyDescent="0.4">
      <c r="A17" s="3" t="s">
        <v>18</v>
      </c>
      <c r="B17" s="5">
        <v>49936.03168923709</v>
      </c>
    </row>
    <row r="18" spans="1:2" x14ac:dyDescent="0.4">
      <c r="A18" s="3" t="s">
        <v>30</v>
      </c>
      <c r="B18" s="5">
        <v>47660.914085690689</v>
      </c>
    </row>
    <row r="19" spans="1:2" x14ac:dyDescent="0.4">
      <c r="B19" s="5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4C13C-7A3D-45C3-BD6C-1EDEA26C3217}">
  <dimension ref="A3:B7"/>
  <sheetViews>
    <sheetView workbookViewId="0">
      <selection sqref="A1:B8"/>
    </sheetView>
  </sheetViews>
  <sheetFormatPr defaultRowHeight="14.6" x14ac:dyDescent="0.4"/>
  <cols>
    <col min="1" max="1" width="12.3828125" bestFit="1" customWidth="1"/>
    <col min="2" max="2" width="16.3828125" bestFit="1" customWidth="1"/>
  </cols>
  <sheetData>
    <row r="3" spans="1:2" x14ac:dyDescent="0.4">
      <c r="A3" s="2" t="s">
        <v>132</v>
      </c>
      <c r="B3" t="s">
        <v>135</v>
      </c>
    </row>
    <row r="4" spans="1:2" x14ac:dyDescent="0.4">
      <c r="A4" s="3" t="s">
        <v>16</v>
      </c>
      <c r="B4" s="4">
        <v>59730</v>
      </c>
    </row>
    <row r="5" spans="1:2" x14ac:dyDescent="0.4">
      <c r="A5" s="3" t="s">
        <v>13</v>
      </c>
      <c r="B5" s="4">
        <v>56917</v>
      </c>
    </row>
    <row r="6" spans="1:2" x14ac:dyDescent="0.4">
      <c r="A6" s="3" t="s">
        <v>34</v>
      </c>
      <c r="B6" s="4">
        <v>63889</v>
      </c>
    </row>
    <row r="7" spans="1:2" x14ac:dyDescent="0.4">
      <c r="A7" s="3" t="s">
        <v>26</v>
      </c>
      <c r="B7" s="4">
        <v>64480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0B58-A24F-42CC-B32F-3EF86BE01371}">
  <dimension ref="A3:C18"/>
  <sheetViews>
    <sheetView workbookViewId="0">
      <selection activeCell="A2" sqref="A2:C18"/>
    </sheetView>
  </sheetViews>
  <sheetFormatPr defaultRowHeight="14.6" x14ac:dyDescent="0.4"/>
  <cols>
    <col min="1" max="1" width="16.3046875" bestFit="1" customWidth="1"/>
    <col min="2" max="2" width="12.23046875" bestFit="1" customWidth="1"/>
    <col min="3" max="3" width="23.3828125" bestFit="1" customWidth="1"/>
  </cols>
  <sheetData>
    <row r="3" spans="1:3" x14ac:dyDescent="0.4">
      <c r="A3" s="2" t="s">
        <v>134</v>
      </c>
      <c r="B3" t="s">
        <v>136</v>
      </c>
      <c r="C3" t="s">
        <v>137</v>
      </c>
    </row>
    <row r="4" spans="1:3" x14ac:dyDescent="0.4">
      <c r="A4" s="3" t="s">
        <v>21</v>
      </c>
      <c r="B4" s="4">
        <v>1774587.7599999998</v>
      </c>
      <c r="C4" s="4">
        <v>7723655.3500000071</v>
      </c>
    </row>
    <row r="5" spans="1:3" x14ac:dyDescent="0.4">
      <c r="A5" s="3" t="s">
        <v>28</v>
      </c>
      <c r="B5" s="4">
        <v>1713216.64</v>
      </c>
      <c r="C5" s="4">
        <v>6572893.879999999</v>
      </c>
    </row>
    <row r="6" spans="1:3" x14ac:dyDescent="0.4">
      <c r="A6" s="3" t="s">
        <v>40</v>
      </c>
      <c r="B6" s="4">
        <v>2020550.1699999997</v>
      </c>
      <c r="C6" s="4">
        <v>6571933.120000001</v>
      </c>
    </row>
    <row r="7" spans="1:3" x14ac:dyDescent="0.4">
      <c r="A7" s="3" t="s">
        <v>23</v>
      </c>
      <c r="B7" s="4">
        <v>1219560.7500000002</v>
      </c>
      <c r="C7" s="4">
        <v>5245145.4800000004</v>
      </c>
    </row>
    <row r="8" spans="1:3" x14ac:dyDescent="0.4">
      <c r="A8" s="3" t="s">
        <v>43</v>
      </c>
      <c r="B8" s="4">
        <v>1730673.5700000003</v>
      </c>
      <c r="C8" s="4">
        <v>6930386.1399999978</v>
      </c>
    </row>
    <row r="9" spans="1:3" x14ac:dyDescent="0.4">
      <c r="A9" s="3" t="s">
        <v>54</v>
      </c>
      <c r="B9" s="4">
        <v>1743327.2200000004</v>
      </c>
      <c r="C9" s="4">
        <v>7540790.1799999997</v>
      </c>
    </row>
    <row r="10" spans="1:3" x14ac:dyDescent="0.4">
      <c r="A10" s="3" t="s">
        <v>15</v>
      </c>
      <c r="B10" s="4">
        <v>1625752.5600000008</v>
      </c>
      <c r="C10" s="4">
        <v>6962335.530000004</v>
      </c>
    </row>
    <row r="11" spans="1:3" x14ac:dyDescent="0.4">
      <c r="A11" s="3" t="s">
        <v>12</v>
      </c>
      <c r="B11" s="4">
        <v>1816731.8300000005</v>
      </c>
      <c r="C11" s="4">
        <v>7152527.2999999998</v>
      </c>
    </row>
    <row r="12" spans="1:3" x14ac:dyDescent="0.4">
      <c r="A12" s="3" t="s">
        <v>25</v>
      </c>
      <c r="B12" s="4">
        <v>1695366.3500000006</v>
      </c>
      <c r="C12" s="4">
        <v>6567584.2500000037</v>
      </c>
    </row>
    <row r="13" spans="1:3" x14ac:dyDescent="0.4">
      <c r="A13" s="3" t="s">
        <v>36</v>
      </c>
      <c r="B13" s="4">
        <v>1483391.66</v>
      </c>
      <c r="C13" s="4">
        <v>6353659.4200000018</v>
      </c>
    </row>
    <row r="14" spans="1:3" x14ac:dyDescent="0.4">
      <c r="A14" s="3" t="s">
        <v>31</v>
      </c>
      <c r="B14" s="4">
        <v>1786269.7499999995</v>
      </c>
      <c r="C14" s="4">
        <v>7701212.8200000003</v>
      </c>
    </row>
    <row r="15" spans="1:3" x14ac:dyDescent="0.4">
      <c r="A15" s="3" t="s">
        <v>33</v>
      </c>
      <c r="B15" s="4">
        <v>1852152.860000001</v>
      </c>
      <c r="C15" s="4">
        <v>6066144.4900000012</v>
      </c>
    </row>
    <row r="16" spans="1:3" x14ac:dyDescent="0.4">
      <c r="A16" s="3" t="s">
        <v>51</v>
      </c>
      <c r="B16" s="4">
        <v>1671743.25</v>
      </c>
      <c r="C16" s="4">
        <v>6265904.8500000015</v>
      </c>
    </row>
    <row r="17" spans="1:3" x14ac:dyDescent="0.4">
      <c r="A17" s="3" t="s">
        <v>18</v>
      </c>
      <c r="B17" s="4">
        <v>2061053.0799999998</v>
      </c>
      <c r="C17" s="4">
        <v>7948605.3999999966</v>
      </c>
    </row>
    <row r="18" spans="1:3" x14ac:dyDescent="0.4">
      <c r="A18" s="3" t="s">
        <v>30</v>
      </c>
      <c r="B18" s="4">
        <v>1611463.4500000007</v>
      </c>
      <c r="C18" s="4">
        <v>5849021.799999998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1175-97B8-4895-A90C-86A50F8241F8}">
  <dimension ref="A3:C18"/>
  <sheetViews>
    <sheetView workbookViewId="0">
      <selection sqref="A1:C19"/>
    </sheetView>
  </sheetViews>
  <sheetFormatPr defaultRowHeight="14.6" x14ac:dyDescent="0.4"/>
  <cols>
    <col min="1" max="1" width="12.3828125" bestFit="1" customWidth="1"/>
    <col min="2" max="2" width="16.3828125" bestFit="1" customWidth="1"/>
    <col min="3" max="3" width="20.765625" bestFit="1" customWidth="1"/>
  </cols>
  <sheetData>
    <row r="3" spans="1:3" x14ac:dyDescent="0.4">
      <c r="A3" s="2" t="s">
        <v>132</v>
      </c>
      <c r="B3" t="s">
        <v>135</v>
      </c>
      <c r="C3" t="s">
        <v>138</v>
      </c>
    </row>
    <row r="4" spans="1:3" x14ac:dyDescent="0.4">
      <c r="A4" s="3" t="s">
        <v>21</v>
      </c>
      <c r="B4" s="4">
        <v>18158</v>
      </c>
      <c r="C4" s="4">
        <v>75213</v>
      </c>
    </row>
    <row r="5" spans="1:3" x14ac:dyDescent="0.4">
      <c r="A5" s="3" t="s">
        <v>28</v>
      </c>
      <c r="B5" s="4">
        <v>16458</v>
      </c>
      <c r="C5" s="4">
        <v>63597</v>
      </c>
    </row>
    <row r="6" spans="1:3" x14ac:dyDescent="0.4">
      <c r="A6" s="3" t="s">
        <v>40</v>
      </c>
      <c r="B6" s="4">
        <v>16565</v>
      </c>
      <c r="C6" s="4">
        <v>77467</v>
      </c>
    </row>
    <row r="7" spans="1:3" x14ac:dyDescent="0.4">
      <c r="A7" s="3" t="s">
        <v>23</v>
      </c>
      <c r="B7" s="4">
        <v>12528</v>
      </c>
      <c r="C7" s="4">
        <v>51230</v>
      </c>
    </row>
    <row r="8" spans="1:3" x14ac:dyDescent="0.4">
      <c r="A8" s="3" t="s">
        <v>43</v>
      </c>
      <c r="B8" s="4">
        <v>16023</v>
      </c>
      <c r="C8" s="4">
        <v>69708</v>
      </c>
    </row>
    <row r="9" spans="1:3" x14ac:dyDescent="0.4">
      <c r="A9" s="3" t="s">
        <v>54</v>
      </c>
      <c r="B9" s="4">
        <v>16663</v>
      </c>
      <c r="C9" s="4">
        <v>79898</v>
      </c>
    </row>
    <row r="10" spans="1:3" x14ac:dyDescent="0.4">
      <c r="A10" s="3" t="s">
        <v>15</v>
      </c>
      <c r="B10" s="4">
        <v>16201</v>
      </c>
      <c r="C10" s="4">
        <v>67339</v>
      </c>
    </row>
    <row r="11" spans="1:3" x14ac:dyDescent="0.4">
      <c r="A11" s="3" t="s">
        <v>12</v>
      </c>
      <c r="B11" s="4">
        <v>19269</v>
      </c>
      <c r="C11" s="4">
        <v>68723</v>
      </c>
    </row>
    <row r="12" spans="1:3" x14ac:dyDescent="0.4">
      <c r="A12" s="3" t="s">
        <v>25</v>
      </c>
      <c r="B12" s="4">
        <v>16456</v>
      </c>
      <c r="C12" s="4">
        <v>68957</v>
      </c>
    </row>
    <row r="13" spans="1:3" x14ac:dyDescent="0.4">
      <c r="A13" s="3" t="s">
        <v>36</v>
      </c>
      <c r="B13" s="4">
        <v>14689</v>
      </c>
      <c r="C13" s="4">
        <v>57377</v>
      </c>
    </row>
    <row r="14" spans="1:3" x14ac:dyDescent="0.4">
      <c r="A14" s="3" t="s">
        <v>31</v>
      </c>
      <c r="B14" s="4">
        <v>17691</v>
      </c>
      <c r="C14" s="4">
        <v>80448</v>
      </c>
    </row>
    <row r="15" spans="1:3" x14ac:dyDescent="0.4">
      <c r="A15" s="3" t="s">
        <v>33</v>
      </c>
      <c r="B15" s="4">
        <v>14544</v>
      </c>
      <c r="C15" s="4">
        <v>64248</v>
      </c>
    </row>
    <row r="16" spans="1:3" x14ac:dyDescent="0.4">
      <c r="A16" s="3" t="s">
        <v>51</v>
      </c>
      <c r="B16" s="4">
        <v>15176</v>
      </c>
      <c r="C16" s="4">
        <v>66370</v>
      </c>
    </row>
    <row r="17" spans="1:3" x14ac:dyDescent="0.4">
      <c r="A17" s="3" t="s">
        <v>18</v>
      </c>
      <c r="B17" s="4">
        <v>18836</v>
      </c>
      <c r="C17" s="4">
        <v>90565</v>
      </c>
    </row>
    <row r="18" spans="1:3" x14ac:dyDescent="0.4">
      <c r="A18" s="3" t="s">
        <v>30</v>
      </c>
      <c r="B18" s="4">
        <v>15759</v>
      </c>
      <c r="C18" s="4">
        <v>69979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glowup_campaigns_clean</vt:lpstr>
      <vt:lpstr>ROI by Campaign</vt:lpstr>
      <vt:lpstr> Conversions by Channel</vt:lpstr>
      <vt:lpstr>Spend vs Revenue</vt:lpstr>
      <vt:lpstr>Leads vs Conversions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YADUVANSHI</dc:creator>
  <cp:lastModifiedBy>RAM PAIN RELIEF PHYSIOTHERAPY CLINIC</cp:lastModifiedBy>
  <dcterms:created xsi:type="dcterms:W3CDTF">2025-11-11T08:31:21Z</dcterms:created>
  <dcterms:modified xsi:type="dcterms:W3CDTF">2025-11-11T13:56:48Z</dcterms:modified>
</cp:coreProperties>
</file>