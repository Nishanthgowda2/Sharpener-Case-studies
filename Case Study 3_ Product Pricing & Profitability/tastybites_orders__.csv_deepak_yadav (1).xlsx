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242b75272e33c/Documents/"/>
    </mc:Choice>
  </mc:AlternateContent>
  <xr:revisionPtr revIDLastSave="0" documentId="8_{EB2C0597-D26E-43A7-8076-65B608075F3A}" xr6:coauthVersionLast="47" xr6:coauthVersionMax="47" xr10:uidLastSave="{00000000-0000-0000-0000-000000000000}"/>
  <bookViews>
    <workbookView xWindow="-103" yWindow="-103" windowWidth="22149" windowHeight="11949" activeTab="2" xr2:uid="{FD903032-91B3-4484-95CE-7E013973ADEC}"/>
  </bookViews>
  <sheets>
    <sheet name="tastybites_orders_csv" sheetId="1" r:id="rId1"/>
    <sheet name="Pivot_and_KPI" sheetId="2" r:id="rId2"/>
    <sheet name="Charts" sheetId="4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4" i="2"/>
  <c r="H5" i="2"/>
  <c r="K5" i="2" s="1"/>
  <c r="H6" i="2"/>
  <c r="K6" i="2" s="1"/>
  <c r="H7" i="2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K14" i="2" s="1"/>
  <c r="H15" i="2"/>
  <c r="K15" i="2" s="1"/>
  <c r="H16" i="2"/>
  <c r="K16" i="2" s="1"/>
  <c r="H17" i="2"/>
  <c r="K17" i="2" s="1"/>
  <c r="H18" i="2"/>
  <c r="K18" i="2" s="1"/>
  <c r="H19" i="2"/>
  <c r="K19" i="2" s="1"/>
  <c r="H20" i="2"/>
  <c r="K20" i="2" s="1"/>
  <c r="H21" i="2"/>
  <c r="K21" i="2" s="1"/>
  <c r="H22" i="2"/>
  <c r="K22" i="2" s="1"/>
  <c r="H4" i="2"/>
  <c r="K4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4" i="2"/>
  <c r="K7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</calcChain>
</file>

<file path=xl/sharedStrings.xml><?xml version="1.0" encoding="utf-8"?>
<sst xmlns="http://schemas.openxmlformats.org/spreadsheetml/2006/main" count="12095" uniqueCount="3905">
  <si>
    <t>order_id</t>
  </si>
  <si>
    <t>order_date</t>
  </si>
  <si>
    <t>city</t>
  </si>
  <si>
    <t>product_id</t>
  </si>
  <si>
    <t>product_name</t>
  </si>
  <si>
    <t>category</t>
  </si>
  <si>
    <t>unit_price</t>
  </si>
  <si>
    <t>discount_pct</t>
  </si>
  <si>
    <t>sale_price</t>
  </si>
  <si>
    <t>units_sold</t>
  </si>
  <si>
    <t>cost_per_unit</t>
  </si>
  <si>
    <t>revenue</t>
  </si>
  <si>
    <t>cost</t>
  </si>
  <si>
    <t>profit</t>
  </si>
  <si>
    <t>promotion_type</t>
  </si>
  <si>
    <t>ORD1</t>
  </si>
  <si>
    <t>Hyderabad</t>
  </si>
  <si>
    <t>VEG_BURG_119</t>
  </si>
  <si>
    <t>Veg Burger</t>
  </si>
  <si>
    <t>Burger</t>
  </si>
  <si>
    <t>BOGO</t>
  </si>
  <si>
    <t>ORD2</t>
  </si>
  <si>
    <t>Pune</t>
  </si>
  <si>
    <t>GRILLED__301</t>
  </si>
  <si>
    <t>Grilled Sandwich</t>
  </si>
  <si>
    <t>Sandwich</t>
  </si>
  <si>
    <t>Coupon</t>
  </si>
  <si>
    <t>ORD3</t>
  </si>
  <si>
    <t>Chennai</t>
  </si>
  <si>
    <t>FRIES_614</t>
  </si>
  <si>
    <t>Fries</t>
  </si>
  <si>
    <t>Snacks</t>
  </si>
  <si>
    <t>None</t>
  </si>
  <si>
    <t>ORD4</t>
  </si>
  <si>
    <t>VEG_BURG_159</t>
  </si>
  <si>
    <t>ORD5</t>
  </si>
  <si>
    <t>SPRITE_967</t>
  </si>
  <si>
    <t>Sprite</t>
  </si>
  <si>
    <t>Drinks</t>
  </si>
  <si>
    <t>ORD6</t>
  </si>
  <si>
    <t>GARLIC_B_212</t>
  </si>
  <si>
    <t>Garlic Bread</t>
  </si>
  <si>
    <t>ORD7</t>
  </si>
  <si>
    <t>Bangalore</t>
  </si>
  <si>
    <t>SPRITE_498</t>
  </si>
  <si>
    <t>ORD8</t>
  </si>
  <si>
    <t>Mumbai</t>
  </si>
  <si>
    <t>CHEESE_B_149</t>
  </si>
  <si>
    <t>Cheese Burger</t>
  </si>
  <si>
    <t>ORD9</t>
  </si>
  <si>
    <t>VEG_BURG_662</t>
  </si>
  <si>
    <t>Percent-Off</t>
  </si>
  <si>
    <t>ORD10</t>
  </si>
  <si>
    <t>SPRITE_173</t>
  </si>
  <si>
    <t>ORD11</t>
  </si>
  <si>
    <t>GARLIC_B_740</t>
  </si>
  <si>
    <t>ORD12</t>
  </si>
  <si>
    <t>GARLIC_B_763</t>
  </si>
  <si>
    <t>ORD13</t>
  </si>
  <si>
    <t>ICE_CREA_369</t>
  </si>
  <si>
    <t>Ice Cream</t>
  </si>
  <si>
    <t>Dessert</t>
  </si>
  <si>
    <t>ORD14</t>
  </si>
  <si>
    <t>GRILLED__327</t>
  </si>
  <si>
    <t>ORD15</t>
  </si>
  <si>
    <t>Delhi</t>
  </si>
  <si>
    <t>GARLIC_B_618</t>
  </si>
  <si>
    <t>ORD16</t>
  </si>
  <si>
    <t>CHICKEN__591</t>
  </si>
  <si>
    <t>Chicken Tikka</t>
  </si>
  <si>
    <t>Pizza</t>
  </si>
  <si>
    <t>ORD17</t>
  </si>
  <si>
    <t>COKE_404</t>
  </si>
  <si>
    <t>Coke</t>
  </si>
  <si>
    <t>ORD18</t>
  </si>
  <si>
    <t>COKE_426</t>
  </si>
  <si>
    <t>ORD19</t>
  </si>
  <si>
    <t>CHEESE_B_780</t>
  </si>
  <si>
    <t>ORD20</t>
  </si>
  <si>
    <t>CHEESE_B_952</t>
  </si>
  <si>
    <t>ORD21</t>
  </si>
  <si>
    <t>VEG_SAND_687</t>
  </si>
  <si>
    <t>Veg Sandwich</t>
  </si>
  <si>
    <t>ORD22</t>
  </si>
  <si>
    <t>PEPPY_PA_631</t>
  </si>
  <si>
    <t>Peppy Paneer</t>
  </si>
  <si>
    <t>ORD23</t>
  </si>
  <si>
    <t>GARLIC_B_703</t>
  </si>
  <si>
    <t>ORD24</t>
  </si>
  <si>
    <t>SPRITE_998</t>
  </si>
  <si>
    <t>ORD25</t>
  </si>
  <si>
    <t>VEG_BURG_277</t>
  </si>
  <si>
    <t>ORD26</t>
  </si>
  <si>
    <t>GULAB_JA_575</t>
  </si>
  <si>
    <t>Gulab Jamun</t>
  </si>
  <si>
    <t>ORD27</t>
  </si>
  <si>
    <t>BROWNIE_203</t>
  </si>
  <si>
    <t>Brownie</t>
  </si>
  <si>
    <t>ORD28</t>
  </si>
  <si>
    <t>GARLIC_B_725</t>
  </si>
  <si>
    <t>ORD29</t>
  </si>
  <si>
    <t>VEG_SAND_712</t>
  </si>
  <si>
    <t>ORD30</t>
  </si>
  <si>
    <t>CLUB_SAN_986</t>
  </si>
  <si>
    <t>Club Sandwich</t>
  </si>
  <si>
    <t>Bundle</t>
  </si>
  <si>
    <t>ORD31</t>
  </si>
  <si>
    <t>CHEESE_B_605</t>
  </si>
  <si>
    <t>ORD32</t>
  </si>
  <si>
    <t>CHICKEN__765</t>
  </si>
  <si>
    <t>Chicken Burger</t>
  </si>
  <si>
    <t>ORD33</t>
  </si>
  <si>
    <t>GULAB_JA_745</t>
  </si>
  <si>
    <t>ORD34</t>
  </si>
  <si>
    <t>COLD_COF_897</t>
  </si>
  <si>
    <t>Cold Coffee</t>
  </si>
  <si>
    <t>ORD35</t>
  </si>
  <si>
    <t>ICE_CREA_406</t>
  </si>
  <si>
    <t>ORD36</t>
  </si>
  <si>
    <t>COLD_COF_961</t>
  </si>
  <si>
    <t>ORD37</t>
  </si>
  <si>
    <t>COKE_146</t>
  </si>
  <si>
    <t>ORD38</t>
  </si>
  <si>
    <t>COKE_914</t>
  </si>
  <si>
    <t>ORD39</t>
  </si>
  <si>
    <t>GULAB_JA_500</t>
  </si>
  <si>
    <t>ORD40</t>
  </si>
  <si>
    <t>COKE_506</t>
  </si>
  <si>
    <t>ORD41</t>
  </si>
  <si>
    <t>PEPPY_PA_758</t>
  </si>
  <si>
    <t>ORD42</t>
  </si>
  <si>
    <t>FRIES_182</t>
  </si>
  <si>
    <t>ORD43</t>
  </si>
  <si>
    <t>SPRITE_862</t>
  </si>
  <si>
    <t>ORD44</t>
  </si>
  <si>
    <t>COLD_COF_385</t>
  </si>
  <si>
    <t>ORD45</t>
  </si>
  <si>
    <t>CHEESE_B_321</t>
  </si>
  <si>
    <t>ORD46</t>
  </si>
  <si>
    <t>GARLIC_B_161</t>
  </si>
  <si>
    <t>ORD47</t>
  </si>
  <si>
    <t>COLD_COF_403</t>
  </si>
  <si>
    <t>ORD48</t>
  </si>
  <si>
    <t>COKE_827</t>
  </si>
  <si>
    <t>ORD49</t>
  </si>
  <si>
    <t>MARGHERI_919</t>
  </si>
  <si>
    <t>Margherita</t>
  </si>
  <si>
    <t>ORD50</t>
  </si>
  <si>
    <t>MARGHERI_639</t>
  </si>
  <si>
    <t>ORD51</t>
  </si>
  <si>
    <t>SPRITE_683</t>
  </si>
  <si>
    <t>ORD52</t>
  </si>
  <si>
    <t>CLUB_SAN_382</t>
  </si>
  <si>
    <t>ORD53</t>
  </si>
  <si>
    <t>CHEESE_B_531</t>
  </si>
  <si>
    <t>ORD54</t>
  </si>
  <si>
    <t>MARGHERI_235</t>
  </si>
  <si>
    <t>ORD55</t>
  </si>
  <si>
    <t>VEG_BURG_481</t>
  </si>
  <si>
    <t>ORD56</t>
  </si>
  <si>
    <t>MARGHERI_650</t>
  </si>
  <si>
    <t>ORD57</t>
  </si>
  <si>
    <t>COLD_COF_431</t>
  </si>
  <si>
    <t>ORD58</t>
  </si>
  <si>
    <t>BROWNIE_349</t>
  </si>
  <si>
    <t>ORD59</t>
  </si>
  <si>
    <t>COLD_COF_786</t>
  </si>
  <si>
    <t>ORD60</t>
  </si>
  <si>
    <t>PEPPY_PA_183</t>
  </si>
  <si>
    <t>ORD61</t>
  </si>
  <si>
    <t>COLD_COF_549</t>
  </si>
  <si>
    <t>ORD62</t>
  </si>
  <si>
    <t>CHICKEN__553</t>
  </si>
  <si>
    <t>ORD63</t>
  </si>
  <si>
    <t>MARGHERI_367</t>
  </si>
  <si>
    <t>ORD64</t>
  </si>
  <si>
    <t>CHICKEN__393</t>
  </si>
  <si>
    <t>ORD65</t>
  </si>
  <si>
    <t>GRILLED__733</t>
  </si>
  <si>
    <t>ORD66</t>
  </si>
  <si>
    <t>CHICKEN__659</t>
  </si>
  <si>
    <t>ORD67</t>
  </si>
  <si>
    <t>SPRITE_106</t>
  </si>
  <si>
    <t>ORD68</t>
  </si>
  <si>
    <t>MARGHERI_518</t>
  </si>
  <si>
    <t>ORD69</t>
  </si>
  <si>
    <t>CHEESE_B_585</t>
  </si>
  <si>
    <t>ORD70</t>
  </si>
  <si>
    <t>FRIES_462</t>
  </si>
  <si>
    <t>ORD71</t>
  </si>
  <si>
    <t>SPRITE_584</t>
  </si>
  <si>
    <t>ORD72</t>
  </si>
  <si>
    <t>ICE_CREA_300</t>
  </si>
  <si>
    <t>ORD73</t>
  </si>
  <si>
    <t>FRIES_588</t>
  </si>
  <si>
    <t>ORD74</t>
  </si>
  <si>
    <t>MARGHERI_440</t>
  </si>
  <si>
    <t>ORD75</t>
  </si>
  <si>
    <t>GULAB_JA_238</t>
  </si>
  <si>
    <t>ORD76</t>
  </si>
  <si>
    <t>CHICKEN__886</t>
  </si>
  <si>
    <t>ORD77</t>
  </si>
  <si>
    <t>BROWNIE_216</t>
  </si>
  <si>
    <t>ORD78</t>
  </si>
  <si>
    <t>VEG_SAND_616</t>
  </si>
  <si>
    <t>ORD79</t>
  </si>
  <si>
    <t>FRIES_765</t>
  </si>
  <si>
    <t>ORD80</t>
  </si>
  <si>
    <t>GARLIC_B_315</t>
  </si>
  <si>
    <t>ORD81</t>
  </si>
  <si>
    <t>COLD_COF_703</t>
  </si>
  <si>
    <t>ORD82</t>
  </si>
  <si>
    <t>ONION_RI_948</t>
  </si>
  <si>
    <t>Onion Rings</t>
  </si>
  <si>
    <t>ORD83</t>
  </si>
  <si>
    <t>CHICKEN__800</t>
  </si>
  <si>
    <t>ORD84</t>
  </si>
  <si>
    <t>PEPPY_PA_376</t>
  </si>
  <si>
    <t>ORD85</t>
  </si>
  <si>
    <t>MARGHERI_118</t>
  </si>
  <si>
    <t>ORD86</t>
  </si>
  <si>
    <t>CHICKEN__100</t>
  </si>
  <si>
    <t>ORD87</t>
  </si>
  <si>
    <t>MARGHERI_293</t>
  </si>
  <si>
    <t>ORD88</t>
  </si>
  <si>
    <t>CHEESE_B_287</t>
  </si>
  <si>
    <t>ORD89</t>
  </si>
  <si>
    <t>MARGHERI_474</t>
  </si>
  <si>
    <t>ORD90</t>
  </si>
  <si>
    <t>CLUB_SAN_314</t>
  </si>
  <si>
    <t>ORD91</t>
  </si>
  <si>
    <t>CHICKEN__332</t>
  </si>
  <si>
    <t>ORD92</t>
  </si>
  <si>
    <t>GULAB_JA_282</t>
  </si>
  <si>
    <t>ORD93</t>
  </si>
  <si>
    <t>GARLIC_B_977</t>
  </si>
  <si>
    <t>ORD94</t>
  </si>
  <si>
    <t>CHICKEN__111</t>
  </si>
  <si>
    <t>ORD95</t>
  </si>
  <si>
    <t>PEPPY_PA_690</t>
  </si>
  <si>
    <t>ORD96</t>
  </si>
  <si>
    <t>VEG_BURG_875</t>
  </si>
  <si>
    <t>ORD97</t>
  </si>
  <si>
    <t>BROWNIE_236</t>
  </si>
  <si>
    <t>ORD98</t>
  </si>
  <si>
    <t>GARLIC_B_790</t>
  </si>
  <si>
    <t>ORD99</t>
  </si>
  <si>
    <t>VEG_BURG_334</t>
  </si>
  <si>
    <t>ORD100</t>
  </si>
  <si>
    <t>CHICKEN__392</t>
  </si>
  <si>
    <t>ORD101</t>
  </si>
  <si>
    <t>ICE_CREA_867</t>
  </si>
  <si>
    <t>ORD102</t>
  </si>
  <si>
    <t>COLD_COF_627</t>
  </si>
  <si>
    <t>ORD103</t>
  </si>
  <si>
    <t>GRILLED__827</t>
  </si>
  <si>
    <t>ORD104</t>
  </si>
  <si>
    <t>GARLIC_B_587</t>
  </si>
  <si>
    <t>ORD105</t>
  </si>
  <si>
    <t>CHEESE_B_153</t>
  </si>
  <si>
    <t>ORD106</t>
  </si>
  <si>
    <t>ICE_CREA_948</t>
  </si>
  <si>
    <t>ORD107</t>
  </si>
  <si>
    <t>COKE_270</t>
  </si>
  <si>
    <t>ORD108</t>
  </si>
  <si>
    <t>VEG_SAND_797</t>
  </si>
  <si>
    <t>ORD109</t>
  </si>
  <si>
    <t>VEG_SAND_233</t>
  </si>
  <si>
    <t>ORD110</t>
  </si>
  <si>
    <t>BROWNIE_111</t>
  </si>
  <si>
    <t>ORD111</t>
  </si>
  <si>
    <t>BROWNIE_875</t>
  </si>
  <si>
    <t>ORD112</t>
  </si>
  <si>
    <t>COKE_709</t>
  </si>
  <si>
    <t>ORD113</t>
  </si>
  <si>
    <t>VEG_BURG_533</t>
  </si>
  <si>
    <t>ORD114</t>
  </si>
  <si>
    <t>VEG_SAND_125</t>
  </si>
  <si>
    <t>ORD115</t>
  </si>
  <si>
    <t>COLD_COF_590</t>
  </si>
  <si>
    <t>ORD116</t>
  </si>
  <si>
    <t>GARLIC_B_785</t>
  </si>
  <si>
    <t>ORD117</t>
  </si>
  <si>
    <t>VEG_BURG_772</t>
  </si>
  <si>
    <t>ORD118</t>
  </si>
  <si>
    <t>ORD119</t>
  </si>
  <si>
    <t>PEPPY_PA_617</t>
  </si>
  <si>
    <t>ORD120</t>
  </si>
  <si>
    <t>CHEESE_B_591</t>
  </si>
  <si>
    <t>ORD121</t>
  </si>
  <si>
    <t>ONION_RI_431</t>
  </si>
  <si>
    <t>ORD122</t>
  </si>
  <si>
    <t>SPRITE_489</t>
  </si>
  <si>
    <t>ORD123</t>
  </si>
  <si>
    <t>COKE_947</t>
  </si>
  <si>
    <t>ORD124</t>
  </si>
  <si>
    <t>CHEESE_B_526</t>
  </si>
  <si>
    <t>ORD125</t>
  </si>
  <si>
    <t>GARLIC_B_712</t>
  </si>
  <si>
    <t>ORD126</t>
  </si>
  <si>
    <t>ICE_CREA_889</t>
  </si>
  <si>
    <t>ORD127</t>
  </si>
  <si>
    <t>COKE_645</t>
  </si>
  <si>
    <t>ORD128</t>
  </si>
  <si>
    <t>COKE_710</t>
  </si>
  <si>
    <t>ORD129</t>
  </si>
  <si>
    <t>VEG_BURG_423</t>
  </si>
  <si>
    <t>ORD130</t>
  </si>
  <si>
    <t>VEG_BURG_814</t>
  </si>
  <si>
    <t>ORD131</t>
  </si>
  <si>
    <t>ICE_CREA_832</t>
  </si>
  <si>
    <t>ORD132</t>
  </si>
  <si>
    <t>CHICKEN__799</t>
  </si>
  <si>
    <t>ORD133</t>
  </si>
  <si>
    <t>CHICKEN__183</t>
  </si>
  <si>
    <t>ORD134</t>
  </si>
  <si>
    <t>FRIES_593</t>
  </si>
  <si>
    <t>ORD135</t>
  </si>
  <si>
    <t>GARLIC_B_263</t>
  </si>
  <si>
    <t>ORD136</t>
  </si>
  <si>
    <t>PEPPY_PA_347</t>
  </si>
  <si>
    <t>ORD137</t>
  </si>
  <si>
    <t>GULAB_JA_799</t>
  </si>
  <si>
    <t>ORD138</t>
  </si>
  <si>
    <t>BROWNIE_311</t>
  </si>
  <si>
    <t>ORD139</t>
  </si>
  <si>
    <t>SPRITE_442</t>
  </si>
  <si>
    <t>ORD140</t>
  </si>
  <si>
    <t>BROWNIE_146</t>
  </si>
  <si>
    <t>ORD141</t>
  </si>
  <si>
    <t>VEG_BURG_301</t>
  </si>
  <si>
    <t>ORD142</t>
  </si>
  <si>
    <t>CHICKEN__604</t>
  </si>
  <si>
    <t>ORD143</t>
  </si>
  <si>
    <t>ONION_RI_290</t>
  </si>
  <si>
    <t>ORD144</t>
  </si>
  <si>
    <t>FRIES_297</t>
  </si>
  <si>
    <t>ORD145</t>
  </si>
  <si>
    <t>VEG_BURG_780</t>
  </si>
  <si>
    <t>ORD146</t>
  </si>
  <si>
    <t>CLUB_SAN_282</t>
  </si>
  <si>
    <t>ORD147</t>
  </si>
  <si>
    <t>CHICKEN__142</t>
  </si>
  <si>
    <t>ORD148</t>
  </si>
  <si>
    <t>PEPPY_PA_950</t>
  </si>
  <si>
    <t>ORD149</t>
  </si>
  <si>
    <t>CHEESE_B_624</t>
  </si>
  <si>
    <t>ORD150</t>
  </si>
  <si>
    <t>COLD_COF_194</t>
  </si>
  <si>
    <t>ORD151</t>
  </si>
  <si>
    <t>VEG_BURG_474</t>
  </si>
  <si>
    <t>ORD152</t>
  </si>
  <si>
    <t>CHICKEN__225</t>
  </si>
  <si>
    <t>ORD153</t>
  </si>
  <si>
    <t>GULAB_JA_945</t>
  </si>
  <si>
    <t>ORD154</t>
  </si>
  <si>
    <t>CHICKEN__990</t>
  </si>
  <si>
    <t>ORD155</t>
  </si>
  <si>
    <t>CHEESE_B_314</t>
  </si>
  <si>
    <t>ORD156</t>
  </si>
  <si>
    <t>VEG_SAND_668</t>
  </si>
  <si>
    <t>ORD157</t>
  </si>
  <si>
    <t>VEG_BURG_181</t>
  </si>
  <si>
    <t>ORD158</t>
  </si>
  <si>
    <t>COKE_197</t>
  </si>
  <si>
    <t>ORD159</t>
  </si>
  <si>
    <t>PEPPY_PA_768</t>
  </si>
  <si>
    <t>ORD160</t>
  </si>
  <si>
    <t>ONION_RI_466</t>
  </si>
  <si>
    <t>ORD161</t>
  </si>
  <si>
    <t>ICE_CREA_844</t>
  </si>
  <si>
    <t>ORD162</t>
  </si>
  <si>
    <t>MARGHERI_761</t>
  </si>
  <si>
    <t>ORD163</t>
  </si>
  <si>
    <t>GULAB_JA_383</t>
  </si>
  <si>
    <t>ORD164</t>
  </si>
  <si>
    <t>ONION_RI_336</t>
  </si>
  <si>
    <t>ORD165</t>
  </si>
  <si>
    <t>CLUB_SAN_855</t>
  </si>
  <si>
    <t>ORD166</t>
  </si>
  <si>
    <t>COLD_COF_347</t>
  </si>
  <si>
    <t>ORD167</t>
  </si>
  <si>
    <t>COKE_856</t>
  </si>
  <si>
    <t>ORD168</t>
  </si>
  <si>
    <t>ONION_RI_395</t>
  </si>
  <si>
    <t>ORD169</t>
  </si>
  <si>
    <t>CHICKEN__437</t>
  </si>
  <si>
    <t>ORD170</t>
  </si>
  <si>
    <t>COLD_COF_987</t>
  </si>
  <si>
    <t>ORD171</t>
  </si>
  <si>
    <t>CHICKEN__895</t>
  </si>
  <si>
    <t>ORD172</t>
  </si>
  <si>
    <t>BROWNIE_222</t>
  </si>
  <si>
    <t>ORD173</t>
  </si>
  <si>
    <t>PEPPY_PA_162</t>
  </si>
  <si>
    <t>ORD174</t>
  </si>
  <si>
    <t>COKE_187</t>
  </si>
  <si>
    <t>ORD175</t>
  </si>
  <si>
    <t>CHICKEN__137</t>
  </si>
  <si>
    <t>ORD176</t>
  </si>
  <si>
    <t>BROWNIE_402</t>
  </si>
  <si>
    <t>ORD177</t>
  </si>
  <si>
    <t>COKE_634</t>
  </si>
  <si>
    <t>ORD178</t>
  </si>
  <si>
    <t>FRIES_721</t>
  </si>
  <si>
    <t>ORD179</t>
  </si>
  <si>
    <t>CHEESE_B_138</t>
  </si>
  <si>
    <t>ORD180</t>
  </si>
  <si>
    <t>VEG_SAND_924</t>
  </si>
  <si>
    <t>ORD181</t>
  </si>
  <si>
    <t>COKE_594</t>
  </si>
  <si>
    <t>ORD182</t>
  </si>
  <si>
    <t>CHICKEN__705</t>
  </si>
  <si>
    <t>ORD183</t>
  </si>
  <si>
    <t>VEG_BURG_749</t>
  </si>
  <si>
    <t>ORD184</t>
  </si>
  <si>
    <t>SPRITE_226</t>
  </si>
  <si>
    <t>ORD185</t>
  </si>
  <si>
    <t>CHICKEN__429</t>
  </si>
  <si>
    <t>ORD186</t>
  </si>
  <si>
    <t>CHEESE_B_659</t>
  </si>
  <si>
    <t>ORD187</t>
  </si>
  <si>
    <t>VEG_BURG_106</t>
  </si>
  <si>
    <t>ORD188</t>
  </si>
  <si>
    <t>CHEESE_B_864</t>
  </si>
  <si>
    <t>ORD189</t>
  </si>
  <si>
    <t>GULAB_JA_192</t>
  </si>
  <si>
    <t>ORD190</t>
  </si>
  <si>
    <t>COLD_COF_528</t>
  </si>
  <si>
    <t>ORD191</t>
  </si>
  <si>
    <t>ICE_CREA_835</t>
  </si>
  <si>
    <t>ORD192</t>
  </si>
  <si>
    <t>GRILLED__148</t>
  </si>
  <si>
    <t>ORD193</t>
  </si>
  <si>
    <t>MARGHERI_845</t>
  </si>
  <si>
    <t>ORD194</t>
  </si>
  <si>
    <t>COLD_COF_606</t>
  </si>
  <si>
    <t>ORD195</t>
  </si>
  <si>
    <t>PEPPY_PA_416</t>
  </si>
  <si>
    <t>ORD196</t>
  </si>
  <si>
    <t>COKE_599</t>
  </si>
  <si>
    <t>ORD197</t>
  </si>
  <si>
    <t>GULAB_JA_994</t>
  </si>
  <si>
    <t>ORD198</t>
  </si>
  <si>
    <t>CHICKEN__673</t>
  </si>
  <si>
    <t>ORD199</t>
  </si>
  <si>
    <t>GRILLED__749</t>
  </si>
  <si>
    <t>ORD200</t>
  </si>
  <si>
    <t>VEG_BURG_417</t>
  </si>
  <si>
    <t>ORD201</t>
  </si>
  <si>
    <t>VEG_SAND_784</t>
  </si>
  <si>
    <t>ORD202</t>
  </si>
  <si>
    <t>ICE_CREA_536</t>
  </si>
  <si>
    <t>ORD203</t>
  </si>
  <si>
    <t>ONION_RI_169</t>
  </si>
  <si>
    <t>ORD204</t>
  </si>
  <si>
    <t>COLD_COF_316</t>
  </si>
  <si>
    <t>ORD205</t>
  </si>
  <si>
    <t>CHICKEN__281</t>
  </si>
  <si>
    <t>ORD206</t>
  </si>
  <si>
    <t>GRILLED__557</t>
  </si>
  <si>
    <t>ORD207</t>
  </si>
  <si>
    <t>COLD_COF_558</t>
  </si>
  <si>
    <t>ORD208</t>
  </si>
  <si>
    <t>SPRITE_455</t>
  </si>
  <si>
    <t>ORD209</t>
  </si>
  <si>
    <t>COLD_COF_167</t>
  </si>
  <si>
    <t>ORD210</t>
  </si>
  <si>
    <t>COLD_COF_954</t>
  </si>
  <si>
    <t>ORD211</t>
  </si>
  <si>
    <t>CHICKEN__879</t>
  </si>
  <si>
    <t>ORD212</t>
  </si>
  <si>
    <t>VEG_SAND_288</t>
  </si>
  <si>
    <t>ORD213</t>
  </si>
  <si>
    <t>VEG_BURG_442</t>
  </si>
  <si>
    <t>ORD214</t>
  </si>
  <si>
    <t>COKE_292</t>
  </si>
  <si>
    <t>ORD215</t>
  </si>
  <si>
    <t>CLUB_SAN_503</t>
  </si>
  <si>
    <t>ORD216</t>
  </si>
  <si>
    <t>CHICKEN__321</t>
  </si>
  <si>
    <t>ORD217</t>
  </si>
  <si>
    <t>PEPPY_PA_933</t>
  </si>
  <si>
    <t>ORD218</t>
  </si>
  <si>
    <t>CHICKEN__820</t>
  </si>
  <si>
    <t>ORD219</t>
  </si>
  <si>
    <t>ONION_RI_338</t>
  </si>
  <si>
    <t>ORD220</t>
  </si>
  <si>
    <t>GULAB_JA_904</t>
  </si>
  <si>
    <t>ORD221</t>
  </si>
  <si>
    <t>CHEESE_B_479</t>
  </si>
  <si>
    <t>ORD222</t>
  </si>
  <si>
    <t>CHEESE_B_197</t>
  </si>
  <si>
    <t>ORD223</t>
  </si>
  <si>
    <t>ORD224</t>
  </si>
  <si>
    <t>COLD_COF_749</t>
  </si>
  <si>
    <t>ORD225</t>
  </si>
  <si>
    <t>CHEESE_B_322</t>
  </si>
  <si>
    <t>ORD226</t>
  </si>
  <si>
    <t>GRILLED__552</t>
  </si>
  <si>
    <t>ORD227</t>
  </si>
  <si>
    <t>PEPPY_PA_924</t>
  </si>
  <si>
    <t>ORD228</t>
  </si>
  <si>
    <t>ICE_CREA_498</t>
  </si>
  <si>
    <t>ORD229</t>
  </si>
  <si>
    <t>CHICKEN__830</t>
  </si>
  <si>
    <t>ORD230</t>
  </si>
  <si>
    <t>COLD_COF_538</t>
  </si>
  <si>
    <t>ORD231</t>
  </si>
  <si>
    <t>SPRITE_369</t>
  </si>
  <si>
    <t>ORD232</t>
  </si>
  <si>
    <t>ONION_RI_219</t>
  </si>
  <si>
    <t>ORD233</t>
  </si>
  <si>
    <t>COLD_COF_811</t>
  </si>
  <si>
    <t>ORD234</t>
  </si>
  <si>
    <t>SPRITE_175</t>
  </si>
  <si>
    <t>ORD235</t>
  </si>
  <si>
    <t>ICE_CREA_586</t>
  </si>
  <si>
    <t>ORD236</t>
  </si>
  <si>
    <t>FRIES_816</t>
  </si>
  <si>
    <t>ORD237</t>
  </si>
  <si>
    <t>FRIES_427</t>
  </si>
  <si>
    <t>ORD238</t>
  </si>
  <si>
    <t>CHEESE_B_610</t>
  </si>
  <si>
    <t>ORD239</t>
  </si>
  <si>
    <t>CHEESE_B_270</t>
  </si>
  <si>
    <t>ORD240</t>
  </si>
  <si>
    <t>GULAB_JA_570</t>
  </si>
  <si>
    <t>ORD241</t>
  </si>
  <si>
    <t>ORD242</t>
  </si>
  <si>
    <t>CHEESE_B_801</t>
  </si>
  <si>
    <t>ORD243</t>
  </si>
  <si>
    <t>CHICKEN__713</t>
  </si>
  <si>
    <t>ORD244</t>
  </si>
  <si>
    <t>SPRITE_248</t>
  </si>
  <si>
    <t>ORD245</t>
  </si>
  <si>
    <t>CHICKEN__127</t>
  </si>
  <si>
    <t>ORD246</t>
  </si>
  <si>
    <t>CHEESE_B_157</t>
  </si>
  <si>
    <t>ORD247</t>
  </si>
  <si>
    <t>CHEESE_B_454</t>
  </si>
  <si>
    <t>ORD248</t>
  </si>
  <si>
    <t>ORD249</t>
  </si>
  <si>
    <t>CHICKEN__609</t>
  </si>
  <si>
    <t>ORD250</t>
  </si>
  <si>
    <t>SPRITE_563</t>
  </si>
  <si>
    <t>ORD251</t>
  </si>
  <si>
    <t>COKE_951</t>
  </si>
  <si>
    <t>ORD252</t>
  </si>
  <si>
    <t>ONION_RI_769</t>
  </si>
  <si>
    <t>ORD253</t>
  </si>
  <si>
    <t>BROWNIE_393</t>
  </si>
  <si>
    <t>ORD254</t>
  </si>
  <si>
    <t>ONION_RI_724</t>
  </si>
  <si>
    <t>ORD255</t>
  </si>
  <si>
    <t>CHICKEN__651</t>
  </si>
  <si>
    <t>ORD256</t>
  </si>
  <si>
    <t>COKE_336</t>
  </si>
  <si>
    <t>ORD257</t>
  </si>
  <si>
    <t>GULAB_JA_548</t>
  </si>
  <si>
    <t>ORD258</t>
  </si>
  <si>
    <t>SPRITE_990</t>
  </si>
  <si>
    <t>ORD259</t>
  </si>
  <si>
    <t>CLUB_SAN_346</t>
  </si>
  <si>
    <t>ORD260</t>
  </si>
  <si>
    <t>COKE_793</t>
  </si>
  <si>
    <t>ORD261</t>
  </si>
  <si>
    <t>VEG_BURG_701</t>
  </si>
  <si>
    <t>ORD262</t>
  </si>
  <si>
    <t>VEG_SAND_754</t>
  </si>
  <si>
    <t>ORD263</t>
  </si>
  <si>
    <t>CHICKEN__669</t>
  </si>
  <si>
    <t>ORD264</t>
  </si>
  <si>
    <t>SPRITE_670</t>
  </si>
  <si>
    <t>ORD265</t>
  </si>
  <si>
    <t>MARGHERI_986</t>
  </si>
  <si>
    <t>ORD266</t>
  </si>
  <si>
    <t>COKE_480</t>
  </si>
  <si>
    <t>ORD267</t>
  </si>
  <si>
    <t>MARGHERI_979</t>
  </si>
  <si>
    <t>ORD268</t>
  </si>
  <si>
    <t>ONION_RI_383</t>
  </si>
  <si>
    <t>ORD269</t>
  </si>
  <si>
    <t>CHICKEN__586</t>
  </si>
  <si>
    <t>ORD270</t>
  </si>
  <si>
    <t>CHICKEN__557</t>
  </si>
  <si>
    <t>ORD271</t>
  </si>
  <si>
    <t>MARGHERI_762</t>
  </si>
  <si>
    <t>ORD272</t>
  </si>
  <si>
    <t>CLUB_SAN_245</t>
  </si>
  <si>
    <t>ORD273</t>
  </si>
  <si>
    <t>COKE_750</t>
  </si>
  <si>
    <t>ORD274</t>
  </si>
  <si>
    <t>ONION_RI_249</t>
  </si>
  <si>
    <t>ORD275</t>
  </si>
  <si>
    <t>COKE_332</t>
  </si>
  <si>
    <t>ORD276</t>
  </si>
  <si>
    <t>COKE_380</t>
  </si>
  <si>
    <t>ORD277</t>
  </si>
  <si>
    <t>ORD278</t>
  </si>
  <si>
    <t>COKE_696</t>
  </si>
  <si>
    <t>ORD279</t>
  </si>
  <si>
    <t>CHICKEN__153</t>
  </si>
  <si>
    <t>ORD280</t>
  </si>
  <si>
    <t>CHICKEN__463</t>
  </si>
  <si>
    <t>ORD281</t>
  </si>
  <si>
    <t>ONION_RI_674</t>
  </si>
  <si>
    <t>ORD282</t>
  </si>
  <si>
    <t>CHICKEN__189</t>
  </si>
  <si>
    <t>ORD283</t>
  </si>
  <si>
    <t>VEG_SAND_170</t>
  </si>
  <si>
    <t>ORD284</t>
  </si>
  <si>
    <t>BROWNIE_560</t>
  </si>
  <si>
    <t>ORD285</t>
  </si>
  <si>
    <t>GULAB_JA_323</t>
  </si>
  <si>
    <t>ORD286</t>
  </si>
  <si>
    <t>ICE_CREA_929</t>
  </si>
  <si>
    <t>ORD287</t>
  </si>
  <si>
    <t>GARLIC_B_649</t>
  </si>
  <si>
    <t>ORD288</t>
  </si>
  <si>
    <t>COKE_776</t>
  </si>
  <si>
    <t>ORD289</t>
  </si>
  <si>
    <t>FRIES_246</t>
  </si>
  <si>
    <t>ORD290</t>
  </si>
  <si>
    <t>COKE_286</t>
  </si>
  <si>
    <t>ORD291</t>
  </si>
  <si>
    <t>PEPPY_PA_187</t>
  </si>
  <si>
    <t>ORD292</t>
  </si>
  <si>
    <t>CHEESE_B_324</t>
  </si>
  <si>
    <t>ORD293</t>
  </si>
  <si>
    <t>CHICKEN__207</t>
  </si>
  <si>
    <t>ORD294</t>
  </si>
  <si>
    <t>PEPPY_PA_894</t>
  </si>
  <si>
    <t>ORD295</t>
  </si>
  <si>
    <t>MARGHERI_895</t>
  </si>
  <si>
    <t>ORD296</t>
  </si>
  <si>
    <t>MARGHERI_284</t>
  </si>
  <si>
    <t>ORD297</t>
  </si>
  <si>
    <t>SPRITE_687</t>
  </si>
  <si>
    <t>ORD298</t>
  </si>
  <si>
    <t>SPRITE_735</t>
  </si>
  <si>
    <t>ORD299</t>
  </si>
  <si>
    <t>GRILLED__712</t>
  </si>
  <si>
    <t>ORD300</t>
  </si>
  <si>
    <t>CHEESE_B_227</t>
  </si>
  <si>
    <t>ORD301</t>
  </si>
  <si>
    <t>CLUB_SAN_455</t>
  </si>
  <si>
    <t>ORD302</t>
  </si>
  <si>
    <t>CHEESE_B_222</t>
  </si>
  <si>
    <t>ORD303</t>
  </si>
  <si>
    <t>BROWNIE_495</t>
  </si>
  <si>
    <t>ORD304</t>
  </si>
  <si>
    <t>VEG_BURG_409</t>
  </si>
  <si>
    <t>ORD305</t>
  </si>
  <si>
    <t>MARGHERI_305</t>
  </si>
  <si>
    <t>ORD306</t>
  </si>
  <si>
    <t>CHEESE_B_350</t>
  </si>
  <si>
    <t>ORD307</t>
  </si>
  <si>
    <t>BROWNIE_700</t>
  </si>
  <si>
    <t>ORD308</t>
  </si>
  <si>
    <t>ORD309</t>
  </si>
  <si>
    <t>SPRITE_805</t>
  </si>
  <si>
    <t>ORD310</t>
  </si>
  <si>
    <t>VEG_SAND_574</t>
  </si>
  <si>
    <t>ORD311</t>
  </si>
  <si>
    <t>FRIES_784</t>
  </si>
  <si>
    <t>ORD312</t>
  </si>
  <si>
    <t>SPRITE_299</t>
  </si>
  <si>
    <t>ORD313</t>
  </si>
  <si>
    <t>SPRITE_879</t>
  </si>
  <si>
    <t>ORD314</t>
  </si>
  <si>
    <t>VEG_BURG_526</t>
  </si>
  <si>
    <t>ORD315</t>
  </si>
  <si>
    <t>CLUB_SAN_151</t>
  </si>
  <si>
    <t>ORD316</t>
  </si>
  <si>
    <t>CHICKEN__969</t>
  </si>
  <si>
    <t>ORD317</t>
  </si>
  <si>
    <t>COKE_217</t>
  </si>
  <si>
    <t>ORD318</t>
  </si>
  <si>
    <t>GARLIC_B_622</t>
  </si>
  <si>
    <t>ORD319</t>
  </si>
  <si>
    <t>COLD_COF_640</t>
  </si>
  <si>
    <t>ORD320</t>
  </si>
  <si>
    <t>GARLIC_B_513</t>
  </si>
  <si>
    <t>ORD321</t>
  </si>
  <si>
    <t>MARGHERI_605</t>
  </si>
  <si>
    <t>ORD322</t>
  </si>
  <si>
    <t>CHEESE_B_749</t>
  </si>
  <si>
    <t>ORD323</t>
  </si>
  <si>
    <t>PEPPY_PA_743</t>
  </si>
  <si>
    <t>ORD324</t>
  </si>
  <si>
    <t>FRIES_391</t>
  </si>
  <si>
    <t>ORD325</t>
  </si>
  <si>
    <t>SPRITE_130</t>
  </si>
  <si>
    <t>ORD326</t>
  </si>
  <si>
    <t>CHICKEN__165</t>
  </si>
  <si>
    <t>ORD327</t>
  </si>
  <si>
    <t>GARLIC_B_957</t>
  </si>
  <si>
    <t>ORD328</t>
  </si>
  <si>
    <t>CLUB_SAN_706</t>
  </si>
  <si>
    <t>ORD329</t>
  </si>
  <si>
    <t>SPRITE_522</t>
  </si>
  <si>
    <t>ORD330</t>
  </si>
  <si>
    <t>GULAB_JA_791</t>
  </si>
  <si>
    <t>ORD331</t>
  </si>
  <si>
    <t>CLUB_SAN_285</t>
  </si>
  <si>
    <t>ORD332</t>
  </si>
  <si>
    <t>ONION_RI_549</t>
  </si>
  <si>
    <t>ORD333</t>
  </si>
  <si>
    <t>CLUB_SAN_778</t>
  </si>
  <si>
    <t>ORD334</t>
  </si>
  <si>
    <t>COLD_COF_653</t>
  </si>
  <si>
    <t>ORD335</t>
  </si>
  <si>
    <t>VEG_BURG_134</t>
  </si>
  <si>
    <t>ORD336</t>
  </si>
  <si>
    <t>VEG_SAND_790</t>
  </si>
  <si>
    <t>ORD337</t>
  </si>
  <si>
    <t>CHICKEN__426</t>
  </si>
  <si>
    <t>ORD338</t>
  </si>
  <si>
    <t>CLUB_SAN_811</t>
  </si>
  <si>
    <t>ORD339</t>
  </si>
  <si>
    <t>SPRITE_519</t>
  </si>
  <si>
    <t>ORD340</t>
  </si>
  <si>
    <t>GRILLED__757</t>
  </si>
  <si>
    <t>ORD341</t>
  </si>
  <si>
    <t>COLD_COF_831</t>
  </si>
  <si>
    <t>ORD342</t>
  </si>
  <si>
    <t>SPRITE_808</t>
  </si>
  <si>
    <t>ORD343</t>
  </si>
  <si>
    <t>CLUB_SAN_594</t>
  </si>
  <si>
    <t>ORD344</t>
  </si>
  <si>
    <t>COLD_COF_113</t>
  </si>
  <si>
    <t>ORD345</t>
  </si>
  <si>
    <t>MARGHERI_374</t>
  </si>
  <si>
    <t>ORD346</t>
  </si>
  <si>
    <t>CHICKEN__509</t>
  </si>
  <si>
    <t>ORD347</t>
  </si>
  <si>
    <t>SPRITE_518</t>
  </si>
  <si>
    <t>ORD348</t>
  </si>
  <si>
    <t>CHICKEN__745</t>
  </si>
  <si>
    <t>ORD349</t>
  </si>
  <si>
    <t>CHICKEN__412</t>
  </si>
  <si>
    <t>ORD350</t>
  </si>
  <si>
    <t>CHICKEN__446</t>
  </si>
  <si>
    <t>ORD351</t>
  </si>
  <si>
    <t>COKE_688</t>
  </si>
  <si>
    <t>ORD352</t>
  </si>
  <si>
    <t>FRIES_636</t>
  </si>
  <si>
    <t>ORD353</t>
  </si>
  <si>
    <t>SPRITE_933</t>
  </si>
  <si>
    <t>ORD354</t>
  </si>
  <si>
    <t>CHEESE_B_992</t>
  </si>
  <si>
    <t>ORD355</t>
  </si>
  <si>
    <t>SPRITE_590</t>
  </si>
  <si>
    <t>ORD356</t>
  </si>
  <si>
    <t>MARGHERI_141</t>
  </si>
  <si>
    <t>ORD357</t>
  </si>
  <si>
    <t>CHICKEN__169</t>
  </si>
  <si>
    <t>ORD358</t>
  </si>
  <si>
    <t>CHICKEN__480</t>
  </si>
  <si>
    <t>ORD359</t>
  </si>
  <si>
    <t>ONION_RI_371</t>
  </si>
  <si>
    <t>ORD360</t>
  </si>
  <si>
    <t>COKE_704</t>
  </si>
  <si>
    <t>ORD361</t>
  </si>
  <si>
    <t>COLD_COF_710</t>
  </si>
  <si>
    <t>ORD362</t>
  </si>
  <si>
    <t>FRIES_298</t>
  </si>
  <si>
    <t>ORD363</t>
  </si>
  <si>
    <t>CHICKEN__305</t>
  </si>
  <si>
    <t>ORD364</t>
  </si>
  <si>
    <t>GULAB_JA_592</t>
  </si>
  <si>
    <t>ORD365</t>
  </si>
  <si>
    <t>VEG_BURG_951</t>
  </si>
  <si>
    <t>ORD366</t>
  </si>
  <si>
    <t>SPRITE_591</t>
  </si>
  <si>
    <t>ORD367</t>
  </si>
  <si>
    <t>VEG_BURG_331</t>
  </si>
  <si>
    <t>ORD368</t>
  </si>
  <si>
    <t>CHICKEN__621</t>
  </si>
  <si>
    <t>ORD369</t>
  </si>
  <si>
    <t>SPRITE_785</t>
  </si>
  <si>
    <t>ORD370</t>
  </si>
  <si>
    <t>SPRITE_665</t>
  </si>
  <si>
    <t>ORD371</t>
  </si>
  <si>
    <t>CHICKEN__996</t>
  </si>
  <si>
    <t>ORD372</t>
  </si>
  <si>
    <t>PEPPY_PA_100</t>
  </si>
  <si>
    <t>ORD373</t>
  </si>
  <si>
    <t>GRILLED__789</t>
  </si>
  <si>
    <t>ORD374</t>
  </si>
  <si>
    <t>BROWNIE_471</t>
  </si>
  <si>
    <t>ORD375</t>
  </si>
  <si>
    <t>SPRITE_762</t>
  </si>
  <si>
    <t>ORD376</t>
  </si>
  <si>
    <t>CLUB_SAN_801</t>
  </si>
  <si>
    <t>ORD377</t>
  </si>
  <si>
    <t>SPRITE_100</t>
  </si>
  <si>
    <t>ORD378</t>
  </si>
  <si>
    <t>COKE_649</t>
  </si>
  <si>
    <t>ORD379</t>
  </si>
  <si>
    <t>CLUB_SAN_439</t>
  </si>
  <si>
    <t>ORD380</t>
  </si>
  <si>
    <t>ICE_CREA_602</t>
  </si>
  <si>
    <t>ORD381</t>
  </si>
  <si>
    <t>GULAB_JA_716</t>
  </si>
  <si>
    <t>ORD382</t>
  </si>
  <si>
    <t>COKE_377</t>
  </si>
  <si>
    <t>ORD383</t>
  </si>
  <si>
    <t>GRILLED__315</t>
  </si>
  <si>
    <t>ORD384</t>
  </si>
  <si>
    <t>CHICKEN__538</t>
  </si>
  <si>
    <t>ORD385</t>
  </si>
  <si>
    <t>CLUB_SAN_793</t>
  </si>
  <si>
    <t>ORD386</t>
  </si>
  <si>
    <t>GULAB_JA_598</t>
  </si>
  <si>
    <t>ORD387</t>
  </si>
  <si>
    <t>PEPPY_PA_569</t>
  </si>
  <si>
    <t>ORD388</t>
  </si>
  <si>
    <t>GARLIC_B_620</t>
  </si>
  <si>
    <t>ORD389</t>
  </si>
  <si>
    <t>COLD_COF_793</t>
  </si>
  <si>
    <t>ORD390</t>
  </si>
  <si>
    <t>ORD391</t>
  </si>
  <si>
    <t>GRILLED__642</t>
  </si>
  <si>
    <t>ORD392</t>
  </si>
  <si>
    <t>CHICKEN__539</t>
  </si>
  <si>
    <t>ORD393</t>
  </si>
  <si>
    <t>CHICKEN__919</t>
  </si>
  <si>
    <t>ORD394</t>
  </si>
  <si>
    <t>VEG_SAND_990</t>
  </si>
  <si>
    <t>ORD395</t>
  </si>
  <si>
    <t>PEPPY_PA_634</t>
  </si>
  <si>
    <t>ORD396</t>
  </si>
  <si>
    <t>GULAB_JA_689</t>
  </si>
  <si>
    <t>ORD397</t>
  </si>
  <si>
    <t>SPRITE_249</t>
  </si>
  <si>
    <t>ORD398</t>
  </si>
  <si>
    <t>FRIES_144</t>
  </si>
  <si>
    <t>ORD399</t>
  </si>
  <si>
    <t>VEG_BURG_666</t>
  </si>
  <si>
    <t>ORD400</t>
  </si>
  <si>
    <t>COKE_730</t>
  </si>
  <si>
    <t>ORD401</t>
  </si>
  <si>
    <t>COLD_COF_762</t>
  </si>
  <si>
    <t>ORD402</t>
  </si>
  <si>
    <t>CHICKEN__202</t>
  </si>
  <si>
    <t>ORD403</t>
  </si>
  <si>
    <t>PEPPY_PA_726</t>
  </si>
  <si>
    <t>ORD404</t>
  </si>
  <si>
    <t>ORD405</t>
  </si>
  <si>
    <t>CHICKEN__889</t>
  </si>
  <si>
    <t>ORD406</t>
  </si>
  <si>
    <t>CHICKEN__528</t>
  </si>
  <si>
    <t>ORD407</t>
  </si>
  <si>
    <t>MARGHERI_417</t>
  </si>
  <si>
    <t>ORD408</t>
  </si>
  <si>
    <t>FRIES_440</t>
  </si>
  <si>
    <t>ORD409</t>
  </si>
  <si>
    <t>CHEESE_B_200</t>
  </si>
  <si>
    <t>ORD410</t>
  </si>
  <si>
    <t>CHEESE_B_503</t>
  </si>
  <si>
    <t>ORD411</t>
  </si>
  <si>
    <t>COKE_957</t>
  </si>
  <si>
    <t>ORD412</t>
  </si>
  <si>
    <t>SPRITE_230</t>
  </si>
  <si>
    <t>ORD413</t>
  </si>
  <si>
    <t>COKE_666</t>
  </si>
  <si>
    <t>ORD414</t>
  </si>
  <si>
    <t>MARGHERI_921</t>
  </si>
  <si>
    <t>ORD415</t>
  </si>
  <si>
    <t>CHEESE_B_233</t>
  </si>
  <si>
    <t>ORD416</t>
  </si>
  <si>
    <t>CHEESE_B_400</t>
  </si>
  <si>
    <t>ORD417</t>
  </si>
  <si>
    <t>COKE_655</t>
  </si>
  <si>
    <t>ORD418</t>
  </si>
  <si>
    <t>PEPPY_PA_677</t>
  </si>
  <si>
    <t>ORD419</t>
  </si>
  <si>
    <t>CHICKEN__695</t>
  </si>
  <si>
    <t>ORD420</t>
  </si>
  <si>
    <t>COLD_COF_773</t>
  </si>
  <si>
    <t>ORD421</t>
  </si>
  <si>
    <t>VEG_SAND_345</t>
  </si>
  <si>
    <t>ORD422</t>
  </si>
  <si>
    <t>COLD_COF_456</t>
  </si>
  <si>
    <t>ORD423</t>
  </si>
  <si>
    <t>GULAB_JA_392</t>
  </si>
  <si>
    <t>ORD424</t>
  </si>
  <si>
    <t>COKE_939</t>
  </si>
  <si>
    <t>ORD425</t>
  </si>
  <si>
    <t>COLD_COF_218</t>
  </si>
  <si>
    <t>ORD426</t>
  </si>
  <si>
    <t>SPRITE_868</t>
  </si>
  <si>
    <t>ORD427</t>
  </si>
  <si>
    <t>GARLIC_B_118</t>
  </si>
  <si>
    <t>ORD428</t>
  </si>
  <si>
    <t>VEG_BURG_994</t>
  </si>
  <si>
    <t>ORD429</t>
  </si>
  <si>
    <t>PEPPY_PA_211</t>
  </si>
  <si>
    <t>ORD430</t>
  </si>
  <si>
    <t>CLUB_SAN_228</t>
  </si>
  <si>
    <t>ORD431</t>
  </si>
  <si>
    <t>CLUB_SAN_477</t>
  </si>
  <si>
    <t>ORD432</t>
  </si>
  <si>
    <t>SPRITE_156</t>
  </si>
  <si>
    <t>ORD433</t>
  </si>
  <si>
    <t>MARGHERI_915</t>
  </si>
  <si>
    <t>ORD434</t>
  </si>
  <si>
    <t>ORD435</t>
  </si>
  <si>
    <t>CHEESE_B_786</t>
  </si>
  <si>
    <t>ORD436</t>
  </si>
  <si>
    <t>CHICKEN__641</t>
  </si>
  <si>
    <t>ORD437</t>
  </si>
  <si>
    <t>CHEESE_B_907</t>
  </si>
  <si>
    <t>ORD438</t>
  </si>
  <si>
    <t>SPRITE_819</t>
  </si>
  <si>
    <t>ORD439</t>
  </si>
  <si>
    <t>PEPPY_PA_112</t>
  </si>
  <si>
    <t>ORD440</t>
  </si>
  <si>
    <t>SPRITE_207</t>
  </si>
  <si>
    <t>ORD441</t>
  </si>
  <si>
    <t>ICE_CREA_115</t>
  </si>
  <si>
    <t>ORD442</t>
  </si>
  <si>
    <t>COLD_COF_465</t>
  </si>
  <si>
    <t>ORD443</t>
  </si>
  <si>
    <t>CHICKEN__952</t>
  </si>
  <si>
    <t>ORD444</t>
  </si>
  <si>
    <t>ONION_RI_595</t>
  </si>
  <si>
    <t>ORD445</t>
  </si>
  <si>
    <t>CHICKEN__715</t>
  </si>
  <si>
    <t>ORD446</t>
  </si>
  <si>
    <t>ICE_CREA_936</t>
  </si>
  <si>
    <t>ORD447</t>
  </si>
  <si>
    <t>GRILLED__464</t>
  </si>
  <si>
    <t>ORD448</t>
  </si>
  <si>
    <t>VEG_SAND_685</t>
  </si>
  <si>
    <t>ORD449</t>
  </si>
  <si>
    <t>GRILLED__103</t>
  </si>
  <si>
    <t>ORD450</t>
  </si>
  <si>
    <t>MARGHERI_672</t>
  </si>
  <si>
    <t>ORD451</t>
  </si>
  <si>
    <t>SPRITE_960</t>
  </si>
  <si>
    <t>ORD452</t>
  </si>
  <si>
    <t>CHICKEN__845</t>
  </si>
  <si>
    <t>ORD453</t>
  </si>
  <si>
    <t>ORD454</t>
  </si>
  <si>
    <t>FRIES_571</t>
  </si>
  <si>
    <t>ORD455</t>
  </si>
  <si>
    <t>CHICKEN__466</t>
  </si>
  <si>
    <t>ORD456</t>
  </si>
  <si>
    <t>GARLIC_B_602</t>
  </si>
  <si>
    <t>ORD457</t>
  </si>
  <si>
    <t>CHEESE_B_183</t>
  </si>
  <si>
    <t>ORD458</t>
  </si>
  <si>
    <t>BROWNIE_501</t>
  </si>
  <si>
    <t>ORD459</t>
  </si>
  <si>
    <t>ONION_RI_805</t>
  </si>
  <si>
    <t>ORD460</t>
  </si>
  <si>
    <t>COKE_543</t>
  </si>
  <si>
    <t>ORD461</t>
  </si>
  <si>
    <t>BROWNIE_148</t>
  </si>
  <si>
    <t>ORD462</t>
  </si>
  <si>
    <t>ICE_CREA_270</t>
  </si>
  <si>
    <t>ORD463</t>
  </si>
  <si>
    <t>GARLIC_B_903</t>
  </si>
  <si>
    <t>ORD464</t>
  </si>
  <si>
    <t>VEG_SAND_471</t>
  </si>
  <si>
    <t>ORD465</t>
  </si>
  <si>
    <t>VEG_SAND_156</t>
  </si>
  <si>
    <t>ORD466</t>
  </si>
  <si>
    <t>CHEESE_B_252</t>
  </si>
  <si>
    <t>ORD467</t>
  </si>
  <si>
    <t>VEG_SAND_283</t>
  </si>
  <si>
    <t>ORD468</t>
  </si>
  <si>
    <t>VEG_BURG_603</t>
  </si>
  <si>
    <t>ORD469</t>
  </si>
  <si>
    <t>FRIES_118</t>
  </si>
  <si>
    <t>ORD470</t>
  </si>
  <si>
    <t>VEG_BURG_487</t>
  </si>
  <si>
    <t>ORD471</t>
  </si>
  <si>
    <t>ICE_CREA_763</t>
  </si>
  <si>
    <t>ORD472</t>
  </si>
  <si>
    <t>PEPPY_PA_710</t>
  </si>
  <si>
    <t>ORD473</t>
  </si>
  <si>
    <t>CHICKEN__518</t>
  </si>
  <si>
    <t>ORD474</t>
  </si>
  <si>
    <t>COKE_621</t>
  </si>
  <si>
    <t>ORD475</t>
  </si>
  <si>
    <t>VEG_BURG_778</t>
  </si>
  <si>
    <t>ORD476</t>
  </si>
  <si>
    <t>PEPPY_PA_610</t>
  </si>
  <si>
    <t>ORD477</t>
  </si>
  <si>
    <t>SPRITE_831</t>
  </si>
  <si>
    <t>ORD478</t>
  </si>
  <si>
    <t>ORD479</t>
  </si>
  <si>
    <t>ONION_RI_717</t>
  </si>
  <si>
    <t>ORD480</t>
  </si>
  <si>
    <t>PEPPY_PA_116</t>
  </si>
  <si>
    <t>ORD481</t>
  </si>
  <si>
    <t>COLD_COF_597</t>
  </si>
  <si>
    <t>ORD482</t>
  </si>
  <si>
    <t>SPRITE_515</t>
  </si>
  <si>
    <t>ORD483</t>
  </si>
  <si>
    <t>CLUB_SAN_618</t>
  </si>
  <si>
    <t>ORD484</t>
  </si>
  <si>
    <t>PEPPY_PA_830</t>
  </si>
  <si>
    <t>ORD485</t>
  </si>
  <si>
    <t>ICE_CREA_968</t>
  </si>
  <si>
    <t>ORD486</t>
  </si>
  <si>
    <t>GRILLED__240</t>
  </si>
  <si>
    <t>ORD487</t>
  </si>
  <si>
    <t>ORD488</t>
  </si>
  <si>
    <t>ORD489</t>
  </si>
  <si>
    <t>CHICKEN__219</t>
  </si>
  <si>
    <t>ORD490</t>
  </si>
  <si>
    <t>SPRITE_622</t>
  </si>
  <si>
    <t>ORD491</t>
  </si>
  <si>
    <t>ICE_CREA_165</t>
  </si>
  <si>
    <t>ORD492</t>
  </si>
  <si>
    <t>FRIES_656</t>
  </si>
  <si>
    <t>ORD493</t>
  </si>
  <si>
    <t>CHICKEN__700</t>
  </si>
  <si>
    <t>ORD494</t>
  </si>
  <si>
    <t>CHEESE_B_338</t>
  </si>
  <si>
    <t>ORD495</t>
  </si>
  <si>
    <t>PEPPY_PA_787</t>
  </si>
  <si>
    <t>ORD496</t>
  </si>
  <si>
    <t>CHEESE_B_449</t>
  </si>
  <si>
    <t>ORD497</t>
  </si>
  <si>
    <t>GULAB_JA_958</t>
  </si>
  <si>
    <t>ORD498</t>
  </si>
  <si>
    <t>VEG_BURG_837</t>
  </si>
  <si>
    <t>ORD499</t>
  </si>
  <si>
    <t>COKE_993</t>
  </si>
  <si>
    <t>ORD500</t>
  </si>
  <si>
    <t>ONION_RI_650</t>
  </si>
  <si>
    <t>ORD501</t>
  </si>
  <si>
    <t>CHICKEN__390</t>
  </si>
  <si>
    <t>ORD502</t>
  </si>
  <si>
    <t>CHEESE_B_309</t>
  </si>
  <si>
    <t>ORD503</t>
  </si>
  <si>
    <t>BROWNIE_213</t>
  </si>
  <si>
    <t>ORD504</t>
  </si>
  <si>
    <t>VEG_SAND_317</t>
  </si>
  <si>
    <t>ORD505</t>
  </si>
  <si>
    <t>GRILLED__755</t>
  </si>
  <si>
    <t>ORD506</t>
  </si>
  <si>
    <t>GULAB_JA_537</t>
  </si>
  <si>
    <t>ORD507</t>
  </si>
  <si>
    <t>CLUB_SAN_632</t>
  </si>
  <si>
    <t>ORD508</t>
  </si>
  <si>
    <t>GRILLED__348</t>
  </si>
  <si>
    <t>ORD509</t>
  </si>
  <si>
    <t>COLD_COF_183</t>
  </si>
  <si>
    <t>ORD510</t>
  </si>
  <si>
    <t>ICE_CREA_258</t>
  </si>
  <si>
    <t>ORD511</t>
  </si>
  <si>
    <t>CHEESE_B_640</t>
  </si>
  <si>
    <t>ORD512</t>
  </si>
  <si>
    <t>CHICKEN__382</t>
  </si>
  <si>
    <t>ORD513</t>
  </si>
  <si>
    <t>MARGHERI_764</t>
  </si>
  <si>
    <t>ORD514</t>
  </si>
  <si>
    <t>SPRITE_181</t>
  </si>
  <si>
    <t>ORD515</t>
  </si>
  <si>
    <t>VEG_SAND_862</t>
  </si>
  <si>
    <t>ORD516</t>
  </si>
  <si>
    <t>FRIES_591</t>
  </si>
  <si>
    <t>ORD517</t>
  </si>
  <si>
    <t>CHICKEN__342</t>
  </si>
  <si>
    <t>ORD518</t>
  </si>
  <si>
    <t>SPRITE_936</t>
  </si>
  <si>
    <t>ORD519</t>
  </si>
  <si>
    <t>PEPPY_PA_138</t>
  </si>
  <si>
    <t>ORD520</t>
  </si>
  <si>
    <t>CHEESE_B_375</t>
  </si>
  <si>
    <t>ORD521</t>
  </si>
  <si>
    <t>FRIES_135</t>
  </si>
  <si>
    <t>ORD522</t>
  </si>
  <si>
    <t>SPRITE_208</t>
  </si>
  <si>
    <t>ORD523</t>
  </si>
  <si>
    <t>BROWNIE_714</t>
  </si>
  <si>
    <t>ORD524</t>
  </si>
  <si>
    <t>CLUB_SAN_578</t>
  </si>
  <si>
    <t>ORD525</t>
  </si>
  <si>
    <t>ICE_CREA_970</t>
  </si>
  <si>
    <t>ORD526</t>
  </si>
  <si>
    <t>SPRITE_239</t>
  </si>
  <si>
    <t>ORD527</t>
  </si>
  <si>
    <t>CHICKEN__461</t>
  </si>
  <si>
    <t>ORD528</t>
  </si>
  <si>
    <t>VEG_BURG_242</t>
  </si>
  <si>
    <t>ORD529</t>
  </si>
  <si>
    <t>GARLIC_B_369</t>
  </si>
  <si>
    <t>ORD530</t>
  </si>
  <si>
    <t>PEPPY_PA_669</t>
  </si>
  <si>
    <t>ORD531</t>
  </si>
  <si>
    <t>SPRITE_619</t>
  </si>
  <si>
    <t>ORD532</t>
  </si>
  <si>
    <t>ICE_CREA_737</t>
  </si>
  <si>
    <t>ORD533</t>
  </si>
  <si>
    <t>MARGHERI_485</t>
  </si>
  <si>
    <t>ORD534</t>
  </si>
  <si>
    <t>FRIES_741</t>
  </si>
  <si>
    <t>ORD535</t>
  </si>
  <si>
    <t>COLD_COF_157</t>
  </si>
  <si>
    <t>ORD536</t>
  </si>
  <si>
    <t>CHICKEN__666</t>
  </si>
  <si>
    <t>ORD537</t>
  </si>
  <si>
    <t>SPRITE_916</t>
  </si>
  <si>
    <t>ORD538</t>
  </si>
  <si>
    <t>VEG_BURG_715</t>
  </si>
  <si>
    <t>ORD539</t>
  </si>
  <si>
    <t>VEG_SAND_641</t>
  </si>
  <si>
    <t>ORD540</t>
  </si>
  <si>
    <t>COLD_COF_818</t>
  </si>
  <si>
    <t>ORD541</t>
  </si>
  <si>
    <t>COLD_COF_781</t>
  </si>
  <si>
    <t>ORD542</t>
  </si>
  <si>
    <t>COKE_963</t>
  </si>
  <si>
    <t>ORD543</t>
  </si>
  <si>
    <t>ICE_CREA_368</t>
  </si>
  <si>
    <t>ORD544</t>
  </si>
  <si>
    <t>CHEESE_B_650</t>
  </si>
  <si>
    <t>ORD545</t>
  </si>
  <si>
    <t>CHEESE_B_524</t>
  </si>
  <si>
    <t>ORD546</t>
  </si>
  <si>
    <t>CHICKEN__751</t>
  </si>
  <si>
    <t>ORD547</t>
  </si>
  <si>
    <t>GRILLED__332</t>
  </si>
  <si>
    <t>ORD548</t>
  </si>
  <si>
    <t>CHICKEN__150</t>
  </si>
  <si>
    <t>ORD549</t>
  </si>
  <si>
    <t>SPRITE_502</t>
  </si>
  <si>
    <t>ORD550</t>
  </si>
  <si>
    <t>CHEESE_B_228</t>
  </si>
  <si>
    <t>ORD551</t>
  </si>
  <si>
    <t>MARGHERI_602</t>
  </si>
  <si>
    <t>ORD552</t>
  </si>
  <si>
    <t>SPRITE_291</t>
  </si>
  <si>
    <t>ORD553</t>
  </si>
  <si>
    <t>SPRITE_640</t>
  </si>
  <si>
    <t>ORD554</t>
  </si>
  <si>
    <t>COKE_478</t>
  </si>
  <si>
    <t>ORD555</t>
  </si>
  <si>
    <t>FRIES_330</t>
  </si>
  <si>
    <t>ORD556</t>
  </si>
  <si>
    <t>PEPPY_PA_168</t>
  </si>
  <si>
    <t>ORD557</t>
  </si>
  <si>
    <t>VEG_BURG_214</t>
  </si>
  <si>
    <t>ORD558</t>
  </si>
  <si>
    <t>CHEESE_B_632</t>
  </si>
  <si>
    <t>ORD559</t>
  </si>
  <si>
    <t>FRIES_485</t>
  </si>
  <si>
    <t>ORD560</t>
  </si>
  <si>
    <t>VEG_SAND_659</t>
  </si>
  <si>
    <t>ORD561</t>
  </si>
  <si>
    <t>ORD562</t>
  </si>
  <si>
    <t>GULAB_JA_311</t>
  </si>
  <si>
    <t>ORD563</t>
  </si>
  <si>
    <t>MARGHERI_748</t>
  </si>
  <si>
    <t>ORD564</t>
  </si>
  <si>
    <t>VEG_BURG_930</t>
  </si>
  <si>
    <t>ORD565</t>
  </si>
  <si>
    <t>SPRITE_573</t>
  </si>
  <si>
    <t>ORD566</t>
  </si>
  <si>
    <t>CHEESE_B_378</t>
  </si>
  <si>
    <t>ORD567</t>
  </si>
  <si>
    <t>VEG_BURG_565</t>
  </si>
  <si>
    <t>ORD568</t>
  </si>
  <si>
    <t>ORD569</t>
  </si>
  <si>
    <t>MARGHERI_622</t>
  </si>
  <si>
    <t>ORD570</t>
  </si>
  <si>
    <t>CHICKEN__120</t>
  </si>
  <si>
    <t>ORD571</t>
  </si>
  <si>
    <t>FRIES_703</t>
  </si>
  <si>
    <t>ORD572</t>
  </si>
  <si>
    <t>GRILLED__325</t>
  </si>
  <si>
    <t>ORD573</t>
  </si>
  <si>
    <t>SPRITE_896</t>
  </si>
  <si>
    <t>ORD574</t>
  </si>
  <si>
    <t>VEG_BURG_802</t>
  </si>
  <si>
    <t>ORD575</t>
  </si>
  <si>
    <t>COLD_COF_607</t>
  </si>
  <si>
    <t>ORD576</t>
  </si>
  <si>
    <t>PEPPY_PA_878</t>
  </si>
  <si>
    <t>ORD577</t>
  </si>
  <si>
    <t>VEG_BURG_776</t>
  </si>
  <si>
    <t>ORD578</t>
  </si>
  <si>
    <t>CHICKEN__265</t>
  </si>
  <si>
    <t>ORD579</t>
  </si>
  <si>
    <t>ORD580</t>
  </si>
  <si>
    <t>CLUB_SAN_511</t>
  </si>
  <si>
    <t>ORD581</t>
  </si>
  <si>
    <t>COKE_579</t>
  </si>
  <si>
    <t>ORD582</t>
  </si>
  <si>
    <t>ICE_CREA_757</t>
  </si>
  <si>
    <t>ORD583</t>
  </si>
  <si>
    <t>COKE_495</t>
  </si>
  <si>
    <t>ORD584</t>
  </si>
  <si>
    <t>PEPPY_PA_515</t>
  </si>
  <si>
    <t>ORD585</t>
  </si>
  <si>
    <t>SPRITE_313</t>
  </si>
  <si>
    <t>ORD586</t>
  </si>
  <si>
    <t>VEG_BURG_810</t>
  </si>
  <si>
    <t>ORD587</t>
  </si>
  <si>
    <t>CHICKEN__821</t>
  </si>
  <si>
    <t>ORD588</t>
  </si>
  <si>
    <t>PEPPY_PA_404</t>
  </si>
  <si>
    <t>ORD589</t>
  </si>
  <si>
    <t>CHICKEN__289</t>
  </si>
  <si>
    <t>ORD590</t>
  </si>
  <si>
    <t>ICE_CREA_767</t>
  </si>
  <si>
    <t>ORD591</t>
  </si>
  <si>
    <t>ONION_RI_554</t>
  </si>
  <si>
    <t>ORD592</t>
  </si>
  <si>
    <t>SPRITE_333</t>
  </si>
  <si>
    <t>ORD593</t>
  </si>
  <si>
    <t>COLD_COF_246</t>
  </si>
  <si>
    <t>ORD594</t>
  </si>
  <si>
    <t>GULAB_JA_870</t>
  </si>
  <si>
    <t>ORD595</t>
  </si>
  <si>
    <t>CHICKEN__320</t>
  </si>
  <si>
    <t>ORD596</t>
  </si>
  <si>
    <t>MARGHERI_857</t>
  </si>
  <si>
    <t>ORD597</t>
  </si>
  <si>
    <t>GRILLED__388</t>
  </si>
  <si>
    <t>ORD598</t>
  </si>
  <si>
    <t>BROWNIE_853</t>
  </si>
  <si>
    <t>ORD599</t>
  </si>
  <si>
    <t>ICE_CREA_251</t>
  </si>
  <si>
    <t>ORD600</t>
  </si>
  <si>
    <t>GRILLED__137</t>
  </si>
  <si>
    <t>ORD601</t>
  </si>
  <si>
    <t>GULAB_JA_786</t>
  </si>
  <si>
    <t>ORD602</t>
  </si>
  <si>
    <t>ORD603</t>
  </si>
  <si>
    <t>GRILLED__491</t>
  </si>
  <si>
    <t>ORD604</t>
  </si>
  <si>
    <t>CHEESE_B_316</t>
  </si>
  <si>
    <t>ORD605</t>
  </si>
  <si>
    <t>GRILLED__155</t>
  </si>
  <si>
    <t>ORD606</t>
  </si>
  <si>
    <t>CHICKEN__179</t>
  </si>
  <si>
    <t>ORD607</t>
  </si>
  <si>
    <t>MARGHERI_666</t>
  </si>
  <si>
    <t>ORD608</t>
  </si>
  <si>
    <t>MARGHERI_444</t>
  </si>
  <si>
    <t>ORD609</t>
  </si>
  <si>
    <t>VEG_BURG_754</t>
  </si>
  <si>
    <t>ORD610</t>
  </si>
  <si>
    <t>VEG_BURG_958</t>
  </si>
  <si>
    <t>ORD611</t>
  </si>
  <si>
    <t>CHEESE_B_752</t>
  </si>
  <si>
    <t>ORD612</t>
  </si>
  <si>
    <t>COLD_COF_161</t>
  </si>
  <si>
    <t>ORD613</t>
  </si>
  <si>
    <t>GULAB_JA_436</t>
  </si>
  <si>
    <t>ORD614</t>
  </si>
  <si>
    <t>CHICKEN__307</t>
  </si>
  <si>
    <t>ORD615</t>
  </si>
  <si>
    <t>PEPPY_PA_543</t>
  </si>
  <si>
    <t>ORD616</t>
  </si>
  <si>
    <t>CHICKEN__323</t>
  </si>
  <si>
    <t>ORD617</t>
  </si>
  <si>
    <t>ONION_RI_309</t>
  </si>
  <si>
    <t>ORD618</t>
  </si>
  <si>
    <t>SPRITE_943</t>
  </si>
  <si>
    <t>ORD619</t>
  </si>
  <si>
    <t>GRILLED__145</t>
  </si>
  <si>
    <t>ORD620</t>
  </si>
  <si>
    <t>CHICKEN__985</t>
  </si>
  <si>
    <t>ORD621</t>
  </si>
  <si>
    <t>CLUB_SAN_923</t>
  </si>
  <si>
    <t>ORD622</t>
  </si>
  <si>
    <t>COKE_227</t>
  </si>
  <si>
    <t>ORD623</t>
  </si>
  <si>
    <t>CHICKEN__327</t>
  </si>
  <si>
    <t>ORD624</t>
  </si>
  <si>
    <t>CLUB_SAN_303</t>
  </si>
  <si>
    <t>ORD625</t>
  </si>
  <si>
    <t>COLD_COF_791</t>
  </si>
  <si>
    <t>ORD626</t>
  </si>
  <si>
    <t>CHEESE_B_775</t>
  </si>
  <si>
    <t>ORD627</t>
  </si>
  <si>
    <t>ONION_RI_426</t>
  </si>
  <si>
    <t>ORD628</t>
  </si>
  <si>
    <t>CHICKEN__752</t>
  </si>
  <si>
    <t>ORD629</t>
  </si>
  <si>
    <t>GULAB_JA_227</t>
  </si>
  <si>
    <t>ORD630</t>
  </si>
  <si>
    <t>CHICKEN__128</t>
  </si>
  <si>
    <t>ORD631</t>
  </si>
  <si>
    <t>CHEESE_B_176</t>
  </si>
  <si>
    <t>ORD632</t>
  </si>
  <si>
    <t>SPRITE_714</t>
  </si>
  <si>
    <t>ORD633</t>
  </si>
  <si>
    <t>VEG_BURG_897</t>
  </si>
  <si>
    <t>ORD634</t>
  </si>
  <si>
    <t>COKE_238</t>
  </si>
  <si>
    <t>ORD635</t>
  </si>
  <si>
    <t>BROWNIE_500</t>
  </si>
  <si>
    <t>ORD636</t>
  </si>
  <si>
    <t>FRIES_871</t>
  </si>
  <si>
    <t>ORD637</t>
  </si>
  <si>
    <t>FRIES_260</t>
  </si>
  <si>
    <t>ORD638</t>
  </si>
  <si>
    <t>FRIES_512</t>
  </si>
  <si>
    <t>ORD639</t>
  </si>
  <si>
    <t>CHICKEN__657</t>
  </si>
  <si>
    <t>ORD640</t>
  </si>
  <si>
    <t>CHEESE_B_850</t>
  </si>
  <si>
    <t>ORD641</t>
  </si>
  <si>
    <t>VEG_BURG_500</t>
  </si>
  <si>
    <t>ORD642</t>
  </si>
  <si>
    <t>BROWNIE_991</t>
  </si>
  <si>
    <t>ORD643</t>
  </si>
  <si>
    <t>CHICKEN__420</t>
  </si>
  <si>
    <t>ORD644</t>
  </si>
  <si>
    <t>VEG_SAND_827</t>
  </si>
  <si>
    <t>ORD645</t>
  </si>
  <si>
    <t>CLUB_SAN_815</t>
  </si>
  <si>
    <t>ORD646</t>
  </si>
  <si>
    <t>CHICKEN__524</t>
  </si>
  <si>
    <t>ORD647</t>
  </si>
  <si>
    <t>ORD648</t>
  </si>
  <si>
    <t>COLD_COF_727</t>
  </si>
  <si>
    <t>ORD649</t>
  </si>
  <si>
    <t>GRILLED__471</t>
  </si>
  <si>
    <t>ORD650</t>
  </si>
  <si>
    <t>PEPPY_PA_494</t>
  </si>
  <si>
    <t>ORD651</t>
  </si>
  <si>
    <t>MARGHERI_994</t>
  </si>
  <si>
    <t>ORD652</t>
  </si>
  <si>
    <t>GARLIC_B_552</t>
  </si>
  <si>
    <t>ORD653</t>
  </si>
  <si>
    <t>CHEESE_B_849</t>
  </si>
  <si>
    <t>ORD654</t>
  </si>
  <si>
    <t>COLD_COF_384</t>
  </si>
  <si>
    <t>ORD655</t>
  </si>
  <si>
    <t>GARLIC_B_515</t>
  </si>
  <si>
    <t>ORD656</t>
  </si>
  <si>
    <t>COKE_475</t>
  </si>
  <si>
    <t>ORD657</t>
  </si>
  <si>
    <t>ONION_RI_664</t>
  </si>
  <si>
    <t>ORD658</t>
  </si>
  <si>
    <t>MARGHERI_266</t>
  </si>
  <si>
    <t>ORD659</t>
  </si>
  <si>
    <t>SPRITE_648</t>
  </si>
  <si>
    <t>ORD660</t>
  </si>
  <si>
    <t>VEG_SAND_480</t>
  </si>
  <si>
    <t>ORD661</t>
  </si>
  <si>
    <t>GARLIC_B_700</t>
  </si>
  <si>
    <t>ORD662</t>
  </si>
  <si>
    <t>PEPPY_PA_736</t>
  </si>
  <si>
    <t>ORD663</t>
  </si>
  <si>
    <t>BROWNIE_605</t>
  </si>
  <si>
    <t>ORD664</t>
  </si>
  <si>
    <t>COLD_COF_986</t>
  </si>
  <si>
    <t>ORD665</t>
  </si>
  <si>
    <t>COKE_268</t>
  </si>
  <si>
    <t>ORD666</t>
  </si>
  <si>
    <t>FRIES_307</t>
  </si>
  <si>
    <t>ORD667</t>
  </si>
  <si>
    <t>ORD668</t>
  </si>
  <si>
    <t>CHICKEN__479</t>
  </si>
  <si>
    <t>ORD669</t>
  </si>
  <si>
    <t>VEG_BURG_612</t>
  </si>
  <si>
    <t>ORD670</t>
  </si>
  <si>
    <t>CHICKEN__750</t>
  </si>
  <si>
    <t>ORD671</t>
  </si>
  <si>
    <t>COKE_619</t>
  </si>
  <si>
    <t>ORD672</t>
  </si>
  <si>
    <t>MARGHERI_229</t>
  </si>
  <si>
    <t>ORD673</t>
  </si>
  <si>
    <t>GARLIC_B_685</t>
  </si>
  <si>
    <t>ORD674</t>
  </si>
  <si>
    <t>CLUB_SAN_856</t>
  </si>
  <si>
    <t>ORD675</t>
  </si>
  <si>
    <t>MARGHERI_246</t>
  </si>
  <si>
    <t>ORD676</t>
  </si>
  <si>
    <t>GULAB_JA_214</t>
  </si>
  <si>
    <t>ORD677</t>
  </si>
  <si>
    <t>CHEESE_B_278</t>
  </si>
  <si>
    <t>ORD678</t>
  </si>
  <si>
    <t>COLD_COF_525</t>
  </si>
  <si>
    <t>ORD679</t>
  </si>
  <si>
    <t>CHICKEN__688</t>
  </si>
  <si>
    <t>ORD680</t>
  </si>
  <si>
    <t>ICE_CREA_520</t>
  </si>
  <si>
    <t>ORD681</t>
  </si>
  <si>
    <t>SPRITE_649</t>
  </si>
  <si>
    <t>ORD682</t>
  </si>
  <si>
    <t>CHICKEN__517</t>
  </si>
  <si>
    <t>ORD683</t>
  </si>
  <si>
    <t>PEPPY_PA_118</t>
  </si>
  <si>
    <t>ORD684</t>
  </si>
  <si>
    <t>CHICKEN__753</t>
  </si>
  <si>
    <t>ORD685</t>
  </si>
  <si>
    <t>BROWNIE_747</t>
  </si>
  <si>
    <t>ORD686</t>
  </si>
  <si>
    <t>PEPPY_PA_607</t>
  </si>
  <si>
    <t>ORD687</t>
  </si>
  <si>
    <t>COKE_650</t>
  </si>
  <si>
    <t>ORD688</t>
  </si>
  <si>
    <t>COLD_COF_481</t>
  </si>
  <si>
    <t>ORD689</t>
  </si>
  <si>
    <t>COKE_251</t>
  </si>
  <si>
    <t>ORD690</t>
  </si>
  <si>
    <t>MARGHERI_695</t>
  </si>
  <si>
    <t>ORD691</t>
  </si>
  <si>
    <t>BROWNIE_897</t>
  </si>
  <si>
    <t>ORD692</t>
  </si>
  <si>
    <t>CHICKEN__929</t>
  </si>
  <si>
    <t>ORD693</t>
  </si>
  <si>
    <t>GARLIC_B_686</t>
  </si>
  <si>
    <t>ORD694</t>
  </si>
  <si>
    <t>SPRITE_939</t>
  </si>
  <si>
    <t>ORD695</t>
  </si>
  <si>
    <t>SPRITE_275</t>
  </si>
  <si>
    <t>ORD696</t>
  </si>
  <si>
    <t>VEG_BURG_437</t>
  </si>
  <si>
    <t>ORD697</t>
  </si>
  <si>
    <t>CHICKEN__232</t>
  </si>
  <si>
    <t>ORD698</t>
  </si>
  <si>
    <t>COKE_742</t>
  </si>
  <si>
    <t>ORD699</t>
  </si>
  <si>
    <t>COLD_COF_112</t>
  </si>
  <si>
    <t>ORD700</t>
  </si>
  <si>
    <t>COKE_752</t>
  </si>
  <si>
    <t>ORD701</t>
  </si>
  <si>
    <t>FRIES_464</t>
  </si>
  <si>
    <t>ORD702</t>
  </si>
  <si>
    <t>PEPPY_PA_110</t>
  </si>
  <si>
    <t>ORD703</t>
  </si>
  <si>
    <t>PEPPY_PA_380</t>
  </si>
  <si>
    <t>ORD704</t>
  </si>
  <si>
    <t>BROWNIE_533</t>
  </si>
  <si>
    <t>ORD705</t>
  </si>
  <si>
    <t>PEPPY_PA_271</t>
  </si>
  <si>
    <t>ORD706</t>
  </si>
  <si>
    <t>CHICKEN__454</t>
  </si>
  <si>
    <t>ORD707</t>
  </si>
  <si>
    <t>CHICKEN__423</t>
  </si>
  <si>
    <t>ORD708</t>
  </si>
  <si>
    <t>CHEESE_B_293</t>
  </si>
  <si>
    <t>ORD709</t>
  </si>
  <si>
    <t>MARGHERI_510</t>
  </si>
  <si>
    <t>ORD710</t>
  </si>
  <si>
    <t>FRIES_309</t>
  </si>
  <si>
    <t>ORD711</t>
  </si>
  <si>
    <t>ORD712</t>
  </si>
  <si>
    <t>VEG_BURG_648</t>
  </si>
  <si>
    <t>ORD713</t>
  </si>
  <si>
    <t>CHICKEN__842</t>
  </si>
  <si>
    <t>ORD714</t>
  </si>
  <si>
    <t>CHICKEN__541</t>
  </si>
  <si>
    <t>ORD715</t>
  </si>
  <si>
    <t>ORD716</t>
  </si>
  <si>
    <t>CHICKEN__368</t>
  </si>
  <si>
    <t>ORD717</t>
  </si>
  <si>
    <t>COKE_609</t>
  </si>
  <si>
    <t>ORD718</t>
  </si>
  <si>
    <t>CHICKEN__758</t>
  </si>
  <si>
    <t>ORD719</t>
  </si>
  <si>
    <t>VEG_SAND_734</t>
  </si>
  <si>
    <t>ORD720</t>
  </si>
  <si>
    <t>CLUB_SAN_886</t>
  </si>
  <si>
    <t>ORD721</t>
  </si>
  <si>
    <t>SPRITE_372</t>
  </si>
  <si>
    <t>ORD722</t>
  </si>
  <si>
    <t>GARLIC_B_811</t>
  </si>
  <si>
    <t>ORD723</t>
  </si>
  <si>
    <t>SPRITE_908</t>
  </si>
  <si>
    <t>ORD724</t>
  </si>
  <si>
    <t>PEPPY_PA_713</t>
  </si>
  <si>
    <t>ORD725</t>
  </si>
  <si>
    <t>COLD_COF_861</t>
  </si>
  <si>
    <t>ORD726</t>
  </si>
  <si>
    <t>MARGHERI_894</t>
  </si>
  <si>
    <t>ORD727</t>
  </si>
  <si>
    <t>COKE_112</t>
  </si>
  <si>
    <t>ORD728</t>
  </si>
  <si>
    <t>VEG_SAND_654</t>
  </si>
  <si>
    <t>ORD729</t>
  </si>
  <si>
    <t>VEG_BURG_881</t>
  </si>
  <si>
    <t>ORD730</t>
  </si>
  <si>
    <t>PEPPY_PA_190</t>
  </si>
  <si>
    <t>ORD731</t>
  </si>
  <si>
    <t>CHEESE_B_173</t>
  </si>
  <si>
    <t>ORD732</t>
  </si>
  <si>
    <t>ORD733</t>
  </si>
  <si>
    <t>VEG_SAND_981</t>
  </si>
  <si>
    <t>ORD734</t>
  </si>
  <si>
    <t>ORD735</t>
  </si>
  <si>
    <t>CHEESE_B_516</t>
  </si>
  <si>
    <t>ORD736</t>
  </si>
  <si>
    <t>SPRITE_367</t>
  </si>
  <si>
    <t>ORD737</t>
  </si>
  <si>
    <t>VEG_SAND_415</t>
  </si>
  <si>
    <t>ORD738</t>
  </si>
  <si>
    <t>PEPPY_PA_943</t>
  </si>
  <si>
    <t>ORD739</t>
  </si>
  <si>
    <t>CHICKEN__145</t>
  </si>
  <si>
    <t>ORD740</t>
  </si>
  <si>
    <t>CHICKEN__837</t>
  </si>
  <si>
    <t>ORD741</t>
  </si>
  <si>
    <t>MARGHERI_882</t>
  </si>
  <si>
    <t>ORD742</t>
  </si>
  <si>
    <t>CLUB_SAN_336</t>
  </si>
  <si>
    <t>ORD743</t>
  </si>
  <si>
    <t>ICE_CREA_770</t>
  </si>
  <si>
    <t>ORD744</t>
  </si>
  <si>
    <t>GARLIC_B_972</t>
  </si>
  <si>
    <t>ORD745</t>
  </si>
  <si>
    <t>GULAB_JA_435</t>
  </si>
  <si>
    <t>ORD746</t>
  </si>
  <si>
    <t>COLD_COF_162</t>
  </si>
  <si>
    <t>ORD747</t>
  </si>
  <si>
    <t>CHICKEN__288</t>
  </si>
  <si>
    <t>ORD748</t>
  </si>
  <si>
    <t>PEPPY_PA_571</t>
  </si>
  <si>
    <t>ORD749</t>
  </si>
  <si>
    <t>FRIES_949</t>
  </si>
  <si>
    <t>ORD750</t>
  </si>
  <si>
    <t>PEPPY_PA_516</t>
  </si>
  <si>
    <t>ORD751</t>
  </si>
  <si>
    <t>CHICKEN__718</t>
  </si>
  <si>
    <t>ORD752</t>
  </si>
  <si>
    <t>CHICKEN__122</t>
  </si>
  <si>
    <t>ORD753</t>
  </si>
  <si>
    <t>GULAB_JA_756</t>
  </si>
  <si>
    <t>ORD754</t>
  </si>
  <si>
    <t>ONION_RI_437</t>
  </si>
  <si>
    <t>ORD755</t>
  </si>
  <si>
    <t>COKE_167</t>
  </si>
  <si>
    <t>ORD756</t>
  </si>
  <si>
    <t>ORD757</t>
  </si>
  <si>
    <t>VEG_BURG_591</t>
  </si>
  <si>
    <t>ORD758</t>
  </si>
  <si>
    <t>COKE_487</t>
  </si>
  <si>
    <t>ORD759</t>
  </si>
  <si>
    <t>CHICKEN__376</t>
  </si>
  <si>
    <t>ORD760</t>
  </si>
  <si>
    <t>ICE_CREA_640</t>
  </si>
  <si>
    <t>ORD761</t>
  </si>
  <si>
    <t>COKE_433</t>
  </si>
  <si>
    <t>ORD762</t>
  </si>
  <si>
    <t>CHEESE_B_424</t>
  </si>
  <si>
    <t>ORD763</t>
  </si>
  <si>
    <t>SPRITE_486</t>
  </si>
  <si>
    <t>ORD764</t>
  </si>
  <si>
    <t>GARLIC_B_347</t>
  </si>
  <si>
    <t>ORD765</t>
  </si>
  <si>
    <t>COKE_707</t>
  </si>
  <si>
    <t>ORD766</t>
  </si>
  <si>
    <t>CHEESE_B_220</t>
  </si>
  <si>
    <t>ORD767</t>
  </si>
  <si>
    <t>PEPPY_PA_627</t>
  </si>
  <si>
    <t>ORD768</t>
  </si>
  <si>
    <t>ORD769</t>
  </si>
  <si>
    <t>COLD_COF_945</t>
  </si>
  <si>
    <t>ORD770</t>
  </si>
  <si>
    <t>MARGHERI_758</t>
  </si>
  <si>
    <t>ORD771</t>
  </si>
  <si>
    <t>GRILLED__620</t>
  </si>
  <si>
    <t>ORD772</t>
  </si>
  <si>
    <t>VEG_BURG_628</t>
  </si>
  <si>
    <t>ORD773</t>
  </si>
  <si>
    <t>CLUB_SAN_363</t>
  </si>
  <si>
    <t>ORD774</t>
  </si>
  <si>
    <t>BROWNIE_571</t>
  </si>
  <si>
    <t>ORD775</t>
  </si>
  <si>
    <t>GULAB_JA_265</t>
  </si>
  <si>
    <t>ORD776</t>
  </si>
  <si>
    <t>CHICKEN__679</t>
  </si>
  <si>
    <t>ORD777</t>
  </si>
  <si>
    <t>FRIES_912</t>
  </si>
  <si>
    <t>ORD778</t>
  </si>
  <si>
    <t>MARGHERI_542</t>
  </si>
  <si>
    <t>ORD779</t>
  </si>
  <si>
    <t>ORD780</t>
  </si>
  <si>
    <t>ORD781</t>
  </si>
  <si>
    <t>GULAB_JA_243</t>
  </si>
  <si>
    <t>ORD782</t>
  </si>
  <si>
    <t>GULAB_JA_838</t>
  </si>
  <si>
    <t>ORD783</t>
  </si>
  <si>
    <t>CLUB_SAN_116</t>
  </si>
  <si>
    <t>ORD784</t>
  </si>
  <si>
    <t>COKE_665</t>
  </si>
  <si>
    <t>ORD785</t>
  </si>
  <si>
    <t>SPRITE_826</t>
  </si>
  <si>
    <t>ORD786</t>
  </si>
  <si>
    <t>ORD787</t>
  </si>
  <si>
    <t>CHEESE_B_990</t>
  </si>
  <si>
    <t>ORD788</t>
  </si>
  <si>
    <t>ORD789</t>
  </si>
  <si>
    <t>GULAB_JA_309</t>
  </si>
  <si>
    <t>ORD790</t>
  </si>
  <si>
    <t>CHEESE_B_554</t>
  </si>
  <si>
    <t>ORD791</t>
  </si>
  <si>
    <t>CHICKEN__585</t>
  </si>
  <si>
    <t>ORD792</t>
  </si>
  <si>
    <t>COLD_COF_846</t>
  </si>
  <si>
    <t>ORD793</t>
  </si>
  <si>
    <t>FRIES_698</t>
  </si>
  <si>
    <t>ORD794</t>
  </si>
  <si>
    <t>ONION_RI_152</t>
  </si>
  <si>
    <t>ORD795</t>
  </si>
  <si>
    <t>VEG_BURG_464</t>
  </si>
  <si>
    <t>ORD796</t>
  </si>
  <si>
    <t>SPRITE_651</t>
  </si>
  <si>
    <t>ORD797</t>
  </si>
  <si>
    <t>CHICKEN__935</t>
  </si>
  <si>
    <t>ORD798</t>
  </si>
  <si>
    <t>SPRITE_639</t>
  </si>
  <si>
    <t>ORD799</t>
  </si>
  <si>
    <t>MARGHERI_549</t>
  </si>
  <si>
    <t>ORD800</t>
  </si>
  <si>
    <t>PEPPY_PA_905</t>
  </si>
  <si>
    <t>ORD801</t>
  </si>
  <si>
    <t>VEG_SAND_730</t>
  </si>
  <si>
    <t>ORD802</t>
  </si>
  <si>
    <t>COLD_COF_880</t>
  </si>
  <si>
    <t>ORD803</t>
  </si>
  <si>
    <t>VEG_SAND_566</t>
  </si>
  <si>
    <t>ORD804</t>
  </si>
  <si>
    <t>COKE_783</t>
  </si>
  <si>
    <t>ORD805</t>
  </si>
  <si>
    <t>CHICKEN__632</t>
  </si>
  <si>
    <t>ORD806</t>
  </si>
  <si>
    <t>COKE_838</t>
  </si>
  <si>
    <t>ORD807</t>
  </si>
  <si>
    <t>GRILLED__845</t>
  </si>
  <si>
    <t>ORD808</t>
  </si>
  <si>
    <t>BROWNIE_966</t>
  </si>
  <si>
    <t>ORD809</t>
  </si>
  <si>
    <t>CHEESE_B_997</t>
  </si>
  <si>
    <t>ORD810</t>
  </si>
  <si>
    <t>MARGHERI_961</t>
  </si>
  <si>
    <t>ORD811</t>
  </si>
  <si>
    <t>COKE_802</t>
  </si>
  <si>
    <t>ORD812</t>
  </si>
  <si>
    <t>COKE_417</t>
  </si>
  <si>
    <t>ORD813</t>
  </si>
  <si>
    <t>COLD_COF_490</t>
  </si>
  <si>
    <t>ORD814</t>
  </si>
  <si>
    <t>SPRITE_776</t>
  </si>
  <si>
    <t>ORD815</t>
  </si>
  <si>
    <t>CHEESE_B_480</t>
  </si>
  <si>
    <t>ORD816</t>
  </si>
  <si>
    <t>SPRITE_738</t>
  </si>
  <si>
    <t>ORD817</t>
  </si>
  <si>
    <t>ORD818</t>
  </si>
  <si>
    <t>GARLIC_B_573</t>
  </si>
  <si>
    <t>ORD819</t>
  </si>
  <si>
    <t>COLD_COF_979</t>
  </si>
  <si>
    <t>ORD820</t>
  </si>
  <si>
    <t>CHEESE_B_458</t>
  </si>
  <si>
    <t>ORD821</t>
  </si>
  <si>
    <t>COLD_COF_154</t>
  </si>
  <si>
    <t>ORD822</t>
  </si>
  <si>
    <t>CHICKEN__795</t>
  </si>
  <si>
    <t>ORD823</t>
  </si>
  <si>
    <t>COLD_COF_637</t>
  </si>
  <si>
    <t>ORD824</t>
  </si>
  <si>
    <t>GARLIC_B_856</t>
  </si>
  <si>
    <t>ORD825</t>
  </si>
  <si>
    <t>ORD826</t>
  </si>
  <si>
    <t>GRILLED__596</t>
  </si>
  <si>
    <t>ORD827</t>
  </si>
  <si>
    <t>CHICKEN__742</t>
  </si>
  <si>
    <t>ORD828</t>
  </si>
  <si>
    <t>CHICKEN__522</t>
  </si>
  <si>
    <t>ORD829</t>
  </si>
  <si>
    <t>GULAB_JA_833</t>
  </si>
  <si>
    <t>ORD830</t>
  </si>
  <si>
    <t>COLD_COF_600</t>
  </si>
  <si>
    <t>ORD831</t>
  </si>
  <si>
    <t>GRILLED__419</t>
  </si>
  <si>
    <t>ORD832</t>
  </si>
  <si>
    <t>COKE_815</t>
  </si>
  <si>
    <t>ORD833</t>
  </si>
  <si>
    <t>MARGHERI_597</t>
  </si>
  <si>
    <t>ORD834</t>
  </si>
  <si>
    <t>PEPPY_PA_915</t>
  </si>
  <si>
    <t>ORD835</t>
  </si>
  <si>
    <t>CHICKEN__774</t>
  </si>
  <si>
    <t>ORD836</t>
  </si>
  <si>
    <t>VEG_BURG_890</t>
  </si>
  <si>
    <t>ORD837</t>
  </si>
  <si>
    <t>GARLIC_B_951</t>
  </si>
  <si>
    <t>ORD838</t>
  </si>
  <si>
    <t>CHICKEN__593</t>
  </si>
  <si>
    <t>ORD839</t>
  </si>
  <si>
    <t>CHICKEN__213</t>
  </si>
  <si>
    <t>ORD840</t>
  </si>
  <si>
    <t>COKE_990</t>
  </si>
  <si>
    <t>ORD841</t>
  </si>
  <si>
    <t>COKE_100</t>
  </si>
  <si>
    <t>ORD842</t>
  </si>
  <si>
    <t>MARGHERI_737</t>
  </si>
  <si>
    <t>ORD843</t>
  </si>
  <si>
    <t>BROWNIE_439</t>
  </si>
  <si>
    <t>ORD844</t>
  </si>
  <si>
    <t>CHICKEN__965</t>
  </si>
  <si>
    <t>ORD845</t>
  </si>
  <si>
    <t>COLD_COF_659</t>
  </si>
  <si>
    <t>ORD846</t>
  </si>
  <si>
    <t>CHICKEN__865</t>
  </si>
  <si>
    <t>ORD847</t>
  </si>
  <si>
    <t>ORD848</t>
  </si>
  <si>
    <t>COLD_COF_933</t>
  </si>
  <si>
    <t>ORD849</t>
  </si>
  <si>
    <t>PEPPY_PA_935</t>
  </si>
  <si>
    <t>ORD850</t>
  </si>
  <si>
    <t>CHEESE_B_423</t>
  </si>
  <si>
    <t>ORD851</t>
  </si>
  <si>
    <t>COKE_616</t>
  </si>
  <si>
    <t>ORD852</t>
  </si>
  <si>
    <t>GARLIC_B_510</t>
  </si>
  <si>
    <t>ORD853</t>
  </si>
  <si>
    <t>SPRITE_539</t>
  </si>
  <si>
    <t>ORD854</t>
  </si>
  <si>
    <t>COLD_COF_133</t>
  </si>
  <si>
    <t>ORD855</t>
  </si>
  <si>
    <t>GULAB_JA_714</t>
  </si>
  <si>
    <t>ORD856</t>
  </si>
  <si>
    <t>SPRITE_745</t>
  </si>
  <si>
    <t>ORD857</t>
  </si>
  <si>
    <t>CHICKEN__984</t>
  </si>
  <si>
    <t>ORD858</t>
  </si>
  <si>
    <t>CHICKEN__937</t>
  </si>
  <si>
    <t>ORD859</t>
  </si>
  <si>
    <t>ICE_CREA_579</t>
  </si>
  <si>
    <t>ORD860</t>
  </si>
  <si>
    <t>COKE_547</t>
  </si>
  <si>
    <t>ORD861</t>
  </si>
  <si>
    <t>SPRITE_512</t>
  </si>
  <si>
    <t>ORD862</t>
  </si>
  <si>
    <t>VEG_BURG_416</t>
  </si>
  <si>
    <t>ORD863</t>
  </si>
  <si>
    <t>CLUB_SAN_636</t>
  </si>
  <si>
    <t>ORD864</t>
  </si>
  <si>
    <t>GRILLED__704</t>
  </si>
  <si>
    <t>ORD865</t>
  </si>
  <si>
    <t>GULAB_JA_725</t>
  </si>
  <si>
    <t>ORD866</t>
  </si>
  <si>
    <t>MARGHERI_998</t>
  </si>
  <si>
    <t>ORD867</t>
  </si>
  <si>
    <t>ONION_RI_915</t>
  </si>
  <si>
    <t>ORD868</t>
  </si>
  <si>
    <t>ORD869</t>
  </si>
  <si>
    <t>COLD_COF_426</t>
  </si>
  <si>
    <t>ORD870</t>
  </si>
  <si>
    <t>CHEESE_B_283</t>
  </si>
  <si>
    <t>ORD871</t>
  </si>
  <si>
    <t>COKE_598</t>
  </si>
  <si>
    <t>ORD872</t>
  </si>
  <si>
    <t>ICE_CREA_864</t>
  </si>
  <si>
    <t>ORD873</t>
  </si>
  <si>
    <t>COKE_236</t>
  </si>
  <si>
    <t>ORD874</t>
  </si>
  <si>
    <t>GRILLED__886</t>
  </si>
  <si>
    <t>ORD875</t>
  </si>
  <si>
    <t>COLD_COF_422</t>
  </si>
  <si>
    <t>ORD876</t>
  </si>
  <si>
    <t>ORD877</t>
  </si>
  <si>
    <t>MARGHERI_967</t>
  </si>
  <si>
    <t>ORD878</t>
  </si>
  <si>
    <t>VEG_SAND_683</t>
  </si>
  <si>
    <t>ORD879</t>
  </si>
  <si>
    <t>VEG_BURG_472</t>
  </si>
  <si>
    <t>ORD880</t>
  </si>
  <si>
    <t>GRILLED__355</t>
  </si>
  <si>
    <t>ORD881</t>
  </si>
  <si>
    <t>GRILLED__860</t>
  </si>
  <si>
    <t>ORD882</t>
  </si>
  <si>
    <t>SPRITE_948</t>
  </si>
  <si>
    <t>ORD883</t>
  </si>
  <si>
    <t>GRILLED__198</t>
  </si>
  <si>
    <t>ORD884</t>
  </si>
  <si>
    <t>PEPPY_PA_629</t>
  </si>
  <si>
    <t>ORD885</t>
  </si>
  <si>
    <t>CHICKEN__703</t>
  </si>
  <si>
    <t>ORD886</t>
  </si>
  <si>
    <t>COLD_COF_839</t>
  </si>
  <si>
    <t>ORD887</t>
  </si>
  <si>
    <t>GARLIC_B_269</t>
  </si>
  <si>
    <t>ORD888</t>
  </si>
  <si>
    <t>CHEESE_B_649</t>
  </si>
  <si>
    <t>ORD889</t>
  </si>
  <si>
    <t>ONION_RI_107</t>
  </si>
  <si>
    <t>ORD890</t>
  </si>
  <si>
    <t>COLD_COF_722</t>
  </si>
  <si>
    <t>ORD891</t>
  </si>
  <si>
    <t>ONION_RI_110</t>
  </si>
  <si>
    <t>ORD892</t>
  </si>
  <si>
    <t>SPRITE_894</t>
  </si>
  <si>
    <t>ORD893</t>
  </si>
  <si>
    <t>COKE_747</t>
  </si>
  <si>
    <t>ORD894</t>
  </si>
  <si>
    <t>VEG_BURG_556</t>
  </si>
  <si>
    <t>ORD895</t>
  </si>
  <si>
    <t>SPRITE_793</t>
  </si>
  <si>
    <t>ORD896</t>
  </si>
  <si>
    <t>ICE_CREA_410</t>
  </si>
  <si>
    <t>ORD897</t>
  </si>
  <si>
    <t>MARGHERI_452</t>
  </si>
  <si>
    <t>ORD898</t>
  </si>
  <si>
    <t>CHICKEN__624</t>
  </si>
  <si>
    <t>ORD899</t>
  </si>
  <si>
    <t>GULAB_JA_471</t>
  </si>
  <si>
    <t>ORD900</t>
  </si>
  <si>
    <t>CHEESE_B_772</t>
  </si>
  <si>
    <t>ORD901</t>
  </si>
  <si>
    <t>COLD_COF_286</t>
  </si>
  <si>
    <t>ORD902</t>
  </si>
  <si>
    <t>CHEESE_B_277</t>
  </si>
  <si>
    <t>ORD903</t>
  </si>
  <si>
    <t>VEG_BURG_198</t>
  </si>
  <si>
    <t>ORD904</t>
  </si>
  <si>
    <t>BROWNIE_554</t>
  </si>
  <si>
    <t>ORD905</t>
  </si>
  <si>
    <t>MARGHERI_654</t>
  </si>
  <si>
    <t>ORD906</t>
  </si>
  <si>
    <t>ORD907</t>
  </si>
  <si>
    <t>FRIES_754</t>
  </si>
  <si>
    <t>ORD908</t>
  </si>
  <si>
    <t>CHEESE_B_126</t>
  </si>
  <si>
    <t>ORD909</t>
  </si>
  <si>
    <t>COKE_974</t>
  </si>
  <si>
    <t>ORD910</t>
  </si>
  <si>
    <t>ICE_CREA_435</t>
  </si>
  <si>
    <t>ORD911</t>
  </si>
  <si>
    <t>ONION_RI_856</t>
  </si>
  <si>
    <t>ORD912</t>
  </si>
  <si>
    <t>BROWNIE_711</t>
  </si>
  <si>
    <t>ORD913</t>
  </si>
  <si>
    <t>CHEESE_B_114</t>
  </si>
  <si>
    <t>ORD914</t>
  </si>
  <si>
    <t>COLD_COF_862</t>
  </si>
  <si>
    <t>ORD915</t>
  </si>
  <si>
    <t>CHEESE_B_890</t>
  </si>
  <si>
    <t>ORD916</t>
  </si>
  <si>
    <t>MARGHERI_740</t>
  </si>
  <si>
    <t>ORD917</t>
  </si>
  <si>
    <t>SPRITE_600</t>
  </si>
  <si>
    <t>ORD918</t>
  </si>
  <si>
    <t>COLD_COF_927</t>
  </si>
  <si>
    <t>ORD919</t>
  </si>
  <si>
    <t>CHICKEN__227</t>
  </si>
  <si>
    <t>ORD920</t>
  </si>
  <si>
    <t>COLD_COF_210</t>
  </si>
  <si>
    <t>ORD921</t>
  </si>
  <si>
    <t>MARGHERI_197</t>
  </si>
  <si>
    <t>ORD922</t>
  </si>
  <si>
    <t>CHEESE_B_797</t>
  </si>
  <si>
    <t>ORD923</t>
  </si>
  <si>
    <t>PEPPY_PA_208</t>
  </si>
  <si>
    <t>ORD924</t>
  </si>
  <si>
    <t>SPRITE_777</t>
  </si>
  <si>
    <t>ORD925</t>
  </si>
  <si>
    <t>CHICKEN__410</t>
  </si>
  <si>
    <t>ORD926</t>
  </si>
  <si>
    <t>CHICKEN__584</t>
  </si>
  <si>
    <t>ORD927</t>
  </si>
  <si>
    <t>VEG_BURG_650</t>
  </si>
  <si>
    <t>ORD928</t>
  </si>
  <si>
    <t>MARGHERI_678</t>
  </si>
  <si>
    <t>ORD929</t>
  </si>
  <si>
    <t>ORD930</t>
  </si>
  <si>
    <t>CLUB_SAN_838</t>
  </si>
  <si>
    <t>ORD931</t>
  </si>
  <si>
    <t>CHICKEN__391</t>
  </si>
  <si>
    <t>ORD932</t>
  </si>
  <si>
    <t>ICE_CREA_855</t>
  </si>
  <si>
    <t>ORD933</t>
  </si>
  <si>
    <t>PEPPY_PA_895</t>
  </si>
  <si>
    <t>ORD934</t>
  </si>
  <si>
    <t>MARGHERI_626</t>
  </si>
  <si>
    <t>ORD935</t>
  </si>
  <si>
    <t>COKE_601</t>
  </si>
  <si>
    <t>ORD936</t>
  </si>
  <si>
    <t>ORD937</t>
  </si>
  <si>
    <t>SPRITE_657</t>
  </si>
  <si>
    <t>ORD938</t>
  </si>
  <si>
    <t>GULAB_JA_920</t>
  </si>
  <si>
    <t>ORD939</t>
  </si>
  <si>
    <t>BROWNIE_151</t>
  </si>
  <si>
    <t>ORD940</t>
  </si>
  <si>
    <t>BROWNIE_408</t>
  </si>
  <si>
    <t>ORD941</t>
  </si>
  <si>
    <t>BROWNIE_567</t>
  </si>
  <si>
    <t>ORD942</t>
  </si>
  <si>
    <t>VEG_BURG_714</t>
  </si>
  <si>
    <t>ORD943</t>
  </si>
  <si>
    <t>PEPPY_PA_298</t>
  </si>
  <si>
    <t>ORD944</t>
  </si>
  <si>
    <t>CHEESE_B_169</t>
  </si>
  <si>
    <t>ORD945</t>
  </si>
  <si>
    <t>CHICKEN__297</t>
  </si>
  <si>
    <t>ORD946</t>
  </si>
  <si>
    <t>GULAB_JA_202</t>
  </si>
  <si>
    <t>ORD947</t>
  </si>
  <si>
    <t>ICE_CREA_577</t>
  </si>
  <si>
    <t>ORD948</t>
  </si>
  <si>
    <t>PEPPY_PA_877</t>
  </si>
  <si>
    <t>ORD949</t>
  </si>
  <si>
    <t>VEG_SAND_630</t>
  </si>
  <si>
    <t>ORD950</t>
  </si>
  <si>
    <t>SPRITE_625</t>
  </si>
  <si>
    <t>ORD951</t>
  </si>
  <si>
    <t>CHICKEN__943</t>
  </si>
  <si>
    <t>ORD952</t>
  </si>
  <si>
    <t>GULAB_JA_433</t>
  </si>
  <si>
    <t>ORD953</t>
  </si>
  <si>
    <t>COKE_489</t>
  </si>
  <si>
    <t>ORD954</t>
  </si>
  <si>
    <t>GARLIC_B_802</t>
  </si>
  <si>
    <t>ORD955</t>
  </si>
  <si>
    <t>CHICKEN__862</t>
  </si>
  <si>
    <t>ORD956</t>
  </si>
  <si>
    <t>CHICKEN__652</t>
  </si>
  <si>
    <t>ORD957</t>
  </si>
  <si>
    <t>PEPPY_PA_672</t>
  </si>
  <si>
    <t>ORD958</t>
  </si>
  <si>
    <t>CHEESE_B_124</t>
  </si>
  <si>
    <t>ORD959</t>
  </si>
  <si>
    <t>GRILLED__927</t>
  </si>
  <si>
    <t>ORD960</t>
  </si>
  <si>
    <t>ONION_RI_279</t>
  </si>
  <si>
    <t>ORD961</t>
  </si>
  <si>
    <t>MARGHERI_529</t>
  </si>
  <si>
    <t>ORD962</t>
  </si>
  <si>
    <t>MARGHERI_183</t>
  </si>
  <si>
    <t>ORD963</t>
  </si>
  <si>
    <t>VEG_BURG_697</t>
  </si>
  <si>
    <t>ORD964</t>
  </si>
  <si>
    <t>PEPPY_PA_508</t>
  </si>
  <si>
    <t>ORD965</t>
  </si>
  <si>
    <t>CHEESE_B_679</t>
  </si>
  <si>
    <t>ORD966</t>
  </si>
  <si>
    <t>VEG_BURG_176</t>
  </si>
  <si>
    <t>ORD967</t>
  </si>
  <si>
    <t>COKE_689</t>
  </si>
  <si>
    <t>ORD968</t>
  </si>
  <si>
    <t>MARGHERI_952</t>
  </si>
  <si>
    <t>ORD969</t>
  </si>
  <si>
    <t>MARGHERI_160</t>
  </si>
  <si>
    <t>ORD970</t>
  </si>
  <si>
    <t>ORD971</t>
  </si>
  <si>
    <t>CLUB_SAN_553</t>
  </si>
  <si>
    <t>ORD972</t>
  </si>
  <si>
    <t>VEG_BURG_575</t>
  </si>
  <si>
    <t>ORD973</t>
  </si>
  <si>
    <t>ONION_RI_161</t>
  </si>
  <si>
    <t>ORD974</t>
  </si>
  <si>
    <t>VEG_BURG_205</t>
  </si>
  <si>
    <t>ORD975</t>
  </si>
  <si>
    <t>VEG_SAND_363</t>
  </si>
  <si>
    <t>ORD976</t>
  </si>
  <si>
    <t>PEPPY_PA_575</t>
  </si>
  <si>
    <t>ORD977</t>
  </si>
  <si>
    <t>PEPPY_PA_856</t>
  </si>
  <si>
    <t>ORD978</t>
  </si>
  <si>
    <t>GRILLED__803</t>
  </si>
  <si>
    <t>ORD979</t>
  </si>
  <si>
    <t>CHICKEN__546</t>
  </si>
  <si>
    <t>ORD980</t>
  </si>
  <si>
    <t>GULAB_JA_476</t>
  </si>
  <si>
    <t>ORD981</t>
  </si>
  <si>
    <t>VEG_SAND_217</t>
  </si>
  <si>
    <t>ORD982</t>
  </si>
  <si>
    <t>COKE_763</t>
  </si>
  <si>
    <t>ORD983</t>
  </si>
  <si>
    <t>BROWNIE_551</t>
  </si>
  <si>
    <t>ORD984</t>
  </si>
  <si>
    <t>GRILLED__763</t>
  </si>
  <si>
    <t>ORD985</t>
  </si>
  <si>
    <t>VEG_BURG_367</t>
  </si>
  <si>
    <t>ORD986</t>
  </si>
  <si>
    <t>COKE_402</t>
  </si>
  <si>
    <t>ORD987</t>
  </si>
  <si>
    <t>CHICKEN__957</t>
  </si>
  <si>
    <t>ORD988</t>
  </si>
  <si>
    <t>FRIES_749</t>
  </si>
  <si>
    <t>ORD989</t>
  </si>
  <si>
    <t>CHICKEN__301</t>
  </si>
  <si>
    <t>ORD990</t>
  </si>
  <si>
    <t>ICE_CREA_972</t>
  </si>
  <si>
    <t>ORD991</t>
  </si>
  <si>
    <t>PEPPY_PA_942</t>
  </si>
  <si>
    <t>ORD992</t>
  </si>
  <si>
    <t>BROWNIE_374</t>
  </si>
  <si>
    <t>ORD993</t>
  </si>
  <si>
    <t>CHICKEN__464</t>
  </si>
  <si>
    <t>ORD994</t>
  </si>
  <si>
    <t>VEG_BURG_102</t>
  </si>
  <si>
    <t>ORD995</t>
  </si>
  <si>
    <t>COKE_308</t>
  </si>
  <si>
    <t>ORD996</t>
  </si>
  <si>
    <t>SPRITE_188</t>
  </si>
  <si>
    <t>ORD997</t>
  </si>
  <si>
    <t>ONION_RI_347</t>
  </si>
  <si>
    <t>ORD998</t>
  </si>
  <si>
    <t>ONION_RI_497</t>
  </si>
  <si>
    <t>ORD999</t>
  </si>
  <si>
    <t>COKE_559</t>
  </si>
  <si>
    <t>ORD1000</t>
  </si>
  <si>
    <t>COKE_720</t>
  </si>
  <si>
    <t>ORD1001</t>
  </si>
  <si>
    <t>COKE_879</t>
  </si>
  <si>
    <t>ORD1002</t>
  </si>
  <si>
    <t>COKE_571</t>
  </si>
  <si>
    <t>ORD1003</t>
  </si>
  <si>
    <t>GRILLED__658</t>
  </si>
  <si>
    <t>ORD1004</t>
  </si>
  <si>
    <t>ICE_CREA_625</t>
  </si>
  <si>
    <t>ORD1005</t>
  </si>
  <si>
    <t>CHICKEN__311</t>
  </si>
  <si>
    <t>ORD1006</t>
  </si>
  <si>
    <t>SPRITE_227</t>
  </si>
  <si>
    <t>ORD1007</t>
  </si>
  <si>
    <t>BROWNIE_968</t>
  </si>
  <si>
    <t>ORD1008</t>
  </si>
  <si>
    <t>FRIES_851</t>
  </si>
  <si>
    <t>ORD1009</t>
  </si>
  <si>
    <t>COKE_848</t>
  </si>
  <si>
    <t>ORD1010</t>
  </si>
  <si>
    <t>MARGHERI_583</t>
  </si>
  <si>
    <t>ORD1011</t>
  </si>
  <si>
    <t>CHICKEN__421</t>
  </si>
  <si>
    <t>ORD1012</t>
  </si>
  <si>
    <t>CHICKEN__612</t>
  </si>
  <si>
    <t>ORD1013</t>
  </si>
  <si>
    <t>FRIES_638</t>
  </si>
  <si>
    <t>ORD1014</t>
  </si>
  <si>
    <t>CLUB_SAN_214</t>
  </si>
  <si>
    <t>ORD1015</t>
  </si>
  <si>
    <t>GRILLED__739</t>
  </si>
  <si>
    <t>ORD1016</t>
  </si>
  <si>
    <t>BROWNIE_667</t>
  </si>
  <si>
    <t>ORD1017</t>
  </si>
  <si>
    <t>COKE_156</t>
  </si>
  <si>
    <t>ORD1018</t>
  </si>
  <si>
    <t>COLD_COF_664</t>
  </si>
  <si>
    <t>ORD1019</t>
  </si>
  <si>
    <t>CLUB_SAN_159</t>
  </si>
  <si>
    <t>ORD1020</t>
  </si>
  <si>
    <t>PEPPY_PA_978</t>
  </si>
  <si>
    <t>ORD1021</t>
  </si>
  <si>
    <t>CHICKEN__930</t>
  </si>
  <si>
    <t>ORD1022</t>
  </si>
  <si>
    <t>COLD_COF_592</t>
  </si>
  <si>
    <t>ORD1023</t>
  </si>
  <si>
    <t>CHEESE_B_347</t>
  </si>
  <si>
    <t>ORD1024</t>
  </si>
  <si>
    <t>SPRITE_870</t>
  </si>
  <si>
    <t>ORD1025</t>
  </si>
  <si>
    <t>CHICKEN__967</t>
  </si>
  <si>
    <t>ORD1026</t>
  </si>
  <si>
    <t>VEG_SAND_368</t>
  </si>
  <si>
    <t>ORD1027</t>
  </si>
  <si>
    <t>CLUB_SAN_368</t>
  </si>
  <si>
    <t>ORD1028</t>
  </si>
  <si>
    <t>GULAB_JA_821</t>
  </si>
  <si>
    <t>ORD1029</t>
  </si>
  <si>
    <t>COKE_403</t>
  </si>
  <si>
    <t>ORD1030</t>
  </si>
  <si>
    <t>CLUB_SAN_951</t>
  </si>
  <si>
    <t>ORD1031</t>
  </si>
  <si>
    <t>ORD1032</t>
  </si>
  <si>
    <t>MARGHERI_388</t>
  </si>
  <si>
    <t>ORD1033</t>
  </si>
  <si>
    <t>BROWNIE_726</t>
  </si>
  <si>
    <t>ORD1034</t>
  </si>
  <si>
    <t>BROWNIE_602</t>
  </si>
  <si>
    <t>ORD1035</t>
  </si>
  <si>
    <t>GULAB_JA_251</t>
  </si>
  <si>
    <t>ORD1036</t>
  </si>
  <si>
    <t>COKE_115</t>
  </si>
  <si>
    <t>ORD1037</t>
  </si>
  <si>
    <t>ONION_RI_552</t>
  </si>
  <si>
    <t>ORD1038</t>
  </si>
  <si>
    <t>CLUB_SAN_693</t>
  </si>
  <si>
    <t>ORD1039</t>
  </si>
  <si>
    <t>CHEESE_B_911</t>
  </si>
  <si>
    <t>ORD1040</t>
  </si>
  <si>
    <t>CHICKEN__403</t>
  </si>
  <si>
    <t>ORD1041</t>
  </si>
  <si>
    <t>CLUB_SAN_152</t>
  </si>
  <si>
    <t>ORD1042</t>
  </si>
  <si>
    <t>MARGHERI_768</t>
  </si>
  <si>
    <t>ORD1043</t>
  </si>
  <si>
    <t>ORD1044</t>
  </si>
  <si>
    <t>CHICKEN__314</t>
  </si>
  <si>
    <t>ORD1045</t>
  </si>
  <si>
    <t>CHICKEN__481</t>
  </si>
  <si>
    <t>ORD1046</t>
  </si>
  <si>
    <t>VEG_BURG_619</t>
  </si>
  <si>
    <t>ORD1047</t>
  </si>
  <si>
    <t>ICE_CREA_779</t>
  </si>
  <si>
    <t>ORD1048</t>
  </si>
  <si>
    <t>ORD1049</t>
  </si>
  <si>
    <t>VEG_BURG_934</t>
  </si>
  <si>
    <t>ORD1050</t>
  </si>
  <si>
    <t>BROWNIE_167</t>
  </si>
  <si>
    <t>ORD1051</t>
  </si>
  <si>
    <t>MARGHERI_969</t>
  </si>
  <si>
    <t>ORD1052</t>
  </si>
  <si>
    <t>ICE_CREA_729</t>
  </si>
  <si>
    <t>ORD1053</t>
  </si>
  <si>
    <t>COKE_144</t>
  </si>
  <si>
    <t>ORD1054</t>
  </si>
  <si>
    <t>CHICKEN__521</t>
  </si>
  <si>
    <t>ORD1055</t>
  </si>
  <si>
    <t>CHICKEN__515</t>
  </si>
  <si>
    <t>ORD1056</t>
  </si>
  <si>
    <t>VEG_SAND_942</t>
  </si>
  <si>
    <t>ORD1057</t>
  </si>
  <si>
    <t>COKE_379</t>
  </si>
  <si>
    <t>ORD1058</t>
  </si>
  <si>
    <t>PEPPY_PA_468</t>
  </si>
  <si>
    <t>ORD1059</t>
  </si>
  <si>
    <t>BROWNIE_274</t>
  </si>
  <si>
    <t>ORD1060</t>
  </si>
  <si>
    <t>VEG_BURG_332</t>
  </si>
  <si>
    <t>ORD1061</t>
  </si>
  <si>
    <t>VEG_BURG_950</t>
  </si>
  <si>
    <t>ORD1062</t>
  </si>
  <si>
    <t>COKE_894</t>
  </si>
  <si>
    <t>ORD1063</t>
  </si>
  <si>
    <t>ORD1064</t>
  </si>
  <si>
    <t>COKE_530</t>
  </si>
  <si>
    <t>ORD1065</t>
  </si>
  <si>
    <t>ICE_CREA_868</t>
  </si>
  <si>
    <t>ORD1066</t>
  </si>
  <si>
    <t>CHICKEN__185</t>
  </si>
  <si>
    <t>ORD1067</t>
  </si>
  <si>
    <t>VEG_BURG_841</t>
  </si>
  <si>
    <t>ORD1068</t>
  </si>
  <si>
    <t>MARGHERI_494</t>
  </si>
  <si>
    <t>ORD1069</t>
  </si>
  <si>
    <t>MARGHERI_637</t>
  </si>
  <si>
    <t>ORD1070</t>
  </si>
  <si>
    <t>ONION_RI_629</t>
  </si>
  <si>
    <t>ORD1071</t>
  </si>
  <si>
    <t>BROWNIE_303</t>
  </si>
  <si>
    <t>ORD1072</t>
  </si>
  <si>
    <t>COKE_972</t>
  </si>
  <si>
    <t>ORD1073</t>
  </si>
  <si>
    <t>ICE_CREA_303</t>
  </si>
  <si>
    <t>ORD1074</t>
  </si>
  <si>
    <t>CHEESE_B_751</t>
  </si>
  <si>
    <t>ORD1075</t>
  </si>
  <si>
    <t>CHICKEN__683</t>
  </si>
  <si>
    <t>ORD1076</t>
  </si>
  <si>
    <t>MARGHERI_395</t>
  </si>
  <si>
    <t>ORD1077</t>
  </si>
  <si>
    <t>GULAB_JA_988</t>
  </si>
  <si>
    <t>ORD1078</t>
  </si>
  <si>
    <t>FRIES_439</t>
  </si>
  <si>
    <t>ORD1079</t>
  </si>
  <si>
    <t>MARGHERI_860</t>
  </si>
  <si>
    <t>ORD1080</t>
  </si>
  <si>
    <t>COKE_295</t>
  </si>
  <si>
    <t>ORD1081</t>
  </si>
  <si>
    <t>COLD_COF_603</t>
  </si>
  <si>
    <t>ORD1082</t>
  </si>
  <si>
    <t>CHICKEN__678</t>
  </si>
  <si>
    <t>ORD1083</t>
  </si>
  <si>
    <t>ONION_RI_768</t>
  </si>
  <si>
    <t>ORD1084</t>
  </si>
  <si>
    <t>PEPPY_PA_804</t>
  </si>
  <si>
    <t>ORD1085</t>
  </si>
  <si>
    <t>VEG_SAND_185</t>
  </si>
  <si>
    <t>ORD1086</t>
  </si>
  <si>
    <t>COLD_COF_415</t>
  </si>
  <si>
    <t>ORD1087</t>
  </si>
  <si>
    <t>CHEESE_B_953</t>
  </si>
  <si>
    <t>ORD1088</t>
  </si>
  <si>
    <t>VEG_BURG_730</t>
  </si>
  <si>
    <t>ORD1089</t>
  </si>
  <si>
    <t>BROWNIE_753</t>
  </si>
  <si>
    <t>ORD1090</t>
  </si>
  <si>
    <t>CHEESE_B_387</t>
  </si>
  <si>
    <t>ORD1091</t>
  </si>
  <si>
    <t>CHEESE_B_564</t>
  </si>
  <si>
    <t>ORD1092</t>
  </si>
  <si>
    <t>GRILLED__130</t>
  </si>
  <si>
    <t>ORD1093</t>
  </si>
  <si>
    <t>CHEESE_B_893</t>
  </si>
  <si>
    <t>ORD1094</t>
  </si>
  <si>
    <t>FRIES_131</t>
  </si>
  <si>
    <t>ORD1095</t>
  </si>
  <si>
    <t>SPRITE_555</t>
  </si>
  <si>
    <t>ORD1096</t>
  </si>
  <si>
    <t>SPRITE_403</t>
  </si>
  <si>
    <t>ORD1097</t>
  </si>
  <si>
    <t>BROWNIE_627</t>
  </si>
  <si>
    <t>ORD1098</t>
  </si>
  <si>
    <t>CHEESE_B_250</t>
  </si>
  <si>
    <t>ORD1099</t>
  </si>
  <si>
    <t>CHICKEN__689</t>
  </si>
  <si>
    <t>ORD1100</t>
  </si>
  <si>
    <t>MARGHERI_348</t>
  </si>
  <si>
    <t>ORD1101</t>
  </si>
  <si>
    <t>COLD_COF_396</t>
  </si>
  <si>
    <t>ORD1102</t>
  </si>
  <si>
    <t>MARGHERI_592</t>
  </si>
  <si>
    <t>ORD1103</t>
  </si>
  <si>
    <t>MARGHERI_776</t>
  </si>
  <si>
    <t>ORD1104</t>
  </si>
  <si>
    <t>CHICKEN__891</t>
  </si>
  <si>
    <t>ORD1105</t>
  </si>
  <si>
    <t>ORD1106</t>
  </si>
  <si>
    <t>CHEESE_B_113</t>
  </si>
  <si>
    <t>ORD1107</t>
  </si>
  <si>
    <t>MARGHERI_136</t>
  </si>
  <si>
    <t>ORD1108</t>
  </si>
  <si>
    <t>COLD_COF_686</t>
  </si>
  <si>
    <t>ORD1109</t>
  </si>
  <si>
    <t>VEG_BURG_120</t>
  </si>
  <si>
    <t>ORD1110</t>
  </si>
  <si>
    <t>CHICKEN__698</t>
  </si>
  <si>
    <t>ORD1111</t>
  </si>
  <si>
    <t>VEG_SAND_893</t>
  </si>
  <si>
    <t>ORD1112</t>
  </si>
  <si>
    <t>BROWNIE_420</t>
  </si>
  <si>
    <t>ORD1113</t>
  </si>
  <si>
    <t>CHICKEN__406</t>
  </si>
  <si>
    <t>ORD1114</t>
  </si>
  <si>
    <t>ONION_RI_477</t>
  </si>
  <si>
    <t>ORD1115</t>
  </si>
  <si>
    <t>CLUB_SAN_818</t>
  </si>
  <si>
    <t>ORD1116</t>
  </si>
  <si>
    <t>VEG_SAND_264</t>
  </si>
  <si>
    <t>ORD1117</t>
  </si>
  <si>
    <t>CLUB_SAN_894</t>
  </si>
  <si>
    <t>ORD1118</t>
  </si>
  <si>
    <t>VEG_BURG_793</t>
  </si>
  <si>
    <t>ORD1119</t>
  </si>
  <si>
    <t>VEG_BURG_382</t>
  </si>
  <si>
    <t>ORD1120</t>
  </si>
  <si>
    <t>ORD1121</t>
  </si>
  <si>
    <t>MARGHERI_774</t>
  </si>
  <si>
    <t>ORD1122</t>
  </si>
  <si>
    <t>VEG_BURG_732</t>
  </si>
  <si>
    <t>ORD1123</t>
  </si>
  <si>
    <t>ORD1124</t>
  </si>
  <si>
    <t>VEG_BURG_588</t>
  </si>
  <si>
    <t>ORD1125</t>
  </si>
  <si>
    <t>VEG_BURG_359</t>
  </si>
  <si>
    <t>ORD1126</t>
  </si>
  <si>
    <t>ORD1127</t>
  </si>
  <si>
    <t>GARLIC_B_629</t>
  </si>
  <si>
    <t>ORD1128</t>
  </si>
  <si>
    <t>ICE_CREA_985</t>
  </si>
  <si>
    <t>ORD1129</t>
  </si>
  <si>
    <t>CHEESE_B_694</t>
  </si>
  <si>
    <t>ORD1130</t>
  </si>
  <si>
    <t>CHICKEN__124</t>
  </si>
  <si>
    <t>ORD1131</t>
  </si>
  <si>
    <t>COKE_477</t>
  </si>
  <si>
    <t>ORD1132</t>
  </si>
  <si>
    <t>CLUB_SAN_331</t>
  </si>
  <si>
    <t>ORD1133</t>
  </si>
  <si>
    <t>COLD_COF_245</t>
  </si>
  <si>
    <t>ORD1134</t>
  </si>
  <si>
    <t>VEG_BURG_600</t>
  </si>
  <si>
    <t>ORD1135</t>
  </si>
  <si>
    <t>COLD_COF_662</t>
  </si>
  <si>
    <t>ORD1136</t>
  </si>
  <si>
    <t>BROWNIE_535</t>
  </si>
  <si>
    <t>ORD1137</t>
  </si>
  <si>
    <t>GRILLED__905</t>
  </si>
  <si>
    <t>ORD1138</t>
  </si>
  <si>
    <t>ORD1139</t>
  </si>
  <si>
    <t>BROWNIE_207</t>
  </si>
  <si>
    <t>ORD1140</t>
  </si>
  <si>
    <t>BROWNIE_912</t>
  </si>
  <si>
    <t>ORD1141</t>
  </si>
  <si>
    <t>MARGHERI_361</t>
  </si>
  <si>
    <t>ORD1142</t>
  </si>
  <si>
    <t>SPRITE_891</t>
  </si>
  <si>
    <t>ORD1143</t>
  </si>
  <si>
    <t>MARGHERI_692</t>
  </si>
  <si>
    <t>ORD1144</t>
  </si>
  <si>
    <t>CHEESE_B_802</t>
  </si>
  <si>
    <t>ORD1145</t>
  </si>
  <si>
    <t>ORD1146</t>
  </si>
  <si>
    <t>VEG_BURG_508</t>
  </si>
  <si>
    <t>ORD1147</t>
  </si>
  <si>
    <t>COKE_514</t>
  </si>
  <si>
    <t>ORD1148</t>
  </si>
  <si>
    <t>CLUB_SAN_505</t>
  </si>
  <si>
    <t>ORD1149</t>
  </si>
  <si>
    <t>CHICKEN__527</t>
  </si>
  <si>
    <t>ORD1150</t>
  </si>
  <si>
    <t>MARGHERI_891</t>
  </si>
  <si>
    <t>ORD1151</t>
  </si>
  <si>
    <t>ORD1152</t>
  </si>
  <si>
    <t>ORD1153</t>
  </si>
  <si>
    <t>PEPPY_PA_687</t>
  </si>
  <si>
    <t>ORD1154</t>
  </si>
  <si>
    <t>CLUB_SAN_709</t>
  </si>
  <si>
    <t>ORD1155</t>
  </si>
  <si>
    <t>PEPPY_PA_267</t>
  </si>
  <si>
    <t>ORD1156</t>
  </si>
  <si>
    <t>COLD_COF_219</t>
  </si>
  <si>
    <t>ORD1157</t>
  </si>
  <si>
    <t>COKE_711</t>
  </si>
  <si>
    <t>ORD1158</t>
  </si>
  <si>
    <t>GULAB_JA_910</t>
  </si>
  <si>
    <t>ORD1159</t>
  </si>
  <si>
    <t>ORD1160</t>
  </si>
  <si>
    <t>GULAB_JA_330</t>
  </si>
  <si>
    <t>ORD1161</t>
  </si>
  <si>
    <t>ORD1162</t>
  </si>
  <si>
    <t>MARGHERI_942</t>
  </si>
  <si>
    <t>ORD1163</t>
  </si>
  <si>
    <t>VEG_BURG_560</t>
  </si>
  <si>
    <t>ORD1164</t>
  </si>
  <si>
    <t>FRIES_458</t>
  </si>
  <si>
    <t>ORD1165</t>
  </si>
  <si>
    <t>GARLIC_B_871</t>
  </si>
  <si>
    <t>ORD1166</t>
  </si>
  <si>
    <t>ONION_RI_313</t>
  </si>
  <si>
    <t>ORD1167</t>
  </si>
  <si>
    <t>CHICKEN__329</t>
  </si>
  <si>
    <t>ORD1168</t>
  </si>
  <si>
    <t>ORD1169</t>
  </si>
  <si>
    <t>ORD1170</t>
  </si>
  <si>
    <t>VEG_SAND_939</t>
  </si>
  <si>
    <t>ORD1171</t>
  </si>
  <si>
    <t>GRILLED__661</t>
  </si>
  <si>
    <t>ORD1172</t>
  </si>
  <si>
    <t>ORD1173</t>
  </si>
  <si>
    <t>ORD1174</t>
  </si>
  <si>
    <t>PEPPY_PA_353</t>
  </si>
  <si>
    <t>ORD1175</t>
  </si>
  <si>
    <t>MARGHERI_854</t>
  </si>
  <si>
    <t>ORD1176</t>
  </si>
  <si>
    <t>COLD_COF_819</t>
  </si>
  <si>
    <t>ORD1177</t>
  </si>
  <si>
    <t>CHEESE_B_676</t>
  </si>
  <si>
    <t>ORD1178</t>
  </si>
  <si>
    <t>SPRITE_295</t>
  </si>
  <si>
    <t>ORD1179</t>
  </si>
  <si>
    <t>ORD1180</t>
  </si>
  <si>
    <t>CHICKEN__598</t>
  </si>
  <si>
    <t>ORD1181</t>
  </si>
  <si>
    <t>CHEESE_B_484</t>
  </si>
  <si>
    <t>ORD1182</t>
  </si>
  <si>
    <t>GULAB_JA_929</t>
  </si>
  <si>
    <t>ORD1183</t>
  </si>
  <si>
    <t>CHICKEN__247</t>
  </si>
  <si>
    <t>ORD1184</t>
  </si>
  <si>
    <t>CLUB_SAN_995</t>
  </si>
  <si>
    <t>ORD1185</t>
  </si>
  <si>
    <t>PEPPY_PA_411</t>
  </si>
  <si>
    <t>ORD1186</t>
  </si>
  <si>
    <t>PEPPY_PA_170</t>
  </si>
  <si>
    <t>ORD1187</t>
  </si>
  <si>
    <t>MARGHERI_649</t>
  </si>
  <si>
    <t>ORD1188</t>
  </si>
  <si>
    <t>VEG_BURG_300</t>
  </si>
  <si>
    <t>ORD1189</t>
  </si>
  <si>
    <t>CLUB_SAN_589</t>
  </si>
  <si>
    <t>ORD1190</t>
  </si>
  <si>
    <t>CHEESE_B_921</t>
  </si>
  <si>
    <t>ORD1191</t>
  </si>
  <si>
    <t>CHEESE_B_191</t>
  </si>
  <si>
    <t>ORD1192</t>
  </si>
  <si>
    <t>PEPPY_PA_370</t>
  </si>
  <si>
    <t>ORD1193</t>
  </si>
  <si>
    <t>VEG_BURG_530</t>
  </si>
  <si>
    <t>ORD1194</t>
  </si>
  <si>
    <t>BROWNIE_766</t>
  </si>
  <si>
    <t>ORD1195</t>
  </si>
  <si>
    <t>ONION_RI_243</t>
  </si>
  <si>
    <t>ORD1196</t>
  </si>
  <si>
    <t>CLUB_SAN_266</t>
  </si>
  <si>
    <t>ORD1197</t>
  </si>
  <si>
    <t>COLD_COF_123</t>
  </si>
  <si>
    <t>ORD1198</t>
  </si>
  <si>
    <t>ORD1199</t>
  </si>
  <si>
    <t>GRILLED__874</t>
  </si>
  <si>
    <t>ORD1200</t>
  </si>
  <si>
    <t>ONION_RI_852</t>
  </si>
  <si>
    <t>ORD1201</t>
  </si>
  <si>
    <t>CLUB_SAN_927</t>
  </si>
  <si>
    <t>ORD1202</t>
  </si>
  <si>
    <t>CHICKEN__835</t>
  </si>
  <si>
    <t>ORD1203</t>
  </si>
  <si>
    <t>SPRITE_147</t>
  </si>
  <si>
    <t>ORD1204</t>
  </si>
  <si>
    <t>COLD_COF_588</t>
  </si>
  <si>
    <t>ORD1205</t>
  </si>
  <si>
    <t>MARGHERI_850</t>
  </si>
  <si>
    <t>ORD1206</t>
  </si>
  <si>
    <t>PEPPY_PA_734</t>
  </si>
  <si>
    <t>ORD1207</t>
  </si>
  <si>
    <t>MARGHERI_965</t>
  </si>
  <si>
    <t>ORD1208</t>
  </si>
  <si>
    <t>ORD1209</t>
  </si>
  <si>
    <t>ORD1210</t>
  </si>
  <si>
    <t>BROWNIE_563</t>
  </si>
  <si>
    <t>ORD1211</t>
  </si>
  <si>
    <t>BROWNIE_972</t>
  </si>
  <si>
    <t>ORD1212</t>
  </si>
  <si>
    <t>CHICKEN__670</t>
  </si>
  <si>
    <t>ORD1213</t>
  </si>
  <si>
    <t>VEG_SAND_371</t>
  </si>
  <si>
    <t>ORD1214</t>
  </si>
  <si>
    <t>ORD1215</t>
  </si>
  <si>
    <t>ONION_RI_675</t>
  </si>
  <si>
    <t>ORD1216</t>
  </si>
  <si>
    <t>CHEESE_B_913</t>
  </si>
  <si>
    <t>ORD1217</t>
  </si>
  <si>
    <t>CLUB_SAN_642</t>
  </si>
  <si>
    <t>ORD1218</t>
  </si>
  <si>
    <t>GRILLED__774</t>
  </si>
  <si>
    <t>ORD1219</t>
  </si>
  <si>
    <t>GRILLED__717</t>
  </si>
  <si>
    <t>ORD1220</t>
  </si>
  <si>
    <t>CHICKEN__268</t>
  </si>
  <si>
    <t>ORD1221</t>
  </si>
  <si>
    <t>SPRITE_904</t>
  </si>
  <si>
    <t>ORD1222</t>
  </si>
  <si>
    <t>COLD_COF_459</t>
  </si>
  <si>
    <t>ORD1223</t>
  </si>
  <si>
    <t>CHICKEN__853</t>
  </si>
  <si>
    <t>ORD1224</t>
  </si>
  <si>
    <t>MARGHERI_872</t>
  </si>
  <si>
    <t>ORD1225</t>
  </si>
  <si>
    <t>ONION_RI_813</t>
  </si>
  <si>
    <t>ORD1226</t>
  </si>
  <si>
    <t>SPRITE_234</t>
  </si>
  <si>
    <t>ORD1227</t>
  </si>
  <si>
    <t>BROWNIE_592</t>
  </si>
  <si>
    <t>ORD1228</t>
  </si>
  <si>
    <t>SPRITE_836</t>
  </si>
  <si>
    <t>ORD1229</t>
  </si>
  <si>
    <t>PEPPY_PA_429</t>
  </si>
  <si>
    <t>ORD1230</t>
  </si>
  <si>
    <t>COLD_COF_359</t>
  </si>
  <si>
    <t>ORD1231</t>
  </si>
  <si>
    <t>BROWNIE_538</t>
  </si>
  <si>
    <t>ORD1232</t>
  </si>
  <si>
    <t>MARGHERI_149</t>
  </si>
  <si>
    <t>ORD1233</t>
  </si>
  <si>
    <t>PEPPY_PA_276</t>
  </si>
  <si>
    <t>ORD1234</t>
  </si>
  <si>
    <t>VEG_BURG_154</t>
  </si>
  <si>
    <t>ORD1235</t>
  </si>
  <si>
    <t>CHICKEN__319</t>
  </si>
  <si>
    <t>ORD1236</t>
  </si>
  <si>
    <t>FRIES_806</t>
  </si>
  <si>
    <t>ORD1237</t>
  </si>
  <si>
    <t>SPRITE_311</t>
  </si>
  <si>
    <t>ORD1238</t>
  </si>
  <si>
    <t>COKE_629</t>
  </si>
  <si>
    <t>ORD1239</t>
  </si>
  <si>
    <t>ICE_CREA_789</t>
  </si>
  <si>
    <t>ORD1240</t>
  </si>
  <si>
    <t>VEG_BURG_707</t>
  </si>
  <si>
    <t>ORD1241</t>
  </si>
  <si>
    <t>GARLIC_B_194</t>
  </si>
  <si>
    <t>ORD1242</t>
  </si>
  <si>
    <t>ONION_RI_726</t>
  </si>
  <si>
    <t>ORD1243</t>
  </si>
  <si>
    <t>COLD_COF_182</t>
  </si>
  <si>
    <t>ORD1244</t>
  </si>
  <si>
    <t>COKE_434</t>
  </si>
  <si>
    <t>ORD1245</t>
  </si>
  <si>
    <t>CHICKEN__448</t>
  </si>
  <si>
    <t>ORD1246</t>
  </si>
  <si>
    <t>ORD1247</t>
  </si>
  <si>
    <t>CHICKEN__229</t>
  </si>
  <si>
    <t>ORD1248</t>
  </si>
  <si>
    <t>ORD1249</t>
  </si>
  <si>
    <t>VEG_SAND_847</t>
  </si>
  <si>
    <t>ORD1250</t>
  </si>
  <si>
    <t>ONION_RI_975</t>
  </si>
  <si>
    <t>ORD1251</t>
  </si>
  <si>
    <t>GRILLED__872</t>
  </si>
  <si>
    <t>ORD1252</t>
  </si>
  <si>
    <t>FRIES_447</t>
  </si>
  <si>
    <t>ORD1253</t>
  </si>
  <si>
    <t>GRILLED__549</t>
  </si>
  <si>
    <t>ORD1254</t>
  </si>
  <si>
    <t>GULAB_JA_438</t>
  </si>
  <si>
    <t>ORD1255</t>
  </si>
  <si>
    <t>COKE_135</t>
  </si>
  <si>
    <t>ORD1256</t>
  </si>
  <si>
    <t>SPRITE_815</t>
  </si>
  <si>
    <t>ORD1257</t>
  </si>
  <si>
    <t>COLD_COF_817</t>
  </si>
  <si>
    <t>ORD1258</t>
  </si>
  <si>
    <t>PEPPY_PA_678</t>
  </si>
  <si>
    <t>ORD1259</t>
  </si>
  <si>
    <t>MARGHERI_963</t>
  </si>
  <si>
    <t>ORD1260</t>
  </si>
  <si>
    <t>BROWNIE_481</t>
  </si>
  <si>
    <t>ORD1261</t>
  </si>
  <si>
    <t>COKE_667</t>
  </si>
  <si>
    <t>ORD1262</t>
  </si>
  <si>
    <t>ORD1263</t>
  </si>
  <si>
    <t>ORD1264</t>
  </si>
  <si>
    <t>MARGHERI_371</t>
  </si>
  <si>
    <t>ORD1265</t>
  </si>
  <si>
    <t>CHICKEN__807</t>
  </si>
  <si>
    <t>ORD1266</t>
  </si>
  <si>
    <t>ORD1267</t>
  </si>
  <si>
    <t>GULAB_JA_109</t>
  </si>
  <si>
    <t>ORD1268</t>
  </si>
  <si>
    <t>FRIES_514</t>
  </si>
  <si>
    <t>ORD1269</t>
  </si>
  <si>
    <t>GULAB_JA_669</t>
  </si>
  <si>
    <t>ORD1270</t>
  </si>
  <si>
    <t>SPRITE_297</t>
  </si>
  <si>
    <t>ORD1271</t>
  </si>
  <si>
    <t>GULAB_JA_360</t>
  </si>
  <si>
    <t>ORD1272</t>
  </si>
  <si>
    <t>CLUB_SAN_994</t>
  </si>
  <si>
    <t>ORD1273</t>
  </si>
  <si>
    <t>VEG_SAND_884</t>
  </si>
  <si>
    <t>ORD1274</t>
  </si>
  <si>
    <t>PEPPY_PA_442</t>
  </si>
  <si>
    <t>ORD1275</t>
  </si>
  <si>
    <t>CHICKEN__702</t>
  </si>
  <si>
    <t>ORD1276</t>
  </si>
  <si>
    <t>CHEESE_B_313</t>
  </si>
  <si>
    <t>ORD1277</t>
  </si>
  <si>
    <t>SPRITE_816</t>
  </si>
  <si>
    <t>ORD1278</t>
  </si>
  <si>
    <t>BROWNIE_344</t>
  </si>
  <si>
    <t>ORD1279</t>
  </si>
  <si>
    <t>CHICKEN__680</t>
  </si>
  <si>
    <t>ORD1280</t>
  </si>
  <si>
    <t>MARGHERI_537</t>
  </si>
  <si>
    <t>ORD1281</t>
  </si>
  <si>
    <t>CHICKEN__144</t>
  </si>
  <si>
    <t>ORD1282</t>
  </si>
  <si>
    <t>COLD_COF_375</t>
  </si>
  <si>
    <t>ORD1283</t>
  </si>
  <si>
    <t>PEPPY_PA_953</t>
  </si>
  <si>
    <t>ORD1284</t>
  </si>
  <si>
    <t>BROWNIE_419</t>
  </si>
  <si>
    <t>ORD1285</t>
  </si>
  <si>
    <t>COKE_131</t>
  </si>
  <si>
    <t>ORD1286</t>
  </si>
  <si>
    <t>PEPPY_PA_747</t>
  </si>
  <si>
    <t>ORD1287</t>
  </si>
  <si>
    <t>GULAB_JA_757</t>
  </si>
  <si>
    <t>ORD1288</t>
  </si>
  <si>
    <t>ONION_RI_803</t>
  </si>
  <si>
    <t>ORD1289</t>
  </si>
  <si>
    <t>SPRITE_817</t>
  </si>
  <si>
    <t>ORD1290</t>
  </si>
  <si>
    <t>COKE_789</t>
  </si>
  <si>
    <t>ORD1291</t>
  </si>
  <si>
    <t>CHICKEN__459</t>
  </si>
  <si>
    <t>ORD1292</t>
  </si>
  <si>
    <t>ONION_RI_544</t>
  </si>
  <si>
    <t>ORD1293</t>
  </si>
  <si>
    <t>VEG_BURG_543</t>
  </si>
  <si>
    <t>ORD1294</t>
  </si>
  <si>
    <t>CHICKEN__486</t>
  </si>
  <si>
    <t>ORD1295</t>
  </si>
  <si>
    <t>VEG_SAND_397</t>
  </si>
  <si>
    <t>ORD1296</t>
  </si>
  <si>
    <t>FRIES_143</t>
  </si>
  <si>
    <t>ORD1297</t>
  </si>
  <si>
    <t>VEG_BURG_572</t>
  </si>
  <si>
    <t>ORD1298</t>
  </si>
  <si>
    <t>ORD1299</t>
  </si>
  <si>
    <t>COLD_COF_268</t>
  </si>
  <si>
    <t>ORD1300</t>
  </si>
  <si>
    <t>ONION_RI_109</t>
  </si>
  <si>
    <t>ORD1301</t>
  </si>
  <si>
    <t>GARLIC_B_362</t>
  </si>
  <si>
    <t>ORD1302</t>
  </si>
  <si>
    <t>SPRITE_913</t>
  </si>
  <si>
    <t>ORD1303</t>
  </si>
  <si>
    <t>CLUB_SAN_328</t>
  </si>
  <si>
    <t>ORD1304</t>
  </si>
  <si>
    <t>FRIES_547</t>
  </si>
  <si>
    <t>ORD1305</t>
  </si>
  <si>
    <t>ORD1306</t>
  </si>
  <si>
    <t>CHICKEN__896</t>
  </si>
  <si>
    <t>ORD1307</t>
  </si>
  <si>
    <t>CHICKEN__639</t>
  </si>
  <si>
    <t>ORD1308</t>
  </si>
  <si>
    <t>MARGHERI_643</t>
  </si>
  <si>
    <t>ORD1309</t>
  </si>
  <si>
    <t>CHEESE_B_319</t>
  </si>
  <si>
    <t>ORD1310</t>
  </si>
  <si>
    <t>FRIES_319</t>
  </si>
  <si>
    <t>ORD1311</t>
  </si>
  <si>
    <t>GULAB_JA_321</t>
  </si>
  <si>
    <t>ORD1312</t>
  </si>
  <si>
    <t>BROWNIE_332</t>
  </si>
  <si>
    <t>ORD1313</t>
  </si>
  <si>
    <t>COKE_471</t>
  </si>
  <si>
    <t>ORD1314</t>
  </si>
  <si>
    <t>ONION_RI_862</t>
  </si>
  <si>
    <t>ORD1315</t>
  </si>
  <si>
    <t>VEG_BURG_479</t>
  </si>
  <si>
    <t>ORD1316</t>
  </si>
  <si>
    <t>CHEESE_B_917</t>
  </si>
  <si>
    <t>ORD1317</t>
  </si>
  <si>
    <t>CHICKEN__631</t>
  </si>
  <si>
    <t>ORD1318</t>
  </si>
  <si>
    <t>MARGHERI_522</t>
  </si>
  <si>
    <t>ORD1319</t>
  </si>
  <si>
    <t>CHICKEN__740</t>
  </si>
  <si>
    <t>ORD1320</t>
  </si>
  <si>
    <t>COKE_656</t>
  </si>
  <si>
    <t>ORD1321</t>
  </si>
  <si>
    <t>CHEESE_B_796</t>
  </si>
  <si>
    <t>ORD1322</t>
  </si>
  <si>
    <t>CLUB_SAN_538</t>
  </si>
  <si>
    <t>ORD1323</t>
  </si>
  <si>
    <t>ICE_CREA_742</t>
  </si>
  <si>
    <t>ORD1324</t>
  </si>
  <si>
    <t>COKE_189</t>
  </si>
  <si>
    <t>ORD1325</t>
  </si>
  <si>
    <t>GULAB_JA_391</t>
  </si>
  <si>
    <t>ORD1326</t>
  </si>
  <si>
    <t>MARGHERI_686</t>
  </si>
  <si>
    <t>ORD1327</t>
  </si>
  <si>
    <t>VEG_BURG_206</t>
  </si>
  <si>
    <t>ORD1328</t>
  </si>
  <si>
    <t>ONION_RI_248</t>
  </si>
  <si>
    <t>ORD1329</t>
  </si>
  <si>
    <t>ICE_CREA_981</t>
  </si>
  <si>
    <t>ORD1330</t>
  </si>
  <si>
    <t>ORD1331</t>
  </si>
  <si>
    <t>VEG_BURG_100</t>
  </si>
  <si>
    <t>ORD1332</t>
  </si>
  <si>
    <t>SPRITE_907</t>
  </si>
  <si>
    <t>ORD1333</t>
  </si>
  <si>
    <t>PEPPY_PA_213</t>
  </si>
  <si>
    <t>ORD1334</t>
  </si>
  <si>
    <t>SPRITE_661</t>
  </si>
  <si>
    <t>ORD1335</t>
  </si>
  <si>
    <t>VEG_BURG_927</t>
  </si>
  <si>
    <t>ORD1336</t>
  </si>
  <si>
    <t>SPRITE_608</t>
  </si>
  <si>
    <t>ORD1337</t>
  </si>
  <si>
    <t>ORD1338</t>
  </si>
  <si>
    <t>ORD1339</t>
  </si>
  <si>
    <t>SPRITE_924</t>
  </si>
  <si>
    <t>ORD1340</t>
  </si>
  <si>
    <t>ICE_CREA_247</t>
  </si>
  <si>
    <t>ORD1341</t>
  </si>
  <si>
    <t>GULAB_JA_709</t>
  </si>
  <si>
    <t>ORD1342</t>
  </si>
  <si>
    <t>GARLIC_B_881</t>
  </si>
  <si>
    <t>ORD1343</t>
  </si>
  <si>
    <t>COKE_904</t>
  </si>
  <si>
    <t>ORD1344</t>
  </si>
  <si>
    <t>SPRITE_386</t>
  </si>
  <si>
    <t>ORD1345</t>
  </si>
  <si>
    <t>VEG_BURG_568</t>
  </si>
  <si>
    <t>ORD1346</t>
  </si>
  <si>
    <t>COKE_822</t>
  </si>
  <si>
    <t>ORD1347</t>
  </si>
  <si>
    <t>GRILLED__403</t>
  </si>
  <si>
    <t>ORD1348</t>
  </si>
  <si>
    <t>CHEESE_B_409</t>
  </si>
  <si>
    <t>ORD1349</t>
  </si>
  <si>
    <t>CLUB_SAN_691</t>
  </si>
  <si>
    <t>ORD1350</t>
  </si>
  <si>
    <t>ORD1351</t>
  </si>
  <si>
    <t>ICE_CREA_375</t>
  </si>
  <si>
    <t>ORD1352</t>
  </si>
  <si>
    <t>COKE_975</t>
  </si>
  <si>
    <t>ORD1353</t>
  </si>
  <si>
    <t>CHEESE_B_978</t>
  </si>
  <si>
    <t>ORD1354</t>
  </si>
  <si>
    <t>PEPPY_PA_315</t>
  </si>
  <si>
    <t>ORD1355</t>
  </si>
  <si>
    <t>ORD1356</t>
  </si>
  <si>
    <t>CHICKEN__816</t>
  </si>
  <si>
    <t>ORD1357</t>
  </si>
  <si>
    <t>GULAB_JA_211</t>
  </si>
  <si>
    <t>ORD1358</t>
  </si>
  <si>
    <t>BROWNIE_778</t>
  </si>
  <si>
    <t>ORD1359</t>
  </si>
  <si>
    <t>PEPPY_PA_938</t>
  </si>
  <si>
    <t>ORD1360</t>
  </si>
  <si>
    <t>VEG_BURG_434</t>
  </si>
  <si>
    <t>ORD1361</t>
  </si>
  <si>
    <t>CHICKEN__477</t>
  </si>
  <si>
    <t>ORD1362</t>
  </si>
  <si>
    <t>MARGHERI_475</t>
  </si>
  <si>
    <t>ORD1363</t>
  </si>
  <si>
    <t>CHEESE_B_709</t>
  </si>
  <si>
    <t>ORD1364</t>
  </si>
  <si>
    <t>ONION_RI_996</t>
  </si>
  <si>
    <t>ORD1365</t>
  </si>
  <si>
    <t>VEG_BURG_746</t>
  </si>
  <si>
    <t>ORD1366</t>
  </si>
  <si>
    <t>COLD_COF_901</t>
  </si>
  <si>
    <t>ORD1367</t>
  </si>
  <si>
    <t>ORD1368</t>
  </si>
  <si>
    <t>ONION_RI_736</t>
  </si>
  <si>
    <t>ORD1369</t>
  </si>
  <si>
    <t>CHICKEN__913</t>
  </si>
  <si>
    <t>ORD1370</t>
  </si>
  <si>
    <t>GULAB_JA_328</t>
  </si>
  <si>
    <t>ORD1371</t>
  </si>
  <si>
    <t>ORD1372</t>
  </si>
  <si>
    <t>VEG_BURG_771</t>
  </si>
  <si>
    <t>ORD1373</t>
  </si>
  <si>
    <t>CHEESE_B_464</t>
  </si>
  <si>
    <t>ORD1374</t>
  </si>
  <si>
    <t>GRILLED__523</t>
  </si>
  <si>
    <t>ORD1375</t>
  </si>
  <si>
    <t>MARGHERI_614</t>
  </si>
  <si>
    <t>ORD1376</t>
  </si>
  <si>
    <t>ICE_CREA_167</t>
  </si>
  <si>
    <t>ORD1377</t>
  </si>
  <si>
    <t>GULAB_JA_980</t>
  </si>
  <si>
    <t>ORD1378</t>
  </si>
  <si>
    <t>COLD_COF_768</t>
  </si>
  <si>
    <t>ORD1379</t>
  </si>
  <si>
    <t>CHICKEN__870</t>
  </si>
  <si>
    <t>ORD1380</t>
  </si>
  <si>
    <t>CHICKEN__729</t>
  </si>
  <si>
    <t>ORD1381</t>
  </si>
  <si>
    <t>PEPPY_PA_951</t>
  </si>
  <si>
    <t>ORD1382</t>
  </si>
  <si>
    <t>BROWNIE_343</t>
  </si>
  <si>
    <t>ORD1383</t>
  </si>
  <si>
    <t>COKE_147</t>
  </si>
  <si>
    <t>ORD1384</t>
  </si>
  <si>
    <t>COLD_COF_115</t>
  </si>
  <si>
    <t>ORD1385</t>
  </si>
  <si>
    <t>GRILLED__725</t>
  </si>
  <si>
    <t>ORD1386</t>
  </si>
  <si>
    <t>MARGHERI_111</t>
  </si>
  <si>
    <t>ORD1387</t>
  </si>
  <si>
    <t>VEG_BURG_305</t>
  </si>
  <si>
    <t>ORD1388</t>
  </si>
  <si>
    <t>FRIES_934</t>
  </si>
  <si>
    <t>ORD1389</t>
  </si>
  <si>
    <t>FRIES_684</t>
  </si>
  <si>
    <t>ORD1390</t>
  </si>
  <si>
    <t>VEG_BURG_949</t>
  </si>
  <si>
    <t>ORD1391</t>
  </si>
  <si>
    <t>GRILLED__699</t>
  </si>
  <si>
    <t>ORD1392</t>
  </si>
  <si>
    <t>MARGHERI_635</t>
  </si>
  <si>
    <t>ORD1393</t>
  </si>
  <si>
    <t>COKE_873</t>
  </si>
  <si>
    <t>ORD1394</t>
  </si>
  <si>
    <t>CHICKEN__322</t>
  </si>
  <si>
    <t>ORD1395</t>
  </si>
  <si>
    <t>PEPPY_PA_517</t>
  </si>
  <si>
    <t>ORD1396</t>
  </si>
  <si>
    <t>CHICKEN__362</t>
  </si>
  <si>
    <t>ORD1397</t>
  </si>
  <si>
    <t>MARGHERI_343</t>
  </si>
  <si>
    <t>ORD1398</t>
  </si>
  <si>
    <t>VEG_SAND_929</t>
  </si>
  <si>
    <t>ORD1399</t>
  </si>
  <si>
    <t>ORD1400</t>
  </si>
  <si>
    <t>CHICKEN__932</t>
  </si>
  <si>
    <t>ORD1401</t>
  </si>
  <si>
    <t>COKE_168</t>
  </si>
  <si>
    <t>ORD1402</t>
  </si>
  <si>
    <t>CHEESE_B_382</t>
  </si>
  <si>
    <t>ORD1403</t>
  </si>
  <si>
    <t>CHICKEN__900</t>
  </si>
  <si>
    <t>ORD1404</t>
  </si>
  <si>
    <t>FRIES_533</t>
  </si>
  <si>
    <t>ORD1405</t>
  </si>
  <si>
    <t>CHICKEN__317</t>
  </si>
  <si>
    <t>ORD1406</t>
  </si>
  <si>
    <t>CHEESE_B_148</t>
  </si>
  <si>
    <t>ORD1407</t>
  </si>
  <si>
    <t>ORD1408</t>
  </si>
  <si>
    <t>VEG_SAND_739</t>
  </si>
  <si>
    <t>ORD1409</t>
  </si>
  <si>
    <t>MARGHERI_346</t>
  </si>
  <si>
    <t>ORD1410</t>
  </si>
  <si>
    <t>SPRITE_614</t>
  </si>
  <si>
    <t>ORD1411</t>
  </si>
  <si>
    <t>MARGHERI_612</t>
  </si>
  <si>
    <t>ORD1412</t>
  </si>
  <si>
    <t>ORD1413</t>
  </si>
  <si>
    <t>MARGHERI_214</t>
  </si>
  <si>
    <t>ORD1414</t>
  </si>
  <si>
    <t>VEG_SAND_628</t>
  </si>
  <si>
    <t>ORD1415</t>
  </si>
  <si>
    <t>GARLIC_B_615</t>
  </si>
  <si>
    <t>ORD1416</t>
  </si>
  <si>
    <t>PEPPY_PA_294</t>
  </si>
  <si>
    <t>ORD1417</t>
  </si>
  <si>
    <t>CHEESE_B_615</t>
  </si>
  <si>
    <t>ORD1418</t>
  </si>
  <si>
    <t>COKE_676</t>
  </si>
  <si>
    <t>ORD1419</t>
  </si>
  <si>
    <t>CHICKEN__206</t>
  </si>
  <si>
    <t>ORD1420</t>
  </si>
  <si>
    <t>CHICKEN__242</t>
  </si>
  <si>
    <t>ORD1421</t>
  </si>
  <si>
    <t>GARLIC_B_857</t>
  </si>
  <si>
    <t>ORD1422</t>
  </si>
  <si>
    <t>ORD1423</t>
  </si>
  <si>
    <t>CHICKEN__626</t>
  </si>
  <si>
    <t>ORD1424</t>
  </si>
  <si>
    <t>GRILLED__235</t>
  </si>
  <si>
    <t>ORD1425</t>
  </si>
  <si>
    <t>VEG_BURG_173</t>
  </si>
  <si>
    <t>ORD1426</t>
  </si>
  <si>
    <t>MARGHERI_419</t>
  </si>
  <si>
    <t>ORD1427</t>
  </si>
  <si>
    <t>ORD1428</t>
  </si>
  <si>
    <t>CHICKEN__130</t>
  </si>
  <si>
    <t>ORD1429</t>
  </si>
  <si>
    <t>MARGHERI_771</t>
  </si>
  <si>
    <t>ORD1430</t>
  </si>
  <si>
    <t>BROWNIE_281</t>
  </si>
  <si>
    <t>ORD1431</t>
  </si>
  <si>
    <t>CHICKEN__716</t>
  </si>
  <si>
    <t>ORD1432</t>
  </si>
  <si>
    <t>COLD_COF_204</t>
  </si>
  <si>
    <t>ORD1433</t>
  </si>
  <si>
    <t>CHICKEN__573</t>
  </si>
  <si>
    <t>ORD1434</t>
  </si>
  <si>
    <t>SPRITE_827</t>
  </si>
  <si>
    <t>ORD1435</t>
  </si>
  <si>
    <t>CHEESE_B_916</t>
  </si>
  <si>
    <t>ORD1436</t>
  </si>
  <si>
    <t>COLD_COF_482</t>
  </si>
  <si>
    <t>ORD1437</t>
  </si>
  <si>
    <t>CHICKEN__854</t>
  </si>
  <si>
    <t>ORD1438</t>
  </si>
  <si>
    <t>COLD_COF_647</t>
  </si>
  <si>
    <t>ORD1439</t>
  </si>
  <si>
    <t>MARGHERI_156</t>
  </si>
  <si>
    <t>ORD1440</t>
  </si>
  <si>
    <t>BROWNIE_776</t>
  </si>
  <si>
    <t>ORD1441</t>
  </si>
  <si>
    <t>VEG_BURG_856</t>
  </si>
  <si>
    <t>ORD1442</t>
  </si>
  <si>
    <t>ORD1443</t>
  </si>
  <si>
    <t>CHICKEN__328</t>
  </si>
  <si>
    <t>ORD1444</t>
  </si>
  <si>
    <t>PEPPY_PA_707</t>
  </si>
  <si>
    <t>ORD1445</t>
  </si>
  <si>
    <t>GARLIC_B_702</t>
  </si>
  <si>
    <t>ORD1446</t>
  </si>
  <si>
    <t>CHICKEN__874</t>
  </si>
  <si>
    <t>ORD1447</t>
  </si>
  <si>
    <t>ONION_RI_652</t>
  </si>
  <si>
    <t>ORD1448</t>
  </si>
  <si>
    <t>FRIES_501</t>
  </si>
  <si>
    <t>ORD1449</t>
  </si>
  <si>
    <t>ONION_RI_741</t>
  </si>
  <si>
    <t>ORD1450</t>
  </si>
  <si>
    <t>GARLIC_B_439</t>
  </si>
  <si>
    <t>ORD1451</t>
  </si>
  <si>
    <t>CHEESE_B_777</t>
  </si>
  <si>
    <t>ORD1452</t>
  </si>
  <si>
    <t>SPRITE_177</t>
  </si>
  <si>
    <t>ORD1453</t>
  </si>
  <si>
    <t>MARGHERI_950</t>
  </si>
  <si>
    <t>ORD1454</t>
  </si>
  <si>
    <t>ONION_RI_154</t>
  </si>
  <si>
    <t>ORD1455</t>
  </si>
  <si>
    <t>BROWNIE_784</t>
  </si>
  <si>
    <t>ORD1456</t>
  </si>
  <si>
    <t>FRIES_449</t>
  </si>
  <si>
    <t>ORD1457</t>
  </si>
  <si>
    <t>BROWNIE_812</t>
  </si>
  <si>
    <t>ORD1458</t>
  </si>
  <si>
    <t>ONION_RI_622</t>
  </si>
  <si>
    <t>ORD1459</t>
  </si>
  <si>
    <t>SPRITE_767</t>
  </si>
  <si>
    <t>ORD1460</t>
  </si>
  <si>
    <t>VEG_SAND_619</t>
  </si>
  <si>
    <t>ORD1461</t>
  </si>
  <si>
    <t>COLD_COF_765</t>
  </si>
  <si>
    <t>ORD1462</t>
  </si>
  <si>
    <t>BROWNIE_195</t>
  </si>
  <si>
    <t>ORD1463</t>
  </si>
  <si>
    <t>ORD1464</t>
  </si>
  <si>
    <t>MARGHERI_603</t>
  </si>
  <si>
    <t>ORD1465</t>
  </si>
  <si>
    <t>SPRITE_756</t>
  </si>
  <si>
    <t>ORD1466</t>
  </si>
  <si>
    <t>GARLIC_B_607</t>
  </si>
  <si>
    <t>ORD1467</t>
  </si>
  <si>
    <t>PEPPY_PA_364</t>
  </si>
  <si>
    <t>ORD1468</t>
  </si>
  <si>
    <t>ORD1469</t>
  </si>
  <si>
    <t>PEPPY_PA_833</t>
  </si>
  <si>
    <t>ORD1470</t>
  </si>
  <si>
    <t>COKE_869</t>
  </si>
  <si>
    <t>ORD1471</t>
  </si>
  <si>
    <t>CHEESE_B_407</t>
  </si>
  <si>
    <t>ORD1472</t>
  </si>
  <si>
    <t>COLD_COF_470</t>
  </si>
  <si>
    <t>ORD1473</t>
  </si>
  <si>
    <t>CHEESE_B_142</t>
  </si>
  <si>
    <t>ORD1474</t>
  </si>
  <si>
    <t>MARGHERI_487</t>
  </si>
  <si>
    <t>ORD1475</t>
  </si>
  <si>
    <t>SPRITE_928</t>
  </si>
  <si>
    <t>ORD1476</t>
  </si>
  <si>
    <t>CHICKEN__633</t>
  </si>
  <si>
    <t>ORD1477</t>
  </si>
  <si>
    <t>SPRITE_327</t>
  </si>
  <si>
    <t>ORD1478</t>
  </si>
  <si>
    <t>GARLIC_B_235</t>
  </si>
  <si>
    <t>ORD1479</t>
  </si>
  <si>
    <t>CHICKEN__675</t>
  </si>
  <si>
    <t>ORD1480</t>
  </si>
  <si>
    <t>ORD1481</t>
  </si>
  <si>
    <t>COKE_130</t>
  </si>
  <si>
    <t>ORD1482</t>
  </si>
  <si>
    <t>SPRITE_635</t>
  </si>
  <si>
    <t>ORD1483</t>
  </si>
  <si>
    <t>VEG_BURG_808</t>
  </si>
  <si>
    <t>ORD1484</t>
  </si>
  <si>
    <t>CHICKEN__977</t>
  </si>
  <si>
    <t>ORD1485</t>
  </si>
  <si>
    <t>PEPPY_PA_327</t>
  </si>
  <si>
    <t>ORD1486</t>
  </si>
  <si>
    <t>GARLIC_B_264</t>
  </si>
  <si>
    <t>ORD1487</t>
  </si>
  <si>
    <t>GULAB_JA_170</t>
  </si>
  <si>
    <t>ORD1488</t>
  </si>
  <si>
    <t>COKE_857</t>
  </si>
  <si>
    <t>ORD1489</t>
  </si>
  <si>
    <t>CHICKEN__762</t>
  </si>
  <si>
    <t>ORD1490</t>
  </si>
  <si>
    <t>BROWNIE_735</t>
  </si>
  <si>
    <t>ORD1491</t>
  </si>
  <si>
    <t>VEG_BURG_985</t>
  </si>
  <si>
    <t>ORD1492</t>
  </si>
  <si>
    <t>ORD1493</t>
  </si>
  <si>
    <t>MARGHERI_213</t>
  </si>
  <si>
    <t>ORD1494</t>
  </si>
  <si>
    <t>FRIES_306</t>
  </si>
  <si>
    <t>ORD1495</t>
  </si>
  <si>
    <t>GRILLED__652</t>
  </si>
  <si>
    <t>ORD1496</t>
  </si>
  <si>
    <t>CLUB_SAN_720</t>
  </si>
  <si>
    <t>ORD1497</t>
  </si>
  <si>
    <t>ONION_RI_671</t>
  </si>
  <si>
    <t>ORD1498</t>
  </si>
  <si>
    <t>CHICKEN__856</t>
  </si>
  <si>
    <t>ORD1499</t>
  </si>
  <si>
    <t>GULAB_JA_212</t>
  </si>
  <si>
    <t>ORD1500</t>
  </si>
  <si>
    <t>GRILLED__672</t>
  </si>
  <si>
    <t>ORD1501</t>
  </si>
  <si>
    <t>ICE_CREA_910</t>
  </si>
  <si>
    <t>ORD1502</t>
  </si>
  <si>
    <t>CHICKEN__399</t>
  </si>
  <si>
    <t>ORD1503</t>
  </si>
  <si>
    <t>BROWNIE_427</t>
  </si>
  <si>
    <t>ORD1504</t>
  </si>
  <si>
    <t>COLD_COF_620</t>
  </si>
  <si>
    <t>ORD1505</t>
  </si>
  <si>
    <t>PEPPY_PA_841</t>
  </si>
  <si>
    <t>ORD1506</t>
  </si>
  <si>
    <t>PEPPY_PA_904</t>
  </si>
  <si>
    <t>ORD1507</t>
  </si>
  <si>
    <t>MARGHERI_279</t>
  </si>
  <si>
    <t>ORD1508</t>
  </si>
  <si>
    <t>SPRITE_758</t>
  </si>
  <si>
    <t>ORD1509</t>
  </si>
  <si>
    <t>ORD1510</t>
  </si>
  <si>
    <t>GARLIC_B_188</t>
  </si>
  <si>
    <t>ORD1511</t>
  </si>
  <si>
    <t>CHICKEN__537</t>
  </si>
  <si>
    <t>ORD1512</t>
  </si>
  <si>
    <t>MARGHERI_655</t>
  </si>
  <si>
    <t>ORD1513</t>
  </si>
  <si>
    <t>ORD1514</t>
  </si>
  <si>
    <t>BROWNIE_506</t>
  </si>
  <si>
    <t>ORD1515</t>
  </si>
  <si>
    <t>COLD_COF_101</t>
  </si>
  <si>
    <t>ORD1516</t>
  </si>
  <si>
    <t>SPRITE_595</t>
  </si>
  <si>
    <t>ORD1517</t>
  </si>
  <si>
    <t>CLUB_SAN_898</t>
  </si>
  <si>
    <t>ORD1518</t>
  </si>
  <si>
    <t>ONION_RI_293</t>
  </si>
  <si>
    <t>ORD1519</t>
  </si>
  <si>
    <t>ONION_RI_132</t>
  </si>
  <si>
    <t>ORD1520</t>
  </si>
  <si>
    <t>CHICKEN__458</t>
  </si>
  <si>
    <t>ORD1521</t>
  </si>
  <si>
    <t>SPRITE_572</t>
  </si>
  <si>
    <t>ORD1522</t>
  </si>
  <si>
    <t>MARGHERI_335</t>
  </si>
  <si>
    <t>ORD1523</t>
  </si>
  <si>
    <t>ORD1524</t>
  </si>
  <si>
    <t>VEG_BURG_954</t>
  </si>
  <si>
    <t>ORD1525</t>
  </si>
  <si>
    <t>BROWNIE_454</t>
  </si>
  <si>
    <t>ORD1526</t>
  </si>
  <si>
    <t>GARLIC_B_491</t>
  </si>
  <si>
    <t>ORD1527</t>
  </si>
  <si>
    <t>CHICKEN__125</t>
  </si>
  <si>
    <t>ORD1528</t>
  </si>
  <si>
    <t>ORD1529</t>
  </si>
  <si>
    <t>FRIES_370</t>
  </si>
  <si>
    <t>ORD1530</t>
  </si>
  <si>
    <t>MARGHERI_898</t>
  </si>
  <si>
    <t>ORD1531</t>
  </si>
  <si>
    <t>PEPPY_PA_246</t>
  </si>
  <si>
    <t>ORD1532</t>
  </si>
  <si>
    <t>SPRITE_945</t>
  </si>
  <si>
    <t>ORD1533</t>
  </si>
  <si>
    <t>COKE_976</t>
  </si>
  <si>
    <t>ORD1534</t>
  </si>
  <si>
    <t>PEPPY_PA_134</t>
  </si>
  <si>
    <t>ORD1535</t>
  </si>
  <si>
    <t>ORD1536</t>
  </si>
  <si>
    <t>FRIES_454</t>
  </si>
  <si>
    <t>ORD1537</t>
  </si>
  <si>
    <t>ORD1538</t>
  </si>
  <si>
    <t>PEPPY_PA_553</t>
  </si>
  <si>
    <t>ORD1539</t>
  </si>
  <si>
    <t>COLD_COF_766</t>
  </si>
  <si>
    <t>ORD1540</t>
  </si>
  <si>
    <t>PEPPY_PA_968</t>
  </si>
  <si>
    <t>ORD1541</t>
  </si>
  <si>
    <t>CLUB_SAN_540</t>
  </si>
  <si>
    <t>ORD1542</t>
  </si>
  <si>
    <t>CHICKEN__797</t>
  </si>
  <si>
    <t>ORD1543</t>
  </si>
  <si>
    <t>PEPPY_PA_481</t>
  </si>
  <si>
    <t>ORD1544</t>
  </si>
  <si>
    <t>VEG_SAND_649</t>
  </si>
  <si>
    <t>ORD1545</t>
  </si>
  <si>
    <t>COKE_276</t>
  </si>
  <si>
    <t>ORD1546</t>
  </si>
  <si>
    <t>CLUB_SAN_224</t>
  </si>
  <si>
    <t>ORD1547</t>
  </si>
  <si>
    <t>COLD_COF_724</t>
  </si>
  <si>
    <t>ORD1548</t>
  </si>
  <si>
    <t>CHICKEN__462</t>
  </si>
  <si>
    <t>ORD1549</t>
  </si>
  <si>
    <t>GARLIC_B_105</t>
  </si>
  <si>
    <t>ORD1550</t>
  </si>
  <si>
    <t>FRIES_811</t>
  </si>
  <si>
    <t>ORD1551</t>
  </si>
  <si>
    <t>PEPPY_PA_653</t>
  </si>
  <si>
    <t>ORD1552</t>
  </si>
  <si>
    <t>VEG_BURG_244</t>
  </si>
  <si>
    <t>ORD1553</t>
  </si>
  <si>
    <t>CHICKEN__116</t>
  </si>
  <si>
    <t>ORD1554</t>
  </si>
  <si>
    <t>GULAB_JA_491</t>
  </si>
  <si>
    <t>ORD1555</t>
  </si>
  <si>
    <t>ORD1556</t>
  </si>
  <si>
    <t>COLD_COF_198</t>
  </si>
  <si>
    <t>ORD1557</t>
  </si>
  <si>
    <t>MARGHERI_917</t>
  </si>
  <si>
    <t>ORD1558</t>
  </si>
  <si>
    <t>GRILLED__113</t>
  </si>
  <si>
    <t>ORD1559</t>
  </si>
  <si>
    <t>CHICKEN__483</t>
  </si>
  <si>
    <t>ORD1560</t>
  </si>
  <si>
    <t>COKE_411</t>
  </si>
  <si>
    <t>ORD1561</t>
  </si>
  <si>
    <t>CHEESE_B_320</t>
  </si>
  <si>
    <t>ORD1562</t>
  </si>
  <si>
    <t>FRIES_164</t>
  </si>
  <si>
    <t>ORD1563</t>
  </si>
  <si>
    <t>CHICKEN__653</t>
  </si>
  <si>
    <t>ORD1564</t>
  </si>
  <si>
    <t>SPRITE_198</t>
  </si>
  <si>
    <t>ORD1565</t>
  </si>
  <si>
    <t>GRILLED__576</t>
  </si>
  <si>
    <t>ORD1566</t>
  </si>
  <si>
    <t>MARGHERI_267</t>
  </si>
  <si>
    <t>ORD1567</t>
  </si>
  <si>
    <t>PEPPY_PA_949</t>
  </si>
  <si>
    <t>ORD1568</t>
  </si>
  <si>
    <t>MARGHERI_865</t>
  </si>
  <si>
    <t>ORD1569</t>
  </si>
  <si>
    <t>VEG_BURG_528</t>
  </si>
  <si>
    <t>ORD1570</t>
  </si>
  <si>
    <t>ORD1571</t>
  </si>
  <si>
    <t>GARLIC_B_297</t>
  </si>
  <si>
    <t>ORD1572</t>
  </si>
  <si>
    <t>BROWNIE_116</t>
  </si>
  <si>
    <t>ORD1573</t>
  </si>
  <si>
    <t>GARLIC_B_260</t>
  </si>
  <si>
    <t>ORD1574</t>
  </si>
  <si>
    <t>ORD1575</t>
  </si>
  <si>
    <t>VEG_BURG_708</t>
  </si>
  <si>
    <t>ORD1576</t>
  </si>
  <si>
    <t>FRIES_344</t>
  </si>
  <si>
    <t>ORD1577</t>
  </si>
  <si>
    <t>ORD1578</t>
  </si>
  <si>
    <t>MARGHERI_540</t>
  </si>
  <si>
    <t>ORD1579</t>
  </si>
  <si>
    <t>MARGHERI_912</t>
  </si>
  <si>
    <t>ORD1580</t>
  </si>
  <si>
    <t>PEPPY_PA_382</t>
  </si>
  <si>
    <t>ORD1581</t>
  </si>
  <si>
    <t>CHICKEN__131</t>
  </si>
  <si>
    <t>ORD1582</t>
  </si>
  <si>
    <t>CHICKEN__771</t>
  </si>
  <si>
    <t>ORD1583</t>
  </si>
  <si>
    <t>CHICKEN__722</t>
  </si>
  <si>
    <t>ORD1584</t>
  </si>
  <si>
    <t>ORD1585</t>
  </si>
  <si>
    <t>COLD_COF_775</t>
  </si>
  <si>
    <t>ORD1586</t>
  </si>
  <si>
    <t>CHICKEN__166</t>
  </si>
  <si>
    <t>ORD1587</t>
  </si>
  <si>
    <t>SPRITE_162</t>
  </si>
  <si>
    <t>ORD1588</t>
  </si>
  <si>
    <t>ORD1589</t>
  </si>
  <si>
    <t>ORD1590</t>
  </si>
  <si>
    <t>VEG_BURG_833</t>
  </si>
  <si>
    <t>ORD1591</t>
  </si>
  <si>
    <t>ORD1592</t>
  </si>
  <si>
    <t>COLD_COF_630</t>
  </si>
  <si>
    <t>ORD1593</t>
  </si>
  <si>
    <t>COKE_180</t>
  </si>
  <si>
    <t>ORD1594</t>
  </si>
  <si>
    <t>ICE_CREA_470</t>
  </si>
  <si>
    <t>ORD1595</t>
  </si>
  <si>
    <t>FRIES_155</t>
  </si>
  <si>
    <t>ORD1596</t>
  </si>
  <si>
    <t>MARGHERI_976</t>
  </si>
  <si>
    <t>ORD1597</t>
  </si>
  <si>
    <t>PEPPY_PA_565</t>
  </si>
  <si>
    <t>ORD1598</t>
  </si>
  <si>
    <t>ORD1599</t>
  </si>
  <si>
    <t>CHICKEN__581</t>
  </si>
  <si>
    <t>ORD1600</t>
  </si>
  <si>
    <t>PEPPY_PA_934</t>
  </si>
  <si>
    <t>ORD1601</t>
  </si>
  <si>
    <t>CHEESE_B_192</t>
  </si>
  <si>
    <t>ORD1602</t>
  </si>
  <si>
    <t>ORD1603</t>
  </si>
  <si>
    <t>GULAB_JA_367</t>
  </si>
  <si>
    <t>ORD1604</t>
  </si>
  <si>
    <t>ORD1605</t>
  </si>
  <si>
    <t>GARLIC_B_747</t>
  </si>
  <si>
    <t>ORD1606</t>
  </si>
  <si>
    <t>ORD1607</t>
  </si>
  <si>
    <t>ORD1608</t>
  </si>
  <si>
    <t>ORD1609</t>
  </si>
  <si>
    <t>COKE_618</t>
  </si>
  <si>
    <t>ORD1610</t>
  </si>
  <si>
    <t>GARLIC_B_506</t>
  </si>
  <si>
    <t>ORD1611</t>
  </si>
  <si>
    <t>BROWNIE_271</t>
  </si>
  <si>
    <t>ORD1612</t>
  </si>
  <si>
    <t>COLD_COF_394</t>
  </si>
  <si>
    <t>ORD1613</t>
  </si>
  <si>
    <t>ICE_CREA_562</t>
  </si>
  <si>
    <t>ORD1614</t>
  </si>
  <si>
    <t>ORD1615</t>
  </si>
  <si>
    <t>GULAB_JA_654</t>
  </si>
  <si>
    <t>ORD1616</t>
  </si>
  <si>
    <t>CHICKEN__371</t>
  </si>
  <si>
    <t>ORD1617</t>
  </si>
  <si>
    <t>GARLIC_B_990</t>
  </si>
  <si>
    <t>ORD1618</t>
  </si>
  <si>
    <t>PEPPY_PA_824</t>
  </si>
  <si>
    <t>ORD1619</t>
  </si>
  <si>
    <t>ICE_CREA_913</t>
  </si>
  <si>
    <t>ORD1620</t>
  </si>
  <si>
    <t>COKE_507</t>
  </si>
  <si>
    <t>ORD1621</t>
  </si>
  <si>
    <t>ORD1622</t>
  </si>
  <si>
    <t>CHICKEN__341</t>
  </si>
  <si>
    <t>ORD1623</t>
  </si>
  <si>
    <t>PEPPY_PA_772</t>
  </si>
  <si>
    <t>ORD1624</t>
  </si>
  <si>
    <t>SPRITE_843</t>
  </si>
  <si>
    <t>ORD1625</t>
  </si>
  <si>
    <t>GULAB_JA_164</t>
  </si>
  <si>
    <t>ORD1626</t>
  </si>
  <si>
    <t>MARGHERI_902</t>
  </si>
  <si>
    <t>ORD1627</t>
  </si>
  <si>
    <t>PEPPY_PA_510</t>
  </si>
  <si>
    <t>ORD1628</t>
  </si>
  <si>
    <t>VEG_BURG_368</t>
  </si>
  <si>
    <t>ORD1629</t>
  </si>
  <si>
    <t>GARLIC_B_467</t>
  </si>
  <si>
    <t>ORD1630</t>
  </si>
  <si>
    <t>SPRITE_165</t>
  </si>
  <si>
    <t>ORD1631</t>
  </si>
  <si>
    <t>COLD_COF_914</t>
  </si>
  <si>
    <t>ORD1632</t>
  </si>
  <si>
    <t>FRIES_479</t>
  </si>
  <si>
    <t>ORD1633</t>
  </si>
  <si>
    <t>SPRITE_145</t>
  </si>
  <si>
    <t>ORD1634</t>
  </si>
  <si>
    <t>ORD1635</t>
  </si>
  <si>
    <t>COLD_COF_284</t>
  </si>
  <si>
    <t>ORD1636</t>
  </si>
  <si>
    <t>GULAB_JA_900</t>
  </si>
  <si>
    <t>ORD1637</t>
  </si>
  <si>
    <t>PEPPY_PA_320</t>
  </si>
  <si>
    <t>ORD1638</t>
  </si>
  <si>
    <t>GRILLED__408</t>
  </si>
  <si>
    <t>ORD1639</t>
  </si>
  <si>
    <t>PEPPY_PA_461</t>
  </si>
  <si>
    <t>ORD1640</t>
  </si>
  <si>
    <t>VEG_BURG_468</t>
  </si>
  <si>
    <t>ORD1641</t>
  </si>
  <si>
    <t>SPRITE_803</t>
  </si>
  <si>
    <t>ORD1642</t>
  </si>
  <si>
    <t>COKE_331</t>
  </si>
  <si>
    <t>ORD1643</t>
  </si>
  <si>
    <t>COLD_COF_858</t>
  </si>
  <si>
    <t>ORD1644</t>
  </si>
  <si>
    <t>CHICKEN__152</t>
  </si>
  <si>
    <t>ORD1645</t>
  </si>
  <si>
    <t>GRILLED__915</t>
  </si>
  <si>
    <t>ORD1646</t>
  </si>
  <si>
    <t>CLUB_SAN_780</t>
  </si>
  <si>
    <t>ORD1647</t>
  </si>
  <si>
    <t>COLD_COF_328</t>
  </si>
  <si>
    <t>ORD1648</t>
  </si>
  <si>
    <t>CHEESE_B_471</t>
  </si>
  <si>
    <t>ORD1649</t>
  </si>
  <si>
    <t>COLD_COF_737</t>
  </si>
  <si>
    <t>ORD1650</t>
  </si>
  <si>
    <t>BROWNIE_764</t>
  </si>
  <si>
    <t>ORD1651</t>
  </si>
  <si>
    <t>FRIES_565</t>
  </si>
  <si>
    <t>ORD1652</t>
  </si>
  <si>
    <t>CLUB_SAN_672</t>
  </si>
  <si>
    <t>ORD1653</t>
  </si>
  <si>
    <t>COKE_490</t>
  </si>
  <si>
    <t>ORD1654</t>
  </si>
  <si>
    <t>CHEESE_B_600</t>
  </si>
  <si>
    <t>ORD1655</t>
  </si>
  <si>
    <t>FRIES_861</t>
  </si>
  <si>
    <t>ORD1656</t>
  </si>
  <si>
    <t>CHICKEN__988</t>
  </si>
  <si>
    <t>ORD1657</t>
  </si>
  <si>
    <t>ORD1658</t>
  </si>
  <si>
    <t>ORD1659</t>
  </si>
  <si>
    <t>SPRITE_260</t>
  </si>
  <si>
    <t>ORD1660</t>
  </si>
  <si>
    <t>BROWNIE_300</t>
  </si>
  <si>
    <t>ORD1661</t>
  </si>
  <si>
    <t>MARGHERI_478</t>
  </si>
  <si>
    <t>ORD1662</t>
  </si>
  <si>
    <t>COLD_COF_545</t>
  </si>
  <si>
    <t>ORD1663</t>
  </si>
  <si>
    <t>COKE_232</t>
  </si>
  <si>
    <t>ORD1664</t>
  </si>
  <si>
    <t>ICE_CREA_159</t>
  </si>
  <si>
    <t>ORD1665</t>
  </si>
  <si>
    <t>ONION_RI_793</t>
  </si>
  <si>
    <t>ORD1666</t>
  </si>
  <si>
    <t>GULAB_JA_599</t>
  </si>
  <si>
    <t>ORD1667</t>
  </si>
  <si>
    <t>ONION_RI_321</t>
  </si>
  <si>
    <t>ORD1668</t>
  </si>
  <si>
    <t>VEG_SAND_703</t>
  </si>
  <si>
    <t>ORD1669</t>
  </si>
  <si>
    <t>ORD1670</t>
  </si>
  <si>
    <t>MARGHERI_807</t>
  </si>
  <si>
    <t>ORD1671</t>
  </si>
  <si>
    <t>ORD1672</t>
  </si>
  <si>
    <t>ICE_CREA_288</t>
  </si>
  <si>
    <t>ORD1673</t>
  </si>
  <si>
    <t>CLUB_SAN_122</t>
  </si>
  <si>
    <t>ORD1674</t>
  </si>
  <si>
    <t>VEG_BURG_820</t>
  </si>
  <si>
    <t>ORD1675</t>
  </si>
  <si>
    <t>VEG_BURG_233</t>
  </si>
  <si>
    <t>ORD1676</t>
  </si>
  <si>
    <t>CLUB_SAN_526</t>
  </si>
  <si>
    <t>ORD1677</t>
  </si>
  <si>
    <t>MARGHERI_877</t>
  </si>
  <si>
    <t>ORD1678</t>
  </si>
  <si>
    <t>ORD1679</t>
  </si>
  <si>
    <t>MARGHERI_155</t>
  </si>
  <si>
    <t>ORD1680</t>
  </si>
  <si>
    <t>ONION_RI_577</t>
  </si>
  <si>
    <t>ORD1681</t>
  </si>
  <si>
    <t>CHEESE_B_385</t>
  </si>
  <si>
    <t>ORD1682</t>
  </si>
  <si>
    <t>CHICKEN__660</t>
  </si>
  <si>
    <t>ORD1683</t>
  </si>
  <si>
    <t>ORD1684</t>
  </si>
  <si>
    <t>GARLIC_B_239</t>
  </si>
  <si>
    <t>ORD1685</t>
  </si>
  <si>
    <t>CHICKEN__496</t>
  </si>
  <si>
    <t>ORD1686</t>
  </si>
  <si>
    <t>VEG_BURG_337</t>
  </si>
  <si>
    <t>ORD1687</t>
  </si>
  <si>
    <t>FRIES_798</t>
  </si>
  <si>
    <t>ORD1688</t>
  </si>
  <si>
    <t>COLD_COF_386</t>
  </si>
  <si>
    <t>ORD1689</t>
  </si>
  <si>
    <t>PEPPY_PA_286</t>
  </si>
  <si>
    <t>ORD1690</t>
  </si>
  <si>
    <t>CHICKEN__299</t>
  </si>
  <si>
    <t>ORD1691</t>
  </si>
  <si>
    <t>SPRITE_342</t>
  </si>
  <si>
    <t>ORD1692</t>
  </si>
  <si>
    <t>GARLIC_B_221</t>
  </si>
  <si>
    <t>ORD1693</t>
  </si>
  <si>
    <t>COLD_COF_515</t>
  </si>
  <si>
    <t>ORD1694</t>
  </si>
  <si>
    <t>VEG_SAND_350</t>
  </si>
  <si>
    <t>ORD1695</t>
  </si>
  <si>
    <t>PEPPY_PA_709</t>
  </si>
  <si>
    <t>ORD1696</t>
  </si>
  <si>
    <t>ORD1697</t>
  </si>
  <si>
    <t>VEG_BURG_532</t>
  </si>
  <si>
    <t>ORD1698</t>
  </si>
  <si>
    <t>GULAB_JA_594</t>
  </si>
  <si>
    <t>ORD1699</t>
  </si>
  <si>
    <t>CHICKEN__684</t>
  </si>
  <si>
    <t>ORD1700</t>
  </si>
  <si>
    <t>CHICKEN__173</t>
  </si>
  <si>
    <t>ORD1701</t>
  </si>
  <si>
    <t>GARLIC_B_225</t>
  </si>
  <si>
    <t>ORD1702</t>
  </si>
  <si>
    <t>ORD1703</t>
  </si>
  <si>
    <t>VEG_SAND_666</t>
  </si>
  <si>
    <t>ORD1704</t>
  </si>
  <si>
    <t>COKE_338</t>
  </si>
  <si>
    <t>ORD1705</t>
  </si>
  <si>
    <t>ORD1706</t>
  </si>
  <si>
    <t>GULAB_JA_845</t>
  </si>
  <si>
    <t>ORD1707</t>
  </si>
  <si>
    <t>COLD_COF_195</t>
  </si>
  <si>
    <t>ORD1708</t>
  </si>
  <si>
    <t>GULAB_JA_542</t>
  </si>
  <si>
    <t>ORD1709</t>
  </si>
  <si>
    <t>SPRITE_443</t>
  </si>
  <si>
    <t>ORD1710</t>
  </si>
  <si>
    <t>CHICKEN__643</t>
  </si>
  <si>
    <t>ORD1711</t>
  </si>
  <si>
    <t>CHEESE_B_288</t>
  </si>
  <si>
    <t>ORD1712</t>
  </si>
  <si>
    <t>VEG_BURG_309</t>
  </si>
  <si>
    <t>ORD1713</t>
  </si>
  <si>
    <t>ORD1714</t>
  </si>
  <si>
    <t>GULAB_JA_237</t>
  </si>
  <si>
    <t>ORD1715</t>
  </si>
  <si>
    <t>SPRITE_975</t>
  </si>
  <si>
    <t>ORD1716</t>
  </si>
  <si>
    <t>ORD1717</t>
  </si>
  <si>
    <t>SPRITE_764</t>
  </si>
  <si>
    <t>ORD1718</t>
  </si>
  <si>
    <t>ORD1719</t>
  </si>
  <si>
    <t>SPRITE_696</t>
  </si>
  <si>
    <t>ORD1720</t>
  </si>
  <si>
    <t>BROWNIE_426</t>
  </si>
  <si>
    <t>ORD1721</t>
  </si>
  <si>
    <t>ORD1722</t>
  </si>
  <si>
    <t>COLD_COF_400</t>
  </si>
  <si>
    <t>ORD1723</t>
  </si>
  <si>
    <t>GULAB_JA_978</t>
  </si>
  <si>
    <t>ORD1724</t>
  </si>
  <si>
    <t>COKE_648</t>
  </si>
  <si>
    <t>ORD1725</t>
  </si>
  <si>
    <t>CLUB_SAN_502</t>
  </si>
  <si>
    <t>ORD1726</t>
  </si>
  <si>
    <t>ORD1727</t>
  </si>
  <si>
    <t>CHICKEN__110</t>
  </si>
  <si>
    <t>ORD1728</t>
  </si>
  <si>
    <t>PEPPY_PA_611</t>
  </si>
  <si>
    <t>ORD1729</t>
  </si>
  <si>
    <t>CLUB_SAN_176</t>
  </si>
  <si>
    <t>ORD1730</t>
  </si>
  <si>
    <t>COKE_884</t>
  </si>
  <si>
    <t>ORD1731</t>
  </si>
  <si>
    <t>CHICKEN__897</t>
  </si>
  <si>
    <t>ORD1732</t>
  </si>
  <si>
    <t>GULAB_JA_712</t>
  </si>
  <si>
    <t>ORD1733</t>
  </si>
  <si>
    <t>GRILLED__365</t>
  </si>
  <si>
    <t>ORD1734</t>
  </si>
  <si>
    <t>CLUB_SAN_460</t>
  </si>
  <si>
    <t>ORD1735</t>
  </si>
  <si>
    <t>PEPPY_PA_873</t>
  </si>
  <si>
    <t>ORD1736</t>
  </si>
  <si>
    <t>FRIES_496</t>
  </si>
  <si>
    <t>ORD1737</t>
  </si>
  <si>
    <t>MARGHERI_790</t>
  </si>
  <si>
    <t>ORD1738</t>
  </si>
  <si>
    <t>COKE_474</t>
  </si>
  <si>
    <t>ORD1739</t>
  </si>
  <si>
    <t>COLD_COF_507</t>
  </si>
  <si>
    <t>ORD1740</t>
  </si>
  <si>
    <t>COKE_769</t>
  </si>
  <si>
    <t>ORD1741</t>
  </si>
  <si>
    <t>ORD1742</t>
  </si>
  <si>
    <t>PEPPY_PA_175</t>
  </si>
  <si>
    <t>ORD1743</t>
  </si>
  <si>
    <t>MARGHERI_899</t>
  </si>
  <si>
    <t>ORD1744</t>
  </si>
  <si>
    <t>CHEESE_B_465</t>
  </si>
  <si>
    <t>ORD1745</t>
  </si>
  <si>
    <t>CHEESE_B_520</t>
  </si>
  <si>
    <t>ORD1746</t>
  </si>
  <si>
    <t>ORD1747</t>
  </si>
  <si>
    <t>ONION_RI_143</t>
  </si>
  <si>
    <t>ORD1748</t>
  </si>
  <si>
    <t>VEG_BURG_873</t>
  </si>
  <si>
    <t>ORD1749</t>
  </si>
  <si>
    <t>PEPPY_PA_981</t>
  </si>
  <si>
    <t>ORD1750</t>
  </si>
  <si>
    <t>MARGHERI_443</t>
  </si>
  <si>
    <t>ORD1751</t>
  </si>
  <si>
    <t>CHICKEN__790</t>
  </si>
  <si>
    <t>ORD1752</t>
  </si>
  <si>
    <t>ORD1753</t>
  </si>
  <si>
    <t>SPRITE_340</t>
  </si>
  <si>
    <t>ORD1754</t>
  </si>
  <si>
    <t>SPRITE_301</t>
  </si>
  <si>
    <t>ORD1755</t>
  </si>
  <si>
    <t>CHICKEN__325</t>
  </si>
  <si>
    <t>ORD1756</t>
  </si>
  <si>
    <t>BROWNIE_705</t>
  </si>
  <si>
    <t>ORD1757</t>
  </si>
  <si>
    <t>ORD1758</t>
  </si>
  <si>
    <t>CLUB_SAN_143</t>
  </si>
  <si>
    <t>ORD1759</t>
  </si>
  <si>
    <t>ICE_CREA_843</t>
  </si>
  <si>
    <t>ORD1760</t>
  </si>
  <si>
    <t>GARLIC_B_274</t>
  </si>
  <si>
    <t>ORD1761</t>
  </si>
  <si>
    <t>GRILLED__805</t>
  </si>
  <si>
    <t>ORD1762</t>
  </si>
  <si>
    <t>CHEESE_B_828</t>
  </si>
  <si>
    <t>ORD1763</t>
  </si>
  <si>
    <t>CHICKEN__470</t>
  </si>
  <si>
    <t>ORD1764</t>
  </si>
  <si>
    <t>COLD_COF_673</t>
  </si>
  <si>
    <t>ORD1765</t>
  </si>
  <si>
    <t>COLD_COF_270</t>
  </si>
  <si>
    <t>ORD1766</t>
  </si>
  <si>
    <t>GULAB_JA_168</t>
  </si>
  <si>
    <t>ORD1767</t>
  </si>
  <si>
    <t>ORD1768</t>
  </si>
  <si>
    <t>PEPPY_PA_266</t>
  </si>
  <si>
    <t>ORD1769</t>
  </si>
  <si>
    <t>PEPPY_PA_660</t>
  </si>
  <si>
    <t>ORD1770</t>
  </si>
  <si>
    <t>GARLIC_B_613</t>
  </si>
  <si>
    <t>ORD1771</t>
  </si>
  <si>
    <t>ORD1772</t>
  </si>
  <si>
    <t>ONION_RI_294</t>
  </si>
  <si>
    <t>ORD1773</t>
  </si>
  <si>
    <t>COLD_COF_756</t>
  </si>
  <si>
    <t>ORD1774</t>
  </si>
  <si>
    <t>CHEESE_B_960</t>
  </si>
  <si>
    <t>ORD1775</t>
  </si>
  <si>
    <t>SPRITE_120</t>
  </si>
  <si>
    <t>ORD1776</t>
  </si>
  <si>
    <t>CHEESE_B_495</t>
  </si>
  <si>
    <t>ORD1777</t>
  </si>
  <si>
    <t>MARGHERI_946</t>
  </si>
  <si>
    <t>ORD1778</t>
  </si>
  <si>
    <t>CHICKEN__451</t>
  </si>
  <si>
    <t>ORD1779</t>
  </si>
  <si>
    <t>PEPPY_PA_825</t>
  </si>
  <si>
    <t>ORD1780</t>
  </si>
  <si>
    <t>VEG_BURG_599</t>
  </si>
  <si>
    <t>ORD1781</t>
  </si>
  <si>
    <t>CHICKEN__408</t>
  </si>
  <si>
    <t>ORD1782</t>
  </si>
  <si>
    <t>FRIES_490</t>
  </si>
  <si>
    <t>ORD1783</t>
  </si>
  <si>
    <t>FRIES_768</t>
  </si>
  <si>
    <t>ORD1784</t>
  </si>
  <si>
    <t>PEPPY_PA_694</t>
  </si>
  <si>
    <t>ORD1785</t>
  </si>
  <si>
    <t>ORD1786</t>
  </si>
  <si>
    <t>ICE_CREA_348</t>
  </si>
  <si>
    <t>ORD1787</t>
  </si>
  <si>
    <t>GULAB_JA_969</t>
  </si>
  <si>
    <t>ORD1788</t>
  </si>
  <si>
    <t>CHICKEN__260</t>
  </si>
  <si>
    <t>ORD1789</t>
  </si>
  <si>
    <t>BROWNIE_829</t>
  </si>
  <si>
    <t>ORD1790</t>
  </si>
  <si>
    <t>BROWNIE_418</t>
  </si>
  <si>
    <t>ORD1791</t>
  </si>
  <si>
    <t>FRIES_572</t>
  </si>
  <si>
    <t>ORD1792</t>
  </si>
  <si>
    <t>ORD1793</t>
  </si>
  <si>
    <t>CLUB_SAN_166</t>
  </si>
  <si>
    <t>ORD1794</t>
  </si>
  <si>
    <t>VEG_SAND_242</t>
  </si>
  <si>
    <t>ORD1795</t>
  </si>
  <si>
    <t>CHICKEN__514</t>
  </si>
  <si>
    <t>ORD1796</t>
  </si>
  <si>
    <t>PEPPY_PA_807</t>
  </si>
  <si>
    <t>ORD1797</t>
  </si>
  <si>
    <t>ORD1798</t>
  </si>
  <si>
    <t>VEG_SAND_326</t>
  </si>
  <si>
    <t>ORD1799</t>
  </si>
  <si>
    <t>SPRITE_474</t>
  </si>
  <si>
    <t>ORD1800</t>
  </si>
  <si>
    <t>ONION_RI_167</t>
  </si>
  <si>
    <t>ORD1801</t>
  </si>
  <si>
    <t>COLD_COF_699</t>
  </si>
  <si>
    <t>ORD1802</t>
  </si>
  <si>
    <t>PEPPY_PA_580</t>
  </si>
  <si>
    <t>ORD1803</t>
  </si>
  <si>
    <t>ORD1804</t>
  </si>
  <si>
    <t>PEPPY_PA_107</t>
  </si>
  <si>
    <t>ORD1805</t>
  </si>
  <si>
    <t>GARLIC_B_155</t>
  </si>
  <si>
    <t>ORD1806</t>
  </si>
  <si>
    <t>CLUB_SAN_232</t>
  </si>
  <si>
    <t>ORD1807</t>
  </si>
  <si>
    <t>GRILLED__573</t>
  </si>
  <si>
    <t>ORD1808</t>
  </si>
  <si>
    <t>CHICKEN__934</t>
  </si>
  <si>
    <t>ORD1809</t>
  </si>
  <si>
    <t>ORD1810</t>
  </si>
  <si>
    <t>GRILLED__791</t>
  </si>
  <si>
    <t>ORD1811</t>
  </si>
  <si>
    <t>COLD_COF_497</t>
  </si>
  <si>
    <t>ORD1812</t>
  </si>
  <si>
    <t>SPRITE_605</t>
  </si>
  <si>
    <t>ORD1813</t>
  </si>
  <si>
    <t>PEPPY_PA_491</t>
  </si>
  <si>
    <t>ORD1814</t>
  </si>
  <si>
    <t>ORD1815</t>
  </si>
  <si>
    <t>COLD_COF_217</t>
  </si>
  <si>
    <t>ORD1816</t>
  </si>
  <si>
    <t>PEPPY_PA_502</t>
  </si>
  <si>
    <t>ORD1817</t>
  </si>
  <si>
    <t>ONION_RI_423</t>
  </si>
  <si>
    <t>ORD1818</t>
  </si>
  <si>
    <t>VEG_BURG_323</t>
  </si>
  <si>
    <t>ORD1819</t>
  </si>
  <si>
    <t>COLD_COF_714</t>
  </si>
  <si>
    <t>ORD1820</t>
  </si>
  <si>
    <t>COLD_COF_700</t>
  </si>
  <si>
    <t>ORD1821</t>
  </si>
  <si>
    <t>MARGHERI_770</t>
  </si>
  <si>
    <t>ORD1822</t>
  </si>
  <si>
    <t>FRIES_687</t>
  </si>
  <si>
    <t>ORD1823</t>
  </si>
  <si>
    <t>ONION_RI_130</t>
  </si>
  <si>
    <t>ORD1824</t>
  </si>
  <si>
    <t>FRIES_635</t>
  </si>
  <si>
    <t>ORD1825</t>
  </si>
  <si>
    <t>GARLIC_B_963</t>
  </si>
  <si>
    <t>ORD1826</t>
  </si>
  <si>
    <t>ONION_RI_332</t>
  </si>
  <si>
    <t>ORD1827</t>
  </si>
  <si>
    <t>ORD1828</t>
  </si>
  <si>
    <t>FRIES_408</t>
  </si>
  <si>
    <t>ORD1829</t>
  </si>
  <si>
    <t>CHEESE_B_533</t>
  </si>
  <si>
    <t>ORD1830</t>
  </si>
  <si>
    <t>COLD_COF_143</t>
  </si>
  <si>
    <t>ORD1831</t>
  </si>
  <si>
    <t>GRILLED__313</t>
  </si>
  <si>
    <t>ORD1832</t>
  </si>
  <si>
    <t>CLUB_SAN_556</t>
  </si>
  <si>
    <t>ORD1833</t>
  </si>
  <si>
    <t>CHICKEN__545</t>
  </si>
  <si>
    <t>ORD1834</t>
  </si>
  <si>
    <t>CHEESE_B_301</t>
  </si>
  <si>
    <t>ORD1835</t>
  </si>
  <si>
    <t>FRIES_764</t>
  </si>
  <si>
    <t>ORD1836</t>
  </si>
  <si>
    <t>FRIES_324</t>
  </si>
  <si>
    <t>ORD1837</t>
  </si>
  <si>
    <t>CHEESE_B_135</t>
  </si>
  <si>
    <t>ORD1838</t>
  </si>
  <si>
    <t>ONION_RI_751</t>
  </si>
  <si>
    <t>ORD1839</t>
  </si>
  <si>
    <t>MARGHERI_236</t>
  </si>
  <si>
    <t>ORD1840</t>
  </si>
  <si>
    <t>COLD_COF_589</t>
  </si>
  <si>
    <t>ORD1841</t>
  </si>
  <si>
    <t>CHICKEN__292</t>
  </si>
  <si>
    <t>ORD1842</t>
  </si>
  <si>
    <t>VEG_SAND_207</t>
  </si>
  <si>
    <t>ORD1843</t>
  </si>
  <si>
    <t>SPRITE_484</t>
  </si>
  <si>
    <t>ORD1844</t>
  </si>
  <si>
    <t>VEG_BURG_946</t>
  </si>
  <si>
    <t>ORD1845</t>
  </si>
  <si>
    <t>COKE_686</t>
  </si>
  <si>
    <t>ORD1846</t>
  </si>
  <si>
    <t>COLD_COF_943</t>
  </si>
  <si>
    <t>ORD1847</t>
  </si>
  <si>
    <t>BROWNIE_885</t>
  </si>
  <si>
    <t>ORD1848</t>
  </si>
  <si>
    <t>COKE_429</t>
  </si>
  <si>
    <t>ORD1849</t>
  </si>
  <si>
    <t>ORD1850</t>
  </si>
  <si>
    <t>CHICKEN__149</t>
  </si>
  <si>
    <t>ORD1851</t>
  </si>
  <si>
    <t>GRILLED__175</t>
  </si>
  <si>
    <t>ORD1852</t>
  </si>
  <si>
    <t>GARLIC_B_376</t>
  </si>
  <si>
    <t>ORD1853</t>
  </si>
  <si>
    <t>CHICKEN__561</t>
  </si>
  <si>
    <t>ORD1854</t>
  </si>
  <si>
    <t>VEG_SAND_166</t>
  </si>
  <si>
    <t>ORD1855</t>
  </si>
  <si>
    <t>CHICKEN__873</t>
  </si>
  <si>
    <t>ORD1856</t>
  </si>
  <si>
    <t>MARGHERI_203</t>
  </si>
  <si>
    <t>ORD1857</t>
  </si>
  <si>
    <t>ORD1858</t>
  </si>
  <si>
    <t>BROWNIE_980</t>
  </si>
  <si>
    <t>ORD1859</t>
  </si>
  <si>
    <t>GARLIC_B_348</t>
  </si>
  <si>
    <t>ORD1860</t>
  </si>
  <si>
    <t>CLUB_SAN_930</t>
  </si>
  <si>
    <t>ORD1861</t>
  </si>
  <si>
    <t>COKE_218</t>
  </si>
  <si>
    <t>ORD1862</t>
  </si>
  <si>
    <t>BROWNIE_145</t>
  </si>
  <si>
    <t>ORD1863</t>
  </si>
  <si>
    <t>CHEESE_B_940</t>
  </si>
  <si>
    <t>ORD1864</t>
  </si>
  <si>
    <t>MARGHERI_265</t>
  </si>
  <si>
    <t>ORD1865</t>
  </si>
  <si>
    <t>COLD_COF_408</t>
  </si>
  <si>
    <t>ORD1866</t>
  </si>
  <si>
    <t>COKE_223</t>
  </si>
  <si>
    <t>ORD1867</t>
  </si>
  <si>
    <t>CHEESE_B_675</t>
  </si>
  <si>
    <t>ORD1868</t>
  </si>
  <si>
    <t>PEPPY_PA_639</t>
  </si>
  <si>
    <t>ORD1869</t>
  </si>
  <si>
    <t>CHEESE_B_425</t>
  </si>
  <si>
    <t>ORD1870</t>
  </si>
  <si>
    <t>ORD1871</t>
  </si>
  <si>
    <t>CHEESE_B_665</t>
  </si>
  <si>
    <t>ORD1872</t>
  </si>
  <si>
    <t>ONION_RI_102</t>
  </si>
  <si>
    <t>ORD1873</t>
  </si>
  <si>
    <t>MARGHERI_757</t>
  </si>
  <si>
    <t>ORD1874</t>
  </si>
  <si>
    <t>VEG_SAND_708</t>
  </si>
  <si>
    <t>ORD1875</t>
  </si>
  <si>
    <t>ORD1876</t>
  </si>
  <si>
    <t>SPRITE_638</t>
  </si>
  <si>
    <t>ORD1877</t>
  </si>
  <si>
    <t>SPRITE_706</t>
  </si>
  <si>
    <t>ORD1878</t>
  </si>
  <si>
    <t>CHEESE_B_660</t>
  </si>
  <si>
    <t>ORD1879</t>
  </si>
  <si>
    <t>GULAB_JA_600</t>
  </si>
  <si>
    <t>ORD1880</t>
  </si>
  <si>
    <t>FRIES_415</t>
  </si>
  <si>
    <t>ORD1881</t>
  </si>
  <si>
    <t>VEG_SAND_327</t>
  </si>
  <si>
    <t>ORD1882</t>
  </si>
  <si>
    <t>SPRITE_799</t>
  </si>
  <si>
    <t>ORD1883</t>
  </si>
  <si>
    <t>CHICKEN__380</t>
  </si>
  <si>
    <t>ORD1884</t>
  </si>
  <si>
    <t>BROWNIE_556</t>
  </si>
  <si>
    <t>ORD1885</t>
  </si>
  <si>
    <t>FRIES_508</t>
  </si>
  <si>
    <t>ORD1886</t>
  </si>
  <si>
    <t>ONION_RI_918</t>
  </si>
  <si>
    <t>ORD1887</t>
  </si>
  <si>
    <t>SPRITE_209</t>
  </si>
  <si>
    <t>ORD1888</t>
  </si>
  <si>
    <t>GULAB_JA_166</t>
  </si>
  <si>
    <t>ORD1889</t>
  </si>
  <si>
    <t>COLD_COF_915</t>
  </si>
  <si>
    <t>ORD1890</t>
  </si>
  <si>
    <t>GRILLED__669</t>
  </si>
  <si>
    <t>ORD1891</t>
  </si>
  <si>
    <t>CLUB_SAN_782</t>
  </si>
  <si>
    <t>ORD1892</t>
  </si>
  <si>
    <t>BROWNIE_672</t>
  </si>
  <si>
    <t>ORD1893</t>
  </si>
  <si>
    <t>GARLIC_B_482</t>
  </si>
  <si>
    <t>ORD1894</t>
  </si>
  <si>
    <t>COLD_COF_381</t>
  </si>
  <si>
    <t>ORD1895</t>
  </si>
  <si>
    <t>CHICKEN__931</t>
  </si>
  <si>
    <t>ORD1896</t>
  </si>
  <si>
    <t>ONION_RI_108</t>
  </si>
  <si>
    <t>ORD1897</t>
  </si>
  <si>
    <t>ORD1898</t>
  </si>
  <si>
    <t>COKE_116</t>
  </si>
  <si>
    <t>ORD1899</t>
  </si>
  <si>
    <t>MARGHERI_232</t>
  </si>
  <si>
    <t>ORD1900</t>
  </si>
  <si>
    <t>GARLIC_B_230</t>
  </si>
  <si>
    <t>ORD1901</t>
  </si>
  <si>
    <t>VEG_BURG_554</t>
  </si>
  <si>
    <t>ORD1902</t>
  </si>
  <si>
    <t>ORD1903</t>
  </si>
  <si>
    <t>ORD1904</t>
  </si>
  <si>
    <t>VEG_BURG_111</t>
  </si>
  <si>
    <t>ORD1905</t>
  </si>
  <si>
    <t>SPRITE_751</t>
  </si>
  <si>
    <t>ORD1906</t>
  </si>
  <si>
    <t>GRILLED__339</t>
  </si>
  <si>
    <t>ORD1907</t>
  </si>
  <si>
    <t>ORD1908</t>
  </si>
  <si>
    <t>VEG_BURG_779</t>
  </si>
  <si>
    <t>ORD1909</t>
  </si>
  <si>
    <t>COLD_COF_790</t>
  </si>
  <si>
    <t>ORD1910</t>
  </si>
  <si>
    <t>BROWNIE_749</t>
  </si>
  <si>
    <t>ORD1911</t>
  </si>
  <si>
    <t>VEG_BURG_349</t>
  </si>
  <si>
    <t>ORD1912</t>
  </si>
  <si>
    <t>MARGHERI_139</t>
  </si>
  <si>
    <t>ORD1913</t>
  </si>
  <si>
    <t>GARLIC_B_350</t>
  </si>
  <si>
    <t>ORD1914</t>
  </si>
  <si>
    <t>CLUB_SAN_912</t>
  </si>
  <si>
    <t>ORD1915</t>
  </si>
  <si>
    <t>ORD1916</t>
  </si>
  <si>
    <t>CHEESE_B_744</t>
  </si>
  <si>
    <t>ORD1917</t>
  </si>
  <si>
    <t>PEPPY_PA_893</t>
  </si>
  <si>
    <t>ORD1918</t>
  </si>
  <si>
    <t>PEPPY_PA_388</t>
  </si>
  <si>
    <t>ORD1919</t>
  </si>
  <si>
    <t>CHEESE_B_784</t>
  </si>
  <si>
    <t>ORD1920</t>
  </si>
  <si>
    <t>MARGHERI_674</t>
  </si>
  <si>
    <t>ORD1921</t>
  </si>
  <si>
    <t>SPRITE_615</t>
  </si>
  <si>
    <t>ORD1922</t>
  </si>
  <si>
    <t>COKE_325</t>
  </si>
  <si>
    <t>ORD1923</t>
  </si>
  <si>
    <t>COKE_265</t>
  </si>
  <si>
    <t>ORD1924</t>
  </si>
  <si>
    <t>GULAB_JA_167</t>
  </si>
  <si>
    <t>ORD1925</t>
  </si>
  <si>
    <t>SPRITE_504</t>
  </si>
  <si>
    <t>ORD1926</t>
  </si>
  <si>
    <t>CHEESE_B_765</t>
  </si>
  <si>
    <t>ORD1927</t>
  </si>
  <si>
    <t>VEG_BURG_131</t>
  </si>
  <si>
    <t>ORD1928</t>
  </si>
  <si>
    <t>ORD1929</t>
  </si>
  <si>
    <t>ICE_CREA_525</t>
  </si>
  <si>
    <t>ORD1930</t>
  </si>
  <si>
    <t>CHICKEN__788</t>
  </si>
  <si>
    <t>ORD1931</t>
  </si>
  <si>
    <t>ONION_RI_514</t>
  </si>
  <si>
    <t>ORD1932</t>
  </si>
  <si>
    <t>CLUB_SAN_345</t>
  </si>
  <si>
    <t>ORD1933</t>
  </si>
  <si>
    <t>COKE_778</t>
  </si>
  <si>
    <t>ORD1934</t>
  </si>
  <si>
    <t>PEPPY_PA_334</t>
  </si>
  <si>
    <t>ORD1935</t>
  </si>
  <si>
    <t>ICE_CREA_389</t>
  </si>
  <si>
    <t>ORD1936</t>
  </si>
  <si>
    <t>VEG_BURG_448</t>
  </si>
  <si>
    <t>ORD1937</t>
  </si>
  <si>
    <t>BROWNIE_903</t>
  </si>
  <si>
    <t>ORD1938</t>
  </si>
  <si>
    <t>ORD1939</t>
  </si>
  <si>
    <t>ORD1940</t>
  </si>
  <si>
    <t>CHICKEN__818</t>
  </si>
  <si>
    <t>ORD1941</t>
  </si>
  <si>
    <t>PEPPY_PA_974</t>
  </si>
  <si>
    <t>ORD1942</t>
  </si>
  <si>
    <t>FRIES_584</t>
  </si>
  <si>
    <t>ORD1943</t>
  </si>
  <si>
    <t>VEG_SAND_622</t>
  </si>
  <si>
    <t>ORD1944</t>
  </si>
  <si>
    <t>COKE_192</t>
  </si>
  <si>
    <t>ORD1945</t>
  </si>
  <si>
    <t>CHICKEN__574</t>
  </si>
  <si>
    <t>ORD1946</t>
  </si>
  <si>
    <t>SPRITE_417</t>
  </si>
  <si>
    <t>ORD1947</t>
  </si>
  <si>
    <t>BROWNIE_838</t>
  </si>
  <si>
    <t>ORD1948</t>
  </si>
  <si>
    <t>ORD1949</t>
  </si>
  <si>
    <t>CHICKEN__450</t>
  </si>
  <si>
    <t>ORD1950</t>
  </si>
  <si>
    <t>VEG_BURG_195</t>
  </si>
  <si>
    <t>ORD1951</t>
  </si>
  <si>
    <t>ORD1952</t>
  </si>
  <si>
    <t>ORD1953</t>
  </si>
  <si>
    <t>ORD1954</t>
  </si>
  <si>
    <t>COLD_COF_888</t>
  </si>
  <si>
    <t>ORD1955</t>
  </si>
  <si>
    <t>VEG_BURG_116</t>
  </si>
  <si>
    <t>ORD1956</t>
  </si>
  <si>
    <t>GRILLED__151</t>
  </si>
  <si>
    <t>ORD1957</t>
  </si>
  <si>
    <t>SPRITE_224</t>
  </si>
  <si>
    <t>ORD1958</t>
  </si>
  <si>
    <t>GULAB_JA_100</t>
  </si>
  <si>
    <t>ORD1959</t>
  </si>
  <si>
    <t>VEG_BURG_727</t>
  </si>
  <si>
    <t>ORD1960</t>
  </si>
  <si>
    <t>ORD1961</t>
  </si>
  <si>
    <t>GRILLED__275</t>
  </si>
  <si>
    <t>ORD1962</t>
  </si>
  <si>
    <t>COLD_COF_635</t>
  </si>
  <si>
    <t>ORD1963</t>
  </si>
  <si>
    <t>VEG_BURG_703</t>
  </si>
  <si>
    <t>ORD1964</t>
  </si>
  <si>
    <t>CHEESE_B_386</t>
  </si>
  <si>
    <t>ORD1965</t>
  </si>
  <si>
    <t>GARLIC_B_452</t>
  </si>
  <si>
    <t>ORD1966</t>
  </si>
  <si>
    <t>PEPPY_PA_144</t>
  </si>
  <si>
    <t>ORD1967</t>
  </si>
  <si>
    <t>VEG_SAND_956</t>
  </si>
  <si>
    <t>ORD1968</t>
  </si>
  <si>
    <t>ORD1969</t>
  </si>
  <si>
    <t>ORD1970</t>
  </si>
  <si>
    <t>MARGHERI_302</t>
  </si>
  <si>
    <t>ORD1971</t>
  </si>
  <si>
    <t>ORD1972</t>
  </si>
  <si>
    <t>SPRITE_848</t>
  </si>
  <si>
    <t>ORD1973</t>
  </si>
  <si>
    <t>GARLIC_B_321</t>
  </si>
  <si>
    <t>ORD1974</t>
  </si>
  <si>
    <t>ONION_RI_413</t>
  </si>
  <si>
    <t>ORD1975</t>
  </si>
  <si>
    <t>ORD1976</t>
  </si>
  <si>
    <t>BROWNIE_135</t>
  </si>
  <si>
    <t>ORD1977</t>
  </si>
  <si>
    <t>FRIES_209</t>
  </si>
  <si>
    <t>ORD1978</t>
  </si>
  <si>
    <t>SPRITE_524</t>
  </si>
  <si>
    <t>ORD1979</t>
  </si>
  <si>
    <t>GARLIC_B_546</t>
  </si>
  <si>
    <t>ORD1980</t>
  </si>
  <si>
    <t>ORD1981</t>
  </si>
  <si>
    <t>COKE_917</t>
  </si>
  <si>
    <t>ORD1982</t>
  </si>
  <si>
    <t>GRILLED__270</t>
  </si>
  <si>
    <t>ORD1983</t>
  </si>
  <si>
    <t>ORD1984</t>
  </si>
  <si>
    <t>VEG_BURG_652</t>
  </si>
  <si>
    <t>ORD1985</t>
  </si>
  <si>
    <t>PEPPY_PA_279</t>
  </si>
  <si>
    <t>ORD1986</t>
  </si>
  <si>
    <t>ONION_RI_792</t>
  </si>
  <si>
    <t>ORD1987</t>
  </si>
  <si>
    <t>ICE_CREA_931</t>
  </si>
  <si>
    <t>ORD1988</t>
  </si>
  <si>
    <t>GARLIC_B_843</t>
  </si>
  <si>
    <t>ORD1989</t>
  </si>
  <si>
    <t>VEG_SAND_366</t>
  </si>
  <si>
    <t>ORD1990</t>
  </si>
  <si>
    <t>MARGHERI_498</t>
  </si>
  <si>
    <t>ORD1991</t>
  </si>
  <si>
    <t>VEG_SAND_964</t>
  </si>
  <si>
    <t>ORD1992</t>
  </si>
  <si>
    <t>CHEESE_B_304</t>
  </si>
  <si>
    <t>ORD1993</t>
  </si>
  <si>
    <t>ORD1994</t>
  </si>
  <si>
    <t>BROWNIE_329</t>
  </si>
  <si>
    <t>ORD1995</t>
  </si>
  <si>
    <t>CHICKEN__727</t>
  </si>
  <si>
    <t>ORD1996</t>
  </si>
  <si>
    <t>GARLIC_B_865</t>
  </si>
  <si>
    <t>ORD1997</t>
  </si>
  <si>
    <t>ORD1998</t>
  </si>
  <si>
    <t>ORD1999</t>
  </si>
  <si>
    <t>CLUB_SAN_621</t>
  </si>
  <si>
    <t>ORD2000</t>
  </si>
  <si>
    <t>PEPPY_PA_427</t>
  </si>
  <si>
    <t>revenue_without_discount</t>
  </si>
  <si>
    <t>discount_loss</t>
  </si>
  <si>
    <t>Grand Total</t>
  </si>
  <si>
    <t>Sum of units_sold</t>
  </si>
  <si>
    <t>Average of discount_pct</t>
  </si>
  <si>
    <t>Profit Margin (%)</t>
  </si>
  <si>
    <t>Discount Impact (%)</t>
  </si>
  <si>
    <t>AOV</t>
  </si>
  <si>
    <t>Contribution to Total Profit (%)</t>
  </si>
  <si>
    <t>Products</t>
  </si>
  <si>
    <t>Revenue</t>
  </si>
  <si>
    <t xml:space="preserve"> profit</t>
  </si>
  <si>
    <t xml:space="preserve">revenue_without_discount  </t>
  </si>
  <si>
    <t xml:space="preserve"> revenue</t>
  </si>
  <si>
    <t xml:space="preserve"> discount_loss</t>
  </si>
  <si>
    <t xml:space="preserve">units_sold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</si>
</sst>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Revenue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Charts!$A$2:$A$11</c:f>
              <c:strCache>
                <c:ptCount val="10"/>
                <c:pt idx="0">
                  <c:v>Brownie</c:v>
                </c:pt>
                <c:pt idx="1">
                  <c:v>Cheese Burger</c:v>
                </c:pt>
                <c:pt idx="2">
                  <c:v>Chicken Burger</c:v>
                </c:pt>
                <c:pt idx="3">
                  <c:v>Chicken Tikka</c:v>
                </c:pt>
                <c:pt idx="4">
                  <c:v>Club Sandwich</c:v>
                </c:pt>
                <c:pt idx="5">
                  <c:v>Coke</c:v>
                </c:pt>
                <c:pt idx="6">
                  <c:v>Cold Coffee</c:v>
                </c:pt>
                <c:pt idx="7">
                  <c:v>Fries</c:v>
                </c:pt>
                <c:pt idx="8">
                  <c:v>Garlic Bread</c:v>
                </c:pt>
                <c:pt idx="9">
                  <c:v>Grilled Sandwich</c:v>
                </c:pt>
              </c:strCache>
            </c:str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76520.149999999965</c:v>
                </c:pt>
                <c:pt idx="1">
                  <c:v>124090.34999999995</c:v>
                </c:pt>
                <c:pt idx="2">
                  <c:v>103555.09999999992</c:v>
                </c:pt>
                <c:pt idx="3">
                  <c:v>128246.34999999999</c:v>
                </c:pt>
                <c:pt idx="4">
                  <c:v>61508.599999999977</c:v>
                </c:pt>
                <c:pt idx="5">
                  <c:v>115421.94999999997</c:v>
                </c:pt>
                <c:pt idx="6">
                  <c:v>114315.64999999995</c:v>
                </c:pt>
                <c:pt idx="7">
                  <c:v>65950.949999999953</c:v>
                </c:pt>
                <c:pt idx="8">
                  <c:v>56971.249999999949</c:v>
                </c:pt>
                <c:pt idx="9">
                  <c:v>60707.149999999994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C-4715-8872-B53D9036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308272"/>
        <c:axId val="2015314032"/>
      </c:barChart>
      <c:catAx>
        <c:axId val="201530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14032"/>
        <c:crosses val="autoZero"/>
        <c:auto val="1"/>
        <c:lblAlgn val="ctr"/>
        <c:lblOffset val="100"/>
        <c:noMultiLvlLbl val="0"/>
      </c:catAx>
      <c:valAx>
        <c:axId val="20153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Profit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Charts!$A$20:$A$29</c:f>
              <c:strCache>
                <c:ptCount val="10"/>
                <c:pt idx="0">
                  <c:v>Cheese Burger</c:v>
                </c:pt>
                <c:pt idx="1">
                  <c:v>Chicken Tikka</c:v>
                </c:pt>
                <c:pt idx="2">
                  <c:v>Coke</c:v>
                </c:pt>
                <c:pt idx="3">
                  <c:v>Veg Burger</c:v>
                </c:pt>
                <c:pt idx="4">
                  <c:v>Cold Coffee</c:v>
                </c:pt>
                <c:pt idx="5">
                  <c:v>Sprite</c:v>
                </c:pt>
                <c:pt idx="6">
                  <c:v>Peppy Paneer</c:v>
                </c:pt>
                <c:pt idx="7">
                  <c:v>Margherita</c:v>
                </c:pt>
                <c:pt idx="8">
                  <c:v>Chicken Burger</c:v>
                </c:pt>
                <c:pt idx="9">
                  <c:v>Brownie</c:v>
                </c:pt>
              </c:strCache>
            </c:strRef>
          </c:cat>
          <c:val>
            <c:numRef>
              <c:f>Charts!$B$20:$B$29</c:f>
              <c:numCache>
                <c:formatCode>General</c:formatCode>
                <c:ptCount val="10"/>
                <c:pt idx="0">
                  <c:v>46834.149999315901</c:v>
                </c:pt>
                <c:pt idx="1">
                  <c:v>44913.257627709296</c:v>
                </c:pt>
                <c:pt idx="2">
                  <c:v>44091.121126750513</c:v>
                </c:pt>
                <c:pt idx="3">
                  <c:v>43234.376815754156</c:v>
                </c:pt>
                <c:pt idx="4">
                  <c:v>42669.89647226705</c:v>
                </c:pt>
                <c:pt idx="5">
                  <c:v>42356.638770414531</c:v>
                </c:pt>
                <c:pt idx="6">
                  <c:v>42351.315326066069</c:v>
                </c:pt>
                <c:pt idx="7">
                  <c:v>40550.041103412426</c:v>
                </c:pt>
                <c:pt idx="8">
                  <c:v>36220.361716704036</c:v>
                </c:pt>
                <c:pt idx="9">
                  <c:v>28998.31897008661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B-4711-BB16-BC4E15E2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403568"/>
        <c:axId val="2005404048"/>
      </c:barChart>
      <c:catAx>
        <c:axId val="20054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04048"/>
        <c:crosses val="autoZero"/>
        <c:auto val="1"/>
        <c:lblAlgn val="ctr"/>
        <c:lblOffset val="100"/>
        <c:noMultiLvlLbl val="0"/>
      </c:catAx>
      <c:valAx>
        <c:axId val="20054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0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Units Sold vs Profit Margin (%)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Charts!$B$35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Charts!$A$36:$A$53</c:f>
              <c:strCache>
                <c:ptCount val="18"/>
                <c:pt idx="0">
                  <c:v>Cheese Burger</c:v>
                </c:pt>
                <c:pt idx="1">
                  <c:v>Chicken Tikka</c:v>
                </c:pt>
                <c:pt idx="2">
                  <c:v>Coke</c:v>
                </c:pt>
                <c:pt idx="3">
                  <c:v>Veg Burger</c:v>
                </c:pt>
                <c:pt idx="4">
                  <c:v>Cold Coffee</c:v>
                </c:pt>
                <c:pt idx="5">
                  <c:v>Sprite</c:v>
                </c:pt>
                <c:pt idx="6">
                  <c:v>Peppy Paneer</c:v>
                </c:pt>
                <c:pt idx="7">
                  <c:v>Margherita</c:v>
                </c:pt>
                <c:pt idx="8">
                  <c:v>Chicken Burger</c:v>
                </c:pt>
                <c:pt idx="9">
                  <c:v>Brownie</c:v>
                </c:pt>
                <c:pt idx="10">
                  <c:v>Fries</c:v>
                </c:pt>
                <c:pt idx="11">
                  <c:v>Grilled Sandwich</c:v>
                </c:pt>
                <c:pt idx="12">
                  <c:v>Onion Rings</c:v>
                </c:pt>
                <c:pt idx="13">
                  <c:v>Club Sandwich</c:v>
                </c:pt>
                <c:pt idx="14">
                  <c:v>Gulab Jamun</c:v>
                </c:pt>
                <c:pt idx="15">
                  <c:v>Garlic Bread</c:v>
                </c:pt>
                <c:pt idx="16">
                  <c:v>Ice Cream</c:v>
                </c:pt>
                <c:pt idx="17">
                  <c:v>Veg Sandwich</c:v>
                </c:pt>
              </c:strCache>
            </c:strRef>
          </c:cat>
          <c:val>
            <c:numRef>
              <c:f>Charts!$B$36:$B$53</c:f>
              <c:numCache>
                <c:formatCode>General</c:formatCode>
                <c:ptCount val="18"/>
                <c:pt idx="0">
                  <c:v>626</c:v>
                </c:pt>
                <c:pt idx="1">
                  <c:v>661</c:v>
                </c:pt>
                <c:pt idx="2">
                  <c:v>567</c:v>
                </c:pt>
                <c:pt idx="3">
                  <c:v>559</c:v>
                </c:pt>
                <c:pt idx="4">
                  <c:v>581</c:v>
                </c:pt>
                <c:pt idx="5">
                  <c:v>607</c:v>
                </c:pt>
                <c:pt idx="6">
                  <c:v>491</c:v>
                </c:pt>
                <c:pt idx="7">
                  <c:v>600</c:v>
                </c:pt>
                <c:pt idx="8">
                  <c:v>535</c:v>
                </c:pt>
                <c:pt idx="9">
                  <c:v>381</c:v>
                </c:pt>
                <c:pt idx="10">
                  <c:v>339</c:v>
                </c:pt>
                <c:pt idx="11">
                  <c:v>311</c:v>
                </c:pt>
                <c:pt idx="12">
                  <c:v>296</c:v>
                </c:pt>
                <c:pt idx="13">
                  <c:v>313</c:v>
                </c:pt>
                <c:pt idx="14">
                  <c:v>313</c:v>
                </c:pt>
                <c:pt idx="15">
                  <c:v>281</c:v>
                </c:pt>
                <c:pt idx="16">
                  <c:v>260</c:v>
                </c:pt>
                <c:pt idx="17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E-43C7-B1E2-10479A7B7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272896"/>
        <c:axId val="556268576"/>
      </c:barChart>
      <c:lineChart>
        <c:grouping val="standard"/>
        <c:varyColors val="0"/>
        <c:ser>
          <c:idx val="1"/>
          <c:order val="1"/>
          <c:tx>
            <c:strRef>
              <c:f>Charts!$C$35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Charts!$A$36:$A$53</c:f>
              <c:strCache>
                <c:ptCount val="18"/>
                <c:pt idx="0">
                  <c:v>Cheese Burger</c:v>
                </c:pt>
                <c:pt idx="1">
                  <c:v>Chicken Tikka</c:v>
                </c:pt>
                <c:pt idx="2">
                  <c:v>Coke</c:v>
                </c:pt>
                <c:pt idx="3">
                  <c:v>Veg Burger</c:v>
                </c:pt>
                <c:pt idx="4">
                  <c:v>Cold Coffee</c:v>
                </c:pt>
                <c:pt idx="5">
                  <c:v>Sprite</c:v>
                </c:pt>
                <c:pt idx="6">
                  <c:v>Peppy Paneer</c:v>
                </c:pt>
                <c:pt idx="7">
                  <c:v>Margherita</c:v>
                </c:pt>
                <c:pt idx="8">
                  <c:v>Chicken Burger</c:v>
                </c:pt>
                <c:pt idx="9">
                  <c:v>Brownie</c:v>
                </c:pt>
                <c:pt idx="10">
                  <c:v>Fries</c:v>
                </c:pt>
                <c:pt idx="11">
                  <c:v>Grilled Sandwich</c:v>
                </c:pt>
                <c:pt idx="12">
                  <c:v>Onion Rings</c:v>
                </c:pt>
                <c:pt idx="13">
                  <c:v>Club Sandwich</c:v>
                </c:pt>
                <c:pt idx="14">
                  <c:v>Gulab Jamun</c:v>
                </c:pt>
                <c:pt idx="15">
                  <c:v>Garlic Bread</c:v>
                </c:pt>
                <c:pt idx="16">
                  <c:v>Ice Cream</c:v>
                </c:pt>
                <c:pt idx="17">
                  <c:v>Veg Sandwich</c:v>
                </c:pt>
              </c:strCache>
            </c:strRef>
          </c:cat>
          <c:val>
            <c:numRef>
              <c:f>Charts!$C$36:$C$53</c:f>
              <c:numCache>
                <c:formatCode>General</c:formatCode>
                <c:ptCount val="18"/>
                <c:pt idx="0">
                  <c:v>0.37741975906519659</c:v>
                </c:pt>
                <c:pt idx="1">
                  <c:v>0.35021080621561002</c:v>
                </c:pt>
                <c:pt idx="2">
                  <c:v>0.38199944747728248</c:v>
                </c:pt>
                <c:pt idx="3">
                  <c:v>0.39586319349280857</c:v>
                </c:pt>
                <c:pt idx="4">
                  <c:v>0.37326382233987271</c:v>
                </c:pt>
                <c:pt idx="5">
                  <c:v>0.35323338245647223</c:v>
                </c:pt>
                <c:pt idx="6">
                  <c:v>0.40351783570679972</c:v>
                </c:pt>
                <c:pt idx="7">
                  <c:v>0.36730226140583272</c:v>
                </c:pt>
                <c:pt idx="8">
                  <c:v>0.34976898015360003</c:v>
                </c:pt>
                <c:pt idx="9">
                  <c:v>0.37896317466819684</c:v>
                </c:pt>
                <c:pt idx="10">
                  <c:v>0.38118662680708676</c:v>
                </c:pt>
                <c:pt idx="11">
                  <c:v>0.39026160176144048</c:v>
                </c:pt>
                <c:pt idx="12">
                  <c:v>0.38641993440469341</c:v>
                </c:pt>
                <c:pt idx="13">
                  <c:v>0.37010300353784409</c:v>
                </c:pt>
                <c:pt idx="14">
                  <c:v>0.34883880372121068</c:v>
                </c:pt>
                <c:pt idx="15">
                  <c:v>0.35883646073509839</c:v>
                </c:pt>
                <c:pt idx="16">
                  <c:v>0.38519920129755741</c:v>
                </c:pt>
                <c:pt idx="17">
                  <c:v>0.34109583677687089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E-43C7-B1E2-10479A7B7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80096"/>
        <c:axId val="556284416"/>
      </c:lineChart>
      <c:catAx>
        <c:axId val="5562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68576"/>
        <c:auto val="1"/>
        <c:lblAlgn val="ctr"/>
        <c:lblOffset val="100"/>
        <c:noMultiLvlLbl val="0"/>
      </c:catAx>
      <c:valAx>
        <c:axId val="5562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2896"/>
        <c:crossBetween val="between"/>
      </c:valAx>
      <c:valAx>
        <c:axId val="5562844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80096"/>
        <c:crosses val="max"/>
        <c:crossBetween val="between"/>
      </c:valAx>
      <c:catAx>
        <c:axId val="556280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62844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Discount Impact vs Profit Margin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Charts!$A$57</c:f>
              <c:strCache>
                <c:ptCount val="1"/>
                <c:pt idx="0">
                  <c:v>Average of discount_pct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Charts!$A$58:$A$75</c:f>
              <c:numCache>
                <c:formatCode>0.00%</c:formatCode>
                <c:ptCount val="18"/>
                <c:pt idx="0">
                  <c:v>8.4899328859060416E-2</c:v>
                </c:pt>
                <c:pt idx="1">
                  <c:v>8.8235294117647092E-2</c:v>
                </c:pt>
                <c:pt idx="2">
                  <c:v>7.7364864864864893E-2</c:v>
                </c:pt>
                <c:pt idx="3">
                  <c:v>7.8571428571428542E-2</c:v>
                </c:pt>
                <c:pt idx="4">
                  <c:v>9.4642857142857181E-2</c:v>
                </c:pt>
                <c:pt idx="5">
                  <c:v>8.5161290322580643E-2</c:v>
                </c:pt>
                <c:pt idx="6">
                  <c:v>8.4671532846715289E-2</c:v>
                </c:pt>
                <c:pt idx="7">
                  <c:v>8.6148648648648643E-2</c:v>
                </c:pt>
                <c:pt idx="8">
                  <c:v>8.5815602836879473E-2</c:v>
                </c:pt>
                <c:pt idx="9">
                  <c:v>8.3707865168539314E-2</c:v>
                </c:pt>
                <c:pt idx="10">
                  <c:v>6.4556962025316453E-2</c:v>
                </c:pt>
                <c:pt idx="11">
                  <c:v>9.6710526315789497E-2</c:v>
                </c:pt>
                <c:pt idx="12">
                  <c:v>7.4025974025974023E-2</c:v>
                </c:pt>
                <c:pt idx="13">
                  <c:v>8.1249999999999989E-2</c:v>
                </c:pt>
                <c:pt idx="14">
                  <c:v>8.2530120481927705E-2</c:v>
                </c:pt>
                <c:pt idx="15">
                  <c:v>8.223684210526315E-2</c:v>
                </c:pt>
                <c:pt idx="16">
                  <c:v>6.4285714285714265E-2</c:v>
                </c:pt>
                <c:pt idx="17">
                  <c:v>8.3333333333333343E-2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7-4E3A-BB67-A7F3E485B193}"/>
            </c:ext>
          </c:extLst>
        </c:ser>
        <c:ser>
          <c:idx val="1"/>
          <c:order val="1"/>
          <c:tx>
            <c:strRef>
              <c:f>Charts!$B$57</c:f>
              <c:strCache>
                <c:ptCount val="1"/>
                <c:pt idx="0">
                  <c:v>Profit Margin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Charts!$B$58:$B$75</c:f>
              <c:numCache>
                <c:formatCode>0.00%</c:formatCode>
                <c:ptCount val="18"/>
                <c:pt idx="0">
                  <c:v>0.37741975906519659</c:v>
                </c:pt>
                <c:pt idx="1">
                  <c:v>0.35021080621561002</c:v>
                </c:pt>
                <c:pt idx="2">
                  <c:v>0.38199944747728248</c:v>
                </c:pt>
                <c:pt idx="3">
                  <c:v>0.39586319349280857</c:v>
                </c:pt>
                <c:pt idx="4">
                  <c:v>0.37326382233987271</c:v>
                </c:pt>
                <c:pt idx="5">
                  <c:v>0.35323338245647223</c:v>
                </c:pt>
                <c:pt idx="6">
                  <c:v>0.40351783570679972</c:v>
                </c:pt>
                <c:pt idx="7">
                  <c:v>0.36730226140583272</c:v>
                </c:pt>
                <c:pt idx="8">
                  <c:v>0.34976898015360003</c:v>
                </c:pt>
                <c:pt idx="9">
                  <c:v>0.37896317466819684</c:v>
                </c:pt>
                <c:pt idx="10">
                  <c:v>0.38118662680708676</c:v>
                </c:pt>
                <c:pt idx="11">
                  <c:v>0.39026160176144048</c:v>
                </c:pt>
                <c:pt idx="12">
                  <c:v>0.38641993440469341</c:v>
                </c:pt>
                <c:pt idx="13">
                  <c:v>0.37010300353784409</c:v>
                </c:pt>
                <c:pt idx="14">
                  <c:v>0.34883880372121068</c:v>
                </c:pt>
                <c:pt idx="15">
                  <c:v>0.35883646073509839</c:v>
                </c:pt>
                <c:pt idx="16">
                  <c:v>0.38519920129755741</c:v>
                </c:pt>
                <c:pt idx="17">
                  <c:v>0.34109583677687089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7-4E3A-BB67-A7F3E485B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286816"/>
        <c:axId val="556267136"/>
      </c:barChart>
      <c:lineChart>
        <c:grouping val="standard"/>
        <c:varyColors val="0"/>
        <c:ser>
          <c:idx val="2"/>
          <c:order val="2"/>
          <c:tx>
            <c:strRef>
              <c:f>Charts!$C$57</c:f>
              <c:strCache>
                <c:ptCount val="1"/>
                <c:pt idx="0">
                  <c:v>Discount Impact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Charts!$C$58:$C$75</c:f>
              <c:numCache>
                <c:formatCode>General</c:formatCode>
                <c:ptCount val="18"/>
                <c:pt idx="0">
                  <c:v>11068.650000000052</c:v>
                </c:pt>
                <c:pt idx="1">
                  <c:v>12855.650000000009</c:v>
                </c:pt>
                <c:pt idx="2">
                  <c:v>9356.050000000032</c:v>
                </c:pt>
                <c:pt idx="3">
                  <c:v>9883.5500000000029</c:v>
                </c:pt>
                <c:pt idx="4">
                  <c:v>12663.350000000049</c:v>
                </c:pt>
                <c:pt idx="5">
                  <c:v>11970.800000000003</c:v>
                </c:pt>
                <c:pt idx="6">
                  <c:v>9838.7500000000582</c:v>
                </c:pt>
                <c:pt idx="7">
                  <c:v>10966.350000000035</c:v>
                </c:pt>
                <c:pt idx="8">
                  <c:v>10340.900000000081</c:v>
                </c:pt>
                <c:pt idx="9">
                  <c:v>7012.8500000000349</c:v>
                </c:pt>
                <c:pt idx="10">
                  <c:v>4985.0500000000466</c:v>
                </c:pt>
                <c:pt idx="11">
                  <c:v>6825.8500000000058</c:v>
                </c:pt>
                <c:pt idx="12">
                  <c:v>4047.6000000000131</c:v>
                </c:pt>
                <c:pt idx="13">
                  <c:v>4715.4000000000233</c:v>
                </c:pt>
                <c:pt idx="14">
                  <c:v>5692.3500000000276</c:v>
                </c:pt>
                <c:pt idx="15">
                  <c:v>5391.7500000000509</c:v>
                </c:pt>
                <c:pt idx="16">
                  <c:v>3078.8500000000058</c:v>
                </c:pt>
                <c:pt idx="17">
                  <c:v>5241.1500000000087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17-4E3A-BB67-A7F3E485B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54176"/>
        <c:axId val="556255616"/>
      </c:lineChart>
      <c:catAx>
        <c:axId val="556254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55616"/>
        <c:crosses val="autoZero"/>
        <c:auto val="1"/>
        <c:lblAlgn val="ctr"/>
        <c:lblOffset val="100"/>
        <c:noMultiLvlLbl val="0"/>
      </c:catAx>
      <c:valAx>
        <c:axId val="5562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54176"/>
        <c:crosses val="autoZero"/>
        <c:crossBetween val="between"/>
      </c:valAx>
      <c:valAx>
        <c:axId val="5562671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86816"/>
        <c:crosses val="max"/>
        <c:crossBetween val="between"/>
      </c:valAx>
      <c:catAx>
        <c:axId val="55628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5562671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514349</xdr:colOff>
      <xdr:row>0</xdr:row>
      <xdr:rowOff>24493</xdr:rowOff>
    </xdr:from>
    <xdr:to>
      <xdr:col>10</xdr:col>
      <xdr:colOff>514349</xdr:colOff>
      <xdr:row>14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2040C4-A773-8862-A271-CD6023E91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182334</xdr:colOff>
      <xdr:row>18</xdr:row>
      <xdr:rowOff>92527</xdr:rowOff>
    </xdr:from>
    <xdr:to>
      <xdr:col>11</xdr:col>
      <xdr:colOff>182334</xdr:colOff>
      <xdr:row>31</xdr:row>
      <xdr:rowOff>95248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FBFE74-75F4-E7E6-10DB-BB9371CDA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119742</xdr:colOff>
      <xdr:row>32</xdr:row>
      <xdr:rowOff>108857</xdr:rowOff>
    </xdr:from>
    <xdr:to>
      <xdr:col>12</xdr:col>
      <xdr:colOff>625927</xdr:colOff>
      <xdr:row>50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F15874-6D28-EE5E-699B-CC1A36DFA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421821</xdr:colOff>
      <xdr:row>57</xdr:row>
      <xdr:rowOff>65314</xdr:rowOff>
    </xdr:from>
    <xdr:to>
      <xdr:col>12</xdr:col>
      <xdr:colOff>533400</xdr:colOff>
      <xdr:row>74</xdr:row>
      <xdr:rowOff>111577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07EE18-FE98-E3EF-8E07-832461B9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YADUVANSHI" refreshedDate="45971.915213888889" createdVersion="8" refreshedVersion="8" minRefreshableVersion="3" recordCount="2000" xr:uid="{12B9C25F-8194-40D1-8764-7B6ED09E90DA}">
  <cacheSource type="worksheet">
    <worksheetSource ref="A1:Q2001" sheet="tastybites_orders_csv"/>
  </cacheSource>
  <cacheFields count="17">
    <cacheField name="order_id" numFmtId="0">
      <sharedItems/>
    </cacheField>
    <cacheField name="order_date" numFmtId="22">
      <sharedItems containsSemiMixedTypes="0" containsNonDate="0" containsDate="1" containsString="0" minDate="2024-01-01T09:00:00" maxDate="2025-12-30T10:00:00"/>
    </cacheField>
    <cacheField name="city" numFmtId="0">
      <sharedItems/>
    </cacheField>
    <cacheField name="product_id" numFmtId="0">
      <sharedItems/>
    </cacheField>
    <cacheField name="product_name" numFmtId="0">
      <sharedItems count="18">
        <s v="Veg Burger"/>
        <s v="Grilled Sandwich"/>
        <s v="Fries"/>
        <s v="Sprite"/>
        <s v="Garlic Bread"/>
        <s v="Cheese Burger"/>
        <s v="Ice Cream"/>
        <s v="Chicken Tikka"/>
        <s v="Coke"/>
        <s v="Veg Sandwich"/>
        <s v="Peppy Paneer"/>
        <s v="Gulab Jamun"/>
        <s v="Brownie"/>
        <s v="Club Sandwich"/>
        <s v="Chicken Burger"/>
        <s v="Cold Coffee"/>
        <s v="Margherita"/>
        <s v="Onion Rings"/>
      </sharedItems>
    </cacheField>
    <cacheField name="category" numFmtId="0">
      <sharedItems/>
    </cacheField>
    <cacheField name="unit_price" numFmtId="0">
      <sharedItems containsSemiMixedTypes="0" containsString="0" containsNumber="1" containsInteger="1" minValue="80" maxValue="349"/>
    </cacheField>
    <cacheField name="discount_pct" numFmtId="0">
      <sharedItems containsSemiMixedTypes="0" containsString="0" containsNumber="1" minValue="0" maxValue="0.25"/>
    </cacheField>
    <cacheField name="sale_price" numFmtId="0">
      <sharedItems containsSemiMixedTypes="0" containsString="0" containsNumber="1" minValue="62.25" maxValue="349"/>
    </cacheField>
    <cacheField name="units_sold" numFmtId="0">
      <sharedItems containsSemiMixedTypes="0" containsString="0" containsNumber="1" containsInteger="1" minValue="1" maxValue="7"/>
    </cacheField>
    <cacheField name="cost_per_unit" numFmtId="0">
      <sharedItems containsSemiMixedTypes="0" containsString="0" containsNumber="1" minValue="34.298100653590602" maxValue="253.49224225171901"/>
    </cacheField>
    <cacheField name="revenue" numFmtId="0">
      <sharedItems containsSemiMixedTypes="0" containsString="0" containsNumber="1" minValue="68" maxValue="2443"/>
    </cacheField>
    <cacheField name="cost" numFmtId="0">
      <sharedItems containsSemiMixedTypes="0" containsString="0" containsNumber="1" minValue="34.493159650661198" maxValue="1726.27825257166"/>
    </cacheField>
    <cacheField name="profit" numFmtId="0">
      <sharedItems containsSemiMixedTypes="0" containsString="0" containsNumber="1" minValue="0.16144475063441599" maxValue="1356.8204919954701"/>
    </cacheField>
    <cacheField name="promotion_type" numFmtId="0">
      <sharedItems/>
    </cacheField>
    <cacheField name="revenue_without_discount" numFmtId="0">
      <sharedItems containsSemiMixedTypes="0" containsString="0" containsNumber="1" containsInteger="1" minValue="83" maxValue="2443"/>
    </cacheField>
    <cacheField name="discount_loss" numFmtId="0">
      <sharedItems containsSemiMixedTypes="0" containsString="0" containsNumber="1" minValue="-1356.8204919954801" maxValue="-0.16144475063499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1"/>
    <d v="2025-10-20T03:00:00"/>
    <s v="Hyderabad"/>
    <s v="VEG_BURG_119"/>
    <x v="0"/>
    <s v="Burger"/>
    <n v="290"/>
    <n v="0"/>
    <n v="290"/>
    <n v="4"/>
    <n v="155.11565212930699"/>
    <n v="1160"/>
    <n v="620.46260851722798"/>
    <n v="539.537391482771"/>
    <s v="BOGO"/>
    <n v="1160"/>
    <n v="-539.53739148277202"/>
  </r>
  <r>
    <s v="ORD2"/>
    <d v="2024-02-05T20:00:00"/>
    <s v="Pune"/>
    <s v="GRILLED__301"/>
    <x v="1"/>
    <s v="Sandwich"/>
    <n v="233"/>
    <n v="0.05"/>
    <n v="221.35"/>
    <n v="5"/>
    <n v="93.353304501456407"/>
    <n v="1106.75"/>
    <n v="466.76652250728199"/>
    <n v="639.98347749271704"/>
    <s v="Coupon"/>
    <n v="1165"/>
    <n v="-639.98347749271807"/>
  </r>
  <r>
    <s v="ORD3"/>
    <d v="2024-08-12T14:00:00"/>
    <s v="Chennai"/>
    <s v="FRIES_614"/>
    <x v="2"/>
    <s v="Snacks"/>
    <n v="99"/>
    <n v="0.1"/>
    <n v="89.1"/>
    <n v="7"/>
    <n v="56.265710634554097"/>
    <n v="623.70000000000005"/>
    <n v="393.85997444187899"/>
    <n v="229.84002555812"/>
    <s v="None"/>
    <n v="693"/>
    <n v="-229.84002555812106"/>
  </r>
  <r>
    <s v="ORD4"/>
    <d v="2025-05-13T12:00:00"/>
    <s v="Hyderabad"/>
    <s v="VEG_BURG_159"/>
    <x v="0"/>
    <s v="Burger"/>
    <n v="103"/>
    <n v="0.15"/>
    <n v="87.55"/>
    <n v="2"/>
    <n v="62.907350468091899"/>
    <n v="175.1"/>
    <n v="125.814700936183"/>
    <n v="49.285299063816097"/>
    <s v="None"/>
    <n v="206"/>
    <n v="-49.285299063816993"/>
  </r>
  <r>
    <s v="ORD5"/>
    <d v="2025-04-15T04:00:00"/>
    <s v="Pune"/>
    <s v="SPRITE_967"/>
    <x v="3"/>
    <s v="Drinks"/>
    <n v="231"/>
    <n v="0.05"/>
    <n v="219.45"/>
    <n v="6"/>
    <n v="171.79220904757"/>
    <n v="1316.69999999999"/>
    <n v="1030.7532542854201"/>
    <n v="285.94674571457398"/>
    <s v="Coupon"/>
    <n v="1386"/>
    <n v="-285.94674571456994"/>
  </r>
  <r>
    <s v="ORD6"/>
    <d v="2024-09-18T01:00:00"/>
    <s v="Hyderabad"/>
    <s v="GARLIC_B_212"/>
    <x v="4"/>
    <s v="Snacks"/>
    <n v="262"/>
    <n v="0.15"/>
    <n v="222.7"/>
    <n v="1"/>
    <n v="112.92465940162"/>
    <n v="222.7"/>
    <n v="112.92465940162"/>
    <n v="109.775340598379"/>
    <s v="Coupon"/>
    <n v="262"/>
    <n v="-109.77534059837998"/>
  </r>
  <r>
    <s v="ORD7"/>
    <d v="2025-12-03T02:00:00"/>
    <s v="Bangalore"/>
    <s v="SPRITE_498"/>
    <x v="3"/>
    <s v="Drinks"/>
    <n v="240"/>
    <n v="0.1"/>
    <n v="216"/>
    <n v="4"/>
    <n v="137.67797626551001"/>
    <n v="864"/>
    <n v="550.71190506204096"/>
    <n v="313.28809493795802"/>
    <s v="None"/>
    <n v="960"/>
    <n v="-313.28809493795904"/>
  </r>
  <r>
    <s v="ORD8"/>
    <d v="2024-07-03T10:00:00"/>
    <s v="Mumbai"/>
    <s v="CHEESE_B_149"/>
    <x v="5"/>
    <s v="Burger"/>
    <n v="169"/>
    <n v="0.1"/>
    <n v="152.1"/>
    <n v="1"/>
    <n v="101.05228042510301"/>
    <n v="152.1"/>
    <n v="101.05228042510301"/>
    <n v="51.047719574896703"/>
    <s v="None"/>
    <n v="169"/>
    <n v="-51.047719574896988"/>
  </r>
  <r>
    <s v="ORD9"/>
    <d v="2025-08-23T23:00:00"/>
    <s v="Pune"/>
    <s v="VEG_BURG_662"/>
    <x v="0"/>
    <s v="Burger"/>
    <n v="333"/>
    <n v="0.1"/>
    <n v="299.7"/>
    <n v="6"/>
    <n v="193.58208020513399"/>
    <n v="1798.19999999999"/>
    <n v="1161.4924812308"/>
    <n v="636.70751876919496"/>
    <s v="Percent-Off"/>
    <n v="1998"/>
    <n v="-636.70751876919007"/>
  </r>
  <r>
    <s v="ORD10"/>
    <d v="2025-04-18T11:00:00"/>
    <s v="Pune"/>
    <s v="SPRITE_173"/>
    <x v="3"/>
    <s v="Drinks"/>
    <n v="148"/>
    <n v="0.2"/>
    <n v="118.4"/>
    <n v="5"/>
    <n v="84.110930839009001"/>
    <n v="592"/>
    <n v="420.55465419504498"/>
    <n v="171.445345804954"/>
    <s v="Percent-Off"/>
    <n v="740"/>
    <n v="-171.44534580495502"/>
  </r>
  <r>
    <s v="ORD11"/>
    <d v="2025-10-29T15:00:00"/>
    <s v="Bangalore"/>
    <s v="GARLIC_B_740"/>
    <x v="4"/>
    <s v="Snacks"/>
    <n v="169"/>
    <n v="0"/>
    <n v="169"/>
    <n v="7"/>
    <n v="121.066473484901"/>
    <n v="1183"/>
    <n v="847.46531439430805"/>
    <n v="335.53468560569098"/>
    <s v="BOGO"/>
    <n v="1183"/>
    <n v="-335.53468560569195"/>
  </r>
  <r>
    <s v="ORD12"/>
    <d v="2024-12-12T18:00:00"/>
    <s v="Hyderabad"/>
    <s v="GARLIC_B_763"/>
    <x v="4"/>
    <s v="Snacks"/>
    <n v="261"/>
    <n v="0"/>
    <n v="261"/>
    <n v="4"/>
    <n v="116.764595416066"/>
    <n v="1044"/>
    <n v="467.05838166426599"/>
    <n v="576.94161833573298"/>
    <s v="None"/>
    <n v="1044"/>
    <n v="-576.94161833573401"/>
  </r>
  <r>
    <s v="ORD13"/>
    <d v="2024-03-11T05:00:00"/>
    <s v="Hyderabad"/>
    <s v="ICE_CREA_369"/>
    <x v="6"/>
    <s v="Dessert"/>
    <n v="185"/>
    <n v="0.05"/>
    <n v="175.75"/>
    <n v="4"/>
    <n v="91.852860487936994"/>
    <n v="703"/>
    <n v="367.41144195174797"/>
    <n v="335.58855804825203"/>
    <s v="None"/>
    <n v="740"/>
    <n v="-335.58855804825203"/>
  </r>
  <r>
    <s v="ORD14"/>
    <d v="2024-02-02T01:00:00"/>
    <s v="Pune"/>
    <s v="GRILLED__327"/>
    <x v="1"/>
    <s v="Sandwich"/>
    <n v="185"/>
    <n v="0.2"/>
    <n v="148"/>
    <n v="6"/>
    <n v="78.232458702293897"/>
    <n v="888"/>
    <n v="469.39475221376301"/>
    <n v="418.60524778623602"/>
    <s v="None"/>
    <n v="1110"/>
    <n v="-418.60524778623699"/>
  </r>
  <r>
    <s v="ORD15"/>
    <d v="2024-04-11T09:00:00"/>
    <s v="Delhi"/>
    <s v="GARLIC_B_618"/>
    <x v="4"/>
    <s v="Snacks"/>
    <n v="329"/>
    <n v="0.1"/>
    <n v="296.10000000000002"/>
    <n v="5"/>
    <n v="192.908241563991"/>
    <n v="1480.5"/>
    <n v="964.54120781995596"/>
    <n v="515.95879218004302"/>
    <s v="None"/>
    <n v="1645"/>
    <n v="-515.95879218004404"/>
  </r>
  <r>
    <s v="ORD16"/>
    <d v="2024-08-09T07:00:00"/>
    <s v="Mumbai"/>
    <s v="CHICKEN__591"/>
    <x v="7"/>
    <s v="Pizza"/>
    <n v="227"/>
    <n v="0"/>
    <n v="227"/>
    <n v="7"/>
    <n v="122.059431409477"/>
    <n v="1589"/>
    <n v="854.416019866341"/>
    <n v="734.58398013365797"/>
    <s v="BOGO"/>
    <n v="1589"/>
    <n v="-734.583980133659"/>
  </r>
  <r>
    <s v="ORD17"/>
    <d v="2024-07-29T11:00:00"/>
    <s v="Pune"/>
    <s v="COKE_404"/>
    <x v="8"/>
    <s v="Drinks"/>
    <n v="100"/>
    <n v="0.05"/>
    <n v="95"/>
    <n v="3"/>
    <n v="65.380450464288998"/>
    <n v="285"/>
    <n v="196.14135139286699"/>
    <n v="88.858648607132906"/>
    <s v="None"/>
    <n v="300"/>
    <n v="-88.858648607133006"/>
  </r>
  <r>
    <s v="ORD18"/>
    <d v="2024-09-24T12:00:00"/>
    <s v="Delhi"/>
    <s v="COKE_426"/>
    <x v="8"/>
    <s v="Drinks"/>
    <n v="240"/>
    <n v="0"/>
    <n v="240"/>
    <n v="4"/>
    <n v="131.11115444512001"/>
    <n v="960"/>
    <n v="524.44461778048196"/>
    <n v="435.55538221951701"/>
    <s v="Coupon"/>
    <n v="960"/>
    <n v="-435.55538221951804"/>
  </r>
  <r>
    <s v="ORD19"/>
    <d v="2024-09-23T12:00:00"/>
    <s v="Bangalore"/>
    <s v="CHEESE_B_780"/>
    <x v="5"/>
    <s v="Burger"/>
    <n v="231"/>
    <n v="0"/>
    <n v="231"/>
    <n v="2"/>
    <n v="125.06161130100099"/>
    <n v="462"/>
    <n v="250.12322260200199"/>
    <n v="211.87677739799699"/>
    <s v="BOGO"/>
    <n v="462"/>
    <n v="-211.87677739799801"/>
  </r>
  <r>
    <s v="ORD20"/>
    <d v="2024-12-27T02:00:00"/>
    <s v="Mumbai"/>
    <s v="CHEESE_B_952"/>
    <x v="5"/>
    <s v="Burger"/>
    <n v="177"/>
    <n v="0"/>
    <n v="177"/>
    <n v="6"/>
    <n v="123.266615205086"/>
    <n v="1062"/>
    <n v="739.59969123051701"/>
    <n v="322.40030876948202"/>
    <s v="None"/>
    <n v="1062"/>
    <n v="-322.40030876948299"/>
  </r>
  <r>
    <s v="ORD21"/>
    <d v="2024-04-24T11:00:00"/>
    <s v="Chennai"/>
    <s v="VEG_SAND_687"/>
    <x v="9"/>
    <s v="Sandwich"/>
    <n v="145"/>
    <n v="0"/>
    <n v="145"/>
    <n v="3"/>
    <n v="91.036903457910896"/>
    <n v="435"/>
    <n v="273.11071037373199"/>
    <n v="161.88928962626699"/>
    <s v="None"/>
    <n v="435"/>
    <n v="-161.88928962626801"/>
  </r>
  <r>
    <s v="ORD22"/>
    <d v="2024-01-08T21:00:00"/>
    <s v="Pune"/>
    <s v="PEPPY_PA_631"/>
    <x v="10"/>
    <s v="Pizza"/>
    <n v="138"/>
    <n v="0.1"/>
    <n v="124.2"/>
    <n v="3"/>
    <n v="93.177237030248804"/>
    <n v="372.6"/>
    <n v="279.531711090746"/>
    <n v="93.068288909253596"/>
    <s v="Coupon"/>
    <n v="414"/>
    <n v="-93.068288909254022"/>
  </r>
  <r>
    <s v="ORD23"/>
    <d v="2024-05-05T05:00:00"/>
    <s v="Hyderabad"/>
    <s v="GARLIC_B_703"/>
    <x v="4"/>
    <s v="Snacks"/>
    <n v="293"/>
    <n v="0"/>
    <n v="293"/>
    <n v="5"/>
    <n v="184.84499152378001"/>
    <n v="1465"/>
    <n v="924.224957618904"/>
    <n v="540.775042381096"/>
    <s v="None"/>
    <n v="1465"/>
    <n v="-540.775042381096"/>
  </r>
  <r>
    <s v="ORD24"/>
    <d v="2024-03-20T03:00:00"/>
    <s v="Chennai"/>
    <s v="SPRITE_998"/>
    <x v="3"/>
    <s v="Drinks"/>
    <n v="105"/>
    <n v="0.1"/>
    <n v="94.5"/>
    <n v="2"/>
    <n v="44.396268728823003"/>
    <n v="189"/>
    <n v="88.792537457646105"/>
    <n v="100.207462542353"/>
    <s v="Percent-Off"/>
    <n v="210"/>
    <n v="-100.20746254235389"/>
  </r>
  <r>
    <s v="ORD25"/>
    <d v="2024-02-22T19:00:00"/>
    <s v="Bangalore"/>
    <s v="VEG_BURG_277"/>
    <x v="0"/>
    <s v="Burger"/>
    <n v="306"/>
    <n v="0"/>
    <n v="306"/>
    <n v="4"/>
    <n v="170.776729339713"/>
    <n v="1224"/>
    <n v="683.106917358852"/>
    <n v="540.89308264114698"/>
    <s v="None"/>
    <n v="1224"/>
    <n v="-540.893082641148"/>
  </r>
  <r>
    <s v="ORD26"/>
    <d v="2025-04-19T18:00:00"/>
    <s v="Hyderabad"/>
    <s v="GULAB_JA_575"/>
    <x v="11"/>
    <s v="Dessert"/>
    <n v="346"/>
    <n v="0"/>
    <n v="346"/>
    <n v="2"/>
    <n v="149.78777224698899"/>
    <n v="692"/>
    <n v="299.57554449397901"/>
    <n v="392.42445550602002"/>
    <s v="BOGO"/>
    <n v="692"/>
    <n v="-392.42445550602099"/>
  </r>
  <r>
    <s v="ORD27"/>
    <d v="2024-05-28T04:00:00"/>
    <s v="Chennai"/>
    <s v="BROWNIE_203"/>
    <x v="12"/>
    <s v="Dessert"/>
    <n v="151"/>
    <n v="0.2"/>
    <n v="120.8"/>
    <n v="7"/>
    <n v="70.750186945218601"/>
    <n v="845.6"/>
    <n v="495.25130861653003"/>
    <n v="350.34869138346897"/>
    <s v="Coupon"/>
    <n v="1057"/>
    <n v="-350.34869138347"/>
  </r>
  <r>
    <s v="ORD28"/>
    <d v="2024-06-11T02:00:00"/>
    <s v="Bangalore"/>
    <s v="GARLIC_B_725"/>
    <x v="4"/>
    <s v="Snacks"/>
    <n v="347"/>
    <n v="0"/>
    <n v="347"/>
    <n v="3"/>
    <n v="182.89858446420001"/>
    <n v="1041"/>
    <n v="548.69575339260098"/>
    <n v="492.304246607398"/>
    <s v="None"/>
    <n v="1041"/>
    <n v="-492.30424660739902"/>
  </r>
  <r>
    <s v="ORD29"/>
    <d v="2025-01-03T06:00:00"/>
    <s v="Bangalore"/>
    <s v="VEG_SAND_712"/>
    <x v="9"/>
    <s v="Sandwich"/>
    <n v="299"/>
    <n v="0"/>
    <n v="299"/>
    <n v="5"/>
    <n v="196.27027731144199"/>
    <n v="1495"/>
    <n v="981.35138655721096"/>
    <n v="513.64861344278904"/>
    <s v="None"/>
    <n v="1495"/>
    <n v="-513.64861344278904"/>
  </r>
  <r>
    <s v="ORD30"/>
    <d v="2025-08-27T06:00:00"/>
    <s v="Chennai"/>
    <s v="CLUB_SAN_986"/>
    <x v="13"/>
    <s v="Sandwich"/>
    <n v="325"/>
    <n v="0.25"/>
    <n v="243.75"/>
    <n v="1"/>
    <n v="221.409902156474"/>
    <n v="243.75"/>
    <n v="221.409902156474"/>
    <n v="22.340097843525399"/>
    <s v="Bundle"/>
    <n v="325"/>
    <n v="-22.340097843525996"/>
  </r>
  <r>
    <s v="ORD31"/>
    <d v="2025-03-18T19:00:00"/>
    <s v="Chennai"/>
    <s v="CHEESE_B_605"/>
    <x v="5"/>
    <s v="Burger"/>
    <n v="100"/>
    <n v="0.15"/>
    <n v="85"/>
    <n v="2"/>
    <n v="45.808421335352399"/>
    <n v="170"/>
    <n v="91.616842670704898"/>
    <n v="78.383157329295003"/>
    <s v="None"/>
    <n v="200"/>
    <n v="-78.383157329295102"/>
  </r>
  <r>
    <s v="ORD32"/>
    <d v="2025-01-01T08:00:00"/>
    <s v="Mumbai"/>
    <s v="CHICKEN__765"/>
    <x v="14"/>
    <s v="Burger"/>
    <n v="104"/>
    <n v="0"/>
    <n v="104"/>
    <n v="4"/>
    <n v="67.784471854237296"/>
    <n v="416"/>
    <n v="271.13788741694901"/>
    <n v="144.86211258304999"/>
    <s v="None"/>
    <n v="416"/>
    <n v="-144.86211258305099"/>
  </r>
  <r>
    <s v="ORD33"/>
    <d v="2025-03-15T19:00:00"/>
    <s v="Mumbai"/>
    <s v="GULAB_JA_745"/>
    <x v="11"/>
    <s v="Dessert"/>
    <n v="268"/>
    <n v="0.05"/>
    <n v="254.6"/>
    <n v="1"/>
    <n v="184.02815760022301"/>
    <n v="254.6"/>
    <n v="184.02815760022301"/>
    <n v="70.5718423997766"/>
    <s v="BOGO"/>
    <n v="268"/>
    <n v="-70.571842399776983"/>
  </r>
  <r>
    <s v="ORD34"/>
    <d v="2025-03-03T05:00:00"/>
    <s v="Hyderabad"/>
    <s v="COLD_COF_897"/>
    <x v="15"/>
    <s v="Drinks"/>
    <n v="292"/>
    <n v="0.05"/>
    <n v="277.39999999999998"/>
    <n v="6"/>
    <n v="201.44707359908301"/>
    <n v="1664.3999999999901"/>
    <n v="1208.6824415945"/>
    <n v="455.71755840549702"/>
    <s v="None"/>
    <n v="1752"/>
    <n v="-455.71755840549008"/>
  </r>
  <r>
    <s v="ORD35"/>
    <d v="2024-12-17T09:00:00"/>
    <s v="Delhi"/>
    <s v="ICE_CREA_406"/>
    <x v="6"/>
    <s v="Dessert"/>
    <n v="269"/>
    <n v="0.15"/>
    <n v="228.65"/>
    <n v="3"/>
    <n v="120.966662835997"/>
    <n v="685.95"/>
    <n v="362.89998850799202"/>
    <n v="323.050011492007"/>
    <s v="None"/>
    <n v="807"/>
    <n v="-323.05001149200803"/>
  </r>
  <r>
    <s v="ORD36"/>
    <d v="2025-03-02T09:00:00"/>
    <s v="Bangalore"/>
    <s v="COLD_COF_961"/>
    <x v="15"/>
    <s v="Drinks"/>
    <n v="255"/>
    <n v="0.1"/>
    <n v="229.5"/>
    <n v="1"/>
    <n v="177.09919411281399"/>
    <n v="229.5"/>
    <n v="177.09919411281399"/>
    <n v="52.400805887185101"/>
    <s v="Bundle"/>
    <n v="255"/>
    <n v="-52.40080588718601"/>
  </r>
  <r>
    <s v="ORD37"/>
    <d v="2025-04-04T00:00:00"/>
    <s v="Hyderabad"/>
    <s v="COKE_146"/>
    <x v="8"/>
    <s v="Drinks"/>
    <n v="291"/>
    <n v="0.15"/>
    <n v="247.35"/>
    <n v="2"/>
    <n v="149.51184397171801"/>
    <n v="494.7"/>
    <n v="299.02368794343698"/>
    <n v="195.67631205656201"/>
    <s v="None"/>
    <n v="582"/>
    <n v="-195.67631205656301"/>
  </r>
  <r>
    <s v="ORD38"/>
    <d v="2024-04-18T20:00:00"/>
    <s v="Mumbai"/>
    <s v="COKE_914"/>
    <x v="8"/>
    <s v="Drinks"/>
    <n v="326"/>
    <n v="0.05"/>
    <n v="309.7"/>
    <n v="7"/>
    <n v="169.23736857326699"/>
    <n v="2167.9"/>
    <n v="1184.66158001287"/>
    <n v="983.23841998712601"/>
    <s v="None"/>
    <n v="2282"/>
    <n v="-983.2384199871301"/>
  </r>
  <r>
    <s v="ORD39"/>
    <d v="2025-10-19T19:00:00"/>
    <s v="Hyderabad"/>
    <s v="GULAB_JA_500"/>
    <x v="11"/>
    <s v="Dessert"/>
    <n v="196"/>
    <n v="0.1"/>
    <n v="176.4"/>
    <n v="4"/>
    <n v="142.767710545565"/>
    <n v="705.6"/>
    <n v="571.07084218226305"/>
    <n v="134.52915781773601"/>
    <s v="BOGO"/>
    <n v="784"/>
    <n v="-134.52915781773697"/>
  </r>
  <r>
    <s v="ORD40"/>
    <d v="2025-12-15T23:00:00"/>
    <s v="Bangalore"/>
    <s v="COKE_506"/>
    <x v="8"/>
    <s v="Drinks"/>
    <n v="286"/>
    <n v="0.05"/>
    <n v="271.7"/>
    <n v="1"/>
    <n v="201.91009508624899"/>
    <n v="271.7"/>
    <n v="201.91009508624899"/>
    <n v="69.789904913750902"/>
    <s v="None"/>
    <n v="286"/>
    <n v="-69.789904913751002"/>
  </r>
  <r>
    <s v="ORD41"/>
    <d v="2025-05-23T14:00:00"/>
    <s v="Bangalore"/>
    <s v="PEPPY_PA_758"/>
    <x v="10"/>
    <s v="Pizza"/>
    <n v="117"/>
    <n v="0"/>
    <n v="117"/>
    <n v="5"/>
    <n v="69.1852446166899"/>
    <n v="585"/>
    <n v="345.92622308344897"/>
    <n v="239.07377691655"/>
    <s v="Bundle"/>
    <n v="585"/>
    <n v="-239.07377691655103"/>
  </r>
  <r>
    <s v="ORD42"/>
    <d v="2024-12-08T18:00:00"/>
    <s v="Delhi"/>
    <s v="FRIES_182"/>
    <x v="2"/>
    <s v="Snacks"/>
    <n v="349"/>
    <n v="0"/>
    <n v="349"/>
    <n v="7"/>
    <n v="155.16850114350299"/>
    <n v="2443"/>
    <n v="1086.1795080045199"/>
    <n v="1356.8204919954701"/>
    <s v="Bundle"/>
    <n v="2443"/>
    <n v="-1356.8204919954801"/>
  </r>
  <r>
    <s v="ORD43"/>
    <d v="2025-08-28T21:00:00"/>
    <s v="Delhi"/>
    <s v="SPRITE_862"/>
    <x v="3"/>
    <s v="Drinks"/>
    <n v="280"/>
    <n v="0.2"/>
    <n v="224"/>
    <n v="5"/>
    <n v="206.35541499325399"/>
    <n v="1120"/>
    <n v="1031.77707496627"/>
    <n v="88.222925033727194"/>
    <s v="Coupon"/>
    <n v="1400"/>
    <n v="-88.222925033730007"/>
  </r>
  <r>
    <s v="ORD44"/>
    <d v="2024-05-11T08:00:00"/>
    <s v="Delhi"/>
    <s v="COLD_COF_385"/>
    <x v="15"/>
    <s v="Drinks"/>
    <n v="199"/>
    <n v="0.15"/>
    <n v="169.15"/>
    <n v="5"/>
    <n v="84.359946159821902"/>
    <n v="845.75"/>
    <n v="421.799730799109"/>
    <n v="423.95026920088998"/>
    <s v="None"/>
    <n v="995"/>
    <n v="-423.950269200891"/>
  </r>
  <r>
    <s v="ORD45"/>
    <d v="2024-03-07T01:00:00"/>
    <s v="Chennai"/>
    <s v="CHEESE_B_321"/>
    <x v="5"/>
    <s v="Burger"/>
    <n v="221"/>
    <n v="0.1"/>
    <n v="198.9"/>
    <n v="3"/>
    <n v="105.908288087313"/>
    <n v="596.70000000000005"/>
    <n v="317.72486426194098"/>
    <n v="278.97513573805799"/>
    <s v="Coupon"/>
    <n v="663"/>
    <n v="-278.97513573805907"/>
  </r>
  <r>
    <s v="ORD46"/>
    <d v="2024-06-13T07:00:00"/>
    <s v="Pune"/>
    <s v="GARLIC_B_161"/>
    <x v="4"/>
    <s v="Snacks"/>
    <n v="204"/>
    <n v="0.1"/>
    <n v="183.6"/>
    <n v="1"/>
    <n v="152.216624786202"/>
    <n v="183.6"/>
    <n v="152.216624786202"/>
    <n v="31.3833752137975"/>
    <s v="BOGO"/>
    <n v="204"/>
    <n v="-31.38337521379799"/>
  </r>
  <r>
    <s v="ORD47"/>
    <d v="2024-02-12T13:00:00"/>
    <s v="Pune"/>
    <s v="COLD_COF_403"/>
    <x v="15"/>
    <s v="Drinks"/>
    <n v="143"/>
    <n v="0.2"/>
    <n v="114.4"/>
    <n v="5"/>
    <n v="83.298356736631604"/>
    <n v="572"/>
    <n v="416.49178368315802"/>
    <n v="155.50821631684099"/>
    <s v="Percent-Off"/>
    <n v="715"/>
    <n v="-155.50821631684198"/>
  </r>
  <r>
    <s v="ORD48"/>
    <d v="2025-04-30T13:00:00"/>
    <s v="Mumbai"/>
    <s v="COKE_827"/>
    <x v="8"/>
    <s v="Drinks"/>
    <n v="280"/>
    <n v="0"/>
    <n v="280"/>
    <n v="4"/>
    <n v="197.11804761938799"/>
    <n v="1120"/>
    <n v="788.472190477553"/>
    <n v="331.52780952244598"/>
    <s v="Bundle"/>
    <n v="1120"/>
    <n v="-331.527809522447"/>
  </r>
  <r>
    <s v="ORD49"/>
    <d v="2025-03-26T05:00:00"/>
    <s v="Mumbai"/>
    <s v="MARGHERI_919"/>
    <x v="16"/>
    <s v="Pizza"/>
    <n v="155"/>
    <n v="0.1"/>
    <n v="139.5"/>
    <n v="7"/>
    <n v="94.654346132570893"/>
    <n v="976.5"/>
    <n v="662.58042292799598"/>
    <n v="313.91957707200299"/>
    <s v="None"/>
    <n v="1085"/>
    <n v="-313.91957707200402"/>
  </r>
  <r>
    <s v="ORD50"/>
    <d v="2025-07-13T01:00:00"/>
    <s v="Hyderabad"/>
    <s v="MARGHERI_639"/>
    <x v="16"/>
    <s v="Pizza"/>
    <n v="117"/>
    <n v="0.1"/>
    <n v="105.3"/>
    <n v="5"/>
    <n v="72.991847730225999"/>
    <n v="526.5"/>
    <n v="364.95923865113002"/>
    <n v="161.54076134886901"/>
    <s v="None"/>
    <n v="585"/>
    <n v="-161.54076134886998"/>
  </r>
  <r>
    <s v="ORD51"/>
    <d v="2024-11-28T21:00:00"/>
    <s v="Delhi"/>
    <s v="SPRITE_683"/>
    <x v="3"/>
    <s v="Drinks"/>
    <n v="273"/>
    <n v="0.05"/>
    <n v="259.349999999999"/>
    <n v="3"/>
    <n v="180.25039869067001"/>
    <n v="778.05"/>
    <n v="540.75119607200998"/>
    <n v="237.29880392798901"/>
    <s v="Coupon"/>
    <n v="819"/>
    <n v="-237.29880392798998"/>
  </r>
  <r>
    <s v="ORD52"/>
    <d v="2025-02-07T20:00:00"/>
    <s v="Mumbai"/>
    <s v="CLUB_SAN_382"/>
    <x v="13"/>
    <s v="Sandwich"/>
    <n v="232"/>
    <n v="0"/>
    <n v="232"/>
    <n v="5"/>
    <n v="131.166460426528"/>
    <n v="1160"/>
    <n v="655.83230213264403"/>
    <n v="504.167697867355"/>
    <s v="None"/>
    <n v="1160"/>
    <n v="-504.16769786735597"/>
  </r>
  <r>
    <s v="ORD53"/>
    <d v="2025-06-25T06:00:00"/>
    <s v="Bangalore"/>
    <s v="CHEESE_B_531"/>
    <x v="5"/>
    <s v="Burger"/>
    <n v="172"/>
    <n v="0.1"/>
    <n v="154.80000000000001"/>
    <n v="3"/>
    <n v="80.605082306851202"/>
    <n v="464.4"/>
    <n v="241.81524692055299"/>
    <n v="222.58475307944599"/>
    <s v="None"/>
    <n v="516"/>
    <n v="-222.58475307944698"/>
  </r>
  <r>
    <s v="ORD54"/>
    <d v="2024-10-13T09:00:00"/>
    <s v="Chennai"/>
    <s v="MARGHERI_235"/>
    <x v="16"/>
    <s v="Pizza"/>
    <n v="220"/>
    <n v="0.1"/>
    <n v="198"/>
    <n v="1"/>
    <n v="88.590130513990303"/>
    <n v="198"/>
    <n v="88.590130513990303"/>
    <n v="109.409869486009"/>
    <s v="None"/>
    <n v="220"/>
    <n v="-109.4098694860097"/>
  </r>
  <r>
    <s v="ORD55"/>
    <d v="2024-08-24T11:00:00"/>
    <s v="Chennai"/>
    <s v="VEG_BURG_481"/>
    <x v="0"/>
    <s v="Burger"/>
    <n v="324"/>
    <n v="0.1"/>
    <n v="291.60000000000002"/>
    <n v="6"/>
    <n v="174.59676245958801"/>
    <n v="1749.6"/>
    <n v="1047.58057475752"/>
    <n v="702.01942524246999"/>
    <s v="None"/>
    <n v="1944"/>
    <n v="-702.01942524247988"/>
  </r>
  <r>
    <s v="ORD56"/>
    <d v="2024-01-07T17:00:00"/>
    <s v="Delhi"/>
    <s v="MARGHERI_650"/>
    <x v="16"/>
    <s v="Pizza"/>
    <n v="120"/>
    <n v="0.2"/>
    <n v="96"/>
    <n v="5"/>
    <n v="62.499371997670998"/>
    <n v="480"/>
    <n v="312.49685998835503"/>
    <n v="167.50314001164401"/>
    <s v="None"/>
    <n v="600"/>
    <n v="-167.50314001164497"/>
  </r>
  <r>
    <s v="ORD57"/>
    <d v="2024-06-28T01:00:00"/>
    <s v="Bangalore"/>
    <s v="COLD_COF_431"/>
    <x v="15"/>
    <s v="Drinks"/>
    <n v="206"/>
    <n v="0.05"/>
    <n v="195.7"/>
    <n v="1"/>
    <n v="110.509796647085"/>
    <n v="195.7"/>
    <n v="110.509796647085"/>
    <n v="85.190203352914594"/>
    <s v="Percent-Off"/>
    <n v="206"/>
    <n v="-85.190203352914992"/>
  </r>
  <r>
    <s v="ORD58"/>
    <d v="2024-02-11T11:00:00"/>
    <s v="Hyderabad"/>
    <s v="BROWNIE_349"/>
    <x v="12"/>
    <s v="Dessert"/>
    <n v="347"/>
    <n v="0.15"/>
    <n v="294.95"/>
    <n v="1"/>
    <n v="238.849342163676"/>
    <n v="294.95"/>
    <n v="238.849342163676"/>
    <n v="56.100657836323698"/>
    <s v="BOGO"/>
    <n v="347"/>
    <n v="-56.10065783632399"/>
  </r>
  <r>
    <s v="ORD59"/>
    <d v="2025-04-25T14:00:00"/>
    <s v="Delhi"/>
    <s v="COLD_COF_786"/>
    <x v="15"/>
    <s v="Drinks"/>
    <n v="253"/>
    <n v="0"/>
    <n v="253"/>
    <n v="5"/>
    <n v="174.65997816041701"/>
    <n v="1265"/>
    <n v="873.29989080208895"/>
    <n v="391.70010919791002"/>
    <s v="Percent-Off"/>
    <n v="1265"/>
    <n v="-391.70010919791105"/>
  </r>
  <r>
    <s v="ORD60"/>
    <d v="2024-11-13T21:00:00"/>
    <s v="Hyderabad"/>
    <s v="PEPPY_PA_183"/>
    <x v="10"/>
    <s v="Pizza"/>
    <n v="240"/>
    <n v="0.1"/>
    <n v="216"/>
    <n v="2"/>
    <n v="103.751922534153"/>
    <n v="432"/>
    <n v="207.50384506830699"/>
    <n v="224.49615493169199"/>
    <s v="Percent-Off"/>
    <n v="480"/>
    <n v="-224.49615493169301"/>
  </r>
  <r>
    <s v="ORD61"/>
    <d v="2024-02-12T08:00:00"/>
    <s v="Mumbai"/>
    <s v="COLD_COF_549"/>
    <x v="15"/>
    <s v="Drinks"/>
    <n v="120"/>
    <n v="0"/>
    <n v="120"/>
    <n v="7"/>
    <n v="75.136039350212599"/>
    <n v="840"/>
    <n v="525.95227545148805"/>
    <n v="314.04772454851098"/>
    <s v="Percent-Off"/>
    <n v="840"/>
    <n v="-314.04772454851195"/>
  </r>
  <r>
    <s v="ORD62"/>
    <d v="2024-12-21T09:00:00"/>
    <s v="Hyderabad"/>
    <s v="CHICKEN__553"/>
    <x v="7"/>
    <s v="Pizza"/>
    <n v="197"/>
    <n v="0"/>
    <n v="197"/>
    <n v="7"/>
    <n v="139.041518019504"/>
    <n v="1379"/>
    <n v="973.29062613653105"/>
    <n v="405.70937386346799"/>
    <s v="None"/>
    <n v="1379"/>
    <n v="-405.70937386346895"/>
  </r>
  <r>
    <s v="ORD63"/>
    <d v="2025-12-20T06:00:00"/>
    <s v="Delhi"/>
    <s v="MARGHERI_367"/>
    <x v="16"/>
    <s v="Pizza"/>
    <n v="245"/>
    <n v="0.2"/>
    <n v="196"/>
    <n v="6"/>
    <n v="110.188258365289"/>
    <n v="1176"/>
    <n v="661.12955019173398"/>
    <n v="514.87044980826602"/>
    <s v="None"/>
    <n v="1470"/>
    <n v="-514.87044980826602"/>
  </r>
  <r>
    <s v="ORD64"/>
    <d v="2025-01-21T04:00:00"/>
    <s v="Delhi"/>
    <s v="CHICKEN__393"/>
    <x v="14"/>
    <s v="Burger"/>
    <n v="292"/>
    <n v="0.2"/>
    <n v="233.6"/>
    <n v="7"/>
    <n v="151.871703494245"/>
    <n v="1635.2"/>
    <n v="1063.1019244597101"/>
    <n v="572.09807554027998"/>
    <s v="Percent-Off"/>
    <n v="2044"/>
    <n v="-572.09807554028998"/>
  </r>
  <r>
    <s v="ORD65"/>
    <d v="2025-05-22T17:00:00"/>
    <s v="Pune"/>
    <s v="GRILLED__733"/>
    <x v="1"/>
    <s v="Sandwich"/>
    <n v="225"/>
    <n v="0.1"/>
    <n v="202.5"/>
    <n v="5"/>
    <n v="111.68626747261401"/>
    <n v="1012.5"/>
    <n v="558.43133736307095"/>
    <n v="454.06866263692802"/>
    <s v="Coupon"/>
    <n v="1125"/>
    <n v="-454.06866263692905"/>
  </r>
  <r>
    <s v="ORD66"/>
    <d v="2024-09-20T19:00:00"/>
    <s v="Bangalore"/>
    <s v="CHICKEN__659"/>
    <x v="7"/>
    <s v="Pizza"/>
    <n v="274"/>
    <n v="0.25"/>
    <n v="205.5"/>
    <n v="7"/>
    <n v="182.42176336967501"/>
    <n v="1438.5"/>
    <n v="1276.95234358772"/>
    <n v="161.54765641226999"/>
    <s v="None"/>
    <n v="1918"/>
    <n v="-161.54765641228005"/>
  </r>
  <r>
    <s v="ORD67"/>
    <d v="2024-12-23T03:00:00"/>
    <s v="Hyderabad"/>
    <s v="SPRITE_106"/>
    <x v="3"/>
    <s v="Drinks"/>
    <n v="179"/>
    <n v="0.05"/>
    <n v="170.04999999999899"/>
    <n v="7"/>
    <n v="103.656838869331"/>
    <n v="1190.3499999999999"/>
    <n v="725.59787208532202"/>
    <n v="464.75212791467698"/>
    <s v="None"/>
    <n v="1253"/>
    <n v="-464.75212791467789"/>
  </r>
  <r>
    <s v="ORD68"/>
    <d v="2024-10-27T08:00:00"/>
    <s v="Hyderabad"/>
    <s v="MARGHERI_518"/>
    <x v="16"/>
    <s v="Pizza"/>
    <n v="272"/>
    <n v="0"/>
    <n v="272"/>
    <n v="3"/>
    <n v="111.22262674302701"/>
    <n v="816"/>
    <n v="333.66788022908202"/>
    <n v="482.33211977091702"/>
    <s v="None"/>
    <n v="816"/>
    <n v="-482.33211977091798"/>
  </r>
  <r>
    <s v="ORD69"/>
    <d v="2024-08-07T20:00:00"/>
    <s v="Hyderabad"/>
    <s v="CHEESE_B_585"/>
    <x v="5"/>
    <s v="Burger"/>
    <n v="143"/>
    <n v="0.15"/>
    <n v="121.55"/>
    <n v="2"/>
    <n v="99.328254255320999"/>
    <n v="243.1"/>
    <n v="198.656508510642"/>
    <n v="44.443491489357903"/>
    <s v="None"/>
    <n v="286"/>
    <n v="-44.443491489357996"/>
  </r>
  <r>
    <s v="ORD70"/>
    <d v="2025-11-16T08:00:00"/>
    <s v="Chennai"/>
    <s v="FRIES_462"/>
    <x v="2"/>
    <s v="Snacks"/>
    <n v="146"/>
    <n v="0"/>
    <n v="146"/>
    <n v="4"/>
    <n v="63.474342560713701"/>
    <n v="584"/>
    <n v="253.89737024285401"/>
    <n v="330.102629757145"/>
    <s v="None"/>
    <n v="584"/>
    <n v="-330.10262975714602"/>
  </r>
  <r>
    <s v="ORD71"/>
    <d v="2025-11-06T16:00:00"/>
    <s v="Mumbai"/>
    <s v="SPRITE_584"/>
    <x v="3"/>
    <s v="Drinks"/>
    <n v="341"/>
    <n v="0.2"/>
    <n v="272.8"/>
    <n v="7"/>
    <n v="194.62504038491301"/>
    <n v="1909.6"/>
    <n v="1362.3752826943901"/>
    <n v="547.22471730560403"/>
    <s v="Percent-Off"/>
    <n v="2387"/>
    <n v="-547.22471730560983"/>
  </r>
  <r>
    <s v="ORD72"/>
    <d v="2024-11-29T14:00:00"/>
    <s v="Mumbai"/>
    <s v="ICE_CREA_300"/>
    <x v="6"/>
    <s v="Dessert"/>
    <n v="203"/>
    <n v="0.05"/>
    <n v="192.85"/>
    <n v="7"/>
    <n v="112.755274020426"/>
    <n v="1349.95"/>
    <n v="789.286918142986"/>
    <n v="560.66308185701303"/>
    <s v="Bundle"/>
    <n v="1421"/>
    <n v="-560.66308185701405"/>
  </r>
  <r>
    <s v="ORD73"/>
    <d v="2024-04-17T00:00:00"/>
    <s v="Pune"/>
    <s v="FRIES_588"/>
    <x v="2"/>
    <s v="Snacks"/>
    <n v="188"/>
    <n v="0"/>
    <n v="188"/>
    <n v="6"/>
    <n v="110.824620563471"/>
    <n v="1128"/>
    <n v="664.94772338082601"/>
    <n v="463.05227661917303"/>
    <s v="Coupon"/>
    <n v="1128"/>
    <n v="-463.05227661917399"/>
  </r>
  <r>
    <s v="ORD74"/>
    <d v="2024-03-25T11:00:00"/>
    <s v="Delhi"/>
    <s v="MARGHERI_440"/>
    <x v="16"/>
    <s v="Pizza"/>
    <n v="121"/>
    <n v="0.2"/>
    <n v="96.8"/>
    <n v="5"/>
    <n v="56.642319484451299"/>
    <n v="484"/>
    <n v="283.21159742225598"/>
    <n v="200.788402577743"/>
    <s v="None"/>
    <n v="605"/>
    <n v="-200.78840257774402"/>
  </r>
  <r>
    <s v="ORD75"/>
    <d v="2024-04-22T07:00:00"/>
    <s v="Mumbai"/>
    <s v="GULAB_JA_238"/>
    <x v="11"/>
    <s v="Dessert"/>
    <n v="171"/>
    <n v="0.1"/>
    <n v="153.9"/>
    <n v="5"/>
    <n v="94.9760183897518"/>
    <n v="769.5"/>
    <n v="474.880091948759"/>
    <n v="294.61990805123997"/>
    <s v="None"/>
    <n v="855"/>
    <n v="-294.619908051241"/>
  </r>
  <r>
    <s v="ORD76"/>
    <d v="2025-10-04T14:00:00"/>
    <s v="Mumbai"/>
    <s v="CHICKEN__886"/>
    <x v="14"/>
    <s v="Burger"/>
    <n v="331"/>
    <n v="0.05"/>
    <n v="314.45"/>
    <n v="6"/>
    <n v="198.36236729296701"/>
    <n v="1886.69999999999"/>
    <n v="1190.1742037577999"/>
    <n v="696.52579624219504"/>
    <s v="None"/>
    <n v="1986"/>
    <n v="-696.52579624219015"/>
  </r>
  <r>
    <s v="ORD77"/>
    <d v="2024-08-07T02:00:00"/>
    <s v="Bangalore"/>
    <s v="BROWNIE_216"/>
    <x v="12"/>
    <s v="Dessert"/>
    <n v="224"/>
    <n v="0.15"/>
    <n v="190.4"/>
    <n v="6"/>
    <n v="107.455579310491"/>
    <n v="1142.4000000000001"/>
    <n v="644.73347586294904"/>
    <n v="497.66652413704998"/>
    <s v="Coupon"/>
    <n v="1344"/>
    <n v="-497.66652413705106"/>
  </r>
  <r>
    <s v="ORD78"/>
    <d v="2024-10-07T16:00:00"/>
    <s v="Hyderabad"/>
    <s v="VEG_SAND_616"/>
    <x v="9"/>
    <s v="Sandwich"/>
    <n v="126"/>
    <n v="0.25"/>
    <n v="94.5"/>
    <n v="5"/>
    <n v="83.292427703451196"/>
    <n v="472.5"/>
    <n v="416.46213851725599"/>
    <n v="56.0378614827437"/>
    <s v="BOGO"/>
    <n v="630"/>
    <n v="-56.037861482744006"/>
  </r>
  <r>
    <s v="ORD79"/>
    <d v="2024-01-17T07:00:00"/>
    <s v="Bangalore"/>
    <s v="FRIES_765"/>
    <x v="2"/>
    <s v="Snacks"/>
    <n v="125"/>
    <n v="0"/>
    <n v="125"/>
    <n v="6"/>
    <n v="56.509823661473803"/>
    <n v="750"/>
    <n v="339.05894196884202"/>
    <n v="410.94105803115701"/>
    <s v="Bundle"/>
    <n v="750"/>
    <n v="-410.94105803115798"/>
  </r>
  <r>
    <s v="ORD80"/>
    <d v="2025-08-05T18:00:00"/>
    <s v="Chennai"/>
    <s v="GARLIC_B_315"/>
    <x v="4"/>
    <s v="Snacks"/>
    <n v="262"/>
    <n v="0.05"/>
    <n v="248.89999999999901"/>
    <n v="6"/>
    <n v="152.70812813368099"/>
    <n v="1493.3999999999901"/>
    <n v="916.24876880208603"/>
    <n v="577.15123119791303"/>
    <s v="None"/>
    <n v="1572"/>
    <n v="-577.15123119790405"/>
  </r>
  <r>
    <s v="ORD81"/>
    <d v="2025-06-11T18:00:00"/>
    <s v="Mumbai"/>
    <s v="COLD_COF_703"/>
    <x v="15"/>
    <s v="Drinks"/>
    <n v="321"/>
    <n v="0.15"/>
    <n v="272.849999999999"/>
    <n v="5"/>
    <n v="238.586065251598"/>
    <n v="1364.24999999999"/>
    <n v="1192.9303262579899"/>
    <n v="171.31967374200801"/>
    <s v="Percent-Off"/>
    <n v="1605"/>
    <n v="-171.31967374200008"/>
  </r>
  <r>
    <s v="ORD82"/>
    <d v="2024-09-02T12:00:00"/>
    <s v="Pune"/>
    <s v="ONION_RI_948"/>
    <x v="17"/>
    <s v="Snacks"/>
    <n v="242"/>
    <n v="0"/>
    <n v="242"/>
    <n v="1"/>
    <n v="101.837241883058"/>
    <n v="242"/>
    <n v="101.837241883058"/>
    <n v="140.16275811694101"/>
    <s v="Coupon"/>
    <n v="242"/>
    <n v="-140.162758116942"/>
  </r>
  <r>
    <s v="ORD83"/>
    <d v="2024-05-28T09:00:00"/>
    <s v="Chennai"/>
    <s v="CHICKEN__800"/>
    <x v="14"/>
    <s v="Burger"/>
    <n v="142"/>
    <n v="0.25"/>
    <n v="106.5"/>
    <n v="3"/>
    <n v="58.330265468124203"/>
    <n v="319.5"/>
    <n v="174.99079640437199"/>
    <n v="144.50920359562701"/>
    <s v="Percent-Off"/>
    <n v="426"/>
    <n v="-144.50920359562801"/>
  </r>
  <r>
    <s v="ORD84"/>
    <d v="2024-09-14T16:00:00"/>
    <s v="Chennai"/>
    <s v="PEPPY_PA_376"/>
    <x v="10"/>
    <s v="Pizza"/>
    <n v="293"/>
    <n v="0.15"/>
    <n v="249.04999999999899"/>
    <n v="6"/>
    <n v="171.26704484512101"/>
    <n v="1494.3"/>
    <n v="1027.60226907072"/>
    <n v="466.69773092926999"/>
    <s v="None"/>
    <n v="1758"/>
    <n v="-466.69773092927994"/>
  </r>
  <r>
    <s v="ORD85"/>
    <d v="2024-12-15T16:00:00"/>
    <s v="Bangalore"/>
    <s v="MARGHERI_118"/>
    <x v="16"/>
    <s v="Pizza"/>
    <n v="231"/>
    <n v="0.15"/>
    <n v="196.35"/>
    <n v="6"/>
    <n v="169.80967233922999"/>
    <n v="1178.0999999999999"/>
    <n v="1018.85803403538"/>
    <n v="159.241965964619"/>
    <s v="None"/>
    <n v="1386"/>
    <n v="-159.24196596461991"/>
  </r>
  <r>
    <s v="ORD86"/>
    <d v="2025-06-28T11:00:00"/>
    <s v="Pune"/>
    <s v="CHICKEN__100"/>
    <x v="14"/>
    <s v="Burger"/>
    <n v="109"/>
    <n v="0"/>
    <n v="109"/>
    <n v="1"/>
    <n v="56.6389987407074"/>
    <n v="109"/>
    <n v="56.6389987407074"/>
    <n v="52.3610012592925"/>
    <s v="None"/>
    <n v="109"/>
    <n v="-52.3610012592926"/>
  </r>
  <r>
    <s v="ORD87"/>
    <d v="2025-09-28T01:00:00"/>
    <s v="Bangalore"/>
    <s v="MARGHERI_293"/>
    <x v="16"/>
    <s v="Pizza"/>
    <n v="267"/>
    <n v="0.15"/>
    <n v="226.95"/>
    <n v="7"/>
    <n v="189.44944854565901"/>
    <n v="1588.6499999999901"/>
    <n v="1326.14613981961"/>
    <n v="262.50386018038103"/>
    <s v="None"/>
    <n v="1869"/>
    <n v="-262.50386018038012"/>
  </r>
  <r>
    <s v="ORD88"/>
    <d v="2024-04-12T06:00:00"/>
    <s v="Bangalore"/>
    <s v="CHEESE_B_287"/>
    <x v="5"/>
    <s v="Burger"/>
    <n v="339"/>
    <n v="0.1"/>
    <n v="305.10000000000002"/>
    <n v="6"/>
    <n v="171.92319549536299"/>
    <n v="1830.6"/>
    <n v="1031.53917297218"/>
    <n v="799.06082702781703"/>
    <s v="Coupon"/>
    <n v="2034"/>
    <n v="-799.06082702781987"/>
  </r>
  <r>
    <s v="ORD89"/>
    <d v="2025-05-08T05:00:00"/>
    <s v="Delhi"/>
    <s v="MARGHERI_474"/>
    <x v="16"/>
    <s v="Pizza"/>
    <n v="140"/>
    <n v="0"/>
    <n v="140"/>
    <n v="6"/>
    <n v="70.678718219739807"/>
    <n v="840"/>
    <n v="424.07230931843799"/>
    <n v="415.92769068156099"/>
    <s v="Percent-Off"/>
    <n v="840"/>
    <n v="-415.92769068156201"/>
  </r>
  <r>
    <s v="ORD90"/>
    <d v="2025-08-07T23:00:00"/>
    <s v="Bangalore"/>
    <s v="CLUB_SAN_314"/>
    <x v="13"/>
    <s v="Sandwich"/>
    <n v="92"/>
    <n v="0.15"/>
    <n v="78.2"/>
    <n v="7"/>
    <n v="44.2827752024047"/>
    <n v="547.4"/>
    <n v="309.97942641683301"/>
    <n v="237.420573583166"/>
    <s v="Percent-Off"/>
    <n v="644"/>
    <n v="-237.42057358316697"/>
  </r>
  <r>
    <s v="ORD91"/>
    <d v="2025-04-01T21:00:00"/>
    <s v="Delhi"/>
    <s v="CHICKEN__332"/>
    <x v="14"/>
    <s v="Burger"/>
    <n v="197"/>
    <n v="0.05"/>
    <n v="187.14999999999901"/>
    <n v="5"/>
    <n v="136.87180996041499"/>
    <n v="935.74999999999898"/>
    <n v="684.35904980207602"/>
    <n v="251.39095019792299"/>
    <s v="None"/>
    <n v="985"/>
    <n v="-251.39095019792296"/>
  </r>
  <r>
    <s v="ORD92"/>
    <d v="2025-02-10T18:00:00"/>
    <s v="Delhi"/>
    <s v="GULAB_JA_282"/>
    <x v="11"/>
    <s v="Dessert"/>
    <n v="132"/>
    <n v="0.1"/>
    <n v="118.8"/>
    <n v="1"/>
    <n v="58.478935345100901"/>
    <n v="118.8"/>
    <n v="58.478935345100901"/>
    <n v="60.321064654898997"/>
    <s v="Coupon"/>
    <n v="132"/>
    <n v="-60.321064654899097"/>
  </r>
  <r>
    <s v="ORD93"/>
    <d v="2024-07-29T16:00:00"/>
    <s v="Hyderabad"/>
    <s v="GARLIC_B_977"/>
    <x v="4"/>
    <s v="Snacks"/>
    <n v="131"/>
    <n v="0.15"/>
    <n v="111.35"/>
    <n v="2"/>
    <n v="63.492567542467"/>
    <n v="222.7"/>
    <n v="126.985135084934"/>
    <n v="95.714864915065903"/>
    <s v="Percent-Off"/>
    <n v="262"/>
    <n v="-95.714864915065988"/>
  </r>
  <r>
    <s v="ORD94"/>
    <d v="2025-09-14T20:00:00"/>
    <s v="Mumbai"/>
    <s v="CHICKEN__111"/>
    <x v="7"/>
    <s v="Pizza"/>
    <n v="101"/>
    <n v="0.1"/>
    <n v="90.9"/>
    <n v="4"/>
    <n v="45.450665233348197"/>
    <n v="363.6"/>
    <n v="181.80266093339199"/>
    <n v="181.79733906660701"/>
    <s v="None"/>
    <n v="404"/>
    <n v="-181.79733906660803"/>
  </r>
  <r>
    <s v="ORD95"/>
    <d v="2024-12-03T22:00:00"/>
    <s v="Delhi"/>
    <s v="PEPPY_PA_690"/>
    <x v="10"/>
    <s v="Pizza"/>
    <n v="327"/>
    <n v="0.15"/>
    <n v="277.95"/>
    <n v="3"/>
    <n v="161.87855957621599"/>
    <n v="833.849999999999"/>
    <n v="485.63567872865002"/>
    <n v="348.21432127134898"/>
    <s v="None"/>
    <n v="981"/>
    <n v="-348.21432127134898"/>
  </r>
  <r>
    <s v="ORD96"/>
    <d v="2025-07-27T21:00:00"/>
    <s v="Mumbai"/>
    <s v="VEG_BURG_875"/>
    <x v="0"/>
    <s v="Burger"/>
    <n v="233"/>
    <n v="0.15"/>
    <n v="198.04999999999899"/>
    <n v="6"/>
    <n v="150.85393255201299"/>
    <n v="1188.3"/>
    <n v="905.12359531208199"/>
    <n v="283.176404687917"/>
    <s v="None"/>
    <n v="1398"/>
    <n v="-283.17640468791797"/>
  </r>
  <r>
    <s v="ORD97"/>
    <d v="2025-12-26T12:00:00"/>
    <s v="Bangalore"/>
    <s v="BROWNIE_236"/>
    <x v="12"/>
    <s v="Dessert"/>
    <n v="236"/>
    <n v="0"/>
    <n v="236"/>
    <n v="1"/>
    <n v="124.155321692915"/>
    <n v="236"/>
    <n v="124.155321692915"/>
    <n v="111.844678307084"/>
    <s v="Percent-Off"/>
    <n v="236"/>
    <n v="-111.844678307085"/>
  </r>
  <r>
    <s v="ORD98"/>
    <d v="2024-01-21T22:00:00"/>
    <s v="Hyderabad"/>
    <s v="GARLIC_B_790"/>
    <x v="4"/>
    <s v="Snacks"/>
    <n v="220"/>
    <n v="0.1"/>
    <n v="198"/>
    <n v="6"/>
    <n v="117.05349015516499"/>
    <n v="1188"/>
    <n v="702.32094093099499"/>
    <n v="485.67905906900398"/>
    <s v="None"/>
    <n v="1320"/>
    <n v="-485.67905906900501"/>
  </r>
  <r>
    <s v="ORD99"/>
    <d v="2024-10-14T22:00:00"/>
    <s v="Pune"/>
    <s v="VEG_BURG_334"/>
    <x v="0"/>
    <s v="Burger"/>
    <n v="296"/>
    <n v="0.15"/>
    <n v="251.6"/>
    <n v="2"/>
    <n v="132.81240194511599"/>
    <n v="503.2"/>
    <n v="265.62480389023301"/>
    <n v="237.57519610976601"/>
    <s v="Coupon"/>
    <n v="592"/>
    <n v="-237.57519610976698"/>
  </r>
  <r>
    <s v="ORD100"/>
    <d v="2025-06-12T13:00:00"/>
    <s v="Hyderabad"/>
    <s v="CHICKEN__392"/>
    <x v="14"/>
    <s v="Burger"/>
    <n v="173"/>
    <n v="0.05"/>
    <n v="164.35"/>
    <n v="4"/>
    <n v="116.53943492553501"/>
    <n v="657.4"/>
    <n v="466.15773970214298"/>
    <n v="191.24226029785601"/>
    <s v="None"/>
    <n v="692"/>
    <n v="-191.242260297857"/>
  </r>
  <r>
    <s v="ORD101"/>
    <d v="2024-01-09T14:00:00"/>
    <s v="Mumbai"/>
    <s v="ICE_CREA_867"/>
    <x v="6"/>
    <s v="Dessert"/>
    <n v="107"/>
    <n v="0.25"/>
    <n v="80.25"/>
    <n v="3"/>
    <n v="59.940850213215498"/>
    <n v="240.75"/>
    <n v="179.82255063964601"/>
    <n v="60.9274493603533"/>
    <s v="None"/>
    <n v="321"/>
    <n v="-60.92744936035399"/>
  </r>
  <r>
    <s v="ORD102"/>
    <d v="2025-10-25T22:00:00"/>
    <s v="Mumbai"/>
    <s v="COLD_COF_627"/>
    <x v="15"/>
    <s v="Drinks"/>
    <n v="92"/>
    <n v="0.1"/>
    <n v="82.8"/>
    <n v="5"/>
    <n v="50.188679522135899"/>
    <n v="414"/>
    <n v="250.943397610679"/>
    <n v="163.05660238932001"/>
    <s v="None"/>
    <n v="460"/>
    <n v="-163.056602389321"/>
  </r>
  <r>
    <s v="ORD103"/>
    <d v="2025-12-19T15:00:00"/>
    <s v="Delhi"/>
    <s v="GRILLED__827"/>
    <x v="1"/>
    <s v="Sandwich"/>
    <n v="179"/>
    <n v="0.15"/>
    <n v="152.15"/>
    <n v="5"/>
    <n v="73.851557983835306"/>
    <n v="760.75"/>
    <n v="369.25778991917599"/>
    <n v="391.49221008082299"/>
    <s v="Percent-Off"/>
    <n v="895"/>
    <n v="-391.49221008082401"/>
  </r>
  <r>
    <s v="ORD104"/>
    <d v="2024-12-30T19:00:00"/>
    <s v="Hyderabad"/>
    <s v="GARLIC_B_587"/>
    <x v="4"/>
    <s v="Snacks"/>
    <n v="82"/>
    <n v="0.05"/>
    <n v="77.899999999999906"/>
    <n v="4"/>
    <n v="34.298100653590602"/>
    <n v="311.599999999999"/>
    <n v="137.19240261436201"/>
    <n v="174.40759738563699"/>
    <s v="None"/>
    <n v="328"/>
    <n v="-174.40759738563699"/>
  </r>
  <r>
    <s v="ORD105"/>
    <d v="2025-05-30T23:00:00"/>
    <s v="Chennai"/>
    <s v="CHEESE_B_153"/>
    <x v="5"/>
    <s v="Burger"/>
    <n v="331"/>
    <n v="0"/>
    <n v="331"/>
    <n v="5"/>
    <n v="139.12995264850801"/>
    <n v="1655"/>
    <n v="695.64976324254201"/>
    <n v="959.35023675745697"/>
    <s v="Coupon"/>
    <n v="1655"/>
    <n v="-959.35023675745799"/>
  </r>
  <r>
    <s v="ORD106"/>
    <d v="2025-09-09T12:00:00"/>
    <s v="Chennai"/>
    <s v="ICE_CREA_948"/>
    <x v="6"/>
    <s v="Dessert"/>
    <n v="125"/>
    <n v="0"/>
    <n v="125"/>
    <n v="6"/>
    <n v="64.758867671147797"/>
    <n v="750"/>
    <n v="388.55320602688602"/>
    <n v="361.44679397311302"/>
    <s v="None"/>
    <n v="750"/>
    <n v="-361.44679397311398"/>
  </r>
  <r>
    <s v="ORD107"/>
    <d v="2024-11-11T14:00:00"/>
    <s v="Pune"/>
    <s v="COKE_270"/>
    <x v="8"/>
    <s v="Drinks"/>
    <n v="190"/>
    <n v="0.05"/>
    <n v="180.5"/>
    <n v="4"/>
    <n v="115.576256381227"/>
    <n v="722"/>
    <n v="462.305025524911"/>
    <n v="259.69497447508797"/>
    <s v="Percent-Off"/>
    <n v="760"/>
    <n v="-259.694974475089"/>
  </r>
  <r>
    <s v="ORD108"/>
    <d v="2024-09-22T14:00:00"/>
    <s v="Hyderabad"/>
    <s v="VEG_SAND_797"/>
    <x v="9"/>
    <s v="Sandwich"/>
    <n v="198"/>
    <n v="0.2"/>
    <n v="158.4"/>
    <n v="7"/>
    <n v="94.432510673446998"/>
    <n v="1108.8"/>
    <n v="661.02757471412895"/>
    <n v="447.77242528586999"/>
    <s v="Percent-Off"/>
    <n v="1386"/>
    <n v="-447.77242528587101"/>
  </r>
  <r>
    <s v="ORD109"/>
    <d v="2024-03-10T22:00:00"/>
    <s v="Pune"/>
    <s v="VEG_SAND_233"/>
    <x v="9"/>
    <s v="Sandwich"/>
    <n v="249"/>
    <n v="0.2"/>
    <n v="199.2"/>
    <n v="6"/>
    <n v="131.64798766766501"/>
    <n v="1195.2"/>
    <n v="789.88792600599095"/>
    <n v="405.31207399400802"/>
    <s v="None"/>
    <n v="1494"/>
    <n v="-405.3120739940091"/>
  </r>
  <r>
    <s v="ORD110"/>
    <d v="2024-02-14T03:00:00"/>
    <s v="Chennai"/>
    <s v="BROWNIE_111"/>
    <x v="12"/>
    <s v="Dessert"/>
    <n v="112"/>
    <n v="0.15"/>
    <n v="95.2"/>
    <n v="7"/>
    <n v="58.445347252196797"/>
    <n v="666.4"/>
    <n v="409.117430765378"/>
    <n v="257.28256923462101"/>
    <s v="None"/>
    <n v="784"/>
    <n v="-257.28256923462197"/>
  </r>
  <r>
    <s v="ORD111"/>
    <d v="2025-11-05T22:00:00"/>
    <s v="Bangalore"/>
    <s v="BROWNIE_875"/>
    <x v="12"/>
    <s v="Dessert"/>
    <n v="214"/>
    <n v="0.25"/>
    <n v="160.5"/>
    <n v="3"/>
    <n v="87.367262851950102"/>
    <n v="481.5"/>
    <n v="262.10178855585002"/>
    <n v="219.39821144414901"/>
    <s v="BOGO"/>
    <n v="642"/>
    <n v="-219.39821144414998"/>
  </r>
  <r>
    <s v="ORD112"/>
    <d v="2025-02-17T02:00:00"/>
    <s v="Pune"/>
    <s v="COKE_709"/>
    <x v="8"/>
    <s v="Drinks"/>
    <n v="293"/>
    <n v="0"/>
    <n v="293"/>
    <n v="3"/>
    <n v="190.024388530891"/>
    <n v="879"/>
    <n v="570.07316559267497"/>
    <n v="308.92683440732401"/>
    <s v="Coupon"/>
    <n v="879"/>
    <n v="-308.92683440732503"/>
  </r>
  <r>
    <s v="ORD113"/>
    <d v="2025-03-26T17:00:00"/>
    <s v="Hyderabad"/>
    <s v="VEG_BURG_533"/>
    <x v="0"/>
    <s v="Burger"/>
    <n v="83"/>
    <n v="0"/>
    <n v="83"/>
    <n v="1"/>
    <n v="40.147562494574103"/>
    <n v="83"/>
    <n v="40.147562494574103"/>
    <n v="42.852437505425797"/>
    <s v="Coupon"/>
    <n v="83"/>
    <n v="-42.852437505425897"/>
  </r>
  <r>
    <s v="ORD114"/>
    <d v="2025-03-31T01:00:00"/>
    <s v="Delhi"/>
    <s v="VEG_SAND_125"/>
    <x v="9"/>
    <s v="Sandwich"/>
    <n v="96"/>
    <n v="0"/>
    <n v="96"/>
    <n v="4"/>
    <n v="59.223081600151801"/>
    <n v="384"/>
    <n v="236.892326400607"/>
    <n v="147.107673599392"/>
    <s v="Percent-Off"/>
    <n v="384"/>
    <n v="-147.107673599393"/>
  </r>
  <r>
    <s v="ORD115"/>
    <d v="2025-02-11T21:00:00"/>
    <s v="Hyderabad"/>
    <s v="COLD_COF_590"/>
    <x v="15"/>
    <s v="Drinks"/>
    <n v="260"/>
    <n v="0.1"/>
    <n v="234"/>
    <n v="4"/>
    <n v="139.323079257556"/>
    <n v="936"/>
    <n v="557.29231703022595"/>
    <n v="378.70768296977297"/>
    <s v="Percent-Off"/>
    <n v="1040"/>
    <n v="-378.70768296977405"/>
  </r>
  <r>
    <s v="ORD116"/>
    <d v="2025-11-10T16:00:00"/>
    <s v="Delhi"/>
    <s v="GARLIC_B_785"/>
    <x v="4"/>
    <s v="Snacks"/>
    <n v="295"/>
    <n v="0.15"/>
    <n v="250.75"/>
    <n v="1"/>
    <n v="209.90707243613801"/>
    <n v="250.75"/>
    <n v="209.90707243613801"/>
    <n v="40.842927563861501"/>
    <s v="None"/>
    <n v="295"/>
    <n v="-40.842927563861991"/>
  </r>
  <r>
    <s v="ORD117"/>
    <d v="2025-04-13T20:00:00"/>
    <s v="Chennai"/>
    <s v="VEG_BURG_772"/>
    <x v="0"/>
    <s v="Burger"/>
    <n v="84"/>
    <n v="0.1"/>
    <n v="75.599999999999994"/>
    <n v="1"/>
    <n v="46.761598707066298"/>
    <n v="75.599999999999994"/>
    <n v="46.761598707066298"/>
    <n v="28.8384012929337"/>
    <s v="Bundle"/>
    <n v="84"/>
    <n v="-28.838401292933696"/>
  </r>
  <r>
    <s v="ORD118"/>
    <d v="2024-04-22T05:00:00"/>
    <s v="Chennai"/>
    <s v="CHICKEN__393"/>
    <x v="7"/>
    <s v="Pizza"/>
    <n v="303"/>
    <n v="0.1"/>
    <n v="272.7"/>
    <n v="5"/>
    <n v="223.25299702685399"/>
    <n v="1363.5"/>
    <n v="1116.2649851342701"/>
    <n v="247.23501486572701"/>
    <s v="Percent-Off"/>
    <n v="1515"/>
    <n v="-247.23501486572991"/>
  </r>
  <r>
    <s v="ORD119"/>
    <d v="2025-08-03T11:00:00"/>
    <s v="Chennai"/>
    <s v="PEPPY_PA_617"/>
    <x v="10"/>
    <s v="Pizza"/>
    <n v="281"/>
    <n v="0"/>
    <n v="281"/>
    <n v="7"/>
    <n v="116.717559358939"/>
    <n v="1967"/>
    <n v="817.02291551257599"/>
    <n v="1149.9770844874199"/>
    <s v="None"/>
    <n v="1967"/>
    <n v="-1149.977084487424"/>
  </r>
  <r>
    <s v="ORD120"/>
    <d v="2024-05-31T03:00:00"/>
    <s v="Hyderabad"/>
    <s v="CHEESE_B_591"/>
    <x v="5"/>
    <s v="Burger"/>
    <n v="319"/>
    <n v="0"/>
    <n v="319"/>
    <n v="2"/>
    <n v="222.92508650832599"/>
    <n v="638"/>
    <n v="445.85017301665198"/>
    <n v="192.149826983347"/>
    <s v="Bundle"/>
    <n v="638"/>
    <n v="-192.14982698334802"/>
  </r>
  <r>
    <s v="ORD121"/>
    <d v="2025-11-04T05:00:00"/>
    <s v="Delhi"/>
    <s v="ONION_RI_431"/>
    <x v="17"/>
    <s v="Snacks"/>
    <n v="331"/>
    <n v="0"/>
    <n v="331"/>
    <n v="3"/>
    <n v="246.06550132808201"/>
    <n v="993"/>
    <n v="738.19650398424699"/>
    <n v="254.80349601575199"/>
    <s v="None"/>
    <n v="993"/>
    <n v="-254.80349601575301"/>
  </r>
  <r>
    <s v="ORD122"/>
    <d v="2025-02-27T21:00:00"/>
    <s v="Mumbai"/>
    <s v="SPRITE_489"/>
    <x v="3"/>
    <s v="Drinks"/>
    <n v="98"/>
    <n v="0"/>
    <n v="98"/>
    <n v="6"/>
    <n v="60.546373976371498"/>
    <n v="588"/>
    <n v="363.27824385822902"/>
    <n v="224.72175614176999"/>
    <s v="None"/>
    <n v="588"/>
    <n v="-224.72175614177098"/>
  </r>
  <r>
    <s v="ORD123"/>
    <d v="2025-03-02T06:00:00"/>
    <s v="Pune"/>
    <s v="COKE_947"/>
    <x v="8"/>
    <s v="Drinks"/>
    <n v="138"/>
    <n v="0.05"/>
    <n v="131.1"/>
    <n v="1"/>
    <n v="101.57454969278299"/>
    <n v="131.1"/>
    <n v="101.57454969278299"/>
    <n v="29.525450307216801"/>
    <s v="Bundle"/>
    <n v="138"/>
    <n v="-29.525450307217"/>
  </r>
  <r>
    <s v="ORD124"/>
    <d v="2025-10-16T11:00:00"/>
    <s v="Delhi"/>
    <s v="CHEESE_B_526"/>
    <x v="5"/>
    <s v="Burger"/>
    <n v="87"/>
    <n v="0.2"/>
    <n v="69.599999999999994"/>
    <n v="4"/>
    <n v="42.331512616691001"/>
    <n v="278.39999999999998"/>
    <n v="169.326050466764"/>
    <n v="109.07394953323499"/>
    <s v="Coupon"/>
    <n v="348"/>
    <n v="-109.07394953323598"/>
  </r>
  <r>
    <s v="ORD125"/>
    <d v="2025-04-23T22:00:00"/>
    <s v="Hyderabad"/>
    <s v="GARLIC_B_712"/>
    <x v="4"/>
    <s v="Snacks"/>
    <n v="172"/>
    <n v="0.1"/>
    <n v="154.80000000000001"/>
    <n v="1"/>
    <n v="119.09155141669601"/>
    <n v="154.80000000000001"/>
    <n v="119.09155141669601"/>
    <n v="35.708448583303998"/>
    <s v="None"/>
    <n v="172"/>
    <n v="-35.708448583304005"/>
  </r>
  <r>
    <s v="ORD126"/>
    <d v="2024-02-24T10:00:00"/>
    <s v="Bangalore"/>
    <s v="ICE_CREA_889"/>
    <x v="6"/>
    <s v="Dessert"/>
    <n v="331"/>
    <n v="0"/>
    <n v="331"/>
    <n v="7"/>
    <n v="216.83859808697301"/>
    <n v="2317"/>
    <n v="1517.8701866088099"/>
    <n v="799.12981339118596"/>
    <s v="None"/>
    <n v="2317"/>
    <n v="-799.12981339119005"/>
  </r>
  <r>
    <s v="ORD127"/>
    <d v="2024-10-09T08:00:00"/>
    <s v="Bangalore"/>
    <s v="COKE_645"/>
    <x v="8"/>
    <s v="Drinks"/>
    <n v="220"/>
    <n v="0"/>
    <n v="220"/>
    <n v="4"/>
    <n v="110.244140296005"/>
    <n v="880"/>
    <n v="440.97656118402301"/>
    <n v="439.02343881597699"/>
    <s v="Bundle"/>
    <n v="880"/>
    <n v="-439.02343881597699"/>
  </r>
  <r>
    <s v="ORD128"/>
    <d v="2025-01-29T18:00:00"/>
    <s v="Bangalore"/>
    <s v="COKE_710"/>
    <x v="8"/>
    <s v="Drinks"/>
    <n v="320"/>
    <n v="0.15"/>
    <n v="272"/>
    <n v="4"/>
    <n v="212.477677014866"/>
    <n v="1088"/>
    <n v="849.91070805946595"/>
    <n v="238.089291940533"/>
    <s v="Bundle"/>
    <n v="1280"/>
    <n v="-238.08929194053405"/>
  </r>
  <r>
    <s v="ORD129"/>
    <d v="2024-11-09T14:00:00"/>
    <s v="Mumbai"/>
    <s v="VEG_BURG_423"/>
    <x v="0"/>
    <s v="Burger"/>
    <n v="252"/>
    <n v="0.05"/>
    <n v="239.39999999999901"/>
    <n v="4"/>
    <n v="151.41279861201801"/>
    <n v="957.599999999999"/>
    <n v="605.65119444807203"/>
    <n v="351.94880555192702"/>
    <s v="Percent-Off"/>
    <n v="1008"/>
    <n v="-351.94880555192697"/>
  </r>
  <r>
    <s v="ORD130"/>
    <d v="2024-08-18T10:00:00"/>
    <s v="Bangalore"/>
    <s v="VEG_BURG_814"/>
    <x v="0"/>
    <s v="Burger"/>
    <n v="233"/>
    <n v="0"/>
    <n v="233"/>
    <n v="4"/>
    <n v="95.444189548200796"/>
    <n v="932"/>
    <n v="381.77675819280302"/>
    <n v="550.22324180719602"/>
    <s v="BOGO"/>
    <n v="932"/>
    <n v="-550.22324180719693"/>
  </r>
  <r>
    <s v="ORD131"/>
    <d v="2024-06-05T04:00:00"/>
    <s v="Delhi"/>
    <s v="ICE_CREA_832"/>
    <x v="6"/>
    <s v="Dessert"/>
    <n v="272"/>
    <n v="0"/>
    <n v="272"/>
    <n v="2"/>
    <n v="173.49315306314799"/>
    <n v="544"/>
    <n v="346.98630612629597"/>
    <n v="197.01369387370301"/>
    <s v="None"/>
    <n v="544"/>
    <n v="-197.01369387370403"/>
  </r>
  <r>
    <s v="ORD132"/>
    <d v="2025-07-18T09:00:00"/>
    <s v="Pune"/>
    <s v="CHICKEN__799"/>
    <x v="7"/>
    <s v="Pizza"/>
    <n v="228"/>
    <n v="0.1"/>
    <n v="205.2"/>
    <n v="2"/>
    <n v="158.204840525561"/>
    <n v="410.4"/>
    <n v="316.40968105112199"/>
    <n v="93.990318948877004"/>
    <s v="None"/>
    <n v="456"/>
    <n v="-93.990318948877984"/>
  </r>
  <r>
    <s v="ORD133"/>
    <d v="2024-01-28T15:00:00"/>
    <s v="Mumbai"/>
    <s v="CHICKEN__183"/>
    <x v="14"/>
    <s v="Burger"/>
    <n v="233"/>
    <n v="0.25"/>
    <n v="174.75"/>
    <n v="5"/>
    <n v="155.43148705168599"/>
    <n v="873.75"/>
    <n v="777.157435258433"/>
    <n v="96.592564741566505"/>
    <s v="None"/>
    <n v="1165"/>
    <n v="-96.592564741567003"/>
  </r>
  <r>
    <s v="ORD134"/>
    <d v="2024-03-24T06:00:00"/>
    <s v="Chennai"/>
    <s v="FRIES_593"/>
    <x v="2"/>
    <s v="Snacks"/>
    <n v="300"/>
    <n v="0.05"/>
    <n v="285"/>
    <n v="3"/>
    <n v="182.34926048500901"/>
    <n v="855"/>
    <n v="547.04778145502803"/>
    <n v="307.952218544971"/>
    <s v="None"/>
    <n v="900"/>
    <n v="-307.95221854497197"/>
  </r>
  <r>
    <s v="ORD135"/>
    <d v="2024-11-29T02:00:00"/>
    <s v="Pune"/>
    <s v="GARLIC_B_263"/>
    <x v="4"/>
    <s v="Snacks"/>
    <n v="274"/>
    <n v="0"/>
    <n v="274"/>
    <n v="3"/>
    <n v="189.75570648661801"/>
    <n v="822"/>
    <n v="569.26711945985505"/>
    <n v="252.73288054014401"/>
    <s v="Coupon"/>
    <n v="822"/>
    <n v="-252.73288054014495"/>
  </r>
  <r>
    <s v="ORD136"/>
    <d v="2024-05-17T16:00:00"/>
    <s v="Pune"/>
    <s v="PEPPY_PA_347"/>
    <x v="10"/>
    <s v="Pizza"/>
    <n v="83"/>
    <n v="0"/>
    <n v="83"/>
    <n v="1"/>
    <n v="46.658680627574697"/>
    <n v="83"/>
    <n v="46.658680627574697"/>
    <n v="36.341319372425197"/>
    <s v="None"/>
    <n v="83"/>
    <n v="-36.341319372425303"/>
  </r>
  <r>
    <s v="ORD137"/>
    <d v="2025-07-29T08:00:00"/>
    <s v="Delhi"/>
    <s v="GULAB_JA_799"/>
    <x v="11"/>
    <s v="Dessert"/>
    <n v="333"/>
    <n v="0.1"/>
    <n v="299.7"/>
    <n v="1"/>
    <n v="133.201356030737"/>
    <n v="299.7"/>
    <n v="133.201356030737"/>
    <n v="166.49864396926199"/>
    <s v="Coupon"/>
    <n v="333"/>
    <n v="-166.49864396926299"/>
  </r>
  <r>
    <s v="ORD138"/>
    <d v="2024-10-01T09:00:00"/>
    <s v="Pune"/>
    <s v="BROWNIE_311"/>
    <x v="12"/>
    <s v="Dessert"/>
    <n v="217"/>
    <n v="0"/>
    <n v="217"/>
    <n v="7"/>
    <n v="109.903892756375"/>
    <n v="1519"/>
    <n v="769.32724929462802"/>
    <n v="749.67275070537096"/>
    <s v="None"/>
    <n v="1519"/>
    <n v="-749.67275070537198"/>
  </r>
  <r>
    <s v="ORD139"/>
    <d v="2025-04-30T09:00:00"/>
    <s v="Pune"/>
    <s v="SPRITE_442"/>
    <x v="3"/>
    <s v="Drinks"/>
    <n v="117"/>
    <n v="0.15"/>
    <n v="99.45"/>
    <n v="4"/>
    <n v="77.1806545889593"/>
    <n v="397.8"/>
    <n v="308.72261835583703"/>
    <n v="89.077381644162401"/>
    <s v="Coupon"/>
    <n v="468"/>
    <n v="-89.077381644162983"/>
  </r>
  <r>
    <s v="ORD140"/>
    <d v="2024-03-09T04:00:00"/>
    <s v="Bangalore"/>
    <s v="BROWNIE_146"/>
    <x v="12"/>
    <s v="Dessert"/>
    <n v="191"/>
    <n v="0.2"/>
    <n v="152.80000000000001"/>
    <n v="6"/>
    <n v="84.780080406720899"/>
    <n v="916.8"/>
    <n v="508.68048244032502"/>
    <n v="408.11951755967402"/>
    <s v="Percent-Off"/>
    <n v="1146"/>
    <n v="-408.11951755967493"/>
  </r>
  <r>
    <s v="ORD141"/>
    <d v="2025-12-12T18:00:00"/>
    <s v="Mumbai"/>
    <s v="VEG_BURG_301"/>
    <x v="0"/>
    <s v="Burger"/>
    <n v="292"/>
    <n v="0.1"/>
    <n v="262.8"/>
    <n v="1"/>
    <n v="155.70648541464001"/>
    <n v="262.8"/>
    <n v="155.70648541464001"/>
    <n v="107.093514585359"/>
    <s v="None"/>
    <n v="292"/>
    <n v="-107.09351458536"/>
  </r>
  <r>
    <s v="ORD142"/>
    <d v="2024-07-16T09:00:00"/>
    <s v="Chennai"/>
    <s v="CHICKEN__604"/>
    <x v="7"/>
    <s v="Pizza"/>
    <n v="333"/>
    <n v="0.1"/>
    <n v="299.7"/>
    <n v="3"/>
    <n v="206.44398822668401"/>
    <n v="899.099999999999"/>
    <n v="619.33196468005303"/>
    <n v="279.76803531994602"/>
    <s v="None"/>
    <n v="999"/>
    <n v="-279.76803531994597"/>
  </r>
  <r>
    <s v="ORD143"/>
    <d v="2025-08-29T11:00:00"/>
    <s v="Delhi"/>
    <s v="ONION_RI_290"/>
    <x v="17"/>
    <s v="Snacks"/>
    <n v="232"/>
    <n v="0"/>
    <n v="232"/>
    <n v="5"/>
    <n v="101.12429628219699"/>
    <n v="1160"/>
    <n v="505.621481410988"/>
    <n v="654.37851858901104"/>
    <s v="Coupon"/>
    <n v="1160"/>
    <n v="-654.37851858901195"/>
  </r>
  <r>
    <s v="ORD144"/>
    <d v="2025-08-01T05:00:00"/>
    <s v="Bangalore"/>
    <s v="FRIES_297"/>
    <x v="2"/>
    <s v="Snacks"/>
    <n v="167"/>
    <n v="0"/>
    <n v="167"/>
    <n v="7"/>
    <n v="108.55239185871"/>
    <n v="1169"/>
    <n v="759.86674301097401"/>
    <n v="409.13325698902503"/>
    <s v="Percent-Off"/>
    <n v="1169"/>
    <n v="-409.13325698902599"/>
  </r>
  <r>
    <s v="ORD145"/>
    <d v="2024-02-05T14:00:00"/>
    <s v="Bangalore"/>
    <s v="VEG_BURG_780"/>
    <x v="0"/>
    <s v="Burger"/>
    <n v="246"/>
    <n v="0.25"/>
    <n v="184.5"/>
    <n v="1"/>
    <n v="121.997563842362"/>
    <n v="184.5"/>
    <n v="121.997563842362"/>
    <n v="62.502436157637298"/>
    <s v="None"/>
    <n v="246"/>
    <n v="-62.502436157638002"/>
  </r>
  <r>
    <s v="ORD146"/>
    <d v="2024-08-31T23:00:00"/>
    <s v="Pune"/>
    <s v="CLUB_SAN_282"/>
    <x v="13"/>
    <s v="Sandwich"/>
    <n v="324"/>
    <n v="0.25"/>
    <n v="243"/>
    <n v="7"/>
    <n v="216.31915064341001"/>
    <n v="1701"/>
    <n v="1514.2340545038701"/>
    <n v="186.76594549612901"/>
    <s v="Coupon"/>
    <n v="2268"/>
    <n v="-186.76594549612992"/>
  </r>
  <r>
    <s v="ORD147"/>
    <d v="2024-11-04T00:00:00"/>
    <s v="Bangalore"/>
    <s v="CHICKEN__142"/>
    <x v="14"/>
    <s v="Burger"/>
    <n v="179"/>
    <n v="0.2"/>
    <n v="143.19999999999999"/>
    <n v="4"/>
    <n v="95.679843163537001"/>
    <n v="572.79999999999995"/>
    <n v="382.719372654148"/>
    <n v="190.08062734585101"/>
    <s v="Percent-Off"/>
    <n v="716"/>
    <n v="-190.08062734585195"/>
  </r>
  <r>
    <s v="ORD148"/>
    <d v="2025-08-04T05:00:00"/>
    <s v="Bangalore"/>
    <s v="PEPPY_PA_950"/>
    <x v="10"/>
    <s v="Pizza"/>
    <n v="349"/>
    <n v="0.2"/>
    <n v="279.2"/>
    <n v="7"/>
    <n v="168.30200142025501"/>
    <n v="1954.3999999999901"/>
    <n v="1178.1140099417801"/>
    <n v="776.28599005821002"/>
    <s v="BOGO"/>
    <n v="2443"/>
    <n v="-776.28599005821002"/>
  </r>
  <r>
    <s v="ORD149"/>
    <d v="2024-08-29T07:00:00"/>
    <s v="Chennai"/>
    <s v="CHEESE_B_624"/>
    <x v="5"/>
    <s v="Burger"/>
    <n v="247"/>
    <n v="0"/>
    <n v="247"/>
    <n v="1"/>
    <n v="125.498735955434"/>
    <n v="247"/>
    <n v="125.498735955434"/>
    <n v="121.501264044565"/>
    <s v="Bundle"/>
    <n v="247"/>
    <n v="-121.501264044566"/>
  </r>
  <r>
    <s v="ORD150"/>
    <d v="2024-07-24T11:00:00"/>
    <s v="Hyderabad"/>
    <s v="COLD_COF_194"/>
    <x v="15"/>
    <s v="Drinks"/>
    <n v="283"/>
    <n v="0"/>
    <n v="283"/>
    <n v="3"/>
    <n v="198.90754491992701"/>
    <n v="849"/>
    <n v="596.72263475978298"/>
    <n v="252.277365240216"/>
    <s v="None"/>
    <n v="849"/>
    <n v="-252.27736524021702"/>
  </r>
  <r>
    <s v="ORD151"/>
    <d v="2024-01-09T10:00:00"/>
    <s v="Chennai"/>
    <s v="VEG_BURG_474"/>
    <x v="0"/>
    <s v="Burger"/>
    <n v="101"/>
    <n v="0.15"/>
    <n v="85.85"/>
    <n v="5"/>
    <n v="42.906017207756904"/>
    <n v="429.25"/>
    <n v="214.53008603878399"/>
    <n v="214.71991396121501"/>
    <s v="Coupon"/>
    <n v="505"/>
    <n v="-214.71991396121601"/>
  </r>
  <r>
    <s v="ORD152"/>
    <d v="2025-04-21T23:00:00"/>
    <s v="Hyderabad"/>
    <s v="CHICKEN__225"/>
    <x v="14"/>
    <s v="Burger"/>
    <n v="258"/>
    <n v="0"/>
    <n v="258"/>
    <n v="4"/>
    <n v="120.078373986944"/>
    <n v="1032"/>
    <n v="480.313495947776"/>
    <n v="551.68650405222297"/>
    <s v="None"/>
    <n v="1032"/>
    <n v="-551.686504052224"/>
  </r>
  <r>
    <s v="ORD153"/>
    <d v="2025-06-12T16:00:00"/>
    <s v="Hyderabad"/>
    <s v="GULAB_JA_945"/>
    <x v="11"/>
    <s v="Dessert"/>
    <n v="219"/>
    <n v="0.15"/>
    <n v="186.15"/>
    <n v="1"/>
    <n v="120.60090705872599"/>
    <n v="186.15"/>
    <n v="120.60090705872599"/>
    <n v="65.549092941273798"/>
    <s v="Coupon"/>
    <n v="219"/>
    <n v="-65.549092941274012"/>
  </r>
  <r>
    <s v="ORD154"/>
    <d v="2024-07-01T21:00:00"/>
    <s v="Pune"/>
    <s v="CHICKEN__990"/>
    <x v="7"/>
    <s v="Pizza"/>
    <n v="112"/>
    <n v="0.05"/>
    <n v="106.399999999999"/>
    <n v="1"/>
    <n v="71.669400222298506"/>
    <n v="106.399999999999"/>
    <n v="71.669400222298506"/>
    <n v="34.7305997777014"/>
    <s v="None"/>
    <n v="112"/>
    <n v="-34.73059977770049"/>
  </r>
  <r>
    <s v="ORD155"/>
    <d v="2024-04-06T23:00:00"/>
    <s v="Chennai"/>
    <s v="CHEESE_B_314"/>
    <x v="5"/>
    <s v="Burger"/>
    <n v="220"/>
    <n v="0.2"/>
    <n v="176"/>
    <n v="7"/>
    <n v="136.68572583009799"/>
    <n v="1232"/>
    <n v="956.80008081068797"/>
    <n v="275.19991918931203"/>
    <s v="None"/>
    <n v="1540"/>
    <n v="-275.19991918931203"/>
  </r>
  <r>
    <s v="ORD156"/>
    <d v="2024-11-29T12:00:00"/>
    <s v="Delhi"/>
    <s v="VEG_SAND_668"/>
    <x v="9"/>
    <s v="Sandwich"/>
    <n v="327"/>
    <n v="0"/>
    <n v="327"/>
    <n v="2"/>
    <n v="238.52863170127901"/>
    <n v="654"/>
    <n v="477.05726340255899"/>
    <n v="176.94273659743999"/>
    <s v="None"/>
    <n v="654"/>
    <n v="-176.94273659744101"/>
  </r>
  <r>
    <s v="ORD157"/>
    <d v="2024-11-20T01:00:00"/>
    <s v="Pune"/>
    <s v="VEG_BURG_181"/>
    <x v="0"/>
    <s v="Burger"/>
    <n v="85"/>
    <n v="0.1"/>
    <n v="76.5"/>
    <n v="4"/>
    <n v="46.007129820257298"/>
    <n v="306"/>
    <n v="184.02851928102899"/>
    <n v="121.97148071897"/>
    <s v="BOGO"/>
    <n v="340"/>
    <n v="-121.97148071897101"/>
  </r>
  <r>
    <s v="ORD158"/>
    <d v="2024-01-09T05:00:00"/>
    <s v="Mumbai"/>
    <s v="COKE_197"/>
    <x v="8"/>
    <s v="Drinks"/>
    <n v="298"/>
    <n v="0.1"/>
    <n v="268.2"/>
    <n v="7"/>
    <n v="146.764014247446"/>
    <n v="1877.3999999999901"/>
    <n v="1027.3480997321201"/>
    <n v="850.05190026787704"/>
    <s v="None"/>
    <n v="2086"/>
    <n v="-850.05190026787"/>
  </r>
  <r>
    <s v="ORD159"/>
    <d v="2024-03-21T10:00:00"/>
    <s v="Bangalore"/>
    <s v="PEPPY_PA_768"/>
    <x v="10"/>
    <s v="Pizza"/>
    <n v="245"/>
    <n v="0"/>
    <n v="245"/>
    <n v="3"/>
    <n v="149.052090952925"/>
    <n v="735"/>
    <n v="447.15627285877503"/>
    <n v="287.84372714122401"/>
    <s v="Percent-Off"/>
    <n v="735"/>
    <n v="-287.84372714122497"/>
  </r>
  <r>
    <s v="ORD160"/>
    <d v="2025-05-05T14:00:00"/>
    <s v="Bangalore"/>
    <s v="ONION_RI_466"/>
    <x v="17"/>
    <s v="Snacks"/>
    <n v="120"/>
    <n v="0"/>
    <n v="120"/>
    <n v="4"/>
    <n v="67.236932890066797"/>
    <n v="480"/>
    <n v="268.94773156026702"/>
    <n v="211.05226843973199"/>
    <s v="Coupon"/>
    <n v="480"/>
    <n v="-211.05226843973298"/>
  </r>
  <r>
    <s v="ORD161"/>
    <d v="2025-09-20T15:00:00"/>
    <s v="Chennai"/>
    <s v="ICE_CREA_844"/>
    <x v="6"/>
    <s v="Dessert"/>
    <n v="213"/>
    <n v="0.05"/>
    <n v="202.35"/>
    <n v="2"/>
    <n v="118.79867670669501"/>
    <n v="404.7"/>
    <n v="237.59735341339101"/>
    <n v="167.10264658660799"/>
    <s v="Coupon"/>
    <n v="426"/>
    <n v="-167.10264658660898"/>
  </r>
  <r>
    <s v="ORD162"/>
    <d v="2025-01-24T03:00:00"/>
    <s v="Bangalore"/>
    <s v="MARGHERI_761"/>
    <x v="16"/>
    <s v="Pizza"/>
    <n v="144"/>
    <n v="0"/>
    <n v="144"/>
    <n v="1"/>
    <n v="65.403362074924999"/>
    <n v="144"/>
    <n v="65.403362074924999"/>
    <n v="78.596637925074901"/>
    <s v="Percent-Off"/>
    <n v="144"/>
    <n v="-78.596637925075001"/>
  </r>
  <r>
    <s v="ORD163"/>
    <d v="2025-04-27T21:00:00"/>
    <s v="Pune"/>
    <s v="GULAB_JA_383"/>
    <x v="11"/>
    <s v="Dessert"/>
    <n v="327"/>
    <n v="0.1"/>
    <n v="294.3"/>
    <n v="2"/>
    <n v="173.55334697990699"/>
    <n v="588.6"/>
    <n v="347.10669395981398"/>
    <n v="241.49330604018499"/>
    <s v="Coupon"/>
    <n v="654"/>
    <n v="-241.49330604018604"/>
  </r>
  <r>
    <s v="ORD164"/>
    <d v="2025-10-16T12:00:00"/>
    <s v="Delhi"/>
    <s v="ONION_RI_336"/>
    <x v="17"/>
    <s v="Snacks"/>
    <n v="216"/>
    <n v="0.1"/>
    <n v="194.4"/>
    <n v="1"/>
    <n v="103.068567226581"/>
    <n v="194.4"/>
    <n v="103.068567226581"/>
    <n v="91.3314327734182"/>
    <s v="Coupon"/>
    <n v="216"/>
    <n v="-91.33143277341901"/>
  </r>
  <r>
    <s v="ORD165"/>
    <d v="2025-12-11T03:00:00"/>
    <s v="Bangalore"/>
    <s v="CLUB_SAN_855"/>
    <x v="13"/>
    <s v="Sandwich"/>
    <n v="224"/>
    <n v="0.1"/>
    <n v="201.6"/>
    <n v="3"/>
    <n v="123.592890942396"/>
    <n v="604.79999999999995"/>
    <n v="370.77867282719001"/>
    <n v="234.02132717280901"/>
    <s v="BOGO"/>
    <n v="672"/>
    <n v="-234.02132717280995"/>
  </r>
  <r>
    <s v="ORD166"/>
    <d v="2024-04-27T03:00:00"/>
    <s v="Bangalore"/>
    <s v="COLD_COF_347"/>
    <x v="15"/>
    <s v="Drinks"/>
    <n v="211"/>
    <n v="0.1"/>
    <n v="189.9"/>
    <n v="1"/>
    <n v="116.774730775271"/>
    <n v="189.9"/>
    <n v="116.774730775271"/>
    <n v="73.1252692247282"/>
    <s v="None"/>
    <n v="211"/>
    <n v="-73.12526922472901"/>
  </r>
  <r>
    <s v="ORD167"/>
    <d v="2025-08-16T11:00:00"/>
    <s v="Delhi"/>
    <s v="COKE_856"/>
    <x v="8"/>
    <s v="Drinks"/>
    <n v="249"/>
    <n v="0.15"/>
    <n v="211.65"/>
    <n v="5"/>
    <n v="107.564768033814"/>
    <n v="1058.25"/>
    <n v="537.82384016907099"/>
    <n v="520.42615983092799"/>
    <s v="Percent-Off"/>
    <n v="1245"/>
    <n v="-520.42615983092901"/>
  </r>
  <r>
    <s v="ORD168"/>
    <d v="2024-09-29T18:00:00"/>
    <s v="Mumbai"/>
    <s v="ONION_RI_395"/>
    <x v="17"/>
    <s v="Snacks"/>
    <n v="142"/>
    <n v="0.05"/>
    <n v="134.9"/>
    <n v="6"/>
    <n v="70.259074503437503"/>
    <n v="809.4"/>
    <n v="421.55444702062499"/>
    <n v="387.84555297937402"/>
    <s v="None"/>
    <n v="852"/>
    <n v="-387.84555297937499"/>
  </r>
  <r>
    <s v="ORD169"/>
    <d v="2024-03-23T18:00:00"/>
    <s v="Mumbai"/>
    <s v="CHICKEN__437"/>
    <x v="7"/>
    <s v="Pizza"/>
    <n v="240"/>
    <n v="0.15"/>
    <n v="204"/>
    <n v="2"/>
    <n v="127.264832913318"/>
    <n v="408"/>
    <n v="254.52966582663601"/>
    <n v="153.470334173363"/>
    <s v="Percent-Off"/>
    <n v="480"/>
    <n v="-153.47033417336399"/>
  </r>
  <r>
    <s v="ORD170"/>
    <d v="2024-12-13T10:00:00"/>
    <s v="Delhi"/>
    <s v="COLD_COF_987"/>
    <x v="15"/>
    <s v="Drinks"/>
    <n v="156"/>
    <n v="0.2"/>
    <n v="124.8"/>
    <n v="3"/>
    <n v="96.0763849887487"/>
    <n v="374.4"/>
    <n v="288.22915496624603"/>
    <n v="86.170845033753693"/>
    <s v="Bundle"/>
    <n v="468"/>
    <n v="-86.170845033753949"/>
  </r>
  <r>
    <s v="ORD171"/>
    <d v="2025-04-20T11:00:00"/>
    <s v="Delhi"/>
    <s v="CHICKEN__895"/>
    <x v="7"/>
    <s v="Pizza"/>
    <n v="288"/>
    <n v="0"/>
    <n v="288"/>
    <n v="6"/>
    <n v="195.81165140765799"/>
    <n v="1728"/>
    <n v="1174.8699084459399"/>
    <n v="553.130091554052"/>
    <s v="Percent-Off"/>
    <n v="1728"/>
    <n v="-553.13009155406007"/>
  </r>
  <r>
    <s v="ORD172"/>
    <d v="2024-05-01T07:00:00"/>
    <s v="Bangalore"/>
    <s v="BROWNIE_222"/>
    <x v="12"/>
    <s v="Dessert"/>
    <n v="135"/>
    <n v="0.2"/>
    <n v="108"/>
    <n v="2"/>
    <n v="83.779181119303402"/>
    <n v="216"/>
    <n v="167.55836223860601"/>
    <n v="48.441637761392997"/>
    <s v="BOGO"/>
    <n v="270"/>
    <n v="-48.441637761393991"/>
  </r>
  <r>
    <s v="ORD173"/>
    <d v="2024-03-13T06:00:00"/>
    <s v="Mumbai"/>
    <s v="PEPPY_PA_162"/>
    <x v="10"/>
    <s v="Pizza"/>
    <n v="331"/>
    <n v="0"/>
    <n v="331"/>
    <n v="7"/>
    <n v="139.81513525460801"/>
    <n v="2317"/>
    <n v="978.70594678226098"/>
    <n v="1338.2940532177299"/>
    <s v="None"/>
    <n v="2317"/>
    <n v="-1338.294053217739"/>
  </r>
  <r>
    <s v="ORD174"/>
    <d v="2024-12-27T16:00:00"/>
    <s v="Chennai"/>
    <s v="COKE_187"/>
    <x v="8"/>
    <s v="Drinks"/>
    <n v="339"/>
    <n v="0.1"/>
    <n v="305.10000000000002"/>
    <n v="7"/>
    <n v="142.26529157727299"/>
    <n v="2135.6999999999998"/>
    <n v="995.85704104091496"/>
    <n v="1139.8429589590801"/>
    <s v="Percent-Off"/>
    <n v="2373"/>
    <n v="-1139.8429589590849"/>
  </r>
  <r>
    <s v="ORD175"/>
    <d v="2024-08-27T23:00:00"/>
    <s v="Chennai"/>
    <s v="CHICKEN__137"/>
    <x v="14"/>
    <s v="Burger"/>
    <n v="82"/>
    <n v="0.1"/>
    <n v="73.8"/>
    <n v="2"/>
    <n v="44.531907397276001"/>
    <n v="147.6"/>
    <n v="89.063814794552101"/>
    <n v="58.536185205447801"/>
    <s v="None"/>
    <n v="164"/>
    <n v="-58.536185205447893"/>
  </r>
  <r>
    <s v="ORD176"/>
    <d v="2024-04-09T09:00:00"/>
    <s v="Pune"/>
    <s v="BROWNIE_402"/>
    <x v="12"/>
    <s v="Dessert"/>
    <n v="281"/>
    <n v="0"/>
    <n v="281"/>
    <n v="2"/>
    <n v="199.114271674809"/>
    <n v="562"/>
    <n v="398.22854334961801"/>
    <n v="163.77145665038199"/>
    <s v="Coupon"/>
    <n v="562"/>
    <n v="-163.77145665038199"/>
  </r>
  <r>
    <s v="ORD177"/>
    <d v="2025-04-07T23:00:00"/>
    <s v="Mumbai"/>
    <s v="COKE_634"/>
    <x v="8"/>
    <s v="Drinks"/>
    <n v="208"/>
    <n v="0.05"/>
    <n v="197.6"/>
    <n v="4"/>
    <n v="115.47271389285"/>
    <n v="790.4"/>
    <n v="461.890855571401"/>
    <n v="328.50914442859801"/>
    <s v="None"/>
    <n v="832"/>
    <n v="-328.50914442859897"/>
  </r>
  <r>
    <s v="ORD178"/>
    <d v="2024-07-16T08:00:00"/>
    <s v="Hyderabad"/>
    <s v="FRIES_721"/>
    <x v="2"/>
    <s v="Snacks"/>
    <n v="316"/>
    <n v="0.05"/>
    <n v="300.2"/>
    <n v="7"/>
    <n v="231.78134088047699"/>
    <n v="2101.4"/>
    <n v="1622.46938616334"/>
    <n v="478.93061383665901"/>
    <s v="None"/>
    <n v="2212"/>
    <n v="-478.93061383666009"/>
  </r>
  <r>
    <s v="ORD179"/>
    <d v="2024-03-16T02:00:00"/>
    <s v="Bangalore"/>
    <s v="CHEESE_B_138"/>
    <x v="5"/>
    <s v="Burger"/>
    <n v="292"/>
    <n v="0"/>
    <n v="292"/>
    <n v="6"/>
    <n v="173.354535592426"/>
    <n v="1752"/>
    <n v="1040.1272135545601"/>
    <n v="711.87278644543903"/>
    <s v="None"/>
    <n v="1752"/>
    <n v="-711.87278644543994"/>
  </r>
  <r>
    <s v="ORD180"/>
    <d v="2024-12-05T19:00:00"/>
    <s v="Chennai"/>
    <s v="VEG_SAND_924"/>
    <x v="9"/>
    <s v="Sandwich"/>
    <n v="166"/>
    <n v="0.2"/>
    <n v="132.80000000000001"/>
    <n v="7"/>
    <n v="93.233106262083894"/>
    <n v="929.6"/>
    <n v="652.63174383458704"/>
    <n v="276.96825616541201"/>
    <s v="None"/>
    <n v="1162"/>
    <n v="-276.96825616541298"/>
  </r>
  <r>
    <s v="ORD181"/>
    <d v="2024-12-04T08:00:00"/>
    <s v="Hyderabad"/>
    <s v="COKE_594"/>
    <x v="8"/>
    <s v="Drinks"/>
    <n v="318"/>
    <n v="0.15"/>
    <n v="270.3"/>
    <n v="5"/>
    <n v="207.55072302249499"/>
    <n v="1351.5"/>
    <n v="1037.75361511247"/>
    <n v="313.74638488752402"/>
    <s v="None"/>
    <n v="1590"/>
    <n v="-313.74638488752998"/>
  </r>
  <r>
    <s v="ORD182"/>
    <d v="2024-10-02T16:00:00"/>
    <s v="Mumbai"/>
    <s v="CHICKEN__705"/>
    <x v="14"/>
    <s v="Burger"/>
    <n v="183"/>
    <n v="0.25"/>
    <n v="137.25"/>
    <n v="5"/>
    <n v="120.11028719218901"/>
    <n v="686.25"/>
    <n v="600.55143596094501"/>
    <n v="85.698564039054006"/>
    <s v="None"/>
    <n v="915"/>
    <n v="-85.698564039054986"/>
  </r>
  <r>
    <s v="ORD183"/>
    <d v="2025-08-17T01:00:00"/>
    <s v="Mumbai"/>
    <s v="VEG_BURG_749"/>
    <x v="0"/>
    <s v="Burger"/>
    <n v="288"/>
    <n v="0.1"/>
    <n v="259.2"/>
    <n v="2"/>
    <n v="204.071578219137"/>
    <n v="518.4"/>
    <n v="408.14315643827399"/>
    <n v="110.25684356172501"/>
    <s v="Coupon"/>
    <n v="576"/>
    <n v="-110.25684356172599"/>
  </r>
  <r>
    <s v="ORD184"/>
    <d v="2025-08-26T14:00:00"/>
    <s v="Chennai"/>
    <s v="SPRITE_226"/>
    <x v="3"/>
    <s v="Drinks"/>
    <n v="280"/>
    <n v="0"/>
    <n v="280"/>
    <n v="3"/>
    <n v="136.04452678828801"/>
    <n v="840"/>
    <n v="408.13358036486602"/>
    <n v="431.86641963513301"/>
    <s v="None"/>
    <n v="840"/>
    <n v="-431.86641963513398"/>
  </r>
  <r>
    <s v="ORD185"/>
    <d v="2025-11-24T14:00:00"/>
    <s v="Bangalore"/>
    <s v="CHICKEN__429"/>
    <x v="7"/>
    <s v="Pizza"/>
    <n v="216"/>
    <n v="0.1"/>
    <n v="194.4"/>
    <n v="6"/>
    <n v="152.28301265606501"/>
    <n v="1166.4000000000001"/>
    <n v="913.69807593639496"/>
    <n v="252.701924063604"/>
    <s v="None"/>
    <n v="1296"/>
    <n v="-252.70192406360513"/>
  </r>
  <r>
    <s v="ORD186"/>
    <d v="2025-08-09T11:00:00"/>
    <s v="Pune"/>
    <s v="CHEESE_B_659"/>
    <x v="5"/>
    <s v="Burger"/>
    <n v="220"/>
    <n v="0.25"/>
    <n v="165"/>
    <n v="2"/>
    <n v="89.704893611392393"/>
    <n v="330"/>
    <n v="179.40978722278399"/>
    <n v="150.59021277721499"/>
    <s v="Coupon"/>
    <n v="440"/>
    <n v="-150.59021277721601"/>
  </r>
  <r>
    <s v="ORD187"/>
    <d v="2025-01-18T16:00:00"/>
    <s v="Bangalore"/>
    <s v="VEG_BURG_106"/>
    <x v="0"/>
    <s v="Burger"/>
    <n v="96"/>
    <n v="0"/>
    <n v="96"/>
    <n v="5"/>
    <n v="64.097312674631695"/>
    <n v="480"/>
    <n v="320.48656337315799"/>
    <n v="159.51343662684101"/>
    <s v="BOGO"/>
    <n v="480"/>
    <n v="-159.51343662684201"/>
  </r>
  <r>
    <s v="ORD188"/>
    <d v="2025-11-13T03:00:00"/>
    <s v="Bangalore"/>
    <s v="CHEESE_B_864"/>
    <x v="5"/>
    <s v="Burger"/>
    <n v="272"/>
    <n v="0"/>
    <n v="272"/>
    <n v="1"/>
    <n v="190.415807504752"/>
    <n v="272"/>
    <n v="190.415807504752"/>
    <n v="81.584192495247905"/>
    <s v="None"/>
    <n v="272"/>
    <n v="-81.584192495248004"/>
  </r>
  <r>
    <s v="ORD189"/>
    <d v="2025-05-08T03:00:00"/>
    <s v="Delhi"/>
    <s v="GULAB_JA_192"/>
    <x v="11"/>
    <s v="Dessert"/>
    <n v="223"/>
    <n v="0"/>
    <n v="223"/>
    <n v="4"/>
    <n v="143.62234645715299"/>
    <n v="892"/>
    <n v="574.48938582861399"/>
    <n v="317.51061417138499"/>
    <s v="Percent-Off"/>
    <n v="892"/>
    <n v="-317.51061417138601"/>
  </r>
  <r>
    <s v="ORD190"/>
    <d v="2025-07-02T16:00:00"/>
    <s v="Bangalore"/>
    <s v="COLD_COF_528"/>
    <x v="15"/>
    <s v="Drinks"/>
    <n v="197"/>
    <n v="0.2"/>
    <n v="157.6"/>
    <n v="6"/>
    <n v="114.003235793473"/>
    <n v="945.6"/>
    <n v="684.01941476084301"/>
    <n v="261.58058523915599"/>
    <s v="None"/>
    <n v="1182"/>
    <n v="-261.58058523915702"/>
  </r>
  <r>
    <s v="ORD191"/>
    <d v="2024-03-26T09:00:00"/>
    <s v="Mumbai"/>
    <s v="ICE_CREA_835"/>
    <x v="6"/>
    <s v="Dessert"/>
    <n v="109"/>
    <n v="0.15"/>
    <n v="92.649999999999906"/>
    <n v="2"/>
    <n v="78.002679189038602"/>
    <n v="185.29999999999899"/>
    <n v="156.00535837807701"/>
    <n v="29.2946416219227"/>
    <s v="None"/>
    <n v="218"/>
    <n v="-29.294641621921983"/>
  </r>
  <r>
    <s v="ORD192"/>
    <d v="2024-08-13T23:00:00"/>
    <s v="Delhi"/>
    <s v="GRILLED__148"/>
    <x v="1"/>
    <s v="Sandwich"/>
    <n v="264"/>
    <n v="0.15"/>
    <n v="224.4"/>
    <n v="7"/>
    <n v="111.750580859274"/>
    <n v="1570.8"/>
    <n v="782.25406601491898"/>
    <n v="788.54593398507996"/>
    <s v="None"/>
    <n v="1848"/>
    <n v="-788.54593398508098"/>
  </r>
  <r>
    <s v="ORD193"/>
    <d v="2025-08-30T21:00:00"/>
    <s v="Bangalore"/>
    <s v="MARGHERI_845"/>
    <x v="16"/>
    <s v="Pizza"/>
    <n v="124"/>
    <n v="0"/>
    <n v="124"/>
    <n v="4"/>
    <n v="92.877714159388006"/>
    <n v="496"/>
    <n v="371.51085663755202"/>
    <n v="124.489143362447"/>
    <s v="None"/>
    <n v="496"/>
    <n v="-124.48914336244798"/>
  </r>
  <r>
    <s v="ORD194"/>
    <d v="2024-10-25T06:00:00"/>
    <s v="Hyderabad"/>
    <s v="COLD_COF_606"/>
    <x v="15"/>
    <s v="Drinks"/>
    <n v="261"/>
    <n v="0.15"/>
    <n v="221.85"/>
    <n v="3"/>
    <n v="168.95103996776399"/>
    <n v="665.55"/>
    <n v="506.85311990329399"/>
    <n v="158.696880096705"/>
    <s v="None"/>
    <n v="783"/>
    <n v="-158.69688009670597"/>
  </r>
  <r>
    <s v="ORD195"/>
    <d v="2025-03-03T00:00:00"/>
    <s v="Mumbai"/>
    <s v="PEPPY_PA_416"/>
    <x v="10"/>
    <s v="Pizza"/>
    <n v="335"/>
    <n v="0.1"/>
    <n v="301.5"/>
    <n v="4"/>
    <n v="208.100672776453"/>
    <n v="1206"/>
    <n v="832.40269110581198"/>
    <n v="373.59730889418699"/>
    <s v="None"/>
    <n v="1340"/>
    <n v="-373.59730889418802"/>
  </r>
  <r>
    <s v="ORD196"/>
    <d v="2024-11-04T08:00:00"/>
    <s v="Mumbai"/>
    <s v="COKE_599"/>
    <x v="8"/>
    <s v="Drinks"/>
    <n v="329"/>
    <n v="0.1"/>
    <n v="296.10000000000002"/>
    <n v="5"/>
    <n v="171.925874424097"/>
    <n v="1480.5"/>
    <n v="859.62937212048803"/>
    <n v="620.87062787951197"/>
    <s v="None"/>
    <n v="1645"/>
    <n v="-620.87062787951197"/>
  </r>
  <r>
    <s v="ORD197"/>
    <d v="2025-02-15T10:00:00"/>
    <s v="Delhi"/>
    <s v="GULAB_JA_994"/>
    <x v="11"/>
    <s v="Dessert"/>
    <n v="271"/>
    <n v="0.15"/>
    <n v="230.35"/>
    <n v="3"/>
    <n v="124.51321342391201"/>
    <n v="691.05"/>
    <n v="373.539640271736"/>
    <n v="317.51035972826298"/>
    <s v="Percent-Off"/>
    <n v="813"/>
    <n v="-317.51035972826395"/>
  </r>
  <r>
    <s v="ORD198"/>
    <d v="2025-09-23T07:00:00"/>
    <s v="Chennai"/>
    <s v="CHICKEN__673"/>
    <x v="14"/>
    <s v="Burger"/>
    <n v="143"/>
    <n v="0.2"/>
    <n v="114.4"/>
    <n v="2"/>
    <n v="86.169278063322594"/>
    <n v="228.8"/>
    <n v="172.33855612664499"/>
    <n v="56.461443873354703"/>
    <s v="None"/>
    <n v="286"/>
    <n v="-56.461443873355023"/>
  </r>
  <r>
    <s v="ORD199"/>
    <d v="2024-02-18T02:00:00"/>
    <s v="Hyderabad"/>
    <s v="GRILLED__749"/>
    <x v="1"/>
    <s v="Sandwich"/>
    <n v="119"/>
    <n v="0.1"/>
    <n v="107.1"/>
    <n v="2"/>
    <n v="65.295037605455803"/>
    <n v="214.2"/>
    <n v="130.59007521091101"/>
    <n v="83.609924789088296"/>
    <s v="Coupon"/>
    <n v="238"/>
    <n v="-83.609924789088979"/>
  </r>
  <r>
    <s v="ORD200"/>
    <d v="2024-07-06T11:00:00"/>
    <s v="Mumbai"/>
    <s v="VEG_BURG_417"/>
    <x v="0"/>
    <s v="Burger"/>
    <n v="81"/>
    <n v="0"/>
    <n v="81"/>
    <n v="3"/>
    <n v="55.698907335694898"/>
    <n v="243"/>
    <n v="167.096722007084"/>
    <n v="75.903277992915207"/>
    <s v="BOGO"/>
    <n v="243"/>
    <n v="-75.903277992916003"/>
  </r>
  <r>
    <s v="ORD201"/>
    <d v="2024-09-19T07:00:00"/>
    <s v="Delhi"/>
    <s v="VEG_SAND_784"/>
    <x v="9"/>
    <s v="Sandwich"/>
    <n v="318"/>
    <n v="0.15"/>
    <n v="270.3"/>
    <n v="3"/>
    <n v="198.028457534664"/>
    <n v="810.9"/>
    <n v="594.08537260399305"/>
    <n v="216.81462739600599"/>
    <s v="Percent-Off"/>
    <n v="954"/>
    <n v="-216.81462739600693"/>
  </r>
  <r>
    <s v="ORD202"/>
    <d v="2025-05-22T15:00:00"/>
    <s v="Mumbai"/>
    <s v="ICE_CREA_536"/>
    <x v="6"/>
    <s v="Dessert"/>
    <n v="189"/>
    <n v="0"/>
    <n v="189"/>
    <n v="4"/>
    <n v="130.09221323211099"/>
    <n v="756"/>
    <n v="520.36885292844704"/>
    <n v="235.63114707155199"/>
    <s v="Percent-Off"/>
    <n v="756"/>
    <n v="-235.63114707155296"/>
  </r>
  <r>
    <s v="ORD203"/>
    <d v="2025-06-20T10:00:00"/>
    <s v="Chennai"/>
    <s v="ONION_RI_169"/>
    <x v="17"/>
    <s v="Snacks"/>
    <n v="283"/>
    <n v="0"/>
    <n v="283"/>
    <n v="1"/>
    <n v="159.15822252155101"/>
    <n v="283"/>
    <n v="159.15822252155101"/>
    <n v="123.84177747844799"/>
    <s v="None"/>
    <n v="283"/>
    <n v="-123.84177747844899"/>
  </r>
  <r>
    <s v="ORD204"/>
    <d v="2024-08-18T19:00:00"/>
    <s v="Chennai"/>
    <s v="COLD_COF_316"/>
    <x v="15"/>
    <s v="Drinks"/>
    <n v="84"/>
    <n v="0.15"/>
    <n v="71.399999999999906"/>
    <n v="6"/>
    <n v="53.205313304386301"/>
    <n v="428.4"/>
    <n v="319.23187982631799"/>
    <n v="109.168120173681"/>
    <s v="Percent-Off"/>
    <n v="504"/>
    <n v="-109.16812017368198"/>
  </r>
  <r>
    <s v="ORD205"/>
    <d v="2025-02-05T13:00:00"/>
    <s v="Bangalore"/>
    <s v="CHICKEN__281"/>
    <x v="7"/>
    <s v="Pizza"/>
    <n v="183"/>
    <n v="0.15"/>
    <n v="155.54999999999899"/>
    <n v="2"/>
    <n v="127.314009823722"/>
    <n v="311.099999999999"/>
    <n v="254.62801964744401"/>
    <n v="56.471980352555001"/>
    <s v="BOGO"/>
    <n v="366"/>
    <n v="-56.471980352554993"/>
  </r>
  <r>
    <s v="ORD206"/>
    <d v="2025-10-11T10:00:00"/>
    <s v="Pune"/>
    <s v="GRILLED__557"/>
    <x v="1"/>
    <s v="Sandwich"/>
    <n v="219"/>
    <n v="0.05"/>
    <n v="208.04999999999899"/>
    <n v="7"/>
    <n v="149.023323577127"/>
    <n v="1456.35"/>
    <n v="1043.1632650398899"/>
    <n v="413.186734960107"/>
    <s v="None"/>
    <n v="1533"/>
    <n v="-413.18673496011002"/>
  </r>
  <r>
    <s v="ORD207"/>
    <d v="2024-04-16T13:00:00"/>
    <s v="Hyderabad"/>
    <s v="COLD_COF_558"/>
    <x v="15"/>
    <s v="Drinks"/>
    <n v="222"/>
    <n v="0.05"/>
    <n v="210.89999999999901"/>
    <n v="5"/>
    <n v="98.907268045709202"/>
    <n v="1054.5"/>
    <n v="494.53634022854601"/>
    <n v="559.96365977145399"/>
    <s v="None"/>
    <n v="1110"/>
    <n v="-559.96365977145399"/>
  </r>
  <r>
    <s v="ORD208"/>
    <d v="2024-08-21T00:00:00"/>
    <s v="Delhi"/>
    <s v="SPRITE_455"/>
    <x v="3"/>
    <s v="Drinks"/>
    <n v="165"/>
    <n v="0"/>
    <n v="165"/>
    <n v="6"/>
    <n v="118.933840669849"/>
    <n v="990"/>
    <n v="713.60304401909502"/>
    <n v="276.39695598090401"/>
    <s v="None"/>
    <n v="990"/>
    <n v="-276.39695598090498"/>
  </r>
  <r>
    <s v="ORD209"/>
    <d v="2025-11-17T18:00:00"/>
    <s v="Delhi"/>
    <s v="COLD_COF_167"/>
    <x v="15"/>
    <s v="Drinks"/>
    <n v="287"/>
    <n v="0.1"/>
    <n v="258.3"/>
    <n v="5"/>
    <n v="173.75777208384201"/>
    <n v="1291.5"/>
    <n v="868.78886041921101"/>
    <n v="422.71113958078899"/>
    <s v="Bundle"/>
    <n v="1435"/>
    <n v="-422.71113958078899"/>
  </r>
  <r>
    <s v="ORD210"/>
    <d v="2024-04-01T16:00:00"/>
    <s v="Bangalore"/>
    <s v="COLD_COF_954"/>
    <x v="15"/>
    <s v="Drinks"/>
    <n v="153"/>
    <n v="0"/>
    <n v="153"/>
    <n v="1"/>
    <n v="73.456281015991294"/>
    <n v="153"/>
    <n v="73.456281015991294"/>
    <n v="79.543718984008606"/>
    <s v="Percent-Off"/>
    <n v="153"/>
    <n v="-79.543718984008706"/>
  </r>
  <r>
    <s v="ORD211"/>
    <d v="2025-08-13T12:00:00"/>
    <s v="Pune"/>
    <s v="CHICKEN__879"/>
    <x v="7"/>
    <s v="Pizza"/>
    <n v="107"/>
    <n v="0.1"/>
    <n v="96.3"/>
    <n v="3"/>
    <n v="60.374731763350802"/>
    <n v="288.89999999999998"/>
    <n v="181.124195290052"/>
    <n v="107.775804709947"/>
    <s v="None"/>
    <n v="321"/>
    <n v="-107.77580470994798"/>
  </r>
  <r>
    <s v="ORD212"/>
    <d v="2024-05-03T09:00:00"/>
    <s v="Bangalore"/>
    <s v="VEG_SAND_288"/>
    <x v="9"/>
    <s v="Sandwich"/>
    <n v="249"/>
    <n v="0.15"/>
    <n v="211.65"/>
    <n v="1"/>
    <n v="143.52392799741901"/>
    <n v="211.65"/>
    <n v="143.52392799741901"/>
    <n v="68.126072002580102"/>
    <s v="Coupon"/>
    <n v="249"/>
    <n v="-68.126072002580997"/>
  </r>
  <r>
    <s v="ORD213"/>
    <d v="2025-08-14T23:00:00"/>
    <s v="Pune"/>
    <s v="VEG_BURG_442"/>
    <x v="0"/>
    <s v="Burger"/>
    <n v="289"/>
    <n v="0"/>
    <n v="289"/>
    <n v="3"/>
    <n v="132.52816381074999"/>
    <n v="867"/>
    <n v="397.58449143225101"/>
    <n v="469.41550856774802"/>
    <s v="Coupon"/>
    <n v="867"/>
    <n v="-469.41550856774899"/>
  </r>
  <r>
    <s v="ORD214"/>
    <d v="2025-05-13T17:00:00"/>
    <s v="Hyderabad"/>
    <s v="COKE_292"/>
    <x v="8"/>
    <s v="Drinks"/>
    <n v="261"/>
    <n v="0.05"/>
    <n v="247.95"/>
    <n v="3"/>
    <n v="172.71101385051799"/>
    <n v="743.849999999999"/>
    <n v="518.13304155155595"/>
    <n v="225.71695844844299"/>
    <s v="None"/>
    <n v="783"/>
    <n v="-225.71695844844305"/>
  </r>
  <r>
    <s v="ORD215"/>
    <d v="2024-04-29T13:00:00"/>
    <s v="Mumbai"/>
    <s v="CLUB_SAN_503"/>
    <x v="13"/>
    <s v="Sandwich"/>
    <n v="321"/>
    <n v="0.15"/>
    <n v="272.849999999999"/>
    <n v="5"/>
    <n v="234.99143279507001"/>
    <n v="1364.24999999999"/>
    <n v="1174.9571639753501"/>
    <n v="189.29283602464901"/>
    <s v="Coupon"/>
    <n v="1605"/>
    <n v="-189.29283602463988"/>
  </r>
  <r>
    <s v="ORD216"/>
    <d v="2025-12-23T12:00:00"/>
    <s v="Hyderabad"/>
    <s v="CHICKEN__321"/>
    <x v="14"/>
    <s v="Burger"/>
    <n v="138"/>
    <n v="0.15"/>
    <n v="117.3"/>
    <n v="4"/>
    <n v="77.1703389873785"/>
    <n v="469.2"/>
    <n v="308.681355949514"/>
    <n v="160.51864405048499"/>
    <s v="Percent-Off"/>
    <n v="552"/>
    <n v="-160.51864405048599"/>
  </r>
  <r>
    <s v="ORD217"/>
    <d v="2025-08-06T00:00:00"/>
    <s v="Chennai"/>
    <s v="PEPPY_PA_933"/>
    <x v="10"/>
    <s v="Pizza"/>
    <n v="173"/>
    <n v="0.25"/>
    <n v="129.75"/>
    <n v="2"/>
    <n v="103.87136795100599"/>
    <n v="259.5"/>
    <n v="207.74273590201199"/>
    <n v="51.757264097986997"/>
    <s v="Percent-Off"/>
    <n v="346"/>
    <n v="-51.757264097988013"/>
  </r>
  <r>
    <s v="ORD218"/>
    <d v="2024-08-25T11:00:00"/>
    <s v="Chennai"/>
    <s v="CHICKEN__820"/>
    <x v="7"/>
    <s v="Pizza"/>
    <n v="229"/>
    <n v="0.15"/>
    <n v="194.65"/>
    <n v="5"/>
    <n v="125.53031180387801"/>
    <n v="973.25"/>
    <n v="627.65155901939397"/>
    <n v="345.59844098060597"/>
    <s v="Coupon"/>
    <n v="1145"/>
    <n v="-345.59844098060603"/>
  </r>
  <r>
    <s v="ORD219"/>
    <d v="2024-06-15T03:00:00"/>
    <s v="Pune"/>
    <s v="ONION_RI_338"/>
    <x v="17"/>
    <s v="Snacks"/>
    <n v="223"/>
    <n v="0.15"/>
    <n v="189.54999999999899"/>
    <n v="3"/>
    <n v="105.686644446462"/>
    <n v="568.65"/>
    <n v="317.05993333938602"/>
    <n v="251.59006666061299"/>
    <s v="Coupon"/>
    <n v="669"/>
    <n v="-251.59006666061396"/>
  </r>
  <r>
    <s v="ORD220"/>
    <d v="2025-07-14T06:00:00"/>
    <s v="Hyderabad"/>
    <s v="GULAB_JA_904"/>
    <x v="11"/>
    <s v="Dessert"/>
    <n v="167"/>
    <n v="0.25"/>
    <n v="125.25"/>
    <n v="1"/>
    <n v="125.088555249365"/>
    <n v="125.25"/>
    <n v="125.088555249365"/>
    <n v="0.16144475063441599"/>
    <s v="Percent-Off"/>
    <n v="167"/>
    <n v="-0.16144475063499897"/>
  </r>
  <r>
    <s v="ORD221"/>
    <d v="2024-02-20T18:00:00"/>
    <s v="Hyderabad"/>
    <s v="CHEESE_B_479"/>
    <x v="5"/>
    <s v="Burger"/>
    <n v="343"/>
    <n v="0"/>
    <n v="343"/>
    <n v="5"/>
    <n v="144.69040793522299"/>
    <n v="1715"/>
    <n v="723.45203967611599"/>
    <n v="991.54796032388401"/>
    <s v="None"/>
    <n v="1715"/>
    <n v="-991.54796032388401"/>
  </r>
  <r>
    <s v="ORD222"/>
    <d v="2024-07-16T07:00:00"/>
    <s v="Bangalore"/>
    <s v="CHEESE_B_197"/>
    <x v="5"/>
    <s v="Burger"/>
    <n v="143"/>
    <n v="0.25"/>
    <n v="107.25"/>
    <n v="5"/>
    <n v="61.459429480295199"/>
    <n v="536.25"/>
    <n v="307.29714740147602"/>
    <n v="228.95285259852301"/>
    <s v="None"/>
    <n v="715"/>
    <n v="-228.95285259852398"/>
  </r>
  <r>
    <s v="ORD223"/>
    <d v="2025-04-15T16:00:00"/>
    <s v="Pune"/>
    <s v="CHICKEN__183"/>
    <x v="7"/>
    <s v="Pizza"/>
    <n v="129"/>
    <n v="0.05"/>
    <n v="122.55"/>
    <n v="2"/>
    <n v="54.978177414553002"/>
    <n v="245.1"/>
    <n v="109.956354829106"/>
    <n v="135.143645170893"/>
    <s v="Bundle"/>
    <n v="258"/>
    <n v="-135.14364517089399"/>
  </r>
  <r>
    <s v="ORD224"/>
    <d v="2024-07-08T19:00:00"/>
    <s v="Hyderabad"/>
    <s v="COLD_COF_749"/>
    <x v="15"/>
    <s v="Drinks"/>
    <n v="189"/>
    <n v="0.15"/>
    <n v="160.65"/>
    <n v="5"/>
    <n v="90.980271384548004"/>
    <n v="803.25"/>
    <n v="454.90135692273998"/>
    <n v="348.348643077259"/>
    <s v="None"/>
    <n v="945"/>
    <n v="-348.34864307726002"/>
  </r>
  <r>
    <s v="ORD225"/>
    <d v="2025-01-16T02:00:00"/>
    <s v="Hyderabad"/>
    <s v="CHEESE_B_322"/>
    <x v="5"/>
    <s v="Burger"/>
    <n v="92"/>
    <n v="0"/>
    <n v="92"/>
    <n v="5"/>
    <n v="42.277716437358798"/>
    <n v="460"/>
    <n v="211.388582186794"/>
    <n v="248.61141781320501"/>
    <s v="BOGO"/>
    <n v="460"/>
    <n v="-248.611417813206"/>
  </r>
  <r>
    <s v="ORD226"/>
    <d v="2024-12-01T10:00:00"/>
    <s v="Chennai"/>
    <s v="GRILLED__552"/>
    <x v="1"/>
    <s v="Sandwich"/>
    <n v="209"/>
    <n v="0.2"/>
    <n v="167.2"/>
    <n v="3"/>
    <n v="124.813321861993"/>
    <n v="501.6"/>
    <n v="374.43996558598099"/>
    <n v="127.160034414018"/>
    <s v="None"/>
    <n v="627"/>
    <n v="-127.16003441401904"/>
  </r>
  <r>
    <s v="ORD227"/>
    <d v="2025-06-15T13:00:00"/>
    <s v="Mumbai"/>
    <s v="PEPPY_PA_924"/>
    <x v="10"/>
    <s v="Pizza"/>
    <n v="191"/>
    <n v="0"/>
    <n v="191"/>
    <n v="7"/>
    <n v="81.8999048779216"/>
    <n v="1337"/>
    <n v="573.29933414545098"/>
    <n v="763.70066585454799"/>
    <s v="BOGO"/>
    <n v="1337"/>
    <n v="-763.70066585454902"/>
  </r>
  <r>
    <s v="ORD228"/>
    <d v="2025-12-27T05:00:00"/>
    <s v="Bangalore"/>
    <s v="ICE_CREA_498"/>
    <x v="6"/>
    <s v="Dessert"/>
    <n v="344"/>
    <n v="0"/>
    <n v="344"/>
    <n v="1"/>
    <n v="206.74422404086101"/>
    <n v="344"/>
    <n v="206.74422404086101"/>
    <n v="137.25577595913799"/>
    <s v="None"/>
    <n v="344"/>
    <n v="-137.25577595913899"/>
  </r>
  <r>
    <s v="ORD229"/>
    <d v="2024-10-14T05:00:00"/>
    <s v="Mumbai"/>
    <s v="CHICKEN__830"/>
    <x v="14"/>
    <s v="Burger"/>
    <n v="92"/>
    <n v="0"/>
    <n v="92"/>
    <n v="1"/>
    <n v="67.081498475084004"/>
    <n v="92"/>
    <n v="67.081498475084004"/>
    <n v="24.9185015249159"/>
    <s v="Coupon"/>
    <n v="92"/>
    <n v="-24.918501524915996"/>
  </r>
  <r>
    <s v="ORD230"/>
    <d v="2025-08-21T21:00:00"/>
    <s v="Mumbai"/>
    <s v="COLD_COF_538"/>
    <x v="15"/>
    <s v="Drinks"/>
    <n v="117"/>
    <n v="0.2"/>
    <n v="93.6"/>
    <n v="7"/>
    <n v="51.591630132932899"/>
    <n v="655.20000000000005"/>
    <n v="361.14141093053001"/>
    <n v="294.05858906946901"/>
    <s v="Coupon"/>
    <n v="819"/>
    <n v="-294.05858906947003"/>
  </r>
  <r>
    <s v="ORD231"/>
    <d v="2025-08-29T21:00:00"/>
    <s v="Mumbai"/>
    <s v="SPRITE_369"/>
    <x v="3"/>
    <s v="Drinks"/>
    <n v="308"/>
    <n v="0.1"/>
    <n v="277.2"/>
    <n v="5"/>
    <n v="185.65009950615601"/>
    <n v="1386"/>
    <n v="928.25049753078395"/>
    <n v="457.74950246921497"/>
    <s v="Coupon"/>
    <n v="1540"/>
    <n v="-457.74950246921605"/>
  </r>
  <r>
    <s v="ORD232"/>
    <d v="2024-05-23T04:00:00"/>
    <s v="Chennai"/>
    <s v="ONION_RI_219"/>
    <x v="17"/>
    <s v="Snacks"/>
    <n v="151"/>
    <n v="0.05"/>
    <n v="143.44999999999999"/>
    <n v="3"/>
    <n v="67.863664267270906"/>
    <n v="430.349999999999"/>
    <n v="203.59099280181201"/>
    <n v="226.75900719818699"/>
    <s v="None"/>
    <n v="453"/>
    <n v="-226.75900719818699"/>
  </r>
  <r>
    <s v="ORD233"/>
    <d v="2024-12-30T18:00:00"/>
    <s v="Chennai"/>
    <s v="COLD_COF_811"/>
    <x v="15"/>
    <s v="Drinks"/>
    <n v="316"/>
    <n v="0.1"/>
    <n v="284.39999999999998"/>
    <n v="6"/>
    <n v="193.185918668954"/>
    <n v="1706.4"/>
    <n v="1159.11551201372"/>
    <n v="547.28448798627096"/>
    <s v="Coupon"/>
    <n v="1896"/>
    <n v="-547.28448798628006"/>
  </r>
  <r>
    <s v="ORD234"/>
    <d v="2025-03-20T21:00:00"/>
    <s v="Bangalore"/>
    <s v="SPRITE_175"/>
    <x v="3"/>
    <s v="Drinks"/>
    <n v="285"/>
    <n v="0.05"/>
    <n v="270.75"/>
    <n v="2"/>
    <n v="150.647225187532"/>
    <n v="541.5"/>
    <n v="301.29445037506503"/>
    <n v="240.20554962493401"/>
    <s v="Coupon"/>
    <n v="570"/>
    <n v="-240.20554962493497"/>
  </r>
  <r>
    <s v="ORD235"/>
    <d v="2024-09-02T15:00:00"/>
    <s v="Hyderabad"/>
    <s v="ICE_CREA_586"/>
    <x v="6"/>
    <s v="Dessert"/>
    <n v="206"/>
    <n v="0"/>
    <n v="206"/>
    <n v="6"/>
    <n v="119.897339806113"/>
    <n v="1236"/>
    <n v="719.38403883668298"/>
    <n v="516.615961163316"/>
    <s v="Coupon"/>
    <n v="1236"/>
    <n v="-516.61596116331702"/>
  </r>
  <r>
    <s v="ORD236"/>
    <d v="2025-11-23T01:00:00"/>
    <s v="Hyderabad"/>
    <s v="FRIES_816"/>
    <x v="2"/>
    <s v="Snacks"/>
    <n v="124"/>
    <n v="0.25"/>
    <n v="93"/>
    <n v="2"/>
    <n v="51.922527690426001"/>
    <n v="186"/>
    <n v="103.845055380852"/>
    <n v="82.154944619147798"/>
    <s v="None"/>
    <n v="248"/>
    <n v="-82.154944619147997"/>
  </r>
  <r>
    <s v="ORD237"/>
    <d v="2025-10-13T12:00:00"/>
    <s v="Chennai"/>
    <s v="FRIES_427"/>
    <x v="2"/>
    <s v="Snacks"/>
    <n v="137"/>
    <n v="0"/>
    <n v="137"/>
    <n v="3"/>
    <n v="56.720834758480798"/>
    <n v="411"/>
    <n v="170.16250427544199"/>
    <n v="240.83749572455699"/>
    <s v="None"/>
    <n v="411"/>
    <n v="-240.83749572455801"/>
  </r>
  <r>
    <s v="ORD238"/>
    <d v="2024-10-19T14:00:00"/>
    <s v="Mumbai"/>
    <s v="CHEESE_B_610"/>
    <x v="5"/>
    <s v="Burger"/>
    <n v="235"/>
    <n v="0.2"/>
    <n v="188"/>
    <n v="7"/>
    <n v="134.07757537472901"/>
    <n v="1316"/>
    <n v="938.54302762310397"/>
    <n v="377.45697237689501"/>
    <s v="Coupon"/>
    <n v="1645"/>
    <n v="-377.45697237689603"/>
  </r>
  <r>
    <s v="ORD239"/>
    <d v="2025-01-16T07:00:00"/>
    <s v="Pune"/>
    <s v="CHEESE_B_270"/>
    <x v="5"/>
    <s v="Burger"/>
    <n v="175"/>
    <n v="0.05"/>
    <n v="166.25"/>
    <n v="6"/>
    <n v="120.687624451785"/>
    <n v="997.5"/>
    <n v="724.12574671071195"/>
    <n v="273.37425328928703"/>
    <s v="None"/>
    <n v="1050"/>
    <n v="-273.37425328928805"/>
  </r>
  <r>
    <s v="ORD240"/>
    <d v="2024-08-21T08:00:00"/>
    <s v="Pune"/>
    <s v="GULAB_JA_570"/>
    <x v="11"/>
    <s v="Dessert"/>
    <n v="195"/>
    <n v="0.15"/>
    <n v="165.75"/>
    <n v="4"/>
    <n v="112.79753615181799"/>
    <n v="663"/>
    <n v="451.19014460727402"/>
    <n v="211.80985539272501"/>
    <s v="Coupon"/>
    <n v="780"/>
    <n v="-211.80985539272598"/>
  </r>
  <r>
    <s v="ORD241"/>
    <d v="2024-11-29T04:00:00"/>
    <s v="Bangalore"/>
    <s v="CHEESE_B_197"/>
    <x v="5"/>
    <s v="Burger"/>
    <n v="216"/>
    <n v="0.2"/>
    <n v="172.8"/>
    <n v="1"/>
    <n v="146.57815962350199"/>
    <n v="172.8"/>
    <n v="146.57815962350199"/>
    <n v="26.221840376497301"/>
    <s v="None"/>
    <n v="216"/>
    <n v="-26.221840376498022"/>
  </r>
  <r>
    <s v="ORD242"/>
    <d v="2025-01-10T07:00:00"/>
    <s v="Mumbai"/>
    <s v="CHEESE_B_801"/>
    <x v="5"/>
    <s v="Burger"/>
    <n v="151"/>
    <n v="0"/>
    <n v="151"/>
    <n v="4"/>
    <n v="80.469867986285905"/>
    <n v="604"/>
    <n v="321.879471945143"/>
    <n v="282.12052805485598"/>
    <s v="None"/>
    <n v="604"/>
    <n v="-282.120528054857"/>
  </r>
  <r>
    <s v="ORD243"/>
    <d v="2025-06-23T10:00:00"/>
    <s v="Chennai"/>
    <s v="CHICKEN__713"/>
    <x v="14"/>
    <s v="Burger"/>
    <n v="300"/>
    <n v="0.25"/>
    <n v="225"/>
    <n v="7"/>
    <n v="217.37229396156101"/>
    <n v="1575"/>
    <n v="1521.6060577309199"/>
    <n v="53.393942269071403"/>
    <s v="None"/>
    <n v="2100"/>
    <n v="-53.393942269080071"/>
  </r>
  <r>
    <s v="ORD244"/>
    <d v="2024-07-12T10:00:00"/>
    <s v="Delhi"/>
    <s v="SPRITE_248"/>
    <x v="3"/>
    <s v="Drinks"/>
    <n v="279"/>
    <n v="0.2"/>
    <n v="223.2"/>
    <n v="3"/>
    <n v="152.47456018214899"/>
    <n v="669.6"/>
    <n v="457.42368054644902"/>
    <n v="212.17631945355001"/>
    <s v="Bundle"/>
    <n v="837"/>
    <n v="-212.176319453551"/>
  </r>
  <r>
    <s v="ORD245"/>
    <d v="2025-04-16T08:00:00"/>
    <s v="Chennai"/>
    <s v="CHICKEN__127"/>
    <x v="7"/>
    <s v="Pizza"/>
    <n v="235"/>
    <n v="0.1"/>
    <n v="211.5"/>
    <n v="6"/>
    <n v="149.80662239206899"/>
    <n v="1269"/>
    <n v="898.83973435241603"/>
    <n v="370.160265647583"/>
    <s v="Percent-Off"/>
    <n v="1410"/>
    <n v="-370.16026564758397"/>
  </r>
  <r>
    <s v="ORD246"/>
    <d v="2024-11-15T23:00:00"/>
    <s v="Hyderabad"/>
    <s v="CHEESE_B_157"/>
    <x v="5"/>
    <s v="Burger"/>
    <n v="323"/>
    <n v="0.15"/>
    <n v="274.55"/>
    <n v="2"/>
    <n v="232.406850089778"/>
    <n v="549.1"/>
    <n v="464.81370017955697"/>
    <n v="84.286299820442594"/>
    <s v="None"/>
    <n v="646"/>
    <n v="-84.286299820443048"/>
  </r>
  <r>
    <s v="ORD247"/>
    <d v="2024-12-08T00:00:00"/>
    <s v="Hyderabad"/>
    <s v="CHEESE_B_454"/>
    <x v="5"/>
    <s v="Burger"/>
    <n v="307"/>
    <n v="0.15"/>
    <n v="260.95"/>
    <n v="6"/>
    <n v="208.16696387835901"/>
    <n v="1565.69999999999"/>
    <n v="1249.0017832701501"/>
    <n v="316.69821672984398"/>
    <s v="None"/>
    <n v="1842"/>
    <n v="-316.69821672983994"/>
  </r>
  <r>
    <s v="ORD248"/>
    <d v="2025-03-22T12:00:00"/>
    <s v="Mumbai"/>
    <s v="CHICKEN__591"/>
    <x v="7"/>
    <s v="Pizza"/>
    <n v="289"/>
    <n v="0"/>
    <n v="289"/>
    <n v="1"/>
    <n v="210.22425854330601"/>
    <n v="289"/>
    <n v="210.22425854330601"/>
    <n v="78.775741456693794"/>
    <s v="None"/>
    <n v="289"/>
    <n v="-78.775741456693993"/>
  </r>
  <r>
    <s v="ORD249"/>
    <d v="2025-12-28T05:00:00"/>
    <s v="Mumbai"/>
    <s v="CHICKEN__609"/>
    <x v="7"/>
    <s v="Pizza"/>
    <n v="221"/>
    <n v="0.1"/>
    <n v="198.9"/>
    <n v="7"/>
    <n v="127.192414233085"/>
    <n v="1392.3"/>
    <n v="890.34689963159701"/>
    <n v="501.95310036840198"/>
    <s v="None"/>
    <n v="1547"/>
    <n v="-501.95310036840294"/>
  </r>
  <r>
    <s v="ORD250"/>
    <d v="2024-05-23T12:00:00"/>
    <s v="Bangalore"/>
    <s v="SPRITE_563"/>
    <x v="3"/>
    <s v="Drinks"/>
    <n v="89"/>
    <n v="0"/>
    <n v="89"/>
    <n v="5"/>
    <n v="39.175924283877301"/>
    <n v="445"/>
    <n v="195.87962141938601"/>
    <n v="249.12037858061299"/>
    <s v="BOGO"/>
    <n v="445"/>
    <n v="-249.12037858061399"/>
  </r>
  <r>
    <s v="ORD251"/>
    <d v="2025-03-24T05:00:00"/>
    <s v="Mumbai"/>
    <s v="COKE_951"/>
    <x v="8"/>
    <s v="Drinks"/>
    <n v="260"/>
    <n v="0"/>
    <n v="260"/>
    <n v="7"/>
    <n v="140.61896959623701"/>
    <n v="1820"/>
    <n v="984.33278717366102"/>
    <n v="835.66721282633796"/>
    <s v="BOGO"/>
    <n v="1820"/>
    <n v="-835.66721282633898"/>
  </r>
  <r>
    <s v="ORD252"/>
    <d v="2025-08-24T10:00:00"/>
    <s v="Mumbai"/>
    <s v="ONION_RI_769"/>
    <x v="17"/>
    <s v="Snacks"/>
    <n v="255"/>
    <n v="0.15"/>
    <n v="216.75"/>
    <n v="1"/>
    <n v="141.27518065096299"/>
    <n v="216.75"/>
    <n v="141.27518065096299"/>
    <n v="75.474819349036096"/>
    <s v="Percent-Off"/>
    <n v="255"/>
    <n v="-75.474819349037006"/>
  </r>
  <r>
    <s v="ORD253"/>
    <d v="2024-02-14T04:00:00"/>
    <s v="Hyderabad"/>
    <s v="BROWNIE_393"/>
    <x v="12"/>
    <s v="Dessert"/>
    <n v="195"/>
    <n v="0"/>
    <n v="195"/>
    <n v="6"/>
    <n v="111.157039523287"/>
    <n v="1170"/>
    <n v="666.94223713972201"/>
    <n v="503.05776286027702"/>
    <s v="Coupon"/>
    <n v="1170"/>
    <n v="-503.05776286027799"/>
  </r>
  <r>
    <s v="ORD254"/>
    <d v="2024-05-22T12:00:00"/>
    <s v="Chennai"/>
    <s v="ONION_RI_724"/>
    <x v="17"/>
    <s v="Snacks"/>
    <n v="104"/>
    <n v="0"/>
    <n v="104"/>
    <n v="1"/>
    <n v="55.800376542655499"/>
    <n v="104"/>
    <n v="55.800376542655499"/>
    <n v="48.199623457344401"/>
    <s v="None"/>
    <n v="104"/>
    <n v="-48.199623457344501"/>
  </r>
  <r>
    <s v="ORD255"/>
    <d v="2024-01-13T13:00:00"/>
    <s v="Bangalore"/>
    <s v="CHICKEN__651"/>
    <x v="14"/>
    <s v="Burger"/>
    <n v="97"/>
    <n v="0"/>
    <n v="97"/>
    <n v="3"/>
    <n v="58.0362485398404"/>
    <n v="291"/>
    <n v="174.10874561952099"/>
    <n v="116.891254380478"/>
    <s v="None"/>
    <n v="291"/>
    <n v="-116.89125438047901"/>
  </r>
  <r>
    <s v="ORD256"/>
    <d v="2025-06-03T12:00:00"/>
    <s v="Mumbai"/>
    <s v="COKE_336"/>
    <x v="8"/>
    <s v="Drinks"/>
    <n v="279"/>
    <n v="0.2"/>
    <n v="223.2"/>
    <n v="5"/>
    <n v="187.76586012281399"/>
    <n v="1116"/>
    <n v="938.82930061407296"/>
    <n v="177.17069938592601"/>
    <s v="None"/>
    <n v="1395"/>
    <n v="-177.17069938592704"/>
  </r>
  <r>
    <s v="ORD257"/>
    <d v="2025-12-08T22:00:00"/>
    <s v="Mumbai"/>
    <s v="GULAB_JA_548"/>
    <x v="11"/>
    <s v="Dessert"/>
    <n v="316"/>
    <n v="0.1"/>
    <n v="284.39999999999998"/>
    <n v="5"/>
    <n v="133.83610031801601"/>
    <n v="1422"/>
    <n v="669.18050159007998"/>
    <n v="752.81949840991899"/>
    <s v="Coupon"/>
    <n v="1580"/>
    <n v="-752.81949840992002"/>
  </r>
  <r>
    <s v="ORD258"/>
    <d v="2024-01-30T03:00:00"/>
    <s v="Pune"/>
    <s v="SPRITE_990"/>
    <x v="3"/>
    <s v="Drinks"/>
    <n v="346"/>
    <n v="0.1"/>
    <n v="311.39999999999998"/>
    <n v="4"/>
    <n v="244.13348085874799"/>
    <n v="1245.5999999999999"/>
    <n v="976.53392343499195"/>
    <n v="269.06607656500802"/>
    <s v="BOGO"/>
    <n v="1384"/>
    <n v="-269.06607656500796"/>
  </r>
  <r>
    <s v="ORD259"/>
    <d v="2024-01-08T22:00:00"/>
    <s v="Mumbai"/>
    <s v="CLUB_SAN_346"/>
    <x v="13"/>
    <s v="Sandwich"/>
    <n v="173"/>
    <n v="0.05"/>
    <n v="164.35"/>
    <n v="7"/>
    <n v="116.55317407891999"/>
    <n v="1150.45"/>
    <n v="815.87221855244297"/>
    <n v="334.57778144755599"/>
    <s v="None"/>
    <n v="1211"/>
    <n v="-334.57778144755707"/>
  </r>
  <r>
    <s v="ORD260"/>
    <d v="2025-03-13T04:00:00"/>
    <s v="Mumbai"/>
    <s v="COKE_793"/>
    <x v="8"/>
    <s v="Drinks"/>
    <n v="119"/>
    <n v="0"/>
    <n v="119"/>
    <n v="1"/>
    <n v="58.131540625117097"/>
    <n v="119"/>
    <n v="58.131540625117097"/>
    <n v="60.868459374882796"/>
    <s v="Percent-Off"/>
    <n v="119"/>
    <n v="-60.868459374882903"/>
  </r>
  <r>
    <s v="ORD261"/>
    <d v="2025-12-24T12:00:00"/>
    <s v="Delhi"/>
    <s v="VEG_BURG_701"/>
    <x v="0"/>
    <s v="Burger"/>
    <n v="245"/>
    <n v="0.25"/>
    <n v="183.75"/>
    <n v="6"/>
    <n v="167.090020576049"/>
    <n v="1102.5"/>
    <n v="1002.54012345629"/>
    <n v="99.959876543701895"/>
    <s v="None"/>
    <n v="1470"/>
    <n v="-99.959876543710038"/>
  </r>
  <r>
    <s v="ORD262"/>
    <d v="2024-05-03T23:00:00"/>
    <s v="Pune"/>
    <s v="VEG_SAND_754"/>
    <x v="9"/>
    <s v="Sandwich"/>
    <n v="157"/>
    <n v="0"/>
    <n v="157"/>
    <n v="3"/>
    <n v="74.9570663697112"/>
    <n v="471"/>
    <n v="224.87119910913299"/>
    <n v="246.12880089086599"/>
    <s v="Percent-Off"/>
    <n v="471"/>
    <n v="-246.12880089086701"/>
  </r>
  <r>
    <s v="ORD263"/>
    <d v="2024-09-11T06:00:00"/>
    <s v="Chennai"/>
    <s v="CHICKEN__669"/>
    <x v="14"/>
    <s v="Burger"/>
    <n v="324"/>
    <n v="0"/>
    <n v="324"/>
    <n v="4"/>
    <n v="143.05420303509499"/>
    <n v="1296"/>
    <n v="572.21681214037994"/>
    <n v="723.78318785961903"/>
    <s v="Coupon"/>
    <n v="1296"/>
    <n v="-723.78318785962006"/>
  </r>
  <r>
    <s v="ORD264"/>
    <d v="2024-03-16T16:00:00"/>
    <s v="Chennai"/>
    <s v="SPRITE_670"/>
    <x v="3"/>
    <s v="Drinks"/>
    <n v="105"/>
    <n v="0"/>
    <n v="105"/>
    <n v="2"/>
    <n v="56.984742858850403"/>
    <n v="210"/>
    <n v="113.9694857177"/>
    <n v="96.030514282299194"/>
    <s v="Coupon"/>
    <n v="210"/>
    <n v="-96.030514282300004"/>
  </r>
  <r>
    <s v="ORD265"/>
    <d v="2024-01-24T17:00:00"/>
    <s v="Hyderabad"/>
    <s v="MARGHERI_986"/>
    <x v="16"/>
    <s v="Pizza"/>
    <n v="328"/>
    <n v="0.15"/>
    <n v="278.8"/>
    <n v="5"/>
    <n v="156.913196265311"/>
    <n v="1394"/>
    <n v="784.56598132655597"/>
    <n v="609.43401867344301"/>
    <s v="Coupon"/>
    <n v="1640"/>
    <n v="-609.43401867344403"/>
  </r>
  <r>
    <s v="ORD266"/>
    <d v="2024-08-14T18:00:00"/>
    <s v="Pune"/>
    <s v="COKE_480"/>
    <x v="8"/>
    <s v="Drinks"/>
    <n v="179"/>
    <n v="0.15"/>
    <n v="152.15"/>
    <n v="2"/>
    <n v="123.82779725626899"/>
    <n v="304.3"/>
    <n v="247.65559451253901"/>
    <n v="56.644405487460801"/>
    <s v="None"/>
    <n v="358"/>
    <n v="-56.644405487461"/>
  </r>
  <r>
    <s v="ORD267"/>
    <d v="2024-03-19T23:00:00"/>
    <s v="Pune"/>
    <s v="MARGHERI_979"/>
    <x v="16"/>
    <s v="Pizza"/>
    <n v="243"/>
    <n v="0.1"/>
    <n v="218.7"/>
    <n v="2"/>
    <n v="142.93843859975399"/>
    <n v="437.4"/>
    <n v="285.87687719950799"/>
    <n v="151.523122800491"/>
    <s v="None"/>
    <n v="486"/>
    <n v="-151.52312280049199"/>
  </r>
  <r>
    <s v="ORD268"/>
    <d v="2024-06-09T23:00:00"/>
    <s v="Mumbai"/>
    <s v="ONION_RI_383"/>
    <x v="17"/>
    <s v="Snacks"/>
    <n v="287"/>
    <n v="0.2"/>
    <n v="229.6"/>
    <n v="6"/>
    <n v="130.49869862427499"/>
    <n v="1377.6"/>
    <n v="782.99219174564996"/>
    <n v="594.60780825434995"/>
    <s v="Coupon"/>
    <n v="1722"/>
    <n v="-594.60780825434995"/>
  </r>
  <r>
    <s v="ORD269"/>
    <d v="2025-06-22T01:00:00"/>
    <s v="Delhi"/>
    <s v="CHICKEN__586"/>
    <x v="7"/>
    <s v="Pizza"/>
    <n v="338"/>
    <n v="0"/>
    <n v="338"/>
    <n v="7"/>
    <n v="221.73483635287801"/>
    <n v="2366"/>
    <n v="1552.14385447015"/>
    <n v="813.85614552984896"/>
    <s v="None"/>
    <n v="2366"/>
    <n v="-813.85614552984998"/>
  </r>
  <r>
    <s v="ORD270"/>
    <d v="2024-11-06T15:00:00"/>
    <s v="Chennai"/>
    <s v="CHICKEN__557"/>
    <x v="7"/>
    <s v="Pizza"/>
    <n v="182"/>
    <n v="0.15"/>
    <n v="154.69999999999999"/>
    <n v="1"/>
    <n v="90.999064140651498"/>
    <n v="154.69999999999999"/>
    <n v="90.999064140651498"/>
    <n v="63.700935859348398"/>
    <s v="None"/>
    <n v="182"/>
    <n v="-63.70093585934849"/>
  </r>
  <r>
    <s v="ORD271"/>
    <d v="2024-06-16T06:00:00"/>
    <s v="Pune"/>
    <s v="MARGHERI_762"/>
    <x v="16"/>
    <s v="Pizza"/>
    <n v="300"/>
    <n v="0.05"/>
    <n v="285"/>
    <n v="2"/>
    <n v="206.569509348477"/>
    <n v="570"/>
    <n v="413.13901869695502"/>
    <n v="156.86098130304401"/>
    <s v="Percent-Off"/>
    <n v="600"/>
    <n v="-156.86098130304498"/>
  </r>
  <r>
    <s v="ORD272"/>
    <d v="2025-04-07T05:00:00"/>
    <s v="Mumbai"/>
    <s v="CLUB_SAN_245"/>
    <x v="13"/>
    <s v="Sandwich"/>
    <n v="187"/>
    <n v="0.05"/>
    <n v="177.65"/>
    <n v="7"/>
    <n v="107.556240323476"/>
    <n v="1243.55"/>
    <n v="752.89368226433703"/>
    <n v="490.65631773566201"/>
    <s v="None"/>
    <n v="1309"/>
    <n v="-490.65631773566292"/>
  </r>
  <r>
    <s v="ORD273"/>
    <d v="2024-05-05T09:00:00"/>
    <s v="Mumbai"/>
    <s v="COKE_750"/>
    <x v="8"/>
    <s v="Drinks"/>
    <n v="281"/>
    <n v="0.1"/>
    <n v="252.9"/>
    <n v="3"/>
    <n v="167.41752362028501"/>
    <n v="758.7"/>
    <n v="502.252570860856"/>
    <n v="256.44742913914303"/>
    <s v="BOGO"/>
    <n v="843"/>
    <n v="-256.44742913914405"/>
  </r>
  <r>
    <s v="ORD274"/>
    <d v="2025-11-20T02:00:00"/>
    <s v="Hyderabad"/>
    <s v="ONION_RI_249"/>
    <x v="17"/>
    <s v="Snacks"/>
    <n v="293"/>
    <n v="0.2"/>
    <n v="234.4"/>
    <n v="3"/>
    <n v="214.28985289318899"/>
    <n v="703.2"/>
    <n v="642.86955867956704"/>
    <n v="60.3304413204322"/>
    <s v="BOGO"/>
    <n v="879"/>
    <n v="-60.33044132043301"/>
  </r>
  <r>
    <s v="ORD275"/>
    <d v="2025-03-23T01:00:00"/>
    <s v="Bangalore"/>
    <s v="COKE_332"/>
    <x v="8"/>
    <s v="Drinks"/>
    <n v="155"/>
    <n v="0.15"/>
    <n v="131.75"/>
    <n v="1"/>
    <n v="85.380876679204505"/>
    <n v="131.75"/>
    <n v="85.380876679204505"/>
    <n v="46.369123320795403"/>
    <s v="None"/>
    <n v="155"/>
    <n v="-46.369123320795495"/>
  </r>
  <r>
    <s v="ORD276"/>
    <d v="2024-02-28T17:00:00"/>
    <s v="Chennai"/>
    <s v="COKE_380"/>
    <x v="8"/>
    <s v="Drinks"/>
    <n v="254"/>
    <n v="0.1"/>
    <n v="228.6"/>
    <n v="4"/>
    <n v="150.18016435963"/>
    <n v="914.4"/>
    <n v="600.72065743852102"/>
    <n v="313.67934256147799"/>
    <s v="None"/>
    <n v="1016"/>
    <n v="-313.67934256147896"/>
  </r>
  <r>
    <s v="ORD277"/>
    <d v="2025-05-25T09:00:00"/>
    <s v="Mumbai"/>
    <s v="CHICKEN__705"/>
    <x v="7"/>
    <s v="Pizza"/>
    <n v="104"/>
    <n v="0.2"/>
    <n v="83.2"/>
    <n v="2"/>
    <n v="44.662246906241499"/>
    <n v="166.4"/>
    <n v="89.324493812482999"/>
    <n v="77.075506187516893"/>
    <s v="None"/>
    <n v="208"/>
    <n v="-77.075506187517007"/>
  </r>
  <r>
    <s v="ORD278"/>
    <d v="2024-02-02T16:00:00"/>
    <s v="Bangalore"/>
    <s v="COKE_696"/>
    <x v="8"/>
    <s v="Drinks"/>
    <n v="195"/>
    <n v="0.05"/>
    <n v="185.25"/>
    <n v="2"/>
    <n v="93.957725858601606"/>
    <n v="370.5"/>
    <n v="187.91545171720301"/>
    <n v="182.58454828279599"/>
    <s v="Percent-Off"/>
    <n v="390"/>
    <n v="-182.58454828279699"/>
  </r>
  <r>
    <s v="ORD279"/>
    <d v="2024-12-03T08:00:00"/>
    <s v="Mumbai"/>
    <s v="CHICKEN__153"/>
    <x v="14"/>
    <s v="Burger"/>
    <n v="288"/>
    <n v="0"/>
    <n v="288"/>
    <n v="2"/>
    <n v="208.58755083398299"/>
    <n v="576"/>
    <n v="417.17510166796598"/>
    <n v="158.824898332033"/>
    <s v="None"/>
    <n v="576"/>
    <n v="-158.82489833203402"/>
  </r>
  <r>
    <s v="ORD280"/>
    <d v="2024-11-11T00:00:00"/>
    <s v="Chennai"/>
    <s v="CHICKEN__463"/>
    <x v="14"/>
    <s v="Burger"/>
    <n v="97"/>
    <n v="0.25"/>
    <n v="72.75"/>
    <n v="3"/>
    <n v="58.601418719011299"/>
    <n v="218.25"/>
    <n v="175.804256157033"/>
    <n v="42.445743842966003"/>
    <s v="None"/>
    <n v="291"/>
    <n v="-42.445743842967005"/>
  </r>
  <r>
    <s v="ORD281"/>
    <d v="2025-06-06T05:00:00"/>
    <s v="Chennai"/>
    <s v="ONION_RI_674"/>
    <x v="17"/>
    <s v="Snacks"/>
    <n v="325"/>
    <n v="0.1"/>
    <n v="292.5"/>
    <n v="3"/>
    <n v="190.89810330941199"/>
    <n v="877.5"/>
    <n v="572.694309928238"/>
    <n v="304.80569007176098"/>
    <s v="None"/>
    <n v="975"/>
    <n v="-304.805690071762"/>
  </r>
  <r>
    <s v="ORD282"/>
    <d v="2024-11-01T23:00:00"/>
    <s v="Pune"/>
    <s v="CHICKEN__189"/>
    <x v="14"/>
    <s v="Burger"/>
    <n v="332"/>
    <n v="0.05"/>
    <n v="315.39999999999998"/>
    <n v="4"/>
    <n v="227.77087727917799"/>
    <n v="1261.5999999999999"/>
    <n v="911.08350911671198"/>
    <n v="350.51649088328702"/>
    <s v="None"/>
    <n v="1328"/>
    <n v="-350.51649088328793"/>
  </r>
  <r>
    <s v="ORD283"/>
    <d v="2024-10-27T06:00:00"/>
    <s v="Chennai"/>
    <s v="VEG_SAND_170"/>
    <x v="9"/>
    <s v="Sandwich"/>
    <n v="254"/>
    <n v="0.25"/>
    <n v="190.5"/>
    <n v="6"/>
    <n v="126.46941653467"/>
    <n v="1143"/>
    <n v="758.81649920802204"/>
    <n v="384.183500791977"/>
    <s v="None"/>
    <n v="1524"/>
    <n v="-384.18350079197796"/>
  </r>
  <r>
    <s v="ORD284"/>
    <d v="2024-08-29T17:00:00"/>
    <s v="Bangalore"/>
    <s v="BROWNIE_560"/>
    <x v="12"/>
    <s v="Dessert"/>
    <n v="274"/>
    <n v="0.1"/>
    <n v="246.6"/>
    <n v="7"/>
    <n v="160.42130228660901"/>
    <n v="1726.2"/>
    <n v="1122.9491160062601"/>
    <n v="603.25088399373396"/>
    <s v="Coupon"/>
    <n v="1918"/>
    <n v="-603.25088399373999"/>
  </r>
  <r>
    <s v="ORD285"/>
    <d v="2025-12-06T01:00:00"/>
    <s v="Chennai"/>
    <s v="GULAB_JA_323"/>
    <x v="11"/>
    <s v="Dessert"/>
    <n v="227"/>
    <n v="0.15"/>
    <n v="192.95"/>
    <n v="7"/>
    <n v="119.48738700779499"/>
    <n v="1350.6499999999901"/>
    <n v="836.41170905456704"/>
    <n v="514.23829094543203"/>
    <s v="Coupon"/>
    <n v="1589"/>
    <n v="-514.23829094542305"/>
  </r>
  <r>
    <s v="ORD286"/>
    <d v="2024-09-06T10:00:00"/>
    <s v="Bangalore"/>
    <s v="ICE_CREA_929"/>
    <x v="6"/>
    <s v="Dessert"/>
    <n v="109"/>
    <n v="0.05"/>
    <n v="103.55"/>
    <n v="7"/>
    <n v="74.228773623180004"/>
    <n v="724.85"/>
    <n v="519.60141536226001"/>
    <n v="205.24858463773899"/>
    <s v="Bundle"/>
    <n v="763"/>
    <n v="-205.24858463774001"/>
  </r>
  <r>
    <s v="ORD287"/>
    <d v="2025-03-19T15:00:00"/>
    <s v="Bangalore"/>
    <s v="GARLIC_B_649"/>
    <x v="4"/>
    <s v="Snacks"/>
    <n v="259"/>
    <n v="0.25"/>
    <n v="194.25"/>
    <n v="4"/>
    <n v="114.66940891853601"/>
    <n v="777"/>
    <n v="458.67763567414602"/>
    <n v="318.32236432585302"/>
    <s v="None"/>
    <n v="1036"/>
    <n v="-318.32236432585398"/>
  </r>
  <r>
    <s v="ORD288"/>
    <d v="2024-12-29T04:00:00"/>
    <s v="Bangalore"/>
    <s v="COKE_776"/>
    <x v="8"/>
    <s v="Drinks"/>
    <n v="129"/>
    <n v="0.05"/>
    <n v="122.55"/>
    <n v="4"/>
    <n v="81.235821551222202"/>
    <n v="490.2"/>
    <n v="324.94328620488898"/>
    <n v="165.25671379511101"/>
    <s v="None"/>
    <n v="516"/>
    <n v="-165.25671379511101"/>
  </r>
  <r>
    <s v="ORD289"/>
    <d v="2025-05-28T11:00:00"/>
    <s v="Hyderabad"/>
    <s v="FRIES_246"/>
    <x v="2"/>
    <s v="Snacks"/>
    <n v="156"/>
    <n v="0"/>
    <n v="156"/>
    <n v="2"/>
    <n v="89.952198743580098"/>
    <n v="312"/>
    <n v="179.90439748716"/>
    <n v="132.09560251283901"/>
    <s v="None"/>
    <n v="312"/>
    <n v="-132.09560251284"/>
  </r>
  <r>
    <s v="ORD290"/>
    <d v="2024-07-18T04:00:00"/>
    <s v="Mumbai"/>
    <s v="COKE_286"/>
    <x v="8"/>
    <s v="Drinks"/>
    <n v="268"/>
    <n v="0.15"/>
    <n v="227.79999999999899"/>
    <n v="7"/>
    <n v="151.06849773108101"/>
    <n v="1594.6"/>
    <n v="1057.4794841175701"/>
    <n v="537.120515882429"/>
    <s v="None"/>
    <n v="1876"/>
    <n v="-537.1205158824298"/>
  </r>
  <r>
    <s v="ORD291"/>
    <d v="2024-04-08T16:00:00"/>
    <s v="Bangalore"/>
    <s v="PEPPY_PA_187"/>
    <x v="10"/>
    <s v="Pizza"/>
    <n v="223"/>
    <n v="0.15"/>
    <n v="189.54999999999899"/>
    <n v="7"/>
    <n v="162.132498674706"/>
    <n v="1326.85"/>
    <n v="1134.9274907229401"/>
    <n v="191.922509277057"/>
    <s v="Percent-Off"/>
    <n v="1561"/>
    <n v="-191.92250927705982"/>
  </r>
  <r>
    <s v="ORD292"/>
    <d v="2025-05-16T15:00:00"/>
    <s v="Delhi"/>
    <s v="CHEESE_B_324"/>
    <x v="5"/>
    <s v="Burger"/>
    <n v="83"/>
    <n v="0.15"/>
    <n v="70.55"/>
    <n v="7"/>
    <n v="56.973951339845499"/>
    <n v="493.849999999999"/>
    <n v="398.81765937891799"/>
    <n v="95.032340621081403"/>
    <s v="None"/>
    <n v="581"/>
    <n v="-95.032340621081005"/>
  </r>
  <r>
    <s v="ORD293"/>
    <d v="2024-10-04T07:00:00"/>
    <s v="Hyderabad"/>
    <s v="CHICKEN__207"/>
    <x v="14"/>
    <s v="Burger"/>
    <n v="260"/>
    <n v="0.2"/>
    <n v="208"/>
    <n v="2"/>
    <n v="158.824754594014"/>
    <n v="416"/>
    <n v="317.64950918802799"/>
    <n v="98.350490811971099"/>
    <s v="None"/>
    <n v="520"/>
    <n v="-98.350490811972008"/>
  </r>
  <r>
    <s v="ORD294"/>
    <d v="2024-12-06T13:00:00"/>
    <s v="Mumbai"/>
    <s v="PEPPY_PA_894"/>
    <x v="10"/>
    <s v="Pizza"/>
    <n v="250"/>
    <n v="0"/>
    <n v="250"/>
    <n v="3"/>
    <n v="128.37882051825699"/>
    <n v="750"/>
    <n v="385.13646155477301"/>
    <n v="364.86353844522603"/>
    <s v="Coupon"/>
    <n v="750"/>
    <n v="-364.86353844522699"/>
  </r>
  <r>
    <s v="ORD295"/>
    <d v="2024-07-06T07:00:00"/>
    <s v="Chennai"/>
    <s v="MARGHERI_895"/>
    <x v="16"/>
    <s v="Pizza"/>
    <n v="223"/>
    <n v="0"/>
    <n v="223"/>
    <n v="6"/>
    <n v="122.688317924073"/>
    <n v="1338"/>
    <n v="736.12990754443797"/>
    <n v="601.87009245556101"/>
    <s v="BOGO"/>
    <n v="1338"/>
    <n v="-601.87009245556203"/>
  </r>
  <r>
    <s v="ORD296"/>
    <d v="2025-03-29T21:00:00"/>
    <s v="Chennai"/>
    <s v="MARGHERI_284"/>
    <x v="16"/>
    <s v="Pizza"/>
    <n v="121"/>
    <n v="0.05"/>
    <n v="114.94999999999899"/>
    <n v="6"/>
    <n v="53.946738015803199"/>
    <n v="689.69999999999902"/>
    <n v="323.68042809481898"/>
    <n v="366.01957190517999"/>
    <s v="Percent-Off"/>
    <n v="726"/>
    <n v="-366.01957190518004"/>
  </r>
  <r>
    <s v="ORD297"/>
    <d v="2025-07-12T11:00:00"/>
    <s v="Delhi"/>
    <s v="SPRITE_687"/>
    <x v="3"/>
    <s v="Drinks"/>
    <n v="239"/>
    <n v="0.1"/>
    <n v="215.1"/>
    <n v="2"/>
    <n v="130.01148289866299"/>
    <n v="430.2"/>
    <n v="260.02296579732598"/>
    <n v="170.17703420267301"/>
    <s v="None"/>
    <n v="478"/>
    <n v="-170.17703420267401"/>
  </r>
  <r>
    <s v="ORD298"/>
    <d v="2025-06-30T17:00:00"/>
    <s v="Bangalore"/>
    <s v="SPRITE_735"/>
    <x v="3"/>
    <s v="Drinks"/>
    <n v="255"/>
    <n v="0"/>
    <n v="255"/>
    <n v="4"/>
    <n v="171.387900446027"/>
    <n v="1020"/>
    <n v="685.55160178411097"/>
    <n v="334.44839821588801"/>
    <s v="BOGO"/>
    <n v="1020"/>
    <n v="-334.44839821588903"/>
  </r>
  <r>
    <s v="ORD299"/>
    <d v="2025-04-01T22:00:00"/>
    <s v="Hyderabad"/>
    <s v="GRILLED__712"/>
    <x v="1"/>
    <s v="Sandwich"/>
    <n v="238"/>
    <n v="0.2"/>
    <n v="190.4"/>
    <n v="2"/>
    <n v="99.399717241063996"/>
    <n v="380.8"/>
    <n v="198.79943448212799"/>
    <n v="182.000565517871"/>
    <s v="Coupon"/>
    <n v="476"/>
    <n v="-182.00056551787202"/>
  </r>
  <r>
    <s v="ORD300"/>
    <d v="2024-02-05T13:00:00"/>
    <s v="Mumbai"/>
    <s v="CHEESE_B_227"/>
    <x v="5"/>
    <s v="Burger"/>
    <n v="189"/>
    <n v="0"/>
    <n v="189"/>
    <n v="2"/>
    <n v="84.0331777412772"/>
    <n v="378"/>
    <n v="168.066355482554"/>
    <n v="209.933644517445"/>
    <s v="Percent-Off"/>
    <n v="378"/>
    <n v="-209.933644517446"/>
  </r>
  <r>
    <s v="ORD301"/>
    <d v="2025-12-07T14:00:00"/>
    <s v="Pune"/>
    <s v="CLUB_SAN_455"/>
    <x v="13"/>
    <s v="Sandwich"/>
    <n v="115"/>
    <n v="0"/>
    <n v="115"/>
    <n v="6"/>
    <n v="67.150179871074698"/>
    <n v="690"/>
    <n v="402.90107922644802"/>
    <n v="287.09892077355101"/>
    <s v="Coupon"/>
    <n v="690"/>
    <n v="-287.09892077355198"/>
  </r>
  <r>
    <s v="ORD302"/>
    <d v="2025-02-16T19:00:00"/>
    <s v="Pune"/>
    <s v="CHEESE_B_222"/>
    <x v="5"/>
    <s v="Burger"/>
    <n v="243"/>
    <n v="0.15"/>
    <n v="206.54999999999899"/>
    <n v="6"/>
    <n v="122.35983949208"/>
    <n v="1239.3"/>
    <n v="734.15903695248198"/>
    <n v="505.140963047517"/>
    <s v="None"/>
    <n v="1458"/>
    <n v="-505.14096304751797"/>
  </r>
  <r>
    <s v="ORD303"/>
    <d v="2024-07-18T01:00:00"/>
    <s v="Chennai"/>
    <s v="BROWNIE_495"/>
    <x v="12"/>
    <s v="Dessert"/>
    <n v="183"/>
    <n v="0"/>
    <n v="183"/>
    <n v="7"/>
    <n v="74.240392537565498"/>
    <n v="1281"/>
    <n v="519.682747762958"/>
    <n v="761.31725223704098"/>
    <s v="None"/>
    <n v="1281"/>
    <n v="-761.317252237042"/>
  </r>
  <r>
    <s v="ORD304"/>
    <d v="2025-10-01T02:00:00"/>
    <s v="Delhi"/>
    <s v="VEG_BURG_409"/>
    <x v="0"/>
    <s v="Burger"/>
    <n v="278"/>
    <n v="0"/>
    <n v="278"/>
    <n v="7"/>
    <n v="120.386958742364"/>
    <n v="1946"/>
    <n v="842.70871119655305"/>
    <n v="1103.29128880344"/>
    <s v="Percent-Off"/>
    <n v="1946"/>
    <n v="-1103.2912888034471"/>
  </r>
  <r>
    <s v="ORD305"/>
    <d v="2024-04-13T19:00:00"/>
    <s v="Bangalore"/>
    <s v="MARGHERI_305"/>
    <x v="16"/>
    <s v="Pizza"/>
    <n v="188"/>
    <n v="0.25"/>
    <n v="141"/>
    <n v="7"/>
    <n v="123.16419936691899"/>
    <n v="987"/>
    <n v="862.14939556843501"/>
    <n v="124.85060443156399"/>
    <s v="None"/>
    <n v="1316"/>
    <n v="-124.85060443156499"/>
  </r>
  <r>
    <s v="ORD306"/>
    <d v="2025-09-30T16:00:00"/>
    <s v="Pune"/>
    <s v="CHEESE_B_350"/>
    <x v="5"/>
    <s v="Burger"/>
    <n v="162"/>
    <n v="0"/>
    <n v="162"/>
    <n v="6"/>
    <n v="95.434976363377004"/>
    <n v="972"/>
    <n v="572.60985818026199"/>
    <n v="399.39014181973698"/>
    <s v="Percent-Off"/>
    <n v="972"/>
    <n v="-399.39014181973801"/>
  </r>
  <r>
    <s v="ORD307"/>
    <d v="2025-08-31T07:00:00"/>
    <s v="Bangalore"/>
    <s v="BROWNIE_700"/>
    <x v="12"/>
    <s v="Dessert"/>
    <n v="174"/>
    <n v="0.05"/>
    <n v="165.29999999999899"/>
    <n v="5"/>
    <n v="129.82008386160001"/>
    <n v="826.49999999999898"/>
    <n v="649.10041930800003"/>
    <n v="177.39958069199901"/>
    <s v="None"/>
    <n v="870"/>
    <n v="-177.39958069199895"/>
  </r>
  <r>
    <s v="ORD308"/>
    <d v="2024-05-07T03:00:00"/>
    <s v="Bangalore"/>
    <s v="CHICKEN__153"/>
    <x v="14"/>
    <s v="Burger"/>
    <n v="175"/>
    <n v="0"/>
    <n v="175"/>
    <n v="7"/>
    <n v="129.82865533568901"/>
    <n v="1225"/>
    <n v="908.80058734982697"/>
    <n v="316.19941265017201"/>
    <s v="Percent-Off"/>
    <n v="1225"/>
    <n v="-316.19941265017303"/>
  </r>
  <r>
    <s v="ORD309"/>
    <d v="2025-10-27T19:00:00"/>
    <s v="Delhi"/>
    <s v="SPRITE_805"/>
    <x v="3"/>
    <s v="Drinks"/>
    <n v="272"/>
    <n v="0.05"/>
    <n v="258.39999999999998"/>
    <n v="5"/>
    <n v="137.90682474898199"/>
    <n v="1292"/>
    <n v="689.53412374490995"/>
    <n v="602.46587625508903"/>
    <s v="Coupon"/>
    <n v="1360"/>
    <n v="-602.46587625509005"/>
  </r>
  <r>
    <s v="ORD310"/>
    <d v="2025-11-13T20:00:00"/>
    <s v="Pune"/>
    <s v="VEG_SAND_574"/>
    <x v="9"/>
    <s v="Sandwich"/>
    <n v="191"/>
    <n v="0"/>
    <n v="191"/>
    <n v="3"/>
    <n v="125.769117978428"/>
    <n v="573"/>
    <n v="377.30735393528403"/>
    <n v="195.69264606471501"/>
    <s v="None"/>
    <n v="573"/>
    <n v="-195.69264606471597"/>
  </r>
  <r>
    <s v="ORD311"/>
    <d v="2024-02-06T12:00:00"/>
    <s v="Chennai"/>
    <s v="FRIES_784"/>
    <x v="2"/>
    <s v="Snacks"/>
    <n v="152"/>
    <n v="0.2"/>
    <n v="121.6"/>
    <n v="3"/>
    <n v="87.3978183725267"/>
    <n v="364.8"/>
    <n v="262.19345511758002"/>
    <n v="102.606544882419"/>
    <s v="BOGO"/>
    <n v="456"/>
    <n v="-102.60654488242"/>
  </r>
  <r>
    <s v="ORD312"/>
    <d v="2024-06-21T14:00:00"/>
    <s v="Bangalore"/>
    <s v="SPRITE_299"/>
    <x v="3"/>
    <s v="Drinks"/>
    <n v="131"/>
    <n v="0.1"/>
    <n v="117.9"/>
    <n v="5"/>
    <n v="91.370635303571902"/>
    <n v="589.5"/>
    <n v="456.85317651785903"/>
    <n v="132.64682348214001"/>
    <s v="Bundle"/>
    <n v="655"/>
    <n v="-132.64682348214097"/>
  </r>
  <r>
    <s v="ORD313"/>
    <d v="2025-09-25T10:00:00"/>
    <s v="Bangalore"/>
    <s v="SPRITE_879"/>
    <x v="3"/>
    <s v="Drinks"/>
    <n v="156"/>
    <n v="0.1"/>
    <n v="140.4"/>
    <n v="4"/>
    <n v="97.993787259710302"/>
    <n v="561.6"/>
    <n v="391.97514903884098"/>
    <n v="169.62485096115799"/>
    <s v="None"/>
    <n v="624"/>
    <n v="-169.62485096115904"/>
  </r>
  <r>
    <s v="ORD314"/>
    <d v="2024-10-17T06:00:00"/>
    <s v="Mumbai"/>
    <s v="VEG_BURG_526"/>
    <x v="0"/>
    <s v="Burger"/>
    <n v="346"/>
    <n v="0.15"/>
    <n v="294.099999999999"/>
    <n v="3"/>
    <n v="251.33114977058099"/>
    <n v="882.3"/>
    <n v="753.99344931174505"/>
    <n v="128.30655068825399"/>
    <s v="None"/>
    <n v="1038"/>
    <n v="-128.3065506882549"/>
  </r>
  <r>
    <s v="ORD315"/>
    <d v="2024-10-21T23:00:00"/>
    <s v="Bangalore"/>
    <s v="CLUB_SAN_151"/>
    <x v="13"/>
    <s v="Sandwich"/>
    <n v="309"/>
    <n v="0.15"/>
    <n v="262.64999999999998"/>
    <n v="4"/>
    <n v="220.71170198594001"/>
    <n v="1050.5999999999999"/>
    <n v="882.84680794376004"/>
    <n v="167.75319205623899"/>
    <s v="BOGO"/>
    <n v="1236"/>
    <n v="-167.75319205623987"/>
  </r>
  <r>
    <s v="ORD316"/>
    <d v="2024-11-28T19:00:00"/>
    <s v="Mumbai"/>
    <s v="CHICKEN__969"/>
    <x v="7"/>
    <s v="Pizza"/>
    <n v="346"/>
    <n v="0"/>
    <n v="346"/>
    <n v="4"/>
    <n v="161.40126612501001"/>
    <n v="1384"/>
    <n v="645.60506450004198"/>
    <n v="738.394935499957"/>
    <s v="Coupon"/>
    <n v="1384"/>
    <n v="-738.39493549995802"/>
  </r>
  <r>
    <s v="ORD317"/>
    <d v="2024-10-10T07:00:00"/>
    <s v="Pune"/>
    <s v="COKE_217"/>
    <x v="8"/>
    <s v="Drinks"/>
    <n v="125"/>
    <n v="0.15"/>
    <n v="106.25"/>
    <n v="1"/>
    <n v="92.664123948928406"/>
    <n v="106.25"/>
    <n v="92.664123948928406"/>
    <n v="13.5858760510715"/>
    <s v="None"/>
    <n v="125"/>
    <n v="-13.585876051071594"/>
  </r>
  <r>
    <s v="ORD318"/>
    <d v="2024-07-05T01:00:00"/>
    <s v="Mumbai"/>
    <s v="GARLIC_B_622"/>
    <x v="4"/>
    <s v="Snacks"/>
    <n v="339"/>
    <n v="0.05"/>
    <n v="322.05"/>
    <n v="1"/>
    <n v="215.81986131287201"/>
    <n v="322.05"/>
    <n v="215.81986131287201"/>
    <n v="106.230138687127"/>
    <s v="None"/>
    <n v="339"/>
    <n v="-106.230138687128"/>
  </r>
  <r>
    <s v="ORD319"/>
    <d v="2025-12-10T03:00:00"/>
    <s v="Chennai"/>
    <s v="COLD_COF_640"/>
    <x v="15"/>
    <s v="Drinks"/>
    <n v="107"/>
    <n v="0.1"/>
    <n v="96.3"/>
    <n v="1"/>
    <n v="56.950078554083099"/>
    <n v="96.3"/>
    <n v="56.950078554083099"/>
    <n v="39.349921445916799"/>
    <s v="None"/>
    <n v="107"/>
    <n v="-39.349921445916898"/>
  </r>
  <r>
    <s v="ORD320"/>
    <d v="2025-07-13T01:00:00"/>
    <s v="Chennai"/>
    <s v="GARLIC_B_513"/>
    <x v="4"/>
    <s v="Snacks"/>
    <n v="114"/>
    <n v="0.15"/>
    <n v="96.899999999999906"/>
    <n v="1"/>
    <n v="49.842858164194197"/>
    <n v="96.899999999999906"/>
    <n v="49.842858164194197"/>
    <n v="47.057141835805702"/>
    <s v="Percent-Off"/>
    <n v="114"/>
    <n v="-47.057141835805709"/>
  </r>
  <r>
    <s v="ORD321"/>
    <d v="2024-12-12T07:00:00"/>
    <s v="Hyderabad"/>
    <s v="MARGHERI_605"/>
    <x v="16"/>
    <s v="Pizza"/>
    <n v="185"/>
    <n v="0.15"/>
    <n v="157.25"/>
    <n v="5"/>
    <n v="102.62166400529"/>
    <n v="786.25"/>
    <n v="513.108320026451"/>
    <n v="273.14167997354798"/>
    <s v="None"/>
    <n v="925"/>
    <n v="-273.141679973549"/>
  </r>
  <r>
    <s v="ORD322"/>
    <d v="2025-12-18T06:00:00"/>
    <s v="Mumbai"/>
    <s v="CHEESE_B_749"/>
    <x v="5"/>
    <s v="Burger"/>
    <n v="86"/>
    <n v="0.15"/>
    <n v="73.099999999999994"/>
    <n v="2"/>
    <n v="40.348940539792999"/>
    <n v="146.19999999999999"/>
    <n v="80.697881079585997"/>
    <n v="65.502118920413906"/>
    <s v="None"/>
    <n v="172"/>
    <n v="-65.502118920413992"/>
  </r>
  <r>
    <s v="ORD323"/>
    <d v="2025-08-10T10:00:00"/>
    <s v="Hyderabad"/>
    <s v="PEPPY_PA_743"/>
    <x v="10"/>
    <s v="Pizza"/>
    <n v="240"/>
    <n v="0"/>
    <n v="240"/>
    <n v="5"/>
    <n v="152.75219000625199"/>
    <n v="1200"/>
    <n v="763.76095003126204"/>
    <n v="436.23904996873699"/>
    <s v="None"/>
    <n v="1200"/>
    <n v="-436.23904996873796"/>
  </r>
  <r>
    <s v="ORD324"/>
    <d v="2024-08-03T17:00:00"/>
    <s v="Pune"/>
    <s v="FRIES_391"/>
    <x v="2"/>
    <s v="Snacks"/>
    <n v="150"/>
    <n v="0.1"/>
    <n v="135"/>
    <n v="1"/>
    <n v="65.176197087701595"/>
    <n v="135"/>
    <n v="65.176197087701595"/>
    <n v="69.823802912298305"/>
    <s v="Coupon"/>
    <n v="150"/>
    <n v="-69.823802912298405"/>
  </r>
  <r>
    <s v="ORD325"/>
    <d v="2025-08-17T06:00:00"/>
    <s v="Bangalore"/>
    <s v="SPRITE_130"/>
    <x v="3"/>
    <s v="Drinks"/>
    <n v="235"/>
    <n v="0.05"/>
    <n v="223.25"/>
    <n v="3"/>
    <n v="106.45639417918299"/>
    <n v="669.75"/>
    <n v="319.36918253754902"/>
    <n v="350.38081746245001"/>
    <s v="Coupon"/>
    <n v="705"/>
    <n v="-350.38081746245098"/>
  </r>
  <r>
    <s v="ORD326"/>
    <d v="2024-12-12T04:00:00"/>
    <s v="Bangalore"/>
    <s v="CHICKEN__165"/>
    <x v="14"/>
    <s v="Burger"/>
    <n v="118"/>
    <n v="0.1"/>
    <n v="106.2"/>
    <n v="6"/>
    <n v="50.511713056340199"/>
    <n v="637.20000000000005"/>
    <n v="303.07027833804102"/>
    <n v="334.129721661958"/>
    <s v="Coupon"/>
    <n v="708"/>
    <n v="-334.12972166195902"/>
  </r>
  <r>
    <s v="ORD327"/>
    <d v="2024-09-04T21:00:00"/>
    <s v="Mumbai"/>
    <s v="GARLIC_B_957"/>
    <x v="4"/>
    <s v="Snacks"/>
    <n v="169"/>
    <n v="0.05"/>
    <n v="160.54999999999899"/>
    <n v="7"/>
    <n v="107.732752625681"/>
    <n v="1123.8499999999999"/>
    <n v="754.12926837977295"/>
    <n v="369.72073162022599"/>
    <s v="Bundle"/>
    <n v="1183"/>
    <n v="-369.72073162022696"/>
  </r>
  <r>
    <s v="ORD328"/>
    <d v="2024-02-17T22:00:00"/>
    <s v="Mumbai"/>
    <s v="CLUB_SAN_706"/>
    <x v="13"/>
    <s v="Sandwich"/>
    <n v="123"/>
    <n v="0"/>
    <n v="123"/>
    <n v="6"/>
    <n v="69.412778543129505"/>
    <n v="738"/>
    <n v="416.476671258777"/>
    <n v="321.52332874122197"/>
    <s v="Bundle"/>
    <n v="738"/>
    <n v="-321.523328741223"/>
  </r>
  <r>
    <s v="ORD329"/>
    <d v="2024-03-21T11:00:00"/>
    <s v="Bangalore"/>
    <s v="SPRITE_522"/>
    <x v="3"/>
    <s v="Drinks"/>
    <n v="112"/>
    <n v="0"/>
    <n v="112"/>
    <n v="4"/>
    <n v="82.060886581412802"/>
    <n v="448"/>
    <n v="328.24354632565098"/>
    <n v="119.75645367434799"/>
    <s v="Bundle"/>
    <n v="448"/>
    <n v="-119.75645367434902"/>
  </r>
  <r>
    <s v="ORD330"/>
    <d v="2025-01-18T12:00:00"/>
    <s v="Mumbai"/>
    <s v="GULAB_JA_791"/>
    <x v="11"/>
    <s v="Dessert"/>
    <n v="108"/>
    <n v="0.05"/>
    <n v="102.6"/>
    <n v="6"/>
    <n v="56.4882974298785"/>
    <n v="615.599999999999"/>
    <n v="338.92978457927097"/>
    <n v="276.67021542072803"/>
    <s v="None"/>
    <n v="648"/>
    <n v="-276.67021542072803"/>
  </r>
  <r>
    <s v="ORD331"/>
    <d v="2024-02-15T01:00:00"/>
    <s v="Pune"/>
    <s v="CLUB_SAN_285"/>
    <x v="13"/>
    <s v="Sandwich"/>
    <n v="338"/>
    <n v="0"/>
    <n v="338"/>
    <n v="2"/>
    <n v="180.534377791559"/>
    <n v="676"/>
    <n v="361.06875558311901"/>
    <n v="314.93124441688002"/>
    <s v="None"/>
    <n v="676"/>
    <n v="-314.93124441688099"/>
  </r>
  <r>
    <s v="ORD332"/>
    <d v="2025-12-05T00:00:00"/>
    <s v="Chennai"/>
    <s v="ONION_RI_549"/>
    <x v="17"/>
    <s v="Snacks"/>
    <n v="289"/>
    <n v="0.05"/>
    <n v="274.55"/>
    <n v="2"/>
    <n v="196.498087313691"/>
    <n v="549.1"/>
    <n v="392.996174627382"/>
    <n v="156.10382537261799"/>
    <s v="Percent-Off"/>
    <n v="578"/>
    <n v="-156.10382537261802"/>
  </r>
  <r>
    <s v="ORD333"/>
    <d v="2025-07-12T15:00:00"/>
    <s v="Chennai"/>
    <s v="CLUB_SAN_778"/>
    <x v="13"/>
    <s v="Sandwich"/>
    <n v="104"/>
    <n v="0.1"/>
    <n v="93.6"/>
    <n v="5"/>
    <n v="56.674734883050199"/>
    <n v="468"/>
    <n v="283.373674415251"/>
    <n v="184.626325584748"/>
    <s v="Coupon"/>
    <n v="520"/>
    <n v="-184.626325584749"/>
  </r>
  <r>
    <s v="ORD334"/>
    <d v="2024-11-21T05:00:00"/>
    <s v="Pune"/>
    <s v="COLD_COF_653"/>
    <x v="15"/>
    <s v="Drinks"/>
    <n v="344"/>
    <n v="0"/>
    <n v="344"/>
    <n v="6"/>
    <n v="144.774286521318"/>
    <n v="2064"/>
    <n v="868.64571912791098"/>
    <n v="1195.3542808720799"/>
    <s v="None"/>
    <n v="2064"/>
    <n v="-1195.354280872089"/>
  </r>
  <r>
    <s v="ORD335"/>
    <d v="2024-08-06T05:00:00"/>
    <s v="Pune"/>
    <s v="VEG_BURG_134"/>
    <x v="0"/>
    <s v="Burger"/>
    <n v="202"/>
    <n v="0"/>
    <n v="202"/>
    <n v="3"/>
    <n v="133.280153148637"/>
    <n v="606"/>
    <n v="399.84045944591202"/>
    <n v="206.15954055408699"/>
    <s v="None"/>
    <n v="606"/>
    <n v="-206.15954055408798"/>
  </r>
  <r>
    <s v="ORD336"/>
    <d v="2025-12-06T23:00:00"/>
    <s v="Hyderabad"/>
    <s v="VEG_SAND_790"/>
    <x v="9"/>
    <s v="Sandwich"/>
    <n v="226"/>
    <n v="0.25"/>
    <n v="169.5"/>
    <n v="7"/>
    <n v="105.758282941545"/>
    <n v="1186.5"/>
    <n v="740.30798059081496"/>
    <n v="446.19201940918401"/>
    <s v="None"/>
    <n v="1582"/>
    <n v="-446.19201940918504"/>
  </r>
  <r>
    <s v="ORD337"/>
    <d v="2025-06-16T07:00:00"/>
    <s v="Pune"/>
    <s v="CHICKEN__426"/>
    <x v="7"/>
    <s v="Pizza"/>
    <n v="95"/>
    <n v="0.1"/>
    <n v="85.5"/>
    <n v="1"/>
    <n v="56.549299715697401"/>
    <n v="85.5"/>
    <n v="56.549299715697401"/>
    <n v="28.950700284302499"/>
    <s v="None"/>
    <n v="95"/>
    <n v="-28.950700284302599"/>
  </r>
  <r>
    <s v="ORD338"/>
    <d v="2025-11-07T20:00:00"/>
    <s v="Chennai"/>
    <s v="CLUB_SAN_811"/>
    <x v="13"/>
    <s v="Sandwich"/>
    <n v="192"/>
    <n v="0.15"/>
    <n v="163.19999999999999"/>
    <n v="1"/>
    <n v="99.002307030329405"/>
    <n v="163.19999999999999"/>
    <n v="99.002307030329405"/>
    <n v="64.197692969670499"/>
    <s v="None"/>
    <n v="192"/>
    <n v="-64.197692969670584"/>
  </r>
  <r>
    <s v="ORD339"/>
    <d v="2025-07-03T08:00:00"/>
    <s v="Chennai"/>
    <s v="SPRITE_519"/>
    <x v="3"/>
    <s v="Drinks"/>
    <n v="91"/>
    <n v="0"/>
    <n v="91"/>
    <n v="4"/>
    <n v="40.326588370671402"/>
    <n v="364"/>
    <n v="161.30635348268501"/>
    <n v="202.69364651731399"/>
    <s v="None"/>
    <n v="364"/>
    <n v="-202.69364651731499"/>
  </r>
  <r>
    <s v="ORD340"/>
    <d v="2024-05-19T07:00:00"/>
    <s v="Hyderabad"/>
    <s v="GRILLED__757"/>
    <x v="1"/>
    <s v="Sandwich"/>
    <n v="104"/>
    <n v="0"/>
    <n v="104"/>
    <n v="5"/>
    <n v="44.917519275786198"/>
    <n v="520"/>
    <n v="224.58759637893101"/>
    <n v="295.41240362106799"/>
    <s v="Coupon"/>
    <n v="520"/>
    <n v="-295.41240362106896"/>
  </r>
  <r>
    <s v="ORD341"/>
    <d v="2025-07-16T12:00:00"/>
    <s v="Hyderabad"/>
    <s v="COLD_COF_831"/>
    <x v="15"/>
    <s v="Drinks"/>
    <n v="135"/>
    <n v="0.1"/>
    <n v="121.5"/>
    <n v="7"/>
    <n v="73.546317582053504"/>
    <n v="850.5"/>
    <n v="514.824223074374"/>
    <n v="335.67577692562497"/>
    <s v="None"/>
    <n v="945"/>
    <n v="-335.675776925626"/>
  </r>
  <r>
    <s v="ORD342"/>
    <d v="2025-02-06T14:00:00"/>
    <s v="Pune"/>
    <s v="SPRITE_808"/>
    <x v="3"/>
    <s v="Drinks"/>
    <n v="85"/>
    <n v="0.15"/>
    <n v="72.25"/>
    <n v="7"/>
    <n v="45.696127102446901"/>
    <n v="505.75"/>
    <n v="319.87288971712798"/>
    <n v="185.877110282871"/>
    <s v="None"/>
    <n v="595"/>
    <n v="-185.87711028287202"/>
  </r>
  <r>
    <s v="ORD343"/>
    <d v="2025-12-07T20:00:00"/>
    <s v="Hyderabad"/>
    <s v="CLUB_SAN_594"/>
    <x v="13"/>
    <s v="Sandwich"/>
    <n v="145"/>
    <n v="0.1"/>
    <n v="130.5"/>
    <n v="5"/>
    <n v="82.110811047988406"/>
    <n v="652.5"/>
    <n v="410.55405523994199"/>
    <n v="241.94594476005699"/>
    <s v="None"/>
    <n v="725"/>
    <n v="-241.94594476005801"/>
  </r>
  <r>
    <s v="ORD344"/>
    <d v="2025-09-22T05:00:00"/>
    <s v="Chennai"/>
    <s v="COLD_COF_113"/>
    <x v="15"/>
    <s v="Drinks"/>
    <n v="282"/>
    <n v="0.2"/>
    <n v="225.6"/>
    <n v="7"/>
    <n v="136.55417980653101"/>
    <n v="1579.2"/>
    <n v="955.87925864571696"/>
    <n v="623.32074135428297"/>
    <s v="Percent-Off"/>
    <n v="1974"/>
    <n v="-623.32074135428309"/>
  </r>
  <r>
    <s v="ORD345"/>
    <d v="2024-12-04T18:00:00"/>
    <s v="Chennai"/>
    <s v="MARGHERI_374"/>
    <x v="16"/>
    <s v="Pizza"/>
    <n v="272"/>
    <n v="0.1"/>
    <n v="244.8"/>
    <n v="7"/>
    <n v="167.088652894056"/>
    <n v="1713.6"/>
    <n v="1169.62057025839"/>
    <n v="543.97942974160298"/>
    <s v="None"/>
    <n v="1904"/>
    <n v="-543.97942974160992"/>
  </r>
  <r>
    <s v="ORD346"/>
    <d v="2024-03-10T23:00:00"/>
    <s v="Pune"/>
    <s v="CHICKEN__509"/>
    <x v="14"/>
    <s v="Burger"/>
    <n v="107"/>
    <n v="0.2"/>
    <n v="85.6"/>
    <n v="5"/>
    <n v="49.586897261311599"/>
    <n v="428"/>
    <n v="247.934486306558"/>
    <n v="180.06551369344101"/>
    <s v="Percent-Off"/>
    <n v="535"/>
    <n v="-180.065513693442"/>
  </r>
  <r>
    <s v="ORD347"/>
    <d v="2024-05-26T02:00:00"/>
    <s v="Hyderabad"/>
    <s v="SPRITE_518"/>
    <x v="3"/>
    <s v="Drinks"/>
    <n v="205"/>
    <n v="0.1"/>
    <n v="184.5"/>
    <n v="6"/>
    <n v="86.245954906209107"/>
    <n v="1107"/>
    <n v="517.47572943725402"/>
    <n v="589.52427056274496"/>
    <s v="None"/>
    <n v="1230"/>
    <n v="-589.52427056274598"/>
  </r>
  <r>
    <s v="ORD348"/>
    <d v="2025-07-07T12:00:00"/>
    <s v="Delhi"/>
    <s v="CHICKEN__745"/>
    <x v="7"/>
    <s v="Pizza"/>
    <n v="293"/>
    <n v="0.25"/>
    <n v="219.75"/>
    <n v="5"/>
    <n v="218.881686161098"/>
    <n v="1098.75"/>
    <n v="1094.4084308054901"/>
    <n v="4.3415691945076498"/>
    <s v="None"/>
    <n v="1465"/>
    <n v="-4.3415691945099297"/>
  </r>
  <r>
    <s v="ORD349"/>
    <d v="2024-10-29T05:00:00"/>
    <s v="Delhi"/>
    <s v="CHICKEN__412"/>
    <x v="14"/>
    <s v="Burger"/>
    <n v="237"/>
    <n v="0"/>
    <n v="237"/>
    <n v="2"/>
    <n v="142.54547490569399"/>
    <n v="474"/>
    <n v="285.09094981138901"/>
    <n v="188.90905018861"/>
    <s v="None"/>
    <n v="474"/>
    <n v="-188.90905018861099"/>
  </r>
  <r>
    <s v="ORD350"/>
    <d v="2025-01-28T03:00:00"/>
    <s v="Hyderabad"/>
    <s v="CHICKEN__446"/>
    <x v="7"/>
    <s v="Pizza"/>
    <n v="247"/>
    <n v="0.05"/>
    <n v="234.64999999999901"/>
    <n v="7"/>
    <n v="166.249383465905"/>
    <n v="1642.54999999999"/>
    <n v="1163.7456842613301"/>
    <n v="478.80431573866099"/>
    <s v="None"/>
    <n v="1729"/>
    <n v="-478.80431573865985"/>
  </r>
  <r>
    <s v="ORD351"/>
    <d v="2025-04-16T06:00:00"/>
    <s v="Pune"/>
    <s v="COKE_688"/>
    <x v="8"/>
    <s v="Drinks"/>
    <n v="188"/>
    <n v="0.1"/>
    <n v="169.2"/>
    <n v="5"/>
    <n v="123.56465725129"/>
    <n v="846"/>
    <n v="617.82328625645096"/>
    <n v="228.17671374354799"/>
    <s v="None"/>
    <n v="940"/>
    <n v="-228.17671374354904"/>
  </r>
  <r>
    <s v="ORD352"/>
    <d v="2025-07-08T00:00:00"/>
    <s v="Mumbai"/>
    <s v="FRIES_636"/>
    <x v="2"/>
    <s v="Snacks"/>
    <n v="325"/>
    <n v="0.1"/>
    <n v="292.5"/>
    <n v="1"/>
    <n v="208.944480854528"/>
    <n v="292.5"/>
    <n v="208.944480854528"/>
    <n v="83.555519145471806"/>
    <s v="None"/>
    <n v="325"/>
    <n v="-83.555519145472005"/>
  </r>
  <r>
    <s v="ORD353"/>
    <d v="2025-07-05T21:00:00"/>
    <s v="Chennai"/>
    <s v="SPRITE_933"/>
    <x v="3"/>
    <s v="Drinks"/>
    <n v="328"/>
    <n v="0"/>
    <n v="328"/>
    <n v="6"/>
    <n v="133.949031253051"/>
    <n v="1968"/>
    <n v="803.69418751830904"/>
    <n v="1164.3058124816901"/>
    <s v="Percent-Off"/>
    <n v="1968"/>
    <n v="-1164.305812481691"/>
  </r>
  <r>
    <s v="ORD354"/>
    <d v="2025-04-09T15:00:00"/>
    <s v="Hyderabad"/>
    <s v="CHEESE_B_992"/>
    <x v="5"/>
    <s v="Burger"/>
    <n v="304"/>
    <n v="0"/>
    <n v="304"/>
    <n v="2"/>
    <n v="197.61366039646001"/>
    <n v="608"/>
    <n v="395.22732079292098"/>
    <n v="212.772679207078"/>
    <s v="None"/>
    <n v="608"/>
    <n v="-212.77267920707902"/>
  </r>
  <r>
    <s v="ORD355"/>
    <d v="2025-03-11T17:00:00"/>
    <s v="Chennai"/>
    <s v="SPRITE_590"/>
    <x v="3"/>
    <s v="Drinks"/>
    <n v="80"/>
    <n v="0"/>
    <n v="80"/>
    <n v="5"/>
    <n v="45.8465915033714"/>
    <n v="400"/>
    <n v="229.232957516857"/>
    <n v="170.76704248314201"/>
    <s v="Coupon"/>
    <n v="400"/>
    <n v="-170.767042483143"/>
  </r>
  <r>
    <s v="ORD356"/>
    <d v="2024-04-13T07:00:00"/>
    <s v="Delhi"/>
    <s v="MARGHERI_141"/>
    <x v="16"/>
    <s v="Pizza"/>
    <n v="290"/>
    <n v="0.15"/>
    <n v="246.5"/>
    <n v="6"/>
    <n v="208.67370888932001"/>
    <n v="1479"/>
    <n v="1252.0422533359199"/>
    <n v="226.95774666407701"/>
    <s v="None"/>
    <n v="1740"/>
    <n v="-226.9577466640801"/>
  </r>
  <r>
    <s v="ORD357"/>
    <d v="2024-07-04T12:00:00"/>
    <s v="Mumbai"/>
    <s v="CHICKEN__169"/>
    <x v="7"/>
    <s v="Pizza"/>
    <n v="113"/>
    <n v="0.1"/>
    <n v="101.7"/>
    <n v="5"/>
    <n v="68.455068945294499"/>
    <n v="508.5"/>
    <n v="342.27534472647199"/>
    <n v="166.22465527352699"/>
    <s v="Coupon"/>
    <n v="565"/>
    <n v="-166.22465527352801"/>
  </r>
  <r>
    <s v="ORD358"/>
    <d v="2024-09-02T01:00:00"/>
    <s v="Hyderabad"/>
    <s v="CHICKEN__480"/>
    <x v="14"/>
    <s v="Burger"/>
    <n v="89"/>
    <n v="0.1"/>
    <n v="80.099999999999994"/>
    <n v="4"/>
    <n v="53.635153690161602"/>
    <n v="320.39999999999998"/>
    <n v="214.54061476064601"/>
    <n v="105.859385239353"/>
    <s v="Percent-Off"/>
    <n v="356"/>
    <n v="-105.85938523935397"/>
  </r>
  <r>
    <s v="ORD359"/>
    <d v="2025-08-09T05:00:00"/>
    <s v="Delhi"/>
    <s v="ONION_RI_371"/>
    <x v="17"/>
    <s v="Snacks"/>
    <n v="247"/>
    <n v="0.15"/>
    <n v="209.95"/>
    <n v="1"/>
    <n v="124.17608280805101"/>
    <n v="209.95"/>
    <n v="124.17608280805101"/>
    <n v="85.773917191948698"/>
    <s v="None"/>
    <n v="247"/>
    <n v="-85.773917191948982"/>
  </r>
  <r>
    <s v="ORD360"/>
    <d v="2024-04-28T17:00:00"/>
    <s v="Mumbai"/>
    <s v="COKE_704"/>
    <x v="8"/>
    <s v="Drinks"/>
    <n v="326"/>
    <n v="0.15"/>
    <n v="277.099999999999"/>
    <n v="7"/>
    <n v="206.051403944811"/>
    <n v="1939.69999999999"/>
    <n v="1442.3598276136699"/>
    <n v="497.34017238632202"/>
    <s v="Percent-Off"/>
    <n v="2282"/>
    <n v="-497.34017238632009"/>
  </r>
  <r>
    <s v="ORD361"/>
    <d v="2024-11-03T22:00:00"/>
    <s v="Bangalore"/>
    <s v="COLD_COF_710"/>
    <x v="15"/>
    <s v="Drinks"/>
    <n v="270"/>
    <n v="0"/>
    <n v="270"/>
    <n v="1"/>
    <n v="121.006009900645"/>
    <n v="270"/>
    <n v="121.006009900645"/>
    <n v="148.99399009935399"/>
    <s v="Percent-Off"/>
    <n v="270"/>
    <n v="-148.99399009935502"/>
  </r>
  <r>
    <s v="ORD362"/>
    <d v="2025-05-11T18:00:00"/>
    <s v="Hyderabad"/>
    <s v="FRIES_298"/>
    <x v="2"/>
    <s v="Snacks"/>
    <n v="347"/>
    <n v="0.05"/>
    <n v="329.65"/>
    <n v="4"/>
    <n v="230.864009131812"/>
    <n v="1318.6"/>
    <n v="923.45603652724901"/>
    <n v="395.14396347274999"/>
    <s v="None"/>
    <n v="1388"/>
    <n v="-395.1439634727509"/>
  </r>
  <r>
    <s v="ORD363"/>
    <d v="2024-04-13T17:00:00"/>
    <s v="Pune"/>
    <s v="CHICKEN__305"/>
    <x v="7"/>
    <s v="Pizza"/>
    <n v="182"/>
    <n v="0"/>
    <n v="182"/>
    <n v="7"/>
    <n v="78.133278540748705"/>
    <n v="1274"/>
    <n v="546.93294978524"/>
    <n v="727.06705021475898"/>
    <s v="None"/>
    <n v="1274"/>
    <n v="-727.06705021476"/>
  </r>
  <r>
    <s v="ORD364"/>
    <d v="2025-02-13T07:00:00"/>
    <s v="Delhi"/>
    <s v="GULAB_JA_592"/>
    <x v="11"/>
    <s v="Dessert"/>
    <n v="302"/>
    <n v="0.15"/>
    <n v="256.7"/>
    <n v="2"/>
    <n v="155.52859644292801"/>
    <n v="513.4"/>
    <n v="311.05719288585698"/>
    <n v="202.342807114142"/>
    <s v="Coupon"/>
    <n v="604"/>
    <n v="-202.342807114143"/>
  </r>
  <r>
    <s v="ORD365"/>
    <d v="2025-01-18T15:00:00"/>
    <s v="Chennai"/>
    <s v="VEG_BURG_951"/>
    <x v="0"/>
    <s v="Burger"/>
    <n v="149"/>
    <n v="0.05"/>
    <n v="141.54999999999899"/>
    <n v="3"/>
    <n v="81.892379443892807"/>
    <n v="424.65"/>
    <n v="245.67713833167801"/>
    <n v="178.972861668321"/>
    <s v="BOGO"/>
    <n v="447"/>
    <n v="-178.97286166832197"/>
  </r>
  <r>
    <s v="ORD366"/>
    <d v="2025-02-01T12:00:00"/>
    <s v="Delhi"/>
    <s v="SPRITE_591"/>
    <x v="3"/>
    <s v="Drinks"/>
    <n v="223"/>
    <n v="0.2"/>
    <n v="178.4"/>
    <n v="1"/>
    <n v="118.096622092681"/>
    <n v="178.4"/>
    <n v="118.096622092681"/>
    <n v="60.303377907318698"/>
    <s v="Percent-Off"/>
    <n v="223"/>
    <n v="-60.303377907319003"/>
  </r>
  <r>
    <s v="ORD367"/>
    <d v="2025-11-12T20:00:00"/>
    <s v="Chennai"/>
    <s v="VEG_BURG_331"/>
    <x v="0"/>
    <s v="Burger"/>
    <n v="179"/>
    <n v="0.05"/>
    <n v="170.04999999999899"/>
    <n v="3"/>
    <n v="120.966328869471"/>
    <n v="510.15"/>
    <n v="362.89898660841499"/>
    <n v="147.251013391584"/>
    <s v="Percent-Off"/>
    <n v="537"/>
    <n v="-147.25101339158499"/>
  </r>
  <r>
    <s v="ORD368"/>
    <d v="2024-07-11T03:00:00"/>
    <s v="Bangalore"/>
    <s v="CHICKEN__621"/>
    <x v="7"/>
    <s v="Pizza"/>
    <n v="121"/>
    <n v="0.1"/>
    <n v="108.9"/>
    <n v="5"/>
    <n v="84.765865434707706"/>
    <n v="544.5"/>
    <n v="423.82932717353799"/>
    <n v="120.670672826461"/>
    <s v="BOGO"/>
    <n v="605"/>
    <n v="-120.67067282646201"/>
  </r>
  <r>
    <s v="ORD369"/>
    <d v="2024-09-01T22:00:00"/>
    <s v="Delhi"/>
    <s v="SPRITE_785"/>
    <x v="3"/>
    <s v="Drinks"/>
    <n v="294"/>
    <n v="0.25"/>
    <n v="220.5"/>
    <n v="6"/>
    <n v="151.72337377319599"/>
    <n v="1323"/>
    <n v="910.34024263917604"/>
    <n v="412.65975736082299"/>
    <s v="Coupon"/>
    <n v="1764"/>
    <n v="-412.65975736082396"/>
  </r>
  <r>
    <s v="ORD370"/>
    <d v="2025-11-12T03:00:00"/>
    <s v="Pune"/>
    <s v="SPRITE_665"/>
    <x v="3"/>
    <s v="Drinks"/>
    <n v="154"/>
    <n v="0.25"/>
    <n v="115.5"/>
    <n v="6"/>
    <n v="85.607573187601901"/>
    <n v="693"/>
    <n v="513.64543912561101"/>
    <n v="179.354560874388"/>
    <s v="Coupon"/>
    <n v="924"/>
    <n v="-179.35456087438899"/>
  </r>
  <r>
    <s v="ORD371"/>
    <d v="2024-02-05T11:00:00"/>
    <s v="Pune"/>
    <s v="CHICKEN__996"/>
    <x v="7"/>
    <s v="Pizza"/>
    <n v="191"/>
    <n v="0.05"/>
    <n v="181.45"/>
    <n v="3"/>
    <n v="130.096921876842"/>
    <n v="544.349999999999"/>
    <n v="390.29076563052598"/>
    <n v="154.05923436947299"/>
    <s v="Coupon"/>
    <n v="573"/>
    <n v="-154.05923436947302"/>
  </r>
  <r>
    <s v="ORD372"/>
    <d v="2024-10-11T17:00:00"/>
    <s v="Bangalore"/>
    <s v="PEPPY_PA_100"/>
    <x v="10"/>
    <s v="Pizza"/>
    <n v="275"/>
    <n v="0.15"/>
    <n v="233.75"/>
    <n v="3"/>
    <n v="126.2526270994"/>
    <n v="701.25"/>
    <n v="378.75788129820103"/>
    <n v="322.49211870179801"/>
    <s v="None"/>
    <n v="825"/>
    <n v="-322.49211870179897"/>
  </r>
  <r>
    <s v="ORD373"/>
    <d v="2025-05-12T10:00:00"/>
    <s v="Pune"/>
    <s v="GRILLED__789"/>
    <x v="1"/>
    <s v="Sandwich"/>
    <n v="251"/>
    <n v="0"/>
    <n v="251"/>
    <n v="3"/>
    <n v="173.881446608478"/>
    <n v="753"/>
    <n v="521.64433982543403"/>
    <n v="231.355660174565"/>
    <s v="None"/>
    <n v="753"/>
    <n v="-231.35566017456597"/>
  </r>
  <r>
    <s v="ORD374"/>
    <d v="2024-04-11T03:00:00"/>
    <s v="Bangalore"/>
    <s v="BROWNIE_471"/>
    <x v="12"/>
    <s v="Dessert"/>
    <n v="266"/>
    <n v="0.15"/>
    <n v="226.1"/>
    <n v="3"/>
    <n v="180.23416794130799"/>
    <n v="678.3"/>
    <n v="540.70250382392396"/>
    <n v="137.597496176075"/>
    <s v="Percent-Off"/>
    <n v="798"/>
    <n v="-137.59749617607599"/>
  </r>
  <r>
    <s v="ORD375"/>
    <d v="2024-06-15T16:00:00"/>
    <s v="Hyderabad"/>
    <s v="SPRITE_762"/>
    <x v="3"/>
    <s v="Drinks"/>
    <n v="332"/>
    <n v="0"/>
    <n v="332"/>
    <n v="7"/>
    <n v="234.972284425444"/>
    <n v="2324"/>
    <n v="1644.8059909781"/>
    <n v="679.19400902189"/>
    <s v="Coupon"/>
    <n v="2324"/>
    <n v="-679.1940090219"/>
  </r>
  <r>
    <s v="ORD376"/>
    <d v="2024-07-29T12:00:00"/>
    <s v="Bangalore"/>
    <s v="CLUB_SAN_801"/>
    <x v="13"/>
    <s v="Sandwich"/>
    <n v="158"/>
    <n v="0"/>
    <n v="158"/>
    <n v="7"/>
    <n v="110.896056859307"/>
    <n v="1106"/>
    <n v="776.27239801515304"/>
    <n v="329.72760198484599"/>
    <s v="Percent-Off"/>
    <n v="1106"/>
    <n v="-329.72760198484696"/>
  </r>
  <r>
    <s v="ORD377"/>
    <d v="2024-04-24T02:00:00"/>
    <s v="Pune"/>
    <s v="SPRITE_100"/>
    <x v="3"/>
    <s v="Drinks"/>
    <n v="268"/>
    <n v="0"/>
    <n v="268"/>
    <n v="6"/>
    <n v="192.700081286216"/>
    <n v="1608"/>
    <n v="1156.2004877172999"/>
    <n v="451.79951228269903"/>
    <s v="None"/>
    <n v="1608"/>
    <n v="-451.79951228270011"/>
  </r>
  <r>
    <s v="ORD378"/>
    <d v="2024-08-12T11:00:00"/>
    <s v="Pune"/>
    <s v="COKE_649"/>
    <x v="8"/>
    <s v="Drinks"/>
    <n v="177"/>
    <n v="0"/>
    <n v="177"/>
    <n v="7"/>
    <n v="125.310711125738"/>
    <n v="1239"/>
    <n v="877.17497788016999"/>
    <n v="361.82502211983001"/>
    <s v="None"/>
    <n v="1239"/>
    <n v="-361.82502211983001"/>
  </r>
  <r>
    <s v="ORD379"/>
    <d v="2024-11-29T10:00:00"/>
    <s v="Pune"/>
    <s v="CLUB_SAN_439"/>
    <x v="13"/>
    <s v="Sandwich"/>
    <n v="288"/>
    <n v="0.1"/>
    <n v="259.2"/>
    <n v="1"/>
    <n v="175.212930111812"/>
    <n v="259.2"/>
    <n v="175.212930111812"/>
    <n v="83.987069888187193"/>
    <s v="None"/>
    <n v="288"/>
    <n v="-83.987069888187989"/>
  </r>
  <r>
    <s v="ORD380"/>
    <d v="2024-08-18T16:00:00"/>
    <s v="Mumbai"/>
    <s v="ICE_CREA_602"/>
    <x v="6"/>
    <s v="Dessert"/>
    <n v="201"/>
    <n v="0.15"/>
    <n v="170.85"/>
    <n v="3"/>
    <n v="112.62231317667499"/>
    <n v="512.54999999999995"/>
    <n v="337.86693953002498"/>
    <n v="174.68306046997401"/>
    <s v="BOGO"/>
    <n v="603"/>
    <n v="-174.68306046997498"/>
  </r>
  <r>
    <s v="ORD381"/>
    <d v="2025-07-15T15:00:00"/>
    <s v="Bangalore"/>
    <s v="GULAB_JA_716"/>
    <x v="11"/>
    <s v="Dessert"/>
    <n v="160"/>
    <n v="0"/>
    <n v="160"/>
    <n v="5"/>
    <n v="78.537783887674706"/>
    <n v="800"/>
    <n v="392.68891943837298"/>
    <n v="407.311080561626"/>
    <s v="Coupon"/>
    <n v="800"/>
    <n v="-407.31108056162702"/>
  </r>
  <r>
    <s v="ORD382"/>
    <d v="2024-06-12T01:00:00"/>
    <s v="Chennai"/>
    <s v="COKE_377"/>
    <x v="8"/>
    <s v="Drinks"/>
    <n v="264"/>
    <n v="0"/>
    <n v="264"/>
    <n v="3"/>
    <n v="190.146142087871"/>
    <n v="792"/>
    <n v="570.43842626361402"/>
    <n v="221.56157373638499"/>
    <s v="Percent-Off"/>
    <n v="792"/>
    <n v="-221.56157373638598"/>
  </r>
  <r>
    <s v="ORD383"/>
    <d v="2025-12-28T02:00:00"/>
    <s v="Delhi"/>
    <s v="GRILLED__315"/>
    <x v="1"/>
    <s v="Sandwich"/>
    <n v="176"/>
    <n v="0.15"/>
    <n v="149.6"/>
    <n v="1"/>
    <n v="84.6814235696271"/>
    <n v="149.6"/>
    <n v="84.6814235696271"/>
    <n v="64.918576430372795"/>
    <s v="None"/>
    <n v="176"/>
    <n v="-64.918576430372894"/>
  </r>
  <r>
    <s v="ORD384"/>
    <d v="2025-03-19T04:00:00"/>
    <s v="Delhi"/>
    <s v="CHICKEN__538"/>
    <x v="7"/>
    <s v="Pizza"/>
    <n v="250"/>
    <n v="0.15"/>
    <n v="212.5"/>
    <n v="1"/>
    <n v="162.887834910442"/>
    <n v="212.5"/>
    <n v="162.887834910442"/>
    <n v="49.612165089557202"/>
    <s v="None"/>
    <n v="250"/>
    <n v="-49.612165089558005"/>
  </r>
  <r>
    <s v="ORD385"/>
    <d v="2024-08-26T14:00:00"/>
    <s v="Mumbai"/>
    <s v="CLUB_SAN_793"/>
    <x v="13"/>
    <s v="Sandwich"/>
    <n v="166"/>
    <n v="0.2"/>
    <n v="132.80000000000001"/>
    <n v="1"/>
    <n v="89.164212977257606"/>
    <n v="132.80000000000001"/>
    <n v="89.164212977257606"/>
    <n v="43.635787022742299"/>
    <s v="None"/>
    <n v="166"/>
    <n v="-43.635787022742406"/>
  </r>
  <r>
    <s v="ORD386"/>
    <d v="2024-05-20T13:00:00"/>
    <s v="Chennai"/>
    <s v="GULAB_JA_598"/>
    <x v="11"/>
    <s v="Dessert"/>
    <n v="268"/>
    <n v="0.1"/>
    <n v="241.2"/>
    <n v="7"/>
    <n v="179.72461241807099"/>
    <n v="1688.4"/>
    <n v="1258.0722869265001"/>
    <n v="430.32771307349901"/>
    <s v="None"/>
    <n v="1876"/>
    <n v="-430.32771307350004"/>
  </r>
  <r>
    <s v="ORD387"/>
    <d v="2025-05-21T17:00:00"/>
    <s v="Chennai"/>
    <s v="PEPPY_PA_569"/>
    <x v="10"/>
    <s v="Pizza"/>
    <n v="275"/>
    <n v="0"/>
    <n v="275"/>
    <n v="2"/>
    <n v="204.98873474362301"/>
    <n v="550"/>
    <n v="409.97746948724699"/>
    <n v="140.02253051275201"/>
    <s v="BOGO"/>
    <n v="550"/>
    <n v="-140.02253051275301"/>
  </r>
  <r>
    <s v="ORD388"/>
    <d v="2024-03-27T18:00:00"/>
    <s v="Chennai"/>
    <s v="GARLIC_B_620"/>
    <x v="4"/>
    <s v="Snacks"/>
    <n v="131"/>
    <n v="0.25"/>
    <n v="98.25"/>
    <n v="5"/>
    <n v="84.7871560537383"/>
    <n v="491.25"/>
    <n v="423.93578026869102"/>
    <n v="67.314219731308299"/>
    <s v="None"/>
    <n v="655"/>
    <n v="-67.314219731308981"/>
  </r>
  <r>
    <s v="ORD389"/>
    <d v="2025-11-09T09:00:00"/>
    <s v="Delhi"/>
    <s v="COLD_COF_793"/>
    <x v="15"/>
    <s v="Drinks"/>
    <n v="277"/>
    <n v="0.05"/>
    <n v="263.14999999999998"/>
    <n v="3"/>
    <n v="110.857970170033"/>
    <n v="789.44999999999902"/>
    <n v="332.57391051010001"/>
    <n v="456.87608948989902"/>
    <s v="None"/>
    <n v="831"/>
    <n v="-456.87608948989902"/>
  </r>
  <r>
    <s v="ORD390"/>
    <d v="2025-09-29T17:00:00"/>
    <s v="Bangalore"/>
    <s v="CHICKEN__673"/>
    <x v="7"/>
    <s v="Pizza"/>
    <n v="162"/>
    <n v="0.1"/>
    <n v="145.80000000000001"/>
    <n v="1"/>
    <n v="81.320172829900102"/>
    <n v="145.80000000000001"/>
    <n v="81.320172829900102"/>
    <n v="64.479827170099895"/>
    <s v="None"/>
    <n v="162"/>
    <n v="-64.479827170099909"/>
  </r>
  <r>
    <s v="ORD391"/>
    <d v="2025-02-13T01:00:00"/>
    <s v="Mumbai"/>
    <s v="GRILLED__642"/>
    <x v="1"/>
    <s v="Sandwich"/>
    <n v="291"/>
    <n v="0.2"/>
    <n v="232.8"/>
    <n v="3"/>
    <n v="150.026383539644"/>
    <n v="698.4"/>
    <n v="450.07915061893198"/>
    <n v="248.32084938106701"/>
    <s v="None"/>
    <n v="873"/>
    <n v="-248.320849381068"/>
  </r>
  <r>
    <s v="ORD392"/>
    <d v="2025-04-14T05:00:00"/>
    <s v="Chennai"/>
    <s v="CHICKEN__539"/>
    <x v="7"/>
    <s v="Pizza"/>
    <n v="201"/>
    <n v="0.05"/>
    <n v="190.95"/>
    <n v="6"/>
    <n v="127.817133579087"/>
    <n v="1145.69999999999"/>
    <n v="766.90280147452199"/>
    <n v="378.79719852547697"/>
    <s v="None"/>
    <n v="1206"/>
    <n v="-378.79719852546805"/>
  </r>
  <r>
    <s v="ORD393"/>
    <d v="2024-01-18T09:00:00"/>
    <s v="Delhi"/>
    <s v="CHICKEN__919"/>
    <x v="7"/>
    <s v="Pizza"/>
    <n v="136"/>
    <n v="0"/>
    <n v="136"/>
    <n v="3"/>
    <n v="90.618172537163801"/>
    <n v="408"/>
    <n v="271.85451761149102"/>
    <n v="136.14548238850799"/>
    <s v="Percent-Off"/>
    <n v="408"/>
    <n v="-136.14548238850898"/>
  </r>
  <r>
    <s v="ORD394"/>
    <d v="2025-01-02T00:00:00"/>
    <s v="Hyderabad"/>
    <s v="VEG_SAND_990"/>
    <x v="9"/>
    <s v="Sandwich"/>
    <n v="258"/>
    <n v="0.1"/>
    <n v="232.2"/>
    <n v="5"/>
    <n v="180.82597468533999"/>
    <n v="1161"/>
    <n v="904.12987342670203"/>
    <n v="256.870126573297"/>
    <s v="Percent-Off"/>
    <n v="1290"/>
    <n v="-256.87012657329797"/>
  </r>
  <r>
    <s v="ORD395"/>
    <d v="2024-05-16T03:00:00"/>
    <s v="Bangalore"/>
    <s v="PEPPY_PA_634"/>
    <x v="10"/>
    <s v="Pizza"/>
    <n v="144"/>
    <n v="0.2"/>
    <n v="115.2"/>
    <n v="3"/>
    <n v="58.3248142936013"/>
    <n v="345.6"/>
    <n v="174.974442880803"/>
    <n v="170.625557119196"/>
    <s v="Bundle"/>
    <n v="432"/>
    <n v="-170.62555711919703"/>
  </r>
  <r>
    <s v="ORD396"/>
    <d v="2025-12-18T01:00:00"/>
    <s v="Chennai"/>
    <s v="GULAB_JA_689"/>
    <x v="11"/>
    <s v="Dessert"/>
    <n v="187"/>
    <n v="0.05"/>
    <n v="177.65"/>
    <n v="6"/>
    <n v="137.14222388485601"/>
    <n v="1065.9000000000001"/>
    <n v="822.853343309141"/>
    <n v="243.04665669085799"/>
    <s v="None"/>
    <n v="1122"/>
    <n v="-243.04665669085909"/>
  </r>
  <r>
    <s v="ORD397"/>
    <d v="2024-08-27T09:00:00"/>
    <s v="Chennai"/>
    <s v="SPRITE_249"/>
    <x v="3"/>
    <s v="Drinks"/>
    <n v="89"/>
    <n v="0"/>
    <n v="89"/>
    <n v="1"/>
    <n v="51.279200818381597"/>
    <n v="89"/>
    <n v="51.279200818381597"/>
    <n v="37.720799181618297"/>
    <s v="BOGO"/>
    <n v="89"/>
    <n v="-37.720799181618403"/>
  </r>
  <r>
    <s v="ORD398"/>
    <d v="2025-04-17T10:00:00"/>
    <s v="Chennai"/>
    <s v="FRIES_144"/>
    <x v="2"/>
    <s v="Snacks"/>
    <n v="318"/>
    <n v="0.1"/>
    <n v="286.2"/>
    <n v="6"/>
    <n v="215.475206275288"/>
    <n v="1717.19999999999"/>
    <n v="1292.8512376517201"/>
    <n v="424.34876234826999"/>
    <s v="None"/>
    <n v="1908"/>
    <n v="-424.34876234826993"/>
  </r>
  <r>
    <s v="ORD399"/>
    <d v="2024-01-18T04:00:00"/>
    <s v="Pune"/>
    <s v="VEG_BURG_666"/>
    <x v="0"/>
    <s v="Burger"/>
    <n v="123"/>
    <n v="0"/>
    <n v="123"/>
    <n v="1"/>
    <n v="51.055459690225298"/>
    <n v="123"/>
    <n v="51.055459690225298"/>
    <n v="71.944540309774595"/>
    <s v="None"/>
    <n v="123"/>
    <n v="-71.944540309774709"/>
  </r>
  <r>
    <s v="ORD400"/>
    <d v="2024-11-10T07:00:00"/>
    <s v="Chennai"/>
    <s v="COKE_730"/>
    <x v="8"/>
    <s v="Drinks"/>
    <n v="209"/>
    <n v="0.2"/>
    <n v="167.2"/>
    <n v="1"/>
    <n v="120.770566720358"/>
    <n v="167.2"/>
    <n v="120.770566720358"/>
    <n v="46.429433279641003"/>
    <s v="None"/>
    <n v="209"/>
    <n v="-46.429433279641984"/>
  </r>
  <r>
    <s v="ORD401"/>
    <d v="2024-11-12T03:00:00"/>
    <s v="Delhi"/>
    <s v="COLD_COF_762"/>
    <x v="15"/>
    <s v="Drinks"/>
    <n v="146"/>
    <n v="0"/>
    <n v="146"/>
    <n v="2"/>
    <n v="81.409434923790897"/>
    <n v="292"/>
    <n v="162.818869847581"/>
    <n v="129.18113015241801"/>
    <s v="BOGO"/>
    <n v="292"/>
    <n v="-129.181130152419"/>
  </r>
  <r>
    <s v="ORD402"/>
    <d v="2024-01-31T08:00:00"/>
    <s v="Chennai"/>
    <s v="CHICKEN__202"/>
    <x v="7"/>
    <s v="Pizza"/>
    <n v="184"/>
    <n v="0.05"/>
    <n v="174.79999999999899"/>
    <n v="6"/>
    <n v="116.838551078256"/>
    <n v="1048.8"/>
    <n v="701.031306469539"/>
    <n v="347.76869353045998"/>
    <s v="Coupon"/>
    <n v="1104"/>
    <n v="-347.76869353046095"/>
  </r>
  <r>
    <s v="ORD403"/>
    <d v="2025-04-30T17:00:00"/>
    <s v="Mumbai"/>
    <s v="PEPPY_PA_726"/>
    <x v="10"/>
    <s v="Pizza"/>
    <n v="307"/>
    <n v="0.1"/>
    <n v="276.3"/>
    <n v="4"/>
    <n v="137.012273437331"/>
    <n v="1105.2"/>
    <n v="548.04909374932697"/>
    <n v="557.15090625067205"/>
    <s v="None"/>
    <n v="1228"/>
    <n v="-557.15090625067307"/>
  </r>
  <r>
    <s v="ORD404"/>
    <d v="2024-09-06T12:00:00"/>
    <s v="Chennai"/>
    <s v="COKE_286"/>
    <x v="8"/>
    <s v="Drinks"/>
    <n v="111"/>
    <n v="0.05"/>
    <n v="105.44999999999899"/>
    <n v="3"/>
    <n v="72.087059297627206"/>
    <n v="316.349999999999"/>
    <n v="216.26117789288099"/>
    <n v="100.08882210711801"/>
    <s v="Percent-Off"/>
    <n v="333"/>
    <n v="-100.08882210711801"/>
  </r>
  <r>
    <s v="ORD405"/>
    <d v="2024-05-03T15:00:00"/>
    <s v="Hyderabad"/>
    <s v="CHICKEN__889"/>
    <x v="7"/>
    <s v="Pizza"/>
    <n v="193"/>
    <n v="0.25"/>
    <n v="144.75"/>
    <n v="7"/>
    <n v="90.665787813778394"/>
    <n v="1013.25"/>
    <n v="634.66051469644799"/>
    <n v="378.58948530355099"/>
    <s v="None"/>
    <n v="1351"/>
    <n v="-378.58948530355201"/>
  </r>
  <r>
    <s v="ORD406"/>
    <d v="2025-08-28T07:00:00"/>
    <s v="Delhi"/>
    <s v="CHICKEN__528"/>
    <x v="14"/>
    <s v="Burger"/>
    <n v="153"/>
    <n v="0.15"/>
    <n v="130.04999999999899"/>
    <n v="3"/>
    <n v="65.862663058664793"/>
    <n v="390.15"/>
    <n v="197.58798917599401"/>
    <n v="192.562010824005"/>
    <s v="Coupon"/>
    <n v="459"/>
    <n v="-192.56201082400597"/>
  </r>
  <r>
    <s v="ORD407"/>
    <d v="2025-10-30T16:00:00"/>
    <s v="Delhi"/>
    <s v="MARGHERI_417"/>
    <x v="16"/>
    <s v="Pizza"/>
    <n v="224"/>
    <n v="0"/>
    <n v="224"/>
    <n v="1"/>
    <n v="90.074088185623907"/>
    <n v="224"/>
    <n v="90.074088185623907"/>
    <n v="133.92591181437601"/>
    <s v="Percent-Off"/>
    <n v="224"/>
    <n v="-133.92591181437609"/>
  </r>
  <r>
    <s v="ORD408"/>
    <d v="2025-12-30T10:00:00"/>
    <s v="Bangalore"/>
    <s v="FRIES_440"/>
    <x v="2"/>
    <s v="Snacks"/>
    <n v="196"/>
    <n v="0.1"/>
    <n v="176.4"/>
    <n v="6"/>
    <n v="92.517494261474297"/>
    <n v="1058.4000000000001"/>
    <n v="555.10496556884596"/>
    <n v="503.29503443115402"/>
    <s v="Coupon"/>
    <n v="1176"/>
    <n v="-503.29503443115414"/>
  </r>
  <r>
    <s v="ORD409"/>
    <d v="2024-07-30T09:00:00"/>
    <s v="Hyderabad"/>
    <s v="CHEESE_B_200"/>
    <x v="5"/>
    <s v="Burger"/>
    <n v="231"/>
    <n v="0"/>
    <n v="231"/>
    <n v="1"/>
    <n v="108.202779329785"/>
    <n v="231"/>
    <n v="108.202779329785"/>
    <n v="122.797220670214"/>
    <s v="Coupon"/>
    <n v="231"/>
    <n v="-122.797220670215"/>
  </r>
  <r>
    <s v="ORD410"/>
    <d v="2024-07-31T16:00:00"/>
    <s v="Bangalore"/>
    <s v="CHEESE_B_503"/>
    <x v="5"/>
    <s v="Burger"/>
    <n v="93"/>
    <n v="0.2"/>
    <n v="74.400000000000006"/>
    <n v="7"/>
    <n v="37.324899086278897"/>
    <n v="520.79999999999995"/>
    <n v="261.274293603952"/>
    <n v="259.52570639604698"/>
    <s v="Coupon"/>
    <n v="651"/>
    <n v="-259.52570639604795"/>
  </r>
  <r>
    <s v="ORD411"/>
    <d v="2024-03-30T07:00:00"/>
    <s v="Bangalore"/>
    <s v="COKE_957"/>
    <x v="8"/>
    <s v="Drinks"/>
    <n v="158"/>
    <n v="0.1"/>
    <n v="142.19999999999999"/>
    <n v="4"/>
    <n v="75.751913232775095"/>
    <n v="568.79999999999995"/>
    <n v="303.00765293109998"/>
    <n v="265.79234706889901"/>
    <s v="Percent-Off"/>
    <n v="632"/>
    <n v="-265.79234706889997"/>
  </r>
  <r>
    <s v="ORD412"/>
    <d v="2024-11-02T13:00:00"/>
    <s v="Pune"/>
    <s v="SPRITE_230"/>
    <x v="3"/>
    <s v="Drinks"/>
    <n v="233"/>
    <n v="0.05"/>
    <n v="221.35"/>
    <n v="1"/>
    <n v="129.47771589708501"/>
    <n v="221.35"/>
    <n v="129.47771589708501"/>
    <n v="91.872284102913994"/>
    <s v="None"/>
    <n v="233"/>
    <n v="-91.872284102914989"/>
  </r>
  <r>
    <s v="ORD413"/>
    <d v="2025-05-16T19:00:00"/>
    <s v="Delhi"/>
    <s v="COKE_666"/>
    <x v="8"/>
    <s v="Drinks"/>
    <n v="155"/>
    <n v="0.2"/>
    <n v="124"/>
    <n v="7"/>
    <n v="101.33728042638199"/>
    <n v="868"/>
    <n v="709.36096298467601"/>
    <n v="158.639037015323"/>
    <s v="Percent-Off"/>
    <n v="1085"/>
    <n v="-158.63903701532399"/>
  </r>
  <r>
    <s v="ORD414"/>
    <d v="2024-05-23T08:00:00"/>
    <s v="Pune"/>
    <s v="MARGHERI_921"/>
    <x v="16"/>
    <s v="Pizza"/>
    <n v="197"/>
    <n v="0.15"/>
    <n v="167.45"/>
    <n v="6"/>
    <n v="116.349856188606"/>
    <n v="1004.69999999999"/>
    <n v="698.09913713163598"/>
    <n v="306.60086286836298"/>
    <s v="None"/>
    <n v="1182"/>
    <n v="-306.60086286835406"/>
  </r>
  <r>
    <s v="ORD415"/>
    <d v="2024-08-23T04:00:00"/>
    <s v="Hyderabad"/>
    <s v="CHEESE_B_233"/>
    <x v="5"/>
    <s v="Burger"/>
    <n v="345"/>
    <n v="0"/>
    <n v="345"/>
    <n v="2"/>
    <n v="208.44814842147599"/>
    <n v="690"/>
    <n v="416.89629684295198"/>
    <n v="273.10370315704699"/>
    <s v="Coupon"/>
    <n v="690"/>
    <n v="-273.10370315704802"/>
  </r>
  <r>
    <s v="ORD416"/>
    <d v="2025-03-14T06:00:00"/>
    <s v="Delhi"/>
    <s v="CHEESE_B_400"/>
    <x v="5"/>
    <s v="Burger"/>
    <n v="233"/>
    <n v="0"/>
    <n v="233"/>
    <n v="7"/>
    <n v="132.72643010615499"/>
    <n v="1631"/>
    <n v="929.08501074309095"/>
    <n v="701.91498925690803"/>
    <s v="None"/>
    <n v="1631"/>
    <n v="-701.91498925690905"/>
  </r>
  <r>
    <s v="ORD417"/>
    <d v="2025-08-29T08:00:00"/>
    <s v="Mumbai"/>
    <s v="COKE_655"/>
    <x v="8"/>
    <s v="Drinks"/>
    <n v="81"/>
    <n v="0.1"/>
    <n v="72.900000000000006"/>
    <n v="6"/>
    <n v="40.895607186906197"/>
    <n v="437.4"/>
    <n v="245.373643121437"/>
    <n v="192.02635687856201"/>
    <s v="Coupon"/>
    <n v="486"/>
    <n v="-192.02635687856298"/>
  </r>
  <r>
    <s v="ORD418"/>
    <d v="2024-05-01T10:00:00"/>
    <s v="Hyderabad"/>
    <s v="PEPPY_PA_677"/>
    <x v="10"/>
    <s v="Pizza"/>
    <n v="177"/>
    <n v="0.15"/>
    <n v="150.44999999999999"/>
    <n v="5"/>
    <n v="83.560463222577695"/>
    <n v="752.25"/>
    <n v="417.80231611288798"/>
    <n v="334.447683887111"/>
    <s v="None"/>
    <n v="885"/>
    <n v="-334.44768388711202"/>
  </r>
  <r>
    <s v="ORD419"/>
    <d v="2025-07-20T00:00:00"/>
    <s v="Mumbai"/>
    <s v="CHICKEN__695"/>
    <x v="14"/>
    <s v="Burger"/>
    <n v="284"/>
    <n v="0.15"/>
    <n v="241.4"/>
    <n v="6"/>
    <n v="127.353799168286"/>
    <n v="1448.4"/>
    <n v="764.12279500971601"/>
    <n v="684.27720499028305"/>
    <s v="Percent-Off"/>
    <n v="1704"/>
    <n v="-684.27720499028408"/>
  </r>
  <r>
    <s v="ORD420"/>
    <d v="2025-05-21T00:00:00"/>
    <s v="Bangalore"/>
    <s v="COLD_COF_773"/>
    <x v="15"/>
    <s v="Drinks"/>
    <n v="347"/>
    <n v="0.15"/>
    <n v="294.95"/>
    <n v="4"/>
    <n v="189.60145544230301"/>
    <n v="1179.8"/>
    <n v="758.40582176921498"/>
    <n v="421.39417823078401"/>
    <s v="Percent-Off"/>
    <n v="1388"/>
    <n v="-421.39417823078497"/>
  </r>
  <r>
    <s v="ORD421"/>
    <d v="2025-08-22T21:00:00"/>
    <s v="Bangalore"/>
    <s v="VEG_SAND_345"/>
    <x v="9"/>
    <s v="Sandwich"/>
    <n v="271"/>
    <n v="0"/>
    <n v="271"/>
    <n v="2"/>
    <n v="139.495893173469"/>
    <n v="542"/>
    <n v="278.99178634693902"/>
    <n v="263.00821365306001"/>
    <s v="Coupon"/>
    <n v="542"/>
    <n v="-263.00821365306098"/>
  </r>
  <r>
    <s v="ORD422"/>
    <d v="2025-01-01T03:00:00"/>
    <s v="Bangalore"/>
    <s v="COLD_COF_456"/>
    <x v="15"/>
    <s v="Drinks"/>
    <n v="127"/>
    <n v="0.1"/>
    <n v="114.3"/>
    <n v="4"/>
    <n v="89.455928489900998"/>
    <n v="457.2"/>
    <n v="357.82371395960399"/>
    <n v="99.376286040395797"/>
    <s v="BOGO"/>
    <n v="508"/>
    <n v="-99.376286040395996"/>
  </r>
  <r>
    <s v="ORD423"/>
    <d v="2025-08-14T07:00:00"/>
    <s v="Pune"/>
    <s v="GULAB_JA_392"/>
    <x v="11"/>
    <s v="Dessert"/>
    <n v="222"/>
    <n v="0.1"/>
    <n v="199.8"/>
    <n v="2"/>
    <n v="146.28773012685099"/>
    <n v="399.6"/>
    <n v="292.57546025370198"/>
    <n v="107.02453974629699"/>
    <s v="None"/>
    <n v="444"/>
    <n v="-107.02453974629805"/>
  </r>
  <r>
    <s v="ORD424"/>
    <d v="2024-01-31T08:00:00"/>
    <s v="Chennai"/>
    <s v="COKE_939"/>
    <x v="8"/>
    <s v="Drinks"/>
    <n v="96"/>
    <n v="0.1"/>
    <n v="86.4"/>
    <n v="5"/>
    <n v="66.507437929566294"/>
    <n v="432"/>
    <n v="332.53718964783098"/>
    <n v="99.462810352168205"/>
    <s v="Percent-Off"/>
    <n v="480"/>
    <n v="-99.462810352169015"/>
  </r>
  <r>
    <s v="ORD425"/>
    <d v="2024-01-30T02:00:00"/>
    <s v="Hyderabad"/>
    <s v="COLD_COF_218"/>
    <x v="15"/>
    <s v="Drinks"/>
    <n v="93"/>
    <n v="0.05"/>
    <n v="88.35"/>
    <n v="2"/>
    <n v="67.476877353175993"/>
    <n v="176.7"/>
    <n v="134.95375470635199"/>
    <n v="41.746245293647902"/>
    <s v="None"/>
    <n v="186"/>
    <n v="-41.746245293648002"/>
  </r>
  <r>
    <s v="ORD426"/>
    <d v="2024-10-26T10:00:00"/>
    <s v="Bangalore"/>
    <s v="SPRITE_868"/>
    <x v="3"/>
    <s v="Drinks"/>
    <n v="201"/>
    <n v="0"/>
    <n v="201"/>
    <n v="3"/>
    <n v="101.70023027393199"/>
    <n v="603"/>
    <n v="305.10069082179803"/>
    <n v="297.89930917820101"/>
    <s v="Coupon"/>
    <n v="603"/>
    <n v="-297.89930917820197"/>
  </r>
  <r>
    <s v="ORD427"/>
    <d v="2025-08-27T16:00:00"/>
    <s v="Pune"/>
    <s v="GARLIC_B_118"/>
    <x v="4"/>
    <s v="Snacks"/>
    <n v="185"/>
    <n v="0.15"/>
    <n v="157.25"/>
    <n v="1"/>
    <n v="136.79577148503699"/>
    <n v="157.25"/>
    <n v="136.79577148503699"/>
    <n v="20.454228514962399"/>
    <s v="Percent-Off"/>
    <n v="185"/>
    <n v="-20.454228514963006"/>
  </r>
  <r>
    <s v="ORD428"/>
    <d v="2025-08-03T03:00:00"/>
    <s v="Delhi"/>
    <s v="VEG_BURG_994"/>
    <x v="0"/>
    <s v="Burger"/>
    <n v="341"/>
    <n v="0"/>
    <n v="341"/>
    <n v="3"/>
    <n v="194.54875302612999"/>
    <n v="1023"/>
    <n v="583.64625907839104"/>
    <n v="439.35374092160799"/>
    <s v="None"/>
    <n v="1023"/>
    <n v="-439.35374092160896"/>
  </r>
  <r>
    <s v="ORD429"/>
    <d v="2025-11-30T03:00:00"/>
    <s v="Hyderabad"/>
    <s v="PEPPY_PA_211"/>
    <x v="10"/>
    <s v="Pizza"/>
    <n v="218"/>
    <n v="0"/>
    <n v="218"/>
    <n v="4"/>
    <n v="102.273515603267"/>
    <n v="872"/>
    <n v="409.09406241307101"/>
    <n v="462.90593758692802"/>
    <s v="None"/>
    <n v="872"/>
    <n v="-462.90593758692899"/>
  </r>
  <r>
    <s v="ORD430"/>
    <d v="2024-11-04T08:00:00"/>
    <s v="Delhi"/>
    <s v="CLUB_SAN_228"/>
    <x v="13"/>
    <s v="Sandwich"/>
    <n v="228"/>
    <n v="0"/>
    <n v="228"/>
    <n v="6"/>
    <n v="165.64284167210499"/>
    <n v="1368"/>
    <n v="993.85705003263195"/>
    <n v="374.14294996736697"/>
    <s v="BOGO"/>
    <n v="1368"/>
    <n v="-374.14294996736805"/>
  </r>
  <r>
    <s v="ORD431"/>
    <d v="2024-06-22T19:00:00"/>
    <s v="Chennai"/>
    <s v="CLUB_SAN_477"/>
    <x v="13"/>
    <s v="Sandwich"/>
    <n v="268"/>
    <n v="0.1"/>
    <n v="241.2"/>
    <n v="4"/>
    <n v="187.137522294717"/>
    <n v="964.8"/>
    <n v="748.55008917886801"/>
    <n v="216.24991082113101"/>
    <s v="None"/>
    <n v="1072"/>
    <n v="-216.24991082113195"/>
  </r>
  <r>
    <s v="ORD432"/>
    <d v="2024-06-30T16:00:00"/>
    <s v="Pune"/>
    <s v="SPRITE_156"/>
    <x v="3"/>
    <s v="Drinks"/>
    <n v="130"/>
    <n v="0"/>
    <n v="130"/>
    <n v="5"/>
    <n v="75.569474627612394"/>
    <n v="650"/>
    <n v="377.84737313806198"/>
    <n v="272.15262686193699"/>
    <s v="None"/>
    <n v="650"/>
    <n v="-272.15262686193802"/>
  </r>
  <r>
    <s v="ORD433"/>
    <d v="2024-04-14T06:00:00"/>
    <s v="Hyderabad"/>
    <s v="MARGHERI_915"/>
    <x v="16"/>
    <s v="Pizza"/>
    <n v="97"/>
    <n v="0"/>
    <n v="97"/>
    <n v="1"/>
    <n v="54.308964464680699"/>
    <n v="97"/>
    <n v="54.308964464680699"/>
    <n v="42.691035535319202"/>
    <s v="None"/>
    <n v="97"/>
    <n v="-42.691035535319301"/>
  </r>
  <r>
    <s v="ORD434"/>
    <d v="2025-12-13T13:00:00"/>
    <s v="Mumbai"/>
    <s v="SPRITE_156"/>
    <x v="3"/>
    <s v="Drinks"/>
    <n v="111"/>
    <n v="0"/>
    <n v="111"/>
    <n v="1"/>
    <n v="49.031325704356199"/>
    <n v="111"/>
    <n v="49.031325704356199"/>
    <n v="61.968674295643702"/>
    <s v="None"/>
    <n v="111"/>
    <n v="-61.968674295643801"/>
  </r>
  <r>
    <s v="ORD435"/>
    <d v="2024-08-16T14:00:00"/>
    <s v="Mumbai"/>
    <s v="CHEESE_B_786"/>
    <x v="5"/>
    <s v="Burger"/>
    <n v="143"/>
    <n v="0.1"/>
    <n v="128.69999999999999"/>
    <n v="1"/>
    <n v="99.441873270698295"/>
    <n v="128.69999999999999"/>
    <n v="99.441873270698295"/>
    <n v="29.258126729301601"/>
    <s v="None"/>
    <n v="143"/>
    <n v="-29.258126729301694"/>
  </r>
  <r>
    <s v="ORD436"/>
    <d v="2024-12-13T07:00:00"/>
    <s v="Pune"/>
    <s v="CHICKEN__641"/>
    <x v="7"/>
    <s v="Pizza"/>
    <n v="325"/>
    <n v="0.15"/>
    <n v="276.25"/>
    <n v="6"/>
    <n v="165.89189930043099"/>
    <n v="1657.5"/>
    <n v="995.35139580258999"/>
    <n v="662.14860419740899"/>
    <s v="None"/>
    <n v="1950"/>
    <n v="-662.14860419741001"/>
  </r>
  <r>
    <s v="ORD437"/>
    <d v="2024-07-06T03:00:00"/>
    <s v="Pune"/>
    <s v="CHEESE_B_907"/>
    <x v="5"/>
    <s v="Burger"/>
    <n v="218"/>
    <n v="0.25"/>
    <n v="163.5"/>
    <n v="2"/>
    <n v="153.204924882342"/>
    <n v="327"/>
    <n v="306.40984976468502"/>
    <n v="20.590150235314901"/>
    <s v="Coupon"/>
    <n v="436"/>
    <n v="-20.590150235314979"/>
  </r>
  <r>
    <s v="ORD438"/>
    <d v="2025-04-08T18:00:00"/>
    <s v="Chennai"/>
    <s v="SPRITE_819"/>
    <x v="3"/>
    <s v="Drinks"/>
    <n v="308"/>
    <n v="0.05"/>
    <n v="292.599999999999"/>
    <n v="2"/>
    <n v="204.88831320844201"/>
    <n v="585.19999999999902"/>
    <n v="409.77662641688403"/>
    <n v="175.42337358311499"/>
    <s v="None"/>
    <n v="616"/>
    <n v="-175.42337358311499"/>
  </r>
  <r>
    <s v="ORD439"/>
    <d v="2024-11-14T19:00:00"/>
    <s v="Chennai"/>
    <s v="PEPPY_PA_112"/>
    <x v="10"/>
    <s v="Pizza"/>
    <n v="97"/>
    <n v="0"/>
    <n v="97"/>
    <n v="5"/>
    <n v="44.388145342100501"/>
    <n v="485"/>
    <n v="221.94072671050199"/>
    <n v="263.05927328949701"/>
    <s v="None"/>
    <n v="485"/>
    <n v="-263.05927328949804"/>
  </r>
  <r>
    <s v="ORD440"/>
    <d v="2024-02-18T15:00:00"/>
    <s v="Mumbai"/>
    <s v="SPRITE_207"/>
    <x v="3"/>
    <s v="Drinks"/>
    <n v="183"/>
    <n v="0.1"/>
    <n v="164.7"/>
    <n v="2"/>
    <n v="121.350918951094"/>
    <n v="329.4"/>
    <n v="242.701837902189"/>
    <n v="86.698162097810496"/>
    <s v="Bundle"/>
    <n v="366"/>
    <n v="-86.698162097810979"/>
  </r>
  <r>
    <s v="ORD441"/>
    <d v="2024-02-14T06:00:00"/>
    <s v="Hyderabad"/>
    <s v="ICE_CREA_115"/>
    <x v="6"/>
    <s v="Dessert"/>
    <n v="337"/>
    <n v="0"/>
    <n v="337"/>
    <n v="7"/>
    <n v="244.796243291868"/>
    <n v="2359"/>
    <n v="1713.5737030430701"/>
    <n v="645.42629695692301"/>
    <s v="None"/>
    <n v="2359"/>
    <n v="-645.42629695692995"/>
  </r>
  <r>
    <s v="ORD442"/>
    <d v="2025-04-10T14:00:00"/>
    <s v="Pune"/>
    <s v="COLD_COF_465"/>
    <x v="15"/>
    <s v="Drinks"/>
    <n v="84"/>
    <n v="0"/>
    <n v="84"/>
    <n v="4"/>
    <n v="51.931056150671701"/>
    <n v="336"/>
    <n v="207.72422460268601"/>
    <n v="128.275775397313"/>
    <s v="None"/>
    <n v="336"/>
    <n v="-128.27577539731399"/>
  </r>
  <r>
    <s v="ORD443"/>
    <d v="2024-07-16T01:00:00"/>
    <s v="Hyderabad"/>
    <s v="CHICKEN__952"/>
    <x v="7"/>
    <s v="Pizza"/>
    <n v="342"/>
    <n v="0.2"/>
    <n v="273.60000000000002"/>
    <n v="3"/>
    <n v="172.82566845990499"/>
    <n v="820.8"/>
    <n v="518.47700537971502"/>
    <n v="302.32299462028402"/>
    <s v="None"/>
    <n v="1026"/>
    <n v="-302.32299462028493"/>
  </r>
  <r>
    <s v="ORD444"/>
    <d v="2025-01-24T12:00:00"/>
    <s v="Pune"/>
    <s v="ONION_RI_595"/>
    <x v="17"/>
    <s v="Snacks"/>
    <n v="187"/>
    <n v="0.15"/>
    <n v="158.94999999999999"/>
    <n v="5"/>
    <n v="139.95619285663801"/>
    <n v="794.75"/>
    <n v="699.78096428319202"/>
    <n v="94.969035716807795"/>
    <s v="None"/>
    <n v="935"/>
    <n v="-94.96903571680798"/>
  </r>
  <r>
    <s v="ORD445"/>
    <d v="2024-08-10T06:00:00"/>
    <s v="Hyderabad"/>
    <s v="CHICKEN__715"/>
    <x v="14"/>
    <s v="Burger"/>
    <n v="230"/>
    <n v="0"/>
    <n v="230"/>
    <n v="6"/>
    <n v="153.909421219357"/>
    <n v="1380"/>
    <n v="923.45652731614598"/>
    <n v="456.543472683853"/>
    <s v="Coupon"/>
    <n v="1380"/>
    <n v="-456.54347268385402"/>
  </r>
  <r>
    <s v="ORD446"/>
    <d v="2025-01-06T20:00:00"/>
    <s v="Hyderabad"/>
    <s v="ICE_CREA_936"/>
    <x v="6"/>
    <s v="Dessert"/>
    <n v="169"/>
    <n v="0.2"/>
    <n v="135.19999999999999"/>
    <n v="1"/>
    <n v="72.728693473282107"/>
    <n v="135.19999999999999"/>
    <n v="72.728693473282107"/>
    <n v="62.471306526717797"/>
    <s v="Percent-Off"/>
    <n v="169"/>
    <n v="-62.471306526717882"/>
  </r>
  <r>
    <s v="ORD447"/>
    <d v="2024-06-29T10:00:00"/>
    <s v="Mumbai"/>
    <s v="GRILLED__464"/>
    <x v="1"/>
    <s v="Sandwich"/>
    <n v="276"/>
    <n v="0"/>
    <n v="276"/>
    <n v="2"/>
    <n v="182.98749247352299"/>
    <n v="552"/>
    <n v="365.97498494704701"/>
    <n v="186.025015052952"/>
    <s v="Coupon"/>
    <n v="552"/>
    <n v="-186.02501505295299"/>
  </r>
  <r>
    <s v="ORD448"/>
    <d v="2024-10-10T09:00:00"/>
    <s v="Bangalore"/>
    <s v="VEG_SAND_685"/>
    <x v="9"/>
    <s v="Sandwich"/>
    <n v="112"/>
    <n v="0"/>
    <n v="112"/>
    <n v="1"/>
    <n v="74.800398941395102"/>
    <n v="112"/>
    <n v="74.800398941395102"/>
    <n v="37.199601058604799"/>
    <s v="None"/>
    <n v="112"/>
    <n v="-37.199601058604898"/>
  </r>
  <r>
    <s v="ORD449"/>
    <d v="2024-07-20T22:00:00"/>
    <s v="Hyderabad"/>
    <s v="GRILLED__103"/>
    <x v="1"/>
    <s v="Sandwich"/>
    <n v="340"/>
    <n v="0.05"/>
    <n v="323"/>
    <n v="6"/>
    <n v="169.649089390151"/>
    <n v="1938"/>
    <n v="1017.89453634091"/>
    <n v="920.10546365908897"/>
    <s v="Percent-Off"/>
    <n v="2040"/>
    <n v="-920.10546365908999"/>
  </r>
  <r>
    <s v="ORD450"/>
    <d v="2024-10-07T11:00:00"/>
    <s v="Delhi"/>
    <s v="MARGHERI_672"/>
    <x v="16"/>
    <s v="Pizza"/>
    <n v="294"/>
    <n v="0.05"/>
    <n v="279.3"/>
    <n v="4"/>
    <n v="182.311021100083"/>
    <n v="1117.2"/>
    <n v="729.24408440033301"/>
    <n v="387.95591559966698"/>
    <s v="Percent-Off"/>
    <n v="1176"/>
    <n v="-387.95591559966704"/>
  </r>
  <r>
    <s v="ORD451"/>
    <d v="2025-10-02T08:00:00"/>
    <s v="Hyderabad"/>
    <s v="SPRITE_960"/>
    <x v="3"/>
    <s v="Drinks"/>
    <n v="142"/>
    <n v="0.15"/>
    <n v="120.7"/>
    <n v="2"/>
    <n v="94.382754035106899"/>
    <n v="241.4"/>
    <n v="188.765508070213"/>
    <n v="52.634491929786002"/>
    <s v="Coupon"/>
    <n v="284"/>
    <n v="-52.634491929787004"/>
  </r>
  <r>
    <s v="ORD452"/>
    <d v="2025-12-23T09:00:00"/>
    <s v="Mumbai"/>
    <s v="CHICKEN__845"/>
    <x v="7"/>
    <s v="Pizza"/>
    <n v="107"/>
    <n v="0"/>
    <n v="107"/>
    <n v="4"/>
    <n v="51.4279796450015"/>
    <n v="428"/>
    <n v="205.711918580006"/>
    <n v="222.28808141999301"/>
    <s v="None"/>
    <n v="428"/>
    <n v="-222.288081419994"/>
  </r>
  <r>
    <s v="ORD453"/>
    <d v="2024-04-15T19:00:00"/>
    <s v="Chennai"/>
    <s v="CHICKEN__393"/>
    <x v="14"/>
    <s v="Burger"/>
    <n v="253"/>
    <n v="0.25"/>
    <n v="189.75"/>
    <n v="7"/>
    <n v="102.675284728675"/>
    <n v="1328.25"/>
    <n v="718.72699310072699"/>
    <n v="609.52300689927199"/>
    <s v="BOGO"/>
    <n v="1771"/>
    <n v="-609.52300689927301"/>
  </r>
  <r>
    <s v="ORD454"/>
    <d v="2024-10-21T00:00:00"/>
    <s v="Delhi"/>
    <s v="FRIES_571"/>
    <x v="2"/>
    <s v="Snacks"/>
    <n v="138"/>
    <n v="0.1"/>
    <n v="124.2"/>
    <n v="7"/>
    <n v="67.584749237858802"/>
    <n v="869.4"/>
    <n v="473.09324466501198"/>
    <n v="396.30675533498697"/>
    <s v="None"/>
    <n v="966"/>
    <n v="-396.306755334988"/>
  </r>
  <r>
    <s v="ORD455"/>
    <d v="2025-04-24T20:00:00"/>
    <s v="Delhi"/>
    <s v="CHICKEN__466"/>
    <x v="7"/>
    <s v="Pizza"/>
    <n v="177"/>
    <n v="0.25"/>
    <n v="132.75"/>
    <n v="1"/>
    <n v="115.234373209883"/>
    <n v="132.75"/>
    <n v="115.234373209883"/>
    <n v="17.515626790116301"/>
    <s v="BOGO"/>
    <n v="177"/>
    <n v="-17.515626790116997"/>
  </r>
  <r>
    <s v="ORD456"/>
    <d v="2025-04-23T21:00:00"/>
    <s v="Mumbai"/>
    <s v="GARLIC_B_602"/>
    <x v="4"/>
    <s v="Snacks"/>
    <n v="274"/>
    <n v="0.15"/>
    <n v="232.9"/>
    <n v="6"/>
    <n v="192.42317692680501"/>
    <n v="1397.4"/>
    <n v="1154.5390615608301"/>
    <n v="242.860938439168"/>
    <s v="None"/>
    <n v="1644"/>
    <n v="-242.86093843917001"/>
  </r>
  <r>
    <s v="ORD457"/>
    <d v="2024-03-05T06:00:00"/>
    <s v="Chennai"/>
    <s v="CHEESE_B_183"/>
    <x v="5"/>
    <s v="Burger"/>
    <n v="275"/>
    <n v="0.25"/>
    <n v="206.25"/>
    <n v="7"/>
    <n v="131.24358639715001"/>
    <n v="1443.75"/>
    <n v="918.70510478005201"/>
    <n v="525.04489521994697"/>
    <s v="None"/>
    <n v="1925"/>
    <n v="-525.04489521994799"/>
  </r>
  <r>
    <s v="ORD458"/>
    <d v="2025-08-04T20:00:00"/>
    <s v="Pune"/>
    <s v="BROWNIE_501"/>
    <x v="12"/>
    <s v="Dessert"/>
    <n v="224"/>
    <n v="0.1"/>
    <n v="201.6"/>
    <n v="5"/>
    <n v="140.62532457041999"/>
    <n v="1008"/>
    <n v="703.12662285210195"/>
    <n v="304.87337714789697"/>
    <s v="None"/>
    <n v="1120"/>
    <n v="-304.87337714789805"/>
  </r>
  <r>
    <s v="ORD459"/>
    <d v="2024-09-20T01:00:00"/>
    <s v="Mumbai"/>
    <s v="ONION_RI_805"/>
    <x v="17"/>
    <s v="Snacks"/>
    <n v="86"/>
    <n v="0"/>
    <n v="86"/>
    <n v="5"/>
    <n v="44.415157242962401"/>
    <n v="430"/>
    <n v="222.07578621481201"/>
    <n v="207.92421378518699"/>
    <s v="None"/>
    <n v="430"/>
    <n v="-207.92421378518799"/>
  </r>
  <r>
    <s v="ORD460"/>
    <d v="2025-07-29T07:00:00"/>
    <s v="Bangalore"/>
    <s v="COKE_543"/>
    <x v="8"/>
    <s v="Drinks"/>
    <n v="310"/>
    <n v="0.25"/>
    <n v="232.5"/>
    <n v="2"/>
    <n v="151.640234746034"/>
    <n v="465"/>
    <n v="303.28046949206799"/>
    <n v="161.71953050793201"/>
    <s v="BOGO"/>
    <n v="620"/>
    <n v="-161.71953050793201"/>
  </r>
  <r>
    <s v="ORD461"/>
    <d v="2025-02-03T04:00:00"/>
    <s v="Pune"/>
    <s v="BROWNIE_148"/>
    <x v="12"/>
    <s v="Dessert"/>
    <n v="171"/>
    <n v="0"/>
    <n v="171"/>
    <n v="6"/>
    <n v="79.430438607463401"/>
    <n v="1026"/>
    <n v="476.58263164478001"/>
    <n v="549.41736835521897"/>
    <s v="None"/>
    <n v="1026"/>
    <n v="-549.41736835521999"/>
  </r>
  <r>
    <s v="ORD462"/>
    <d v="2024-12-28T03:00:00"/>
    <s v="Chennai"/>
    <s v="ICE_CREA_270"/>
    <x v="6"/>
    <s v="Dessert"/>
    <n v="264"/>
    <n v="0"/>
    <n v="264"/>
    <n v="4"/>
    <n v="161.584865722584"/>
    <n v="1056"/>
    <n v="646.33946289033599"/>
    <n v="409.66053710966298"/>
    <s v="None"/>
    <n v="1056"/>
    <n v="-409.66053710966401"/>
  </r>
  <r>
    <s v="ORD463"/>
    <d v="2024-11-08T06:00:00"/>
    <s v="Bangalore"/>
    <s v="GARLIC_B_903"/>
    <x v="4"/>
    <s v="Snacks"/>
    <n v="240"/>
    <n v="0"/>
    <n v="240"/>
    <n v="1"/>
    <n v="143.74828416376201"/>
    <n v="240"/>
    <n v="143.74828416376201"/>
    <n v="96.251715836237693"/>
    <s v="None"/>
    <n v="240"/>
    <n v="-96.251715836237992"/>
  </r>
  <r>
    <s v="ORD464"/>
    <d v="2024-06-28T16:00:00"/>
    <s v="Chennai"/>
    <s v="VEG_SAND_471"/>
    <x v="9"/>
    <s v="Sandwich"/>
    <n v="150"/>
    <n v="0.05"/>
    <n v="142.5"/>
    <n v="5"/>
    <n v="109.632011604775"/>
    <n v="712.5"/>
    <n v="548.16005802387895"/>
    <n v="164.33994197612"/>
    <s v="None"/>
    <n v="750"/>
    <n v="-164.33994197612105"/>
  </r>
  <r>
    <s v="ORD465"/>
    <d v="2024-02-25T04:00:00"/>
    <s v="Chennai"/>
    <s v="VEG_SAND_156"/>
    <x v="9"/>
    <s v="Sandwich"/>
    <n v="235"/>
    <n v="0.05"/>
    <n v="223.25"/>
    <n v="5"/>
    <n v="141.690982629925"/>
    <n v="1116.25"/>
    <n v="708.45491314962703"/>
    <n v="407.795086850372"/>
    <s v="None"/>
    <n v="1175"/>
    <n v="-407.79508685037297"/>
  </r>
  <r>
    <s v="ORD466"/>
    <d v="2024-05-10T21:00:00"/>
    <s v="Bangalore"/>
    <s v="CHEESE_B_252"/>
    <x v="5"/>
    <s v="Burger"/>
    <n v="316"/>
    <n v="0"/>
    <n v="316"/>
    <n v="5"/>
    <n v="169.784734792504"/>
    <n v="1580"/>
    <n v="848.92367396252098"/>
    <n v="731.076326037478"/>
    <s v="None"/>
    <n v="1580"/>
    <n v="-731.07632603747902"/>
  </r>
  <r>
    <s v="ORD467"/>
    <d v="2024-03-16T10:00:00"/>
    <s v="Pune"/>
    <s v="VEG_SAND_283"/>
    <x v="9"/>
    <s v="Sandwich"/>
    <n v="134"/>
    <n v="0"/>
    <n v="134"/>
    <n v="4"/>
    <n v="57.678753250003197"/>
    <n v="536"/>
    <n v="230.71501300001299"/>
    <n v="305.28498699998602"/>
    <s v="Bundle"/>
    <n v="536"/>
    <n v="-305.28498699998704"/>
  </r>
  <r>
    <s v="ORD468"/>
    <d v="2024-10-01T12:00:00"/>
    <s v="Bangalore"/>
    <s v="VEG_BURG_603"/>
    <x v="0"/>
    <s v="Burger"/>
    <n v="166"/>
    <n v="0.2"/>
    <n v="132.80000000000001"/>
    <n v="5"/>
    <n v="113.500715436614"/>
    <n v="664"/>
    <n v="567.50357718306998"/>
    <n v="96.496422816929496"/>
    <s v="None"/>
    <n v="830"/>
    <n v="-96.496422816930021"/>
  </r>
  <r>
    <s v="ORD469"/>
    <d v="2024-08-08T21:00:00"/>
    <s v="Hyderabad"/>
    <s v="FRIES_118"/>
    <x v="2"/>
    <s v="Snacks"/>
    <n v="96"/>
    <n v="0"/>
    <n v="96"/>
    <n v="2"/>
    <n v="53.518107455433601"/>
    <n v="192"/>
    <n v="107.036214910867"/>
    <n v="84.9637850891326"/>
    <s v="BOGO"/>
    <n v="192"/>
    <n v="-84.963785089132998"/>
  </r>
  <r>
    <s v="ORD470"/>
    <d v="2025-10-07T05:00:00"/>
    <s v="Pune"/>
    <s v="VEG_BURG_487"/>
    <x v="0"/>
    <s v="Burger"/>
    <n v="325"/>
    <n v="0.1"/>
    <n v="292.5"/>
    <n v="1"/>
    <n v="230.397508292586"/>
    <n v="292.5"/>
    <n v="230.397508292586"/>
    <n v="62.102491707413201"/>
    <s v="Bundle"/>
    <n v="325"/>
    <n v="-62.102491707414003"/>
  </r>
  <r>
    <s v="ORD471"/>
    <d v="2025-05-03T02:00:00"/>
    <s v="Bangalore"/>
    <s v="ICE_CREA_763"/>
    <x v="6"/>
    <s v="Dessert"/>
    <n v="283"/>
    <n v="0.2"/>
    <n v="226.4"/>
    <n v="5"/>
    <n v="135.71020735508401"/>
    <n v="1132"/>
    <n v="678.55103677542195"/>
    <n v="453.44896322457703"/>
    <s v="Coupon"/>
    <n v="1415"/>
    <n v="-453.44896322457805"/>
  </r>
  <r>
    <s v="ORD472"/>
    <d v="2024-07-16T20:00:00"/>
    <s v="Bangalore"/>
    <s v="PEPPY_PA_710"/>
    <x v="10"/>
    <s v="Pizza"/>
    <n v="136"/>
    <n v="0.15"/>
    <n v="115.6"/>
    <n v="2"/>
    <n v="72.058348719387197"/>
    <n v="231.2"/>
    <n v="144.116697438774"/>
    <n v="87.083302561225494"/>
    <s v="None"/>
    <n v="272"/>
    <n v="-87.083302561225992"/>
  </r>
  <r>
    <s v="ORD473"/>
    <d v="2025-01-28T03:00:00"/>
    <s v="Pune"/>
    <s v="CHICKEN__518"/>
    <x v="14"/>
    <s v="Burger"/>
    <n v="331"/>
    <n v="0"/>
    <n v="331"/>
    <n v="4"/>
    <n v="188.49144577613001"/>
    <n v="1324"/>
    <n v="753.96578310452298"/>
    <n v="570.03421689547702"/>
    <s v="Coupon"/>
    <n v="1324"/>
    <n v="-570.03421689547702"/>
  </r>
  <r>
    <s v="ORD474"/>
    <d v="2024-06-03T13:00:00"/>
    <s v="Delhi"/>
    <s v="COKE_621"/>
    <x v="8"/>
    <s v="Drinks"/>
    <n v="155"/>
    <n v="0.15"/>
    <n v="131.75"/>
    <n v="5"/>
    <n v="74.1727766541389"/>
    <n v="658.75"/>
    <n v="370.86388327069398"/>
    <n v="287.886116729305"/>
    <s v="None"/>
    <n v="775"/>
    <n v="-287.88611672930602"/>
  </r>
  <r>
    <s v="ORD475"/>
    <d v="2025-06-30T12:00:00"/>
    <s v="Bangalore"/>
    <s v="VEG_BURG_778"/>
    <x v="0"/>
    <s v="Burger"/>
    <n v="225"/>
    <n v="0.2"/>
    <n v="180"/>
    <n v="3"/>
    <n v="145.672810081357"/>
    <n v="540"/>
    <n v="437.018430244071"/>
    <n v="102.98156975592801"/>
    <s v="Percent-Off"/>
    <n v="675"/>
    <n v="-102.981569755929"/>
  </r>
  <r>
    <s v="ORD476"/>
    <d v="2025-02-03T00:00:00"/>
    <s v="Chennai"/>
    <s v="PEPPY_PA_610"/>
    <x v="10"/>
    <s v="Pizza"/>
    <n v="333"/>
    <n v="0.15"/>
    <n v="283.05"/>
    <n v="4"/>
    <n v="143.97499121067"/>
    <n v="1132.2"/>
    <n v="575.89996484267999"/>
    <n v="556.30003515731903"/>
    <s v="Coupon"/>
    <n v="1332"/>
    <n v="-556.30003515732005"/>
  </r>
  <r>
    <s v="ORD477"/>
    <d v="2025-02-26T22:00:00"/>
    <s v="Chennai"/>
    <s v="SPRITE_831"/>
    <x v="3"/>
    <s v="Drinks"/>
    <n v="279"/>
    <n v="0"/>
    <n v="279"/>
    <n v="3"/>
    <n v="165.341802378604"/>
    <n v="837"/>
    <n v="496.02540713581197"/>
    <n v="340.974592864187"/>
    <s v="Coupon"/>
    <n v="837"/>
    <n v="-340.97459286418803"/>
  </r>
  <r>
    <s v="ORD478"/>
    <d v="2024-09-29T02:00:00"/>
    <s v="Hyderabad"/>
    <s v="CHEESE_B_992"/>
    <x v="5"/>
    <s v="Burger"/>
    <n v="283"/>
    <n v="0"/>
    <n v="283"/>
    <n v="6"/>
    <n v="181.32353989052601"/>
    <n v="1698"/>
    <n v="1087.9412393431501"/>
    <n v="610.05876065684299"/>
    <s v="None"/>
    <n v="1698"/>
    <n v="-610.05876065684993"/>
  </r>
  <r>
    <s v="ORD479"/>
    <d v="2025-02-28T12:00:00"/>
    <s v="Hyderabad"/>
    <s v="ONION_RI_717"/>
    <x v="17"/>
    <s v="Snacks"/>
    <n v="167"/>
    <n v="0"/>
    <n v="167"/>
    <n v="7"/>
    <n v="85.248761438209996"/>
    <n v="1169"/>
    <n v="596.74133006747002"/>
    <n v="572.25866993252896"/>
    <s v="None"/>
    <n v="1169"/>
    <n v="-572.25866993252998"/>
  </r>
  <r>
    <s v="ORD480"/>
    <d v="2025-09-03T19:00:00"/>
    <s v="Mumbai"/>
    <s v="PEPPY_PA_116"/>
    <x v="10"/>
    <s v="Pizza"/>
    <n v="225"/>
    <n v="0.2"/>
    <n v="180"/>
    <n v="7"/>
    <n v="135.40291795865201"/>
    <n v="1260"/>
    <n v="947.82042571056502"/>
    <n v="312.17957428943402"/>
    <s v="None"/>
    <n v="1575"/>
    <n v="-312.17957428943498"/>
  </r>
  <r>
    <s v="ORD481"/>
    <d v="2024-01-22T00:00:00"/>
    <s v="Chennai"/>
    <s v="COLD_COF_597"/>
    <x v="15"/>
    <s v="Drinks"/>
    <n v="331"/>
    <n v="0.05"/>
    <n v="314.45"/>
    <n v="7"/>
    <n v="210.81565315462399"/>
    <n v="2201.15"/>
    <n v="1475.70957208237"/>
    <n v="725.44042791762604"/>
    <s v="Coupon"/>
    <n v="2317"/>
    <n v="-725.44042791763013"/>
  </r>
  <r>
    <s v="ORD482"/>
    <d v="2024-02-20T14:00:00"/>
    <s v="Mumbai"/>
    <s v="SPRITE_515"/>
    <x v="3"/>
    <s v="Drinks"/>
    <n v="123"/>
    <n v="0.15"/>
    <n v="104.55"/>
    <n v="6"/>
    <n v="85.526143780490003"/>
    <n v="627.29999999999995"/>
    <n v="513.15686268293996"/>
    <n v="114.143137317059"/>
    <s v="None"/>
    <n v="738"/>
    <n v="-114.14313731706"/>
  </r>
  <r>
    <s v="ORD483"/>
    <d v="2024-03-04T19:00:00"/>
    <s v="Delhi"/>
    <s v="CLUB_SAN_618"/>
    <x v="13"/>
    <s v="Sandwich"/>
    <n v="153"/>
    <n v="0"/>
    <n v="153"/>
    <n v="5"/>
    <n v="71.861452637568803"/>
    <n v="765"/>
    <n v="359.307263187844"/>
    <n v="405.69273681215498"/>
    <s v="None"/>
    <n v="765"/>
    <n v="-405.692736812156"/>
  </r>
  <r>
    <s v="ORD484"/>
    <d v="2024-02-04T07:00:00"/>
    <s v="Pune"/>
    <s v="PEPPY_PA_830"/>
    <x v="10"/>
    <s v="Pizza"/>
    <n v="310"/>
    <n v="0.15"/>
    <n v="263.5"/>
    <n v="4"/>
    <n v="147.16939971220199"/>
    <n v="1054"/>
    <n v="588.67759884880797"/>
    <n v="465.322401151191"/>
    <s v="Coupon"/>
    <n v="1240"/>
    <n v="-465.32240115119203"/>
  </r>
  <r>
    <s v="ORD485"/>
    <d v="2025-12-22T08:00:00"/>
    <s v="Delhi"/>
    <s v="ICE_CREA_968"/>
    <x v="6"/>
    <s v="Dessert"/>
    <n v="83"/>
    <n v="0.25"/>
    <n v="62.25"/>
    <n v="3"/>
    <n v="56.443996778947799"/>
    <n v="186.75"/>
    <n v="169.33199033684301"/>
    <n v="17.4180096631565"/>
    <s v="None"/>
    <n v="249"/>
    <n v="-17.418009663156994"/>
  </r>
  <r>
    <s v="ORD486"/>
    <d v="2024-07-28T13:00:00"/>
    <s v="Chennai"/>
    <s v="GRILLED__240"/>
    <x v="1"/>
    <s v="Sandwich"/>
    <n v="135"/>
    <n v="0.1"/>
    <n v="121.5"/>
    <n v="5"/>
    <n v="94.555758862025996"/>
    <n v="607.5"/>
    <n v="472.77879431013002"/>
    <n v="134.72120568986901"/>
    <s v="None"/>
    <n v="675"/>
    <n v="-134.72120568986998"/>
  </r>
  <r>
    <s v="ORD487"/>
    <d v="2025-07-13T12:00:00"/>
    <s v="Hyderabad"/>
    <s v="CHEESE_B_270"/>
    <x v="5"/>
    <s v="Burger"/>
    <n v="337"/>
    <n v="0"/>
    <n v="337"/>
    <n v="4"/>
    <n v="161.437784620749"/>
    <n v="1348"/>
    <n v="645.751138482996"/>
    <n v="702.24886151700298"/>
    <s v="Percent-Off"/>
    <n v="1348"/>
    <n v="-702.248861517004"/>
  </r>
  <r>
    <s v="ORD488"/>
    <d v="2025-11-19T05:00:00"/>
    <s v="Hyderabad"/>
    <s v="GRILLED__827"/>
    <x v="1"/>
    <s v="Sandwich"/>
    <n v="186"/>
    <n v="0.2"/>
    <n v="148.80000000000001"/>
    <n v="3"/>
    <n v="127.527612174718"/>
    <n v="446.4"/>
    <n v="382.58283652415503"/>
    <n v="63.817163475844801"/>
    <s v="Percent-Off"/>
    <n v="558"/>
    <n v="-63.81716347584495"/>
  </r>
  <r>
    <s v="ORD489"/>
    <d v="2024-03-28T17:00:00"/>
    <s v="Pune"/>
    <s v="CHICKEN__219"/>
    <x v="14"/>
    <s v="Burger"/>
    <n v="92"/>
    <n v="0"/>
    <n v="92"/>
    <n v="5"/>
    <n v="55.121258856592704"/>
    <n v="460"/>
    <n v="275.60629428296301"/>
    <n v="184.393705717036"/>
    <s v="None"/>
    <n v="460"/>
    <n v="-184.39370571703699"/>
  </r>
  <r>
    <s v="ORD490"/>
    <d v="2024-05-31T03:00:00"/>
    <s v="Mumbai"/>
    <s v="SPRITE_622"/>
    <x v="3"/>
    <s v="Drinks"/>
    <n v="207"/>
    <n v="0.05"/>
    <n v="196.64999999999901"/>
    <n v="3"/>
    <n v="101.688350685925"/>
    <n v="589.94999999999902"/>
    <n v="305.06505205777501"/>
    <n v="284.88494794222402"/>
    <s v="BOGO"/>
    <n v="621"/>
    <n v="-284.88494794222402"/>
  </r>
  <r>
    <s v="ORD491"/>
    <d v="2025-06-24T12:00:00"/>
    <s v="Pune"/>
    <s v="ICE_CREA_165"/>
    <x v="6"/>
    <s v="Dessert"/>
    <n v="195"/>
    <n v="0.1"/>
    <n v="175.5"/>
    <n v="7"/>
    <n v="93.892596506793396"/>
    <n v="1228.5"/>
    <n v="657.24817554755396"/>
    <n v="571.25182445244502"/>
    <s v="Percent-Off"/>
    <n v="1365"/>
    <n v="-571.25182445244604"/>
  </r>
  <r>
    <s v="ORD492"/>
    <d v="2024-03-18T04:00:00"/>
    <s v="Delhi"/>
    <s v="FRIES_656"/>
    <x v="2"/>
    <s v="Snacks"/>
    <n v="305"/>
    <n v="0.05"/>
    <n v="289.75"/>
    <n v="1"/>
    <n v="181.13731026074299"/>
    <n v="289.75"/>
    <n v="181.13731026074299"/>
    <n v="108.612689739256"/>
    <s v="Percent-Off"/>
    <n v="305"/>
    <n v="-108.61268973925701"/>
  </r>
  <r>
    <s v="ORD493"/>
    <d v="2024-07-23T14:00:00"/>
    <s v="Hyderabad"/>
    <s v="CHICKEN__700"/>
    <x v="14"/>
    <s v="Burger"/>
    <n v="317"/>
    <n v="0.2"/>
    <n v="253.6"/>
    <n v="2"/>
    <n v="226.62649454946401"/>
    <n v="507.2"/>
    <n v="453.25298909892803"/>
    <n v="53.947010901071302"/>
    <s v="None"/>
    <n v="634"/>
    <n v="-53.947010901071963"/>
  </r>
  <r>
    <s v="ORD494"/>
    <d v="2025-04-03T11:00:00"/>
    <s v="Mumbai"/>
    <s v="CHEESE_B_338"/>
    <x v="5"/>
    <s v="Burger"/>
    <n v="151"/>
    <n v="0.1"/>
    <n v="135.9"/>
    <n v="4"/>
    <n v="74.434719054956005"/>
    <n v="543.6"/>
    <n v="297.73887621982402"/>
    <n v="245.86112378017501"/>
    <s v="None"/>
    <n v="604"/>
    <n v="-245.861123780176"/>
  </r>
  <r>
    <s v="ORD495"/>
    <d v="2025-07-30T19:00:00"/>
    <s v="Bangalore"/>
    <s v="PEPPY_PA_787"/>
    <x v="10"/>
    <s v="Pizza"/>
    <n v="322"/>
    <n v="0.05"/>
    <n v="305.89999999999998"/>
    <n v="2"/>
    <n v="158.678263321787"/>
    <n v="611.79999999999995"/>
    <n v="317.356526643574"/>
    <n v="294.44347335642499"/>
    <s v="Bundle"/>
    <n v="644"/>
    <n v="-294.44347335642595"/>
  </r>
  <r>
    <s v="ORD496"/>
    <d v="2025-05-02T16:00:00"/>
    <s v="Mumbai"/>
    <s v="CHEESE_B_449"/>
    <x v="5"/>
    <s v="Burger"/>
    <n v="95"/>
    <n v="0"/>
    <n v="95"/>
    <n v="3"/>
    <n v="54.244037009138502"/>
    <n v="285"/>
    <n v="162.73211102741499"/>
    <n v="122.267888972584"/>
    <s v="Coupon"/>
    <n v="285"/>
    <n v="-122.26788897258501"/>
  </r>
  <r>
    <s v="ORD497"/>
    <d v="2025-10-18T17:00:00"/>
    <s v="Pune"/>
    <s v="GULAB_JA_958"/>
    <x v="11"/>
    <s v="Dessert"/>
    <n v="171"/>
    <n v="0.25"/>
    <n v="128.25"/>
    <n v="5"/>
    <n v="112.82658059052601"/>
    <n v="641.25"/>
    <n v="564.13290295263198"/>
    <n v="77.117097047367196"/>
    <s v="None"/>
    <n v="855"/>
    <n v="-77.11709704736802"/>
  </r>
  <r>
    <s v="ORD498"/>
    <d v="2024-09-14T22:00:00"/>
    <s v="Hyderabad"/>
    <s v="VEG_BURG_837"/>
    <x v="0"/>
    <s v="Burger"/>
    <n v="126"/>
    <n v="0.05"/>
    <n v="119.69999999999899"/>
    <n v="6"/>
    <n v="67.453313444447005"/>
    <n v="718.19999999999902"/>
    <n v="404.719880666682"/>
    <n v="313.48011933331702"/>
    <s v="Bundle"/>
    <n v="756"/>
    <n v="-313.48011933331702"/>
  </r>
  <r>
    <s v="ORD499"/>
    <d v="2024-08-23T05:00:00"/>
    <s v="Hyderabad"/>
    <s v="COKE_993"/>
    <x v="8"/>
    <s v="Drinks"/>
    <n v="143"/>
    <n v="0.05"/>
    <n v="135.85"/>
    <n v="5"/>
    <n v="65.738586287313296"/>
    <n v="679.25"/>
    <n v="328.69293143656603"/>
    <n v="350.55706856343301"/>
    <s v="None"/>
    <n v="715"/>
    <n v="-350.55706856343397"/>
  </r>
  <r>
    <s v="ORD500"/>
    <d v="2025-02-03T12:00:00"/>
    <s v="Pune"/>
    <s v="ONION_RI_650"/>
    <x v="17"/>
    <s v="Snacks"/>
    <n v="176"/>
    <n v="0"/>
    <n v="176"/>
    <n v="3"/>
    <n v="115.08010566933"/>
    <n v="528"/>
    <n v="345.24031700798997"/>
    <n v="182.759682992009"/>
    <s v="Bundle"/>
    <n v="528"/>
    <n v="-182.75968299201003"/>
  </r>
  <r>
    <s v="ORD501"/>
    <d v="2025-05-07T21:00:00"/>
    <s v="Bangalore"/>
    <s v="CHICKEN__390"/>
    <x v="7"/>
    <s v="Pizza"/>
    <n v="243"/>
    <n v="0.2"/>
    <n v="194.4"/>
    <n v="2"/>
    <n v="171.98654560898501"/>
    <n v="388.8"/>
    <n v="343.97309121797099"/>
    <n v="44.826908782028397"/>
    <s v="Coupon"/>
    <n v="486"/>
    <n v="-44.826908782029022"/>
  </r>
  <r>
    <s v="ORD502"/>
    <d v="2024-12-01T13:00:00"/>
    <s v="Mumbai"/>
    <s v="CHEESE_B_309"/>
    <x v="5"/>
    <s v="Burger"/>
    <n v="122"/>
    <n v="0.1"/>
    <n v="109.8"/>
    <n v="3"/>
    <n v="57.880765034034297"/>
    <n v="329.4"/>
    <n v="173.64229510210299"/>
    <n v="155.75770489789599"/>
    <s v="None"/>
    <n v="366"/>
    <n v="-155.75770489789699"/>
  </r>
  <r>
    <s v="ORD503"/>
    <d v="2024-05-18T18:00:00"/>
    <s v="Mumbai"/>
    <s v="BROWNIE_213"/>
    <x v="12"/>
    <s v="Dessert"/>
    <n v="337"/>
    <n v="0.1"/>
    <n v="303.3"/>
    <n v="6"/>
    <n v="244.32312510486301"/>
    <n v="1819.8"/>
    <n v="1465.93875062918"/>
    <n v="353.86124937082002"/>
    <s v="None"/>
    <n v="2022"/>
    <n v="-353.86124937081991"/>
  </r>
  <r>
    <s v="ORD504"/>
    <d v="2024-12-26T22:00:00"/>
    <s v="Pune"/>
    <s v="VEG_SAND_317"/>
    <x v="9"/>
    <s v="Sandwich"/>
    <n v="128"/>
    <n v="0.05"/>
    <n v="121.6"/>
    <n v="1"/>
    <n v="95.150809828999996"/>
    <n v="121.6"/>
    <n v="95.150809828999996"/>
    <n v="26.449190170999898"/>
    <s v="Coupon"/>
    <n v="128"/>
    <n v="-26.449190170999998"/>
  </r>
  <r>
    <s v="ORD505"/>
    <d v="2024-10-23T10:00:00"/>
    <s v="Bangalore"/>
    <s v="GRILLED__755"/>
    <x v="1"/>
    <s v="Sandwich"/>
    <n v="315"/>
    <n v="0"/>
    <n v="315"/>
    <n v="5"/>
    <n v="139.808948228356"/>
    <n v="1575"/>
    <n v="699.04474114178402"/>
    <n v="875.95525885821496"/>
    <s v="None"/>
    <n v="1575"/>
    <n v="-875.95525885821598"/>
  </r>
  <r>
    <s v="ORD506"/>
    <d v="2025-07-09T03:00:00"/>
    <s v="Mumbai"/>
    <s v="GULAB_JA_537"/>
    <x v="11"/>
    <s v="Dessert"/>
    <n v="126"/>
    <n v="0.25"/>
    <n v="94.5"/>
    <n v="7"/>
    <n v="72.184480477082204"/>
    <n v="661.5"/>
    <n v="505.29136333957598"/>
    <n v="156.208636660423"/>
    <s v="BOGO"/>
    <n v="882"/>
    <n v="-156.20863666042402"/>
  </r>
  <r>
    <s v="ORD507"/>
    <d v="2024-02-26T09:00:00"/>
    <s v="Chennai"/>
    <s v="CLUB_SAN_632"/>
    <x v="13"/>
    <s v="Sandwich"/>
    <n v="296"/>
    <n v="0.25"/>
    <n v="222"/>
    <n v="1"/>
    <n v="175.43911773848501"/>
    <n v="222"/>
    <n v="175.43911773848501"/>
    <n v="46.5608822615146"/>
    <s v="None"/>
    <n v="296"/>
    <n v="-46.56088226151499"/>
  </r>
  <r>
    <s v="ORD508"/>
    <d v="2025-04-02T07:00:00"/>
    <s v="Mumbai"/>
    <s v="GRILLED__348"/>
    <x v="1"/>
    <s v="Sandwich"/>
    <n v="327"/>
    <n v="0"/>
    <n v="327"/>
    <n v="2"/>
    <n v="200.12851445812001"/>
    <n v="654"/>
    <n v="400.25702891624098"/>
    <n v="253.74297108375799"/>
    <s v="Coupon"/>
    <n v="654"/>
    <n v="-253.74297108375902"/>
  </r>
  <r>
    <s v="ORD509"/>
    <d v="2025-04-04T07:00:00"/>
    <s v="Hyderabad"/>
    <s v="COLD_COF_183"/>
    <x v="15"/>
    <s v="Drinks"/>
    <n v="173"/>
    <n v="0.2"/>
    <n v="138.4"/>
    <n v="5"/>
    <n v="113.247242292374"/>
    <n v="692"/>
    <n v="566.23621146187202"/>
    <n v="125.763788538127"/>
    <s v="None"/>
    <n v="865"/>
    <n v="-125.76378853812798"/>
  </r>
  <r>
    <s v="ORD510"/>
    <d v="2024-01-28T19:00:00"/>
    <s v="Chennai"/>
    <s v="ICE_CREA_258"/>
    <x v="6"/>
    <s v="Dessert"/>
    <n v="311"/>
    <n v="0"/>
    <n v="311"/>
    <n v="6"/>
    <n v="129.73415560512299"/>
    <n v="1866"/>
    <n v="778.40493363073801"/>
    <n v="1087.5950663692599"/>
    <s v="Percent-Off"/>
    <n v="1866"/>
    <n v="-1087.595066369262"/>
  </r>
  <r>
    <s v="ORD511"/>
    <d v="2025-01-24T01:00:00"/>
    <s v="Mumbai"/>
    <s v="CHEESE_B_640"/>
    <x v="5"/>
    <s v="Burger"/>
    <n v="152"/>
    <n v="0.05"/>
    <n v="144.4"/>
    <n v="3"/>
    <n v="75.388125701404604"/>
    <n v="433.2"/>
    <n v="226.164377104213"/>
    <n v="207.03562289578599"/>
    <s v="BOGO"/>
    <n v="456"/>
    <n v="-207.03562289578699"/>
  </r>
  <r>
    <s v="ORD512"/>
    <d v="2025-07-23T03:00:00"/>
    <s v="Delhi"/>
    <s v="CHICKEN__382"/>
    <x v="7"/>
    <s v="Pizza"/>
    <n v="300"/>
    <n v="0.15"/>
    <n v="255"/>
    <n v="7"/>
    <n v="192.38879905648901"/>
    <n v="1785"/>
    <n v="1346.7215933954201"/>
    <n v="438.27840660457599"/>
    <s v="Coupon"/>
    <n v="2100"/>
    <n v="-438.27840660457991"/>
  </r>
  <r>
    <s v="ORD513"/>
    <d v="2024-06-03T23:00:00"/>
    <s v="Mumbai"/>
    <s v="MARGHERI_764"/>
    <x v="16"/>
    <s v="Pizza"/>
    <n v="152"/>
    <n v="0.25"/>
    <n v="114"/>
    <n v="1"/>
    <n v="64.918294565588695"/>
    <n v="114"/>
    <n v="64.918294565588695"/>
    <n v="49.081705434411198"/>
    <s v="None"/>
    <n v="152"/>
    <n v="-49.081705434411305"/>
  </r>
  <r>
    <s v="ORD514"/>
    <d v="2024-11-07T19:00:00"/>
    <s v="Mumbai"/>
    <s v="SPRITE_181"/>
    <x v="3"/>
    <s v="Drinks"/>
    <n v="204"/>
    <n v="0.05"/>
    <n v="193.79999999999899"/>
    <n v="5"/>
    <n v="137.39639313708599"/>
    <n v="968.99999999999898"/>
    <n v="686.98196568543096"/>
    <n v="282.01803431456801"/>
    <s v="Percent-Off"/>
    <n v="1020"/>
    <n v="-282.01803431456801"/>
  </r>
  <r>
    <s v="ORD515"/>
    <d v="2024-01-23T11:00:00"/>
    <s v="Delhi"/>
    <s v="VEG_SAND_862"/>
    <x v="9"/>
    <s v="Sandwich"/>
    <n v="182"/>
    <n v="0"/>
    <n v="182"/>
    <n v="4"/>
    <n v="113.59649135337"/>
    <n v="728"/>
    <n v="454.38596541347999"/>
    <n v="273.61403458651898"/>
    <s v="Bundle"/>
    <n v="728"/>
    <n v="-273.61403458652001"/>
  </r>
  <r>
    <s v="ORD516"/>
    <d v="2024-07-25T20:00:00"/>
    <s v="Chennai"/>
    <s v="FRIES_591"/>
    <x v="2"/>
    <s v="Snacks"/>
    <n v="184"/>
    <n v="0"/>
    <n v="184"/>
    <n v="6"/>
    <n v="123.482442156429"/>
    <n v="1104"/>
    <n v="740.89465293857404"/>
    <n v="363.10534706142499"/>
    <s v="None"/>
    <n v="1104"/>
    <n v="-363.10534706142596"/>
  </r>
  <r>
    <s v="ORD517"/>
    <d v="2024-07-20T11:00:00"/>
    <s v="Bangalore"/>
    <s v="CHICKEN__342"/>
    <x v="14"/>
    <s v="Burger"/>
    <n v="114"/>
    <n v="0"/>
    <n v="114"/>
    <n v="4"/>
    <n v="81.9802259840326"/>
    <n v="456"/>
    <n v="327.92090393613"/>
    <n v="128.079096063869"/>
    <s v="None"/>
    <n v="456"/>
    <n v="-128.07909606387"/>
  </r>
  <r>
    <s v="ORD518"/>
    <d v="2024-09-08T18:00:00"/>
    <s v="Bangalore"/>
    <s v="SPRITE_936"/>
    <x v="3"/>
    <s v="Drinks"/>
    <n v="346"/>
    <n v="0.2"/>
    <n v="276.8"/>
    <n v="2"/>
    <n v="175.87591800763201"/>
    <n v="553.6"/>
    <n v="351.75183601526498"/>
    <n v="201.84816398473399"/>
    <s v="None"/>
    <n v="692"/>
    <n v="-201.84816398473504"/>
  </r>
  <r>
    <s v="ORD519"/>
    <d v="2025-09-10T05:00:00"/>
    <s v="Bangalore"/>
    <s v="PEPPY_PA_138"/>
    <x v="10"/>
    <s v="Pizza"/>
    <n v="182"/>
    <n v="0"/>
    <n v="182"/>
    <n v="2"/>
    <n v="108.764642978193"/>
    <n v="364"/>
    <n v="217.52928595638599"/>
    <n v="146.47071404361299"/>
    <s v="Percent-Off"/>
    <n v="364"/>
    <n v="-146.47071404361401"/>
  </r>
  <r>
    <s v="ORD520"/>
    <d v="2024-10-31T16:00:00"/>
    <s v="Hyderabad"/>
    <s v="CHEESE_B_375"/>
    <x v="5"/>
    <s v="Burger"/>
    <n v="105"/>
    <n v="0"/>
    <n v="105"/>
    <n v="7"/>
    <n v="49.5565896729507"/>
    <n v="735"/>
    <n v="346.89612771065498"/>
    <n v="388.103872289344"/>
    <s v="None"/>
    <n v="735"/>
    <n v="-388.10387228934502"/>
  </r>
  <r>
    <s v="ORD521"/>
    <d v="2024-08-09T16:00:00"/>
    <s v="Chennai"/>
    <s v="FRIES_135"/>
    <x v="2"/>
    <s v="Snacks"/>
    <n v="80"/>
    <n v="0.1"/>
    <n v="72"/>
    <n v="3"/>
    <n v="40.504581294302703"/>
    <n v="216"/>
    <n v="121.513743882908"/>
    <n v="94.4862561170916"/>
    <s v="None"/>
    <n v="240"/>
    <n v="-94.486256117091997"/>
  </r>
  <r>
    <s v="ORD522"/>
    <d v="2025-07-04T16:00:00"/>
    <s v="Bangalore"/>
    <s v="SPRITE_208"/>
    <x v="3"/>
    <s v="Drinks"/>
    <n v="162"/>
    <n v="0.2"/>
    <n v="129.6"/>
    <n v="3"/>
    <n v="72.189168560871394"/>
    <n v="388.79999999999899"/>
    <n v="216.56750568261401"/>
    <n v="172.232494317385"/>
    <s v="None"/>
    <n v="486"/>
    <n v="-172.23249431738498"/>
  </r>
  <r>
    <s v="ORD523"/>
    <d v="2024-04-25T19:00:00"/>
    <s v="Hyderabad"/>
    <s v="BROWNIE_714"/>
    <x v="12"/>
    <s v="Dessert"/>
    <n v="248"/>
    <n v="0.05"/>
    <n v="235.6"/>
    <n v="2"/>
    <n v="157.97438607028599"/>
    <n v="471.2"/>
    <n v="315.948772140573"/>
    <n v="155.251227859426"/>
    <s v="None"/>
    <n v="496"/>
    <n v="-155.25122785942699"/>
  </r>
  <r>
    <s v="ORD524"/>
    <d v="2025-12-22T04:00:00"/>
    <s v="Delhi"/>
    <s v="CLUB_SAN_578"/>
    <x v="13"/>
    <s v="Sandwich"/>
    <n v="164"/>
    <n v="0.1"/>
    <n v="147.6"/>
    <n v="4"/>
    <n v="98.289142638966197"/>
    <n v="590.4"/>
    <n v="393.15657055586399"/>
    <n v="197.24342944413499"/>
    <s v="Bundle"/>
    <n v="656"/>
    <n v="-197.24342944413598"/>
  </r>
  <r>
    <s v="ORD525"/>
    <d v="2024-03-06T21:00:00"/>
    <s v="Bangalore"/>
    <s v="ICE_CREA_970"/>
    <x v="6"/>
    <s v="Dessert"/>
    <n v="323"/>
    <n v="0"/>
    <n v="323"/>
    <n v="6"/>
    <n v="239.983963323853"/>
    <n v="1938"/>
    <n v="1439.9037799431201"/>
    <n v="498.09622005687902"/>
    <s v="None"/>
    <n v="1938"/>
    <n v="-498.09622005687993"/>
  </r>
  <r>
    <s v="ORD526"/>
    <d v="2025-06-12T05:00:00"/>
    <s v="Hyderabad"/>
    <s v="SPRITE_239"/>
    <x v="3"/>
    <s v="Drinks"/>
    <n v="322"/>
    <n v="0"/>
    <n v="322"/>
    <n v="3"/>
    <n v="231.37910319110699"/>
    <n v="966"/>
    <n v="694.13730957332098"/>
    <n v="271.862690426678"/>
    <s v="None"/>
    <n v="966"/>
    <n v="-271.86269042667902"/>
  </r>
  <r>
    <s v="ORD527"/>
    <d v="2024-08-26T01:00:00"/>
    <s v="Pune"/>
    <s v="CHICKEN__461"/>
    <x v="14"/>
    <s v="Burger"/>
    <n v="185"/>
    <n v="0.1"/>
    <n v="166.5"/>
    <n v="3"/>
    <n v="85.317088195651905"/>
    <n v="499.5"/>
    <n v="255.95126458695501"/>
    <n v="243.548735413044"/>
    <s v="BOGO"/>
    <n v="555"/>
    <n v="-243.54873541304499"/>
  </r>
  <r>
    <s v="ORD528"/>
    <d v="2025-11-24T07:00:00"/>
    <s v="Chennai"/>
    <s v="VEG_BURG_242"/>
    <x v="0"/>
    <s v="Burger"/>
    <n v="88"/>
    <n v="0.05"/>
    <n v="83.6"/>
    <n v="5"/>
    <n v="54.7019031867897"/>
    <n v="418"/>
    <n v="273.50951593394802"/>
    <n v="144.49048406605101"/>
    <s v="None"/>
    <n v="440"/>
    <n v="-144.49048406605198"/>
  </r>
  <r>
    <s v="ORD529"/>
    <d v="2024-07-19T04:00:00"/>
    <s v="Bangalore"/>
    <s v="GARLIC_B_369"/>
    <x v="4"/>
    <s v="Snacks"/>
    <n v="321"/>
    <n v="0"/>
    <n v="321"/>
    <n v="4"/>
    <n v="229.30675307553801"/>
    <n v="1284"/>
    <n v="917.22701230215296"/>
    <n v="366.77298769784602"/>
    <s v="Bundle"/>
    <n v="1284"/>
    <n v="-366.77298769784704"/>
  </r>
  <r>
    <s v="ORD530"/>
    <d v="2025-02-26T08:00:00"/>
    <s v="Hyderabad"/>
    <s v="PEPPY_PA_669"/>
    <x v="10"/>
    <s v="Pizza"/>
    <n v="181"/>
    <n v="0"/>
    <n v="181"/>
    <n v="2"/>
    <n v="130.213528453045"/>
    <n v="362"/>
    <n v="260.42705690609"/>
    <n v="101.572943093909"/>
    <s v="None"/>
    <n v="362"/>
    <n v="-101.57294309391"/>
  </r>
  <r>
    <s v="ORD531"/>
    <d v="2024-01-01T09:00:00"/>
    <s v="Pune"/>
    <s v="SPRITE_619"/>
    <x v="3"/>
    <s v="Drinks"/>
    <n v="275"/>
    <n v="0.1"/>
    <n v="247.5"/>
    <n v="1"/>
    <n v="202.92443108030901"/>
    <n v="247.5"/>
    <n v="202.92443108030901"/>
    <n v="44.575568919690198"/>
    <s v="Coupon"/>
    <n v="275"/>
    <n v="-44.575568919690994"/>
  </r>
  <r>
    <s v="ORD532"/>
    <d v="2024-08-01T12:00:00"/>
    <s v="Delhi"/>
    <s v="ICE_CREA_737"/>
    <x v="6"/>
    <s v="Dessert"/>
    <n v="148"/>
    <n v="0"/>
    <n v="148"/>
    <n v="1"/>
    <n v="62.399291609832297"/>
    <n v="148"/>
    <n v="62.399291609832297"/>
    <n v="85.600708390167597"/>
    <s v="Coupon"/>
    <n v="148"/>
    <n v="-85.600708390167711"/>
  </r>
  <r>
    <s v="ORD533"/>
    <d v="2024-02-12T07:00:00"/>
    <s v="Mumbai"/>
    <s v="MARGHERI_485"/>
    <x v="16"/>
    <s v="Pizza"/>
    <n v="210"/>
    <n v="0"/>
    <n v="210"/>
    <n v="5"/>
    <n v="90.497177085286694"/>
    <n v="1050"/>
    <n v="452.48588542643301"/>
    <n v="597.51411457356596"/>
    <s v="Bundle"/>
    <n v="1050"/>
    <n v="-597.51411457356699"/>
  </r>
  <r>
    <s v="ORD534"/>
    <d v="2024-04-01T09:00:00"/>
    <s v="Delhi"/>
    <s v="FRIES_741"/>
    <x v="2"/>
    <s v="Snacks"/>
    <n v="258"/>
    <n v="0"/>
    <n v="258"/>
    <n v="4"/>
    <n v="115.637389129569"/>
    <n v="1032"/>
    <n v="462.54955651827601"/>
    <n v="569.45044348172303"/>
    <s v="None"/>
    <n v="1032"/>
    <n v="-569.45044348172405"/>
  </r>
  <r>
    <s v="ORD535"/>
    <d v="2024-12-16T15:00:00"/>
    <s v="Pune"/>
    <s v="COLD_COF_157"/>
    <x v="15"/>
    <s v="Drinks"/>
    <n v="126"/>
    <n v="0"/>
    <n v="126"/>
    <n v="2"/>
    <n v="63.889961264832998"/>
    <n v="252"/>
    <n v="127.779922529666"/>
    <n v="124.220077470333"/>
    <s v="None"/>
    <n v="252"/>
    <n v="-124.220077470334"/>
  </r>
  <r>
    <s v="ORD536"/>
    <d v="2025-07-18T14:00:00"/>
    <s v="Chennai"/>
    <s v="CHICKEN__666"/>
    <x v="7"/>
    <s v="Pizza"/>
    <n v="241"/>
    <n v="0.15"/>
    <n v="204.85"/>
    <n v="7"/>
    <n v="107.180929071798"/>
    <n v="1433.95"/>
    <n v="750.26650350258797"/>
    <n v="683.68349649741197"/>
    <s v="None"/>
    <n v="1687"/>
    <n v="-683.68349649741208"/>
  </r>
  <r>
    <s v="ORD537"/>
    <d v="2025-08-27T16:00:00"/>
    <s v="Mumbai"/>
    <s v="SPRITE_916"/>
    <x v="3"/>
    <s v="Drinks"/>
    <n v="205"/>
    <n v="0.25"/>
    <n v="153.75"/>
    <n v="6"/>
    <n v="139.14103434796399"/>
    <n v="922.5"/>
    <n v="834.84620608778403"/>
    <n v="87.653793912215093"/>
    <s v="Percent-Off"/>
    <n v="1230"/>
    <n v="-87.653793912215974"/>
  </r>
  <r>
    <s v="ORD538"/>
    <d v="2024-06-22T06:00:00"/>
    <s v="Hyderabad"/>
    <s v="VEG_BURG_715"/>
    <x v="0"/>
    <s v="Burger"/>
    <n v="90"/>
    <n v="0.15"/>
    <n v="76.5"/>
    <n v="2"/>
    <n v="40.864096362485199"/>
    <n v="153"/>
    <n v="81.728192724970398"/>
    <n v="71.271807275029502"/>
    <s v="None"/>
    <n v="180"/>
    <n v="-71.271807275029602"/>
  </r>
  <r>
    <s v="ORD539"/>
    <d v="2024-10-17T10:00:00"/>
    <s v="Hyderabad"/>
    <s v="VEG_SAND_641"/>
    <x v="9"/>
    <s v="Sandwich"/>
    <n v="266"/>
    <n v="0.1"/>
    <n v="239.4"/>
    <n v="3"/>
    <n v="174.924895779666"/>
    <n v="718.2"/>
    <n v="524.77468733900002"/>
    <n v="193.42531266099999"/>
    <s v="Coupon"/>
    <n v="798"/>
    <n v="-193.42531266100002"/>
  </r>
  <r>
    <s v="ORD540"/>
    <d v="2024-10-16T02:00:00"/>
    <s v="Bangalore"/>
    <s v="COLD_COF_818"/>
    <x v="15"/>
    <s v="Drinks"/>
    <n v="194"/>
    <n v="0.25"/>
    <n v="145.5"/>
    <n v="1"/>
    <n v="122.708642992525"/>
    <n v="145.5"/>
    <n v="122.708642992525"/>
    <n v="22.791357007474101"/>
    <s v="None"/>
    <n v="194"/>
    <n v="-22.791357007475"/>
  </r>
  <r>
    <s v="ORD541"/>
    <d v="2025-07-27T20:00:00"/>
    <s v="Mumbai"/>
    <s v="COLD_COF_781"/>
    <x v="15"/>
    <s v="Drinks"/>
    <n v="119"/>
    <n v="0.15"/>
    <n v="101.149999999999"/>
    <n v="3"/>
    <n v="66.567197803576704"/>
    <n v="303.45"/>
    <n v="199.70159341073"/>
    <n v="103.748406589269"/>
    <s v="BOGO"/>
    <n v="357"/>
    <n v="-103.74840658926999"/>
  </r>
  <r>
    <s v="ORD542"/>
    <d v="2025-03-07T00:00:00"/>
    <s v="Mumbai"/>
    <s v="COKE_963"/>
    <x v="8"/>
    <s v="Drinks"/>
    <n v="308"/>
    <n v="0.15"/>
    <n v="261.8"/>
    <n v="7"/>
    <n v="229.08720336896701"/>
    <n v="1832.6"/>
    <n v="1603.6104235827599"/>
    <n v="228.98957641723001"/>
    <s v="None"/>
    <n v="2156"/>
    <n v="-228.98957641723996"/>
  </r>
  <r>
    <s v="ORD543"/>
    <d v="2024-10-29T18:00:00"/>
    <s v="Chennai"/>
    <s v="ICE_CREA_368"/>
    <x v="6"/>
    <s v="Dessert"/>
    <n v="299"/>
    <n v="0"/>
    <n v="299"/>
    <n v="1"/>
    <n v="163.09544738935099"/>
    <n v="299"/>
    <n v="163.09544738935099"/>
    <n v="135.90455261064801"/>
    <s v="None"/>
    <n v="299"/>
    <n v="-135.90455261064901"/>
  </r>
  <r>
    <s v="ORD544"/>
    <d v="2024-12-28T14:00:00"/>
    <s v="Pune"/>
    <s v="CHEESE_B_650"/>
    <x v="5"/>
    <s v="Burger"/>
    <n v="314"/>
    <n v="0.15"/>
    <n v="266.89999999999998"/>
    <n v="5"/>
    <n v="194.48560904412599"/>
    <n v="1334.5"/>
    <n v="972.42804522063102"/>
    <n v="362.07195477936801"/>
    <s v="Coupon"/>
    <n v="1570"/>
    <n v="-362.07195477936898"/>
  </r>
  <r>
    <s v="ORD545"/>
    <d v="2024-01-17T00:00:00"/>
    <s v="Mumbai"/>
    <s v="CHEESE_B_524"/>
    <x v="5"/>
    <s v="Burger"/>
    <n v="213"/>
    <n v="0.2"/>
    <n v="170.4"/>
    <n v="6"/>
    <n v="85.255741659023101"/>
    <n v="1022.4"/>
    <n v="511.53444995413798"/>
    <n v="510.86555004586103"/>
    <s v="None"/>
    <n v="1278"/>
    <n v="-510.86555004586199"/>
  </r>
  <r>
    <s v="ORD546"/>
    <d v="2024-01-17T20:00:00"/>
    <s v="Mumbai"/>
    <s v="CHICKEN__751"/>
    <x v="14"/>
    <s v="Burger"/>
    <n v="265"/>
    <n v="0"/>
    <n v="265"/>
    <n v="6"/>
    <n v="148.961747717652"/>
    <n v="1590"/>
    <n v="893.77048630591401"/>
    <n v="696.22951369408497"/>
    <s v="Coupon"/>
    <n v="1590"/>
    <n v="-696.22951369408599"/>
  </r>
  <r>
    <s v="ORD547"/>
    <d v="2024-12-06T15:00:00"/>
    <s v="Pune"/>
    <s v="GRILLED__332"/>
    <x v="1"/>
    <s v="Sandwich"/>
    <n v="230"/>
    <n v="0.1"/>
    <n v="207"/>
    <n v="2"/>
    <n v="166.85981532296299"/>
    <n v="414"/>
    <n v="333.719630645927"/>
    <n v="80.280369354072207"/>
    <s v="None"/>
    <n v="460"/>
    <n v="-80.280369354073002"/>
  </r>
  <r>
    <s v="ORD548"/>
    <d v="2025-09-23T14:00:00"/>
    <s v="Mumbai"/>
    <s v="CHICKEN__150"/>
    <x v="14"/>
    <s v="Burger"/>
    <n v="88"/>
    <n v="0"/>
    <n v="88"/>
    <n v="2"/>
    <n v="61.476347694835198"/>
    <n v="176"/>
    <n v="122.95269538967"/>
    <n v="53.047304610329398"/>
    <s v="Percent-Off"/>
    <n v="176"/>
    <n v="-53.047304610330002"/>
  </r>
  <r>
    <s v="ORD549"/>
    <d v="2025-06-15T19:00:00"/>
    <s v="Delhi"/>
    <s v="SPRITE_502"/>
    <x v="3"/>
    <s v="Drinks"/>
    <n v="210"/>
    <n v="0"/>
    <n v="210"/>
    <n v="3"/>
    <n v="132.98093689507601"/>
    <n v="630"/>
    <n v="398.94281068522901"/>
    <n v="231.05718931477"/>
    <s v="None"/>
    <n v="630"/>
    <n v="-231.05718931477099"/>
  </r>
  <r>
    <s v="ORD550"/>
    <d v="2025-02-14T20:00:00"/>
    <s v="Pune"/>
    <s v="CHEESE_B_228"/>
    <x v="5"/>
    <s v="Burger"/>
    <n v="212"/>
    <n v="0"/>
    <n v="212"/>
    <n v="1"/>
    <n v="138.043054592521"/>
    <n v="212"/>
    <n v="138.043054592521"/>
    <n v="73.956945407478599"/>
    <s v="Coupon"/>
    <n v="212"/>
    <n v="-73.956945407478997"/>
  </r>
  <r>
    <s v="ORD551"/>
    <d v="2024-09-06T13:00:00"/>
    <s v="Bangalore"/>
    <s v="MARGHERI_602"/>
    <x v="16"/>
    <s v="Pizza"/>
    <n v="209"/>
    <n v="0"/>
    <n v="209"/>
    <n v="3"/>
    <n v="122.611506713856"/>
    <n v="627"/>
    <n v="367.83452014157001"/>
    <n v="259.16547985842902"/>
    <s v="Percent-Off"/>
    <n v="627"/>
    <n v="-259.16547985842999"/>
  </r>
  <r>
    <s v="ORD552"/>
    <d v="2025-09-21T10:00:00"/>
    <s v="Mumbai"/>
    <s v="SPRITE_291"/>
    <x v="3"/>
    <s v="Drinks"/>
    <n v="222"/>
    <n v="0.1"/>
    <n v="199.8"/>
    <n v="2"/>
    <n v="160.67751603593601"/>
    <n v="399.6"/>
    <n v="321.35503207187202"/>
    <n v="78.244967928127593"/>
    <s v="BOGO"/>
    <n v="444"/>
    <n v="-78.244967928128005"/>
  </r>
  <r>
    <s v="ORD553"/>
    <d v="2024-05-31T12:00:00"/>
    <s v="Mumbai"/>
    <s v="SPRITE_640"/>
    <x v="3"/>
    <s v="Drinks"/>
    <n v="231"/>
    <n v="0"/>
    <n v="231"/>
    <n v="6"/>
    <n v="161.78053208840501"/>
    <n v="1386"/>
    <n v="970.68319253043001"/>
    <n v="415.31680746956999"/>
    <s v="None"/>
    <n v="1386"/>
    <n v="-415.31680746956999"/>
  </r>
  <r>
    <s v="ORD554"/>
    <d v="2025-03-30T20:00:00"/>
    <s v="Mumbai"/>
    <s v="COKE_478"/>
    <x v="8"/>
    <s v="Drinks"/>
    <n v="166"/>
    <n v="0"/>
    <n v="166"/>
    <n v="1"/>
    <n v="89.660720019394105"/>
    <n v="166"/>
    <n v="89.660720019394105"/>
    <n v="76.339279980605795"/>
    <s v="None"/>
    <n v="166"/>
    <n v="-76.339279980605895"/>
  </r>
  <r>
    <s v="ORD555"/>
    <d v="2024-07-19T09:00:00"/>
    <s v="Hyderabad"/>
    <s v="FRIES_330"/>
    <x v="2"/>
    <s v="Snacks"/>
    <n v="96"/>
    <n v="0"/>
    <n v="96"/>
    <n v="2"/>
    <n v="69.866175932023594"/>
    <n v="192"/>
    <n v="139.73235186404699"/>
    <n v="52.267648135952797"/>
    <s v="BOGO"/>
    <n v="192"/>
    <n v="-52.26764813595301"/>
  </r>
  <r>
    <s v="ORD556"/>
    <d v="2025-07-14T16:00:00"/>
    <s v="Bangalore"/>
    <s v="PEPPY_PA_168"/>
    <x v="10"/>
    <s v="Pizza"/>
    <n v="293"/>
    <n v="0"/>
    <n v="293"/>
    <n v="5"/>
    <n v="146.85236679827301"/>
    <n v="1465"/>
    <n v="734.26183399136505"/>
    <n v="730.73816600863404"/>
    <s v="None"/>
    <n v="1465"/>
    <n v="-730.73816600863495"/>
  </r>
  <r>
    <s v="ORD557"/>
    <d v="2025-10-05T12:00:00"/>
    <s v="Pune"/>
    <s v="VEG_BURG_214"/>
    <x v="0"/>
    <s v="Burger"/>
    <n v="295"/>
    <n v="0"/>
    <n v="295"/>
    <n v="7"/>
    <n v="184.61174610081801"/>
    <n v="2065"/>
    <n v="1292.28222270572"/>
    <n v="772.71777729427197"/>
    <s v="Bundle"/>
    <n v="2065"/>
    <n v="-772.71777729428004"/>
  </r>
  <r>
    <s v="ORD558"/>
    <d v="2024-09-06T21:00:00"/>
    <s v="Pune"/>
    <s v="CHEESE_B_632"/>
    <x v="5"/>
    <s v="Burger"/>
    <n v="209"/>
    <n v="0.15"/>
    <n v="177.65"/>
    <n v="3"/>
    <n v="151.79532255881901"/>
    <n v="532.95000000000005"/>
    <n v="455.38596767645703"/>
    <n v="77.564032323542605"/>
    <s v="None"/>
    <n v="627"/>
    <n v="-77.564032323543017"/>
  </r>
  <r>
    <s v="ORD559"/>
    <d v="2024-03-26T08:00:00"/>
    <s v="Delhi"/>
    <s v="FRIES_485"/>
    <x v="2"/>
    <s v="Snacks"/>
    <n v="99"/>
    <n v="0.1"/>
    <n v="89.1"/>
    <n v="6"/>
    <n v="62.723048590985499"/>
    <n v="534.6"/>
    <n v="376.33829154591302"/>
    <n v="158.261708454086"/>
    <s v="BOGO"/>
    <n v="594"/>
    <n v="-158.261708454087"/>
  </r>
  <r>
    <s v="ORD560"/>
    <d v="2025-05-29T02:00:00"/>
    <s v="Hyderabad"/>
    <s v="VEG_SAND_659"/>
    <x v="9"/>
    <s v="Sandwich"/>
    <n v="304"/>
    <n v="0.1"/>
    <n v="273.60000000000002"/>
    <n v="5"/>
    <n v="214.422781540952"/>
    <n v="1368"/>
    <n v="1072.1139077047601"/>
    <n v="295.88609229523797"/>
    <s v="None"/>
    <n v="1520"/>
    <n v="-295.88609229523991"/>
  </r>
  <r>
    <s v="ORD561"/>
    <d v="2025-12-13T12:00:00"/>
    <s v="Delhi"/>
    <s v="COLD_COF_786"/>
    <x v="15"/>
    <s v="Drinks"/>
    <n v="173"/>
    <n v="0"/>
    <n v="173"/>
    <n v="6"/>
    <n v="85.320317415752896"/>
    <n v="1038"/>
    <n v="511.92190449451698"/>
    <n v="526.078095505482"/>
    <s v="None"/>
    <n v="1038"/>
    <n v="-526.07809550548302"/>
  </r>
  <r>
    <s v="ORD562"/>
    <d v="2024-07-08T08:00:00"/>
    <s v="Mumbai"/>
    <s v="GULAB_JA_311"/>
    <x v="11"/>
    <s v="Dessert"/>
    <n v="148"/>
    <n v="0.1"/>
    <n v="133.19999999999999"/>
    <n v="6"/>
    <n v="104.0821650763"/>
    <n v="799.2"/>
    <n v="624.49299045780197"/>
    <n v="174.707009542197"/>
    <s v="Coupon"/>
    <n v="888"/>
    <n v="-174.70700954219808"/>
  </r>
  <r>
    <s v="ORD563"/>
    <d v="2024-07-26T08:00:00"/>
    <s v="Hyderabad"/>
    <s v="MARGHERI_748"/>
    <x v="16"/>
    <s v="Pizza"/>
    <n v="118"/>
    <n v="0"/>
    <n v="118"/>
    <n v="6"/>
    <n v="58.049323200179899"/>
    <n v="708"/>
    <n v="348.29593920107902"/>
    <n v="359.70406079892001"/>
    <s v="None"/>
    <n v="708"/>
    <n v="-359.70406079892098"/>
  </r>
  <r>
    <s v="ORD564"/>
    <d v="2025-06-16T07:00:00"/>
    <s v="Delhi"/>
    <s v="VEG_BURG_930"/>
    <x v="0"/>
    <s v="Burger"/>
    <n v="156"/>
    <n v="0"/>
    <n v="156"/>
    <n v="2"/>
    <n v="100.442812895473"/>
    <n v="312"/>
    <n v="200.88562579094599"/>
    <n v="111.114374209053"/>
    <s v="None"/>
    <n v="312"/>
    <n v="-111.11437420905401"/>
  </r>
  <r>
    <s v="ORD565"/>
    <d v="2025-02-21T07:00:00"/>
    <s v="Bangalore"/>
    <s v="SPRITE_573"/>
    <x v="3"/>
    <s v="Drinks"/>
    <n v="225"/>
    <n v="0.25"/>
    <n v="168.75"/>
    <n v="2"/>
    <n v="93.505086842998494"/>
    <n v="337.5"/>
    <n v="187.01017368599699"/>
    <n v="150.48982631400199"/>
    <s v="BOGO"/>
    <n v="450"/>
    <n v="-150.48982631400301"/>
  </r>
  <r>
    <s v="ORD566"/>
    <d v="2024-05-22T11:00:00"/>
    <s v="Delhi"/>
    <s v="CHEESE_B_378"/>
    <x v="5"/>
    <s v="Burger"/>
    <n v="349"/>
    <n v="0.1"/>
    <n v="314.10000000000002"/>
    <n v="1"/>
    <n v="239.106450593565"/>
    <n v="314.10000000000002"/>
    <n v="239.106450593565"/>
    <n v="74.993549406434198"/>
    <s v="Coupon"/>
    <n v="349"/>
    <n v="-74.993549406435022"/>
  </r>
  <r>
    <s v="ORD567"/>
    <d v="2025-08-24T06:00:00"/>
    <s v="Pune"/>
    <s v="VEG_BURG_565"/>
    <x v="0"/>
    <s v="Burger"/>
    <n v="172"/>
    <n v="0.05"/>
    <n v="163.4"/>
    <n v="3"/>
    <n v="116.771066530626"/>
    <n v="490.2"/>
    <n v="350.31319959187999"/>
    <n v="139.886800408119"/>
    <s v="None"/>
    <n v="516"/>
    <n v="-139.88680040812"/>
  </r>
  <r>
    <s v="ORD568"/>
    <d v="2024-10-28T15:00:00"/>
    <s v="Bangalore"/>
    <s v="CHICKEN__830"/>
    <x v="14"/>
    <s v="Burger"/>
    <n v="97"/>
    <n v="0.1"/>
    <n v="87.3"/>
    <n v="5"/>
    <n v="63.449782019821001"/>
    <n v="436.5"/>
    <n v="317.24891009910499"/>
    <n v="119.251089900895"/>
    <s v="Percent-Off"/>
    <n v="485"/>
    <n v="-119.25108990089501"/>
  </r>
  <r>
    <s v="ORD569"/>
    <d v="2025-08-26T17:00:00"/>
    <s v="Pune"/>
    <s v="MARGHERI_622"/>
    <x v="16"/>
    <s v="Pizza"/>
    <n v="113"/>
    <n v="0.05"/>
    <n v="107.35"/>
    <n v="4"/>
    <n v="83.892983443635103"/>
    <n v="429.4"/>
    <n v="335.57193377454001"/>
    <n v="93.828066225459295"/>
    <s v="None"/>
    <n v="452"/>
    <n v="-93.828066225459963"/>
  </r>
  <r>
    <s v="ORD570"/>
    <d v="2025-11-24T01:00:00"/>
    <s v="Delhi"/>
    <s v="CHICKEN__120"/>
    <x v="14"/>
    <s v="Burger"/>
    <n v="306"/>
    <n v="0.1"/>
    <n v="275.39999999999998"/>
    <n v="6"/>
    <n v="160.58746045804401"/>
    <n v="1652.4"/>
    <n v="963.52476274826802"/>
    <n v="688.87523725173105"/>
    <s v="Bundle"/>
    <n v="1836"/>
    <n v="-688.87523725173207"/>
  </r>
  <r>
    <s v="ORD571"/>
    <d v="2025-03-07T13:00:00"/>
    <s v="Delhi"/>
    <s v="FRIES_703"/>
    <x v="2"/>
    <s v="Snacks"/>
    <n v="213"/>
    <n v="0.1"/>
    <n v="191.7"/>
    <n v="4"/>
    <n v="139.69682152834801"/>
    <n v="766.8"/>
    <n v="558.78728611339398"/>
    <n v="208.01271388660601"/>
    <s v="Coupon"/>
    <n v="852"/>
    <n v="-208.01271388660598"/>
  </r>
  <r>
    <s v="ORD572"/>
    <d v="2025-12-15T18:00:00"/>
    <s v="Pune"/>
    <s v="GRILLED__325"/>
    <x v="1"/>
    <s v="Sandwich"/>
    <n v="182"/>
    <n v="0.05"/>
    <n v="172.9"/>
    <n v="1"/>
    <n v="133.01605846402899"/>
    <n v="172.9"/>
    <n v="133.01605846402899"/>
    <n v="39.883941535970699"/>
    <s v="Coupon"/>
    <n v="182"/>
    <n v="-39.883941535971019"/>
  </r>
  <r>
    <s v="ORD573"/>
    <d v="2024-06-30T19:00:00"/>
    <s v="Bangalore"/>
    <s v="SPRITE_896"/>
    <x v="3"/>
    <s v="Drinks"/>
    <n v="261"/>
    <n v="0"/>
    <n v="261"/>
    <n v="7"/>
    <n v="170.41714452824399"/>
    <n v="1827"/>
    <n v="1192.9200116977099"/>
    <n v="634.07998830228905"/>
    <s v="None"/>
    <n v="1827"/>
    <n v="-634.07998830229008"/>
  </r>
  <r>
    <s v="ORD574"/>
    <d v="2025-02-28T00:00:00"/>
    <s v="Pune"/>
    <s v="VEG_BURG_802"/>
    <x v="0"/>
    <s v="Burger"/>
    <n v="311"/>
    <n v="0"/>
    <n v="311"/>
    <n v="2"/>
    <n v="145.732443104786"/>
    <n v="622"/>
    <n v="291.46488620957302"/>
    <n v="330.53511379042601"/>
    <s v="Bundle"/>
    <n v="622"/>
    <n v="-330.53511379042698"/>
  </r>
  <r>
    <s v="ORD575"/>
    <d v="2025-12-28T13:00:00"/>
    <s v="Delhi"/>
    <s v="COLD_COF_607"/>
    <x v="15"/>
    <s v="Drinks"/>
    <n v="195"/>
    <n v="0.1"/>
    <n v="175.5"/>
    <n v="2"/>
    <n v="140.42790374300401"/>
    <n v="351"/>
    <n v="280.85580748600802"/>
    <n v="70.144192513991698"/>
    <s v="None"/>
    <n v="390"/>
    <n v="-70.144192513991982"/>
  </r>
  <r>
    <s v="ORD576"/>
    <d v="2024-12-17T03:00:00"/>
    <s v="Bangalore"/>
    <s v="PEPPY_PA_878"/>
    <x v="10"/>
    <s v="Pizza"/>
    <n v="165"/>
    <n v="0"/>
    <n v="165"/>
    <n v="5"/>
    <n v="72.356759650455999"/>
    <n v="825"/>
    <n v="361.78379825228001"/>
    <n v="463.21620174771903"/>
    <s v="Percent-Off"/>
    <n v="825"/>
    <n v="-463.21620174771999"/>
  </r>
  <r>
    <s v="ORD577"/>
    <d v="2024-12-23T12:00:00"/>
    <s v="Pune"/>
    <s v="VEG_BURG_776"/>
    <x v="0"/>
    <s v="Burger"/>
    <n v="166"/>
    <n v="0"/>
    <n v="166"/>
    <n v="7"/>
    <n v="82.939602326979497"/>
    <n v="1162"/>
    <n v="580.57721628885599"/>
    <n v="581.42278371114298"/>
    <s v="BOGO"/>
    <n v="1162"/>
    <n v="-581.42278371114401"/>
  </r>
  <r>
    <s v="ORD578"/>
    <d v="2024-07-21T10:00:00"/>
    <s v="Mumbai"/>
    <s v="CHICKEN__265"/>
    <x v="7"/>
    <s v="Pizza"/>
    <n v="209"/>
    <n v="0.15"/>
    <n v="177.65"/>
    <n v="4"/>
    <n v="113.627980906963"/>
    <n v="710.6"/>
    <n v="454.51192362785298"/>
    <n v="256.08807637214602"/>
    <s v="Coupon"/>
    <n v="836"/>
    <n v="-256.08807637214704"/>
  </r>
  <r>
    <s v="ORD579"/>
    <d v="2025-02-22T08:00:00"/>
    <s v="Mumbai"/>
    <s v="COLD_COF_538"/>
    <x v="15"/>
    <s v="Drinks"/>
    <n v="273"/>
    <n v="0"/>
    <n v="273"/>
    <n v="5"/>
    <n v="120.47547584348099"/>
    <n v="1365"/>
    <n v="602.37737921740597"/>
    <n v="762.622620782593"/>
    <s v="None"/>
    <n v="1365"/>
    <n v="-762.62262078259403"/>
  </r>
  <r>
    <s v="ORD580"/>
    <d v="2025-09-27T14:00:00"/>
    <s v="Chennai"/>
    <s v="CLUB_SAN_511"/>
    <x v="13"/>
    <s v="Sandwich"/>
    <n v="270"/>
    <n v="0.15"/>
    <n v="229.5"/>
    <n v="3"/>
    <n v="112.75551716232501"/>
    <n v="688.5"/>
    <n v="338.26655148697699"/>
    <n v="350.23344851302198"/>
    <s v="Coupon"/>
    <n v="810"/>
    <n v="-350.23344851302301"/>
  </r>
  <r>
    <s v="ORD581"/>
    <d v="2025-04-22T22:00:00"/>
    <s v="Hyderabad"/>
    <s v="COKE_579"/>
    <x v="8"/>
    <s v="Drinks"/>
    <n v="250"/>
    <n v="0"/>
    <n v="250"/>
    <n v="6"/>
    <n v="143.17949983137601"/>
    <n v="1500"/>
    <n v="859.07699898826002"/>
    <n v="640.92300101173896"/>
    <s v="None"/>
    <n v="1500"/>
    <n v="-640.92300101173998"/>
  </r>
  <r>
    <s v="ORD582"/>
    <d v="2024-02-22T04:00:00"/>
    <s v="Mumbai"/>
    <s v="ICE_CREA_757"/>
    <x v="6"/>
    <s v="Dessert"/>
    <n v="88"/>
    <n v="0"/>
    <n v="88"/>
    <n v="3"/>
    <n v="36.922531583949301"/>
    <n v="264"/>
    <n v="110.76759475184799"/>
    <n v="153.232405248151"/>
    <s v="None"/>
    <n v="264"/>
    <n v="-153.23240524815202"/>
  </r>
  <r>
    <s v="ORD583"/>
    <d v="2024-10-18T12:00:00"/>
    <s v="Bangalore"/>
    <s v="COKE_495"/>
    <x v="8"/>
    <s v="Drinks"/>
    <n v="122"/>
    <n v="0"/>
    <n v="122"/>
    <n v="6"/>
    <n v="71.303225569631493"/>
    <n v="732"/>
    <n v="427.81935341778899"/>
    <n v="304.18064658221101"/>
    <s v="None"/>
    <n v="732"/>
    <n v="-304.18064658221101"/>
  </r>
  <r>
    <s v="ORD584"/>
    <d v="2025-05-22T05:00:00"/>
    <s v="Delhi"/>
    <s v="PEPPY_PA_515"/>
    <x v="10"/>
    <s v="Pizza"/>
    <n v="214"/>
    <n v="0"/>
    <n v="214"/>
    <n v="6"/>
    <n v="87.246437929240699"/>
    <n v="1284"/>
    <n v="523.47862757544397"/>
    <n v="760.52137242455501"/>
    <s v="BOGO"/>
    <n v="1284"/>
    <n v="-760.52137242455603"/>
  </r>
  <r>
    <s v="ORD585"/>
    <d v="2024-07-13T17:00:00"/>
    <s v="Bangalore"/>
    <s v="SPRITE_313"/>
    <x v="3"/>
    <s v="Drinks"/>
    <n v="308"/>
    <n v="0"/>
    <n v="308"/>
    <n v="6"/>
    <n v="207.57998368429901"/>
    <n v="1848"/>
    <n v="1245.47990210579"/>
    <n v="602.52009789420299"/>
    <s v="None"/>
    <n v="1848"/>
    <n v="-602.52009789421004"/>
  </r>
  <r>
    <s v="ORD586"/>
    <d v="2025-10-19T13:00:00"/>
    <s v="Hyderabad"/>
    <s v="VEG_BURG_810"/>
    <x v="0"/>
    <s v="Burger"/>
    <n v="123"/>
    <n v="0"/>
    <n v="123"/>
    <n v="3"/>
    <n v="52.322085744890401"/>
    <n v="369"/>
    <n v="156.96625723467099"/>
    <n v="212.03374276532799"/>
    <s v="None"/>
    <n v="369"/>
    <n v="-212.03374276532901"/>
  </r>
  <r>
    <s v="ORD587"/>
    <d v="2025-06-27T19:00:00"/>
    <s v="Bangalore"/>
    <s v="CHICKEN__821"/>
    <x v="7"/>
    <s v="Pizza"/>
    <n v="313"/>
    <n v="0"/>
    <n v="313"/>
    <n v="5"/>
    <n v="226.716211428306"/>
    <n v="1565"/>
    <n v="1133.58105714153"/>
    <n v="431.41894285846701"/>
    <s v="None"/>
    <n v="1565"/>
    <n v="-431.41894285847002"/>
  </r>
  <r>
    <s v="ORD588"/>
    <d v="2024-10-13T17:00:00"/>
    <s v="Pune"/>
    <s v="PEPPY_PA_404"/>
    <x v="10"/>
    <s v="Pizza"/>
    <n v="197"/>
    <n v="0"/>
    <n v="197"/>
    <n v="4"/>
    <n v="102.981439882054"/>
    <n v="788"/>
    <n v="411.92575952821602"/>
    <n v="376.07424047178301"/>
    <s v="None"/>
    <n v="788"/>
    <n v="-376.07424047178398"/>
  </r>
  <r>
    <s v="ORD589"/>
    <d v="2024-10-16T13:00:00"/>
    <s v="Hyderabad"/>
    <s v="CHICKEN__289"/>
    <x v="7"/>
    <s v="Pizza"/>
    <n v="142"/>
    <n v="0.05"/>
    <n v="134.9"/>
    <n v="1"/>
    <n v="95.594464473300704"/>
    <n v="134.9"/>
    <n v="95.594464473300704"/>
    <n v="39.305535526699202"/>
    <s v="None"/>
    <n v="142"/>
    <n v="-39.305535526699302"/>
  </r>
  <r>
    <s v="ORD590"/>
    <d v="2025-01-31T17:00:00"/>
    <s v="Chennai"/>
    <s v="ICE_CREA_767"/>
    <x v="6"/>
    <s v="Dessert"/>
    <n v="211"/>
    <n v="0"/>
    <n v="211"/>
    <n v="4"/>
    <n v="113.219116886778"/>
    <n v="844"/>
    <n v="452.87646754711199"/>
    <n v="391.12353245288699"/>
    <s v="None"/>
    <n v="844"/>
    <n v="-391.12353245288801"/>
  </r>
  <r>
    <s v="ORD591"/>
    <d v="2024-11-30T01:00:00"/>
    <s v="Pune"/>
    <s v="ONION_RI_554"/>
    <x v="17"/>
    <s v="Snacks"/>
    <n v="319"/>
    <n v="0.05"/>
    <n v="303.05"/>
    <n v="3"/>
    <n v="171.22093341732"/>
    <n v="909.15"/>
    <n v="513.66280025196204"/>
    <n v="395.48719974803703"/>
    <s v="None"/>
    <n v="957"/>
    <n v="-395.48719974803794"/>
  </r>
  <r>
    <s v="ORD592"/>
    <d v="2024-10-16T05:00:00"/>
    <s v="Pune"/>
    <s v="SPRITE_333"/>
    <x v="3"/>
    <s v="Drinks"/>
    <n v="88"/>
    <n v="0.2"/>
    <n v="70.400000000000006"/>
    <n v="2"/>
    <n v="40.4114539916593"/>
    <n v="140.80000000000001"/>
    <n v="80.8229079833187"/>
    <n v="59.977092016681297"/>
    <s v="None"/>
    <n v="176"/>
    <n v="-59.977092016681311"/>
  </r>
  <r>
    <s v="ORD593"/>
    <d v="2025-03-01T09:00:00"/>
    <s v="Hyderabad"/>
    <s v="COLD_COF_246"/>
    <x v="15"/>
    <s v="Drinks"/>
    <n v="118"/>
    <n v="0"/>
    <n v="118"/>
    <n v="3"/>
    <n v="47.946749108094799"/>
    <n v="354"/>
    <n v="143.84024732428401"/>
    <n v="210.159752675715"/>
    <s v="Coupon"/>
    <n v="354"/>
    <n v="-210.15975267571599"/>
  </r>
  <r>
    <s v="ORD594"/>
    <d v="2025-02-01T22:00:00"/>
    <s v="Chennai"/>
    <s v="GULAB_JA_870"/>
    <x v="11"/>
    <s v="Dessert"/>
    <n v="285"/>
    <n v="0"/>
    <n v="285"/>
    <n v="2"/>
    <n v="161.18081172139"/>
    <n v="570"/>
    <n v="322.36162344278102"/>
    <n v="247.63837655721801"/>
    <s v="None"/>
    <n v="570"/>
    <n v="-247.63837655721898"/>
  </r>
  <r>
    <s v="ORD595"/>
    <d v="2024-07-12T05:00:00"/>
    <s v="Hyderabad"/>
    <s v="CHICKEN__320"/>
    <x v="7"/>
    <s v="Pizza"/>
    <n v="337"/>
    <n v="0"/>
    <n v="337"/>
    <n v="6"/>
    <n v="146.285585198289"/>
    <n v="2022"/>
    <n v="877.71351118973405"/>
    <n v="1144.2864888102599"/>
    <s v="Percent-Off"/>
    <n v="2022"/>
    <n v="-1144.2864888102658"/>
  </r>
  <r>
    <s v="ORD596"/>
    <d v="2024-07-21T06:00:00"/>
    <s v="Pune"/>
    <s v="MARGHERI_857"/>
    <x v="16"/>
    <s v="Pizza"/>
    <n v="337"/>
    <n v="0.1"/>
    <n v="303.3"/>
    <n v="2"/>
    <n v="204.492676239253"/>
    <n v="606.6"/>
    <n v="408.98535247850702"/>
    <n v="197.614647521492"/>
    <s v="None"/>
    <n v="674"/>
    <n v="-197.614647521493"/>
  </r>
  <r>
    <s v="ORD597"/>
    <d v="2025-03-06T00:00:00"/>
    <s v="Hyderabad"/>
    <s v="GRILLED__388"/>
    <x v="1"/>
    <s v="Sandwich"/>
    <n v="183"/>
    <n v="0.2"/>
    <n v="146.4"/>
    <n v="3"/>
    <n v="77.199555812079794"/>
    <n v="439.2"/>
    <n v="231.598667436239"/>
    <n v="207.60133256376"/>
    <s v="None"/>
    <n v="549"/>
    <n v="-207.60133256376099"/>
  </r>
  <r>
    <s v="ORD598"/>
    <d v="2024-07-22T20:00:00"/>
    <s v="Bangalore"/>
    <s v="BROWNIE_853"/>
    <x v="12"/>
    <s v="Dessert"/>
    <n v="343"/>
    <n v="0"/>
    <n v="343"/>
    <n v="2"/>
    <n v="173.56856740520399"/>
    <n v="686"/>
    <n v="347.13713481040901"/>
    <n v="338.86286518959002"/>
    <s v="Bundle"/>
    <n v="686"/>
    <n v="-338.86286518959099"/>
  </r>
  <r>
    <s v="ORD599"/>
    <d v="2024-10-20T11:00:00"/>
    <s v="Chennai"/>
    <s v="ICE_CREA_251"/>
    <x v="6"/>
    <s v="Dessert"/>
    <n v="163"/>
    <n v="0.15"/>
    <n v="138.54999999999899"/>
    <n v="3"/>
    <n v="85.178141213138304"/>
    <n v="415.65"/>
    <n v="255.534423639415"/>
    <n v="160.11557636058399"/>
    <s v="None"/>
    <n v="489"/>
    <n v="-160.11557636058498"/>
  </r>
  <r>
    <s v="ORD600"/>
    <d v="2025-11-19T09:00:00"/>
    <s v="Chennai"/>
    <s v="GRILLED__137"/>
    <x v="1"/>
    <s v="Sandwich"/>
    <n v="255"/>
    <n v="0.1"/>
    <n v="229.5"/>
    <n v="3"/>
    <n v="158.33353596686101"/>
    <n v="688.5"/>
    <n v="475.00060790058399"/>
    <n v="213.49939209941499"/>
    <s v="Coupon"/>
    <n v="765"/>
    <n v="-213.49939209941601"/>
  </r>
  <r>
    <s v="ORD601"/>
    <d v="2024-06-22T12:00:00"/>
    <s v="Delhi"/>
    <s v="GULAB_JA_786"/>
    <x v="11"/>
    <s v="Dessert"/>
    <n v="113"/>
    <n v="0.1"/>
    <n v="101.7"/>
    <n v="4"/>
    <n v="78.762389127596705"/>
    <n v="406.8"/>
    <n v="315.04955651038603"/>
    <n v="91.750443489613005"/>
    <s v="None"/>
    <n v="452"/>
    <n v="-91.750443489613986"/>
  </r>
  <r>
    <s v="ORD602"/>
    <d v="2024-11-26T21:00:00"/>
    <s v="Pune"/>
    <s v="VEG_SAND_797"/>
    <x v="9"/>
    <s v="Sandwich"/>
    <n v="88"/>
    <n v="0.05"/>
    <n v="83.6"/>
    <n v="1"/>
    <n v="57.484864858597497"/>
    <n v="83.6"/>
    <n v="57.484864858597497"/>
    <n v="26.115135141402401"/>
    <s v="Coupon"/>
    <n v="88"/>
    <n v="-26.115135141402497"/>
  </r>
  <r>
    <s v="ORD603"/>
    <d v="2025-08-22T12:00:00"/>
    <s v="Chennai"/>
    <s v="GRILLED__491"/>
    <x v="1"/>
    <s v="Sandwich"/>
    <n v="200"/>
    <n v="0.05"/>
    <n v="190"/>
    <n v="4"/>
    <n v="105.15966787815699"/>
    <n v="760"/>
    <n v="420.63867151262798"/>
    <n v="339.361328487371"/>
    <s v="None"/>
    <n v="800"/>
    <n v="-339.36132848737202"/>
  </r>
  <r>
    <s v="ORD604"/>
    <d v="2024-08-20T01:00:00"/>
    <s v="Delhi"/>
    <s v="CHEESE_B_316"/>
    <x v="5"/>
    <s v="Burger"/>
    <n v="274"/>
    <n v="0.15"/>
    <n v="232.9"/>
    <n v="2"/>
    <n v="114.654868846944"/>
    <n v="465.8"/>
    <n v="229.30973769388899"/>
    <n v="236.49026230611"/>
    <s v="BOGO"/>
    <n v="548"/>
    <n v="-236.49026230611102"/>
  </r>
  <r>
    <s v="ORD605"/>
    <d v="2024-06-28T04:00:00"/>
    <s v="Delhi"/>
    <s v="GRILLED__155"/>
    <x v="1"/>
    <s v="Sandwich"/>
    <n v="132"/>
    <n v="0"/>
    <n v="132"/>
    <n v="7"/>
    <n v="58.607612880859698"/>
    <n v="924"/>
    <n v="410.25329016601802"/>
    <n v="513.74670983398096"/>
    <s v="BOGO"/>
    <n v="924"/>
    <n v="-513.74670983398198"/>
  </r>
  <r>
    <s v="ORD606"/>
    <d v="2024-09-18T05:00:00"/>
    <s v="Hyderabad"/>
    <s v="CHICKEN__179"/>
    <x v="7"/>
    <s v="Pizza"/>
    <n v="259"/>
    <n v="0.15"/>
    <n v="220.15"/>
    <n v="3"/>
    <n v="176.64249919329001"/>
    <n v="660.45"/>
    <n v="529.92749757987099"/>
    <n v="130.52250242012801"/>
    <s v="Percent-Off"/>
    <n v="777"/>
    <n v="-130.52250242012906"/>
  </r>
  <r>
    <s v="ORD607"/>
    <d v="2024-06-08T02:00:00"/>
    <s v="Bangalore"/>
    <s v="MARGHERI_666"/>
    <x v="16"/>
    <s v="Pizza"/>
    <n v="137"/>
    <n v="0.15"/>
    <n v="116.45"/>
    <n v="3"/>
    <n v="63.207276874020401"/>
    <n v="349.35"/>
    <n v="189.621830622061"/>
    <n v="159.728169377938"/>
    <s v="BOGO"/>
    <n v="411"/>
    <n v="-159.72816937793903"/>
  </r>
  <r>
    <s v="ORD608"/>
    <d v="2025-05-15T15:00:00"/>
    <s v="Hyderabad"/>
    <s v="MARGHERI_444"/>
    <x v="16"/>
    <s v="Pizza"/>
    <n v="312"/>
    <n v="0"/>
    <n v="312"/>
    <n v="5"/>
    <n v="198.35819365403901"/>
    <n v="1560"/>
    <n v="991.79096827019498"/>
    <n v="568.209031729804"/>
    <s v="None"/>
    <n v="1560"/>
    <n v="-568.20903172980502"/>
  </r>
  <r>
    <s v="ORD609"/>
    <d v="2025-05-24T18:00:00"/>
    <s v="Bangalore"/>
    <s v="VEG_BURG_754"/>
    <x v="0"/>
    <s v="Burger"/>
    <n v="220"/>
    <n v="0.15"/>
    <n v="187"/>
    <n v="2"/>
    <n v="132.82514981673501"/>
    <n v="374"/>
    <n v="265.65029963347001"/>
    <n v="108.34970036652901"/>
    <s v="None"/>
    <n v="440"/>
    <n v="-108.34970036652999"/>
  </r>
  <r>
    <s v="ORD610"/>
    <d v="2024-09-17T14:00:00"/>
    <s v="Chennai"/>
    <s v="VEG_BURG_958"/>
    <x v="0"/>
    <s v="Burger"/>
    <n v="219"/>
    <n v="0.15"/>
    <n v="186.15"/>
    <n v="7"/>
    <n v="159.307839694466"/>
    <n v="1303.05"/>
    <n v="1115.15487786126"/>
    <n v="187.895122138734"/>
    <s v="Coupon"/>
    <n v="1533"/>
    <n v="-187.89512213873991"/>
  </r>
  <r>
    <s v="ORD611"/>
    <d v="2025-12-15T08:00:00"/>
    <s v="Pune"/>
    <s v="CHEESE_B_752"/>
    <x v="5"/>
    <s v="Burger"/>
    <n v="188"/>
    <n v="0.2"/>
    <n v="150.4"/>
    <n v="2"/>
    <n v="133.75123473100999"/>
    <n v="300.8"/>
    <n v="267.502469462021"/>
    <n v="33.297530537978297"/>
    <s v="Coupon"/>
    <n v="376"/>
    <n v="-33.297530537979014"/>
  </r>
  <r>
    <s v="ORD612"/>
    <d v="2024-11-02T06:00:00"/>
    <s v="Bangalore"/>
    <s v="COLD_COF_161"/>
    <x v="15"/>
    <s v="Drinks"/>
    <n v="178"/>
    <n v="0.25"/>
    <n v="133.5"/>
    <n v="7"/>
    <n v="110.355792975206"/>
    <n v="934.5"/>
    <n v="772.49055082644395"/>
    <n v="162.00944917355599"/>
    <s v="BOGO"/>
    <n v="1246"/>
    <n v="-162.00944917355605"/>
  </r>
  <r>
    <s v="ORD613"/>
    <d v="2025-09-24T15:00:00"/>
    <s v="Delhi"/>
    <s v="GULAB_JA_436"/>
    <x v="11"/>
    <s v="Dessert"/>
    <n v="165"/>
    <n v="0"/>
    <n v="165"/>
    <n v="1"/>
    <n v="107.999754168628"/>
    <n v="165"/>
    <n v="107.999754168628"/>
    <n v="57.000245831371899"/>
    <s v="Bundle"/>
    <n v="165"/>
    <n v="-57.000245831371998"/>
  </r>
  <r>
    <s v="ORD614"/>
    <d v="2024-09-16T22:00:00"/>
    <s v="Delhi"/>
    <s v="CHICKEN__307"/>
    <x v="7"/>
    <s v="Pizza"/>
    <n v="143"/>
    <n v="0.25"/>
    <n v="107.25"/>
    <n v="5"/>
    <n v="86.382537605328295"/>
    <n v="536.25"/>
    <n v="431.91268802664098"/>
    <n v="104.337311973358"/>
    <s v="Percent-Off"/>
    <n v="715"/>
    <n v="-104.33731197335902"/>
  </r>
  <r>
    <s v="ORD615"/>
    <d v="2024-09-10T18:00:00"/>
    <s v="Hyderabad"/>
    <s v="PEPPY_PA_543"/>
    <x v="10"/>
    <s v="Pizza"/>
    <n v="117"/>
    <n v="0.1"/>
    <n v="105.3"/>
    <n v="1"/>
    <n v="77.434927099992606"/>
    <n v="105.3"/>
    <n v="77.434927099992606"/>
    <n v="27.865072900007299"/>
    <s v="Percent-Off"/>
    <n v="117"/>
    <n v="-27.865072900007391"/>
  </r>
  <r>
    <s v="ORD616"/>
    <d v="2025-04-29T21:00:00"/>
    <s v="Mumbai"/>
    <s v="CHICKEN__323"/>
    <x v="14"/>
    <s v="Burger"/>
    <n v="152"/>
    <n v="0.05"/>
    <n v="144.4"/>
    <n v="4"/>
    <n v="102.026194726676"/>
    <n v="577.6"/>
    <n v="408.104778906707"/>
    <n v="169.495221093292"/>
    <s v="None"/>
    <n v="608"/>
    <n v="-169.49522109329303"/>
  </r>
  <r>
    <s v="ORD617"/>
    <d v="2025-06-10T23:00:00"/>
    <s v="Pune"/>
    <s v="ONION_RI_309"/>
    <x v="17"/>
    <s v="Snacks"/>
    <n v="305"/>
    <n v="0.05"/>
    <n v="289.75"/>
    <n v="6"/>
    <n v="132.98511818050801"/>
    <n v="1738.5"/>
    <n v="797.91070908305096"/>
    <n v="940.58929091694802"/>
    <s v="None"/>
    <n v="1830"/>
    <n v="-940.58929091694904"/>
  </r>
  <r>
    <s v="ORD618"/>
    <d v="2025-02-16T23:00:00"/>
    <s v="Delhi"/>
    <s v="SPRITE_943"/>
    <x v="3"/>
    <s v="Drinks"/>
    <n v="323"/>
    <n v="0.15"/>
    <n v="274.55"/>
    <n v="3"/>
    <n v="157.70487420759201"/>
    <n v="823.65"/>
    <n v="473.11462262277701"/>
    <n v="350.53537737722201"/>
    <s v="None"/>
    <n v="969"/>
    <n v="-350.53537737722297"/>
  </r>
  <r>
    <s v="ORD619"/>
    <d v="2024-12-19T00:00:00"/>
    <s v="Chennai"/>
    <s v="GRILLED__145"/>
    <x v="1"/>
    <s v="Sandwich"/>
    <n v="212"/>
    <n v="0.05"/>
    <n v="201.39999999999901"/>
    <n v="2"/>
    <n v="94.159414224798397"/>
    <n v="402.79999999999899"/>
    <n v="188.318828449596"/>
    <n v="214.48117155040299"/>
    <s v="BOGO"/>
    <n v="424"/>
    <n v="-214.48117155040299"/>
  </r>
  <r>
    <s v="ORD620"/>
    <d v="2024-05-16T02:00:00"/>
    <s v="Bangalore"/>
    <s v="CHICKEN__985"/>
    <x v="7"/>
    <s v="Pizza"/>
    <n v="258"/>
    <n v="0"/>
    <n v="258"/>
    <n v="5"/>
    <n v="151.88919960969599"/>
    <n v="1290"/>
    <n v="759.44599804848201"/>
    <n v="530.55400195151697"/>
    <s v="None"/>
    <n v="1290"/>
    <n v="-530.55400195151799"/>
  </r>
  <r>
    <s v="ORD621"/>
    <d v="2024-01-28T18:00:00"/>
    <s v="Chennai"/>
    <s v="CLUB_SAN_923"/>
    <x v="13"/>
    <s v="Sandwich"/>
    <n v="321"/>
    <n v="0"/>
    <n v="321"/>
    <n v="1"/>
    <n v="132.091449991133"/>
    <n v="321"/>
    <n v="132.091449991133"/>
    <n v="188.908550008866"/>
    <s v="None"/>
    <n v="321"/>
    <n v="-188.908550008867"/>
  </r>
  <r>
    <s v="ORD622"/>
    <d v="2024-06-23T12:00:00"/>
    <s v="Hyderabad"/>
    <s v="COKE_227"/>
    <x v="8"/>
    <s v="Drinks"/>
    <n v="210"/>
    <n v="0"/>
    <n v="210"/>
    <n v="4"/>
    <n v="109.52570286146801"/>
    <n v="840"/>
    <n v="438.10281144587498"/>
    <n v="401.897188554124"/>
    <s v="Coupon"/>
    <n v="840"/>
    <n v="-401.89718855412502"/>
  </r>
  <r>
    <s v="ORD623"/>
    <d v="2025-12-11T15:00:00"/>
    <s v="Delhi"/>
    <s v="CHICKEN__327"/>
    <x v="14"/>
    <s v="Burger"/>
    <n v="124"/>
    <n v="0.1"/>
    <n v="111.6"/>
    <n v="3"/>
    <n v="60.944643538721103"/>
    <n v="334.8"/>
    <n v="182.833930616163"/>
    <n v="151.96606938383599"/>
    <s v="BOGO"/>
    <n v="372"/>
    <n v="-151.96606938383701"/>
  </r>
  <r>
    <s v="ORD624"/>
    <d v="2025-02-27T09:00:00"/>
    <s v="Chennai"/>
    <s v="CLUB_SAN_303"/>
    <x v="13"/>
    <s v="Sandwich"/>
    <n v="269"/>
    <n v="0.15"/>
    <n v="228.65"/>
    <n v="4"/>
    <n v="156.28796763280101"/>
    <n v="914.6"/>
    <n v="625.15187053120599"/>
    <n v="289.44812946879301"/>
    <s v="None"/>
    <n v="1076"/>
    <n v="-289.44812946879404"/>
  </r>
  <r>
    <s v="ORD625"/>
    <d v="2025-04-16T10:00:00"/>
    <s v="Mumbai"/>
    <s v="COLD_COF_791"/>
    <x v="15"/>
    <s v="Drinks"/>
    <n v="161"/>
    <n v="0.05"/>
    <n v="152.94999999999999"/>
    <n v="3"/>
    <n v="119.084212229618"/>
    <n v="458.849999999999"/>
    <n v="357.252636688856"/>
    <n v="101.597363311143"/>
    <s v="None"/>
    <n v="483"/>
    <n v="-101.597363311143"/>
  </r>
  <r>
    <s v="ORD626"/>
    <d v="2025-06-21T03:00:00"/>
    <s v="Delhi"/>
    <s v="CHEESE_B_775"/>
    <x v="5"/>
    <s v="Burger"/>
    <n v="316"/>
    <n v="0.05"/>
    <n v="300.2"/>
    <n v="6"/>
    <n v="152.745963563603"/>
    <n v="1801.19999999999"/>
    <n v="916.47578138161805"/>
    <n v="884.72421861838097"/>
    <s v="None"/>
    <n v="1896"/>
    <n v="-884.72421861837199"/>
  </r>
  <r>
    <s v="ORD627"/>
    <d v="2024-07-18T01:00:00"/>
    <s v="Chennai"/>
    <s v="ONION_RI_426"/>
    <x v="17"/>
    <s v="Snacks"/>
    <n v="104"/>
    <n v="0"/>
    <n v="104"/>
    <n v="2"/>
    <n v="70.009149437037607"/>
    <n v="208"/>
    <n v="140.01829887407499"/>
    <n v="67.981701125924701"/>
    <s v="None"/>
    <n v="208"/>
    <n v="-67.981701125925014"/>
  </r>
  <r>
    <s v="ORD628"/>
    <d v="2024-06-11T12:00:00"/>
    <s v="Delhi"/>
    <s v="CHICKEN__752"/>
    <x v="7"/>
    <s v="Pizza"/>
    <n v="91"/>
    <n v="0.15"/>
    <n v="77.349999999999994"/>
    <n v="4"/>
    <n v="60.9714260337784"/>
    <n v="309.39999999999998"/>
    <n v="243.885704135113"/>
    <n v="65.514295864886094"/>
    <s v="Percent-Off"/>
    <n v="364"/>
    <n v="-65.514295864886975"/>
  </r>
  <r>
    <s v="ORD629"/>
    <d v="2025-07-25T12:00:00"/>
    <s v="Pune"/>
    <s v="GULAB_JA_227"/>
    <x v="11"/>
    <s v="Dessert"/>
    <n v="159"/>
    <n v="0.25"/>
    <n v="119.25"/>
    <n v="2"/>
    <n v="108.06892141220899"/>
    <n v="238.5"/>
    <n v="216.13784282441799"/>
    <n v="22.362157175581402"/>
    <s v="Coupon"/>
    <n v="318"/>
    <n v="-22.362157175582013"/>
  </r>
  <r>
    <s v="ORD630"/>
    <d v="2024-10-17T21:00:00"/>
    <s v="Bangalore"/>
    <s v="CHICKEN__128"/>
    <x v="7"/>
    <s v="Pizza"/>
    <n v="94"/>
    <n v="0.1"/>
    <n v="84.6"/>
    <n v="2"/>
    <n v="45.024364782412597"/>
    <n v="169.2"/>
    <n v="90.048729564825194"/>
    <n v="79.151270435174794"/>
    <s v="BOGO"/>
    <n v="188"/>
    <n v="-79.151270435174794"/>
  </r>
  <r>
    <s v="ORD631"/>
    <d v="2024-09-22T16:00:00"/>
    <s v="Chennai"/>
    <s v="CHEESE_B_176"/>
    <x v="5"/>
    <s v="Burger"/>
    <n v="160"/>
    <n v="0.15"/>
    <n v="136"/>
    <n v="4"/>
    <n v="110.773667368896"/>
    <n v="544"/>
    <n v="443.09466947558502"/>
    <n v="100.905330524414"/>
    <s v="Percent-Off"/>
    <n v="640"/>
    <n v="-100.90533052441498"/>
  </r>
  <r>
    <s v="ORD632"/>
    <d v="2025-12-05T11:00:00"/>
    <s v="Delhi"/>
    <s v="SPRITE_714"/>
    <x v="3"/>
    <s v="Drinks"/>
    <n v="282"/>
    <n v="0"/>
    <n v="282"/>
    <n v="5"/>
    <n v="134.55721923890101"/>
    <n v="1410"/>
    <n v="672.78609619450503"/>
    <n v="737.21390380549497"/>
    <s v="Percent-Off"/>
    <n v="1410"/>
    <n v="-737.21390380549497"/>
  </r>
  <r>
    <s v="ORD633"/>
    <d v="2025-02-27T08:00:00"/>
    <s v="Hyderabad"/>
    <s v="VEG_BURG_897"/>
    <x v="0"/>
    <s v="Burger"/>
    <n v="265"/>
    <n v="0"/>
    <n v="265"/>
    <n v="1"/>
    <n v="195.719682328034"/>
    <n v="265"/>
    <n v="195.719682328034"/>
    <n v="69.280317671965605"/>
    <s v="None"/>
    <n v="265"/>
    <n v="-69.280317671966003"/>
  </r>
  <r>
    <s v="ORD634"/>
    <d v="2025-08-11T12:00:00"/>
    <s v="Hyderabad"/>
    <s v="COKE_238"/>
    <x v="8"/>
    <s v="Drinks"/>
    <n v="206"/>
    <n v="0.15"/>
    <n v="175.1"/>
    <n v="6"/>
    <n v="92.8138705075811"/>
    <n v="1050.5999999999999"/>
    <n v="556.88322304548603"/>
    <n v="493.71677695451302"/>
    <s v="None"/>
    <n v="1236"/>
    <n v="-493.71677695451388"/>
  </r>
  <r>
    <s v="ORD635"/>
    <d v="2025-11-09T10:00:00"/>
    <s v="Bangalore"/>
    <s v="BROWNIE_500"/>
    <x v="12"/>
    <s v="Dessert"/>
    <n v="131"/>
    <n v="0.05"/>
    <n v="124.44999999999899"/>
    <n v="1"/>
    <n v="85.091705281860797"/>
    <n v="124.44999999999899"/>
    <n v="85.091705281860797"/>
    <n v="39.358294718139099"/>
    <s v="None"/>
    <n v="131"/>
    <n v="-39.358294718138197"/>
  </r>
  <r>
    <s v="ORD636"/>
    <d v="2025-03-13T00:00:00"/>
    <s v="Chennai"/>
    <s v="FRIES_871"/>
    <x v="2"/>
    <s v="Snacks"/>
    <n v="224"/>
    <n v="0.05"/>
    <n v="212.79999999999899"/>
    <n v="1"/>
    <n v="121.223761514066"/>
    <n v="212.79999999999899"/>
    <n v="121.223761514066"/>
    <n v="91.576238485933899"/>
    <s v="None"/>
    <n v="224"/>
    <n v="-91.57623848593299"/>
  </r>
  <r>
    <s v="ORD637"/>
    <d v="2024-08-06T08:00:00"/>
    <s v="Hyderabad"/>
    <s v="FRIES_260"/>
    <x v="2"/>
    <s v="Snacks"/>
    <n v="284"/>
    <n v="0.15"/>
    <n v="241.4"/>
    <n v="7"/>
    <n v="155.37281041966901"/>
    <n v="1689.8"/>
    <n v="1087.60967293768"/>
    <n v="602.19032706231201"/>
    <s v="None"/>
    <n v="1988"/>
    <n v="-602.19032706231997"/>
  </r>
  <r>
    <s v="ORD638"/>
    <d v="2025-03-11T13:00:00"/>
    <s v="Hyderabad"/>
    <s v="FRIES_512"/>
    <x v="2"/>
    <s v="Snacks"/>
    <n v="228"/>
    <n v="0"/>
    <n v="228"/>
    <n v="6"/>
    <n v="164.61904549590199"/>
    <n v="1368"/>
    <n v="987.71427297541402"/>
    <n v="380.28572702458501"/>
    <s v="None"/>
    <n v="1368"/>
    <n v="-380.28572702458598"/>
  </r>
  <r>
    <s v="ORD639"/>
    <d v="2025-03-12T14:00:00"/>
    <s v="Chennai"/>
    <s v="CHICKEN__657"/>
    <x v="7"/>
    <s v="Pizza"/>
    <n v="145"/>
    <n v="0.15"/>
    <n v="123.25"/>
    <n v="4"/>
    <n v="83.467384058680906"/>
    <n v="493"/>
    <n v="333.869536234723"/>
    <n v="159.13046376527601"/>
    <s v="None"/>
    <n v="580"/>
    <n v="-159.130463765277"/>
  </r>
  <r>
    <s v="ORD640"/>
    <d v="2025-05-31T10:00:00"/>
    <s v="Bangalore"/>
    <s v="CHEESE_B_850"/>
    <x v="5"/>
    <s v="Burger"/>
    <n v="297"/>
    <n v="0"/>
    <n v="297"/>
    <n v="1"/>
    <n v="165.989020695325"/>
    <n v="297"/>
    <n v="165.989020695325"/>
    <n v="131.01097930467401"/>
    <s v="Coupon"/>
    <n v="297"/>
    <n v="-131.010979304675"/>
  </r>
  <r>
    <s v="ORD641"/>
    <d v="2024-07-03T16:00:00"/>
    <s v="Pune"/>
    <s v="VEG_BURG_500"/>
    <x v="0"/>
    <s v="Burger"/>
    <n v="127"/>
    <n v="0"/>
    <n v="127"/>
    <n v="4"/>
    <n v="62.001320952078899"/>
    <n v="508"/>
    <n v="248.005283808315"/>
    <n v="259.99471619168401"/>
    <s v="None"/>
    <n v="508"/>
    <n v="-259.99471619168503"/>
  </r>
  <r>
    <s v="ORD642"/>
    <d v="2025-07-19T08:00:00"/>
    <s v="Bangalore"/>
    <s v="BROWNIE_991"/>
    <x v="12"/>
    <s v="Dessert"/>
    <n v="282"/>
    <n v="0.1"/>
    <n v="253.8"/>
    <n v="2"/>
    <n v="124.32301800328"/>
    <n v="507.6"/>
    <n v="248.64603600656"/>
    <n v="258.953963993439"/>
    <s v="Coupon"/>
    <n v="564"/>
    <n v="-258.95396399344003"/>
  </r>
  <r>
    <s v="ORD643"/>
    <d v="2025-08-13T18:00:00"/>
    <s v="Chennai"/>
    <s v="CHICKEN__420"/>
    <x v="7"/>
    <s v="Pizza"/>
    <n v="102"/>
    <n v="0"/>
    <n v="102"/>
    <n v="1"/>
    <n v="49.646904211776501"/>
    <n v="102"/>
    <n v="49.646904211776501"/>
    <n v="52.353095788223399"/>
    <s v="None"/>
    <n v="102"/>
    <n v="-52.353095788223499"/>
  </r>
  <r>
    <s v="ORD644"/>
    <d v="2024-01-13T14:00:00"/>
    <s v="Bangalore"/>
    <s v="VEG_SAND_827"/>
    <x v="9"/>
    <s v="Sandwich"/>
    <n v="167"/>
    <n v="0.1"/>
    <n v="150.30000000000001"/>
    <n v="7"/>
    <n v="96.124316253075506"/>
    <n v="1052.0999999999999"/>
    <n v="672.87021377152803"/>
    <n v="379.22978622847103"/>
    <s v="None"/>
    <n v="1169"/>
    <n v="-379.22978622847188"/>
  </r>
  <r>
    <s v="ORD645"/>
    <d v="2025-12-10T06:00:00"/>
    <s v="Mumbai"/>
    <s v="CLUB_SAN_815"/>
    <x v="13"/>
    <s v="Sandwich"/>
    <n v="306"/>
    <n v="0.1"/>
    <n v="275.39999999999998"/>
    <n v="4"/>
    <n v="226.57496440326199"/>
    <n v="1101.5999999999999"/>
    <n v="906.29985761304897"/>
    <n v="195.30014238695099"/>
    <s v="None"/>
    <n v="1224"/>
    <n v="-195.30014238695094"/>
  </r>
  <r>
    <s v="ORD646"/>
    <d v="2024-01-03T07:00:00"/>
    <s v="Mumbai"/>
    <s v="CHICKEN__524"/>
    <x v="7"/>
    <s v="Pizza"/>
    <n v="218"/>
    <n v="0.2"/>
    <n v="174.4"/>
    <n v="7"/>
    <n v="137.99788783224699"/>
    <n v="1220.8"/>
    <n v="965.98521482573199"/>
    <n v="254.814785174267"/>
    <s v="Coupon"/>
    <n v="1526"/>
    <n v="-254.81478517426797"/>
  </r>
  <r>
    <s v="ORD647"/>
    <d v="2025-06-26T05:00:00"/>
    <s v="Hyderabad"/>
    <s v="MARGHERI_485"/>
    <x v="16"/>
    <s v="Pizza"/>
    <n v="207"/>
    <n v="0.15"/>
    <n v="175.95"/>
    <n v="5"/>
    <n v="88.9874099868738"/>
    <n v="879.75"/>
    <n v="444.93704993436899"/>
    <n v="434.81295006562999"/>
    <s v="BOGO"/>
    <n v="1035"/>
    <n v="-434.81295006563101"/>
  </r>
  <r>
    <s v="ORD648"/>
    <d v="2024-12-29T05:00:00"/>
    <s v="Pune"/>
    <s v="COLD_COF_727"/>
    <x v="15"/>
    <s v="Drinks"/>
    <n v="277"/>
    <n v="0.25"/>
    <n v="207.75"/>
    <n v="7"/>
    <n v="159.03546718886099"/>
    <n v="1454.25"/>
    <n v="1113.2482703220301"/>
    <n v="341.00172967796902"/>
    <s v="BOGO"/>
    <n v="1939"/>
    <n v="-341.00172967796993"/>
  </r>
  <r>
    <s v="ORD649"/>
    <d v="2024-12-05T14:00:00"/>
    <s v="Mumbai"/>
    <s v="GRILLED__471"/>
    <x v="1"/>
    <s v="Sandwich"/>
    <n v="136"/>
    <n v="0.25"/>
    <n v="102"/>
    <n v="7"/>
    <n v="63.824944242639503"/>
    <n v="714"/>
    <n v="446.77460969847601"/>
    <n v="267.22539030152302"/>
    <s v="None"/>
    <n v="952"/>
    <n v="-267.22539030152399"/>
  </r>
  <r>
    <s v="ORD650"/>
    <d v="2024-03-29T13:00:00"/>
    <s v="Pune"/>
    <s v="PEPPY_PA_494"/>
    <x v="10"/>
    <s v="Pizza"/>
    <n v="122"/>
    <n v="0.05"/>
    <n v="115.899999999999"/>
    <n v="6"/>
    <n v="51.600226402011302"/>
    <n v="695.4"/>
    <n v="309.60135841206801"/>
    <n v="385.798641587931"/>
    <s v="Coupon"/>
    <n v="732"/>
    <n v="-385.79864158793197"/>
  </r>
  <r>
    <s v="ORD651"/>
    <d v="2025-04-23T07:00:00"/>
    <s v="Hyderabad"/>
    <s v="MARGHERI_994"/>
    <x v="16"/>
    <s v="Pizza"/>
    <n v="292"/>
    <n v="0.15"/>
    <n v="248.2"/>
    <n v="7"/>
    <n v="148.04827623176399"/>
    <n v="1737.3999999999901"/>
    <n v="1036.33793362235"/>
    <n v="701.06206637764706"/>
    <s v="Percent-Off"/>
    <n v="2044"/>
    <n v="-701.06206637764012"/>
  </r>
  <r>
    <s v="ORD652"/>
    <d v="2025-10-18T01:00:00"/>
    <s v="Hyderabad"/>
    <s v="GARLIC_B_552"/>
    <x v="4"/>
    <s v="Snacks"/>
    <n v="208"/>
    <n v="0"/>
    <n v="208"/>
    <n v="1"/>
    <n v="130.25538016260199"/>
    <n v="208"/>
    <n v="130.25538016260199"/>
    <n v="77.744619837397806"/>
    <s v="None"/>
    <n v="208"/>
    <n v="-77.744619837398005"/>
  </r>
  <r>
    <s v="ORD653"/>
    <d v="2025-11-28T20:00:00"/>
    <s v="Chennai"/>
    <s v="CHEESE_B_849"/>
    <x v="5"/>
    <s v="Burger"/>
    <n v="287"/>
    <n v="0.15"/>
    <n v="243.95"/>
    <n v="6"/>
    <n v="170.579465654215"/>
    <n v="1463.69999999999"/>
    <n v="1023.4767939252901"/>
    <n v="440.22320607470402"/>
    <s v="Percent-Off"/>
    <n v="1722"/>
    <n v="-440.22320607469999"/>
  </r>
  <r>
    <s v="ORD654"/>
    <d v="2024-10-10T17:00:00"/>
    <s v="Mumbai"/>
    <s v="COLD_COF_384"/>
    <x v="15"/>
    <s v="Drinks"/>
    <n v="108"/>
    <n v="0.15"/>
    <n v="91.8"/>
    <n v="2"/>
    <n v="58.353344707834999"/>
    <n v="183.6"/>
    <n v="116.70668941567"/>
    <n v="66.893310584329896"/>
    <s v="Coupon"/>
    <n v="216"/>
    <n v="-66.893310584329996"/>
  </r>
  <r>
    <s v="ORD655"/>
    <d v="2024-07-11T13:00:00"/>
    <s v="Chennai"/>
    <s v="GARLIC_B_515"/>
    <x v="4"/>
    <s v="Snacks"/>
    <n v="266"/>
    <n v="0.2"/>
    <n v="212.8"/>
    <n v="4"/>
    <n v="169.432220565515"/>
    <n v="851.2"/>
    <n v="677.72888226205998"/>
    <n v="173.47111773793901"/>
    <s v="Coupon"/>
    <n v="1064"/>
    <n v="-173.47111773794006"/>
  </r>
  <r>
    <s v="ORD656"/>
    <d v="2025-09-18T10:00:00"/>
    <s v="Chennai"/>
    <s v="COKE_475"/>
    <x v="8"/>
    <s v="Drinks"/>
    <n v="135"/>
    <n v="0.15"/>
    <n v="114.75"/>
    <n v="2"/>
    <n v="67.924639727091204"/>
    <n v="229.5"/>
    <n v="135.84927945418201"/>
    <n v="93.650720545817506"/>
    <s v="BOGO"/>
    <n v="270"/>
    <n v="-93.65072054581799"/>
  </r>
  <r>
    <s v="ORD657"/>
    <d v="2025-07-21T15:00:00"/>
    <s v="Hyderabad"/>
    <s v="ONION_RI_664"/>
    <x v="17"/>
    <s v="Snacks"/>
    <n v="101"/>
    <n v="0.1"/>
    <n v="90.9"/>
    <n v="1"/>
    <n v="68.6264179875905"/>
    <n v="90.9"/>
    <n v="68.6264179875905"/>
    <n v="22.273582012409399"/>
    <s v="None"/>
    <n v="101"/>
    <n v="-22.273582012409506"/>
  </r>
  <r>
    <s v="ORD658"/>
    <d v="2024-08-01T14:00:00"/>
    <s v="Bangalore"/>
    <s v="MARGHERI_266"/>
    <x v="16"/>
    <s v="Pizza"/>
    <n v="184"/>
    <n v="0.1"/>
    <n v="165.6"/>
    <n v="2"/>
    <n v="126.64914334715201"/>
    <n v="331.2"/>
    <n v="253.29828669430401"/>
    <n v="77.901713305695793"/>
    <s v="None"/>
    <n v="368"/>
    <n v="-77.901713305695978"/>
  </r>
  <r>
    <s v="ORD659"/>
    <d v="2024-08-01T10:00:00"/>
    <s v="Bangalore"/>
    <s v="SPRITE_648"/>
    <x v="3"/>
    <s v="Drinks"/>
    <n v="318"/>
    <n v="0"/>
    <n v="318"/>
    <n v="5"/>
    <n v="193.01181787515699"/>
    <n v="1590"/>
    <n v="965.05908937578499"/>
    <n v="624.94091062421398"/>
    <s v="Percent-Off"/>
    <n v="1590"/>
    <n v="-624.94091062421501"/>
  </r>
  <r>
    <s v="ORD660"/>
    <d v="2025-12-21T22:00:00"/>
    <s v="Pune"/>
    <s v="VEG_SAND_480"/>
    <x v="9"/>
    <s v="Sandwich"/>
    <n v="204"/>
    <n v="0.1"/>
    <n v="183.6"/>
    <n v="2"/>
    <n v="137.76205981736899"/>
    <n v="367.2"/>
    <n v="275.52411963473901"/>
    <n v="91.675880365260795"/>
    <s v="Bundle"/>
    <n v="408"/>
    <n v="-91.67588036526098"/>
  </r>
  <r>
    <s v="ORD661"/>
    <d v="2024-09-01T14:00:00"/>
    <s v="Pune"/>
    <s v="GARLIC_B_700"/>
    <x v="4"/>
    <s v="Snacks"/>
    <n v="281"/>
    <n v="0.05"/>
    <n v="266.95"/>
    <n v="4"/>
    <n v="177.74872212512199"/>
    <n v="1067.8"/>
    <n v="710.99488850048795"/>
    <n v="356.80511149951099"/>
    <s v="None"/>
    <n v="1124"/>
    <n v="-356.80511149951201"/>
  </r>
  <r>
    <s v="ORD662"/>
    <d v="2024-03-04T19:00:00"/>
    <s v="Bangalore"/>
    <s v="PEPPY_PA_736"/>
    <x v="10"/>
    <s v="Pizza"/>
    <n v="255"/>
    <n v="0"/>
    <n v="255"/>
    <n v="3"/>
    <n v="172.50522412649599"/>
    <n v="765"/>
    <n v="517.51567237948996"/>
    <n v="247.48432762050899"/>
    <s v="BOGO"/>
    <n v="765"/>
    <n v="-247.48432762051004"/>
  </r>
  <r>
    <s v="ORD663"/>
    <d v="2024-12-06T12:00:00"/>
    <s v="Delhi"/>
    <s v="BROWNIE_605"/>
    <x v="12"/>
    <s v="Dessert"/>
    <n v="267"/>
    <n v="0.15"/>
    <n v="226.95"/>
    <n v="3"/>
    <n v="144.91771642710799"/>
    <n v="680.849999999999"/>
    <n v="434.75314928132599"/>
    <n v="246.09685071867301"/>
    <s v="Coupon"/>
    <n v="801"/>
    <n v="-246.09685071867301"/>
  </r>
  <r>
    <s v="ORD664"/>
    <d v="2024-11-15T17:00:00"/>
    <s v="Delhi"/>
    <s v="COLD_COF_986"/>
    <x v="15"/>
    <s v="Drinks"/>
    <n v="150"/>
    <n v="0"/>
    <n v="150"/>
    <n v="4"/>
    <n v="83.603126028313696"/>
    <n v="600"/>
    <n v="334.41250411325501"/>
    <n v="265.58749588674402"/>
    <s v="Percent-Off"/>
    <n v="600"/>
    <n v="-265.58749588674499"/>
  </r>
  <r>
    <s v="ORD665"/>
    <d v="2024-10-13T18:00:00"/>
    <s v="Mumbai"/>
    <s v="COKE_268"/>
    <x v="8"/>
    <s v="Drinks"/>
    <n v="304"/>
    <n v="0"/>
    <n v="304"/>
    <n v="6"/>
    <n v="128.46288072425"/>
    <n v="1824"/>
    <n v="770.77728434550102"/>
    <n v="1053.22271565449"/>
    <s v="Coupon"/>
    <n v="1824"/>
    <n v="-1053.2227156544991"/>
  </r>
  <r>
    <s v="ORD666"/>
    <d v="2024-03-20T10:00:00"/>
    <s v="Chennai"/>
    <s v="FRIES_307"/>
    <x v="2"/>
    <s v="Snacks"/>
    <n v="87"/>
    <n v="0.05"/>
    <n v="82.649999999999906"/>
    <n v="5"/>
    <n v="61.292258982089002"/>
    <n v="413.24999999999898"/>
    <n v="306.46129491044502"/>
    <n v="106.788705089554"/>
    <s v="None"/>
    <n v="435"/>
    <n v="-106.78870508955396"/>
  </r>
  <r>
    <s v="ORD667"/>
    <d v="2024-05-08T14:00:00"/>
    <s v="Mumbai"/>
    <s v="SPRITE_868"/>
    <x v="3"/>
    <s v="Drinks"/>
    <n v="180"/>
    <n v="0.1"/>
    <n v="162"/>
    <n v="2"/>
    <n v="109.053053523964"/>
    <n v="324"/>
    <n v="218.10610704792899"/>
    <n v="105.89389295207"/>
    <s v="None"/>
    <n v="360"/>
    <n v="-105.89389295207101"/>
  </r>
  <r>
    <s v="ORD668"/>
    <d v="2025-07-16T15:00:00"/>
    <s v="Mumbai"/>
    <s v="CHICKEN__479"/>
    <x v="14"/>
    <s v="Burger"/>
    <n v="267"/>
    <n v="0.15"/>
    <n v="226.95"/>
    <n v="2"/>
    <n v="179.535800956363"/>
    <n v="453.9"/>
    <n v="359.07160191272601"/>
    <n v="94.8283980872732"/>
    <s v="Percent-Off"/>
    <n v="534"/>
    <n v="-94.828398087273968"/>
  </r>
  <r>
    <s v="ORD669"/>
    <d v="2024-12-05T16:00:00"/>
    <s v="Pune"/>
    <s v="VEG_BURG_612"/>
    <x v="0"/>
    <s v="Burger"/>
    <n v="310"/>
    <n v="0.2"/>
    <n v="248"/>
    <n v="6"/>
    <n v="137.55778742011501"/>
    <n v="1488"/>
    <n v="825.34672452069503"/>
    <n v="662.65327547930406"/>
    <s v="Coupon"/>
    <n v="1860"/>
    <n v="-662.65327547930497"/>
  </r>
  <r>
    <s v="ORD670"/>
    <d v="2024-08-27T14:00:00"/>
    <s v="Mumbai"/>
    <s v="CHICKEN__750"/>
    <x v="14"/>
    <s v="Burger"/>
    <n v="102"/>
    <n v="0.05"/>
    <n v="96.899999999999906"/>
    <n v="3"/>
    <n v="46.0857334137512"/>
    <n v="290.7"/>
    <n v="138.257200241253"/>
    <n v="152.44279975874599"/>
    <s v="Coupon"/>
    <n v="306"/>
    <n v="-152.44279975874699"/>
  </r>
  <r>
    <s v="ORD671"/>
    <d v="2025-06-16T04:00:00"/>
    <s v="Mumbai"/>
    <s v="COKE_619"/>
    <x v="8"/>
    <s v="Drinks"/>
    <n v="202"/>
    <n v="0.2"/>
    <n v="161.6"/>
    <n v="1"/>
    <n v="133.08085802960599"/>
    <n v="161.6"/>
    <n v="133.08085802960599"/>
    <n v="28.5191419703932"/>
    <s v="None"/>
    <n v="202"/>
    <n v="-28.519141970394003"/>
  </r>
  <r>
    <s v="ORD672"/>
    <d v="2025-03-03T19:00:00"/>
    <s v="Delhi"/>
    <s v="MARGHERI_229"/>
    <x v="16"/>
    <s v="Pizza"/>
    <n v="277"/>
    <n v="0"/>
    <n v="277"/>
    <n v="1"/>
    <n v="175.41967939159201"/>
    <n v="277"/>
    <n v="175.41967939159201"/>
    <n v="101.58032060840701"/>
    <s v="None"/>
    <n v="277"/>
    <n v="-101.58032060840799"/>
  </r>
  <r>
    <s v="ORD673"/>
    <d v="2024-02-14T06:00:00"/>
    <s v="Bangalore"/>
    <s v="GARLIC_B_685"/>
    <x v="4"/>
    <s v="Snacks"/>
    <n v="344"/>
    <n v="0.2"/>
    <n v="275.2"/>
    <n v="4"/>
    <n v="200.24696459344199"/>
    <n v="1100.8"/>
    <n v="800.98785837377102"/>
    <n v="299.81214162622803"/>
    <s v="Bundle"/>
    <n v="1376"/>
    <n v="-299.81214162622894"/>
  </r>
  <r>
    <s v="ORD674"/>
    <d v="2024-09-16T13:00:00"/>
    <s v="Delhi"/>
    <s v="CLUB_SAN_856"/>
    <x v="13"/>
    <s v="Sandwich"/>
    <n v="209"/>
    <n v="0"/>
    <n v="209"/>
    <n v="2"/>
    <n v="92.702362311305095"/>
    <n v="418"/>
    <n v="185.40472462260999"/>
    <n v="232.59527537738899"/>
    <s v="None"/>
    <n v="418"/>
    <n v="-232.59527537739001"/>
  </r>
  <r>
    <s v="ORD675"/>
    <d v="2025-11-18T21:00:00"/>
    <s v="Mumbai"/>
    <s v="MARGHERI_246"/>
    <x v="16"/>
    <s v="Pizza"/>
    <n v="94"/>
    <n v="0.1"/>
    <n v="84.6"/>
    <n v="2"/>
    <n v="67.345339429775706"/>
    <n v="169.2"/>
    <n v="134.69067885955101"/>
    <n v="34.509321140448499"/>
    <s v="None"/>
    <n v="188"/>
    <n v="-34.509321140448975"/>
  </r>
  <r>
    <s v="ORD676"/>
    <d v="2025-09-23T03:00:00"/>
    <s v="Chennai"/>
    <s v="GULAB_JA_214"/>
    <x v="11"/>
    <s v="Dessert"/>
    <n v="257"/>
    <n v="0"/>
    <n v="257"/>
    <n v="2"/>
    <n v="149.07499647441799"/>
    <n v="514"/>
    <n v="298.14999294883597"/>
    <n v="215.850007051163"/>
    <s v="Percent-Off"/>
    <n v="514"/>
    <n v="-215.85000705116403"/>
  </r>
  <r>
    <s v="ORD677"/>
    <d v="2024-07-12T00:00:00"/>
    <s v="Pune"/>
    <s v="CHEESE_B_278"/>
    <x v="5"/>
    <s v="Burger"/>
    <n v="275"/>
    <n v="0"/>
    <n v="275"/>
    <n v="7"/>
    <n v="197.434472824599"/>
    <n v="1925"/>
    <n v="1382.0413097721901"/>
    <n v="542.95869022780096"/>
    <s v="None"/>
    <n v="1925"/>
    <n v="-542.95869022780994"/>
  </r>
  <r>
    <s v="ORD678"/>
    <d v="2024-09-19T00:00:00"/>
    <s v="Mumbai"/>
    <s v="COLD_COF_525"/>
    <x v="15"/>
    <s v="Drinks"/>
    <n v="207"/>
    <n v="0.05"/>
    <n v="196.64999999999901"/>
    <n v="6"/>
    <n v="146.03655046440801"/>
    <n v="1179.8999999999901"/>
    <n v="876.219302786448"/>
    <n v="303.68069721355101"/>
    <s v="Coupon"/>
    <n v="1242"/>
    <n v="-303.68069721354209"/>
  </r>
  <r>
    <s v="ORD679"/>
    <d v="2024-05-29T20:00:00"/>
    <s v="Hyderabad"/>
    <s v="CHICKEN__688"/>
    <x v="14"/>
    <s v="Burger"/>
    <n v="92"/>
    <n v="0.05"/>
    <n v="87.399999999999906"/>
    <n v="2"/>
    <n v="55.413921684799597"/>
    <n v="174.79999999999899"/>
    <n v="110.82784336959899"/>
    <n v="63.972156630400598"/>
    <s v="Coupon"/>
    <n v="184"/>
    <n v="-63.972156630399994"/>
  </r>
  <r>
    <s v="ORD680"/>
    <d v="2025-04-23T03:00:00"/>
    <s v="Hyderabad"/>
    <s v="ICE_CREA_520"/>
    <x v="6"/>
    <s v="Dessert"/>
    <n v="191"/>
    <n v="0"/>
    <n v="191"/>
    <n v="6"/>
    <n v="127.79188548120899"/>
    <n v="1146"/>
    <n v="766.75131288725697"/>
    <n v="379.248687112742"/>
    <s v="BOGO"/>
    <n v="1146"/>
    <n v="-379.24868711274303"/>
  </r>
  <r>
    <s v="ORD681"/>
    <d v="2024-09-14T00:00:00"/>
    <s v="Chennai"/>
    <s v="SPRITE_649"/>
    <x v="3"/>
    <s v="Drinks"/>
    <n v="211"/>
    <n v="0.1"/>
    <n v="189.9"/>
    <n v="2"/>
    <n v="84.760717815595598"/>
    <n v="379.8"/>
    <n v="169.521435631191"/>
    <n v="210.27856436880799"/>
    <s v="None"/>
    <n v="422"/>
    <n v="-210.27856436880901"/>
  </r>
  <r>
    <s v="ORD682"/>
    <d v="2025-02-12T03:00:00"/>
    <s v="Chennai"/>
    <s v="CHICKEN__517"/>
    <x v="14"/>
    <s v="Burger"/>
    <n v="332"/>
    <n v="0.1"/>
    <n v="298.8"/>
    <n v="5"/>
    <n v="240.86662489932201"/>
    <n v="1494"/>
    <n v="1204.33312449661"/>
    <n v="289.666875503386"/>
    <s v="None"/>
    <n v="1660"/>
    <n v="-289.66687550338997"/>
  </r>
  <r>
    <s v="ORD683"/>
    <d v="2024-11-11T01:00:00"/>
    <s v="Pune"/>
    <s v="PEPPY_PA_118"/>
    <x v="10"/>
    <s v="Pizza"/>
    <n v="265"/>
    <n v="0.05"/>
    <n v="251.75"/>
    <n v="6"/>
    <n v="150.66739275534499"/>
    <n v="1510.5"/>
    <n v="904.00435653207501"/>
    <n v="606.49564346792397"/>
    <s v="Percent-Off"/>
    <n v="1590"/>
    <n v="-606.49564346792499"/>
  </r>
  <r>
    <s v="ORD684"/>
    <d v="2024-12-10T02:00:00"/>
    <s v="Hyderabad"/>
    <s v="CHICKEN__753"/>
    <x v="7"/>
    <s v="Pizza"/>
    <n v="82"/>
    <n v="0.05"/>
    <n v="77.899999999999906"/>
    <n v="7"/>
    <n v="43.024703580357901"/>
    <n v="545.29999999999995"/>
    <n v="301.17292506250499"/>
    <n v="244.127074937494"/>
    <s v="Percent-Off"/>
    <n v="574"/>
    <n v="-244.12707493749497"/>
  </r>
  <r>
    <s v="ORD685"/>
    <d v="2025-11-23T08:00:00"/>
    <s v="Bangalore"/>
    <s v="BROWNIE_747"/>
    <x v="12"/>
    <s v="Dessert"/>
    <n v="218"/>
    <n v="0"/>
    <n v="218"/>
    <n v="5"/>
    <n v="109.469465607877"/>
    <n v="1090"/>
    <n v="547.34732803938596"/>
    <n v="542.65267196061302"/>
    <s v="Coupon"/>
    <n v="1090"/>
    <n v="-542.65267196061404"/>
  </r>
  <r>
    <s v="ORD686"/>
    <d v="2024-09-22T11:00:00"/>
    <s v="Hyderabad"/>
    <s v="PEPPY_PA_607"/>
    <x v="10"/>
    <s v="Pizza"/>
    <n v="126"/>
    <n v="0.2"/>
    <n v="100.8"/>
    <n v="3"/>
    <n v="59.673179445472002"/>
    <n v="302.39999999999998"/>
    <n v="179.01953833641599"/>
    <n v="123.38046166358301"/>
    <s v="Coupon"/>
    <n v="378"/>
    <n v="-123.38046166358399"/>
  </r>
  <r>
    <s v="ORD687"/>
    <d v="2025-08-21T17:00:00"/>
    <s v="Pune"/>
    <s v="COKE_650"/>
    <x v="8"/>
    <s v="Drinks"/>
    <n v="156"/>
    <n v="0.15"/>
    <n v="132.6"/>
    <n v="2"/>
    <n v="79.9027520501064"/>
    <n v="265.2"/>
    <n v="159.805504100212"/>
    <n v="105.394495899787"/>
    <s v="None"/>
    <n v="312"/>
    <n v="-105.39449589978798"/>
  </r>
  <r>
    <s v="ORD688"/>
    <d v="2025-06-21T22:00:00"/>
    <s v="Mumbai"/>
    <s v="COLD_COF_481"/>
    <x v="15"/>
    <s v="Drinks"/>
    <n v="156"/>
    <n v="0"/>
    <n v="156"/>
    <n v="4"/>
    <n v="104.24020228309099"/>
    <n v="624"/>
    <n v="416.96080913236699"/>
    <n v="207.03919086763199"/>
    <s v="None"/>
    <n v="624"/>
    <n v="-207.03919086763301"/>
  </r>
  <r>
    <s v="ORD689"/>
    <d v="2024-11-26T23:00:00"/>
    <s v="Delhi"/>
    <s v="COKE_251"/>
    <x v="8"/>
    <s v="Drinks"/>
    <n v="221"/>
    <n v="0.15"/>
    <n v="187.85"/>
    <n v="4"/>
    <n v="93.999319955744397"/>
    <n v="751.4"/>
    <n v="375.99727982297702"/>
    <n v="375.40272017702199"/>
    <s v="None"/>
    <n v="884"/>
    <n v="-375.40272017702296"/>
  </r>
  <r>
    <s v="ORD690"/>
    <d v="2025-05-23T07:00:00"/>
    <s v="Hyderabad"/>
    <s v="MARGHERI_695"/>
    <x v="16"/>
    <s v="Pizza"/>
    <n v="303"/>
    <n v="0"/>
    <n v="303"/>
    <n v="4"/>
    <n v="121.952587271082"/>
    <n v="1212"/>
    <n v="487.81034908433099"/>
    <n v="724.18965091566804"/>
    <s v="None"/>
    <n v="1212"/>
    <n v="-724.18965091566906"/>
  </r>
  <r>
    <s v="ORD691"/>
    <d v="2025-10-17T08:00:00"/>
    <s v="Delhi"/>
    <s v="BROWNIE_897"/>
    <x v="12"/>
    <s v="Dessert"/>
    <n v="142"/>
    <n v="0.05"/>
    <n v="134.9"/>
    <n v="1"/>
    <n v="83.207595675859395"/>
    <n v="134.9"/>
    <n v="83.207595675859395"/>
    <n v="51.692404324140497"/>
    <s v="Bundle"/>
    <n v="142"/>
    <n v="-51.692404324140611"/>
  </r>
  <r>
    <s v="ORD692"/>
    <d v="2024-10-07T18:00:00"/>
    <s v="Pune"/>
    <s v="CHICKEN__929"/>
    <x v="7"/>
    <s v="Pizza"/>
    <n v="171"/>
    <n v="0"/>
    <n v="171"/>
    <n v="6"/>
    <n v="122.43433402610199"/>
    <n v="1026"/>
    <n v="734.60600415661395"/>
    <n v="291.39399584338503"/>
    <s v="None"/>
    <n v="1026"/>
    <n v="-291.39399584338605"/>
  </r>
  <r>
    <s v="ORD693"/>
    <d v="2025-10-25T01:00:00"/>
    <s v="Chennai"/>
    <s v="GARLIC_B_686"/>
    <x v="4"/>
    <s v="Snacks"/>
    <n v="125"/>
    <n v="0.1"/>
    <n v="112.5"/>
    <n v="6"/>
    <n v="68.083732619364596"/>
    <n v="675"/>
    <n v="408.502395716188"/>
    <n v="266.497604283812"/>
    <s v="None"/>
    <n v="750"/>
    <n v="-266.497604283812"/>
  </r>
  <r>
    <s v="ORD694"/>
    <d v="2024-04-13T00:00:00"/>
    <s v="Delhi"/>
    <s v="SPRITE_939"/>
    <x v="3"/>
    <s v="Drinks"/>
    <n v="167"/>
    <n v="0"/>
    <n v="167"/>
    <n v="2"/>
    <n v="96.533043935631994"/>
    <n v="334"/>
    <n v="193.06608787126399"/>
    <n v="140.93391212873499"/>
    <s v="None"/>
    <n v="334"/>
    <n v="-140.93391212873601"/>
  </r>
  <r>
    <s v="ORD695"/>
    <d v="2025-10-15T07:00:00"/>
    <s v="Chennai"/>
    <s v="SPRITE_275"/>
    <x v="3"/>
    <s v="Drinks"/>
    <n v="212"/>
    <n v="0.1"/>
    <n v="190.8"/>
    <n v="1"/>
    <n v="144.51859504339799"/>
    <n v="190.8"/>
    <n v="144.51859504339799"/>
    <n v="46.281404956601698"/>
    <s v="Percent-Off"/>
    <n v="212"/>
    <n v="-46.281404956602017"/>
  </r>
  <r>
    <s v="ORD696"/>
    <d v="2024-03-14T09:00:00"/>
    <s v="Delhi"/>
    <s v="VEG_BURG_437"/>
    <x v="0"/>
    <s v="Burger"/>
    <n v="210"/>
    <n v="0"/>
    <n v="210"/>
    <n v="6"/>
    <n v="149.87669408403801"/>
    <n v="1260"/>
    <n v="899.26016450423003"/>
    <n v="360.739835495769"/>
    <s v="Percent-Off"/>
    <n v="1260"/>
    <n v="-360.73983549576997"/>
  </r>
  <r>
    <s v="ORD697"/>
    <d v="2025-02-27T15:00:00"/>
    <s v="Delhi"/>
    <s v="CHICKEN__232"/>
    <x v="14"/>
    <s v="Burger"/>
    <n v="190"/>
    <n v="0"/>
    <n v="190"/>
    <n v="1"/>
    <n v="88.420373127370098"/>
    <n v="190"/>
    <n v="88.420373127370098"/>
    <n v="101.57962687262901"/>
    <s v="BOGO"/>
    <n v="190"/>
    <n v="-101.5796268726299"/>
  </r>
  <r>
    <s v="ORD698"/>
    <d v="2025-03-15T18:00:00"/>
    <s v="Pune"/>
    <s v="COKE_742"/>
    <x v="8"/>
    <s v="Drinks"/>
    <n v="190"/>
    <n v="0"/>
    <n v="190"/>
    <n v="4"/>
    <n v="120.946859418209"/>
    <n v="760"/>
    <n v="483.78743767283601"/>
    <n v="276.21256232716303"/>
    <s v="None"/>
    <n v="760"/>
    <n v="-276.21256232716399"/>
  </r>
  <r>
    <s v="ORD699"/>
    <d v="2025-12-20T04:00:00"/>
    <s v="Delhi"/>
    <s v="COLD_COF_112"/>
    <x v="15"/>
    <s v="Drinks"/>
    <n v="209"/>
    <n v="0.15"/>
    <n v="177.65"/>
    <n v="3"/>
    <n v="146.92193441066499"/>
    <n v="532.95000000000005"/>
    <n v="440.76580323199602"/>
    <n v="92.184196768003901"/>
    <s v="None"/>
    <n v="627"/>
    <n v="-92.184196768004028"/>
  </r>
  <r>
    <s v="ORD700"/>
    <d v="2025-08-17T21:00:00"/>
    <s v="Delhi"/>
    <s v="COKE_752"/>
    <x v="8"/>
    <s v="Drinks"/>
    <n v="117"/>
    <n v="0.15"/>
    <n v="99.45"/>
    <n v="2"/>
    <n v="86.0952984445981"/>
    <n v="198.9"/>
    <n v="172.190596889196"/>
    <n v="26.709403110803699"/>
    <s v="Coupon"/>
    <n v="234"/>
    <n v="-26.709403110804004"/>
  </r>
  <r>
    <s v="ORD701"/>
    <d v="2024-06-07T20:00:00"/>
    <s v="Hyderabad"/>
    <s v="FRIES_464"/>
    <x v="2"/>
    <s v="Snacks"/>
    <n v="231"/>
    <n v="0"/>
    <n v="231"/>
    <n v="1"/>
    <n v="115.384708173367"/>
    <n v="231"/>
    <n v="115.384708173367"/>
    <n v="115.615291826632"/>
    <s v="None"/>
    <n v="231"/>
    <n v="-115.615291826633"/>
  </r>
  <r>
    <s v="ORD702"/>
    <d v="2024-03-07T21:00:00"/>
    <s v="Delhi"/>
    <s v="PEPPY_PA_110"/>
    <x v="10"/>
    <s v="Pizza"/>
    <n v="308"/>
    <n v="0.25"/>
    <n v="231"/>
    <n v="1"/>
    <n v="207.71216548450201"/>
    <n v="231"/>
    <n v="207.71216548450201"/>
    <n v="23.287834515497501"/>
    <s v="Coupon"/>
    <n v="308"/>
    <n v="-23.287834515497991"/>
  </r>
  <r>
    <s v="ORD703"/>
    <d v="2024-08-22T06:00:00"/>
    <s v="Delhi"/>
    <s v="PEPPY_PA_380"/>
    <x v="10"/>
    <s v="Pizza"/>
    <n v="168"/>
    <n v="0.15"/>
    <n v="142.79999999999899"/>
    <n v="1"/>
    <n v="113.962925524003"/>
    <n v="142.79999999999899"/>
    <n v="113.962925524003"/>
    <n v="28.837074475996101"/>
    <s v="None"/>
    <n v="168"/>
    <n v="-28.83707447599599"/>
  </r>
  <r>
    <s v="ORD704"/>
    <d v="2024-10-08T23:00:00"/>
    <s v="Chennai"/>
    <s v="BROWNIE_533"/>
    <x v="12"/>
    <s v="Dessert"/>
    <n v="184"/>
    <n v="0"/>
    <n v="184"/>
    <n v="7"/>
    <n v="91.167926689870001"/>
    <n v="1288"/>
    <n v="638.17548682909"/>
    <n v="649.82451317090897"/>
    <s v="Percent-Off"/>
    <n v="1288"/>
    <n v="-649.82451317091"/>
  </r>
  <r>
    <s v="ORD705"/>
    <d v="2025-04-28T21:00:00"/>
    <s v="Mumbai"/>
    <s v="PEPPY_PA_271"/>
    <x v="10"/>
    <s v="Pizza"/>
    <n v="336"/>
    <n v="0.1"/>
    <n v="302.39999999999998"/>
    <n v="1"/>
    <n v="245.33326915640001"/>
    <n v="302.39999999999998"/>
    <n v="245.33326915640001"/>
    <n v="57.066730843599998"/>
    <s v="None"/>
    <n v="336"/>
    <n v="-57.06673084359997"/>
  </r>
  <r>
    <s v="ORD706"/>
    <d v="2025-03-17T05:00:00"/>
    <s v="Mumbai"/>
    <s v="CHICKEN__454"/>
    <x v="7"/>
    <s v="Pizza"/>
    <n v="262"/>
    <n v="0.05"/>
    <n v="248.89999999999901"/>
    <n v="2"/>
    <n v="127.018298287682"/>
    <n v="497.79999999999899"/>
    <n v="254.036596575365"/>
    <n v="243.76340342463399"/>
    <s v="Coupon"/>
    <n v="524"/>
    <n v="-243.76340342463399"/>
  </r>
  <r>
    <s v="ORD707"/>
    <d v="2025-08-02T22:00:00"/>
    <s v="Delhi"/>
    <s v="CHICKEN__423"/>
    <x v="7"/>
    <s v="Pizza"/>
    <n v="147"/>
    <n v="0"/>
    <n v="147"/>
    <n v="5"/>
    <n v="84.714941115666505"/>
    <n v="735"/>
    <n v="423.57470557833199"/>
    <n v="311.42529442166699"/>
    <s v="Coupon"/>
    <n v="735"/>
    <n v="-311.42529442166801"/>
  </r>
  <r>
    <s v="ORD708"/>
    <d v="2025-06-27T14:00:00"/>
    <s v="Hyderabad"/>
    <s v="CHEESE_B_293"/>
    <x v="5"/>
    <s v="Burger"/>
    <n v="182"/>
    <n v="0.05"/>
    <n v="172.9"/>
    <n v="4"/>
    <n v="100.367263104811"/>
    <n v="691.6"/>
    <n v="401.46905241924702"/>
    <n v="290.13094758075198"/>
    <s v="Coupon"/>
    <n v="728"/>
    <n v="-290.130947580753"/>
  </r>
  <r>
    <s v="ORD709"/>
    <d v="2024-04-17T22:00:00"/>
    <s v="Delhi"/>
    <s v="MARGHERI_510"/>
    <x v="16"/>
    <s v="Pizza"/>
    <n v="167"/>
    <n v="0.1"/>
    <n v="150.30000000000001"/>
    <n v="6"/>
    <n v="84.910563974229206"/>
    <n v="901.8"/>
    <n v="509.46338384537501"/>
    <n v="392.33661615462398"/>
    <s v="None"/>
    <n v="1002"/>
    <n v="-392.33661615462495"/>
  </r>
  <r>
    <s v="ORD710"/>
    <d v="2025-12-27T23:00:00"/>
    <s v="Chennai"/>
    <s v="FRIES_309"/>
    <x v="2"/>
    <s v="Snacks"/>
    <n v="96"/>
    <n v="0"/>
    <n v="96"/>
    <n v="2"/>
    <n v="58.307428595093597"/>
    <n v="192"/>
    <n v="116.614857190187"/>
    <n v="75.385142809812706"/>
    <s v="Coupon"/>
    <n v="192"/>
    <n v="-75.385142809813004"/>
  </r>
  <r>
    <s v="ORD711"/>
    <d v="2024-06-29T04:00:00"/>
    <s v="Mumbai"/>
    <s v="CHEESE_B_153"/>
    <x v="5"/>
    <s v="Burger"/>
    <n v="149"/>
    <n v="0"/>
    <n v="149"/>
    <n v="5"/>
    <n v="111.657904446967"/>
    <n v="745"/>
    <n v="558.28952223483805"/>
    <n v="186.71047776516099"/>
    <s v="None"/>
    <n v="745"/>
    <n v="-186.71047776516195"/>
  </r>
  <r>
    <s v="ORD712"/>
    <d v="2025-03-25T11:00:00"/>
    <s v="Chennai"/>
    <s v="VEG_BURG_648"/>
    <x v="0"/>
    <s v="Burger"/>
    <n v="184"/>
    <n v="0"/>
    <n v="184"/>
    <n v="5"/>
    <n v="100.384839336759"/>
    <n v="920"/>
    <n v="501.92419668379699"/>
    <n v="418.07580331620198"/>
    <s v="Percent-Off"/>
    <n v="920"/>
    <n v="-418.07580331620301"/>
  </r>
  <r>
    <s v="ORD713"/>
    <d v="2025-01-14T15:00:00"/>
    <s v="Delhi"/>
    <s v="CHICKEN__842"/>
    <x v="7"/>
    <s v="Pizza"/>
    <n v="292"/>
    <n v="0.1"/>
    <n v="262.8"/>
    <n v="4"/>
    <n v="199.00706512487301"/>
    <n v="1051.2"/>
    <n v="796.02826049949203"/>
    <n v="255.17173950050801"/>
    <s v="Coupon"/>
    <n v="1168"/>
    <n v="-255.17173950050801"/>
  </r>
  <r>
    <s v="ORD714"/>
    <d v="2024-08-10T14:00:00"/>
    <s v="Bangalore"/>
    <s v="CHICKEN__541"/>
    <x v="14"/>
    <s v="Burger"/>
    <n v="188"/>
    <n v="0"/>
    <n v="188"/>
    <n v="4"/>
    <n v="126.80561182401"/>
    <n v="752"/>
    <n v="507.22244729604199"/>
    <n v="244.77755270395701"/>
    <s v="None"/>
    <n v="752"/>
    <n v="-244.77755270395801"/>
  </r>
  <r>
    <s v="ORD715"/>
    <d v="2025-11-13T21:00:00"/>
    <s v="Mumbai"/>
    <s v="VEG_BURG_701"/>
    <x v="0"/>
    <s v="Burger"/>
    <n v="136"/>
    <n v="0.05"/>
    <n v="129.19999999999999"/>
    <n v="3"/>
    <n v="90.211154471747307"/>
    <n v="387.599999999999"/>
    <n v="270.63346341524198"/>
    <n v="116.96653658475699"/>
    <s v="Coupon"/>
    <n v="408"/>
    <n v="-116.96653658475702"/>
  </r>
  <r>
    <s v="ORD716"/>
    <d v="2024-12-26T19:00:00"/>
    <s v="Delhi"/>
    <s v="CHICKEN__368"/>
    <x v="14"/>
    <s v="Burger"/>
    <n v="165"/>
    <n v="0.15"/>
    <n v="140.25"/>
    <n v="1"/>
    <n v="77.402669187012805"/>
    <n v="140.25"/>
    <n v="77.402669187012805"/>
    <n v="62.847330812987103"/>
    <s v="BOGO"/>
    <n v="165"/>
    <n v="-62.847330812987195"/>
  </r>
  <r>
    <s v="ORD717"/>
    <d v="2025-08-08T03:00:00"/>
    <s v="Chennai"/>
    <s v="COKE_609"/>
    <x v="8"/>
    <s v="Drinks"/>
    <n v="259"/>
    <n v="0"/>
    <n v="259"/>
    <n v="1"/>
    <n v="168.86433224384299"/>
    <n v="259"/>
    <n v="168.86433224384299"/>
    <n v="90.135667756156593"/>
    <s v="None"/>
    <n v="259"/>
    <n v="-90.135667756157005"/>
  </r>
  <r>
    <s v="ORD718"/>
    <d v="2025-01-03T05:00:00"/>
    <s v="Chennai"/>
    <s v="CHICKEN__758"/>
    <x v="14"/>
    <s v="Burger"/>
    <n v="304"/>
    <n v="0"/>
    <n v="304"/>
    <n v="5"/>
    <n v="216.31947934700401"/>
    <n v="1520"/>
    <n v="1081.5973967350201"/>
    <n v="438.40260326497599"/>
    <s v="Coupon"/>
    <n v="1520"/>
    <n v="-438.40260326497992"/>
  </r>
  <r>
    <s v="ORD719"/>
    <d v="2024-01-05T21:00:00"/>
    <s v="Delhi"/>
    <s v="VEG_SAND_734"/>
    <x v="9"/>
    <s v="Sandwich"/>
    <n v="105"/>
    <n v="0.25"/>
    <n v="78.75"/>
    <n v="5"/>
    <n v="67.699749852457401"/>
    <n v="393.75"/>
    <n v="338.49874926228699"/>
    <n v="55.251250737712802"/>
    <s v="Coupon"/>
    <n v="525"/>
    <n v="-55.251250737713008"/>
  </r>
  <r>
    <s v="ORD720"/>
    <d v="2025-08-02T21:00:00"/>
    <s v="Bangalore"/>
    <s v="CLUB_SAN_886"/>
    <x v="13"/>
    <s v="Sandwich"/>
    <n v="265"/>
    <n v="0"/>
    <n v="265"/>
    <n v="5"/>
    <n v="181.85564903172499"/>
    <n v="1325"/>
    <n v="909.27824515862801"/>
    <n v="415.72175484137102"/>
    <s v="Percent-Off"/>
    <n v="1325"/>
    <n v="-415.72175484137199"/>
  </r>
  <r>
    <s v="ORD721"/>
    <d v="2025-08-19T05:00:00"/>
    <s v="Mumbai"/>
    <s v="SPRITE_372"/>
    <x v="3"/>
    <s v="Drinks"/>
    <n v="252"/>
    <n v="0"/>
    <n v="252"/>
    <n v="2"/>
    <n v="119.36861268046199"/>
    <n v="504"/>
    <n v="238.73722536092399"/>
    <n v="265.26277463907502"/>
    <s v="Bundle"/>
    <n v="504"/>
    <n v="-265.26277463907604"/>
  </r>
  <r>
    <s v="ORD722"/>
    <d v="2025-07-05T10:00:00"/>
    <s v="Mumbai"/>
    <s v="GARLIC_B_811"/>
    <x v="4"/>
    <s v="Snacks"/>
    <n v="190"/>
    <n v="0"/>
    <n v="190"/>
    <n v="1"/>
    <n v="109.378716121927"/>
    <n v="190"/>
    <n v="109.378716121927"/>
    <n v="80.621283878072703"/>
    <s v="Coupon"/>
    <n v="190"/>
    <n v="-80.621283878073001"/>
  </r>
  <r>
    <s v="ORD723"/>
    <d v="2024-08-19T16:00:00"/>
    <s v="Hyderabad"/>
    <s v="SPRITE_908"/>
    <x v="3"/>
    <s v="Drinks"/>
    <n v="261"/>
    <n v="0.2"/>
    <n v="208.8"/>
    <n v="7"/>
    <n v="185.39232491917701"/>
    <n v="1461.6"/>
    <n v="1297.7462744342399"/>
    <n v="163.85372556575601"/>
    <s v="None"/>
    <n v="1827"/>
    <n v="-163.85372556575999"/>
  </r>
  <r>
    <s v="ORD724"/>
    <d v="2024-02-05T06:00:00"/>
    <s v="Mumbai"/>
    <s v="PEPPY_PA_713"/>
    <x v="10"/>
    <s v="Pizza"/>
    <n v="193"/>
    <n v="0.15"/>
    <n v="164.04999999999899"/>
    <n v="7"/>
    <n v="86.354164809028902"/>
    <n v="1148.3499999999999"/>
    <n v="604.47915366320206"/>
    <n v="543.87084633679694"/>
    <s v="None"/>
    <n v="1351"/>
    <n v="-543.87084633679785"/>
  </r>
  <r>
    <s v="ORD725"/>
    <d v="2025-04-01T10:00:00"/>
    <s v="Hyderabad"/>
    <s v="COLD_COF_861"/>
    <x v="15"/>
    <s v="Drinks"/>
    <n v="340"/>
    <n v="0.05"/>
    <n v="323"/>
    <n v="7"/>
    <n v="226.477086481426"/>
    <n v="2261"/>
    <n v="1585.3396053699801"/>
    <n v="675.66039463001403"/>
    <s v="Percent-Off"/>
    <n v="2380"/>
    <n v="-675.66039463001994"/>
  </r>
  <r>
    <s v="ORD726"/>
    <d v="2025-07-24T23:00:00"/>
    <s v="Hyderabad"/>
    <s v="MARGHERI_894"/>
    <x v="16"/>
    <s v="Pizza"/>
    <n v="102"/>
    <n v="0.05"/>
    <n v="96.899999999999906"/>
    <n v="6"/>
    <n v="46.064104852112997"/>
    <n v="581.4"/>
    <n v="276.384629112678"/>
    <n v="305.01537088732101"/>
    <s v="Coupon"/>
    <n v="612"/>
    <n v="-305.01537088732198"/>
  </r>
  <r>
    <s v="ORD727"/>
    <d v="2025-10-03T01:00:00"/>
    <s v="Chennai"/>
    <s v="COKE_112"/>
    <x v="8"/>
    <s v="Drinks"/>
    <n v="323"/>
    <n v="0"/>
    <n v="323"/>
    <n v="7"/>
    <n v="236.15384862268101"/>
    <n v="2261"/>
    <n v="1653.0769403587601"/>
    <n v="607.92305964123"/>
    <s v="None"/>
    <n v="2261"/>
    <n v="-607.92305964123989"/>
  </r>
  <r>
    <s v="ORD728"/>
    <d v="2025-07-26T18:00:00"/>
    <s v="Mumbai"/>
    <s v="VEG_SAND_654"/>
    <x v="9"/>
    <s v="Sandwich"/>
    <n v="152"/>
    <n v="0.1"/>
    <n v="136.80000000000001"/>
    <n v="1"/>
    <n v="111.203169496781"/>
    <n v="136.80000000000001"/>
    <n v="111.203169496781"/>
    <n v="25.596830503219"/>
    <s v="None"/>
    <n v="152"/>
    <n v="-25.59683050321901"/>
  </r>
  <r>
    <s v="ORD729"/>
    <d v="2024-09-26T13:00:00"/>
    <s v="Chennai"/>
    <s v="VEG_BURG_881"/>
    <x v="0"/>
    <s v="Burger"/>
    <n v="266"/>
    <n v="0.05"/>
    <n v="252.7"/>
    <n v="4"/>
    <n v="119.696924686328"/>
    <n v="1010.8"/>
    <n v="478.78769874531503"/>
    <n v="532.01230125468396"/>
    <s v="Coupon"/>
    <n v="1064"/>
    <n v="-532.01230125468487"/>
  </r>
  <r>
    <s v="ORD730"/>
    <d v="2025-01-23T21:00:00"/>
    <s v="Chennai"/>
    <s v="PEPPY_PA_190"/>
    <x v="10"/>
    <s v="Pizza"/>
    <n v="278"/>
    <n v="0.1"/>
    <n v="250.2"/>
    <n v="3"/>
    <n v="191.51709509997801"/>
    <n v="750.6"/>
    <n v="574.55128529993499"/>
    <n v="176.04871470006401"/>
    <s v="None"/>
    <n v="834"/>
    <n v="-176.04871470006503"/>
  </r>
  <r>
    <s v="ORD731"/>
    <d v="2025-11-23T00:00:00"/>
    <s v="Bangalore"/>
    <s v="CHEESE_B_173"/>
    <x v="5"/>
    <s v="Burger"/>
    <n v="328"/>
    <n v="0"/>
    <n v="328"/>
    <n v="2"/>
    <n v="237.895988584859"/>
    <n v="656"/>
    <n v="475.79197716971902"/>
    <n v="180.20802283027999"/>
    <s v="None"/>
    <n v="656"/>
    <n v="-180.20802283028098"/>
  </r>
  <r>
    <s v="ORD732"/>
    <d v="2025-06-18T03:00:00"/>
    <s v="Bangalore"/>
    <s v="CHICKEN__169"/>
    <x v="14"/>
    <s v="Burger"/>
    <n v="297"/>
    <n v="0.15"/>
    <n v="252.45"/>
    <n v="5"/>
    <n v="200.47030812979901"/>
    <n v="1262.25"/>
    <n v="1002.35154064899"/>
    <n v="259.898459351003"/>
    <s v="Percent-Off"/>
    <n v="1485"/>
    <n v="-259.89845935101005"/>
  </r>
  <r>
    <s v="ORD733"/>
    <d v="2024-06-24T08:00:00"/>
    <s v="Bangalore"/>
    <s v="VEG_SAND_981"/>
    <x v="9"/>
    <s v="Sandwich"/>
    <n v="293"/>
    <n v="0.2"/>
    <n v="234.4"/>
    <n v="6"/>
    <n v="125.368510277474"/>
    <n v="1406.4"/>
    <n v="752.21106166484606"/>
    <n v="654.18893833515301"/>
    <s v="None"/>
    <n v="1758"/>
    <n v="-654.18893833515403"/>
  </r>
  <r>
    <s v="ORD734"/>
    <d v="2024-09-18T19:00:00"/>
    <s v="Mumbai"/>
    <s v="ICE_CREA_948"/>
    <x v="6"/>
    <s v="Dessert"/>
    <n v="305"/>
    <n v="0"/>
    <n v="305"/>
    <n v="2"/>
    <n v="167.92127822642999"/>
    <n v="610"/>
    <n v="335.84255645285998"/>
    <n v="274.157443547139"/>
    <s v="None"/>
    <n v="610"/>
    <n v="-274.15744354714002"/>
  </r>
  <r>
    <s v="ORD735"/>
    <d v="2024-03-26T08:00:00"/>
    <s v="Bangalore"/>
    <s v="CHEESE_B_516"/>
    <x v="5"/>
    <s v="Burger"/>
    <n v="318"/>
    <n v="0.15"/>
    <n v="270.3"/>
    <n v="1"/>
    <n v="133.16307108430399"/>
    <n v="270.3"/>
    <n v="133.16307108430399"/>
    <n v="137.13692891569499"/>
    <s v="Coupon"/>
    <n v="318"/>
    <n v="-137.13692891569602"/>
  </r>
  <r>
    <s v="ORD736"/>
    <d v="2024-09-16T17:00:00"/>
    <s v="Delhi"/>
    <s v="SPRITE_367"/>
    <x v="3"/>
    <s v="Drinks"/>
    <n v="136"/>
    <n v="0.1"/>
    <n v="122.4"/>
    <n v="1"/>
    <n v="99.545037403774998"/>
    <n v="122.4"/>
    <n v="99.545037403774998"/>
    <n v="22.854962596224901"/>
    <s v="BOGO"/>
    <n v="136"/>
    <n v="-22.854962596225008"/>
  </r>
  <r>
    <s v="ORD737"/>
    <d v="2025-06-23T05:00:00"/>
    <s v="Bangalore"/>
    <s v="VEG_SAND_415"/>
    <x v="9"/>
    <s v="Sandwich"/>
    <n v="336"/>
    <n v="0"/>
    <n v="336"/>
    <n v="2"/>
    <n v="239.745241852417"/>
    <n v="672"/>
    <n v="479.49048370483399"/>
    <n v="192.50951629516501"/>
    <s v="None"/>
    <n v="672"/>
    <n v="-192.50951629516601"/>
  </r>
  <r>
    <s v="ORD738"/>
    <d v="2025-06-09T07:00:00"/>
    <s v="Delhi"/>
    <s v="PEPPY_PA_943"/>
    <x v="10"/>
    <s v="Pizza"/>
    <n v="224"/>
    <n v="0.1"/>
    <n v="201.6"/>
    <n v="4"/>
    <n v="118.88555923104001"/>
    <n v="806.4"/>
    <n v="475.54223692416298"/>
    <n v="330.85776307583598"/>
    <s v="None"/>
    <n v="896"/>
    <n v="-330.857763075837"/>
  </r>
  <r>
    <s v="ORD739"/>
    <d v="2025-02-10T21:00:00"/>
    <s v="Pune"/>
    <s v="CHICKEN__145"/>
    <x v="7"/>
    <s v="Pizza"/>
    <n v="122"/>
    <n v="0.05"/>
    <n v="115.899999999999"/>
    <n v="4"/>
    <n v="65.982205217576094"/>
    <n v="463.599999999999"/>
    <n v="263.92882087030398"/>
    <n v="199.67117912969499"/>
    <s v="None"/>
    <n v="488"/>
    <n v="-199.67117912969502"/>
  </r>
  <r>
    <s v="ORD740"/>
    <d v="2024-03-17T04:00:00"/>
    <s v="Chennai"/>
    <s v="CHICKEN__837"/>
    <x v="14"/>
    <s v="Burger"/>
    <n v="326"/>
    <n v="0"/>
    <n v="326"/>
    <n v="5"/>
    <n v="241.37669556575401"/>
    <n v="1630"/>
    <n v="1206.8834778287701"/>
    <n v="423.11652217122798"/>
    <s v="None"/>
    <n v="1630"/>
    <n v="-423.11652217122992"/>
  </r>
  <r>
    <s v="ORD741"/>
    <d v="2024-03-20T21:00:00"/>
    <s v="Pune"/>
    <s v="MARGHERI_882"/>
    <x v="16"/>
    <s v="Pizza"/>
    <n v="293"/>
    <n v="0"/>
    <n v="293"/>
    <n v="6"/>
    <n v="166.66562919016101"/>
    <n v="1758"/>
    <n v="999.99377514096795"/>
    <n v="758.00622485903205"/>
    <s v="None"/>
    <n v="1758"/>
    <n v="-758.00622485903205"/>
  </r>
  <r>
    <s v="ORD742"/>
    <d v="2024-10-18T04:00:00"/>
    <s v="Delhi"/>
    <s v="CLUB_SAN_336"/>
    <x v="13"/>
    <s v="Sandwich"/>
    <n v="140"/>
    <n v="0.15"/>
    <n v="119"/>
    <n v="3"/>
    <n v="60.794993133105997"/>
    <n v="357"/>
    <n v="182.38497939931801"/>
    <n v="174.61502060068099"/>
    <s v="None"/>
    <n v="420"/>
    <n v="-174.61502060068199"/>
  </r>
  <r>
    <s v="ORD743"/>
    <d v="2025-08-31T02:00:00"/>
    <s v="Delhi"/>
    <s v="ICE_CREA_770"/>
    <x v="6"/>
    <s v="Dessert"/>
    <n v="159"/>
    <n v="0"/>
    <n v="159"/>
    <n v="3"/>
    <n v="74.454795292453596"/>
    <n v="477"/>
    <n v="223.36438587736001"/>
    <n v="253.635614122639"/>
    <s v="None"/>
    <n v="477"/>
    <n v="-253.63561412263999"/>
  </r>
  <r>
    <s v="ORD744"/>
    <d v="2025-06-24T17:00:00"/>
    <s v="Bangalore"/>
    <s v="GARLIC_B_972"/>
    <x v="4"/>
    <s v="Snacks"/>
    <n v="198"/>
    <n v="0.1"/>
    <n v="178.2"/>
    <n v="5"/>
    <n v="88.083228143727396"/>
    <n v="891"/>
    <n v="440.416140718637"/>
    <n v="450.58385928136198"/>
    <s v="Coupon"/>
    <n v="990"/>
    <n v="-450.583859281363"/>
  </r>
  <r>
    <s v="ORD745"/>
    <d v="2024-01-01T09:00:00"/>
    <s v="Hyderabad"/>
    <s v="GULAB_JA_435"/>
    <x v="11"/>
    <s v="Dessert"/>
    <n v="194"/>
    <n v="0.1"/>
    <n v="174.6"/>
    <n v="6"/>
    <n v="80.465411816670098"/>
    <n v="1047.5999999999999"/>
    <n v="482.79247090002099"/>
    <n v="564.80752909997796"/>
    <s v="Coupon"/>
    <n v="1164"/>
    <n v="-564.80752909997886"/>
  </r>
  <r>
    <s v="ORD746"/>
    <d v="2025-11-24T12:00:00"/>
    <s v="Mumbai"/>
    <s v="COLD_COF_162"/>
    <x v="15"/>
    <s v="Drinks"/>
    <n v="201"/>
    <n v="0"/>
    <n v="201"/>
    <n v="2"/>
    <n v="94.266409831243905"/>
    <n v="402"/>
    <n v="188.53281966248699"/>
    <n v="213.46718033751199"/>
    <s v="BOGO"/>
    <n v="402"/>
    <n v="-213.46718033751301"/>
  </r>
  <r>
    <s v="ORD747"/>
    <d v="2025-02-15T01:00:00"/>
    <s v="Bangalore"/>
    <s v="CHICKEN__288"/>
    <x v="14"/>
    <s v="Burger"/>
    <n v="247"/>
    <n v="0.05"/>
    <n v="234.64999999999901"/>
    <n v="5"/>
    <n v="172.77039476533"/>
    <n v="1173.25"/>
    <n v="863.85197382665297"/>
    <n v="309.39802617334601"/>
    <s v="None"/>
    <n v="1235"/>
    <n v="-309.39802617334703"/>
  </r>
  <r>
    <s v="ORD748"/>
    <d v="2024-04-02T11:00:00"/>
    <s v="Delhi"/>
    <s v="PEPPY_PA_571"/>
    <x v="10"/>
    <s v="Pizza"/>
    <n v="151"/>
    <n v="0"/>
    <n v="151"/>
    <n v="2"/>
    <n v="76.1671497485993"/>
    <n v="302"/>
    <n v="152.334299497198"/>
    <n v="149.665700502801"/>
    <s v="Coupon"/>
    <n v="302"/>
    <n v="-149.665700502802"/>
  </r>
  <r>
    <s v="ORD749"/>
    <d v="2024-10-20T09:00:00"/>
    <s v="Chennai"/>
    <s v="FRIES_949"/>
    <x v="2"/>
    <s v="Snacks"/>
    <n v="86"/>
    <n v="0"/>
    <n v="86"/>
    <n v="5"/>
    <n v="49.5053913009247"/>
    <n v="430"/>
    <n v="247.526956504623"/>
    <n v="182.473043495376"/>
    <s v="Percent-Off"/>
    <n v="430"/>
    <n v="-182.473043495377"/>
  </r>
  <r>
    <s v="ORD750"/>
    <d v="2024-08-08T07:00:00"/>
    <s v="Bangalore"/>
    <s v="PEPPY_PA_516"/>
    <x v="10"/>
    <s v="Pizza"/>
    <n v="321"/>
    <n v="0.05"/>
    <n v="304.95"/>
    <n v="1"/>
    <n v="228.93855469926501"/>
    <n v="304.95"/>
    <n v="228.93855469926501"/>
    <n v="76.011445300734806"/>
    <s v="None"/>
    <n v="321"/>
    <n v="-76.011445300734977"/>
  </r>
  <r>
    <s v="ORD751"/>
    <d v="2024-03-08T11:00:00"/>
    <s v="Pune"/>
    <s v="CHICKEN__718"/>
    <x v="14"/>
    <s v="Burger"/>
    <n v="255"/>
    <n v="0.2"/>
    <n v="204"/>
    <n v="7"/>
    <n v="151.979435178122"/>
    <n v="1428"/>
    <n v="1063.8560462468499"/>
    <n v="364.143953753142"/>
    <s v="Percent-Off"/>
    <n v="1785"/>
    <n v="-364.14395375315007"/>
  </r>
  <r>
    <s v="ORD752"/>
    <d v="2024-12-20T16:00:00"/>
    <s v="Hyderabad"/>
    <s v="CHICKEN__122"/>
    <x v="14"/>
    <s v="Burger"/>
    <n v="213"/>
    <n v="0.15"/>
    <n v="181.04999999999899"/>
    <n v="1"/>
    <n v="90.090537026651901"/>
    <n v="181.04999999999899"/>
    <n v="90.090537026651901"/>
    <n v="90.959462973347996"/>
    <s v="None"/>
    <n v="213"/>
    <n v="-90.959462973347087"/>
  </r>
  <r>
    <s v="ORD753"/>
    <d v="2024-02-25T22:00:00"/>
    <s v="Delhi"/>
    <s v="GULAB_JA_756"/>
    <x v="11"/>
    <s v="Dessert"/>
    <n v="138"/>
    <n v="0.15"/>
    <n v="117.3"/>
    <n v="2"/>
    <n v="71.271059637420194"/>
    <n v="234.6"/>
    <n v="142.54211927483999"/>
    <n v="92.057880725159507"/>
    <s v="None"/>
    <n v="276"/>
    <n v="-92.057880725160004"/>
  </r>
  <r>
    <s v="ORD754"/>
    <d v="2025-03-16T08:00:00"/>
    <s v="Hyderabad"/>
    <s v="ONION_RI_437"/>
    <x v="17"/>
    <s v="Snacks"/>
    <n v="124"/>
    <n v="0.05"/>
    <n v="117.8"/>
    <n v="5"/>
    <n v="62.829976545721898"/>
    <n v="589"/>
    <n v="314.14988272860899"/>
    <n v="274.85011727138999"/>
    <s v="Percent-Off"/>
    <n v="620"/>
    <n v="-274.85011727139101"/>
  </r>
  <r>
    <s v="ORD755"/>
    <d v="2025-08-15T23:00:00"/>
    <s v="Pune"/>
    <s v="COKE_167"/>
    <x v="8"/>
    <s v="Drinks"/>
    <n v="192"/>
    <n v="0"/>
    <n v="192"/>
    <n v="2"/>
    <n v="118.21227152635799"/>
    <n v="384"/>
    <n v="236.42454305271701"/>
    <n v="147.57545694728199"/>
    <s v="None"/>
    <n v="384"/>
    <n v="-147.57545694728299"/>
  </r>
  <r>
    <s v="ORD756"/>
    <d v="2024-05-25T10:00:00"/>
    <s v="Mumbai"/>
    <s v="GULAB_JA_786"/>
    <x v="11"/>
    <s v="Dessert"/>
    <n v="260"/>
    <n v="0.05"/>
    <n v="247"/>
    <n v="1"/>
    <n v="170.81472990793301"/>
    <n v="247"/>
    <n v="170.81472990793301"/>
    <n v="76.185270092066304"/>
    <s v="Percent-Off"/>
    <n v="260"/>
    <n v="-76.185270092066986"/>
  </r>
  <r>
    <s v="ORD757"/>
    <d v="2025-01-22T22:00:00"/>
    <s v="Bangalore"/>
    <s v="VEG_BURG_591"/>
    <x v="0"/>
    <s v="Burger"/>
    <n v="208"/>
    <n v="0.1"/>
    <n v="187.2"/>
    <n v="5"/>
    <n v="114.624863589667"/>
    <n v="936"/>
    <n v="573.12431794833697"/>
    <n v="362.87568205166201"/>
    <s v="Percent-Off"/>
    <n v="1040"/>
    <n v="-362.87568205166303"/>
  </r>
  <r>
    <s v="ORD758"/>
    <d v="2024-11-28T16:00:00"/>
    <s v="Mumbai"/>
    <s v="COKE_487"/>
    <x v="8"/>
    <s v="Drinks"/>
    <n v="168"/>
    <n v="0.05"/>
    <n v="159.6"/>
    <n v="5"/>
    <n v="120.81510970584"/>
    <n v="798"/>
    <n v="604.07554852920202"/>
    <n v="193.92445147079701"/>
    <s v="None"/>
    <n v="840"/>
    <n v="-193.92445147079798"/>
  </r>
  <r>
    <s v="ORD759"/>
    <d v="2025-05-24T03:00:00"/>
    <s v="Hyderabad"/>
    <s v="CHICKEN__376"/>
    <x v="7"/>
    <s v="Pizza"/>
    <n v="255"/>
    <n v="0.15"/>
    <n v="216.75"/>
    <n v="5"/>
    <n v="169.884137389063"/>
    <n v="1083.75"/>
    <n v="849.42068694531497"/>
    <n v="234.329313054685"/>
    <s v="Percent-Off"/>
    <n v="1275"/>
    <n v="-234.32931305468503"/>
  </r>
  <r>
    <s v="ORD760"/>
    <d v="2024-01-10T19:00:00"/>
    <s v="Delhi"/>
    <s v="ICE_CREA_640"/>
    <x v="6"/>
    <s v="Dessert"/>
    <n v="120"/>
    <n v="0.1"/>
    <n v="108"/>
    <n v="6"/>
    <n v="73.368209905059004"/>
    <n v="648"/>
    <n v="440.209259430354"/>
    <n v="207.790740569646"/>
    <s v="Bundle"/>
    <n v="720"/>
    <n v="-207.790740569646"/>
  </r>
  <r>
    <s v="ORD761"/>
    <d v="2025-02-27T09:00:00"/>
    <s v="Chennai"/>
    <s v="COKE_433"/>
    <x v="8"/>
    <s v="Drinks"/>
    <n v="323"/>
    <n v="0"/>
    <n v="323"/>
    <n v="3"/>
    <n v="241.83135371992199"/>
    <n v="969"/>
    <n v="725.49406115976797"/>
    <n v="243.50593884023101"/>
    <s v="Coupon"/>
    <n v="969"/>
    <n v="-243.50593884023203"/>
  </r>
  <r>
    <s v="ORD762"/>
    <d v="2024-03-20T12:00:00"/>
    <s v="Pune"/>
    <s v="CHEESE_B_424"/>
    <x v="5"/>
    <s v="Burger"/>
    <n v="134"/>
    <n v="0.2"/>
    <n v="107.2"/>
    <n v="7"/>
    <n v="69.2713077498031"/>
    <n v="750.4"/>
    <n v="484.89915424862198"/>
    <n v="265.50084575137799"/>
    <s v="None"/>
    <n v="938"/>
    <n v="-265.50084575137799"/>
  </r>
  <r>
    <s v="ORD763"/>
    <d v="2024-12-22T23:00:00"/>
    <s v="Pune"/>
    <s v="SPRITE_486"/>
    <x v="3"/>
    <s v="Drinks"/>
    <n v="284"/>
    <n v="0.25"/>
    <n v="213"/>
    <n v="2"/>
    <n v="167.69180500829401"/>
    <n v="426"/>
    <n v="335.38361001658802"/>
    <n v="90.616389983411807"/>
    <s v="None"/>
    <n v="568"/>
    <n v="-90.616389983411977"/>
  </r>
  <r>
    <s v="ORD764"/>
    <d v="2024-05-27T02:00:00"/>
    <s v="Delhi"/>
    <s v="GARLIC_B_347"/>
    <x v="4"/>
    <s v="Snacks"/>
    <n v="166"/>
    <n v="0.15"/>
    <n v="141.1"/>
    <n v="5"/>
    <n v="105.830151451342"/>
    <n v="705.5"/>
    <n v="529.15075725671295"/>
    <n v="176.349242743286"/>
    <s v="Bundle"/>
    <n v="830"/>
    <n v="-176.34924274328705"/>
  </r>
  <r>
    <s v="ORD765"/>
    <d v="2024-08-07T00:00:00"/>
    <s v="Hyderabad"/>
    <s v="COKE_707"/>
    <x v="8"/>
    <s v="Drinks"/>
    <n v="270"/>
    <n v="0.05"/>
    <n v="256.5"/>
    <n v="5"/>
    <n v="124.089489875853"/>
    <n v="1282.5"/>
    <n v="620.44744937926805"/>
    <n v="662.05255062073104"/>
    <s v="None"/>
    <n v="1350"/>
    <n v="-662.05255062073195"/>
  </r>
  <r>
    <s v="ORD766"/>
    <d v="2024-12-06T02:00:00"/>
    <s v="Mumbai"/>
    <s v="CHEESE_B_220"/>
    <x v="5"/>
    <s v="Burger"/>
    <n v="192"/>
    <n v="0"/>
    <n v="192"/>
    <n v="7"/>
    <n v="113.281410494646"/>
    <n v="1344"/>
    <n v="792.96987346252195"/>
    <n v="551.03012653747703"/>
    <s v="None"/>
    <n v="1344"/>
    <n v="-551.03012653747805"/>
  </r>
  <r>
    <s v="ORD767"/>
    <d v="2024-08-13T15:00:00"/>
    <s v="Hyderabad"/>
    <s v="PEPPY_PA_627"/>
    <x v="10"/>
    <s v="Pizza"/>
    <n v="339"/>
    <n v="0.05"/>
    <n v="322.05"/>
    <n v="2"/>
    <n v="202.21935802435601"/>
    <n v="644.1"/>
    <n v="404.43871604871299"/>
    <n v="239.66128395128601"/>
    <s v="Bundle"/>
    <n v="678"/>
    <n v="-239.66128395128703"/>
  </r>
  <r>
    <s v="ORD768"/>
    <d v="2024-05-21T07:00:00"/>
    <s v="Mumbai"/>
    <s v="CHICKEN__111"/>
    <x v="14"/>
    <s v="Burger"/>
    <n v="297"/>
    <n v="0.15"/>
    <n v="252.45"/>
    <n v="6"/>
    <n v="153.90590507724201"/>
    <n v="1514.69999999999"/>
    <n v="923.43543046345496"/>
    <n v="591.26456953654395"/>
    <s v="BOGO"/>
    <n v="1782"/>
    <n v="-591.26456953653508"/>
  </r>
  <r>
    <s v="ORD769"/>
    <d v="2025-04-09T21:00:00"/>
    <s v="Mumbai"/>
    <s v="COLD_COF_945"/>
    <x v="15"/>
    <s v="Drinks"/>
    <n v="194"/>
    <n v="0.15"/>
    <n v="164.9"/>
    <n v="2"/>
    <n v="115.647674988386"/>
    <n v="329.8"/>
    <n v="231.295349976773"/>
    <n v="98.504650023226105"/>
    <s v="BOGO"/>
    <n v="388"/>
    <n v="-98.504650023227015"/>
  </r>
  <r>
    <s v="ORD770"/>
    <d v="2024-09-04T23:00:00"/>
    <s v="Pune"/>
    <s v="MARGHERI_758"/>
    <x v="16"/>
    <s v="Pizza"/>
    <n v="321"/>
    <n v="0.1"/>
    <n v="288.89999999999998"/>
    <n v="5"/>
    <n v="176.43026581219601"/>
    <n v="1444.5"/>
    <n v="882.15132906098302"/>
    <n v="562.34867093901596"/>
    <s v="Percent-Off"/>
    <n v="1605"/>
    <n v="-562.34867093901698"/>
  </r>
  <r>
    <s v="ORD771"/>
    <d v="2024-11-29T15:00:00"/>
    <s v="Pune"/>
    <s v="GRILLED__620"/>
    <x v="1"/>
    <s v="Sandwich"/>
    <n v="164"/>
    <n v="0.2"/>
    <n v="131.19999999999999"/>
    <n v="4"/>
    <n v="113.05501540025401"/>
    <n v="524.79999999999995"/>
    <n v="452.22006160101603"/>
    <n v="72.579938398983401"/>
    <s v="None"/>
    <n v="656"/>
    <n v="-72.579938398983927"/>
  </r>
  <r>
    <s v="ORD772"/>
    <d v="2025-01-12T16:00:00"/>
    <s v="Chennai"/>
    <s v="VEG_BURG_628"/>
    <x v="0"/>
    <s v="Burger"/>
    <n v="317"/>
    <n v="0.1"/>
    <n v="285.3"/>
    <n v="1"/>
    <n v="145.309755764231"/>
    <n v="285.3"/>
    <n v="145.309755764231"/>
    <n v="139.99024423576799"/>
    <s v="BOGO"/>
    <n v="317"/>
    <n v="-139.99024423576901"/>
  </r>
  <r>
    <s v="ORD773"/>
    <d v="2025-10-08T20:00:00"/>
    <s v="Hyderabad"/>
    <s v="CLUB_SAN_363"/>
    <x v="13"/>
    <s v="Sandwich"/>
    <n v="163"/>
    <n v="0.15"/>
    <n v="138.54999999999899"/>
    <n v="3"/>
    <n v="97.871554644624098"/>
    <n v="415.65"/>
    <n v="293.61466393387201"/>
    <n v="122.035336066127"/>
    <s v="Coupon"/>
    <n v="489"/>
    <n v="-122.03533606612797"/>
  </r>
  <r>
    <s v="ORD774"/>
    <d v="2024-01-04T05:00:00"/>
    <s v="Mumbai"/>
    <s v="BROWNIE_571"/>
    <x v="12"/>
    <s v="Dessert"/>
    <n v="200"/>
    <n v="0"/>
    <n v="200"/>
    <n v="5"/>
    <n v="96.313123978681006"/>
    <n v="1000"/>
    <n v="481.56561989340503"/>
    <n v="518.43438010659395"/>
    <s v="None"/>
    <n v="1000"/>
    <n v="-518.43438010659497"/>
  </r>
  <r>
    <s v="ORD775"/>
    <d v="2024-11-11T17:00:00"/>
    <s v="Delhi"/>
    <s v="GULAB_JA_265"/>
    <x v="11"/>
    <s v="Dessert"/>
    <n v="110"/>
    <n v="0.1"/>
    <n v="99"/>
    <n v="4"/>
    <n v="57.1678725735472"/>
    <n v="396"/>
    <n v="228.671490294189"/>
    <n v="167.32850970581001"/>
    <s v="BOGO"/>
    <n v="440"/>
    <n v="-167.328509705811"/>
  </r>
  <r>
    <s v="ORD776"/>
    <d v="2025-12-08T16:00:00"/>
    <s v="Chennai"/>
    <s v="CHICKEN__679"/>
    <x v="7"/>
    <s v="Pizza"/>
    <n v="195"/>
    <n v="0.1"/>
    <n v="175.5"/>
    <n v="6"/>
    <n v="126.23354288329099"/>
    <n v="1053"/>
    <n v="757.40125729974704"/>
    <n v="295.59874270025199"/>
    <s v="Coupon"/>
    <n v="1170"/>
    <n v="-295.59874270025296"/>
  </r>
  <r>
    <s v="ORD777"/>
    <d v="2025-08-08T20:00:00"/>
    <s v="Delhi"/>
    <s v="FRIES_912"/>
    <x v="2"/>
    <s v="Snacks"/>
    <n v="228"/>
    <n v="0.15"/>
    <n v="193.79999999999899"/>
    <n v="1"/>
    <n v="100.788708847102"/>
    <n v="193.79999999999899"/>
    <n v="100.788708847102"/>
    <n v="93.0112911528973"/>
    <s v="None"/>
    <n v="228"/>
    <n v="-93.011291152896987"/>
  </r>
  <r>
    <s v="ORD778"/>
    <d v="2025-12-28T01:00:00"/>
    <s v="Pune"/>
    <s v="MARGHERI_542"/>
    <x v="16"/>
    <s v="Pizza"/>
    <n v="202"/>
    <n v="0.15"/>
    <n v="171.7"/>
    <n v="4"/>
    <n v="94.375548943433998"/>
    <n v="686.8"/>
    <n v="377.50219577373599"/>
    <n v="309.297804226263"/>
    <s v="Percent-Off"/>
    <n v="808"/>
    <n v="-309.29780422626396"/>
  </r>
  <r>
    <s v="ORD779"/>
    <d v="2025-03-14T23:00:00"/>
    <s v="Bangalore"/>
    <s v="VEG_BURG_437"/>
    <x v="0"/>
    <s v="Burger"/>
    <n v="215"/>
    <n v="0"/>
    <n v="215"/>
    <n v="1"/>
    <n v="141.29750166759499"/>
    <n v="215"/>
    <n v="141.29750166759499"/>
    <n v="73.702498332405"/>
    <s v="BOGO"/>
    <n v="215"/>
    <n v="-73.702498332405014"/>
  </r>
  <r>
    <s v="ORD780"/>
    <d v="2025-01-31T06:00:00"/>
    <s v="Chennai"/>
    <s v="CHICKEN__524"/>
    <x v="14"/>
    <s v="Burger"/>
    <n v="225"/>
    <n v="0.2"/>
    <n v="180"/>
    <n v="7"/>
    <n v="104.797407617875"/>
    <n v="1260"/>
    <n v="733.58185332512699"/>
    <n v="526.41814667487199"/>
    <s v="None"/>
    <n v="1575"/>
    <n v="-526.41814667487301"/>
  </r>
  <r>
    <s v="ORD781"/>
    <d v="2024-10-16T07:00:00"/>
    <s v="Pune"/>
    <s v="GULAB_JA_243"/>
    <x v="11"/>
    <s v="Dessert"/>
    <n v="239"/>
    <n v="0.05"/>
    <n v="227.04999999999899"/>
    <n v="3"/>
    <n v="98.868932084063502"/>
    <n v="681.15"/>
    <n v="296.60679625219001"/>
    <n v="384.543203747809"/>
    <s v="None"/>
    <n v="717"/>
    <n v="-384.54320374780997"/>
  </r>
  <r>
    <s v="ORD782"/>
    <d v="2025-05-13T02:00:00"/>
    <s v="Bangalore"/>
    <s v="GULAB_JA_838"/>
    <x v="11"/>
    <s v="Dessert"/>
    <n v="348"/>
    <n v="0.25"/>
    <n v="261"/>
    <n v="5"/>
    <n v="150.438364755744"/>
    <n v="1305"/>
    <n v="752.19182377872198"/>
    <n v="552.80817622127699"/>
    <s v="None"/>
    <n v="1740"/>
    <n v="-552.80817622127802"/>
  </r>
  <r>
    <s v="ORD783"/>
    <d v="2024-11-21T04:00:00"/>
    <s v="Pune"/>
    <s v="CLUB_SAN_116"/>
    <x v="13"/>
    <s v="Sandwich"/>
    <n v="289"/>
    <n v="0"/>
    <n v="289"/>
    <n v="7"/>
    <n v="173.95174326391799"/>
    <n v="2023"/>
    <n v="1217.6622028474201"/>
    <n v="805.33779715257299"/>
    <s v="Coupon"/>
    <n v="2023"/>
    <n v="-805.33779715257992"/>
  </r>
  <r>
    <s v="ORD784"/>
    <d v="2024-09-30T13:00:00"/>
    <s v="Pune"/>
    <s v="COKE_665"/>
    <x v="8"/>
    <s v="Drinks"/>
    <n v="221"/>
    <n v="0.25"/>
    <n v="165.75"/>
    <n v="7"/>
    <n v="113.664204409608"/>
    <n v="1160.25"/>
    <n v="795.64943086725896"/>
    <n v="364.60056913274002"/>
    <s v="Percent-Off"/>
    <n v="1547"/>
    <n v="-364.60056913274104"/>
  </r>
  <r>
    <s v="ORD785"/>
    <d v="2024-09-06T08:00:00"/>
    <s v="Delhi"/>
    <s v="SPRITE_826"/>
    <x v="3"/>
    <s v="Drinks"/>
    <n v="262"/>
    <n v="0.05"/>
    <n v="248.89999999999901"/>
    <n v="5"/>
    <n v="174.12206834699501"/>
    <n v="1244.5"/>
    <n v="870.61034173497706"/>
    <n v="373.88965826502198"/>
    <s v="None"/>
    <n v="1310"/>
    <n v="-373.88965826502294"/>
  </r>
  <r>
    <s v="ORD786"/>
    <d v="2024-07-13T14:00:00"/>
    <s v="Chennai"/>
    <s v="CHEESE_B_270"/>
    <x v="5"/>
    <s v="Burger"/>
    <n v="337"/>
    <n v="0.2"/>
    <n v="269.60000000000002"/>
    <n v="2"/>
    <n v="152.19208244294501"/>
    <n v="539.20000000000005"/>
    <n v="304.38416488589098"/>
    <n v="234.81583511410801"/>
    <s v="Percent-Off"/>
    <n v="674"/>
    <n v="-234.81583511410906"/>
  </r>
  <r>
    <s v="ORD787"/>
    <d v="2025-01-17T16:00:00"/>
    <s v="Delhi"/>
    <s v="CHEESE_B_990"/>
    <x v="5"/>
    <s v="Burger"/>
    <n v="347"/>
    <n v="0.15"/>
    <n v="294.95"/>
    <n v="5"/>
    <n v="226.400338816871"/>
    <n v="1474.75"/>
    <n v="1132.00169408435"/>
    <n v="342.74830591564302"/>
    <s v="Percent-Off"/>
    <n v="1735"/>
    <n v="-342.74830591565001"/>
  </r>
  <r>
    <s v="ORD788"/>
    <d v="2024-04-01T08:00:00"/>
    <s v="Delhi"/>
    <s v="CHICKEN__307"/>
    <x v="14"/>
    <s v="Burger"/>
    <n v="148"/>
    <n v="0.05"/>
    <n v="140.6"/>
    <n v="6"/>
    <n v="77.719190412530807"/>
    <n v="843.599999999999"/>
    <n v="466.31514247518498"/>
    <n v="377.28485752481402"/>
    <s v="BOGO"/>
    <n v="888"/>
    <n v="-377.28485752481402"/>
  </r>
  <r>
    <s v="ORD789"/>
    <d v="2024-02-22T00:00:00"/>
    <s v="Bangalore"/>
    <s v="GULAB_JA_309"/>
    <x v="11"/>
    <s v="Dessert"/>
    <n v="156"/>
    <n v="0"/>
    <n v="156"/>
    <n v="7"/>
    <n v="110.602872391023"/>
    <n v="1092"/>
    <n v="774.22010673716102"/>
    <n v="317.77989326283802"/>
    <s v="Coupon"/>
    <n v="1092"/>
    <n v="-317.77989326283898"/>
  </r>
  <r>
    <s v="ORD790"/>
    <d v="2025-04-13T14:00:00"/>
    <s v="Bangalore"/>
    <s v="CHEESE_B_554"/>
    <x v="5"/>
    <s v="Burger"/>
    <n v="340"/>
    <n v="0"/>
    <n v="340"/>
    <n v="7"/>
    <n v="246.61117893880899"/>
    <n v="2380"/>
    <n v="1726.27825257166"/>
    <n v="653.72174742833204"/>
    <s v="Coupon"/>
    <n v="2380"/>
    <n v="-653.72174742834"/>
  </r>
  <r>
    <s v="ORD791"/>
    <d v="2025-06-16T22:00:00"/>
    <s v="Hyderabad"/>
    <s v="CHICKEN__585"/>
    <x v="7"/>
    <s v="Pizza"/>
    <n v="109"/>
    <n v="0.2"/>
    <n v="87.2"/>
    <n v="3"/>
    <n v="50.062476460944701"/>
    <n v="261.60000000000002"/>
    <n v="150.18742938283401"/>
    <n v="111.412570617165"/>
    <s v="BOGO"/>
    <n v="327"/>
    <n v="-111.41257061716601"/>
  </r>
  <r>
    <s v="ORD792"/>
    <d v="2024-06-02T15:00:00"/>
    <s v="Delhi"/>
    <s v="COLD_COF_846"/>
    <x v="15"/>
    <s v="Drinks"/>
    <n v="226"/>
    <n v="0.25"/>
    <n v="169.5"/>
    <n v="3"/>
    <n v="164.43713955903999"/>
    <n v="508.5"/>
    <n v="493.31141867712103"/>
    <n v="15.1885813228781"/>
    <s v="None"/>
    <n v="678"/>
    <n v="-15.188581322878974"/>
  </r>
  <r>
    <s v="ORD793"/>
    <d v="2024-06-16T10:00:00"/>
    <s v="Bangalore"/>
    <s v="FRIES_698"/>
    <x v="2"/>
    <s v="Snacks"/>
    <n v="163"/>
    <n v="0.15"/>
    <n v="138.54999999999899"/>
    <n v="5"/>
    <n v="108.032582688806"/>
    <n v="692.74999999999898"/>
    <n v="540.16291344403396"/>
    <n v="152.58708655596499"/>
    <s v="None"/>
    <n v="815"/>
    <n v="-152.58708655596502"/>
  </r>
  <r>
    <s v="ORD794"/>
    <d v="2025-04-15T22:00:00"/>
    <s v="Delhi"/>
    <s v="ONION_RI_152"/>
    <x v="17"/>
    <s v="Snacks"/>
    <n v="254"/>
    <n v="0"/>
    <n v="254"/>
    <n v="6"/>
    <n v="149.373010030458"/>
    <n v="1524"/>
    <n v="896.23806018275195"/>
    <n v="627.76193981724703"/>
    <s v="None"/>
    <n v="1524"/>
    <n v="-627.76193981724805"/>
  </r>
  <r>
    <s v="ORD795"/>
    <d v="2024-03-23T02:00:00"/>
    <s v="Mumbai"/>
    <s v="VEG_BURG_464"/>
    <x v="0"/>
    <s v="Burger"/>
    <n v="191"/>
    <n v="0"/>
    <n v="191"/>
    <n v="7"/>
    <n v="91.324623561486703"/>
    <n v="1337"/>
    <n v="639.27236493040698"/>
    <n v="697.727635069592"/>
    <s v="Coupon"/>
    <n v="1337"/>
    <n v="-697.72763506959302"/>
  </r>
  <r>
    <s v="ORD796"/>
    <d v="2024-12-15T13:00:00"/>
    <s v="Mumbai"/>
    <s v="SPRITE_651"/>
    <x v="3"/>
    <s v="Drinks"/>
    <n v="203"/>
    <n v="0"/>
    <n v="203"/>
    <n v="6"/>
    <n v="121.487679267762"/>
    <n v="1218"/>
    <n v="728.92607560657302"/>
    <n v="489.07392439342601"/>
    <s v="None"/>
    <n v="1218"/>
    <n v="-489.07392439342698"/>
  </r>
  <r>
    <s v="ORD797"/>
    <d v="2025-10-02T14:00:00"/>
    <s v="Chennai"/>
    <s v="CHICKEN__935"/>
    <x v="14"/>
    <s v="Burger"/>
    <n v="288"/>
    <n v="0"/>
    <n v="288"/>
    <n v="3"/>
    <n v="196.494791367408"/>
    <n v="864"/>
    <n v="589.48437410222596"/>
    <n v="274.51562589777302"/>
    <s v="Bundle"/>
    <n v="864"/>
    <n v="-274.51562589777404"/>
  </r>
  <r>
    <s v="ORD798"/>
    <d v="2024-08-29T04:00:00"/>
    <s v="Bangalore"/>
    <s v="SPRITE_639"/>
    <x v="3"/>
    <s v="Drinks"/>
    <n v="174"/>
    <n v="0.15"/>
    <n v="147.9"/>
    <n v="5"/>
    <n v="101.051460421881"/>
    <n v="739.5"/>
    <n v="505.25730210940901"/>
    <n v="234.24269789058999"/>
    <s v="Coupon"/>
    <n v="870"/>
    <n v="-234.24269789059099"/>
  </r>
  <r>
    <s v="ORD799"/>
    <d v="2024-08-13T08:00:00"/>
    <s v="Delhi"/>
    <s v="MARGHERI_549"/>
    <x v="16"/>
    <s v="Pizza"/>
    <n v="135"/>
    <n v="0.15"/>
    <n v="114.75"/>
    <n v="3"/>
    <n v="75.8952251660195"/>
    <n v="344.25"/>
    <n v="227.685675498058"/>
    <n v="116.564324501941"/>
    <s v="None"/>
    <n v="405"/>
    <n v="-116.564324501942"/>
  </r>
  <r>
    <s v="ORD800"/>
    <d v="2025-01-28T14:00:00"/>
    <s v="Hyderabad"/>
    <s v="PEPPY_PA_905"/>
    <x v="10"/>
    <s v="Pizza"/>
    <n v="328"/>
    <n v="0.1"/>
    <n v="295.2"/>
    <n v="4"/>
    <n v="145.91599075864099"/>
    <n v="1180.8"/>
    <n v="583.66396303456395"/>
    <n v="597.13603696543498"/>
    <s v="None"/>
    <n v="1312"/>
    <n v="-597.13603696543601"/>
  </r>
  <r>
    <s v="ORD801"/>
    <d v="2024-02-08T10:00:00"/>
    <s v="Pune"/>
    <s v="VEG_SAND_730"/>
    <x v="9"/>
    <s v="Sandwich"/>
    <n v="97"/>
    <n v="0.25"/>
    <n v="72.75"/>
    <n v="4"/>
    <n v="39.293433892280298"/>
    <n v="291"/>
    <n v="157.17373556912099"/>
    <n v="133.82626443087801"/>
    <s v="Percent-Off"/>
    <n v="388"/>
    <n v="-133.82626443087901"/>
  </r>
  <r>
    <s v="ORD802"/>
    <d v="2024-01-18T11:00:00"/>
    <s v="Delhi"/>
    <s v="COLD_COF_880"/>
    <x v="15"/>
    <s v="Drinks"/>
    <n v="96"/>
    <n v="0.1"/>
    <n v="86.4"/>
    <n v="6"/>
    <n v="51.101638300995901"/>
    <n v="518.4"/>
    <n v="306.60982980597498"/>
    <n v="211.790170194024"/>
    <s v="BOGO"/>
    <n v="576"/>
    <n v="-211.79017019402499"/>
  </r>
  <r>
    <s v="ORD803"/>
    <d v="2025-03-25T13:00:00"/>
    <s v="Mumbai"/>
    <s v="VEG_SAND_566"/>
    <x v="9"/>
    <s v="Sandwich"/>
    <n v="101"/>
    <n v="0"/>
    <n v="101"/>
    <n v="5"/>
    <n v="52.214512172145"/>
    <n v="505"/>
    <n v="261.07256086072499"/>
    <n v="243.92743913927399"/>
    <s v="Coupon"/>
    <n v="505"/>
    <n v="-243.92743913927501"/>
  </r>
  <r>
    <s v="ORD804"/>
    <d v="2024-02-16T16:00:00"/>
    <s v="Delhi"/>
    <s v="COKE_783"/>
    <x v="8"/>
    <s v="Drinks"/>
    <n v="220"/>
    <n v="0"/>
    <n v="220"/>
    <n v="6"/>
    <n v="90.373495639851498"/>
    <n v="1320"/>
    <n v="542.24097383910896"/>
    <n v="777.75902616089002"/>
    <s v="None"/>
    <n v="1320"/>
    <n v="-777.75902616089104"/>
  </r>
  <r>
    <s v="ORD805"/>
    <d v="2025-04-14T04:00:00"/>
    <s v="Pune"/>
    <s v="CHICKEN__632"/>
    <x v="7"/>
    <s v="Pizza"/>
    <n v="253"/>
    <n v="0.05"/>
    <n v="240.35"/>
    <n v="6"/>
    <n v="183.03954240531701"/>
    <n v="1442.1"/>
    <n v="1098.2372544319001"/>
    <n v="343.862745568094"/>
    <s v="Coupon"/>
    <n v="1518"/>
    <n v="-343.86274556809985"/>
  </r>
  <r>
    <s v="ORD806"/>
    <d v="2025-12-23T06:00:00"/>
    <s v="Delhi"/>
    <s v="COKE_838"/>
    <x v="8"/>
    <s v="Drinks"/>
    <n v="112"/>
    <n v="0.1"/>
    <n v="100.8"/>
    <n v="3"/>
    <n v="81.410892472442498"/>
    <n v="302.39999999999998"/>
    <n v="244.23267741732701"/>
    <n v="58.167322582672298"/>
    <s v="None"/>
    <n v="336"/>
    <n v="-58.167322582672966"/>
  </r>
  <r>
    <s v="ORD807"/>
    <d v="2024-04-07T08:00:00"/>
    <s v="Delhi"/>
    <s v="GRILLED__845"/>
    <x v="1"/>
    <s v="Sandwich"/>
    <n v="333"/>
    <n v="0.05"/>
    <n v="316.349999999999"/>
    <n v="7"/>
    <n v="147.54172500445199"/>
    <n v="2214.4499999999998"/>
    <n v="1032.79207503116"/>
    <n v="1181.65792496883"/>
    <s v="None"/>
    <n v="2331"/>
    <n v="-1181.6579249688398"/>
  </r>
  <r>
    <s v="ORD808"/>
    <d v="2024-08-11T21:00:00"/>
    <s v="Bangalore"/>
    <s v="BROWNIE_966"/>
    <x v="12"/>
    <s v="Dessert"/>
    <n v="238"/>
    <n v="0.15"/>
    <n v="202.29999999999899"/>
    <n v="6"/>
    <n v="137.38781620714099"/>
    <n v="1213.8"/>
    <n v="824.32689724284899"/>
    <n v="389.47310275715"/>
    <s v="None"/>
    <n v="1428"/>
    <n v="-389.47310275715097"/>
  </r>
  <r>
    <s v="ORD809"/>
    <d v="2024-04-03T11:00:00"/>
    <s v="Hyderabad"/>
    <s v="CHEESE_B_997"/>
    <x v="5"/>
    <s v="Burger"/>
    <n v="304"/>
    <n v="0.1"/>
    <n v="273.60000000000002"/>
    <n v="7"/>
    <n v="176.49664147510501"/>
    <n v="1915.2"/>
    <n v="1235.4764903257301"/>
    <n v="679.72350967426405"/>
    <s v="Percent-Off"/>
    <n v="2128"/>
    <n v="-679.72350967426996"/>
  </r>
  <r>
    <s v="ORD810"/>
    <d v="2024-07-11T04:00:00"/>
    <s v="Bangalore"/>
    <s v="MARGHERI_961"/>
    <x v="16"/>
    <s v="Pizza"/>
    <n v="305"/>
    <n v="0.1"/>
    <n v="274.5"/>
    <n v="2"/>
    <n v="181.431173853296"/>
    <n v="549"/>
    <n v="362.86234770659303"/>
    <n v="186.13765229340601"/>
    <s v="Percent-Off"/>
    <n v="610"/>
    <n v="-186.13765229340697"/>
  </r>
  <r>
    <s v="ORD811"/>
    <d v="2025-08-04T02:00:00"/>
    <s v="Chennai"/>
    <s v="COKE_802"/>
    <x v="8"/>
    <s v="Drinks"/>
    <n v="239"/>
    <n v="0"/>
    <n v="239"/>
    <n v="7"/>
    <n v="112.84885718518299"/>
    <n v="1673"/>
    <n v="789.94200029628598"/>
    <n v="883.05799970371299"/>
    <s v="Coupon"/>
    <n v="1673"/>
    <n v="-883.05799970371402"/>
  </r>
  <r>
    <s v="ORD812"/>
    <d v="2025-04-07T16:00:00"/>
    <s v="Delhi"/>
    <s v="COKE_417"/>
    <x v="8"/>
    <s v="Drinks"/>
    <n v="165"/>
    <n v="0.15"/>
    <n v="140.25"/>
    <n v="1"/>
    <n v="93.205085377696605"/>
    <n v="140.25"/>
    <n v="93.205085377696605"/>
    <n v="47.044914622303303"/>
    <s v="None"/>
    <n v="165"/>
    <n v="-47.044914622303395"/>
  </r>
  <r>
    <s v="ORD813"/>
    <d v="2025-07-13T13:00:00"/>
    <s v="Mumbai"/>
    <s v="COLD_COF_490"/>
    <x v="15"/>
    <s v="Drinks"/>
    <n v="190"/>
    <n v="0.2"/>
    <n v="152"/>
    <n v="3"/>
    <n v="133.617422292767"/>
    <n v="456"/>
    <n v="400.85226687830101"/>
    <n v="55.147733121698103"/>
    <s v="Percent-Off"/>
    <n v="570"/>
    <n v="-55.147733121698991"/>
  </r>
  <r>
    <s v="ORD814"/>
    <d v="2024-09-22T11:00:00"/>
    <s v="Bangalore"/>
    <s v="SPRITE_776"/>
    <x v="3"/>
    <s v="Drinks"/>
    <n v="312"/>
    <n v="0.05"/>
    <n v="296.39999999999998"/>
    <n v="4"/>
    <n v="157.09620954053901"/>
    <n v="1185.5999999999999"/>
    <n v="628.38483816215899"/>
    <n v="557.21516183784001"/>
    <s v="None"/>
    <n v="1248"/>
    <n v="-557.21516183784092"/>
  </r>
  <r>
    <s v="ORD815"/>
    <d v="2024-09-21T23:00:00"/>
    <s v="Mumbai"/>
    <s v="CHEESE_B_480"/>
    <x v="5"/>
    <s v="Burger"/>
    <n v="311"/>
    <n v="0"/>
    <n v="311"/>
    <n v="3"/>
    <n v="168.96200692931501"/>
    <n v="933"/>
    <n v="506.88602078794497"/>
    <n v="426.11397921205401"/>
    <s v="Coupon"/>
    <n v="933"/>
    <n v="-426.11397921205503"/>
  </r>
  <r>
    <s v="ORD816"/>
    <d v="2024-11-23T15:00:00"/>
    <s v="Hyderabad"/>
    <s v="SPRITE_738"/>
    <x v="3"/>
    <s v="Drinks"/>
    <n v="299"/>
    <n v="0"/>
    <n v="299"/>
    <n v="2"/>
    <n v="164.60529187426599"/>
    <n v="598"/>
    <n v="329.210583748533"/>
    <n v="268.78941625146598"/>
    <s v="None"/>
    <n v="598"/>
    <n v="-268.789416251467"/>
  </r>
  <r>
    <s v="ORD817"/>
    <d v="2024-05-14T12:00:00"/>
    <s v="Chennai"/>
    <s v="CHICKEN__320"/>
    <x v="7"/>
    <s v="Pizza"/>
    <n v="214"/>
    <n v="0"/>
    <n v="214"/>
    <n v="3"/>
    <n v="131.353420255412"/>
    <n v="642"/>
    <n v="394.06026076623601"/>
    <n v="247.93973923376299"/>
    <s v="Coupon"/>
    <n v="642"/>
    <n v="-247.93973923376399"/>
  </r>
  <r>
    <s v="ORD818"/>
    <d v="2025-08-22T06:00:00"/>
    <s v="Bangalore"/>
    <s v="GARLIC_B_573"/>
    <x v="4"/>
    <s v="Snacks"/>
    <n v="83"/>
    <n v="0.05"/>
    <n v="78.849999999999994"/>
    <n v="6"/>
    <n v="34.770083574509499"/>
    <n v="473.099999999999"/>
    <n v="208.62050144705699"/>
    <n v="264.479498552942"/>
    <s v="Coupon"/>
    <n v="498"/>
    <n v="-264.479498552942"/>
  </r>
  <r>
    <s v="ORD819"/>
    <d v="2024-04-30T11:00:00"/>
    <s v="Pune"/>
    <s v="COLD_COF_979"/>
    <x v="15"/>
    <s v="Drinks"/>
    <n v="284"/>
    <n v="0.2"/>
    <n v="227.2"/>
    <n v="7"/>
    <n v="152.771914661897"/>
    <n v="1590.4"/>
    <n v="1069.4034026332799"/>
    <n v="520.99659736671902"/>
    <s v="Coupon"/>
    <n v="1988"/>
    <n v="-520.99659736672015"/>
  </r>
  <r>
    <s v="ORD820"/>
    <d v="2024-06-05T12:00:00"/>
    <s v="Hyderabad"/>
    <s v="CHEESE_B_458"/>
    <x v="5"/>
    <s v="Burger"/>
    <n v="326"/>
    <n v="0"/>
    <n v="326"/>
    <n v="5"/>
    <n v="186.379009009984"/>
    <n v="1630"/>
    <n v="931.89504504992203"/>
    <n v="698.10495495007694"/>
    <s v="BOGO"/>
    <n v="1630"/>
    <n v="-698.10495495007797"/>
  </r>
  <r>
    <s v="ORD821"/>
    <d v="2025-10-19T02:00:00"/>
    <s v="Bangalore"/>
    <s v="COLD_COF_154"/>
    <x v="15"/>
    <s v="Drinks"/>
    <n v="100"/>
    <n v="0.25"/>
    <n v="75"/>
    <n v="2"/>
    <n v="51.359393840582399"/>
    <n v="150"/>
    <n v="102.718787681164"/>
    <n v="47.281212318835102"/>
    <s v="BOGO"/>
    <n v="200"/>
    <n v="-47.281212318835998"/>
  </r>
  <r>
    <s v="ORD822"/>
    <d v="2025-11-17T14:00:00"/>
    <s v="Bangalore"/>
    <s v="CHICKEN__795"/>
    <x v="14"/>
    <s v="Burger"/>
    <n v="167"/>
    <n v="0.05"/>
    <n v="158.65"/>
    <n v="7"/>
    <n v="89.874617265304806"/>
    <n v="1110.55"/>
    <n v="629.12232085713401"/>
    <n v="481.42767914286497"/>
    <s v="None"/>
    <n v="1169"/>
    <n v="-481.42767914286594"/>
  </r>
  <r>
    <s v="ORD823"/>
    <d v="2024-04-21T10:00:00"/>
    <s v="Pune"/>
    <s v="COLD_COF_637"/>
    <x v="15"/>
    <s v="Drinks"/>
    <n v="336"/>
    <n v="0.15"/>
    <n v="285.599999999999"/>
    <n v="1"/>
    <n v="163.18846506500199"/>
    <n v="285.599999999999"/>
    <n v="163.18846506500199"/>
    <n v="122.41153493499699"/>
    <s v="None"/>
    <n v="336"/>
    <n v="-122.41153493499701"/>
  </r>
  <r>
    <s v="ORD824"/>
    <d v="2024-10-14T10:00:00"/>
    <s v="Bangalore"/>
    <s v="GARLIC_B_856"/>
    <x v="4"/>
    <s v="Snacks"/>
    <n v="130"/>
    <n v="0.05"/>
    <n v="123.5"/>
    <n v="3"/>
    <n v="90.827265641196902"/>
    <n v="370.5"/>
    <n v="272.48179692359003"/>
    <n v="98.018203076409094"/>
    <s v="BOGO"/>
    <n v="390"/>
    <n v="-98.018203076409975"/>
  </r>
  <r>
    <s v="ORD825"/>
    <d v="2025-02-26T19:00:00"/>
    <s v="Chennai"/>
    <s v="VEG_BURG_772"/>
    <x v="0"/>
    <s v="Burger"/>
    <n v="276"/>
    <n v="0.05"/>
    <n v="262.2"/>
    <n v="4"/>
    <n v="142.97371659731999"/>
    <n v="1048.8"/>
    <n v="571.89486638928304"/>
    <n v="476.90513361071601"/>
    <s v="None"/>
    <n v="1104"/>
    <n v="-476.90513361071692"/>
  </r>
  <r>
    <s v="ORD826"/>
    <d v="2024-02-03T01:00:00"/>
    <s v="Delhi"/>
    <s v="GRILLED__596"/>
    <x v="1"/>
    <s v="Sandwich"/>
    <n v="230"/>
    <n v="0.1"/>
    <n v="207"/>
    <n v="6"/>
    <n v="164.55136622762299"/>
    <n v="1242"/>
    <n v="987.30819736573903"/>
    <n v="254.69180263426"/>
    <s v="Percent-Off"/>
    <n v="1380"/>
    <n v="-254.69180263426097"/>
  </r>
  <r>
    <s v="ORD827"/>
    <d v="2024-03-29T04:00:00"/>
    <s v="Chennai"/>
    <s v="CHICKEN__742"/>
    <x v="14"/>
    <s v="Burger"/>
    <n v="236"/>
    <n v="0.05"/>
    <n v="224.2"/>
    <n v="3"/>
    <n v="99.625496692387699"/>
    <n v="672.599999999999"/>
    <n v="298.876490077163"/>
    <n v="373.723509922836"/>
    <s v="Percent-Off"/>
    <n v="708"/>
    <n v="-373.723509922836"/>
  </r>
  <r>
    <s v="ORD828"/>
    <d v="2024-08-28T19:00:00"/>
    <s v="Hyderabad"/>
    <s v="CHICKEN__522"/>
    <x v="7"/>
    <s v="Pizza"/>
    <n v="250"/>
    <n v="0"/>
    <n v="250"/>
    <n v="7"/>
    <n v="151.31520733279399"/>
    <n v="1750"/>
    <n v="1059.20645132956"/>
    <n v="690.79354867043605"/>
    <s v="None"/>
    <n v="1750"/>
    <n v="-690.79354867044003"/>
  </r>
  <r>
    <s v="ORD829"/>
    <d v="2025-05-27T10:00:00"/>
    <s v="Bangalore"/>
    <s v="GULAB_JA_833"/>
    <x v="11"/>
    <s v="Dessert"/>
    <n v="237"/>
    <n v="0.15"/>
    <n v="201.45"/>
    <n v="3"/>
    <n v="169.04854741104401"/>
    <n v="604.349999999999"/>
    <n v="507.14564223313403"/>
    <n v="97.204357766864902"/>
    <s v="Coupon"/>
    <n v="711"/>
    <n v="-97.204357766864973"/>
  </r>
  <r>
    <s v="ORD830"/>
    <d v="2025-08-12T17:00:00"/>
    <s v="Delhi"/>
    <s v="COLD_COF_600"/>
    <x v="15"/>
    <s v="Drinks"/>
    <n v="201"/>
    <n v="0.1"/>
    <n v="180.9"/>
    <n v="5"/>
    <n v="105.16436657900699"/>
    <n v="904.5"/>
    <n v="525.82183289503496"/>
    <n v="378.67816710496402"/>
    <s v="None"/>
    <n v="1005"/>
    <n v="-378.67816710496504"/>
  </r>
  <r>
    <s v="ORD831"/>
    <d v="2025-04-07T23:00:00"/>
    <s v="Hyderabad"/>
    <s v="GRILLED__419"/>
    <x v="1"/>
    <s v="Sandwich"/>
    <n v="276"/>
    <n v="0"/>
    <n v="276"/>
    <n v="3"/>
    <n v="153.60084736067901"/>
    <n v="828"/>
    <n v="460.80254208203797"/>
    <n v="367.197457917961"/>
    <s v="BOGO"/>
    <n v="828"/>
    <n v="-367.19745791796203"/>
  </r>
  <r>
    <s v="ORD832"/>
    <d v="2025-03-25T13:00:00"/>
    <s v="Pune"/>
    <s v="COKE_815"/>
    <x v="8"/>
    <s v="Drinks"/>
    <n v="343"/>
    <n v="0.2"/>
    <n v="274.39999999999998"/>
    <n v="1"/>
    <n v="219.65832257287499"/>
    <n v="274.39999999999998"/>
    <n v="219.65832257287499"/>
    <n v="54.741677427124003"/>
    <s v="Coupon"/>
    <n v="343"/>
    <n v="-54.741677427124984"/>
  </r>
  <r>
    <s v="ORD833"/>
    <d v="2025-04-19T21:00:00"/>
    <s v="Delhi"/>
    <s v="MARGHERI_597"/>
    <x v="16"/>
    <s v="Pizza"/>
    <n v="273"/>
    <n v="0.05"/>
    <n v="259.349999999999"/>
    <n v="3"/>
    <n v="152.70666204421099"/>
    <n v="778.05"/>
    <n v="458.11998613263501"/>
    <n v="319.93001386736398"/>
    <s v="None"/>
    <n v="819"/>
    <n v="-319.93001386736495"/>
  </r>
  <r>
    <s v="ORD834"/>
    <d v="2025-06-25T15:00:00"/>
    <s v="Hyderabad"/>
    <s v="PEPPY_PA_915"/>
    <x v="10"/>
    <s v="Pizza"/>
    <n v="218"/>
    <n v="0"/>
    <n v="218"/>
    <n v="2"/>
    <n v="94.978979532975103"/>
    <n v="436"/>
    <n v="189.95795906595001"/>
    <n v="246.042040934049"/>
    <s v="Percent-Off"/>
    <n v="436"/>
    <n v="-246.04204093404999"/>
  </r>
  <r>
    <s v="ORD835"/>
    <d v="2024-02-03T22:00:00"/>
    <s v="Hyderabad"/>
    <s v="CHICKEN__774"/>
    <x v="7"/>
    <s v="Pizza"/>
    <n v="209"/>
    <n v="0.2"/>
    <n v="167.2"/>
    <n v="4"/>
    <n v="145.268152667761"/>
    <n v="668.8"/>
    <n v="581.07261067104503"/>
    <n v="87.727389328954104"/>
    <s v="Coupon"/>
    <n v="836"/>
    <n v="-87.727389328954928"/>
  </r>
  <r>
    <s v="ORD836"/>
    <d v="2025-11-28T01:00:00"/>
    <s v="Mumbai"/>
    <s v="VEG_BURG_890"/>
    <x v="0"/>
    <s v="Burger"/>
    <n v="110"/>
    <n v="0.05"/>
    <n v="104.5"/>
    <n v="4"/>
    <n v="78.422517716426995"/>
    <n v="418"/>
    <n v="313.69007086570798"/>
    <n v="104.309929134291"/>
    <s v="Percent-Off"/>
    <n v="440"/>
    <n v="-104.30992913429202"/>
  </r>
  <r>
    <s v="ORD837"/>
    <d v="2025-03-15T05:00:00"/>
    <s v="Pune"/>
    <s v="GARLIC_B_951"/>
    <x v="4"/>
    <s v="Snacks"/>
    <n v="108"/>
    <n v="0.1"/>
    <n v="97.2"/>
    <n v="3"/>
    <n v="58.549904610759299"/>
    <n v="291.60000000000002"/>
    <n v="175.649713832278"/>
    <n v="115.950286167721"/>
    <s v="None"/>
    <n v="324"/>
    <n v="-115.95028616772203"/>
  </r>
  <r>
    <s v="ORD838"/>
    <d v="2024-04-11T19:00:00"/>
    <s v="Pune"/>
    <s v="CHICKEN__593"/>
    <x v="7"/>
    <s v="Pizza"/>
    <n v="322"/>
    <n v="0"/>
    <n v="322"/>
    <n v="5"/>
    <n v="227.34652025794301"/>
    <n v="1610"/>
    <n v="1136.7326012897099"/>
    <n v="473.267398710284"/>
    <s v="BOGO"/>
    <n v="1610"/>
    <n v="-473.26739871029008"/>
  </r>
  <r>
    <s v="ORD839"/>
    <d v="2025-03-11T17:00:00"/>
    <s v="Mumbai"/>
    <s v="CHICKEN__213"/>
    <x v="7"/>
    <s v="Pizza"/>
    <n v="89"/>
    <n v="0.1"/>
    <n v="80.099999999999994"/>
    <n v="7"/>
    <n v="66.118724528205703"/>
    <n v="560.70000000000005"/>
    <n v="462.83107169744"/>
    <n v="97.868928302559894"/>
    <s v="Percent-Off"/>
    <n v="623"/>
    <n v="-97.86892830256005"/>
  </r>
  <r>
    <s v="ORD840"/>
    <d v="2025-03-08T12:00:00"/>
    <s v="Hyderabad"/>
    <s v="COKE_990"/>
    <x v="8"/>
    <s v="Drinks"/>
    <n v="141"/>
    <n v="0.2"/>
    <n v="112.8"/>
    <n v="7"/>
    <n v="57.938481764673298"/>
    <n v="789.6"/>
    <n v="405.569372352713"/>
    <n v="384.030627647286"/>
    <s v="None"/>
    <n v="987"/>
    <n v="-384.03062764728702"/>
  </r>
  <r>
    <s v="ORD841"/>
    <d v="2024-11-20T07:00:00"/>
    <s v="Hyderabad"/>
    <s v="COKE_100"/>
    <x v="8"/>
    <s v="Drinks"/>
    <n v="136"/>
    <n v="0"/>
    <n v="136"/>
    <n v="4"/>
    <n v="85.458273072133096"/>
    <n v="544"/>
    <n v="341.83309228853199"/>
    <n v="202.16690771146699"/>
    <s v="None"/>
    <n v="544"/>
    <n v="-202.16690771146801"/>
  </r>
  <r>
    <s v="ORD842"/>
    <d v="2025-04-23T01:00:00"/>
    <s v="Hyderabad"/>
    <s v="MARGHERI_737"/>
    <x v="16"/>
    <s v="Pizza"/>
    <n v="165"/>
    <n v="0.1"/>
    <n v="148.5"/>
    <n v="7"/>
    <n v="73.081769886229793"/>
    <n v="1039.5"/>
    <n v="511.57238920360902"/>
    <n v="527.92761079639001"/>
    <s v="None"/>
    <n v="1155"/>
    <n v="-527.92761079639104"/>
  </r>
  <r>
    <s v="ORD843"/>
    <d v="2025-12-24T16:00:00"/>
    <s v="Delhi"/>
    <s v="BROWNIE_439"/>
    <x v="12"/>
    <s v="Dessert"/>
    <n v="184"/>
    <n v="0"/>
    <n v="184"/>
    <n v="7"/>
    <n v="95.068888774706593"/>
    <n v="1288"/>
    <n v="665.48222142294605"/>
    <n v="622.51777857705304"/>
    <s v="Coupon"/>
    <n v="1288"/>
    <n v="-622.51777857705395"/>
  </r>
  <r>
    <s v="ORD844"/>
    <d v="2025-09-30T16:00:00"/>
    <s v="Mumbai"/>
    <s v="CHICKEN__965"/>
    <x v="7"/>
    <s v="Pizza"/>
    <n v="145"/>
    <n v="0.15"/>
    <n v="123.25"/>
    <n v="7"/>
    <n v="72.336810376013901"/>
    <n v="862.75"/>
    <n v="506.35767263209698"/>
    <n v="356.392327367902"/>
    <s v="BOGO"/>
    <n v="1015"/>
    <n v="-356.39232736790302"/>
  </r>
  <r>
    <s v="ORD845"/>
    <d v="2024-02-04T11:00:00"/>
    <s v="Hyderabad"/>
    <s v="COLD_COF_659"/>
    <x v="15"/>
    <s v="Drinks"/>
    <n v="96"/>
    <n v="0.2"/>
    <n v="76.8"/>
    <n v="2"/>
    <n v="41.945258519080298"/>
    <n v="153.6"/>
    <n v="83.890517038160695"/>
    <n v="69.709482961839299"/>
    <s v="Coupon"/>
    <n v="192"/>
    <n v="-69.709482961839299"/>
  </r>
  <r>
    <s v="ORD846"/>
    <d v="2024-10-24T19:00:00"/>
    <s v="Hyderabad"/>
    <s v="CHICKEN__865"/>
    <x v="14"/>
    <s v="Burger"/>
    <n v="153"/>
    <n v="0"/>
    <n v="153"/>
    <n v="6"/>
    <n v="107.39625497574301"/>
    <n v="918"/>
    <n v="644.37752985446105"/>
    <n v="273.62247014553799"/>
    <s v="Coupon"/>
    <n v="918"/>
    <n v="-273.62247014553895"/>
  </r>
  <r>
    <s v="ORD847"/>
    <d v="2024-07-04T11:00:00"/>
    <s v="Delhi"/>
    <s v="MARGHERI_919"/>
    <x v="16"/>
    <s v="Pizza"/>
    <n v="338"/>
    <n v="0"/>
    <n v="338"/>
    <n v="5"/>
    <n v="223.71604866118199"/>
    <n v="1690"/>
    <n v="1118.58024330591"/>
    <n v="571.41975669408896"/>
    <s v="Percent-Off"/>
    <n v="1690"/>
    <n v="-571.41975669408998"/>
  </r>
  <r>
    <s v="ORD848"/>
    <d v="2025-10-01T07:00:00"/>
    <s v="Hyderabad"/>
    <s v="COLD_COF_933"/>
    <x v="15"/>
    <s v="Drinks"/>
    <n v="235"/>
    <n v="0.15"/>
    <n v="199.75"/>
    <n v="3"/>
    <n v="129.195983267945"/>
    <n v="599.25"/>
    <n v="387.58794980383601"/>
    <n v="211.66205019616299"/>
    <s v="Coupon"/>
    <n v="705"/>
    <n v="-211.66205019616399"/>
  </r>
  <r>
    <s v="ORD849"/>
    <d v="2025-07-22T03:00:00"/>
    <s v="Chennai"/>
    <s v="PEPPY_PA_935"/>
    <x v="10"/>
    <s v="Pizza"/>
    <n v="95"/>
    <n v="0.2"/>
    <n v="76"/>
    <n v="2"/>
    <n v="60.0568068143033"/>
    <n v="152"/>
    <n v="120.113613628606"/>
    <n v="31.886386371393201"/>
    <s v="None"/>
    <n v="190"/>
    <n v="-31.886386371393996"/>
  </r>
  <r>
    <s v="ORD850"/>
    <d v="2024-09-05T07:00:00"/>
    <s v="Delhi"/>
    <s v="CHEESE_B_423"/>
    <x v="5"/>
    <s v="Burger"/>
    <n v="191"/>
    <n v="0.05"/>
    <n v="181.45"/>
    <n v="5"/>
    <n v="121.80173541295601"/>
    <n v="907.25"/>
    <n v="609.008677064783"/>
    <n v="298.24132293521598"/>
    <s v="None"/>
    <n v="955"/>
    <n v="-298.241322935217"/>
  </r>
  <r>
    <s v="ORD851"/>
    <d v="2024-01-06T06:00:00"/>
    <s v="Chennai"/>
    <s v="COKE_616"/>
    <x v="8"/>
    <s v="Drinks"/>
    <n v="179"/>
    <n v="0"/>
    <n v="179"/>
    <n v="1"/>
    <n v="107.13061352690301"/>
    <n v="179"/>
    <n v="107.13061352690301"/>
    <n v="71.869386473096796"/>
    <s v="None"/>
    <n v="179"/>
    <n v="-71.869386473096995"/>
  </r>
  <r>
    <s v="ORD852"/>
    <d v="2025-01-01T11:00:00"/>
    <s v="Chennai"/>
    <s v="GARLIC_B_510"/>
    <x v="4"/>
    <s v="Snacks"/>
    <n v="212"/>
    <n v="0.05"/>
    <n v="201.39999999999901"/>
    <n v="5"/>
    <n v="156.31527046016299"/>
    <n v="1006.99999999999"/>
    <n v="781.57635230081496"/>
    <n v="225.42364769918399"/>
    <s v="None"/>
    <n v="1060"/>
    <n v="-225.42364769917504"/>
  </r>
  <r>
    <s v="ORD853"/>
    <d v="2025-04-30T01:00:00"/>
    <s v="Bangalore"/>
    <s v="SPRITE_539"/>
    <x v="3"/>
    <s v="Drinks"/>
    <n v="213"/>
    <n v="0.1"/>
    <n v="191.7"/>
    <n v="5"/>
    <n v="86.855219708244206"/>
    <n v="958.5"/>
    <n v="434.27609854122102"/>
    <n v="524.22390145877796"/>
    <s v="BOGO"/>
    <n v="1065"/>
    <n v="-524.22390145877898"/>
  </r>
  <r>
    <s v="ORD854"/>
    <d v="2024-10-26T20:00:00"/>
    <s v="Mumbai"/>
    <s v="COLD_COF_133"/>
    <x v="15"/>
    <s v="Drinks"/>
    <n v="211"/>
    <n v="0"/>
    <n v="211"/>
    <n v="3"/>
    <n v="97.785331372482105"/>
    <n v="633"/>
    <n v="293.35599411744602"/>
    <n v="339.64400588255302"/>
    <s v="None"/>
    <n v="633"/>
    <n v="-339.64400588255398"/>
  </r>
  <r>
    <s v="ORD855"/>
    <d v="2025-04-26T15:00:00"/>
    <s v="Chennai"/>
    <s v="GULAB_JA_714"/>
    <x v="11"/>
    <s v="Dessert"/>
    <n v="305"/>
    <n v="0.1"/>
    <n v="274.5"/>
    <n v="1"/>
    <n v="173.34051666299899"/>
    <n v="274.5"/>
    <n v="173.34051666299899"/>
    <n v="101.159483337"/>
    <s v="None"/>
    <n v="305"/>
    <n v="-101.15948333700101"/>
  </r>
  <r>
    <s v="ORD856"/>
    <d v="2024-05-20T08:00:00"/>
    <s v="Hyderabad"/>
    <s v="SPRITE_745"/>
    <x v="3"/>
    <s v="Drinks"/>
    <n v="147"/>
    <n v="0.15"/>
    <n v="124.95"/>
    <n v="2"/>
    <n v="83.824849265173498"/>
    <n v="249.9"/>
    <n v="167.649698530347"/>
    <n v="82.250301469652797"/>
    <s v="Bundle"/>
    <n v="294"/>
    <n v="-82.25030146965301"/>
  </r>
  <r>
    <s v="ORD857"/>
    <d v="2024-06-07T05:00:00"/>
    <s v="Pune"/>
    <s v="CHICKEN__984"/>
    <x v="14"/>
    <s v="Burger"/>
    <n v="254"/>
    <n v="0"/>
    <n v="254"/>
    <n v="1"/>
    <n v="101.761089810976"/>
    <n v="254"/>
    <n v="101.761089810976"/>
    <n v="152.23891018902299"/>
    <s v="None"/>
    <n v="254"/>
    <n v="-152.23891018902401"/>
  </r>
  <r>
    <s v="ORD858"/>
    <d v="2025-09-21T18:00:00"/>
    <s v="Hyderabad"/>
    <s v="CHICKEN__937"/>
    <x v="14"/>
    <s v="Burger"/>
    <n v="96"/>
    <n v="0"/>
    <n v="96"/>
    <n v="2"/>
    <n v="49.498338301911097"/>
    <n v="192"/>
    <n v="98.996676603822195"/>
    <n v="93.003323396177706"/>
    <s v="None"/>
    <n v="192"/>
    <n v="-93.003323396177805"/>
  </r>
  <r>
    <s v="ORD859"/>
    <d v="2025-07-25T14:00:00"/>
    <s v="Bangalore"/>
    <s v="ICE_CREA_579"/>
    <x v="6"/>
    <s v="Dessert"/>
    <n v="297"/>
    <n v="0.05"/>
    <n v="282.14999999999998"/>
    <n v="5"/>
    <n v="148.90212215052199"/>
    <n v="1410.75"/>
    <n v="744.51061075260998"/>
    <n v="666.239389247389"/>
    <s v="None"/>
    <n v="1485"/>
    <n v="-666.23938924739002"/>
  </r>
  <r>
    <s v="ORD860"/>
    <d v="2024-03-15T16:00:00"/>
    <s v="Chennai"/>
    <s v="COKE_547"/>
    <x v="8"/>
    <s v="Drinks"/>
    <n v="97"/>
    <n v="0"/>
    <n v="97"/>
    <n v="2"/>
    <n v="61.345316414734299"/>
    <n v="194"/>
    <n v="122.690632829468"/>
    <n v="71.309367170531203"/>
    <s v="Percent-Off"/>
    <n v="194"/>
    <n v="-71.309367170531999"/>
  </r>
  <r>
    <s v="ORD861"/>
    <d v="2025-04-05T13:00:00"/>
    <s v="Pune"/>
    <s v="SPRITE_512"/>
    <x v="3"/>
    <s v="Drinks"/>
    <n v="345"/>
    <n v="0.2"/>
    <n v="276"/>
    <n v="7"/>
    <n v="229.861686487724"/>
    <n v="1932"/>
    <n v="1609.03180541406"/>
    <n v="322.96819458593001"/>
    <s v="Coupon"/>
    <n v="2415"/>
    <n v="-322.96819458593995"/>
  </r>
  <r>
    <s v="ORD862"/>
    <d v="2024-05-24T20:00:00"/>
    <s v="Mumbai"/>
    <s v="VEG_BURG_416"/>
    <x v="0"/>
    <s v="Burger"/>
    <n v="191"/>
    <n v="0.15"/>
    <n v="162.35"/>
    <n v="7"/>
    <n v="96.128027303319399"/>
    <n v="1136.45"/>
    <n v="672.89619112323601"/>
    <n v="463.55380887676301"/>
    <s v="Percent-Off"/>
    <n v="1337"/>
    <n v="-463.55380887676404"/>
  </r>
  <r>
    <s v="ORD863"/>
    <d v="2024-05-22T09:00:00"/>
    <s v="Bangalore"/>
    <s v="CLUB_SAN_636"/>
    <x v="13"/>
    <s v="Sandwich"/>
    <n v="342"/>
    <n v="0"/>
    <n v="342"/>
    <n v="7"/>
    <n v="178.68248699859299"/>
    <n v="2394"/>
    <n v="1250.77740899015"/>
    <n v="1143.22259100984"/>
    <s v="None"/>
    <n v="2394"/>
    <n v="-1143.22259100985"/>
  </r>
  <r>
    <s v="ORD864"/>
    <d v="2024-03-09T13:00:00"/>
    <s v="Pune"/>
    <s v="GRILLED__704"/>
    <x v="1"/>
    <s v="Sandwich"/>
    <n v="259"/>
    <n v="0"/>
    <n v="259"/>
    <n v="5"/>
    <n v="151.35072942929901"/>
    <n v="1295"/>
    <n v="756.75364714649595"/>
    <n v="538.24635285350303"/>
    <s v="None"/>
    <n v="1295"/>
    <n v="-538.24635285350405"/>
  </r>
  <r>
    <s v="ORD865"/>
    <d v="2025-09-06T19:00:00"/>
    <s v="Delhi"/>
    <s v="GULAB_JA_725"/>
    <x v="11"/>
    <s v="Dessert"/>
    <n v="148"/>
    <n v="0"/>
    <n v="148"/>
    <n v="6"/>
    <n v="67.107692923212596"/>
    <n v="888"/>
    <n v="402.64615753927501"/>
    <n v="485.35384246072402"/>
    <s v="Coupon"/>
    <n v="888"/>
    <n v="-485.35384246072499"/>
  </r>
  <r>
    <s v="ORD866"/>
    <d v="2024-05-08T00:00:00"/>
    <s v="Pune"/>
    <s v="MARGHERI_998"/>
    <x v="16"/>
    <s v="Pizza"/>
    <n v="133"/>
    <n v="0.15"/>
    <n v="113.05"/>
    <n v="3"/>
    <n v="63.261122063073302"/>
    <n v="339.15"/>
    <n v="189.78336618922"/>
    <n v="149.36663381077901"/>
    <s v="Percent-Off"/>
    <n v="399"/>
    <n v="-149.36663381077997"/>
  </r>
  <r>
    <s v="ORD867"/>
    <d v="2024-03-18T06:00:00"/>
    <s v="Mumbai"/>
    <s v="ONION_RI_915"/>
    <x v="17"/>
    <s v="Snacks"/>
    <n v="301"/>
    <n v="0"/>
    <n v="301"/>
    <n v="4"/>
    <n v="146.44305927934201"/>
    <n v="1204"/>
    <n v="585.77223711736804"/>
    <n v="618.22776288263105"/>
    <s v="None"/>
    <n v="1204"/>
    <n v="-618.22776288263196"/>
  </r>
  <r>
    <s v="ORD868"/>
    <d v="2024-07-13T06:00:00"/>
    <s v="Mumbai"/>
    <s v="CHICKEN__751"/>
    <x v="7"/>
    <s v="Pizza"/>
    <n v="87"/>
    <n v="0.2"/>
    <n v="69.599999999999994"/>
    <n v="6"/>
    <n v="40.386292590907402"/>
    <n v="417.6"/>
    <n v="242.31775554544399"/>
    <n v="175.28224445455501"/>
    <s v="None"/>
    <n v="522"/>
    <n v="-175.28224445455604"/>
  </r>
  <r>
    <s v="ORD869"/>
    <d v="2024-09-28T10:00:00"/>
    <s v="Delhi"/>
    <s v="COLD_COF_426"/>
    <x v="15"/>
    <s v="Drinks"/>
    <n v="153"/>
    <n v="0.15"/>
    <n v="130.04999999999899"/>
    <n v="4"/>
    <n v="86.910759563710897"/>
    <n v="520.19999999999902"/>
    <n v="347.64303825484302"/>
    <n v="172.556961745156"/>
    <s v="None"/>
    <n v="612"/>
    <n v="-172.556961745156"/>
  </r>
  <r>
    <s v="ORD870"/>
    <d v="2024-04-22T20:00:00"/>
    <s v="Bangalore"/>
    <s v="CHEESE_B_283"/>
    <x v="5"/>
    <s v="Burger"/>
    <n v="281"/>
    <n v="0.25"/>
    <n v="210.75"/>
    <n v="4"/>
    <n v="185.39546924706301"/>
    <n v="843"/>
    <n v="741.58187698825304"/>
    <n v="101.418123011746"/>
    <s v="None"/>
    <n v="1124"/>
    <n v="-101.41812301174696"/>
  </r>
  <r>
    <s v="ORD871"/>
    <d v="2025-05-02T06:00:00"/>
    <s v="Mumbai"/>
    <s v="COKE_598"/>
    <x v="8"/>
    <s v="Drinks"/>
    <n v="344"/>
    <n v="0"/>
    <n v="344"/>
    <n v="3"/>
    <n v="177.25711927091899"/>
    <n v="1032"/>
    <n v="531.77135781275899"/>
    <n v="500.22864218723998"/>
    <s v="Percent-Off"/>
    <n v="1032"/>
    <n v="-500.22864218724101"/>
  </r>
  <r>
    <s v="ORD872"/>
    <d v="2025-01-31T20:00:00"/>
    <s v="Pune"/>
    <s v="ICE_CREA_864"/>
    <x v="6"/>
    <s v="Dessert"/>
    <n v="99"/>
    <n v="0.15"/>
    <n v="84.149999999999906"/>
    <n v="4"/>
    <n v="42.832770692269101"/>
    <n v="336.599999999999"/>
    <n v="171.331082769076"/>
    <n v="165.26891723092299"/>
    <s v="Percent-Off"/>
    <n v="396"/>
    <n v="-165.26891723092299"/>
  </r>
  <r>
    <s v="ORD873"/>
    <d v="2024-09-26T00:00:00"/>
    <s v="Mumbai"/>
    <s v="COKE_236"/>
    <x v="8"/>
    <s v="Drinks"/>
    <n v="247"/>
    <n v="0.15"/>
    <n v="209.95"/>
    <n v="2"/>
    <n v="170.42644094082101"/>
    <n v="419.9"/>
    <n v="340.85288188164202"/>
    <n v="79.047118118357105"/>
    <s v="Coupon"/>
    <n v="494"/>
    <n v="-79.047118118357957"/>
  </r>
  <r>
    <s v="ORD874"/>
    <d v="2024-06-24T12:00:00"/>
    <s v="Bangalore"/>
    <s v="GRILLED__886"/>
    <x v="1"/>
    <s v="Sandwich"/>
    <n v="84"/>
    <n v="0"/>
    <n v="84"/>
    <n v="4"/>
    <n v="56.069116816309702"/>
    <n v="336"/>
    <n v="224.27646726523901"/>
    <n v="111.72353273476"/>
    <s v="BOGO"/>
    <n v="336"/>
    <n v="-111.72353273476099"/>
  </r>
  <r>
    <s v="ORD875"/>
    <d v="2025-07-05T00:00:00"/>
    <s v="Mumbai"/>
    <s v="COLD_COF_422"/>
    <x v="15"/>
    <s v="Drinks"/>
    <n v="249"/>
    <n v="0"/>
    <n v="249"/>
    <n v="2"/>
    <n v="102.14222376623"/>
    <n v="498"/>
    <n v="204.284447532461"/>
    <n v="293.71555246753798"/>
    <s v="None"/>
    <n v="498"/>
    <n v="-293.715552467539"/>
  </r>
  <r>
    <s v="ORD876"/>
    <d v="2024-11-28T02:00:00"/>
    <s v="Hyderabad"/>
    <s v="CHICKEN__586"/>
    <x v="14"/>
    <s v="Burger"/>
    <n v="168"/>
    <n v="0.15"/>
    <n v="142.79999999999899"/>
    <n v="4"/>
    <n v="70.682330357320495"/>
    <n v="571.19999999999902"/>
    <n v="282.72932142928198"/>
    <n v="288.47067857071698"/>
    <s v="None"/>
    <n v="672"/>
    <n v="-288.47067857071704"/>
  </r>
  <r>
    <s v="ORD877"/>
    <d v="2025-12-06T00:00:00"/>
    <s v="Hyderabad"/>
    <s v="MARGHERI_967"/>
    <x v="16"/>
    <s v="Pizza"/>
    <n v="173"/>
    <n v="0"/>
    <n v="173"/>
    <n v="5"/>
    <n v="76.825705815426105"/>
    <n v="865"/>
    <n v="384.12852907713"/>
    <n v="480.87147092286898"/>
    <s v="Percent-Off"/>
    <n v="865"/>
    <n v="-480.87147092287"/>
  </r>
  <r>
    <s v="ORD878"/>
    <d v="2024-03-08T17:00:00"/>
    <s v="Hyderabad"/>
    <s v="VEG_SAND_683"/>
    <x v="9"/>
    <s v="Sandwich"/>
    <n v="324"/>
    <n v="0.1"/>
    <n v="291.60000000000002"/>
    <n v="2"/>
    <n v="174.778612913508"/>
    <n v="583.20000000000005"/>
    <n v="349.55722582701702"/>
    <n v="233.642774172982"/>
    <s v="None"/>
    <n v="648"/>
    <n v="-233.64277417298302"/>
  </r>
  <r>
    <s v="ORD879"/>
    <d v="2025-03-05T18:00:00"/>
    <s v="Mumbai"/>
    <s v="VEG_BURG_472"/>
    <x v="0"/>
    <s v="Burger"/>
    <n v="136"/>
    <n v="0.1"/>
    <n v="122.4"/>
    <n v="4"/>
    <n v="60.346182991254103"/>
    <n v="489.6"/>
    <n v="241.38473196501599"/>
    <n v="248.21526803498301"/>
    <s v="Percent-Off"/>
    <n v="544"/>
    <n v="-248.21526803498404"/>
  </r>
  <r>
    <s v="ORD880"/>
    <d v="2024-11-28T05:00:00"/>
    <s v="Mumbai"/>
    <s v="GRILLED__355"/>
    <x v="1"/>
    <s v="Sandwich"/>
    <n v="187"/>
    <n v="0.1"/>
    <n v="168.3"/>
    <n v="3"/>
    <n v="129.39437533126801"/>
    <n v="504.9"/>
    <n v="388.18312599380499"/>
    <n v="116.716874006194"/>
    <s v="BOGO"/>
    <n v="561"/>
    <n v="-116.71687400619498"/>
  </r>
  <r>
    <s v="ORD881"/>
    <d v="2024-12-23T09:00:00"/>
    <s v="Delhi"/>
    <s v="GRILLED__860"/>
    <x v="1"/>
    <s v="Sandwich"/>
    <n v="314"/>
    <n v="0.25"/>
    <n v="235.5"/>
    <n v="5"/>
    <n v="131.28025622223299"/>
    <n v="1177.5"/>
    <n v="656.40128111116701"/>
    <n v="521.09871888883299"/>
    <s v="Percent-Off"/>
    <n v="1570"/>
    <n v="-521.09871888883299"/>
  </r>
  <r>
    <s v="ORD882"/>
    <d v="2024-12-02T06:00:00"/>
    <s v="Hyderabad"/>
    <s v="SPRITE_948"/>
    <x v="3"/>
    <s v="Drinks"/>
    <n v="292"/>
    <n v="0.15"/>
    <n v="248.2"/>
    <n v="4"/>
    <n v="162.51737400528401"/>
    <n v="992.8"/>
    <n v="650.06949602113696"/>
    <n v="342.73050397886198"/>
    <s v="Coupon"/>
    <n v="1168"/>
    <n v="-342.730503978863"/>
  </r>
  <r>
    <s v="ORD883"/>
    <d v="2024-12-27T02:00:00"/>
    <s v="Mumbai"/>
    <s v="GRILLED__198"/>
    <x v="1"/>
    <s v="Sandwich"/>
    <n v="144"/>
    <n v="0.1"/>
    <n v="129.6"/>
    <n v="7"/>
    <n v="77.603225411687603"/>
    <n v="907.19999999999902"/>
    <n v="543.22257788181298"/>
    <n v="363.97742211818598"/>
    <s v="None"/>
    <n v="1008"/>
    <n v="-363.97742211818604"/>
  </r>
  <r>
    <s v="ORD884"/>
    <d v="2024-05-30T00:00:00"/>
    <s v="Bangalore"/>
    <s v="PEPPY_PA_629"/>
    <x v="10"/>
    <s v="Pizza"/>
    <n v="218"/>
    <n v="0"/>
    <n v="218"/>
    <n v="3"/>
    <n v="99.454020072582196"/>
    <n v="654"/>
    <n v="298.36206021774598"/>
    <n v="355.637939782253"/>
    <s v="None"/>
    <n v="654"/>
    <n v="-355.63793978225402"/>
  </r>
  <r>
    <s v="ORD885"/>
    <d v="2024-10-09T15:00:00"/>
    <s v="Hyderabad"/>
    <s v="CHICKEN__703"/>
    <x v="7"/>
    <s v="Pizza"/>
    <n v="219"/>
    <n v="0.2"/>
    <n v="175.2"/>
    <n v="7"/>
    <n v="125.274565410009"/>
    <n v="1226.4000000000001"/>
    <n v="876.92195787006597"/>
    <n v="349.47804212993299"/>
    <s v="None"/>
    <n v="1533"/>
    <n v="-349.47804212993412"/>
  </r>
  <r>
    <s v="ORD886"/>
    <d v="2025-07-05T02:00:00"/>
    <s v="Bangalore"/>
    <s v="COLD_COF_839"/>
    <x v="15"/>
    <s v="Drinks"/>
    <n v="317"/>
    <n v="0.15"/>
    <n v="269.45"/>
    <n v="6"/>
    <n v="234.37233530601199"/>
    <n v="1616.69999999999"/>
    <n v="1406.2340118360701"/>
    <n v="210.465988163925"/>
    <s v="None"/>
    <n v="1902"/>
    <n v="-210.46598816391997"/>
  </r>
  <r>
    <s v="ORD887"/>
    <d v="2025-01-16T02:00:00"/>
    <s v="Chennai"/>
    <s v="GARLIC_B_269"/>
    <x v="4"/>
    <s v="Snacks"/>
    <n v="247"/>
    <n v="0.1"/>
    <n v="222.3"/>
    <n v="7"/>
    <n v="130.52656793923401"/>
    <n v="1556.1"/>
    <n v="913.68597557464"/>
    <n v="642.414024425359"/>
    <s v="Percent-Off"/>
    <n v="1729"/>
    <n v="-642.41402442535991"/>
  </r>
  <r>
    <s v="ORD888"/>
    <d v="2024-07-26T03:00:00"/>
    <s v="Hyderabad"/>
    <s v="CHEESE_B_649"/>
    <x v="5"/>
    <s v="Burger"/>
    <n v="213"/>
    <n v="0"/>
    <n v="213"/>
    <n v="5"/>
    <n v="90.155571857093705"/>
    <n v="1065"/>
    <n v="450.77785928546803"/>
    <n v="614.22214071453095"/>
    <s v="Coupon"/>
    <n v="1065"/>
    <n v="-614.22214071453197"/>
  </r>
  <r>
    <s v="ORD889"/>
    <d v="2025-07-16T02:00:00"/>
    <s v="Hyderabad"/>
    <s v="ONION_RI_107"/>
    <x v="17"/>
    <s v="Snacks"/>
    <n v="114"/>
    <n v="0.1"/>
    <n v="102.6"/>
    <n v="4"/>
    <n v="83.714186454664997"/>
    <n v="410.4"/>
    <n v="334.85674581865999"/>
    <n v="75.543254181339904"/>
    <s v="Coupon"/>
    <n v="456"/>
    <n v="-75.543254181339989"/>
  </r>
  <r>
    <s v="ORD890"/>
    <d v="2025-06-23T15:00:00"/>
    <s v="Mumbai"/>
    <s v="COLD_COF_722"/>
    <x v="15"/>
    <s v="Drinks"/>
    <n v="303"/>
    <n v="0.1"/>
    <n v="272.7"/>
    <n v="6"/>
    <n v="188.05367940169501"/>
    <n v="1636.19999999999"/>
    <n v="1128.32207641017"/>
    <n v="507.87792358982699"/>
    <s v="None"/>
    <n v="1818"/>
    <n v="-507.87792358982006"/>
  </r>
  <r>
    <s v="ORD891"/>
    <d v="2025-05-28T00:00:00"/>
    <s v="Chennai"/>
    <s v="ONION_RI_110"/>
    <x v="17"/>
    <s v="Snacks"/>
    <n v="84"/>
    <n v="0"/>
    <n v="84"/>
    <n v="1"/>
    <n v="34.493159650661198"/>
    <n v="84"/>
    <n v="34.493159650661198"/>
    <n v="49.506840349338802"/>
    <s v="None"/>
    <n v="84"/>
    <n v="-49.506840349338802"/>
  </r>
  <r>
    <s v="ORD892"/>
    <d v="2024-03-23T22:00:00"/>
    <s v="Chennai"/>
    <s v="SPRITE_894"/>
    <x v="3"/>
    <s v="Drinks"/>
    <n v="307"/>
    <n v="0"/>
    <n v="307"/>
    <n v="3"/>
    <n v="194.71167459768299"/>
    <n v="921"/>
    <n v="584.13502379304896"/>
    <n v="336.86497620695002"/>
    <s v="None"/>
    <n v="921"/>
    <n v="-336.86497620695104"/>
  </r>
  <r>
    <s v="ORD893"/>
    <d v="2024-08-08T19:00:00"/>
    <s v="Chennai"/>
    <s v="COKE_747"/>
    <x v="8"/>
    <s v="Drinks"/>
    <n v="313"/>
    <n v="0"/>
    <n v="313"/>
    <n v="6"/>
    <n v="153.82852577532501"/>
    <n v="1878"/>
    <n v="922.97115465195395"/>
    <n v="955.02884534804502"/>
    <s v="None"/>
    <n v="1878"/>
    <n v="-955.02884534804605"/>
  </r>
  <r>
    <s v="ORD894"/>
    <d v="2025-06-25T13:00:00"/>
    <s v="Pune"/>
    <s v="VEG_BURG_556"/>
    <x v="0"/>
    <s v="Burger"/>
    <n v="214"/>
    <n v="0.25"/>
    <n v="160.5"/>
    <n v="1"/>
    <n v="137.64207266739101"/>
    <n v="160.5"/>
    <n v="137.64207266739101"/>
    <n v="22.857927332608099"/>
    <s v="Percent-Off"/>
    <n v="214"/>
    <n v="-22.857927332608995"/>
  </r>
  <r>
    <s v="ORD895"/>
    <d v="2025-07-15T08:00:00"/>
    <s v="Delhi"/>
    <s v="SPRITE_793"/>
    <x v="3"/>
    <s v="Drinks"/>
    <n v="167"/>
    <n v="0"/>
    <n v="167"/>
    <n v="5"/>
    <n v="123.03976640979501"/>
    <n v="835"/>
    <n v="615.19883204897803"/>
    <n v="219.801167951021"/>
    <s v="Percent-Off"/>
    <n v="835"/>
    <n v="-219.80116795102197"/>
  </r>
  <r>
    <s v="ORD896"/>
    <d v="2024-07-01T12:00:00"/>
    <s v="Chennai"/>
    <s v="ICE_CREA_410"/>
    <x v="6"/>
    <s v="Dessert"/>
    <n v="310"/>
    <n v="0.05"/>
    <n v="294.5"/>
    <n v="7"/>
    <n v="156.000028234719"/>
    <n v="2061.5"/>
    <n v="1092.0001976430301"/>
    <n v="969.49980235696501"/>
    <s v="None"/>
    <n v="2170"/>
    <n v="-969.49980235696989"/>
  </r>
  <r>
    <s v="ORD897"/>
    <d v="2024-07-17T05:00:00"/>
    <s v="Chennai"/>
    <s v="MARGHERI_452"/>
    <x v="16"/>
    <s v="Pizza"/>
    <n v="271"/>
    <n v="0.25"/>
    <n v="203.25"/>
    <n v="5"/>
    <n v="172.62353883371699"/>
    <n v="1016.25"/>
    <n v="863.11769416858499"/>
    <n v="153.13230583141399"/>
    <s v="BOGO"/>
    <n v="1355"/>
    <n v="-153.13230583141501"/>
  </r>
  <r>
    <s v="ORD898"/>
    <d v="2025-03-09T03:00:00"/>
    <s v="Hyderabad"/>
    <s v="CHICKEN__624"/>
    <x v="14"/>
    <s v="Burger"/>
    <n v="108"/>
    <n v="0"/>
    <n v="108"/>
    <n v="5"/>
    <n v="47.373479012180198"/>
    <n v="540"/>
    <n v="236.867395060901"/>
    <n v="303.13260493909797"/>
    <s v="None"/>
    <n v="540"/>
    <n v="-303.132604939099"/>
  </r>
  <r>
    <s v="ORD899"/>
    <d v="2025-11-07T17:00:00"/>
    <s v="Hyderabad"/>
    <s v="GULAB_JA_471"/>
    <x v="11"/>
    <s v="Dessert"/>
    <n v="279"/>
    <n v="0.1"/>
    <n v="251.1"/>
    <n v="6"/>
    <n v="202.829834656759"/>
    <n v="1506.6"/>
    <n v="1216.97900794055"/>
    <n v="289.62099205944099"/>
    <s v="BOGO"/>
    <n v="1674"/>
    <n v="-289.62099205944992"/>
  </r>
  <r>
    <s v="ORD900"/>
    <d v="2024-08-20T20:00:00"/>
    <s v="Pune"/>
    <s v="CHEESE_B_772"/>
    <x v="5"/>
    <s v="Burger"/>
    <n v="234"/>
    <n v="0.05"/>
    <n v="222.29999999999899"/>
    <n v="2"/>
    <n v="175.03218603382999"/>
    <n v="444.599999999999"/>
    <n v="350.064372067661"/>
    <n v="94.5356279323384"/>
    <s v="None"/>
    <n v="468"/>
    <n v="-94.535627932338002"/>
  </r>
  <r>
    <s v="ORD901"/>
    <d v="2025-12-23T22:00:00"/>
    <s v="Bangalore"/>
    <s v="COLD_COF_286"/>
    <x v="15"/>
    <s v="Drinks"/>
    <n v="174"/>
    <n v="0.05"/>
    <n v="165.29999999999899"/>
    <n v="2"/>
    <n v="110.105818847119"/>
    <n v="330.599999999999"/>
    <n v="220.21163769423799"/>
    <n v="110.38836230576101"/>
    <s v="BOGO"/>
    <n v="348"/>
    <n v="-110.38836230576101"/>
  </r>
  <r>
    <s v="ORD902"/>
    <d v="2024-07-25T00:00:00"/>
    <s v="Bangalore"/>
    <s v="CHEESE_B_277"/>
    <x v="5"/>
    <s v="Burger"/>
    <n v="139"/>
    <n v="0"/>
    <n v="139"/>
    <n v="5"/>
    <n v="100.500548299594"/>
    <n v="695"/>
    <n v="502.50274149797201"/>
    <n v="192.49725850202699"/>
    <s v="None"/>
    <n v="695"/>
    <n v="-192.49725850202799"/>
  </r>
  <r>
    <s v="ORD903"/>
    <d v="2025-07-12T03:00:00"/>
    <s v="Mumbai"/>
    <s v="VEG_BURG_198"/>
    <x v="0"/>
    <s v="Burger"/>
    <n v="118"/>
    <n v="0.05"/>
    <n v="112.1"/>
    <n v="5"/>
    <n v="86.679446438432393"/>
    <n v="560.5"/>
    <n v="433.39723219216199"/>
    <n v="127.102767807837"/>
    <s v="None"/>
    <n v="590"/>
    <n v="-127.10276780783801"/>
  </r>
  <r>
    <s v="ORD904"/>
    <d v="2025-12-12T08:00:00"/>
    <s v="Chennai"/>
    <s v="BROWNIE_554"/>
    <x v="12"/>
    <s v="Dessert"/>
    <n v="258"/>
    <n v="0.1"/>
    <n v="232.2"/>
    <n v="7"/>
    <n v="117.355694168216"/>
    <n v="1625.4"/>
    <n v="821.48985917751395"/>
    <n v="803.910140822485"/>
    <s v="Coupon"/>
    <n v="1806"/>
    <n v="-803.91014082248614"/>
  </r>
  <r>
    <s v="ORD905"/>
    <d v="2024-06-25T19:00:00"/>
    <s v="Pune"/>
    <s v="MARGHERI_654"/>
    <x v="16"/>
    <s v="Pizza"/>
    <n v="83"/>
    <n v="0.05"/>
    <n v="78.849999999999994"/>
    <n v="5"/>
    <n v="51.651310526497298"/>
    <n v="394.25"/>
    <n v="258.25655263248598"/>
    <n v="135.993447367513"/>
    <s v="BOGO"/>
    <n v="415"/>
    <n v="-135.99344736751402"/>
  </r>
  <r>
    <s v="ORD906"/>
    <d v="2025-02-17T04:00:00"/>
    <s v="Mumbai"/>
    <s v="SPRITE_175"/>
    <x v="3"/>
    <s v="Drinks"/>
    <n v="171"/>
    <n v="0"/>
    <n v="171"/>
    <n v="4"/>
    <n v="125.60882208962001"/>
    <n v="684"/>
    <n v="502.43528835848298"/>
    <n v="181.564711641516"/>
    <s v="Coupon"/>
    <n v="684"/>
    <n v="-181.56471164151702"/>
  </r>
  <r>
    <s v="ORD907"/>
    <d v="2025-02-20T00:00:00"/>
    <s v="Hyderabad"/>
    <s v="FRIES_754"/>
    <x v="2"/>
    <s v="Snacks"/>
    <n v="167"/>
    <n v="0.15"/>
    <n v="141.94999999999999"/>
    <n v="7"/>
    <n v="86.399980485974694"/>
    <n v="993.64999999999895"/>
    <n v="604.79986340182302"/>
    <n v="388.85013659817599"/>
    <s v="None"/>
    <n v="1169"/>
    <n v="-388.85013659817594"/>
  </r>
  <r>
    <s v="ORD908"/>
    <d v="2024-03-14T07:00:00"/>
    <s v="Hyderabad"/>
    <s v="CHEESE_B_126"/>
    <x v="5"/>
    <s v="Burger"/>
    <n v="93"/>
    <n v="0"/>
    <n v="93"/>
    <n v="7"/>
    <n v="48.808039551787999"/>
    <n v="651"/>
    <n v="341.65627686251599"/>
    <n v="309.34372313748401"/>
    <s v="None"/>
    <n v="651"/>
    <n v="-309.34372313748401"/>
  </r>
  <r>
    <s v="ORD909"/>
    <d v="2025-01-17T13:00:00"/>
    <s v="Hyderabad"/>
    <s v="COKE_974"/>
    <x v="8"/>
    <s v="Drinks"/>
    <n v="131"/>
    <n v="0.25"/>
    <n v="98.25"/>
    <n v="5"/>
    <n v="83.754202955089795"/>
    <n v="491.25"/>
    <n v="418.77101477544898"/>
    <n v="72.478985224550897"/>
    <s v="None"/>
    <n v="655"/>
    <n v="-72.478985224551025"/>
  </r>
  <r>
    <s v="ORD910"/>
    <d v="2024-04-13T10:00:00"/>
    <s v="Hyderabad"/>
    <s v="ICE_CREA_435"/>
    <x v="6"/>
    <s v="Dessert"/>
    <n v="339"/>
    <n v="0.25"/>
    <n v="254.25"/>
    <n v="3"/>
    <n v="159.57716752818999"/>
    <n v="762.75"/>
    <n v="478.73150258457002"/>
    <n v="284.01849741542901"/>
    <s v="None"/>
    <n v="1017"/>
    <n v="-284.01849741542998"/>
  </r>
  <r>
    <s v="ORD911"/>
    <d v="2024-02-09T15:00:00"/>
    <s v="Bangalore"/>
    <s v="ONION_RI_856"/>
    <x v="17"/>
    <s v="Snacks"/>
    <n v="81"/>
    <n v="0.05"/>
    <n v="76.95"/>
    <n v="2"/>
    <n v="34.380585451410099"/>
    <n v="153.9"/>
    <n v="68.761170902820297"/>
    <n v="85.138829097179595"/>
    <s v="None"/>
    <n v="162"/>
    <n v="-85.138829097179709"/>
  </r>
  <r>
    <s v="ORD912"/>
    <d v="2024-03-27T15:00:00"/>
    <s v="Delhi"/>
    <s v="BROWNIE_711"/>
    <x v="12"/>
    <s v="Dessert"/>
    <n v="291"/>
    <n v="0"/>
    <n v="291"/>
    <n v="2"/>
    <n v="194.66368609329101"/>
    <n v="582"/>
    <n v="389.32737218658201"/>
    <n v="192.67262781341699"/>
    <s v="None"/>
    <n v="582"/>
    <n v="-192.67262781341799"/>
  </r>
  <r>
    <s v="ORD913"/>
    <d v="2024-04-23T05:00:00"/>
    <s v="Pune"/>
    <s v="CHEESE_B_114"/>
    <x v="5"/>
    <s v="Burger"/>
    <n v="142"/>
    <n v="0"/>
    <n v="142"/>
    <n v="2"/>
    <n v="94.711112927927502"/>
    <n v="284"/>
    <n v="189.422225855855"/>
    <n v="94.577774144144897"/>
    <s v="Coupon"/>
    <n v="284"/>
    <n v="-94.577774144144996"/>
  </r>
  <r>
    <s v="ORD914"/>
    <d v="2025-02-07T20:00:00"/>
    <s v="Pune"/>
    <s v="COLD_COF_862"/>
    <x v="15"/>
    <s v="Drinks"/>
    <n v="181"/>
    <n v="0.1"/>
    <n v="162.9"/>
    <n v="7"/>
    <n v="113.92297646886701"/>
    <n v="1140.3"/>
    <n v="797.46083528206998"/>
    <n v="342.83916471792901"/>
    <s v="Percent-Off"/>
    <n v="1267"/>
    <n v="-342.83916471792998"/>
  </r>
  <r>
    <s v="ORD915"/>
    <d v="2024-10-31T15:00:00"/>
    <s v="Mumbai"/>
    <s v="CHEESE_B_890"/>
    <x v="5"/>
    <s v="Burger"/>
    <n v="144"/>
    <n v="0.15"/>
    <n v="122.399999999999"/>
    <n v="2"/>
    <n v="82.653301191280093"/>
    <n v="244.79999999999899"/>
    <n v="165.30660238255999"/>
    <n v="79.493397617439598"/>
    <s v="Percent-Off"/>
    <n v="288"/>
    <n v="-79.493397617439001"/>
  </r>
  <r>
    <s v="ORD916"/>
    <d v="2024-02-02T00:00:00"/>
    <s v="Pune"/>
    <s v="MARGHERI_740"/>
    <x v="16"/>
    <s v="Pizza"/>
    <n v="184"/>
    <n v="0.1"/>
    <n v="165.6"/>
    <n v="2"/>
    <n v="130.11030716750699"/>
    <n v="331.2"/>
    <n v="260.220614335015"/>
    <n v="70.979385664984306"/>
    <s v="Coupon"/>
    <n v="368"/>
    <n v="-70.979385664984989"/>
  </r>
  <r>
    <s v="ORD917"/>
    <d v="2024-08-16T18:00:00"/>
    <s v="Chennai"/>
    <s v="SPRITE_600"/>
    <x v="3"/>
    <s v="Drinks"/>
    <n v="151"/>
    <n v="0"/>
    <n v="151"/>
    <n v="2"/>
    <n v="65.563829504190196"/>
    <n v="302"/>
    <n v="131.12765900837999"/>
    <n v="170.87234099161901"/>
    <s v="None"/>
    <n v="302"/>
    <n v="-170.87234099162001"/>
  </r>
  <r>
    <s v="ORD918"/>
    <d v="2025-10-09T06:00:00"/>
    <s v="Delhi"/>
    <s v="COLD_COF_927"/>
    <x v="15"/>
    <s v="Drinks"/>
    <n v="225"/>
    <n v="0"/>
    <n v="225"/>
    <n v="2"/>
    <n v="152.98131599512499"/>
    <n v="450"/>
    <n v="305.96263199024997"/>
    <n v="144.037368009749"/>
    <s v="None"/>
    <n v="450"/>
    <n v="-144.03736800975003"/>
  </r>
  <r>
    <s v="ORD919"/>
    <d v="2024-10-03T21:00:00"/>
    <s v="Chennai"/>
    <s v="CHICKEN__227"/>
    <x v="7"/>
    <s v="Pizza"/>
    <n v="325"/>
    <n v="0.15"/>
    <n v="276.25"/>
    <n v="6"/>
    <n v="231.760508093673"/>
    <n v="1657.5"/>
    <n v="1390.56304856203"/>
    <n v="266.936951437961"/>
    <s v="Bundle"/>
    <n v="1950"/>
    <n v="-266.93695143797004"/>
  </r>
  <r>
    <s v="ORD920"/>
    <d v="2024-08-06T00:00:00"/>
    <s v="Bangalore"/>
    <s v="COLD_COF_210"/>
    <x v="15"/>
    <s v="Drinks"/>
    <n v="207"/>
    <n v="0.2"/>
    <n v="165.6"/>
    <n v="2"/>
    <n v="119.378180353655"/>
    <n v="331.2"/>
    <n v="238.75636070730999"/>
    <n v="92.443639292689994"/>
    <s v="None"/>
    <n v="414"/>
    <n v="-92.443639292689994"/>
  </r>
  <r>
    <s v="ORD921"/>
    <d v="2025-04-23T13:00:00"/>
    <s v="Delhi"/>
    <s v="MARGHERI_197"/>
    <x v="16"/>
    <s v="Pizza"/>
    <n v="303"/>
    <n v="0.05"/>
    <n v="287.849999999999"/>
    <n v="5"/>
    <n v="179.89764315458501"/>
    <n v="1439.24999999999"/>
    <n v="899.48821577292597"/>
    <n v="539.76178422707301"/>
    <s v="None"/>
    <n v="1515"/>
    <n v="-539.76178422706403"/>
  </r>
  <r>
    <s v="ORD922"/>
    <d v="2024-08-29T13:00:00"/>
    <s v="Bangalore"/>
    <s v="CHEESE_B_797"/>
    <x v="5"/>
    <s v="Burger"/>
    <n v="139"/>
    <n v="0.1"/>
    <n v="125.1"/>
    <n v="5"/>
    <n v="65.181794109654305"/>
    <n v="625.5"/>
    <n v="325.90897054827099"/>
    <n v="299.59102945172799"/>
    <s v="None"/>
    <n v="695"/>
    <n v="-299.59102945172901"/>
  </r>
  <r>
    <s v="ORD923"/>
    <d v="2025-05-29T06:00:00"/>
    <s v="Mumbai"/>
    <s v="PEPPY_PA_208"/>
    <x v="10"/>
    <s v="Pizza"/>
    <n v="332"/>
    <n v="0.1"/>
    <n v="298.8"/>
    <n v="4"/>
    <n v="156.45082771238501"/>
    <n v="1195.2"/>
    <n v="625.80331084954298"/>
    <n v="569.39668915045695"/>
    <s v="None"/>
    <n v="1328"/>
    <n v="-569.39668915045706"/>
  </r>
  <r>
    <s v="ORD924"/>
    <d v="2024-11-30T22:00:00"/>
    <s v="Mumbai"/>
    <s v="SPRITE_777"/>
    <x v="3"/>
    <s v="Drinks"/>
    <n v="266"/>
    <n v="0.25"/>
    <n v="199.5"/>
    <n v="3"/>
    <n v="157.99320108198401"/>
    <n v="598.5"/>
    <n v="473.97960324595198"/>
    <n v="124.520396754047"/>
    <s v="None"/>
    <n v="798"/>
    <n v="-124.52039675404802"/>
  </r>
  <r>
    <s v="ORD925"/>
    <d v="2025-10-28T18:00:00"/>
    <s v="Hyderabad"/>
    <s v="CHICKEN__410"/>
    <x v="14"/>
    <s v="Burger"/>
    <n v="289"/>
    <n v="0.2"/>
    <n v="231.2"/>
    <n v="4"/>
    <n v="137.962128074091"/>
    <n v="924.8"/>
    <n v="551.84851229636604"/>
    <n v="372.95148770363301"/>
    <s v="None"/>
    <n v="1156"/>
    <n v="-372.95148770363392"/>
  </r>
  <r>
    <s v="ORD926"/>
    <d v="2025-06-29T07:00:00"/>
    <s v="Bangalore"/>
    <s v="CHICKEN__584"/>
    <x v="14"/>
    <s v="Burger"/>
    <n v="110"/>
    <n v="0"/>
    <n v="110"/>
    <n v="4"/>
    <n v="49.713465314719201"/>
    <n v="440"/>
    <n v="198.853861258877"/>
    <n v="241.146138741122"/>
    <s v="Percent-Off"/>
    <n v="440"/>
    <n v="-241.146138741123"/>
  </r>
  <r>
    <s v="ORD927"/>
    <d v="2024-07-22T01:00:00"/>
    <s v="Pune"/>
    <s v="VEG_BURG_650"/>
    <x v="0"/>
    <s v="Burger"/>
    <n v="107"/>
    <n v="0.1"/>
    <n v="96.3"/>
    <n v="6"/>
    <n v="46.055886547924899"/>
    <n v="577.79999999999995"/>
    <n v="276.335319287549"/>
    <n v="301.46468071244999"/>
    <s v="None"/>
    <n v="642"/>
    <n v="-301.46468071245096"/>
  </r>
  <r>
    <s v="ORD928"/>
    <d v="2024-03-02T17:00:00"/>
    <s v="Mumbai"/>
    <s v="MARGHERI_678"/>
    <x v="16"/>
    <s v="Pizza"/>
    <n v="209"/>
    <n v="0"/>
    <n v="209"/>
    <n v="2"/>
    <n v="84.033345387960196"/>
    <n v="418"/>
    <n v="168.06669077591999"/>
    <n v="249.93330922407901"/>
    <s v="None"/>
    <n v="418"/>
    <n v="-249.93330922408001"/>
  </r>
  <r>
    <s v="ORD929"/>
    <d v="2025-02-24T13:00:00"/>
    <s v="Chennai"/>
    <s v="CHICKEN__207"/>
    <x v="7"/>
    <s v="Pizza"/>
    <n v="312"/>
    <n v="0.2"/>
    <n v="249.6"/>
    <n v="6"/>
    <n v="150.708176511359"/>
    <n v="1497.6"/>
    <n v="904.24905906815604"/>
    <n v="593.35094093184296"/>
    <s v="Coupon"/>
    <n v="1872"/>
    <n v="-593.35094093184387"/>
  </r>
  <r>
    <s v="ORD930"/>
    <d v="2025-08-23T22:00:00"/>
    <s v="Pune"/>
    <s v="CLUB_SAN_838"/>
    <x v="13"/>
    <s v="Sandwich"/>
    <n v="180"/>
    <n v="0.2"/>
    <n v="144"/>
    <n v="4"/>
    <n v="117.184811553656"/>
    <n v="576"/>
    <n v="468.73924621462498"/>
    <n v="107.26075378537401"/>
    <s v="Percent-Off"/>
    <n v="720"/>
    <n v="-107.26075378537502"/>
  </r>
  <r>
    <s v="ORD931"/>
    <d v="2025-11-15T22:00:00"/>
    <s v="Delhi"/>
    <s v="CHICKEN__391"/>
    <x v="7"/>
    <s v="Pizza"/>
    <n v="112"/>
    <n v="0"/>
    <n v="112"/>
    <n v="4"/>
    <n v="79.427308280066399"/>
    <n v="448"/>
    <n v="317.70923312026503"/>
    <n v="130.29076687973401"/>
    <s v="None"/>
    <n v="448"/>
    <n v="-130.29076687973497"/>
  </r>
  <r>
    <s v="ORD932"/>
    <d v="2024-11-14T11:00:00"/>
    <s v="Delhi"/>
    <s v="ICE_CREA_855"/>
    <x v="6"/>
    <s v="Dessert"/>
    <n v="304"/>
    <n v="0"/>
    <n v="304"/>
    <n v="4"/>
    <n v="198.678537004655"/>
    <n v="1216"/>
    <n v="794.71414801861999"/>
    <n v="421.28585198137898"/>
    <s v="None"/>
    <n v="1216"/>
    <n v="-421.28585198138001"/>
  </r>
  <r>
    <s v="ORD933"/>
    <d v="2025-10-16T12:00:00"/>
    <s v="Chennai"/>
    <s v="PEPPY_PA_895"/>
    <x v="10"/>
    <s v="Pizza"/>
    <n v="335"/>
    <n v="0.1"/>
    <n v="301.5"/>
    <n v="4"/>
    <n v="179.242020141533"/>
    <n v="1206"/>
    <n v="716.96808056613497"/>
    <n v="489.031919433864"/>
    <s v="None"/>
    <n v="1340"/>
    <n v="-489.03191943386503"/>
  </r>
  <r>
    <s v="ORD934"/>
    <d v="2025-04-14T15:00:00"/>
    <s v="Chennai"/>
    <s v="MARGHERI_626"/>
    <x v="16"/>
    <s v="Pizza"/>
    <n v="292"/>
    <n v="0.05"/>
    <n v="277.39999999999998"/>
    <n v="3"/>
    <n v="159.59716882732701"/>
    <n v="832.19999999999902"/>
    <n v="478.79150648198203"/>
    <n v="353.408493518017"/>
    <s v="None"/>
    <n v="876"/>
    <n v="-353.408493518017"/>
  </r>
  <r>
    <s v="ORD935"/>
    <d v="2025-12-18T08:00:00"/>
    <s v="Pune"/>
    <s v="COKE_601"/>
    <x v="8"/>
    <s v="Drinks"/>
    <n v="146"/>
    <n v="0"/>
    <n v="146"/>
    <n v="3"/>
    <n v="89.556088791928403"/>
    <n v="438"/>
    <n v="268.66826637578498"/>
    <n v="169.331733624214"/>
    <s v="BOGO"/>
    <n v="438"/>
    <n v="-169.33173362421502"/>
  </r>
  <r>
    <s v="ORD936"/>
    <d v="2025-06-09T00:00:00"/>
    <s v="Chennai"/>
    <s v="CLUB_SAN_632"/>
    <x v="13"/>
    <s v="Sandwich"/>
    <n v="146"/>
    <n v="0"/>
    <n v="146"/>
    <n v="7"/>
    <n v="69.1255242417853"/>
    <n v="1022"/>
    <n v="483.878669692497"/>
    <n v="538.12133030750203"/>
    <s v="Percent-Off"/>
    <n v="1022"/>
    <n v="-538.12133030750306"/>
  </r>
  <r>
    <s v="ORD937"/>
    <d v="2025-04-03T06:00:00"/>
    <s v="Pune"/>
    <s v="SPRITE_657"/>
    <x v="3"/>
    <s v="Drinks"/>
    <n v="314"/>
    <n v="0.2"/>
    <n v="251.2"/>
    <n v="1"/>
    <n v="128.49012016264501"/>
    <n v="251.2"/>
    <n v="128.49012016264501"/>
    <n v="122.70987983735399"/>
    <s v="Coupon"/>
    <n v="314"/>
    <n v="-122.70987983735498"/>
  </r>
  <r>
    <s v="ORD938"/>
    <d v="2025-08-18T15:00:00"/>
    <s v="Chennai"/>
    <s v="GULAB_JA_920"/>
    <x v="11"/>
    <s v="Dessert"/>
    <n v="138"/>
    <n v="0.1"/>
    <n v="124.2"/>
    <n v="4"/>
    <n v="81.052707082595603"/>
    <n v="496.8"/>
    <n v="324.21082833038201"/>
    <n v="172.589171669617"/>
    <s v="None"/>
    <n v="552"/>
    <n v="-172.589171669618"/>
  </r>
  <r>
    <s v="ORD939"/>
    <d v="2025-03-21T02:00:00"/>
    <s v="Chennai"/>
    <s v="BROWNIE_151"/>
    <x v="12"/>
    <s v="Dessert"/>
    <n v="253"/>
    <n v="0.2"/>
    <n v="202.4"/>
    <n v="4"/>
    <n v="132.30264134868801"/>
    <n v="809.6"/>
    <n v="529.21056539475398"/>
    <n v="280.38943460524501"/>
    <s v="None"/>
    <n v="1012"/>
    <n v="-280.38943460524604"/>
  </r>
  <r>
    <s v="ORD940"/>
    <d v="2025-11-13T12:00:00"/>
    <s v="Bangalore"/>
    <s v="BROWNIE_408"/>
    <x v="12"/>
    <s v="Dessert"/>
    <n v="108"/>
    <n v="0.1"/>
    <n v="97.2"/>
    <n v="7"/>
    <n v="61.941976066114698"/>
    <n v="680.4"/>
    <n v="433.59383246280299"/>
    <n v="246.80616753719599"/>
    <s v="None"/>
    <n v="756"/>
    <n v="-246.80616753719698"/>
  </r>
  <r>
    <s v="ORD941"/>
    <d v="2024-12-20T23:00:00"/>
    <s v="Mumbai"/>
    <s v="BROWNIE_567"/>
    <x v="12"/>
    <s v="Dessert"/>
    <n v="239"/>
    <n v="0"/>
    <n v="239"/>
    <n v="4"/>
    <n v="122.659751261449"/>
    <n v="956"/>
    <n v="490.63900504579601"/>
    <n v="465.36099495420302"/>
    <s v="Coupon"/>
    <n v="956"/>
    <n v="-465.36099495420399"/>
  </r>
  <r>
    <s v="ORD942"/>
    <d v="2024-05-17T12:00:00"/>
    <s v="Hyderabad"/>
    <s v="VEG_BURG_714"/>
    <x v="0"/>
    <s v="Burger"/>
    <n v="172"/>
    <n v="0.2"/>
    <n v="137.6"/>
    <n v="4"/>
    <n v="84.347514344807195"/>
    <n v="550.4"/>
    <n v="337.39005737922901"/>
    <n v="213.00994262077"/>
    <s v="Bundle"/>
    <n v="688"/>
    <n v="-213.00994262077097"/>
  </r>
  <r>
    <s v="ORD943"/>
    <d v="2024-10-07T02:00:00"/>
    <s v="Pune"/>
    <s v="PEPPY_PA_298"/>
    <x v="10"/>
    <s v="Pizza"/>
    <n v="93"/>
    <n v="0.2"/>
    <n v="74.400000000000006"/>
    <n v="2"/>
    <n v="41.20075899175"/>
    <n v="148.80000000000001"/>
    <n v="82.401517983500099"/>
    <n v="66.398482016499798"/>
    <s v="None"/>
    <n v="186"/>
    <n v="-66.398482016499912"/>
  </r>
  <r>
    <s v="ORD944"/>
    <d v="2024-10-27T18:00:00"/>
    <s v="Chennai"/>
    <s v="CHEESE_B_169"/>
    <x v="5"/>
    <s v="Burger"/>
    <n v="86"/>
    <n v="0.1"/>
    <n v="77.400000000000006"/>
    <n v="3"/>
    <n v="41.528069116358402"/>
    <n v="232.2"/>
    <n v="124.584207349075"/>
    <n v="107.61579265092401"/>
    <s v="None"/>
    <n v="258"/>
    <n v="-107.61579265092499"/>
  </r>
  <r>
    <s v="ORD945"/>
    <d v="2024-05-07T06:00:00"/>
    <s v="Pune"/>
    <s v="CHICKEN__297"/>
    <x v="7"/>
    <s v="Pizza"/>
    <n v="133"/>
    <n v="0"/>
    <n v="133"/>
    <n v="3"/>
    <n v="71.141352192425799"/>
    <n v="399"/>
    <n v="213.42405657727701"/>
    <n v="185.57594342272199"/>
    <s v="Percent-Off"/>
    <n v="399"/>
    <n v="-185.57594342272299"/>
  </r>
  <r>
    <s v="ORD946"/>
    <d v="2025-07-19T15:00:00"/>
    <s v="Pune"/>
    <s v="GULAB_JA_202"/>
    <x v="11"/>
    <s v="Dessert"/>
    <n v="263"/>
    <n v="0.15"/>
    <n v="223.54999999999899"/>
    <n v="6"/>
    <n v="176.99536039274301"/>
    <n v="1341.3"/>
    <n v="1061.9721623564501"/>
    <n v="279.32783764354002"/>
    <s v="None"/>
    <n v="1578"/>
    <n v="-279.32783764354986"/>
  </r>
  <r>
    <s v="ORD947"/>
    <d v="2024-11-28T02:00:00"/>
    <s v="Hyderabad"/>
    <s v="ICE_CREA_577"/>
    <x v="6"/>
    <s v="Dessert"/>
    <n v="324"/>
    <n v="0"/>
    <n v="324"/>
    <n v="4"/>
    <n v="163.50067236424701"/>
    <n v="1296"/>
    <n v="654.00268945698804"/>
    <n v="641.99731054301105"/>
    <s v="None"/>
    <n v="1296"/>
    <n v="-641.99731054301196"/>
  </r>
  <r>
    <s v="ORD948"/>
    <d v="2024-03-30T07:00:00"/>
    <s v="Pune"/>
    <s v="PEPPY_PA_877"/>
    <x v="10"/>
    <s v="Pizza"/>
    <n v="84"/>
    <n v="0"/>
    <n v="84"/>
    <n v="2"/>
    <n v="62.771912296916902"/>
    <n v="168"/>
    <n v="125.54382459383299"/>
    <n v="42.456175406165997"/>
    <s v="Percent-Off"/>
    <n v="168"/>
    <n v="-42.456175406167006"/>
  </r>
  <r>
    <s v="ORD949"/>
    <d v="2025-01-30T23:00:00"/>
    <s v="Pune"/>
    <s v="VEG_SAND_630"/>
    <x v="9"/>
    <s v="Sandwich"/>
    <n v="262"/>
    <n v="0"/>
    <n v="262"/>
    <n v="4"/>
    <n v="145.21817321183099"/>
    <n v="1048"/>
    <n v="580.87269284732497"/>
    <n v="467.12730715267401"/>
    <s v="Coupon"/>
    <n v="1048"/>
    <n v="-467.12730715267503"/>
  </r>
  <r>
    <s v="ORD950"/>
    <d v="2025-09-23T05:00:00"/>
    <s v="Chennai"/>
    <s v="SPRITE_625"/>
    <x v="3"/>
    <s v="Drinks"/>
    <n v="330"/>
    <n v="0.2"/>
    <n v="264"/>
    <n v="6"/>
    <n v="203.104617816901"/>
    <n v="1584"/>
    <n v="1218.6277069014"/>
    <n v="365.37229309859299"/>
    <s v="Percent-Off"/>
    <n v="1980"/>
    <n v="-365.37229309860004"/>
  </r>
  <r>
    <s v="ORD951"/>
    <d v="2025-05-22T07:00:00"/>
    <s v="Pune"/>
    <s v="CHICKEN__943"/>
    <x v="7"/>
    <s v="Pizza"/>
    <n v="107"/>
    <n v="0.15"/>
    <n v="90.95"/>
    <n v="7"/>
    <n v="66.670349047670797"/>
    <n v="636.65"/>
    <n v="466.692443333695"/>
    <n v="169.95755666630399"/>
    <s v="Coupon"/>
    <n v="749"/>
    <n v="-169.95755666630498"/>
  </r>
  <r>
    <s v="ORD952"/>
    <d v="2024-12-14T04:00:00"/>
    <s v="Pune"/>
    <s v="GULAB_JA_433"/>
    <x v="11"/>
    <s v="Dessert"/>
    <n v="329"/>
    <n v="0"/>
    <n v="329"/>
    <n v="3"/>
    <n v="222.96422240432901"/>
    <n v="987"/>
    <n v="668.89266721298895"/>
    <n v="318.10733278701002"/>
    <s v="Coupon"/>
    <n v="987"/>
    <n v="-318.10733278701105"/>
  </r>
  <r>
    <s v="ORD953"/>
    <d v="2025-09-19T22:00:00"/>
    <s v="Chennai"/>
    <s v="COKE_489"/>
    <x v="8"/>
    <s v="Drinks"/>
    <n v="176"/>
    <n v="0.05"/>
    <n v="167.2"/>
    <n v="4"/>
    <n v="112.885614547491"/>
    <n v="668.8"/>
    <n v="451.54245818996401"/>
    <n v="217.25754181003501"/>
    <s v="Coupon"/>
    <n v="704"/>
    <n v="-217.25754181003595"/>
  </r>
  <r>
    <s v="ORD954"/>
    <d v="2024-02-04T06:00:00"/>
    <s v="Delhi"/>
    <s v="GARLIC_B_802"/>
    <x v="4"/>
    <s v="Snacks"/>
    <n v="174"/>
    <n v="0.2"/>
    <n v="139.19999999999999"/>
    <n v="4"/>
    <n v="70.190751614813195"/>
    <n v="556.79999999999995"/>
    <n v="280.76300645925301"/>
    <n v="276.03699354074701"/>
    <s v="None"/>
    <n v="696"/>
    <n v="-276.03699354074695"/>
  </r>
  <r>
    <s v="ORD955"/>
    <d v="2025-12-22T23:00:00"/>
    <s v="Chennai"/>
    <s v="CHICKEN__862"/>
    <x v="14"/>
    <s v="Burger"/>
    <n v="100"/>
    <n v="0"/>
    <n v="100"/>
    <n v="1"/>
    <n v="45.534429937157299"/>
    <n v="100"/>
    <n v="45.534429937157299"/>
    <n v="54.465570062842602"/>
    <s v="None"/>
    <n v="100"/>
    <n v="-54.465570062842701"/>
  </r>
  <r>
    <s v="ORD956"/>
    <d v="2025-08-18T09:00:00"/>
    <s v="Hyderabad"/>
    <s v="CHICKEN__652"/>
    <x v="7"/>
    <s v="Pizza"/>
    <n v="127"/>
    <n v="0.15"/>
    <n v="107.95"/>
    <n v="6"/>
    <n v="81.353792866667106"/>
    <n v="647.70000000000005"/>
    <n v="488.12275720000201"/>
    <n v="159.57724279999701"/>
    <s v="None"/>
    <n v="762"/>
    <n v="-159.57724279999803"/>
  </r>
  <r>
    <s v="ORD957"/>
    <d v="2024-09-13T06:00:00"/>
    <s v="Delhi"/>
    <s v="PEPPY_PA_672"/>
    <x v="10"/>
    <s v="Pizza"/>
    <n v="349"/>
    <n v="0.2"/>
    <n v="279.2"/>
    <n v="6"/>
    <n v="198.58555543051801"/>
    <n v="1675.19999999999"/>
    <n v="1191.51333258311"/>
    <n v="483.686667416886"/>
    <s v="Percent-Off"/>
    <n v="2094"/>
    <n v="-483.68666741688003"/>
  </r>
  <r>
    <s v="ORD958"/>
    <d v="2024-07-03T09:00:00"/>
    <s v="Pune"/>
    <s v="CHEESE_B_124"/>
    <x v="5"/>
    <s v="Burger"/>
    <n v="226"/>
    <n v="0"/>
    <n v="226"/>
    <n v="1"/>
    <n v="93.421840195209597"/>
    <n v="226"/>
    <n v="93.421840195209597"/>
    <n v="132.57815980479"/>
    <s v="Percent-Off"/>
    <n v="226"/>
    <n v="-132.5781598047904"/>
  </r>
  <r>
    <s v="ORD959"/>
    <d v="2025-10-30T00:00:00"/>
    <s v="Chennai"/>
    <s v="GRILLED__927"/>
    <x v="1"/>
    <s v="Sandwich"/>
    <n v="329"/>
    <n v="0.1"/>
    <n v="296.10000000000002"/>
    <n v="6"/>
    <n v="229.17881643710101"/>
    <n v="1776.6"/>
    <n v="1375.0728986226"/>
    <n v="401.52710137739001"/>
    <s v="None"/>
    <n v="1974"/>
    <n v="-401.52710137739996"/>
  </r>
  <r>
    <s v="ORD960"/>
    <d v="2024-04-01T14:00:00"/>
    <s v="Chennai"/>
    <s v="ONION_RI_279"/>
    <x v="17"/>
    <s v="Snacks"/>
    <n v="305"/>
    <n v="0"/>
    <n v="305"/>
    <n v="6"/>
    <n v="187.05828548968699"/>
    <n v="1830"/>
    <n v="1122.3497129381201"/>
    <n v="707.65028706187695"/>
    <s v="None"/>
    <n v="1830"/>
    <n v="-707.65028706187991"/>
  </r>
  <r>
    <s v="ORD961"/>
    <d v="2024-05-23T20:00:00"/>
    <s v="Bangalore"/>
    <s v="MARGHERI_529"/>
    <x v="16"/>
    <s v="Pizza"/>
    <n v="113"/>
    <n v="0.2"/>
    <n v="90.4"/>
    <n v="4"/>
    <n v="60.6271129003187"/>
    <n v="361.6"/>
    <n v="242.508451601274"/>
    <n v="119.091548398725"/>
    <s v="Percent-Off"/>
    <n v="452"/>
    <n v="-119.09154839872602"/>
  </r>
  <r>
    <s v="ORD962"/>
    <d v="2025-01-14T10:00:00"/>
    <s v="Mumbai"/>
    <s v="MARGHERI_183"/>
    <x v="16"/>
    <s v="Pizza"/>
    <n v="258"/>
    <n v="0.2"/>
    <n v="206.4"/>
    <n v="7"/>
    <n v="192.33353746973901"/>
    <n v="1444.8"/>
    <n v="1346.3347622881699"/>
    <n v="98.465237711825907"/>
    <s v="None"/>
    <n v="1806"/>
    <n v="-98.465237711830014"/>
  </r>
  <r>
    <s v="ORD963"/>
    <d v="2025-07-31T11:00:00"/>
    <s v="Mumbai"/>
    <s v="VEG_BURG_697"/>
    <x v="0"/>
    <s v="Burger"/>
    <n v="342"/>
    <n v="0.2"/>
    <n v="273.60000000000002"/>
    <n v="5"/>
    <n v="175.42523973721501"/>
    <n v="1368"/>
    <n v="877.12619868607499"/>
    <n v="490.87380131392399"/>
    <s v="Percent-Off"/>
    <n v="1710"/>
    <n v="-490.87380131392501"/>
  </r>
  <r>
    <s v="ORD964"/>
    <d v="2024-12-28T17:00:00"/>
    <s v="Mumbai"/>
    <s v="PEPPY_PA_508"/>
    <x v="10"/>
    <s v="Pizza"/>
    <n v="331"/>
    <n v="0"/>
    <n v="331"/>
    <n v="3"/>
    <n v="184.59465805092"/>
    <n v="993"/>
    <n v="553.78397415276197"/>
    <n v="439.21602584723701"/>
    <s v="BOGO"/>
    <n v="993"/>
    <n v="-439.21602584723803"/>
  </r>
  <r>
    <s v="ORD965"/>
    <d v="2025-02-25T08:00:00"/>
    <s v="Delhi"/>
    <s v="CHEESE_B_679"/>
    <x v="5"/>
    <s v="Burger"/>
    <n v="216"/>
    <n v="0.15"/>
    <n v="183.6"/>
    <n v="6"/>
    <n v="118.572590448307"/>
    <n v="1101.5999999999999"/>
    <n v="711.43554268984406"/>
    <n v="390.164457310155"/>
    <s v="Coupon"/>
    <n v="1296"/>
    <n v="-390.16445731015585"/>
  </r>
  <r>
    <s v="ORD966"/>
    <d v="2024-07-20T17:00:00"/>
    <s v="Chennai"/>
    <s v="VEG_BURG_176"/>
    <x v="0"/>
    <s v="Burger"/>
    <n v="99"/>
    <n v="0"/>
    <n v="99"/>
    <n v="4"/>
    <n v="50.991048496313802"/>
    <n v="396"/>
    <n v="203.96419398525501"/>
    <n v="192.035806014744"/>
    <s v="Coupon"/>
    <n v="396"/>
    <n v="-192.03580601474499"/>
  </r>
  <r>
    <s v="ORD967"/>
    <d v="2025-10-01T22:00:00"/>
    <s v="Hyderabad"/>
    <s v="COKE_689"/>
    <x v="8"/>
    <s v="Drinks"/>
    <n v="287"/>
    <n v="0.1"/>
    <n v="258.3"/>
    <n v="7"/>
    <n v="115.944092159495"/>
    <n v="1808.1"/>
    <n v="811.60864511646503"/>
    <n v="996.49135488353397"/>
    <s v="Percent-Off"/>
    <n v="2009"/>
    <n v="-996.49135488353488"/>
  </r>
  <r>
    <s v="ORD968"/>
    <d v="2024-02-28T17:00:00"/>
    <s v="Hyderabad"/>
    <s v="MARGHERI_952"/>
    <x v="16"/>
    <s v="Pizza"/>
    <n v="258"/>
    <n v="0.15"/>
    <n v="219.29999999999899"/>
    <n v="4"/>
    <n v="146.23408530527499"/>
    <n v="877.19999999999902"/>
    <n v="584.936341221102"/>
    <n v="292.26365877889702"/>
    <s v="BOGO"/>
    <n v="1032"/>
    <n v="-292.26365877889702"/>
  </r>
  <r>
    <s v="ORD969"/>
    <d v="2024-07-09T06:00:00"/>
    <s v="Hyderabad"/>
    <s v="MARGHERI_160"/>
    <x v="16"/>
    <s v="Pizza"/>
    <n v="259"/>
    <n v="0"/>
    <n v="259"/>
    <n v="5"/>
    <n v="107.337301339014"/>
    <n v="1295"/>
    <n v="536.68650669507394"/>
    <n v="758.31349330492503"/>
    <s v="Coupon"/>
    <n v="1295"/>
    <n v="-758.31349330492606"/>
  </r>
  <r>
    <s v="ORD970"/>
    <d v="2025-04-19T06:00:00"/>
    <s v="Bangalore"/>
    <s v="PEPPY_PA_168"/>
    <x v="10"/>
    <s v="Pizza"/>
    <n v="96"/>
    <n v="0.1"/>
    <n v="86.4"/>
    <n v="1"/>
    <n v="57.828520815295597"/>
    <n v="86.4"/>
    <n v="57.828520815295597"/>
    <n v="28.571479184704302"/>
    <s v="Coupon"/>
    <n v="96"/>
    <n v="-28.571479184704408"/>
  </r>
  <r>
    <s v="ORD971"/>
    <d v="2025-08-31T04:00:00"/>
    <s v="Chennai"/>
    <s v="CLUB_SAN_553"/>
    <x v="13"/>
    <s v="Sandwich"/>
    <n v="224"/>
    <n v="0"/>
    <n v="224"/>
    <n v="1"/>
    <n v="161.29347982906501"/>
    <n v="224"/>
    <n v="161.29347982906501"/>
    <n v="62.706520170934198"/>
    <s v="None"/>
    <n v="224"/>
    <n v="-62.706520170934994"/>
  </r>
  <r>
    <s v="ORD972"/>
    <d v="2024-02-03T12:00:00"/>
    <s v="Bangalore"/>
    <s v="VEG_BURG_575"/>
    <x v="0"/>
    <s v="Burger"/>
    <n v="189"/>
    <n v="0.05"/>
    <n v="179.54999999999899"/>
    <n v="2"/>
    <n v="93.629695084138703"/>
    <n v="359.099999999999"/>
    <n v="187.25939016827701"/>
    <n v="171.84060983172199"/>
    <s v="None"/>
    <n v="378"/>
    <n v="-171.84060983172199"/>
  </r>
  <r>
    <s v="ORD973"/>
    <d v="2025-07-04T21:00:00"/>
    <s v="Chennai"/>
    <s v="ONION_RI_161"/>
    <x v="17"/>
    <s v="Snacks"/>
    <n v="121"/>
    <n v="0.25"/>
    <n v="90.75"/>
    <n v="2"/>
    <n v="72.298150088767301"/>
    <n v="181.5"/>
    <n v="144.596300177534"/>
    <n v="36.903699822465299"/>
    <s v="Bundle"/>
    <n v="242"/>
    <n v="-36.903699822465995"/>
  </r>
  <r>
    <s v="ORD974"/>
    <d v="2024-02-23T07:00:00"/>
    <s v="Hyderabad"/>
    <s v="VEG_BURG_205"/>
    <x v="0"/>
    <s v="Burger"/>
    <n v="105"/>
    <n v="0"/>
    <n v="105"/>
    <n v="3"/>
    <n v="72.622830709806806"/>
    <n v="315"/>
    <n v="217.86849212941999"/>
    <n v="97.131507870579398"/>
    <s v="BOGO"/>
    <n v="315"/>
    <n v="-97.131507870580009"/>
  </r>
  <r>
    <s v="ORD975"/>
    <d v="2025-07-03T16:00:00"/>
    <s v="Chennai"/>
    <s v="VEG_SAND_363"/>
    <x v="9"/>
    <s v="Sandwich"/>
    <n v="229"/>
    <n v="0.15"/>
    <n v="194.65"/>
    <n v="2"/>
    <n v="170.51924620527501"/>
    <n v="389.3"/>
    <n v="341.03849241055002"/>
    <n v="48.261507589449302"/>
    <s v="None"/>
    <n v="458"/>
    <n v="-48.261507589449991"/>
  </r>
  <r>
    <s v="ORD976"/>
    <d v="2024-10-22T03:00:00"/>
    <s v="Chennai"/>
    <s v="PEPPY_PA_575"/>
    <x v="10"/>
    <s v="Pizza"/>
    <n v="251"/>
    <n v="0.15"/>
    <n v="213.35"/>
    <n v="6"/>
    <n v="135.29643847239299"/>
    <n v="1280.0999999999999"/>
    <n v="811.77863083436102"/>
    <n v="468.32136916563798"/>
    <s v="Bundle"/>
    <n v="1506"/>
    <n v="-468.32136916563888"/>
  </r>
  <r>
    <s v="ORD977"/>
    <d v="2025-04-07T05:00:00"/>
    <s v="Delhi"/>
    <s v="PEPPY_PA_856"/>
    <x v="10"/>
    <s v="Pizza"/>
    <n v="262"/>
    <n v="0"/>
    <n v="262"/>
    <n v="6"/>
    <n v="133.68625883490199"/>
    <n v="1572"/>
    <n v="802.11755300941297"/>
    <n v="769.882446990586"/>
    <s v="Percent-Off"/>
    <n v="1572"/>
    <n v="-769.88244699058703"/>
  </r>
  <r>
    <s v="ORD978"/>
    <d v="2025-06-20T16:00:00"/>
    <s v="Pune"/>
    <s v="GRILLED__803"/>
    <x v="1"/>
    <s v="Sandwich"/>
    <n v="141"/>
    <n v="0.05"/>
    <n v="133.94999999999999"/>
    <n v="3"/>
    <n v="101.925320532528"/>
    <n v="401.849999999999"/>
    <n v="305.77596159758502"/>
    <n v="96.074038402414402"/>
    <s v="BOGO"/>
    <n v="423"/>
    <n v="-96.074038402413976"/>
  </r>
  <r>
    <s v="ORD979"/>
    <d v="2025-10-08T13:00:00"/>
    <s v="Delhi"/>
    <s v="CHICKEN__546"/>
    <x v="7"/>
    <s v="Pizza"/>
    <n v="273"/>
    <n v="0.05"/>
    <n v="259.349999999999"/>
    <n v="4"/>
    <n v="112.11394514733"/>
    <n v="1037.3999999999901"/>
    <n v="448.45578058932199"/>
    <n v="588.94421941067696"/>
    <s v="Percent-Off"/>
    <n v="1092"/>
    <n v="-588.9442194106681"/>
  </r>
  <r>
    <s v="ORD980"/>
    <d v="2024-03-28T18:00:00"/>
    <s v="Delhi"/>
    <s v="GULAB_JA_476"/>
    <x v="11"/>
    <s v="Dessert"/>
    <n v="231"/>
    <n v="0.15"/>
    <n v="196.35"/>
    <n v="4"/>
    <n v="154.111607627925"/>
    <n v="785.4"/>
    <n v="616.44643051170101"/>
    <n v="168.953569488298"/>
    <s v="BOGO"/>
    <n v="924"/>
    <n v="-168.95356948829897"/>
  </r>
  <r>
    <s v="ORD981"/>
    <d v="2025-11-01T06:00:00"/>
    <s v="Delhi"/>
    <s v="VEG_SAND_217"/>
    <x v="9"/>
    <s v="Sandwich"/>
    <n v="306"/>
    <n v="0.2"/>
    <n v="244.8"/>
    <n v="2"/>
    <n v="200.97089791673901"/>
    <n v="489.6"/>
    <n v="401.94179583347801"/>
    <n v="87.658204166521799"/>
    <s v="Bundle"/>
    <n v="612"/>
    <n v="-87.658204166522012"/>
  </r>
  <r>
    <s v="ORD982"/>
    <d v="2024-07-20T07:00:00"/>
    <s v="Mumbai"/>
    <s v="COKE_763"/>
    <x v="8"/>
    <s v="Drinks"/>
    <n v="231"/>
    <n v="0.1"/>
    <n v="207.9"/>
    <n v="2"/>
    <n v="100.652757667339"/>
    <n v="415.8"/>
    <n v="201.30551533467801"/>
    <n v="214.49448466532101"/>
    <s v="Percent-Off"/>
    <n v="462"/>
    <n v="-214.49448466532201"/>
  </r>
  <r>
    <s v="ORD983"/>
    <d v="2024-05-12T18:00:00"/>
    <s v="Chennai"/>
    <s v="BROWNIE_551"/>
    <x v="12"/>
    <s v="Dessert"/>
    <n v="195"/>
    <n v="0.05"/>
    <n v="185.25"/>
    <n v="3"/>
    <n v="133.576042135585"/>
    <n v="555.75"/>
    <n v="400.72812640675699"/>
    <n v="155.02187359324199"/>
    <s v="BOGO"/>
    <n v="585"/>
    <n v="-155.02187359324301"/>
  </r>
  <r>
    <s v="ORD984"/>
    <d v="2024-04-17T05:00:00"/>
    <s v="Mumbai"/>
    <s v="GRILLED__763"/>
    <x v="1"/>
    <s v="Sandwich"/>
    <n v="178"/>
    <n v="0"/>
    <n v="178"/>
    <n v="7"/>
    <n v="79.6365943436506"/>
    <n v="1246"/>
    <n v="557.45616040555399"/>
    <n v="688.54383959444499"/>
    <s v="None"/>
    <n v="1246"/>
    <n v="-688.54383959444601"/>
  </r>
  <r>
    <s v="ORD985"/>
    <d v="2025-06-17T16:00:00"/>
    <s v="Pune"/>
    <s v="VEG_BURG_367"/>
    <x v="0"/>
    <s v="Burger"/>
    <n v="148"/>
    <n v="0.1"/>
    <n v="133.19999999999999"/>
    <n v="4"/>
    <n v="108.062856977324"/>
    <n v="532.79999999999995"/>
    <n v="432.25142790929903"/>
    <n v="100.54857209070001"/>
    <s v="Coupon"/>
    <n v="592"/>
    <n v="-100.54857209070093"/>
  </r>
  <r>
    <s v="ORD986"/>
    <d v="2024-04-18T07:00:00"/>
    <s v="Hyderabad"/>
    <s v="COKE_402"/>
    <x v="8"/>
    <s v="Drinks"/>
    <n v="141"/>
    <n v="0.1"/>
    <n v="126.9"/>
    <n v="3"/>
    <n v="102.678681002354"/>
    <n v="380.7"/>
    <n v="308.03604300706297"/>
    <n v="72.663956992936903"/>
    <s v="Percent-Off"/>
    <n v="423"/>
    <n v="-72.663956992937017"/>
  </r>
  <r>
    <s v="ORD987"/>
    <d v="2024-06-17T01:00:00"/>
    <s v="Bangalore"/>
    <s v="CHICKEN__957"/>
    <x v="14"/>
    <s v="Burger"/>
    <n v="239"/>
    <n v="0.05"/>
    <n v="227.04999999999899"/>
    <n v="5"/>
    <n v="155.75924171194799"/>
    <n v="1135.25"/>
    <n v="778.79620855973997"/>
    <n v="356.45379144025901"/>
    <s v="BOGO"/>
    <n v="1195"/>
    <n v="-356.45379144026003"/>
  </r>
  <r>
    <s v="ORD988"/>
    <d v="2024-12-17T04:00:00"/>
    <s v="Hyderabad"/>
    <s v="FRIES_749"/>
    <x v="2"/>
    <s v="Snacks"/>
    <n v="96"/>
    <n v="0.1"/>
    <n v="86.4"/>
    <n v="4"/>
    <n v="55.899403694441098"/>
    <n v="345.6"/>
    <n v="223.59761477776399"/>
    <n v="122.00238522223501"/>
    <s v="BOGO"/>
    <n v="384"/>
    <n v="-122.00238522223603"/>
  </r>
  <r>
    <s v="ORD989"/>
    <d v="2024-02-24T08:00:00"/>
    <s v="Hyderabad"/>
    <s v="CHICKEN__301"/>
    <x v="14"/>
    <s v="Burger"/>
    <n v="233"/>
    <n v="0.1"/>
    <n v="209.7"/>
    <n v="5"/>
    <n v="122.54842584688301"/>
    <n v="1048.5"/>
    <n v="612.74212923441905"/>
    <n v="435.75787076557998"/>
    <s v="None"/>
    <n v="1165"/>
    <n v="-435.75787076558095"/>
  </r>
  <r>
    <s v="ORD990"/>
    <d v="2024-12-25T17:00:00"/>
    <s v="Chennai"/>
    <s v="ICE_CREA_972"/>
    <x v="6"/>
    <s v="Dessert"/>
    <n v="100"/>
    <n v="0.15"/>
    <n v="85"/>
    <n v="3"/>
    <n v="54.695463012379498"/>
    <n v="255"/>
    <n v="164.08638903713799"/>
    <n v="90.913610962861497"/>
    <s v="None"/>
    <n v="300"/>
    <n v="-90.913610962862009"/>
  </r>
  <r>
    <s v="ORD991"/>
    <d v="2025-04-18T20:00:00"/>
    <s v="Pune"/>
    <s v="PEPPY_PA_942"/>
    <x v="10"/>
    <s v="Pizza"/>
    <n v="315"/>
    <n v="0.15"/>
    <n v="267.75"/>
    <n v="4"/>
    <n v="180.69232150468301"/>
    <n v="1071"/>
    <n v="722.76928601873396"/>
    <n v="348.23071398126501"/>
    <s v="Coupon"/>
    <n v="1260"/>
    <n v="-348.23071398126604"/>
  </r>
  <r>
    <s v="ORD992"/>
    <d v="2025-01-09T20:00:00"/>
    <s v="Chennai"/>
    <s v="BROWNIE_374"/>
    <x v="12"/>
    <s v="Dessert"/>
    <n v="203"/>
    <n v="0.1"/>
    <n v="182.7"/>
    <n v="1"/>
    <n v="88.889503252692194"/>
    <n v="182.7"/>
    <n v="88.889503252692194"/>
    <n v="93.810496747307695"/>
    <s v="None"/>
    <n v="203"/>
    <n v="-93.810496747307795"/>
  </r>
  <r>
    <s v="ORD993"/>
    <d v="2025-11-16T18:00:00"/>
    <s v="Delhi"/>
    <s v="CHICKEN__464"/>
    <x v="14"/>
    <s v="Burger"/>
    <n v="172"/>
    <n v="0.05"/>
    <n v="163.4"/>
    <n v="3"/>
    <n v="79.166094899030398"/>
    <n v="490.2"/>
    <n v="237.49828469709101"/>
    <n v="252.70171530290801"/>
    <s v="None"/>
    <n v="516"/>
    <n v="-252.70171530290898"/>
  </r>
  <r>
    <s v="ORD994"/>
    <d v="2024-08-16T03:00:00"/>
    <s v="Hyderabad"/>
    <s v="VEG_BURG_102"/>
    <x v="0"/>
    <s v="Burger"/>
    <n v="103"/>
    <n v="0"/>
    <n v="103"/>
    <n v="3"/>
    <n v="63.616775553484402"/>
    <n v="309"/>
    <n v="190.85032666045299"/>
    <n v="118.149673339546"/>
    <s v="Coupon"/>
    <n v="309"/>
    <n v="-118.14967333954701"/>
  </r>
  <r>
    <s v="ORD995"/>
    <d v="2024-10-26T08:00:00"/>
    <s v="Mumbai"/>
    <s v="COKE_308"/>
    <x v="8"/>
    <s v="Drinks"/>
    <n v="82"/>
    <n v="0.1"/>
    <n v="73.8"/>
    <n v="7"/>
    <n v="37.601549605803399"/>
    <n v="516.6"/>
    <n v="263.21084724062302"/>
    <n v="253.389152759376"/>
    <s v="Coupon"/>
    <n v="574"/>
    <n v="-253.389152759377"/>
  </r>
  <r>
    <s v="ORD996"/>
    <d v="2025-06-20T11:00:00"/>
    <s v="Delhi"/>
    <s v="SPRITE_188"/>
    <x v="3"/>
    <s v="Drinks"/>
    <n v="199"/>
    <n v="0.15"/>
    <n v="169.15"/>
    <n v="5"/>
    <n v="101.249316536565"/>
    <n v="845.75"/>
    <n v="506.24658268282502"/>
    <n v="339.50341731717498"/>
    <s v="Percent-Off"/>
    <n v="995"/>
    <n v="-339.50341731717498"/>
  </r>
  <r>
    <s v="ORD997"/>
    <d v="2024-03-08T14:00:00"/>
    <s v="Bangalore"/>
    <s v="ONION_RI_347"/>
    <x v="17"/>
    <s v="Snacks"/>
    <n v="259"/>
    <n v="0.2"/>
    <n v="207.2"/>
    <n v="1"/>
    <n v="179.49391530920599"/>
    <n v="207.2"/>
    <n v="179.49391530920599"/>
    <n v="27.706084690793901"/>
    <s v="BOGO"/>
    <n v="259"/>
    <n v="-27.706084690794"/>
  </r>
  <r>
    <s v="ORD998"/>
    <d v="2025-10-28T04:00:00"/>
    <s v="Hyderabad"/>
    <s v="ONION_RI_497"/>
    <x v="17"/>
    <s v="Snacks"/>
    <n v="253"/>
    <n v="0.1"/>
    <n v="227.7"/>
    <n v="7"/>
    <n v="178.84440619812901"/>
    <n v="1593.9"/>
    <n v="1251.9108433869001"/>
    <n v="341.98915661309201"/>
    <s v="Percent-Off"/>
    <n v="1771"/>
    <n v="-341.98915661310002"/>
  </r>
  <r>
    <s v="ORD999"/>
    <d v="2024-12-01T01:00:00"/>
    <s v="Bangalore"/>
    <s v="COKE_559"/>
    <x v="8"/>
    <s v="Drinks"/>
    <n v="189"/>
    <n v="0.1"/>
    <n v="170.1"/>
    <n v="6"/>
    <n v="136.908263807629"/>
    <n v="1020.59999999999"/>
    <n v="821.44958284577501"/>
    <n v="199.15041715422399"/>
    <s v="None"/>
    <n v="1134"/>
    <n v="-199.15041715421501"/>
  </r>
  <r>
    <s v="ORD1000"/>
    <d v="2025-11-27T21:00:00"/>
    <s v="Chennai"/>
    <s v="COKE_720"/>
    <x v="8"/>
    <s v="Drinks"/>
    <n v="191"/>
    <n v="0.05"/>
    <n v="181.45"/>
    <n v="3"/>
    <n v="137.28664110458999"/>
    <n v="544.349999999999"/>
    <n v="411.85992331377003"/>
    <n v="132.490076686229"/>
    <s v="Coupon"/>
    <n v="573"/>
    <n v="-132.49007668622897"/>
  </r>
  <r>
    <s v="ORD1001"/>
    <d v="2024-11-29T00:00:00"/>
    <s v="Bangalore"/>
    <s v="COKE_879"/>
    <x v="8"/>
    <s v="Drinks"/>
    <n v="284"/>
    <n v="0.05"/>
    <n v="269.8"/>
    <n v="6"/>
    <n v="158.469922441096"/>
    <n v="1618.8"/>
    <n v="950.81953464658"/>
    <n v="667.98046535341905"/>
    <s v="Coupon"/>
    <n v="1704"/>
    <n v="-667.98046535341996"/>
  </r>
  <r>
    <s v="ORD1002"/>
    <d v="2025-10-13T22:00:00"/>
    <s v="Bangalore"/>
    <s v="COKE_571"/>
    <x v="8"/>
    <s v="Drinks"/>
    <n v="338"/>
    <n v="0"/>
    <n v="338"/>
    <n v="4"/>
    <n v="161.64334137826799"/>
    <n v="1352"/>
    <n v="646.57336551307503"/>
    <n v="705.42663448692394"/>
    <s v="None"/>
    <n v="1352"/>
    <n v="-705.42663448692497"/>
  </r>
  <r>
    <s v="ORD1003"/>
    <d v="2025-12-10T13:00:00"/>
    <s v="Bangalore"/>
    <s v="GRILLED__658"/>
    <x v="1"/>
    <s v="Sandwich"/>
    <n v="234"/>
    <n v="0.15"/>
    <n v="198.9"/>
    <n v="2"/>
    <n v="150.56050480664899"/>
    <n v="397.8"/>
    <n v="301.12100961329901"/>
    <n v="96.678990386700804"/>
    <s v="BOGO"/>
    <n v="468"/>
    <n v="-96.678990386701003"/>
  </r>
  <r>
    <s v="ORD1004"/>
    <d v="2024-06-26T15:00:00"/>
    <s v="Pune"/>
    <s v="ICE_CREA_625"/>
    <x v="6"/>
    <s v="Dessert"/>
    <n v="225"/>
    <n v="0.1"/>
    <n v="202.5"/>
    <n v="5"/>
    <n v="125.45838398786"/>
    <n v="1012.5"/>
    <n v="627.29191993930101"/>
    <n v="385.20808006069802"/>
    <s v="None"/>
    <n v="1125"/>
    <n v="-385.20808006069899"/>
  </r>
  <r>
    <s v="ORD1005"/>
    <d v="2025-08-08T20:00:00"/>
    <s v="Mumbai"/>
    <s v="CHICKEN__311"/>
    <x v="7"/>
    <s v="Pizza"/>
    <n v="190"/>
    <n v="0.05"/>
    <n v="180.5"/>
    <n v="7"/>
    <n v="129.67826603174299"/>
    <n v="1263.5"/>
    <n v="907.74786222220496"/>
    <n v="355.75213777779402"/>
    <s v="None"/>
    <n v="1330"/>
    <n v="-355.75213777779504"/>
  </r>
  <r>
    <s v="ORD1006"/>
    <d v="2025-09-23T12:00:00"/>
    <s v="Delhi"/>
    <s v="SPRITE_227"/>
    <x v="3"/>
    <s v="Drinks"/>
    <n v="294"/>
    <n v="0.2"/>
    <n v="235.2"/>
    <n v="3"/>
    <n v="188.33242201536001"/>
    <n v="705.6"/>
    <n v="564.99726604607997"/>
    <n v="140.602733953919"/>
    <s v="BOGO"/>
    <n v="882"/>
    <n v="-140.60273395392005"/>
  </r>
  <r>
    <s v="ORD1007"/>
    <d v="2024-12-26T06:00:00"/>
    <s v="Chennai"/>
    <s v="BROWNIE_968"/>
    <x v="12"/>
    <s v="Dessert"/>
    <n v="93"/>
    <n v="0"/>
    <n v="93"/>
    <n v="5"/>
    <n v="61.886201258030297"/>
    <n v="465"/>
    <n v="309.431006290151"/>
    <n v="155.568993709848"/>
    <s v="Percent-Off"/>
    <n v="465"/>
    <n v="-155.568993709849"/>
  </r>
  <r>
    <s v="ORD1008"/>
    <d v="2025-05-01T00:00:00"/>
    <s v="Pune"/>
    <s v="FRIES_851"/>
    <x v="2"/>
    <s v="Snacks"/>
    <n v="190"/>
    <n v="0"/>
    <n v="190"/>
    <n v="5"/>
    <n v="110.139812977639"/>
    <n v="950"/>
    <n v="550.69906488819697"/>
    <n v="399.300935111802"/>
    <s v="Percent-Off"/>
    <n v="950"/>
    <n v="-399.30093511180303"/>
  </r>
  <r>
    <s v="ORD1009"/>
    <d v="2024-05-03T17:00:00"/>
    <s v="Mumbai"/>
    <s v="COKE_848"/>
    <x v="8"/>
    <s v="Drinks"/>
    <n v="83"/>
    <n v="0.2"/>
    <n v="66.400000000000006"/>
    <n v="2"/>
    <n v="51.399407841150499"/>
    <n v="132.80000000000001"/>
    <n v="102.798815682301"/>
    <n v="30.001184317699"/>
    <s v="Bundle"/>
    <n v="166"/>
    <n v="-30.001184317699014"/>
  </r>
  <r>
    <s v="ORD1010"/>
    <d v="2024-05-06T04:00:00"/>
    <s v="Hyderabad"/>
    <s v="MARGHERI_583"/>
    <x v="16"/>
    <s v="Pizza"/>
    <n v="148"/>
    <n v="0.25"/>
    <n v="111"/>
    <n v="6"/>
    <n v="87.232168761414101"/>
    <n v="666"/>
    <n v="523.39301256848398"/>
    <n v="142.60698743151499"/>
    <s v="None"/>
    <n v="888"/>
    <n v="-142.60698743151602"/>
  </r>
  <r>
    <s v="ORD1011"/>
    <d v="2024-05-31T05:00:00"/>
    <s v="Mumbai"/>
    <s v="CHICKEN__421"/>
    <x v="14"/>
    <s v="Burger"/>
    <n v="228"/>
    <n v="0.2"/>
    <n v="182.4"/>
    <n v="5"/>
    <n v="105.52412078744899"/>
    <n v="912"/>
    <n v="527.62060393724505"/>
    <n v="384.37939606275398"/>
    <s v="BOGO"/>
    <n v="1140"/>
    <n v="-384.37939606275495"/>
  </r>
  <r>
    <s v="ORD1012"/>
    <d v="2024-05-07T19:00:00"/>
    <s v="Bangalore"/>
    <s v="CHICKEN__612"/>
    <x v="14"/>
    <s v="Burger"/>
    <n v="186"/>
    <n v="0.05"/>
    <n v="176.7"/>
    <n v="5"/>
    <n v="97.175996293883301"/>
    <n v="883.5"/>
    <n v="485.87998146941601"/>
    <n v="397.62001853058302"/>
    <s v="None"/>
    <n v="930"/>
    <n v="-397.62001853058399"/>
  </r>
  <r>
    <s v="ORD1013"/>
    <d v="2024-09-04T13:00:00"/>
    <s v="Pune"/>
    <s v="FRIES_638"/>
    <x v="2"/>
    <s v="Snacks"/>
    <n v="314"/>
    <n v="0.2"/>
    <n v="251.2"/>
    <n v="1"/>
    <n v="229.733970195605"/>
    <n v="251.2"/>
    <n v="229.733970195605"/>
    <n v="21.466029804394299"/>
    <s v="None"/>
    <n v="314"/>
    <n v="-21.466029804394992"/>
  </r>
  <r>
    <s v="ORD1014"/>
    <d v="2025-04-26T11:00:00"/>
    <s v="Chennai"/>
    <s v="CLUB_SAN_214"/>
    <x v="13"/>
    <s v="Sandwich"/>
    <n v="84"/>
    <n v="0.1"/>
    <n v="75.599999999999994"/>
    <n v="3"/>
    <n v="35.785347609994098"/>
    <n v="226.8"/>
    <n v="107.356042829982"/>
    <n v="119.443957170017"/>
    <s v="None"/>
    <n v="252"/>
    <n v="-119.44395717001801"/>
  </r>
  <r>
    <s v="ORD1015"/>
    <d v="2025-06-29T01:00:00"/>
    <s v="Pune"/>
    <s v="GRILLED__739"/>
    <x v="1"/>
    <s v="Sandwich"/>
    <n v="190"/>
    <n v="0.05"/>
    <n v="180.5"/>
    <n v="1"/>
    <n v="105.33987329716"/>
    <n v="180.5"/>
    <n v="105.33987329716"/>
    <n v="75.160126702840003"/>
    <s v="None"/>
    <n v="190"/>
    <n v="-75.160126702840003"/>
  </r>
  <r>
    <s v="ORD1016"/>
    <d v="2024-10-11T03:00:00"/>
    <s v="Hyderabad"/>
    <s v="BROWNIE_667"/>
    <x v="12"/>
    <s v="Dessert"/>
    <n v="196"/>
    <n v="0.1"/>
    <n v="176.4"/>
    <n v="6"/>
    <n v="110.02251402578"/>
    <n v="1058.4000000000001"/>
    <n v="660.13508415468095"/>
    <n v="398.264915845318"/>
    <s v="Coupon"/>
    <n v="1176"/>
    <n v="-398.26491584531914"/>
  </r>
  <r>
    <s v="ORD1017"/>
    <d v="2025-04-05T06:00:00"/>
    <s v="Delhi"/>
    <s v="COKE_156"/>
    <x v="8"/>
    <s v="Drinks"/>
    <n v="210"/>
    <n v="0"/>
    <n v="210"/>
    <n v="3"/>
    <n v="128.409102769952"/>
    <n v="630"/>
    <n v="385.22730830985802"/>
    <n v="244.77269169014099"/>
    <s v="Coupon"/>
    <n v="630"/>
    <n v="-244.77269169014198"/>
  </r>
  <r>
    <s v="ORD1018"/>
    <d v="2024-04-22T23:00:00"/>
    <s v="Hyderabad"/>
    <s v="COLD_COF_664"/>
    <x v="15"/>
    <s v="Drinks"/>
    <n v="297"/>
    <n v="0"/>
    <n v="297"/>
    <n v="7"/>
    <n v="139.76205921119299"/>
    <n v="2079"/>
    <n v="978.33441447835401"/>
    <n v="1100.66558552164"/>
    <s v="BOGO"/>
    <n v="2079"/>
    <n v="-1100.6655855216459"/>
  </r>
  <r>
    <s v="ORD1019"/>
    <d v="2024-07-21T05:00:00"/>
    <s v="Hyderabad"/>
    <s v="CLUB_SAN_159"/>
    <x v="13"/>
    <s v="Sandwich"/>
    <n v="290"/>
    <n v="0.1"/>
    <n v="261"/>
    <n v="5"/>
    <n v="135.69038655667401"/>
    <n v="1305"/>
    <n v="678.45193278337399"/>
    <n v="626.54806721662499"/>
    <s v="Coupon"/>
    <n v="1450"/>
    <n v="-626.54806721662601"/>
  </r>
  <r>
    <s v="ORD1020"/>
    <d v="2024-11-17T11:00:00"/>
    <s v="Mumbai"/>
    <s v="PEPPY_PA_978"/>
    <x v="10"/>
    <s v="Pizza"/>
    <n v="132"/>
    <n v="0.2"/>
    <n v="105.6"/>
    <n v="4"/>
    <n v="88.872289331485007"/>
    <n v="422.4"/>
    <n v="355.48915732594003"/>
    <n v="66.910842674060007"/>
    <s v="None"/>
    <n v="528"/>
    <n v="-66.91084267405995"/>
  </r>
  <r>
    <s v="ORD1021"/>
    <d v="2025-01-07T14:00:00"/>
    <s v="Hyderabad"/>
    <s v="CHICKEN__930"/>
    <x v="7"/>
    <s v="Pizza"/>
    <n v="122"/>
    <n v="0.15"/>
    <n v="103.7"/>
    <n v="3"/>
    <n v="86.218606515392196"/>
    <n v="311.10000000000002"/>
    <n v="258.65581954617602"/>
    <n v="52.4441804538233"/>
    <s v="None"/>
    <n v="366"/>
    <n v="-52.444180453824004"/>
  </r>
  <r>
    <s v="ORD1022"/>
    <d v="2025-10-08T03:00:00"/>
    <s v="Bangalore"/>
    <s v="COLD_COF_592"/>
    <x v="15"/>
    <s v="Drinks"/>
    <n v="246"/>
    <n v="0.05"/>
    <n v="233.7"/>
    <n v="2"/>
    <n v="102.45006249900899"/>
    <n v="467.4"/>
    <n v="204.90012499801901"/>
    <n v="262.49987500198"/>
    <s v="None"/>
    <n v="492"/>
    <n v="-262.49987500198097"/>
  </r>
  <r>
    <s v="ORD1023"/>
    <d v="2025-10-21T10:00:00"/>
    <s v="Bangalore"/>
    <s v="CHEESE_B_347"/>
    <x v="5"/>
    <s v="Burger"/>
    <n v="260"/>
    <n v="0.1"/>
    <n v="234"/>
    <n v="7"/>
    <n v="125.422059644578"/>
    <n v="1638"/>
    <n v="877.95441751205203"/>
    <n v="760.04558248794694"/>
    <s v="None"/>
    <n v="1820"/>
    <n v="-760.04558248794797"/>
  </r>
  <r>
    <s v="ORD1024"/>
    <d v="2024-03-14T10:00:00"/>
    <s v="Bangalore"/>
    <s v="SPRITE_870"/>
    <x v="3"/>
    <s v="Drinks"/>
    <n v="83"/>
    <n v="0.1"/>
    <n v="74.7"/>
    <n v="3"/>
    <n v="53.1552414572934"/>
    <n v="224.1"/>
    <n v="159.46572437187999"/>
    <n v="64.634275628119497"/>
    <s v="Coupon"/>
    <n v="249"/>
    <n v="-64.634275628120008"/>
  </r>
  <r>
    <s v="ORD1025"/>
    <d v="2025-10-22T10:00:00"/>
    <s v="Pune"/>
    <s v="CHICKEN__967"/>
    <x v="14"/>
    <s v="Burger"/>
    <n v="217"/>
    <n v="0"/>
    <n v="217"/>
    <n v="6"/>
    <n v="104.44116205583801"/>
    <n v="1302"/>
    <n v="626.64697233503102"/>
    <n v="675.35302766496795"/>
    <s v="None"/>
    <n v="1302"/>
    <n v="-675.35302766496898"/>
  </r>
  <r>
    <s v="ORD1026"/>
    <d v="2025-05-19T16:00:00"/>
    <s v="Pune"/>
    <s v="VEG_SAND_368"/>
    <x v="9"/>
    <s v="Sandwich"/>
    <n v="99"/>
    <n v="0.2"/>
    <n v="79.2"/>
    <n v="2"/>
    <n v="50.179542401502601"/>
    <n v="158.4"/>
    <n v="100.359084803005"/>
    <n v="58.040915196994597"/>
    <s v="Coupon"/>
    <n v="198"/>
    <n v="-58.040915196995002"/>
  </r>
  <r>
    <s v="ORD1027"/>
    <d v="2025-06-11T04:00:00"/>
    <s v="Delhi"/>
    <s v="CLUB_SAN_368"/>
    <x v="13"/>
    <s v="Sandwich"/>
    <n v="212"/>
    <n v="0"/>
    <n v="212"/>
    <n v="2"/>
    <n v="128.05848719509899"/>
    <n v="424"/>
    <n v="256.11697439019798"/>
    <n v="167.883025609801"/>
    <s v="Percent-Off"/>
    <n v="424"/>
    <n v="-167.88302560980202"/>
  </r>
  <r>
    <s v="ORD1028"/>
    <d v="2024-09-12T02:00:00"/>
    <s v="Pune"/>
    <s v="GULAB_JA_821"/>
    <x v="11"/>
    <s v="Dessert"/>
    <n v="292"/>
    <n v="0.2"/>
    <n v="233.6"/>
    <n v="2"/>
    <n v="122.882171630038"/>
    <n v="467.2"/>
    <n v="245.764343260076"/>
    <n v="221.43565673992299"/>
    <s v="Percent-Off"/>
    <n v="584"/>
    <n v="-221.43565673992399"/>
  </r>
  <r>
    <s v="ORD1029"/>
    <d v="2024-01-21T01:00:00"/>
    <s v="Hyderabad"/>
    <s v="COKE_403"/>
    <x v="8"/>
    <s v="Drinks"/>
    <n v="133"/>
    <n v="0.05"/>
    <n v="126.35"/>
    <n v="5"/>
    <n v="80.016564918124601"/>
    <n v="631.75"/>
    <n v="400.08282459062298"/>
    <n v="231.667175409376"/>
    <s v="None"/>
    <n v="665"/>
    <n v="-231.66717540937702"/>
  </r>
  <r>
    <s v="ORD1030"/>
    <d v="2025-08-28T16:00:00"/>
    <s v="Chennai"/>
    <s v="CLUB_SAN_951"/>
    <x v="13"/>
    <s v="Sandwich"/>
    <n v="85"/>
    <n v="0"/>
    <n v="85"/>
    <n v="6"/>
    <n v="36.067885950595397"/>
    <n v="510"/>
    <n v="216.40731570357201"/>
    <n v="293.59268429642702"/>
    <s v="None"/>
    <n v="510"/>
    <n v="-293.59268429642799"/>
  </r>
  <r>
    <s v="ORD1031"/>
    <d v="2024-01-07T09:00:00"/>
    <s v="Chennai"/>
    <s v="SPRITE_249"/>
    <x v="3"/>
    <s v="Drinks"/>
    <n v="321"/>
    <n v="0.05"/>
    <n v="304.95"/>
    <n v="4"/>
    <n v="217.45731575372599"/>
    <n v="1219.8"/>
    <n v="869.829263014905"/>
    <n v="349.97073698509399"/>
    <s v="None"/>
    <n v="1284"/>
    <n v="-349.97073698509496"/>
  </r>
  <r>
    <s v="ORD1032"/>
    <d v="2024-11-13T09:00:00"/>
    <s v="Delhi"/>
    <s v="MARGHERI_388"/>
    <x v="16"/>
    <s v="Pizza"/>
    <n v="139"/>
    <n v="0.15"/>
    <n v="118.149999999999"/>
    <n v="7"/>
    <n v="97.987375548723193"/>
    <n v="827.05"/>
    <n v="685.911628841062"/>
    <n v="141.13837115893699"/>
    <s v="None"/>
    <n v="973"/>
    <n v="-141.13837115893796"/>
  </r>
  <r>
    <s v="ORD1033"/>
    <d v="2024-03-04T12:00:00"/>
    <s v="Chennai"/>
    <s v="BROWNIE_726"/>
    <x v="12"/>
    <s v="Dessert"/>
    <n v="211"/>
    <n v="0.1"/>
    <n v="189.9"/>
    <n v="4"/>
    <n v="103.503648995235"/>
    <n v="759.6"/>
    <n v="414.01459598094198"/>
    <n v="345.58540401905799"/>
    <s v="BOGO"/>
    <n v="844"/>
    <n v="-345.58540401905805"/>
  </r>
  <r>
    <s v="ORD1034"/>
    <d v="2024-03-29T08:00:00"/>
    <s v="Chennai"/>
    <s v="BROWNIE_602"/>
    <x v="12"/>
    <s v="Dessert"/>
    <n v="316"/>
    <n v="0.05"/>
    <n v="300.2"/>
    <n v="6"/>
    <n v="206.595299512911"/>
    <n v="1801.19999999999"/>
    <n v="1239.5717970774599"/>
    <n v="561.62820292253002"/>
    <s v="None"/>
    <n v="1896"/>
    <n v="-561.62820292253014"/>
  </r>
  <r>
    <s v="ORD1035"/>
    <d v="2025-09-19T00:00:00"/>
    <s v="Bangalore"/>
    <s v="GULAB_JA_251"/>
    <x v="11"/>
    <s v="Dessert"/>
    <n v="130"/>
    <n v="0"/>
    <n v="130"/>
    <n v="2"/>
    <n v="56.820993966154099"/>
    <n v="260"/>
    <n v="113.641987932308"/>
    <n v="146.35801206769099"/>
    <s v="None"/>
    <n v="260"/>
    <n v="-146.35801206769202"/>
  </r>
  <r>
    <s v="ORD1036"/>
    <d v="2024-04-07T15:00:00"/>
    <s v="Hyderabad"/>
    <s v="COKE_115"/>
    <x v="8"/>
    <s v="Drinks"/>
    <n v="242"/>
    <n v="0"/>
    <n v="242"/>
    <n v="7"/>
    <n v="97.276972189760102"/>
    <n v="1694"/>
    <n v="680.938805328321"/>
    <n v="1013.06119467167"/>
    <s v="Coupon"/>
    <n v="1694"/>
    <n v="-1013.061194671679"/>
  </r>
  <r>
    <s v="ORD1037"/>
    <d v="2024-08-02T00:00:00"/>
    <s v="Chennai"/>
    <s v="ONION_RI_552"/>
    <x v="17"/>
    <s v="Snacks"/>
    <n v="318"/>
    <n v="0.05"/>
    <n v="302.099999999999"/>
    <n v="6"/>
    <n v="219.80049291118101"/>
    <n v="1812.6"/>
    <n v="1318.80295746708"/>
    <n v="493.79704253290998"/>
    <s v="Coupon"/>
    <n v="1908"/>
    <n v="-493.79704253291993"/>
  </r>
  <r>
    <s v="ORD1038"/>
    <d v="2024-02-21T16:00:00"/>
    <s v="Bangalore"/>
    <s v="CLUB_SAN_693"/>
    <x v="13"/>
    <s v="Sandwich"/>
    <n v="186"/>
    <n v="0"/>
    <n v="186"/>
    <n v="5"/>
    <n v="114.476338070145"/>
    <n v="930"/>
    <n v="572.38169035072701"/>
    <n v="357.61830964927202"/>
    <s v="Bundle"/>
    <n v="930"/>
    <n v="-357.61830964927299"/>
  </r>
  <r>
    <s v="ORD1039"/>
    <d v="2024-01-03T12:00:00"/>
    <s v="Pune"/>
    <s v="CHEESE_B_911"/>
    <x v="5"/>
    <s v="Burger"/>
    <n v="86"/>
    <n v="0"/>
    <n v="86"/>
    <n v="1"/>
    <n v="43.0751802502879"/>
    <n v="86"/>
    <n v="43.0751802502879"/>
    <n v="42.924819749712"/>
    <s v="Coupon"/>
    <n v="86"/>
    <n v="-42.9248197497121"/>
  </r>
  <r>
    <s v="ORD1040"/>
    <d v="2025-01-15T10:00:00"/>
    <s v="Pune"/>
    <s v="CHICKEN__403"/>
    <x v="7"/>
    <s v="Pizza"/>
    <n v="288"/>
    <n v="0.15"/>
    <n v="244.79999999999899"/>
    <n v="3"/>
    <n v="139.69122061222001"/>
    <n v="734.4"/>
    <n v="419.07366183666198"/>
    <n v="315.32633816333703"/>
    <s v="None"/>
    <n v="864"/>
    <n v="-315.32633816333799"/>
  </r>
  <r>
    <s v="ORD1041"/>
    <d v="2025-05-28T00:00:00"/>
    <s v="Bangalore"/>
    <s v="CLUB_SAN_152"/>
    <x v="13"/>
    <s v="Sandwich"/>
    <n v="195"/>
    <n v="0.05"/>
    <n v="185.25"/>
    <n v="4"/>
    <n v="143.93631631392299"/>
    <n v="741"/>
    <n v="575.74526525569399"/>
    <n v="165.25473474430501"/>
    <s v="None"/>
    <n v="780"/>
    <n v="-165.25473474430601"/>
  </r>
  <r>
    <s v="ORD1042"/>
    <d v="2025-07-10T06:00:00"/>
    <s v="Pune"/>
    <s v="MARGHERI_768"/>
    <x v="16"/>
    <s v="Pizza"/>
    <n v="136"/>
    <n v="0.15"/>
    <n v="115.6"/>
    <n v="2"/>
    <n v="98.830474053398802"/>
    <n v="231.2"/>
    <n v="197.66094810679701"/>
    <n v="33.539051893202299"/>
    <s v="Percent-Off"/>
    <n v="272"/>
    <n v="-33.539051893202981"/>
  </r>
  <r>
    <s v="ORD1043"/>
    <d v="2025-06-01T10:00:00"/>
    <s v="Bangalore"/>
    <s v="CHICKEN__320"/>
    <x v="14"/>
    <s v="Burger"/>
    <n v="154"/>
    <n v="0.15"/>
    <n v="130.9"/>
    <n v="7"/>
    <n v="94.076145477751098"/>
    <n v="916.3"/>
    <n v="658.53301834425804"/>
    <n v="257.76698165574197"/>
    <s v="None"/>
    <n v="1078"/>
    <n v="-257.76698165574192"/>
  </r>
  <r>
    <s v="ORD1044"/>
    <d v="2024-02-22T04:00:00"/>
    <s v="Pune"/>
    <s v="CHICKEN__314"/>
    <x v="14"/>
    <s v="Burger"/>
    <n v="299"/>
    <n v="0.1"/>
    <n v="269.10000000000002"/>
    <n v="2"/>
    <n v="124.214250446001"/>
    <n v="538.20000000000005"/>
    <n v="248.428500892003"/>
    <n v="289.77149910799602"/>
    <s v="None"/>
    <n v="598"/>
    <n v="-289.77149910799704"/>
  </r>
  <r>
    <s v="ORD1045"/>
    <d v="2024-12-14T11:00:00"/>
    <s v="Chennai"/>
    <s v="CHICKEN__481"/>
    <x v="7"/>
    <s v="Pizza"/>
    <n v="126"/>
    <n v="0.15"/>
    <n v="107.1"/>
    <n v="3"/>
    <n v="82.741242799685295"/>
    <n v="321.29999999999899"/>
    <n v="248.22372839905501"/>
    <n v="73.076271600943898"/>
    <s v="Coupon"/>
    <n v="378"/>
    <n v="-73.076271600943983"/>
  </r>
  <r>
    <s v="ORD1046"/>
    <d v="2025-02-06T02:00:00"/>
    <s v="Hyderabad"/>
    <s v="VEG_BURG_619"/>
    <x v="0"/>
    <s v="Burger"/>
    <n v="173"/>
    <n v="0.1"/>
    <n v="155.69999999999999"/>
    <n v="2"/>
    <n v="104.73197794920399"/>
    <n v="311.39999999999998"/>
    <n v="209.46395589840799"/>
    <n v="101.93604410159099"/>
    <s v="Coupon"/>
    <n v="346"/>
    <n v="-101.93604410159199"/>
  </r>
  <r>
    <s v="ORD1047"/>
    <d v="2025-11-10T18:00:00"/>
    <s v="Hyderabad"/>
    <s v="ICE_CREA_779"/>
    <x v="6"/>
    <s v="Dessert"/>
    <n v="170"/>
    <n v="0.05"/>
    <n v="161.5"/>
    <n v="1"/>
    <n v="94.133025400446499"/>
    <n v="161.5"/>
    <n v="94.133025400446499"/>
    <n v="67.366974599553402"/>
    <s v="None"/>
    <n v="170"/>
    <n v="-67.366974599553501"/>
  </r>
  <r>
    <s v="ORD1048"/>
    <d v="2024-06-19T10:00:00"/>
    <s v="Chennai"/>
    <s v="MARGHERI_761"/>
    <x v="16"/>
    <s v="Pizza"/>
    <n v="90"/>
    <n v="0"/>
    <n v="90"/>
    <n v="1"/>
    <n v="37.617032696695802"/>
    <n v="90"/>
    <n v="37.617032696695802"/>
    <n v="52.382967303304099"/>
    <s v="BOGO"/>
    <n v="90"/>
    <n v="-52.382967303304198"/>
  </r>
  <r>
    <s v="ORD1049"/>
    <d v="2024-10-17T00:00:00"/>
    <s v="Chennai"/>
    <s v="VEG_BURG_934"/>
    <x v="0"/>
    <s v="Burger"/>
    <n v="89"/>
    <n v="0"/>
    <n v="89"/>
    <n v="6"/>
    <n v="44.143256632449699"/>
    <n v="534"/>
    <n v="264.85953979469798"/>
    <n v="269.140460205301"/>
    <s v="None"/>
    <n v="534"/>
    <n v="-269.14046020530202"/>
  </r>
  <r>
    <s v="ORD1050"/>
    <d v="2024-05-05T04:00:00"/>
    <s v="Chennai"/>
    <s v="BROWNIE_167"/>
    <x v="12"/>
    <s v="Dessert"/>
    <n v="97"/>
    <n v="0.1"/>
    <n v="87.3"/>
    <n v="4"/>
    <n v="44.933233925995197"/>
    <n v="349.2"/>
    <n v="179.73293570397999"/>
    <n v="169.467064296019"/>
    <s v="None"/>
    <n v="388"/>
    <n v="-169.46706429602"/>
  </r>
  <r>
    <s v="ORD1051"/>
    <d v="2025-11-27T09:00:00"/>
    <s v="Delhi"/>
    <s v="MARGHERI_969"/>
    <x v="16"/>
    <s v="Pizza"/>
    <n v="153"/>
    <n v="0.1"/>
    <n v="137.69999999999999"/>
    <n v="6"/>
    <n v="100.773024982016"/>
    <n v="826.2"/>
    <n v="604.63814989210096"/>
    <n v="221.56185010789901"/>
    <s v="None"/>
    <n v="918"/>
    <n v="-221.56185010789909"/>
  </r>
  <r>
    <s v="ORD1052"/>
    <d v="2024-05-31T16:00:00"/>
    <s v="Pune"/>
    <s v="ICE_CREA_729"/>
    <x v="6"/>
    <s v="Dessert"/>
    <n v="186"/>
    <n v="0.05"/>
    <n v="176.7"/>
    <n v="1"/>
    <n v="108.251877874803"/>
    <n v="176.7"/>
    <n v="108.251877874803"/>
    <n v="68.448122125196306"/>
    <s v="None"/>
    <n v="186"/>
    <n v="-68.448122125196988"/>
  </r>
  <r>
    <s v="ORD1053"/>
    <d v="2024-02-25T21:00:00"/>
    <s v="Delhi"/>
    <s v="COKE_144"/>
    <x v="8"/>
    <s v="Drinks"/>
    <n v="130"/>
    <n v="0"/>
    <n v="130"/>
    <n v="7"/>
    <n v="85.543859314867106"/>
    <n v="910"/>
    <n v="598.80701520406899"/>
    <n v="311.19298479592999"/>
    <s v="None"/>
    <n v="910"/>
    <n v="-311.19298479593101"/>
  </r>
  <r>
    <s v="ORD1054"/>
    <d v="2025-05-08T23:00:00"/>
    <s v="Chennai"/>
    <s v="CHICKEN__521"/>
    <x v="14"/>
    <s v="Burger"/>
    <n v="106"/>
    <n v="0"/>
    <n v="106"/>
    <n v="1"/>
    <n v="68.606281435646395"/>
    <n v="106"/>
    <n v="68.606281435646395"/>
    <n v="37.393718564353499"/>
    <s v="None"/>
    <n v="106"/>
    <n v="-37.393718564353605"/>
  </r>
  <r>
    <s v="ORD1055"/>
    <d v="2024-01-15T02:00:00"/>
    <s v="Bangalore"/>
    <s v="CHICKEN__515"/>
    <x v="7"/>
    <s v="Pizza"/>
    <n v="173"/>
    <n v="0"/>
    <n v="173"/>
    <n v="1"/>
    <n v="114.104062845087"/>
    <n v="173"/>
    <n v="114.104062845087"/>
    <n v="58.895937154911998"/>
    <s v="None"/>
    <n v="173"/>
    <n v="-58.895937154913"/>
  </r>
  <r>
    <s v="ORD1056"/>
    <d v="2024-09-02T15:00:00"/>
    <s v="Mumbai"/>
    <s v="VEG_SAND_942"/>
    <x v="9"/>
    <s v="Sandwich"/>
    <n v="252"/>
    <n v="0"/>
    <n v="252"/>
    <n v="5"/>
    <n v="161.51457616183799"/>
    <n v="1260"/>
    <n v="807.57288080919102"/>
    <n v="452.42711919080801"/>
    <s v="Percent-Off"/>
    <n v="1260"/>
    <n v="-452.42711919080898"/>
  </r>
  <r>
    <s v="ORD1057"/>
    <d v="2025-05-25T14:00:00"/>
    <s v="Mumbai"/>
    <s v="COKE_379"/>
    <x v="8"/>
    <s v="Drinks"/>
    <n v="338"/>
    <n v="0"/>
    <n v="338"/>
    <n v="2"/>
    <n v="186.98905126453599"/>
    <n v="676"/>
    <n v="373.97810252907198"/>
    <n v="302.021897470927"/>
    <s v="None"/>
    <n v="676"/>
    <n v="-302.02189747092802"/>
  </r>
  <r>
    <s v="ORD1058"/>
    <d v="2025-04-17T16:00:00"/>
    <s v="Bangalore"/>
    <s v="PEPPY_PA_468"/>
    <x v="10"/>
    <s v="Pizza"/>
    <n v="251"/>
    <n v="0.1"/>
    <n v="225.9"/>
    <n v="2"/>
    <n v="159.458299273075"/>
    <n v="451.8"/>
    <n v="318.91659854615102"/>
    <n v="132.88340145384799"/>
    <s v="Bundle"/>
    <n v="502"/>
    <n v="-132.88340145384899"/>
  </r>
  <r>
    <s v="ORD1059"/>
    <d v="2024-03-13T22:00:00"/>
    <s v="Mumbai"/>
    <s v="BROWNIE_274"/>
    <x v="12"/>
    <s v="Dessert"/>
    <n v="155"/>
    <n v="0"/>
    <n v="155"/>
    <n v="2"/>
    <n v="99.926511642933605"/>
    <n v="310"/>
    <n v="199.85302328586701"/>
    <n v="110.14697671413199"/>
    <s v="Percent-Off"/>
    <n v="310"/>
    <n v="-110.14697671413299"/>
  </r>
  <r>
    <s v="ORD1060"/>
    <d v="2024-04-10T21:00:00"/>
    <s v="Bangalore"/>
    <s v="VEG_BURG_332"/>
    <x v="0"/>
    <s v="Burger"/>
    <n v="85"/>
    <n v="0.1"/>
    <n v="76.5"/>
    <n v="2"/>
    <n v="59.894278269714597"/>
    <n v="153"/>
    <n v="119.788556539429"/>
    <n v="33.211443460570699"/>
    <s v="Coupon"/>
    <n v="170"/>
    <n v="-33.211443460571004"/>
  </r>
  <r>
    <s v="ORD1061"/>
    <d v="2024-10-23T15:00:00"/>
    <s v="Bangalore"/>
    <s v="VEG_BURG_950"/>
    <x v="0"/>
    <s v="Burger"/>
    <n v="123"/>
    <n v="0"/>
    <n v="123"/>
    <n v="4"/>
    <n v="66.105696830102403"/>
    <n v="492"/>
    <n v="264.42278732040899"/>
    <n v="227.57721267958999"/>
    <s v="Coupon"/>
    <n v="492"/>
    <n v="-227.57721267959101"/>
  </r>
  <r>
    <s v="ORD1062"/>
    <d v="2024-08-09T15:00:00"/>
    <s v="Chennai"/>
    <s v="COKE_894"/>
    <x v="8"/>
    <s v="Drinks"/>
    <n v="100"/>
    <n v="0.1"/>
    <n v="90"/>
    <n v="2"/>
    <n v="73.181864864851093"/>
    <n v="180"/>
    <n v="146.36372972970199"/>
    <n v="33.636270270297601"/>
    <s v="Coupon"/>
    <n v="200"/>
    <n v="-33.636270270298013"/>
  </r>
  <r>
    <s v="ORD1063"/>
    <d v="2025-10-24T08:00:00"/>
    <s v="Bangalore"/>
    <s v="CHICKEN__323"/>
    <x v="7"/>
    <s v="Pizza"/>
    <n v="211"/>
    <n v="0.05"/>
    <n v="200.45"/>
    <n v="4"/>
    <n v="85.924518010456794"/>
    <n v="801.8"/>
    <n v="343.698072041827"/>
    <n v="458.10192795817198"/>
    <s v="None"/>
    <n v="844"/>
    <n v="-458.10192795817295"/>
  </r>
  <r>
    <s v="ORD1064"/>
    <d v="2025-05-11T14:00:00"/>
    <s v="Pune"/>
    <s v="COKE_530"/>
    <x v="8"/>
    <s v="Drinks"/>
    <n v="169"/>
    <n v="0.05"/>
    <n v="160.54999999999899"/>
    <n v="3"/>
    <n v="93.546465806874593"/>
    <n v="481.65"/>
    <n v="280.63939742062399"/>
    <n v="201.01060257937499"/>
    <s v="Percent-Off"/>
    <n v="507"/>
    <n v="-201.01060257937598"/>
  </r>
  <r>
    <s v="ORD1065"/>
    <d v="2025-07-31T01:00:00"/>
    <s v="Bangalore"/>
    <s v="ICE_CREA_868"/>
    <x v="6"/>
    <s v="Dessert"/>
    <n v="82"/>
    <n v="0"/>
    <n v="82"/>
    <n v="4"/>
    <n v="54.138522776859404"/>
    <n v="328"/>
    <n v="216.55409110743699"/>
    <n v="111.445908892562"/>
    <s v="Percent-Off"/>
    <n v="328"/>
    <n v="-111.44590889256301"/>
  </r>
  <r>
    <s v="ORD1066"/>
    <d v="2024-07-22T01:00:00"/>
    <s v="Chennai"/>
    <s v="CHICKEN__185"/>
    <x v="14"/>
    <s v="Burger"/>
    <n v="195"/>
    <n v="0.15"/>
    <n v="165.75"/>
    <n v="3"/>
    <n v="140.21794252560801"/>
    <n v="497.25"/>
    <n v="420.65382757682602"/>
    <n v="76.596172423173002"/>
    <s v="Bundle"/>
    <n v="585"/>
    <n v="-76.596172423173982"/>
  </r>
  <r>
    <s v="ORD1067"/>
    <d v="2024-07-19T06:00:00"/>
    <s v="Delhi"/>
    <s v="VEG_BURG_841"/>
    <x v="0"/>
    <s v="Burger"/>
    <n v="89"/>
    <n v="0.1"/>
    <n v="80.099999999999994"/>
    <n v="6"/>
    <n v="41.457480034140602"/>
    <n v="480.6"/>
    <n v="248.74488020484401"/>
    <n v="231.85511979515499"/>
    <s v="None"/>
    <n v="534"/>
    <n v="-231.85511979515601"/>
  </r>
  <r>
    <s v="ORD1068"/>
    <d v="2024-12-24T00:00:00"/>
    <s v="Delhi"/>
    <s v="MARGHERI_494"/>
    <x v="16"/>
    <s v="Pizza"/>
    <n v="85"/>
    <n v="0"/>
    <n v="85"/>
    <n v="4"/>
    <n v="36.189043511068299"/>
    <n v="340"/>
    <n v="144.756174044273"/>
    <n v="195.24382595572601"/>
    <s v="BOGO"/>
    <n v="340"/>
    <n v="-195.243825955727"/>
  </r>
  <r>
    <s v="ORD1069"/>
    <d v="2025-05-22T14:00:00"/>
    <s v="Delhi"/>
    <s v="MARGHERI_637"/>
    <x v="16"/>
    <s v="Pizza"/>
    <n v="189"/>
    <n v="0"/>
    <n v="189"/>
    <n v="4"/>
    <n v="129.911263300428"/>
    <n v="756"/>
    <n v="519.64505320171497"/>
    <n v="236.354946798284"/>
    <s v="None"/>
    <n v="756"/>
    <n v="-236.35494679828503"/>
  </r>
  <r>
    <s v="ORD1070"/>
    <d v="2025-11-29T22:00:00"/>
    <s v="Bangalore"/>
    <s v="ONION_RI_629"/>
    <x v="17"/>
    <s v="Snacks"/>
    <n v="82"/>
    <n v="0.2"/>
    <n v="65.599999999999994"/>
    <n v="6"/>
    <n v="56.870819854121699"/>
    <n v="393.6"/>
    <n v="341.22491912472998"/>
    <n v="52.375080875269397"/>
    <s v="BOGO"/>
    <n v="492"/>
    <n v="-52.375080875270044"/>
  </r>
  <r>
    <s v="ORD1071"/>
    <d v="2025-05-16T21:00:00"/>
    <s v="Hyderabad"/>
    <s v="BROWNIE_303"/>
    <x v="12"/>
    <s v="Dessert"/>
    <n v="334"/>
    <n v="0.05"/>
    <n v="317.3"/>
    <n v="7"/>
    <n v="134.69242506254099"/>
    <n v="2221.1"/>
    <n v="942.84697543779305"/>
    <n v="1278.2530245621999"/>
    <s v="Percent-Off"/>
    <n v="2338"/>
    <n v="-1278.253024562207"/>
  </r>
  <r>
    <s v="ORD1072"/>
    <d v="2024-07-03T14:00:00"/>
    <s v="Pune"/>
    <s v="COKE_972"/>
    <x v="8"/>
    <s v="Drinks"/>
    <n v="270"/>
    <n v="0.15"/>
    <n v="229.5"/>
    <n v="6"/>
    <n v="171.34520541125499"/>
    <n v="1377"/>
    <n v="1028.0712324675301"/>
    <n v="348.92876753246497"/>
    <s v="Percent-Off"/>
    <n v="1620"/>
    <n v="-348.92876753246992"/>
  </r>
  <r>
    <s v="ORD1073"/>
    <d v="2025-01-02T12:00:00"/>
    <s v="Chennai"/>
    <s v="ICE_CREA_303"/>
    <x v="6"/>
    <s v="Dessert"/>
    <n v="209"/>
    <n v="0.1"/>
    <n v="188.1"/>
    <n v="4"/>
    <n v="125.67648663754299"/>
    <n v="752.4"/>
    <n v="502.70594655017499"/>
    <n v="249.694053449824"/>
    <s v="None"/>
    <n v="836"/>
    <n v="-249.69405344982499"/>
  </r>
  <r>
    <s v="ORD1074"/>
    <d v="2024-06-25T08:00:00"/>
    <s v="Delhi"/>
    <s v="CHEESE_B_751"/>
    <x v="5"/>
    <s v="Burger"/>
    <n v="88"/>
    <n v="0.1"/>
    <n v="79.2"/>
    <n v="1"/>
    <n v="35.259502960178303"/>
    <n v="79.2"/>
    <n v="35.259502960178303"/>
    <n v="43.940497039821601"/>
    <s v="Coupon"/>
    <n v="88"/>
    <n v="-43.9404970398217"/>
  </r>
  <r>
    <s v="ORD1075"/>
    <d v="2025-04-08T10:00:00"/>
    <s v="Bangalore"/>
    <s v="CHICKEN__683"/>
    <x v="7"/>
    <s v="Pizza"/>
    <n v="346"/>
    <n v="0.2"/>
    <n v="276.8"/>
    <n v="6"/>
    <n v="229.882706285327"/>
    <n v="1660.8"/>
    <n v="1379.29623771196"/>
    <n v="281.50376228803401"/>
    <s v="BOGO"/>
    <n v="2076"/>
    <n v="-281.50376228803998"/>
  </r>
  <r>
    <s v="ORD1076"/>
    <d v="2025-09-17T23:00:00"/>
    <s v="Mumbai"/>
    <s v="MARGHERI_395"/>
    <x v="16"/>
    <s v="Pizza"/>
    <n v="196"/>
    <n v="0.1"/>
    <n v="176.4"/>
    <n v="3"/>
    <n v="114.990889557366"/>
    <n v="529.20000000000005"/>
    <n v="344.97266867209999"/>
    <n v="184.22733132789901"/>
    <s v="None"/>
    <n v="588"/>
    <n v="-184.22733132790006"/>
  </r>
  <r>
    <s v="ORD1077"/>
    <d v="2024-11-29T15:00:00"/>
    <s v="Pune"/>
    <s v="GULAB_JA_988"/>
    <x v="11"/>
    <s v="Dessert"/>
    <n v="288"/>
    <n v="0"/>
    <n v="288"/>
    <n v="1"/>
    <n v="185.32058794729701"/>
    <n v="288"/>
    <n v="185.32058794729701"/>
    <n v="102.67941205270201"/>
    <s v="Coupon"/>
    <n v="288"/>
    <n v="-102.67941205270299"/>
  </r>
  <r>
    <s v="ORD1078"/>
    <d v="2025-01-10T18:00:00"/>
    <s v="Delhi"/>
    <s v="FRIES_439"/>
    <x v="2"/>
    <s v="Snacks"/>
    <n v="106"/>
    <n v="0"/>
    <n v="106"/>
    <n v="1"/>
    <n v="43.142434946627503"/>
    <n v="106"/>
    <n v="43.142434946627503"/>
    <n v="62.857565053372397"/>
    <s v="Coupon"/>
    <n v="106"/>
    <n v="-62.857565053372497"/>
  </r>
  <r>
    <s v="ORD1079"/>
    <d v="2024-03-03T12:00:00"/>
    <s v="Hyderabad"/>
    <s v="MARGHERI_860"/>
    <x v="16"/>
    <s v="Pizza"/>
    <n v="344"/>
    <n v="0.1"/>
    <n v="309.60000000000002"/>
    <n v="6"/>
    <n v="242.22174790993699"/>
    <n v="1857.6"/>
    <n v="1453.3304874596199"/>
    <n v="404.26951254037698"/>
    <s v="None"/>
    <n v="2064"/>
    <n v="-404.26951254037999"/>
  </r>
  <r>
    <s v="ORD1080"/>
    <d v="2024-10-07T17:00:00"/>
    <s v="Delhi"/>
    <s v="COKE_295"/>
    <x v="8"/>
    <s v="Drinks"/>
    <n v="280"/>
    <n v="0"/>
    <n v="280"/>
    <n v="4"/>
    <n v="157.70657450131699"/>
    <n v="1120"/>
    <n v="630.826298005269"/>
    <n v="489.17370199472998"/>
    <s v="None"/>
    <n v="1120"/>
    <n v="-489.173701994731"/>
  </r>
  <r>
    <s v="ORD1081"/>
    <d v="2024-05-17T06:00:00"/>
    <s v="Delhi"/>
    <s v="COLD_COF_603"/>
    <x v="15"/>
    <s v="Drinks"/>
    <n v="214"/>
    <n v="0.15"/>
    <n v="181.9"/>
    <n v="4"/>
    <n v="86.778624929978406"/>
    <n v="727.6"/>
    <n v="347.114499719913"/>
    <n v="380.485500280086"/>
    <s v="Percent-Off"/>
    <n v="856"/>
    <n v="-380.48550028008702"/>
  </r>
  <r>
    <s v="ORD1082"/>
    <d v="2024-07-06T09:00:00"/>
    <s v="Delhi"/>
    <s v="CHICKEN__678"/>
    <x v="7"/>
    <s v="Pizza"/>
    <n v="207"/>
    <n v="0"/>
    <n v="207"/>
    <n v="7"/>
    <n v="138.21600230397499"/>
    <n v="1449"/>
    <n v="967.51201612782904"/>
    <n v="481.48798387216999"/>
    <s v="Coupon"/>
    <n v="1449"/>
    <n v="-481.48798387217096"/>
  </r>
  <r>
    <s v="ORD1083"/>
    <d v="2024-01-26T14:00:00"/>
    <s v="Bangalore"/>
    <s v="ONION_RI_768"/>
    <x v="17"/>
    <s v="Snacks"/>
    <n v="175"/>
    <n v="0.15"/>
    <n v="148.75"/>
    <n v="5"/>
    <n v="111.55917050591999"/>
    <n v="743.75"/>
    <n v="557.79585252960203"/>
    <n v="185.954147470397"/>
    <s v="BOGO"/>
    <n v="875"/>
    <n v="-185.95414747039797"/>
  </r>
  <r>
    <s v="ORD1084"/>
    <d v="2025-01-25T14:00:00"/>
    <s v="Hyderabad"/>
    <s v="PEPPY_PA_804"/>
    <x v="10"/>
    <s v="Pizza"/>
    <n v="251"/>
    <n v="0.05"/>
    <n v="238.45"/>
    <n v="1"/>
    <n v="158.49215715538801"/>
    <n v="238.45"/>
    <n v="158.49215715538801"/>
    <n v="79.957842844611605"/>
    <s v="Coupon"/>
    <n v="251"/>
    <n v="-79.957842844611974"/>
  </r>
  <r>
    <s v="ORD1085"/>
    <d v="2024-04-21T03:00:00"/>
    <s v="Delhi"/>
    <s v="VEG_SAND_185"/>
    <x v="9"/>
    <s v="Sandwich"/>
    <n v="179"/>
    <n v="0"/>
    <n v="179"/>
    <n v="1"/>
    <n v="121.04612340291"/>
    <n v="179"/>
    <n v="121.04612340291"/>
    <n v="57.953876597089"/>
    <s v="None"/>
    <n v="179"/>
    <n v="-57.953876597090002"/>
  </r>
  <r>
    <s v="ORD1086"/>
    <d v="2025-07-12T17:00:00"/>
    <s v="Hyderabad"/>
    <s v="COLD_COF_415"/>
    <x v="15"/>
    <s v="Drinks"/>
    <n v="265"/>
    <n v="0.1"/>
    <n v="238.5"/>
    <n v="2"/>
    <n v="171.87506996375299"/>
    <n v="477"/>
    <n v="343.75013992750598"/>
    <n v="133.24986007249299"/>
    <s v="None"/>
    <n v="530"/>
    <n v="-133.24986007249402"/>
  </r>
  <r>
    <s v="ORD1087"/>
    <d v="2025-11-19T02:00:00"/>
    <s v="Delhi"/>
    <s v="CHEESE_B_953"/>
    <x v="5"/>
    <s v="Burger"/>
    <n v="207"/>
    <n v="0.15"/>
    <n v="175.95"/>
    <n v="1"/>
    <n v="119.298385997849"/>
    <n v="175.95"/>
    <n v="119.298385997849"/>
    <n v="56.651614002150197"/>
    <s v="Coupon"/>
    <n v="207"/>
    <n v="-56.651614002150993"/>
  </r>
  <r>
    <s v="ORD1088"/>
    <d v="2024-05-04T07:00:00"/>
    <s v="Pune"/>
    <s v="VEG_BURG_730"/>
    <x v="0"/>
    <s v="Burger"/>
    <n v="126"/>
    <n v="0"/>
    <n v="126"/>
    <n v="5"/>
    <n v="53.863048900023301"/>
    <n v="630"/>
    <n v="269.31524450011602"/>
    <n v="360.68475549988301"/>
    <s v="None"/>
    <n v="630"/>
    <n v="-360.68475549988398"/>
  </r>
  <r>
    <s v="ORD1089"/>
    <d v="2025-06-11T03:00:00"/>
    <s v="Pune"/>
    <s v="BROWNIE_753"/>
    <x v="12"/>
    <s v="Dessert"/>
    <n v="341"/>
    <n v="0.2"/>
    <n v="272.8"/>
    <n v="6"/>
    <n v="223.33289131112201"/>
    <n v="1636.8"/>
    <n v="1339.99734786673"/>
    <n v="296.80265213326498"/>
    <s v="None"/>
    <n v="2046"/>
    <n v="-296.80265213326993"/>
  </r>
  <r>
    <s v="ORD1090"/>
    <d v="2024-12-08T22:00:00"/>
    <s v="Chennai"/>
    <s v="CHEESE_B_387"/>
    <x v="5"/>
    <s v="Burger"/>
    <n v="186"/>
    <n v="0.05"/>
    <n v="176.7"/>
    <n v="2"/>
    <n v="120.763451408184"/>
    <n v="353.4"/>
    <n v="241.52690281636899"/>
    <n v="111.87309718362999"/>
    <s v="None"/>
    <n v="372"/>
    <n v="-111.87309718363099"/>
  </r>
  <r>
    <s v="ORD1091"/>
    <d v="2024-10-03T16:00:00"/>
    <s v="Chennai"/>
    <s v="CHEESE_B_564"/>
    <x v="5"/>
    <s v="Burger"/>
    <n v="299"/>
    <n v="0.05"/>
    <n v="284.05"/>
    <n v="1"/>
    <n v="196.45544584215"/>
    <n v="284.05"/>
    <n v="196.45544584215"/>
    <n v="87.594554157849203"/>
    <s v="Percent-Off"/>
    <n v="299"/>
    <n v="-87.594554157850013"/>
  </r>
  <r>
    <s v="ORD1092"/>
    <d v="2025-05-05T19:00:00"/>
    <s v="Mumbai"/>
    <s v="GRILLED__130"/>
    <x v="1"/>
    <s v="Sandwich"/>
    <n v="293"/>
    <n v="0"/>
    <n v="293"/>
    <n v="3"/>
    <n v="186.256296174509"/>
    <n v="879"/>
    <n v="558.76888852352795"/>
    <n v="320.23111147647103"/>
    <s v="Percent-Off"/>
    <n v="879"/>
    <n v="-320.23111147647205"/>
  </r>
  <r>
    <s v="ORD1093"/>
    <d v="2025-09-30T05:00:00"/>
    <s v="Delhi"/>
    <s v="CHEESE_B_893"/>
    <x v="5"/>
    <s v="Burger"/>
    <n v="159"/>
    <n v="0.2"/>
    <n v="127.2"/>
    <n v="5"/>
    <n v="103.543374319023"/>
    <n v="636"/>
    <n v="517.716871595116"/>
    <n v="118.283128404883"/>
    <s v="Percent-Off"/>
    <n v="795"/>
    <n v="-118.283128404884"/>
  </r>
  <r>
    <s v="ORD1094"/>
    <d v="2025-12-22T00:00:00"/>
    <s v="Delhi"/>
    <s v="FRIES_131"/>
    <x v="2"/>
    <s v="Snacks"/>
    <n v="254"/>
    <n v="0.1"/>
    <n v="228.6"/>
    <n v="4"/>
    <n v="151.24038005599201"/>
    <n v="914.4"/>
    <n v="604.96152022396996"/>
    <n v="309.438479776029"/>
    <s v="None"/>
    <n v="1016"/>
    <n v="-309.43847977603002"/>
  </r>
  <r>
    <s v="ORD1095"/>
    <d v="2024-11-11T04:00:00"/>
    <s v="Chennai"/>
    <s v="SPRITE_555"/>
    <x v="3"/>
    <s v="Drinks"/>
    <n v="223"/>
    <n v="0.1"/>
    <n v="200.7"/>
    <n v="7"/>
    <n v="160.08419794411199"/>
    <n v="1404.9"/>
    <n v="1120.58938560878"/>
    <n v="284.31061439121498"/>
    <s v="Coupon"/>
    <n v="1561"/>
    <n v="-284.31061439122004"/>
  </r>
  <r>
    <s v="ORD1096"/>
    <d v="2025-10-08T16:00:00"/>
    <s v="Mumbai"/>
    <s v="SPRITE_403"/>
    <x v="3"/>
    <s v="Drinks"/>
    <n v="157"/>
    <n v="0"/>
    <n v="157"/>
    <n v="1"/>
    <n v="82.973949300298997"/>
    <n v="157"/>
    <n v="82.973949300298997"/>
    <n v="74.026050699700903"/>
    <s v="None"/>
    <n v="157"/>
    <n v="-74.026050699701003"/>
  </r>
  <r>
    <s v="ORD1097"/>
    <d v="2025-07-26T09:00:00"/>
    <s v="Bangalore"/>
    <s v="BROWNIE_627"/>
    <x v="12"/>
    <s v="Dessert"/>
    <n v="247"/>
    <n v="0.1"/>
    <n v="222.3"/>
    <n v="1"/>
    <n v="144.78367974538801"/>
    <n v="222.3"/>
    <n v="144.78367974538801"/>
    <n v="77.516320254611401"/>
    <s v="None"/>
    <n v="247"/>
    <n v="-77.516320254611998"/>
  </r>
  <r>
    <s v="ORD1098"/>
    <d v="2025-01-23T11:00:00"/>
    <s v="Mumbai"/>
    <s v="CHEESE_B_250"/>
    <x v="5"/>
    <s v="Burger"/>
    <n v="127"/>
    <n v="0.25"/>
    <n v="95.25"/>
    <n v="4"/>
    <n v="76.037685713396996"/>
    <n v="381"/>
    <n v="304.15074285358799"/>
    <n v="76.849257146412"/>
    <s v="Bundle"/>
    <n v="508"/>
    <n v="-76.849257146412015"/>
  </r>
  <r>
    <s v="ORD1099"/>
    <d v="2025-09-26T13:00:00"/>
    <s v="Pune"/>
    <s v="CHICKEN__689"/>
    <x v="14"/>
    <s v="Burger"/>
    <n v="297"/>
    <n v="0.1"/>
    <n v="267.3"/>
    <n v="5"/>
    <n v="127.400311884319"/>
    <n v="1336.5"/>
    <n v="637.00155942159904"/>
    <n v="699.49844057840005"/>
    <s v="Percent-Off"/>
    <n v="1485"/>
    <n v="-699.49844057840096"/>
  </r>
  <r>
    <s v="ORD1100"/>
    <d v="2025-05-03T01:00:00"/>
    <s v="Mumbai"/>
    <s v="MARGHERI_348"/>
    <x v="16"/>
    <s v="Pizza"/>
    <n v="132"/>
    <n v="0"/>
    <n v="132"/>
    <n v="2"/>
    <n v="76.428361971133299"/>
    <n v="264"/>
    <n v="152.856723942266"/>
    <n v="111.143276057733"/>
    <s v="Coupon"/>
    <n v="264"/>
    <n v="-111.143276057734"/>
  </r>
  <r>
    <s v="ORD1101"/>
    <d v="2024-12-20T06:00:00"/>
    <s v="Pune"/>
    <s v="COLD_COF_396"/>
    <x v="15"/>
    <s v="Drinks"/>
    <n v="171"/>
    <n v="0.1"/>
    <n v="153.9"/>
    <n v="3"/>
    <n v="112.797117543483"/>
    <n v="461.7"/>
    <n v="338.39135263045"/>
    <n v="123.30864736954901"/>
    <s v="None"/>
    <n v="513"/>
    <n v="-123.30864736954999"/>
  </r>
  <r>
    <s v="ORD1102"/>
    <d v="2024-01-23T17:00:00"/>
    <s v="Pune"/>
    <s v="MARGHERI_592"/>
    <x v="16"/>
    <s v="Pizza"/>
    <n v="213"/>
    <n v="0.25"/>
    <n v="159.75"/>
    <n v="6"/>
    <n v="112.21926170404799"/>
    <n v="958.5"/>
    <n v="673.31557022428899"/>
    <n v="285.18442977570999"/>
    <s v="Coupon"/>
    <n v="1278"/>
    <n v="-285.18442977571101"/>
  </r>
  <r>
    <s v="ORD1103"/>
    <d v="2024-06-30T02:00:00"/>
    <s v="Delhi"/>
    <s v="MARGHERI_776"/>
    <x v="16"/>
    <s v="Pizza"/>
    <n v="193"/>
    <n v="0"/>
    <n v="193"/>
    <n v="3"/>
    <n v="133.37446492459401"/>
    <n v="579"/>
    <n v="400.12339477378401"/>
    <n v="178.87660522621499"/>
    <s v="Percent-Off"/>
    <n v="579"/>
    <n v="-178.87660522621599"/>
  </r>
  <r>
    <s v="ORD1104"/>
    <d v="2025-02-20T12:00:00"/>
    <s v="Bangalore"/>
    <s v="CHICKEN__891"/>
    <x v="7"/>
    <s v="Pizza"/>
    <n v="241"/>
    <n v="0.2"/>
    <n v="192.8"/>
    <n v="7"/>
    <n v="148.362849865475"/>
    <n v="1349.6"/>
    <n v="1038.53994905832"/>
    <n v="311.06005094167199"/>
    <s v="Coupon"/>
    <n v="1687"/>
    <n v="-311.06005094167995"/>
  </r>
  <r>
    <s v="ORD1105"/>
    <d v="2025-10-19T07:00:00"/>
    <s v="Chennai"/>
    <s v="GRILLED__658"/>
    <x v="1"/>
    <s v="Sandwich"/>
    <n v="226"/>
    <n v="0.15"/>
    <n v="192.1"/>
    <n v="3"/>
    <n v="116.091594206586"/>
    <n v="576.29999999999995"/>
    <n v="348.27478261975898"/>
    <n v="228.02521738024001"/>
    <s v="None"/>
    <n v="678"/>
    <n v="-228.02521738024097"/>
  </r>
  <r>
    <s v="ORD1106"/>
    <d v="2025-08-02T23:00:00"/>
    <s v="Delhi"/>
    <s v="CHEESE_B_113"/>
    <x v="5"/>
    <s v="Burger"/>
    <n v="224"/>
    <n v="0.1"/>
    <n v="201.6"/>
    <n v="5"/>
    <n v="160.63895192272699"/>
    <n v="1008"/>
    <n v="803.19475961363798"/>
    <n v="204.80524038636099"/>
    <s v="Percent-Off"/>
    <n v="1120"/>
    <n v="-204.80524038636202"/>
  </r>
  <r>
    <s v="ORD1107"/>
    <d v="2024-06-07T18:00:00"/>
    <s v="Mumbai"/>
    <s v="MARGHERI_136"/>
    <x v="16"/>
    <s v="Pizza"/>
    <n v="268"/>
    <n v="0"/>
    <n v="268"/>
    <n v="7"/>
    <n v="176.861575409972"/>
    <n v="1876"/>
    <n v="1238.0310278698"/>
    <n v="637.96897213019304"/>
    <s v="Percent-Off"/>
    <n v="1876"/>
    <n v="-637.96897213019997"/>
  </r>
  <r>
    <s v="ORD1108"/>
    <d v="2024-10-27T06:00:00"/>
    <s v="Delhi"/>
    <s v="COLD_COF_686"/>
    <x v="15"/>
    <s v="Drinks"/>
    <n v="181"/>
    <n v="0.15"/>
    <n v="153.85"/>
    <n v="4"/>
    <n v="75.8189843864252"/>
    <n v="615.4"/>
    <n v="303.27593754570103"/>
    <n v="312.12406245429798"/>
    <s v="BOGO"/>
    <n v="724"/>
    <n v="-312.12406245429895"/>
  </r>
  <r>
    <s v="ORD1109"/>
    <d v="2025-01-10T05:00:00"/>
    <s v="Pune"/>
    <s v="VEG_BURG_120"/>
    <x v="0"/>
    <s v="Burger"/>
    <n v="346"/>
    <n v="0.15"/>
    <n v="294.099999999999"/>
    <n v="6"/>
    <n v="206.241358671928"/>
    <n v="1764.6"/>
    <n v="1237.4481520315701"/>
    <n v="527.15184796842902"/>
    <s v="Bundle"/>
    <n v="2076"/>
    <n v="-527.15184796842982"/>
  </r>
  <r>
    <s v="ORD1110"/>
    <d v="2025-11-13T03:00:00"/>
    <s v="Delhi"/>
    <s v="CHICKEN__698"/>
    <x v="7"/>
    <s v="Pizza"/>
    <n v="87"/>
    <n v="0.1"/>
    <n v="78.3"/>
    <n v="7"/>
    <n v="57.213701295064197"/>
    <n v="548.1"/>
    <n v="400.49590906544898"/>
    <n v="147.60409093454999"/>
    <s v="Coupon"/>
    <n v="609"/>
    <n v="-147.60409093455104"/>
  </r>
  <r>
    <s v="ORD1111"/>
    <d v="2025-05-28T04:00:00"/>
    <s v="Delhi"/>
    <s v="VEG_SAND_893"/>
    <x v="9"/>
    <s v="Sandwich"/>
    <n v="320"/>
    <n v="0"/>
    <n v="320"/>
    <n v="2"/>
    <n v="228.25189728177"/>
    <n v="640"/>
    <n v="456.50379456354"/>
    <n v="183.49620543645901"/>
    <s v="None"/>
    <n v="640"/>
    <n v="-183.49620543646"/>
  </r>
  <r>
    <s v="ORD1112"/>
    <d v="2024-12-17T12:00:00"/>
    <s v="Hyderabad"/>
    <s v="BROWNIE_420"/>
    <x v="12"/>
    <s v="Dessert"/>
    <n v="291"/>
    <n v="0.1"/>
    <n v="261.89999999999998"/>
    <n v="6"/>
    <n v="210.30118092902001"/>
    <n v="1571.4"/>
    <n v="1261.80708557412"/>
    <n v="309.59291442587602"/>
    <s v="None"/>
    <n v="1746"/>
    <n v="-309.59291442588005"/>
  </r>
  <r>
    <s v="ORD1113"/>
    <d v="2025-06-25T00:00:00"/>
    <s v="Hyderabad"/>
    <s v="CHICKEN__406"/>
    <x v="7"/>
    <s v="Pizza"/>
    <n v="266"/>
    <n v="0"/>
    <n v="266"/>
    <n v="5"/>
    <n v="106.487797259309"/>
    <n v="1330"/>
    <n v="532.43898629654598"/>
    <n v="797.561013703453"/>
    <s v="Bundle"/>
    <n v="1330"/>
    <n v="-797.56101370345402"/>
  </r>
  <r>
    <s v="ORD1114"/>
    <d v="2024-01-12T07:00:00"/>
    <s v="Mumbai"/>
    <s v="ONION_RI_477"/>
    <x v="17"/>
    <s v="Snacks"/>
    <n v="212"/>
    <n v="0.1"/>
    <n v="190.8"/>
    <n v="4"/>
    <n v="123.75010905086501"/>
    <n v="763.2"/>
    <n v="495.00043620346099"/>
    <n v="268.19956379653797"/>
    <s v="None"/>
    <n v="848"/>
    <n v="-268.19956379653905"/>
  </r>
  <r>
    <s v="ORD1115"/>
    <d v="2025-03-18T08:00:00"/>
    <s v="Bangalore"/>
    <s v="CLUB_SAN_818"/>
    <x v="13"/>
    <s v="Sandwich"/>
    <n v="225"/>
    <n v="0"/>
    <n v="225"/>
    <n v="5"/>
    <n v="137.922103158082"/>
    <n v="1125"/>
    <n v="689.61051579041202"/>
    <n v="435.38948420958701"/>
    <s v="None"/>
    <n v="1125"/>
    <n v="-435.38948420958798"/>
  </r>
  <r>
    <s v="ORD1116"/>
    <d v="2024-06-30T17:00:00"/>
    <s v="Pune"/>
    <s v="VEG_SAND_264"/>
    <x v="9"/>
    <s v="Sandwich"/>
    <n v="99"/>
    <n v="0.1"/>
    <n v="89.1"/>
    <n v="7"/>
    <n v="67.957651735799502"/>
    <n v="623.70000000000005"/>
    <n v="475.70356215059701"/>
    <n v="147.99643784940301"/>
    <s v="None"/>
    <n v="693"/>
    <n v="-147.99643784940304"/>
  </r>
  <r>
    <s v="ORD1117"/>
    <d v="2024-10-21T13:00:00"/>
    <s v="Mumbai"/>
    <s v="CLUB_SAN_894"/>
    <x v="13"/>
    <s v="Sandwich"/>
    <n v="211"/>
    <n v="0"/>
    <n v="211"/>
    <n v="7"/>
    <n v="123.033158838124"/>
    <n v="1477"/>
    <n v="861.23211186687195"/>
    <n v="615.76788813312703"/>
    <s v="Coupon"/>
    <n v="1477"/>
    <n v="-615.76788813312805"/>
  </r>
  <r>
    <s v="ORD1118"/>
    <d v="2025-12-22T00:00:00"/>
    <s v="Chennai"/>
    <s v="VEG_BURG_793"/>
    <x v="0"/>
    <s v="Burger"/>
    <n v="313"/>
    <n v="0"/>
    <n v="313"/>
    <n v="4"/>
    <n v="197.04248246301401"/>
    <n v="1252"/>
    <n v="788.16992985205695"/>
    <n v="463.83007014794202"/>
    <s v="Coupon"/>
    <n v="1252"/>
    <n v="-463.83007014794305"/>
  </r>
  <r>
    <s v="ORD1119"/>
    <d v="2024-05-22T22:00:00"/>
    <s v="Hyderabad"/>
    <s v="VEG_BURG_382"/>
    <x v="0"/>
    <s v="Burger"/>
    <n v="287"/>
    <n v="0"/>
    <n v="287"/>
    <n v="4"/>
    <n v="149.75962883954401"/>
    <n v="1148"/>
    <n v="599.03851535817603"/>
    <n v="548.96148464182397"/>
    <s v="Percent-Off"/>
    <n v="1148"/>
    <n v="-548.96148464182397"/>
  </r>
  <r>
    <s v="ORD1120"/>
    <d v="2025-06-12T04:00:00"/>
    <s v="Delhi"/>
    <s v="CHICKEN__821"/>
    <x v="14"/>
    <s v="Burger"/>
    <n v="153"/>
    <n v="0.05"/>
    <n v="145.35"/>
    <n v="1"/>
    <n v="74.116622781330605"/>
    <n v="145.35"/>
    <n v="74.116622781330605"/>
    <n v="71.233377218669304"/>
    <s v="Bundle"/>
    <n v="153"/>
    <n v="-71.233377218669389"/>
  </r>
  <r>
    <s v="ORD1121"/>
    <d v="2025-03-26T16:00:00"/>
    <s v="Delhi"/>
    <s v="MARGHERI_774"/>
    <x v="16"/>
    <s v="Pizza"/>
    <n v="269"/>
    <n v="0.15"/>
    <n v="228.65"/>
    <n v="6"/>
    <n v="139.71482050450101"/>
    <n v="1371.9"/>
    <n v="838.28892302700797"/>
    <n v="533.61107697299099"/>
    <s v="None"/>
    <n v="1614"/>
    <n v="-533.61107697299212"/>
  </r>
  <r>
    <s v="ORD1122"/>
    <d v="2024-03-26T10:00:00"/>
    <s v="Bangalore"/>
    <s v="VEG_BURG_732"/>
    <x v="0"/>
    <s v="Burger"/>
    <n v="160"/>
    <n v="0.1"/>
    <n v="144"/>
    <n v="6"/>
    <n v="103.44772280273899"/>
    <n v="864"/>
    <n v="620.68633681643496"/>
    <n v="243.31366318356399"/>
    <s v="None"/>
    <n v="960"/>
    <n v="-243.31366318356504"/>
  </r>
  <r>
    <s v="ORD1123"/>
    <d v="2025-05-02T04:00:00"/>
    <s v="Hyderabad"/>
    <s v="CHEESE_B_126"/>
    <x v="5"/>
    <s v="Burger"/>
    <n v="97"/>
    <n v="0.15"/>
    <n v="82.45"/>
    <n v="3"/>
    <n v="41.998441844644098"/>
    <n v="247.35"/>
    <n v="125.995325533932"/>
    <n v="121.354674466067"/>
    <s v="Bundle"/>
    <n v="291"/>
    <n v="-121.35467446606799"/>
  </r>
  <r>
    <s v="ORD1124"/>
    <d v="2024-02-18T13:00:00"/>
    <s v="Chennai"/>
    <s v="VEG_BURG_588"/>
    <x v="0"/>
    <s v="Burger"/>
    <n v="318"/>
    <n v="0.2"/>
    <n v="254.4"/>
    <n v="2"/>
    <n v="221.44695092389"/>
    <n v="508.8"/>
    <n v="442.89390184778102"/>
    <n v="65.906098152218505"/>
    <s v="Coupon"/>
    <n v="636"/>
    <n v="-65.906098152218988"/>
  </r>
  <r>
    <s v="ORD1125"/>
    <d v="2024-03-25T17:00:00"/>
    <s v="Hyderabad"/>
    <s v="VEG_BURG_359"/>
    <x v="0"/>
    <s v="Burger"/>
    <n v="263"/>
    <n v="0.15"/>
    <n v="223.54999999999899"/>
    <n v="4"/>
    <n v="116.550299379837"/>
    <n v="894.19999999999902"/>
    <n v="466.201197519348"/>
    <n v="427.99880248065102"/>
    <s v="Coupon"/>
    <n v="1052"/>
    <n v="-427.99880248065102"/>
  </r>
  <r>
    <s v="ORD1126"/>
    <d v="2024-01-07T01:00:00"/>
    <s v="Pune"/>
    <s v="PEPPY_PA_271"/>
    <x v="10"/>
    <s v="Pizza"/>
    <n v="238"/>
    <n v="0.1"/>
    <n v="214.2"/>
    <n v="2"/>
    <n v="119.188618040777"/>
    <n v="428.4"/>
    <n v="238.377236081554"/>
    <n v="190.02276391844501"/>
    <s v="None"/>
    <n v="476"/>
    <n v="-190.02276391844597"/>
  </r>
  <r>
    <s v="ORD1127"/>
    <d v="2025-08-17T13:00:00"/>
    <s v="Pune"/>
    <s v="GARLIC_B_629"/>
    <x v="4"/>
    <s v="Snacks"/>
    <n v="257"/>
    <n v="0.1"/>
    <n v="231.3"/>
    <n v="1"/>
    <n v="178.815093314308"/>
    <n v="231.3"/>
    <n v="178.815093314308"/>
    <n v="52.484906685691598"/>
    <s v="None"/>
    <n v="257"/>
    <n v="-52.48490668569201"/>
  </r>
  <r>
    <s v="ORD1128"/>
    <d v="2024-11-22T08:00:00"/>
    <s v="Hyderabad"/>
    <s v="ICE_CREA_985"/>
    <x v="6"/>
    <s v="Dessert"/>
    <n v="131"/>
    <n v="0.1"/>
    <n v="117.9"/>
    <n v="4"/>
    <n v="71.521982581269498"/>
    <n v="471.6"/>
    <n v="286.08793032507799"/>
    <n v="185.51206967492101"/>
    <s v="None"/>
    <n v="524"/>
    <n v="-185.51206967492203"/>
  </r>
  <r>
    <s v="ORD1129"/>
    <d v="2025-08-18T06:00:00"/>
    <s v="Hyderabad"/>
    <s v="CHEESE_B_694"/>
    <x v="5"/>
    <s v="Burger"/>
    <n v="328"/>
    <n v="0.1"/>
    <n v="295.2"/>
    <n v="5"/>
    <n v="201.92951988772401"/>
    <n v="1476"/>
    <n v="1009.64759943862"/>
    <n v="466.35240056137599"/>
    <s v="None"/>
    <n v="1640"/>
    <n v="-466.35240056138002"/>
  </r>
  <r>
    <s v="ORD1130"/>
    <d v="2024-04-19T16:00:00"/>
    <s v="Chennai"/>
    <s v="CHICKEN__124"/>
    <x v="7"/>
    <s v="Pizza"/>
    <n v="256"/>
    <n v="0.1"/>
    <n v="230.4"/>
    <n v="1"/>
    <n v="142.314800404267"/>
    <n v="230.4"/>
    <n v="142.314800404267"/>
    <n v="88.085199595732206"/>
    <s v="Coupon"/>
    <n v="256"/>
    <n v="-88.085199595733002"/>
  </r>
  <r>
    <s v="ORD1131"/>
    <d v="2024-07-06T06:00:00"/>
    <s v="Mumbai"/>
    <s v="COKE_477"/>
    <x v="8"/>
    <s v="Drinks"/>
    <n v="277"/>
    <n v="0.1"/>
    <n v="249.3"/>
    <n v="3"/>
    <n v="117.08567751132099"/>
    <n v="747.9"/>
    <n v="351.25703253396301"/>
    <n v="396.642967466036"/>
    <s v="None"/>
    <n v="831"/>
    <n v="-396.64296746603696"/>
  </r>
  <r>
    <s v="ORD1132"/>
    <d v="2025-09-23T08:00:00"/>
    <s v="Chennai"/>
    <s v="CLUB_SAN_331"/>
    <x v="13"/>
    <s v="Sandwich"/>
    <n v="194"/>
    <n v="0.1"/>
    <n v="174.6"/>
    <n v="2"/>
    <n v="103.93831011582201"/>
    <n v="349.2"/>
    <n v="207.87662023164401"/>
    <n v="141.32337976835501"/>
    <s v="None"/>
    <n v="388"/>
    <n v="-141.32337976835598"/>
  </r>
  <r>
    <s v="ORD1133"/>
    <d v="2025-01-16T11:00:00"/>
    <s v="Pune"/>
    <s v="COLD_COF_245"/>
    <x v="15"/>
    <s v="Drinks"/>
    <n v="126"/>
    <n v="0.25"/>
    <n v="94.5"/>
    <n v="7"/>
    <n v="69.047953064798605"/>
    <n v="661.5"/>
    <n v="483.33567145359001"/>
    <n v="178.164328546409"/>
    <s v="None"/>
    <n v="882"/>
    <n v="-178.16432854640999"/>
  </r>
  <r>
    <s v="ORD1134"/>
    <d v="2025-03-10T10:00:00"/>
    <s v="Pune"/>
    <s v="VEG_BURG_600"/>
    <x v="0"/>
    <s v="Burger"/>
    <n v="87"/>
    <n v="0"/>
    <n v="87"/>
    <n v="5"/>
    <n v="63.096595843832802"/>
    <n v="435"/>
    <n v="315.48297921916401"/>
    <n v="119.517020780835"/>
    <s v="BOGO"/>
    <n v="435"/>
    <n v="-119.51702078083599"/>
  </r>
  <r>
    <s v="ORD1135"/>
    <d v="2025-03-02T09:00:00"/>
    <s v="Hyderabad"/>
    <s v="COLD_COF_662"/>
    <x v="15"/>
    <s v="Drinks"/>
    <n v="194"/>
    <n v="0.15"/>
    <n v="164.9"/>
    <n v="3"/>
    <n v="89.285579994925598"/>
    <n v="494.7"/>
    <n v="267.85673998477603"/>
    <n v="226.843260015223"/>
    <s v="None"/>
    <n v="582"/>
    <n v="-226.84326001522396"/>
  </r>
  <r>
    <s v="ORD1136"/>
    <d v="2024-03-17T04:00:00"/>
    <s v="Pune"/>
    <s v="BROWNIE_535"/>
    <x v="12"/>
    <s v="Dessert"/>
    <n v="151"/>
    <n v="0.2"/>
    <n v="120.8"/>
    <n v="7"/>
    <n v="98.893447460636295"/>
    <n v="845.6"/>
    <n v="692.254132224454"/>
    <n v="153.345867775546"/>
    <s v="Bundle"/>
    <n v="1057"/>
    <n v="-153.34586777554603"/>
  </r>
  <r>
    <s v="ORD1137"/>
    <d v="2025-05-25T20:00:00"/>
    <s v="Pune"/>
    <s v="GRILLED__905"/>
    <x v="1"/>
    <s v="Sandwich"/>
    <n v="151"/>
    <n v="0.25"/>
    <n v="113.25"/>
    <n v="6"/>
    <n v="108.30082005640401"/>
    <n v="679.5"/>
    <n v="649.80492033842904"/>
    <n v="29.695079661570599"/>
    <s v="Coupon"/>
    <n v="906"/>
    <n v="-29.695079661570958"/>
  </r>
  <r>
    <s v="ORD1138"/>
    <d v="2025-01-15T10:00:00"/>
    <s v="Pune"/>
    <s v="FRIES_784"/>
    <x v="2"/>
    <s v="Snacks"/>
    <n v="108"/>
    <n v="0"/>
    <n v="108"/>
    <n v="7"/>
    <n v="53.8954180718111"/>
    <n v="756"/>
    <n v="377.26792650267703"/>
    <n v="378.73207349732201"/>
    <s v="Percent-Off"/>
    <n v="756"/>
    <n v="-378.73207349732297"/>
  </r>
  <r>
    <s v="ORD1139"/>
    <d v="2024-07-19T05:00:00"/>
    <s v="Delhi"/>
    <s v="BROWNIE_207"/>
    <x v="12"/>
    <s v="Dessert"/>
    <n v="81"/>
    <n v="0.15"/>
    <n v="68.849999999999994"/>
    <n v="3"/>
    <n v="49.614954915959302"/>
    <n v="206.54999999999899"/>
    <n v="148.84486474787801"/>
    <n v="57.705135252121799"/>
    <s v="None"/>
    <n v="243"/>
    <n v="-57.705135252120982"/>
  </r>
  <r>
    <s v="ORD1140"/>
    <d v="2024-02-03T14:00:00"/>
    <s v="Hyderabad"/>
    <s v="BROWNIE_912"/>
    <x v="12"/>
    <s v="Dessert"/>
    <n v="151"/>
    <n v="0.25"/>
    <n v="113.25"/>
    <n v="3"/>
    <n v="84.2745516732911"/>
    <n v="339.75"/>
    <n v="252.823655019873"/>
    <n v="86.926344980126601"/>
    <s v="None"/>
    <n v="453"/>
    <n v="-86.926344980126999"/>
  </r>
  <r>
    <s v="ORD1141"/>
    <d v="2024-12-07T18:00:00"/>
    <s v="Bangalore"/>
    <s v="MARGHERI_361"/>
    <x v="16"/>
    <s v="Pizza"/>
    <n v="185"/>
    <n v="0"/>
    <n v="185"/>
    <n v="4"/>
    <n v="95.782582930116604"/>
    <n v="740"/>
    <n v="383.13033172046602"/>
    <n v="356.86966827953302"/>
    <s v="Coupon"/>
    <n v="740"/>
    <n v="-356.86966827953398"/>
  </r>
  <r>
    <s v="ORD1142"/>
    <d v="2024-03-18T20:00:00"/>
    <s v="Delhi"/>
    <s v="SPRITE_891"/>
    <x v="3"/>
    <s v="Drinks"/>
    <n v="234"/>
    <n v="0"/>
    <n v="234"/>
    <n v="2"/>
    <n v="150.85034521004701"/>
    <n v="468"/>
    <n v="301.70069042009499"/>
    <n v="166.29930957990399"/>
    <s v="None"/>
    <n v="468"/>
    <n v="-166.29930957990501"/>
  </r>
  <r>
    <s v="ORD1143"/>
    <d v="2025-08-29T17:00:00"/>
    <s v="Bangalore"/>
    <s v="MARGHERI_692"/>
    <x v="16"/>
    <s v="Pizza"/>
    <n v="326"/>
    <n v="0.1"/>
    <n v="293.39999999999998"/>
    <n v="6"/>
    <n v="151.424645191081"/>
    <n v="1760.4"/>
    <n v="908.54787114649105"/>
    <n v="851.85212885350802"/>
    <s v="Coupon"/>
    <n v="1956"/>
    <n v="-851.85212885350904"/>
  </r>
  <r>
    <s v="ORD1144"/>
    <d v="2025-10-08T08:00:00"/>
    <s v="Hyderabad"/>
    <s v="CHEESE_B_802"/>
    <x v="5"/>
    <s v="Burger"/>
    <n v="124"/>
    <n v="0"/>
    <n v="124"/>
    <n v="6"/>
    <n v="53.438191290360798"/>
    <n v="744"/>
    <n v="320.62914774216398"/>
    <n v="423.370852257835"/>
    <s v="Percent-Off"/>
    <n v="744"/>
    <n v="-423.37085225783602"/>
  </r>
  <r>
    <s v="ORD1145"/>
    <d v="2025-09-12T19:00:00"/>
    <s v="Hyderabad"/>
    <s v="COKE_404"/>
    <x v="8"/>
    <s v="Drinks"/>
    <n v="212"/>
    <n v="0.1"/>
    <n v="190.8"/>
    <n v="4"/>
    <n v="120.43356413955"/>
    <n v="763.2"/>
    <n v="481.7342565582"/>
    <n v="281.46574344179902"/>
    <s v="Percent-Off"/>
    <n v="848"/>
    <n v="-281.46574344180004"/>
  </r>
  <r>
    <s v="ORD1146"/>
    <d v="2025-11-06T20:00:00"/>
    <s v="Mumbai"/>
    <s v="VEG_BURG_508"/>
    <x v="0"/>
    <s v="Burger"/>
    <n v="319"/>
    <n v="0.1"/>
    <n v="287.10000000000002"/>
    <n v="7"/>
    <n v="178.49749474514499"/>
    <n v="2009.7"/>
    <n v="1249.48246321601"/>
    <n v="760.21753678398204"/>
    <s v="None"/>
    <n v="2233"/>
    <n v="-760.21753678399"/>
  </r>
  <r>
    <s v="ORD1147"/>
    <d v="2025-10-25T22:00:00"/>
    <s v="Bangalore"/>
    <s v="COKE_514"/>
    <x v="8"/>
    <s v="Drinks"/>
    <n v="341"/>
    <n v="0"/>
    <n v="341"/>
    <n v="6"/>
    <n v="216.09921197630101"/>
    <n v="2046"/>
    <n v="1296.5952718578001"/>
    <n v="749.40472814219004"/>
    <s v="None"/>
    <n v="2046"/>
    <n v="-749.40472814219993"/>
  </r>
  <r>
    <s v="ORD1148"/>
    <d v="2024-08-14T05:00:00"/>
    <s v="Hyderabad"/>
    <s v="CLUB_SAN_505"/>
    <x v="13"/>
    <s v="Sandwich"/>
    <n v="132"/>
    <n v="0"/>
    <n v="132"/>
    <n v="4"/>
    <n v="77.941215525486101"/>
    <n v="528"/>
    <n v="311.764862101944"/>
    <n v="216.235137898055"/>
    <s v="None"/>
    <n v="528"/>
    <n v="-216.235137898056"/>
  </r>
  <r>
    <s v="ORD1149"/>
    <d v="2025-01-13T04:00:00"/>
    <s v="Bangalore"/>
    <s v="CHICKEN__527"/>
    <x v="7"/>
    <s v="Pizza"/>
    <n v="329"/>
    <n v="0.05"/>
    <n v="312.55"/>
    <n v="6"/>
    <n v="132.01195426069299"/>
    <n v="1875.3"/>
    <n v="792.07172556416106"/>
    <n v="1083.2282744358299"/>
    <s v="None"/>
    <n v="1974"/>
    <n v="-1083.228274435839"/>
  </r>
  <r>
    <s v="ORD1150"/>
    <d v="2024-05-28T12:00:00"/>
    <s v="Bangalore"/>
    <s v="MARGHERI_891"/>
    <x v="16"/>
    <s v="Pizza"/>
    <n v="292"/>
    <n v="0"/>
    <n v="292"/>
    <n v="5"/>
    <n v="189.287599592654"/>
    <n v="1460"/>
    <n v="946.43799796327403"/>
    <n v="513.56200203672495"/>
    <s v="None"/>
    <n v="1460"/>
    <n v="-513.56200203672597"/>
  </r>
  <r>
    <s v="ORD1151"/>
    <d v="2024-02-27T21:00:00"/>
    <s v="Chennai"/>
    <s v="GULAB_JA_689"/>
    <x v="11"/>
    <s v="Dessert"/>
    <n v="112"/>
    <n v="0"/>
    <n v="112"/>
    <n v="6"/>
    <n v="76.180192884260507"/>
    <n v="672"/>
    <n v="457.08115730556301"/>
    <n v="214.91884269443599"/>
    <s v="None"/>
    <n v="672"/>
    <n v="-214.91884269443699"/>
  </r>
  <r>
    <s v="ORD1152"/>
    <d v="2025-04-28T01:00:00"/>
    <s v="Pune"/>
    <s v="CLUB_SAN_245"/>
    <x v="13"/>
    <s v="Sandwich"/>
    <n v="169"/>
    <n v="0.1"/>
    <n v="152.1"/>
    <n v="1"/>
    <n v="96.663298689398601"/>
    <n v="152.1"/>
    <n v="96.663298689398601"/>
    <n v="55.4367013106013"/>
    <s v="BOGO"/>
    <n v="169"/>
    <n v="-55.436701310601393"/>
  </r>
  <r>
    <s v="ORD1153"/>
    <d v="2024-10-30T02:00:00"/>
    <s v="Chennai"/>
    <s v="PEPPY_PA_687"/>
    <x v="10"/>
    <s v="Pizza"/>
    <n v="190"/>
    <n v="0"/>
    <n v="190"/>
    <n v="1"/>
    <n v="92.628774440925099"/>
    <n v="190"/>
    <n v="92.628774440925099"/>
    <n v="97.371225559074801"/>
    <s v="None"/>
    <n v="190"/>
    <n v="-97.371225559074901"/>
  </r>
  <r>
    <s v="ORD1154"/>
    <d v="2025-12-18T00:00:00"/>
    <s v="Delhi"/>
    <s v="CLUB_SAN_709"/>
    <x v="13"/>
    <s v="Sandwich"/>
    <n v="173"/>
    <n v="0"/>
    <n v="173"/>
    <n v="1"/>
    <n v="111.87538787780301"/>
    <n v="173"/>
    <n v="111.87538787780301"/>
    <n v="61.124612122196098"/>
    <s v="Percent-Off"/>
    <n v="173"/>
    <n v="-61.124612122196993"/>
  </r>
  <r>
    <s v="ORD1155"/>
    <d v="2025-12-22T16:00:00"/>
    <s v="Bangalore"/>
    <s v="PEPPY_PA_267"/>
    <x v="10"/>
    <s v="Pizza"/>
    <n v="145"/>
    <n v="0.1"/>
    <n v="130.5"/>
    <n v="1"/>
    <n v="92.978409120419798"/>
    <n v="130.5"/>
    <n v="92.978409120419798"/>
    <n v="37.521590879580202"/>
    <s v="None"/>
    <n v="145"/>
    <n v="-37.521590879580202"/>
  </r>
  <r>
    <s v="ORD1156"/>
    <d v="2025-03-23T17:00:00"/>
    <s v="Chennai"/>
    <s v="COLD_COF_219"/>
    <x v="15"/>
    <s v="Drinks"/>
    <n v="181"/>
    <n v="0.15"/>
    <n v="153.85"/>
    <n v="6"/>
    <n v="82.327533886580895"/>
    <n v="923.099999999999"/>
    <n v="493.965203319485"/>
    <n v="429.134796680514"/>
    <s v="None"/>
    <n v="1086"/>
    <n v="-429.134796680514"/>
  </r>
  <r>
    <s v="ORD1157"/>
    <d v="2025-08-14T15:00:00"/>
    <s v="Chennai"/>
    <s v="COKE_711"/>
    <x v="8"/>
    <s v="Drinks"/>
    <n v="240"/>
    <n v="0.05"/>
    <n v="228"/>
    <n v="2"/>
    <n v="164.75757671206199"/>
    <n v="456"/>
    <n v="329.51515342412398"/>
    <n v="126.484846575875"/>
    <s v="Coupon"/>
    <n v="480"/>
    <n v="-126.48484657587602"/>
  </r>
  <r>
    <s v="ORD1158"/>
    <d v="2025-10-23T12:00:00"/>
    <s v="Bangalore"/>
    <s v="GULAB_JA_910"/>
    <x v="11"/>
    <s v="Dessert"/>
    <n v="176"/>
    <n v="0.1"/>
    <n v="158.4"/>
    <n v="7"/>
    <n v="99.030707085749995"/>
    <n v="1108.8"/>
    <n v="693.21494960024995"/>
    <n v="415.58505039974898"/>
    <s v="None"/>
    <n v="1232"/>
    <n v="-415.58505039975"/>
  </r>
  <r>
    <s v="ORD1159"/>
    <d v="2024-12-09T13:00:00"/>
    <s v="Mumbai"/>
    <s v="MARGHERI_979"/>
    <x v="16"/>
    <s v="Pizza"/>
    <n v="233"/>
    <n v="0.2"/>
    <n v="186.4"/>
    <n v="2"/>
    <n v="157.50884294459499"/>
    <n v="372.8"/>
    <n v="315.017685889191"/>
    <n v="57.782314110808301"/>
    <s v="None"/>
    <n v="466"/>
    <n v="-57.782314110809011"/>
  </r>
  <r>
    <s v="ORD1160"/>
    <d v="2024-10-27T14:00:00"/>
    <s v="Pune"/>
    <s v="GULAB_JA_330"/>
    <x v="11"/>
    <s v="Dessert"/>
    <n v="205"/>
    <n v="0"/>
    <n v="205"/>
    <n v="5"/>
    <n v="144.30224439191301"/>
    <n v="1025"/>
    <n v="721.51122195956896"/>
    <n v="303.48877804043002"/>
    <s v="Coupon"/>
    <n v="1025"/>
    <n v="-303.48877804043104"/>
  </r>
  <r>
    <s v="ORD1161"/>
    <d v="2024-01-31T06:00:00"/>
    <s v="Delhi"/>
    <s v="MARGHERI_860"/>
    <x v="16"/>
    <s v="Pizza"/>
    <n v="151"/>
    <n v="0"/>
    <n v="151"/>
    <n v="2"/>
    <n v="99.799838060894004"/>
    <n v="302"/>
    <n v="199.59967612178801"/>
    <n v="102.400323878211"/>
    <s v="Coupon"/>
    <n v="302"/>
    <n v="-102.40032387821199"/>
  </r>
  <r>
    <s v="ORD1162"/>
    <d v="2025-07-30T08:00:00"/>
    <s v="Mumbai"/>
    <s v="MARGHERI_942"/>
    <x v="16"/>
    <s v="Pizza"/>
    <n v="117"/>
    <n v="0.05"/>
    <n v="111.149999999999"/>
    <n v="3"/>
    <n v="54.812534805857702"/>
    <n v="333.45"/>
    <n v="164.437604417573"/>
    <n v="169.012395582426"/>
    <s v="None"/>
    <n v="351"/>
    <n v="-169.01239558242699"/>
  </r>
  <r>
    <s v="ORD1163"/>
    <d v="2025-04-18T10:00:00"/>
    <s v="Hyderabad"/>
    <s v="VEG_BURG_560"/>
    <x v="0"/>
    <s v="Burger"/>
    <n v="122"/>
    <n v="0.15"/>
    <n v="103.7"/>
    <n v="7"/>
    <n v="85.735242648361094"/>
    <n v="725.9"/>
    <n v="600.14669853852695"/>
    <n v="125.75330146147201"/>
    <s v="None"/>
    <n v="854"/>
    <n v="-125.75330146147303"/>
  </r>
  <r>
    <s v="ORD1164"/>
    <d v="2025-02-25T02:00:00"/>
    <s v="Chennai"/>
    <s v="FRIES_458"/>
    <x v="2"/>
    <s v="Snacks"/>
    <n v="107"/>
    <n v="0"/>
    <n v="107"/>
    <n v="7"/>
    <n v="66.871059177785"/>
    <n v="749"/>
    <n v="468.09741424449498"/>
    <n v="280.90258575550399"/>
    <s v="None"/>
    <n v="749"/>
    <n v="-280.90258575550502"/>
  </r>
  <r>
    <s v="ORD1165"/>
    <d v="2024-11-15T01:00:00"/>
    <s v="Mumbai"/>
    <s v="GARLIC_B_871"/>
    <x v="4"/>
    <s v="Snacks"/>
    <n v="333"/>
    <n v="0.2"/>
    <n v="266.39999999999998"/>
    <n v="4"/>
    <n v="220.23096625578"/>
    <n v="1065.5999999999999"/>
    <n v="880.92386502312002"/>
    <n v="184.67613497687901"/>
    <s v="Percent-Off"/>
    <n v="1332"/>
    <n v="-184.67613497687989"/>
  </r>
  <r>
    <s v="ORD1166"/>
    <d v="2025-08-29T07:00:00"/>
    <s v="Mumbai"/>
    <s v="ONION_RI_313"/>
    <x v="17"/>
    <s v="Snacks"/>
    <n v="252"/>
    <n v="0"/>
    <n v="252"/>
    <n v="6"/>
    <n v="142.42487565961599"/>
    <n v="1512"/>
    <n v="854.54925395770101"/>
    <n v="657.45074604229796"/>
    <s v="None"/>
    <n v="1512"/>
    <n v="-657.45074604229899"/>
  </r>
  <r>
    <s v="ORD1167"/>
    <d v="2024-11-25T10:00:00"/>
    <s v="Mumbai"/>
    <s v="CHICKEN__329"/>
    <x v="7"/>
    <s v="Pizza"/>
    <n v="105"/>
    <n v="0.1"/>
    <n v="94.5"/>
    <n v="7"/>
    <n v="72.236063042618198"/>
    <n v="661.5"/>
    <n v="505.65244129832797"/>
    <n v="155.847558701672"/>
    <s v="Coupon"/>
    <n v="735"/>
    <n v="-155.84755870167203"/>
  </r>
  <r>
    <s v="ORD1168"/>
    <d v="2024-10-30T15:00:00"/>
    <s v="Chennai"/>
    <s v="CLUB_SAN_636"/>
    <x v="13"/>
    <s v="Sandwich"/>
    <n v="215"/>
    <n v="0.05"/>
    <n v="204.25"/>
    <n v="7"/>
    <n v="115.667932221054"/>
    <n v="1429.75"/>
    <n v="809.67552554738302"/>
    <n v="620.07447445261596"/>
    <s v="None"/>
    <n v="1505"/>
    <n v="-620.07447445261698"/>
  </r>
  <r>
    <s v="ORD1169"/>
    <d v="2024-02-07T04:00:00"/>
    <s v="Mumbai"/>
    <s v="CHICKEN__593"/>
    <x v="14"/>
    <s v="Burger"/>
    <n v="188"/>
    <n v="0.25"/>
    <n v="141"/>
    <n v="2"/>
    <n v="128.78878317672499"/>
    <n v="282"/>
    <n v="257.577566353451"/>
    <n v="24.422433646548701"/>
    <s v="None"/>
    <n v="376"/>
    <n v="-24.422433646548996"/>
  </r>
  <r>
    <s v="ORD1170"/>
    <d v="2025-03-01T22:00:00"/>
    <s v="Delhi"/>
    <s v="VEG_SAND_939"/>
    <x v="9"/>
    <s v="Sandwich"/>
    <n v="216"/>
    <n v="0.1"/>
    <n v="194.4"/>
    <n v="5"/>
    <n v="126.10893514118401"/>
    <n v="972"/>
    <n v="630.54467570592396"/>
    <n v="341.45532429407501"/>
    <s v="Percent-Off"/>
    <n v="1080"/>
    <n v="-341.45532429407604"/>
  </r>
  <r>
    <s v="ORD1171"/>
    <d v="2024-07-13T19:00:00"/>
    <s v="Chennai"/>
    <s v="GRILLED__661"/>
    <x v="1"/>
    <s v="Sandwich"/>
    <n v="190"/>
    <n v="0"/>
    <n v="190"/>
    <n v="7"/>
    <n v="79.463845810655499"/>
    <n v="1330"/>
    <n v="556.24692067458795"/>
    <n v="773.75307932541102"/>
    <s v="Coupon"/>
    <n v="1330"/>
    <n v="-773.75307932541205"/>
  </r>
  <r>
    <s v="ORD1172"/>
    <d v="2024-03-21T13:00:00"/>
    <s v="Hyderabad"/>
    <s v="MARGHERI_860"/>
    <x v="16"/>
    <s v="Pizza"/>
    <n v="160"/>
    <n v="0.05"/>
    <n v="152"/>
    <n v="3"/>
    <n v="91.285975379345203"/>
    <n v="456"/>
    <n v="273.857926138035"/>
    <n v="182.14207386196401"/>
    <s v="None"/>
    <n v="480"/>
    <n v="-182.142073861965"/>
  </r>
  <r>
    <s v="ORD1173"/>
    <d v="2025-05-09T17:00:00"/>
    <s v="Bangalore"/>
    <s v="COLD_COF_987"/>
    <x v="15"/>
    <s v="Drinks"/>
    <n v="236"/>
    <n v="0.1"/>
    <n v="212.4"/>
    <n v="5"/>
    <n v="98.484358269713994"/>
    <n v="1062"/>
    <n v="492.42179134857003"/>
    <n v="569.57820865142901"/>
    <s v="None"/>
    <n v="1180"/>
    <n v="-569.57820865143003"/>
  </r>
  <r>
    <s v="ORD1174"/>
    <d v="2025-07-05T15:00:00"/>
    <s v="Bangalore"/>
    <s v="PEPPY_PA_353"/>
    <x v="10"/>
    <s v="Pizza"/>
    <n v="130"/>
    <n v="0"/>
    <n v="130"/>
    <n v="4"/>
    <n v="79.306391986210897"/>
    <n v="520"/>
    <n v="317.22556794484302"/>
    <n v="202.77443205515601"/>
    <s v="None"/>
    <n v="520"/>
    <n v="-202.77443205515698"/>
  </r>
  <r>
    <s v="ORD1175"/>
    <d v="2025-03-29T02:00:00"/>
    <s v="Hyderabad"/>
    <s v="MARGHERI_854"/>
    <x v="16"/>
    <s v="Pizza"/>
    <n v="229"/>
    <n v="0.05"/>
    <n v="217.54999999999899"/>
    <n v="3"/>
    <n v="154.896720183908"/>
    <n v="652.65"/>
    <n v="464.69016055172398"/>
    <n v="187.95983944827501"/>
    <s v="None"/>
    <n v="687"/>
    <n v="-187.959839448276"/>
  </r>
  <r>
    <s v="ORD1176"/>
    <d v="2024-07-28T00:00:00"/>
    <s v="Pune"/>
    <s v="COLD_COF_819"/>
    <x v="15"/>
    <s v="Drinks"/>
    <n v="139"/>
    <n v="0.2"/>
    <n v="111.2"/>
    <n v="5"/>
    <n v="77.638357605377706"/>
    <n v="556"/>
    <n v="388.19178802688799"/>
    <n v="167.80821197311101"/>
    <s v="None"/>
    <n v="695"/>
    <n v="-167.80821197311201"/>
  </r>
  <r>
    <s v="ORD1177"/>
    <d v="2025-07-27T22:00:00"/>
    <s v="Delhi"/>
    <s v="CHEESE_B_676"/>
    <x v="5"/>
    <s v="Burger"/>
    <n v="105"/>
    <n v="0"/>
    <n v="105"/>
    <n v="5"/>
    <n v="58.261555777300302"/>
    <n v="525"/>
    <n v="291.30777888650101"/>
    <n v="233.69222111349799"/>
    <s v="None"/>
    <n v="525"/>
    <n v="-233.69222111349899"/>
  </r>
  <r>
    <s v="ORD1178"/>
    <d v="2025-02-10T08:00:00"/>
    <s v="Chennai"/>
    <s v="SPRITE_295"/>
    <x v="3"/>
    <s v="Drinks"/>
    <n v="252"/>
    <n v="0.15"/>
    <n v="214.2"/>
    <n v="7"/>
    <n v="160.67924643982599"/>
    <n v="1499.3999999999901"/>
    <n v="1124.75472507878"/>
    <n v="374.64527492121601"/>
    <s v="None"/>
    <n v="1764"/>
    <n v="-374.6452749212101"/>
  </r>
  <r>
    <s v="ORD1179"/>
    <d v="2025-12-23T10:00:00"/>
    <s v="Chennai"/>
    <s v="CHICKEN__952"/>
    <x v="7"/>
    <s v="Pizza"/>
    <n v="269"/>
    <n v="0"/>
    <n v="269"/>
    <n v="5"/>
    <n v="189.28051861299701"/>
    <n v="1345"/>
    <n v="946.40259306498695"/>
    <n v="398.59740693501197"/>
    <s v="Coupon"/>
    <n v="1345"/>
    <n v="-398.59740693501305"/>
  </r>
  <r>
    <s v="ORD1180"/>
    <d v="2025-10-11T09:00:00"/>
    <s v="Delhi"/>
    <s v="CHICKEN__598"/>
    <x v="7"/>
    <s v="Pizza"/>
    <n v="259"/>
    <n v="0.05"/>
    <n v="246.04999999999899"/>
    <n v="6"/>
    <n v="142.38374772734201"/>
    <n v="1476.3"/>
    <n v="854.30248636405395"/>
    <n v="621.99751363594498"/>
    <s v="Bundle"/>
    <n v="1554"/>
    <n v="-621.99751363594601"/>
  </r>
  <r>
    <s v="ORD1181"/>
    <d v="2024-10-30T19:00:00"/>
    <s v="Delhi"/>
    <s v="CHEESE_B_484"/>
    <x v="5"/>
    <s v="Burger"/>
    <n v="245"/>
    <n v="0.2"/>
    <n v="196"/>
    <n v="4"/>
    <n v="112.65126209738899"/>
    <n v="784"/>
    <n v="450.605048389557"/>
    <n v="333.39495161044198"/>
    <s v="None"/>
    <n v="980"/>
    <n v="-333.394951610443"/>
  </r>
  <r>
    <s v="ORD1182"/>
    <d v="2024-02-10T14:00:00"/>
    <s v="Hyderabad"/>
    <s v="GULAB_JA_929"/>
    <x v="11"/>
    <s v="Dessert"/>
    <n v="325"/>
    <n v="0"/>
    <n v="325"/>
    <n v="7"/>
    <n v="179.52554380956099"/>
    <n v="2275"/>
    <n v="1256.6788066669301"/>
    <n v="1018.32119333306"/>
    <s v="None"/>
    <n v="2275"/>
    <n v="-1018.3211933330699"/>
  </r>
  <r>
    <s v="ORD1183"/>
    <d v="2024-06-21T05:00:00"/>
    <s v="Mumbai"/>
    <s v="CHICKEN__247"/>
    <x v="14"/>
    <s v="Burger"/>
    <n v="106"/>
    <n v="0.15"/>
    <n v="90.1"/>
    <n v="1"/>
    <n v="53.892266036170398"/>
    <n v="90.1"/>
    <n v="53.892266036170398"/>
    <n v="36.207733963829497"/>
    <s v="None"/>
    <n v="106"/>
    <n v="-36.207733963829597"/>
  </r>
  <r>
    <s v="ORD1184"/>
    <d v="2025-09-02T23:00:00"/>
    <s v="Pune"/>
    <s v="CLUB_SAN_995"/>
    <x v="13"/>
    <s v="Sandwich"/>
    <n v="120"/>
    <n v="0.15"/>
    <n v="102"/>
    <n v="1"/>
    <n v="70.845329316191197"/>
    <n v="102"/>
    <n v="70.845329316191197"/>
    <n v="31.1546706838087"/>
    <s v="None"/>
    <n v="120"/>
    <n v="-31.154670683808803"/>
  </r>
  <r>
    <s v="ORD1185"/>
    <d v="2024-06-14T12:00:00"/>
    <s v="Pune"/>
    <s v="PEPPY_PA_411"/>
    <x v="10"/>
    <s v="Pizza"/>
    <n v="221"/>
    <n v="0.1"/>
    <n v="198.9"/>
    <n v="2"/>
    <n v="115.80245354469101"/>
    <n v="397.8"/>
    <n v="231.604907089383"/>
    <n v="166.19509291061601"/>
    <s v="Percent-Off"/>
    <n v="442"/>
    <n v="-166.19509291061701"/>
  </r>
  <r>
    <s v="ORD1186"/>
    <d v="2024-08-08T15:00:00"/>
    <s v="Hyderabad"/>
    <s v="PEPPY_PA_170"/>
    <x v="10"/>
    <s v="Pizza"/>
    <n v="315"/>
    <n v="0"/>
    <n v="315"/>
    <n v="4"/>
    <n v="146.256049522643"/>
    <n v="1260"/>
    <n v="585.02419809057301"/>
    <n v="674.97580190942597"/>
    <s v="Percent-Off"/>
    <n v="1260"/>
    <n v="-674.97580190942699"/>
  </r>
  <r>
    <s v="ORD1187"/>
    <d v="2025-08-02T17:00:00"/>
    <s v="Pune"/>
    <s v="MARGHERI_649"/>
    <x v="16"/>
    <s v="Pizza"/>
    <n v="131"/>
    <n v="0.1"/>
    <n v="117.9"/>
    <n v="2"/>
    <n v="59.783968955947103"/>
    <n v="235.8"/>
    <n v="119.56793791189401"/>
    <n v="116.232062088105"/>
    <s v="None"/>
    <n v="262"/>
    <n v="-116.23206208810601"/>
  </r>
  <r>
    <s v="ORD1188"/>
    <d v="2025-01-14T09:00:00"/>
    <s v="Delhi"/>
    <s v="VEG_BURG_300"/>
    <x v="0"/>
    <s v="Burger"/>
    <n v="341"/>
    <n v="0.1"/>
    <n v="306.89999999999998"/>
    <n v="5"/>
    <n v="185.23131108796801"/>
    <n v="1534.5"/>
    <n v="926.15655543984099"/>
    <n v="608.34344456015901"/>
    <s v="Percent-Off"/>
    <n v="1705"/>
    <n v="-608.34344456015901"/>
  </r>
  <r>
    <s v="ORD1189"/>
    <d v="2024-12-08T20:00:00"/>
    <s v="Pune"/>
    <s v="CLUB_SAN_589"/>
    <x v="13"/>
    <s v="Sandwich"/>
    <n v="323"/>
    <n v="0.15"/>
    <n v="274.55"/>
    <n v="2"/>
    <n v="182.77662897101001"/>
    <n v="549.1"/>
    <n v="365.55325794202002"/>
    <n v="183.546742057979"/>
    <s v="None"/>
    <n v="646"/>
    <n v="-183.54674205798"/>
  </r>
  <r>
    <s v="ORD1190"/>
    <d v="2025-02-16T15:00:00"/>
    <s v="Chennai"/>
    <s v="CHEESE_B_921"/>
    <x v="5"/>
    <s v="Burger"/>
    <n v="129"/>
    <n v="0.1"/>
    <n v="116.1"/>
    <n v="2"/>
    <n v="70.443258601731898"/>
    <n v="232.2"/>
    <n v="140.886517203463"/>
    <n v="91.313482796535993"/>
    <s v="BOGO"/>
    <n v="258"/>
    <n v="-91.313482796536988"/>
  </r>
  <r>
    <s v="ORD1191"/>
    <d v="2024-05-05T20:00:00"/>
    <s v="Bangalore"/>
    <s v="CHEESE_B_191"/>
    <x v="5"/>
    <s v="Burger"/>
    <n v="142"/>
    <n v="0.05"/>
    <n v="134.9"/>
    <n v="1"/>
    <n v="74.109248383550593"/>
    <n v="134.9"/>
    <n v="74.109248383550593"/>
    <n v="60.790751616449398"/>
    <s v="Coupon"/>
    <n v="142"/>
    <n v="-60.790751616449413"/>
  </r>
  <r>
    <s v="ORD1192"/>
    <d v="2025-01-09T11:00:00"/>
    <s v="Hyderabad"/>
    <s v="PEPPY_PA_370"/>
    <x v="10"/>
    <s v="Pizza"/>
    <n v="275"/>
    <n v="0"/>
    <n v="275"/>
    <n v="2"/>
    <n v="169.17170424129"/>
    <n v="550"/>
    <n v="338.34340848258"/>
    <n v="211.656591517419"/>
    <s v="None"/>
    <n v="550"/>
    <n v="-211.65659151742"/>
  </r>
  <r>
    <s v="ORD1193"/>
    <d v="2025-06-20T16:00:00"/>
    <s v="Chennai"/>
    <s v="VEG_BURG_530"/>
    <x v="0"/>
    <s v="Burger"/>
    <n v="293"/>
    <n v="0"/>
    <n v="293"/>
    <n v="4"/>
    <n v="171.00679666018601"/>
    <n v="1172"/>
    <n v="684.02718664074405"/>
    <n v="487.97281335925499"/>
    <s v="BOGO"/>
    <n v="1172"/>
    <n v="-487.97281335925595"/>
  </r>
  <r>
    <s v="ORD1194"/>
    <d v="2024-08-06T01:00:00"/>
    <s v="Chennai"/>
    <s v="BROWNIE_766"/>
    <x v="12"/>
    <s v="Dessert"/>
    <n v="337"/>
    <n v="0.05"/>
    <n v="320.14999999999998"/>
    <n v="4"/>
    <n v="216.61220037648999"/>
    <n v="1280.5999999999999"/>
    <n v="866.44880150596202"/>
    <n v="414.15119849403698"/>
    <s v="BOGO"/>
    <n v="1348"/>
    <n v="-414.15119849403789"/>
  </r>
  <r>
    <s v="ORD1195"/>
    <d v="2025-01-31T12:00:00"/>
    <s v="Delhi"/>
    <s v="ONION_RI_243"/>
    <x v="17"/>
    <s v="Snacks"/>
    <n v="122"/>
    <n v="0.1"/>
    <n v="109.8"/>
    <n v="5"/>
    <n v="69.511862631819696"/>
    <n v="549"/>
    <n v="347.559313159098"/>
    <n v="201.44068684090101"/>
    <s v="Coupon"/>
    <n v="610"/>
    <n v="-201.440686840902"/>
  </r>
  <r>
    <s v="ORD1196"/>
    <d v="2025-08-29T15:00:00"/>
    <s v="Pune"/>
    <s v="CLUB_SAN_266"/>
    <x v="13"/>
    <s v="Sandwich"/>
    <n v="120"/>
    <n v="0.1"/>
    <n v="108"/>
    <n v="1"/>
    <n v="89.688774789221398"/>
    <n v="108"/>
    <n v="89.688774789221398"/>
    <n v="18.311225210778499"/>
    <s v="Percent-Off"/>
    <n v="120"/>
    <n v="-18.311225210778602"/>
  </r>
  <r>
    <s v="ORD1197"/>
    <d v="2025-11-26T21:00:00"/>
    <s v="Mumbai"/>
    <s v="COLD_COF_123"/>
    <x v="15"/>
    <s v="Drinks"/>
    <n v="331"/>
    <n v="0.05"/>
    <n v="314.45"/>
    <n v="4"/>
    <n v="153.347820792427"/>
    <n v="1257.8"/>
    <n v="613.39128316970903"/>
    <n v="644.40871683029002"/>
    <s v="None"/>
    <n v="1324"/>
    <n v="-644.40871683029093"/>
  </r>
  <r>
    <s v="ORD1198"/>
    <d v="2024-04-09T20:00:00"/>
    <s v="Mumbai"/>
    <s v="CHEESE_B_347"/>
    <x v="5"/>
    <s v="Burger"/>
    <n v="285"/>
    <n v="0.1"/>
    <n v="256.5"/>
    <n v="5"/>
    <n v="156.16302181693899"/>
    <n v="1282.5"/>
    <n v="780.815109084695"/>
    <n v="501.684890915305"/>
    <s v="None"/>
    <n v="1425"/>
    <n v="-501.684890915305"/>
  </r>
  <r>
    <s v="ORD1199"/>
    <d v="2024-03-07T07:00:00"/>
    <s v="Bangalore"/>
    <s v="GRILLED__874"/>
    <x v="1"/>
    <s v="Sandwich"/>
    <n v="319"/>
    <n v="0.05"/>
    <n v="303.05"/>
    <n v="5"/>
    <n v="135.81191097770099"/>
    <n v="1515.25"/>
    <n v="679.05955488850702"/>
    <n v="836.19044511149195"/>
    <s v="None"/>
    <n v="1595"/>
    <n v="-836.19044511149298"/>
  </r>
  <r>
    <s v="ORD1200"/>
    <d v="2025-04-15T23:00:00"/>
    <s v="Chennai"/>
    <s v="ONION_RI_852"/>
    <x v="17"/>
    <s v="Snacks"/>
    <n v="214"/>
    <n v="0.1"/>
    <n v="192.6"/>
    <n v="1"/>
    <n v="157.08051177658501"/>
    <n v="192.6"/>
    <n v="157.08051177658501"/>
    <n v="35.519488223414697"/>
    <s v="None"/>
    <n v="214"/>
    <n v="-35.519488223414982"/>
  </r>
  <r>
    <s v="ORD1201"/>
    <d v="2024-09-14T15:00:00"/>
    <s v="Hyderabad"/>
    <s v="CLUB_SAN_927"/>
    <x v="13"/>
    <s v="Sandwich"/>
    <n v="141"/>
    <n v="0"/>
    <n v="141"/>
    <n v="5"/>
    <n v="95.815221755413404"/>
    <n v="705"/>
    <n v="479.07610877706702"/>
    <n v="225.92389122293201"/>
    <s v="None"/>
    <n v="705"/>
    <n v="-225.92389122293298"/>
  </r>
  <r>
    <s v="ORD1202"/>
    <d v="2024-02-24T16:00:00"/>
    <s v="Hyderabad"/>
    <s v="CHICKEN__835"/>
    <x v="7"/>
    <s v="Pizza"/>
    <n v="93"/>
    <n v="0.2"/>
    <n v="74.400000000000006"/>
    <n v="5"/>
    <n v="63.5483529729823"/>
    <n v="372"/>
    <n v="317.74176486491098"/>
    <n v="54.258235135088"/>
    <s v="None"/>
    <n v="465"/>
    <n v="-54.258235135089024"/>
  </r>
  <r>
    <s v="ORD1203"/>
    <d v="2024-10-31T18:00:00"/>
    <s v="Chennai"/>
    <s v="SPRITE_147"/>
    <x v="3"/>
    <s v="Drinks"/>
    <n v="115"/>
    <n v="0.1"/>
    <n v="103.5"/>
    <n v="1"/>
    <n v="56.612937208468402"/>
    <n v="103.5"/>
    <n v="56.612937208468402"/>
    <n v="46.887062791531498"/>
    <s v="None"/>
    <n v="115"/>
    <n v="-46.887062791531598"/>
  </r>
  <r>
    <s v="ORD1204"/>
    <d v="2024-03-30T03:00:00"/>
    <s v="Bangalore"/>
    <s v="COLD_COF_588"/>
    <x v="15"/>
    <s v="Drinks"/>
    <n v="241"/>
    <n v="0.15"/>
    <n v="204.85"/>
    <n v="2"/>
    <n v="143.215812516716"/>
    <n v="409.7"/>
    <n v="286.431625033432"/>
    <n v="123.26837496656699"/>
    <s v="Percent-Off"/>
    <n v="482"/>
    <n v="-123.26837496656799"/>
  </r>
  <r>
    <s v="ORD1205"/>
    <d v="2025-09-04T00:00:00"/>
    <s v="Hyderabad"/>
    <s v="MARGHERI_850"/>
    <x v="16"/>
    <s v="Pizza"/>
    <n v="135"/>
    <n v="0"/>
    <n v="135"/>
    <n v="6"/>
    <n v="98.8960385861524"/>
    <n v="810"/>
    <n v="593.376231516914"/>
    <n v="216.623768483085"/>
    <s v="None"/>
    <n v="810"/>
    <n v="-216.623768483086"/>
  </r>
  <r>
    <s v="ORD1206"/>
    <d v="2024-10-15T12:00:00"/>
    <s v="Mumbai"/>
    <s v="PEPPY_PA_734"/>
    <x v="10"/>
    <s v="Pizza"/>
    <n v="329"/>
    <n v="0"/>
    <n v="329"/>
    <n v="5"/>
    <n v="246.387149437012"/>
    <n v="1645"/>
    <n v="1231.9357471850601"/>
    <n v="413.06425281493898"/>
    <s v="Percent-Off"/>
    <n v="1645"/>
    <n v="-413.06425281493989"/>
  </r>
  <r>
    <s v="ORD1207"/>
    <d v="2024-01-16T02:00:00"/>
    <s v="Pune"/>
    <s v="MARGHERI_965"/>
    <x v="16"/>
    <s v="Pizza"/>
    <n v="206"/>
    <n v="0"/>
    <n v="206"/>
    <n v="7"/>
    <n v="108.65541825744199"/>
    <n v="1442"/>
    <n v="760.58792780209399"/>
    <n v="681.41207219790499"/>
    <s v="BOGO"/>
    <n v="1442"/>
    <n v="-681.41207219790601"/>
  </r>
  <r>
    <s v="ORD1208"/>
    <d v="2025-07-15T17:00:00"/>
    <s v="Delhi"/>
    <s v="MARGHERI_776"/>
    <x v="16"/>
    <s v="Pizza"/>
    <n v="348"/>
    <n v="0.2"/>
    <n v="278.39999999999998"/>
    <n v="3"/>
    <n v="156.874487581659"/>
    <n v="835.2"/>
    <n v="470.62346274497799"/>
    <n v="364.57653725502098"/>
    <s v="None"/>
    <n v="1044"/>
    <n v="-364.57653725502206"/>
  </r>
  <r>
    <s v="ORD1209"/>
    <d v="2024-06-04T18:00:00"/>
    <s v="Hyderabad"/>
    <s v="FRIES_458"/>
    <x v="2"/>
    <s v="Snacks"/>
    <n v="343"/>
    <n v="0"/>
    <n v="343"/>
    <n v="3"/>
    <n v="139.41578992607"/>
    <n v="1029"/>
    <n v="418.24736977820999"/>
    <n v="610.75263022178899"/>
    <s v="None"/>
    <n v="1029"/>
    <n v="-610.75263022179001"/>
  </r>
  <r>
    <s v="ORD1210"/>
    <d v="2024-04-12T21:00:00"/>
    <s v="Pune"/>
    <s v="BROWNIE_563"/>
    <x v="12"/>
    <s v="Dessert"/>
    <n v="335"/>
    <n v="0.1"/>
    <n v="301.5"/>
    <n v="2"/>
    <n v="199.397918004247"/>
    <n v="603"/>
    <n v="398.79583600849497"/>
    <n v="204.204163991504"/>
    <s v="None"/>
    <n v="670"/>
    <n v="-204.20416399150503"/>
  </r>
  <r>
    <s v="ORD1211"/>
    <d v="2025-11-02T02:00:00"/>
    <s v="Pune"/>
    <s v="BROWNIE_972"/>
    <x v="12"/>
    <s v="Dessert"/>
    <n v="317"/>
    <n v="0.1"/>
    <n v="285.3"/>
    <n v="5"/>
    <n v="205.562898333672"/>
    <n v="1426.5"/>
    <n v="1027.81449166836"/>
    <n v="398.685508331638"/>
    <s v="BOGO"/>
    <n v="1585"/>
    <n v="-398.68550833163999"/>
  </r>
  <r>
    <s v="ORD1212"/>
    <d v="2025-12-06T20:00:00"/>
    <s v="Mumbai"/>
    <s v="CHICKEN__670"/>
    <x v="14"/>
    <s v="Burger"/>
    <n v="160"/>
    <n v="0.1"/>
    <n v="144"/>
    <n v="1"/>
    <n v="117.10532530410001"/>
    <n v="144"/>
    <n v="117.10532530410001"/>
    <n v="26.894674695899401"/>
    <s v="Bundle"/>
    <n v="160"/>
    <n v="-26.894674695899994"/>
  </r>
  <r>
    <s v="ORD1213"/>
    <d v="2025-01-10T17:00:00"/>
    <s v="Pune"/>
    <s v="VEG_SAND_371"/>
    <x v="9"/>
    <s v="Sandwich"/>
    <n v="283"/>
    <n v="0.25"/>
    <n v="212.25"/>
    <n v="6"/>
    <n v="179.35913454748501"/>
    <n v="1273.5"/>
    <n v="1076.15480728491"/>
    <n v="197.34519271508401"/>
    <s v="None"/>
    <n v="1698"/>
    <n v="-197.34519271508998"/>
  </r>
  <r>
    <s v="ORD1214"/>
    <d v="2024-04-27T00:00:00"/>
    <s v="Mumbai"/>
    <s v="MARGHERI_605"/>
    <x v="16"/>
    <s v="Pizza"/>
    <n v="210"/>
    <n v="0.05"/>
    <n v="199.5"/>
    <n v="3"/>
    <n v="137.098856592147"/>
    <n v="598.5"/>
    <n v="411.29656977644203"/>
    <n v="187.20343022355701"/>
    <s v="None"/>
    <n v="630"/>
    <n v="-187.20343022355797"/>
  </r>
  <r>
    <s v="ORD1215"/>
    <d v="2025-11-13T02:00:00"/>
    <s v="Pune"/>
    <s v="ONION_RI_675"/>
    <x v="17"/>
    <s v="Snacks"/>
    <n v="100"/>
    <n v="0.25"/>
    <n v="75"/>
    <n v="5"/>
    <n v="67.532838062672099"/>
    <n v="375"/>
    <n v="337.66419031336"/>
    <n v="37.335809686639301"/>
    <s v="Percent-Off"/>
    <n v="500"/>
    <n v="-37.335809686640005"/>
  </r>
  <r>
    <s v="ORD1216"/>
    <d v="2025-09-11T14:00:00"/>
    <s v="Hyderabad"/>
    <s v="CHEESE_B_913"/>
    <x v="5"/>
    <s v="Burger"/>
    <n v="185"/>
    <n v="0.05"/>
    <n v="175.75"/>
    <n v="6"/>
    <n v="90.344919818107002"/>
    <n v="1054.5"/>
    <n v="542.06951890864195"/>
    <n v="512.43048109135702"/>
    <s v="Coupon"/>
    <n v="1110"/>
    <n v="-512.43048109135805"/>
  </r>
  <r>
    <s v="ORD1217"/>
    <d v="2025-06-13T17:00:00"/>
    <s v="Mumbai"/>
    <s v="CLUB_SAN_642"/>
    <x v="13"/>
    <s v="Sandwich"/>
    <n v="149"/>
    <n v="0.1"/>
    <n v="134.1"/>
    <n v="3"/>
    <n v="108.743213925061"/>
    <n v="402.29999999999899"/>
    <n v="326.22964177518298"/>
    <n v="76.070358224816005"/>
    <s v="None"/>
    <n v="447"/>
    <n v="-76.070358224816005"/>
  </r>
  <r>
    <s v="ORD1218"/>
    <d v="2024-11-11T01:00:00"/>
    <s v="Bangalore"/>
    <s v="GRILLED__774"/>
    <x v="1"/>
    <s v="Sandwich"/>
    <n v="273"/>
    <n v="0.2"/>
    <n v="218.4"/>
    <n v="3"/>
    <n v="181.580063570308"/>
    <n v="655.20000000000005"/>
    <n v="544.74019071092403"/>
    <n v="110.459809289075"/>
    <s v="Percent-Off"/>
    <n v="819"/>
    <n v="-110.45980928907602"/>
  </r>
  <r>
    <s v="ORD1219"/>
    <d v="2024-04-23T07:00:00"/>
    <s v="Hyderabad"/>
    <s v="GRILLED__717"/>
    <x v="1"/>
    <s v="Sandwich"/>
    <n v="282"/>
    <n v="0.15"/>
    <n v="239.7"/>
    <n v="7"/>
    <n v="181.920237128331"/>
    <n v="1677.8999999999901"/>
    <n v="1273.44165989832"/>
    <n v="404.45834010167698"/>
    <s v="None"/>
    <n v="1974"/>
    <n v="-404.45834010167005"/>
  </r>
  <r>
    <s v="ORD1220"/>
    <d v="2025-05-02T12:00:00"/>
    <s v="Hyderabad"/>
    <s v="CHICKEN__268"/>
    <x v="7"/>
    <s v="Pizza"/>
    <n v="99"/>
    <n v="0"/>
    <n v="99"/>
    <n v="2"/>
    <n v="57.140905400549002"/>
    <n v="198"/>
    <n v="114.281810801098"/>
    <n v="83.718189198901996"/>
    <s v="Percent-Off"/>
    <n v="198"/>
    <n v="-83.718189198901996"/>
  </r>
  <r>
    <s v="ORD1221"/>
    <d v="2024-06-04T21:00:00"/>
    <s v="Bangalore"/>
    <s v="SPRITE_904"/>
    <x v="3"/>
    <s v="Drinks"/>
    <n v="196"/>
    <n v="0"/>
    <n v="196"/>
    <n v="7"/>
    <n v="86.743330300654407"/>
    <n v="1372"/>
    <n v="607.20331210458096"/>
    <n v="764.79668789541802"/>
    <s v="None"/>
    <n v="1372"/>
    <n v="-764.79668789541904"/>
  </r>
  <r>
    <s v="ORD1222"/>
    <d v="2025-02-10T22:00:00"/>
    <s v="Mumbai"/>
    <s v="COLD_COF_459"/>
    <x v="15"/>
    <s v="Drinks"/>
    <n v="342"/>
    <n v="0.25"/>
    <n v="256.5"/>
    <n v="5"/>
    <n v="229.20414279168099"/>
    <n v="1282.5"/>
    <n v="1146.0207139583999"/>
    <n v="136.47928604159401"/>
    <s v="None"/>
    <n v="1710"/>
    <n v="-136.47928604160006"/>
  </r>
  <r>
    <s v="ORD1223"/>
    <d v="2024-06-15T14:00:00"/>
    <s v="Mumbai"/>
    <s v="CHICKEN__853"/>
    <x v="14"/>
    <s v="Burger"/>
    <n v="276"/>
    <n v="0"/>
    <n v="276"/>
    <n v="4"/>
    <n v="123.1831317212"/>
    <n v="1104"/>
    <n v="492.73252688480301"/>
    <n v="611.26747311519603"/>
    <s v="Percent-Off"/>
    <n v="1104"/>
    <n v="-611.26747311519694"/>
  </r>
  <r>
    <s v="ORD1224"/>
    <d v="2025-10-31T21:00:00"/>
    <s v="Bangalore"/>
    <s v="MARGHERI_872"/>
    <x v="16"/>
    <s v="Pizza"/>
    <n v="93"/>
    <n v="0.15"/>
    <n v="79.05"/>
    <n v="5"/>
    <n v="46.333211529965702"/>
    <n v="395.25"/>
    <n v="231.66605764982799"/>
    <n v="163.58394235017099"/>
    <s v="BOGO"/>
    <n v="465"/>
    <n v="-163.58394235017201"/>
  </r>
  <r>
    <s v="ORD1225"/>
    <d v="2024-01-13T06:00:00"/>
    <s v="Delhi"/>
    <s v="ONION_RI_813"/>
    <x v="17"/>
    <s v="Snacks"/>
    <n v="241"/>
    <n v="0.1"/>
    <n v="216.9"/>
    <n v="4"/>
    <n v="105.522110236142"/>
    <n v="867.6"/>
    <n v="422.08844094456998"/>
    <n v="445.51155905542902"/>
    <s v="None"/>
    <n v="964"/>
    <n v="-445.51155905543004"/>
  </r>
  <r>
    <s v="ORD1226"/>
    <d v="2025-02-28T01:00:00"/>
    <s v="Delhi"/>
    <s v="SPRITE_234"/>
    <x v="3"/>
    <s v="Drinks"/>
    <n v="157"/>
    <n v="0.2"/>
    <n v="125.6"/>
    <n v="2"/>
    <n v="66.418026939750504"/>
    <n v="251.2"/>
    <n v="132.83605387950101"/>
    <n v="118.363946120498"/>
    <s v="None"/>
    <n v="314"/>
    <n v="-118.36394612049898"/>
  </r>
  <r>
    <s v="ORD1227"/>
    <d v="2025-02-15T18:00:00"/>
    <s v="Hyderabad"/>
    <s v="BROWNIE_592"/>
    <x v="12"/>
    <s v="Dessert"/>
    <n v="162"/>
    <n v="0.2"/>
    <n v="129.6"/>
    <n v="3"/>
    <n v="70.483147492595407"/>
    <n v="388.79999999999899"/>
    <n v="211.44944247778599"/>
    <n v="177.35055752221299"/>
    <s v="None"/>
    <n v="486"/>
    <n v="-177.35055752221299"/>
  </r>
  <r>
    <s v="ORD1228"/>
    <d v="2024-02-17T08:00:00"/>
    <s v="Hyderabad"/>
    <s v="SPRITE_836"/>
    <x v="3"/>
    <s v="Drinks"/>
    <n v="227"/>
    <n v="0.1"/>
    <n v="204.3"/>
    <n v="4"/>
    <n v="150.857678316967"/>
    <n v="817.2"/>
    <n v="603.43071326786799"/>
    <n v="213.76928673213101"/>
    <s v="Percent-Off"/>
    <n v="908"/>
    <n v="-213.76928673213206"/>
  </r>
  <r>
    <s v="ORD1229"/>
    <d v="2024-03-27T00:00:00"/>
    <s v="Delhi"/>
    <s v="PEPPY_PA_429"/>
    <x v="10"/>
    <s v="Pizza"/>
    <n v="325"/>
    <n v="0.1"/>
    <n v="292.5"/>
    <n v="4"/>
    <n v="147.39090940495899"/>
    <n v="1170"/>
    <n v="589.56363761983903"/>
    <n v="580.43636238015995"/>
    <s v="None"/>
    <n v="1300"/>
    <n v="-580.43636238016097"/>
  </r>
  <r>
    <s v="ORD1230"/>
    <d v="2024-10-19T01:00:00"/>
    <s v="Hyderabad"/>
    <s v="COLD_COF_359"/>
    <x v="15"/>
    <s v="Drinks"/>
    <n v="295"/>
    <n v="0.15"/>
    <n v="250.75"/>
    <n v="2"/>
    <n v="199.553882086958"/>
    <n v="501.5"/>
    <n v="399.107764173916"/>
    <n v="102.392235826083"/>
    <s v="Coupon"/>
    <n v="590"/>
    <n v="-102.392235826084"/>
  </r>
  <r>
    <s v="ORD1231"/>
    <d v="2025-06-25T03:00:00"/>
    <s v="Bangalore"/>
    <s v="BROWNIE_538"/>
    <x v="12"/>
    <s v="Dessert"/>
    <n v="187"/>
    <n v="0.15"/>
    <n v="158.94999999999999"/>
    <n v="5"/>
    <n v="129.919766667517"/>
    <n v="794.75"/>
    <n v="649.59883333758705"/>
    <n v="145.15116666241201"/>
    <s v="None"/>
    <n v="935"/>
    <n v="-145.15116666241295"/>
  </r>
  <r>
    <s v="ORD1232"/>
    <d v="2024-07-08T07:00:00"/>
    <s v="Hyderabad"/>
    <s v="MARGHERI_149"/>
    <x v="16"/>
    <s v="Pizza"/>
    <n v="194"/>
    <n v="0"/>
    <n v="194"/>
    <n v="2"/>
    <n v="81.688962745831503"/>
    <n v="388"/>
    <n v="163.37792549166301"/>
    <n v="224.622074508336"/>
    <s v="Coupon"/>
    <n v="388"/>
    <n v="-224.62207450833699"/>
  </r>
  <r>
    <s v="ORD1233"/>
    <d v="2024-02-11T23:00:00"/>
    <s v="Hyderabad"/>
    <s v="PEPPY_PA_276"/>
    <x v="10"/>
    <s v="Pizza"/>
    <n v="109"/>
    <n v="0.05"/>
    <n v="103.55"/>
    <n v="4"/>
    <n v="61.950866449387597"/>
    <n v="414.2"/>
    <n v="247.80346579754999"/>
    <n v="166.396534202449"/>
    <s v="None"/>
    <n v="436"/>
    <n v="-166.39653420245"/>
  </r>
  <r>
    <s v="ORD1234"/>
    <d v="2024-08-14T21:00:00"/>
    <s v="Hyderabad"/>
    <s v="VEG_BURG_154"/>
    <x v="0"/>
    <s v="Burger"/>
    <n v="176"/>
    <n v="0.1"/>
    <n v="158.4"/>
    <n v="3"/>
    <n v="86.168414744728594"/>
    <n v="475.2"/>
    <n v="258.505244234185"/>
    <n v="216.69475576581399"/>
    <s v="None"/>
    <n v="528"/>
    <n v="-216.69475576581499"/>
  </r>
  <r>
    <s v="ORD1235"/>
    <d v="2025-03-22T02:00:00"/>
    <s v="Chennai"/>
    <s v="CHICKEN__319"/>
    <x v="7"/>
    <s v="Pizza"/>
    <n v="207"/>
    <n v="0.1"/>
    <n v="186.3"/>
    <n v="7"/>
    <n v="86.863008263152906"/>
    <n v="1304.0999999999999"/>
    <n v="608.04105784207002"/>
    <n v="696.05894215792898"/>
    <s v="Percent-Off"/>
    <n v="1449"/>
    <n v="-696.05894215792989"/>
  </r>
  <r>
    <s v="ORD1236"/>
    <d v="2025-09-06T13:00:00"/>
    <s v="Mumbai"/>
    <s v="FRIES_806"/>
    <x v="2"/>
    <s v="Snacks"/>
    <n v="88"/>
    <n v="0.05"/>
    <n v="83.6"/>
    <n v="2"/>
    <n v="63.282617080631901"/>
    <n v="167.2"/>
    <n v="126.56523416126301"/>
    <n v="40.634765838736001"/>
    <s v="Percent-Off"/>
    <n v="176"/>
    <n v="-40.634765838736982"/>
  </r>
  <r>
    <s v="ORD1237"/>
    <d v="2025-05-03T06:00:00"/>
    <s v="Delhi"/>
    <s v="SPRITE_311"/>
    <x v="3"/>
    <s v="Drinks"/>
    <n v="314"/>
    <n v="0"/>
    <n v="314"/>
    <n v="4"/>
    <n v="154.23510066191"/>
    <n v="1256"/>
    <n v="616.94040264764203"/>
    <n v="639.05959735235695"/>
    <s v="None"/>
    <n v="1256"/>
    <n v="-639.05959735235797"/>
  </r>
  <r>
    <s v="ORD1238"/>
    <d v="2025-01-28T07:00:00"/>
    <s v="Mumbai"/>
    <s v="COKE_629"/>
    <x v="8"/>
    <s v="Drinks"/>
    <n v="276"/>
    <n v="0.15"/>
    <n v="234.6"/>
    <n v="6"/>
    <n v="190.67810786214099"/>
    <n v="1407.6"/>
    <n v="1144.06864717284"/>
    <n v="263.53135282715101"/>
    <s v="None"/>
    <n v="1656"/>
    <n v="-263.53135282715994"/>
  </r>
  <r>
    <s v="ORD1239"/>
    <d v="2025-07-07T09:00:00"/>
    <s v="Mumbai"/>
    <s v="ICE_CREA_789"/>
    <x v="6"/>
    <s v="Dessert"/>
    <n v="206"/>
    <n v="0"/>
    <n v="206"/>
    <n v="6"/>
    <n v="94.359798368168796"/>
    <n v="1236"/>
    <n v="566.15879020901195"/>
    <n v="669.84120979098702"/>
    <s v="Coupon"/>
    <n v="1236"/>
    <n v="-669.84120979098805"/>
  </r>
  <r>
    <s v="ORD1240"/>
    <d v="2024-02-29T19:00:00"/>
    <s v="Hyderabad"/>
    <s v="VEG_BURG_707"/>
    <x v="0"/>
    <s v="Burger"/>
    <n v="326"/>
    <n v="0.05"/>
    <n v="309.7"/>
    <n v="3"/>
    <n v="158.53904792900499"/>
    <n v="929.099999999999"/>
    <n v="475.61714378701703"/>
    <n v="453.48285621298203"/>
    <s v="None"/>
    <n v="978"/>
    <n v="-453.48285621298197"/>
  </r>
  <r>
    <s v="ORD1241"/>
    <d v="2024-01-24T19:00:00"/>
    <s v="Chennai"/>
    <s v="GARLIC_B_194"/>
    <x v="4"/>
    <s v="Snacks"/>
    <n v="216"/>
    <n v="0.1"/>
    <n v="194.4"/>
    <n v="4"/>
    <n v="113.380782868398"/>
    <n v="777.6"/>
    <n v="453.52313147359303"/>
    <n v="324.07686852640597"/>
    <s v="None"/>
    <n v="864"/>
    <n v="-324.076868526407"/>
  </r>
  <r>
    <s v="ORD1242"/>
    <d v="2024-04-09T06:00:00"/>
    <s v="Pune"/>
    <s v="ONION_RI_726"/>
    <x v="17"/>
    <s v="Snacks"/>
    <n v="234"/>
    <n v="0.1"/>
    <n v="210.6"/>
    <n v="1"/>
    <n v="149.16039869064301"/>
    <n v="210.6"/>
    <n v="149.16039869064301"/>
    <n v="61.4396013093561"/>
    <s v="Coupon"/>
    <n v="234"/>
    <n v="-61.439601309356988"/>
  </r>
  <r>
    <s v="ORD1243"/>
    <d v="2024-07-30T20:00:00"/>
    <s v="Pune"/>
    <s v="COLD_COF_182"/>
    <x v="15"/>
    <s v="Drinks"/>
    <n v="328"/>
    <n v="0.25"/>
    <n v="246"/>
    <n v="7"/>
    <n v="217.637843506081"/>
    <n v="1722"/>
    <n v="1523.4649045425699"/>
    <n v="198.53509545742801"/>
    <s v="Percent-Off"/>
    <n v="2296"/>
    <n v="-198.53509545743009"/>
  </r>
  <r>
    <s v="ORD1244"/>
    <d v="2025-11-25T05:00:00"/>
    <s v="Bangalore"/>
    <s v="COKE_434"/>
    <x v="8"/>
    <s v="Drinks"/>
    <n v="171"/>
    <n v="0.1"/>
    <n v="153.9"/>
    <n v="3"/>
    <n v="87.239919579459894"/>
    <n v="461.7"/>
    <n v="261.71975873837903"/>
    <n v="199.98024126161999"/>
    <s v="None"/>
    <n v="513"/>
    <n v="-199.98024126162096"/>
  </r>
  <r>
    <s v="ORD1245"/>
    <d v="2025-07-16T19:00:00"/>
    <s v="Mumbai"/>
    <s v="CHICKEN__448"/>
    <x v="14"/>
    <s v="Burger"/>
    <n v="141"/>
    <n v="0.15"/>
    <n v="119.85"/>
    <n v="1"/>
    <n v="60.945008061462303"/>
    <n v="119.85"/>
    <n v="60.945008061462303"/>
    <n v="58.904991938537599"/>
    <s v="Percent-Off"/>
    <n v="141"/>
    <n v="-58.904991938537691"/>
  </r>
  <r>
    <s v="ORD1246"/>
    <d v="2024-10-21T03:00:00"/>
    <s v="Mumbai"/>
    <s v="COLD_COF_112"/>
    <x v="15"/>
    <s v="Drinks"/>
    <n v="345"/>
    <n v="0.25"/>
    <n v="258.75"/>
    <n v="6"/>
    <n v="218.95267339506901"/>
    <n v="1552.5"/>
    <n v="1313.7160403704099"/>
    <n v="238.78395962958501"/>
    <s v="Bundle"/>
    <n v="2070"/>
    <n v="-238.78395962959007"/>
  </r>
  <r>
    <s v="ORD1247"/>
    <d v="2025-06-16T03:00:00"/>
    <s v="Pune"/>
    <s v="CHICKEN__229"/>
    <x v="7"/>
    <s v="Pizza"/>
    <n v="211"/>
    <n v="0"/>
    <n v="211"/>
    <n v="4"/>
    <n v="136.55382901351999"/>
    <n v="844"/>
    <n v="546.21531605407995"/>
    <n v="297.78468394591903"/>
    <s v="Percent-Off"/>
    <n v="844"/>
    <n v="-297.78468394592005"/>
  </r>
  <r>
    <s v="ORD1248"/>
    <d v="2024-11-08T03:00:00"/>
    <s v="Bangalore"/>
    <s v="COKE_720"/>
    <x v="8"/>
    <s v="Drinks"/>
    <n v="277"/>
    <n v="0.15"/>
    <n v="235.45"/>
    <n v="4"/>
    <n v="137.259318693447"/>
    <n v="941.8"/>
    <n v="549.03727477379095"/>
    <n v="392.76272522620798"/>
    <s v="None"/>
    <n v="1108"/>
    <n v="-392.762725226209"/>
  </r>
  <r>
    <s v="ORD1249"/>
    <d v="2025-08-28T07:00:00"/>
    <s v="Hyderabad"/>
    <s v="VEG_SAND_847"/>
    <x v="9"/>
    <s v="Sandwich"/>
    <n v="299"/>
    <n v="0.05"/>
    <n v="284.05"/>
    <n v="6"/>
    <n v="146.24670159522501"/>
    <n v="1704.3"/>
    <n v="877.48020957135304"/>
    <n v="826.81979042864702"/>
    <s v="BOGO"/>
    <n v="1794"/>
    <n v="-826.81979042864691"/>
  </r>
  <r>
    <s v="ORD1250"/>
    <d v="2025-12-27T00:00:00"/>
    <s v="Delhi"/>
    <s v="ONION_RI_975"/>
    <x v="17"/>
    <s v="Snacks"/>
    <n v="268"/>
    <n v="0.15"/>
    <n v="227.79999999999899"/>
    <n v="2"/>
    <n v="150.45509876520899"/>
    <n v="455.599999999999"/>
    <n v="300.910197530419"/>
    <n v="154.68980246958"/>
    <s v="None"/>
    <n v="536"/>
    <n v="-154.68980246958"/>
  </r>
  <r>
    <s v="ORD1251"/>
    <d v="2025-09-11T03:00:00"/>
    <s v="Delhi"/>
    <s v="GRILLED__872"/>
    <x v="1"/>
    <s v="Sandwich"/>
    <n v="239"/>
    <n v="0"/>
    <n v="239"/>
    <n v="2"/>
    <n v="158.29122381066699"/>
    <n v="478"/>
    <n v="316.58244762133501"/>
    <n v="161.417552378664"/>
    <s v="Percent-Off"/>
    <n v="478"/>
    <n v="-161.41755237866499"/>
  </r>
  <r>
    <s v="ORD1252"/>
    <d v="2024-12-02T09:00:00"/>
    <s v="Delhi"/>
    <s v="FRIES_447"/>
    <x v="2"/>
    <s v="Snacks"/>
    <n v="84"/>
    <n v="0.05"/>
    <n v="79.8"/>
    <n v="1"/>
    <n v="55.796374754585301"/>
    <n v="79.8"/>
    <n v="55.796374754585301"/>
    <n v="24.0036252454146"/>
    <s v="Percent-Off"/>
    <n v="84"/>
    <n v="-24.003625245414696"/>
  </r>
  <r>
    <s v="ORD1253"/>
    <d v="2025-01-13T05:00:00"/>
    <s v="Chennai"/>
    <s v="GRILLED__549"/>
    <x v="1"/>
    <s v="Sandwich"/>
    <n v="94"/>
    <n v="0"/>
    <n v="94"/>
    <n v="1"/>
    <n v="40.293243544646003"/>
    <n v="94"/>
    <n v="40.293243544646003"/>
    <n v="53.706756455353897"/>
    <s v="Coupon"/>
    <n v="94"/>
    <n v="-53.706756455353997"/>
  </r>
  <r>
    <s v="ORD1254"/>
    <d v="2025-04-19T07:00:00"/>
    <s v="Hyderabad"/>
    <s v="GULAB_JA_438"/>
    <x v="11"/>
    <s v="Dessert"/>
    <n v="297"/>
    <n v="0.1"/>
    <n v="267.3"/>
    <n v="7"/>
    <n v="174.00882447346399"/>
    <n v="1871.1"/>
    <n v="1218.0617713142501"/>
    <n v="653.03822868574503"/>
    <s v="None"/>
    <n v="2079"/>
    <n v="-653.0382286857498"/>
  </r>
  <r>
    <s v="ORD1255"/>
    <d v="2025-11-13T10:00:00"/>
    <s v="Chennai"/>
    <s v="COKE_135"/>
    <x v="8"/>
    <s v="Drinks"/>
    <n v="286"/>
    <n v="0.05"/>
    <n v="271.7"/>
    <n v="1"/>
    <n v="152.526600723087"/>
    <n v="271.7"/>
    <n v="152.526600723087"/>
    <n v="119.17339927691199"/>
    <s v="None"/>
    <n v="286"/>
    <n v="-119.17339927691299"/>
  </r>
  <r>
    <s v="ORD1256"/>
    <d v="2024-04-08T01:00:00"/>
    <s v="Delhi"/>
    <s v="SPRITE_815"/>
    <x v="3"/>
    <s v="Drinks"/>
    <n v="98"/>
    <n v="0.1"/>
    <n v="88.2"/>
    <n v="1"/>
    <n v="71.881171994946598"/>
    <n v="88.2"/>
    <n v="71.881171994946598"/>
    <n v="16.318828005053302"/>
    <s v="None"/>
    <n v="98"/>
    <n v="-16.318828005053405"/>
  </r>
  <r>
    <s v="ORD1257"/>
    <d v="2024-07-18T23:00:00"/>
    <s v="Hyderabad"/>
    <s v="COLD_COF_817"/>
    <x v="15"/>
    <s v="Drinks"/>
    <n v="189"/>
    <n v="0.2"/>
    <n v="151.19999999999999"/>
    <n v="6"/>
    <n v="79.549876357573197"/>
    <n v="907.2"/>
    <n v="477.29925814543901"/>
    <n v="429.90074185456001"/>
    <s v="None"/>
    <n v="1134"/>
    <n v="-429.90074185456103"/>
  </r>
  <r>
    <s v="ORD1258"/>
    <d v="2025-12-12T06:00:00"/>
    <s v="Pune"/>
    <s v="PEPPY_PA_678"/>
    <x v="10"/>
    <s v="Pizza"/>
    <n v="198"/>
    <n v="0.05"/>
    <n v="188.1"/>
    <n v="6"/>
    <n v="101.284188153687"/>
    <n v="1128.5999999999999"/>
    <n v="607.70512892212503"/>
    <n v="520.89487107787397"/>
    <s v="Coupon"/>
    <n v="1188"/>
    <n v="-520.89487107787488"/>
  </r>
  <r>
    <s v="ORD1259"/>
    <d v="2025-05-12T11:00:00"/>
    <s v="Delhi"/>
    <s v="MARGHERI_963"/>
    <x v="16"/>
    <s v="Pizza"/>
    <n v="219"/>
    <n v="0.1"/>
    <n v="197.1"/>
    <n v="5"/>
    <n v="150.12411554565799"/>
    <n v="985.5"/>
    <n v="750.62057772829405"/>
    <n v="234.87942227170501"/>
    <s v="Percent-Off"/>
    <n v="1095"/>
    <n v="-234.87942227170595"/>
  </r>
  <r>
    <s v="ORD1260"/>
    <d v="2024-04-11T04:00:00"/>
    <s v="Bangalore"/>
    <s v="BROWNIE_481"/>
    <x v="12"/>
    <s v="Dessert"/>
    <n v="283"/>
    <n v="0.05"/>
    <n v="268.849999999999"/>
    <n v="4"/>
    <n v="116.641995595757"/>
    <n v="1075.3999999999901"/>
    <n v="466.567982383029"/>
    <n v="608.83201761697001"/>
    <s v="Coupon"/>
    <n v="1132"/>
    <n v="-608.83201761696114"/>
  </r>
  <r>
    <s v="ORD1261"/>
    <d v="2025-04-15T16:00:00"/>
    <s v="Mumbai"/>
    <s v="COKE_667"/>
    <x v="8"/>
    <s v="Drinks"/>
    <n v="155"/>
    <n v="0.1"/>
    <n v="139.5"/>
    <n v="6"/>
    <n v="84.270527739668296"/>
    <n v="837"/>
    <n v="505.62316643801"/>
    <n v="331.37683356198897"/>
    <s v="BOGO"/>
    <n v="930"/>
    <n v="-331.37683356199"/>
  </r>
  <r>
    <s v="ORD1262"/>
    <d v="2024-11-21T13:00:00"/>
    <s v="Mumbai"/>
    <s v="CLUB_SAN_923"/>
    <x v="13"/>
    <s v="Sandwich"/>
    <n v="270"/>
    <n v="0"/>
    <n v="270"/>
    <n v="2"/>
    <n v="132.190578133228"/>
    <n v="540"/>
    <n v="264.38115626645703"/>
    <n v="275.61884373354201"/>
    <s v="None"/>
    <n v="540"/>
    <n v="-275.61884373354297"/>
  </r>
  <r>
    <s v="ORD1263"/>
    <d v="2025-08-23T14:00:00"/>
    <s v="Pune"/>
    <s v="VEG_BURG_154"/>
    <x v="0"/>
    <s v="Burger"/>
    <n v="230"/>
    <n v="0"/>
    <n v="230"/>
    <n v="6"/>
    <n v="154.10453242276199"/>
    <n v="1380"/>
    <n v="924.62719453657496"/>
    <n v="455.37280546342402"/>
    <s v="Coupon"/>
    <n v="1380"/>
    <n v="-455.37280546342504"/>
  </r>
  <r>
    <s v="ORD1264"/>
    <d v="2025-05-06T17:00:00"/>
    <s v="Pune"/>
    <s v="MARGHERI_371"/>
    <x v="16"/>
    <s v="Pizza"/>
    <n v="251"/>
    <n v="0"/>
    <n v="251"/>
    <n v="7"/>
    <n v="175.447416799964"/>
    <n v="1757"/>
    <n v="1228.1319175997401"/>
    <n v="528.86808240025096"/>
    <s v="Coupon"/>
    <n v="1757"/>
    <n v="-528.86808240025994"/>
  </r>
  <r>
    <s v="ORD1265"/>
    <d v="2025-05-04T09:00:00"/>
    <s v="Pune"/>
    <s v="CHICKEN__807"/>
    <x v="7"/>
    <s v="Pizza"/>
    <n v="286"/>
    <n v="0"/>
    <n v="286"/>
    <n v="7"/>
    <n v="132.38134601985101"/>
    <n v="2002"/>
    <n v="926.66942213895902"/>
    <n v="1075.33057786104"/>
    <s v="Coupon"/>
    <n v="2002"/>
    <n v="-1075.3305778610411"/>
  </r>
  <r>
    <s v="ORD1266"/>
    <d v="2025-06-26T17:00:00"/>
    <s v="Chennai"/>
    <s v="CHICKEN__753"/>
    <x v="14"/>
    <s v="Burger"/>
    <n v="189"/>
    <n v="0.2"/>
    <n v="151.19999999999999"/>
    <n v="2"/>
    <n v="97.369692482821307"/>
    <n v="302.39999999999998"/>
    <n v="194.73938496564199"/>
    <n v="107.66061503435699"/>
    <s v="None"/>
    <n v="378"/>
    <n v="-107.66061503435799"/>
  </r>
  <r>
    <s v="ORD1267"/>
    <d v="2024-05-19T20:00:00"/>
    <s v="Hyderabad"/>
    <s v="GULAB_JA_109"/>
    <x v="11"/>
    <s v="Dessert"/>
    <n v="191"/>
    <n v="0.15"/>
    <n v="162.35"/>
    <n v="2"/>
    <n v="132.77676792452601"/>
    <n v="324.7"/>
    <n v="265.55353584905203"/>
    <n v="59.146464150947899"/>
    <s v="Coupon"/>
    <n v="382"/>
    <n v="-59.146464150947963"/>
  </r>
  <r>
    <s v="ORD1268"/>
    <d v="2025-08-18T08:00:00"/>
    <s v="Chennai"/>
    <s v="FRIES_514"/>
    <x v="2"/>
    <s v="Snacks"/>
    <n v="346"/>
    <n v="0"/>
    <n v="346"/>
    <n v="5"/>
    <n v="159.55609145707001"/>
    <n v="1730"/>
    <n v="797.78045728535403"/>
    <n v="932.21954271464597"/>
    <s v="Percent-Off"/>
    <n v="1730"/>
    <n v="-932.21954271464597"/>
  </r>
  <r>
    <s v="ORD1269"/>
    <d v="2024-09-29T12:00:00"/>
    <s v="Chennai"/>
    <s v="GULAB_JA_669"/>
    <x v="11"/>
    <s v="Dessert"/>
    <n v="325"/>
    <n v="0.05"/>
    <n v="308.75"/>
    <n v="3"/>
    <n v="140.31281256793699"/>
    <n v="926.25"/>
    <n v="420.93843770381102"/>
    <n v="505.31156229618801"/>
    <s v="None"/>
    <n v="975"/>
    <n v="-505.31156229618898"/>
  </r>
  <r>
    <s v="ORD1270"/>
    <d v="2025-11-15T06:00:00"/>
    <s v="Delhi"/>
    <s v="SPRITE_297"/>
    <x v="3"/>
    <s v="Drinks"/>
    <n v="187"/>
    <n v="0.05"/>
    <n v="177.65"/>
    <n v="4"/>
    <n v="115.485655882928"/>
    <n v="710.6"/>
    <n v="461.94262353171302"/>
    <n v="248.657376468286"/>
    <s v="Coupon"/>
    <n v="748"/>
    <n v="-248.657376468287"/>
  </r>
  <r>
    <s v="ORD1271"/>
    <d v="2024-05-19T06:00:00"/>
    <s v="Hyderabad"/>
    <s v="GULAB_JA_360"/>
    <x v="11"/>
    <s v="Dessert"/>
    <n v="340"/>
    <n v="0.1"/>
    <n v="306"/>
    <n v="7"/>
    <n v="196.97955467574801"/>
    <n v="2142"/>
    <n v="1378.8568827302299"/>
    <n v="763.14311726975995"/>
    <s v="Coupon"/>
    <n v="2380"/>
    <n v="-763.14311726977007"/>
  </r>
  <r>
    <s v="ORD1272"/>
    <d v="2025-01-13T06:00:00"/>
    <s v="Pune"/>
    <s v="CLUB_SAN_994"/>
    <x v="13"/>
    <s v="Sandwich"/>
    <n v="148"/>
    <n v="0"/>
    <n v="148"/>
    <n v="3"/>
    <n v="72.463104394283405"/>
    <n v="444"/>
    <n v="217.38931318285"/>
    <n v="226.610686817149"/>
    <s v="Percent-Off"/>
    <n v="444"/>
    <n v="-226.61068681715"/>
  </r>
  <r>
    <s v="ORD1273"/>
    <d v="2024-04-28T12:00:00"/>
    <s v="Delhi"/>
    <s v="VEG_SAND_884"/>
    <x v="9"/>
    <s v="Sandwich"/>
    <n v="241"/>
    <n v="0.05"/>
    <n v="228.95"/>
    <n v="7"/>
    <n v="121.189628517862"/>
    <n v="1602.6499999999901"/>
    <n v="848.32739962503604"/>
    <n v="754.32260037496303"/>
    <s v="None"/>
    <n v="1687"/>
    <n v="-754.32260037495405"/>
  </r>
  <r>
    <s v="ORD1274"/>
    <d v="2025-03-09T04:00:00"/>
    <s v="Mumbai"/>
    <s v="PEPPY_PA_442"/>
    <x v="10"/>
    <s v="Pizza"/>
    <n v="302"/>
    <n v="0.05"/>
    <n v="286.89999999999998"/>
    <n v="5"/>
    <n v="163.232583156782"/>
    <n v="1434.5"/>
    <n v="816.16291578391201"/>
    <n v="618.33708421608696"/>
    <s v="Percent-Off"/>
    <n v="1510"/>
    <n v="-618.33708421608799"/>
  </r>
  <r>
    <s v="ORD1275"/>
    <d v="2025-12-29T10:00:00"/>
    <s v="Mumbai"/>
    <s v="CHICKEN__702"/>
    <x v="7"/>
    <s v="Pizza"/>
    <n v="333"/>
    <n v="0.05"/>
    <n v="316.349999999999"/>
    <n v="3"/>
    <n v="134.40789183956301"/>
    <n v="949.05"/>
    <n v="403.22367551869002"/>
    <n v="545.82632448130903"/>
    <s v="Coupon"/>
    <n v="999"/>
    <n v="-545.82632448130994"/>
  </r>
  <r>
    <s v="ORD1276"/>
    <d v="2025-08-06T06:00:00"/>
    <s v="Bangalore"/>
    <s v="CHEESE_B_313"/>
    <x v="5"/>
    <s v="Burger"/>
    <n v="274"/>
    <n v="0"/>
    <n v="274"/>
    <n v="5"/>
    <n v="160.341003368636"/>
    <n v="1370"/>
    <n v="801.70501684318003"/>
    <n v="568.29498315681894"/>
    <s v="None"/>
    <n v="1370"/>
    <n v="-568.29498315681997"/>
  </r>
  <r>
    <s v="ORD1277"/>
    <d v="2025-07-06T13:00:00"/>
    <s v="Bangalore"/>
    <s v="SPRITE_816"/>
    <x v="3"/>
    <s v="Drinks"/>
    <n v="146"/>
    <n v="0.1"/>
    <n v="131.4"/>
    <n v="1"/>
    <n v="67.138654660771394"/>
    <n v="131.4"/>
    <n v="67.138654660771394"/>
    <n v="64.261345339228498"/>
    <s v="BOGO"/>
    <n v="146"/>
    <n v="-64.261345339228612"/>
  </r>
  <r>
    <s v="ORD1278"/>
    <d v="2024-05-08T21:00:00"/>
    <s v="Delhi"/>
    <s v="BROWNIE_344"/>
    <x v="12"/>
    <s v="Dessert"/>
    <n v="269"/>
    <n v="0.05"/>
    <n v="255.54999999999899"/>
    <n v="6"/>
    <n v="159.73781779682099"/>
    <n v="1533.3"/>
    <n v="958.42690678092799"/>
    <n v="574.87309321907196"/>
    <s v="Coupon"/>
    <n v="1614"/>
    <n v="-574.87309321907196"/>
  </r>
  <r>
    <s v="ORD1279"/>
    <d v="2025-05-03T10:00:00"/>
    <s v="Delhi"/>
    <s v="CHICKEN__680"/>
    <x v="14"/>
    <s v="Burger"/>
    <n v="237"/>
    <n v="0.1"/>
    <n v="213.3"/>
    <n v="1"/>
    <n v="126.05850978629"/>
    <n v="213.3"/>
    <n v="126.05850978629"/>
    <n v="87.241490213709"/>
    <s v="None"/>
    <n v="237"/>
    <n v="-87.241490213710009"/>
  </r>
  <r>
    <s v="ORD1280"/>
    <d v="2025-04-30T05:00:00"/>
    <s v="Pune"/>
    <s v="MARGHERI_537"/>
    <x v="16"/>
    <s v="Pizza"/>
    <n v="115"/>
    <n v="0.25"/>
    <n v="86.25"/>
    <n v="3"/>
    <n v="59.034998183919299"/>
    <n v="258.75"/>
    <n v="177.10499455175801"/>
    <n v="81.645005448241804"/>
    <s v="Percent-Off"/>
    <n v="345"/>
    <n v="-81.645005448241989"/>
  </r>
  <r>
    <s v="ORD1281"/>
    <d v="2025-09-20T11:00:00"/>
    <s v="Bangalore"/>
    <s v="CHICKEN__144"/>
    <x v="14"/>
    <s v="Burger"/>
    <n v="92"/>
    <n v="0"/>
    <n v="92"/>
    <n v="4"/>
    <n v="58.192197275632203"/>
    <n v="368"/>
    <n v="232.76878910252901"/>
    <n v="135.23121089747099"/>
    <s v="None"/>
    <n v="368"/>
    <n v="-135.23121089747099"/>
  </r>
  <r>
    <s v="ORD1282"/>
    <d v="2024-02-11T04:00:00"/>
    <s v="Chennai"/>
    <s v="COLD_COF_375"/>
    <x v="15"/>
    <s v="Drinks"/>
    <n v="86"/>
    <n v="0.2"/>
    <n v="68.8"/>
    <n v="6"/>
    <n v="38.835668504862802"/>
    <n v="412.79999999999899"/>
    <n v="233.014011029176"/>
    <n v="179.78598897082199"/>
    <s v="Percent-Off"/>
    <n v="516"/>
    <n v="-179.78598897082298"/>
  </r>
  <r>
    <s v="ORD1283"/>
    <d v="2024-09-25T14:00:00"/>
    <s v="Hyderabad"/>
    <s v="PEPPY_PA_953"/>
    <x v="10"/>
    <s v="Pizza"/>
    <n v="137"/>
    <n v="0"/>
    <n v="137"/>
    <n v="2"/>
    <n v="57.072761811799303"/>
    <n v="274"/>
    <n v="114.145523623598"/>
    <n v="159.85447637640101"/>
    <s v="None"/>
    <n v="274"/>
    <n v="-159.854476376402"/>
  </r>
  <r>
    <s v="ORD1284"/>
    <d v="2025-11-11T15:00:00"/>
    <s v="Pune"/>
    <s v="BROWNIE_419"/>
    <x v="12"/>
    <s v="Dessert"/>
    <n v="145"/>
    <n v="0.1"/>
    <n v="130.5"/>
    <n v="3"/>
    <n v="101.297124815348"/>
    <n v="391.5"/>
    <n v="303.89137444604501"/>
    <n v="87.608625553954397"/>
    <s v="None"/>
    <n v="435"/>
    <n v="-87.608625553954994"/>
  </r>
  <r>
    <s v="ORD1285"/>
    <d v="2025-11-03T05:00:00"/>
    <s v="Chennai"/>
    <s v="COKE_131"/>
    <x v="8"/>
    <s v="Drinks"/>
    <n v="214"/>
    <n v="0.15"/>
    <n v="181.9"/>
    <n v="1"/>
    <n v="111.64015873983899"/>
    <n v="181.9"/>
    <n v="111.64015873983899"/>
    <n v="70.259841260160897"/>
    <s v="None"/>
    <n v="214"/>
    <n v="-70.259841260161011"/>
  </r>
  <r>
    <s v="ORD1286"/>
    <d v="2024-03-11T02:00:00"/>
    <s v="Delhi"/>
    <s v="PEPPY_PA_747"/>
    <x v="10"/>
    <s v="Pizza"/>
    <n v="322"/>
    <n v="0"/>
    <n v="322"/>
    <n v="4"/>
    <n v="162.11402138579501"/>
    <n v="1288"/>
    <n v="648.45608554318301"/>
    <n v="639.54391445681597"/>
    <s v="Bundle"/>
    <n v="1288"/>
    <n v="-639.54391445681699"/>
  </r>
  <r>
    <s v="ORD1287"/>
    <d v="2024-08-22T10:00:00"/>
    <s v="Delhi"/>
    <s v="GULAB_JA_757"/>
    <x v="11"/>
    <s v="Dessert"/>
    <n v="87"/>
    <n v="0.1"/>
    <n v="78.3"/>
    <n v="2"/>
    <n v="39.140838029758903"/>
    <n v="156.6"/>
    <n v="78.281676059517807"/>
    <n v="78.318323940482102"/>
    <s v="BOGO"/>
    <n v="174"/>
    <n v="-78.318323940482188"/>
  </r>
  <r>
    <s v="ORD1288"/>
    <d v="2024-11-05T08:00:00"/>
    <s v="Pune"/>
    <s v="ONION_RI_803"/>
    <x v="17"/>
    <s v="Snacks"/>
    <n v="132"/>
    <n v="0.15"/>
    <n v="112.2"/>
    <n v="2"/>
    <n v="92.559800843545403"/>
    <n v="224.4"/>
    <n v="185.11960168709001"/>
    <n v="39.280398312909099"/>
    <s v="None"/>
    <n v="264"/>
    <n v="-39.280398312909995"/>
  </r>
  <r>
    <s v="ORD1289"/>
    <d v="2025-06-19T17:00:00"/>
    <s v="Chennai"/>
    <s v="SPRITE_817"/>
    <x v="3"/>
    <s v="Drinks"/>
    <n v="113"/>
    <n v="0.15"/>
    <n v="96.05"/>
    <n v="3"/>
    <n v="49.734009768814701"/>
    <n v="288.14999999999998"/>
    <n v="149.20202930644399"/>
    <n v="138.94797069355499"/>
    <s v="None"/>
    <n v="339"/>
    <n v="-138.94797069355599"/>
  </r>
  <r>
    <s v="ORD1290"/>
    <d v="2025-05-21T11:00:00"/>
    <s v="Hyderabad"/>
    <s v="COKE_789"/>
    <x v="8"/>
    <s v="Drinks"/>
    <n v="191"/>
    <n v="0.25"/>
    <n v="143.25"/>
    <n v="5"/>
    <n v="99.117436599420003"/>
    <n v="716.25"/>
    <n v="495.5871829971"/>
    <n v="220.662817002899"/>
    <s v="None"/>
    <n v="955"/>
    <n v="-220.6628170029"/>
  </r>
  <r>
    <s v="ORD1291"/>
    <d v="2025-12-22T13:00:00"/>
    <s v="Mumbai"/>
    <s v="CHICKEN__459"/>
    <x v="7"/>
    <s v="Pizza"/>
    <n v="97"/>
    <n v="0.25"/>
    <n v="72.75"/>
    <n v="3"/>
    <n v="69.927900441963601"/>
    <n v="218.25"/>
    <n v="209.78370132589001"/>
    <n v="8.4662986741090194"/>
    <s v="Coupon"/>
    <n v="291"/>
    <n v="-8.4662986741099928"/>
  </r>
  <r>
    <s v="ORD1292"/>
    <d v="2025-04-21T01:00:00"/>
    <s v="Pune"/>
    <s v="ONION_RI_544"/>
    <x v="17"/>
    <s v="Snacks"/>
    <n v="208"/>
    <n v="0"/>
    <n v="208"/>
    <n v="4"/>
    <n v="93.748622397574806"/>
    <n v="832"/>
    <n v="374.994489590299"/>
    <n v="457.00551040969998"/>
    <s v="Percent-Off"/>
    <n v="832"/>
    <n v="-457.005510409701"/>
  </r>
  <r>
    <s v="ORD1293"/>
    <d v="2024-03-23T12:00:00"/>
    <s v="Hyderabad"/>
    <s v="VEG_BURG_543"/>
    <x v="0"/>
    <s v="Burger"/>
    <n v="339"/>
    <n v="0.05"/>
    <n v="322.05"/>
    <n v="3"/>
    <n v="213.153854770458"/>
    <n v="966.15"/>
    <n v="639.46156431137501"/>
    <n v="326.688435688624"/>
    <s v="None"/>
    <n v="1017"/>
    <n v="-326.68843568862496"/>
  </r>
  <r>
    <s v="ORD1294"/>
    <d v="2025-10-08T18:00:00"/>
    <s v="Chennai"/>
    <s v="CHICKEN__486"/>
    <x v="14"/>
    <s v="Burger"/>
    <n v="326"/>
    <n v="0.05"/>
    <n v="309.7"/>
    <n v="4"/>
    <n v="216.93980076797101"/>
    <n v="1238.8"/>
    <n v="867.75920307188505"/>
    <n v="371.04079692811399"/>
    <s v="None"/>
    <n v="1304"/>
    <n v="-371.0407969281149"/>
  </r>
  <r>
    <s v="ORD1295"/>
    <d v="2025-01-09T08:00:00"/>
    <s v="Mumbai"/>
    <s v="VEG_SAND_397"/>
    <x v="9"/>
    <s v="Sandwich"/>
    <n v="196"/>
    <n v="0"/>
    <n v="196"/>
    <n v="2"/>
    <n v="118.034546430342"/>
    <n v="392"/>
    <n v="236.069092860685"/>
    <n v="155.930907139314"/>
    <s v="None"/>
    <n v="392"/>
    <n v="-155.930907139315"/>
  </r>
  <r>
    <s v="ORD1296"/>
    <d v="2025-12-16T15:00:00"/>
    <s v="Mumbai"/>
    <s v="FRIES_143"/>
    <x v="2"/>
    <s v="Snacks"/>
    <n v="221"/>
    <n v="0.15"/>
    <n v="187.85"/>
    <n v="5"/>
    <n v="143.16467644289401"/>
    <n v="939.25"/>
    <n v="715.82338221447105"/>
    <n v="223.42661778552801"/>
    <s v="None"/>
    <n v="1105"/>
    <n v="-223.42661778552895"/>
  </r>
  <r>
    <s v="ORD1297"/>
    <d v="2025-10-23T19:00:00"/>
    <s v="Hyderabad"/>
    <s v="VEG_BURG_572"/>
    <x v="0"/>
    <s v="Burger"/>
    <n v="162"/>
    <n v="0.15"/>
    <n v="137.69999999999999"/>
    <n v="1"/>
    <n v="92.097384115796203"/>
    <n v="137.69999999999999"/>
    <n v="92.097384115796203"/>
    <n v="45.602615884203701"/>
    <s v="Percent-Off"/>
    <n v="162"/>
    <n v="-45.602615884203786"/>
  </r>
  <r>
    <s v="ORD1298"/>
    <d v="2024-08-12T14:00:00"/>
    <s v="Hyderabad"/>
    <s v="CHICKEN__314"/>
    <x v="7"/>
    <s v="Pizza"/>
    <n v="174"/>
    <n v="0"/>
    <n v="174"/>
    <n v="6"/>
    <n v="117.580961422759"/>
    <n v="1044"/>
    <n v="705.48576853655698"/>
    <n v="338.514231463442"/>
    <s v="BOGO"/>
    <n v="1044"/>
    <n v="-338.51423146344302"/>
  </r>
  <r>
    <s v="ORD1299"/>
    <d v="2024-03-07T23:00:00"/>
    <s v="Mumbai"/>
    <s v="COLD_COF_268"/>
    <x v="15"/>
    <s v="Drinks"/>
    <n v="227"/>
    <n v="0.1"/>
    <n v="204.3"/>
    <n v="1"/>
    <n v="167.910397307621"/>
    <n v="204.3"/>
    <n v="167.910397307621"/>
    <n v="36.389602692378702"/>
    <s v="None"/>
    <n v="227"/>
    <n v="-36.389602692379015"/>
  </r>
  <r>
    <s v="ORD1300"/>
    <d v="2024-09-30T21:00:00"/>
    <s v="Delhi"/>
    <s v="ONION_RI_109"/>
    <x v="17"/>
    <s v="Snacks"/>
    <n v="116"/>
    <n v="0.15"/>
    <n v="98.6"/>
    <n v="7"/>
    <n v="69.992913534734598"/>
    <n v="690.19999999999902"/>
    <n v="489.950394743142"/>
    <n v="200.249605256857"/>
    <s v="None"/>
    <n v="812"/>
    <n v="-200.24960525685702"/>
  </r>
  <r>
    <s v="ORD1301"/>
    <d v="2025-12-24T16:00:00"/>
    <s v="Bangalore"/>
    <s v="GARLIC_B_362"/>
    <x v="4"/>
    <s v="Snacks"/>
    <n v="103"/>
    <n v="0.2"/>
    <n v="82.4"/>
    <n v="1"/>
    <n v="56.193791012224402"/>
    <n v="82.4"/>
    <n v="56.193791012224402"/>
    <n v="26.206208987775501"/>
    <s v="Coupon"/>
    <n v="103"/>
    <n v="-26.206208987775604"/>
  </r>
  <r>
    <s v="ORD1302"/>
    <d v="2024-08-28T16:00:00"/>
    <s v="Delhi"/>
    <s v="SPRITE_913"/>
    <x v="3"/>
    <s v="Drinks"/>
    <n v="347"/>
    <n v="0.1"/>
    <n v="312.3"/>
    <n v="7"/>
    <n v="231.40988935895999"/>
    <n v="2186.1"/>
    <n v="1619.86922551272"/>
    <n v="566.23077448727395"/>
    <s v="None"/>
    <n v="2429"/>
    <n v="-566.23077448727986"/>
  </r>
  <r>
    <s v="ORD1303"/>
    <d v="2024-06-02T04:00:00"/>
    <s v="Hyderabad"/>
    <s v="CLUB_SAN_328"/>
    <x v="13"/>
    <s v="Sandwich"/>
    <n v="198"/>
    <n v="0.1"/>
    <n v="178.2"/>
    <n v="5"/>
    <n v="125.888217187054"/>
    <n v="891"/>
    <n v="629.44108593527403"/>
    <n v="261.558914064725"/>
    <s v="None"/>
    <n v="990"/>
    <n v="-261.55891406472597"/>
  </r>
  <r>
    <s v="ORD1304"/>
    <d v="2024-05-20T20:00:00"/>
    <s v="Chennai"/>
    <s v="FRIES_547"/>
    <x v="2"/>
    <s v="Snacks"/>
    <n v="294"/>
    <n v="0"/>
    <n v="294"/>
    <n v="1"/>
    <n v="201.720570596491"/>
    <n v="294"/>
    <n v="201.720570596491"/>
    <n v="92.2794294035089"/>
    <s v="None"/>
    <n v="294"/>
    <n v="-92.279429403508999"/>
  </r>
  <r>
    <s v="ORD1305"/>
    <d v="2024-12-28T23:00:00"/>
    <s v="Mumbai"/>
    <s v="PEPPY_PA_138"/>
    <x v="10"/>
    <s v="Pizza"/>
    <n v="116"/>
    <n v="0"/>
    <n v="116"/>
    <n v="6"/>
    <n v="68.527341678391906"/>
    <n v="696"/>
    <n v="411.16405007035098"/>
    <n v="284.835949929648"/>
    <s v="None"/>
    <n v="696"/>
    <n v="-284.83594992964902"/>
  </r>
  <r>
    <s v="ORD1306"/>
    <d v="2024-12-31T22:00:00"/>
    <s v="Mumbai"/>
    <s v="CHICKEN__896"/>
    <x v="7"/>
    <s v="Pizza"/>
    <n v="278"/>
    <n v="0.1"/>
    <n v="250.2"/>
    <n v="3"/>
    <n v="149.461346912761"/>
    <n v="750.6"/>
    <n v="448.38404073828298"/>
    <n v="302.21595926171699"/>
    <s v="None"/>
    <n v="834"/>
    <n v="-302.21595926171705"/>
  </r>
  <r>
    <s v="ORD1307"/>
    <d v="2025-12-27T10:00:00"/>
    <s v="Hyderabad"/>
    <s v="CHICKEN__639"/>
    <x v="14"/>
    <s v="Burger"/>
    <n v="180"/>
    <n v="0.1"/>
    <n v="162"/>
    <n v="6"/>
    <n v="78.343696869539599"/>
    <n v="972"/>
    <n v="470.06218121723703"/>
    <n v="501.93781878276201"/>
    <s v="None"/>
    <n v="1080"/>
    <n v="-501.93781878276297"/>
  </r>
  <r>
    <s v="ORD1308"/>
    <d v="2025-08-06T05:00:00"/>
    <s v="Delhi"/>
    <s v="MARGHERI_643"/>
    <x v="16"/>
    <s v="Pizza"/>
    <n v="302"/>
    <n v="0"/>
    <n v="302"/>
    <n v="7"/>
    <n v="129.38154909123"/>
    <n v="2114"/>
    <n v="905.67084363861397"/>
    <n v="1208.32915636138"/>
    <s v="None"/>
    <n v="2114"/>
    <n v="-1208.3291563613861"/>
  </r>
  <r>
    <s v="ORD1309"/>
    <d v="2024-09-21T06:00:00"/>
    <s v="Bangalore"/>
    <s v="CHEESE_B_319"/>
    <x v="5"/>
    <s v="Burger"/>
    <n v="89"/>
    <n v="0"/>
    <n v="89"/>
    <n v="3"/>
    <n v="37.425106152170699"/>
    <n v="267"/>
    <n v="112.275318456512"/>
    <n v="154.72468154348701"/>
    <s v="Bundle"/>
    <n v="267"/>
    <n v="-154.724681543488"/>
  </r>
  <r>
    <s v="ORD1310"/>
    <d v="2025-12-23T15:00:00"/>
    <s v="Hyderabad"/>
    <s v="FRIES_319"/>
    <x v="2"/>
    <s v="Snacks"/>
    <n v="150"/>
    <n v="0.2"/>
    <n v="120"/>
    <n v="5"/>
    <n v="103.517098378733"/>
    <n v="600"/>
    <n v="517.58549189366795"/>
    <n v="82.414508106331894"/>
    <s v="None"/>
    <n v="750"/>
    <n v="-82.41450810633205"/>
  </r>
  <r>
    <s v="ORD1311"/>
    <d v="2024-09-09T11:00:00"/>
    <s v="Bangalore"/>
    <s v="GULAB_JA_321"/>
    <x v="11"/>
    <s v="Dessert"/>
    <n v="135"/>
    <n v="0"/>
    <n v="135"/>
    <n v="3"/>
    <n v="85.922093771227395"/>
    <n v="405"/>
    <n v="257.76628131368199"/>
    <n v="147.23371868631699"/>
    <s v="BOGO"/>
    <n v="405"/>
    <n v="-147.23371868631801"/>
  </r>
  <r>
    <s v="ORD1312"/>
    <d v="2025-01-05T04:00:00"/>
    <s v="Mumbai"/>
    <s v="BROWNIE_332"/>
    <x v="12"/>
    <s v="Dessert"/>
    <n v="230"/>
    <n v="0"/>
    <n v="230"/>
    <n v="5"/>
    <n v="155.35002324356199"/>
    <n v="1150"/>
    <n v="776.75011621781402"/>
    <n v="373.24988378218501"/>
    <s v="Coupon"/>
    <n v="1150"/>
    <n v="-373.24988378218598"/>
  </r>
  <r>
    <s v="ORD1313"/>
    <d v="2024-08-23T15:00:00"/>
    <s v="Bangalore"/>
    <s v="COKE_471"/>
    <x v="8"/>
    <s v="Drinks"/>
    <n v="157"/>
    <n v="0.1"/>
    <n v="141.30000000000001"/>
    <n v="5"/>
    <n v="79.744111131245404"/>
    <n v="706.5"/>
    <n v="398.72055565622702"/>
    <n v="307.77944434377201"/>
    <s v="Coupon"/>
    <n v="785"/>
    <n v="-307.77944434377298"/>
  </r>
  <r>
    <s v="ORD1314"/>
    <d v="2025-05-18T19:00:00"/>
    <s v="Mumbai"/>
    <s v="ONION_RI_862"/>
    <x v="17"/>
    <s v="Snacks"/>
    <n v="293"/>
    <n v="0.2"/>
    <n v="234.4"/>
    <n v="6"/>
    <n v="214.51337398140399"/>
    <n v="1406.4"/>
    <n v="1287.08024388842"/>
    <n v="119.31975611157399"/>
    <s v="None"/>
    <n v="1758"/>
    <n v="-119.31975611158009"/>
  </r>
  <r>
    <s v="ORD1315"/>
    <d v="2025-09-27T11:00:00"/>
    <s v="Chennai"/>
    <s v="VEG_BURG_479"/>
    <x v="0"/>
    <s v="Burger"/>
    <n v="273"/>
    <n v="0.25"/>
    <n v="204.75"/>
    <n v="3"/>
    <n v="147.12683945082401"/>
    <n v="614.25"/>
    <n v="441.38051835247302"/>
    <n v="172.86948164752599"/>
    <s v="None"/>
    <n v="819"/>
    <n v="-172.86948164752698"/>
  </r>
  <r>
    <s v="ORD1316"/>
    <d v="2024-01-22T22:00:00"/>
    <s v="Mumbai"/>
    <s v="CHEESE_B_917"/>
    <x v="5"/>
    <s v="Burger"/>
    <n v="192"/>
    <n v="0.1"/>
    <n v="172.8"/>
    <n v="7"/>
    <n v="78.001434127139703"/>
    <n v="1209.5999999999999"/>
    <n v="546.01003888997798"/>
    <n v="663.58996111002102"/>
    <s v="Coupon"/>
    <n v="1344"/>
    <n v="-663.58996111002193"/>
  </r>
  <r>
    <s v="ORD1317"/>
    <d v="2024-05-14T08:00:00"/>
    <s v="Mumbai"/>
    <s v="CHICKEN__631"/>
    <x v="7"/>
    <s v="Pizza"/>
    <n v="263"/>
    <n v="0.1"/>
    <n v="236.7"/>
    <n v="1"/>
    <n v="123.616143197696"/>
    <n v="236.7"/>
    <n v="123.616143197696"/>
    <n v="113.083856802303"/>
    <s v="None"/>
    <n v="263"/>
    <n v="-113.08385680230398"/>
  </r>
  <r>
    <s v="ORD1318"/>
    <d v="2025-09-19T21:00:00"/>
    <s v="Mumbai"/>
    <s v="MARGHERI_522"/>
    <x v="16"/>
    <s v="Pizza"/>
    <n v="303"/>
    <n v="0"/>
    <n v="303"/>
    <n v="2"/>
    <n v="217.30826180605001"/>
    <n v="606"/>
    <n v="434.61652361210099"/>
    <n v="171.38347638789801"/>
    <s v="Coupon"/>
    <n v="606"/>
    <n v="-171.38347638789901"/>
  </r>
  <r>
    <s v="ORD1319"/>
    <d v="2025-04-25T16:00:00"/>
    <s v="Hyderabad"/>
    <s v="CHICKEN__740"/>
    <x v="7"/>
    <s v="Pizza"/>
    <n v="105"/>
    <n v="0.1"/>
    <n v="94.5"/>
    <n v="7"/>
    <n v="71.770047077424096"/>
    <n v="661.5"/>
    <n v="502.39032954196801"/>
    <n v="159.10967045803099"/>
    <s v="None"/>
    <n v="735"/>
    <n v="-159.10967045803199"/>
  </r>
  <r>
    <s v="ORD1320"/>
    <d v="2025-07-18T11:00:00"/>
    <s v="Delhi"/>
    <s v="COKE_656"/>
    <x v="8"/>
    <s v="Drinks"/>
    <n v="275"/>
    <n v="0.1"/>
    <n v="247.5"/>
    <n v="1"/>
    <n v="164.50749357121299"/>
    <n v="247.5"/>
    <n v="164.50749357121299"/>
    <n v="82.9925064287862"/>
    <s v="None"/>
    <n v="275"/>
    <n v="-82.99250642878701"/>
  </r>
  <r>
    <s v="ORD1321"/>
    <d v="2024-03-14T11:00:00"/>
    <s v="Pune"/>
    <s v="CHEESE_B_796"/>
    <x v="5"/>
    <s v="Burger"/>
    <n v="94"/>
    <n v="0"/>
    <n v="94"/>
    <n v="7"/>
    <n v="64.632173046711998"/>
    <n v="658"/>
    <n v="452.42521132698403"/>
    <n v="205.57478867301501"/>
    <s v="None"/>
    <n v="658"/>
    <n v="-205.57478867301597"/>
  </r>
  <r>
    <s v="ORD1322"/>
    <d v="2024-12-29T00:00:00"/>
    <s v="Hyderabad"/>
    <s v="CLUB_SAN_538"/>
    <x v="13"/>
    <s v="Sandwich"/>
    <n v="339"/>
    <n v="0"/>
    <n v="339"/>
    <n v="2"/>
    <n v="136.06621398674599"/>
    <n v="678"/>
    <n v="272.13242797349199"/>
    <n v="405.86757202650699"/>
    <s v="None"/>
    <n v="678"/>
    <n v="-405.86757202650801"/>
  </r>
  <r>
    <s v="ORD1323"/>
    <d v="2024-08-29T13:00:00"/>
    <s v="Hyderabad"/>
    <s v="ICE_CREA_742"/>
    <x v="6"/>
    <s v="Dessert"/>
    <n v="137"/>
    <n v="0.1"/>
    <n v="123.3"/>
    <n v="1"/>
    <n v="58.973259446139998"/>
    <n v="123.3"/>
    <n v="58.973259446139998"/>
    <n v="64.326740553859906"/>
    <s v="Percent-Off"/>
    <n v="137"/>
    <n v="-64.326740553859992"/>
  </r>
  <r>
    <s v="ORD1324"/>
    <d v="2025-01-18T16:00:00"/>
    <s v="Chennai"/>
    <s v="COKE_189"/>
    <x v="8"/>
    <s v="Drinks"/>
    <n v="131"/>
    <n v="0.05"/>
    <n v="124.44999999999899"/>
    <n v="3"/>
    <n v="57.396349203584499"/>
    <n v="373.349999999999"/>
    <n v="172.18904761075299"/>
    <n v="201.16095238924601"/>
    <s v="Percent-Off"/>
    <n v="393"/>
    <n v="-201.16095238924601"/>
  </r>
  <r>
    <s v="ORD1325"/>
    <d v="2024-07-31T21:00:00"/>
    <s v="Pune"/>
    <s v="GULAB_JA_391"/>
    <x v="11"/>
    <s v="Dessert"/>
    <n v="321"/>
    <n v="0.15"/>
    <n v="272.849999999999"/>
    <n v="4"/>
    <n v="166.04959277514999"/>
    <n v="1091.3999999999901"/>
    <n v="664.198371100602"/>
    <n v="427.20162889939701"/>
    <s v="Coupon"/>
    <n v="1284"/>
    <n v="-427.20162889938808"/>
  </r>
  <r>
    <s v="ORD1326"/>
    <d v="2025-11-18T12:00:00"/>
    <s v="Hyderabad"/>
    <s v="MARGHERI_686"/>
    <x v="16"/>
    <s v="Pizza"/>
    <n v="229"/>
    <n v="0.05"/>
    <n v="217.54999999999899"/>
    <n v="1"/>
    <n v="156.658844857324"/>
    <n v="217.54999999999899"/>
    <n v="156.658844857324"/>
    <n v="60.891155142675103"/>
    <s v="Coupon"/>
    <n v="229"/>
    <n v="-60.89115514267499"/>
  </r>
  <r>
    <s v="ORD1327"/>
    <d v="2024-04-11T09:00:00"/>
    <s v="Delhi"/>
    <s v="VEG_BURG_206"/>
    <x v="0"/>
    <s v="Burger"/>
    <n v="222"/>
    <n v="0.05"/>
    <n v="210.89999999999901"/>
    <n v="5"/>
    <n v="118.7177041802"/>
    <n v="1054.5"/>
    <n v="593.58852090100004"/>
    <n v="460.911479098999"/>
    <s v="None"/>
    <n v="1110"/>
    <n v="-460.91147909899996"/>
  </r>
  <r>
    <s v="ORD1328"/>
    <d v="2025-12-07T23:00:00"/>
    <s v="Chennai"/>
    <s v="ONION_RI_248"/>
    <x v="17"/>
    <s v="Snacks"/>
    <n v="152"/>
    <n v="0.05"/>
    <n v="144.4"/>
    <n v="6"/>
    <n v="67.636411656264301"/>
    <n v="866.4"/>
    <n v="405.81846993758597"/>
    <n v="460.58153006241298"/>
    <s v="Percent-Off"/>
    <n v="912"/>
    <n v="-460.581530062414"/>
  </r>
  <r>
    <s v="ORD1329"/>
    <d v="2024-06-22T15:00:00"/>
    <s v="Chennai"/>
    <s v="ICE_CREA_981"/>
    <x v="6"/>
    <s v="Dessert"/>
    <n v="296"/>
    <n v="0.05"/>
    <n v="281.2"/>
    <n v="6"/>
    <n v="199.80703078079199"/>
    <n v="1687.19999999999"/>
    <n v="1198.84218468475"/>
    <n v="488.35781531524202"/>
    <s v="Coupon"/>
    <n v="1776"/>
    <n v="-488.35781531524003"/>
  </r>
  <r>
    <s v="ORD1330"/>
    <d v="2024-12-14T05:00:00"/>
    <s v="Chennai"/>
    <s v="CHEESE_B_749"/>
    <x v="5"/>
    <s v="Burger"/>
    <n v="270"/>
    <n v="0"/>
    <n v="270"/>
    <n v="7"/>
    <n v="164.874949987382"/>
    <n v="1890"/>
    <n v="1154.1246499116701"/>
    <n v="735.87535008832197"/>
    <s v="BOGO"/>
    <n v="1890"/>
    <n v="-735.87535008832992"/>
  </r>
  <r>
    <s v="ORD1331"/>
    <d v="2024-09-13T10:00:00"/>
    <s v="Chennai"/>
    <s v="VEG_BURG_100"/>
    <x v="0"/>
    <s v="Burger"/>
    <n v="215"/>
    <n v="0"/>
    <n v="215"/>
    <n v="7"/>
    <n v="96.917980859595104"/>
    <n v="1505"/>
    <n v="678.42586601716596"/>
    <n v="826.57413398283302"/>
    <s v="None"/>
    <n v="1505"/>
    <n v="-826.57413398283404"/>
  </r>
  <r>
    <s v="ORD1332"/>
    <d v="2025-01-06T16:00:00"/>
    <s v="Chennai"/>
    <s v="SPRITE_907"/>
    <x v="3"/>
    <s v="Drinks"/>
    <n v="124"/>
    <n v="0.2"/>
    <n v="99.2"/>
    <n v="1"/>
    <n v="92.400225523817298"/>
    <n v="99.2"/>
    <n v="92.400225523817298"/>
    <n v="6.7997744761826402"/>
    <s v="None"/>
    <n v="124"/>
    <n v="-6.799774476182705"/>
  </r>
  <r>
    <s v="ORD1333"/>
    <d v="2025-12-16T02:00:00"/>
    <s v="Hyderabad"/>
    <s v="PEPPY_PA_213"/>
    <x v="10"/>
    <s v="Pizza"/>
    <n v="190"/>
    <n v="0.05"/>
    <n v="180.5"/>
    <n v="2"/>
    <n v="102.79769120820499"/>
    <n v="361"/>
    <n v="205.59538241641101"/>
    <n v="155.40461758358799"/>
    <s v="Percent-Off"/>
    <n v="380"/>
    <n v="-155.40461758358899"/>
  </r>
  <r>
    <s v="ORD1334"/>
    <d v="2024-01-09T21:00:00"/>
    <s v="Pune"/>
    <s v="SPRITE_661"/>
    <x v="3"/>
    <s v="Drinks"/>
    <n v="252"/>
    <n v="0"/>
    <n v="252"/>
    <n v="2"/>
    <n v="168.017966762713"/>
    <n v="504"/>
    <n v="336.03593352542703"/>
    <n v="167.96406647457201"/>
    <s v="None"/>
    <n v="504"/>
    <n v="-167.96406647457297"/>
  </r>
  <r>
    <s v="ORD1335"/>
    <d v="2024-06-05T18:00:00"/>
    <s v="Pune"/>
    <s v="VEG_BURG_927"/>
    <x v="0"/>
    <s v="Burger"/>
    <n v="234"/>
    <n v="0.05"/>
    <n v="222.29999999999899"/>
    <n v="7"/>
    <n v="124.778964371974"/>
    <n v="1556.1"/>
    <n v="873.45275060382096"/>
    <n v="682.64724939617804"/>
    <s v="Coupon"/>
    <n v="1638"/>
    <n v="-682.64724939617895"/>
  </r>
  <r>
    <s v="ORD1336"/>
    <d v="2025-07-12T07:00:00"/>
    <s v="Bangalore"/>
    <s v="SPRITE_608"/>
    <x v="3"/>
    <s v="Drinks"/>
    <n v="181"/>
    <n v="0.1"/>
    <n v="162.9"/>
    <n v="4"/>
    <n v="132.652957931846"/>
    <n v="651.6"/>
    <n v="530.61183172738595"/>
    <n v="120.988168272614"/>
    <s v="None"/>
    <n v="724"/>
    <n v="-120.98816827261408"/>
  </r>
  <r>
    <s v="ORD1337"/>
    <d v="2025-02-11T00:00:00"/>
    <s v="Chennai"/>
    <s v="COLD_COF_286"/>
    <x v="15"/>
    <s v="Drinks"/>
    <n v="336"/>
    <n v="0"/>
    <n v="336"/>
    <n v="2"/>
    <n v="183.32758644408401"/>
    <n v="672"/>
    <n v="366.65517288816801"/>
    <n v="305.34482711183102"/>
    <s v="Coupon"/>
    <n v="672"/>
    <n v="-305.34482711183199"/>
  </r>
  <r>
    <s v="ORD1338"/>
    <d v="2025-03-19T08:00:00"/>
    <s v="Chennai"/>
    <s v="MARGHERI_183"/>
    <x v="16"/>
    <s v="Pizza"/>
    <n v="204"/>
    <n v="0"/>
    <n v="204"/>
    <n v="2"/>
    <n v="95.762651833002394"/>
    <n v="408"/>
    <n v="191.52530366600399"/>
    <n v="216.47469633399501"/>
    <s v="None"/>
    <n v="408"/>
    <n v="-216.47469633399601"/>
  </r>
  <r>
    <s v="ORD1339"/>
    <d v="2024-10-07T11:00:00"/>
    <s v="Mumbai"/>
    <s v="SPRITE_924"/>
    <x v="3"/>
    <s v="Drinks"/>
    <n v="251"/>
    <n v="0.15"/>
    <n v="213.35"/>
    <n v="7"/>
    <n v="139.661551963232"/>
    <n v="1493.45"/>
    <n v="977.63086374262696"/>
    <n v="515.81913625737195"/>
    <s v="None"/>
    <n v="1757"/>
    <n v="-515.81913625737309"/>
  </r>
  <r>
    <s v="ORD1340"/>
    <d v="2024-08-29T07:00:00"/>
    <s v="Bangalore"/>
    <s v="ICE_CREA_247"/>
    <x v="6"/>
    <s v="Dessert"/>
    <n v="99"/>
    <n v="0.05"/>
    <n v="94.05"/>
    <n v="7"/>
    <n v="45.424338782480604"/>
    <n v="658.35"/>
    <n v="317.97037147736398"/>
    <n v="340.37962852263502"/>
    <s v="None"/>
    <n v="693"/>
    <n v="-340.37962852263604"/>
  </r>
  <r>
    <s v="ORD1341"/>
    <d v="2025-10-21T06:00:00"/>
    <s v="Chennai"/>
    <s v="GULAB_JA_709"/>
    <x v="11"/>
    <s v="Dessert"/>
    <n v="192"/>
    <n v="0"/>
    <n v="192"/>
    <n v="2"/>
    <n v="100.023034689032"/>
    <n v="384"/>
    <n v="200.046069378064"/>
    <n v="183.953930621935"/>
    <s v="None"/>
    <n v="384"/>
    <n v="-183.953930621936"/>
  </r>
  <r>
    <s v="ORD1342"/>
    <d v="2024-12-31T23:00:00"/>
    <s v="Hyderabad"/>
    <s v="GARLIC_B_881"/>
    <x v="4"/>
    <s v="Snacks"/>
    <n v="176"/>
    <n v="0.1"/>
    <n v="158.4"/>
    <n v="4"/>
    <n v="71.379033017424206"/>
    <n v="633.6"/>
    <n v="285.51613206969603"/>
    <n v="348.08386793030297"/>
    <s v="Coupon"/>
    <n v="704"/>
    <n v="-348.083867930304"/>
  </r>
  <r>
    <s v="ORD1343"/>
    <d v="2025-07-21T13:00:00"/>
    <s v="Pune"/>
    <s v="COKE_904"/>
    <x v="8"/>
    <s v="Drinks"/>
    <n v="176"/>
    <n v="0.15"/>
    <n v="149.6"/>
    <n v="2"/>
    <n v="113.23708035310101"/>
    <n v="299.2"/>
    <n v="226.47416070620201"/>
    <n v="72.725839293797506"/>
    <s v="None"/>
    <n v="352"/>
    <n v="-72.725839293797975"/>
  </r>
  <r>
    <s v="ORD1344"/>
    <d v="2025-10-29T11:00:00"/>
    <s v="Bangalore"/>
    <s v="SPRITE_386"/>
    <x v="3"/>
    <s v="Drinks"/>
    <n v="259"/>
    <n v="0.1"/>
    <n v="233.1"/>
    <n v="7"/>
    <n v="121.130138083568"/>
    <n v="1631.7"/>
    <n v="847.91096658497895"/>
    <n v="783.78903341501996"/>
    <s v="Coupon"/>
    <n v="1813"/>
    <n v="-783.78903341502109"/>
  </r>
  <r>
    <s v="ORD1345"/>
    <d v="2024-04-23T08:00:00"/>
    <s v="Pune"/>
    <s v="VEG_BURG_568"/>
    <x v="0"/>
    <s v="Burger"/>
    <n v="90"/>
    <n v="0.15"/>
    <n v="76.5"/>
    <n v="4"/>
    <n v="48.831676566327602"/>
    <n v="306"/>
    <n v="195.32670626531001"/>
    <n v="110.673293734689"/>
    <s v="Percent-Off"/>
    <n v="360"/>
    <n v="-110.67329373468999"/>
  </r>
  <r>
    <s v="ORD1346"/>
    <d v="2025-01-06T01:00:00"/>
    <s v="Bangalore"/>
    <s v="COKE_822"/>
    <x v="8"/>
    <s v="Drinks"/>
    <n v="195"/>
    <n v="0.15"/>
    <n v="165.75"/>
    <n v="5"/>
    <n v="97.970818646651495"/>
    <n v="828.75"/>
    <n v="489.854093233257"/>
    <n v="338.89590676674197"/>
    <s v="Coupon"/>
    <n v="975"/>
    <n v="-338.895906766743"/>
  </r>
  <r>
    <s v="ORD1347"/>
    <d v="2025-01-15T07:00:00"/>
    <s v="Mumbai"/>
    <s v="GRILLED__403"/>
    <x v="1"/>
    <s v="Sandwich"/>
    <n v="336"/>
    <n v="0"/>
    <n v="336"/>
    <n v="5"/>
    <n v="135.05787273170699"/>
    <n v="1680"/>
    <n v="675.28936365853895"/>
    <n v="1004.71063634146"/>
    <s v="Percent-Off"/>
    <n v="1680"/>
    <n v="-1004.7106363414611"/>
  </r>
  <r>
    <s v="ORD1348"/>
    <d v="2025-11-13T17:00:00"/>
    <s v="Mumbai"/>
    <s v="CHEESE_B_409"/>
    <x v="5"/>
    <s v="Burger"/>
    <n v="324"/>
    <n v="0"/>
    <n v="324"/>
    <n v="7"/>
    <n v="235.727804508769"/>
    <n v="2268"/>
    <n v="1650.0946315613801"/>
    <n v="617.90536843861298"/>
    <s v="Percent-Off"/>
    <n v="2268"/>
    <n v="-617.90536843861992"/>
  </r>
  <r>
    <s v="ORD1349"/>
    <d v="2024-09-22T08:00:00"/>
    <s v="Delhi"/>
    <s v="CLUB_SAN_691"/>
    <x v="13"/>
    <s v="Sandwich"/>
    <n v="325"/>
    <n v="0.2"/>
    <n v="260"/>
    <n v="3"/>
    <n v="158.28869332734101"/>
    <n v="780"/>
    <n v="474.86607998202402"/>
    <n v="305.13392001797502"/>
    <s v="Coupon"/>
    <n v="975"/>
    <n v="-305.13392001797598"/>
  </r>
  <r>
    <s v="ORD1350"/>
    <d v="2025-08-08T16:00:00"/>
    <s v="Mumbai"/>
    <s v="CHICKEN__865"/>
    <x v="7"/>
    <s v="Pizza"/>
    <n v="222"/>
    <n v="0"/>
    <n v="222"/>
    <n v="2"/>
    <n v="105.988911651964"/>
    <n v="444"/>
    <n v="211.977823303929"/>
    <n v="232.02217669607001"/>
    <s v="None"/>
    <n v="444"/>
    <n v="-232.022176696071"/>
  </r>
  <r>
    <s v="ORD1351"/>
    <d v="2025-05-24T20:00:00"/>
    <s v="Delhi"/>
    <s v="ICE_CREA_375"/>
    <x v="6"/>
    <s v="Dessert"/>
    <n v="293"/>
    <n v="0.15"/>
    <n v="249.04999999999899"/>
    <n v="6"/>
    <n v="148.50375966425"/>
    <n v="1494.3"/>
    <n v="891.02255798550198"/>
    <n v="603.27744201449696"/>
    <s v="BOGO"/>
    <n v="1758"/>
    <n v="-603.27744201449798"/>
  </r>
  <r>
    <s v="ORD1352"/>
    <d v="2025-08-25T03:00:00"/>
    <s v="Chennai"/>
    <s v="COKE_975"/>
    <x v="8"/>
    <s v="Drinks"/>
    <n v="231"/>
    <n v="0.15"/>
    <n v="196.35"/>
    <n v="4"/>
    <n v="139.20702082805599"/>
    <n v="785.4"/>
    <n v="556.82808331222395"/>
    <n v="228.571916687775"/>
    <s v="None"/>
    <n v="924"/>
    <n v="-228.57191668777602"/>
  </r>
  <r>
    <s v="ORD1353"/>
    <d v="2025-12-21T21:00:00"/>
    <s v="Hyderabad"/>
    <s v="CHEESE_B_978"/>
    <x v="5"/>
    <s v="Burger"/>
    <n v="93"/>
    <n v="0.15"/>
    <n v="79.05"/>
    <n v="3"/>
    <n v="52.506604483232202"/>
    <n v="237.14999999999901"/>
    <n v="157.51981344969599"/>
    <n v="79.630186550303193"/>
    <s v="None"/>
    <n v="279"/>
    <n v="-79.630186550303023"/>
  </r>
  <r>
    <s v="ORD1354"/>
    <d v="2025-03-10T17:00:00"/>
    <s v="Chennai"/>
    <s v="PEPPY_PA_315"/>
    <x v="10"/>
    <s v="Pizza"/>
    <n v="275"/>
    <n v="0.2"/>
    <n v="220"/>
    <n v="4"/>
    <n v="144.999170819223"/>
    <n v="880"/>
    <n v="579.99668327689506"/>
    <n v="300.00331672310398"/>
    <s v="Percent-Off"/>
    <n v="1100"/>
    <n v="-300.00331672310494"/>
  </r>
  <r>
    <s v="ORD1355"/>
    <d v="2025-10-08T21:00:00"/>
    <s v="Bangalore"/>
    <s v="GRILLED__471"/>
    <x v="1"/>
    <s v="Sandwich"/>
    <n v="108"/>
    <n v="0.15"/>
    <n v="91.8"/>
    <n v="5"/>
    <n v="70.244272912601005"/>
    <n v="459"/>
    <n v="351.22136456300501"/>
    <n v="107.77863543699399"/>
    <s v="Bundle"/>
    <n v="540"/>
    <n v="-107.77863543699499"/>
  </r>
  <r>
    <s v="ORD1356"/>
    <d v="2024-01-04T17:00:00"/>
    <s v="Mumbai"/>
    <s v="CHICKEN__816"/>
    <x v="14"/>
    <s v="Burger"/>
    <n v="334"/>
    <n v="0.1"/>
    <n v="300.60000000000002"/>
    <n v="4"/>
    <n v="161.718551613714"/>
    <n v="1202.4000000000001"/>
    <n v="646.87420645485599"/>
    <n v="555.52579354514296"/>
    <s v="Coupon"/>
    <n v="1336"/>
    <n v="-555.5257935451441"/>
  </r>
  <r>
    <s v="ORD1357"/>
    <d v="2025-03-07T17:00:00"/>
    <s v="Hyderabad"/>
    <s v="GULAB_JA_211"/>
    <x v="11"/>
    <s v="Dessert"/>
    <n v="179"/>
    <n v="0"/>
    <n v="179"/>
    <n v="4"/>
    <n v="112.743677559514"/>
    <n v="716"/>
    <n v="450.97471023805599"/>
    <n v="265.02528976194299"/>
    <s v="BOGO"/>
    <n v="716"/>
    <n v="-265.02528976194401"/>
  </r>
  <r>
    <s v="ORD1358"/>
    <d v="2025-11-13T01:00:00"/>
    <s v="Chennai"/>
    <s v="BROWNIE_778"/>
    <x v="12"/>
    <s v="Dessert"/>
    <n v="244"/>
    <n v="0"/>
    <n v="244"/>
    <n v="7"/>
    <n v="118.381567650056"/>
    <n v="1708"/>
    <n v="828.67097355039505"/>
    <n v="879.32902644960404"/>
    <s v="None"/>
    <n v="1708"/>
    <n v="-879.32902644960495"/>
  </r>
  <r>
    <s v="ORD1359"/>
    <d v="2024-05-06T17:00:00"/>
    <s v="Mumbai"/>
    <s v="PEPPY_PA_938"/>
    <x v="10"/>
    <s v="Pizza"/>
    <n v="185"/>
    <n v="0"/>
    <n v="185"/>
    <n v="2"/>
    <n v="108.52474301789501"/>
    <n v="370"/>
    <n v="217.04948603579001"/>
    <n v="152.95051396420899"/>
    <s v="Coupon"/>
    <n v="370"/>
    <n v="-152.95051396420999"/>
  </r>
  <r>
    <s v="ORD1360"/>
    <d v="2024-01-05T09:00:00"/>
    <s v="Chennai"/>
    <s v="VEG_BURG_434"/>
    <x v="0"/>
    <s v="Burger"/>
    <n v="97"/>
    <n v="0.05"/>
    <n v="92.149999999999906"/>
    <n v="2"/>
    <n v="58.954505072219199"/>
    <n v="184.29999999999899"/>
    <n v="117.909010144438"/>
    <n v="66.3909898555615"/>
    <s v="Coupon"/>
    <n v="194"/>
    <n v="-66.390989855560989"/>
  </r>
  <r>
    <s v="ORD1361"/>
    <d v="2025-01-13T06:00:00"/>
    <s v="Pune"/>
    <s v="CHICKEN__477"/>
    <x v="7"/>
    <s v="Pizza"/>
    <n v="163"/>
    <n v="0"/>
    <n v="163"/>
    <n v="6"/>
    <n v="83.127478744496699"/>
    <n v="978"/>
    <n v="498.76487246698002"/>
    <n v="479.23512753301901"/>
    <s v="Percent-Off"/>
    <n v="978"/>
    <n v="-479.23512753301998"/>
  </r>
  <r>
    <s v="ORD1362"/>
    <d v="2024-09-10T18:00:00"/>
    <s v="Chennai"/>
    <s v="MARGHERI_475"/>
    <x v="16"/>
    <s v="Pizza"/>
    <n v="103"/>
    <n v="0.1"/>
    <n v="92.7"/>
    <n v="4"/>
    <n v="69.784494695510105"/>
    <n v="370.8"/>
    <n v="279.13797878204002"/>
    <n v="91.662021217959406"/>
    <s v="Coupon"/>
    <n v="412"/>
    <n v="-91.662021217959989"/>
  </r>
  <r>
    <s v="ORD1363"/>
    <d v="2024-09-10T10:00:00"/>
    <s v="Pune"/>
    <s v="CHEESE_B_709"/>
    <x v="5"/>
    <s v="Burger"/>
    <n v="111"/>
    <n v="0"/>
    <n v="111"/>
    <n v="3"/>
    <n v="47.557693223068398"/>
    <n v="333"/>
    <n v="142.67307966920501"/>
    <n v="190.326920330794"/>
    <s v="BOGO"/>
    <n v="333"/>
    <n v="-190.32692033079499"/>
  </r>
  <r>
    <s v="ORD1364"/>
    <d v="2025-12-10T02:00:00"/>
    <s v="Bangalore"/>
    <s v="ONION_RI_996"/>
    <x v="17"/>
    <s v="Snacks"/>
    <n v="137"/>
    <n v="0.15"/>
    <n v="116.45"/>
    <n v="1"/>
    <n v="66.359082589434905"/>
    <n v="116.45"/>
    <n v="66.359082589434905"/>
    <n v="50.090917410565098"/>
    <s v="Percent-Off"/>
    <n v="137"/>
    <n v="-50.090917410565098"/>
  </r>
  <r>
    <s v="ORD1365"/>
    <d v="2024-03-21T05:00:00"/>
    <s v="Pune"/>
    <s v="VEG_BURG_746"/>
    <x v="0"/>
    <s v="Burger"/>
    <n v="288"/>
    <n v="0"/>
    <n v="288"/>
    <n v="1"/>
    <n v="137.04201368550301"/>
    <n v="288"/>
    <n v="137.04201368550301"/>
    <n v="150.957986314496"/>
    <s v="None"/>
    <n v="288"/>
    <n v="-150.95798631449699"/>
  </r>
  <r>
    <s v="ORD1366"/>
    <d v="2024-10-15T05:00:00"/>
    <s v="Mumbai"/>
    <s v="COLD_COF_901"/>
    <x v="15"/>
    <s v="Drinks"/>
    <n v="240"/>
    <n v="0"/>
    <n v="240"/>
    <n v="4"/>
    <n v="133.12498515152799"/>
    <n v="960"/>
    <n v="532.49994060611402"/>
    <n v="427.50005939388501"/>
    <s v="Coupon"/>
    <n v="960"/>
    <n v="-427.50005939388598"/>
  </r>
  <r>
    <s v="ORD1367"/>
    <d v="2024-01-24T00:00:00"/>
    <s v="Hyderabad"/>
    <s v="CHICKEN__752"/>
    <x v="7"/>
    <s v="Pizza"/>
    <n v="271"/>
    <n v="0"/>
    <n v="271"/>
    <n v="1"/>
    <n v="140.36111012727099"/>
    <n v="271"/>
    <n v="140.36111012727099"/>
    <n v="130.63888987272799"/>
    <s v="None"/>
    <n v="271"/>
    <n v="-130.63888987272901"/>
  </r>
  <r>
    <s v="ORD1368"/>
    <d v="2024-06-11T23:00:00"/>
    <s v="Pune"/>
    <s v="ONION_RI_736"/>
    <x v="17"/>
    <s v="Snacks"/>
    <n v="342"/>
    <n v="0"/>
    <n v="342"/>
    <n v="3"/>
    <n v="253.49224225171901"/>
    <n v="1026"/>
    <n v="760.47672675515901"/>
    <n v="265.52327324484003"/>
    <s v="None"/>
    <n v="1026"/>
    <n v="-265.52327324484099"/>
  </r>
  <r>
    <s v="ORD1369"/>
    <d v="2024-05-21T05:00:00"/>
    <s v="Chennai"/>
    <s v="CHICKEN__913"/>
    <x v="14"/>
    <s v="Burger"/>
    <n v="155"/>
    <n v="0.15"/>
    <n v="131.75"/>
    <n v="7"/>
    <n v="85.321139628273002"/>
    <n v="922.25"/>
    <n v="597.24797739791097"/>
    <n v="325.002022602088"/>
    <s v="Percent-Off"/>
    <n v="1085"/>
    <n v="-325.00202260208903"/>
  </r>
  <r>
    <s v="ORD1370"/>
    <d v="2025-07-21T21:00:00"/>
    <s v="Bangalore"/>
    <s v="GULAB_JA_328"/>
    <x v="11"/>
    <s v="Dessert"/>
    <n v="308"/>
    <n v="0"/>
    <n v="308"/>
    <n v="2"/>
    <n v="137.24939770276799"/>
    <n v="616"/>
    <n v="274.49879540553701"/>
    <n v="341.50120459446202"/>
    <s v="Bundle"/>
    <n v="616"/>
    <n v="-341.50120459446299"/>
  </r>
  <r>
    <s v="ORD1371"/>
    <d v="2024-04-11T06:00:00"/>
    <s v="Chennai"/>
    <s v="VEG_BURG_487"/>
    <x v="0"/>
    <s v="Burger"/>
    <n v="333"/>
    <n v="0.2"/>
    <n v="266.39999999999998"/>
    <n v="7"/>
    <n v="170.27580702768901"/>
    <n v="1864.8"/>
    <n v="1191.93064919382"/>
    <n v="672.869350806174"/>
    <s v="None"/>
    <n v="2331"/>
    <n v="-672.86935080617991"/>
  </r>
  <r>
    <s v="ORD1372"/>
    <d v="2024-01-20T02:00:00"/>
    <s v="Delhi"/>
    <s v="VEG_BURG_771"/>
    <x v="0"/>
    <s v="Burger"/>
    <n v="254"/>
    <n v="0.1"/>
    <n v="228.6"/>
    <n v="2"/>
    <n v="162.926890097457"/>
    <n v="457.2"/>
    <n v="325.85378019491401"/>
    <n v="131.34621980508501"/>
    <s v="None"/>
    <n v="508"/>
    <n v="-131.34621980508598"/>
  </r>
  <r>
    <s v="ORD1373"/>
    <d v="2025-07-12T03:00:00"/>
    <s v="Mumbai"/>
    <s v="CHEESE_B_464"/>
    <x v="5"/>
    <s v="Burger"/>
    <n v="205"/>
    <n v="0.05"/>
    <n v="194.75"/>
    <n v="5"/>
    <n v="138.841953414751"/>
    <n v="973.75"/>
    <n v="694.20976707375905"/>
    <n v="279.54023292623998"/>
    <s v="None"/>
    <n v="1025"/>
    <n v="-279.54023292624095"/>
  </r>
  <r>
    <s v="ORD1374"/>
    <d v="2024-01-09T15:00:00"/>
    <s v="Delhi"/>
    <s v="GRILLED__523"/>
    <x v="1"/>
    <s v="Sandwich"/>
    <n v="204"/>
    <n v="0.25"/>
    <n v="153"/>
    <n v="4"/>
    <n v="108.02214377369501"/>
    <n v="612"/>
    <n v="432.08857509478298"/>
    <n v="179.91142490521599"/>
    <s v="None"/>
    <n v="816"/>
    <n v="-179.91142490521702"/>
  </r>
  <r>
    <s v="ORD1375"/>
    <d v="2024-02-07T11:00:00"/>
    <s v="Mumbai"/>
    <s v="MARGHERI_614"/>
    <x v="16"/>
    <s v="Pizza"/>
    <n v="172"/>
    <n v="0"/>
    <n v="172"/>
    <n v="6"/>
    <n v="110.600224517515"/>
    <n v="1032"/>
    <n v="663.60134710509101"/>
    <n v="368.39865289490803"/>
    <s v="Percent-Off"/>
    <n v="1032"/>
    <n v="-368.39865289490899"/>
  </r>
  <r>
    <s v="ORD1376"/>
    <d v="2025-04-30T13:00:00"/>
    <s v="Delhi"/>
    <s v="ICE_CREA_167"/>
    <x v="6"/>
    <s v="Dessert"/>
    <n v="145"/>
    <n v="0"/>
    <n v="145"/>
    <n v="5"/>
    <n v="100.99324094290699"/>
    <n v="725"/>
    <n v="504.96620471453798"/>
    <n v="220.033795285461"/>
    <s v="Percent-Off"/>
    <n v="725"/>
    <n v="-220.03379528546202"/>
  </r>
  <r>
    <s v="ORD1377"/>
    <d v="2025-11-14T13:00:00"/>
    <s v="Delhi"/>
    <s v="GULAB_JA_980"/>
    <x v="11"/>
    <s v="Dessert"/>
    <n v="187"/>
    <n v="0"/>
    <n v="187"/>
    <n v="1"/>
    <n v="103.847543897146"/>
    <n v="187"/>
    <n v="103.847543897146"/>
    <n v="83.152456102853705"/>
    <s v="Coupon"/>
    <n v="187"/>
    <n v="-83.152456102854003"/>
  </r>
  <r>
    <s v="ORD1378"/>
    <d v="2024-12-24T09:00:00"/>
    <s v="Hyderabad"/>
    <s v="COLD_COF_768"/>
    <x v="15"/>
    <s v="Drinks"/>
    <n v="224"/>
    <n v="0.25"/>
    <n v="168"/>
    <n v="6"/>
    <n v="91.820629631686899"/>
    <n v="1008"/>
    <n v="550.92377779012099"/>
    <n v="457.07622220987798"/>
    <s v="Percent-Off"/>
    <n v="1344"/>
    <n v="-457.07622220987901"/>
  </r>
  <r>
    <s v="ORD1379"/>
    <d v="2024-02-07T06:00:00"/>
    <s v="Chennai"/>
    <s v="CHICKEN__870"/>
    <x v="14"/>
    <s v="Burger"/>
    <n v="343"/>
    <n v="0.1"/>
    <n v="308.7"/>
    <n v="5"/>
    <n v="207.942074936512"/>
    <n v="1543.5"/>
    <n v="1039.7103746825601"/>
    <n v="503.78962531743798"/>
    <s v="None"/>
    <n v="1715"/>
    <n v="-503.78962531743991"/>
  </r>
  <r>
    <s v="ORD1380"/>
    <d v="2024-01-22T10:00:00"/>
    <s v="Pune"/>
    <s v="CHICKEN__729"/>
    <x v="14"/>
    <s v="Burger"/>
    <n v="212"/>
    <n v="0.15"/>
    <n v="180.2"/>
    <n v="7"/>
    <n v="156.03293916815099"/>
    <n v="1261.3999999999901"/>
    <n v="1092.2305741770599"/>
    <n v="169.169425822937"/>
    <s v="Bundle"/>
    <n v="1484"/>
    <n v="-169.16942582293018"/>
  </r>
  <r>
    <s v="ORD1381"/>
    <d v="2024-06-20T05:00:00"/>
    <s v="Chennai"/>
    <s v="PEPPY_PA_951"/>
    <x v="10"/>
    <s v="Pizza"/>
    <n v="310"/>
    <n v="0.1"/>
    <n v="279"/>
    <n v="6"/>
    <n v="158.38856381696101"/>
    <n v="1674"/>
    <n v="950.33138290176601"/>
    <n v="723.66861709823297"/>
    <s v="None"/>
    <n v="1860"/>
    <n v="-723.66861709823399"/>
  </r>
  <r>
    <s v="ORD1382"/>
    <d v="2025-07-06T10:00:00"/>
    <s v="Mumbai"/>
    <s v="BROWNIE_343"/>
    <x v="12"/>
    <s v="Dessert"/>
    <n v="274"/>
    <n v="0"/>
    <n v="274"/>
    <n v="1"/>
    <n v="150.717260059935"/>
    <n v="274"/>
    <n v="150.717260059935"/>
    <n v="123.282739940064"/>
    <s v="None"/>
    <n v="274"/>
    <n v="-123.282739940065"/>
  </r>
  <r>
    <s v="ORD1383"/>
    <d v="2025-09-30T01:00:00"/>
    <s v="Mumbai"/>
    <s v="COKE_147"/>
    <x v="8"/>
    <s v="Drinks"/>
    <n v="250"/>
    <n v="0"/>
    <n v="250"/>
    <n v="6"/>
    <n v="177.51832116147"/>
    <n v="1500"/>
    <n v="1065.10992696882"/>
    <n v="434.89007303117802"/>
    <s v="None"/>
    <n v="1500"/>
    <n v="-434.89007303118001"/>
  </r>
  <r>
    <s v="ORD1384"/>
    <d v="2025-10-01T13:00:00"/>
    <s v="Mumbai"/>
    <s v="COLD_COF_115"/>
    <x v="15"/>
    <s v="Drinks"/>
    <n v="186"/>
    <n v="0"/>
    <n v="186"/>
    <n v="2"/>
    <n v="79.010037060213193"/>
    <n v="372"/>
    <n v="158.02007412042599"/>
    <n v="213.97992587957299"/>
    <s v="Percent-Off"/>
    <n v="372"/>
    <n v="-213.97992587957401"/>
  </r>
  <r>
    <s v="ORD1385"/>
    <d v="2024-10-26T03:00:00"/>
    <s v="Bangalore"/>
    <s v="GRILLED__725"/>
    <x v="1"/>
    <s v="Sandwich"/>
    <n v="93"/>
    <n v="0.15"/>
    <n v="79.05"/>
    <n v="7"/>
    <n v="51.778863274687197"/>
    <n v="553.35"/>
    <n v="362.45204292280999"/>
    <n v="190.89795707718901"/>
    <s v="Coupon"/>
    <n v="651"/>
    <n v="-190.89795707719003"/>
  </r>
  <r>
    <s v="ORD1386"/>
    <d v="2025-03-06T06:00:00"/>
    <s v="Hyderabad"/>
    <s v="MARGHERI_111"/>
    <x v="16"/>
    <s v="Pizza"/>
    <n v="94"/>
    <n v="0"/>
    <n v="94"/>
    <n v="6"/>
    <n v="55.482594791966598"/>
    <n v="564"/>
    <n v="332.89556875179898"/>
    <n v="231.1044312482"/>
    <s v="Percent-Off"/>
    <n v="564"/>
    <n v="-231.10443124820102"/>
  </r>
  <r>
    <s v="ORD1387"/>
    <d v="2025-05-06T03:00:00"/>
    <s v="Bangalore"/>
    <s v="VEG_BURG_305"/>
    <x v="0"/>
    <s v="Burger"/>
    <n v="214"/>
    <n v="0.15"/>
    <n v="181.9"/>
    <n v="5"/>
    <n v="119.910393456712"/>
    <n v="909.5"/>
    <n v="599.551967283561"/>
    <n v="309.948032716439"/>
    <s v="BOGO"/>
    <n v="1070"/>
    <n v="-309.948032716439"/>
  </r>
  <r>
    <s v="ORD1388"/>
    <d v="2024-03-06T00:00:00"/>
    <s v="Mumbai"/>
    <s v="FRIES_934"/>
    <x v="2"/>
    <s v="Snacks"/>
    <n v="338"/>
    <n v="0.2"/>
    <n v="270.39999999999998"/>
    <n v="5"/>
    <n v="147.99842685430801"/>
    <n v="1352"/>
    <n v="739.992134271542"/>
    <n v="612.00786572845698"/>
    <s v="Coupon"/>
    <n v="1690"/>
    <n v="-612.007865728458"/>
  </r>
  <r>
    <s v="ORD1389"/>
    <d v="2025-07-21T04:00:00"/>
    <s v="Mumbai"/>
    <s v="FRIES_684"/>
    <x v="2"/>
    <s v="Snacks"/>
    <n v="245"/>
    <n v="0.1"/>
    <n v="220.5"/>
    <n v="6"/>
    <n v="165.999205606907"/>
    <n v="1323"/>
    <n v="995.99523364144704"/>
    <n v="327.00476635855199"/>
    <s v="None"/>
    <n v="1470"/>
    <n v="-327.00476635855296"/>
  </r>
  <r>
    <s v="ORD1390"/>
    <d v="2024-07-18T04:00:00"/>
    <s v="Delhi"/>
    <s v="VEG_BURG_949"/>
    <x v="0"/>
    <s v="Burger"/>
    <n v="250"/>
    <n v="0.05"/>
    <n v="237.5"/>
    <n v="2"/>
    <n v="149.13340239265"/>
    <n v="475"/>
    <n v="298.2668047853"/>
    <n v="176.73319521469901"/>
    <s v="None"/>
    <n v="500"/>
    <n v="-176.7331952147"/>
  </r>
  <r>
    <s v="ORD1391"/>
    <d v="2025-05-10T14:00:00"/>
    <s v="Hyderabad"/>
    <s v="GRILLED__699"/>
    <x v="1"/>
    <s v="Sandwich"/>
    <n v="246"/>
    <n v="0"/>
    <n v="246"/>
    <n v="3"/>
    <n v="177.65266508285501"/>
    <n v="738"/>
    <n v="532.95799524856704"/>
    <n v="205.04200475143199"/>
    <s v="Coupon"/>
    <n v="738"/>
    <n v="-205.04200475143296"/>
  </r>
  <r>
    <s v="ORD1392"/>
    <d v="2024-04-08T04:00:00"/>
    <s v="Chennai"/>
    <s v="MARGHERI_635"/>
    <x v="16"/>
    <s v="Pizza"/>
    <n v="119"/>
    <n v="0"/>
    <n v="119"/>
    <n v="1"/>
    <n v="73.655806151515193"/>
    <n v="119"/>
    <n v="73.655806151515193"/>
    <n v="45.3441938484848"/>
    <s v="None"/>
    <n v="119"/>
    <n v="-45.344193848484807"/>
  </r>
  <r>
    <s v="ORD1393"/>
    <d v="2024-07-18T14:00:00"/>
    <s v="Delhi"/>
    <s v="COKE_873"/>
    <x v="8"/>
    <s v="Drinks"/>
    <n v="228"/>
    <n v="0.1"/>
    <n v="205.2"/>
    <n v="5"/>
    <n v="135.03025145595501"/>
    <n v="1026"/>
    <n v="675.15125727977897"/>
    <n v="350.84874272022"/>
    <s v="BOGO"/>
    <n v="1140"/>
    <n v="-350.84874272022103"/>
  </r>
  <r>
    <s v="ORD1394"/>
    <d v="2025-11-26T10:00:00"/>
    <s v="Mumbai"/>
    <s v="CHICKEN__322"/>
    <x v="14"/>
    <s v="Burger"/>
    <n v="276"/>
    <n v="0"/>
    <n v="276"/>
    <n v="2"/>
    <n v="197.33530561736001"/>
    <n v="552"/>
    <n v="394.67061123472098"/>
    <n v="157.329388765278"/>
    <s v="None"/>
    <n v="552"/>
    <n v="-157.32938876527902"/>
  </r>
  <r>
    <s v="ORD1395"/>
    <d v="2025-02-28T05:00:00"/>
    <s v="Hyderabad"/>
    <s v="PEPPY_PA_517"/>
    <x v="10"/>
    <s v="Pizza"/>
    <n v="336"/>
    <n v="0"/>
    <n v="336"/>
    <n v="2"/>
    <n v="169.889236640826"/>
    <n v="672"/>
    <n v="339.778473281652"/>
    <n v="332.22152671834698"/>
    <s v="BOGO"/>
    <n v="672"/>
    <n v="-332.221526718348"/>
  </r>
  <r>
    <s v="ORD1396"/>
    <d v="2024-10-21T01:00:00"/>
    <s v="Chennai"/>
    <s v="CHICKEN__362"/>
    <x v="14"/>
    <s v="Burger"/>
    <n v="336"/>
    <n v="0"/>
    <n v="336"/>
    <n v="6"/>
    <n v="219.39681506194799"/>
    <n v="2016"/>
    <n v="1316.3808903716899"/>
    <n v="699.61910962830905"/>
    <s v="Percent-Off"/>
    <n v="2016"/>
    <n v="-699.61910962831007"/>
  </r>
  <r>
    <s v="ORD1397"/>
    <d v="2025-11-01T02:00:00"/>
    <s v="Bangalore"/>
    <s v="MARGHERI_343"/>
    <x v="16"/>
    <s v="Pizza"/>
    <n v="199"/>
    <n v="0.2"/>
    <n v="159.19999999999999"/>
    <n v="2"/>
    <n v="134.55042994409601"/>
    <n v="318.39999999999998"/>
    <n v="269.10085988819299"/>
    <n v="49.299140111806103"/>
    <s v="None"/>
    <n v="398"/>
    <n v="-49.299140111806992"/>
  </r>
  <r>
    <s v="ORD1398"/>
    <d v="2024-01-28T13:00:00"/>
    <s v="Bangalore"/>
    <s v="VEG_SAND_929"/>
    <x v="9"/>
    <s v="Sandwich"/>
    <n v="269"/>
    <n v="0"/>
    <n v="269"/>
    <n v="7"/>
    <n v="138.43857555885899"/>
    <n v="1883"/>
    <n v="969.07002891201296"/>
    <n v="913.92997108798602"/>
    <s v="Coupon"/>
    <n v="1883"/>
    <n v="-913.92997108798704"/>
  </r>
  <r>
    <s v="ORD1399"/>
    <d v="2024-07-12T12:00:00"/>
    <s v="Delhi"/>
    <s v="COKE_621"/>
    <x v="8"/>
    <s v="Drinks"/>
    <n v="231"/>
    <n v="0.1"/>
    <n v="207.9"/>
    <n v="2"/>
    <n v="143.46845696891901"/>
    <n v="415.8"/>
    <n v="286.93691393783899"/>
    <n v="128.86308606215999"/>
    <s v="None"/>
    <n v="462"/>
    <n v="-128.86308606216102"/>
  </r>
  <r>
    <s v="ORD1400"/>
    <d v="2025-10-16T15:00:00"/>
    <s v="Pune"/>
    <s v="CHICKEN__932"/>
    <x v="14"/>
    <s v="Burger"/>
    <n v="117"/>
    <n v="0.05"/>
    <n v="111.149999999999"/>
    <n v="6"/>
    <n v="48.258034025851003"/>
    <n v="666.9"/>
    <n v="289.54820415510602"/>
    <n v="377.35179584489299"/>
    <s v="Coupon"/>
    <n v="702"/>
    <n v="-377.35179584489396"/>
  </r>
  <r>
    <s v="ORD1401"/>
    <d v="2024-05-01T16:00:00"/>
    <s v="Bangalore"/>
    <s v="COKE_168"/>
    <x v="8"/>
    <s v="Drinks"/>
    <n v="219"/>
    <n v="0.15"/>
    <n v="186.15"/>
    <n v="5"/>
    <n v="103.62635315146601"/>
    <n v="930.75"/>
    <n v="518.13176575733303"/>
    <n v="412.61823424266601"/>
    <s v="None"/>
    <n v="1095"/>
    <n v="-412.61823424266697"/>
  </r>
  <r>
    <s v="ORD1402"/>
    <d v="2025-10-28T18:00:00"/>
    <s v="Chennai"/>
    <s v="CHEESE_B_382"/>
    <x v="5"/>
    <s v="Burger"/>
    <n v="239"/>
    <n v="0.15"/>
    <n v="203.15"/>
    <n v="5"/>
    <n v="172.832574073568"/>
    <n v="1015.75"/>
    <n v="864.16287036784001"/>
    <n v="151.58712963215899"/>
    <s v="None"/>
    <n v="1195"/>
    <n v="-151.58712963215999"/>
  </r>
  <r>
    <s v="ORD1403"/>
    <d v="2025-08-07T09:00:00"/>
    <s v="Mumbai"/>
    <s v="CHICKEN__900"/>
    <x v="7"/>
    <s v="Pizza"/>
    <n v="126"/>
    <n v="0.05"/>
    <n v="119.69999999999899"/>
    <n v="2"/>
    <n v="76.142592232061503"/>
    <n v="239.39999999999901"/>
    <n v="152.28518446412301"/>
    <n v="87.1148155358769"/>
    <s v="Percent-Off"/>
    <n v="252"/>
    <n v="-87.114815535876005"/>
  </r>
  <r>
    <s v="ORD1404"/>
    <d v="2025-01-07T18:00:00"/>
    <s v="Chennai"/>
    <s v="FRIES_533"/>
    <x v="2"/>
    <s v="Snacks"/>
    <n v="287"/>
    <n v="0"/>
    <n v="287"/>
    <n v="4"/>
    <n v="170.38903269541601"/>
    <n v="1148"/>
    <n v="681.55613078166596"/>
    <n v="466.44386921833302"/>
    <s v="None"/>
    <n v="1148"/>
    <n v="-466.44386921833404"/>
  </r>
  <r>
    <s v="ORD1405"/>
    <d v="2025-06-14T12:00:00"/>
    <s v="Bangalore"/>
    <s v="CHICKEN__317"/>
    <x v="7"/>
    <s v="Pizza"/>
    <n v="127"/>
    <n v="0.2"/>
    <n v="101.6"/>
    <n v="3"/>
    <n v="81.076570723767702"/>
    <n v="304.8"/>
    <n v="243.22971217130299"/>
    <n v="61.570287828696699"/>
    <s v="Coupon"/>
    <n v="381"/>
    <n v="-61.570287828697019"/>
  </r>
  <r>
    <s v="ORD1406"/>
    <d v="2024-09-16T20:00:00"/>
    <s v="Pune"/>
    <s v="CHEESE_B_148"/>
    <x v="5"/>
    <s v="Burger"/>
    <n v="164"/>
    <n v="0.25"/>
    <n v="123"/>
    <n v="3"/>
    <n v="100.260838761404"/>
    <n v="369"/>
    <n v="300.78251628421401"/>
    <n v="68.217483715784994"/>
    <s v="Percent-Off"/>
    <n v="492"/>
    <n v="-68.217483715785988"/>
  </r>
  <r>
    <s v="ORD1407"/>
    <d v="2025-11-10T13:00:00"/>
    <s v="Delhi"/>
    <s v="CHEESE_B_605"/>
    <x v="5"/>
    <s v="Burger"/>
    <n v="112"/>
    <n v="0.2"/>
    <n v="89.6"/>
    <n v="1"/>
    <n v="61.804348566529001"/>
    <n v="89.6"/>
    <n v="61.804348566529001"/>
    <n v="27.795651433470901"/>
    <s v="None"/>
    <n v="112"/>
    <n v="-27.795651433470994"/>
  </r>
  <r>
    <s v="ORD1408"/>
    <d v="2025-07-17T06:00:00"/>
    <s v="Pune"/>
    <s v="VEG_SAND_739"/>
    <x v="9"/>
    <s v="Sandwich"/>
    <n v="156"/>
    <n v="0.05"/>
    <n v="148.19999999999999"/>
    <n v="6"/>
    <n v="112.259879383373"/>
    <n v="889.19999999999902"/>
    <n v="673.55927630023803"/>
    <n v="215.640723699761"/>
    <s v="Percent-Off"/>
    <n v="936"/>
    <n v="-215.640723699761"/>
  </r>
  <r>
    <s v="ORD1409"/>
    <d v="2024-01-15T16:00:00"/>
    <s v="Delhi"/>
    <s v="MARGHERI_346"/>
    <x v="16"/>
    <s v="Pizza"/>
    <n v="316"/>
    <n v="0"/>
    <n v="316"/>
    <n v="4"/>
    <n v="234.28347485780401"/>
    <n v="1264"/>
    <n v="937.13389943121899"/>
    <n v="326.86610056877998"/>
    <s v="Percent-Off"/>
    <n v="1264"/>
    <n v="-326.86610056878101"/>
  </r>
  <r>
    <s v="ORD1410"/>
    <d v="2024-10-18T21:00:00"/>
    <s v="Chennai"/>
    <s v="SPRITE_614"/>
    <x v="3"/>
    <s v="Drinks"/>
    <n v="142"/>
    <n v="0.05"/>
    <n v="134.9"/>
    <n v="4"/>
    <n v="92.498159758442796"/>
    <n v="539.6"/>
    <n v="369.99263903377101"/>
    <n v="169.60736096622799"/>
    <s v="Coupon"/>
    <n v="568"/>
    <n v="-169.60736096622901"/>
  </r>
  <r>
    <s v="ORD1411"/>
    <d v="2025-08-07T20:00:00"/>
    <s v="Mumbai"/>
    <s v="MARGHERI_612"/>
    <x v="16"/>
    <s v="Pizza"/>
    <n v="89"/>
    <n v="0.1"/>
    <n v="80.099999999999994"/>
    <n v="2"/>
    <n v="35.754892917791103"/>
    <n v="160.19999999999999"/>
    <n v="71.509785835582306"/>
    <n v="88.690214164417597"/>
    <s v="Coupon"/>
    <n v="178"/>
    <n v="-88.690214164417682"/>
  </r>
  <r>
    <s v="ORD1412"/>
    <d v="2025-11-20T06:00:00"/>
    <s v="Bangalore"/>
    <s v="CLUB_SAN_116"/>
    <x v="13"/>
    <s v="Sandwich"/>
    <n v="158"/>
    <n v="0"/>
    <n v="158"/>
    <n v="2"/>
    <n v="68.745841928083394"/>
    <n v="316"/>
    <n v="137.49168385616599"/>
    <n v="178.50831614383301"/>
    <s v="None"/>
    <n v="316"/>
    <n v="-178.50831614383401"/>
  </r>
  <r>
    <s v="ORD1413"/>
    <d v="2024-02-09T20:00:00"/>
    <s v="Delhi"/>
    <s v="MARGHERI_214"/>
    <x v="16"/>
    <s v="Pizza"/>
    <n v="288"/>
    <n v="0.25"/>
    <n v="216"/>
    <n v="1"/>
    <n v="177.185365134048"/>
    <n v="216"/>
    <n v="177.185365134048"/>
    <n v="38.814634865951497"/>
    <s v="None"/>
    <n v="288"/>
    <n v="-38.814634865952002"/>
  </r>
  <r>
    <s v="ORD1414"/>
    <d v="2024-03-27T07:00:00"/>
    <s v="Pune"/>
    <s v="VEG_SAND_628"/>
    <x v="9"/>
    <s v="Sandwich"/>
    <n v="218"/>
    <n v="0"/>
    <n v="218"/>
    <n v="6"/>
    <n v="134.440926480553"/>
    <n v="1308"/>
    <n v="806.64555888331904"/>
    <n v="501.35444111667999"/>
    <s v="BOGO"/>
    <n v="1308"/>
    <n v="-501.35444111668096"/>
  </r>
  <r>
    <s v="ORD1415"/>
    <d v="2024-12-24T03:00:00"/>
    <s v="Delhi"/>
    <s v="GARLIC_B_615"/>
    <x v="4"/>
    <s v="Snacks"/>
    <n v="342"/>
    <n v="0"/>
    <n v="342"/>
    <n v="6"/>
    <n v="217.480552428913"/>
    <n v="2052"/>
    <n v="1304.88331457347"/>
    <n v="747.11668542652001"/>
    <s v="Percent-Off"/>
    <n v="2052"/>
    <n v="-747.11668542653001"/>
  </r>
  <r>
    <s v="ORD1416"/>
    <d v="2025-09-22T20:00:00"/>
    <s v="Delhi"/>
    <s v="PEPPY_PA_294"/>
    <x v="10"/>
    <s v="Pizza"/>
    <n v="208"/>
    <n v="0"/>
    <n v="208"/>
    <n v="1"/>
    <n v="83.863203914624194"/>
    <n v="208"/>
    <n v="83.863203914624194"/>
    <n v="124.136796085375"/>
    <s v="BOGO"/>
    <n v="208"/>
    <n v="-124.13679608537581"/>
  </r>
  <r>
    <s v="ORD1417"/>
    <d v="2025-06-17T11:00:00"/>
    <s v="Chennai"/>
    <s v="CHEESE_B_615"/>
    <x v="5"/>
    <s v="Burger"/>
    <n v="237"/>
    <n v="0.2"/>
    <n v="189.6"/>
    <n v="6"/>
    <n v="120.891598796198"/>
    <n v="1137.5999999999999"/>
    <n v="725.34959277719099"/>
    <n v="412.25040722280897"/>
    <s v="Coupon"/>
    <n v="1422"/>
    <n v="-412.25040722280892"/>
  </r>
  <r>
    <s v="ORD1418"/>
    <d v="2024-05-23T21:00:00"/>
    <s v="Hyderabad"/>
    <s v="COKE_676"/>
    <x v="8"/>
    <s v="Drinks"/>
    <n v="153"/>
    <n v="0.1"/>
    <n v="137.69999999999999"/>
    <n v="4"/>
    <n v="102.799319833955"/>
    <n v="550.79999999999995"/>
    <n v="411.197279335823"/>
    <n v="139.60272066417599"/>
    <s v="None"/>
    <n v="612"/>
    <n v="-139.60272066417696"/>
  </r>
  <r>
    <s v="ORD1419"/>
    <d v="2024-10-05T03:00:00"/>
    <s v="Hyderabad"/>
    <s v="CHICKEN__206"/>
    <x v="7"/>
    <s v="Pizza"/>
    <n v="165"/>
    <n v="0"/>
    <n v="165"/>
    <n v="1"/>
    <n v="119.707888070365"/>
    <n v="165"/>
    <n v="119.707888070365"/>
    <n v="45.292111929634601"/>
    <s v="None"/>
    <n v="165"/>
    <n v="-45.292111929634999"/>
  </r>
  <r>
    <s v="ORD1420"/>
    <d v="2024-02-09T19:00:00"/>
    <s v="Mumbai"/>
    <s v="CHICKEN__242"/>
    <x v="14"/>
    <s v="Burger"/>
    <n v="231"/>
    <n v="0.15"/>
    <n v="196.35"/>
    <n v="7"/>
    <n v="144.66391223065301"/>
    <n v="1374.45"/>
    <n v="1012.64738561457"/>
    <n v="361.80261438542499"/>
    <s v="BOGO"/>
    <n v="1617"/>
    <n v="-361.80261438543005"/>
  </r>
  <r>
    <s v="ORD1421"/>
    <d v="2024-09-19T07:00:00"/>
    <s v="Chennai"/>
    <s v="GARLIC_B_857"/>
    <x v="4"/>
    <s v="Snacks"/>
    <n v="246"/>
    <n v="0"/>
    <n v="246"/>
    <n v="2"/>
    <n v="165.57242366358301"/>
    <n v="492"/>
    <n v="331.14484732716602"/>
    <n v="160.85515267283299"/>
    <s v="None"/>
    <n v="492"/>
    <n v="-160.85515267283398"/>
  </r>
  <r>
    <s v="ORD1422"/>
    <d v="2025-10-25T09:00:00"/>
    <s v="Mumbai"/>
    <s v="CHICKEN__678"/>
    <x v="14"/>
    <s v="Burger"/>
    <n v="281"/>
    <n v="0.1"/>
    <n v="252.9"/>
    <n v="5"/>
    <n v="199.85657082576299"/>
    <n v="1264.5"/>
    <n v="999.28285412881598"/>
    <n v="265.21714587118299"/>
    <s v="Bundle"/>
    <n v="1405"/>
    <n v="-265.21714587118402"/>
  </r>
  <r>
    <s v="ORD1423"/>
    <d v="2025-09-28T18:00:00"/>
    <s v="Chennai"/>
    <s v="CHICKEN__626"/>
    <x v="14"/>
    <s v="Burger"/>
    <n v="226"/>
    <n v="0"/>
    <n v="226"/>
    <n v="5"/>
    <n v="165.08809265087601"/>
    <n v="1130"/>
    <n v="825.44046325438205"/>
    <n v="304.55953674561698"/>
    <s v="None"/>
    <n v="1130"/>
    <n v="-304.55953674561795"/>
  </r>
  <r>
    <s v="ORD1424"/>
    <d v="2024-07-14T23:00:00"/>
    <s v="Mumbai"/>
    <s v="GRILLED__235"/>
    <x v="1"/>
    <s v="Sandwich"/>
    <n v="163"/>
    <n v="0.05"/>
    <n v="154.85"/>
    <n v="4"/>
    <n v="103.393876581317"/>
    <n v="619.4"/>
    <n v="413.57550632526898"/>
    <n v="205.82449367473001"/>
    <s v="Percent-Off"/>
    <n v="652"/>
    <n v="-205.824493674731"/>
  </r>
  <r>
    <s v="ORD1425"/>
    <d v="2024-09-30T11:00:00"/>
    <s v="Pune"/>
    <s v="VEG_BURG_173"/>
    <x v="0"/>
    <s v="Burger"/>
    <n v="109"/>
    <n v="0.05"/>
    <n v="103.55"/>
    <n v="7"/>
    <n v="44.072614480628197"/>
    <n v="724.85"/>
    <n v="308.50830136439799"/>
    <n v="416.34169863560197"/>
    <s v="None"/>
    <n v="763"/>
    <n v="-416.34169863560203"/>
  </r>
  <r>
    <s v="ORD1426"/>
    <d v="2025-05-15T03:00:00"/>
    <s v="Hyderabad"/>
    <s v="MARGHERI_419"/>
    <x v="16"/>
    <s v="Pizza"/>
    <n v="343"/>
    <n v="0"/>
    <n v="343"/>
    <n v="2"/>
    <n v="138.184495166788"/>
    <n v="686"/>
    <n v="276.36899033357702"/>
    <n v="409.63100966642202"/>
    <s v="BOGO"/>
    <n v="686"/>
    <n v="-409.63100966642298"/>
  </r>
  <r>
    <s v="ORD1427"/>
    <d v="2025-03-26T17:00:00"/>
    <s v="Mumbai"/>
    <s v="VEG_BURG_793"/>
    <x v="0"/>
    <s v="Burger"/>
    <n v="333"/>
    <n v="0"/>
    <n v="333"/>
    <n v="7"/>
    <n v="145.275030998331"/>
    <n v="2331"/>
    <n v="1016.92521698831"/>
    <n v="1314.07478301168"/>
    <s v="Bundle"/>
    <n v="2331"/>
    <n v="-1314.07478301169"/>
  </r>
  <r>
    <s v="ORD1428"/>
    <d v="2025-04-10T11:00:00"/>
    <s v="Bangalore"/>
    <s v="CHICKEN__130"/>
    <x v="14"/>
    <s v="Burger"/>
    <n v="80"/>
    <n v="0"/>
    <n v="80"/>
    <n v="7"/>
    <n v="51.397882179993601"/>
    <n v="560"/>
    <n v="359.785175259955"/>
    <n v="200.21482474004401"/>
    <s v="Bundle"/>
    <n v="560"/>
    <n v="-200.214824740045"/>
  </r>
  <r>
    <s v="ORD1429"/>
    <d v="2025-06-08T06:00:00"/>
    <s v="Delhi"/>
    <s v="MARGHERI_771"/>
    <x v="16"/>
    <s v="Pizza"/>
    <n v="290"/>
    <n v="0"/>
    <n v="290"/>
    <n v="7"/>
    <n v="163.400441082621"/>
    <n v="2030"/>
    <n v="1143.80308757835"/>
    <n v="886.19691242164697"/>
    <s v="None"/>
    <n v="2030"/>
    <n v="-886.19691242165004"/>
  </r>
  <r>
    <s v="ORD1430"/>
    <d v="2025-05-23T09:00:00"/>
    <s v="Bangalore"/>
    <s v="BROWNIE_281"/>
    <x v="12"/>
    <s v="Dessert"/>
    <n v="91"/>
    <n v="0"/>
    <n v="91"/>
    <n v="7"/>
    <n v="65.334562929193496"/>
    <n v="637"/>
    <n v="457.341940504354"/>
    <n v="179.65805949564501"/>
    <s v="Coupon"/>
    <n v="637"/>
    <n v="-179.658059495646"/>
  </r>
  <r>
    <s v="ORD1431"/>
    <d v="2025-06-03T17:00:00"/>
    <s v="Mumbai"/>
    <s v="CHICKEN__716"/>
    <x v="7"/>
    <s v="Pizza"/>
    <n v="110"/>
    <n v="0"/>
    <n v="110"/>
    <n v="3"/>
    <n v="62.605074720718001"/>
    <n v="330"/>
    <n v="187.81522416215401"/>
    <n v="142.184775837845"/>
    <s v="None"/>
    <n v="330"/>
    <n v="-142.18477583784599"/>
  </r>
  <r>
    <s v="ORD1432"/>
    <d v="2025-01-29T05:00:00"/>
    <s v="Delhi"/>
    <s v="COLD_COF_204"/>
    <x v="15"/>
    <s v="Drinks"/>
    <n v="344"/>
    <n v="0.15"/>
    <n v="292.39999999999998"/>
    <n v="7"/>
    <n v="155.43255535663801"/>
    <n v="2046.79999999999"/>
    <n v="1088.0278874964599"/>
    <n v="958.77211250353105"/>
    <s v="None"/>
    <n v="2408"/>
    <n v="-958.77211250353002"/>
  </r>
  <r>
    <s v="ORD1433"/>
    <d v="2025-10-11T20:00:00"/>
    <s v="Delhi"/>
    <s v="CHICKEN__573"/>
    <x v="7"/>
    <s v="Pizza"/>
    <n v="340"/>
    <n v="0.05"/>
    <n v="323"/>
    <n v="5"/>
    <n v="203.58444669761599"/>
    <n v="1615"/>
    <n v="1017.92223348808"/>
    <n v="597.077766511915"/>
    <s v="None"/>
    <n v="1700"/>
    <n v="-597.07776651192"/>
  </r>
  <r>
    <s v="ORD1434"/>
    <d v="2024-01-23T01:00:00"/>
    <s v="Chennai"/>
    <s v="SPRITE_827"/>
    <x v="3"/>
    <s v="Drinks"/>
    <n v="118"/>
    <n v="0.15"/>
    <n v="100.3"/>
    <n v="1"/>
    <n v="67.881192846802705"/>
    <n v="100.3"/>
    <n v="67.881192846802705"/>
    <n v="32.4188071531972"/>
    <s v="None"/>
    <n v="118"/>
    <n v="-32.418807153197292"/>
  </r>
  <r>
    <s v="ORD1435"/>
    <d v="2025-06-15T21:00:00"/>
    <s v="Bangalore"/>
    <s v="CHEESE_B_916"/>
    <x v="5"/>
    <s v="Burger"/>
    <n v="107"/>
    <n v="0.25"/>
    <n v="80.25"/>
    <n v="1"/>
    <n v="68.368756794032606"/>
    <n v="80.25"/>
    <n v="68.368756794032606"/>
    <n v="11.8812432059673"/>
    <s v="Coupon"/>
    <n v="107"/>
    <n v="-11.881243205967394"/>
  </r>
  <r>
    <s v="ORD1436"/>
    <d v="2025-08-02T14:00:00"/>
    <s v="Pune"/>
    <s v="COLD_COF_482"/>
    <x v="15"/>
    <s v="Drinks"/>
    <n v="271"/>
    <n v="0.05"/>
    <n v="257.45"/>
    <n v="7"/>
    <n v="178.312767444337"/>
    <n v="1802.1499999999901"/>
    <n v="1248.18937211036"/>
    <n v="553.96062788963502"/>
    <s v="None"/>
    <n v="1897"/>
    <n v="-553.96062788963013"/>
  </r>
  <r>
    <s v="ORD1437"/>
    <d v="2025-04-26T17:00:00"/>
    <s v="Hyderabad"/>
    <s v="CHICKEN__854"/>
    <x v="14"/>
    <s v="Burger"/>
    <n v="198"/>
    <n v="0.1"/>
    <n v="178.2"/>
    <n v="2"/>
    <n v="116.658677100463"/>
    <n v="356.4"/>
    <n v="233.31735420092599"/>
    <n v="123.08264579907301"/>
    <s v="Coupon"/>
    <n v="396"/>
    <n v="-123.08264579907399"/>
  </r>
  <r>
    <s v="ORD1438"/>
    <d v="2025-01-15T11:00:00"/>
    <s v="Hyderabad"/>
    <s v="COLD_COF_647"/>
    <x v="15"/>
    <s v="Drinks"/>
    <n v="118"/>
    <n v="0"/>
    <n v="118"/>
    <n v="4"/>
    <n v="70.5470011573166"/>
    <n v="472"/>
    <n v="282.188004629266"/>
    <n v="189.811995370733"/>
    <s v="None"/>
    <n v="472"/>
    <n v="-189.811995370734"/>
  </r>
  <r>
    <s v="ORD1439"/>
    <d v="2024-01-22T21:00:00"/>
    <s v="Pune"/>
    <s v="MARGHERI_156"/>
    <x v="16"/>
    <s v="Pizza"/>
    <n v="113"/>
    <n v="0.1"/>
    <n v="101.7"/>
    <n v="1"/>
    <n v="72.510799973470597"/>
    <n v="101.7"/>
    <n v="72.510799973470597"/>
    <n v="29.189200026529299"/>
    <s v="BOGO"/>
    <n v="113"/>
    <n v="-29.189200026529406"/>
  </r>
  <r>
    <s v="ORD1440"/>
    <d v="2025-11-13T17:00:00"/>
    <s v="Mumbai"/>
    <s v="BROWNIE_776"/>
    <x v="12"/>
    <s v="Dessert"/>
    <n v="103"/>
    <n v="0.1"/>
    <n v="92.7"/>
    <n v="3"/>
    <n v="61.768689865259297"/>
    <n v="278.10000000000002"/>
    <n v="185.30606959577801"/>
    <n v="92.793930404221896"/>
    <s v="Coupon"/>
    <n v="309"/>
    <n v="-92.79393040422201"/>
  </r>
  <r>
    <s v="ORD1441"/>
    <d v="2024-01-16T14:00:00"/>
    <s v="Hyderabad"/>
    <s v="VEG_BURG_856"/>
    <x v="0"/>
    <s v="Burger"/>
    <n v="205"/>
    <n v="0.15"/>
    <n v="174.25"/>
    <n v="7"/>
    <n v="85.519593833174198"/>
    <n v="1219.75"/>
    <n v="598.63715683221903"/>
    <n v="621.11284316778006"/>
    <s v="Coupon"/>
    <n v="1435"/>
    <n v="-621.11284316778097"/>
  </r>
  <r>
    <s v="ORD1442"/>
    <d v="2025-05-23T05:00:00"/>
    <s v="Mumbai"/>
    <s v="ONION_RI_477"/>
    <x v="17"/>
    <s v="Snacks"/>
    <n v="311"/>
    <n v="0"/>
    <n v="311"/>
    <n v="6"/>
    <n v="151.00862308643701"/>
    <n v="1866"/>
    <n v="906.05173851862605"/>
    <n v="959.94826148137395"/>
    <s v="Coupon"/>
    <n v="1866"/>
    <n v="-959.94826148137395"/>
  </r>
  <r>
    <s v="ORD1443"/>
    <d v="2024-07-12T16:00:00"/>
    <s v="Hyderabad"/>
    <s v="CHICKEN__328"/>
    <x v="14"/>
    <s v="Burger"/>
    <n v="95"/>
    <n v="0"/>
    <n v="95"/>
    <n v="4"/>
    <n v="54.886412750731701"/>
    <n v="380"/>
    <n v="219.545651002927"/>
    <n v="160.454348997072"/>
    <s v="Coupon"/>
    <n v="380"/>
    <n v="-160.454348997073"/>
  </r>
  <r>
    <s v="ORD1444"/>
    <d v="2024-04-08T13:00:00"/>
    <s v="Mumbai"/>
    <s v="PEPPY_PA_707"/>
    <x v="10"/>
    <s v="Pizza"/>
    <n v="115"/>
    <n v="0.2"/>
    <n v="92"/>
    <n v="6"/>
    <n v="68.8433154048668"/>
    <n v="552"/>
    <n v="413.059892429201"/>
    <n v="138.94010757079801"/>
    <s v="Coupon"/>
    <n v="690"/>
    <n v="-138.940107570799"/>
  </r>
  <r>
    <s v="ORD1445"/>
    <d v="2024-03-09T14:00:00"/>
    <s v="Pune"/>
    <s v="GARLIC_B_702"/>
    <x v="4"/>
    <s v="Snacks"/>
    <n v="176"/>
    <n v="0.1"/>
    <n v="158.4"/>
    <n v="2"/>
    <n v="124.06211004998799"/>
    <n v="316.8"/>
    <n v="248.12422009997701"/>
    <n v="68.675779900022405"/>
    <s v="BOGO"/>
    <n v="352"/>
    <n v="-68.675779900023002"/>
  </r>
  <r>
    <s v="ORD1446"/>
    <d v="2024-01-01T13:00:00"/>
    <s v="Bangalore"/>
    <s v="CHICKEN__874"/>
    <x v="7"/>
    <s v="Pizza"/>
    <n v="197"/>
    <n v="0.1"/>
    <n v="177.3"/>
    <n v="2"/>
    <n v="93.808062154746395"/>
    <n v="354.6"/>
    <n v="187.61612430949199"/>
    <n v="166.98387569050701"/>
    <s v="Coupon"/>
    <n v="394"/>
    <n v="-166.98387569050803"/>
  </r>
  <r>
    <s v="ORD1447"/>
    <d v="2024-07-10T15:00:00"/>
    <s v="Mumbai"/>
    <s v="ONION_RI_652"/>
    <x v="17"/>
    <s v="Snacks"/>
    <n v="232"/>
    <n v="0"/>
    <n v="232"/>
    <n v="5"/>
    <n v="116.53746487621"/>
    <n v="1160"/>
    <n v="582.68732438105303"/>
    <n v="577.31267561894595"/>
    <s v="Coupon"/>
    <n v="1160"/>
    <n v="-577.31267561894697"/>
  </r>
  <r>
    <s v="ORD1448"/>
    <d v="2024-04-04T22:00:00"/>
    <s v="Chennai"/>
    <s v="FRIES_501"/>
    <x v="2"/>
    <s v="Snacks"/>
    <n v="202"/>
    <n v="0.05"/>
    <n v="191.89999999999901"/>
    <n v="7"/>
    <n v="137.03866218098099"/>
    <n v="1343.29999999999"/>
    <n v="959.270635266868"/>
    <n v="384.02936473313099"/>
    <s v="None"/>
    <n v="1414"/>
    <n v="-384.02936473312195"/>
  </r>
  <r>
    <s v="ORD1449"/>
    <d v="2025-08-18T16:00:00"/>
    <s v="Pune"/>
    <s v="ONION_RI_741"/>
    <x v="17"/>
    <s v="Snacks"/>
    <n v="134"/>
    <n v="0.1"/>
    <n v="120.6"/>
    <n v="2"/>
    <n v="64.2120435251706"/>
    <n v="241.2"/>
    <n v="128.424087050341"/>
    <n v="112.77591294965799"/>
    <s v="Percent-Off"/>
    <n v="268"/>
    <n v="-112.77591294965899"/>
  </r>
  <r>
    <s v="ORD1450"/>
    <d v="2024-05-11T11:00:00"/>
    <s v="Delhi"/>
    <s v="GARLIC_B_439"/>
    <x v="4"/>
    <s v="Snacks"/>
    <n v="305"/>
    <n v="0"/>
    <n v="305"/>
    <n v="7"/>
    <n v="219.84985560114899"/>
    <n v="2135"/>
    <n v="1538.9489892080401"/>
    <n v="596.05101079195504"/>
    <s v="Coupon"/>
    <n v="2135"/>
    <n v="-596.05101079195992"/>
  </r>
  <r>
    <s v="ORD1451"/>
    <d v="2024-12-12T17:00:00"/>
    <s v="Bangalore"/>
    <s v="CHEESE_B_777"/>
    <x v="5"/>
    <s v="Burger"/>
    <n v="337"/>
    <n v="0.05"/>
    <n v="320.14999999999998"/>
    <n v="7"/>
    <n v="161.319709887985"/>
    <n v="2241.0499999999902"/>
    <n v="1129.23796921589"/>
    <n v="1111.8120307841"/>
    <s v="None"/>
    <n v="2359"/>
    <n v="-1111.8120307841002"/>
  </r>
  <r>
    <s v="ORD1452"/>
    <d v="2024-06-07T22:00:00"/>
    <s v="Bangalore"/>
    <s v="SPRITE_177"/>
    <x v="3"/>
    <s v="Drinks"/>
    <n v="237"/>
    <n v="0.05"/>
    <n v="225.14999999999901"/>
    <n v="3"/>
    <n v="137.630387972639"/>
    <n v="675.44999999999902"/>
    <n v="412.89116391791703"/>
    <n v="262.558836082082"/>
    <s v="BOGO"/>
    <n v="711"/>
    <n v="-262.558836082082"/>
  </r>
  <r>
    <s v="ORD1453"/>
    <d v="2025-06-30T21:00:00"/>
    <s v="Chennai"/>
    <s v="MARGHERI_950"/>
    <x v="16"/>
    <s v="Pizza"/>
    <n v="262"/>
    <n v="0.15"/>
    <n v="222.7"/>
    <n v="1"/>
    <n v="109.801286883911"/>
    <n v="222.7"/>
    <n v="109.801286883911"/>
    <n v="112.898713116088"/>
    <s v="Percent-Off"/>
    <n v="262"/>
    <n v="-112.89871311608898"/>
  </r>
  <r>
    <s v="ORD1454"/>
    <d v="2024-05-14T00:00:00"/>
    <s v="Chennai"/>
    <s v="ONION_RI_154"/>
    <x v="17"/>
    <s v="Snacks"/>
    <n v="251"/>
    <n v="0"/>
    <n v="251"/>
    <n v="6"/>
    <n v="128.886029019387"/>
    <n v="1506"/>
    <n v="773.31617411632499"/>
    <n v="732.68382588367399"/>
    <s v="None"/>
    <n v="1506"/>
    <n v="-732.68382588367501"/>
  </r>
  <r>
    <s v="ORD1455"/>
    <d v="2024-03-29T01:00:00"/>
    <s v="Pune"/>
    <s v="BROWNIE_784"/>
    <x v="12"/>
    <s v="Dessert"/>
    <n v="252"/>
    <n v="0"/>
    <n v="252"/>
    <n v="6"/>
    <n v="113.979893768926"/>
    <n v="1512"/>
    <n v="683.87936261355605"/>
    <n v="828.12063738644304"/>
    <s v="Coupon"/>
    <n v="1512"/>
    <n v="-828.12063738644395"/>
  </r>
  <r>
    <s v="ORD1456"/>
    <d v="2025-03-02T14:00:00"/>
    <s v="Chennai"/>
    <s v="FRIES_449"/>
    <x v="2"/>
    <s v="Snacks"/>
    <n v="262"/>
    <n v="0.15"/>
    <n v="222.7"/>
    <n v="6"/>
    <n v="191.53393231104999"/>
    <n v="1336.19999999999"/>
    <n v="1149.2035938663"/>
    <n v="186.99640613369399"/>
    <s v="None"/>
    <n v="1572"/>
    <n v="-186.99640613369002"/>
  </r>
  <r>
    <s v="ORD1457"/>
    <d v="2025-07-27T08:00:00"/>
    <s v="Hyderabad"/>
    <s v="BROWNIE_812"/>
    <x v="12"/>
    <s v="Dessert"/>
    <n v="220"/>
    <n v="0.15"/>
    <n v="187"/>
    <n v="4"/>
    <n v="144.48399317603401"/>
    <n v="748"/>
    <n v="577.93597270413602"/>
    <n v="170.06402729586301"/>
    <s v="Coupon"/>
    <n v="880"/>
    <n v="-170.06402729586398"/>
  </r>
  <r>
    <s v="ORD1458"/>
    <d v="2025-06-08T12:00:00"/>
    <s v="Pune"/>
    <s v="ONION_RI_622"/>
    <x v="17"/>
    <s v="Snacks"/>
    <n v="105"/>
    <n v="0.1"/>
    <n v="94.5"/>
    <n v="3"/>
    <n v="63.360435673401597"/>
    <n v="283.5"/>
    <n v="190.08130702020401"/>
    <n v="93.418692979795196"/>
    <s v="None"/>
    <n v="315"/>
    <n v="-93.418692979795992"/>
  </r>
  <r>
    <s v="ORD1459"/>
    <d v="2024-05-20T14:00:00"/>
    <s v="Bangalore"/>
    <s v="SPRITE_767"/>
    <x v="3"/>
    <s v="Drinks"/>
    <n v="117"/>
    <n v="0"/>
    <n v="117"/>
    <n v="5"/>
    <n v="74.347577959633199"/>
    <n v="585"/>
    <n v="371.73788979816601"/>
    <n v="213.262110201833"/>
    <s v="Coupon"/>
    <n v="585"/>
    <n v="-213.26211020183399"/>
  </r>
  <r>
    <s v="ORD1460"/>
    <d v="2024-09-24T22:00:00"/>
    <s v="Delhi"/>
    <s v="VEG_SAND_619"/>
    <x v="9"/>
    <s v="Sandwich"/>
    <n v="222"/>
    <n v="0"/>
    <n v="222"/>
    <n v="6"/>
    <n v="163.960699682316"/>
    <n v="1332"/>
    <n v="983.76419809390097"/>
    <n v="348.235801906098"/>
    <s v="None"/>
    <n v="1332"/>
    <n v="-348.23580190609903"/>
  </r>
  <r>
    <s v="ORD1461"/>
    <d v="2025-05-13T18:00:00"/>
    <s v="Bangalore"/>
    <s v="COLD_COF_765"/>
    <x v="15"/>
    <s v="Drinks"/>
    <n v="236"/>
    <n v="0.05"/>
    <n v="224.2"/>
    <n v="5"/>
    <n v="102.551043784168"/>
    <n v="1121"/>
    <n v="512.755218920841"/>
    <n v="608.24478107915797"/>
    <s v="None"/>
    <n v="1180"/>
    <n v="-608.244781079159"/>
  </r>
  <r>
    <s v="ORD1462"/>
    <d v="2024-01-27T05:00:00"/>
    <s v="Bangalore"/>
    <s v="BROWNIE_195"/>
    <x v="12"/>
    <s v="Dessert"/>
    <n v="334"/>
    <n v="0.2"/>
    <n v="267.2"/>
    <n v="4"/>
    <n v="239.616188181994"/>
    <n v="1068.8"/>
    <n v="958.46475272797704"/>
    <n v="110.335247272022"/>
    <s v="Coupon"/>
    <n v="1336"/>
    <n v="-110.33524727202291"/>
  </r>
  <r>
    <s v="ORD1463"/>
    <d v="2025-11-24T21:00:00"/>
    <s v="Pune"/>
    <s v="CHICKEN__546"/>
    <x v="7"/>
    <s v="Pizza"/>
    <n v="348"/>
    <n v="0.15"/>
    <n v="295.8"/>
    <n v="3"/>
    <n v="216.99354975676999"/>
    <n v="887.4"/>
    <n v="650.98064927031101"/>
    <n v="236.41935072968801"/>
    <s v="None"/>
    <n v="1044"/>
    <n v="-236.41935072968897"/>
  </r>
  <r>
    <s v="ORD1464"/>
    <d v="2025-03-27T07:00:00"/>
    <s v="Delhi"/>
    <s v="MARGHERI_603"/>
    <x v="16"/>
    <s v="Pizza"/>
    <n v="86"/>
    <n v="0.15"/>
    <n v="73.099999999999994"/>
    <n v="7"/>
    <n v="58.529898660522697"/>
    <n v="511.69999999999902"/>
    <n v="409.709290623659"/>
    <n v="101.99070937634001"/>
    <s v="None"/>
    <n v="602"/>
    <n v="-101.99070937634002"/>
  </r>
  <r>
    <s v="ORD1465"/>
    <d v="2024-08-26T12:00:00"/>
    <s v="Bangalore"/>
    <s v="SPRITE_756"/>
    <x v="3"/>
    <s v="Drinks"/>
    <n v="83"/>
    <n v="0.05"/>
    <n v="78.849999999999994"/>
    <n v="2"/>
    <n v="44.402278354065899"/>
    <n v="157.69999999999999"/>
    <n v="88.804556708131898"/>
    <n v="68.895443291868006"/>
    <s v="Coupon"/>
    <n v="166"/>
    <n v="-68.895443291868091"/>
  </r>
  <r>
    <s v="ORD1466"/>
    <d v="2025-04-06T19:00:00"/>
    <s v="Delhi"/>
    <s v="GARLIC_B_607"/>
    <x v="4"/>
    <s v="Snacks"/>
    <n v="106"/>
    <n v="0.05"/>
    <n v="100.69999999999899"/>
    <n v="6"/>
    <n v="52.085578276116699"/>
    <n v="604.19999999999902"/>
    <n v="312.51346965670001"/>
    <n v="291.68653034329901"/>
    <s v="Percent-Off"/>
    <n v="636"/>
    <n v="-291.68653034329901"/>
  </r>
  <r>
    <s v="ORD1467"/>
    <d v="2025-07-01T21:00:00"/>
    <s v="Chennai"/>
    <s v="PEPPY_PA_364"/>
    <x v="10"/>
    <s v="Pizza"/>
    <n v="100"/>
    <n v="0"/>
    <n v="100"/>
    <n v="1"/>
    <n v="65.235736375596304"/>
    <n v="100"/>
    <n v="65.235736375596304"/>
    <n v="34.764263624403597"/>
    <s v="Percent-Off"/>
    <n v="100"/>
    <n v="-34.764263624403696"/>
  </r>
  <r>
    <s v="ORD1468"/>
    <d v="2025-01-29T16:00:00"/>
    <s v="Pune"/>
    <s v="SPRITE_904"/>
    <x v="3"/>
    <s v="Drinks"/>
    <n v="115"/>
    <n v="0"/>
    <n v="115"/>
    <n v="1"/>
    <n v="65.280705197269199"/>
    <n v="115"/>
    <n v="65.280705197269199"/>
    <n v="49.719294802730701"/>
    <s v="BOGO"/>
    <n v="115"/>
    <n v="-49.719294802730801"/>
  </r>
  <r>
    <s v="ORD1469"/>
    <d v="2024-09-18T12:00:00"/>
    <s v="Pune"/>
    <s v="PEPPY_PA_833"/>
    <x v="10"/>
    <s v="Pizza"/>
    <n v="175"/>
    <n v="0"/>
    <n v="175"/>
    <n v="4"/>
    <n v="75.858476722805406"/>
    <n v="700"/>
    <n v="303.433906891221"/>
    <n v="396.56609310877798"/>
    <s v="None"/>
    <n v="700"/>
    <n v="-396.566093108779"/>
  </r>
  <r>
    <s v="ORD1470"/>
    <d v="2025-10-13T11:00:00"/>
    <s v="Mumbai"/>
    <s v="COKE_869"/>
    <x v="8"/>
    <s v="Drinks"/>
    <n v="295"/>
    <n v="0.1"/>
    <n v="265.5"/>
    <n v="1"/>
    <n v="176.62935055953301"/>
    <n v="265.5"/>
    <n v="176.62935055953301"/>
    <n v="88.870649440466593"/>
    <s v="None"/>
    <n v="295"/>
    <n v="-88.870649440466991"/>
  </r>
  <r>
    <s v="ORD1471"/>
    <d v="2024-09-02T15:00:00"/>
    <s v="Delhi"/>
    <s v="CHEESE_B_407"/>
    <x v="5"/>
    <s v="Burger"/>
    <n v="239"/>
    <n v="0"/>
    <n v="239"/>
    <n v="7"/>
    <n v="119.44857312338701"/>
    <n v="1673"/>
    <n v="836.14001186371195"/>
    <n v="836.85998813628703"/>
    <s v="None"/>
    <n v="1673"/>
    <n v="-836.85998813628805"/>
  </r>
  <r>
    <s v="ORD1472"/>
    <d v="2025-08-06T02:00:00"/>
    <s v="Mumbai"/>
    <s v="COLD_COF_470"/>
    <x v="15"/>
    <s v="Drinks"/>
    <n v="168"/>
    <n v="0"/>
    <n v="168"/>
    <n v="2"/>
    <n v="81.743866663228602"/>
    <n v="336"/>
    <n v="163.487733326457"/>
    <n v="172.512266673542"/>
    <s v="BOGO"/>
    <n v="336"/>
    <n v="-172.512266673543"/>
  </r>
  <r>
    <s v="ORD1473"/>
    <d v="2025-03-15T16:00:00"/>
    <s v="Pune"/>
    <s v="CHEESE_B_142"/>
    <x v="5"/>
    <s v="Burger"/>
    <n v="303"/>
    <n v="0.1"/>
    <n v="272.7"/>
    <n v="6"/>
    <n v="157.95459561422601"/>
    <n v="1636.19999999999"/>
    <n v="947.72757368535804"/>
    <n v="688.47242631464098"/>
    <s v="BOGO"/>
    <n v="1818"/>
    <n v="-688.472426314632"/>
  </r>
  <r>
    <s v="ORD1474"/>
    <d v="2025-12-07T15:00:00"/>
    <s v="Pune"/>
    <s v="MARGHERI_487"/>
    <x v="16"/>
    <s v="Pizza"/>
    <n v="110"/>
    <n v="0"/>
    <n v="110"/>
    <n v="7"/>
    <n v="66.440470405893606"/>
    <n v="770"/>
    <n v="465.083292841255"/>
    <n v="304.91670715874398"/>
    <s v="None"/>
    <n v="770"/>
    <n v="-304.916707158745"/>
  </r>
  <r>
    <s v="ORD1475"/>
    <d v="2024-09-11T03:00:00"/>
    <s v="Chennai"/>
    <s v="SPRITE_928"/>
    <x v="3"/>
    <s v="Drinks"/>
    <n v="327"/>
    <n v="0.2"/>
    <n v="261.60000000000002"/>
    <n v="5"/>
    <n v="149.91774672631101"/>
    <n v="1308"/>
    <n v="749.58873363155499"/>
    <n v="558.41126636844399"/>
    <s v="None"/>
    <n v="1635"/>
    <n v="-558.41126636844501"/>
  </r>
  <r>
    <s v="ORD1476"/>
    <d v="2025-01-30T19:00:00"/>
    <s v="Bangalore"/>
    <s v="CHICKEN__633"/>
    <x v="14"/>
    <s v="Burger"/>
    <n v="213"/>
    <n v="0.1"/>
    <n v="191.7"/>
    <n v="4"/>
    <n v="148.274251616622"/>
    <n v="766.8"/>
    <n v="593.09700646649003"/>
    <n v="173.70299353350899"/>
    <s v="BOGO"/>
    <n v="852"/>
    <n v="-173.70299353350993"/>
  </r>
  <r>
    <s v="ORD1477"/>
    <d v="2024-05-12T10:00:00"/>
    <s v="Mumbai"/>
    <s v="SPRITE_327"/>
    <x v="3"/>
    <s v="Drinks"/>
    <n v="299"/>
    <n v="0"/>
    <n v="299"/>
    <n v="4"/>
    <n v="204.783422939096"/>
    <n v="1196"/>
    <n v="819.13369175638695"/>
    <n v="376.86630824361202"/>
    <s v="Coupon"/>
    <n v="1196"/>
    <n v="-376.86630824361305"/>
  </r>
  <r>
    <s v="ORD1478"/>
    <d v="2024-09-11T20:00:00"/>
    <s v="Mumbai"/>
    <s v="GARLIC_B_235"/>
    <x v="4"/>
    <s v="Snacks"/>
    <n v="299"/>
    <n v="0"/>
    <n v="299"/>
    <n v="1"/>
    <n v="130.976394718086"/>
    <n v="299"/>
    <n v="130.976394718086"/>
    <n v="168.02360528191301"/>
    <s v="None"/>
    <n v="299"/>
    <n v="-168.023605281914"/>
  </r>
  <r>
    <s v="ORD1479"/>
    <d v="2025-10-10T11:00:00"/>
    <s v="Chennai"/>
    <s v="CHICKEN__675"/>
    <x v="7"/>
    <s v="Pizza"/>
    <n v="122"/>
    <n v="0"/>
    <n v="122"/>
    <n v="3"/>
    <n v="68.313061356115796"/>
    <n v="366"/>
    <n v="204.939184068347"/>
    <n v="161.060815931652"/>
    <s v="None"/>
    <n v="366"/>
    <n v="-161.060815931653"/>
  </r>
  <r>
    <s v="ORD1480"/>
    <d v="2024-05-28T16:00:00"/>
    <s v="Bangalore"/>
    <s v="VEG_BURG_662"/>
    <x v="0"/>
    <s v="Burger"/>
    <n v="286"/>
    <n v="0.1"/>
    <n v="257.39999999999998"/>
    <n v="2"/>
    <n v="206.08664209828501"/>
    <n v="514.79999999999995"/>
    <n v="412.17328419657099"/>
    <n v="102.626715803428"/>
    <s v="None"/>
    <n v="572"/>
    <n v="-102.62671580342897"/>
  </r>
  <r>
    <s v="ORD1481"/>
    <d v="2025-02-14T07:00:00"/>
    <s v="Delhi"/>
    <s v="COKE_130"/>
    <x v="8"/>
    <s v="Drinks"/>
    <n v="120"/>
    <n v="0"/>
    <n v="120"/>
    <n v="4"/>
    <n v="86.098931605565497"/>
    <n v="480"/>
    <n v="344.39572642226199"/>
    <n v="135.60427357773699"/>
    <s v="Percent-Off"/>
    <n v="480"/>
    <n v="-135.60427357773801"/>
  </r>
  <r>
    <s v="ORD1482"/>
    <d v="2025-08-11T23:00:00"/>
    <s v="Bangalore"/>
    <s v="SPRITE_635"/>
    <x v="3"/>
    <s v="Drinks"/>
    <n v="257"/>
    <n v="0"/>
    <n v="257"/>
    <n v="2"/>
    <n v="130.33002487954499"/>
    <n v="514"/>
    <n v="260.66004975908999"/>
    <n v="253.33995024090899"/>
    <s v="None"/>
    <n v="514"/>
    <n v="-253.33995024091001"/>
  </r>
  <r>
    <s v="ORD1483"/>
    <d v="2024-03-13T14:00:00"/>
    <s v="Pune"/>
    <s v="VEG_BURG_808"/>
    <x v="0"/>
    <s v="Burger"/>
    <n v="184"/>
    <n v="0.05"/>
    <n v="174.79999999999899"/>
    <n v="4"/>
    <n v="110.316177178982"/>
    <n v="699.19999999999902"/>
    <n v="441.26470871592801"/>
    <n v="257.93529128407101"/>
    <s v="BOGO"/>
    <n v="736"/>
    <n v="-257.93529128407101"/>
  </r>
  <r>
    <s v="ORD1484"/>
    <d v="2024-01-26T19:00:00"/>
    <s v="Delhi"/>
    <s v="CHICKEN__977"/>
    <x v="7"/>
    <s v="Pizza"/>
    <n v="85"/>
    <n v="0.1"/>
    <n v="76.5"/>
    <n v="1"/>
    <n v="39.550274824131101"/>
    <n v="76.5"/>
    <n v="39.550274824131101"/>
    <n v="36.949725175868799"/>
    <s v="None"/>
    <n v="85"/>
    <n v="-36.949725175868899"/>
  </r>
  <r>
    <s v="ORD1485"/>
    <d v="2025-12-23T12:00:00"/>
    <s v="Pune"/>
    <s v="PEPPY_PA_327"/>
    <x v="10"/>
    <s v="Pizza"/>
    <n v="174"/>
    <n v="0.2"/>
    <n v="139.19999999999999"/>
    <n v="1"/>
    <n v="80.148101113278599"/>
    <n v="139.19999999999999"/>
    <n v="80.148101113278599"/>
    <n v="59.051898886721297"/>
    <s v="Percent-Off"/>
    <n v="174"/>
    <n v="-59.051898886721389"/>
  </r>
  <r>
    <s v="ORD1486"/>
    <d v="2024-03-21T19:00:00"/>
    <s v="Pune"/>
    <s v="GARLIC_B_264"/>
    <x v="4"/>
    <s v="Snacks"/>
    <n v="201"/>
    <n v="0.15"/>
    <n v="170.85"/>
    <n v="2"/>
    <n v="103.291216297533"/>
    <n v="341.7"/>
    <n v="206.582432595066"/>
    <n v="135.117567404933"/>
    <s v="None"/>
    <n v="402"/>
    <n v="-135.11756740493399"/>
  </r>
  <r>
    <s v="ORD1487"/>
    <d v="2025-10-28T17:00:00"/>
    <s v="Mumbai"/>
    <s v="GULAB_JA_170"/>
    <x v="11"/>
    <s v="Dessert"/>
    <n v="91"/>
    <n v="0.05"/>
    <n v="86.45"/>
    <n v="7"/>
    <n v="45.925198261041601"/>
    <n v="605.15"/>
    <n v="321.47638782729098"/>
    <n v="283.67361217270798"/>
    <s v="Coupon"/>
    <n v="637"/>
    <n v="-283.673612172709"/>
  </r>
  <r>
    <s v="ORD1488"/>
    <d v="2024-02-10T08:00:00"/>
    <s v="Mumbai"/>
    <s v="COKE_857"/>
    <x v="8"/>
    <s v="Drinks"/>
    <n v="101"/>
    <n v="0.05"/>
    <n v="95.949999999999903"/>
    <n v="3"/>
    <n v="47.244941587190503"/>
    <n v="287.849999999999"/>
    <n v="141.73482476157099"/>
    <n v="146.11517523842801"/>
    <s v="BOGO"/>
    <n v="303"/>
    <n v="-146.11517523842801"/>
  </r>
  <r>
    <s v="ORD1489"/>
    <d v="2025-09-10T14:00:00"/>
    <s v="Hyderabad"/>
    <s v="CHICKEN__762"/>
    <x v="14"/>
    <s v="Burger"/>
    <n v="292"/>
    <n v="0"/>
    <n v="292"/>
    <n v="6"/>
    <n v="208.50228909225001"/>
    <n v="1752"/>
    <n v="1251.0137345534999"/>
    <n v="500.98626544649801"/>
    <s v="None"/>
    <n v="1752"/>
    <n v="-500.98626544650006"/>
  </r>
  <r>
    <s v="ORD1490"/>
    <d v="2024-01-12T17:00:00"/>
    <s v="Mumbai"/>
    <s v="BROWNIE_735"/>
    <x v="12"/>
    <s v="Dessert"/>
    <n v="96"/>
    <n v="0"/>
    <n v="96"/>
    <n v="6"/>
    <n v="52.851973993218401"/>
    <n v="576"/>
    <n v="317.11184395931002"/>
    <n v="258.88815604068901"/>
    <s v="Coupon"/>
    <n v="576"/>
    <n v="-258.88815604068998"/>
  </r>
  <r>
    <s v="ORD1491"/>
    <d v="2025-10-02T00:00:00"/>
    <s v="Bangalore"/>
    <s v="VEG_BURG_985"/>
    <x v="0"/>
    <s v="Burger"/>
    <n v="196"/>
    <n v="0.15"/>
    <n v="166.6"/>
    <n v="7"/>
    <n v="106.776030182394"/>
    <n v="1166.2"/>
    <n v="747.43221127675997"/>
    <n v="418.76778872323899"/>
    <s v="Percent-Off"/>
    <n v="1372"/>
    <n v="-418.76778872324007"/>
  </r>
  <r>
    <s v="ORD1492"/>
    <d v="2024-09-17T22:00:00"/>
    <s v="Mumbai"/>
    <s v="CHICKEN__795"/>
    <x v="14"/>
    <s v="Burger"/>
    <n v="176"/>
    <n v="0"/>
    <n v="176"/>
    <n v="5"/>
    <n v="116.244055045053"/>
    <n v="880"/>
    <n v="581.22027522526605"/>
    <n v="298.77972477473298"/>
    <s v="None"/>
    <n v="880"/>
    <n v="-298.77972477473395"/>
  </r>
  <r>
    <s v="ORD1493"/>
    <d v="2024-02-14T02:00:00"/>
    <s v="Pune"/>
    <s v="MARGHERI_213"/>
    <x v="16"/>
    <s v="Pizza"/>
    <n v="181"/>
    <n v="0"/>
    <n v="181"/>
    <n v="3"/>
    <n v="110.198595154172"/>
    <n v="543"/>
    <n v="330.59578546251799"/>
    <n v="212.40421453748101"/>
    <s v="None"/>
    <n v="543"/>
    <n v="-212.40421453748201"/>
  </r>
  <r>
    <s v="ORD1494"/>
    <d v="2025-03-22T20:00:00"/>
    <s v="Chennai"/>
    <s v="FRIES_306"/>
    <x v="2"/>
    <s v="Snacks"/>
    <n v="268"/>
    <n v="0"/>
    <n v="268"/>
    <n v="4"/>
    <n v="123.95342189455801"/>
    <n v="1072"/>
    <n v="495.81368757823401"/>
    <n v="576.18631242176502"/>
    <s v="None"/>
    <n v="1072"/>
    <n v="-576.18631242176593"/>
  </r>
  <r>
    <s v="ORD1495"/>
    <d v="2024-08-03T18:00:00"/>
    <s v="Hyderabad"/>
    <s v="GRILLED__652"/>
    <x v="1"/>
    <s v="Sandwich"/>
    <n v="303"/>
    <n v="0.1"/>
    <n v="272.7"/>
    <n v="1"/>
    <n v="152.10711478419"/>
    <n v="272.7"/>
    <n v="152.10711478419"/>
    <n v="120.59288521580901"/>
    <s v="Bundle"/>
    <n v="303"/>
    <n v="-120.59288521580999"/>
  </r>
  <r>
    <s v="ORD1496"/>
    <d v="2024-10-17T20:00:00"/>
    <s v="Hyderabad"/>
    <s v="CLUB_SAN_720"/>
    <x v="13"/>
    <s v="Sandwich"/>
    <n v="131"/>
    <n v="0.05"/>
    <n v="124.44999999999899"/>
    <n v="7"/>
    <n v="57.003392423771302"/>
    <n v="871.14999999999895"/>
    <n v="399.02374696639902"/>
    <n v="472.12625303359999"/>
    <s v="None"/>
    <n v="917"/>
    <n v="-472.12625303359994"/>
  </r>
  <r>
    <s v="ORD1497"/>
    <d v="2025-01-18T08:00:00"/>
    <s v="Pune"/>
    <s v="ONION_RI_671"/>
    <x v="17"/>
    <s v="Snacks"/>
    <n v="235"/>
    <n v="0"/>
    <n v="235"/>
    <n v="2"/>
    <n v="172.936944431217"/>
    <n v="470"/>
    <n v="345.873888862434"/>
    <n v="124.126111137565"/>
    <s v="Coupon"/>
    <n v="470"/>
    <n v="-124.126111137566"/>
  </r>
  <r>
    <s v="ORD1498"/>
    <d v="2024-02-21T05:00:00"/>
    <s v="Delhi"/>
    <s v="CHICKEN__856"/>
    <x v="14"/>
    <s v="Burger"/>
    <n v="152"/>
    <n v="0"/>
    <n v="152"/>
    <n v="3"/>
    <n v="84.725492802825201"/>
    <n v="456"/>
    <n v="254.17647840847499"/>
    <n v="201.82352159152401"/>
    <s v="Percent-Off"/>
    <n v="456"/>
    <n v="-201.82352159152501"/>
  </r>
  <r>
    <s v="ORD1499"/>
    <d v="2024-12-18T19:00:00"/>
    <s v="Hyderabad"/>
    <s v="GULAB_JA_212"/>
    <x v="11"/>
    <s v="Dessert"/>
    <n v="347"/>
    <n v="0.1"/>
    <n v="312.3"/>
    <n v="1"/>
    <n v="236.25370097785299"/>
    <n v="312.3"/>
    <n v="236.25370097785299"/>
    <n v="76.046299022146499"/>
    <s v="Coupon"/>
    <n v="347"/>
    <n v="-76.046299022147025"/>
  </r>
  <r>
    <s v="ORD1500"/>
    <d v="2024-04-05T09:00:00"/>
    <s v="Mumbai"/>
    <s v="GRILLED__672"/>
    <x v="1"/>
    <s v="Sandwich"/>
    <n v="278"/>
    <n v="0.15"/>
    <n v="236.29999999999899"/>
    <n v="3"/>
    <n v="174.80332336843901"/>
    <n v="708.9"/>
    <n v="524.40997010531703"/>
    <n v="184.49002989468201"/>
    <s v="Bundle"/>
    <n v="834"/>
    <n v="-184.49002989468295"/>
  </r>
  <r>
    <s v="ORD1501"/>
    <d v="2024-02-21T15:00:00"/>
    <s v="Pune"/>
    <s v="ICE_CREA_910"/>
    <x v="6"/>
    <s v="Dessert"/>
    <n v="194"/>
    <n v="0"/>
    <n v="194"/>
    <n v="4"/>
    <n v="104.757288982669"/>
    <n v="776"/>
    <n v="419.029155930679"/>
    <n v="356.97084406931998"/>
    <s v="Coupon"/>
    <n v="776"/>
    <n v="-356.970844069321"/>
  </r>
  <r>
    <s v="ORD1502"/>
    <d v="2024-08-11T18:00:00"/>
    <s v="Hyderabad"/>
    <s v="CHICKEN__399"/>
    <x v="14"/>
    <s v="Burger"/>
    <n v="106"/>
    <n v="0.25"/>
    <n v="79.5"/>
    <n v="1"/>
    <n v="48.754879578170602"/>
    <n v="79.5"/>
    <n v="48.754879578170602"/>
    <n v="30.745120421829299"/>
    <s v="Coupon"/>
    <n v="106"/>
    <n v="-30.745120421829398"/>
  </r>
  <r>
    <s v="ORD1503"/>
    <d v="2025-11-04T18:00:00"/>
    <s v="Hyderabad"/>
    <s v="BROWNIE_427"/>
    <x v="12"/>
    <s v="Dessert"/>
    <n v="291"/>
    <n v="0.15"/>
    <n v="247.35"/>
    <n v="7"/>
    <n v="147.23298706677099"/>
    <n v="1731.45"/>
    <n v="1030.6309094674"/>
    <n v="700.81909053259801"/>
    <s v="Percent-Off"/>
    <n v="2037"/>
    <n v="-700.81909053260006"/>
  </r>
  <r>
    <s v="ORD1504"/>
    <d v="2024-01-06T05:00:00"/>
    <s v="Mumbai"/>
    <s v="COLD_COF_620"/>
    <x v="15"/>
    <s v="Drinks"/>
    <n v="107"/>
    <n v="0"/>
    <n v="107"/>
    <n v="1"/>
    <n v="45.943989723166901"/>
    <n v="107"/>
    <n v="45.943989723166901"/>
    <n v="61.056010276833"/>
    <s v="None"/>
    <n v="107"/>
    <n v="-61.056010276833099"/>
  </r>
  <r>
    <s v="ORD1505"/>
    <d v="2025-06-05T00:00:00"/>
    <s v="Hyderabad"/>
    <s v="PEPPY_PA_841"/>
    <x v="10"/>
    <s v="Pizza"/>
    <n v="98"/>
    <n v="0"/>
    <n v="98"/>
    <n v="1"/>
    <n v="56.955329453303797"/>
    <n v="98"/>
    <n v="56.955329453303797"/>
    <n v="41.044670546696103"/>
    <s v="None"/>
    <n v="98"/>
    <n v="-41.044670546696203"/>
  </r>
  <r>
    <s v="ORD1506"/>
    <d v="2025-10-03T14:00:00"/>
    <s v="Pune"/>
    <s v="PEPPY_PA_904"/>
    <x v="10"/>
    <s v="Pizza"/>
    <n v="144"/>
    <n v="0.25"/>
    <n v="108"/>
    <n v="7"/>
    <n v="74.4032152395895"/>
    <n v="756"/>
    <n v="520.82250667712594"/>
    <n v="235.177493322873"/>
    <s v="None"/>
    <n v="1008"/>
    <n v="-235.17749332287406"/>
  </r>
  <r>
    <s v="ORD1507"/>
    <d v="2024-10-03T14:00:00"/>
    <s v="Chennai"/>
    <s v="MARGHERI_279"/>
    <x v="16"/>
    <s v="Pizza"/>
    <n v="104"/>
    <n v="0.1"/>
    <n v="93.6"/>
    <n v="1"/>
    <n v="62.784345762592999"/>
    <n v="93.6"/>
    <n v="62.784345762592999"/>
    <n v="30.8156542374069"/>
    <s v="Coupon"/>
    <n v="104"/>
    <n v="-30.815654237406996"/>
  </r>
  <r>
    <s v="ORD1508"/>
    <d v="2024-09-30T18:00:00"/>
    <s v="Hyderabad"/>
    <s v="SPRITE_758"/>
    <x v="3"/>
    <s v="Drinks"/>
    <n v="89"/>
    <n v="0.2"/>
    <n v="71.2"/>
    <n v="2"/>
    <n v="51.169463328868503"/>
    <n v="142.4"/>
    <n v="102.33892665773701"/>
    <n v="40.061073342262901"/>
    <s v="Coupon"/>
    <n v="178"/>
    <n v="-40.061073342263001"/>
  </r>
  <r>
    <s v="ORD1509"/>
    <d v="2024-05-15T09:00:00"/>
    <s v="Pune"/>
    <s v="GRILLED__549"/>
    <x v="1"/>
    <s v="Sandwich"/>
    <n v="300"/>
    <n v="0.25"/>
    <n v="225"/>
    <n v="6"/>
    <n v="194.718811398528"/>
    <n v="1350"/>
    <n v="1168.31286839116"/>
    <n v="181.68713160883101"/>
    <s v="None"/>
    <n v="1800"/>
    <n v="-181.68713160883999"/>
  </r>
  <r>
    <s v="ORD1510"/>
    <d v="2025-01-14T14:00:00"/>
    <s v="Delhi"/>
    <s v="GARLIC_B_188"/>
    <x v="4"/>
    <s v="Snacks"/>
    <n v="226"/>
    <n v="0"/>
    <n v="226"/>
    <n v="7"/>
    <n v="140.39051532079901"/>
    <n v="1582"/>
    <n v="982.73360724559404"/>
    <n v="599.26639275440505"/>
    <s v="Percent-Off"/>
    <n v="1582"/>
    <n v="-599.26639275440596"/>
  </r>
  <r>
    <s v="ORD1511"/>
    <d v="2024-11-12T11:00:00"/>
    <s v="Bangalore"/>
    <s v="CHICKEN__537"/>
    <x v="14"/>
    <s v="Burger"/>
    <n v="235"/>
    <n v="0.05"/>
    <n v="223.25"/>
    <n v="4"/>
    <n v="153.03265545265199"/>
    <n v="893"/>
    <n v="612.13062181060798"/>
    <n v="280.869378189391"/>
    <s v="None"/>
    <n v="940"/>
    <n v="-280.86937818939202"/>
  </r>
  <r>
    <s v="ORD1512"/>
    <d v="2025-07-20T21:00:00"/>
    <s v="Chennai"/>
    <s v="MARGHERI_655"/>
    <x v="16"/>
    <s v="Pizza"/>
    <n v="299"/>
    <n v="0.15"/>
    <n v="254.15"/>
    <n v="4"/>
    <n v="121.52018744414499"/>
    <n v="1016.6"/>
    <n v="486.08074977658202"/>
    <n v="530.51925022341698"/>
    <s v="None"/>
    <n v="1196"/>
    <n v="-530.519250223418"/>
  </r>
  <r>
    <s v="ORD1513"/>
    <d v="2025-05-19T19:00:00"/>
    <s v="Pune"/>
    <s v="COLD_COF_839"/>
    <x v="15"/>
    <s v="Drinks"/>
    <n v="113"/>
    <n v="0"/>
    <n v="113"/>
    <n v="5"/>
    <n v="52.6861373094941"/>
    <n v="565"/>
    <n v="263.43068654746997"/>
    <n v="301.569313452529"/>
    <s v="None"/>
    <n v="565"/>
    <n v="-301.56931345253003"/>
  </r>
  <r>
    <s v="ORD1514"/>
    <d v="2024-09-19T06:00:00"/>
    <s v="Mumbai"/>
    <s v="BROWNIE_506"/>
    <x v="12"/>
    <s v="Dessert"/>
    <n v="330"/>
    <n v="0"/>
    <n v="330"/>
    <n v="7"/>
    <n v="244.41161585853001"/>
    <n v="2310"/>
    <n v="1710.8813110097101"/>
    <n v="599.11868899028696"/>
    <s v="None"/>
    <n v="2310"/>
    <n v="-599.11868899028991"/>
  </r>
  <r>
    <s v="ORD1515"/>
    <d v="2024-08-27T21:00:00"/>
    <s v="Chennai"/>
    <s v="COLD_COF_101"/>
    <x v="15"/>
    <s v="Drinks"/>
    <n v="191"/>
    <n v="0"/>
    <n v="191"/>
    <n v="5"/>
    <n v="89.734080614789505"/>
    <n v="955"/>
    <n v="448.670403073947"/>
    <n v="506.32959692605198"/>
    <s v="None"/>
    <n v="955"/>
    <n v="-506.329596926053"/>
  </r>
  <r>
    <s v="ORD1516"/>
    <d v="2025-06-08T19:00:00"/>
    <s v="Chennai"/>
    <s v="SPRITE_595"/>
    <x v="3"/>
    <s v="Drinks"/>
    <n v="190"/>
    <n v="0"/>
    <n v="190"/>
    <n v="1"/>
    <n v="137.59323800900401"/>
    <n v="190"/>
    <n v="137.59323800900401"/>
    <n v="52.406761990995101"/>
    <s v="None"/>
    <n v="190"/>
    <n v="-52.406761990995989"/>
  </r>
  <r>
    <s v="ORD1517"/>
    <d v="2024-03-23T01:00:00"/>
    <s v="Chennai"/>
    <s v="CLUB_SAN_898"/>
    <x v="13"/>
    <s v="Sandwich"/>
    <n v="144"/>
    <n v="0.15"/>
    <n v="122.399999999999"/>
    <n v="4"/>
    <n v="66.087760630105507"/>
    <n v="489.599999999999"/>
    <n v="264.35104252042203"/>
    <n v="225.248957479577"/>
    <s v="None"/>
    <n v="576"/>
    <n v="-225.24895747957697"/>
  </r>
  <r>
    <s v="ORD1518"/>
    <d v="2025-04-02T17:00:00"/>
    <s v="Hyderabad"/>
    <s v="ONION_RI_293"/>
    <x v="17"/>
    <s v="Snacks"/>
    <n v="330"/>
    <n v="0"/>
    <n v="330"/>
    <n v="1"/>
    <n v="140.85566011733701"/>
    <n v="330"/>
    <n v="140.85566011733701"/>
    <n v="189.144339882662"/>
    <s v="None"/>
    <n v="330"/>
    <n v="-189.14433988266299"/>
  </r>
  <r>
    <s v="ORD1519"/>
    <d v="2025-12-20T19:00:00"/>
    <s v="Bangalore"/>
    <s v="ONION_RI_132"/>
    <x v="17"/>
    <s v="Snacks"/>
    <n v="281"/>
    <n v="0.1"/>
    <n v="252.9"/>
    <n v="6"/>
    <n v="119.770743648897"/>
    <n v="1517.4"/>
    <n v="718.624461893383"/>
    <n v="798.77553810661698"/>
    <s v="None"/>
    <n v="1686"/>
    <n v="-798.77553810661709"/>
  </r>
  <r>
    <s v="ORD1520"/>
    <d v="2024-07-05T06:00:00"/>
    <s v="Delhi"/>
    <s v="CHICKEN__458"/>
    <x v="7"/>
    <s v="Pizza"/>
    <n v="231"/>
    <n v="0"/>
    <n v="231"/>
    <n v="4"/>
    <n v="122.02801985658699"/>
    <n v="924"/>
    <n v="488.112079426349"/>
    <n v="435.88792057364998"/>
    <s v="Coupon"/>
    <n v="924"/>
    <n v="-435.887920573651"/>
  </r>
  <r>
    <s v="ORD1521"/>
    <d v="2025-03-02T01:00:00"/>
    <s v="Bangalore"/>
    <s v="SPRITE_572"/>
    <x v="3"/>
    <s v="Drinks"/>
    <n v="329"/>
    <n v="0"/>
    <n v="329"/>
    <n v="6"/>
    <n v="244.50921600921001"/>
    <n v="1974"/>
    <n v="1467.05529605526"/>
    <n v="506.944703944737"/>
    <s v="None"/>
    <n v="1974"/>
    <n v="-506.94470394474001"/>
  </r>
  <r>
    <s v="ORD1522"/>
    <d v="2025-02-02T04:00:00"/>
    <s v="Pune"/>
    <s v="MARGHERI_335"/>
    <x v="16"/>
    <s v="Pizza"/>
    <n v="222"/>
    <n v="0"/>
    <n v="222"/>
    <n v="3"/>
    <n v="146.252771891837"/>
    <n v="666"/>
    <n v="438.75831567551302"/>
    <n v="227.24168432448599"/>
    <s v="Bundle"/>
    <n v="666"/>
    <n v="-227.24168432448698"/>
  </r>
  <r>
    <s v="ORD1523"/>
    <d v="2025-01-18T14:00:00"/>
    <s v="Pune"/>
    <s v="SPRITE_130"/>
    <x v="3"/>
    <s v="Drinks"/>
    <n v="310"/>
    <n v="0.1"/>
    <n v="279"/>
    <n v="7"/>
    <n v="150.74702119845401"/>
    <n v="1953"/>
    <n v="1055.2291483891699"/>
    <n v="897.77085161082096"/>
    <s v="Percent-Off"/>
    <n v="2170"/>
    <n v="-897.77085161083005"/>
  </r>
  <r>
    <s v="ORD1524"/>
    <d v="2025-02-20T07:00:00"/>
    <s v="Mumbai"/>
    <s v="VEG_BURG_954"/>
    <x v="0"/>
    <s v="Burger"/>
    <n v="289"/>
    <n v="0"/>
    <n v="289"/>
    <n v="3"/>
    <n v="119.64798666075001"/>
    <n v="867"/>
    <n v="358.94395998225099"/>
    <n v="508.05604001774799"/>
    <s v="None"/>
    <n v="867"/>
    <n v="-508.05604001774901"/>
  </r>
  <r>
    <s v="ORD1525"/>
    <d v="2024-11-09T07:00:00"/>
    <s v="Delhi"/>
    <s v="BROWNIE_454"/>
    <x v="12"/>
    <s v="Dessert"/>
    <n v="335"/>
    <n v="0.1"/>
    <n v="301.5"/>
    <n v="1"/>
    <n v="171.90051342522301"/>
    <n v="301.5"/>
    <n v="171.90051342522301"/>
    <n v="129.59948657477599"/>
    <s v="Coupon"/>
    <n v="335"/>
    <n v="-129.59948657477699"/>
  </r>
  <r>
    <s v="ORD1526"/>
    <d v="2025-07-23T13:00:00"/>
    <s v="Chennai"/>
    <s v="GARLIC_B_491"/>
    <x v="4"/>
    <s v="Snacks"/>
    <n v="112"/>
    <n v="0.1"/>
    <n v="100.8"/>
    <n v="3"/>
    <n v="69.931883030037596"/>
    <n v="302.39999999999998"/>
    <n v="209.79564909011199"/>
    <n v="92.604350909887103"/>
    <s v="None"/>
    <n v="336"/>
    <n v="-92.604350909887984"/>
  </r>
  <r>
    <s v="ORD1527"/>
    <d v="2024-07-11T04:00:00"/>
    <s v="Pune"/>
    <s v="CHICKEN__125"/>
    <x v="14"/>
    <s v="Burger"/>
    <n v="168"/>
    <n v="0.1"/>
    <n v="151.19999999999999"/>
    <n v="2"/>
    <n v="105.932990852571"/>
    <n v="302.39999999999998"/>
    <n v="211.86598170514199"/>
    <n v="90.534018294857006"/>
    <s v="Percent-Off"/>
    <n v="336"/>
    <n v="-90.534018294857987"/>
  </r>
  <r>
    <s v="ORD1528"/>
    <d v="2025-05-30T13:00:00"/>
    <s v="Hyderabad"/>
    <s v="CHICKEN__466"/>
    <x v="7"/>
    <s v="Pizza"/>
    <n v="146"/>
    <n v="0.1"/>
    <n v="131.4"/>
    <n v="2"/>
    <n v="77.367923267060206"/>
    <n v="262.8"/>
    <n v="154.73584653411999"/>
    <n v="108.064153465879"/>
    <s v="None"/>
    <n v="292"/>
    <n v="-108.06415346588003"/>
  </r>
  <r>
    <s v="ORD1529"/>
    <d v="2025-10-10T00:00:00"/>
    <s v="Mumbai"/>
    <s v="FRIES_370"/>
    <x v="2"/>
    <s v="Snacks"/>
    <n v="270"/>
    <n v="0"/>
    <n v="270"/>
    <n v="1"/>
    <n v="142.17548347284901"/>
    <n v="270"/>
    <n v="142.17548347284901"/>
    <n v="127.82451652715"/>
    <s v="Coupon"/>
    <n v="270"/>
    <n v="-127.82451652715099"/>
  </r>
  <r>
    <s v="ORD1530"/>
    <d v="2025-09-02T06:00:00"/>
    <s v="Pune"/>
    <s v="MARGHERI_898"/>
    <x v="16"/>
    <s v="Pizza"/>
    <n v="320"/>
    <n v="0"/>
    <n v="320"/>
    <n v="4"/>
    <n v="139.26237888978099"/>
    <n v="1280"/>
    <n v="557.04951555912601"/>
    <n v="722.95048444087297"/>
    <s v="Bundle"/>
    <n v="1280"/>
    <n v="-722.95048444087399"/>
  </r>
  <r>
    <s v="ORD1531"/>
    <d v="2024-08-06T06:00:00"/>
    <s v="Mumbai"/>
    <s v="PEPPY_PA_246"/>
    <x v="10"/>
    <s v="Pizza"/>
    <n v="274"/>
    <n v="0.2"/>
    <n v="219.2"/>
    <n v="4"/>
    <n v="143.775460399487"/>
    <n v="876.8"/>
    <n v="575.10184159795006"/>
    <n v="301.69815840204899"/>
    <s v="Percent-Off"/>
    <n v="1096"/>
    <n v="-301.6981584020499"/>
  </r>
  <r>
    <s v="ORD1532"/>
    <d v="2025-10-11T01:00:00"/>
    <s v="Hyderabad"/>
    <s v="SPRITE_945"/>
    <x v="3"/>
    <s v="Drinks"/>
    <n v="172"/>
    <n v="0.2"/>
    <n v="137.6"/>
    <n v="6"/>
    <n v="92.959791725261695"/>
    <n v="825.599999999999"/>
    <n v="557.75875035157003"/>
    <n v="267.84124964842903"/>
    <s v="None"/>
    <n v="1032"/>
    <n v="-267.84124964842897"/>
  </r>
  <r>
    <s v="ORD1533"/>
    <d v="2025-10-08T00:00:00"/>
    <s v="Pune"/>
    <s v="COKE_976"/>
    <x v="8"/>
    <s v="Drinks"/>
    <n v="268"/>
    <n v="0"/>
    <n v="268"/>
    <n v="1"/>
    <n v="127.323872748868"/>
    <n v="268"/>
    <n v="127.323872748868"/>
    <n v="140.67612725113099"/>
    <s v="None"/>
    <n v="268"/>
    <n v="-140.67612725113202"/>
  </r>
  <r>
    <s v="ORD1534"/>
    <d v="2024-06-03T23:00:00"/>
    <s v="Chennai"/>
    <s v="PEPPY_PA_134"/>
    <x v="10"/>
    <s v="Pizza"/>
    <n v="286"/>
    <n v="0.05"/>
    <n v="271.7"/>
    <n v="5"/>
    <n v="177.95864672767399"/>
    <n v="1358.5"/>
    <n v="889.79323363837102"/>
    <n v="468.70676636162801"/>
    <s v="Percent-Off"/>
    <n v="1430"/>
    <n v="-468.70676636162898"/>
  </r>
  <r>
    <s v="ORD1535"/>
    <d v="2024-01-13T14:00:00"/>
    <s v="Delhi"/>
    <s v="CHEESE_B_531"/>
    <x v="5"/>
    <s v="Burger"/>
    <n v="93"/>
    <n v="0.1"/>
    <n v="83.7"/>
    <n v="3"/>
    <n v="40.056899300637802"/>
    <n v="251.1"/>
    <n v="120.170697901913"/>
    <n v="130.929302098086"/>
    <s v="BOGO"/>
    <n v="279"/>
    <n v="-130.92930209808699"/>
  </r>
  <r>
    <s v="ORD1536"/>
    <d v="2025-05-21T00:00:00"/>
    <s v="Mumbai"/>
    <s v="FRIES_454"/>
    <x v="2"/>
    <s v="Snacks"/>
    <n v="221"/>
    <n v="0.1"/>
    <n v="198.9"/>
    <n v="7"/>
    <n v="104.335446221937"/>
    <n v="1392.3"/>
    <n v="730.34812355356496"/>
    <n v="661.95187644643397"/>
    <s v="None"/>
    <n v="1547"/>
    <n v="-661.95187644643499"/>
  </r>
  <r>
    <s v="ORD1537"/>
    <d v="2025-12-24T18:00:00"/>
    <s v="Hyderabad"/>
    <s v="COLD_COF_762"/>
    <x v="15"/>
    <s v="Drinks"/>
    <n v="310"/>
    <n v="0"/>
    <n v="310"/>
    <n v="7"/>
    <n v="185.28613505345299"/>
    <n v="2170"/>
    <n v="1297.0029453741699"/>
    <n v="872.99705462582301"/>
    <s v="Percent-Off"/>
    <n v="2170"/>
    <n v="-872.99705462583006"/>
  </r>
  <r>
    <s v="ORD1538"/>
    <d v="2025-02-22T23:00:00"/>
    <s v="Hyderabad"/>
    <s v="PEPPY_PA_553"/>
    <x v="10"/>
    <s v="Pizza"/>
    <n v="241"/>
    <n v="0.1"/>
    <n v="216.9"/>
    <n v="7"/>
    <n v="156.31151477681601"/>
    <n v="1518.3"/>
    <n v="1094.18060343771"/>
    <n v="424.119396562286"/>
    <s v="None"/>
    <n v="1687"/>
    <n v="-424.11939656228992"/>
  </r>
  <r>
    <s v="ORD1539"/>
    <d v="2024-07-04T00:00:00"/>
    <s v="Chennai"/>
    <s v="COLD_COF_766"/>
    <x v="15"/>
    <s v="Drinks"/>
    <n v="188"/>
    <n v="0.1"/>
    <n v="169.2"/>
    <n v="5"/>
    <n v="93.744129684759201"/>
    <n v="846"/>
    <n v="468.72064842379598"/>
    <n v="377.279351576203"/>
    <s v="None"/>
    <n v="940"/>
    <n v="-377.27935157620402"/>
  </r>
  <r>
    <s v="ORD1540"/>
    <d v="2024-05-08T00:00:00"/>
    <s v="Hyderabad"/>
    <s v="PEPPY_PA_968"/>
    <x v="10"/>
    <s v="Pizza"/>
    <n v="166"/>
    <n v="0.15"/>
    <n v="141.1"/>
    <n v="7"/>
    <n v="113.83656185066501"/>
    <n v="987.69999999999902"/>
    <n v="796.85593295466094"/>
    <n v="190.84406704533899"/>
    <s v="None"/>
    <n v="1162"/>
    <n v="-190.84406704533808"/>
  </r>
  <r>
    <s v="ORD1541"/>
    <d v="2025-07-20T14:00:00"/>
    <s v="Hyderabad"/>
    <s v="CLUB_SAN_540"/>
    <x v="13"/>
    <s v="Sandwich"/>
    <n v="298"/>
    <n v="0"/>
    <n v="298"/>
    <n v="6"/>
    <n v="214.62181509839101"/>
    <n v="1788"/>
    <n v="1287.7308905903501"/>
    <n v="500.26910940964899"/>
    <s v="Coupon"/>
    <n v="1788"/>
    <n v="-500.2691094096499"/>
  </r>
  <r>
    <s v="ORD1542"/>
    <d v="2025-08-18T07:00:00"/>
    <s v="Mumbai"/>
    <s v="CHICKEN__797"/>
    <x v="7"/>
    <s v="Pizza"/>
    <n v="130"/>
    <n v="0"/>
    <n v="130"/>
    <n v="5"/>
    <n v="88.5947897570788"/>
    <n v="650"/>
    <n v="442.97394878539399"/>
    <n v="207.02605121460499"/>
    <s v="None"/>
    <n v="650"/>
    <n v="-207.02605121460601"/>
  </r>
  <r>
    <s v="ORD1543"/>
    <d v="2025-08-04T21:00:00"/>
    <s v="Delhi"/>
    <s v="PEPPY_PA_481"/>
    <x v="10"/>
    <s v="Pizza"/>
    <n v="198"/>
    <n v="0.1"/>
    <n v="178.2"/>
    <n v="3"/>
    <n v="129.50161874464999"/>
    <n v="534.6"/>
    <n v="388.50485623395201"/>
    <n v="146.09514376604699"/>
    <s v="None"/>
    <n v="594"/>
    <n v="-146.09514376604801"/>
  </r>
  <r>
    <s v="ORD1544"/>
    <d v="2025-01-31T15:00:00"/>
    <s v="Chennai"/>
    <s v="VEG_SAND_649"/>
    <x v="9"/>
    <s v="Sandwich"/>
    <n v="242"/>
    <n v="0.1"/>
    <n v="217.8"/>
    <n v="5"/>
    <n v="178.20549821000401"/>
    <n v="1089"/>
    <n v="891.02749105002204"/>
    <n v="197.972508949977"/>
    <s v="None"/>
    <n v="1210"/>
    <n v="-197.97250894997796"/>
  </r>
  <r>
    <s v="ORD1545"/>
    <d v="2025-07-11T12:00:00"/>
    <s v="Chennai"/>
    <s v="COKE_276"/>
    <x v="8"/>
    <s v="Drinks"/>
    <n v="233"/>
    <n v="0"/>
    <n v="233"/>
    <n v="5"/>
    <n v="162.44709267893899"/>
    <n v="1165"/>
    <n v="812.23546339469704"/>
    <n v="352.764536605302"/>
    <s v="Percent-Off"/>
    <n v="1165"/>
    <n v="-352.76453660530296"/>
  </r>
  <r>
    <s v="ORD1546"/>
    <d v="2025-05-09T09:00:00"/>
    <s v="Hyderabad"/>
    <s v="CLUB_SAN_224"/>
    <x v="13"/>
    <s v="Sandwich"/>
    <n v="314"/>
    <n v="0.05"/>
    <n v="298.3"/>
    <n v="6"/>
    <n v="133.587961819188"/>
    <n v="1789.8"/>
    <n v="801.52777091512905"/>
    <n v="988.27222908486999"/>
    <s v="Coupon"/>
    <n v="1884"/>
    <n v="-988.2722290848709"/>
  </r>
  <r>
    <s v="ORD1547"/>
    <d v="2024-12-04T13:00:00"/>
    <s v="Pune"/>
    <s v="COLD_COF_724"/>
    <x v="15"/>
    <s v="Drinks"/>
    <n v="305"/>
    <n v="0"/>
    <n v="305"/>
    <n v="3"/>
    <n v="141.84500770863099"/>
    <n v="915"/>
    <n v="425.53502312589399"/>
    <n v="489.46497687410499"/>
    <s v="None"/>
    <n v="915"/>
    <n v="-489.46497687410601"/>
  </r>
  <r>
    <s v="ORD1548"/>
    <d v="2024-05-17T03:00:00"/>
    <s v="Chennai"/>
    <s v="CHICKEN__462"/>
    <x v="14"/>
    <s v="Burger"/>
    <n v="297"/>
    <n v="0"/>
    <n v="297"/>
    <n v="3"/>
    <n v="184.0892773896"/>
    <n v="891"/>
    <n v="552.26783216880199"/>
    <n v="338.73216783119699"/>
    <s v="None"/>
    <n v="891"/>
    <n v="-338.73216783119801"/>
  </r>
  <r>
    <s v="ORD1549"/>
    <d v="2024-06-17T01:00:00"/>
    <s v="Mumbai"/>
    <s v="GARLIC_B_105"/>
    <x v="4"/>
    <s v="Snacks"/>
    <n v="106"/>
    <n v="0"/>
    <n v="106"/>
    <n v="1"/>
    <n v="65.830634309896595"/>
    <n v="106"/>
    <n v="65.830634309896595"/>
    <n v="40.169365690103298"/>
    <s v="None"/>
    <n v="106"/>
    <n v="-40.169365690103405"/>
  </r>
  <r>
    <s v="ORD1550"/>
    <d v="2024-07-31T17:00:00"/>
    <s v="Pune"/>
    <s v="FRIES_811"/>
    <x v="2"/>
    <s v="Snacks"/>
    <n v="85"/>
    <n v="0.2"/>
    <n v="68"/>
    <n v="1"/>
    <n v="54.712860157343201"/>
    <n v="68"/>
    <n v="54.712860157343201"/>
    <n v="13.2871398426567"/>
    <s v="None"/>
    <n v="85"/>
    <n v="-13.287139842656799"/>
  </r>
  <r>
    <s v="ORD1551"/>
    <d v="2025-12-12T23:00:00"/>
    <s v="Bangalore"/>
    <s v="PEPPY_PA_653"/>
    <x v="10"/>
    <s v="Pizza"/>
    <n v="280"/>
    <n v="0.1"/>
    <n v="252"/>
    <n v="3"/>
    <n v="139.20602529020999"/>
    <n v="756"/>
    <n v="417.61807587063203"/>
    <n v="338.38192412936701"/>
    <s v="None"/>
    <n v="840"/>
    <n v="-338.38192412936797"/>
  </r>
  <r>
    <s v="ORD1552"/>
    <d v="2024-12-04T21:00:00"/>
    <s v="Delhi"/>
    <s v="VEG_BURG_244"/>
    <x v="0"/>
    <s v="Burger"/>
    <n v="109"/>
    <n v="0"/>
    <n v="109"/>
    <n v="2"/>
    <n v="60.1191380837911"/>
    <n v="218"/>
    <n v="120.238276167582"/>
    <n v="97.761723832417701"/>
    <s v="Coupon"/>
    <n v="218"/>
    <n v="-97.761723832417999"/>
  </r>
  <r>
    <s v="ORD1553"/>
    <d v="2025-12-07T14:00:00"/>
    <s v="Chennai"/>
    <s v="CHICKEN__116"/>
    <x v="7"/>
    <s v="Pizza"/>
    <n v="256"/>
    <n v="0"/>
    <n v="256"/>
    <n v="3"/>
    <n v="103.293399051473"/>
    <n v="768"/>
    <n v="309.88019715441999"/>
    <n v="458.11980284557899"/>
    <s v="None"/>
    <n v="768"/>
    <n v="-458.11980284558001"/>
  </r>
  <r>
    <s v="ORD1554"/>
    <d v="2024-08-25T16:00:00"/>
    <s v="Hyderabad"/>
    <s v="GULAB_JA_491"/>
    <x v="11"/>
    <s v="Dessert"/>
    <n v="310"/>
    <n v="0.05"/>
    <n v="294.5"/>
    <n v="1"/>
    <n v="153.58041021212401"/>
    <n v="294.5"/>
    <n v="153.58041021212401"/>
    <n v="140.919589787875"/>
    <s v="None"/>
    <n v="310"/>
    <n v="-140.91958978787599"/>
  </r>
  <r>
    <s v="ORD1555"/>
    <d v="2024-11-23T00:00:00"/>
    <s v="Hyderabad"/>
    <s v="PEPPY_PA_364"/>
    <x v="10"/>
    <s v="Pizza"/>
    <n v="155"/>
    <n v="0.2"/>
    <n v="124"/>
    <n v="7"/>
    <n v="80.816992842892205"/>
    <n v="868"/>
    <n v="565.71894990024498"/>
    <n v="302.281050099754"/>
    <s v="BOGO"/>
    <n v="1085"/>
    <n v="-302.28105009975502"/>
  </r>
  <r>
    <s v="ORD1556"/>
    <d v="2025-06-24T15:00:00"/>
    <s v="Bangalore"/>
    <s v="COLD_COF_198"/>
    <x v="15"/>
    <s v="Drinks"/>
    <n v="279"/>
    <n v="0"/>
    <n v="279"/>
    <n v="4"/>
    <n v="168.35274871779001"/>
    <n v="1116"/>
    <n v="673.41099487116298"/>
    <n v="442.58900512883599"/>
    <s v="None"/>
    <n v="1116"/>
    <n v="-442.58900512883702"/>
  </r>
  <r>
    <s v="ORD1557"/>
    <d v="2024-10-15T12:00:00"/>
    <s v="Mumbai"/>
    <s v="MARGHERI_917"/>
    <x v="16"/>
    <s v="Pizza"/>
    <n v="167"/>
    <n v="0.1"/>
    <n v="150.30000000000001"/>
    <n v="3"/>
    <n v="85.332961819270693"/>
    <n v="450.9"/>
    <n v="255.99888545781201"/>
    <n v="194.901114542187"/>
    <s v="Coupon"/>
    <n v="501"/>
    <n v="-194.90111454218797"/>
  </r>
  <r>
    <s v="ORD1558"/>
    <d v="2024-01-21T08:00:00"/>
    <s v="Pune"/>
    <s v="GRILLED__113"/>
    <x v="1"/>
    <s v="Sandwich"/>
    <n v="200"/>
    <n v="0.15"/>
    <n v="170"/>
    <n v="5"/>
    <n v="135.311607115166"/>
    <n v="850"/>
    <n v="676.55803557583204"/>
    <n v="173.441964424167"/>
    <s v="BOGO"/>
    <n v="1000"/>
    <n v="-173.44196442416796"/>
  </r>
  <r>
    <s v="ORD1559"/>
    <d v="2024-10-23T10:00:00"/>
    <s v="Bangalore"/>
    <s v="CHICKEN__483"/>
    <x v="7"/>
    <s v="Pizza"/>
    <n v="322"/>
    <n v="0.15"/>
    <n v="273.7"/>
    <n v="2"/>
    <n v="188.81442582155901"/>
    <n v="547.4"/>
    <n v="377.62885164311899"/>
    <n v="169.77114835687999"/>
    <s v="Coupon"/>
    <n v="644"/>
    <n v="-169.77114835688099"/>
  </r>
  <r>
    <s v="ORD1560"/>
    <d v="2025-10-17T20:00:00"/>
    <s v="Delhi"/>
    <s v="COKE_411"/>
    <x v="8"/>
    <s v="Drinks"/>
    <n v="199"/>
    <n v="0.05"/>
    <n v="189.04999999999899"/>
    <n v="5"/>
    <n v="119.307694256269"/>
    <n v="945.24999999999898"/>
    <n v="596.53847128134805"/>
    <n v="348.71152871865098"/>
    <s v="Coupon"/>
    <n v="995"/>
    <n v="-348.71152871865092"/>
  </r>
  <r>
    <s v="ORD1561"/>
    <d v="2024-05-12T05:00:00"/>
    <s v="Chennai"/>
    <s v="CHEESE_B_320"/>
    <x v="5"/>
    <s v="Burger"/>
    <n v="191"/>
    <n v="0.15"/>
    <n v="162.35"/>
    <n v="6"/>
    <n v="123.465140402822"/>
    <n v="974.099999999999"/>
    <n v="740.79084241693602"/>
    <n v="233.30915758306301"/>
    <s v="Percent-Off"/>
    <n v="1146"/>
    <n v="-233.30915758306298"/>
  </r>
  <r>
    <s v="ORD1562"/>
    <d v="2024-03-10T11:00:00"/>
    <s v="Hyderabad"/>
    <s v="FRIES_164"/>
    <x v="2"/>
    <s v="Snacks"/>
    <n v="332"/>
    <n v="0.15"/>
    <n v="282.2"/>
    <n v="5"/>
    <n v="154.47802939713"/>
    <n v="1411"/>
    <n v="772.390146985652"/>
    <n v="638.60985301434698"/>
    <s v="Coupon"/>
    <n v="1660"/>
    <n v="-638.609853014348"/>
  </r>
  <r>
    <s v="ORD1563"/>
    <d v="2024-06-20T10:00:00"/>
    <s v="Delhi"/>
    <s v="CHICKEN__653"/>
    <x v="7"/>
    <s v="Pizza"/>
    <n v="216"/>
    <n v="0.1"/>
    <n v="194.4"/>
    <n v="5"/>
    <n v="141.746628138565"/>
    <n v="972"/>
    <n v="708.73314069282696"/>
    <n v="263.26685930717201"/>
    <s v="None"/>
    <n v="1080"/>
    <n v="-263.26685930717304"/>
  </r>
  <r>
    <s v="ORD1564"/>
    <d v="2024-05-28T01:00:00"/>
    <s v="Delhi"/>
    <s v="SPRITE_198"/>
    <x v="3"/>
    <s v="Drinks"/>
    <n v="307"/>
    <n v="0.05"/>
    <n v="291.64999999999998"/>
    <n v="6"/>
    <n v="175.805108234876"/>
    <n v="1749.8999999999901"/>
    <n v="1054.8306494092501"/>
    <n v="695.06935059074203"/>
    <s v="None"/>
    <n v="1842"/>
    <n v="-695.06935059073999"/>
  </r>
  <r>
    <s v="ORD1565"/>
    <d v="2024-11-19T09:00:00"/>
    <s v="Pune"/>
    <s v="GRILLED__576"/>
    <x v="1"/>
    <s v="Sandwich"/>
    <n v="278"/>
    <n v="0.15"/>
    <n v="236.29999999999899"/>
    <n v="2"/>
    <n v="195.17252205495799"/>
    <n v="472.599999999999"/>
    <n v="390.34504410991599"/>
    <n v="82.254955890083096"/>
    <s v="BOGO"/>
    <n v="556"/>
    <n v="-82.254955890083011"/>
  </r>
  <r>
    <s v="ORD1566"/>
    <d v="2024-02-11T16:00:00"/>
    <s v="Chennai"/>
    <s v="MARGHERI_267"/>
    <x v="16"/>
    <s v="Pizza"/>
    <n v="249"/>
    <n v="0.05"/>
    <n v="236.54999999999899"/>
    <n v="2"/>
    <n v="172.183383721051"/>
    <n v="473.099999999999"/>
    <n v="344.36676744210303"/>
    <n v="128.733232557896"/>
    <s v="None"/>
    <n v="498"/>
    <n v="-128.73323255789597"/>
  </r>
  <r>
    <s v="ORD1567"/>
    <d v="2025-10-13T14:00:00"/>
    <s v="Hyderabad"/>
    <s v="PEPPY_PA_949"/>
    <x v="10"/>
    <s v="Pizza"/>
    <n v="274"/>
    <n v="0.1"/>
    <n v="246.6"/>
    <n v="2"/>
    <n v="128.54836178093501"/>
    <n v="493.2"/>
    <n v="257.09672356187099"/>
    <n v="236.10327643812801"/>
    <s v="Coupon"/>
    <n v="548"/>
    <n v="-236.103276438129"/>
  </r>
  <r>
    <s v="ORD1568"/>
    <d v="2024-08-15T02:00:00"/>
    <s v="Delhi"/>
    <s v="MARGHERI_865"/>
    <x v="16"/>
    <s v="Pizza"/>
    <n v="138"/>
    <n v="0.25"/>
    <n v="103.5"/>
    <n v="1"/>
    <n v="56.1824621405651"/>
    <n v="103.5"/>
    <n v="56.1824621405651"/>
    <n v="47.3175378594348"/>
    <s v="None"/>
    <n v="138"/>
    <n v="-47.3175378594349"/>
  </r>
  <r>
    <s v="ORD1569"/>
    <d v="2024-06-03T16:00:00"/>
    <s v="Pune"/>
    <s v="VEG_BURG_528"/>
    <x v="0"/>
    <s v="Burger"/>
    <n v="135"/>
    <n v="0.1"/>
    <n v="121.5"/>
    <n v="2"/>
    <n v="66.162680626794298"/>
    <n v="243"/>
    <n v="132.325361253588"/>
    <n v="110.67463874641101"/>
    <s v="None"/>
    <n v="270"/>
    <n v="-110.674638746412"/>
  </r>
  <r>
    <s v="ORD1570"/>
    <d v="2024-02-26T23:00:00"/>
    <s v="Pune"/>
    <s v="MARGHERI_986"/>
    <x v="16"/>
    <s v="Pizza"/>
    <n v="103"/>
    <n v="0"/>
    <n v="103"/>
    <n v="6"/>
    <n v="41.293999055304397"/>
    <n v="618"/>
    <n v="247.76399433182601"/>
    <n v="370.23600566817299"/>
    <s v="Percent-Off"/>
    <n v="618"/>
    <n v="-370.23600566817402"/>
  </r>
  <r>
    <s v="ORD1571"/>
    <d v="2024-12-07T05:00:00"/>
    <s v="Mumbai"/>
    <s v="GARLIC_B_297"/>
    <x v="4"/>
    <s v="Snacks"/>
    <n v="256"/>
    <n v="0.1"/>
    <n v="230.4"/>
    <n v="7"/>
    <n v="174.61603997186401"/>
    <n v="1612.8"/>
    <n v="1222.3122798030499"/>
    <n v="390.487720196949"/>
    <s v="Coupon"/>
    <n v="1792"/>
    <n v="-390.48772019695002"/>
  </r>
  <r>
    <s v="ORD1572"/>
    <d v="2025-01-10T13:00:00"/>
    <s v="Bangalore"/>
    <s v="BROWNIE_116"/>
    <x v="12"/>
    <s v="Dessert"/>
    <n v="143"/>
    <n v="0.1"/>
    <n v="128.69999999999999"/>
    <n v="2"/>
    <n v="61.177556876017398"/>
    <n v="257.39999999999998"/>
    <n v="122.355113752034"/>
    <n v="135.044886247965"/>
    <s v="None"/>
    <n v="286"/>
    <n v="-135.04488624796596"/>
  </r>
  <r>
    <s v="ORD1573"/>
    <d v="2025-12-02T14:00:00"/>
    <s v="Chennai"/>
    <s v="GARLIC_B_260"/>
    <x v="4"/>
    <s v="Snacks"/>
    <n v="324"/>
    <n v="0.15"/>
    <n v="275.39999999999998"/>
    <n v="7"/>
    <n v="167.06256189847301"/>
    <n v="1927.79999999999"/>
    <n v="1169.43793328931"/>
    <n v="758.36206671068499"/>
    <s v="Percent-Off"/>
    <n v="2268"/>
    <n v="-758.36206671067998"/>
  </r>
  <r>
    <s v="ORD1574"/>
    <d v="2024-06-04T06:00:00"/>
    <s v="Hyderabad"/>
    <s v="COKE_487"/>
    <x v="8"/>
    <s v="Drinks"/>
    <n v="129"/>
    <n v="0.05"/>
    <n v="122.55"/>
    <n v="1"/>
    <n v="51.927447124883699"/>
    <n v="122.55"/>
    <n v="51.927447124883699"/>
    <n v="70.622552875116199"/>
    <s v="Coupon"/>
    <n v="129"/>
    <n v="-70.622552875116298"/>
  </r>
  <r>
    <s v="ORD1575"/>
    <d v="2024-07-19T06:00:00"/>
    <s v="Bangalore"/>
    <s v="VEG_BURG_708"/>
    <x v="0"/>
    <s v="Burger"/>
    <n v="177"/>
    <n v="0.15"/>
    <n v="150.44999999999999"/>
    <n v="7"/>
    <n v="126.280653129196"/>
    <n v="1053.1499999999901"/>
    <n v="883.96457190437502"/>
    <n v="169.185428095623"/>
    <s v="Bundle"/>
    <n v="1239"/>
    <n v="-169.18542809561507"/>
  </r>
  <r>
    <s v="ORD1576"/>
    <d v="2024-04-01T06:00:00"/>
    <s v="Delhi"/>
    <s v="FRIES_344"/>
    <x v="2"/>
    <s v="Snacks"/>
    <n v="176"/>
    <n v="0"/>
    <n v="176"/>
    <n v="6"/>
    <n v="74.800604393343804"/>
    <n v="1056"/>
    <n v="448.80362636006299"/>
    <n v="607.19637363993695"/>
    <s v="Coupon"/>
    <n v="1056"/>
    <n v="-607.19637363993706"/>
  </r>
  <r>
    <s v="ORD1577"/>
    <d v="2025-01-14T12:00:00"/>
    <s v="Pune"/>
    <s v="ICE_CREA_165"/>
    <x v="6"/>
    <s v="Dessert"/>
    <n v="248"/>
    <n v="0.2"/>
    <n v="198.4"/>
    <n v="7"/>
    <n v="123.93955452373"/>
    <n v="1388.8"/>
    <n v="867.57688166611297"/>
    <n v="521.22311833388596"/>
    <s v="None"/>
    <n v="1736"/>
    <n v="-521.22311833388699"/>
  </r>
  <r>
    <s v="ORD1578"/>
    <d v="2025-05-22T10:00:00"/>
    <s v="Chennai"/>
    <s v="MARGHERI_540"/>
    <x v="16"/>
    <s v="Pizza"/>
    <n v="345"/>
    <n v="0.05"/>
    <n v="327.75"/>
    <n v="2"/>
    <n v="162.75132814192401"/>
    <n v="655.5"/>
    <n v="325.50265628384898"/>
    <n v="329.99734371615"/>
    <s v="Coupon"/>
    <n v="690"/>
    <n v="-329.99734371615102"/>
  </r>
  <r>
    <s v="ORD1579"/>
    <d v="2024-04-29T19:00:00"/>
    <s v="Delhi"/>
    <s v="MARGHERI_912"/>
    <x v="16"/>
    <s v="Pizza"/>
    <n v="156"/>
    <n v="0.05"/>
    <n v="148.19999999999999"/>
    <n v="5"/>
    <n v="83.766772871054101"/>
    <n v="741"/>
    <n v="418.83386435527001"/>
    <n v="322.16613564472902"/>
    <s v="None"/>
    <n v="780"/>
    <n v="-322.16613564472999"/>
  </r>
  <r>
    <s v="ORD1580"/>
    <d v="2024-08-21T00:00:00"/>
    <s v="Pune"/>
    <s v="PEPPY_PA_382"/>
    <x v="10"/>
    <s v="Pizza"/>
    <n v="269"/>
    <n v="0.1"/>
    <n v="242.1"/>
    <n v="3"/>
    <n v="176.283366496117"/>
    <n v="726.3"/>
    <n v="528.85009948835295"/>
    <n v="197.44990051164601"/>
    <s v="None"/>
    <n v="807"/>
    <n v="-197.449900511647"/>
  </r>
  <r>
    <s v="ORD1581"/>
    <d v="2025-06-08T16:00:00"/>
    <s v="Hyderabad"/>
    <s v="CHICKEN__131"/>
    <x v="7"/>
    <s v="Pizza"/>
    <n v="225"/>
    <n v="0.1"/>
    <n v="202.5"/>
    <n v="2"/>
    <n v="152.97957569238599"/>
    <n v="405"/>
    <n v="305.95915138477199"/>
    <n v="99.040848615227802"/>
    <s v="None"/>
    <n v="450"/>
    <n v="-99.040848615228015"/>
  </r>
  <r>
    <s v="ORD1582"/>
    <d v="2025-01-06T23:00:00"/>
    <s v="Bangalore"/>
    <s v="CHICKEN__771"/>
    <x v="14"/>
    <s v="Burger"/>
    <n v="239"/>
    <n v="0.15"/>
    <n v="203.15"/>
    <n v="2"/>
    <n v="165.26732471830999"/>
    <n v="406.3"/>
    <n v="330.53464943662101"/>
    <n v="75.765350563377993"/>
    <s v="Coupon"/>
    <n v="478"/>
    <n v="-75.765350563379002"/>
  </r>
  <r>
    <s v="ORD1583"/>
    <d v="2025-08-24T13:00:00"/>
    <s v="Pune"/>
    <s v="CHICKEN__722"/>
    <x v="14"/>
    <s v="Burger"/>
    <n v="114"/>
    <n v="0"/>
    <n v="114"/>
    <n v="3"/>
    <n v="74.881416479792307"/>
    <n v="342"/>
    <n v="224.64424943937701"/>
    <n v="117.355750560622"/>
    <s v="None"/>
    <n v="342"/>
    <n v="-117.35575056062299"/>
  </r>
  <r>
    <s v="ORD1584"/>
    <d v="2025-04-25T10:00:00"/>
    <s v="Chennai"/>
    <s v="PEPPY_PA_942"/>
    <x v="10"/>
    <s v="Pizza"/>
    <n v="219"/>
    <n v="0.2"/>
    <n v="175.2"/>
    <n v="1"/>
    <n v="110.622841086725"/>
    <n v="175.2"/>
    <n v="110.622841086725"/>
    <n v="64.577158913274104"/>
    <s v="Coupon"/>
    <n v="219"/>
    <n v="-64.577158913274985"/>
  </r>
  <r>
    <s v="ORD1585"/>
    <d v="2024-10-19T02:00:00"/>
    <s v="Hyderabad"/>
    <s v="COLD_COF_775"/>
    <x v="15"/>
    <s v="Drinks"/>
    <n v="281"/>
    <n v="0.1"/>
    <n v="252.9"/>
    <n v="5"/>
    <n v="131.11631089517499"/>
    <n v="1264.5"/>
    <n v="655.58155447587706"/>
    <n v="608.91844552412203"/>
    <s v="Coupon"/>
    <n v="1405"/>
    <n v="-608.91844552412294"/>
  </r>
  <r>
    <s v="ORD1586"/>
    <d v="2025-04-11T23:00:00"/>
    <s v="Chennai"/>
    <s v="CHICKEN__166"/>
    <x v="7"/>
    <s v="Pizza"/>
    <n v="317"/>
    <n v="0.15"/>
    <n v="269.45"/>
    <n v="3"/>
    <n v="195.22423309861301"/>
    <n v="808.349999999999"/>
    <n v="585.67269929583995"/>
    <n v="222.67730070415899"/>
    <s v="BOGO"/>
    <n v="951"/>
    <n v="-222.67730070415905"/>
  </r>
  <r>
    <s v="ORD1587"/>
    <d v="2024-05-04T13:00:00"/>
    <s v="Mumbai"/>
    <s v="SPRITE_162"/>
    <x v="3"/>
    <s v="Drinks"/>
    <n v="271"/>
    <n v="0.1"/>
    <n v="243.9"/>
    <n v="7"/>
    <n v="150.52976966522601"/>
    <n v="1707.3"/>
    <n v="1053.70838765658"/>
    <n v="653.59161234341195"/>
    <s v="Coupon"/>
    <n v="1897"/>
    <n v="-653.59161234341991"/>
  </r>
  <r>
    <s v="ORD1588"/>
    <d v="2025-05-16T16:00:00"/>
    <s v="Pune"/>
    <s v="CHEESE_B_227"/>
    <x v="5"/>
    <s v="Burger"/>
    <n v="339"/>
    <n v="0.05"/>
    <n v="322.05"/>
    <n v="4"/>
    <n v="228.70882128631499"/>
    <n v="1288.2"/>
    <n v="914.83528514526199"/>
    <n v="373.36471485473697"/>
    <s v="BOGO"/>
    <n v="1356"/>
    <n v="-373.36471485473805"/>
  </r>
  <r>
    <s v="ORD1589"/>
    <d v="2025-01-19T02:00:00"/>
    <s v="Chennai"/>
    <s v="CHICKEN__382"/>
    <x v="7"/>
    <s v="Pizza"/>
    <n v="239"/>
    <n v="0"/>
    <n v="239"/>
    <n v="5"/>
    <n v="151.380854885682"/>
    <n v="1195"/>
    <n v="756.90427442840996"/>
    <n v="438.09572557158901"/>
    <s v="Coupon"/>
    <n v="1195"/>
    <n v="-438.09572557159004"/>
  </r>
  <r>
    <s v="ORD1590"/>
    <d v="2024-09-26T15:00:00"/>
    <s v="Pune"/>
    <s v="VEG_BURG_833"/>
    <x v="0"/>
    <s v="Burger"/>
    <n v="289"/>
    <n v="0.25"/>
    <n v="216.75"/>
    <n v="3"/>
    <n v="191.21717443687299"/>
    <n v="650.25"/>
    <n v="573.65152331061904"/>
    <n v="76.598476689380206"/>
    <s v="Coupon"/>
    <n v="867"/>
    <n v="-76.598476689380959"/>
  </r>
  <r>
    <s v="ORD1591"/>
    <d v="2024-04-29T07:00:00"/>
    <s v="Bangalore"/>
    <s v="CHICKEN__557"/>
    <x v="7"/>
    <s v="Pizza"/>
    <n v="105"/>
    <n v="0"/>
    <n v="105"/>
    <n v="4"/>
    <n v="57.1169746463951"/>
    <n v="420"/>
    <n v="228.46789858558"/>
    <n v="191.532101414419"/>
    <s v="None"/>
    <n v="420"/>
    <n v="-191.53210141442"/>
  </r>
  <r>
    <s v="ORD1592"/>
    <d v="2025-03-21T13:00:00"/>
    <s v="Hyderabad"/>
    <s v="COLD_COF_630"/>
    <x v="15"/>
    <s v="Drinks"/>
    <n v="179"/>
    <n v="0"/>
    <n v="179"/>
    <n v="4"/>
    <n v="89.269953527572895"/>
    <n v="716"/>
    <n v="357.07981411029101"/>
    <n v="358.92018588970802"/>
    <s v="None"/>
    <n v="716"/>
    <n v="-358.92018588970899"/>
  </r>
  <r>
    <s v="ORD1593"/>
    <d v="2024-02-19T01:00:00"/>
    <s v="Pune"/>
    <s v="COKE_180"/>
    <x v="8"/>
    <s v="Drinks"/>
    <n v="171"/>
    <n v="0"/>
    <n v="171"/>
    <n v="5"/>
    <n v="95.970725120935597"/>
    <n v="855"/>
    <n v="479.85362560467797"/>
    <n v="375.146374395321"/>
    <s v="None"/>
    <n v="855"/>
    <n v="-375.14637439532203"/>
  </r>
  <r>
    <s v="ORD1594"/>
    <d v="2024-07-17T08:00:00"/>
    <s v="Mumbai"/>
    <s v="ICE_CREA_470"/>
    <x v="6"/>
    <s v="Dessert"/>
    <n v="310"/>
    <n v="0.05"/>
    <n v="294.5"/>
    <n v="1"/>
    <n v="153.07897472984601"/>
    <n v="294.5"/>
    <n v="153.07897472984601"/>
    <n v="141.421025270153"/>
    <s v="Percent-Off"/>
    <n v="310"/>
    <n v="-141.42102527015399"/>
  </r>
  <r>
    <s v="ORD1595"/>
    <d v="2024-01-01T11:00:00"/>
    <s v="Mumbai"/>
    <s v="FRIES_155"/>
    <x v="2"/>
    <s v="Snacks"/>
    <n v="127"/>
    <n v="0.1"/>
    <n v="114.3"/>
    <n v="3"/>
    <n v="90.800246233976495"/>
    <n v="342.9"/>
    <n v="272.40073870192901"/>
    <n v="70.499261298070493"/>
    <s v="None"/>
    <n v="381"/>
    <n v="-70.499261298070962"/>
  </r>
  <r>
    <s v="ORD1596"/>
    <d v="2025-11-12T09:00:00"/>
    <s v="Hyderabad"/>
    <s v="MARGHERI_976"/>
    <x v="16"/>
    <s v="Pizza"/>
    <n v="158"/>
    <n v="0.25"/>
    <n v="118.5"/>
    <n v="3"/>
    <n v="85.300008081914598"/>
    <n v="355.5"/>
    <n v="255.900024245743"/>
    <n v="99.599975754255993"/>
    <s v="Coupon"/>
    <n v="474"/>
    <n v="-99.599975754257002"/>
  </r>
  <r>
    <s v="ORD1597"/>
    <d v="2025-04-26T12:00:00"/>
    <s v="Delhi"/>
    <s v="PEPPY_PA_565"/>
    <x v="10"/>
    <s v="Pizza"/>
    <n v="196"/>
    <n v="0.1"/>
    <n v="176.4"/>
    <n v="3"/>
    <n v="134.244164240603"/>
    <n v="529.20000000000005"/>
    <n v="402.73249272181101"/>
    <n v="126.46750727818799"/>
    <s v="None"/>
    <n v="588"/>
    <n v="-126.46750727818903"/>
  </r>
  <r>
    <s v="ORD1598"/>
    <d v="2025-04-26T19:00:00"/>
    <s v="Bangalore"/>
    <s v="GARLIC_B_686"/>
    <x v="4"/>
    <s v="Snacks"/>
    <n v="154"/>
    <n v="0.05"/>
    <n v="146.29999999999899"/>
    <n v="3"/>
    <n v="94.601095828540295"/>
    <n v="438.9"/>
    <n v="283.80328748561999"/>
    <n v="155.09671251437899"/>
    <s v="Coupon"/>
    <n v="462"/>
    <n v="-155.09671251437999"/>
  </r>
  <r>
    <s v="ORD1599"/>
    <d v="2025-08-08T11:00:00"/>
    <s v="Chennai"/>
    <s v="CHICKEN__581"/>
    <x v="7"/>
    <s v="Pizza"/>
    <n v="209"/>
    <n v="0"/>
    <n v="209"/>
    <n v="4"/>
    <n v="94.846449090491703"/>
    <n v="836"/>
    <n v="379.38579636196698"/>
    <n v="456.614203638032"/>
    <s v="BOGO"/>
    <n v="836"/>
    <n v="-456.61420363803302"/>
  </r>
  <r>
    <s v="ORD1600"/>
    <d v="2025-04-04T06:00:00"/>
    <s v="Hyderabad"/>
    <s v="PEPPY_PA_934"/>
    <x v="10"/>
    <s v="Pizza"/>
    <n v="248"/>
    <n v="0"/>
    <n v="248"/>
    <n v="3"/>
    <n v="119.78302308687201"/>
    <n v="744"/>
    <n v="359.349069260617"/>
    <n v="384.65093073938198"/>
    <s v="None"/>
    <n v="744"/>
    <n v="-384.650930739383"/>
  </r>
  <r>
    <s v="ORD1601"/>
    <d v="2024-12-09T02:00:00"/>
    <s v="Hyderabad"/>
    <s v="CHEESE_B_192"/>
    <x v="5"/>
    <s v="Burger"/>
    <n v="248"/>
    <n v="0"/>
    <n v="248"/>
    <n v="6"/>
    <n v="147.374788706017"/>
    <n v="1488"/>
    <n v="884.248732236102"/>
    <n v="603.75126776389698"/>
    <s v="None"/>
    <n v="1488"/>
    <n v="-603.751267763898"/>
  </r>
  <r>
    <s v="ORD1602"/>
    <d v="2025-11-04T21:00:00"/>
    <s v="Bangalore"/>
    <s v="COKE_802"/>
    <x v="8"/>
    <s v="Drinks"/>
    <n v="208"/>
    <n v="0"/>
    <n v="208"/>
    <n v="1"/>
    <n v="149.36862648568601"/>
    <n v="208"/>
    <n v="149.36862648568601"/>
    <n v="58.631373514313502"/>
    <s v="BOGO"/>
    <n v="208"/>
    <n v="-58.631373514313992"/>
  </r>
  <r>
    <s v="ORD1603"/>
    <d v="2025-07-03T02:00:00"/>
    <s v="Mumbai"/>
    <s v="GULAB_JA_367"/>
    <x v="11"/>
    <s v="Dessert"/>
    <n v="248"/>
    <n v="0.25"/>
    <n v="186"/>
    <n v="5"/>
    <n v="163.96933395194199"/>
    <n v="930"/>
    <n v="819.84666975971004"/>
    <n v="110.15333024028899"/>
    <s v="None"/>
    <n v="1240"/>
    <n v="-110.15333024028996"/>
  </r>
  <r>
    <s v="ORD1604"/>
    <d v="2024-09-30T18:00:00"/>
    <s v="Delhi"/>
    <s v="CHEESE_B_222"/>
    <x v="5"/>
    <s v="Burger"/>
    <n v="100"/>
    <n v="0"/>
    <n v="100"/>
    <n v="6"/>
    <n v="43.998167454476402"/>
    <n v="600"/>
    <n v="263.98900472685801"/>
    <n v="336.01099527314102"/>
    <s v="Percent-Off"/>
    <n v="600"/>
    <n v="-336.01099527314199"/>
  </r>
  <r>
    <s v="ORD1605"/>
    <d v="2024-01-17T22:00:00"/>
    <s v="Hyderabad"/>
    <s v="GARLIC_B_747"/>
    <x v="4"/>
    <s v="Snacks"/>
    <n v="214"/>
    <n v="0.1"/>
    <n v="192.6"/>
    <n v="2"/>
    <n v="131.23748317382299"/>
    <n v="385.2"/>
    <n v="262.47496634764701"/>
    <n v="122.725033652352"/>
    <s v="None"/>
    <n v="428"/>
    <n v="-122.72503365235298"/>
  </r>
  <r>
    <s v="ORD1606"/>
    <d v="2025-01-18T14:00:00"/>
    <s v="Hyderabad"/>
    <s v="SPRITE_608"/>
    <x v="3"/>
    <s v="Drinks"/>
    <n v="100"/>
    <n v="0"/>
    <n v="100"/>
    <n v="7"/>
    <n v="63.150429345777098"/>
    <n v="700"/>
    <n v="442.05300542043898"/>
    <n v="257.94699457956"/>
    <s v="BOGO"/>
    <n v="700"/>
    <n v="-257.94699457956102"/>
  </r>
  <r>
    <s v="ORD1607"/>
    <d v="2024-07-03T15:00:00"/>
    <s v="Bangalore"/>
    <s v="GULAB_JA_311"/>
    <x v="11"/>
    <s v="Dessert"/>
    <n v="236"/>
    <n v="0"/>
    <n v="236"/>
    <n v="6"/>
    <n v="147.68504901008299"/>
    <n v="1416"/>
    <n v="886.11029406049897"/>
    <n v="529.88970593950103"/>
    <s v="Coupon"/>
    <n v="1416"/>
    <n v="-529.88970593950103"/>
  </r>
  <r>
    <s v="ORD1608"/>
    <d v="2024-09-29T14:00:00"/>
    <s v="Pune"/>
    <s v="CHICKEN__557"/>
    <x v="7"/>
    <s v="Pizza"/>
    <n v="128"/>
    <n v="0.15"/>
    <n v="108.8"/>
    <n v="4"/>
    <n v="57.658514055809903"/>
    <n v="435.2"/>
    <n v="230.63405622323901"/>
    <n v="204.56594377676001"/>
    <s v="None"/>
    <n v="512"/>
    <n v="-204.56594377676097"/>
  </r>
  <r>
    <s v="ORD1609"/>
    <d v="2025-01-06T02:00:00"/>
    <s v="Bangalore"/>
    <s v="COKE_618"/>
    <x v="8"/>
    <s v="Drinks"/>
    <n v="236"/>
    <n v="0.05"/>
    <n v="224.2"/>
    <n v="7"/>
    <n v="100.22613278660199"/>
    <n v="1569.3999999999901"/>
    <n v="701.58292950621899"/>
    <n v="867.81707049377997"/>
    <s v="None"/>
    <n v="1652"/>
    <n v="-867.8170704937711"/>
  </r>
  <r>
    <s v="ORD1610"/>
    <d v="2024-06-21T18:00:00"/>
    <s v="Mumbai"/>
    <s v="GARLIC_B_506"/>
    <x v="4"/>
    <s v="Snacks"/>
    <n v="313"/>
    <n v="0.1"/>
    <n v="281.7"/>
    <n v="3"/>
    <n v="184.19364703869601"/>
    <n v="845.099999999999"/>
    <n v="552.58094111608796"/>
    <n v="292.51905888391099"/>
    <s v="None"/>
    <n v="939"/>
    <n v="-292.51905888391104"/>
  </r>
  <r>
    <s v="ORD1611"/>
    <d v="2025-05-16T22:00:00"/>
    <s v="Mumbai"/>
    <s v="BROWNIE_271"/>
    <x v="12"/>
    <s v="Dessert"/>
    <n v="278"/>
    <n v="0"/>
    <n v="278"/>
    <n v="3"/>
    <n v="201.305838877566"/>
    <n v="834"/>
    <n v="603.91751663269895"/>
    <n v="230.0824833673"/>
    <s v="Coupon"/>
    <n v="834"/>
    <n v="-230.08248336730105"/>
  </r>
  <r>
    <s v="ORD1612"/>
    <d v="2025-06-09T11:00:00"/>
    <s v="Bangalore"/>
    <s v="COLD_COF_394"/>
    <x v="15"/>
    <s v="Drinks"/>
    <n v="233"/>
    <n v="0.1"/>
    <n v="209.7"/>
    <n v="1"/>
    <n v="162.478165678012"/>
    <n v="209.7"/>
    <n v="162.478165678012"/>
    <n v="47.221834321987103"/>
    <s v="Coupon"/>
    <n v="233"/>
    <n v="-47.221834321987984"/>
  </r>
  <r>
    <s v="ORD1613"/>
    <d v="2025-06-28T20:00:00"/>
    <s v="Mumbai"/>
    <s v="ICE_CREA_562"/>
    <x v="6"/>
    <s v="Dessert"/>
    <n v="102"/>
    <n v="0.05"/>
    <n v="96.899999999999906"/>
    <n v="5"/>
    <n v="57.459793477410102"/>
    <n v="484.49999999999898"/>
    <n v="287.29896738705099"/>
    <n v="197.20103261294801"/>
    <s v="None"/>
    <n v="510"/>
    <n v="-197.20103261294798"/>
  </r>
  <r>
    <s v="ORD1614"/>
    <d v="2025-11-19T12:00:00"/>
    <s v="Chennai"/>
    <s v="VEG_BURG_481"/>
    <x v="0"/>
    <s v="Burger"/>
    <n v="126"/>
    <n v="0"/>
    <n v="126"/>
    <n v="2"/>
    <n v="71.242242500765499"/>
    <n v="252"/>
    <n v="142.484485001531"/>
    <n v="109.51551499846801"/>
    <s v="None"/>
    <n v="252"/>
    <n v="-109.515514998469"/>
  </r>
  <r>
    <s v="ORD1615"/>
    <d v="2024-07-22T10:00:00"/>
    <s v="Bangalore"/>
    <s v="GULAB_JA_654"/>
    <x v="11"/>
    <s v="Dessert"/>
    <n v="222"/>
    <n v="0"/>
    <n v="222"/>
    <n v="5"/>
    <n v="156.02364358773099"/>
    <n v="1110"/>
    <n v="780.11821793865499"/>
    <n v="329.88178206134398"/>
    <s v="Coupon"/>
    <n v="1110"/>
    <n v="-329.88178206134501"/>
  </r>
  <r>
    <s v="ORD1616"/>
    <d v="2025-08-11T01:00:00"/>
    <s v="Chennai"/>
    <s v="CHICKEN__371"/>
    <x v="7"/>
    <s v="Pizza"/>
    <n v="209"/>
    <n v="0.1"/>
    <n v="188.1"/>
    <n v="7"/>
    <n v="155.23030672057101"/>
    <n v="1316.7"/>
    <n v="1086.61214704399"/>
    <n v="230.087852956002"/>
    <s v="None"/>
    <n v="1463"/>
    <n v="-230.08785295601001"/>
  </r>
  <r>
    <s v="ORD1617"/>
    <d v="2025-07-22T13:00:00"/>
    <s v="Bangalore"/>
    <s v="GARLIC_B_990"/>
    <x v="4"/>
    <s v="Snacks"/>
    <n v="188"/>
    <n v="0.05"/>
    <n v="178.6"/>
    <n v="3"/>
    <n v="89.118050067570096"/>
    <n v="535.79999999999995"/>
    <n v="267.35415020271"/>
    <n v="268.44584979728899"/>
    <s v="Percent-Off"/>
    <n v="564"/>
    <n v="-268.44584979728995"/>
  </r>
  <r>
    <s v="ORD1618"/>
    <d v="2024-09-07T12:00:00"/>
    <s v="Hyderabad"/>
    <s v="PEPPY_PA_824"/>
    <x v="10"/>
    <s v="Pizza"/>
    <n v="256"/>
    <n v="0.15"/>
    <n v="217.6"/>
    <n v="5"/>
    <n v="122.105239504327"/>
    <n v="1088"/>
    <n v="610.52619752163901"/>
    <n v="477.47380247836003"/>
    <s v="Bundle"/>
    <n v="1280"/>
    <n v="-477.47380247836099"/>
  </r>
  <r>
    <s v="ORD1619"/>
    <d v="2025-12-23T19:00:00"/>
    <s v="Pune"/>
    <s v="ICE_CREA_913"/>
    <x v="6"/>
    <s v="Dessert"/>
    <n v="205"/>
    <n v="0.15"/>
    <n v="174.25"/>
    <n v="1"/>
    <n v="106.41116107923099"/>
    <n v="174.25"/>
    <n v="106.41116107923099"/>
    <n v="67.838838920768296"/>
    <s v="Bundle"/>
    <n v="205"/>
    <n v="-67.838838920769007"/>
  </r>
  <r>
    <s v="ORD1620"/>
    <d v="2024-10-24T23:00:00"/>
    <s v="Chennai"/>
    <s v="COKE_507"/>
    <x v="8"/>
    <s v="Drinks"/>
    <n v="249"/>
    <n v="0"/>
    <n v="249"/>
    <n v="4"/>
    <n v="111.41239929086601"/>
    <n v="996"/>
    <n v="445.64959716346499"/>
    <n v="550.35040283653404"/>
    <s v="Percent-Off"/>
    <n v="996"/>
    <n v="-550.35040283653507"/>
  </r>
  <r>
    <s v="ORD1621"/>
    <d v="2024-05-30T10:00:00"/>
    <s v="Hyderabad"/>
    <s v="CHICKEN__527"/>
    <x v="7"/>
    <s v="Pizza"/>
    <n v="348"/>
    <n v="0.15"/>
    <n v="295.8"/>
    <n v="7"/>
    <n v="178.036150328475"/>
    <n v="2070.6"/>
    <n v="1246.25305229933"/>
    <n v="824.34694770066903"/>
    <s v="Coupon"/>
    <n v="2436"/>
    <n v="-824.34694770066994"/>
  </r>
  <r>
    <s v="ORD1622"/>
    <d v="2025-02-15T20:00:00"/>
    <s v="Bangalore"/>
    <s v="CHICKEN__341"/>
    <x v="7"/>
    <s v="Pizza"/>
    <n v="177"/>
    <n v="0.05"/>
    <n v="168.15"/>
    <n v="3"/>
    <n v="118.098767722994"/>
    <n v="504.45"/>
    <n v="354.29630316898198"/>
    <n v="150.15369683101699"/>
    <s v="None"/>
    <n v="531"/>
    <n v="-150.15369683101801"/>
  </r>
  <r>
    <s v="ORD1623"/>
    <d v="2024-10-14T06:00:00"/>
    <s v="Pune"/>
    <s v="PEPPY_PA_772"/>
    <x v="10"/>
    <s v="Pizza"/>
    <n v="267"/>
    <n v="0.2"/>
    <n v="213.6"/>
    <n v="2"/>
    <n v="150.21939977266501"/>
    <n v="427.2"/>
    <n v="300.43879954533003"/>
    <n v="126.76120045466899"/>
    <s v="None"/>
    <n v="534"/>
    <n v="-126.76120045466996"/>
  </r>
  <r>
    <s v="ORD1624"/>
    <d v="2025-07-15T03:00:00"/>
    <s v="Pune"/>
    <s v="SPRITE_843"/>
    <x v="3"/>
    <s v="Drinks"/>
    <n v="224"/>
    <n v="0.05"/>
    <n v="212.79999999999899"/>
    <n v="2"/>
    <n v="128.02473976829799"/>
    <n v="425.599999999999"/>
    <n v="256.04947953659598"/>
    <n v="169.55052046340299"/>
    <s v="Coupon"/>
    <n v="448"/>
    <n v="-169.55052046340302"/>
  </r>
  <r>
    <s v="ORD1625"/>
    <d v="2025-11-18T01:00:00"/>
    <s v="Hyderabad"/>
    <s v="GULAB_JA_164"/>
    <x v="11"/>
    <s v="Dessert"/>
    <n v="92"/>
    <n v="0.1"/>
    <n v="82.8"/>
    <n v="2"/>
    <n v="61.537578440211298"/>
    <n v="165.6"/>
    <n v="123.075156880422"/>
    <n v="42.524843119577199"/>
    <s v="Percent-Off"/>
    <n v="184"/>
    <n v="-42.524843119577994"/>
  </r>
  <r>
    <s v="ORD1626"/>
    <d v="2025-02-15T09:00:00"/>
    <s v="Mumbai"/>
    <s v="MARGHERI_902"/>
    <x v="16"/>
    <s v="Pizza"/>
    <n v="96"/>
    <n v="0"/>
    <n v="96"/>
    <n v="4"/>
    <n v="64.966160075132507"/>
    <n v="384"/>
    <n v="259.86464030053003"/>
    <n v="124.13535969946901"/>
    <s v="Bundle"/>
    <n v="384"/>
    <n v="-124.13535969946997"/>
  </r>
  <r>
    <s v="ORD1627"/>
    <d v="2025-05-27T01:00:00"/>
    <s v="Delhi"/>
    <s v="PEPPY_PA_510"/>
    <x v="10"/>
    <s v="Pizza"/>
    <n v="225"/>
    <n v="0.05"/>
    <n v="213.75"/>
    <n v="7"/>
    <n v="107.524220371787"/>
    <n v="1496.25"/>
    <n v="752.66954260250998"/>
    <n v="743.580457397489"/>
    <s v="BOGO"/>
    <n v="1575"/>
    <n v="-743.58045739749002"/>
  </r>
  <r>
    <s v="ORD1628"/>
    <d v="2025-05-23T16:00:00"/>
    <s v="Hyderabad"/>
    <s v="VEG_BURG_368"/>
    <x v="0"/>
    <s v="Burger"/>
    <n v="302"/>
    <n v="0.05"/>
    <n v="286.89999999999998"/>
    <n v="4"/>
    <n v="225.8329476525"/>
    <n v="1147.5999999999999"/>
    <n v="903.33179060999998"/>
    <n v="244.26820938999899"/>
    <s v="Bundle"/>
    <n v="1208"/>
    <n v="-244.26820938999992"/>
  </r>
  <r>
    <s v="ORD1629"/>
    <d v="2025-03-27T04:00:00"/>
    <s v="Delhi"/>
    <s v="GARLIC_B_467"/>
    <x v="4"/>
    <s v="Snacks"/>
    <n v="221"/>
    <n v="0"/>
    <n v="221"/>
    <n v="2"/>
    <n v="157.602540740688"/>
    <n v="442"/>
    <n v="315.20508148137702"/>
    <n v="126.794918518622"/>
    <s v="Bundle"/>
    <n v="442"/>
    <n v="-126.79491851862298"/>
  </r>
  <r>
    <s v="ORD1630"/>
    <d v="2024-03-30T01:00:00"/>
    <s v="Bangalore"/>
    <s v="SPRITE_165"/>
    <x v="3"/>
    <s v="Drinks"/>
    <n v="132"/>
    <n v="0.1"/>
    <n v="118.8"/>
    <n v="6"/>
    <n v="58.494409641730698"/>
    <n v="712.8"/>
    <n v="350.96645785038402"/>
    <n v="361.83354214961503"/>
    <s v="None"/>
    <n v="792"/>
    <n v="-361.83354214961594"/>
  </r>
  <r>
    <s v="ORD1631"/>
    <d v="2024-02-23T14:00:00"/>
    <s v="Mumbai"/>
    <s v="COLD_COF_914"/>
    <x v="15"/>
    <s v="Drinks"/>
    <n v="265"/>
    <n v="0.05"/>
    <n v="251.75"/>
    <n v="2"/>
    <n v="122.953636469594"/>
    <n v="503.5"/>
    <n v="245.907272939188"/>
    <n v="257.592727060811"/>
    <s v="Percent-Off"/>
    <n v="530"/>
    <n v="-257.59272706081197"/>
  </r>
  <r>
    <s v="ORD1632"/>
    <d v="2025-10-16T14:00:00"/>
    <s v="Mumbai"/>
    <s v="FRIES_479"/>
    <x v="2"/>
    <s v="Snacks"/>
    <n v="108"/>
    <n v="0"/>
    <n v="108"/>
    <n v="5"/>
    <n v="65.841825425852804"/>
    <n v="540"/>
    <n v="329.209127129264"/>
    <n v="210.790872870736"/>
    <s v="None"/>
    <n v="540"/>
    <n v="-210.790872870736"/>
  </r>
  <r>
    <s v="ORD1633"/>
    <d v="2025-04-18T19:00:00"/>
    <s v="Delhi"/>
    <s v="SPRITE_145"/>
    <x v="3"/>
    <s v="Drinks"/>
    <n v="333"/>
    <n v="0.2"/>
    <n v="266.39999999999998"/>
    <n v="7"/>
    <n v="213.339946540711"/>
    <n v="1864.8"/>
    <n v="1493.3796257849799"/>
    <n v="371.42037421501902"/>
    <s v="None"/>
    <n v="2331"/>
    <n v="-371.42037421502005"/>
  </r>
  <r>
    <s v="ORD1634"/>
    <d v="2025-10-26T09:00:00"/>
    <s v="Delhi"/>
    <s v="CHICKEN__853"/>
    <x v="14"/>
    <s v="Burger"/>
    <n v="167"/>
    <n v="0.15"/>
    <n v="141.94999999999999"/>
    <n v="4"/>
    <n v="124.058431817833"/>
    <n v="567.79999999999995"/>
    <n v="496.23372727133199"/>
    <n v="71.566272728667499"/>
    <s v="None"/>
    <n v="668"/>
    <n v="-71.566272728667968"/>
  </r>
  <r>
    <s v="ORD1635"/>
    <d v="2024-10-20T20:00:00"/>
    <s v="Bangalore"/>
    <s v="COLD_COF_284"/>
    <x v="15"/>
    <s v="Drinks"/>
    <n v="276"/>
    <n v="0.15"/>
    <n v="234.6"/>
    <n v="5"/>
    <n v="123.485302200232"/>
    <n v="1173"/>
    <n v="617.42651100116097"/>
    <n v="555.573488998838"/>
    <s v="Percent-Off"/>
    <n v="1380"/>
    <n v="-555.57348899883903"/>
  </r>
  <r>
    <s v="ORD1636"/>
    <d v="2024-06-01T06:00:00"/>
    <s v="Hyderabad"/>
    <s v="GULAB_JA_900"/>
    <x v="11"/>
    <s v="Dessert"/>
    <n v="200"/>
    <n v="0"/>
    <n v="200"/>
    <n v="3"/>
    <n v="91.220543167458004"/>
    <n v="600"/>
    <n v="273.66162950237401"/>
    <n v="326.33837049762502"/>
    <s v="None"/>
    <n v="600"/>
    <n v="-326.33837049762599"/>
  </r>
  <r>
    <s v="ORD1637"/>
    <d v="2025-10-12T00:00:00"/>
    <s v="Pune"/>
    <s v="PEPPY_PA_320"/>
    <x v="10"/>
    <s v="Pizza"/>
    <n v="276"/>
    <n v="0.05"/>
    <n v="262.2"/>
    <n v="2"/>
    <n v="195.871977620754"/>
    <n v="524.4"/>
    <n v="391.74395524150901"/>
    <n v="132.65604475849"/>
    <s v="BOGO"/>
    <n v="552"/>
    <n v="-132.65604475849096"/>
  </r>
  <r>
    <s v="ORD1638"/>
    <d v="2024-12-25T20:00:00"/>
    <s v="Pune"/>
    <s v="GRILLED__408"/>
    <x v="1"/>
    <s v="Sandwich"/>
    <n v="284"/>
    <n v="0.15"/>
    <n v="241.4"/>
    <n v="6"/>
    <n v="166.03550542424401"/>
    <n v="1448.4"/>
    <n v="996.21303254546604"/>
    <n v="452.18696745453298"/>
    <s v="None"/>
    <n v="1704"/>
    <n v="-452.18696745453406"/>
  </r>
  <r>
    <s v="ORD1639"/>
    <d v="2024-09-25T09:00:00"/>
    <s v="Pune"/>
    <s v="PEPPY_PA_461"/>
    <x v="10"/>
    <s v="Pizza"/>
    <n v="322"/>
    <n v="0.1"/>
    <n v="289.8"/>
    <n v="4"/>
    <n v="203.74907954382999"/>
    <n v="1159.2"/>
    <n v="814.99631817531997"/>
    <n v="344.20368182467899"/>
    <s v="Percent-Off"/>
    <n v="1288"/>
    <n v="-344.20368182468007"/>
  </r>
  <r>
    <s v="ORD1640"/>
    <d v="2025-02-06T19:00:00"/>
    <s v="Pune"/>
    <s v="VEG_BURG_468"/>
    <x v="0"/>
    <s v="Burger"/>
    <n v="344"/>
    <n v="0"/>
    <n v="344"/>
    <n v="6"/>
    <n v="190.59170236016499"/>
    <n v="2064"/>
    <n v="1143.55021416099"/>
    <n v="920.44978583900604"/>
    <s v="Coupon"/>
    <n v="2064"/>
    <n v="-920.44978583901002"/>
  </r>
  <r>
    <s v="ORD1641"/>
    <d v="2025-05-21T05:00:00"/>
    <s v="Mumbai"/>
    <s v="SPRITE_803"/>
    <x v="3"/>
    <s v="Drinks"/>
    <n v="287"/>
    <n v="0.15"/>
    <n v="243.95"/>
    <n v="7"/>
    <n v="152.12953139043699"/>
    <n v="1707.6499999999901"/>
    <n v="1064.9067197330601"/>
    <n v="642.74328026693502"/>
    <s v="None"/>
    <n v="2009"/>
    <n v="-642.74328026693001"/>
  </r>
  <r>
    <s v="ORD1642"/>
    <d v="2024-03-15T22:00:00"/>
    <s v="Mumbai"/>
    <s v="COKE_331"/>
    <x v="8"/>
    <s v="Drinks"/>
    <n v="266"/>
    <n v="0.1"/>
    <n v="239.4"/>
    <n v="5"/>
    <n v="171.74790496986299"/>
    <n v="1197"/>
    <n v="858.73952484931897"/>
    <n v="338.26047515068001"/>
    <s v="Coupon"/>
    <n v="1330"/>
    <n v="-338.26047515068103"/>
  </r>
  <r>
    <s v="ORD1643"/>
    <d v="2025-02-04T00:00:00"/>
    <s v="Pune"/>
    <s v="COLD_COF_858"/>
    <x v="15"/>
    <s v="Drinks"/>
    <n v="337"/>
    <n v="0"/>
    <n v="337"/>
    <n v="6"/>
    <n v="203.470596244322"/>
    <n v="2022"/>
    <n v="1220.8235774659299"/>
    <n v="801.176422534067"/>
    <s v="None"/>
    <n v="2022"/>
    <n v="-801.17642253407007"/>
  </r>
  <r>
    <s v="ORD1644"/>
    <d v="2024-08-16T23:00:00"/>
    <s v="Pune"/>
    <s v="CHICKEN__152"/>
    <x v="14"/>
    <s v="Burger"/>
    <n v="148"/>
    <n v="0.2"/>
    <n v="118.4"/>
    <n v="1"/>
    <n v="97.350400011529103"/>
    <n v="118.4"/>
    <n v="97.350400011529103"/>
    <n v="21.049599988470799"/>
    <s v="None"/>
    <n v="148"/>
    <n v="-21.049599988470902"/>
  </r>
  <r>
    <s v="ORD1645"/>
    <d v="2025-02-16T12:00:00"/>
    <s v="Pune"/>
    <s v="GRILLED__915"/>
    <x v="1"/>
    <s v="Sandwich"/>
    <n v="192"/>
    <n v="0.15"/>
    <n v="163.19999999999999"/>
    <n v="5"/>
    <n v="114.294155424397"/>
    <n v="816"/>
    <n v="571.47077712198495"/>
    <n v="244.529222878014"/>
    <s v="BOGO"/>
    <n v="960"/>
    <n v="-244.52922287801505"/>
  </r>
  <r>
    <s v="ORD1646"/>
    <d v="2025-07-23T17:00:00"/>
    <s v="Chennai"/>
    <s v="CLUB_SAN_780"/>
    <x v="13"/>
    <s v="Sandwich"/>
    <n v="201"/>
    <n v="0.15"/>
    <n v="170.85"/>
    <n v="1"/>
    <n v="85.338331612532599"/>
    <n v="170.85"/>
    <n v="85.338331612532599"/>
    <n v="85.511668387467296"/>
    <s v="Coupon"/>
    <n v="201"/>
    <n v="-85.511668387467395"/>
  </r>
  <r>
    <s v="ORD1647"/>
    <d v="2025-04-08T18:00:00"/>
    <s v="Bangalore"/>
    <s v="COLD_COF_328"/>
    <x v="15"/>
    <s v="Drinks"/>
    <n v="168"/>
    <n v="0.05"/>
    <n v="159.6"/>
    <n v="1"/>
    <n v="117.863997247238"/>
    <n v="159.6"/>
    <n v="117.863997247238"/>
    <n v="41.736002752761799"/>
    <s v="None"/>
    <n v="168"/>
    <n v="-41.736002752761991"/>
  </r>
  <r>
    <s v="ORD1648"/>
    <d v="2025-09-26T06:00:00"/>
    <s v="Mumbai"/>
    <s v="CHEESE_B_471"/>
    <x v="5"/>
    <s v="Burger"/>
    <n v="276"/>
    <n v="0.15"/>
    <n v="234.6"/>
    <n v="5"/>
    <n v="117.945395933361"/>
    <n v="1173"/>
    <n v="589.72697966680801"/>
    <n v="583.27302033319097"/>
    <s v="Percent-Off"/>
    <n v="1380"/>
    <n v="-583.27302033319199"/>
  </r>
  <r>
    <s v="ORD1649"/>
    <d v="2024-02-24T04:00:00"/>
    <s v="Delhi"/>
    <s v="COLD_COF_737"/>
    <x v="15"/>
    <s v="Drinks"/>
    <n v="139"/>
    <n v="0"/>
    <n v="139"/>
    <n v="7"/>
    <n v="102.459808483259"/>
    <n v="973"/>
    <n v="717.21865938281599"/>
    <n v="255.78134061718399"/>
    <s v="None"/>
    <n v="973"/>
    <n v="-255.78134061718401"/>
  </r>
  <r>
    <s v="ORD1650"/>
    <d v="2025-01-28T03:00:00"/>
    <s v="Hyderabad"/>
    <s v="BROWNIE_764"/>
    <x v="12"/>
    <s v="Dessert"/>
    <n v="164"/>
    <n v="0.05"/>
    <n v="155.79999999999899"/>
    <n v="7"/>
    <n v="86.319644343426205"/>
    <n v="1090.5999999999999"/>
    <n v="604.23751040398304"/>
    <n v="486.36248959601602"/>
    <s v="Bundle"/>
    <n v="1148"/>
    <n v="-486.36248959601687"/>
  </r>
  <r>
    <s v="ORD1651"/>
    <d v="2024-07-11T08:00:00"/>
    <s v="Pune"/>
    <s v="FRIES_565"/>
    <x v="2"/>
    <s v="Snacks"/>
    <n v="275"/>
    <n v="0.15"/>
    <n v="233.75"/>
    <n v="6"/>
    <n v="183.364884096753"/>
    <n v="1402.5"/>
    <n v="1100.18930458052"/>
    <n v="302.31069541947801"/>
    <s v="None"/>
    <n v="1650"/>
    <n v="-302.31069541948"/>
  </r>
  <r>
    <s v="ORD1652"/>
    <d v="2025-11-14T01:00:00"/>
    <s v="Delhi"/>
    <s v="CLUB_SAN_672"/>
    <x v="13"/>
    <s v="Sandwich"/>
    <n v="225"/>
    <n v="0.2"/>
    <n v="180"/>
    <n v="2"/>
    <n v="121.095738697613"/>
    <n v="360"/>
    <n v="242.191477395226"/>
    <n v="117.808522604774"/>
    <s v="None"/>
    <n v="450"/>
    <n v="-117.808522604774"/>
  </r>
  <r>
    <s v="ORD1653"/>
    <d v="2025-03-18T09:00:00"/>
    <s v="Bangalore"/>
    <s v="COKE_490"/>
    <x v="8"/>
    <s v="Drinks"/>
    <n v="279"/>
    <n v="0.05"/>
    <n v="265.05"/>
    <n v="2"/>
    <n v="179.071767484529"/>
    <n v="530.1"/>
    <n v="358.14353496905801"/>
    <n v="171.95646503094099"/>
    <s v="None"/>
    <n v="558"/>
    <n v="-171.95646503094201"/>
  </r>
  <r>
    <s v="ORD1654"/>
    <d v="2024-08-27T16:00:00"/>
    <s v="Hyderabad"/>
    <s v="CHEESE_B_600"/>
    <x v="5"/>
    <s v="Burger"/>
    <n v="156"/>
    <n v="0"/>
    <n v="156"/>
    <n v="4"/>
    <n v="73.397690821725007"/>
    <n v="624"/>
    <n v="293.59076328690003"/>
    <n v="330.40923671309901"/>
    <s v="Percent-Off"/>
    <n v="624"/>
    <n v="-330.40923671309997"/>
  </r>
  <r>
    <s v="ORD1655"/>
    <d v="2025-02-14T12:00:00"/>
    <s v="Chennai"/>
    <s v="FRIES_861"/>
    <x v="2"/>
    <s v="Snacks"/>
    <n v="321"/>
    <n v="0.1"/>
    <n v="288.89999999999998"/>
    <n v="2"/>
    <n v="160.64479890395799"/>
    <n v="577.79999999999995"/>
    <n v="321.28959780791598"/>
    <n v="256.51040219208301"/>
    <s v="None"/>
    <n v="642"/>
    <n v="-256.51040219208397"/>
  </r>
  <r>
    <s v="ORD1656"/>
    <d v="2024-09-19T07:00:00"/>
    <s v="Pune"/>
    <s v="CHICKEN__988"/>
    <x v="7"/>
    <s v="Pizza"/>
    <n v="176"/>
    <n v="0"/>
    <n v="176"/>
    <n v="6"/>
    <n v="129.01418919517701"/>
    <n v="1056"/>
    <n v="774.08513517106405"/>
    <n v="281.91486482893498"/>
    <s v="BOGO"/>
    <n v="1056"/>
    <n v="-281.91486482893595"/>
  </r>
  <r>
    <s v="ORD1657"/>
    <d v="2025-12-28T08:00:00"/>
    <s v="Mumbai"/>
    <s v="MARGHERI_748"/>
    <x v="16"/>
    <s v="Pizza"/>
    <n v="190"/>
    <n v="0.15"/>
    <n v="161.5"/>
    <n v="5"/>
    <n v="127.373007140312"/>
    <n v="807.5"/>
    <n v="636.86503570156196"/>
    <n v="170.63496429843701"/>
    <s v="Coupon"/>
    <n v="950"/>
    <n v="-170.63496429843804"/>
  </r>
  <r>
    <s v="ORD1658"/>
    <d v="2024-05-14T09:00:00"/>
    <s v="Pune"/>
    <s v="CHICKEN__232"/>
    <x v="14"/>
    <s v="Burger"/>
    <n v="295"/>
    <n v="0.1"/>
    <n v="265.5"/>
    <n v="2"/>
    <n v="202.60698194515399"/>
    <n v="531"/>
    <n v="405.213963890309"/>
    <n v="125.78603610969"/>
    <s v="None"/>
    <n v="590"/>
    <n v="-125.786036109691"/>
  </r>
  <r>
    <s v="ORD1659"/>
    <d v="2024-02-24T20:00:00"/>
    <s v="Bangalore"/>
    <s v="SPRITE_260"/>
    <x v="3"/>
    <s v="Drinks"/>
    <n v="140"/>
    <n v="0.1"/>
    <n v="126"/>
    <n v="6"/>
    <n v="56.7667185791612"/>
    <n v="756"/>
    <n v="340.60031147496699"/>
    <n v="415.39968852503199"/>
    <s v="None"/>
    <n v="840"/>
    <n v="-415.39968852503301"/>
  </r>
  <r>
    <s v="ORD1660"/>
    <d v="2025-05-29T01:00:00"/>
    <s v="Chennai"/>
    <s v="BROWNIE_300"/>
    <x v="12"/>
    <s v="Dessert"/>
    <n v="249"/>
    <n v="0"/>
    <n v="249"/>
    <n v="1"/>
    <n v="149.65632146742999"/>
    <n v="249"/>
    <n v="149.65632146742999"/>
    <n v="99.343678532569896"/>
    <s v="None"/>
    <n v="249"/>
    <n v="-99.34367853257001"/>
  </r>
  <r>
    <s v="ORD1661"/>
    <d v="2024-10-10T15:00:00"/>
    <s v="Chennai"/>
    <s v="MARGHERI_478"/>
    <x v="16"/>
    <s v="Pizza"/>
    <n v="176"/>
    <n v="0"/>
    <n v="176"/>
    <n v="5"/>
    <n v="104.397115059302"/>
    <n v="880"/>
    <n v="521.98557529651305"/>
    <n v="358.01442470348599"/>
    <s v="Percent-Off"/>
    <n v="880"/>
    <n v="-358.01442470348695"/>
  </r>
  <r>
    <s v="ORD1662"/>
    <d v="2024-06-02T11:00:00"/>
    <s v="Pune"/>
    <s v="COLD_COF_545"/>
    <x v="15"/>
    <s v="Drinks"/>
    <n v="83"/>
    <n v="0"/>
    <n v="83"/>
    <n v="4"/>
    <n v="51.634273272919501"/>
    <n v="332"/>
    <n v="206.537093091678"/>
    <n v="125.462906908321"/>
    <s v="Coupon"/>
    <n v="332"/>
    <n v="-125.462906908322"/>
  </r>
  <r>
    <s v="ORD1663"/>
    <d v="2024-10-28T03:00:00"/>
    <s v="Chennai"/>
    <s v="COKE_232"/>
    <x v="8"/>
    <s v="Drinks"/>
    <n v="327"/>
    <n v="0.15"/>
    <n v="277.95"/>
    <n v="1"/>
    <n v="153.642788894321"/>
    <n v="277.95"/>
    <n v="153.642788894321"/>
    <n v="124.30721110567799"/>
    <s v="Coupon"/>
    <n v="327"/>
    <n v="-124.30721110567899"/>
  </r>
  <r>
    <s v="ORD1664"/>
    <d v="2024-05-16T09:00:00"/>
    <s v="Mumbai"/>
    <s v="ICE_CREA_159"/>
    <x v="6"/>
    <s v="Dessert"/>
    <n v="96"/>
    <n v="0"/>
    <n v="96"/>
    <n v="7"/>
    <n v="64.288442445643497"/>
    <n v="672"/>
    <n v="450.01909711950401"/>
    <n v="221.98090288049499"/>
    <s v="Coupon"/>
    <n v="672"/>
    <n v="-221.98090288049599"/>
  </r>
  <r>
    <s v="ORD1665"/>
    <d v="2024-01-07T01:00:00"/>
    <s v="Delhi"/>
    <s v="ONION_RI_793"/>
    <x v="17"/>
    <s v="Snacks"/>
    <n v="252"/>
    <n v="0.25"/>
    <n v="189"/>
    <n v="3"/>
    <n v="129.425478112066"/>
    <n v="567"/>
    <n v="388.27643433619897"/>
    <n v="178.7235656638"/>
    <s v="Coupon"/>
    <n v="756"/>
    <n v="-178.72356566380103"/>
  </r>
  <r>
    <s v="ORD1666"/>
    <d v="2024-07-27T18:00:00"/>
    <s v="Hyderabad"/>
    <s v="GULAB_JA_599"/>
    <x v="11"/>
    <s v="Dessert"/>
    <n v="209"/>
    <n v="0.15"/>
    <n v="177.65"/>
    <n v="2"/>
    <n v="142.52040369182899"/>
    <n v="355.3"/>
    <n v="285.04080738365798"/>
    <n v="70.259192616341593"/>
    <s v="None"/>
    <n v="418"/>
    <n v="-70.259192616342034"/>
  </r>
  <r>
    <s v="ORD1667"/>
    <d v="2025-10-30T03:00:00"/>
    <s v="Bangalore"/>
    <s v="ONION_RI_321"/>
    <x v="17"/>
    <s v="Snacks"/>
    <n v="225"/>
    <n v="0.1"/>
    <n v="202.5"/>
    <n v="1"/>
    <n v="153.049112942509"/>
    <n v="202.5"/>
    <n v="153.049112942509"/>
    <n v="49.450887057490803"/>
    <s v="BOGO"/>
    <n v="225"/>
    <n v="-49.450887057491002"/>
  </r>
  <r>
    <s v="ORD1668"/>
    <d v="2024-05-06T16:00:00"/>
    <s v="Pune"/>
    <s v="VEG_SAND_703"/>
    <x v="9"/>
    <s v="Sandwich"/>
    <n v="156"/>
    <n v="0.05"/>
    <n v="148.19999999999999"/>
    <n v="1"/>
    <n v="72.129524902631601"/>
    <n v="148.19999999999999"/>
    <n v="72.129524902631601"/>
    <n v="76.070475097368302"/>
    <s v="Percent-Off"/>
    <n v="156"/>
    <n v="-76.070475097368387"/>
  </r>
  <r>
    <s v="ORD1669"/>
    <d v="2025-02-06T06:00:00"/>
    <s v="Bangalore"/>
    <s v="VEG_BURG_367"/>
    <x v="0"/>
    <s v="Burger"/>
    <n v="182"/>
    <n v="0"/>
    <n v="182"/>
    <n v="4"/>
    <n v="103.63372229867601"/>
    <n v="728"/>
    <n v="414.53488919470402"/>
    <n v="313.46511080529501"/>
    <s v="BOGO"/>
    <n v="728"/>
    <n v="-313.46511080529598"/>
  </r>
  <r>
    <s v="ORD1670"/>
    <d v="2025-12-03T18:00:00"/>
    <s v="Mumbai"/>
    <s v="MARGHERI_807"/>
    <x v="16"/>
    <s v="Pizza"/>
    <n v="344"/>
    <n v="0.25"/>
    <n v="258"/>
    <n v="6"/>
    <n v="182.13957255265001"/>
    <n v="1548"/>
    <n v="1092.8374353158999"/>
    <n v="455.162564684095"/>
    <s v="None"/>
    <n v="2064"/>
    <n v="-455.16256468410006"/>
  </r>
  <r>
    <s v="ORD1671"/>
    <d v="2025-12-09T22:00:00"/>
    <s v="Chennai"/>
    <s v="SPRITE_248"/>
    <x v="3"/>
    <s v="Drinks"/>
    <n v="340"/>
    <n v="0.05"/>
    <n v="323"/>
    <n v="2"/>
    <n v="233.221022316279"/>
    <n v="646"/>
    <n v="466.44204463255801"/>
    <n v="179.557955367441"/>
    <s v="Percent-Off"/>
    <n v="680"/>
    <n v="-179.55795536744199"/>
  </r>
  <r>
    <s v="ORD1672"/>
    <d v="2025-09-16T20:00:00"/>
    <s v="Mumbai"/>
    <s v="ICE_CREA_288"/>
    <x v="6"/>
    <s v="Dessert"/>
    <n v="245"/>
    <n v="0.05"/>
    <n v="232.75"/>
    <n v="3"/>
    <n v="162.29044136325601"/>
    <n v="698.25"/>
    <n v="486.87132408976902"/>
    <n v="211.37867591022999"/>
    <s v="None"/>
    <n v="735"/>
    <n v="-211.37867591023098"/>
  </r>
  <r>
    <s v="ORD1673"/>
    <d v="2025-11-11T16:00:00"/>
    <s v="Hyderabad"/>
    <s v="CLUB_SAN_122"/>
    <x v="13"/>
    <s v="Sandwich"/>
    <n v="112"/>
    <n v="0.15"/>
    <n v="95.2"/>
    <n v="3"/>
    <n v="70.1236034051106"/>
    <n v="285.60000000000002"/>
    <n v="210.37081021533101"/>
    <n v="75.229189784668193"/>
    <s v="Bundle"/>
    <n v="336"/>
    <n v="-75.229189784669018"/>
  </r>
  <r>
    <s v="ORD1674"/>
    <d v="2025-01-03T21:00:00"/>
    <s v="Chennai"/>
    <s v="VEG_BURG_820"/>
    <x v="0"/>
    <s v="Burger"/>
    <n v="168"/>
    <n v="0"/>
    <n v="168"/>
    <n v="5"/>
    <n v="96.242651552433202"/>
    <n v="840"/>
    <n v="481.21325776216599"/>
    <n v="358.78674223783298"/>
    <s v="Coupon"/>
    <n v="840"/>
    <n v="-358.78674223783401"/>
  </r>
  <r>
    <s v="ORD1675"/>
    <d v="2025-05-02T07:00:00"/>
    <s v="Bangalore"/>
    <s v="VEG_BURG_233"/>
    <x v="0"/>
    <s v="Burger"/>
    <n v="173"/>
    <n v="0"/>
    <n v="173"/>
    <n v="6"/>
    <n v="78.444969726963805"/>
    <n v="1038"/>
    <n v="470.66981836178297"/>
    <n v="567.330181638216"/>
    <s v="BOGO"/>
    <n v="1038"/>
    <n v="-567.33018163821703"/>
  </r>
  <r>
    <s v="ORD1676"/>
    <d v="2024-04-28T20:00:00"/>
    <s v="Bangalore"/>
    <s v="CLUB_SAN_526"/>
    <x v="13"/>
    <s v="Sandwich"/>
    <n v="180"/>
    <n v="0.1"/>
    <n v="162"/>
    <n v="3"/>
    <n v="104.812492006197"/>
    <n v="486"/>
    <n v="314.43747601859098"/>
    <n v="171.56252398140799"/>
    <s v="None"/>
    <n v="540"/>
    <n v="-171.56252398140902"/>
  </r>
  <r>
    <s v="ORD1677"/>
    <d v="2025-10-29T06:00:00"/>
    <s v="Hyderabad"/>
    <s v="MARGHERI_877"/>
    <x v="16"/>
    <s v="Pizza"/>
    <n v="290"/>
    <n v="0.25"/>
    <n v="217.5"/>
    <n v="2"/>
    <n v="133.20629627343999"/>
    <n v="435"/>
    <n v="266.41259254687998"/>
    <n v="168.587407453119"/>
    <s v="Percent-Off"/>
    <n v="580"/>
    <n v="-168.58740745312002"/>
  </r>
  <r>
    <s v="ORD1678"/>
    <d v="2024-02-11T03:00:00"/>
    <s v="Pune"/>
    <s v="COLD_COF_773"/>
    <x v="15"/>
    <s v="Drinks"/>
    <n v="313"/>
    <n v="0.15"/>
    <n v="266.05"/>
    <n v="1"/>
    <n v="136.94768208385099"/>
    <n v="266.05"/>
    <n v="136.94768208385099"/>
    <n v="129.102317916148"/>
    <s v="Coupon"/>
    <n v="313"/>
    <n v="-129.10231791614902"/>
  </r>
  <r>
    <s v="ORD1679"/>
    <d v="2024-11-13T14:00:00"/>
    <s v="Pune"/>
    <s v="MARGHERI_155"/>
    <x v="16"/>
    <s v="Pizza"/>
    <n v="122"/>
    <n v="0"/>
    <n v="122"/>
    <n v="5"/>
    <n v="56.077497720275801"/>
    <n v="610"/>
    <n v="280.387488601379"/>
    <n v="329.61251139861997"/>
    <s v="BOGO"/>
    <n v="610"/>
    <n v="-329.612511398621"/>
  </r>
  <r>
    <s v="ORD1680"/>
    <d v="2025-01-16T16:00:00"/>
    <s v="Pune"/>
    <s v="ONION_RI_577"/>
    <x v="17"/>
    <s v="Snacks"/>
    <n v="134"/>
    <n v="0.2"/>
    <n v="107.2"/>
    <n v="1"/>
    <n v="97.323361641510004"/>
    <n v="107.2"/>
    <n v="97.323361641510004"/>
    <n v="9.8766383584899504"/>
    <s v="Percent-Off"/>
    <n v="134"/>
    <n v="-9.8766383584899984"/>
  </r>
  <r>
    <s v="ORD1681"/>
    <d v="2025-12-29T12:00:00"/>
    <s v="Delhi"/>
    <s v="CHEESE_B_385"/>
    <x v="5"/>
    <s v="Burger"/>
    <n v="134"/>
    <n v="0"/>
    <n v="134"/>
    <n v="3"/>
    <n v="99.512370991306597"/>
    <n v="402"/>
    <n v="298.53711297391902"/>
    <n v="103.46288702608"/>
    <s v="None"/>
    <n v="402"/>
    <n v="-103.46288702608098"/>
  </r>
  <r>
    <s v="ORD1682"/>
    <d v="2024-10-04T04:00:00"/>
    <s v="Hyderabad"/>
    <s v="CHICKEN__660"/>
    <x v="14"/>
    <s v="Burger"/>
    <n v="243"/>
    <n v="0.1"/>
    <n v="218.7"/>
    <n v="7"/>
    <n v="176.27958239047101"/>
    <n v="1530.9"/>
    <n v="1233.9570767333"/>
    <n v="296.94292326669699"/>
    <s v="None"/>
    <n v="1701"/>
    <n v="-296.94292326670006"/>
  </r>
  <r>
    <s v="ORD1683"/>
    <d v="2024-11-05T05:00:00"/>
    <s v="Bangalore"/>
    <s v="CHEESE_B_454"/>
    <x v="5"/>
    <s v="Burger"/>
    <n v="169"/>
    <n v="0.1"/>
    <n v="152.1"/>
    <n v="3"/>
    <n v="109.50131907530999"/>
    <n v="456.29999999999899"/>
    <n v="328.503957225931"/>
    <n v="127.796042774068"/>
    <s v="Coupon"/>
    <n v="507"/>
    <n v="-127.79604277406798"/>
  </r>
  <r>
    <s v="ORD1684"/>
    <d v="2024-02-02T01:00:00"/>
    <s v="Delhi"/>
    <s v="GARLIC_B_239"/>
    <x v="4"/>
    <s v="Snacks"/>
    <n v="176"/>
    <n v="0.15"/>
    <n v="149.6"/>
    <n v="5"/>
    <n v="84.0879639509524"/>
    <n v="748"/>
    <n v="420.43981975476203"/>
    <n v="327.56018024523701"/>
    <s v="BOGO"/>
    <n v="880"/>
    <n v="-327.56018024523797"/>
  </r>
  <r>
    <s v="ORD1685"/>
    <d v="2025-08-11T02:00:00"/>
    <s v="Pune"/>
    <s v="CHICKEN__496"/>
    <x v="14"/>
    <s v="Burger"/>
    <n v="219"/>
    <n v="0.05"/>
    <n v="208.04999999999899"/>
    <n v="3"/>
    <n v="153.87754973569"/>
    <n v="624.15"/>
    <n v="461.63264920707002"/>
    <n v="162.51735079292899"/>
    <s v="None"/>
    <n v="657"/>
    <n v="-162.51735079292996"/>
  </r>
  <r>
    <s v="ORD1686"/>
    <d v="2024-06-30T14:00:00"/>
    <s v="Chennai"/>
    <s v="VEG_BURG_337"/>
    <x v="0"/>
    <s v="Burger"/>
    <n v="312"/>
    <n v="0.25"/>
    <n v="234"/>
    <n v="6"/>
    <n v="182.074219284994"/>
    <n v="1404"/>
    <n v="1092.4453157099599"/>
    <n v="311.55468429003298"/>
    <s v="Coupon"/>
    <n v="1872"/>
    <n v="-311.55468429004009"/>
  </r>
  <r>
    <s v="ORD1687"/>
    <d v="2025-04-25T23:00:00"/>
    <s v="Bangalore"/>
    <s v="FRIES_798"/>
    <x v="2"/>
    <s v="Snacks"/>
    <n v="263"/>
    <n v="0.15"/>
    <n v="223.54999999999899"/>
    <n v="4"/>
    <n v="182.364704394271"/>
    <n v="894.19999999999902"/>
    <n v="729.45881757708401"/>
    <n v="164.74118242291499"/>
    <s v="Percent-Off"/>
    <n v="1052"/>
    <n v="-164.74118242291502"/>
  </r>
  <r>
    <s v="ORD1688"/>
    <d v="2024-08-25T11:00:00"/>
    <s v="Bangalore"/>
    <s v="COLD_COF_386"/>
    <x v="15"/>
    <s v="Drinks"/>
    <n v="113"/>
    <n v="0"/>
    <n v="113"/>
    <n v="1"/>
    <n v="73.0743253295324"/>
    <n v="113"/>
    <n v="73.0743253295324"/>
    <n v="39.925674670467501"/>
    <s v="None"/>
    <n v="113"/>
    <n v="-39.9256746704676"/>
  </r>
  <r>
    <s v="ORD1689"/>
    <d v="2024-02-16T21:00:00"/>
    <s v="Mumbai"/>
    <s v="PEPPY_PA_286"/>
    <x v="10"/>
    <s v="Pizza"/>
    <n v="318"/>
    <n v="0.2"/>
    <n v="254.4"/>
    <n v="2"/>
    <n v="231.719749233925"/>
    <n v="508.8"/>
    <n v="463.43949846785"/>
    <n v="45.3605015321493"/>
    <s v="Coupon"/>
    <n v="636"/>
    <n v="-45.36050153215001"/>
  </r>
  <r>
    <s v="ORD1690"/>
    <d v="2025-03-25T17:00:00"/>
    <s v="Bangalore"/>
    <s v="CHICKEN__299"/>
    <x v="14"/>
    <s v="Burger"/>
    <n v="339"/>
    <n v="0.25"/>
    <n v="254.25"/>
    <n v="6"/>
    <n v="187.01898846287901"/>
    <n v="1525.5"/>
    <n v="1122.1139307772701"/>
    <n v="403.38606922272299"/>
    <s v="None"/>
    <n v="2034"/>
    <n v="-403.38606922272993"/>
  </r>
  <r>
    <s v="ORD1691"/>
    <d v="2024-10-08T20:00:00"/>
    <s v="Hyderabad"/>
    <s v="SPRITE_342"/>
    <x v="3"/>
    <s v="Drinks"/>
    <n v="329"/>
    <n v="0.25"/>
    <n v="246.75"/>
    <n v="2"/>
    <n v="186.87004999566301"/>
    <n v="493.5"/>
    <n v="373.74009999132602"/>
    <n v="119.759900008673"/>
    <s v="None"/>
    <n v="658"/>
    <n v="-119.75990000867398"/>
  </r>
  <r>
    <s v="ORD1692"/>
    <d v="2025-05-28T11:00:00"/>
    <s v="Bangalore"/>
    <s v="GARLIC_B_221"/>
    <x v="4"/>
    <s v="Snacks"/>
    <n v="331"/>
    <n v="0.05"/>
    <n v="314.45"/>
    <n v="5"/>
    <n v="143.46780034454599"/>
    <n v="1572.25"/>
    <n v="717.33900172273195"/>
    <n v="854.91099827726703"/>
    <s v="Percent-Off"/>
    <n v="1655"/>
    <n v="-854.91099827726805"/>
  </r>
  <r>
    <s v="ORD1693"/>
    <d v="2025-06-26T23:00:00"/>
    <s v="Delhi"/>
    <s v="COLD_COF_515"/>
    <x v="15"/>
    <s v="Drinks"/>
    <n v="330"/>
    <n v="0"/>
    <n v="330"/>
    <n v="3"/>
    <n v="173.42100351118501"/>
    <n v="990"/>
    <n v="520.26301053355496"/>
    <n v="469.73698946644402"/>
    <s v="None"/>
    <n v="990"/>
    <n v="-469.73698946644504"/>
  </r>
  <r>
    <s v="ORD1694"/>
    <d v="2025-08-08T12:00:00"/>
    <s v="Chennai"/>
    <s v="VEG_SAND_350"/>
    <x v="9"/>
    <s v="Sandwich"/>
    <n v="347"/>
    <n v="0.05"/>
    <n v="329.65"/>
    <n v="1"/>
    <n v="222.865228638887"/>
    <n v="329.65"/>
    <n v="222.865228638887"/>
    <n v="106.78477136111201"/>
    <s v="Coupon"/>
    <n v="347"/>
    <n v="-106.78477136111297"/>
  </r>
  <r>
    <s v="ORD1695"/>
    <d v="2025-06-10T16:00:00"/>
    <s v="Mumbai"/>
    <s v="PEPPY_PA_709"/>
    <x v="10"/>
    <s v="Pizza"/>
    <n v="194"/>
    <n v="0"/>
    <n v="194"/>
    <n v="1"/>
    <n v="122.930530898463"/>
    <n v="194"/>
    <n v="122.930530898463"/>
    <n v="71.069469101536399"/>
    <s v="Coupon"/>
    <n v="194"/>
    <n v="-71.069469101536995"/>
  </r>
  <r>
    <s v="ORD1696"/>
    <d v="2024-11-22T19:00:00"/>
    <s v="Chennai"/>
    <s v="CHEESE_B_786"/>
    <x v="5"/>
    <s v="Burger"/>
    <n v="150"/>
    <n v="0.15"/>
    <n v="127.5"/>
    <n v="7"/>
    <n v="100.321703848339"/>
    <n v="892.5"/>
    <n v="702.25192693837505"/>
    <n v="190.24807306162401"/>
    <s v="None"/>
    <n v="1050"/>
    <n v="-190.24807306162495"/>
  </r>
  <r>
    <s v="ORD1697"/>
    <d v="2025-08-15T02:00:00"/>
    <s v="Bangalore"/>
    <s v="VEG_BURG_532"/>
    <x v="0"/>
    <s v="Burger"/>
    <n v="303"/>
    <n v="0.2"/>
    <n v="242.4"/>
    <n v="2"/>
    <n v="177.79205869268799"/>
    <n v="484.8"/>
    <n v="355.58411738537598"/>
    <n v="129.21588261462301"/>
    <s v="BOGO"/>
    <n v="606"/>
    <n v="-129.21588261462404"/>
  </r>
  <r>
    <s v="ORD1698"/>
    <d v="2025-11-16T16:00:00"/>
    <s v="Mumbai"/>
    <s v="GULAB_JA_594"/>
    <x v="11"/>
    <s v="Dessert"/>
    <n v="194"/>
    <n v="0.15"/>
    <n v="164.9"/>
    <n v="6"/>
    <n v="106.87850623959299"/>
    <n v="989.4"/>
    <n v="641.27103743755902"/>
    <n v="348.12896256243999"/>
    <s v="None"/>
    <n v="1164"/>
    <n v="-348.12896256244096"/>
  </r>
  <r>
    <s v="ORD1699"/>
    <d v="2025-02-25T02:00:00"/>
    <s v="Pune"/>
    <s v="CHICKEN__684"/>
    <x v="7"/>
    <s v="Pizza"/>
    <n v="281"/>
    <n v="0.25"/>
    <n v="210.75"/>
    <n v="7"/>
    <n v="134.68157100255999"/>
    <n v="1475.25"/>
    <n v="942.77099701792497"/>
    <n v="532.47900298207401"/>
    <s v="Coupon"/>
    <n v="1967"/>
    <n v="-532.47900298207503"/>
  </r>
  <r>
    <s v="ORD1700"/>
    <d v="2024-08-04T05:00:00"/>
    <s v="Mumbai"/>
    <s v="CHICKEN__173"/>
    <x v="7"/>
    <s v="Pizza"/>
    <n v="346"/>
    <n v="0.15"/>
    <n v="294.099999999999"/>
    <n v="3"/>
    <n v="144.31472058414201"/>
    <n v="882.3"/>
    <n v="432.944161752426"/>
    <n v="449.35583824757299"/>
    <s v="None"/>
    <n v="1038"/>
    <n v="-449.35583824757396"/>
  </r>
  <r>
    <s v="ORD1701"/>
    <d v="2024-04-13T00:00:00"/>
    <s v="Chennai"/>
    <s v="GARLIC_B_225"/>
    <x v="4"/>
    <s v="Snacks"/>
    <n v="260"/>
    <n v="0.15"/>
    <n v="221"/>
    <n v="4"/>
    <n v="180.548659084798"/>
    <n v="884"/>
    <n v="722.19463633919395"/>
    <n v="161.805363660805"/>
    <s v="None"/>
    <n v="1040"/>
    <n v="-161.80536366080605"/>
  </r>
  <r>
    <s v="ORD1702"/>
    <d v="2025-12-13T03:00:00"/>
    <s v="Bangalore"/>
    <s v="PEPPY_PA_617"/>
    <x v="10"/>
    <s v="Pizza"/>
    <n v="164"/>
    <n v="0.15"/>
    <n v="139.4"/>
    <n v="7"/>
    <n v="79.405391234077797"/>
    <n v="975.8"/>
    <n v="555.83773863854401"/>
    <n v="419.96226136145498"/>
    <s v="BOGO"/>
    <n v="1148"/>
    <n v="-419.96226136145594"/>
  </r>
  <r>
    <s v="ORD1703"/>
    <d v="2024-10-06T08:00:00"/>
    <s v="Hyderabad"/>
    <s v="VEG_SAND_666"/>
    <x v="9"/>
    <s v="Sandwich"/>
    <n v="195"/>
    <n v="0.05"/>
    <n v="185.25"/>
    <n v="2"/>
    <n v="139.31890770534"/>
    <n v="370.5"/>
    <n v="278.63781541067999"/>
    <n v="91.862184589319"/>
    <s v="None"/>
    <n v="390"/>
    <n v="-91.862184589320009"/>
  </r>
  <r>
    <s v="ORD1704"/>
    <d v="2024-06-03T17:00:00"/>
    <s v="Hyderabad"/>
    <s v="COKE_338"/>
    <x v="8"/>
    <s v="Drinks"/>
    <n v="307"/>
    <n v="0"/>
    <n v="307"/>
    <n v="4"/>
    <n v="200.23602623311899"/>
    <n v="1228"/>
    <n v="800.94410493247699"/>
    <n v="427.05589506752301"/>
    <s v="Percent-Off"/>
    <n v="1228"/>
    <n v="-427.05589506752301"/>
  </r>
  <r>
    <s v="ORD1705"/>
    <d v="2024-07-29T11:00:00"/>
    <s v="Delhi"/>
    <s v="CHICKEN__518"/>
    <x v="7"/>
    <s v="Pizza"/>
    <n v="254"/>
    <n v="0.05"/>
    <n v="241.29999999999899"/>
    <n v="3"/>
    <n v="106.54646469193899"/>
    <n v="723.9"/>
    <n v="319.63939407581898"/>
    <n v="404.26060592418003"/>
    <s v="Bundle"/>
    <n v="762"/>
    <n v="-404.26060592418099"/>
  </r>
  <r>
    <s v="ORD1706"/>
    <d v="2025-03-24T04:00:00"/>
    <s v="Hyderabad"/>
    <s v="GULAB_JA_845"/>
    <x v="11"/>
    <s v="Dessert"/>
    <n v="137"/>
    <n v="0"/>
    <n v="137"/>
    <n v="1"/>
    <n v="92.685751113207104"/>
    <n v="137"/>
    <n v="92.685751113207104"/>
    <n v="44.314248886792797"/>
    <s v="None"/>
    <n v="137"/>
    <n v="-44.314248886792896"/>
  </r>
  <r>
    <s v="ORD1707"/>
    <d v="2024-04-13T03:00:00"/>
    <s v="Chennai"/>
    <s v="COLD_COF_195"/>
    <x v="15"/>
    <s v="Drinks"/>
    <n v="334"/>
    <n v="0.2"/>
    <n v="267.2"/>
    <n v="4"/>
    <n v="180.932482263738"/>
    <n v="1068.8"/>
    <n v="723.729929054953"/>
    <n v="345.07007094504598"/>
    <s v="None"/>
    <n v="1336"/>
    <n v="-345.07007094504695"/>
  </r>
  <r>
    <s v="ORD1708"/>
    <d v="2024-05-30T10:00:00"/>
    <s v="Bangalore"/>
    <s v="GULAB_JA_542"/>
    <x v="11"/>
    <s v="Dessert"/>
    <n v="245"/>
    <n v="0"/>
    <n v="245"/>
    <n v="5"/>
    <n v="170.363135805827"/>
    <n v="1225"/>
    <n v="851.81567902913901"/>
    <n v="373.18432097085997"/>
    <s v="None"/>
    <n v="1225"/>
    <n v="-373.18432097086099"/>
  </r>
  <r>
    <s v="ORD1709"/>
    <d v="2024-06-26T07:00:00"/>
    <s v="Mumbai"/>
    <s v="SPRITE_443"/>
    <x v="3"/>
    <s v="Drinks"/>
    <n v="128"/>
    <n v="0.15"/>
    <n v="108.8"/>
    <n v="7"/>
    <n v="60.458947612950602"/>
    <n v="761.6"/>
    <n v="423.21263329065403"/>
    <n v="338.38736670934497"/>
    <s v="Coupon"/>
    <n v="896"/>
    <n v="-338.387366709346"/>
  </r>
  <r>
    <s v="ORD1710"/>
    <d v="2025-08-26T12:00:00"/>
    <s v="Bangalore"/>
    <s v="CHICKEN__643"/>
    <x v="14"/>
    <s v="Burger"/>
    <n v="280"/>
    <n v="0.15"/>
    <n v="238"/>
    <n v="1"/>
    <n v="184.09085582046799"/>
    <n v="238"/>
    <n v="184.09085582046799"/>
    <n v="53.909144179531197"/>
    <s v="Coupon"/>
    <n v="280"/>
    <n v="-53.909144179532007"/>
  </r>
  <r>
    <s v="ORD1711"/>
    <d v="2024-03-13T07:00:00"/>
    <s v="Hyderabad"/>
    <s v="CHEESE_B_288"/>
    <x v="5"/>
    <s v="Burger"/>
    <n v="188"/>
    <n v="0.1"/>
    <n v="169.2"/>
    <n v="5"/>
    <n v="139.915650283464"/>
    <n v="846"/>
    <n v="699.57825141732405"/>
    <n v="146.42174858267501"/>
    <s v="None"/>
    <n v="940"/>
    <n v="-146.42174858267595"/>
  </r>
  <r>
    <s v="ORD1712"/>
    <d v="2024-12-10T02:00:00"/>
    <s v="Bangalore"/>
    <s v="VEG_BURG_309"/>
    <x v="0"/>
    <s v="Burger"/>
    <n v="337"/>
    <n v="0.2"/>
    <n v="269.60000000000002"/>
    <n v="2"/>
    <n v="165.718357400038"/>
    <n v="539.20000000000005"/>
    <n v="331.436714800076"/>
    <n v="207.76328519992299"/>
    <s v="None"/>
    <n v="674"/>
    <n v="-207.76328519992404"/>
  </r>
  <r>
    <s v="ORD1713"/>
    <d v="2024-11-28T11:00:00"/>
    <s v="Pune"/>
    <s v="VEG_BURG_890"/>
    <x v="0"/>
    <s v="Burger"/>
    <n v="142"/>
    <n v="0.1"/>
    <n v="127.8"/>
    <n v="4"/>
    <n v="62.2698925617497"/>
    <n v="511.2"/>
    <n v="249.079570246999"/>
    <n v="262.120429753"/>
    <s v="None"/>
    <n v="568"/>
    <n v="-262.12042975300096"/>
  </r>
  <r>
    <s v="ORD1714"/>
    <d v="2024-04-11T04:00:00"/>
    <s v="Bangalore"/>
    <s v="GULAB_JA_237"/>
    <x v="11"/>
    <s v="Dessert"/>
    <n v="191"/>
    <n v="0.15"/>
    <n v="162.35"/>
    <n v="2"/>
    <n v="131.733065139828"/>
    <n v="324.7"/>
    <n v="263.46613027965702"/>
    <n v="61.233869720342199"/>
    <s v="Coupon"/>
    <n v="382"/>
    <n v="-61.233869720342966"/>
  </r>
  <r>
    <s v="ORD1715"/>
    <d v="2025-05-29T09:00:00"/>
    <s v="Pune"/>
    <s v="SPRITE_975"/>
    <x v="3"/>
    <s v="Drinks"/>
    <n v="94"/>
    <n v="0.15"/>
    <n v="79.899999999999906"/>
    <n v="6"/>
    <n v="58.435027598745698"/>
    <n v="479.4"/>
    <n v="350.610165592474"/>
    <n v="128.78983440752501"/>
    <s v="BOGO"/>
    <n v="564"/>
    <n v="-128.78983440752597"/>
  </r>
  <r>
    <s v="ORD1716"/>
    <d v="2024-11-05T10:00:00"/>
    <s v="Hyderabad"/>
    <s v="SPRITE_522"/>
    <x v="3"/>
    <s v="Drinks"/>
    <n v="91"/>
    <n v="0"/>
    <n v="91"/>
    <n v="2"/>
    <n v="64.978896344785397"/>
    <n v="182"/>
    <n v="129.95779268957"/>
    <n v="52.042207310429099"/>
    <s v="Percent-Off"/>
    <n v="182"/>
    <n v="-52.042207310430001"/>
  </r>
  <r>
    <s v="ORD1717"/>
    <d v="2024-12-21T13:00:00"/>
    <s v="Bangalore"/>
    <s v="SPRITE_764"/>
    <x v="3"/>
    <s v="Drinks"/>
    <n v="314"/>
    <n v="0.15"/>
    <n v="266.89999999999998"/>
    <n v="7"/>
    <n v="164.75700903914901"/>
    <n v="1868.29999999999"/>
    <n v="1153.29906327404"/>
    <n v="715.00093672595597"/>
    <s v="Percent-Off"/>
    <n v="2198"/>
    <n v="-715.00093672594994"/>
  </r>
  <r>
    <s v="ORD1718"/>
    <d v="2024-08-06T17:00:00"/>
    <s v="Mumbai"/>
    <s v="COKE_331"/>
    <x v="8"/>
    <s v="Drinks"/>
    <n v="249"/>
    <n v="0.05"/>
    <n v="236.54999999999899"/>
    <n v="5"/>
    <n v="185.48249658805699"/>
    <n v="1182.75"/>
    <n v="927.41248294028799"/>
    <n v="255.33751705971099"/>
    <s v="Bundle"/>
    <n v="1245"/>
    <n v="-255.33751705971201"/>
  </r>
  <r>
    <s v="ORD1719"/>
    <d v="2025-02-07T14:00:00"/>
    <s v="Hyderabad"/>
    <s v="SPRITE_696"/>
    <x v="3"/>
    <s v="Drinks"/>
    <n v="111"/>
    <n v="0.1"/>
    <n v="99.9"/>
    <n v="1"/>
    <n v="62.784403912318297"/>
    <n v="99.9"/>
    <n v="62.784403912318297"/>
    <n v="37.115596087681602"/>
    <s v="None"/>
    <n v="111"/>
    <n v="-37.115596087681709"/>
  </r>
  <r>
    <s v="ORD1720"/>
    <d v="2025-08-10T21:00:00"/>
    <s v="Delhi"/>
    <s v="BROWNIE_426"/>
    <x v="12"/>
    <s v="Dessert"/>
    <n v="161"/>
    <n v="0.2"/>
    <n v="128.80000000000001"/>
    <n v="6"/>
    <n v="84.906868152932105"/>
    <n v="772.8"/>
    <n v="509.44120891759297"/>
    <n v="263.35879108240601"/>
    <s v="Percent-Off"/>
    <n v="966"/>
    <n v="-263.35879108240698"/>
  </r>
  <r>
    <s v="ORD1721"/>
    <d v="2024-01-28T13:00:00"/>
    <s v="Bangalore"/>
    <s v="CHICKEN__481"/>
    <x v="7"/>
    <s v="Pizza"/>
    <n v="292"/>
    <n v="0.25"/>
    <n v="219"/>
    <n v="5"/>
    <n v="209.38862243638599"/>
    <n v="1095"/>
    <n v="1046.94311218193"/>
    <n v="48.056887818065398"/>
    <s v="None"/>
    <n v="1460"/>
    <n v="-48.056887818069981"/>
  </r>
  <r>
    <s v="ORD1722"/>
    <d v="2025-05-18T03:00:00"/>
    <s v="Mumbai"/>
    <s v="COLD_COF_400"/>
    <x v="15"/>
    <s v="Drinks"/>
    <n v="313"/>
    <n v="0.1"/>
    <n v="281.7"/>
    <n v="4"/>
    <n v="167.980994681325"/>
    <n v="1126.8"/>
    <n v="671.92397872530103"/>
    <n v="454.87602127469802"/>
    <s v="Percent-Off"/>
    <n v="1252"/>
    <n v="-454.87602127469893"/>
  </r>
  <r>
    <s v="ORD1723"/>
    <d v="2025-09-08T04:00:00"/>
    <s v="Mumbai"/>
    <s v="GULAB_JA_978"/>
    <x v="11"/>
    <s v="Dessert"/>
    <n v="267"/>
    <n v="0"/>
    <n v="267"/>
    <n v="1"/>
    <n v="159.30000933127599"/>
    <n v="267"/>
    <n v="159.30000933127599"/>
    <n v="107.699990668723"/>
    <s v="None"/>
    <n v="267"/>
    <n v="-107.69999066872401"/>
  </r>
  <r>
    <s v="ORD1724"/>
    <d v="2025-02-23T04:00:00"/>
    <s v="Chennai"/>
    <s v="COKE_648"/>
    <x v="8"/>
    <s v="Drinks"/>
    <n v="186"/>
    <n v="0"/>
    <n v="186"/>
    <n v="1"/>
    <n v="128.77264366563"/>
    <n v="186"/>
    <n v="128.77264366563"/>
    <n v="57.227356334369098"/>
    <s v="None"/>
    <n v="186"/>
    <n v="-57.22735633437"/>
  </r>
  <r>
    <s v="ORD1725"/>
    <d v="2025-10-21T20:00:00"/>
    <s v="Mumbai"/>
    <s v="CLUB_SAN_502"/>
    <x v="13"/>
    <s v="Sandwich"/>
    <n v="98"/>
    <n v="0.15"/>
    <n v="83.3"/>
    <n v="5"/>
    <n v="52.6010974886021"/>
    <n v="416.5"/>
    <n v="263.00548744301"/>
    <n v="153.49451255698901"/>
    <s v="None"/>
    <n v="490"/>
    <n v="-153.49451255699"/>
  </r>
  <r>
    <s v="ORD1726"/>
    <d v="2025-03-14T14:00:00"/>
    <s v="Delhi"/>
    <s v="VEG_BURG_856"/>
    <x v="0"/>
    <s v="Burger"/>
    <n v="263"/>
    <n v="0"/>
    <n v="263"/>
    <n v="1"/>
    <n v="153.44446736994101"/>
    <n v="263"/>
    <n v="153.44446736994101"/>
    <n v="109.555532630058"/>
    <s v="None"/>
    <n v="263"/>
    <n v="-109.55553263005899"/>
  </r>
  <r>
    <s v="ORD1727"/>
    <d v="2024-05-20T14:00:00"/>
    <s v="Delhi"/>
    <s v="CHICKEN__110"/>
    <x v="14"/>
    <s v="Burger"/>
    <n v="215"/>
    <n v="0"/>
    <n v="215"/>
    <n v="3"/>
    <n v="110.26791568134099"/>
    <n v="645"/>
    <n v="330.803747044023"/>
    <n v="314.19625295597598"/>
    <s v="None"/>
    <n v="645"/>
    <n v="-314.196252955977"/>
  </r>
  <r>
    <s v="ORD1728"/>
    <d v="2024-01-09T15:00:00"/>
    <s v="Pune"/>
    <s v="PEPPY_PA_611"/>
    <x v="10"/>
    <s v="Pizza"/>
    <n v="275"/>
    <n v="0"/>
    <n v="275"/>
    <n v="1"/>
    <n v="124.818392603614"/>
    <n v="275"/>
    <n v="124.818392603614"/>
    <n v="150.181607396385"/>
    <s v="None"/>
    <n v="275"/>
    <n v="-150.181607396386"/>
  </r>
  <r>
    <s v="ORD1729"/>
    <d v="2024-04-21T01:00:00"/>
    <s v="Pune"/>
    <s v="CLUB_SAN_176"/>
    <x v="13"/>
    <s v="Sandwich"/>
    <n v="244"/>
    <n v="0.05"/>
    <n v="231.79999999999899"/>
    <n v="4"/>
    <n v="115.42021513328901"/>
    <n v="927.19999999999902"/>
    <n v="461.68086053315898"/>
    <n v="465.51913946683999"/>
    <s v="None"/>
    <n v="976"/>
    <n v="-465.51913946684004"/>
  </r>
  <r>
    <s v="ORD1730"/>
    <d v="2024-01-27T08:00:00"/>
    <s v="Pune"/>
    <s v="COKE_884"/>
    <x v="8"/>
    <s v="Drinks"/>
    <n v="171"/>
    <n v="0.2"/>
    <n v="136.80000000000001"/>
    <n v="3"/>
    <n v="111.408309521102"/>
    <n v="410.4"/>
    <n v="334.22492856330598"/>
    <n v="76.175071436693401"/>
    <s v="None"/>
    <n v="513"/>
    <n v="-76.175071436693997"/>
  </r>
  <r>
    <s v="ORD1731"/>
    <d v="2024-05-08T11:00:00"/>
    <s v="Pune"/>
    <s v="CHICKEN__897"/>
    <x v="14"/>
    <s v="Burger"/>
    <n v="284"/>
    <n v="0.1"/>
    <n v="255.6"/>
    <n v="1"/>
    <n v="137.402799085726"/>
    <n v="255.6"/>
    <n v="137.402799085726"/>
    <n v="118.197200914273"/>
    <s v="None"/>
    <n v="284"/>
    <n v="-118.19720091427399"/>
  </r>
  <r>
    <s v="ORD1732"/>
    <d v="2025-07-25T07:00:00"/>
    <s v="Bangalore"/>
    <s v="GULAB_JA_712"/>
    <x v="11"/>
    <s v="Dessert"/>
    <n v="214"/>
    <n v="0"/>
    <n v="214"/>
    <n v="7"/>
    <n v="116.80572557394299"/>
    <n v="1498"/>
    <n v="817.64007901760704"/>
    <n v="680.35992098239205"/>
    <s v="Coupon"/>
    <n v="1498"/>
    <n v="-680.35992098239296"/>
  </r>
  <r>
    <s v="ORD1733"/>
    <d v="2025-02-25T19:00:00"/>
    <s v="Hyderabad"/>
    <s v="GRILLED__365"/>
    <x v="1"/>
    <s v="Sandwich"/>
    <n v="83"/>
    <n v="0"/>
    <n v="83"/>
    <n v="2"/>
    <n v="55.301459078572698"/>
    <n v="166"/>
    <n v="110.602918157145"/>
    <n v="55.397081842854398"/>
    <s v="Coupon"/>
    <n v="166"/>
    <n v="-55.397081842855002"/>
  </r>
  <r>
    <s v="ORD1734"/>
    <d v="2024-10-23T19:00:00"/>
    <s v="Mumbai"/>
    <s v="CLUB_SAN_460"/>
    <x v="13"/>
    <s v="Sandwich"/>
    <n v="341"/>
    <n v="0.1"/>
    <n v="306.89999999999998"/>
    <n v="5"/>
    <n v="237.683727777348"/>
    <n v="1534.5"/>
    <n v="1188.4186388867399"/>
    <n v="346.08136111325598"/>
    <s v="None"/>
    <n v="1705"/>
    <n v="-346.08136111326007"/>
  </r>
  <r>
    <s v="ORD1735"/>
    <d v="2025-03-24T02:00:00"/>
    <s v="Delhi"/>
    <s v="PEPPY_PA_873"/>
    <x v="10"/>
    <s v="Pizza"/>
    <n v="289"/>
    <n v="0"/>
    <n v="289"/>
    <n v="7"/>
    <n v="142.206273377451"/>
    <n v="2023"/>
    <n v="995.44391364215699"/>
    <n v="1027.5560863578401"/>
    <s v="None"/>
    <n v="2023"/>
    <n v="-1027.556086357843"/>
  </r>
  <r>
    <s v="ORD1736"/>
    <d v="2024-03-10T23:00:00"/>
    <s v="Delhi"/>
    <s v="FRIES_496"/>
    <x v="2"/>
    <s v="Snacks"/>
    <n v="318"/>
    <n v="0.05"/>
    <n v="302.099999999999"/>
    <n v="6"/>
    <n v="143.154872146179"/>
    <n v="1812.6"/>
    <n v="858.92923287707504"/>
    <n v="953.67076712292396"/>
    <s v="None"/>
    <n v="1908"/>
    <n v="-953.67076712292487"/>
  </r>
  <r>
    <s v="ORD1737"/>
    <d v="2025-10-24T13:00:00"/>
    <s v="Delhi"/>
    <s v="MARGHERI_790"/>
    <x v="16"/>
    <s v="Pizza"/>
    <n v="218"/>
    <n v="0.15"/>
    <n v="185.29999999999899"/>
    <n v="5"/>
    <n v="146.663357043876"/>
    <n v="926.49999999999898"/>
    <n v="733.31678521938397"/>
    <n v="193.183214780615"/>
    <s v="Bundle"/>
    <n v="1090"/>
    <n v="-193.183214780615"/>
  </r>
  <r>
    <s v="ORD1738"/>
    <d v="2024-01-10T20:00:00"/>
    <s v="Mumbai"/>
    <s v="COKE_474"/>
    <x v="8"/>
    <s v="Drinks"/>
    <n v="213"/>
    <n v="0"/>
    <n v="213"/>
    <n v="4"/>
    <n v="129.385832550815"/>
    <n v="852"/>
    <n v="517.54333020326101"/>
    <n v="334.45666979673803"/>
    <s v="Coupon"/>
    <n v="852"/>
    <n v="-334.45666979673899"/>
  </r>
  <r>
    <s v="ORD1739"/>
    <d v="2024-11-06T06:00:00"/>
    <s v="Pune"/>
    <s v="COLD_COF_507"/>
    <x v="15"/>
    <s v="Drinks"/>
    <n v="87"/>
    <n v="0"/>
    <n v="87"/>
    <n v="3"/>
    <n v="64.921338710551893"/>
    <n v="261"/>
    <n v="194.76401613165501"/>
    <n v="66.235983868344107"/>
    <s v="Bundle"/>
    <n v="261"/>
    <n v="-66.235983868344988"/>
  </r>
  <r>
    <s v="ORD1740"/>
    <d v="2024-07-04T03:00:00"/>
    <s v="Chennai"/>
    <s v="COKE_769"/>
    <x v="8"/>
    <s v="Drinks"/>
    <n v="287"/>
    <n v="0"/>
    <n v="287"/>
    <n v="1"/>
    <n v="191.939327060029"/>
    <n v="287"/>
    <n v="191.939327060029"/>
    <n v="95.060672939970701"/>
    <s v="Coupon"/>
    <n v="287"/>
    <n v="-95.060672939970999"/>
  </r>
  <r>
    <s v="ORD1741"/>
    <d v="2025-10-06T07:00:00"/>
    <s v="Pune"/>
    <s v="PEPPY_PA_510"/>
    <x v="10"/>
    <s v="Pizza"/>
    <n v="177"/>
    <n v="0.2"/>
    <n v="141.6"/>
    <n v="4"/>
    <n v="104.00123477434499"/>
    <n v="566.4"/>
    <n v="416.00493909738299"/>
    <n v="150.395060902616"/>
    <s v="Bundle"/>
    <n v="708"/>
    <n v="-150.39506090261699"/>
  </r>
  <r>
    <s v="ORD1742"/>
    <d v="2024-12-22T11:00:00"/>
    <s v="Pune"/>
    <s v="PEPPY_PA_175"/>
    <x v="10"/>
    <s v="Pizza"/>
    <n v="204"/>
    <n v="0.25"/>
    <n v="153"/>
    <n v="4"/>
    <n v="130.10312955357199"/>
    <n v="612"/>
    <n v="520.41251821429"/>
    <n v="91.5874817857094"/>
    <s v="None"/>
    <n v="816"/>
    <n v="-91.587481785709997"/>
  </r>
  <r>
    <s v="ORD1743"/>
    <d v="2025-11-25T13:00:00"/>
    <s v="Delhi"/>
    <s v="MARGHERI_899"/>
    <x v="16"/>
    <s v="Pizza"/>
    <n v="269"/>
    <n v="0.2"/>
    <n v="215.2"/>
    <n v="3"/>
    <n v="169.35757112543399"/>
    <n v="645.6"/>
    <n v="508.072713376303"/>
    <n v="137.527286623696"/>
    <s v="None"/>
    <n v="807"/>
    <n v="-137.52728662369702"/>
  </r>
  <r>
    <s v="ORD1744"/>
    <d v="2024-01-07T04:00:00"/>
    <s v="Mumbai"/>
    <s v="CHEESE_B_465"/>
    <x v="5"/>
    <s v="Burger"/>
    <n v="164"/>
    <n v="0.15"/>
    <n v="139.4"/>
    <n v="5"/>
    <n v="81.281881247283295"/>
    <n v="697"/>
    <n v="406.40940623641598"/>
    <n v="290.590593763583"/>
    <s v="Coupon"/>
    <n v="820"/>
    <n v="-290.59059376358402"/>
  </r>
  <r>
    <s v="ORD1745"/>
    <d v="2025-07-12T03:00:00"/>
    <s v="Pune"/>
    <s v="CHEESE_B_520"/>
    <x v="5"/>
    <s v="Burger"/>
    <n v="270"/>
    <n v="0.2"/>
    <n v="216"/>
    <n v="6"/>
    <n v="182.37056287986599"/>
    <n v="1296"/>
    <n v="1094.2233772791899"/>
    <n v="201.776622720803"/>
    <s v="None"/>
    <n v="1620"/>
    <n v="-201.77662272081011"/>
  </r>
  <r>
    <s v="ORD1746"/>
    <d v="2024-07-22T23:00:00"/>
    <s v="Pune"/>
    <s v="GULAB_JA_392"/>
    <x v="11"/>
    <s v="Dessert"/>
    <n v="280"/>
    <n v="0.05"/>
    <n v="266"/>
    <n v="7"/>
    <n v="200.110718076138"/>
    <n v="1862"/>
    <n v="1400.7750265329601"/>
    <n v="461.22497346703301"/>
    <s v="None"/>
    <n v="1960"/>
    <n v="-461.22497346703994"/>
  </r>
  <r>
    <s v="ORD1747"/>
    <d v="2025-12-25T20:00:00"/>
    <s v="Bangalore"/>
    <s v="ONION_RI_143"/>
    <x v="17"/>
    <s v="Snacks"/>
    <n v="94"/>
    <n v="0"/>
    <n v="94"/>
    <n v="2"/>
    <n v="47.547109764503404"/>
    <n v="188"/>
    <n v="95.094219529006807"/>
    <n v="92.905780470993193"/>
    <s v="None"/>
    <n v="188"/>
    <n v="-92.905780470993193"/>
  </r>
  <r>
    <s v="ORD1748"/>
    <d v="2025-04-04T07:00:00"/>
    <s v="Hyderabad"/>
    <s v="VEG_BURG_873"/>
    <x v="0"/>
    <s v="Burger"/>
    <n v="313"/>
    <n v="0.1"/>
    <n v="281.7"/>
    <n v="3"/>
    <n v="147.396891635174"/>
    <n v="845.099999999999"/>
    <n v="442.19067490552197"/>
    <n v="402.90932509447703"/>
    <s v="Percent-Off"/>
    <n v="939"/>
    <n v="-402.90932509447703"/>
  </r>
  <r>
    <s v="ORD1749"/>
    <d v="2025-03-21T19:00:00"/>
    <s v="Mumbai"/>
    <s v="PEPPY_PA_981"/>
    <x v="10"/>
    <s v="Pizza"/>
    <n v="313"/>
    <n v="0.25"/>
    <n v="234.75"/>
    <n v="4"/>
    <n v="193.83814954746001"/>
    <n v="939"/>
    <n v="775.35259818984002"/>
    <n v="163.64740181015901"/>
    <s v="None"/>
    <n v="1252"/>
    <n v="-163.64740181015998"/>
  </r>
  <r>
    <s v="ORD1750"/>
    <d v="2025-02-08T19:00:00"/>
    <s v="Bangalore"/>
    <s v="MARGHERI_443"/>
    <x v="16"/>
    <s v="Pizza"/>
    <n v="294"/>
    <n v="0.1"/>
    <n v="264.60000000000002"/>
    <n v="2"/>
    <n v="187.855240208281"/>
    <n v="529.20000000000005"/>
    <n v="375.71048041656297"/>
    <n v="153.48951958343599"/>
    <s v="Coupon"/>
    <n v="588"/>
    <n v="-153.48951958343707"/>
  </r>
  <r>
    <s v="ORD1751"/>
    <d v="2025-11-04T11:00:00"/>
    <s v="Mumbai"/>
    <s v="CHICKEN__790"/>
    <x v="14"/>
    <s v="Burger"/>
    <n v="250"/>
    <n v="0"/>
    <n v="250"/>
    <n v="4"/>
    <n v="183.49524377918601"/>
    <n v="1000"/>
    <n v="733.980975116747"/>
    <n v="266.01902488325197"/>
    <s v="None"/>
    <n v="1000"/>
    <n v="-266.019024883253"/>
  </r>
  <r>
    <s v="ORD1752"/>
    <d v="2024-08-28T22:00:00"/>
    <s v="Mumbai"/>
    <s v="CHICKEN__657"/>
    <x v="14"/>
    <s v="Burger"/>
    <n v="212"/>
    <n v="0.05"/>
    <n v="201.39999999999901"/>
    <n v="5"/>
    <n v="105.875418566287"/>
    <n v="1006.99999999999"/>
    <n v="529.37709283143795"/>
    <n v="477.62290716856103"/>
    <s v="Coupon"/>
    <n v="1060"/>
    <n v="-477.62290716855205"/>
  </r>
  <r>
    <s v="ORD1753"/>
    <d v="2025-11-27T20:00:00"/>
    <s v="Hyderabad"/>
    <s v="SPRITE_340"/>
    <x v="3"/>
    <s v="Drinks"/>
    <n v="173"/>
    <n v="0"/>
    <n v="173"/>
    <n v="1"/>
    <n v="92.711430454783994"/>
    <n v="173"/>
    <n v="92.711430454783994"/>
    <n v="80.288569545215907"/>
    <s v="None"/>
    <n v="173"/>
    <n v="-80.288569545216006"/>
  </r>
  <r>
    <s v="ORD1754"/>
    <d v="2024-04-27T09:00:00"/>
    <s v="Pune"/>
    <s v="SPRITE_301"/>
    <x v="3"/>
    <s v="Drinks"/>
    <n v="141"/>
    <n v="0.15"/>
    <n v="119.85"/>
    <n v="5"/>
    <n v="83.566803368142999"/>
    <n v="599.25"/>
    <n v="417.83401684071498"/>
    <n v="181.415983159284"/>
    <s v="Coupon"/>
    <n v="705"/>
    <n v="-181.41598315928502"/>
  </r>
  <r>
    <s v="ORD1755"/>
    <d v="2025-09-21T00:00:00"/>
    <s v="Mumbai"/>
    <s v="CHICKEN__325"/>
    <x v="14"/>
    <s v="Burger"/>
    <n v="177"/>
    <n v="0.2"/>
    <n v="141.6"/>
    <n v="5"/>
    <n v="108.80587721623"/>
    <n v="708"/>
    <n v="544.02938608115005"/>
    <n v="163.97061391884901"/>
    <s v="None"/>
    <n v="885"/>
    <n v="-163.97061391884995"/>
  </r>
  <r>
    <s v="ORD1756"/>
    <d v="2024-08-08T19:00:00"/>
    <s v="Bangalore"/>
    <s v="BROWNIE_705"/>
    <x v="12"/>
    <s v="Dessert"/>
    <n v="259"/>
    <n v="0.1"/>
    <n v="233.1"/>
    <n v="2"/>
    <n v="113.392495199816"/>
    <n v="466.2"/>
    <n v="226.78499039963299"/>
    <n v="239.41500960036601"/>
    <s v="Coupon"/>
    <n v="518"/>
    <n v="-239.415009600367"/>
  </r>
  <r>
    <s v="ORD1757"/>
    <d v="2025-02-17T05:00:00"/>
    <s v="Pune"/>
    <s v="MARGHERI_235"/>
    <x v="16"/>
    <s v="Pizza"/>
    <n v="88"/>
    <n v="0.15"/>
    <n v="74.8"/>
    <n v="7"/>
    <n v="44.792429749434802"/>
    <n v="523.6"/>
    <n v="313.54700824604299"/>
    <n v="210.05299175395601"/>
    <s v="Coupon"/>
    <n v="616"/>
    <n v="-210.05299175395703"/>
  </r>
  <r>
    <s v="ORD1758"/>
    <d v="2024-05-16T03:00:00"/>
    <s v="Hyderabad"/>
    <s v="CLUB_SAN_143"/>
    <x v="13"/>
    <s v="Sandwich"/>
    <n v="256"/>
    <n v="0.05"/>
    <n v="243.2"/>
    <n v="5"/>
    <n v="185.302130030824"/>
    <n v="1216"/>
    <n v="926.510650154122"/>
    <n v="289.489349845878"/>
    <s v="Percent-Off"/>
    <n v="1280"/>
    <n v="-289.489349845878"/>
  </r>
  <r>
    <s v="ORD1759"/>
    <d v="2024-07-02T14:00:00"/>
    <s v="Delhi"/>
    <s v="ICE_CREA_843"/>
    <x v="6"/>
    <s v="Dessert"/>
    <n v="143"/>
    <n v="0"/>
    <n v="143"/>
    <n v="3"/>
    <n v="77.7127972404476"/>
    <n v="429"/>
    <n v="233.138391721342"/>
    <n v="195.861608278657"/>
    <s v="Coupon"/>
    <n v="429"/>
    <n v="-195.861608278658"/>
  </r>
  <r>
    <s v="ORD1760"/>
    <d v="2025-03-08T14:00:00"/>
    <s v="Pune"/>
    <s v="GARLIC_B_274"/>
    <x v="4"/>
    <s v="Snacks"/>
    <n v="207"/>
    <n v="0.1"/>
    <n v="186.3"/>
    <n v="2"/>
    <n v="135.235425622794"/>
    <n v="372.6"/>
    <n v="270.47085124558799"/>
    <n v="102.12914875441101"/>
    <s v="Coupon"/>
    <n v="414"/>
    <n v="-102.12914875441203"/>
  </r>
  <r>
    <s v="ORD1761"/>
    <d v="2024-07-03T21:00:00"/>
    <s v="Pune"/>
    <s v="GRILLED__805"/>
    <x v="1"/>
    <s v="Sandwich"/>
    <n v="162"/>
    <n v="0.05"/>
    <n v="153.9"/>
    <n v="5"/>
    <n v="96.113581563930097"/>
    <n v="769.5"/>
    <n v="480.56790781964997"/>
    <n v="288.932092180349"/>
    <s v="None"/>
    <n v="810"/>
    <n v="-288.93209218035003"/>
  </r>
  <r>
    <s v="ORD1762"/>
    <d v="2024-08-14T11:00:00"/>
    <s v="Chennai"/>
    <s v="CHEESE_B_828"/>
    <x v="5"/>
    <s v="Burger"/>
    <n v="221"/>
    <n v="0"/>
    <n v="221"/>
    <n v="7"/>
    <n v="128.17392494581799"/>
    <n v="1547"/>
    <n v="897.21747462072597"/>
    <n v="649.78252537927301"/>
    <s v="BOGO"/>
    <n v="1547"/>
    <n v="-649.78252537927403"/>
  </r>
  <r>
    <s v="ORD1763"/>
    <d v="2024-06-20T03:00:00"/>
    <s v="Bangalore"/>
    <s v="CHICKEN__470"/>
    <x v="7"/>
    <s v="Pizza"/>
    <n v="96"/>
    <n v="0.1"/>
    <n v="86.4"/>
    <n v="4"/>
    <n v="70.647670707851901"/>
    <n v="345.6"/>
    <n v="282.59068283140698"/>
    <n v="63.009317168591998"/>
    <s v="Coupon"/>
    <n v="384"/>
    <n v="-63.009317168593043"/>
  </r>
  <r>
    <s v="ORD1764"/>
    <d v="2024-01-24T08:00:00"/>
    <s v="Delhi"/>
    <s v="COLD_COF_673"/>
    <x v="15"/>
    <s v="Drinks"/>
    <n v="81"/>
    <n v="0.2"/>
    <n v="64.8"/>
    <n v="6"/>
    <n v="57.625747234794197"/>
    <n v="388.79999999999899"/>
    <n v="345.754483408765"/>
    <n v="43.045516591234403"/>
    <s v="Coupon"/>
    <n v="486"/>
    <n v="-43.045516591233991"/>
  </r>
  <r>
    <s v="ORD1765"/>
    <d v="2025-05-28T17:00:00"/>
    <s v="Chennai"/>
    <s v="COLD_COF_270"/>
    <x v="15"/>
    <s v="Drinks"/>
    <n v="344"/>
    <n v="0.05"/>
    <n v="326.8"/>
    <n v="7"/>
    <n v="186.05265936799401"/>
    <n v="2287.6"/>
    <n v="1302.3686155759499"/>
    <n v="985.23138442404104"/>
    <s v="Coupon"/>
    <n v="2408"/>
    <n v="-985.23138442405002"/>
  </r>
  <r>
    <s v="ORD1766"/>
    <d v="2024-03-17T02:00:00"/>
    <s v="Delhi"/>
    <s v="GULAB_JA_168"/>
    <x v="11"/>
    <s v="Dessert"/>
    <n v="280"/>
    <n v="0"/>
    <n v="280"/>
    <n v="7"/>
    <n v="201.14716721769301"/>
    <n v="1960"/>
    <n v="1408.0301705238501"/>
    <n v="551.96982947614595"/>
    <s v="Percent-Off"/>
    <n v="1960"/>
    <n v="-551.96982947614993"/>
  </r>
  <r>
    <s v="ORD1767"/>
    <d v="2025-04-20T21:00:00"/>
    <s v="Pune"/>
    <s v="CHICKEN__528"/>
    <x v="14"/>
    <s v="Burger"/>
    <n v="225"/>
    <n v="0"/>
    <n v="225"/>
    <n v="1"/>
    <n v="112.860926789717"/>
    <n v="225"/>
    <n v="112.860926789717"/>
    <n v="112.13907321028201"/>
    <s v="None"/>
    <n v="225"/>
    <n v="-112.139073210283"/>
  </r>
  <r>
    <s v="ORD1768"/>
    <d v="2025-05-26T01:00:00"/>
    <s v="Pune"/>
    <s v="PEPPY_PA_266"/>
    <x v="10"/>
    <s v="Pizza"/>
    <n v="349"/>
    <n v="0"/>
    <n v="349"/>
    <n v="7"/>
    <n v="168.815445491828"/>
    <n v="2443"/>
    <n v="1181.70811844279"/>
    <n v="1261.2918815572"/>
    <s v="Percent-Off"/>
    <n v="2443"/>
    <n v="-1261.29188155721"/>
  </r>
  <r>
    <s v="ORD1769"/>
    <d v="2024-11-13T21:00:00"/>
    <s v="Pune"/>
    <s v="PEPPY_PA_660"/>
    <x v="10"/>
    <s v="Pizza"/>
    <n v="235"/>
    <n v="0.1"/>
    <n v="211.5"/>
    <n v="1"/>
    <n v="94.108559223961095"/>
    <n v="211.5"/>
    <n v="94.108559223961095"/>
    <n v="117.391440776038"/>
    <s v="None"/>
    <n v="235"/>
    <n v="-117.39144077603891"/>
  </r>
  <r>
    <s v="ORD1770"/>
    <d v="2024-12-12T21:00:00"/>
    <s v="Mumbai"/>
    <s v="GARLIC_B_613"/>
    <x v="4"/>
    <s v="Snacks"/>
    <n v="229"/>
    <n v="0.15"/>
    <n v="194.65"/>
    <n v="5"/>
    <n v="166.259395855132"/>
    <n v="973.25"/>
    <n v="831.29697927566099"/>
    <n v="141.95302072433901"/>
    <s v="Coupon"/>
    <n v="1145"/>
    <n v="-141.95302072433901"/>
  </r>
  <r>
    <s v="ORD1771"/>
    <d v="2024-11-16T13:00:00"/>
    <s v="Bangalore"/>
    <s v="CHICKEN__795"/>
    <x v="14"/>
    <s v="Burger"/>
    <n v="154"/>
    <n v="0"/>
    <n v="154"/>
    <n v="3"/>
    <n v="71.0237097436287"/>
    <n v="462"/>
    <n v="213.07112923088599"/>
    <n v="248.92887076911299"/>
    <s v="Coupon"/>
    <n v="462"/>
    <n v="-248.92887076911401"/>
  </r>
  <r>
    <s v="ORD1772"/>
    <d v="2024-12-10T08:00:00"/>
    <s v="Pune"/>
    <s v="ONION_RI_294"/>
    <x v="17"/>
    <s v="Snacks"/>
    <n v="212"/>
    <n v="0.2"/>
    <n v="169.6"/>
    <n v="6"/>
    <n v="150.97094499204999"/>
    <n v="1017.6"/>
    <n v="905.82566995230104"/>
    <n v="111.774330047698"/>
    <s v="Coupon"/>
    <n v="1272"/>
    <n v="-111.77433004769898"/>
  </r>
  <r>
    <s v="ORD1773"/>
    <d v="2025-06-12T14:00:00"/>
    <s v="Pune"/>
    <s v="COLD_COF_756"/>
    <x v="15"/>
    <s v="Drinks"/>
    <n v="129"/>
    <n v="0.05"/>
    <n v="122.55"/>
    <n v="6"/>
    <n v="74.273478540491595"/>
    <n v="735.3"/>
    <n v="445.640871242949"/>
    <n v="289.65912875704998"/>
    <s v="None"/>
    <n v="774"/>
    <n v="-289.65912875705095"/>
  </r>
  <r>
    <s v="ORD1774"/>
    <d v="2025-07-25T12:00:00"/>
    <s v="Pune"/>
    <s v="CHEESE_B_960"/>
    <x v="5"/>
    <s v="Burger"/>
    <n v="288"/>
    <n v="0.05"/>
    <n v="273.599999999999"/>
    <n v="6"/>
    <n v="147.262115678355"/>
    <n v="1641.6"/>
    <n v="883.57269407013302"/>
    <n v="758.02730592986597"/>
    <s v="None"/>
    <n v="1728"/>
    <n v="-758.02730592986688"/>
  </r>
  <r>
    <s v="ORD1775"/>
    <d v="2024-10-07T01:00:00"/>
    <s v="Delhi"/>
    <s v="SPRITE_120"/>
    <x v="3"/>
    <s v="Drinks"/>
    <n v="150"/>
    <n v="0.05"/>
    <n v="142.5"/>
    <n v="7"/>
    <n v="82.045146254169495"/>
    <n v="997.5"/>
    <n v="574.31602377918603"/>
    <n v="423.18397622081301"/>
    <s v="None"/>
    <n v="1050"/>
    <n v="-423.18397622081397"/>
  </r>
  <r>
    <s v="ORD1776"/>
    <d v="2024-11-03T05:00:00"/>
    <s v="Chennai"/>
    <s v="CHEESE_B_495"/>
    <x v="5"/>
    <s v="Burger"/>
    <n v="290"/>
    <n v="0.2"/>
    <n v="232"/>
    <n v="4"/>
    <n v="210.498761325705"/>
    <n v="928"/>
    <n v="841.99504530282297"/>
    <n v="86.004954697176402"/>
    <s v="None"/>
    <n v="1160"/>
    <n v="-86.004954697177027"/>
  </r>
  <r>
    <s v="ORD1777"/>
    <d v="2024-09-03T03:00:00"/>
    <s v="Mumbai"/>
    <s v="MARGHERI_946"/>
    <x v="16"/>
    <s v="Pizza"/>
    <n v="232"/>
    <n v="0.05"/>
    <n v="220.39999999999901"/>
    <n v="4"/>
    <n v="130.69071083995499"/>
    <n v="881.599999999999"/>
    <n v="522.76284335981995"/>
    <n v="358.83715664017899"/>
    <s v="None"/>
    <n v="928"/>
    <n v="-358.83715664017905"/>
  </r>
  <r>
    <s v="ORD1778"/>
    <d v="2025-11-02T23:00:00"/>
    <s v="Hyderabad"/>
    <s v="CHICKEN__451"/>
    <x v="14"/>
    <s v="Burger"/>
    <n v="259"/>
    <n v="0"/>
    <n v="259"/>
    <n v="1"/>
    <n v="154.778402722734"/>
    <n v="259"/>
    <n v="154.778402722734"/>
    <n v="104.221597277265"/>
    <s v="None"/>
    <n v="259"/>
    <n v="-104.221597277266"/>
  </r>
  <r>
    <s v="ORD1779"/>
    <d v="2024-08-23T16:00:00"/>
    <s v="Pune"/>
    <s v="PEPPY_PA_825"/>
    <x v="10"/>
    <s v="Pizza"/>
    <n v="172"/>
    <n v="0"/>
    <n v="172"/>
    <n v="4"/>
    <n v="77.060477342925907"/>
    <n v="688"/>
    <n v="308.241909371703"/>
    <n v="379.75809062829597"/>
    <s v="None"/>
    <n v="688"/>
    <n v="-379.758090628297"/>
  </r>
  <r>
    <s v="ORD1780"/>
    <d v="2025-01-09T08:00:00"/>
    <s v="Pune"/>
    <s v="VEG_BURG_599"/>
    <x v="0"/>
    <s v="Burger"/>
    <n v="113"/>
    <n v="0.1"/>
    <n v="101.7"/>
    <n v="4"/>
    <n v="56.168567849259802"/>
    <n v="406.8"/>
    <n v="224.67427139703901"/>
    <n v="182.12572860296001"/>
    <s v="None"/>
    <n v="452"/>
    <n v="-182.125728602961"/>
  </r>
  <r>
    <s v="ORD1781"/>
    <d v="2024-12-11T06:00:00"/>
    <s v="Delhi"/>
    <s v="CHICKEN__408"/>
    <x v="14"/>
    <s v="Burger"/>
    <n v="193"/>
    <n v="0.15"/>
    <n v="164.04999999999899"/>
    <n v="2"/>
    <n v="130.013304913735"/>
    <n v="328.099999999999"/>
    <n v="260.02660982747"/>
    <n v="68.073390172529301"/>
    <s v="Coupon"/>
    <n v="386"/>
    <n v="-68.073390172529002"/>
  </r>
  <r>
    <s v="ORD1782"/>
    <d v="2024-09-02T21:00:00"/>
    <s v="Pune"/>
    <s v="FRIES_490"/>
    <x v="2"/>
    <s v="Snacks"/>
    <n v="264"/>
    <n v="0.1"/>
    <n v="237.6"/>
    <n v="6"/>
    <n v="189.43355547821699"/>
    <n v="1425.6"/>
    <n v="1136.6013328693"/>
    <n v="288.99866713069298"/>
    <s v="Coupon"/>
    <n v="1584"/>
    <n v="-288.99866713069991"/>
  </r>
  <r>
    <s v="ORD1783"/>
    <d v="2024-07-23T21:00:00"/>
    <s v="Bangalore"/>
    <s v="FRIES_768"/>
    <x v="2"/>
    <s v="Snacks"/>
    <n v="281"/>
    <n v="0.1"/>
    <n v="252.9"/>
    <n v="6"/>
    <n v="136.97334843431801"/>
    <n v="1517.4"/>
    <n v="821.84009060590802"/>
    <n v="695.55990939409105"/>
    <s v="Coupon"/>
    <n v="1686"/>
    <n v="-695.55990939409207"/>
  </r>
  <r>
    <s v="ORD1784"/>
    <d v="2024-12-17T05:00:00"/>
    <s v="Pune"/>
    <s v="PEPPY_PA_694"/>
    <x v="10"/>
    <s v="Pizza"/>
    <n v="274"/>
    <n v="0"/>
    <n v="274"/>
    <n v="6"/>
    <n v="189.529974551116"/>
    <n v="1644"/>
    <n v="1137.1798473066999"/>
    <n v="506.82015269329997"/>
    <s v="None"/>
    <n v="1644"/>
    <n v="-506.82015269330009"/>
  </r>
  <r>
    <s v="ORD1785"/>
    <d v="2025-09-05T04:00:00"/>
    <s v="Hyderabad"/>
    <s v="ONION_RI_675"/>
    <x v="17"/>
    <s v="Snacks"/>
    <n v="143"/>
    <n v="0"/>
    <n v="143"/>
    <n v="7"/>
    <n v="93.4778102448916"/>
    <n v="1001"/>
    <n v="654.34467171424103"/>
    <n v="346.655328285758"/>
    <s v="Percent-Off"/>
    <n v="1001"/>
    <n v="-346.65532828575897"/>
  </r>
  <r>
    <s v="ORD1786"/>
    <d v="2025-10-20T03:00:00"/>
    <s v="Chennai"/>
    <s v="ICE_CREA_348"/>
    <x v="6"/>
    <s v="Dessert"/>
    <n v="148"/>
    <n v="0.1"/>
    <n v="133.19999999999999"/>
    <n v="5"/>
    <n v="80.877821589976605"/>
    <n v="666"/>
    <n v="404.389107949883"/>
    <n v="261.610892050117"/>
    <s v="None"/>
    <n v="740"/>
    <n v="-261.610892050117"/>
  </r>
  <r>
    <s v="ORD1787"/>
    <d v="2025-04-09T02:00:00"/>
    <s v="Bangalore"/>
    <s v="GULAB_JA_969"/>
    <x v="11"/>
    <s v="Dessert"/>
    <n v="164"/>
    <n v="0.25"/>
    <n v="123"/>
    <n v="7"/>
    <n v="116.631017555415"/>
    <n v="861"/>
    <n v="816.417122887907"/>
    <n v="44.582877112093001"/>
    <s v="Coupon"/>
    <n v="1148"/>
    <n v="-44.582877112093001"/>
  </r>
  <r>
    <s v="ORD1788"/>
    <d v="2024-04-15T10:00:00"/>
    <s v="Pune"/>
    <s v="CHICKEN__260"/>
    <x v="7"/>
    <s v="Pizza"/>
    <n v="248"/>
    <n v="0"/>
    <n v="248"/>
    <n v="6"/>
    <n v="136.667372993155"/>
    <n v="1488"/>
    <n v="820.00423795893403"/>
    <n v="667.99576204106495"/>
    <s v="None"/>
    <n v="1488"/>
    <n v="-667.99576204106597"/>
  </r>
  <r>
    <s v="ORD1789"/>
    <d v="2025-12-27T08:00:00"/>
    <s v="Chennai"/>
    <s v="BROWNIE_829"/>
    <x v="12"/>
    <s v="Dessert"/>
    <n v="310"/>
    <n v="0.1"/>
    <n v="279"/>
    <n v="5"/>
    <n v="203.08714246503101"/>
    <n v="1395"/>
    <n v="1015.43571232515"/>
    <n v="379.56428767484198"/>
    <s v="Percent-Off"/>
    <n v="1550"/>
    <n v="-379.56428767484999"/>
  </r>
  <r>
    <s v="ORD1790"/>
    <d v="2024-08-28T12:00:00"/>
    <s v="Chennai"/>
    <s v="BROWNIE_418"/>
    <x v="12"/>
    <s v="Dessert"/>
    <n v="232"/>
    <n v="0.15"/>
    <n v="197.2"/>
    <n v="7"/>
    <n v="129.767465006864"/>
    <n v="1380.3999999999901"/>
    <n v="908.37225504805303"/>
    <n v="472.02774495194598"/>
    <s v="Coupon"/>
    <n v="1624"/>
    <n v="-472.02774495193705"/>
  </r>
  <r>
    <s v="ORD1791"/>
    <d v="2025-10-06T20:00:00"/>
    <s v="Delhi"/>
    <s v="FRIES_572"/>
    <x v="2"/>
    <s v="Snacks"/>
    <n v="155"/>
    <n v="0"/>
    <n v="155"/>
    <n v="3"/>
    <n v="103.71951070395799"/>
    <n v="465"/>
    <n v="311.15853211187499"/>
    <n v="153.84146788812399"/>
    <s v="Percent-Off"/>
    <n v="465"/>
    <n v="-153.84146788812501"/>
  </r>
  <r>
    <s v="ORD1792"/>
    <d v="2025-10-18T07:00:00"/>
    <s v="Chennai"/>
    <s v="CHICKEN__390"/>
    <x v="7"/>
    <s v="Pizza"/>
    <n v="176"/>
    <n v="0.05"/>
    <n v="167.2"/>
    <n v="6"/>
    <n v="131.82586467932401"/>
    <n v="1003.19999999999"/>
    <n v="790.95518807594794"/>
    <n v="212.24481192405099"/>
    <s v="None"/>
    <n v="1056"/>
    <n v="-212.2448119240421"/>
  </r>
  <r>
    <s v="ORD1793"/>
    <d v="2024-05-03T12:00:00"/>
    <s v="Chennai"/>
    <s v="CLUB_SAN_166"/>
    <x v="13"/>
    <s v="Sandwich"/>
    <n v="95"/>
    <n v="0.1"/>
    <n v="85.5"/>
    <n v="4"/>
    <n v="52.689733307216599"/>
    <n v="342"/>
    <n v="210.758933228866"/>
    <n v="131.24106677113301"/>
    <s v="None"/>
    <n v="380"/>
    <n v="-131.241066771134"/>
  </r>
  <r>
    <s v="ORD1794"/>
    <d v="2024-10-24T09:00:00"/>
    <s v="Hyderabad"/>
    <s v="VEG_SAND_242"/>
    <x v="9"/>
    <s v="Sandwich"/>
    <n v="112"/>
    <n v="0.15"/>
    <n v="95.2"/>
    <n v="4"/>
    <n v="83.387747454649201"/>
    <n v="380.8"/>
    <n v="333.55098981859697"/>
    <n v="47.249010181402902"/>
    <s v="Percent-Off"/>
    <n v="448"/>
    <n v="-47.249010181403037"/>
  </r>
  <r>
    <s v="ORD1795"/>
    <d v="2025-12-23T19:00:00"/>
    <s v="Pune"/>
    <s v="CHICKEN__514"/>
    <x v="14"/>
    <s v="Burger"/>
    <n v="154"/>
    <n v="0.15"/>
    <n v="130.9"/>
    <n v="1"/>
    <n v="98.704582395560294"/>
    <n v="130.9"/>
    <n v="98.704582395560294"/>
    <n v="32.195417604439598"/>
    <s v="None"/>
    <n v="154"/>
    <n v="-32.195417604439712"/>
  </r>
  <r>
    <s v="ORD1796"/>
    <d v="2025-12-06T00:00:00"/>
    <s v="Chennai"/>
    <s v="PEPPY_PA_807"/>
    <x v="10"/>
    <s v="Pizza"/>
    <n v="341"/>
    <n v="0.1"/>
    <n v="306.89999999999998"/>
    <n v="1"/>
    <n v="172.706809239412"/>
    <n v="306.89999999999998"/>
    <n v="172.706809239412"/>
    <n v="134.19319076058699"/>
    <s v="None"/>
    <n v="341"/>
    <n v="-134.19319076058798"/>
  </r>
  <r>
    <s v="ORD1797"/>
    <d v="2025-08-01T19:00:00"/>
    <s v="Mumbai"/>
    <s v="BROWNIE_714"/>
    <x v="12"/>
    <s v="Dessert"/>
    <n v="148"/>
    <n v="0"/>
    <n v="148"/>
    <n v="3"/>
    <n v="96.897746157620603"/>
    <n v="444"/>
    <n v="290.69323847286199"/>
    <n v="153.30676152713701"/>
    <s v="Percent-Off"/>
    <n v="444"/>
    <n v="-153.30676152713801"/>
  </r>
  <r>
    <s v="ORD1798"/>
    <d v="2024-11-01T20:00:00"/>
    <s v="Bangalore"/>
    <s v="VEG_SAND_326"/>
    <x v="9"/>
    <s v="Sandwich"/>
    <n v="240"/>
    <n v="0.25"/>
    <n v="180"/>
    <n v="3"/>
    <n v="140.91140360692299"/>
    <n v="540"/>
    <n v="422.73421082076902"/>
    <n v="117.26578917923"/>
    <s v="None"/>
    <n v="720"/>
    <n v="-117.26578917923098"/>
  </r>
  <r>
    <s v="ORD1799"/>
    <d v="2024-11-27T23:00:00"/>
    <s v="Bangalore"/>
    <s v="SPRITE_474"/>
    <x v="3"/>
    <s v="Drinks"/>
    <n v="296"/>
    <n v="0"/>
    <n v="296"/>
    <n v="1"/>
    <n v="187.04362618914101"/>
    <n v="296"/>
    <n v="187.04362618914101"/>
    <n v="108.956373810858"/>
    <s v="None"/>
    <n v="296"/>
    <n v="-108.95637381085899"/>
  </r>
  <r>
    <s v="ORD1800"/>
    <d v="2025-06-01T07:00:00"/>
    <s v="Mumbai"/>
    <s v="ONION_RI_167"/>
    <x v="17"/>
    <s v="Snacks"/>
    <n v="331"/>
    <n v="0"/>
    <n v="331"/>
    <n v="6"/>
    <n v="218.45392301905301"/>
    <n v="1986"/>
    <n v="1310.72353811431"/>
    <n v="675.27646188567996"/>
    <s v="None"/>
    <n v="1986"/>
    <n v="-675.27646188568997"/>
  </r>
  <r>
    <s v="ORD1801"/>
    <d v="2025-05-09T15:00:00"/>
    <s v="Bangalore"/>
    <s v="COLD_COF_699"/>
    <x v="15"/>
    <s v="Drinks"/>
    <n v="271"/>
    <n v="0"/>
    <n v="271"/>
    <n v="2"/>
    <n v="109.999443227287"/>
    <n v="542"/>
    <n v="219.998886454575"/>
    <n v="322.001113545424"/>
    <s v="Coupon"/>
    <n v="542"/>
    <n v="-322.00111354542503"/>
  </r>
  <r>
    <s v="ORD1802"/>
    <d v="2025-05-11T12:00:00"/>
    <s v="Delhi"/>
    <s v="PEPPY_PA_580"/>
    <x v="10"/>
    <s v="Pizza"/>
    <n v="239"/>
    <n v="0"/>
    <n v="239"/>
    <n v="2"/>
    <n v="136.376849465595"/>
    <n v="478"/>
    <n v="272.75369893119"/>
    <n v="205.246301068809"/>
    <s v="None"/>
    <n v="478"/>
    <n v="-205.24630106881"/>
  </r>
  <r>
    <s v="ORD1803"/>
    <d v="2024-12-29T22:00:00"/>
    <s v="Chennai"/>
    <s v="CHEESE_B_458"/>
    <x v="5"/>
    <s v="Burger"/>
    <n v="303"/>
    <n v="0.15"/>
    <n v="257.55"/>
    <n v="6"/>
    <n v="220.01617499057701"/>
    <n v="1545.3"/>
    <n v="1320.09704994346"/>
    <n v="225.20295005653799"/>
    <s v="None"/>
    <n v="1818"/>
    <n v="-225.20295005653998"/>
  </r>
  <r>
    <s v="ORD1804"/>
    <d v="2024-02-05T05:00:00"/>
    <s v="Chennai"/>
    <s v="PEPPY_PA_107"/>
    <x v="10"/>
    <s v="Pizza"/>
    <n v="95"/>
    <n v="0"/>
    <n v="95"/>
    <n v="1"/>
    <n v="60.275050876863901"/>
    <n v="95"/>
    <n v="60.275050876863901"/>
    <n v="34.724949123136"/>
    <s v="None"/>
    <n v="95"/>
    <n v="-34.724949123136099"/>
  </r>
  <r>
    <s v="ORD1805"/>
    <d v="2024-04-13T22:00:00"/>
    <s v="Mumbai"/>
    <s v="GARLIC_B_155"/>
    <x v="4"/>
    <s v="Snacks"/>
    <n v="255"/>
    <n v="0"/>
    <n v="255"/>
    <n v="3"/>
    <n v="155.137072964488"/>
    <n v="765"/>
    <n v="465.41121889346601"/>
    <n v="299.58878110653302"/>
    <s v="None"/>
    <n v="765"/>
    <n v="-299.58878110653399"/>
  </r>
  <r>
    <s v="ORD1806"/>
    <d v="2025-06-12T05:00:00"/>
    <s v="Hyderabad"/>
    <s v="CLUB_SAN_232"/>
    <x v="13"/>
    <s v="Sandwich"/>
    <n v="333"/>
    <n v="0.1"/>
    <n v="299.7"/>
    <n v="7"/>
    <n v="242.27634423428"/>
    <n v="2097.9"/>
    <n v="1695.93440963996"/>
    <n v="401.96559036003299"/>
    <s v="Coupon"/>
    <n v="2331"/>
    <n v="-401.9655903600401"/>
  </r>
  <r>
    <s v="ORD1807"/>
    <d v="2025-05-28T18:00:00"/>
    <s v="Pune"/>
    <s v="GRILLED__573"/>
    <x v="1"/>
    <s v="Sandwich"/>
    <n v="310"/>
    <n v="0.1"/>
    <n v="279"/>
    <n v="3"/>
    <n v="184.81519764746"/>
    <n v="837"/>
    <n v="554.44559294238002"/>
    <n v="282.55440705761902"/>
    <s v="Percent-Off"/>
    <n v="930"/>
    <n v="-282.55440705761998"/>
  </r>
  <r>
    <s v="ORD1808"/>
    <d v="2024-08-03T19:00:00"/>
    <s v="Delhi"/>
    <s v="CHICKEN__934"/>
    <x v="7"/>
    <s v="Pizza"/>
    <n v="192"/>
    <n v="0"/>
    <n v="192"/>
    <n v="6"/>
    <n v="81.469514623378203"/>
    <n v="1152"/>
    <n v="488.81708774026902"/>
    <n v="663.18291225972996"/>
    <s v="None"/>
    <n v="1152"/>
    <n v="-663.18291225973098"/>
  </r>
  <r>
    <s v="ORD1809"/>
    <d v="2024-10-02T10:00:00"/>
    <s v="Pune"/>
    <s v="PEPPY_PA_364"/>
    <x v="10"/>
    <s v="Pizza"/>
    <n v="139"/>
    <n v="0.1"/>
    <n v="125.1"/>
    <n v="5"/>
    <n v="99.112066382431493"/>
    <n v="625.5"/>
    <n v="495.56033191215698"/>
    <n v="129.93966808784199"/>
    <s v="Coupon"/>
    <n v="695"/>
    <n v="-129.93966808784302"/>
  </r>
  <r>
    <s v="ORD1810"/>
    <d v="2024-09-24T22:00:00"/>
    <s v="Delhi"/>
    <s v="GRILLED__791"/>
    <x v="1"/>
    <s v="Sandwich"/>
    <n v="275"/>
    <n v="0.1"/>
    <n v="247.5"/>
    <n v="6"/>
    <n v="128.41196801695199"/>
    <n v="1485"/>
    <n v="770.47180810171596"/>
    <n v="714.52819189828301"/>
    <s v="Coupon"/>
    <n v="1650"/>
    <n v="-714.52819189828404"/>
  </r>
  <r>
    <s v="ORD1811"/>
    <d v="2024-10-25T02:00:00"/>
    <s v="Chennai"/>
    <s v="COLD_COF_497"/>
    <x v="15"/>
    <s v="Drinks"/>
    <n v="182"/>
    <n v="0.15"/>
    <n v="154.69999999999999"/>
    <n v="7"/>
    <n v="104.530276896327"/>
    <n v="1082.8999999999901"/>
    <n v="731.71193827429204"/>
    <n v="351.18806172570697"/>
    <s v="Bundle"/>
    <n v="1274"/>
    <n v="-351.18806172569805"/>
  </r>
  <r>
    <s v="ORD1812"/>
    <d v="2025-07-30T04:00:00"/>
    <s v="Bangalore"/>
    <s v="SPRITE_605"/>
    <x v="3"/>
    <s v="Drinks"/>
    <n v="150"/>
    <n v="0"/>
    <n v="150"/>
    <n v="5"/>
    <n v="81.190865128256405"/>
    <n v="750"/>
    <n v="405.95432564128203"/>
    <n v="344.04567435871701"/>
    <s v="Percent-Off"/>
    <n v="750"/>
    <n v="-344.04567435871797"/>
  </r>
  <r>
    <s v="ORD1813"/>
    <d v="2025-02-26T17:00:00"/>
    <s v="Bangalore"/>
    <s v="PEPPY_PA_491"/>
    <x v="10"/>
    <s v="Pizza"/>
    <n v="268"/>
    <n v="0"/>
    <n v="268"/>
    <n v="1"/>
    <n v="193.734511718395"/>
    <n v="268"/>
    <n v="193.734511718395"/>
    <n v="74.265488281604803"/>
    <s v="Bundle"/>
    <n v="268"/>
    <n v="-74.265488281605002"/>
  </r>
  <r>
    <s v="ORD1814"/>
    <d v="2024-09-27T08:00:00"/>
    <s v="Mumbai"/>
    <s v="ICE_CREA_864"/>
    <x v="6"/>
    <s v="Dessert"/>
    <n v="225"/>
    <n v="0.05"/>
    <n v="213.75"/>
    <n v="5"/>
    <n v="145.50176310900801"/>
    <n v="1068.75"/>
    <n v="727.50881554504201"/>
    <n v="341.24118445495702"/>
    <s v="None"/>
    <n v="1125"/>
    <n v="-341.24118445495799"/>
  </r>
  <r>
    <s v="ORD1815"/>
    <d v="2024-06-09T10:00:00"/>
    <s v="Pune"/>
    <s v="COLD_COF_217"/>
    <x v="15"/>
    <s v="Drinks"/>
    <n v="221"/>
    <n v="0"/>
    <n v="221"/>
    <n v="1"/>
    <n v="121.746086796177"/>
    <n v="221"/>
    <n v="121.746086796177"/>
    <n v="99.253913203822606"/>
    <s v="Coupon"/>
    <n v="221"/>
    <n v="-99.253913203823004"/>
  </r>
  <r>
    <s v="ORD1816"/>
    <d v="2025-12-12T09:00:00"/>
    <s v="Pune"/>
    <s v="PEPPY_PA_502"/>
    <x v="10"/>
    <s v="Pizza"/>
    <n v="156"/>
    <n v="0.05"/>
    <n v="148.19999999999999"/>
    <n v="5"/>
    <n v="78.702946093340699"/>
    <n v="741"/>
    <n v="393.51473046670299"/>
    <n v="347.48526953329599"/>
    <s v="None"/>
    <n v="780"/>
    <n v="-347.48526953329701"/>
  </r>
  <r>
    <s v="ORD1817"/>
    <d v="2025-07-19T04:00:00"/>
    <s v="Hyderabad"/>
    <s v="ONION_RI_423"/>
    <x v="17"/>
    <s v="Snacks"/>
    <n v="129"/>
    <n v="0.05"/>
    <n v="122.55"/>
    <n v="3"/>
    <n v="59.241529024546601"/>
    <n v="367.65"/>
    <n v="177.72458707364001"/>
    <n v="189.925412926359"/>
    <s v="BOGO"/>
    <n v="387"/>
    <n v="-189.92541292635997"/>
  </r>
  <r>
    <s v="ORD1818"/>
    <d v="2024-07-30T14:00:00"/>
    <s v="Hyderabad"/>
    <s v="VEG_BURG_323"/>
    <x v="0"/>
    <s v="Burger"/>
    <n v="326"/>
    <n v="0"/>
    <n v="326"/>
    <n v="3"/>
    <n v="163.436827523261"/>
    <n v="978"/>
    <n v="490.31048256978499"/>
    <n v="487.68951743021398"/>
    <s v="None"/>
    <n v="978"/>
    <n v="-487.68951743021501"/>
  </r>
  <r>
    <s v="ORD1819"/>
    <d v="2025-05-22T00:00:00"/>
    <s v="Mumbai"/>
    <s v="COLD_COF_714"/>
    <x v="15"/>
    <s v="Drinks"/>
    <n v="312"/>
    <n v="0"/>
    <n v="312"/>
    <n v="7"/>
    <n v="141.80528050202901"/>
    <n v="2184"/>
    <n v="992.63696351420504"/>
    <n v="1191.36303648579"/>
    <s v="BOGO"/>
    <n v="2184"/>
    <n v="-1191.363036485795"/>
  </r>
  <r>
    <s v="ORD1820"/>
    <d v="2024-08-15T00:00:00"/>
    <s v="Delhi"/>
    <s v="COLD_COF_700"/>
    <x v="15"/>
    <s v="Drinks"/>
    <n v="203"/>
    <n v="0.05"/>
    <n v="192.85"/>
    <n v="6"/>
    <n v="139.69188427038"/>
    <n v="1157.0999999999999"/>
    <n v="838.15130562228296"/>
    <n v="318.94869437771598"/>
    <s v="Percent-Off"/>
    <n v="1218"/>
    <n v="-318.94869437771695"/>
  </r>
  <r>
    <s v="ORD1821"/>
    <d v="2025-01-13T02:00:00"/>
    <s v="Bangalore"/>
    <s v="MARGHERI_770"/>
    <x v="16"/>
    <s v="Pizza"/>
    <n v="115"/>
    <n v="0.15"/>
    <n v="97.75"/>
    <n v="6"/>
    <n v="67.003555843144696"/>
    <n v="586.5"/>
    <n v="402.02133505886798"/>
    <n v="184.478664941131"/>
    <s v="None"/>
    <n v="690"/>
    <n v="-184.47866494113202"/>
  </r>
  <r>
    <s v="ORD1822"/>
    <d v="2024-09-23T22:00:00"/>
    <s v="Delhi"/>
    <s v="FRIES_687"/>
    <x v="2"/>
    <s v="Snacks"/>
    <n v="152"/>
    <n v="0"/>
    <n v="152"/>
    <n v="3"/>
    <n v="67.9287298401416"/>
    <n v="456"/>
    <n v="203.78618952042501"/>
    <n v="252.21381047957399"/>
    <s v="Percent-Off"/>
    <n v="456"/>
    <n v="-252.21381047957499"/>
  </r>
  <r>
    <s v="ORD1823"/>
    <d v="2025-01-01T16:00:00"/>
    <s v="Mumbai"/>
    <s v="ONION_RI_130"/>
    <x v="17"/>
    <s v="Snacks"/>
    <n v="320"/>
    <n v="0"/>
    <n v="320"/>
    <n v="5"/>
    <n v="218.27787778091201"/>
    <n v="1600"/>
    <n v="1091.3893889045601"/>
    <n v="508.61061109543698"/>
    <s v="None"/>
    <n v="1600"/>
    <n v="-508.61061109543994"/>
  </r>
  <r>
    <s v="ORD1824"/>
    <d v="2025-08-09T19:00:00"/>
    <s v="Mumbai"/>
    <s v="FRIES_635"/>
    <x v="2"/>
    <s v="Snacks"/>
    <n v="123"/>
    <n v="0"/>
    <n v="123"/>
    <n v="7"/>
    <n v="91.023980215886795"/>
    <n v="861"/>
    <n v="637.16786151120698"/>
    <n v="223.832138488792"/>
    <s v="Bundle"/>
    <n v="861"/>
    <n v="-223.83213848879302"/>
  </r>
  <r>
    <s v="ORD1825"/>
    <d v="2024-03-09T06:00:00"/>
    <s v="Bangalore"/>
    <s v="GARLIC_B_963"/>
    <x v="4"/>
    <s v="Snacks"/>
    <n v="293"/>
    <n v="0"/>
    <n v="293"/>
    <n v="3"/>
    <n v="160.58402303464601"/>
    <n v="879"/>
    <n v="481.75206910393803"/>
    <n v="397.24793089606101"/>
    <s v="Coupon"/>
    <n v="879"/>
    <n v="-397.24793089606197"/>
  </r>
  <r>
    <s v="ORD1826"/>
    <d v="2025-03-06T20:00:00"/>
    <s v="Pune"/>
    <s v="ONION_RI_332"/>
    <x v="17"/>
    <s v="Snacks"/>
    <n v="311"/>
    <n v="0"/>
    <n v="311"/>
    <n v="2"/>
    <n v="229.085984254295"/>
    <n v="622"/>
    <n v="458.17196850859"/>
    <n v="163.82803149140901"/>
    <s v="BOGO"/>
    <n v="622"/>
    <n v="-163.82803149141"/>
  </r>
  <r>
    <s v="ORD1827"/>
    <d v="2024-02-27T14:00:00"/>
    <s v="Chennai"/>
    <s v="BROWNIE_778"/>
    <x v="12"/>
    <s v="Dessert"/>
    <n v="252"/>
    <n v="0.1"/>
    <n v="226.8"/>
    <n v="6"/>
    <n v="142.57423263374201"/>
    <n v="1360.8"/>
    <n v="855.44539580245498"/>
    <n v="505.35460419754401"/>
    <s v="None"/>
    <n v="1512"/>
    <n v="-505.35460419754497"/>
  </r>
  <r>
    <s v="ORD1828"/>
    <d v="2024-02-28T11:00:00"/>
    <s v="Bangalore"/>
    <s v="FRIES_408"/>
    <x v="2"/>
    <s v="Snacks"/>
    <n v="319"/>
    <n v="0.2"/>
    <n v="255.2"/>
    <n v="7"/>
    <n v="144.56031059291499"/>
    <n v="1786.4"/>
    <n v="1011.9221741504"/>
    <n v="774.47782584959396"/>
    <s v="None"/>
    <n v="2233"/>
    <n v="-774.47782584960009"/>
  </r>
  <r>
    <s v="ORD1829"/>
    <d v="2025-01-10T11:00:00"/>
    <s v="Bangalore"/>
    <s v="CHEESE_B_533"/>
    <x v="5"/>
    <s v="Burger"/>
    <n v="260"/>
    <n v="0"/>
    <n v="260"/>
    <n v="2"/>
    <n v="175.251940511181"/>
    <n v="520"/>
    <n v="350.50388102236298"/>
    <n v="169.496118977636"/>
    <s v="Percent-Off"/>
    <n v="520"/>
    <n v="-169.49611897763702"/>
  </r>
  <r>
    <s v="ORD1830"/>
    <d v="2024-05-17T04:00:00"/>
    <s v="Delhi"/>
    <s v="COLD_COF_143"/>
    <x v="15"/>
    <s v="Drinks"/>
    <n v="84"/>
    <n v="0.2"/>
    <n v="67.2"/>
    <n v="4"/>
    <n v="58.244678355012098"/>
    <n v="268.8"/>
    <n v="232.978713420048"/>
    <n v="35.821286579951497"/>
    <s v="None"/>
    <n v="336"/>
    <n v="-35.821286579952016"/>
  </r>
  <r>
    <s v="ORD1831"/>
    <d v="2025-01-10T11:00:00"/>
    <s v="Bangalore"/>
    <s v="GRILLED__313"/>
    <x v="1"/>
    <s v="Sandwich"/>
    <n v="235"/>
    <n v="0.2"/>
    <n v="188"/>
    <n v="6"/>
    <n v="94.045581682137097"/>
    <n v="1128"/>
    <n v="564.27349009282204"/>
    <n v="563.72650990717705"/>
    <s v="None"/>
    <n v="1410"/>
    <n v="-563.72650990717796"/>
  </r>
  <r>
    <s v="ORD1832"/>
    <d v="2024-01-18T11:00:00"/>
    <s v="Hyderabad"/>
    <s v="CLUB_SAN_556"/>
    <x v="13"/>
    <s v="Sandwich"/>
    <n v="231"/>
    <n v="0.1"/>
    <n v="207.9"/>
    <n v="4"/>
    <n v="104.868908457822"/>
    <n v="831.6"/>
    <n v="419.47563383129102"/>
    <n v="412.12436616870798"/>
    <s v="Bundle"/>
    <n v="924"/>
    <n v="-412.124366168709"/>
  </r>
  <r>
    <s v="ORD1833"/>
    <d v="2025-06-01T03:00:00"/>
    <s v="Pune"/>
    <s v="CHICKEN__545"/>
    <x v="7"/>
    <s v="Pizza"/>
    <n v="186"/>
    <n v="0.05"/>
    <n v="176.7"/>
    <n v="1"/>
    <n v="109.32161883099501"/>
    <n v="176.7"/>
    <n v="109.32161883099501"/>
    <n v="67.378381169004001"/>
    <s v="Coupon"/>
    <n v="186"/>
    <n v="-67.378381169004982"/>
  </r>
  <r>
    <s v="ORD1834"/>
    <d v="2024-07-07T05:00:00"/>
    <s v="Bangalore"/>
    <s v="CHEESE_B_301"/>
    <x v="5"/>
    <s v="Burger"/>
    <n v="336"/>
    <n v="0.15"/>
    <n v="285.599999999999"/>
    <n v="6"/>
    <n v="216.44185516512101"/>
    <n v="1713.6"/>
    <n v="1298.65113099072"/>
    <n v="414.94886900927202"/>
    <s v="None"/>
    <n v="2016"/>
    <n v="-414.94886900927986"/>
  </r>
  <r>
    <s v="ORD1835"/>
    <d v="2025-10-04T14:00:00"/>
    <s v="Bangalore"/>
    <s v="FRIES_764"/>
    <x v="2"/>
    <s v="Snacks"/>
    <n v="259"/>
    <n v="0"/>
    <n v="259"/>
    <n v="5"/>
    <n v="135.23595329148301"/>
    <n v="1295"/>
    <n v="676.17976645741601"/>
    <n v="618.82023354258297"/>
    <s v="None"/>
    <n v="1295"/>
    <n v="-618.82023354258399"/>
  </r>
  <r>
    <s v="ORD1836"/>
    <d v="2025-02-08T04:00:00"/>
    <s v="Pune"/>
    <s v="FRIES_324"/>
    <x v="2"/>
    <s v="Snacks"/>
    <n v="319"/>
    <n v="0"/>
    <n v="319"/>
    <n v="2"/>
    <n v="135.15575036786299"/>
    <n v="638"/>
    <n v="270.31150073572701"/>
    <n v="367.68849926427202"/>
    <s v="Coupon"/>
    <n v="638"/>
    <n v="-367.68849926427299"/>
  </r>
  <r>
    <s v="ORD1837"/>
    <d v="2024-08-25T05:00:00"/>
    <s v="Delhi"/>
    <s v="CHEESE_B_135"/>
    <x v="5"/>
    <s v="Burger"/>
    <n v="168"/>
    <n v="0"/>
    <n v="168"/>
    <n v="3"/>
    <n v="101.66329951081001"/>
    <n v="504"/>
    <n v="304.98989853243103"/>
    <n v="199.01010146756801"/>
    <s v="None"/>
    <n v="504"/>
    <n v="-199.01010146756897"/>
  </r>
  <r>
    <s v="ORD1838"/>
    <d v="2024-02-01T23:00:00"/>
    <s v="Chennai"/>
    <s v="ONION_RI_751"/>
    <x v="17"/>
    <s v="Snacks"/>
    <n v="290"/>
    <n v="0"/>
    <n v="290"/>
    <n v="6"/>
    <n v="118.031491357052"/>
    <n v="1740"/>
    <n v="708.18894814231601"/>
    <n v="1031.81105185768"/>
    <s v="Bundle"/>
    <n v="1740"/>
    <n v="-1031.8110518576841"/>
  </r>
  <r>
    <s v="ORD1839"/>
    <d v="2025-09-09T10:00:00"/>
    <s v="Chennai"/>
    <s v="MARGHERI_236"/>
    <x v="16"/>
    <s v="Pizza"/>
    <n v="112"/>
    <n v="0"/>
    <n v="112"/>
    <n v="6"/>
    <n v="65.3868909654215"/>
    <n v="672"/>
    <n v="392.32134579252897"/>
    <n v="279.67865420747"/>
    <s v="None"/>
    <n v="672"/>
    <n v="-279.67865420747103"/>
  </r>
  <r>
    <s v="ORD1840"/>
    <d v="2024-03-05T13:00:00"/>
    <s v="Hyderabad"/>
    <s v="COLD_COF_589"/>
    <x v="15"/>
    <s v="Drinks"/>
    <n v="262"/>
    <n v="0.15"/>
    <n v="222.7"/>
    <n v="6"/>
    <n v="107.66758533942399"/>
    <n v="1336.19999999999"/>
    <n v="646.00551203654595"/>
    <n v="690.19448796345296"/>
    <s v="BOGO"/>
    <n v="1572"/>
    <n v="-690.19448796344409"/>
  </r>
  <r>
    <s v="ORD1841"/>
    <d v="2025-02-18T20:00:00"/>
    <s v="Mumbai"/>
    <s v="CHICKEN__292"/>
    <x v="7"/>
    <s v="Pizza"/>
    <n v="182"/>
    <n v="0"/>
    <n v="182"/>
    <n v="2"/>
    <n v="87.303638071715397"/>
    <n v="364"/>
    <n v="174.60727614343"/>
    <n v="189.39272385656901"/>
    <s v="None"/>
    <n v="364"/>
    <n v="-189.39272385657"/>
  </r>
  <r>
    <s v="ORD1842"/>
    <d v="2024-09-12T20:00:00"/>
    <s v="Delhi"/>
    <s v="VEG_SAND_207"/>
    <x v="9"/>
    <s v="Sandwich"/>
    <n v="185"/>
    <n v="0"/>
    <n v="185"/>
    <n v="6"/>
    <n v="123.546065643021"/>
    <n v="1110"/>
    <n v="741.27639385812995"/>
    <n v="368.72360614186903"/>
    <s v="Percent-Off"/>
    <n v="1110"/>
    <n v="-368.72360614187005"/>
  </r>
  <r>
    <s v="ORD1843"/>
    <d v="2025-03-27T13:00:00"/>
    <s v="Chennai"/>
    <s v="SPRITE_484"/>
    <x v="3"/>
    <s v="Drinks"/>
    <n v="331"/>
    <n v="0.1"/>
    <n v="297.89999999999998"/>
    <n v="4"/>
    <n v="148.20024777136601"/>
    <n v="1191.5999999999999"/>
    <n v="592.80099108546494"/>
    <n v="598.79900891453406"/>
    <s v="Percent-Off"/>
    <n v="1324"/>
    <n v="-598.79900891453497"/>
  </r>
  <r>
    <s v="ORD1844"/>
    <d v="2024-06-03T20:00:00"/>
    <s v="Chennai"/>
    <s v="VEG_BURG_946"/>
    <x v="0"/>
    <s v="Burger"/>
    <n v="317"/>
    <n v="0.2"/>
    <n v="253.6"/>
    <n v="5"/>
    <n v="179.34079783206599"/>
    <n v="1268"/>
    <n v="896.70398916033002"/>
    <n v="371.29601083966901"/>
    <s v="Percent-Off"/>
    <n v="1585"/>
    <n v="-371.29601083966998"/>
  </r>
  <r>
    <s v="ORD1845"/>
    <d v="2024-07-05T17:00:00"/>
    <s v="Hyderabad"/>
    <s v="COKE_686"/>
    <x v="8"/>
    <s v="Drinks"/>
    <n v="217"/>
    <n v="0.1"/>
    <n v="195.3"/>
    <n v="2"/>
    <n v="149.835303944656"/>
    <n v="390.6"/>
    <n v="299.67060788931201"/>
    <n v="90.929392110687104"/>
    <s v="Percent-Off"/>
    <n v="434"/>
    <n v="-90.929392110688013"/>
  </r>
  <r>
    <s v="ORD1846"/>
    <d v="2024-09-29T20:00:00"/>
    <s v="Pune"/>
    <s v="COLD_COF_943"/>
    <x v="15"/>
    <s v="Drinks"/>
    <n v="88"/>
    <n v="0"/>
    <n v="88"/>
    <n v="3"/>
    <n v="60.737266513170603"/>
    <n v="264"/>
    <n v="182.21179953951199"/>
    <n v="81.788200460488"/>
    <s v="None"/>
    <n v="264"/>
    <n v="-81.788200460488014"/>
  </r>
  <r>
    <s v="ORD1847"/>
    <d v="2024-07-20T13:00:00"/>
    <s v="Mumbai"/>
    <s v="BROWNIE_885"/>
    <x v="12"/>
    <s v="Dessert"/>
    <n v="112"/>
    <n v="0.1"/>
    <n v="100.8"/>
    <n v="5"/>
    <n v="56.219070101241897"/>
    <n v="504"/>
    <n v="281.095350506209"/>
    <n v="222.90464949379"/>
    <s v="Percent-Off"/>
    <n v="560"/>
    <n v="-222.904649493791"/>
  </r>
  <r>
    <s v="ORD1848"/>
    <d v="2024-11-19T06:00:00"/>
    <s v="Chennai"/>
    <s v="COKE_429"/>
    <x v="8"/>
    <s v="Drinks"/>
    <n v="234"/>
    <n v="0.15"/>
    <n v="198.9"/>
    <n v="1"/>
    <n v="134.46705690315599"/>
    <n v="198.9"/>
    <n v="134.46705690315599"/>
    <n v="64.4329430968439"/>
    <s v="Coupon"/>
    <n v="234"/>
    <n v="-64.432943096844014"/>
  </r>
  <r>
    <s v="ORD1849"/>
    <d v="2025-03-30T04:00:00"/>
    <s v="Delhi"/>
    <s v="VEG_BURG_301"/>
    <x v="0"/>
    <s v="Burger"/>
    <n v="222"/>
    <n v="0.05"/>
    <n v="210.89999999999901"/>
    <n v="6"/>
    <n v="112.887143961185"/>
    <n v="1265.3999999999901"/>
    <n v="677.32286376710999"/>
    <n v="588.07713623288896"/>
    <s v="Percent-Off"/>
    <n v="1332"/>
    <n v="-588.07713623288009"/>
  </r>
  <r>
    <s v="ORD1850"/>
    <d v="2024-11-29T01:00:00"/>
    <s v="Mumbai"/>
    <s v="CHICKEN__149"/>
    <x v="7"/>
    <s v="Pizza"/>
    <n v="338"/>
    <n v="0"/>
    <n v="338"/>
    <n v="4"/>
    <n v="182.57267028925801"/>
    <n v="1352"/>
    <n v="730.29068115703205"/>
    <n v="621.70931884296795"/>
    <s v="None"/>
    <n v="1352"/>
    <n v="-621.70931884296795"/>
  </r>
  <r>
    <s v="ORD1851"/>
    <d v="2024-08-18T22:00:00"/>
    <s v="Bangalore"/>
    <s v="GRILLED__175"/>
    <x v="1"/>
    <s v="Sandwich"/>
    <n v="109"/>
    <n v="0.15"/>
    <n v="92.649999999999906"/>
    <n v="4"/>
    <n v="67.220559502857"/>
    <n v="370.599999999999"/>
    <n v="268.882238011428"/>
    <n v="101.717761988571"/>
    <s v="None"/>
    <n v="436"/>
    <n v="-101.717761988571"/>
  </r>
  <r>
    <s v="ORD1852"/>
    <d v="2025-09-09T20:00:00"/>
    <s v="Delhi"/>
    <s v="GARLIC_B_376"/>
    <x v="4"/>
    <s v="Snacks"/>
    <n v="160"/>
    <n v="0"/>
    <n v="160"/>
    <n v="6"/>
    <n v="97.348145632077205"/>
    <n v="960"/>
    <n v="584.088873792463"/>
    <n v="375.91112620753597"/>
    <s v="None"/>
    <n v="960"/>
    <n v="-375.911126207537"/>
  </r>
  <r>
    <s v="ORD1853"/>
    <d v="2025-10-30T20:00:00"/>
    <s v="Chennai"/>
    <s v="CHICKEN__561"/>
    <x v="14"/>
    <s v="Burger"/>
    <n v="258"/>
    <n v="0.15"/>
    <n v="219.29999999999899"/>
    <n v="1"/>
    <n v="145.67080697392001"/>
    <n v="219.29999999999899"/>
    <n v="145.67080697392001"/>
    <n v="73.629193026079506"/>
    <s v="Coupon"/>
    <n v="258"/>
    <n v="-73.62919302607898"/>
  </r>
  <r>
    <s v="ORD1854"/>
    <d v="2024-04-09T09:00:00"/>
    <s v="Pune"/>
    <s v="VEG_SAND_166"/>
    <x v="9"/>
    <s v="Sandwich"/>
    <n v="127"/>
    <n v="0"/>
    <n v="127"/>
    <n v="2"/>
    <n v="71.594345465244203"/>
    <n v="254"/>
    <n v="143.18869093048801"/>
    <n v="110.811309069511"/>
    <s v="None"/>
    <n v="254"/>
    <n v="-110.81130906951199"/>
  </r>
  <r>
    <s v="ORD1855"/>
    <d v="2025-08-19T04:00:00"/>
    <s v="Delhi"/>
    <s v="CHICKEN__873"/>
    <x v="7"/>
    <s v="Pizza"/>
    <n v="239"/>
    <n v="0"/>
    <n v="239"/>
    <n v="1"/>
    <n v="143.52024123182699"/>
    <n v="239"/>
    <n v="143.52024123182699"/>
    <n v="95.479758768172701"/>
    <s v="Percent-Off"/>
    <n v="239"/>
    <n v="-95.479758768173014"/>
  </r>
  <r>
    <s v="ORD1856"/>
    <d v="2024-01-28T23:00:00"/>
    <s v="Delhi"/>
    <s v="MARGHERI_203"/>
    <x v="16"/>
    <s v="Pizza"/>
    <n v="302"/>
    <n v="0.15"/>
    <n v="256.7"/>
    <n v="4"/>
    <n v="195.09089694859199"/>
    <n v="1026.8"/>
    <n v="780.36358779437103"/>
    <n v="246.43641220562799"/>
    <s v="None"/>
    <n v="1208"/>
    <n v="-246.43641220562893"/>
  </r>
  <r>
    <s v="ORD1857"/>
    <d v="2024-01-07T19:00:00"/>
    <s v="Delhi"/>
    <s v="CHEESE_B_564"/>
    <x v="5"/>
    <s v="Burger"/>
    <n v="92"/>
    <n v="0.15"/>
    <n v="78.2"/>
    <n v="7"/>
    <n v="48.591537951545803"/>
    <n v="547.4"/>
    <n v="340.14076566082002"/>
    <n v="207.25923433917899"/>
    <s v="Percent-Off"/>
    <n v="644"/>
    <n v="-207.25923433917995"/>
  </r>
  <r>
    <s v="ORD1858"/>
    <d v="2024-12-26T16:00:00"/>
    <s v="Chennai"/>
    <s v="BROWNIE_980"/>
    <x v="12"/>
    <s v="Dessert"/>
    <n v="345"/>
    <n v="0"/>
    <n v="345"/>
    <n v="4"/>
    <n v="146.393066429209"/>
    <n v="1380"/>
    <n v="585.57226571683805"/>
    <n v="794.42773428316104"/>
    <s v="None"/>
    <n v="1380"/>
    <n v="-794.42773428316195"/>
  </r>
  <r>
    <s v="ORD1859"/>
    <d v="2025-04-13T02:00:00"/>
    <s v="Mumbai"/>
    <s v="GARLIC_B_348"/>
    <x v="4"/>
    <s v="Snacks"/>
    <n v="92"/>
    <n v="0"/>
    <n v="92"/>
    <n v="2"/>
    <n v="39.674850656188603"/>
    <n v="184"/>
    <n v="79.349701312377206"/>
    <n v="104.650298687622"/>
    <s v="None"/>
    <n v="184"/>
    <n v="-104.65029868762279"/>
  </r>
  <r>
    <s v="ORD1860"/>
    <d v="2024-07-18T19:00:00"/>
    <s v="Mumbai"/>
    <s v="CLUB_SAN_930"/>
    <x v="13"/>
    <s v="Sandwich"/>
    <n v="343"/>
    <n v="0.2"/>
    <n v="274.39999999999998"/>
    <n v="1"/>
    <n v="176.870204847503"/>
    <n v="274.39999999999998"/>
    <n v="176.870204847503"/>
    <n v="97.529795152496803"/>
    <s v="Percent-Off"/>
    <n v="343"/>
    <n v="-97.529795152496973"/>
  </r>
  <r>
    <s v="ORD1861"/>
    <d v="2025-03-19T02:00:00"/>
    <s v="Chennai"/>
    <s v="COKE_218"/>
    <x v="8"/>
    <s v="Drinks"/>
    <n v="348"/>
    <n v="0"/>
    <n v="348"/>
    <n v="1"/>
    <n v="230.74863065649299"/>
    <n v="348"/>
    <n v="230.74863065649299"/>
    <n v="117.251369343506"/>
    <s v="None"/>
    <n v="348"/>
    <n v="-117.25136934350701"/>
  </r>
  <r>
    <s v="ORD1862"/>
    <d v="2024-07-18T22:00:00"/>
    <s v="Bangalore"/>
    <s v="BROWNIE_145"/>
    <x v="12"/>
    <s v="Dessert"/>
    <n v="174"/>
    <n v="0"/>
    <n v="174"/>
    <n v="1"/>
    <n v="74.050124522224195"/>
    <n v="174"/>
    <n v="74.050124522224195"/>
    <n v="99.949875477775706"/>
    <s v="Percent-Off"/>
    <n v="174"/>
    <n v="-99.949875477775805"/>
  </r>
  <r>
    <s v="ORD1863"/>
    <d v="2025-03-23T21:00:00"/>
    <s v="Bangalore"/>
    <s v="CHEESE_B_940"/>
    <x v="5"/>
    <s v="Burger"/>
    <n v="311"/>
    <n v="0.2"/>
    <n v="248.8"/>
    <n v="1"/>
    <n v="185.18966867407201"/>
    <n v="248.8"/>
    <n v="185.18966867407201"/>
    <n v="63.610331325927802"/>
    <s v="Percent-Off"/>
    <n v="311"/>
    <n v="-63.610331325928001"/>
  </r>
  <r>
    <s v="ORD1864"/>
    <d v="2024-08-30T19:00:00"/>
    <s v="Delhi"/>
    <s v="MARGHERI_265"/>
    <x v="16"/>
    <s v="Pizza"/>
    <n v="134"/>
    <n v="0.25"/>
    <n v="100.5"/>
    <n v="1"/>
    <n v="55.228502513592296"/>
    <n v="100.5"/>
    <n v="55.228502513592296"/>
    <n v="45.271497486407704"/>
    <s v="Coupon"/>
    <n v="134"/>
    <n v="-45.271497486407704"/>
  </r>
  <r>
    <s v="ORD1865"/>
    <d v="2024-07-15T15:00:00"/>
    <s v="Bangalore"/>
    <s v="COLD_COF_408"/>
    <x v="15"/>
    <s v="Drinks"/>
    <n v="129"/>
    <n v="0"/>
    <n v="129"/>
    <n v="1"/>
    <n v="96.2859885045537"/>
    <n v="129"/>
    <n v="96.2859885045537"/>
    <n v="32.714011495446201"/>
    <s v="Percent-Off"/>
    <n v="129"/>
    <n v="-32.7140114954463"/>
  </r>
  <r>
    <s v="ORD1866"/>
    <d v="2024-01-25T17:00:00"/>
    <s v="Bangalore"/>
    <s v="COKE_223"/>
    <x v="8"/>
    <s v="Drinks"/>
    <n v="307"/>
    <n v="0"/>
    <n v="307"/>
    <n v="2"/>
    <n v="199.07091920014"/>
    <n v="614"/>
    <n v="398.14183840028102"/>
    <n v="215.85816159971799"/>
    <s v="Coupon"/>
    <n v="614"/>
    <n v="-215.85816159971898"/>
  </r>
  <r>
    <s v="ORD1867"/>
    <d v="2024-11-04T02:00:00"/>
    <s v="Pune"/>
    <s v="CHEESE_B_675"/>
    <x v="5"/>
    <s v="Burger"/>
    <n v="116"/>
    <n v="0"/>
    <n v="116"/>
    <n v="6"/>
    <n v="52.558323643686997"/>
    <n v="696"/>
    <n v="315.34994186212202"/>
    <n v="380.65005813787701"/>
    <s v="Percent-Off"/>
    <n v="696"/>
    <n v="-380.65005813787798"/>
  </r>
  <r>
    <s v="ORD1868"/>
    <d v="2025-08-08T16:00:00"/>
    <s v="Hyderabad"/>
    <s v="PEPPY_PA_639"/>
    <x v="10"/>
    <s v="Pizza"/>
    <n v="281"/>
    <n v="0.1"/>
    <n v="252.9"/>
    <n v="5"/>
    <n v="171.12458983528001"/>
    <n v="1264.5"/>
    <n v="855.62294917640304"/>
    <n v="408.87705082359599"/>
    <s v="Coupon"/>
    <n v="1405"/>
    <n v="-408.87705082359696"/>
  </r>
  <r>
    <s v="ORD1869"/>
    <d v="2025-03-19T04:00:00"/>
    <s v="Mumbai"/>
    <s v="CHEESE_B_425"/>
    <x v="5"/>
    <s v="Burger"/>
    <n v="344"/>
    <n v="0.15"/>
    <n v="292.39999999999998"/>
    <n v="7"/>
    <n v="140.290330025461"/>
    <n v="2046.79999999999"/>
    <n v="982.03231017822998"/>
    <n v="1064.7676898217601"/>
    <s v="None"/>
    <n v="2408"/>
    <n v="-1064.7676898217601"/>
  </r>
  <r>
    <s v="ORD1870"/>
    <d v="2024-01-01T16:00:00"/>
    <s v="Delhi"/>
    <s v="CHICKEN__935"/>
    <x v="14"/>
    <s v="Burger"/>
    <n v="281"/>
    <n v="0.05"/>
    <n v="266.95"/>
    <n v="4"/>
    <n v="158.66458937455999"/>
    <n v="1067.8"/>
    <n v="634.65835749824203"/>
    <n v="433.14164250175702"/>
    <s v="BOGO"/>
    <n v="1124"/>
    <n v="-433.14164250175793"/>
  </r>
  <r>
    <s v="ORD1871"/>
    <d v="2024-05-12T23:00:00"/>
    <s v="Delhi"/>
    <s v="CHEESE_B_665"/>
    <x v="5"/>
    <s v="Burger"/>
    <n v="267"/>
    <n v="0"/>
    <n v="267"/>
    <n v="5"/>
    <n v="124.230464991714"/>
    <n v="1335"/>
    <n v="621.15232495857299"/>
    <n v="713.84767504142599"/>
    <s v="Coupon"/>
    <n v="1335"/>
    <n v="-713.84767504142701"/>
  </r>
  <r>
    <s v="ORD1872"/>
    <d v="2024-01-17T08:00:00"/>
    <s v="Pune"/>
    <s v="ONION_RI_102"/>
    <x v="17"/>
    <s v="Snacks"/>
    <n v="140"/>
    <n v="0.15"/>
    <n v="119"/>
    <n v="7"/>
    <n v="83.957089892548595"/>
    <n v="833"/>
    <n v="587.69962924783999"/>
    <n v="245.30037075215901"/>
    <s v="None"/>
    <n v="980"/>
    <n v="-245.30037075216001"/>
  </r>
  <r>
    <s v="ORD1873"/>
    <d v="2024-09-18T08:00:00"/>
    <s v="Bangalore"/>
    <s v="MARGHERI_757"/>
    <x v="16"/>
    <s v="Pizza"/>
    <n v="343"/>
    <n v="0.1"/>
    <n v="308.7"/>
    <n v="4"/>
    <n v="232.59494626276501"/>
    <n v="1234.8"/>
    <n v="930.37978505106003"/>
    <n v="304.42021494893902"/>
    <s v="Percent-Off"/>
    <n v="1372"/>
    <n v="-304.42021494893993"/>
  </r>
  <r>
    <s v="ORD1874"/>
    <d v="2025-12-07T11:00:00"/>
    <s v="Hyderabad"/>
    <s v="VEG_SAND_708"/>
    <x v="9"/>
    <s v="Sandwich"/>
    <n v="308"/>
    <n v="0.15"/>
    <n v="261.8"/>
    <n v="5"/>
    <n v="135.138108356609"/>
    <n v="1309"/>
    <n v="675.69054178304896"/>
    <n v="633.30945821695002"/>
    <s v="None"/>
    <n v="1540"/>
    <n v="-633.30945821695104"/>
  </r>
  <r>
    <s v="ORD1875"/>
    <d v="2024-05-31T07:00:00"/>
    <s v="Chennai"/>
    <s v="MARGHERI_860"/>
    <x v="16"/>
    <s v="Pizza"/>
    <n v="89"/>
    <n v="0"/>
    <n v="89"/>
    <n v="3"/>
    <n v="37.639214569399101"/>
    <n v="267"/>
    <n v="112.91764370819701"/>
    <n v="154.082356291802"/>
    <s v="None"/>
    <n v="267"/>
    <n v="-154.08235629180299"/>
  </r>
  <r>
    <s v="ORD1876"/>
    <d v="2024-09-14T04:00:00"/>
    <s v="Mumbai"/>
    <s v="SPRITE_638"/>
    <x v="3"/>
    <s v="Drinks"/>
    <n v="98"/>
    <n v="0.05"/>
    <n v="93.1"/>
    <n v="4"/>
    <n v="49.365408914640199"/>
    <n v="372.4"/>
    <n v="197.46163565856"/>
    <n v="174.93836434143901"/>
    <s v="None"/>
    <n v="392"/>
    <n v="-174.93836434143998"/>
  </r>
  <r>
    <s v="ORD1877"/>
    <d v="2025-01-23T00:00:00"/>
    <s v="Mumbai"/>
    <s v="SPRITE_706"/>
    <x v="3"/>
    <s v="Drinks"/>
    <n v="220"/>
    <n v="0"/>
    <n v="220"/>
    <n v="2"/>
    <n v="104.174074853806"/>
    <n v="440"/>
    <n v="208.348149707613"/>
    <n v="231.651850292387"/>
    <s v="Coupon"/>
    <n v="440"/>
    <n v="-231.651850292387"/>
  </r>
  <r>
    <s v="ORD1878"/>
    <d v="2025-01-06T02:00:00"/>
    <s v="Mumbai"/>
    <s v="CHEESE_B_660"/>
    <x v="5"/>
    <s v="Burger"/>
    <n v="136"/>
    <n v="0.05"/>
    <n v="129.19999999999999"/>
    <n v="1"/>
    <n v="101.874630241765"/>
    <n v="129.19999999999999"/>
    <n v="101.874630241765"/>
    <n v="27.325369758234"/>
    <s v="Coupon"/>
    <n v="136"/>
    <n v="-27.325369758234984"/>
  </r>
  <r>
    <s v="ORD1879"/>
    <d v="2025-12-15T23:00:00"/>
    <s v="Hyderabad"/>
    <s v="GULAB_JA_600"/>
    <x v="11"/>
    <s v="Dessert"/>
    <n v="281"/>
    <n v="0.1"/>
    <n v="252.9"/>
    <n v="1"/>
    <n v="154.502934416063"/>
    <n v="252.9"/>
    <n v="154.502934416063"/>
    <n v="98.397065583936694"/>
    <s v="Percent-Off"/>
    <n v="281"/>
    <n v="-98.397065583937007"/>
  </r>
  <r>
    <s v="ORD1880"/>
    <d v="2025-11-16T22:00:00"/>
    <s v="Pune"/>
    <s v="FRIES_415"/>
    <x v="2"/>
    <s v="Snacks"/>
    <n v="282"/>
    <n v="0.05"/>
    <n v="267.89999999999998"/>
    <n v="3"/>
    <n v="200.02883512518699"/>
    <n v="803.69999999999902"/>
    <n v="600.08650537556196"/>
    <n v="203.61349462443701"/>
    <s v="Percent-Off"/>
    <n v="846"/>
    <n v="-203.61349462443707"/>
  </r>
  <r>
    <s v="ORD1881"/>
    <d v="2024-12-02T16:00:00"/>
    <s v="Hyderabad"/>
    <s v="VEG_SAND_327"/>
    <x v="9"/>
    <s v="Sandwich"/>
    <n v="290"/>
    <n v="0.15"/>
    <n v="246.5"/>
    <n v="6"/>
    <n v="203.39709175858499"/>
    <n v="1479"/>
    <n v="1220.3825505515099"/>
    <n v="258.61744944848601"/>
    <s v="Coupon"/>
    <n v="1740"/>
    <n v="-258.61744944849011"/>
  </r>
  <r>
    <s v="ORD1882"/>
    <d v="2024-10-22T19:00:00"/>
    <s v="Delhi"/>
    <s v="SPRITE_799"/>
    <x v="3"/>
    <s v="Drinks"/>
    <n v="80"/>
    <n v="0.2"/>
    <n v="64"/>
    <n v="4"/>
    <n v="44.017901827167499"/>
    <n v="256"/>
    <n v="176.07160730867"/>
    <n v="79.928392691329606"/>
    <s v="None"/>
    <n v="320"/>
    <n v="-79.928392691330004"/>
  </r>
  <r>
    <s v="ORD1883"/>
    <d v="2025-09-13T12:00:00"/>
    <s v="Pune"/>
    <s v="CHICKEN__380"/>
    <x v="14"/>
    <s v="Burger"/>
    <n v="194"/>
    <n v="0.2"/>
    <n v="155.19999999999999"/>
    <n v="2"/>
    <n v="121.06492310504299"/>
    <n v="310.39999999999998"/>
    <n v="242.12984621008701"/>
    <n v="68.270153789912698"/>
    <s v="None"/>
    <n v="388"/>
    <n v="-68.270153789912968"/>
  </r>
  <r>
    <s v="ORD1884"/>
    <d v="2024-10-22T03:00:00"/>
    <s v="Bangalore"/>
    <s v="BROWNIE_556"/>
    <x v="12"/>
    <s v="Dessert"/>
    <n v="343"/>
    <n v="0.2"/>
    <n v="274.39999999999998"/>
    <n v="3"/>
    <n v="224.72884919556401"/>
    <n v="823.2"/>
    <n v="674.18654758669402"/>
    <n v="149.013452413305"/>
    <s v="None"/>
    <n v="1029"/>
    <n v="-149.01345241330603"/>
  </r>
  <r>
    <s v="ORD1885"/>
    <d v="2025-01-19T07:00:00"/>
    <s v="Mumbai"/>
    <s v="FRIES_508"/>
    <x v="2"/>
    <s v="Snacks"/>
    <n v="252"/>
    <n v="0.05"/>
    <n v="239.39999999999901"/>
    <n v="6"/>
    <n v="144.008663335938"/>
    <n v="1436.3999999999901"/>
    <n v="864.05198001563201"/>
    <n v="572.34801998436706"/>
    <s v="Coupon"/>
    <n v="1512"/>
    <n v="-572.34801998435807"/>
  </r>
  <r>
    <s v="ORD1886"/>
    <d v="2024-07-24T20:00:00"/>
    <s v="Mumbai"/>
    <s v="ONION_RI_918"/>
    <x v="17"/>
    <s v="Snacks"/>
    <n v="159"/>
    <n v="0"/>
    <n v="159"/>
    <n v="2"/>
    <n v="89.323153252769202"/>
    <n v="318"/>
    <n v="178.64630650553801"/>
    <n v="139.353693494461"/>
    <s v="None"/>
    <n v="318"/>
    <n v="-139.35369349446199"/>
  </r>
  <r>
    <s v="ORD1887"/>
    <d v="2024-05-24T00:00:00"/>
    <s v="Delhi"/>
    <s v="SPRITE_209"/>
    <x v="3"/>
    <s v="Drinks"/>
    <n v="88"/>
    <n v="0.05"/>
    <n v="83.6"/>
    <n v="7"/>
    <n v="44.597363058532103"/>
    <n v="585.19999999999902"/>
    <n v="312.18154140972399"/>
    <n v="273.01845859027497"/>
    <s v="Percent-Off"/>
    <n v="616"/>
    <n v="-273.01845859027503"/>
  </r>
  <r>
    <s v="ORD1888"/>
    <d v="2024-11-20T12:00:00"/>
    <s v="Bangalore"/>
    <s v="GULAB_JA_166"/>
    <x v="11"/>
    <s v="Dessert"/>
    <n v="213"/>
    <n v="0"/>
    <n v="213"/>
    <n v="7"/>
    <n v="144.01824935438799"/>
    <n v="1491"/>
    <n v="1008.12774548071"/>
    <n v="482.87225451927998"/>
    <s v="None"/>
    <n v="1491"/>
    <n v="-482.87225451928998"/>
  </r>
  <r>
    <s v="ORD1889"/>
    <d v="2024-04-22T23:00:00"/>
    <s v="Bangalore"/>
    <s v="COLD_COF_915"/>
    <x v="15"/>
    <s v="Drinks"/>
    <n v="155"/>
    <n v="0.15"/>
    <n v="131.75"/>
    <n v="2"/>
    <n v="77.475553660328103"/>
    <n v="263.5"/>
    <n v="154.95110732065601"/>
    <n v="108.548892679343"/>
    <s v="Percent-Off"/>
    <n v="310"/>
    <n v="-108.54889267934399"/>
  </r>
  <r>
    <s v="ORD1890"/>
    <d v="2025-04-15T00:00:00"/>
    <s v="Delhi"/>
    <s v="GRILLED__669"/>
    <x v="1"/>
    <s v="Sandwich"/>
    <n v="312"/>
    <n v="0.1"/>
    <n v="280.8"/>
    <n v="3"/>
    <n v="137.82154431606301"/>
    <n v="842.4"/>
    <n v="413.46463294819"/>
    <n v="428.93536705180998"/>
    <s v="None"/>
    <n v="936"/>
    <n v="-428.93536705180998"/>
  </r>
  <r>
    <s v="ORD1891"/>
    <d v="2025-11-19T19:00:00"/>
    <s v="Bangalore"/>
    <s v="CLUB_SAN_782"/>
    <x v="13"/>
    <s v="Sandwich"/>
    <n v="338"/>
    <n v="0"/>
    <n v="338"/>
    <n v="6"/>
    <n v="140.44014948694399"/>
    <n v="2028"/>
    <n v="842.64089692166499"/>
    <n v="1185.35910307833"/>
    <s v="Coupon"/>
    <n v="2028"/>
    <n v="-1185.359103078335"/>
  </r>
  <r>
    <s v="ORD1892"/>
    <d v="2025-05-18T17:00:00"/>
    <s v="Hyderabad"/>
    <s v="BROWNIE_672"/>
    <x v="12"/>
    <s v="Dessert"/>
    <n v="164"/>
    <n v="0.2"/>
    <n v="131.19999999999999"/>
    <n v="4"/>
    <n v="65.617778611921295"/>
    <n v="524.79999999999995"/>
    <n v="262.47111444768501"/>
    <n v="262.32888555231398"/>
    <s v="Coupon"/>
    <n v="656"/>
    <n v="-262.32888555231494"/>
  </r>
  <r>
    <s v="ORD1893"/>
    <d v="2025-02-26T14:00:00"/>
    <s v="Delhi"/>
    <s v="GARLIC_B_482"/>
    <x v="4"/>
    <s v="Snacks"/>
    <n v="241"/>
    <n v="0.15"/>
    <n v="204.85"/>
    <n v="6"/>
    <n v="102.38108324869"/>
    <n v="1229.0999999999999"/>
    <n v="614.28649949214503"/>
    <n v="614.81350050785397"/>
    <s v="None"/>
    <n v="1446"/>
    <n v="-614.81350050785488"/>
  </r>
  <r>
    <s v="ORD1894"/>
    <d v="2025-11-28T21:00:00"/>
    <s v="Hyderabad"/>
    <s v="COLD_COF_381"/>
    <x v="15"/>
    <s v="Drinks"/>
    <n v="163"/>
    <n v="0.15"/>
    <n v="138.54999999999899"/>
    <n v="7"/>
    <n v="67.962321396493607"/>
    <n v="969.849999999999"/>
    <n v="475.73624977545501"/>
    <n v="494.11375022454399"/>
    <s v="None"/>
    <n v="1141"/>
    <n v="-494.11375022454399"/>
  </r>
  <r>
    <s v="ORD1895"/>
    <d v="2025-10-11T11:00:00"/>
    <s v="Mumbai"/>
    <s v="CHICKEN__931"/>
    <x v="7"/>
    <s v="Pizza"/>
    <n v="264"/>
    <n v="0.15"/>
    <n v="224.4"/>
    <n v="5"/>
    <n v="129.35436033906601"/>
    <n v="1122"/>
    <n v="646.77180169533199"/>
    <n v="475.22819830466699"/>
    <s v="None"/>
    <n v="1320"/>
    <n v="-475.22819830466801"/>
  </r>
  <r>
    <s v="ORD1896"/>
    <d v="2025-02-15T02:00:00"/>
    <s v="Pune"/>
    <s v="ONION_RI_108"/>
    <x v="17"/>
    <s v="Snacks"/>
    <n v="183"/>
    <n v="0.15"/>
    <n v="155.54999999999899"/>
    <n v="7"/>
    <n v="123.108087599025"/>
    <n v="1088.8499999999999"/>
    <n v="861.75661319317805"/>
    <n v="227.093386806821"/>
    <s v="None"/>
    <n v="1281"/>
    <n v="-227.09338680682185"/>
  </r>
  <r>
    <s v="ORD1897"/>
    <d v="2024-07-07T19:00:00"/>
    <s v="Bangalore"/>
    <s v="MARGHERI_374"/>
    <x v="16"/>
    <s v="Pizza"/>
    <n v="136"/>
    <n v="0.1"/>
    <n v="122.4"/>
    <n v="3"/>
    <n v="69.302758861124303"/>
    <n v="367.2"/>
    <n v="207.90827658337301"/>
    <n v="159.29172341662601"/>
    <s v="Percent-Off"/>
    <n v="408"/>
    <n v="-159.29172341662698"/>
  </r>
  <r>
    <s v="ORD1898"/>
    <d v="2025-06-12T14:00:00"/>
    <s v="Chennai"/>
    <s v="COKE_116"/>
    <x v="8"/>
    <s v="Drinks"/>
    <n v="267"/>
    <n v="0.05"/>
    <n v="253.64999999999901"/>
    <n v="3"/>
    <n v="189.80175040551001"/>
    <n v="760.94999999999902"/>
    <n v="569.40525121653104"/>
    <n v="191.54474878346801"/>
    <s v="None"/>
    <n v="801"/>
    <n v="-191.54474878346798"/>
  </r>
  <r>
    <s v="ORD1899"/>
    <d v="2024-08-10T02:00:00"/>
    <s v="Chennai"/>
    <s v="MARGHERI_232"/>
    <x v="16"/>
    <s v="Pizza"/>
    <n v="293"/>
    <n v="0.25"/>
    <n v="219.75"/>
    <n v="6"/>
    <n v="182.00976363543799"/>
    <n v="1318.5"/>
    <n v="1092.0585818126201"/>
    <n v="226.441418187371"/>
    <s v="Coupon"/>
    <n v="1758"/>
    <n v="-226.4414181873799"/>
  </r>
  <r>
    <s v="ORD1900"/>
    <d v="2024-08-17T14:00:00"/>
    <s v="Delhi"/>
    <s v="GARLIC_B_230"/>
    <x v="4"/>
    <s v="Snacks"/>
    <n v="158"/>
    <n v="0"/>
    <n v="158"/>
    <n v="1"/>
    <n v="112.84309902393299"/>
    <n v="158"/>
    <n v="112.84309902393299"/>
    <n v="45.156900976066296"/>
    <s v="Percent-Off"/>
    <n v="158"/>
    <n v="-45.156900976067007"/>
  </r>
  <r>
    <s v="ORD1901"/>
    <d v="2025-01-08T12:00:00"/>
    <s v="Mumbai"/>
    <s v="VEG_BURG_554"/>
    <x v="0"/>
    <s v="Burger"/>
    <n v="93"/>
    <n v="0"/>
    <n v="93"/>
    <n v="2"/>
    <n v="40.869598730802402"/>
    <n v="186"/>
    <n v="81.739197461604903"/>
    <n v="104.260802538395"/>
    <s v="None"/>
    <n v="186"/>
    <n v="-104.2608025383951"/>
  </r>
  <r>
    <s v="ORD1902"/>
    <d v="2024-09-27T13:00:00"/>
    <s v="Delhi"/>
    <s v="COLD_COF_791"/>
    <x v="15"/>
    <s v="Drinks"/>
    <n v="233"/>
    <n v="0.05"/>
    <n v="221.35"/>
    <n v="7"/>
    <n v="158.32689144855701"/>
    <n v="1549.45"/>
    <n v="1108.2882401398999"/>
    <n v="441.16175986009802"/>
    <s v="Percent-Off"/>
    <n v="1631"/>
    <n v="-441.16175986010012"/>
  </r>
  <r>
    <s v="ORD1903"/>
    <d v="2025-03-24T07:00:00"/>
    <s v="Bangalore"/>
    <s v="COKE_404"/>
    <x v="8"/>
    <s v="Drinks"/>
    <n v="82"/>
    <n v="0.15"/>
    <n v="69.7"/>
    <n v="2"/>
    <n v="58.065993220952102"/>
    <n v="139.4"/>
    <n v="116.131986441904"/>
    <n v="23.268013558095699"/>
    <s v="None"/>
    <n v="164"/>
    <n v="-23.268013558096001"/>
  </r>
  <r>
    <s v="ORD1904"/>
    <d v="2024-08-14T15:00:00"/>
    <s v="Hyderabad"/>
    <s v="VEG_BURG_111"/>
    <x v="0"/>
    <s v="Burger"/>
    <n v="341"/>
    <n v="0.1"/>
    <n v="306.89999999999998"/>
    <n v="2"/>
    <n v="139.666692106157"/>
    <n v="613.79999999999995"/>
    <n v="279.333384212314"/>
    <n v="334.46661578768499"/>
    <s v="Percent-Off"/>
    <n v="682"/>
    <n v="-334.46661578768595"/>
  </r>
  <r>
    <s v="ORD1905"/>
    <d v="2025-08-26T01:00:00"/>
    <s v="Hyderabad"/>
    <s v="SPRITE_751"/>
    <x v="3"/>
    <s v="Drinks"/>
    <n v="170"/>
    <n v="0.1"/>
    <n v="153"/>
    <n v="5"/>
    <n v="71.178291980103396"/>
    <n v="765"/>
    <n v="355.891459900516"/>
    <n v="409.10854009948298"/>
    <s v="None"/>
    <n v="850"/>
    <n v="-409.108540099484"/>
  </r>
  <r>
    <s v="ORD1906"/>
    <d v="2025-02-10T21:00:00"/>
    <s v="Bangalore"/>
    <s v="GRILLED__339"/>
    <x v="1"/>
    <s v="Sandwich"/>
    <n v="97"/>
    <n v="0.05"/>
    <n v="92.149999999999906"/>
    <n v="1"/>
    <n v="41.002460004501799"/>
    <n v="92.149999999999906"/>
    <n v="41.002460004501799"/>
    <n v="51.1475399954981"/>
    <s v="None"/>
    <n v="97"/>
    <n v="-51.147539995498107"/>
  </r>
  <r>
    <s v="ORD1907"/>
    <d v="2025-07-07T07:00:00"/>
    <s v="Chennai"/>
    <s v="PEPPY_PA_315"/>
    <x v="10"/>
    <s v="Pizza"/>
    <n v="133"/>
    <n v="0"/>
    <n v="133"/>
    <n v="4"/>
    <n v="65.922690295330597"/>
    <n v="532"/>
    <n v="263.69076118132199"/>
    <n v="268.30923881867699"/>
    <s v="Coupon"/>
    <n v="532"/>
    <n v="-268.30923881867801"/>
  </r>
  <r>
    <s v="ORD1908"/>
    <d v="2024-09-28T07:00:00"/>
    <s v="Pune"/>
    <s v="VEG_BURG_779"/>
    <x v="0"/>
    <s v="Burger"/>
    <n v="307"/>
    <n v="0.15"/>
    <n v="260.95"/>
    <n v="2"/>
    <n v="176.326049580854"/>
    <n v="521.9"/>
    <n v="352.65209916170801"/>
    <n v="169.247900838291"/>
    <s v="Coupon"/>
    <n v="614"/>
    <n v="-169.24790083829197"/>
  </r>
  <r>
    <s v="ORD1909"/>
    <d v="2025-04-23T11:00:00"/>
    <s v="Bangalore"/>
    <s v="COLD_COF_790"/>
    <x v="15"/>
    <s v="Drinks"/>
    <n v="298"/>
    <n v="0.05"/>
    <n v="283.099999999999"/>
    <n v="7"/>
    <n v="217.390697570604"/>
    <n v="1981.69999999999"/>
    <n v="1521.73488299423"/>
    <n v="459.96511700576502"/>
    <s v="Coupon"/>
    <n v="2086"/>
    <n v="-459.96511700576002"/>
  </r>
  <r>
    <s v="ORD1910"/>
    <d v="2024-04-09T00:00:00"/>
    <s v="Bangalore"/>
    <s v="BROWNIE_749"/>
    <x v="12"/>
    <s v="Dessert"/>
    <n v="204"/>
    <n v="0"/>
    <n v="204"/>
    <n v="3"/>
    <n v="84.554831572960097"/>
    <n v="612"/>
    <n v="253.66449471888001"/>
    <n v="358.33550528111903"/>
    <s v="None"/>
    <n v="612"/>
    <n v="-358.33550528111999"/>
  </r>
  <r>
    <s v="ORD1911"/>
    <d v="2025-05-07T16:00:00"/>
    <s v="Bangalore"/>
    <s v="VEG_BURG_349"/>
    <x v="0"/>
    <s v="Burger"/>
    <n v="273"/>
    <n v="0"/>
    <n v="273"/>
    <n v="7"/>
    <n v="131.23714039294799"/>
    <n v="1911"/>
    <n v="918.659982750636"/>
    <n v="992.34001724936297"/>
    <s v="Percent-Off"/>
    <n v="1911"/>
    <n v="-992.340017249364"/>
  </r>
  <r>
    <s v="ORD1912"/>
    <d v="2024-10-17T19:00:00"/>
    <s v="Chennai"/>
    <s v="MARGHERI_139"/>
    <x v="16"/>
    <s v="Pizza"/>
    <n v="162"/>
    <n v="0"/>
    <n v="162"/>
    <n v="3"/>
    <n v="120.66904554957"/>
    <n v="486"/>
    <n v="362.00713664871103"/>
    <n v="123.99286335128799"/>
    <s v="None"/>
    <n v="486"/>
    <n v="-123.99286335128897"/>
  </r>
  <r>
    <s v="ORD1913"/>
    <d v="2025-02-13T16:00:00"/>
    <s v="Chennai"/>
    <s v="GARLIC_B_350"/>
    <x v="4"/>
    <s v="Snacks"/>
    <n v="187"/>
    <n v="0.2"/>
    <n v="149.6"/>
    <n v="7"/>
    <n v="77.700068700554795"/>
    <n v="1047.2"/>
    <n v="543.90048090388302"/>
    <n v="503.299519096116"/>
    <s v="None"/>
    <n v="1309"/>
    <n v="-503.29951909611702"/>
  </r>
  <r>
    <s v="ORD1914"/>
    <d v="2025-06-05T00:00:00"/>
    <s v="Delhi"/>
    <s v="CLUB_SAN_912"/>
    <x v="13"/>
    <s v="Sandwich"/>
    <n v="91"/>
    <n v="0"/>
    <n v="91"/>
    <n v="4"/>
    <n v="36.707870594082301"/>
    <n v="364"/>
    <n v="146.83148237632901"/>
    <n v="217.16851762367"/>
    <s v="None"/>
    <n v="364"/>
    <n v="-217.16851762367099"/>
  </r>
  <r>
    <s v="ORD1915"/>
    <d v="2024-10-14T22:00:00"/>
    <s v="Pune"/>
    <s v="CHICKEN__581"/>
    <x v="14"/>
    <s v="Burger"/>
    <n v="202"/>
    <n v="0.05"/>
    <n v="191.89999999999901"/>
    <n v="6"/>
    <n v="95.254708764639801"/>
    <n v="1151.3999999999901"/>
    <n v="571.52825258783901"/>
    <n v="579.87174741215995"/>
    <s v="None"/>
    <n v="1212"/>
    <n v="-579.87174741215108"/>
  </r>
  <r>
    <s v="ORD1916"/>
    <d v="2025-08-10T01:00:00"/>
    <s v="Pune"/>
    <s v="CHEESE_B_744"/>
    <x v="5"/>
    <s v="Burger"/>
    <n v="116"/>
    <n v="0"/>
    <n v="116"/>
    <n v="6"/>
    <n v="70.462156375419795"/>
    <n v="696"/>
    <n v="422.772938252519"/>
    <n v="273.22706174747998"/>
    <s v="None"/>
    <n v="696"/>
    <n v="-273.227061747481"/>
  </r>
  <r>
    <s v="ORD1917"/>
    <d v="2024-04-01T12:00:00"/>
    <s v="Mumbai"/>
    <s v="PEPPY_PA_893"/>
    <x v="10"/>
    <s v="Pizza"/>
    <n v="174"/>
    <n v="0.25"/>
    <n v="130.5"/>
    <n v="1"/>
    <n v="77.999510076609496"/>
    <n v="130.5"/>
    <n v="77.999510076609496"/>
    <n v="52.500489923390397"/>
    <s v="None"/>
    <n v="174"/>
    <n v="-52.500489923390504"/>
  </r>
  <r>
    <s v="ORD1918"/>
    <d v="2024-09-06T02:00:00"/>
    <s v="Delhi"/>
    <s v="PEPPY_PA_388"/>
    <x v="10"/>
    <s v="Pizza"/>
    <n v="332"/>
    <n v="0"/>
    <n v="332"/>
    <n v="1"/>
    <n v="205.514406032523"/>
    <n v="332"/>
    <n v="205.514406032523"/>
    <n v="126.48559396747601"/>
    <s v="Bundle"/>
    <n v="332"/>
    <n v="-126.485593967477"/>
  </r>
  <r>
    <s v="ORD1919"/>
    <d v="2025-12-15T17:00:00"/>
    <s v="Chennai"/>
    <s v="CHEESE_B_784"/>
    <x v="5"/>
    <s v="Burger"/>
    <n v="243"/>
    <n v="0"/>
    <n v="243"/>
    <n v="6"/>
    <n v="125.144658944881"/>
    <n v="1458"/>
    <n v="750.86795366928595"/>
    <n v="707.13204633071302"/>
    <s v="None"/>
    <n v="1458"/>
    <n v="-707.13204633071405"/>
  </r>
  <r>
    <s v="ORD1920"/>
    <d v="2024-02-02T12:00:00"/>
    <s v="Chennai"/>
    <s v="MARGHERI_674"/>
    <x v="16"/>
    <s v="Pizza"/>
    <n v="213"/>
    <n v="0.25"/>
    <n v="159.75"/>
    <n v="5"/>
    <n v="106.869169802233"/>
    <n v="798.75"/>
    <n v="534.34584901116705"/>
    <n v="264.40415098883199"/>
    <s v="None"/>
    <n v="1065"/>
    <n v="-264.40415098883295"/>
  </r>
  <r>
    <s v="ORD1921"/>
    <d v="2025-02-16T20:00:00"/>
    <s v="Hyderabad"/>
    <s v="SPRITE_615"/>
    <x v="3"/>
    <s v="Drinks"/>
    <n v="134"/>
    <n v="0"/>
    <n v="134"/>
    <n v="5"/>
    <n v="55.435302735293"/>
    <n v="670"/>
    <n v="277.17651367646499"/>
    <n v="392.82348632353398"/>
    <s v="Percent-Off"/>
    <n v="670"/>
    <n v="-392.82348632353501"/>
  </r>
  <r>
    <s v="ORD1922"/>
    <d v="2024-09-19T15:00:00"/>
    <s v="Delhi"/>
    <s v="COKE_325"/>
    <x v="8"/>
    <s v="Drinks"/>
    <n v="144"/>
    <n v="0"/>
    <n v="144"/>
    <n v="5"/>
    <n v="66.301088295326593"/>
    <n v="720"/>
    <n v="331.505441476633"/>
    <n v="388.49455852336598"/>
    <s v="Percent-Off"/>
    <n v="720"/>
    <n v="-388.494558523367"/>
  </r>
  <r>
    <s v="ORD1923"/>
    <d v="2025-09-03T22:00:00"/>
    <s v="Chennai"/>
    <s v="COKE_265"/>
    <x v="8"/>
    <s v="Drinks"/>
    <n v="133"/>
    <n v="0.05"/>
    <n v="126.35"/>
    <n v="6"/>
    <n v="59.543708541666703"/>
    <n v="758.099999999999"/>
    <n v="357.26225125000002"/>
    <n v="400.83774874999898"/>
    <s v="Percent-Off"/>
    <n v="798"/>
    <n v="-400.83774874999898"/>
  </r>
  <r>
    <s v="ORD1924"/>
    <d v="2024-06-14T23:00:00"/>
    <s v="Mumbai"/>
    <s v="GULAB_JA_167"/>
    <x v="11"/>
    <s v="Dessert"/>
    <n v="200"/>
    <n v="0"/>
    <n v="200"/>
    <n v="2"/>
    <n v="133.191509282715"/>
    <n v="400"/>
    <n v="266.38301856543001"/>
    <n v="133.616981434569"/>
    <s v="Coupon"/>
    <n v="400"/>
    <n v="-133.61698143456999"/>
  </r>
  <r>
    <s v="ORD1925"/>
    <d v="2025-01-30T23:00:00"/>
    <s v="Pune"/>
    <s v="SPRITE_504"/>
    <x v="3"/>
    <s v="Drinks"/>
    <n v="316"/>
    <n v="0.2"/>
    <n v="252.8"/>
    <n v="2"/>
    <n v="147.43370178895299"/>
    <n v="505.6"/>
    <n v="294.867403577907"/>
    <n v="210.732596422092"/>
    <s v="None"/>
    <n v="632"/>
    <n v="-210.73259642209302"/>
  </r>
  <r>
    <s v="ORD1926"/>
    <d v="2025-12-05T09:00:00"/>
    <s v="Hyderabad"/>
    <s v="CHEESE_B_765"/>
    <x v="5"/>
    <s v="Burger"/>
    <n v="337"/>
    <n v="0.05"/>
    <n v="320.14999999999998"/>
    <n v="3"/>
    <n v="162.84017828072001"/>
    <n v="960.44999999999902"/>
    <n v="488.52053484215998"/>
    <n v="471.92946515783899"/>
    <s v="Percent-Off"/>
    <n v="1011"/>
    <n v="-471.92946515783905"/>
  </r>
  <r>
    <s v="ORD1927"/>
    <d v="2025-06-28T14:00:00"/>
    <s v="Chennai"/>
    <s v="VEG_BURG_131"/>
    <x v="0"/>
    <s v="Burger"/>
    <n v="116"/>
    <n v="0.05"/>
    <n v="110.19999999999899"/>
    <n v="5"/>
    <n v="80.299947378614505"/>
    <n v="551"/>
    <n v="401.499736893072"/>
    <n v="149.50026310692701"/>
    <s v="Percent-Off"/>
    <n v="580"/>
    <n v="-149.500263106928"/>
  </r>
  <r>
    <s v="ORD1928"/>
    <d v="2025-05-24T16:00:00"/>
    <s v="Chennai"/>
    <s v="CHEESE_B_802"/>
    <x v="5"/>
    <s v="Burger"/>
    <n v="256"/>
    <n v="0"/>
    <n v="256"/>
    <n v="5"/>
    <n v="149.48383502675401"/>
    <n v="1280"/>
    <n v="747.41917513377405"/>
    <n v="532.58082486622504"/>
    <s v="None"/>
    <n v="1280"/>
    <n v="-532.58082486622595"/>
  </r>
  <r>
    <s v="ORD1929"/>
    <d v="2024-07-09T23:00:00"/>
    <s v="Chennai"/>
    <s v="ICE_CREA_525"/>
    <x v="6"/>
    <s v="Dessert"/>
    <n v="338"/>
    <n v="0"/>
    <n v="338"/>
    <n v="5"/>
    <n v="249.33857574336599"/>
    <n v="1690"/>
    <n v="1246.6928787168299"/>
    <n v="443.30712128316497"/>
    <s v="None"/>
    <n v="1690"/>
    <n v="-443.30712128317009"/>
  </r>
  <r>
    <s v="ORD1930"/>
    <d v="2024-09-04T18:00:00"/>
    <s v="Hyderabad"/>
    <s v="CHICKEN__788"/>
    <x v="14"/>
    <s v="Burger"/>
    <n v="208"/>
    <n v="0.15"/>
    <n v="176.79999999999899"/>
    <n v="5"/>
    <n v="137.890565397458"/>
    <n v="883.99999999999898"/>
    <n v="689.45282698729295"/>
    <n v="194.547173012706"/>
    <s v="Bundle"/>
    <n v="1040"/>
    <n v="-194.54717301270603"/>
  </r>
  <r>
    <s v="ORD1931"/>
    <d v="2025-11-13T09:00:00"/>
    <s v="Mumbai"/>
    <s v="ONION_RI_514"/>
    <x v="17"/>
    <s v="Snacks"/>
    <n v="145"/>
    <n v="0"/>
    <n v="145"/>
    <n v="7"/>
    <n v="69.269807607975594"/>
    <n v="1015"/>
    <n v="484.88865325582901"/>
    <n v="530.11134674416996"/>
    <s v="None"/>
    <n v="1015"/>
    <n v="-530.11134674417099"/>
  </r>
  <r>
    <s v="ORD1932"/>
    <d v="2024-10-24T00:00:00"/>
    <s v="Pune"/>
    <s v="CLUB_SAN_345"/>
    <x v="13"/>
    <s v="Sandwich"/>
    <n v="304"/>
    <n v="0.15"/>
    <n v="258.39999999999998"/>
    <n v="1"/>
    <n v="163.24879255171101"/>
    <n v="258.39999999999998"/>
    <n v="163.24879255171101"/>
    <n v="95.151207448288105"/>
    <s v="None"/>
    <n v="304"/>
    <n v="-95.151207448288972"/>
  </r>
  <r>
    <s v="ORD1933"/>
    <d v="2025-05-10T09:00:00"/>
    <s v="Chennai"/>
    <s v="COKE_778"/>
    <x v="8"/>
    <s v="Drinks"/>
    <n v="184"/>
    <n v="0.2"/>
    <n v="147.19999999999999"/>
    <n v="5"/>
    <n v="76.010619347977695"/>
    <n v="736"/>
    <n v="380.05309673988802"/>
    <n v="355.94690326011101"/>
    <s v="None"/>
    <n v="920"/>
    <n v="-355.94690326011198"/>
  </r>
  <r>
    <s v="ORD1934"/>
    <d v="2025-05-26T11:00:00"/>
    <s v="Chennai"/>
    <s v="PEPPY_PA_334"/>
    <x v="10"/>
    <s v="Pizza"/>
    <n v="296"/>
    <n v="0.15"/>
    <n v="251.6"/>
    <n v="2"/>
    <n v="191.19961979986499"/>
    <n v="503.2"/>
    <n v="382.39923959972998"/>
    <n v="120.800760400269"/>
    <s v="None"/>
    <n v="592"/>
    <n v="-120.80076040027001"/>
  </r>
  <r>
    <s v="ORD1935"/>
    <d v="2024-04-12T13:00:00"/>
    <s v="Delhi"/>
    <s v="ICE_CREA_389"/>
    <x v="6"/>
    <s v="Dessert"/>
    <n v="318"/>
    <n v="0"/>
    <n v="318"/>
    <n v="4"/>
    <n v="210.70977439166199"/>
    <n v="1272"/>
    <n v="842.83909756665105"/>
    <n v="429.16090243334799"/>
    <s v="None"/>
    <n v="1272"/>
    <n v="-429.16090243334895"/>
  </r>
  <r>
    <s v="ORD1936"/>
    <d v="2025-08-18T11:00:00"/>
    <s v="Delhi"/>
    <s v="VEG_BURG_448"/>
    <x v="0"/>
    <s v="Burger"/>
    <n v="149"/>
    <n v="0.05"/>
    <n v="141.54999999999899"/>
    <n v="7"/>
    <n v="65.315528937976794"/>
    <n v="990.849999999999"/>
    <n v="457.208702565838"/>
    <n v="533.64129743416095"/>
    <s v="None"/>
    <n v="1043"/>
    <n v="-533.64129743416106"/>
  </r>
  <r>
    <s v="ORD1937"/>
    <d v="2025-08-07T20:00:00"/>
    <s v="Hyderabad"/>
    <s v="BROWNIE_903"/>
    <x v="12"/>
    <s v="Dessert"/>
    <n v="215"/>
    <n v="0.05"/>
    <n v="204.25"/>
    <n v="3"/>
    <n v="97.415922816668299"/>
    <n v="612.75"/>
    <n v="292.24776845000503"/>
    <n v="320.50223154999401"/>
    <s v="Bundle"/>
    <n v="645"/>
    <n v="-320.50223154999497"/>
  </r>
  <r>
    <s v="ORD1938"/>
    <d v="2025-04-21T11:00:00"/>
    <s v="Pune"/>
    <s v="VEG_SAND_480"/>
    <x v="9"/>
    <s v="Sandwich"/>
    <n v="287"/>
    <n v="0"/>
    <n v="287"/>
    <n v="1"/>
    <n v="187.62693551573199"/>
    <n v="287"/>
    <n v="187.62693551573199"/>
    <n v="99.373064484267502"/>
    <s v="None"/>
    <n v="287"/>
    <n v="-99.373064484268014"/>
  </r>
  <r>
    <s v="ORD1939"/>
    <d v="2024-01-29T13:00:00"/>
    <s v="Mumbai"/>
    <s v="MARGHERI_160"/>
    <x v="16"/>
    <s v="Pizza"/>
    <n v="111"/>
    <n v="0"/>
    <n v="111"/>
    <n v="2"/>
    <n v="81.907326910925093"/>
    <n v="222"/>
    <n v="163.81465382184999"/>
    <n v="58.185346178149601"/>
    <s v="Coupon"/>
    <n v="222"/>
    <n v="-58.185346178150013"/>
  </r>
  <r>
    <s v="ORD1940"/>
    <d v="2025-05-25T18:00:00"/>
    <s v="Hyderabad"/>
    <s v="CHICKEN__818"/>
    <x v="7"/>
    <s v="Pizza"/>
    <n v="277"/>
    <n v="0.05"/>
    <n v="263.14999999999998"/>
    <n v="4"/>
    <n v="116.924111511048"/>
    <n v="1052.5999999999999"/>
    <n v="467.696446044195"/>
    <n v="584.903553955804"/>
    <s v="Coupon"/>
    <n v="1108"/>
    <n v="-584.90355395580491"/>
  </r>
  <r>
    <s v="ORD1941"/>
    <d v="2025-10-28T06:00:00"/>
    <s v="Chennai"/>
    <s v="PEPPY_PA_974"/>
    <x v="10"/>
    <s v="Pizza"/>
    <n v="218"/>
    <n v="0.25"/>
    <n v="163.5"/>
    <n v="3"/>
    <n v="129.36860931152401"/>
    <n v="490.5"/>
    <n v="388.10582793457201"/>
    <n v="102.394172065427"/>
    <s v="Percent-Off"/>
    <n v="654"/>
    <n v="-102.39417206542799"/>
  </r>
  <r>
    <s v="ORD1942"/>
    <d v="2025-11-15T06:00:00"/>
    <s v="Pune"/>
    <s v="FRIES_584"/>
    <x v="2"/>
    <s v="Snacks"/>
    <n v="89"/>
    <n v="0"/>
    <n v="89"/>
    <n v="5"/>
    <n v="66.4610854709629"/>
    <n v="445"/>
    <n v="332.30542735481401"/>
    <n v="112.694572645185"/>
    <s v="Coupon"/>
    <n v="445"/>
    <n v="-112.69457264518599"/>
  </r>
  <r>
    <s v="ORD1943"/>
    <d v="2025-03-23T08:00:00"/>
    <s v="Chennai"/>
    <s v="VEG_SAND_622"/>
    <x v="9"/>
    <s v="Sandwich"/>
    <n v="239"/>
    <n v="0"/>
    <n v="239"/>
    <n v="7"/>
    <n v="145.39848000473901"/>
    <n v="1673"/>
    <n v="1017.7893600331701"/>
    <n v="655.21063996682597"/>
    <s v="None"/>
    <n v="1673"/>
    <n v="-655.21063996682994"/>
  </r>
  <r>
    <s v="ORD1944"/>
    <d v="2024-07-22T03:00:00"/>
    <s v="Hyderabad"/>
    <s v="COKE_192"/>
    <x v="8"/>
    <s v="Drinks"/>
    <n v="266"/>
    <n v="0"/>
    <n v="266"/>
    <n v="3"/>
    <n v="185.789791027642"/>
    <n v="798"/>
    <n v="557.36937308292795"/>
    <n v="240.630626917071"/>
    <s v="None"/>
    <n v="798"/>
    <n v="-240.63062691707205"/>
  </r>
  <r>
    <s v="ORD1945"/>
    <d v="2025-04-10T22:00:00"/>
    <s v="Mumbai"/>
    <s v="CHICKEN__574"/>
    <x v="7"/>
    <s v="Pizza"/>
    <n v="108"/>
    <n v="0.15"/>
    <n v="91.8"/>
    <n v="6"/>
    <n v="61.041882824035"/>
    <n v="550.79999999999995"/>
    <n v="366.25129694421003"/>
    <n v="184.54870305578899"/>
    <s v="BOGO"/>
    <n v="648"/>
    <n v="-184.54870305578993"/>
  </r>
  <r>
    <s v="ORD1946"/>
    <d v="2024-04-01T12:00:00"/>
    <s v="Pune"/>
    <s v="SPRITE_417"/>
    <x v="3"/>
    <s v="Drinks"/>
    <n v="134"/>
    <n v="0"/>
    <n v="134"/>
    <n v="4"/>
    <n v="92.311937122211702"/>
    <n v="536"/>
    <n v="369.24774848884601"/>
    <n v="166.75225151115299"/>
    <s v="Percent-Off"/>
    <n v="536"/>
    <n v="-166.75225151115399"/>
  </r>
  <r>
    <s v="ORD1947"/>
    <d v="2024-10-25T13:00:00"/>
    <s v="Chennai"/>
    <s v="BROWNIE_838"/>
    <x v="12"/>
    <s v="Dessert"/>
    <n v="166"/>
    <n v="0.05"/>
    <n v="157.69999999999999"/>
    <n v="4"/>
    <n v="113.46993201957601"/>
    <n v="630.79999999999995"/>
    <n v="453.87972807830403"/>
    <n v="176.92027192169499"/>
    <s v="None"/>
    <n v="664"/>
    <n v="-176.92027192169593"/>
  </r>
  <r>
    <s v="ORD1948"/>
    <d v="2025-10-28T13:00:00"/>
    <s v="Mumbai"/>
    <s v="CHICKEN__837"/>
    <x v="7"/>
    <s v="Pizza"/>
    <n v="311"/>
    <n v="0.25"/>
    <n v="233.25"/>
    <n v="6"/>
    <n v="202.54573605129701"/>
    <n v="1399.5"/>
    <n v="1215.27441630778"/>
    <n v="184.225583692214"/>
    <s v="None"/>
    <n v="1866"/>
    <n v="-184.22558369221997"/>
  </r>
  <r>
    <s v="ORD1949"/>
    <d v="2025-08-15T07:00:00"/>
    <s v="Bangalore"/>
    <s v="CHICKEN__450"/>
    <x v="14"/>
    <s v="Burger"/>
    <n v="192"/>
    <n v="0"/>
    <n v="192"/>
    <n v="5"/>
    <n v="107.141595585818"/>
    <n v="960"/>
    <n v="535.70797792909002"/>
    <n v="424.29202207090901"/>
    <s v="Coupon"/>
    <n v="960"/>
    <n v="-424.29202207090998"/>
  </r>
  <r>
    <s v="ORD1950"/>
    <d v="2024-01-13T13:00:00"/>
    <s v="Pune"/>
    <s v="VEG_BURG_195"/>
    <x v="0"/>
    <s v="Burger"/>
    <n v="304"/>
    <n v="0"/>
    <n v="304"/>
    <n v="5"/>
    <n v="165.37621332758999"/>
    <n v="1520"/>
    <n v="826.88106663795304"/>
    <n v="693.11893336204605"/>
    <s v="None"/>
    <n v="1520"/>
    <n v="-693.11893336204696"/>
  </r>
  <r>
    <s v="ORD1951"/>
    <d v="2025-12-10T14:00:00"/>
    <s v="Bangalore"/>
    <s v="PEPPY_PA_825"/>
    <x v="10"/>
    <s v="Pizza"/>
    <n v="233"/>
    <n v="0.2"/>
    <n v="186.4"/>
    <n v="1"/>
    <n v="106.08012815098"/>
    <n v="186.4"/>
    <n v="106.08012815098"/>
    <n v="80.319871849019705"/>
    <s v="Bundle"/>
    <n v="233"/>
    <n v="-80.319871849020004"/>
  </r>
  <r>
    <s v="ORD1952"/>
    <d v="2025-08-30T03:00:00"/>
    <s v="Bangalore"/>
    <s v="CHICKEN__150"/>
    <x v="7"/>
    <s v="Pizza"/>
    <n v="261"/>
    <n v="0.1"/>
    <n v="234.9"/>
    <n v="2"/>
    <n v="168.86456650342501"/>
    <n v="469.8"/>
    <n v="337.72913300685002"/>
    <n v="132.070866993149"/>
    <s v="None"/>
    <n v="522"/>
    <n v="-132.07086699314999"/>
  </r>
  <r>
    <s v="ORD1953"/>
    <d v="2025-02-18T15:00:00"/>
    <s v="Hyderabad"/>
    <s v="VEG_BURG_242"/>
    <x v="0"/>
    <s v="Burger"/>
    <n v="135"/>
    <n v="0.1"/>
    <n v="121.5"/>
    <n v="4"/>
    <n v="82.428908528329799"/>
    <n v="486"/>
    <n v="329.71563411331903"/>
    <n v="156.28436588668001"/>
    <s v="None"/>
    <n v="540"/>
    <n v="-156.28436588668097"/>
  </r>
  <r>
    <s v="ORD1954"/>
    <d v="2025-03-24T21:00:00"/>
    <s v="Pune"/>
    <s v="COLD_COF_888"/>
    <x v="15"/>
    <s v="Drinks"/>
    <n v="273"/>
    <n v="0"/>
    <n v="273"/>
    <n v="6"/>
    <n v="151.205426327347"/>
    <n v="1638"/>
    <n v="907.23255796408205"/>
    <n v="730.76744203591704"/>
    <s v="Coupon"/>
    <n v="1638"/>
    <n v="-730.76744203591795"/>
  </r>
  <r>
    <s v="ORD1955"/>
    <d v="2025-11-03T12:00:00"/>
    <s v="Hyderabad"/>
    <s v="VEG_BURG_116"/>
    <x v="0"/>
    <s v="Burger"/>
    <n v="265"/>
    <n v="0.2"/>
    <n v="212"/>
    <n v="4"/>
    <n v="132.172069383966"/>
    <n v="848"/>
    <n v="528.68827753586504"/>
    <n v="319.31172246413399"/>
    <s v="None"/>
    <n v="1060"/>
    <n v="-319.31172246413496"/>
  </r>
  <r>
    <s v="ORD1956"/>
    <d v="2025-06-28T01:00:00"/>
    <s v="Delhi"/>
    <s v="GRILLED__151"/>
    <x v="1"/>
    <s v="Sandwich"/>
    <n v="259"/>
    <n v="0"/>
    <n v="259"/>
    <n v="6"/>
    <n v="129.020966951644"/>
    <n v="1554"/>
    <n v="774.12580170986803"/>
    <n v="779.87419829013095"/>
    <s v="Coupon"/>
    <n v="1554"/>
    <n v="-779.87419829013197"/>
  </r>
  <r>
    <s v="ORD1957"/>
    <d v="2025-06-04T20:00:00"/>
    <s v="Bangalore"/>
    <s v="SPRITE_224"/>
    <x v="3"/>
    <s v="Drinks"/>
    <n v="343"/>
    <n v="0.05"/>
    <n v="325.849999999999"/>
    <n v="1"/>
    <n v="214.714523287167"/>
    <n v="325.849999999999"/>
    <n v="214.714523287167"/>
    <n v="111.135476712832"/>
    <s v="None"/>
    <n v="343"/>
    <n v="-111.135476712832"/>
  </r>
  <r>
    <s v="ORD1958"/>
    <d v="2025-10-25T09:00:00"/>
    <s v="Pune"/>
    <s v="GULAB_JA_100"/>
    <x v="11"/>
    <s v="Dessert"/>
    <n v="312"/>
    <n v="0.15"/>
    <n v="265.2"/>
    <n v="2"/>
    <n v="183.47931940119901"/>
    <n v="530.4"/>
    <n v="366.95863880239801"/>
    <n v="163.441361197601"/>
    <s v="None"/>
    <n v="624"/>
    <n v="-163.44136119760196"/>
  </r>
  <r>
    <s v="ORD1959"/>
    <d v="2025-05-09T14:00:00"/>
    <s v="Chennai"/>
    <s v="VEG_BURG_727"/>
    <x v="0"/>
    <s v="Burger"/>
    <n v="204"/>
    <n v="0.25"/>
    <n v="153"/>
    <n v="2"/>
    <n v="97.756579588767806"/>
    <n v="306"/>
    <n v="195.51315917753499"/>
    <n v="110.486840822464"/>
    <s v="Bundle"/>
    <n v="408"/>
    <n v="-110.48684082246501"/>
  </r>
  <r>
    <s v="ORD1960"/>
    <d v="2024-06-19T02:00:00"/>
    <s v="Delhi"/>
    <s v="MARGHERI_952"/>
    <x v="16"/>
    <s v="Pizza"/>
    <n v="121"/>
    <n v="0.05"/>
    <n v="114.94999999999899"/>
    <n v="4"/>
    <n v="65.305305397279497"/>
    <n v="459.79999999999899"/>
    <n v="261.22122158911799"/>
    <n v="198.578778410881"/>
    <s v="Coupon"/>
    <n v="484"/>
    <n v="-198.578778410881"/>
  </r>
  <r>
    <s v="ORD1961"/>
    <d v="2025-07-25T14:00:00"/>
    <s v="Hyderabad"/>
    <s v="GRILLED__275"/>
    <x v="1"/>
    <s v="Sandwich"/>
    <n v="175"/>
    <n v="0"/>
    <n v="175"/>
    <n v="2"/>
    <n v="109.538956941409"/>
    <n v="350"/>
    <n v="219.077913882818"/>
    <n v="130.92208611718101"/>
    <s v="BOGO"/>
    <n v="350"/>
    <n v="-130.922086117182"/>
  </r>
  <r>
    <s v="ORD1962"/>
    <d v="2025-03-14T05:00:00"/>
    <s v="Delhi"/>
    <s v="COLD_COF_635"/>
    <x v="15"/>
    <s v="Drinks"/>
    <n v="84"/>
    <n v="0.25"/>
    <n v="63"/>
    <n v="6"/>
    <n v="50.499273611245002"/>
    <n v="378"/>
    <n v="302.99564166747001"/>
    <n v="75.004358332529705"/>
    <s v="None"/>
    <n v="504"/>
    <n v="-75.004358332529989"/>
  </r>
  <r>
    <s v="ORD1963"/>
    <d v="2024-06-05T10:00:00"/>
    <s v="Mumbai"/>
    <s v="VEG_BURG_703"/>
    <x v="0"/>
    <s v="Burger"/>
    <n v="305"/>
    <n v="0"/>
    <n v="305"/>
    <n v="2"/>
    <n v="130.92240219853699"/>
    <n v="610"/>
    <n v="261.84480439707499"/>
    <n v="348.15519560292398"/>
    <s v="None"/>
    <n v="610"/>
    <n v="-348.15519560292501"/>
  </r>
  <r>
    <s v="ORD1964"/>
    <d v="2024-03-12T20:00:00"/>
    <s v="Hyderabad"/>
    <s v="CHEESE_B_386"/>
    <x v="5"/>
    <s v="Burger"/>
    <n v="117"/>
    <n v="0.05"/>
    <n v="111.149999999999"/>
    <n v="6"/>
    <n v="58.735134312739497"/>
    <n v="666.9"/>
    <n v="352.410805876437"/>
    <n v="314.48919412356202"/>
    <s v="BOGO"/>
    <n v="702"/>
    <n v="-314.48919412356298"/>
  </r>
  <r>
    <s v="ORD1965"/>
    <d v="2024-02-27T08:00:00"/>
    <s v="Pune"/>
    <s v="GARLIC_B_452"/>
    <x v="4"/>
    <s v="Snacks"/>
    <n v="212"/>
    <n v="0"/>
    <n v="212"/>
    <n v="2"/>
    <n v="129.643621442121"/>
    <n v="424"/>
    <n v="259.287242884242"/>
    <n v="164.712757115757"/>
    <s v="None"/>
    <n v="424"/>
    <n v="-164.712757115758"/>
  </r>
  <r>
    <s v="ORD1966"/>
    <d v="2024-12-28T18:00:00"/>
    <s v="Pune"/>
    <s v="PEPPY_PA_144"/>
    <x v="10"/>
    <s v="Pizza"/>
    <n v="293"/>
    <n v="0.05"/>
    <n v="278.349999999999"/>
    <n v="7"/>
    <n v="186.17176585695299"/>
    <n v="1948.44999999999"/>
    <n v="1303.20236099867"/>
    <n v="645.24763900132405"/>
    <s v="None"/>
    <n v="2051"/>
    <n v="-645.24763900132007"/>
  </r>
  <r>
    <s v="ORD1967"/>
    <d v="2025-01-05T14:00:00"/>
    <s v="Chennai"/>
    <s v="VEG_SAND_956"/>
    <x v="9"/>
    <s v="Sandwich"/>
    <n v="249"/>
    <n v="0.15"/>
    <n v="211.65"/>
    <n v="2"/>
    <n v="104.10058262796301"/>
    <n v="423.3"/>
    <n v="208.20116525592601"/>
    <n v="215.098834744073"/>
    <s v="None"/>
    <n v="498"/>
    <n v="-215.098834744074"/>
  </r>
  <r>
    <s v="ORD1968"/>
    <d v="2025-11-14T14:00:00"/>
    <s v="Hyderabad"/>
    <s v="CHICKEN__116"/>
    <x v="7"/>
    <s v="Pizza"/>
    <n v="290"/>
    <n v="0.05"/>
    <n v="275.5"/>
    <n v="7"/>
    <n v="195.85986597005399"/>
    <n v="1928.5"/>
    <n v="1371.01906179038"/>
    <n v="557.48093820961799"/>
    <s v="Coupon"/>
    <n v="2030"/>
    <n v="-557.48093820962004"/>
  </r>
  <r>
    <s v="ORD1969"/>
    <d v="2024-09-03T22:00:00"/>
    <s v="Mumbai"/>
    <s v="GRILLED__733"/>
    <x v="1"/>
    <s v="Sandwich"/>
    <n v="109"/>
    <n v="0.1"/>
    <n v="98.1"/>
    <n v="3"/>
    <n v="69.618202613759905"/>
    <n v="294.3"/>
    <n v="208.85460784127901"/>
    <n v="85.445392158719997"/>
    <s v="None"/>
    <n v="327"/>
    <n v="-85.445392158721006"/>
  </r>
  <r>
    <s v="ORD1970"/>
    <d v="2024-09-17T11:00:00"/>
    <s v="Pune"/>
    <s v="MARGHERI_302"/>
    <x v="16"/>
    <s v="Pizza"/>
    <n v="92"/>
    <n v="0.05"/>
    <n v="87.399999999999906"/>
    <n v="6"/>
    <n v="42.326647560775001"/>
    <n v="524.4"/>
    <n v="253.95988536465001"/>
    <n v="270.440114635349"/>
    <s v="Percent-Off"/>
    <n v="552"/>
    <n v="-270.44011463534997"/>
  </r>
  <r>
    <s v="ORD1971"/>
    <d v="2025-01-30T16:00:00"/>
    <s v="Mumbai"/>
    <s v="CHICKEN__581"/>
    <x v="7"/>
    <s v="Pizza"/>
    <n v="148"/>
    <n v="0.1"/>
    <n v="133.19999999999999"/>
    <n v="5"/>
    <n v="100.83194096406"/>
    <n v="666"/>
    <n v="504.15970482030298"/>
    <n v="161.840295179696"/>
    <s v="BOGO"/>
    <n v="740"/>
    <n v="-161.84029517969702"/>
  </r>
  <r>
    <s v="ORD1972"/>
    <d v="2024-05-17T12:00:00"/>
    <s v="Hyderabad"/>
    <s v="SPRITE_848"/>
    <x v="3"/>
    <s v="Drinks"/>
    <n v="113"/>
    <n v="0"/>
    <n v="113"/>
    <n v="5"/>
    <n v="75.670593328118798"/>
    <n v="565"/>
    <n v="378.35296664059399"/>
    <n v="186.64703335940601"/>
    <s v="Percent-Off"/>
    <n v="565"/>
    <n v="-186.64703335940601"/>
  </r>
  <r>
    <s v="ORD1973"/>
    <d v="2024-12-22T09:00:00"/>
    <s v="Bangalore"/>
    <s v="GARLIC_B_321"/>
    <x v="4"/>
    <s v="Snacks"/>
    <n v="112"/>
    <n v="0"/>
    <n v="112"/>
    <n v="3"/>
    <n v="71.2096069821757"/>
    <n v="336"/>
    <n v="213.62882094652699"/>
    <n v="122.37117905347201"/>
    <s v="Coupon"/>
    <n v="336"/>
    <n v="-122.37117905347301"/>
  </r>
  <r>
    <s v="ORD1974"/>
    <d v="2024-06-04T07:00:00"/>
    <s v="Chennai"/>
    <s v="ONION_RI_413"/>
    <x v="17"/>
    <s v="Snacks"/>
    <n v="230"/>
    <n v="0"/>
    <n v="230"/>
    <n v="5"/>
    <n v="139.58049728294301"/>
    <n v="1150"/>
    <n v="697.90248641471806"/>
    <n v="452.09751358528098"/>
    <s v="None"/>
    <n v="1150"/>
    <n v="-452.09751358528194"/>
  </r>
  <r>
    <s v="ORD1975"/>
    <d v="2025-12-05T02:00:00"/>
    <s v="Chennai"/>
    <s v="VEG_BURG_950"/>
    <x v="0"/>
    <s v="Burger"/>
    <n v="180"/>
    <n v="0.2"/>
    <n v="144"/>
    <n v="7"/>
    <n v="129.61531210912199"/>
    <n v="1008"/>
    <n v="907.30718476385596"/>
    <n v="100.69281523614301"/>
    <s v="None"/>
    <n v="1260"/>
    <n v="-100.69281523614404"/>
  </r>
  <r>
    <s v="ORD1976"/>
    <d v="2025-12-02T08:00:00"/>
    <s v="Hyderabad"/>
    <s v="BROWNIE_135"/>
    <x v="12"/>
    <s v="Dessert"/>
    <n v="105"/>
    <n v="0.15"/>
    <n v="89.25"/>
    <n v="2"/>
    <n v="42.471073754860498"/>
    <n v="178.5"/>
    <n v="84.942147509721096"/>
    <n v="93.557852490278805"/>
    <s v="BOGO"/>
    <n v="210"/>
    <n v="-93.557852490278904"/>
  </r>
  <r>
    <s v="ORD1977"/>
    <d v="2024-09-07T19:00:00"/>
    <s v="Bangalore"/>
    <s v="FRIES_209"/>
    <x v="2"/>
    <s v="Snacks"/>
    <n v="215"/>
    <n v="0"/>
    <n v="215"/>
    <n v="7"/>
    <n v="144.9751073969"/>
    <n v="1505"/>
    <n v="1014.8257517782999"/>
    <n v="490.17424822169698"/>
    <s v="BOGO"/>
    <n v="1505"/>
    <n v="-490.17424822170005"/>
  </r>
  <r>
    <s v="ORD1978"/>
    <d v="2025-10-06T07:00:00"/>
    <s v="Pune"/>
    <s v="SPRITE_524"/>
    <x v="3"/>
    <s v="Drinks"/>
    <n v="266"/>
    <n v="0.15"/>
    <n v="226.1"/>
    <n v="1"/>
    <n v="192.62680350289401"/>
    <n v="226.1"/>
    <n v="192.62680350289401"/>
    <n v="33.473196497105903"/>
    <s v="Coupon"/>
    <n v="266"/>
    <n v="-33.473196497105988"/>
  </r>
  <r>
    <s v="ORD1979"/>
    <d v="2025-02-22T15:00:00"/>
    <s v="Hyderabad"/>
    <s v="GARLIC_B_546"/>
    <x v="4"/>
    <s v="Snacks"/>
    <n v="223"/>
    <n v="0.2"/>
    <n v="178.4"/>
    <n v="6"/>
    <n v="90.097416745609095"/>
    <n v="1070.4000000000001"/>
    <n v="540.58450047365397"/>
    <n v="529.81549952634498"/>
    <s v="None"/>
    <n v="1338"/>
    <n v="-529.81549952634612"/>
  </r>
  <r>
    <s v="ORD1980"/>
    <d v="2025-05-04T18:00:00"/>
    <s v="Mumbai"/>
    <s v="CHICKEN__788"/>
    <x v="14"/>
    <s v="Burger"/>
    <n v="131"/>
    <n v="0"/>
    <n v="131"/>
    <n v="2"/>
    <n v="58.074426539951901"/>
    <n v="262"/>
    <n v="116.14885307990301"/>
    <n v="145.851146920096"/>
    <s v="BOGO"/>
    <n v="262"/>
    <n v="-145.85114692009699"/>
  </r>
  <r>
    <s v="ORD1981"/>
    <d v="2024-04-15T00:00:00"/>
    <s v="Mumbai"/>
    <s v="COKE_917"/>
    <x v="8"/>
    <s v="Drinks"/>
    <n v="231"/>
    <n v="0.05"/>
    <n v="219.45"/>
    <n v="6"/>
    <n v="97.089103734418401"/>
    <n v="1316.69999999999"/>
    <n v="582.53462240651095"/>
    <n v="734.16537759348796"/>
    <s v="None"/>
    <n v="1386"/>
    <n v="-734.16537759347909"/>
  </r>
  <r>
    <s v="ORD1982"/>
    <d v="2024-05-08T09:00:00"/>
    <s v="Chennai"/>
    <s v="GRILLED__270"/>
    <x v="1"/>
    <s v="Sandwich"/>
    <n v="192"/>
    <n v="0"/>
    <n v="192"/>
    <n v="1"/>
    <n v="101.97668775909899"/>
    <n v="192"/>
    <n v="101.97668775909899"/>
    <n v="90.023312240900793"/>
    <s v="None"/>
    <n v="192"/>
    <n v="-90.023312240901006"/>
  </r>
  <r>
    <s v="ORD1983"/>
    <d v="2024-02-29T12:00:00"/>
    <s v="Pune"/>
    <s v="CHICKEN__695"/>
    <x v="14"/>
    <s v="Burger"/>
    <n v="305"/>
    <n v="0.05"/>
    <n v="289.75"/>
    <n v="3"/>
    <n v="128.054341011627"/>
    <n v="869.25"/>
    <n v="384.16302303488197"/>
    <n v="485.086976965117"/>
    <s v="BOGO"/>
    <n v="915"/>
    <n v="-485.08697696511803"/>
  </r>
  <r>
    <s v="ORD1984"/>
    <d v="2024-06-14T07:00:00"/>
    <s v="Pune"/>
    <s v="VEG_BURG_652"/>
    <x v="0"/>
    <s v="Burger"/>
    <n v="233"/>
    <n v="0.05"/>
    <n v="221.35"/>
    <n v="7"/>
    <n v="105.81377097008099"/>
    <n v="1549.45"/>
    <n v="740.696396790569"/>
    <n v="808.75360320943105"/>
    <s v="Coupon"/>
    <n v="1631"/>
    <n v="-808.75360320943105"/>
  </r>
  <r>
    <s v="ORD1985"/>
    <d v="2024-09-25T13:00:00"/>
    <s v="Mumbai"/>
    <s v="PEPPY_PA_279"/>
    <x v="10"/>
    <s v="Pizza"/>
    <n v="232"/>
    <n v="0.1"/>
    <n v="208.8"/>
    <n v="5"/>
    <n v="134.71812755238901"/>
    <n v="1044"/>
    <n v="673.59063776194603"/>
    <n v="370.40936223805301"/>
    <s v="None"/>
    <n v="1160"/>
    <n v="-370.40936223805397"/>
  </r>
  <r>
    <s v="ORD1986"/>
    <d v="2025-08-29T22:00:00"/>
    <s v="Chennai"/>
    <s v="ONION_RI_792"/>
    <x v="17"/>
    <s v="Snacks"/>
    <n v="281"/>
    <n v="0"/>
    <n v="281"/>
    <n v="7"/>
    <n v="125.851800411733"/>
    <n v="1967"/>
    <n v="880.96260288213205"/>
    <n v="1086.0373971178601"/>
    <s v="None"/>
    <n v="1967"/>
    <n v="-1086.0373971178678"/>
  </r>
  <r>
    <s v="ORD1987"/>
    <d v="2025-08-08T02:00:00"/>
    <s v="Mumbai"/>
    <s v="ICE_CREA_931"/>
    <x v="6"/>
    <s v="Dessert"/>
    <n v="263"/>
    <n v="0.1"/>
    <n v="236.7"/>
    <n v="5"/>
    <n v="188.836039767702"/>
    <n v="1183.5"/>
    <n v="944.18019883851196"/>
    <n v="239.31980116148699"/>
    <s v="Coupon"/>
    <n v="1315"/>
    <n v="-239.31980116148804"/>
  </r>
  <r>
    <s v="ORD1988"/>
    <d v="2025-04-17T01:00:00"/>
    <s v="Bangalore"/>
    <s v="GARLIC_B_843"/>
    <x v="4"/>
    <s v="Snacks"/>
    <n v="323"/>
    <n v="0.1"/>
    <n v="290.7"/>
    <n v="3"/>
    <n v="227.33848955881101"/>
    <n v="872.099999999999"/>
    <n v="682.01546867643401"/>
    <n v="190.08453132356499"/>
    <s v="None"/>
    <n v="969"/>
    <n v="-190.08453132356499"/>
  </r>
  <r>
    <s v="ORD1989"/>
    <d v="2024-03-30T23:00:00"/>
    <s v="Mumbai"/>
    <s v="VEG_SAND_366"/>
    <x v="9"/>
    <s v="Sandwich"/>
    <n v="117"/>
    <n v="0"/>
    <n v="117"/>
    <n v="7"/>
    <n v="73.499998498137401"/>
    <n v="819"/>
    <n v="514.49998948696202"/>
    <n v="304.50001051303798"/>
    <s v="None"/>
    <n v="819"/>
    <n v="-304.50001051303798"/>
  </r>
  <r>
    <s v="ORD1990"/>
    <d v="2024-08-01T20:00:00"/>
    <s v="Delhi"/>
    <s v="MARGHERI_498"/>
    <x v="16"/>
    <s v="Pizza"/>
    <n v="80"/>
    <n v="0"/>
    <n v="80"/>
    <n v="4"/>
    <n v="52.399825925731498"/>
    <n v="320"/>
    <n v="209.59930370292599"/>
    <n v="110.400696297073"/>
    <s v="Coupon"/>
    <n v="320"/>
    <n v="-110.40069629707401"/>
  </r>
  <r>
    <s v="ORD1991"/>
    <d v="2025-09-14T05:00:00"/>
    <s v="Bangalore"/>
    <s v="VEG_SAND_964"/>
    <x v="9"/>
    <s v="Sandwich"/>
    <n v="289"/>
    <n v="0"/>
    <n v="289"/>
    <n v="4"/>
    <n v="184.71342914422399"/>
    <n v="1156"/>
    <n v="738.85371657689905"/>
    <n v="417.14628342309999"/>
    <s v="Coupon"/>
    <n v="1156"/>
    <n v="-417.14628342310095"/>
  </r>
  <r>
    <s v="ORD1992"/>
    <d v="2025-03-12T09:00:00"/>
    <s v="Hyderabad"/>
    <s v="CHEESE_B_304"/>
    <x v="5"/>
    <s v="Burger"/>
    <n v="88"/>
    <n v="0.2"/>
    <n v="70.400000000000006"/>
    <n v="2"/>
    <n v="60.022624477711503"/>
    <n v="140.80000000000001"/>
    <n v="120.04524895542301"/>
    <n v="20.754751044576899"/>
    <s v="None"/>
    <n v="176"/>
    <n v="-20.754751044577006"/>
  </r>
  <r>
    <s v="ORD1993"/>
    <d v="2025-03-26T05:00:00"/>
    <s v="Hyderabad"/>
    <s v="GRILLED__301"/>
    <x v="1"/>
    <s v="Sandwich"/>
    <n v="139"/>
    <n v="0.15"/>
    <n v="118.149999999999"/>
    <n v="7"/>
    <n v="70.693022841659399"/>
    <n v="827.05"/>
    <n v="494.851159891615"/>
    <n v="332.19884010838399"/>
    <s v="Percent-Off"/>
    <n v="973"/>
    <n v="-332.19884010838496"/>
  </r>
  <r>
    <s v="ORD1994"/>
    <d v="2024-05-08T11:00:00"/>
    <s v="Bangalore"/>
    <s v="BROWNIE_329"/>
    <x v="12"/>
    <s v="Dessert"/>
    <n v="267"/>
    <n v="0.1"/>
    <n v="240.3"/>
    <n v="4"/>
    <n v="191.52820072578899"/>
    <n v="961.2"/>
    <n v="766.11280290315801"/>
    <n v="195.08719709684101"/>
    <s v="None"/>
    <n v="1068"/>
    <n v="-195.08719709684203"/>
  </r>
  <r>
    <s v="ORD1995"/>
    <d v="2025-12-26T21:00:00"/>
    <s v="Mumbai"/>
    <s v="CHICKEN__727"/>
    <x v="14"/>
    <s v="Burger"/>
    <n v="179"/>
    <n v="0.15"/>
    <n v="152.15"/>
    <n v="3"/>
    <n v="133.531070407969"/>
    <n v="456.45"/>
    <n v="400.59321122390702"/>
    <n v="55.856788776092998"/>
    <s v="BOGO"/>
    <n v="537"/>
    <n v="-55.856788776092969"/>
  </r>
  <r>
    <s v="ORD1996"/>
    <d v="2025-08-04T00:00:00"/>
    <s v="Hyderabad"/>
    <s v="GARLIC_B_865"/>
    <x v="4"/>
    <s v="Snacks"/>
    <n v="130"/>
    <n v="0"/>
    <n v="130"/>
    <n v="3"/>
    <n v="78.759007425739597"/>
    <n v="390"/>
    <n v="236.27702227721801"/>
    <n v="153.722977722781"/>
    <s v="None"/>
    <n v="390"/>
    <n v="-153.72297772278199"/>
  </r>
  <r>
    <s v="ORD1997"/>
    <d v="2024-11-12T20:00:00"/>
    <s v="Chennai"/>
    <s v="CHICKEN__127"/>
    <x v="14"/>
    <s v="Burger"/>
    <n v="279"/>
    <n v="0"/>
    <n v="279"/>
    <n v="3"/>
    <n v="191.32615130877701"/>
    <n v="837"/>
    <n v="573.97845392633099"/>
    <n v="263.02154607366799"/>
    <s v="None"/>
    <n v="837"/>
    <n v="-263.02154607366901"/>
  </r>
  <r>
    <s v="ORD1998"/>
    <d v="2025-10-02T19:00:00"/>
    <s v="Bangalore"/>
    <s v="VEG_BURG_532"/>
    <x v="0"/>
    <s v="Burger"/>
    <n v="161"/>
    <n v="0.05"/>
    <n v="152.94999999999999"/>
    <n v="2"/>
    <n v="65.322838680062205"/>
    <n v="305.89999999999998"/>
    <n v="130.64567736012401"/>
    <n v="175.254322639875"/>
    <s v="None"/>
    <n v="322"/>
    <n v="-175.25432263987597"/>
  </r>
  <r>
    <s v="ORD1999"/>
    <d v="2024-06-14T23:00:00"/>
    <s v="Hyderabad"/>
    <s v="CLUB_SAN_621"/>
    <x v="13"/>
    <s v="Sandwich"/>
    <n v="187"/>
    <n v="0.2"/>
    <n v="149.6"/>
    <n v="3"/>
    <n v="94.499567031183702"/>
    <n v="448.79999999999899"/>
    <n v="283.49870109355101"/>
    <n v="165.30129890644801"/>
    <s v="None"/>
    <n v="561"/>
    <n v="-165.30129890644798"/>
  </r>
  <r>
    <s v="ORD2000"/>
    <d v="2024-03-15T02:00:00"/>
    <s v="Pune"/>
    <s v="PEPPY_PA_427"/>
    <x v="10"/>
    <s v="Pizza"/>
    <n v="179"/>
    <n v="0.1"/>
    <n v="161.1"/>
    <n v="4"/>
    <n v="90.535924591311797"/>
    <n v="644.4"/>
    <n v="362.14369836524702"/>
    <n v="282.25630163475199"/>
    <s v="None"/>
    <n v="716"/>
    <n v="-282.25630163475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E5F68-A42F-426E-B212-6BEAF74B3B4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G22" firstHeaderRow="0" firstDataRow="1" firstDataCol="1"/>
  <pivotFields count="17">
    <pivotField showAll="0"/>
    <pivotField numFmtId="22" showAll="0"/>
    <pivotField showAll="0"/>
    <pivotField showAll="0"/>
    <pivotField axis="axisRow" showAll="0" sortType="descending">
      <items count="19">
        <item x="12"/>
        <item x="5"/>
        <item x="14"/>
        <item x="7"/>
        <item x="13"/>
        <item x="8"/>
        <item x="15"/>
        <item x="2"/>
        <item x="4"/>
        <item x="1"/>
        <item x="11"/>
        <item x="6"/>
        <item x="16"/>
        <item x="17"/>
        <item x="10"/>
        <item x="3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</pivotFields>
  <rowFields count="1">
    <field x="4"/>
  </rowFields>
  <rowItems count="19">
    <i>
      <x v="1"/>
    </i>
    <i>
      <x v="3"/>
    </i>
    <i>
      <x v="5"/>
    </i>
    <i>
      <x v="16"/>
    </i>
    <i>
      <x v="6"/>
    </i>
    <i>
      <x v="15"/>
    </i>
    <i>
      <x v="14"/>
    </i>
    <i>
      <x v="12"/>
    </i>
    <i>
      <x v="2"/>
    </i>
    <i>
      <x/>
    </i>
    <i>
      <x v="7"/>
    </i>
    <i>
      <x v="9"/>
    </i>
    <i>
      <x v="13"/>
    </i>
    <i>
      <x v="4"/>
    </i>
    <i>
      <x v="10"/>
    </i>
    <i>
      <x v="8"/>
    </i>
    <i>
      <x v="11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revenue" fld="11" baseField="4" baseItem="1"/>
    <dataField name="revenue_without_discount  " fld="15" baseField="4" baseItem="1"/>
    <dataField name="Average of discount_pct" fld="7" subtotal="average" baseField="4" baseItem="0"/>
    <dataField name=" discount_loss" fld="16" baseField="4" baseItem="1"/>
    <dataField name="units_sold  " fld="9" baseField="4" baseItem="1"/>
    <dataField name=" profit" fld="13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FAE8-1EA2-4842-B279-5E3E2CCC8C98}">
  <dimension ref="A1:Q2001"/>
  <sheetViews>
    <sheetView workbookViewId="0">
      <selection activeCell="E17" sqref="E17"/>
    </sheetView>
  </sheetViews>
  <sheetFormatPr defaultRowHeight="14.6" x14ac:dyDescent="0.4"/>
  <cols>
    <col min="1" max="1" width="8.4609375" bestFit="1" customWidth="1"/>
    <col min="2" max="2" width="15.15234375" bestFit="1" customWidth="1"/>
    <col min="3" max="3" width="9.765625" bestFit="1" customWidth="1"/>
    <col min="4" max="4" width="14" bestFit="1" customWidth="1"/>
    <col min="5" max="5" width="14.61328125" bestFit="1" customWidth="1"/>
    <col min="6" max="6" width="8.69140625" bestFit="1" customWidth="1"/>
    <col min="8" max="8" width="11.53515625" bestFit="1" customWidth="1"/>
    <col min="9" max="9" width="9.07421875" bestFit="1" customWidth="1"/>
    <col min="10" max="10" width="9.3046875" bestFit="1" customWidth="1"/>
    <col min="11" max="11" width="12.3046875" bestFit="1" customWidth="1"/>
    <col min="12" max="12" width="7.84375" bestFit="1" customWidth="1"/>
    <col min="13" max="14" width="11.84375" bestFit="1" customWidth="1"/>
    <col min="15" max="15" width="14.4609375" bestFit="1" customWidth="1"/>
    <col min="16" max="16" width="23.4609375" bestFit="1" customWidth="1"/>
    <col min="17" max="17" width="12.460937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3889</v>
      </c>
      <c r="Q1" t="s">
        <v>3890</v>
      </c>
    </row>
    <row r="2" spans="1:17" x14ac:dyDescent="0.4">
      <c r="A2" t="s">
        <v>15</v>
      </c>
      <c r="B2" s="1">
        <v>45950.125</v>
      </c>
      <c r="C2" t="s">
        <v>16</v>
      </c>
      <c r="D2" t="s">
        <v>17</v>
      </c>
      <c r="E2" t="s">
        <v>18</v>
      </c>
      <c r="F2" t="s">
        <v>19</v>
      </c>
      <c r="G2">
        <v>290</v>
      </c>
      <c r="H2">
        <v>0</v>
      </c>
      <c r="I2">
        <v>290</v>
      </c>
      <c r="J2">
        <v>4</v>
      </c>
      <c r="K2">
        <v>155.11565212930699</v>
      </c>
      <c r="L2">
        <v>1160</v>
      </c>
      <c r="M2">
        <v>620.46260851722798</v>
      </c>
      <c r="N2">
        <v>539.537391482771</v>
      </c>
      <c r="O2" t="s">
        <v>20</v>
      </c>
      <c r="P2">
        <f>G2 * J2</f>
        <v>1160</v>
      </c>
      <c r="Q2">
        <f xml:space="preserve"> M2 - L2</f>
        <v>-539.53739148277202</v>
      </c>
    </row>
    <row r="3" spans="1:17" x14ac:dyDescent="0.4">
      <c r="A3" t="s">
        <v>21</v>
      </c>
      <c r="B3" s="1">
        <v>45327.833333333336</v>
      </c>
      <c r="C3" t="s">
        <v>22</v>
      </c>
      <c r="D3" t="s">
        <v>23</v>
      </c>
      <c r="E3" t="s">
        <v>24</v>
      </c>
      <c r="F3" t="s">
        <v>25</v>
      </c>
      <c r="G3">
        <v>233</v>
      </c>
      <c r="H3">
        <v>0.05</v>
      </c>
      <c r="I3">
        <v>221.35</v>
      </c>
      <c r="J3">
        <v>5</v>
      </c>
      <c r="K3">
        <v>93.353304501456407</v>
      </c>
      <c r="L3">
        <v>1106.75</v>
      </c>
      <c r="M3">
        <v>466.76652250728199</v>
      </c>
      <c r="N3">
        <v>639.98347749271704</v>
      </c>
      <c r="O3" t="s">
        <v>26</v>
      </c>
      <c r="P3">
        <f t="shared" ref="P3:P66" si="0">G3 * J3</f>
        <v>1165</v>
      </c>
      <c r="Q3">
        <f t="shared" ref="Q3:Q66" si="1" xml:space="preserve"> M3 - L3</f>
        <v>-639.98347749271807</v>
      </c>
    </row>
    <row r="4" spans="1:17" x14ac:dyDescent="0.4">
      <c r="A4" t="s">
        <v>27</v>
      </c>
      <c r="B4" s="1">
        <v>45516.583333333336</v>
      </c>
      <c r="C4" t="s">
        <v>28</v>
      </c>
      <c r="D4" t="s">
        <v>29</v>
      </c>
      <c r="E4" t="s">
        <v>30</v>
      </c>
      <c r="F4" t="s">
        <v>31</v>
      </c>
      <c r="G4">
        <v>99</v>
      </c>
      <c r="H4">
        <v>0.1</v>
      </c>
      <c r="I4">
        <v>89.1</v>
      </c>
      <c r="J4">
        <v>7</v>
      </c>
      <c r="K4">
        <v>56.265710634554097</v>
      </c>
      <c r="L4">
        <v>623.70000000000005</v>
      </c>
      <c r="M4">
        <v>393.85997444187899</v>
      </c>
      <c r="N4">
        <v>229.84002555812</v>
      </c>
      <c r="O4" t="s">
        <v>32</v>
      </c>
      <c r="P4">
        <f t="shared" si="0"/>
        <v>693</v>
      </c>
      <c r="Q4">
        <f t="shared" si="1"/>
        <v>-229.84002555812106</v>
      </c>
    </row>
    <row r="5" spans="1:17" x14ac:dyDescent="0.4">
      <c r="A5" t="s">
        <v>33</v>
      </c>
      <c r="B5" s="1">
        <v>45790.5</v>
      </c>
      <c r="C5" t="s">
        <v>16</v>
      </c>
      <c r="D5" t="s">
        <v>34</v>
      </c>
      <c r="E5" t="s">
        <v>18</v>
      </c>
      <c r="F5" t="s">
        <v>19</v>
      </c>
      <c r="G5">
        <v>103</v>
      </c>
      <c r="H5">
        <v>0.15</v>
      </c>
      <c r="I5">
        <v>87.55</v>
      </c>
      <c r="J5">
        <v>2</v>
      </c>
      <c r="K5">
        <v>62.907350468091899</v>
      </c>
      <c r="L5">
        <v>175.1</v>
      </c>
      <c r="M5">
        <v>125.814700936183</v>
      </c>
      <c r="N5">
        <v>49.285299063816097</v>
      </c>
      <c r="O5" t="s">
        <v>32</v>
      </c>
      <c r="P5">
        <f t="shared" si="0"/>
        <v>206</v>
      </c>
      <c r="Q5">
        <f t="shared" si="1"/>
        <v>-49.285299063816993</v>
      </c>
    </row>
    <row r="6" spans="1:17" x14ac:dyDescent="0.4">
      <c r="A6" t="s">
        <v>35</v>
      </c>
      <c r="B6" s="1">
        <v>45762.166666666664</v>
      </c>
      <c r="C6" t="s">
        <v>22</v>
      </c>
      <c r="D6" t="s">
        <v>36</v>
      </c>
      <c r="E6" t="s">
        <v>37</v>
      </c>
      <c r="F6" t="s">
        <v>38</v>
      </c>
      <c r="G6">
        <v>231</v>
      </c>
      <c r="H6">
        <v>0.05</v>
      </c>
      <c r="I6">
        <v>219.45</v>
      </c>
      <c r="J6">
        <v>6</v>
      </c>
      <c r="K6">
        <v>171.79220904757</v>
      </c>
      <c r="L6">
        <v>1316.69999999999</v>
      </c>
      <c r="M6">
        <v>1030.7532542854201</v>
      </c>
      <c r="N6">
        <v>285.94674571457398</v>
      </c>
      <c r="O6" t="s">
        <v>26</v>
      </c>
      <c r="P6">
        <f t="shared" si="0"/>
        <v>1386</v>
      </c>
      <c r="Q6">
        <f t="shared" si="1"/>
        <v>-285.94674571456994</v>
      </c>
    </row>
    <row r="7" spans="1:17" x14ac:dyDescent="0.4">
      <c r="A7" t="s">
        <v>39</v>
      </c>
      <c r="B7" s="1">
        <v>45553.041666666664</v>
      </c>
      <c r="C7" t="s">
        <v>16</v>
      </c>
      <c r="D7" t="s">
        <v>40</v>
      </c>
      <c r="E7" t="s">
        <v>41</v>
      </c>
      <c r="F7" t="s">
        <v>31</v>
      </c>
      <c r="G7">
        <v>262</v>
      </c>
      <c r="H7">
        <v>0.15</v>
      </c>
      <c r="I7">
        <v>222.7</v>
      </c>
      <c r="J7">
        <v>1</v>
      </c>
      <c r="K7">
        <v>112.92465940162</v>
      </c>
      <c r="L7">
        <v>222.7</v>
      </c>
      <c r="M7">
        <v>112.92465940162</v>
      </c>
      <c r="N7">
        <v>109.775340598379</v>
      </c>
      <c r="O7" t="s">
        <v>26</v>
      </c>
      <c r="P7">
        <f t="shared" si="0"/>
        <v>262</v>
      </c>
      <c r="Q7">
        <f t="shared" si="1"/>
        <v>-109.77534059837998</v>
      </c>
    </row>
    <row r="8" spans="1:17" x14ac:dyDescent="0.4">
      <c r="A8" t="s">
        <v>42</v>
      </c>
      <c r="B8" s="1">
        <v>45994.083333333336</v>
      </c>
      <c r="C8" t="s">
        <v>43</v>
      </c>
      <c r="D8" t="s">
        <v>44</v>
      </c>
      <c r="E8" t="s">
        <v>37</v>
      </c>
      <c r="F8" t="s">
        <v>38</v>
      </c>
      <c r="G8">
        <v>240</v>
      </c>
      <c r="H8">
        <v>0.1</v>
      </c>
      <c r="I8">
        <v>216</v>
      </c>
      <c r="J8">
        <v>4</v>
      </c>
      <c r="K8">
        <v>137.67797626551001</v>
      </c>
      <c r="L8">
        <v>864</v>
      </c>
      <c r="M8">
        <v>550.71190506204096</v>
      </c>
      <c r="N8">
        <v>313.28809493795802</v>
      </c>
      <c r="O8" t="s">
        <v>32</v>
      </c>
      <c r="P8">
        <f t="shared" si="0"/>
        <v>960</v>
      </c>
      <c r="Q8">
        <f t="shared" si="1"/>
        <v>-313.28809493795904</v>
      </c>
    </row>
    <row r="9" spans="1:17" x14ac:dyDescent="0.4">
      <c r="A9" t="s">
        <v>45</v>
      </c>
      <c r="B9" s="1">
        <v>45476.416666666664</v>
      </c>
      <c r="C9" t="s">
        <v>46</v>
      </c>
      <c r="D9" t="s">
        <v>47</v>
      </c>
      <c r="E9" t="s">
        <v>48</v>
      </c>
      <c r="F9" t="s">
        <v>19</v>
      </c>
      <c r="G9">
        <v>169</v>
      </c>
      <c r="H9">
        <v>0.1</v>
      </c>
      <c r="I9">
        <v>152.1</v>
      </c>
      <c r="J9">
        <v>1</v>
      </c>
      <c r="K9">
        <v>101.05228042510301</v>
      </c>
      <c r="L9">
        <v>152.1</v>
      </c>
      <c r="M9">
        <v>101.05228042510301</v>
      </c>
      <c r="N9">
        <v>51.047719574896703</v>
      </c>
      <c r="O9" t="s">
        <v>32</v>
      </c>
      <c r="P9">
        <f t="shared" si="0"/>
        <v>169</v>
      </c>
      <c r="Q9">
        <f t="shared" si="1"/>
        <v>-51.047719574896988</v>
      </c>
    </row>
    <row r="10" spans="1:17" x14ac:dyDescent="0.4">
      <c r="A10" t="s">
        <v>49</v>
      </c>
      <c r="B10" s="1">
        <v>45892.958333333336</v>
      </c>
      <c r="C10" t="s">
        <v>22</v>
      </c>
      <c r="D10" t="s">
        <v>50</v>
      </c>
      <c r="E10" t="s">
        <v>18</v>
      </c>
      <c r="F10" t="s">
        <v>19</v>
      </c>
      <c r="G10">
        <v>333</v>
      </c>
      <c r="H10">
        <v>0.1</v>
      </c>
      <c r="I10">
        <v>299.7</v>
      </c>
      <c r="J10">
        <v>6</v>
      </c>
      <c r="K10">
        <v>193.58208020513399</v>
      </c>
      <c r="L10">
        <v>1798.19999999999</v>
      </c>
      <c r="M10">
        <v>1161.4924812308</v>
      </c>
      <c r="N10">
        <v>636.70751876919496</v>
      </c>
      <c r="O10" t="s">
        <v>51</v>
      </c>
      <c r="P10">
        <f t="shared" si="0"/>
        <v>1998</v>
      </c>
      <c r="Q10">
        <f t="shared" si="1"/>
        <v>-636.70751876919007</v>
      </c>
    </row>
    <row r="11" spans="1:17" x14ac:dyDescent="0.4">
      <c r="A11" t="s">
        <v>52</v>
      </c>
      <c r="B11" s="1">
        <v>45765.458333333336</v>
      </c>
      <c r="C11" t="s">
        <v>22</v>
      </c>
      <c r="D11" t="s">
        <v>53</v>
      </c>
      <c r="E11" t="s">
        <v>37</v>
      </c>
      <c r="F11" t="s">
        <v>38</v>
      </c>
      <c r="G11">
        <v>148</v>
      </c>
      <c r="H11">
        <v>0.2</v>
      </c>
      <c r="I11">
        <v>118.4</v>
      </c>
      <c r="J11">
        <v>5</v>
      </c>
      <c r="K11">
        <v>84.110930839009001</v>
      </c>
      <c r="L11">
        <v>592</v>
      </c>
      <c r="M11">
        <v>420.55465419504498</v>
      </c>
      <c r="N11">
        <v>171.445345804954</v>
      </c>
      <c r="O11" t="s">
        <v>51</v>
      </c>
      <c r="P11">
        <f t="shared" si="0"/>
        <v>740</v>
      </c>
      <c r="Q11">
        <f t="shared" si="1"/>
        <v>-171.44534580495502</v>
      </c>
    </row>
    <row r="12" spans="1:17" x14ac:dyDescent="0.4">
      <c r="A12" t="s">
        <v>54</v>
      </c>
      <c r="B12" s="1">
        <v>45959.625</v>
      </c>
      <c r="C12" t="s">
        <v>43</v>
      </c>
      <c r="D12" t="s">
        <v>55</v>
      </c>
      <c r="E12" t="s">
        <v>41</v>
      </c>
      <c r="F12" t="s">
        <v>31</v>
      </c>
      <c r="G12">
        <v>169</v>
      </c>
      <c r="H12">
        <v>0</v>
      </c>
      <c r="I12">
        <v>169</v>
      </c>
      <c r="J12">
        <v>7</v>
      </c>
      <c r="K12">
        <v>121.066473484901</v>
      </c>
      <c r="L12">
        <v>1183</v>
      </c>
      <c r="M12">
        <v>847.46531439430805</v>
      </c>
      <c r="N12">
        <v>335.53468560569098</v>
      </c>
      <c r="O12" t="s">
        <v>20</v>
      </c>
      <c r="P12">
        <f t="shared" si="0"/>
        <v>1183</v>
      </c>
      <c r="Q12">
        <f t="shared" si="1"/>
        <v>-335.53468560569195</v>
      </c>
    </row>
    <row r="13" spans="1:17" x14ac:dyDescent="0.4">
      <c r="A13" t="s">
        <v>56</v>
      </c>
      <c r="B13" s="1">
        <v>45638.75</v>
      </c>
      <c r="C13" t="s">
        <v>16</v>
      </c>
      <c r="D13" t="s">
        <v>57</v>
      </c>
      <c r="E13" t="s">
        <v>41</v>
      </c>
      <c r="F13" t="s">
        <v>31</v>
      </c>
      <c r="G13">
        <v>261</v>
      </c>
      <c r="H13">
        <v>0</v>
      </c>
      <c r="I13">
        <v>261</v>
      </c>
      <c r="J13">
        <v>4</v>
      </c>
      <c r="K13">
        <v>116.764595416066</v>
      </c>
      <c r="L13">
        <v>1044</v>
      </c>
      <c r="M13">
        <v>467.05838166426599</v>
      </c>
      <c r="N13">
        <v>576.94161833573298</v>
      </c>
      <c r="O13" t="s">
        <v>32</v>
      </c>
      <c r="P13">
        <f t="shared" si="0"/>
        <v>1044</v>
      </c>
      <c r="Q13">
        <f t="shared" si="1"/>
        <v>-576.94161833573401</v>
      </c>
    </row>
    <row r="14" spans="1:17" x14ac:dyDescent="0.4">
      <c r="A14" t="s">
        <v>58</v>
      </c>
      <c r="B14" s="1">
        <v>45362.208333333336</v>
      </c>
      <c r="C14" t="s">
        <v>16</v>
      </c>
      <c r="D14" t="s">
        <v>59</v>
      </c>
      <c r="E14" t="s">
        <v>60</v>
      </c>
      <c r="F14" t="s">
        <v>61</v>
      </c>
      <c r="G14">
        <v>185</v>
      </c>
      <c r="H14">
        <v>0.05</v>
      </c>
      <c r="I14">
        <v>175.75</v>
      </c>
      <c r="J14">
        <v>4</v>
      </c>
      <c r="K14">
        <v>91.852860487936994</v>
      </c>
      <c r="L14">
        <v>703</v>
      </c>
      <c r="M14">
        <v>367.41144195174797</v>
      </c>
      <c r="N14">
        <v>335.58855804825203</v>
      </c>
      <c r="O14" t="s">
        <v>32</v>
      </c>
      <c r="P14">
        <f t="shared" si="0"/>
        <v>740</v>
      </c>
      <c r="Q14">
        <f t="shared" si="1"/>
        <v>-335.58855804825203</v>
      </c>
    </row>
    <row r="15" spans="1:17" x14ac:dyDescent="0.4">
      <c r="A15" t="s">
        <v>62</v>
      </c>
      <c r="B15" s="1">
        <v>45324.041666666664</v>
      </c>
      <c r="C15" t="s">
        <v>22</v>
      </c>
      <c r="D15" t="s">
        <v>63</v>
      </c>
      <c r="E15" t="s">
        <v>24</v>
      </c>
      <c r="F15" t="s">
        <v>25</v>
      </c>
      <c r="G15">
        <v>185</v>
      </c>
      <c r="H15">
        <v>0.2</v>
      </c>
      <c r="I15">
        <v>148</v>
      </c>
      <c r="J15">
        <v>6</v>
      </c>
      <c r="K15">
        <v>78.232458702293897</v>
      </c>
      <c r="L15">
        <v>888</v>
      </c>
      <c r="M15">
        <v>469.39475221376301</v>
      </c>
      <c r="N15">
        <v>418.60524778623602</v>
      </c>
      <c r="O15" t="s">
        <v>32</v>
      </c>
      <c r="P15">
        <f t="shared" si="0"/>
        <v>1110</v>
      </c>
      <c r="Q15">
        <f t="shared" si="1"/>
        <v>-418.60524778623699</v>
      </c>
    </row>
    <row r="16" spans="1:17" x14ac:dyDescent="0.4">
      <c r="A16" t="s">
        <v>64</v>
      </c>
      <c r="B16" s="1">
        <v>45393.375</v>
      </c>
      <c r="C16" t="s">
        <v>65</v>
      </c>
      <c r="D16" t="s">
        <v>66</v>
      </c>
      <c r="E16" t="s">
        <v>41</v>
      </c>
      <c r="F16" t="s">
        <v>31</v>
      </c>
      <c r="G16">
        <v>329</v>
      </c>
      <c r="H16">
        <v>0.1</v>
      </c>
      <c r="I16">
        <v>296.10000000000002</v>
      </c>
      <c r="J16">
        <v>5</v>
      </c>
      <c r="K16">
        <v>192.908241563991</v>
      </c>
      <c r="L16">
        <v>1480.5</v>
      </c>
      <c r="M16">
        <v>964.54120781995596</v>
      </c>
      <c r="N16">
        <v>515.95879218004302</v>
      </c>
      <c r="O16" t="s">
        <v>32</v>
      </c>
      <c r="P16">
        <f t="shared" si="0"/>
        <v>1645</v>
      </c>
      <c r="Q16">
        <f t="shared" si="1"/>
        <v>-515.95879218004404</v>
      </c>
    </row>
    <row r="17" spans="1:17" x14ac:dyDescent="0.4">
      <c r="A17" t="s">
        <v>67</v>
      </c>
      <c r="B17" s="1">
        <v>45513.291666666664</v>
      </c>
      <c r="C17" t="s">
        <v>46</v>
      </c>
      <c r="D17" t="s">
        <v>68</v>
      </c>
      <c r="E17" t="s">
        <v>69</v>
      </c>
      <c r="F17" t="s">
        <v>70</v>
      </c>
      <c r="G17">
        <v>227</v>
      </c>
      <c r="H17">
        <v>0</v>
      </c>
      <c r="I17">
        <v>227</v>
      </c>
      <c r="J17">
        <v>7</v>
      </c>
      <c r="K17">
        <v>122.059431409477</v>
      </c>
      <c r="L17">
        <v>1589</v>
      </c>
      <c r="M17">
        <v>854.416019866341</v>
      </c>
      <c r="N17">
        <v>734.58398013365797</v>
      </c>
      <c r="O17" t="s">
        <v>20</v>
      </c>
      <c r="P17">
        <f t="shared" si="0"/>
        <v>1589</v>
      </c>
      <c r="Q17">
        <f t="shared" si="1"/>
        <v>-734.583980133659</v>
      </c>
    </row>
    <row r="18" spans="1:17" x14ac:dyDescent="0.4">
      <c r="A18" t="s">
        <v>71</v>
      </c>
      <c r="B18" s="1">
        <v>45502.458333333336</v>
      </c>
      <c r="C18" t="s">
        <v>22</v>
      </c>
      <c r="D18" t="s">
        <v>72</v>
      </c>
      <c r="E18" t="s">
        <v>73</v>
      </c>
      <c r="F18" t="s">
        <v>38</v>
      </c>
      <c r="G18">
        <v>100</v>
      </c>
      <c r="H18">
        <v>0.05</v>
      </c>
      <c r="I18">
        <v>95</v>
      </c>
      <c r="J18">
        <v>3</v>
      </c>
      <c r="K18">
        <v>65.380450464288998</v>
      </c>
      <c r="L18">
        <v>285</v>
      </c>
      <c r="M18">
        <v>196.14135139286699</v>
      </c>
      <c r="N18">
        <v>88.858648607132906</v>
      </c>
      <c r="O18" t="s">
        <v>32</v>
      </c>
      <c r="P18">
        <f t="shared" si="0"/>
        <v>300</v>
      </c>
      <c r="Q18">
        <f t="shared" si="1"/>
        <v>-88.858648607133006</v>
      </c>
    </row>
    <row r="19" spans="1:17" x14ac:dyDescent="0.4">
      <c r="A19" t="s">
        <v>74</v>
      </c>
      <c r="B19" s="1">
        <v>45559.5</v>
      </c>
      <c r="C19" t="s">
        <v>65</v>
      </c>
      <c r="D19" t="s">
        <v>75</v>
      </c>
      <c r="E19" t="s">
        <v>73</v>
      </c>
      <c r="F19" t="s">
        <v>38</v>
      </c>
      <c r="G19">
        <v>240</v>
      </c>
      <c r="H19">
        <v>0</v>
      </c>
      <c r="I19">
        <v>240</v>
      </c>
      <c r="J19">
        <v>4</v>
      </c>
      <c r="K19">
        <v>131.11115444512001</v>
      </c>
      <c r="L19">
        <v>960</v>
      </c>
      <c r="M19">
        <v>524.44461778048196</v>
      </c>
      <c r="N19">
        <v>435.55538221951701</v>
      </c>
      <c r="O19" t="s">
        <v>26</v>
      </c>
      <c r="P19">
        <f t="shared" si="0"/>
        <v>960</v>
      </c>
      <c r="Q19">
        <f t="shared" si="1"/>
        <v>-435.55538221951804</v>
      </c>
    </row>
    <row r="20" spans="1:17" x14ac:dyDescent="0.4">
      <c r="A20" t="s">
        <v>76</v>
      </c>
      <c r="B20" s="1">
        <v>45558.5</v>
      </c>
      <c r="C20" t="s">
        <v>43</v>
      </c>
      <c r="D20" t="s">
        <v>77</v>
      </c>
      <c r="E20" t="s">
        <v>48</v>
      </c>
      <c r="F20" t="s">
        <v>19</v>
      </c>
      <c r="G20">
        <v>231</v>
      </c>
      <c r="H20">
        <v>0</v>
      </c>
      <c r="I20">
        <v>231</v>
      </c>
      <c r="J20">
        <v>2</v>
      </c>
      <c r="K20">
        <v>125.06161130100099</v>
      </c>
      <c r="L20">
        <v>462</v>
      </c>
      <c r="M20">
        <v>250.12322260200199</v>
      </c>
      <c r="N20">
        <v>211.87677739799699</v>
      </c>
      <c r="O20" t="s">
        <v>20</v>
      </c>
      <c r="P20">
        <f t="shared" si="0"/>
        <v>462</v>
      </c>
      <c r="Q20">
        <f t="shared" si="1"/>
        <v>-211.87677739799801</v>
      </c>
    </row>
    <row r="21" spans="1:17" x14ac:dyDescent="0.4">
      <c r="A21" t="s">
        <v>78</v>
      </c>
      <c r="B21" s="1">
        <v>45653.083333333336</v>
      </c>
      <c r="C21" t="s">
        <v>46</v>
      </c>
      <c r="D21" t="s">
        <v>79</v>
      </c>
      <c r="E21" t="s">
        <v>48</v>
      </c>
      <c r="F21" t="s">
        <v>19</v>
      </c>
      <c r="G21">
        <v>177</v>
      </c>
      <c r="H21">
        <v>0</v>
      </c>
      <c r="I21">
        <v>177</v>
      </c>
      <c r="J21">
        <v>6</v>
      </c>
      <c r="K21">
        <v>123.266615205086</v>
      </c>
      <c r="L21">
        <v>1062</v>
      </c>
      <c r="M21">
        <v>739.59969123051701</v>
      </c>
      <c r="N21">
        <v>322.40030876948202</v>
      </c>
      <c r="O21" t="s">
        <v>32</v>
      </c>
      <c r="P21">
        <f t="shared" si="0"/>
        <v>1062</v>
      </c>
      <c r="Q21">
        <f t="shared" si="1"/>
        <v>-322.40030876948299</v>
      </c>
    </row>
    <row r="22" spans="1:17" x14ac:dyDescent="0.4">
      <c r="A22" t="s">
        <v>80</v>
      </c>
      <c r="B22" s="1">
        <v>45406.458333333336</v>
      </c>
      <c r="C22" t="s">
        <v>28</v>
      </c>
      <c r="D22" t="s">
        <v>81</v>
      </c>
      <c r="E22" t="s">
        <v>82</v>
      </c>
      <c r="F22" t="s">
        <v>25</v>
      </c>
      <c r="G22">
        <v>145</v>
      </c>
      <c r="H22">
        <v>0</v>
      </c>
      <c r="I22">
        <v>145</v>
      </c>
      <c r="J22">
        <v>3</v>
      </c>
      <c r="K22">
        <v>91.036903457910896</v>
      </c>
      <c r="L22">
        <v>435</v>
      </c>
      <c r="M22">
        <v>273.11071037373199</v>
      </c>
      <c r="N22">
        <v>161.88928962626699</v>
      </c>
      <c r="O22" t="s">
        <v>32</v>
      </c>
      <c r="P22">
        <f t="shared" si="0"/>
        <v>435</v>
      </c>
      <c r="Q22">
        <f t="shared" si="1"/>
        <v>-161.88928962626801</v>
      </c>
    </row>
    <row r="23" spans="1:17" x14ac:dyDescent="0.4">
      <c r="A23" t="s">
        <v>83</v>
      </c>
      <c r="B23" s="1">
        <v>45299.875</v>
      </c>
      <c r="C23" t="s">
        <v>22</v>
      </c>
      <c r="D23" t="s">
        <v>84</v>
      </c>
      <c r="E23" t="s">
        <v>85</v>
      </c>
      <c r="F23" t="s">
        <v>70</v>
      </c>
      <c r="G23">
        <v>138</v>
      </c>
      <c r="H23">
        <v>0.1</v>
      </c>
      <c r="I23">
        <v>124.2</v>
      </c>
      <c r="J23">
        <v>3</v>
      </c>
      <c r="K23">
        <v>93.177237030248804</v>
      </c>
      <c r="L23">
        <v>372.6</v>
      </c>
      <c r="M23">
        <v>279.531711090746</v>
      </c>
      <c r="N23">
        <v>93.068288909253596</v>
      </c>
      <c r="O23" t="s">
        <v>26</v>
      </c>
      <c r="P23">
        <f t="shared" si="0"/>
        <v>414</v>
      </c>
      <c r="Q23">
        <f t="shared" si="1"/>
        <v>-93.068288909254022</v>
      </c>
    </row>
    <row r="24" spans="1:17" x14ac:dyDescent="0.4">
      <c r="A24" t="s">
        <v>86</v>
      </c>
      <c r="B24" s="1">
        <v>45417.208333333336</v>
      </c>
      <c r="C24" t="s">
        <v>16</v>
      </c>
      <c r="D24" t="s">
        <v>87</v>
      </c>
      <c r="E24" t="s">
        <v>41</v>
      </c>
      <c r="F24" t="s">
        <v>31</v>
      </c>
      <c r="G24">
        <v>293</v>
      </c>
      <c r="H24">
        <v>0</v>
      </c>
      <c r="I24">
        <v>293</v>
      </c>
      <c r="J24">
        <v>5</v>
      </c>
      <c r="K24">
        <v>184.84499152378001</v>
      </c>
      <c r="L24">
        <v>1465</v>
      </c>
      <c r="M24">
        <v>924.224957618904</v>
      </c>
      <c r="N24">
        <v>540.775042381096</v>
      </c>
      <c r="O24" t="s">
        <v>32</v>
      </c>
      <c r="P24">
        <f t="shared" si="0"/>
        <v>1465</v>
      </c>
      <c r="Q24">
        <f t="shared" si="1"/>
        <v>-540.775042381096</v>
      </c>
    </row>
    <row r="25" spans="1:17" x14ac:dyDescent="0.4">
      <c r="A25" t="s">
        <v>88</v>
      </c>
      <c r="B25" s="1">
        <v>45371.125</v>
      </c>
      <c r="C25" t="s">
        <v>28</v>
      </c>
      <c r="D25" t="s">
        <v>89</v>
      </c>
      <c r="E25" t="s">
        <v>37</v>
      </c>
      <c r="F25" t="s">
        <v>38</v>
      </c>
      <c r="G25">
        <v>105</v>
      </c>
      <c r="H25">
        <v>0.1</v>
      </c>
      <c r="I25">
        <v>94.5</v>
      </c>
      <c r="J25">
        <v>2</v>
      </c>
      <c r="K25">
        <v>44.396268728823003</v>
      </c>
      <c r="L25">
        <v>189</v>
      </c>
      <c r="M25">
        <v>88.792537457646105</v>
      </c>
      <c r="N25">
        <v>100.207462542353</v>
      </c>
      <c r="O25" t="s">
        <v>51</v>
      </c>
      <c r="P25">
        <f t="shared" si="0"/>
        <v>210</v>
      </c>
      <c r="Q25">
        <f t="shared" si="1"/>
        <v>-100.20746254235389</v>
      </c>
    </row>
    <row r="26" spans="1:17" x14ac:dyDescent="0.4">
      <c r="A26" t="s">
        <v>90</v>
      </c>
      <c r="B26" s="1">
        <v>45344.791666666664</v>
      </c>
      <c r="C26" t="s">
        <v>43</v>
      </c>
      <c r="D26" t="s">
        <v>91</v>
      </c>
      <c r="E26" t="s">
        <v>18</v>
      </c>
      <c r="F26" t="s">
        <v>19</v>
      </c>
      <c r="G26">
        <v>306</v>
      </c>
      <c r="H26">
        <v>0</v>
      </c>
      <c r="I26">
        <v>306</v>
      </c>
      <c r="J26">
        <v>4</v>
      </c>
      <c r="K26">
        <v>170.776729339713</v>
      </c>
      <c r="L26">
        <v>1224</v>
      </c>
      <c r="M26">
        <v>683.106917358852</v>
      </c>
      <c r="N26">
        <v>540.89308264114698</v>
      </c>
      <c r="O26" t="s">
        <v>32</v>
      </c>
      <c r="P26">
        <f t="shared" si="0"/>
        <v>1224</v>
      </c>
      <c r="Q26">
        <f t="shared" si="1"/>
        <v>-540.893082641148</v>
      </c>
    </row>
    <row r="27" spans="1:17" x14ac:dyDescent="0.4">
      <c r="A27" t="s">
        <v>92</v>
      </c>
      <c r="B27" s="1">
        <v>45766.75</v>
      </c>
      <c r="C27" t="s">
        <v>16</v>
      </c>
      <c r="D27" t="s">
        <v>93</v>
      </c>
      <c r="E27" t="s">
        <v>94</v>
      </c>
      <c r="F27" t="s">
        <v>61</v>
      </c>
      <c r="G27">
        <v>346</v>
      </c>
      <c r="H27">
        <v>0</v>
      </c>
      <c r="I27">
        <v>346</v>
      </c>
      <c r="J27">
        <v>2</v>
      </c>
      <c r="K27">
        <v>149.78777224698899</v>
      </c>
      <c r="L27">
        <v>692</v>
      </c>
      <c r="M27">
        <v>299.57554449397901</v>
      </c>
      <c r="N27">
        <v>392.42445550602002</v>
      </c>
      <c r="O27" t="s">
        <v>20</v>
      </c>
      <c r="P27">
        <f t="shared" si="0"/>
        <v>692</v>
      </c>
      <c r="Q27">
        <f t="shared" si="1"/>
        <v>-392.42445550602099</v>
      </c>
    </row>
    <row r="28" spans="1:17" x14ac:dyDescent="0.4">
      <c r="A28" t="s">
        <v>95</v>
      </c>
      <c r="B28" s="1">
        <v>45440.166666666664</v>
      </c>
      <c r="C28" t="s">
        <v>28</v>
      </c>
      <c r="D28" t="s">
        <v>96</v>
      </c>
      <c r="E28" t="s">
        <v>97</v>
      </c>
      <c r="F28" t="s">
        <v>61</v>
      </c>
      <c r="G28">
        <v>151</v>
      </c>
      <c r="H28">
        <v>0.2</v>
      </c>
      <c r="I28">
        <v>120.8</v>
      </c>
      <c r="J28">
        <v>7</v>
      </c>
      <c r="K28">
        <v>70.750186945218601</v>
      </c>
      <c r="L28">
        <v>845.6</v>
      </c>
      <c r="M28">
        <v>495.25130861653003</v>
      </c>
      <c r="N28">
        <v>350.34869138346897</v>
      </c>
      <c r="O28" t="s">
        <v>26</v>
      </c>
      <c r="P28">
        <f t="shared" si="0"/>
        <v>1057</v>
      </c>
      <c r="Q28">
        <f t="shared" si="1"/>
        <v>-350.34869138347</v>
      </c>
    </row>
    <row r="29" spans="1:17" x14ac:dyDescent="0.4">
      <c r="A29" t="s">
        <v>98</v>
      </c>
      <c r="B29" s="1">
        <v>45454.083333333336</v>
      </c>
      <c r="C29" t="s">
        <v>43</v>
      </c>
      <c r="D29" t="s">
        <v>99</v>
      </c>
      <c r="E29" t="s">
        <v>41</v>
      </c>
      <c r="F29" t="s">
        <v>31</v>
      </c>
      <c r="G29">
        <v>347</v>
      </c>
      <c r="H29">
        <v>0</v>
      </c>
      <c r="I29">
        <v>347</v>
      </c>
      <c r="J29">
        <v>3</v>
      </c>
      <c r="K29">
        <v>182.89858446420001</v>
      </c>
      <c r="L29">
        <v>1041</v>
      </c>
      <c r="M29">
        <v>548.69575339260098</v>
      </c>
      <c r="N29">
        <v>492.304246607398</v>
      </c>
      <c r="O29" t="s">
        <v>32</v>
      </c>
      <c r="P29">
        <f t="shared" si="0"/>
        <v>1041</v>
      </c>
      <c r="Q29">
        <f t="shared" si="1"/>
        <v>-492.30424660739902</v>
      </c>
    </row>
    <row r="30" spans="1:17" x14ac:dyDescent="0.4">
      <c r="A30" t="s">
        <v>100</v>
      </c>
      <c r="B30" s="1">
        <v>45660.25</v>
      </c>
      <c r="C30" t="s">
        <v>43</v>
      </c>
      <c r="D30" t="s">
        <v>101</v>
      </c>
      <c r="E30" t="s">
        <v>82</v>
      </c>
      <c r="F30" t="s">
        <v>25</v>
      </c>
      <c r="G30">
        <v>299</v>
      </c>
      <c r="H30">
        <v>0</v>
      </c>
      <c r="I30">
        <v>299</v>
      </c>
      <c r="J30">
        <v>5</v>
      </c>
      <c r="K30">
        <v>196.27027731144199</v>
      </c>
      <c r="L30">
        <v>1495</v>
      </c>
      <c r="M30">
        <v>981.35138655721096</v>
      </c>
      <c r="N30">
        <v>513.64861344278904</v>
      </c>
      <c r="O30" t="s">
        <v>32</v>
      </c>
      <c r="P30">
        <f t="shared" si="0"/>
        <v>1495</v>
      </c>
      <c r="Q30">
        <f t="shared" si="1"/>
        <v>-513.64861344278904</v>
      </c>
    </row>
    <row r="31" spans="1:17" x14ac:dyDescent="0.4">
      <c r="A31" t="s">
        <v>102</v>
      </c>
      <c r="B31" s="1">
        <v>45896.25</v>
      </c>
      <c r="C31" t="s">
        <v>28</v>
      </c>
      <c r="D31" t="s">
        <v>103</v>
      </c>
      <c r="E31" t="s">
        <v>104</v>
      </c>
      <c r="F31" t="s">
        <v>25</v>
      </c>
      <c r="G31">
        <v>325</v>
      </c>
      <c r="H31">
        <v>0.25</v>
      </c>
      <c r="I31">
        <v>243.75</v>
      </c>
      <c r="J31">
        <v>1</v>
      </c>
      <c r="K31">
        <v>221.409902156474</v>
      </c>
      <c r="L31">
        <v>243.75</v>
      </c>
      <c r="M31">
        <v>221.409902156474</v>
      </c>
      <c r="N31">
        <v>22.340097843525399</v>
      </c>
      <c r="O31" t="s">
        <v>105</v>
      </c>
      <c r="P31">
        <f t="shared" si="0"/>
        <v>325</v>
      </c>
      <c r="Q31">
        <f t="shared" si="1"/>
        <v>-22.340097843525996</v>
      </c>
    </row>
    <row r="32" spans="1:17" x14ac:dyDescent="0.4">
      <c r="A32" t="s">
        <v>106</v>
      </c>
      <c r="B32" s="1">
        <v>45734.791666666664</v>
      </c>
      <c r="C32" t="s">
        <v>28</v>
      </c>
      <c r="D32" t="s">
        <v>107</v>
      </c>
      <c r="E32" t="s">
        <v>48</v>
      </c>
      <c r="F32" t="s">
        <v>19</v>
      </c>
      <c r="G32">
        <v>100</v>
      </c>
      <c r="H32">
        <v>0.15</v>
      </c>
      <c r="I32">
        <v>85</v>
      </c>
      <c r="J32">
        <v>2</v>
      </c>
      <c r="K32">
        <v>45.808421335352399</v>
      </c>
      <c r="L32">
        <v>170</v>
      </c>
      <c r="M32">
        <v>91.616842670704898</v>
      </c>
      <c r="N32">
        <v>78.383157329295003</v>
      </c>
      <c r="O32" t="s">
        <v>32</v>
      </c>
      <c r="P32">
        <f t="shared" si="0"/>
        <v>200</v>
      </c>
      <c r="Q32">
        <f t="shared" si="1"/>
        <v>-78.383157329295102</v>
      </c>
    </row>
    <row r="33" spans="1:17" x14ac:dyDescent="0.4">
      <c r="A33" t="s">
        <v>108</v>
      </c>
      <c r="B33" s="1">
        <v>45658.333333333336</v>
      </c>
      <c r="C33" t="s">
        <v>46</v>
      </c>
      <c r="D33" t="s">
        <v>109</v>
      </c>
      <c r="E33" t="s">
        <v>110</v>
      </c>
      <c r="F33" t="s">
        <v>19</v>
      </c>
      <c r="G33">
        <v>104</v>
      </c>
      <c r="H33">
        <v>0</v>
      </c>
      <c r="I33">
        <v>104</v>
      </c>
      <c r="J33">
        <v>4</v>
      </c>
      <c r="K33">
        <v>67.784471854237296</v>
      </c>
      <c r="L33">
        <v>416</v>
      </c>
      <c r="M33">
        <v>271.13788741694901</v>
      </c>
      <c r="N33">
        <v>144.86211258304999</v>
      </c>
      <c r="O33" t="s">
        <v>32</v>
      </c>
      <c r="P33">
        <f t="shared" si="0"/>
        <v>416</v>
      </c>
      <c r="Q33">
        <f t="shared" si="1"/>
        <v>-144.86211258305099</v>
      </c>
    </row>
    <row r="34" spans="1:17" x14ac:dyDescent="0.4">
      <c r="A34" t="s">
        <v>111</v>
      </c>
      <c r="B34" s="1">
        <v>45731.791666666664</v>
      </c>
      <c r="C34" t="s">
        <v>46</v>
      </c>
      <c r="D34" t="s">
        <v>112</v>
      </c>
      <c r="E34" t="s">
        <v>94</v>
      </c>
      <c r="F34" t="s">
        <v>61</v>
      </c>
      <c r="G34">
        <v>268</v>
      </c>
      <c r="H34">
        <v>0.05</v>
      </c>
      <c r="I34">
        <v>254.6</v>
      </c>
      <c r="J34">
        <v>1</v>
      </c>
      <c r="K34">
        <v>184.02815760022301</v>
      </c>
      <c r="L34">
        <v>254.6</v>
      </c>
      <c r="M34">
        <v>184.02815760022301</v>
      </c>
      <c r="N34">
        <v>70.5718423997766</v>
      </c>
      <c r="O34" t="s">
        <v>20</v>
      </c>
      <c r="P34">
        <f t="shared" si="0"/>
        <v>268</v>
      </c>
      <c r="Q34">
        <f t="shared" si="1"/>
        <v>-70.571842399776983</v>
      </c>
    </row>
    <row r="35" spans="1:17" x14ac:dyDescent="0.4">
      <c r="A35" t="s">
        <v>113</v>
      </c>
      <c r="B35" s="1">
        <v>45719.208333333336</v>
      </c>
      <c r="C35" t="s">
        <v>16</v>
      </c>
      <c r="D35" t="s">
        <v>114</v>
      </c>
      <c r="E35" t="s">
        <v>115</v>
      </c>
      <c r="F35" t="s">
        <v>38</v>
      </c>
      <c r="G35">
        <v>292</v>
      </c>
      <c r="H35">
        <v>0.05</v>
      </c>
      <c r="I35">
        <v>277.39999999999998</v>
      </c>
      <c r="J35">
        <v>6</v>
      </c>
      <c r="K35">
        <v>201.44707359908301</v>
      </c>
      <c r="L35">
        <v>1664.3999999999901</v>
      </c>
      <c r="M35">
        <v>1208.6824415945</v>
      </c>
      <c r="N35">
        <v>455.71755840549702</v>
      </c>
      <c r="O35" t="s">
        <v>32</v>
      </c>
      <c r="P35">
        <f t="shared" si="0"/>
        <v>1752</v>
      </c>
      <c r="Q35">
        <f t="shared" si="1"/>
        <v>-455.71755840549008</v>
      </c>
    </row>
    <row r="36" spans="1:17" x14ac:dyDescent="0.4">
      <c r="A36" t="s">
        <v>116</v>
      </c>
      <c r="B36" s="1">
        <v>45643.375</v>
      </c>
      <c r="C36" t="s">
        <v>65</v>
      </c>
      <c r="D36" t="s">
        <v>117</v>
      </c>
      <c r="E36" t="s">
        <v>60</v>
      </c>
      <c r="F36" t="s">
        <v>61</v>
      </c>
      <c r="G36">
        <v>269</v>
      </c>
      <c r="H36">
        <v>0.15</v>
      </c>
      <c r="I36">
        <v>228.65</v>
      </c>
      <c r="J36">
        <v>3</v>
      </c>
      <c r="K36">
        <v>120.966662835997</v>
      </c>
      <c r="L36">
        <v>685.95</v>
      </c>
      <c r="M36">
        <v>362.89998850799202</v>
      </c>
      <c r="N36">
        <v>323.050011492007</v>
      </c>
      <c r="O36" t="s">
        <v>32</v>
      </c>
      <c r="P36">
        <f t="shared" si="0"/>
        <v>807</v>
      </c>
      <c r="Q36">
        <f t="shared" si="1"/>
        <v>-323.05001149200803</v>
      </c>
    </row>
    <row r="37" spans="1:17" x14ac:dyDescent="0.4">
      <c r="A37" t="s">
        <v>118</v>
      </c>
      <c r="B37" s="1">
        <v>45718.375</v>
      </c>
      <c r="C37" t="s">
        <v>43</v>
      </c>
      <c r="D37" t="s">
        <v>119</v>
      </c>
      <c r="E37" t="s">
        <v>115</v>
      </c>
      <c r="F37" t="s">
        <v>38</v>
      </c>
      <c r="G37">
        <v>255</v>
      </c>
      <c r="H37">
        <v>0.1</v>
      </c>
      <c r="I37">
        <v>229.5</v>
      </c>
      <c r="J37">
        <v>1</v>
      </c>
      <c r="K37">
        <v>177.09919411281399</v>
      </c>
      <c r="L37">
        <v>229.5</v>
      </c>
      <c r="M37">
        <v>177.09919411281399</v>
      </c>
      <c r="N37">
        <v>52.400805887185101</v>
      </c>
      <c r="O37" t="s">
        <v>105</v>
      </c>
      <c r="P37">
        <f t="shared" si="0"/>
        <v>255</v>
      </c>
      <c r="Q37">
        <f t="shared" si="1"/>
        <v>-52.40080588718601</v>
      </c>
    </row>
    <row r="38" spans="1:17" x14ac:dyDescent="0.4">
      <c r="A38" t="s">
        <v>120</v>
      </c>
      <c r="B38" s="1">
        <v>45751</v>
      </c>
      <c r="C38" t="s">
        <v>16</v>
      </c>
      <c r="D38" t="s">
        <v>121</v>
      </c>
      <c r="E38" t="s">
        <v>73</v>
      </c>
      <c r="F38" t="s">
        <v>38</v>
      </c>
      <c r="G38">
        <v>291</v>
      </c>
      <c r="H38">
        <v>0.15</v>
      </c>
      <c r="I38">
        <v>247.35</v>
      </c>
      <c r="J38">
        <v>2</v>
      </c>
      <c r="K38">
        <v>149.51184397171801</v>
      </c>
      <c r="L38">
        <v>494.7</v>
      </c>
      <c r="M38">
        <v>299.02368794343698</v>
      </c>
      <c r="N38">
        <v>195.67631205656201</v>
      </c>
      <c r="O38" t="s">
        <v>32</v>
      </c>
      <c r="P38">
        <f t="shared" si="0"/>
        <v>582</v>
      </c>
      <c r="Q38">
        <f t="shared" si="1"/>
        <v>-195.67631205656301</v>
      </c>
    </row>
    <row r="39" spans="1:17" x14ac:dyDescent="0.4">
      <c r="A39" t="s">
        <v>122</v>
      </c>
      <c r="B39" s="1">
        <v>45400.833333333336</v>
      </c>
      <c r="C39" t="s">
        <v>46</v>
      </c>
      <c r="D39" t="s">
        <v>123</v>
      </c>
      <c r="E39" t="s">
        <v>73</v>
      </c>
      <c r="F39" t="s">
        <v>38</v>
      </c>
      <c r="G39">
        <v>326</v>
      </c>
      <c r="H39">
        <v>0.05</v>
      </c>
      <c r="I39">
        <v>309.7</v>
      </c>
      <c r="J39">
        <v>7</v>
      </c>
      <c r="K39">
        <v>169.23736857326699</v>
      </c>
      <c r="L39">
        <v>2167.9</v>
      </c>
      <c r="M39">
        <v>1184.66158001287</v>
      </c>
      <c r="N39">
        <v>983.23841998712601</v>
      </c>
      <c r="O39" t="s">
        <v>32</v>
      </c>
      <c r="P39">
        <f t="shared" si="0"/>
        <v>2282</v>
      </c>
      <c r="Q39">
        <f t="shared" si="1"/>
        <v>-983.2384199871301</v>
      </c>
    </row>
    <row r="40" spans="1:17" x14ac:dyDescent="0.4">
      <c r="A40" t="s">
        <v>124</v>
      </c>
      <c r="B40" s="1">
        <v>45949.791666666664</v>
      </c>
      <c r="C40" t="s">
        <v>16</v>
      </c>
      <c r="D40" t="s">
        <v>125</v>
      </c>
      <c r="E40" t="s">
        <v>94</v>
      </c>
      <c r="F40" t="s">
        <v>61</v>
      </c>
      <c r="G40">
        <v>196</v>
      </c>
      <c r="H40">
        <v>0.1</v>
      </c>
      <c r="I40">
        <v>176.4</v>
      </c>
      <c r="J40">
        <v>4</v>
      </c>
      <c r="K40">
        <v>142.767710545565</v>
      </c>
      <c r="L40">
        <v>705.6</v>
      </c>
      <c r="M40">
        <v>571.07084218226305</v>
      </c>
      <c r="N40">
        <v>134.52915781773601</v>
      </c>
      <c r="O40" t="s">
        <v>20</v>
      </c>
      <c r="P40">
        <f t="shared" si="0"/>
        <v>784</v>
      </c>
      <c r="Q40">
        <f t="shared" si="1"/>
        <v>-134.52915781773697</v>
      </c>
    </row>
    <row r="41" spans="1:17" x14ac:dyDescent="0.4">
      <c r="A41" t="s">
        <v>126</v>
      </c>
      <c r="B41" s="1">
        <v>46006.958333333336</v>
      </c>
      <c r="C41" t="s">
        <v>43</v>
      </c>
      <c r="D41" t="s">
        <v>127</v>
      </c>
      <c r="E41" t="s">
        <v>73</v>
      </c>
      <c r="F41" t="s">
        <v>38</v>
      </c>
      <c r="G41">
        <v>286</v>
      </c>
      <c r="H41">
        <v>0.05</v>
      </c>
      <c r="I41">
        <v>271.7</v>
      </c>
      <c r="J41">
        <v>1</v>
      </c>
      <c r="K41">
        <v>201.91009508624899</v>
      </c>
      <c r="L41">
        <v>271.7</v>
      </c>
      <c r="M41">
        <v>201.91009508624899</v>
      </c>
      <c r="N41">
        <v>69.789904913750902</v>
      </c>
      <c r="O41" t="s">
        <v>32</v>
      </c>
      <c r="P41">
        <f t="shared" si="0"/>
        <v>286</v>
      </c>
      <c r="Q41">
        <f t="shared" si="1"/>
        <v>-69.789904913751002</v>
      </c>
    </row>
    <row r="42" spans="1:17" x14ac:dyDescent="0.4">
      <c r="A42" t="s">
        <v>128</v>
      </c>
      <c r="B42" s="1">
        <v>45800.583333333336</v>
      </c>
      <c r="C42" t="s">
        <v>43</v>
      </c>
      <c r="D42" t="s">
        <v>129</v>
      </c>
      <c r="E42" t="s">
        <v>85</v>
      </c>
      <c r="F42" t="s">
        <v>70</v>
      </c>
      <c r="G42">
        <v>117</v>
      </c>
      <c r="H42">
        <v>0</v>
      </c>
      <c r="I42">
        <v>117</v>
      </c>
      <c r="J42">
        <v>5</v>
      </c>
      <c r="K42">
        <v>69.1852446166899</v>
      </c>
      <c r="L42">
        <v>585</v>
      </c>
      <c r="M42">
        <v>345.92622308344897</v>
      </c>
      <c r="N42">
        <v>239.07377691655</v>
      </c>
      <c r="O42" t="s">
        <v>105</v>
      </c>
      <c r="P42">
        <f t="shared" si="0"/>
        <v>585</v>
      </c>
      <c r="Q42">
        <f t="shared" si="1"/>
        <v>-239.07377691655103</v>
      </c>
    </row>
    <row r="43" spans="1:17" x14ac:dyDescent="0.4">
      <c r="A43" t="s">
        <v>130</v>
      </c>
      <c r="B43" s="1">
        <v>45634.75</v>
      </c>
      <c r="C43" t="s">
        <v>65</v>
      </c>
      <c r="D43" t="s">
        <v>131</v>
      </c>
      <c r="E43" t="s">
        <v>30</v>
      </c>
      <c r="F43" t="s">
        <v>31</v>
      </c>
      <c r="G43">
        <v>349</v>
      </c>
      <c r="H43">
        <v>0</v>
      </c>
      <c r="I43">
        <v>349</v>
      </c>
      <c r="J43">
        <v>7</v>
      </c>
      <c r="K43">
        <v>155.16850114350299</v>
      </c>
      <c r="L43">
        <v>2443</v>
      </c>
      <c r="M43">
        <v>1086.1795080045199</v>
      </c>
      <c r="N43">
        <v>1356.8204919954701</v>
      </c>
      <c r="O43" t="s">
        <v>105</v>
      </c>
      <c r="P43">
        <f t="shared" si="0"/>
        <v>2443</v>
      </c>
      <c r="Q43">
        <f t="shared" si="1"/>
        <v>-1356.8204919954801</v>
      </c>
    </row>
    <row r="44" spans="1:17" x14ac:dyDescent="0.4">
      <c r="A44" t="s">
        <v>132</v>
      </c>
      <c r="B44" s="1">
        <v>45897.875</v>
      </c>
      <c r="C44" t="s">
        <v>65</v>
      </c>
      <c r="D44" t="s">
        <v>133</v>
      </c>
      <c r="E44" t="s">
        <v>37</v>
      </c>
      <c r="F44" t="s">
        <v>38</v>
      </c>
      <c r="G44">
        <v>280</v>
      </c>
      <c r="H44">
        <v>0.2</v>
      </c>
      <c r="I44">
        <v>224</v>
      </c>
      <c r="J44">
        <v>5</v>
      </c>
      <c r="K44">
        <v>206.35541499325399</v>
      </c>
      <c r="L44">
        <v>1120</v>
      </c>
      <c r="M44">
        <v>1031.77707496627</v>
      </c>
      <c r="N44">
        <v>88.222925033727194</v>
      </c>
      <c r="O44" t="s">
        <v>26</v>
      </c>
      <c r="P44">
        <f t="shared" si="0"/>
        <v>1400</v>
      </c>
      <c r="Q44">
        <f t="shared" si="1"/>
        <v>-88.222925033730007</v>
      </c>
    </row>
    <row r="45" spans="1:17" x14ac:dyDescent="0.4">
      <c r="A45" t="s">
        <v>134</v>
      </c>
      <c r="B45" s="1">
        <v>45423.333333333336</v>
      </c>
      <c r="C45" t="s">
        <v>65</v>
      </c>
      <c r="D45" t="s">
        <v>135</v>
      </c>
      <c r="E45" t="s">
        <v>115</v>
      </c>
      <c r="F45" t="s">
        <v>38</v>
      </c>
      <c r="G45">
        <v>199</v>
      </c>
      <c r="H45">
        <v>0.15</v>
      </c>
      <c r="I45">
        <v>169.15</v>
      </c>
      <c r="J45">
        <v>5</v>
      </c>
      <c r="K45">
        <v>84.359946159821902</v>
      </c>
      <c r="L45">
        <v>845.75</v>
      </c>
      <c r="M45">
        <v>421.799730799109</v>
      </c>
      <c r="N45">
        <v>423.95026920088998</v>
      </c>
      <c r="O45" t="s">
        <v>32</v>
      </c>
      <c r="P45">
        <f t="shared" si="0"/>
        <v>995</v>
      </c>
      <c r="Q45">
        <f t="shared" si="1"/>
        <v>-423.950269200891</v>
      </c>
    </row>
    <row r="46" spans="1:17" x14ac:dyDescent="0.4">
      <c r="A46" t="s">
        <v>136</v>
      </c>
      <c r="B46" s="1">
        <v>45358.041666666664</v>
      </c>
      <c r="C46" t="s">
        <v>28</v>
      </c>
      <c r="D46" t="s">
        <v>137</v>
      </c>
      <c r="E46" t="s">
        <v>48</v>
      </c>
      <c r="F46" t="s">
        <v>19</v>
      </c>
      <c r="G46">
        <v>221</v>
      </c>
      <c r="H46">
        <v>0.1</v>
      </c>
      <c r="I46">
        <v>198.9</v>
      </c>
      <c r="J46">
        <v>3</v>
      </c>
      <c r="K46">
        <v>105.908288087313</v>
      </c>
      <c r="L46">
        <v>596.70000000000005</v>
      </c>
      <c r="M46">
        <v>317.72486426194098</v>
      </c>
      <c r="N46">
        <v>278.97513573805799</v>
      </c>
      <c r="O46" t="s">
        <v>26</v>
      </c>
      <c r="P46">
        <f t="shared" si="0"/>
        <v>663</v>
      </c>
      <c r="Q46">
        <f t="shared" si="1"/>
        <v>-278.97513573805907</v>
      </c>
    </row>
    <row r="47" spans="1:17" x14ac:dyDescent="0.4">
      <c r="A47" t="s">
        <v>138</v>
      </c>
      <c r="B47" s="1">
        <v>45456.291666666664</v>
      </c>
      <c r="C47" t="s">
        <v>22</v>
      </c>
      <c r="D47" t="s">
        <v>139</v>
      </c>
      <c r="E47" t="s">
        <v>41</v>
      </c>
      <c r="F47" t="s">
        <v>31</v>
      </c>
      <c r="G47">
        <v>204</v>
      </c>
      <c r="H47">
        <v>0.1</v>
      </c>
      <c r="I47">
        <v>183.6</v>
      </c>
      <c r="J47">
        <v>1</v>
      </c>
      <c r="K47">
        <v>152.216624786202</v>
      </c>
      <c r="L47">
        <v>183.6</v>
      </c>
      <c r="M47">
        <v>152.216624786202</v>
      </c>
      <c r="N47">
        <v>31.3833752137975</v>
      </c>
      <c r="O47" t="s">
        <v>20</v>
      </c>
      <c r="P47">
        <f t="shared" si="0"/>
        <v>204</v>
      </c>
      <c r="Q47">
        <f t="shared" si="1"/>
        <v>-31.38337521379799</v>
      </c>
    </row>
    <row r="48" spans="1:17" x14ac:dyDescent="0.4">
      <c r="A48" t="s">
        <v>140</v>
      </c>
      <c r="B48" s="1">
        <v>45334.541666666664</v>
      </c>
      <c r="C48" t="s">
        <v>22</v>
      </c>
      <c r="D48" t="s">
        <v>141</v>
      </c>
      <c r="E48" t="s">
        <v>115</v>
      </c>
      <c r="F48" t="s">
        <v>38</v>
      </c>
      <c r="G48">
        <v>143</v>
      </c>
      <c r="H48">
        <v>0.2</v>
      </c>
      <c r="I48">
        <v>114.4</v>
      </c>
      <c r="J48">
        <v>5</v>
      </c>
      <c r="K48">
        <v>83.298356736631604</v>
      </c>
      <c r="L48">
        <v>572</v>
      </c>
      <c r="M48">
        <v>416.49178368315802</v>
      </c>
      <c r="N48">
        <v>155.50821631684099</v>
      </c>
      <c r="O48" t="s">
        <v>51</v>
      </c>
      <c r="P48">
        <f t="shared" si="0"/>
        <v>715</v>
      </c>
      <c r="Q48">
        <f t="shared" si="1"/>
        <v>-155.50821631684198</v>
      </c>
    </row>
    <row r="49" spans="1:17" x14ac:dyDescent="0.4">
      <c r="A49" t="s">
        <v>142</v>
      </c>
      <c r="B49" s="1">
        <v>45777.541666666664</v>
      </c>
      <c r="C49" t="s">
        <v>46</v>
      </c>
      <c r="D49" t="s">
        <v>143</v>
      </c>
      <c r="E49" t="s">
        <v>73</v>
      </c>
      <c r="F49" t="s">
        <v>38</v>
      </c>
      <c r="G49">
        <v>280</v>
      </c>
      <c r="H49">
        <v>0</v>
      </c>
      <c r="I49">
        <v>280</v>
      </c>
      <c r="J49">
        <v>4</v>
      </c>
      <c r="K49">
        <v>197.11804761938799</v>
      </c>
      <c r="L49">
        <v>1120</v>
      </c>
      <c r="M49">
        <v>788.472190477553</v>
      </c>
      <c r="N49">
        <v>331.52780952244598</v>
      </c>
      <c r="O49" t="s">
        <v>105</v>
      </c>
      <c r="P49">
        <f t="shared" si="0"/>
        <v>1120</v>
      </c>
      <c r="Q49">
        <f t="shared" si="1"/>
        <v>-331.527809522447</v>
      </c>
    </row>
    <row r="50" spans="1:17" x14ac:dyDescent="0.4">
      <c r="A50" t="s">
        <v>144</v>
      </c>
      <c r="B50" s="1">
        <v>45742.208333333336</v>
      </c>
      <c r="C50" t="s">
        <v>46</v>
      </c>
      <c r="D50" t="s">
        <v>145</v>
      </c>
      <c r="E50" t="s">
        <v>146</v>
      </c>
      <c r="F50" t="s">
        <v>70</v>
      </c>
      <c r="G50">
        <v>155</v>
      </c>
      <c r="H50">
        <v>0.1</v>
      </c>
      <c r="I50">
        <v>139.5</v>
      </c>
      <c r="J50">
        <v>7</v>
      </c>
      <c r="K50">
        <v>94.654346132570893</v>
      </c>
      <c r="L50">
        <v>976.5</v>
      </c>
      <c r="M50">
        <v>662.58042292799598</v>
      </c>
      <c r="N50">
        <v>313.91957707200299</v>
      </c>
      <c r="O50" t="s">
        <v>32</v>
      </c>
      <c r="P50">
        <f t="shared" si="0"/>
        <v>1085</v>
      </c>
      <c r="Q50">
        <f t="shared" si="1"/>
        <v>-313.91957707200402</v>
      </c>
    </row>
    <row r="51" spans="1:17" x14ac:dyDescent="0.4">
      <c r="A51" t="s">
        <v>147</v>
      </c>
      <c r="B51" s="1">
        <v>45851.041666666664</v>
      </c>
      <c r="C51" t="s">
        <v>16</v>
      </c>
      <c r="D51" t="s">
        <v>148</v>
      </c>
      <c r="E51" t="s">
        <v>146</v>
      </c>
      <c r="F51" t="s">
        <v>70</v>
      </c>
      <c r="G51">
        <v>117</v>
      </c>
      <c r="H51">
        <v>0.1</v>
      </c>
      <c r="I51">
        <v>105.3</v>
      </c>
      <c r="J51">
        <v>5</v>
      </c>
      <c r="K51">
        <v>72.991847730225999</v>
      </c>
      <c r="L51">
        <v>526.5</v>
      </c>
      <c r="M51">
        <v>364.95923865113002</v>
      </c>
      <c r="N51">
        <v>161.54076134886901</v>
      </c>
      <c r="O51" t="s">
        <v>32</v>
      </c>
      <c r="P51">
        <f t="shared" si="0"/>
        <v>585</v>
      </c>
      <c r="Q51">
        <f t="shared" si="1"/>
        <v>-161.54076134886998</v>
      </c>
    </row>
    <row r="52" spans="1:17" x14ac:dyDescent="0.4">
      <c r="A52" t="s">
        <v>149</v>
      </c>
      <c r="B52" s="1">
        <v>45624.875</v>
      </c>
      <c r="C52" t="s">
        <v>65</v>
      </c>
      <c r="D52" t="s">
        <v>150</v>
      </c>
      <c r="E52" t="s">
        <v>37</v>
      </c>
      <c r="F52" t="s">
        <v>38</v>
      </c>
      <c r="G52">
        <v>273</v>
      </c>
      <c r="H52">
        <v>0.05</v>
      </c>
      <c r="I52">
        <v>259.349999999999</v>
      </c>
      <c r="J52">
        <v>3</v>
      </c>
      <c r="K52">
        <v>180.25039869067001</v>
      </c>
      <c r="L52">
        <v>778.05</v>
      </c>
      <c r="M52">
        <v>540.75119607200998</v>
      </c>
      <c r="N52">
        <v>237.29880392798901</v>
      </c>
      <c r="O52" t="s">
        <v>26</v>
      </c>
      <c r="P52">
        <f t="shared" si="0"/>
        <v>819</v>
      </c>
      <c r="Q52">
        <f t="shared" si="1"/>
        <v>-237.29880392798998</v>
      </c>
    </row>
    <row r="53" spans="1:17" x14ac:dyDescent="0.4">
      <c r="A53" t="s">
        <v>151</v>
      </c>
      <c r="B53" s="1">
        <v>45695.833333333336</v>
      </c>
      <c r="C53" t="s">
        <v>46</v>
      </c>
      <c r="D53" t="s">
        <v>152</v>
      </c>
      <c r="E53" t="s">
        <v>104</v>
      </c>
      <c r="F53" t="s">
        <v>25</v>
      </c>
      <c r="G53">
        <v>232</v>
      </c>
      <c r="H53">
        <v>0</v>
      </c>
      <c r="I53">
        <v>232</v>
      </c>
      <c r="J53">
        <v>5</v>
      </c>
      <c r="K53">
        <v>131.166460426528</v>
      </c>
      <c r="L53">
        <v>1160</v>
      </c>
      <c r="M53">
        <v>655.83230213264403</v>
      </c>
      <c r="N53">
        <v>504.167697867355</v>
      </c>
      <c r="O53" t="s">
        <v>32</v>
      </c>
      <c r="P53">
        <f t="shared" si="0"/>
        <v>1160</v>
      </c>
      <c r="Q53">
        <f t="shared" si="1"/>
        <v>-504.16769786735597</v>
      </c>
    </row>
    <row r="54" spans="1:17" x14ac:dyDescent="0.4">
      <c r="A54" t="s">
        <v>153</v>
      </c>
      <c r="B54" s="1">
        <v>45833.25</v>
      </c>
      <c r="C54" t="s">
        <v>43</v>
      </c>
      <c r="D54" t="s">
        <v>154</v>
      </c>
      <c r="E54" t="s">
        <v>48</v>
      </c>
      <c r="F54" t="s">
        <v>19</v>
      </c>
      <c r="G54">
        <v>172</v>
      </c>
      <c r="H54">
        <v>0.1</v>
      </c>
      <c r="I54">
        <v>154.80000000000001</v>
      </c>
      <c r="J54">
        <v>3</v>
      </c>
      <c r="K54">
        <v>80.605082306851202</v>
      </c>
      <c r="L54">
        <v>464.4</v>
      </c>
      <c r="M54">
        <v>241.81524692055299</v>
      </c>
      <c r="N54">
        <v>222.58475307944599</v>
      </c>
      <c r="O54" t="s">
        <v>32</v>
      </c>
      <c r="P54">
        <f t="shared" si="0"/>
        <v>516</v>
      </c>
      <c r="Q54">
        <f t="shared" si="1"/>
        <v>-222.58475307944698</v>
      </c>
    </row>
    <row r="55" spans="1:17" x14ac:dyDescent="0.4">
      <c r="A55" t="s">
        <v>155</v>
      </c>
      <c r="B55" s="1">
        <v>45578.375</v>
      </c>
      <c r="C55" t="s">
        <v>28</v>
      </c>
      <c r="D55" t="s">
        <v>156</v>
      </c>
      <c r="E55" t="s">
        <v>146</v>
      </c>
      <c r="F55" t="s">
        <v>70</v>
      </c>
      <c r="G55">
        <v>220</v>
      </c>
      <c r="H55">
        <v>0.1</v>
      </c>
      <c r="I55">
        <v>198</v>
      </c>
      <c r="J55">
        <v>1</v>
      </c>
      <c r="K55">
        <v>88.590130513990303</v>
      </c>
      <c r="L55">
        <v>198</v>
      </c>
      <c r="M55">
        <v>88.590130513990303</v>
      </c>
      <c r="N55">
        <v>109.409869486009</v>
      </c>
      <c r="O55" t="s">
        <v>32</v>
      </c>
      <c r="P55">
        <f t="shared" si="0"/>
        <v>220</v>
      </c>
      <c r="Q55">
        <f t="shared" si="1"/>
        <v>-109.4098694860097</v>
      </c>
    </row>
    <row r="56" spans="1:17" x14ac:dyDescent="0.4">
      <c r="A56" t="s">
        <v>157</v>
      </c>
      <c r="B56" s="1">
        <v>45528.458333333336</v>
      </c>
      <c r="C56" t="s">
        <v>28</v>
      </c>
      <c r="D56" t="s">
        <v>158</v>
      </c>
      <c r="E56" t="s">
        <v>18</v>
      </c>
      <c r="F56" t="s">
        <v>19</v>
      </c>
      <c r="G56">
        <v>324</v>
      </c>
      <c r="H56">
        <v>0.1</v>
      </c>
      <c r="I56">
        <v>291.60000000000002</v>
      </c>
      <c r="J56">
        <v>6</v>
      </c>
      <c r="K56">
        <v>174.59676245958801</v>
      </c>
      <c r="L56">
        <v>1749.6</v>
      </c>
      <c r="M56">
        <v>1047.58057475752</v>
      </c>
      <c r="N56">
        <v>702.01942524246999</v>
      </c>
      <c r="O56" t="s">
        <v>32</v>
      </c>
      <c r="P56">
        <f t="shared" si="0"/>
        <v>1944</v>
      </c>
      <c r="Q56">
        <f t="shared" si="1"/>
        <v>-702.01942524247988</v>
      </c>
    </row>
    <row r="57" spans="1:17" x14ac:dyDescent="0.4">
      <c r="A57" t="s">
        <v>159</v>
      </c>
      <c r="B57" s="1">
        <v>45298.708333333336</v>
      </c>
      <c r="C57" t="s">
        <v>65</v>
      </c>
      <c r="D57" t="s">
        <v>160</v>
      </c>
      <c r="E57" t="s">
        <v>146</v>
      </c>
      <c r="F57" t="s">
        <v>70</v>
      </c>
      <c r="G57">
        <v>120</v>
      </c>
      <c r="H57">
        <v>0.2</v>
      </c>
      <c r="I57">
        <v>96</v>
      </c>
      <c r="J57">
        <v>5</v>
      </c>
      <c r="K57">
        <v>62.499371997670998</v>
      </c>
      <c r="L57">
        <v>480</v>
      </c>
      <c r="M57">
        <v>312.49685998835503</v>
      </c>
      <c r="N57">
        <v>167.50314001164401</v>
      </c>
      <c r="O57" t="s">
        <v>32</v>
      </c>
      <c r="P57">
        <f t="shared" si="0"/>
        <v>600</v>
      </c>
      <c r="Q57">
        <f t="shared" si="1"/>
        <v>-167.50314001164497</v>
      </c>
    </row>
    <row r="58" spans="1:17" x14ac:dyDescent="0.4">
      <c r="A58" t="s">
        <v>161</v>
      </c>
      <c r="B58" s="1">
        <v>45471.041666666664</v>
      </c>
      <c r="C58" t="s">
        <v>43</v>
      </c>
      <c r="D58" t="s">
        <v>162</v>
      </c>
      <c r="E58" t="s">
        <v>115</v>
      </c>
      <c r="F58" t="s">
        <v>38</v>
      </c>
      <c r="G58">
        <v>206</v>
      </c>
      <c r="H58">
        <v>0.05</v>
      </c>
      <c r="I58">
        <v>195.7</v>
      </c>
      <c r="J58">
        <v>1</v>
      </c>
      <c r="K58">
        <v>110.509796647085</v>
      </c>
      <c r="L58">
        <v>195.7</v>
      </c>
      <c r="M58">
        <v>110.509796647085</v>
      </c>
      <c r="N58">
        <v>85.190203352914594</v>
      </c>
      <c r="O58" t="s">
        <v>51</v>
      </c>
      <c r="P58">
        <f t="shared" si="0"/>
        <v>206</v>
      </c>
      <c r="Q58">
        <f t="shared" si="1"/>
        <v>-85.190203352914992</v>
      </c>
    </row>
    <row r="59" spans="1:17" x14ac:dyDescent="0.4">
      <c r="A59" t="s">
        <v>163</v>
      </c>
      <c r="B59" s="1">
        <v>45333.458333333336</v>
      </c>
      <c r="C59" t="s">
        <v>16</v>
      </c>
      <c r="D59" t="s">
        <v>164</v>
      </c>
      <c r="E59" t="s">
        <v>97</v>
      </c>
      <c r="F59" t="s">
        <v>61</v>
      </c>
      <c r="G59">
        <v>347</v>
      </c>
      <c r="H59">
        <v>0.15</v>
      </c>
      <c r="I59">
        <v>294.95</v>
      </c>
      <c r="J59">
        <v>1</v>
      </c>
      <c r="K59">
        <v>238.849342163676</v>
      </c>
      <c r="L59">
        <v>294.95</v>
      </c>
      <c r="M59">
        <v>238.849342163676</v>
      </c>
      <c r="N59">
        <v>56.100657836323698</v>
      </c>
      <c r="O59" t="s">
        <v>20</v>
      </c>
      <c r="P59">
        <f t="shared" si="0"/>
        <v>347</v>
      </c>
      <c r="Q59">
        <f t="shared" si="1"/>
        <v>-56.10065783632399</v>
      </c>
    </row>
    <row r="60" spans="1:17" x14ac:dyDescent="0.4">
      <c r="A60" t="s">
        <v>165</v>
      </c>
      <c r="B60" s="1">
        <v>45772.583333333336</v>
      </c>
      <c r="C60" t="s">
        <v>65</v>
      </c>
      <c r="D60" t="s">
        <v>166</v>
      </c>
      <c r="E60" t="s">
        <v>115</v>
      </c>
      <c r="F60" t="s">
        <v>38</v>
      </c>
      <c r="G60">
        <v>253</v>
      </c>
      <c r="H60">
        <v>0</v>
      </c>
      <c r="I60">
        <v>253</v>
      </c>
      <c r="J60">
        <v>5</v>
      </c>
      <c r="K60">
        <v>174.65997816041701</v>
      </c>
      <c r="L60">
        <v>1265</v>
      </c>
      <c r="M60">
        <v>873.29989080208895</v>
      </c>
      <c r="N60">
        <v>391.70010919791002</v>
      </c>
      <c r="O60" t="s">
        <v>51</v>
      </c>
      <c r="P60">
        <f t="shared" si="0"/>
        <v>1265</v>
      </c>
      <c r="Q60">
        <f t="shared" si="1"/>
        <v>-391.70010919791105</v>
      </c>
    </row>
    <row r="61" spans="1:17" x14ac:dyDescent="0.4">
      <c r="A61" t="s">
        <v>167</v>
      </c>
      <c r="B61" s="1">
        <v>45609.875</v>
      </c>
      <c r="C61" t="s">
        <v>16</v>
      </c>
      <c r="D61" t="s">
        <v>168</v>
      </c>
      <c r="E61" t="s">
        <v>85</v>
      </c>
      <c r="F61" t="s">
        <v>70</v>
      </c>
      <c r="G61">
        <v>240</v>
      </c>
      <c r="H61">
        <v>0.1</v>
      </c>
      <c r="I61">
        <v>216</v>
      </c>
      <c r="J61">
        <v>2</v>
      </c>
      <c r="K61">
        <v>103.751922534153</v>
      </c>
      <c r="L61">
        <v>432</v>
      </c>
      <c r="M61">
        <v>207.50384506830699</v>
      </c>
      <c r="N61">
        <v>224.49615493169199</v>
      </c>
      <c r="O61" t="s">
        <v>51</v>
      </c>
      <c r="P61">
        <f t="shared" si="0"/>
        <v>480</v>
      </c>
      <c r="Q61">
        <f t="shared" si="1"/>
        <v>-224.49615493169301</v>
      </c>
    </row>
    <row r="62" spans="1:17" x14ac:dyDescent="0.4">
      <c r="A62" t="s">
        <v>169</v>
      </c>
      <c r="B62" s="1">
        <v>45334.333333333336</v>
      </c>
      <c r="C62" t="s">
        <v>46</v>
      </c>
      <c r="D62" t="s">
        <v>170</v>
      </c>
      <c r="E62" t="s">
        <v>115</v>
      </c>
      <c r="F62" t="s">
        <v>38</v>
      </c>
      <c r="G62">
        <v>120</v>
      </c>
      <c r="H62">
        <v>0</v>
      </c>
      <c r="I62">
        <v>120</v>
      </c>
      <c r="J62">
        <v>7</v>
      </c>
      <c r="K62">
        <v>75.136039350212599</v>
      </c>
      <c r="L62">
        <v>840</v>
      </c>
      <c r="M62">
        <v>525.95227545148805</v>
      </c>
      <c r="N62">
        <v>314.04772454851098</v>
      </c>
      <c r="O62" t="s">
        <v>51</v>
      </c>
      <c r="P62">
        <f t="shared" si="0"/>
        <v>840</v>
      </c>
      <c r="Q62">
        <f t="shared" si="1"/>
        <v>-314.04772454851195</v>
      </c>
    </row>
    <row r="63" spans="1:17" x14ac:dyDescent="0.4">
      <c r="A63" t="s">
        <v>171</v>
      </c>
      <c r="B63" s="1">
        <v>45647.375</v>
      </c>
      <c r="C63" t="s">
        <v>16</v>
      </c>
      <c r="D63" t="s">
        <v>172</v>
      </c>
      <c r="E63" t="s">
        <v>69</v>
      </c>
      <c r="F63" t="s">
        <v>70</v>
      </c>
      <c r="G63">
        <v>197</v>
      </c>
      <c r="H63">
        <v>0</v>
      </c>
      <c r="I63">
        <v>197</v>
      </c>
      <c r="J63">
        <v>7</v>
      </c>
      <c r="K63">
        <v>139.041518019504</v>
      </c>
      <c r="L63">
        <v>1379</v>
      </c>
      <c r="M63">
        <v>973.29062613653105</v>
      </c>
      <c r="N63">
        <v>405.70937386346799</v>
      </c>
      <c r="O63" t="s">
        <v>32</v>
      </c>
      <c r="P63">
        <f t="shared" si="0"/>
        <v>1379</v>
      </c>
      <c r="Q63">
        <f t="shared" si="1"/>
        <v>-405.70937386346895</v>
      </c>
    </row>
    <row r="64" spans="1:17" x14ac:dyDescent="0.4">
      <c r="A64" t="s">
        <v>173</v>
      </c>
      <c r="B64" s="1">
        <v>46011.25</v>
      </c>
      <c r="C64" t="s">
        <v>65</v>
      </c>
      <c r="D64" t="s">
        <v>174</v>
      </c>
      <c r="E64" t="s">
        <v>146</v>
      </c>
      <c r="F64" t="s">
        <v>70</v>
      </c>
      <c r="G64">
        <v>245</v>
      </c>
      <c r="H64">
        <v>0.2</v>
      </c>
      <c r="I64">
        <v>196</v>
      </c>
      <c r="J64">
        <v>6</v>
      </c>
      <c r="K64">
        <v>110.188258365289</v>
      </c>
      <c r="L64">
        <v>1176</v>
      </c>
      <c r="M64">
        <v>661.12955019173398</v>
      </c>
      <c r="N64">
        <v>514.87044980826602</v>
      </c>
      <c r="O64" t="s">
        <v>32</v>
      </c>
      <c r="P64">
        <f t="shared" si="0"/>
        <v>1470</v>
      </c>
      <c r="Q64">
        <f t="shared" si="1"/>
        <v>-514.87044980826602</v>
      </c>
    </row>
    <row r="65" spans="1:17" x14ac:dyDescent="0.4">
      <c r="A65" t="s">
        <v>175</v>
      </c>
      <c r="B65" s="1">
        <v>45678.166666666664</v>
      </c>
      <c r="C65" t="s">
        <v>65</v>
      </c>
      <c r="D65" t="s">
        <v>176</v>
      </c>
      <c r="E65" t="s">
        <v>110</v>
      </c>
      <c r="F65" t="s">
        <v>19</v>
      </c>
      <c r="G65">
        <v>292</v>
      </c>
      <c r="H65">
        <v>0.2</v>
      </c>
      <c r="I65">
        <v>233.6</v>
      </c>
      <c r="J65">
        <v>7</v>
      </c>
      <c r="K65">
        <v>151.871703494245</v>
      </c>
      <c r="L65">
        <v>1635.2</v>
      </c>
      <c r="M65">
        <v>1063.1019244597101</v>
      </c>
      <c r="N65">
        <v>572.09807554027998</v>
      </c>
      <c r="O65" t="s">
        <v>51</v>
      </c>
      <c r="P65">
        <f t="shared" si="0"/>
        <v>2044</v>
      </c>
      <c r="Q65">
        <f t="shared" si="1"/>
        <v>-572.09807554028998</v>
      </c>
    </row>
    <row r="66" spans="1:17" x14ac:dyDescent="0.4">
      <c r="A66" t="s">
        <v>177</v>
      </c>
      <c r="B66" s="1">
        <v>45799.708333333336</v>
      </c>
      <c r="C66" t="s">
        <v>22</v>
      </c>
      <c r="D66" t="s">
        <v>178</v>
      </c>
      <c r="E66" t="s">
        <v>24</v>
      </c>
      <c r="F66" t="s">
        <v>25</v>
      </c>
      <c r="G66">
        <v>225</v>
      </c>
      <c r="H66">
        <v>0.1</v>
      </c>
      <c r="I66">
        <v>202.5</v>
      </c>
      <c r="J66">
        <v>5</v>
      </c>
      <c r="K66">
        <v>111.68626747261401</v>
      </c>
      <c r="L66">
        <v>1012.5</v>
      </c>
      <c r="M66">
        <v>558.43133736307095</v>
      </c>
      <c r="N66">
        <v>454.06866263692802</v>
      </c>
      <c r="O66" t="s">
        <v>26</v>
      </c>
      <c r="P66">
        <f t="shared" si="0"/>
        <v>1125</v>
      </c>
      <c r="Q66">
        <f t="shared" si="1"/>
        <v>-454.06866263692905</v>
      </c>
    </row>
    <row r="67" spans="1:17" x14ac:dyDescent="0.4">
      <c r="A67" t="s">
        <v>179</v>
      </c>
      <c r="B67" s="1">
        <v>45555.791666666664</v>
      </c>
      <c r="C67" t="s">
        <v>43</v>
      </c>
      <c r="D67" t="s">
        <v>180</v>
      </c>
      <c r="E67" t="s">
        <v>69</v>
      </c>
      <c r="F67" t="s">
        <v>70</v>
      </c>
      <c r="G67">
        <v>274</v>
      </c>
      <c r="H67">
        <v>0.25</v>
      </c>
      <c r="I67">
        <v>205.5</v>
      </c>
      <c r="J67">
        <v>7</v>
      </c>
      <c r="K67">
        <v>182.42176336967501</v>
      </c>
      <c r="L67">
        <v>1438.5</v>
      </c>
      <c r="M67">
        <v>1276.95234358772</v>
      </c>
      <c r="N67">
        <v>161.54765641226999</v>
      </c>
      <c r="O67" t="s">
        <v>32</v>
      </c>
      <c r="P67">
        <f t="shared" ref="P67:P130" si="2">G67 * J67</f>
        <v>1918</v>
      </c>
      <c r="Q67">
        <f t="shared" ref="Q67:Q130" si="3" xml:space="preserve"> M67 - L67</f>
        <v>-161.54765641228005</v>
      </c>
    </row>
    <row r="68" spans="1:17" x14ac:dyDescent="0.4">
      <c r="A68" t="s">
        <v>181</v>
      </c>
      <c r="B68" s="1">
        <v>45649.125</v>
      </c>
      <c r="C68" t="s">
        <v>16</v>
      </c>
      <c r="D68" t="s">
        <v>182</v>
      </c>
      <c r="E68" t="s">
        <v>37</v>
      </c>
      <c r="F68" t="s">
        <v>38</v>
      </c>
      <c r="G68">
        <v>179</v>
      </c>
      <c r="H68">
        <v>0.05</v>
      </c>
      <c r="I68">
        <v>170.04999999999899</v>
      </c>
      <c r="J68">
        <v>7</v>
      </c>
      <c r="K68">
        <v>103.656838869331</v>
      </c>
      <c r="L68">
        <v>1190.3499999999999</v>
      </c>
      <c r="M68">
        <v>725.59787208532202</v>
      </c>
      <c r="N68">
        <v>464.75212791467698</v>
      </c>
      <c r="O68" t="s">
        <v>32</v>
      </c>
      <c r="P68">
        <f t="shared" si="2"/>
        <v>1253</v>
      </c>
      <c r="Q68">
        <f t="shared" si="3"/>
        <v>-464.75212791467789</v>
      </c>
    </row>
    <row r="69" spans="1:17" x14ac:dyDescent="0.4">
      <c r="A69" t="s">
        <v>183</v>
      </c>
      <c r="B69" s="1">
        <v>45592.333333333336</v>
      </c>
      <c r="C69" t="s">
        <v>16</v>
      </c>
      <c r="D69" t="s">
        <v>184</v>
      </c>
      <c r="E69" t="s">
        <v>146</v>
      </c>
      <c r="F69" t="s">
        <v>70</v>
      </c>
      <c r="G69">
        <v>272</v>
      </c>
      <c r="H69">
        <v>0</v>
      </c>
      <c r="I69">
        <v>272</v>
      </c>
      <c r="J69">
        <v>3</v>
      </c>
      <c r="K69">
        <v>111.22262674302701</v>
      </c>
      <c r="L69">
        <v>816</v>
      </c>
      <c r="M69">
        <v>333.66788022908202</v>
      </c>
      <c r="N69">
        <v>482.33211977091702</v>
      </c>
      <c r="O69" t="s">
        <v>32</v>
      </c>
      <c r="P69">
        <f t="shared" si="2"/>
        <v>816</v>
      </c>
      <c r="Q69">
        <f t="shared" si="3"/>
        <v>-482.33211977091798</v>
      </c>
    </row>
    <row r="70" spans="1:17" x14ac:dyDescent="0.4">
      <c r="A70" t="s">
        <v>185</v>
      </c>
      <c r="B70" s="1">
        <v>45511.833333333336</v>
      </c>
      <c r="C70" t="s">
        <v>16</v>
      </c>
      <c r="D70" t="s">
        <v>186</v>
      </c>
      <c r="E70" t="s">
        <v>48</v>
      </c>
      <c r="F70" t="s">
        <v>19</v>
      </c>
      <c r="G70">
        <v>143</v>
      </c>
      <c r="H70">
        <v>0.15</v>
      </c>
      <c r="I70">
        <v>121.55</v>
      </c>
      <c r="J70">
        <v>2</v>
      </c>
      <c r="K70">
        <v>99.328254255320999</v>
      </c>
      <c r="L70">
        <v>243.1</v>
      </c>
      <c r="M70">
        <v>198.656508510642</v>
      </c>
      <c r="N70">
        <v>44.443491489357903</v>
      </c>
      <c r="O70" t="s">
        <v>32</v>
      </c>
      <c r="P70">
        <f t="shared" si="2"/>
        <v>286</v>
      </c>
      <c r="Q70">
        <f t="shared" si="3"/>
        <v>-44.443491489357996</v>
      </c>
    </row>
    <row r="71" spans="1:17" x14ac:dyDescent="0.4">
      <c r="A71" t="s">
        <v>187</v>
      </c>
      <c r="B71" s="1">
        <v>45977.333333333336</v>
      </c>
      <c r="C71" t="s">
        <v>28</v>
      </c>
      <c r="D71" t="s">
        <v>188</v>
      </c>
      <c r="E71" t="s">
        <v>30</v>
      </c>
      <c r="F71" t="s">
        <v>31</v>
      </c>
      <c r="G71">
        <v>146</v>
      </c>
      <c r="H71">
        <v>0</v>
      </c>
      <c r="I71">
        <v>146</v>
      </c>
      <c r="J71">
        <v>4</v>
      </c>
      <c r="K71">
        <v>63.474342560713701</v>
      </c>
      <c r="L71">
        <v>584</v>
      </c>
      <c r="M71">
        <v>253.89737024285401</v>
      </c>
      <c r="N71">
        <v>330.102629757145</v>
      </c>
      <c r="O71" t="s">
        <v>32</v>
      </c>
      <c r="P71">
        <f t="shared" si="2"/>
        <v>584</v>
      </c>
      <c r="Q71">
        <f t="shared" si="3"/>
        <v>-330.10262975714602</v>
      </c>
    </row>
    <row r="72" spans="1:17" x14ac:dyDescent="0.4">
      <c r="A72" t="s">
        <v>189</v>
      </c>
      <c r="B72" s="1">
        <v>45967.666666666664</v>
      </c>
      <c r="C72" t="s">
        <v>46</v>
      </c>
      <c r="D72" t="s">
        <v>190</v>
      </c>
      <c r="E72" t="s">
        <v>37</v>
      </c>
      <c r="F72" t="s">
        <v>38</v>
      </c>
      <c r="G72">
        <v>341</v>
      </c>
      <c r="H72">
        <v>0.2</v>
      </c>
      <c r="I72">
        <v>272.8</v>
      </c>
      <c r="J72">
        <v>7</v>
      </c>
      <c r="K72">
        <v>194.62504038491301</v>
      </c>
      <c r="L72">
        <v>1909.6</v>
      </c>
      <c r="M72">
        <v>1362.3752826943901</v>
      </c>
      <c r="N72">
        <v>547.22471730560403</v>
      </c>
      <c r="O72" t="s">
        <v>51</v>
      </c>
      <c r="P72">
        <f t="shared" si="2"/>
        <v>2387</v>
      </c>
      <c r="Q72">
        <f t="shared" si="3"/>
        <v>-547.22471730560983</v>
      </c>
    </row>
    <row r="73" spans="1:17" x14ac:dyDescent="0.4">
      <c r="A73" t="s">
        <v>191</v>
      </c>
      <c r="B73" s="1">
        <v>45625.583333333336</v>
      </c>
      <c r="C73" t="s">
        <v>46</v>
      </c>
      <c r="D73" t="s">
        <v>192</v>
      </c>
      <c r="E73" t="s">
        <v>60</v>
      </c>
      <c r="F73" t="s">
        <v>61</v>
      </c>
      <c r="G73">
        <v>203</v>
      </c>
      <c r="H73">
        <v>0.05</v>
      </c>
      <c r="I73">
        <v>192.85</v>
      </c>
      <c r="J73">
        <v>7</v>
      </c>
      <c r="K73">
        <v>112.755274020426</v>
      </c>
      <c r="L73">
        <v>1349.95</v>
      </c>
      <c r="M73">
        <v>789.286918142986</v>
      </c>
      <c r="N73">
        <v>560.66308185701303</v>
      </c>
      <c r="O73" t="s">
        <v>105</v>
      </c>
      <c r="P73">
        <f t="shared" si="2"/>
        <v>1421</v>
      </c>
      <c r="Q73">
        <f t="shared" si="3"/>
        <v>-560.66308185701405</v>
      </c>
    </row>
    <row r="74" spans="1:17" x14ac:dyDescent="0.4">
      <c r="A74" t="s">
        <v>193</v>
      </c>
      <c r="B74" s="1">
        <v>45399</v>
      </c>
      <c r="C74" t="s">
        <v>22</v>
      </c>
      <c r="D74" t="s">
        <v>194</v>
      </c>
      <c r="E74" t="s">
        <v>30</v>
      </c>
      <c r="F74" t="s">
        <v>31</v>
      </c>
      <c r="G74">
        <v>188</v>
      </c>
      <c r="H74">
        <v>0</v>
      </c>
      <c r="I74">
        <v>188</v>
      </c>
      <c r="J74">
        <v>6</v>
      </c>
      <c r="K74">
        <v>110.824620563471</v>
      </c>
      <c r="L74">
        <v>1128</v>
      </c>
      <c r="M74">
        <v>664.94772338082601</v>
      </c>
      <c r="N74">
        <v>463.05227661917303</v>
      </c>
      <c r="O74" t="s">
        <v>26</v>
      </c>
      <c r="P74">
        <f t="shared" si="2"/>
        <v>1128</v>
      </c>
      <c r="Q74">
        <f t="shared" si="3"/>
        <v>-463.05227661917399</v>
      </c>
    </row>
    <row r="75" spans="1:17" x14ac:dyDescent="0.4">
      <c r="A75" t="s">
        <v>195</v>
      </c>
      <c r="B75" s="1">
        <v>45376.458333333336</v>
      </c>
      <c r="C75" t="s">
        <v>65</v>
      </c>
      <c r="D75" t="s">
        <v>196</v>
      </c>
      <c r="E75" t="s">
        <v>146</v>
      </c>
      <c r="F75" t="s">
        <v>70</v>
      </c>
      <c r="G75">
        <v>121</v>
      </c>
      <c r="H75">
        <v>0.2</v>
      </c>
      <c r="I75">
        <v>96.8</v>
      </c>
      <c r="J75">
        <v>5</v>
      </c>
      <c r="K75">
        <v>56.642319484451299</v>
      </c>
      <c r="L75">
        <v>484</v>
      </c>
      <c r="M75">
        <v>283.21159742225598</v>
      </c>
      <c r="N75">
        <v>200.788402577743</v>
      </c>
      <c r="O75" t="s">
        <v>32</v>
      </c>
      <c r="P75">
        <f t="shared" si="2"/>
        <v>605</v>
      </c>
      <c r="Q75">
        <f t="shared" si="3"/>
        <v>-200.78840257774402</v>
      </c>
    </row>
    <row r="76" spans="1:17" x14ac:dyDescent="0.4">
      <c r="A76" t="s">
        <v>197</v>
      </c>
      <c r="B76" s="1">
        <v>45404.291666666664</v>
      </c>
      <c r="C76" t="s">
        <v>46</v>
      </c>
      <c r="D76" t="s">
        <v>198</v>
      </c>
      <c r="E76" t="s">
        <v>94</v>
      </c>
      <c r="F76" t="s">
        <v>61</v>
      </c>
      <c r="G76">
        <v>171</v>
      </c>
      <c r="H76">
        <v>0.1</v>
      </c>
      <c r="I76">
        <v>153.9</v>
      </c>
      <c r="J76">
        <v>5</v>
      </c>
      <c r="K76">
        <v>94.9760183897518</v>
      </c>
      <c r="L76">
        <v>769.5</v>
      </c>
      <c r="M76">
        <v>474.880091948759</v>
      </c>
      <c r="N76">
        <v>294.61990805123997</v>
      </c>
      <c r="O76" t="s">
        <v>32</v>
      </c>
      <c r="P76">
        <f t="shared" si="2"/>
        <v>855</v>
      </c>
      <c r="Q76">
        <f t="shared" si="3"/>
        <v>-294.619908051241</v>
      </c>
    </row>
    <row r="77" spans="1:17" x14ac:dyDescent="0.4">
      <c r="A77" t="s">
        <v>199</v>
      </c>
      <c r="B77" s="1">
        <v>45934.583333333336</v>
      </c>
      <c r="C77" t="s">
        <v>46</v>
      </c>
      <c r="D77" t="s">
        <v>200</v>
      </c>
      <c r="E77" t="s">
        <v>110</v>
      </c>
      <c r="F77" t="s">
        <v>19</v>
      </c>
      <c r="G77">
        <v>331</v>
      </c>
      <c r="H77">
        <v>0.05</v>
      </c>
      <c r="I77">
        <v>314.45</v>
      </c>
      <c r="J77">
        <v>6</v>
      </c>
      <c r="K77">
        <v>198.36236729296701</v>
      </c>
      <c r="L77">
        <v>1886.69999999999</v>
      </c>
      <c r="M77">
        <v>1190.1742037577999</v>
      </c>
      <c r="N77">
        <v>696.52579624219504</v>
      </c>
      <c r="O77" t="s">
        <v>32</v>
      </c>
      <c r="P77">
        <f t="shared" si="2"/>
        <v>1986</v>
      </c>
      <c r="Q77">
        <f t="shared" si="3"/>
        <v>-696.52579624219015</v>
      </c>
    </row>
    <row r="78" spans="1:17" x14ac:dyDescent="0.4">
      <c r="A78" t="s">
        <v>201</v>
      </c>
      <c r="B78" s="1">
        <v>45511.083333333336</v>
      </c>
      <c r="C78" t="s">
        <v>43</v>
      </c>
      <c r="D78" t="s">
        <v>202</v>
      </c>
      <c r="E78" t="s">
        <v>97</v>
      </c>
      <c r="F78" t="s">
        <v>61</v>
      </c>
      <c r="G78">
        <v>224</v>
      </c>
      <c r="H78">
        <v>0.15</v>
      </c>
      <c r="I78">
        <v>190.4</v>
      </c>
      <c r="J78">
        <v>6</v>
      </c>
      <c r="K78">
        <v>107.455579310491</v>
      </c>
      <c r="L78">
        <v>1142.4000000000001</v>
      </c>
      <c r="M78">
        <v>644.73347586294904</v>
      </c>
      <c r="N78">
        <v>497.66652413704998</v>
      </c>
      <c r="O78" t="s">
        <v>26</v>
      </c>
      <c r="P78">
        <f t="shared" si="2"/>
        <v>1344</v>
      </c>
      <c r="Q78">
        <f t="shared" si="3"/>
        <v>-497.66652413705106</v>
      </c>
    </row>
    <row r="79" spans="1:17" x14ac:dyDescent="0.4">
      <c r="A79" t="s">
        <v>203</v>
      </c>
      <c r="B79" s="1">
        <v>45572.666666666664</v>
      </c>
      <c r="C79" t="s">
        <v>16</v>
      </c>
      <c r="D79" t="s">
        <v>204</v>
      </c>
      <c r="E79" t="s">
        <v>82</v>
      </c>
      <c r="F79" t="s">
        <v>25</v>
      </c>
      <c r="G79">
        <v>126</v>
      </c>
      <c r="H79">
        <v>0.25</v>
      </c>
      <c r="I79">
        <v>94.5</v>
      </c>
      <c r="J79">
        <v>5</v>
      </c>
      <c r="K79">
        <v>83.292427703451196</v>
      </c>
      <c r="L79">
        <v>472.5</v>
      </c>
      <c r="M79">
        <v>416.46213851725599</v>
      </c>
      <c r="N79">
        <v>56.0378614827437</v>
      </c>
      <c r="O79" t="s">
        <v>20</v>
      </c>
      <c r="P79">
        <f t="shared" si="2"/>
        <v>630</v>
      </c>
      <c r="Q79">
        <f t="shared" si="3"/>
        <v>-56.037861482744006</v>
      </c>
    </row>
    <row r="80" spans="1:17" x14ac:dyDescent="0.4">
      <c r="A80" t="s">
        <v>205</v>
      </c>
      <c r="B80" s="1">
        <v>45308.291666666664</v>
      </c>
      <c r="C80" t="s">
        <v>43</v>
      </c>
      <c r="D80" t="s">
        <v>206</v>
      </c>
      <c r="E80" t="s">
        <v>30</v>
      </c>
      <c r="F80" t="s">
        <v>31</v>
      </c>
      <c r="G80">
        <v>125</v>
      </c>
      <c r="H80">
        <v>0</v>
      </c>
      <c r="I80">
        <v>125</v>
      </c>
      <c r="J80">
        <v>6</v>
      </c>
      <c r="K80">
        <v>56.509823661473803</v>
      </c>
      <c r="L80">
        <v>750</v>
      </c>
      <c r="M80">
        <v>339.05894196884202</v>
      </c>
      <c r="N80">
        <v>410.94105803115701</v>
      </c>
      <c r="O80" t="s">
        <v>105</v>
      </c>
      <c r="P80">
        <f t="shared" si="2"/>
        <v>750</v>
      </c>
      <c r="Q80">
        <f t="shared" si="3"/>
        <v>-410.94105803115798</v>
      </c>
    </row>
    <row r="81" spans="1:17" x14ac:dyDescent="0.4">
      <c r="A81" t="s">
        <v>207</v>
      </c>
      <c r="B81" s="1">
        <v>45874.75</v>
      </c>
      <c r="C81" t="s">
        <v>28</v>
      </c>
      <c r="D81" t="s">
        <v>208</v>
      </c>
      <c r="E81" t="s">
        <v>41</v>
      </c>
      <c r="F81" t="s">
        <v>31</v>
      </c>
      <c r="G81">
        <v>262</v>
      </c>
      <c r="H81">
        <v>0.05</v>
      </c>
      <c r="I81">
        <v>248.89999999999901</v>
      </c>
      <c r="J81">
        <v>6</v>
      </c>
      <c r="K81">
        <v>152.70812813368099</v>
      </c>
      <c r="L81">
        <v>1493.3999999999901</v>
      </c>
      <c r="M81">
        <v>916.24876880208603</v>
      </c>
      <c r="N81">
        <v>577.15123119791303</v>
      </c>
      <c r="O81" t="s">
        <v>32</v>
      </c>
      <c r="P81">
        <f t="shared" si="2"/>
        <v>1572</v>
      </c>
      <c r="Q81">
        <f t="shared" si="3"/>
        <v>-577.15123119790405</v>
      </c>
    </row>
    <row r="82" spans="1:17" x14ac:dyDescent="0.4">
      <c r="A82" t="s">
        <v>209</v>
      </c>
      <c r="B82" s="1">
        <v>45819.75</v>
      </c>
      <c r="C82" t="s">
        <v>46</v>
      </c>
      <c r="D82" t="s">
        <v>210</v>
      </c>
      <c r="E82" t="s">
        <v>115</v>
      </c>
      <c r="F82" t="s">
        <v>38</v>
      </c>
      <c r="G82">
        <v>321</v>
      </c>
      <c r="H82">
        <v>0.15</v>
      </c>
      <c r="I82">
        <v>272.849999999999</v>
      </c>
      <c r="J82">
        <v>5</v>
      </c>
      <c r="K82">
        <v>238.586065251598</v>
      </c>
      <c r="L82">
        <v>1364.24999999999</v>
      </c>
      <c r="M82">
        <v>1192.9303262579899</v>
      </c>
      <c r="N82">
        <v>171.31967374200801</v>
      </c>
      <c r="O82" t="s">
        <v>51</v>
      </c>
      <c r="P82">
        <f t="shared" si="2"/>
        <v>1605</v>
      </c>
      <c r="Q82">
        <f t="shared" si="3"/>
        <v>-171.31967374200008</v>
      </c>
    </row>
    <row r="83" spans="1:17" x14ac:dyDescent="0.4">
      <c r="A83" t="s">
        <v>211</v>
      </c>
      <c r="B83" s="1">
        <v>45537.5</v>
      </c>
      <c r="C83" t="s">
        <v>22</v>
      </c>
      <c r="D83" t="s">
        <v>212</v>
      </c>
      <c r="E83" t="s">
        <v>213</v>
      </c>
      <c r="F83" t="s">
        <v>31</v>
      </c>
      <c r="G83">
        <v>242</v>
      </c>
      <c r="H83">
        <v>0</v>
      </c>
      <c r="I83">
        <v>242</v>
      </c>
      <c r="J83">
        <v>1</v>
      </c>
      <c r="K83">
        <v>101.837241883058</v>
      </c>
      <c r="L83">
        <v>242</v>
      </c>
      <c r="M83">
        <v>101.837241883058</v>
      </c>
      <c r="N83">
        <v>140.16275811694101</v>
      </c>
      <c r="O83" t="s">
        <v>26</v>
      </c>
      <c r="P83">
        <f t="shared" si="2"/>
        <v>242</v>
      </c>
      <c r="Q83">
        <f t="shared" si="3"/>
        <v>-140.162758116942</v>
      </c>
    </row>
    <row r="84" spans="1:17" x14ac:dyDescent="0.4">
      <c r="A84" t="s">
        <v>214</v>
      </c>
      <c r="B84" s="1">
        <v>45440.375</v>
      </c>
      <c r="C84" t="s">
        <v>28</v>
      </c>
      <c r="D84" t="s">
        <v>215</v>
      </c>
      <c r="E84" t="s">
        <v>110</v>
      </c>
      <c r="F84" t="s">
        <v>19</v>
      </c>
      <c r="G84">
        <v>142</v>
      </c>
      <c r="H84">
        <v>0.25</v>
      </c>
      <c r="I84">
        <v>106.5</v>
      </c>
      <c r="J84">
        <v>3</v>
      </c>
      <c r="K84">
        <v>58.330265468124203</v>
      </c>
      <c r="L84">
        <v>319.5</v>
      </c>
      <c r="M84">
        <v>174.99079640437199</v>
      </c>
      <c r="N84">
        <v>144.50920359562701</v>
      </c>
      <c r="O84" t="s">
        <v>51</v>
      </c>
      <c r="P84">
        <f t="shared" si="2"/>
        <v>426</v>
      </c>
      <c r="Q84">
        <f t="shared" si="3"/>
        <v>-144.50920359562801</v>
      </c>
    </row>
    <row r="85" spans="1:17" x14ac:dyDescent="0.4">
      <c r="A85" t="s">
        <v>216</v>
      </c>
      <c r="B85" s="1">
        <v>45549.666666666664</v>
      </c>
      <c r="C85" t="s">
        <v>28</v>
      </c>
      <c r="D85" t="s">
        <v>217</v>
      </c>
      <c r="E85" t="s">
        <v>85</v>
      </c>
      <c r="F85" t="s">
        <v>70</v>
      </c>
      <c r="G85">
        <v>293</v>
      </c>
      <c r="H85">
        <v>0.15</v>
      </c>
      <c r="I85">
        <v>249.04999999999899</v>
      </c>
      <c r="J85">
        <v>6</v>
      </c>
      <c r="K85">
        <v>171.26704484512101</v>
      </c>
      <c r="L85">
        <v>1494.3</v>
      </c>
      <c r="M85">
        <v>1027.60226907072</v>
      </c>
      <c r="N85">
        <v>466.69773092926999</v>
      </c>
      <c r="O85" t="s">
        <v>32</v>
      </c>
      <c r="P85">
        <f t="shared" si="2"/>
        <v>1758</v>
      </c>
      <c r="Q85">
        <f t="shared" si="3"/>
        <v>-466.69773092927994</v>
      </c>
    </row>
    <row r="86" spans="1:17" x14ac:dyDescent="0.4">
      <c r="A86" t="s">
        <v>218</v>
      </c>
      <c r="B86" s="1">
        <v>45641.666666666664</v>
      </c>
      <c r="C86" t="s">
        <v>43</v>
      </c>
      <c r="D86" t="s">
        <v>219</v>
      </c>
      <c r="E86" t="s">
        <v>146</v>
      </c>
      <c r="F86" t="s">
        <v>70</v>
      </c>
      <c r="G86">
        <v>231</v>
      </c>
      <c r="H86">
        <v>0.15</v>
      </c>
      <c r="I86">
        <v>196.35</v>
      </c>
      <c r="J86">
        <v>6</v>
      </c>
      <c r="K86">
        <v>169.80967233922999</v>
      </c>
      <c r="L86">
        <v>1178.0999999999999</v>
      </c>
      <c r="M86">
        <v>1018.85803403538</v>
      </c>
      <c r="N86">
        <v>159.241965964619</v>
      </c>
      <c r="O86" t="s">
        <v>32</v>
      </c>
      <c r="P86">
        <f t="shared" si="2"/>
        <v>1386</v>
      </c>
      <c r="Q86">
        <f t="shared" si="3"/>
        <v>-159.24196596461991</v>
      </c>
    </row>
    <row r="87" spans="1:17" x14ac:dyDescent="0.4">
      <c r="A87" t="s">
        <v>220</v>
      </c>
      <c r="B87" s="1">
        <v>45836.458333333336</v>
      </c>
      <c r="C87" t="s">
        <v>22</v>
      </c>
      <c r="D87" t="s">
        <v>221</v>
      </c>
      <c r="E87" t="s">
        <v>110</v>
      </c>
      <c r="F87" t="s">
        <v>19</v>
      </c>
      <c r="G87">
        <v>109</v>
      </c>
      <c r="H87">
        <v>0</v>
      </c>
      <c r="I87">
        <v>109</v>
      </c>
      <c r="J87">
        <v>1</v>
      </c>
      <c r="K87">
        <v>56.6389987407074</v>
      </c>
      <c r="L87">
        <v>109</v>
      </c>
      <c r="M87">
        <v>56.6389987407074</v>
      </c>
      <c r="N87">
        <v>52.3610012592925</v>
      </c>
      <c r="O87" t="s">
        <v>32</v>
      </c>
      <c r="P87">
        <f t="shared" si="2"/>
        <v>109</v>
      </c>
      <c r="Q87">
        <f t="shared" si="3"/>
        <v>-52.3610012592926</v>
      </c>
    </row>
    <row r="88" spans="1:17" x14ac:dyDescent="0.4">
      <c r="A88" t="s">
        <v>222</v>
      </c>
      <c r="B88" s="1">
        <v>45928.041666666664</v>
      </c>
      <c r="C88" t="s">
        <v>43</v>
      </c>
      <c r="D88" t="s">
        <v>223</v>
      </c>
      <c r="E88" t="s">
        <v>146</v>
      </c>
      <c r="F88" t="s">
        <v>70</v>
      </c>
      <c r="G88">
        <v>267</v>
      </c>
      <c r="H88">
        <v>0.15</v>
      </c>
      <c r="I88">
        <v>226.95</v>
      </c>
      <c r="J88">
        <v>7</v>
      </c>
      <c r="K88">
        <v>189.44944854565901</v>
      </c>
      <c r="L88">
        <v>1588.6499999999901</v>
      </c>
      <c r="M88">
        <v>1326.14613981961</v>
      </c>
      <c r="N88">
        <v>262.50386018038103</v>
      </c>
      <c r="O88" t="s">
        <v>32</v>
      </c>
      <c r="P88">
        <f t="shared" si="2"/>
        <v>1869</v>
      </c>
      <c r="Q88">
        <f t="shared" si="3"/>
        <v>-262.50386018038012</v>
      </c>
    </row>
    <row r="89" spans="1:17" x14ac:dyDescent="0.4">
      <c r="A89" t="s">
        <v>224</v>
      </c>
      <c r="B89" s="1">
        <v>45394.25</v>
      </c>
      <c r="C89" t="s">
        <v>43</v>
      </c>
      <c r="D89" t="s">
        <v>225</v>
      </c>
      <c r="E89" t="s">
        <v>48</v>
      </c>
      <c r="F89" t="s">
        <v>19</v>
      </c>
      <c r="G89">
        <v>339</v>
      </c>
      <c r="H89">
        <v>0.1</v>
      </c>
      <c r="I89">
        <v>305.10000000000002</v>
      </c>
      <c r="J89">
        <v>6</v>
      </c>
      <c r="K89">
        <v>171.92319549536299</v>
      </c>
      <c r="L89">
        <v>1830.6</v>
      </c>
      <c r="M89">
        <v>1031.53917297218</v>
      </c>
      <c r="N89">
        <v>799.06082702781703</v>
      </c>
      <c r="O89" t="s">
        <v>26</v>
      </c>
      <c r="P89">
        <f t="shared" si="2"/>
        <v>2034</v>
      </c>
      <c r="Q89">
        <f t="shared" si="3"/>
        <v>-799.06082702781987</v>
      </c>
    </row>
    <row r="90" spans="1:17" x14ac:dyDescent="0.4">
      <c r="A90" t="s">
        <v>226</v>
      </c>
      <c r="B90" s="1">
        <v>45785.208333333336</v>
      </c>
      <c r="C90" t="s">
        <v>65</v>
      </c>
      <c r="D90" t="s">
        <v>227</v>
      </c>
      <c r="E90" t="s">
        <v>146</v>
      </c>
      <c r="F90" t="s">
        <v>70</v>
      </c>
      <c r="G90">
        <v>140</v>
      </c>
      <c r="H90">
        <v>0</v>
      </c>
      <c r="I90">
        <v>140</v>
      </c>
      <c r="J90">
        <v>6</v>
      </c>
      <c r="K90">
        <v>70.678718219739807</v>
      </c>
      <c r="L90">
        <v>840</v>
      </c>
      <c r="M90">
        <v>424.07230931843799</v>
      </c>
      <c r="N90">
        <v>415.92769068156099</v>
      </c>
      <c r="O90" t="s">
        <v>51</v>
      </c>
      <c r="P90">
        <f t="shared" si="2"/>
        <v>840</v>
      </c>
      <c r="Q90">
        <f t="shared" si="3"/>
        <v>-415.92769068156201</v>
      </c>
    </row>
    <row r="91" spans="1:17" x14ac:dyDescent="0.4">
      <c r="A91" t="s">
        <v>228</v>
      </c>
      <c r="B91" s="1">
        <v>45876.958333333336</v>
      </c>
      <c r="C91" t="s">
        <v>43</v>
      </c>
      <c r="D91" t="s">
        <v>229</v>
      </c>
      <c r="E91" t="s">
        <v>104</v>
      </c>
      <c r="F91" t="s">
        <v>25</v>
      </c>
      <c r="G91">
        <v>92</v>
      </c>
      <c r="H91">
        <v>0.15</v>
      </c>
      <c r="I91">
        <v>78.2</v>
      </c>
      <c r="J91">
        <v>7</v>
      </c>
      <c r="K91">
        <v>44.2827752024047</v>
      </c>
      <c r="L91">
        <v>547.4</v>
      </c>
      <c r="M91">
        <v>309.97942641683301</v>
      </c>
      <c r="N91">
        <v>237.420573583166</v>
      </c>
      <c r="O91" t="s">
        <v>51</v>
      </c>
      <c r="P91">
        <f t="shared" si="2"/>
        <v>644</v>
      </c>
      <c r="Q91">
        <f t="shared" si="3"/>
        <v>-237.42057358316697</v>
      </c>
    </row>
    <row r="92" spans="1:17" x14ac:dyDescent="0.4">
      <c r="A92" t="s">
        <v>230</v>
      </c>
      <c r="B92" s="1">
        <v>45748.875</v>
      </c>
      <c r="C92" t="s">
        <v>65</v>
      </c>
      <c r="D92" t="s">
        <v>231</v>
      </c>
      <c r="E92" t="s">
        <v>110</v>
      </c>
      <c r="F92" t="s">
        <v>19</v>
      </c>
      <c r="G92">
        <v>197</v>
      </c>
      <c r="H92">
        <v>0.05</v>
      </c>
      <c r="I92">
        <v>187.14999999999901</v>
      </c>
      <c r="J92">
        <v>5</v>
      </c>
      <c r="K92">
        <v>136.87180996041499</v>
      </c>
      <c r="L92">
        <v>935.74999999999898</v>
      </c>
      <c r="M92">
        <v>684.35904980207602</v>
      </c>
      <c r="N92">
        <v>251.39095019792299</v>
      </c>
      <c r="O92" t="s">
        <v>32</v>
      </c>
      <c r="P92">
        <f t="shared" si="2"/>
        <v>985</v>
      </c>
      <c r="Q92">
        <f t="shared" si="3"/>
        <v>-251.39095019792296</v>
      </c>
    </row>
    <row r="93" spans="1:17" x14ac:dyDescent="0.4">
      <c r="A93" t="s">
        <v>232</v>
      </c>
      <c r="B93" s="1">
        <v>45698.75</v>
      </c>
      <c r="C93" t="s">
        <v>65</v>
      </c>
      <c r="D93" t="s">
        <v>233</v>
      </c>
      <c r="E93" t="s">
        <v>94</v>
      </c>
      <c r="F93" t="s">
        <v>61</v>
      </c>
      <c r="G93">
        <v>132</v>
      </c>
      <c r="H93">
        <v>0.1</v>
      </c>
      <c r="I93">
        <v>118.8</v>
      </c>
      <c r="J93">
        <v>1</v>
      </c>
      <c r="K93">
        <v>58.478935345100901</v>
      </c>
      <c r="L93">
        <v>118.8</v>
      </c>
      <c r="M93">
        <v>58.478935345100901</v>
      </c>
      <c r="N93">
        <v>60.321064654898997</v>
      </c>
      <c r="O93" t="s">
        <v>26</v>
      </c>
      <c r="P93">
        <f t="shared" si="2"/>
        <v>132</v>
      </c>
      <c r="Q93">
        <f t="shared" si="3"/>
        <v>-60.321064654899097</v>
      </c>
    </row>
    <row r="94" spans="1:17" x14ac:dyDescent="0.4">
      <c r="A94" t="s">
        <v>234</v>
      </c>
      <c r="B94" s="1">
        <v>45502.666666666664</v>
      </c>
      <c r="C94" t="s">
        <v>16</v>
      </c>
      <c r="D94" t="s">
        <v>235</v>
      </c>
      <c r="E94" t="s">
        <v>41</v>
      </c>
      <c r="F94" t="s">
        <v>31</v>
      </c>
      <c r="G94">
        <v>131</v>
      </c>
      <c r="H94">
        <v>0.15</v>
      </c>
      <c r="I94">
        <v>111.35</v>
      </c>
      <c r="J94">
        <v>2</v>
      </c>
      <c r="K94">
        <v>63.492567542467</v>
      </c>
      <c r="L94">
        <v>222.7</v>
      </c>
      <c r="M94">
        <v>126.985135084934</v>
      </c>
      <c r="N94">
        <v>95.714864915065903</v>
      </c>
      <c r="O94" t="s">
        <v>51</v>
      </c>
      <c r="P94">
        <f t="shared" si="2"/>
        <v>262</v>
      </c>
      <c r="Q94">
        <f t="shared" si="3"/>
        <v>-95.714864915065988</v>
      </c>
    </row>
    <row r="95" spans="1:17" x14ac:dyDescent="0.4">
      <c r="A95" t="s">
        <v>236</v>
      </c>
      <c r="B95" s="1">
        <v>45914.833333333336</v>
      </c>
      <c r="C95" t="s">
        <v>46</v>
      </c>
      <c r="D95" t="s">
        <v>237</v>
      </c>
      <c r="E95" t="s">
        <v>69</v>
      </c>
      <c r="F95" t="s">
        <v>70</v>
      </c>
      <c r="G95">
        <v>101</v>
      </c>
      <c r="H95">
        <v>0.1</v>
      </c>
      <c r="I95">
        <v>90.9</v>
      </c>
      <c r="J95">
        <v>4</v>
      </c>
      <c r="K95">
        <v>45.450665233348197</v>
      </c>
      <c r="L95">
        <v>363.6</v>
      </c>
      <c r="M95">
        <v>181.80266093339199</v>
      </c>
      <c r="N95">
        <v>181.79733906660701</v>
      </c>
      <c r="O95" t="s">
        <v>32</v>
      </c>
      <c r="P95">
        <f t="shared" si="2"/>
        <v>404</v>
      </c>
      <c r="Q95">
        <f t="shared" si="3"/>
        <v>-181.79733906660803</v>
      </c>
    </row>
    <row r="96" spans="1:17" x14ac:dyDescent="0.4">
      <c r="A96" t="s">
        <v>238</v>
      </c>
      <c r="B96" s="1">
        <v>45629.916666666664</v>
      </c>
      <c r="C96" t="s">
        <v>65</v>
      </c>
      <c r="D96" t="s">
        <v>239</v>
      </c>
      <c r="E96" t="s">
        <v>85</v>
      </c>
      <c r="F96" t="s">
        <v>70</v>
      </c>
      <c r="G96">
        <v>327</v>
      </c>
      <c r="H96">
        <v>0.15</v>
      </c>
      <c r="I96">
        <v>277.95</v>
      </c>
      <c r="J96">
        <v>3</v>
      </c>
      <c r="K96">
        <v>161.87855957621599</v>
      </c>
      <c r="L96">
        <v>833.849999999999</v>
      </c>
      <c r="M96">
        <v>485.63567872865002</v>
      </c>
      <c r="N96">
        <v>348.21432127134898</v>
      </c>
      <c r="O96" t="s">
        <v>32</v>
      </c>
      <c r="P96">
        <f t="shared" si="2"/>
        <v>981</v>
      </c>
      <c r="Q96">
        <f t="shared" si="3"/>
        <v>-348.21432127134898</v>
      </c>
    </row>
    <row r="97" spans="1:17" x14ac:dyDescent="0.4">
      <c r="A97" t="s">
        <v>240</v>
      </c>
      <c r="B97" s="1">
        <v>45865.875</v>
      </c>
      <c r="C97" t="s">
        <v>46</v>
      </c>
      <c r="D97" t="s">
        <v>241</v>
      </c>
      <c r="E97" t="s">
        <v>18</v>
      </c>
      <c r="F97" t="s">
        <v>19</v>
      </c>
      <c r="G97">
        <v>233</v>
      </c>
      <c r="H97">
        <v>0.15</v>
      </c>
      <c r="I97">
        <v>198.04999999999899</v>
      </c>
      <c r="J97">
        <v>6</v>
      </c>
      <c r="K97">
        <v>150.85393255201299</v>
      </c>
      <c r="L97">
        <v>1188.3</v>
      </c>
      <c r="M97">
        <v>905.12359531208199</v>
      </c>
      <c r="N97">
        <v>283.176404687917</v>
      </c>
      <c r="O97" t="s">
        <v>32</v>
      </c>
      <c r="P97">
        <f t="shared" si="2"/>
        <v>1398</v>
      </c>
      <c r="Q97">
        <f t="shared" si="3"/>
        <v>-283.17640468791797</v>
      </c>
    </row>
    <row r="98" spans="1:17" x14ac:dyDescent="0.4">
      <c r="A98" t="s">
        <v>242</v>
      </c>
      <c r="B98" s="1">
        <v>46017.5</v>
      </c>
      <c r="C98" t="s">
        <v>43</v>
      </c>
      <c r="D98" t="s">
        <v>243</v>
      </c>
      <c r="E98" t="s">
        <v>97</v>
      </c>
      <c r="F98" t="s">
        <v>61</v>
      </c>
      <c r="G98">
        <v>236</v>
      </c>
      <c r="H98">
        <v>0</v>
      </c>
      <c r="I98">
        <v>236</v>
      </c>
      <c r="J98">
        <v>1</v>
      </c>
      <c r="K98">
        <v>124.155321692915</v>
      </c>
      <c r="L98">
        <v>236</v>
      </c>
      <c r="M98">
        <v>124.155321692915</v>
      </c>
      <c r="N98">
        <v>111.844678307084</v>
      </c>
      <c r="O98" t="s">
        <v>51</v>
      </c>
      <c r="P98">
        <f t="shared" si="2"/>
        <v>236</v>
      </c>
      <c r="Q98">
        <f t="shared" si="3"/>
        <v>-111.844678307085</v>
      </c>
    </row>
    <row r="99" spans="1:17" x14ac:dyDescent="0.4">
      <c r="A99" t="s">
        <v>244</v>
      </c>
      <c r="B99" s="1">
        <v>45312.916666666664</v>
      </c>
      <c r="C99" t="s">
        <v>16</v>
      </c>
      <c r="D99" t="s">
        <v>245</v>
      </c>
      <c r="E99" t="s">
        <v>41</v>
      </c>
      <c r="F99" t="s">
        <v>31</v>
      </c>
      <c r="G99">
        <v>220</v>
      </c>
      <c r="H99">
        <v>0.1</v>
      </c>
      <c r="I99">
        <v>198</v>
      </c>
      <c r="J99">
        <v>6</v>
      </c>
      <c r="K99">
        <v>117.05349015516499</v>
      </c>
      <c r="L99">
        <v>1188</v>
      </c>
      <c r="M99">
        <v>702.32094093099499</v>
      </c>
      <c r="N99">
        <v>485.67905906900398</v>
      </c>
      <c r="O99" t="s">
        <v>32</v>
      </c>
      <c r="P99">
        <f t="shared" si="2"/>
        <v>1320</v>
      </c>
      <c r="Q99">
        <f t="shared" si="3"/>
        <v>-485.67905906900501</v>
      </c>
    </row>
    <row r="100" spans="1:17" x14ac:dyDescent="0.4">
      <c r="A100" t="s">
        <v>246</v>
      </c>
      <c r="B100" s="1">
        <v>45579.916666666664</v>
      </c>
      <c r="C100" t="s">
        <v>22</v>
      </c>
      <c r="D100" t="s">
        <v>247</v>
      </c>
      <c r="E100" t="s">
        <v>18</v>
      </c>
      <c r="F100" t="s">
        <v>19</v>
      </c>
      <c r="G100">
        <v>296</v>
      </c>
      <c r="H100">
        <v>0.15</v>
      </c>
      <c r="I100">
        <v>251.6</v>
      </c>
      <c r="J100">
        <v>2</v>
      </c>
      <c r="K100">
        <v>132.81240194511599</v>
      </c>
      <c r="L100">
        <v>503.2</v>
      </c>
      <c r="M100">
        <v>265.62480389023301</v>
      </c>
      <c r="N100">
        <v>237.57519610976601</v>
      </c>
      <c r="O100" t="s">
        <v>26</v>
      </c>
      <c r="P100">
        <f t="shared" si="2"/>
        <v>592</v>
      </c>
      <c r="Q100">
        <f t="shared" si="3"/>
        <v>-237.57519610976698</v>
      </c>
    </row>
    <row r="101" spans="1:17" x14ac:dyDescent="0.4">
      <c r="A101" t="s">
        <v>248</v>
      </c>
      <c r="B101" s="1">
        <v>45820.541666666664</v>
      </c>
      <c r="C101" t="s">
        <v>16</v>
      </c>
      <c r="D101" t="s">
        <v>249</v>
      </c>
      <c r="E101" t="s">
        <v>110</v>
      </c>
      <c r="F101" t="s">
        <v>19</v>
      </c>
      <c r="G101">
        <v>173</v>
      </c>
      <c r="H101">
        <v>0.05</v>
      </c>
      <c r="I101">
        <v>164.35</v>
      </c>
      <c r="J101">
        <v>4</v>
      </c>
      <c r="K101">
        <v>116.53943492553501</v>
      </c>
      <c r="L101">
        <v>657.4</v>
      </c>
      <c r="M101">
        <v>466.15773970214298</v>
      </c>
      <c r="N101">
        <v>191.24226029785601</v>
      </c>
      <c r="O101" t="s">
        <v>32</v>
      </c>
      <c r="P101">
        <f t="shared" si="2"/>
        <v>692</v>
      </c>
      <c r="Q101">
        <f t="shared" si="3"/>
        <v>-191.242260297857</v>
      </c>
    </row>
    <row r="102" spans="1:17" x14ac:dyDescent="0.4">
      <c r="A102" t="s">
        <v>250</v>
      </c>
      <c r="B102" s="1">
        <v>45300.583333333336</v>
      </c>
      <c r="C102" t="s">
        <v>46</v>
      </c>
      <c r="D102" t="s">
        <v>251</v>
      </c>
      <c r="E102" t="s">
        <v>60</v>
      </c>
      <c r="F102" t="s">
        <v>61</v>
      </c>
      <c r="G102">
        <v>107</v>
      </c>
      <c r="H102">
        <v>0.25</v>
      </c>
      <c r="I102">
        <v>80.25</v>
      </c>
      <c r="J102">
        <v>3</v>
      </c>
      <c r="K102">
        <v>59.940850213215498</v>
      </c>
      <c r="L102">
        <v>240.75</v>
      </c>
      <c r="M102">
        <v>179.82255063964601</v>
      </c>
      <c r="N102">
        <v>60.9274493603533</v>
      </c>
      <c r="O102" t="s">
        <v>32</v>
      </c>
      <c r="P102">
        <f t="shared" si="2"/>
        <v>321</v>
      </c>
      <c r="Q102">
        <f t="shared" si="3"/>
        <v>-60.92744936035399</v>
      </c>
    </row>
    <row r="103" spans="1:17" x14ac:dyDescent="0.4">
      <c r="A103" t="s">
        <v>252</v>
      </c>
      <c r="B103" s="1">
        <v>45955.916666666664</v>
      </c>
      <c r="C103" t="s">
        <v>46</v>
      </c>
      <c r="D103" t="s">
        <v>253</v>
      </c>
      <c r="E103" t="s">
        <v>115</v>
      </c>
      <c r="F103" t="s">
        <v>38</v>
      </c>
      <c r="G103">
        <v>92</v>
      </c>
      <c r="H103">
        <v>0.1</v>
      </c>
      <c r="I103">
        <v>82.8</v>
      </c>
      <c r="J103">
        <v>5</v>
      </c>
      <c r="K103">
        <v>50.188679522135899</v>
      </c>
      <c r="L103">
        <v>414</v>
      </c>
      <c r="M103">
        <v>250.943397610679</v>
      </c>
      <c r="N103">
        <v>163.05660238932001</v>
      </c>
      <c r="O103" t="s">
        <v>32</v>
      </c>
      <c r="P103">
        <f t="shared" si="2"/>
        <v>460</v>
      </c>
      <c r="Q103">
        <f t="shared" si="3"/>
        <v>-163.056602389321</v>
      </c>
    </row>
    <row r="104" spans="1:17" x14ac:dyDescent="0.4">
      <c r="A104" t="s">
        <v>254</v>
      </c>
      <c r="B104" s="1">
        <v>46010.625</v>
      </c>
      <c r="C104" t="s">
        <v>65</v>
      </c>
      <c r="D104" t="s">
        <v>255</v>
      </c>
      <c r="E104" t="s">
        <v>24</v>
      </c>
      <c r="F104" t="s">
        <v>25</v>
      </c>
      <c r="G104">
        <v>179</v>
      </c>
      <c r="H104">
        <v>0.15</v>
      </c>
      <c r="I104">
        <v>152.15</v>
      </c>
      <c r="J104">
        <v>5</v>
      </c>
      <c r="K104">
        <v>73.851557983835306</v>
      </c>
      <c r="L104">
        <v>760.75</v>
      </c>
      <c r="M104">
        <v>369.25778991917599</v>
      </c>
      <c r="N104">
        <v>391.49221008082299</v>
      </c>
      <c r="O104" t="s">
        <v>51</v>
      </c>
      <c r="P104">
        <f t="shared" si="2"/>
        <v>895</v>
      </c>
      <c r="Q104">
        <f t="shared" si="3"/>
        <v>-391.49221008082401</v>
      </c>
    </row>
    <row r="105" spans="1:17" x14ac:dyDescent="0.4">
      <c r="A105" t="s">
        <v>256</v>
      </c>
      <c r="B105" s="1">
        <v>45656.791666666664</v>
      </c>
      <c r="C105" t="s">
        <v>16</v>
      </c>
      <c r="D105" t="s">
        <v>257</v>
      </c>
      <c r="E105" t="s">
        <v>41</v>
      </c>
      <c r="F105" t="s">
        <v>31</v>
      </c>
      <c r="G105">
        <v>82</v>
      </c>
      <c r="H105">
        <v>0.05</v>
      </c>
      <c r="I105">
        <v>77.899999999999906</v>
      </c>
      <c r="J105">
        <v>4</v>
      </c>
      <c r="K105">
        <v>34.298100653590602</v>
      </c>
      <c r="L105">
        <v>311.599999999999</v>
      </c>
      <c r="M105">
        <v>137.19240261436201</v>
      </c>
      <c r="N105">
        <v>174.40759738563699</v>
      </c>
      <c r="O105" t="s">
        <v>32</v>
      </c>
      <c r="P105">
        <f t="shared" si="2"/>
        <v>328</v>
      </c>
      <c r="Q105">
        <f t="shared" si="3"/>
        <v>-174.40759738563699</v>
      </c>
    </row>
    <row r="106" spans="1:17" x14ac:dyDescent="0.4">
      <c r="A106" t="s">
        <v>258</v>
      </c>
      <c r="B106" s="1">
        <v>45807.958333333336</v>
      </c>
      <c r="C106" t="s">
        <v>28</v>
      </c>
      <c r="D106" t="s">
        <v>259</v>
      </c>
      <c r="E106" t="s">
        <v>48</v>
      </c>
      <c r="F106" t="s">
        <v>19</v>
      </c>
      <c r="G106">
        <v>331</v>
      </c>
      <c r="H106">
        <v>0</v>
      </c>
      <c r="I106">
        <v>331</v>
      </c>
      <c r="J106">
        <v>5</v>
      </c>
      <c r="K106">
        <v>139.12995264850801</v>
      </c>
      <c r="L106">
        <v>1655</v>
      </c>
      <c r="M106">
        <v>695.64976324254201</v>
      </c>
      <c r="N106">
        <v>959.35023675745697</v>
      </c>
      <c r="O106" t="s">
        <v>26</v>
      </c>
      <c r="P106">
        <f t="shared" si="2"/>
        <v>1655</v>
      </c>
      <c r="Q106">
        <f t="shared" si="3"/>
        <v>-959.35023675745799</v>
      </c>
    </row>
    <row r="107" spans="1:17" x14ac:dyDescent="0.4">
      <c r="A107" t="s">
        <v>260</v>
      </c>
      <c r="B107" s="1">
        <v>45909.5</v>
      </c>
      <c r="C107" t="s">
        <v>28</v>
      </c>
      <c r="D107" t="s">
        <v>261</v>
      </c>
      <c r="E107" t="s">
        <v>60</v>
      </c>
      <c r="F107" t="s">
        <v>61</v>
      </c>
      <c r="G107">
        <v>125</v>
      </c>
      <c r="H107">
        <v>0</v>
      </c>
      <c r="I107">
        <v>125</v>
      </c>
      <c r="J107">
        <v>6</v>
      </c>
      <c r="K107">
        <v>64.758867671147797</v>
      </c>
      <c r="L107">
        <v>750</v>
      </c>
      <c r="M107">
        <v>388.55320602688602</v>
      </c>
      <c r="N107">
        <v>361.44679397311302</v>
      </c>
      <c r="O107" t="s">
        <v>32</v>
      </c>
      <c r="P107">
        <f t="shared" si="2"/>
        <v>750</v>
      </c>
      <c r="Q107">
        <f t="shared" si="3"/>
        <v>-361.44679397311398</v>
      </c>
    </row>
    <row r="108" spans="1:17" x14ac:dyDescent="0.4">
      <c r="A108" t="s">
        <v>262</v>
      </c>
      <c r="B108" s="1">
        <v>45607.583333333336</v>
      </c>
      <c r="C108" t="s">
        <v>22</v>
      </c>
      <c r="D108" t="s">
        <v>263</v>
      </c>
      <c r="E108" t="s">
        <v>73</v>
      </c>
      <c r="F108" t="s">
        <v>38</v>
      </c>
      <c r="G108">
        <v>190</v>
      </c>
      <c r="H108">
        <v>0.05</v>
      </c>
      <c r="I108">
        <v>180.5</v>
      </c>
      <c r="J108">
        <v>4</v>
      </c>
      <c r="K108">
        <v>115.576256381227</v>
      </c>
      <c r="L108">
        <v>722</v>
      </c>
      <c r="M108">
        <v>462.305025524911</v>
      </c>
      <c r="N108">
        <v>259.69497447508797</v>
      </c>
      <c r="O108" t="s">
        <v>51</v>
      </c>
      <c r="P108">
        <f t="shared" si="2"/>
        <v>760</v>
      </c>
      <c r="Q108">
        <f t="shared" si="3"/>
        <v>-259.694974475089</v>
      </c>
    </row>
    <row r="109" spans="1:17" x14ac:dyDescent="0.4">
      <c r="A109" t="s">
        <v>264</v>
      </c>
      <c r="B109" s="1">
        <v>45557.583333333336</v>
      </c>
      <c r="C109" t="s">
        <v>16</v>
      </c>
      <c r="D109" t="s">
        <v>265</v>
      </c>
      <c r="E109" t="s">
        <v>82</v>
      </c>
      <c r="F109" t="s">
        <v>25</v>
      </c>
      <c r="G109">
        <v>198</v>
      </c>
      <c r="H109">
        <v>0.2</v>
      </c>
      <c r="I109">
        <v>158.4</v>
      </c>
      <c r="J109">
        <v>7</v>
      </c>
      <c r="K109">
        <v>94.432510673446998</v>
      </c>
      <c r="L109">
        <v>1108.8</v>
      </c>
      <c r="M109">
        <v>661.02757471412895</v>
      </c>
      <c r="N109">
        <v>447.77242528586999</v>
      </c>
      <c r="O109" t="s">
        <v>51</v>
      </c>
      <c r="P109">
        <f t="shared" si="2"/>
        <v>1386</v>
      </c>
      <c r="Q109">
        <f t="shared" si="3"/>
        <v>-447.77242528587101</v>
      </c>
    </row>
    <row r="110" spans="1:17" x14ac:dyDescent="0.4">
      <c r="A110" t="s">
        <v>266</v>
      </c>
      <c r="B110" s="1">
        <v>45361.916666666664</v>
      </c>
      <c r="C110" t="s">
        <v>22</v>
      </c>
      <c r="D110" t="s">
        <v>267</v>
      </c>
      <c r="E110" t="s">
        <v>82</v>
      </c>
      <c r="F110" t="s">
        <v>25</v>
      </c>
      <c r="G110">
        <v>249</v>
      </c>
      <c r="H110">
        <v>0.2</v>
      </c>
      <c r="I110">
        <v>199.2</v>
      </c>
      <c r="J110">
        <v>6</v>
      </c>
      <c r="K110">
        <v>131.64798766766501</v>
      </c>
      <c r="L110">
        <v>1195.2</v>
      </c>
      <c r="M110">
        <v>789.88792600599095</v>
      </c>
      <c r="N110">
        <v>405.31207399400802</v>
      </c>
      <c r="O110" t="s">
        <v>32</v>
      </c>
      <c r="P110">
        <f t="shared" si="2"/>
        <v>1494</v>
      </c>
      <c r="Q110">
        <f t="shared" si="3"/>
        <v>-405.3120739940091</v>
      </c>
    </row>
    <row r="111" spans="1:17" x14ac:dyDescent="0.4">
      <c r="A111" t="s">
        <v>268</v>
      </c>
      <c r="B111" s="1">
        <v>45336.125</v>
      </c>
      <c r="C111" t="s">
        <v>28</v>
      </c>
      <c r="D111" t="s">
        <v>269</v>
      </c>
      <c r="E111" t="s">
        <v>97</v>
      </c>
      <c r="F111" t="s">
        <v>61</v>
      </c>
      <c r="G111">
        <v>112</v>
      </c>
      <c r="H111">
        <v>0.15</v>
      </c>
      <c r="I111">
        <v>95.2</v>
      </c>
      <c r="J111">
        <v>7</v>
      </c>
      <c r="K111">
        <v>58.445347252196797</v>
      </c>
      <c r="L111">
        <v>666.4</v>
      </c>
      <c r="M111">
        <v>409.117430765378</v>
      </c>
      <c r="N111">
        <v>257.28256923462101</v>
      </c>
      <c r="O111" t="s">
        <v>32</v>
      </c>
      <c r="P111">
        <f t="shared" si="2"/>
        <v>784</v>
      </c>
      <c r="Q111">
        <f t="shared" si="3"/>
        <v>-257.28256923462197</v>
      </c>
    </row>
    <row r="112" spans="1:17" x14ac:dyDescent="0.4">
      <c r="A112" t="s">
        <v>270</v>
      </c>
      <c r="B112" s="1">
        <v>45966.916666666664</v>
      </c>
      <c r="C112" t="s">
        <v>43</v>
      </c>
      <c r="D112" t="s">
        <v>271</v>
      </c>
      <c r="E112" t="s">
        <v>97</v>
      </c>
      <c r="F112" t="s">
        <v>61</v>
      </c>
      <c r="G112">
        <v>214</v>
      </c>
      <c r="H112">
        <v>0.25</v>
      </c>
      <c r="I112">
        <v>160.5</v>
      </c>
      <c r="J112">
        <v>3</v>
      </c>
      <c r="K112">
        <v>87.367262851950102</v>
      </c>
      <c r="L112">
        <v>481.5</v>
      </c>
      <c r="M112">
        <v>262.10178855585002</v>
      </c>
      <c r="N112">
        <v>219.39821144414901</v>
      </c>
      <c r="O112" t="s">
        <v>20</v>
      </c>
      <c r="P112">
        <f t="shared" si="2"/>
        <v>642</v>
      </c>
      <c r="Q112">
        <f t="shared" si="3"/>
        <v>-219.39821144414998</v>
      </c>
    </row>
    <row r="113" spans="1:17" x14ac:dyDescent="0.4">
      <c r="A113" t="s">
        <v>272</v>
      </c>
      <c r="B113" s="1">
        <v>45705.083333333336</v>
      </c>
      <c r="C113" t="s">
        <v>22</v>
      </c>
      <c r="D113" t="s">
        <v>273</v>
      </c>
      <c r="E113" t="s">
        <v>73</v>
      </c>
      <c r="F113" t="s">
        <v>38</v>
      </c>
      <c r="G113">
        <v>293</v>
      </c>
      <c r="H113">
        <v>0</v>
      </c>
      <c r="I113">
        <v>293</v>
      </c>
      <c r="J113">
        <v>3</v>
      </c>
      <c r="K113">
        <v>190.024388530891</v>
      </c>
      <c r="L113">
        <v>879</v>
      </c>
      <c r="M113">
        <v>570.07316559267497</v>
      </c>
      <c r="N113">
        <v>308.92683440732401</v>
      </c>
      <c r="O113" t="s">
        <v>26</v>
      </c>
      <c r="P113">
        <f t="shared" si="2"/>
        <v>879</v>
      </c>
      <c r="Q113">
        <f t="shared" si="3"/>
        <v>-308.92683440732503</v>
      </c>
    </row>
    <row r="114" spans="1:17" x14ac:dyDescent="0.4">
      <c r="A114" t="s">
        <v>274</v>
      </c>
      <c r="B114" s="1">
        <v>45742.708333333336</v>
      </c>
      <c r="C114" t="s">
        <v>16</v>
      </c>
      <c r="D114" t="s">
        <v>275</v>
      </c>
      <c r="E114" t="s">
        <v>18</v>
      </c>
      <c r="F114" t="s">
        <v>19</v>
      </c>
      <c r="G114">
        <v>83</v>
      </c>
      <c r="H114">
        <v>0</v>
      </c>
      <c r="I114">
        <v>83</v>
      </c>
      <c r="J114">
        <v>1</v>
      </c>
      <c r="K114">
        <v>40.147562494574103</v>
      </c>
      <c r="L114">
        <v>83</v>
      </c>
      <c r="M114">
        <v>40.147562494574103</v>
      </c>
      <c r="N114">
        <v>42.852437505425797</v>
      </c>
      <c r="O114" t="s">
        <v>26</v>
      </c>
      <c r="P114">
        <f t="shared" si="2"/>
        <v>83</v>
      </c>
      <c r="Q114">
        <f t="shared" si="3"/>
        <v>-42.852437505425897</v>
      </c>
    </row>
    <row r="115" spans="1:17" x14ac:dyDescent="0.4">
      <c r="A115" t="s">
        <v>276</v>
      </c>
      <c r="B115" s="1">
        <v>45747.041666666664</v>
      </c>
      <c r="C115" t="s">
        <v>65</v>
      </c>
      <c r="D115" t="s">
        <v>277</v>
      </c>
      <c r="E115" t="s">
        <v>82</v>
      </c>
      <c r="F115" t="s">
        <v>25</v>
      </c>
      <c r="G115">
        <v>96</v>
      </c>
      <c r="H115">
        <v>0</v>
      </c>
      <c r="I115">
        <v>96</v>
      </c>
      <c r="J115">
        <v>4</v>
      </c>
      <c r="K115">
        <v>59.223081600151801</v>
      </c>
      <c r="L115">
        <v>384</v>
      </c>
      <c r="M115">
        <v>236.892326400607</v>
      </c>
      <c r="N115">
        <v>147.107673599392</v>
      </c>
      <c r="O115" t="s">
        <v>51</v>
      </c>
      <c r="P115">
        <f t="shared" si="2"/>
        <v>384</v>
      </c>
      <c r="Q115">
        <f t="shared" si="3"/>
        <v>-147.107673599393</v>
      </c>
    </row>
    <row r="116" spans="1:17" x14ac:dyDescent="0.4">
      <c r="A116" t="s">
        <v>278</v>
      </c>
      <c r="B116" s="1">
        <v>45699.875</v>
      </c>
      <c r="C116" t="s">
        <v>16</v>
      </c>
      <c r="D116" t="s">
        <v>279</v>
      </c>
      <c r="E116" t="s">
        <v>115</v>
      </c>
      <c r="F116" t="s">
        <v>38</v>
      </c>
      <c r="G116">
        <v>260</v>
      </c>
      <c r="H116">
        <v>0.1</v>
      </c>
      <c r="I116">
        <v>234</v>
      </c>
      <c r="J116">
        <v>4</v>
      </c>
      <c r="K116">
        <v>139.323079257556</v>
      </c>
      <c r="L116">
        <v>936</v>
      </c>
      <c r="M116">
        <v>557.29231703022595</v>
      </c>
      <c r="N116">
        <v>378.70768296977297</v>
      </c>
      <c r="O116" t="s">
        <v>51</v>
      </c>
      <c r="P116">
        <f t="shared" si="2"/>
        <v>1040</v>
      </c>
      <c r="Q116">
        <f t="shared" si="3"/>
        <v>-378.70768296977405</v>
      </c>
    </row>
    <row r="117" spans="1:17" x14ac:dyDescent="0.4">
      <c r="A117" t="s">
        <v>280</v>
      </c>
      <c r="B117" s="1">
        <v>45971.666666666664</v>
      </c>
      <c r="C117" t="s">
        <v>65</v>
      </c>
      <c r="D117" t="s">
        <v>281</v>
      </c>
      <c r="E117" t="s">
        <v>41</v>
      </c>
      <c r="F117" t="s">
        <v>31</v>
      </c>
      <c r="G117">
        <v>295</v>
      </c>
      <c r="H117">
        <v>0.15</v>
      </c>
      <c r="I117">
        <v>250.75</v>
      </c>
      <c r="J117">
        <v>1</v>
      </c>
      <c r="K117">
        <v>209.90707243613801</v>
      </c>
      <c r="L117">
        <v>250.75</v>
      </c>
      <c r="M117">
        <v>209.90707243613801</v>
      </c>
      <c r="N117">
        <v>40.842927563861501</v>
      </c>
      <c r="O117" t="s">
        <v>32</v>
      </c>
      <c r="P117">
        <f t="shared" si="2"/>
        <v>295</v>
      </c>
      <c r="Q117">
        <f t="shared" si="3"/>
        <v>-40.842927563861991</v>
      </c>
    </row>
    <row r="118" spans="1:17" x14ac:dyDescent="0.4">
      <c r="A118" t="s">
        <v>282</v>
      </c>
      <c r="B118" s="1">
        <v>45760.833333333336</v>
      </c>
      <c r="C118" t="s">
        <v>28</v>
      </c>
      <c r="D118" t="s">
        <v>283</v>
      </c>
      <c r="E118" t="s">
        <v>18</v>
      </c>
      <c r="F118" t="s">
        <v>19</v>
      </c>
      <c r="G118">
        <v>84</v>
      </c>
      <c r="H118">
        <v>0.1</v>
      </c>
      <c r="I118">
        <v>75.599999999999994</v>
      </c>
      <c r="J118">
        <v>1</v>
      </c>
      <c r="K118">
        <v>46.761598707066298</v>
      </c>
      <c r="L118">
        <v>75.599999999999994</v>
      </c>
      <c r="M118">
        <v>46.761598707066298</v>
      </c>
      <c r="N118">
        <v>28.8384012929337</v>
      </c>
      <c r="O118" t="s">
        <v>105</v>
      </c>
      <c r="P118">
        <f t="shared" si="2"/>
        <v>84</v>
      </c>
      <c r="Q118">
        <f t="shared" si="3"/>
        <v>-28.838401292933696</v>
      </c>
    </row>
    <row r="119" spans="1:17" x14ac:dyDescent="0.4">
      <c r="A119" t="s">
        <v>284</v>
      </c>
      <c r="B119" s="1">
        <v>45404.208333333336</v>
      </c>
      <c r="C119" t="s">
        <v>28</v>
      </c>
      <c r="D119" t="s">
        <v>176</v>
      </c>
      <c r="E119" t="s">
        <v>69</v>
      </c>
      <c r="F119" t="s">
        <v>70</v>
      </c>
      <c r="G119">
        <v>303</v>
      </c>
      <c r="H119">
        <v>0.1</v>
      </c>
      <c r="I119">
        <v>272.7</v>
      </c>
      <c r="J119">
        <v>5</v>
      </c>
      <c r="K119">
        <v>223.25299702685399</v>
      </c>
      <c r="L119">
        <v>1363.5</v>
      </c>
      <c r="M119">
        <v>1116.2649851342701</v>
      </c>
      <c r="N119">
        <v>247.23501486572701</v>
      </c>
      <c r="O119" t="s">
        <v>51</v>
      </c>
      <c r="P119">
        <f t="shared" si="2"/>
        <v>1515</v>
      </c>
      <c r="Q119">
        <f t="shared" si="3"/>
        <v>-247.23501486572991</v>
      </c>
    </row>
    <row r="120" spans="1:17" x14ac:dyDescent="0.4">
      <c r="A120" t="s">
        <v>285</v>
      </c>
      <c r="B120" s="1">
        <v>45872.458333333336</v>
      </c>
      <c r="C120" t="s">
        <v>28</v>
      </c>
      <c r="D120" t="s">
        <v>286</v>
      </c>
      <c r="E120" t="s">
        <v>85</v>
      </c>
      <c r="F120" t="s">
        <v>70</v>
      </c>
      <c r="G120">
        <v>281</v>
      </c>
      <c r="H120">
        <v>0</v>
      </c>
      <c r="I120">
        <v>281</v>
      </c>
      <c r="J120">
        <v>7</v>
      </c>
      <c r="K120">
        <v>116.717559358939</v>
      </c>
      <c r="L120">
        <v>1967</v>
      </c>
      <c r="M120">
        <v>817.02291551257599</v>
      </c>
      <c r="N120">
        <v>1149.9770844874199</v>
      </c>
      <c r="O120" t="s">
        <v>32</v>
      </c>
      <c r="P120">
        <f t="shared" si="2"/>
        <v>1967</v>
      </c>
      <c r="Q120">
        <f t="shared" si="3"/>
        <v>-1149.977084487424</v>
      </c>
    </row>
    <row r="121" spans="1:17" x14ac:dyDescent="0.4">
      <c r="A121" t="s">
        <v>287</v>
      </c>
      <c r="B121" s="1">
        <v>45443.125</v>
      </c>
      <c r="C121" t="s">
        <v>16</v>
      </c>
      <c r="D121" t="s">
        <v>288</v>
      </c>
      <c r="E121" t="s">
        <v>48</v>
      </c>
      <c r="F121" t="s">
        <v>19</v>
      </c>
      <c r="G121">
        <v>319</v>
      </c>
      <c r="H121">
        <v>0</v>
      </c>
      <c r="I121">
        <v>319</v>
      </c>
      <c r="J121">
        <v>2</v>
      </c>
      <c r="K121">
        <v>222.92508650832599</v>
      </c>
      <c r="L121">
        <v>638</v>
      </c>
      <c r="M121">
        <v>445.85017301665198</v>
      </c>
      <c r="N121">
        <v>192.149826983347</v>
      </c>
      <c r="O121" t="s">
        <v>105</v>
      </c>
      <c r="P121">
        <f t="shared" si="2"/>
        <v>638</v>
      </c>
      <c r="Q121">
        <f t="shared" si="3"/>
        <v>-192.14982698334802</v>
      </c>
    </row>
    <row r="122" spans="1:17" x14ac:dyDescent="0.4">
      <c r="A122" t="s">
        <v>289</v>
      </c>
      <c r="B122" s="1">
        <v>45965.208333333336</v>
      </c>
      <c r="C122" t="s">
        <v>65</v>
      </c>
      <c r="D122" t="s">
        <v>290</v>
      </c>
      <c r="E122" t="s">
        <v>213</v>
      </c>
      <c r="F122" t="s">
        <v>31</v>
      </c>
      <c r="G122">
        <v>331</v>
      </c>
      <c r="H122">
        <v>0</v>
      </c>
      <c r="I122">
        <v>331</v>
      </c>
      <c r="J122">
        <v>3</v>
      </c>
      <c r="K122">
        <v>246.06550132808201</v>
      </c>
      <c r="L122">
        <v>993</v>
      </c>
      <c r="M122">
        <v>738.19650398424699</v>
      </c>
      <c r="N122">
        <v>254.80349601575199</v>
      </c>
      <c r="O122" t="s">
        <v>32</v>
      </c>
      <c r="P122">
        <f t="shared" si="2"/>
        <v>993</v>
      </c>
      <c r="Q122">
        <f t="shared" si="3"/>
        <v>-254.80349601575301</v>
      </c>
    </row>
    <row r="123" spans="1:17" x14ac:dyDescent="0.4">
      <c r="A123" t="s">
        <v>291</v>
      </c>
      <c r="B123" s="1">
        <v>45715.875</v>
      </c>
      <c r="C123" t="s">
        <v>46</v>
      </c>
      <c r="D123" t="s">
        <v>292</v>
      </c>
      <c r="E123" t="s">
        <v>37</v>
      </c>
      <c r="F123" t="s">
        <v>38</v>
      </c>
      <c r="G123">
        <v>98</v>
      </c>
      <c r="H123">
        <v>0</v>
      </c>
      <c r="I123">
        <v>98</v>
      </c>
      <c r="J123">
        <v>6</v>
      </c>
      <c r="K123">
        <v>60.546373976371498</v>
      </c>
      <c r="L123">
        <v>588</v>
      </c>
      <c r="M123">
        <v>363.27824385822902</v>
      </c>
      <c r="N123">
        <v>224.72175614176999</v>
      </c>
      <c r="O123" t="s">
        <v>32</v>
      </c>
      <c r="P123">
        <f t="shared" si="2"/>
        <v>588</v>
      </c>
      <c r="Q123">
        <f t="shared" si="3"/>
        <v>-224.72175614177098</v>
      </c>
    </row>
    <row r="124" spans="1:17" x14ac:dyDescent="0.4">
      <c r="A124" t="s">
        <v>293</v>
      </c>
      <c r="B124" s="1">
        <v>45718.25</v>
      </c>
      <c r="C124" t="s">
        <v>22</v>
      </c>
      <c r="D124" t="s">
        <v>294</v>
      </c>
      <c r="E124" t="s">
        <v>73</v>
      </c>
      <c r="F124" t="s">
        <v>38</v>
      </c>
      <c r="G124">
        <v>138</v>
      </c>
      <c r="H124">
        <v>0.05</v>
      </c>
      <c r="I124">
        <v>131.1</v>
      </c>
      <c r="J124">
        <v>1</v>
      </c>
      <c r="K124">
        <v>101.57454969278299</v>
      </c>
      <c r="L124">
        <v>131.1</v>
      </c>
      <c r="M124">
        <v>101.57454969278299</v>
      </c>
      <c r="N124">
        <v>29.525450307216801</v>
      </c>
      <c r="O124" t="s">
        <v>105</v>
      </c>
      <c r="P124">
        <f t="shared" si="2"/>
        <v>138</v>
      </c>
      <c r="Q124">
        <f t="shared" si="3"/>
        <v>-29.525450307217</v>
      </c>
    </row>
    <row r="125" spans="1:17" x14ac:dyDescent="0.4">
      <c r="A125" t="s">
        <v>295</v>
      </c>
      <c r="B125" s="1">
        <v>45946.458333333336</v>
      </c>
      <c r="C125" t="s">
        <v>65</v>
      </c>
      <c r="D125" t="s">
        <v>296</v>
      </c>
      <c r="E125" t="s">
        <v>48</v>
      </c>
      <c r="F125" t="s">
        <v>19</v>
      </c>
      <c r="G125">
        <v>87</v>
      </c>
      <c r="H125">
        <v>0.2</v>
      </c>
      <c r="I125">
        <v>69.599999999999994</v>
      </c>
      <c r="J125">
        <v>4</v>
      </c>
      <c r="K125">
        <v>42.331512616691001</v>
      </c>
      <c r="L125">
        <v>278.39999999999998</v>
      </c>
      <c r="M125">
        <v>169.326050466764</v>
      </c>
      <c r="N125">
        <v>109.07394953323499</v>
      </c>
      <c r="O125" t="s">
        <v>26</v>
      </c>
      <c r="P125">
        <f t="shared" si="2"/>
        <v>348</v>
      </c>
      <c r="Q125">
        <f t="shared" si="3"/>
        <v>-109.07394953323598</v>
      </c>
    </row>
    <row r="126" spans="1:17" x14ac:dyDescent="0.4">
      <c r="A126" t="s">
        <v>297</v>
      </c>
      <c r="B126" s="1">
        <v>45770.916666666664</v>
      </c>
      <c r="C126" t="s">
        <v>16</v>
      </c>
      <c r="D126" t="s">
        <v>298</v>
      </c>
      <c r="E126" t="s">
        <v>41</v>
      </c>
      <c r="F126" t="s">
        <v>31</v>
      </c>
      <c r="G126">
        <v>172</v>
      </c>
      <c r="H126">
        <v>0.1</v>
      </c>
      <c r="I126">
        <v>154.80000000000001</v>
      </c>
      <c r="J126">
        <v>1</v>
      </c>
      <c r="K126">
        <v>119.09155141669601</v>
      </c>
      <c r="L126">
        <v>154.80000000000001</v>
      </c>
      <c r="M126">
        <v>119.09155141669601</v>
      </c>
      <c r="N126">
        <v>35.708448583303998</v>
      </c>
      <c r="O126" t="s">
        <v>32</v>
      </c>
      <c r="P126">
        <f t="shared" si="2"/>
        <v>172</v>
      </c>
      <c r="Q126">
        <f t="shared" si="3"/>
        <v>-35.708448583304005</v>
      </c>
    </row>
    <row r="127" spans="1:17" x14ac:dyDescent="0.4">
      <c r="A127" t="s">
        <v>299</v>
      </c>
      <c r="B127" s="1">
        <v>45346.416666666664</v>
      </c>
      <c r="C127" t="s">
        <v>43</v>
      </c>
      <c r="D127" t="s">
        <v>300</v>
      </c>
      <c r="E127" t="s">
        <v>60</v>
      </c>
      <c r="F127" t="s">
        <v>61</v>
      </c>
      <c r="G127">
        <v>331</v>
      </c>
      <c r="H127">
        <v>0</v>
      </c>
      <c r="I127">
        <v>331</v>
      </c>
      <c r="J127">
        <v>7</v>
      </c>
      <c r="K127">
        <v>216.83859808697301</v>
      </c>
      <c r="L127">
        <v>2317</v>
      </c>
      <c r="M127">
        <v>1517.8701866088099</v>
      </c>
      <c r="N127">
        <v>799.12981339118596</v>
      </c>
      <c r="O127" t="s">
        <v>32</v>
      </c>
      <c r="P127">
        <f t="shared" si="2"/>
        <v>2317</v>
      </c>
      <c r="Q127">
        <f t="shared" si="3"/>
        <v>-799.12981339119005</v>
      </c>
    </row>
    <row r="128" spans="1:17" x14ac:dyDescent="0.4">
      <c r="A128" t="s">
        <v>301</v>
      </c>
      <c r="B128" s="1">
        <v>45574.333333333336</v>
      </c>
      <c r="C128" t="s">
        <v>43</v>
      </c>
      <c r="D128" t="s">
        <v>302</v>
      </c>
      <c r="E128" t="s">
        <v>73</v>
      </c>
      <c r="F128" t="s">
        <v>38</v>
      </c>
      <c r="G128">
        <v>220</v>
      </c>
      <c r="H128">
        <v>0</v>
      </c>
      <c r="I128">
        <v>220</v>
      </c>
      <c r="J128">
        <v>4</v>
      </c>
      <c r="K128">
        <v>110.244140296005</v>
      </c>
      <c r="L128">
        <v>880</v>
      </c>
      <c r="M128">
        <v>440.97656118402301</v>
      </c>
      <c r="N128">
        <v>439.02343881597699</v>
      </c>
      <c r="O128" t="s">
        <v>105</v>
      </c>
      <c r="P128">
        <f t="shared" si="2"/>
        <v>880</v>
      </c>
      <c r="Q128">
        <f t="shared" si="3"/>
        <v>-439.02343881597699</v>
      </c>
    </row>
    <row r="129" spans="1:17" x14ac:dyDescent="0.4">
      <c r="A129" t="s">
        <v>303</v>
      </c>
      <c r="B129" s="1">
        <v>45686.75</v>
      </c>
      <c r="C129" t="s">
        <v>43</v>
      </c>
      <c r="D129" t="s">
        <v>304</v>
      </c>
      <c r="E129" t="s">
        <v>73</v>
      </c>
      <c r="F129" t="s">
        <v>38</v>
      </c>
      <c r="G129">
        <v>320</v>
      </c>
      <c r="H129">
        <v>0.15</v>
      </c>
      <c r="I129">
        <v>272</v>
      </c>
      <c r="J129">
        <v>4</v>
      </c>
      <c r="K129">
        <v>212.477677014866</v>
      </c>
      <c r="L129">
        <v>1088</v>
      </c>
      <c r="M129">
        <v>849.91070805946595</v>
      </c>
      <c r="N129">
        <v>238.089291940533</v>
      </c>
      <c r="O129" t="s">
        <v>105</v>
      </c>
      <c r="P129">
        <f t="shared" si="2"/>
        <v>1280</v>
      </c>
      <c r="Q129">
        <f t="shared" si="3"/>
        <v>-238.08929194053405</v>
      </c>
    </row>
    <row r="130" spans="1:17" x14ac:dyDescent="0.4">
      <c r="A130" t="s">
        <v>305</v>
      </c>
      <c r="B130" s="1">
        <v>45605.583333333336</v>
      </c>
      <c r="C130" t="s">
        <v>46</v>
      </c>
      <c r="D130" t="s">
        <v>306</v>
      </c>
      <c r="E130" t="s">
        <v>18</v>
      </c>
      <c r="F130" t="s">
        <v>19</v>
      </c>
      <c r="G130">
        <v>252</v>
      </c>
      <c r="H130">
        <v>0.05</v>
      </c>
      <c r="I130">
        <v>239.39999999999901</v>
      </c>
      <c r="J130">
        <v>4</v>
      </c>
      <c r="K130">
        <v>151.41279861201801</v>
      </c>
      <c r="L130">
        <v>957.599999999999</v>
      </c>
      <c r="M130">
        <v>605.65119444807203</v>
      </c>
      <c r="N130">
        <v>351.94880555192702</v>
      </c>
      <c r="O130" t="s">
        <v>51</v>
      </c>
      <c r="P130">
        <f t="shared" si="2"/>
        <v>1008</v>
      </c>
      <c r="Q130">
        <f t="shared" si="3"/>
        <v>-351.94880555192697</v>
      </c>
    </row>
    <row r="131" spans="1:17" x14ac:dyDescent="0.4">
      <c r="A131" t="s">
        <v>307</v>
      </c>
      <c r="B131" s="1">
        <v>45522.416666666664</v>
      </c>
      <c r="C131" t="s">
        <v>43</v>
      </c>
      <c r="D131" t="s">
        <v>308</v>
      </c>
      <c r="E131" t="s">
        <v>18</v>
      </c>
      <c r="F131" t="s">
        <v>19</v>
      </c>
      <c r="G131">
        <v>233</v>
      </c>
      <c r="H131">
        <v>0</v>
      </c>
      <c r="I131">
        <v>233</v>
      </c>
      <c r="J131">
        <v>4</v>
      </c>
      <c r="K131">
        <v>95.444189548200796</v>
      </c>
      <c r="L131">
        <v>932</v>
      </c>
      <c r="M131">
        <v>381.77675819280302</v>
      </c>
      <c r="N131">
        <v>550.22324180719602</v>
      </c>
      <c r="O131" t="s">
        <v>20</v>
      </c>
      <c r="P131">
        <f t="shared" ref="P131:P194" si="4">G131 * J131</f>
        <v>932</v>
      </c>
      <c r="Q131">
        <f t="shared" ref="Q131:Q194" si="5" xml:space="preserve"> M131 - L131</f>
        <v>-550.22324180719693</v>
      </c>
    </row>
    <row r="132" spans="1:17" x14ac:dyDescent="0.4">
      <c r="A132" t="s">
        <v>309</v>
      </c>
      <c r="B132" s="1">
        <v>45448.166666666664</v>
      </c>
      <c r="C132" t="s">
        <v>65</v>
      </c>
      <c r="D132" t="s">
        <v>310</v>
      </c>
      <c r="E132" t="s">
        <v>60</v>
      </c>
      <c r="F132" t="s">
        <v>61</v>
      </c>
      <c r="G132">
        <v>272</v>
      </c>
      <c r="H132">
        <v>0</v>
      </c>
      <c r="I132">
        <v>272</v>
      </c>
      <c r="J132">
        <v>2</v>
      </c>
      <c r="K132">
        <v>173.49315306314799</v>
      </c>
      <c r="L132">
        <v>544</v>
      </c>
      <c r="M132">
        <v>346.98630612629597</v>
      </c>
      <c r="N132">
        <v>197.01369387370301</v>
      </c>
      <c r="O132" t="s">
        <v>32</v>
      </c>
      <c r="P132">
        <f t="shared" si="4"/>
        <v>544</v>
      </c>
      <c r="Q132">
        <f t="shared" si="5"/>
        <v>-197.01369387370403</v>
      </c>
    </row>
    <row r="133" spans="1:17" x14ac:dyDescent="0.4">
      <c r="A133" t="s">
        <v>311</v>
      </c>
      <c r="B133" s="1">
        <v>45856.375</v>
      </c>
      <c r="C133" t="s">
        <v>22</v>
      </c>
      <c r="D133" t="s">
        <v>312</v>
      </c>
      <c r="E133" t="s">
        <v>69</v>
      </c>
      <c r="F133" t="s">
        <v>70</v>
      </c>
      <c r="G133">
        <v>228</v>
      </c>
      <c r="H133">
        <v>0.1</v>
      </c>
      <c r="I133">
        <v>205.2</v>
      </c>
      <c r="J133">
        <v>2</v>
      </c>
      <c r="K133">
        <v>158.204840525561</v>
      </c>
      <c r="L133">
        <v>410.4</v>
      </c>
      <c r="M133">
        <v>316.40968105112199</v>
      </c>
      <c r="N133">
        <v>93.990318948877004</v>
      </c>
      <c r="O133" t="s">
        <v>32</v>
      </c>
      <c r="P133">
        <f t="shared" si="4"/>
        <v>456</v>
      </c>
      <c r="Q133">
        <f t="shared" si="5"/>
        <v>-93.990318948877984</v>
      </c>
    </row>
    <row r="134" spans="1:17" x14ac:dyDescent="0.4">
      <c r="A134" t="s">
        <v>313</v>
      </c>
      <c r="B134" s="1">
        <v>45319.625</v>
      </c>
      <c r="C134" t="s">
        <v>46</v>
      </c>
      <c r="D134" t="s">
        <v>314</v>
      </c>
      <c r="E134" t="s">
        <v>110</v>
      </c>
      <c r="F134" t="s">
        <v>19</v>
      </c>
      <c r="G134">
        <v>233</v>
      </c>
      <c r="H134">
        <v>0.25</v>
      </c>
      <c r="I134">
        <v>174.75</v>
      </c>
      <c r="J134">
        <v>5</v>
      </c>
      <c r="K134">
        <v>155.43148705168599</v>
      </c>
      <c r="L134">
        <v>873.75</v>
      </c>
      <c r="M134">
        <v>777.157435258433</v>
      </c>
      <c r="N134">
        <v>96.592564741566505</v>
      </c>
      <c r="O134" t="s">
        <v>32</v>
      </c>
      <c r="P134">
        <f t="shared" si="4"/>
        <v>1165</v>
      </c>
      <c r="Q134">
        <f t="shared" si="5"/>
        <v>-96.592564741567003</v>
      </c>
    </row>
    <row r="135" spans="1:17" x14ac:dyDescent="0.4">
      <c r="A135" t="s">
        <v>315</v>
      </c>
      <c r="B135" s="1">
        <v>45375.25</v>
      </c>
      <c r="C135" t="s">
        <v>28</v>
      </c>
      <c r="D135" t="s">
        <v>316</v>
      </c>
      <c r="E135" t="s">
        <v>30</v>
      </c>
      <c r="F135" t="s">
        <v>31</v>
      </c>
      <c r="G135">
        <v>300</v>
      </c>
      <c r="H135">
        <v>0.05</v>
      </c>
      <c r="I135">
        <v>285</v>
      </c>
      <c r="J135">
        <v>3</v>
      </c>
      <c r="K135">
        <v>182.34926048500901</v>
      </c>
      <c r="L135">
        <v>855</v>
      </c>
      <c r="M135">
        <v>547.04778145502803</v>
      </c>
      <c r="N135">
        <v>307.952218544971</v>
      </c>
      <c r="O135" t="s">
        <v>32</v>
      </c>
      <c r="P135">
        <f t="shared" si="4"/>
        <v>900</v>
      </c>
      <c r="Q135">
        <f t="shared" si="5"/>
        <v>-307.95221854497197</v>
      </c>
    </row>
    <row r="136" spans="1:17" x14ac:dyDescent="0.4">
      <c r="A136" t="s">
        <v>317</v>
      </c>
      <c r="B136" s="1">
        <v>45625.083333333336</v>
      </c>
      <c r="C136" t="s">
        <v>22</v>
      </c>
      <c r="D136" t="s">
        <v>318</v>
      </c>
      <c r="E136" t="s">
        <v>41</v>
      </c>
      <c r="F136" t="s">
        <v>31</v>
      </c>
      <c r="G136">
        <v>274</v>
      </c>
      <c r="H136">
        <v>0</v>
      </c>
      <c r="I136">
        <v>274</v>
      </c>
      <c r="J136">
        <v>3</v>
      </c>
      <c r="K136">
        <v>189.75570648661801</v>
      </c>
      <c r="L136">
        <v>822</v>
      </c>
      <c r="M136">
        <v>569.26711945985505</v>
      </c>
      <c r="N136">
        <v>252.73288054014401</v>
      </c>
      <c r="O136" t="s">
        <v>26</v>
      </c>
      <c r="P136">
        <f t="shared" si="4"/>
        <v>822</v>
      </c>
      <c r="Q136">
        <f t="shared" si="5"/>
        <v>-252.73288054014495</v>
      </c>
    </row>
    <row r="137" spans="1:17" x14ac:dyDescent="0.4">
      <c r="A137" t="s">
        <v>319</v>
      </c>
      <c r="B137" s="1">
        <v>45429.666666666664</v>
      </c>
      <c r="C137" t="s">
        <v>22</v>
      </c>
      <c r="D137" t="s">
        <v>320</v>
      </c>
      <c r="E137" t="s">
        <v>85</v>
      </c>
      <c r="F137" t="s">
        <v>70</v>
      </c>
      <c r="G137">
        <v>83</v>
      </c>
      <c r="H137">
        <v>0</v>
      </c>
      <c r="I137">
        <v>83</v>
      </c>
      <c r="J137">
        <v>1</v>
      </c>
      <c r="K137">
        <v>46.658680627574697</v>
      </c>
      <c r="L137">
        <v>83</v>
      </c>
      <c r="M137">
        <v>46.658680627574697</v>
      </c>
      <c r="N137">
        <v>36.341319372425197</v>
      </c>
      <c r="O137" t="s">
        <v>32</v>
      </c>
      <c r="P137">
        <f t="shared" si="4"/>
        <v>83</v>
      </c>
      <c r="Q137">
        <f t="shared" si="5"/>
        <v>-36.341319372425303</v>
      </c>
    </row>
    <row r="138" spans="1:17" x14ac:dyDescent="0.4">
      <c r="A138" t="s">
        <v>321</v>
      </c>
      <c r="B138" s="1">
        <v>45867.333333333336</v>
      </c>
      <c r="C138" t="s">
        <v>65</v>
      </c>
      <c r="D138" t="s">
        <v>322</v>
      </c>
      <c r="E138" t="s">
        <v>94</v>
      </c>
      <c r="F138" t="s">
        <v>61</v>
      </c>
      <c r="G138">
        <v>333</v>
      </c>
      <c r="H138">
        <v>0.1</v>
      </c>
      <c r="I138">
        <v>299.7</v>
      </c>
      <c r="J138">
        <v>1</v>
      </c>
      <c r="K138">
        <v>133.201356030737</v>
      </c>
      <c r="L138">
        <v>299.7</v>
      </c>
      <c r="M138">
        <v>133.201356030737</v>
      </c>
      <c r="N138">
        <v>166.49864396926199</v>
      </c>
      <c r="O138" t="s">
        <v>26</v>
      </c>
      <c r="P138">
        <f t="shared" si="4"/>
        <v>333</v>
      </c>
      <c r="Q138">
        <f t="shared" si="5"/>
        <v>-166.49864396926299</v>
      </c>
    </row>
    <row r="139" spans="1:17" x14ac:dyDescent="0.4">
      <c r="A139" t="s">
        <v>323</v>
      </c>
      <c r="B139" s="1">
        <v>45566.375</v>
      </c>
      <c r="C139" t="s">
        <v>22</v>
      </c>
      <c r="D139" t="s">
        <v>324</v>
      </c>
      <c r="E139" t="s">
        <v>97</v>
      </c>
      <c r="F139" t="s">
        <v>61</v>
      </c>
      <c r="G139">
        <v>217</v>
      </c>
      <c r="H139">
        <v>0</v>
      </c>
      <c r="I139">
        <v>217</v>
      </c>
      <c r="J139">
        <v>7</v>
      </c>
      <c r="K139">
        <v>109.903892756375</v>
      </c>
      <c r="L139">
        <v>1519</v>
      </c>
      <c r="M139">
        <v>769.32724929462802</v>
      </c>
      <c r="N139">
        <v>749.67275070537096</v>
      </c>
      <c r="O139" t="s">
        <v>32</v>
      </c>
      <c r="P139">
        <f t="shared" si="4"/>
        <v>1519</v>
      </c>
      <c r="Q139">
        <f t="shared" si="5"/>
        <v>-749.67275070537198</v>
      </c>
    </row>
    <row r="140" spans="1:17" x14ac:dyDescent="0.4">
      <c r="A140" t="s">
        <v>325</v>
      </c>
      <c r="B140" s="1">
        <v>45777.375</v>
      </c>
      <c r="C140" t="s">
        <v>22</v>
      </c>
      <c r="D140" t="s">
        <v>326</v>
      </c>
      <c r="E140" t="s">
        <v>37</v>
      </c>
      <c r="F140" t="s">
        <v>38</v>
      </c>
      <c r="G140">
        <v>117</v>
      </c>
      <c r="H140">
        <v>0.15</v>
      </c>
      <c r="I140">
        <v>99.45</v>
      </c>
      <c r="J140">
        <v>4</v>
      </c>
      <c r="K140">
        <v>77.1806545889593</v>
      </c>
      <c r="L140">
        <v>397.8</v>
      </c>
      <c r="M140">
        <v>308.72261835583703</v>
      </c>
      <c r="N140">
        <v>89.077381644162401</v>
      </c>
      <c r="O140" t="s">
        <v>26</v>
      </c>
      <c r="P140">
        <f t="shared" si="4"/>
        <v>468</v>
      </c>
      <c r="Q140">
        <f t="shared" si="5"/>
        <v>-89.077381644162983</v>
      </c>
    </row>
    <row r="141" spans="1:17" x14ac:dyDescent="0.4">
      <c r="A141" t="s">
        <v>327</v>
      </c>
      <c r="B141" s="1">
        <v>45360.166666666664</v>
      </c>
      <c r="C141" t="s">
        <v>43</v>
      </c>
      <c r="D141" t="s">
        <v>328</v>
      </c>
      <c r="E141" t="s">
        <v>97</v>
      </c>
      <c r="F141" t="s">
        <v>61</v>
      </c>
      <c r="G141">
        <v>191</v>
      </c>
      <c r="H141">
        <v>0.2</v>
      </c>
      <c r="I141">
        <v>152.80000000000001</v>
      </c>
      <c r="J141">
        <v>6</v>
      </c>
      <c r="K141">
        <v>84.780080406720899</v>
      </c>
      <c r="L141">
        <v>916.8</v>
      </c>
      <c r="M141">
        <v>508.68048244032502</v>
      </c>
      <c r="N141">
        <v>408.11951755967402</v>
      </c>
      <c r="O141" t="s">
        <v>51</v>
      </c>
      <c r="P141">
        <f t="shared" si="4"/>
        <v>1146</v>
      </c>
      <c r="Q141">
        <f t="shared" si="5"/>
        <v>-408.11951755967493</v>
      </c>
    </row>
    <row r="142" spans="1:17" x14ac:dyDescent="0.4">
      <c r="A142" t="s">
        <v>329</v>
      </c>
      <c r="B142" s="1">
        <v>46003.75</v>
      </c>
      <c r="C142" t="s">
        <v>46</v>
      </c>
      <c r="D142" t="s">
        <v>330</v>
      </c>
      <c r="E142" t="s">
        <v>18</v>
      </c>
      <c r="F142" t="s">
        <v>19</v>
      </c>
      <c r="G142">
        <v>292</v>
      </c>
      <c r="H142">
        <v>0.1</v>
      </c>
      <c r="I142">
        <v>262.8</v>
      </c>
      <c r="J142">
        <v>1</v>
      </c>
      <c r="K142">
        <v>155.70648541464001</v>
      </c>
      <c r="L142">
        <v>262.8</v>
      </c>
      <c r="M142">
        <v>155.70648541464001</v>
      </c>
      <c r="N142">
        <v>107.093514585359</v>
      </c>
      <c r="O142" t="s">
        <v>32</v>
      </c>
      <c r="P142">
        <f t="shared" si="4"/>
        <v>292</v>
      </c>
      <c r="Q142">
        <f t="shared" si="5"/>
        <v>-107.09351458536</v>
      </c>
    </row>
    <row r="143" spans="1:17" x14ac:dyDescent="0.4">
      <c r="A143" t="s">
        <v>331</v>
      </c>
      <c r="B143" s="1">
        <v>45489.375</v>
      </c>
      <c r="C143" t="s">
        <v>28</v>
      </c>
      <c r="D143" t="s">
        <v>332</v>
      </c>
      <c r="E143" t="s">
        <v>69</v>
      </c>
      <c r="F143" t="s">
        <v>70</v>
      </c>
      <c r="G143">
        <v>333</v>
      </c>
      <c r="H143">
        <v>0.1</v>
      </c>
      <c r="I143">
        <v>299.7</v>
      </c>
      <c r="J143">
        <v>3</v>
      </c>
      <c r="K143">
        <v>206.44398822668401</v>
      </c>
      <c r="L143">
        <v>899.099999999999</v>
      </c>
      <c r="M143">
        <v>619.33196468005303</v>
      </c>
      <c r="N143">
        <v>279.76803531994602</v>
      </c>
      <c r="O143" t="s">
        <v>32</v>
      </c>
      <c r="P143">
        <f t="shared" si="4"/>
        <v>999</v>
      </c>
      <c r="Q143">
        <f t="shared" si="5"/>
        <v>-279.76803531994597</v>
      </c>
    </row>
    <row r="144" spans="1:17" x14ac:dyDescent="0.4">
      <c r="A144" t="s">
        <v>333</v>
      </c>
      <c r="B144" s="1">
        <v>45898.458333333336</v>
      </c>
      <c r="C144" t="s">
        <v>65</v>
      </c>
      <c r="D144" t="s">
        <v>334</v>
      </c>
      <c r="E144" t="s">
        <v>213</v>
      </c>
      <c r="F144" t="s">
        <v>31</v>
      </c>
      <c r="G144">
        <v>232</v>
      </c>
      <c r="H144">
        <v>0</v>
      </c>
      <c r="I144">
        <v>232</v>
      </c>
      <c r="J144">
        <v>5</v>
      </c>
      <c r="K144">
        <v>101.12429628219699</v>
      </c>
      <c r="L144">
        <v>1160</v>
      </c>
      <c r="M144">
        <v>505.621481410988</v>
      </c>
      <c r="N144">
        <v>654.37851858901104</v>
      </c>
      <c r="O144" t="s">
        <v>26</v>
      </c>
      <c r="P144">
        <f t="shared" si="4"/>
        <v>1160</v>
      </c>
      <c r="Q144">
        <f t="shared" si="5"/>
        <v>-654.37851858901195</v>
      </c>
    </row>
    <row r="145" spans="1:17" x14ac:dyDescent="0.4">
      <c r="A145" t="s">
        <v>335</v>
      </c>
      <c r="B145" s="1">
        <v>45870.208333333336</v>
      </c>
      <c r="C145" t="s">
        <v>43</v>
      </c>
      <c r="D145" t="s">
        <v>336</v>
      </c>
      <c r="E145" t="s">
        <v>30</v>
      </c>
      <c r="F145" t="s">
        <v>31</v>
      </c>
      <c r="G145">
        <v>167</v>
      </c>
      <c r="H145">
        <v>0</v>
      </c>
      <c r="I145">
        <v>167</v>
      </c>
      <c r="J145">
        <v>7</v>
      </c>
      <c r="K145">
        <v>108.55239185871</v>
      </c>
      <c r="L145">
        <v>1169</v>
      </c>
      <c r="M145">
        <v>759.86674301097401</v>
      </c>
      <c r="N145">
        <v>409.13325698902503</v>
      </c>
      <c r="O145" t="s">
        <v>51</v>
      </c>
      <c r="P145">
        <f t="shared" si="4"/>
        <v>1169</v>
      </c>
      <c r="Q145">
        <f t="shared" si="5"/>
        <v>-409.13325698902599</v>
      </c>
    </row>
    <row r="146" spans="1:17" x14ac:dyDescent="0.4">
      <c r="A146" t="s">
        <v>337</v>
      </c>
      <c r="B146" s="1">
        <v>45327.583333333336</v>
      </c>
      <c r="C146" t="s">
        <v>43</v>
      </c>
      <c r="D146" t="s">
        <v>338</v>
      </c>
      <c r="E146" t="s">
        <v>18</v>
      </c>
      <c r="F146" t="s">
        <v>19</v>
      </c>
      <c r="G146">
        <v>246</v>
      </c>
      <c r="H146">
        <v>0.25</v>
      </c>
      <c r="I146">
        <v>184.5</v>
      </c>
      <c r="J146">
        <v>1</v>
      </c>
      <c r="K146">
        <v>121.997563842362</v>
      </c>
      <c r="L146">
        <v>184.5</v>
      </c>
      <c r="M146">
        <v>121.997563842362</v>
      </c>
      <c r="N146">
        <v>62.502436157637298</v>
      </c>
      <c r="O146" t="s">
        <v>32</v>
      </c>
      <c r="P146">
        <f t="shared" si="4"/>
        <v>246</v>
      </c>
      <c r="Q146">
        <f t="shared" si="5"/>
        <v>-62.502436157638002</v>
      </c>
    </row>
    <row r="147" spans="1:17" x14ac:dyDescent="0.4">
      <c r="A147" t="s">
        <v>339</v>
      </c>
      <c r="B147" s="1">
        <v>45535.958333333336</v>
      </c>
      <c r="C147" t="s">
        <v>22</v>
      </c>
      <c r="D147" t="s">
        <v>340</v>
      </c>
      <c r="E147" t="s">
        <v>104</v>
      </c>
      <c r="F147" t="s">
        <v>25</v>
      </c>
      <c r="G147">
        <v>324</v>
      </c>
      <c r="H147">
        <v>0.25</v>
      </c>
      <c r="I147">
        <v>243</v>
      </c>
      <c r="J147">
        <v>7</v>
      </c>
      <c r="K147">
        <v>216.31915064341001</v>
      </c>
      <c r="L147">
        <v>1701</v>
      </c>
      <c r="M147">
        <v>1514.2340545038701</v>
      </c>
      <c r="N147">
        <v>186.76594549612901</v>
      </c>
      <c r="O147" t="s">
        <v>26</v>
      </c>
      <c r="P147">
        <f t="shared" si="4"/>
        <v>2268</v>
      </c>
      <c r="Q147">
        <f t="shared" si="5"/>
        <v>-186.76594549612992</v>
      </c>
    </row>
    <row r="148" spans="1:17" x14ac:dyDescent="0.4">
      <c r="A148" t="s">
        <v>341</v>
      </c>
      <c r="B148" s="1">
        <v>45600</v>
      </c>
      <c r="C148" t="s">
        <v>43</v>
      </c>
      <c r="D148" t="s">
        <v>342</v>
      </c>
      <c r="E148" t="s">
        <v>110</v>
      </c>
      <c r="F148" t="s">
        <v>19</v>
      </c>
      <c r="G148">
        <v>179</v>
      </c>
      <c r="H148">
        <v>0.2</v>
      </c>
      <c r="I148">
        <v>143.19999999999999</v>
      </c>
      <c r="J148">
        <v>4</v>
      </c>
      <c r="K148">
        <v>95.679843163537001</v>
      </c>
      <c r="L148">
        <v>572.79999999999995</v>
      </c>
      <c r="M148">
        <v>382.719372654148</v>
      </c>
      <c r="N148">
        <v>190.08062734585101</v>
      </c>
      <c r="O148" t="s">
        <v>51</v>
      </c>
      <c r="P148">
        <f t="shared" si="4"/>
        <v>716</v>
      </c>
      <c r="Q148">
        <f t="shared" si="5"/>
        <v>-190.08062734585195</v>
      </c>
    </row>
    <row r="149" spans="1:17" x14ac:dyDescent="0.4">
      <c r="A149" t="s">
        <v>343</v>
      </c>
      <c r="B149" s="1">
        <v>45873.208333333336</v>
      </c>
      <c r="C149" t="s">
        <v>43</v>
      </c>
      <c r="D149" t="s">
        <v>344</v>
      </c>
      <c r="E149" t="s">
        <v>85</v>
      </c>
      <c r="F149" t="s">
        <v>70</v>
      </c>
      <c r="G149">
        <v>349</v>
      </c>
      <c r="H149">
        <v>0.2</v>
      </c>
      <c r="I149">
        <v>279.2</v>
      </c>
      <c r="J149">
        <v>7</v>
      </c>
      <c r="K149">
        <v>168.30200142025501</v>
      </c>
      <c r="L149">
        <v>1954.3999999999901</v>
      </c>
      <c r="M149">
        <v>1178.1140099417801</v>
      </c>
      <c r="N149">
        <v>776.28599005821002</v>
      </c>
      <c r="O149" t="s">
        <v>20</v>
      </c>
      <c r="P149">
        <f t="shared" si="4"/>
        <v>2443</v>
      </c>
      <c r="Q149">
        <f t="shared" si="5"/>
        <v>-776.28599005821002</v>
      </c>
    </row>
    <row r="150" spans="1:17" x14ac:dyDescent="0.4">
      <c r="A150" t="s">
        <v>345</v>
      </c>
      <c r="B150" s="1">
        <v>45533.291666666664</v>
      </c>
      <c r="C150" t="s">
        <v>28</v>
      </c>
      <c r="D150" t="s">
        <v>346</v>
      </c>
      <c r="E150" t="s">
        <v>48</v>
      </c>
      <c r="F150" t="s">
        <v>19</v>
      </c>
      <c r="G150">
        <v>247</v>
      </c>
      <c r="H150">
        <v>0</v>
      </c>
      <c r="I150">
        <v>247</v>
      </c>
      <c r="J150">
        <v>1</v>
      </c>
      <c r="K150">
        <v>125.498735955434</v>
      </c>
      <c r="L150">
        <v>247</v>
      </c>
      <c r="M150">
        <v>125.498735955434</v>
      </c>
      <c r="N150">
        <v>121.501264044565</v>
      </c>
      <c r="O150" t="s">
        <v>105</v>
      </c>
      <c r="P150">
        <f t="shared" si="4"/>
        <v>247</v>
      </c>
      <c r="Q150">
        <f t="shared" si="5"/>
        <v>-121.501264044566</v>
      </c>
    </row>
    <row r="151" spans="1:17" x14ac:dyDescent="0.4">
      <c r="A151" t="s">
        <v>347</v>
      </c>
      <c r="B151" s="1">
        <v>45497.458333333336</v>
      </c>
      <c r="C151" t="s">
        <v>16</v>
      </c>
      <c r="D151" t="s">
        <v>348</v>
      </c>
      <c r="E151" t="s">
        <v>115</v>
      </c>
      <c r="F151" t="s">
        <v>38</v>
      </c>
      <c r="G151">
        <v>283</v>
      </c>
      <c r="H151">
        <v>0</v>
      </c>
      <c r="I151">
        <v>283</v>
      </c>
      <c r="J151">
        <v>3</v>
      </c>
      <c r="K151">
        <v>198.90754491992701</v>
      </c>
      <c r="L151">
        <v>849</v>
      </c>
      <c r="M151">
        <v>596.72263475978298</v>
      </c>
      <c r="N151">
        <v>252.277365240216</v>
      </c>
      <c r="O151" t="s">
        <v>32</v>
      </c>
      <c r="P151">
        <f t="shared" si="4"/>
        <v>849</v>
      </c>
      <c r="Q151">
        <f t="shared" si="5"/>
        <v>-252.27736524021702</v>
      </c>
    </row>
    <row r="152" spans="1:17" x14ac:dyDescent="0.4">
      <c r="A152" t="s">
        <v>349</v>
      </c>
      <c r="B152" s="1">
        <v>45300.416666666664</v>
      </c>
      <c r="C152" t="s">
        <v>28</v>
      </c>
      <c r="D152" t="s">
        <v>350</v>
      </c>
      <c r="E152" t="s">
        <v>18</v>
      </c>
      <c r="F152" t="s">
        <v>19</v>
      </c>
      <c r="G152">
        <v>101</v>
      </c>
      <c r="H152">
        <v>0.15</v>
      </c>
      <c r="I152">
        <v>85.85</v>
      </c>
      <c r="J152">
        <v>5</v>
      </c>
      <c r="K152">
        <v>42.906017207756904</v>
      </c>
      <c r="L152">
        <v>429.25</v>
      </c>
      <c r="M152">
        <v>214.53008603878399</v>
      </c>
      <c r="N152">
        <v>214.71991396121501</v>
      </c>
      <c r="O152" t="s">
        <v>26</v>
      </c>
      <c r="P152">
        <f t="shared" si="4"/>
        <v>505</v>
      </c>
      <c r="Q152">
        <f t="shared" si="5"/>
        <v>-214.71991396121601</v>
      </c>
    </row>
    <row r="153" spans="1:17" x14ac:dyDescent="0.4">
      <c r="A153" t="s">
        <v>351</v>
      </c>
      <c r="B153" s="1">
        <v>45768.958333333336</v>
      </c>
      <c r="C153" t="s">
        <v>16</v>
      </c>
      <c r="D153" t="s">
        <v>352</v>
      </c>
      <c r="E153" t="s">
        <v>110</v>
      </c>
      <c r="F153" t="s">
        <v>19</v>
      </c>
      <c r="G153">
        <v>258</v>
      </c>
      <c r="H153">
        <v>0</v>
      </c>
      <c r="I153">
        <v>258</v>
      </c>
      <c r="J153">
        <v>4</v>
      </c>
      <c r="K153">
        <v>120.078373986944</v>
      </c>
      <c r="L153">
        <v>1032</v>
      </c>
      <c r="M153">
        <v>480.313495947776</v>
      </c>
      <c r="N153">
        <v>551.68650405222297</v>
      </c>
      <c r="O153" t="s">
        <v>32</v>
      </c>
      <c r="P153">
        <f t="shared" si="4"/>
        <v>1032</v>
      </c>
      <c r="Q153">
        <f t="shared" si="5"/>
        <v>-551.686504052224</v>
      </c>
    </row>
    <row r="154" spans="1:17" x14ac:dyDescent="0.4">
      <c r="A154" t="s">
        <v>353</v>
      </c>
      <c r="B154" s="1">
        <v>45820.666666666664</v>
      </c>
      <c r="C154" t="s">
        <v>16</v>
      </c>
      <c r="D154" t="s">
        <v>354</v>
      </c>
      <c r="E154" t="s">
        <v>94</v>
      </c>
      <c r="F154" t="s">
        <v>61</v>
      </c>
      <c r="G154">
        <v>219</v>
      </c>
      <c r="H154">
        <v>0.15</v>
      </c>
      <c r="I154">
        <v>186.15</v>
      </c>
      <c r="J154">
        <v>1</v>
      </c>
      <c r="K154">
        <v>120.60090705872599</v>
      </c>
      <c r="L154">
        <v>186.15</v>
      </c>
      <c r="M154">
        <v>120.60090705872599</v>
      </c>
      <c r="N154">
        <v>65.549092941273798</v>
      </c>
      <c r="O154" t="s">
        <v>26</v>
      </c>
      <c r="P154">
        <f t="shared" si="4"/>
        <v>219</v>
      </c>
      <c r="Q154">
        <f t="shared" si="5"/>
        <v>-65.549092941274012</v>
      </c>
    </row>
    <row r="155" spans="1:17" x14ac:dyDescent="0.4">
      <c r="A155" t="s">
        <v>355</v>
      </c>
      <c r="B155" s="1">
        <v>45474.875</v>
      </c>
      <c r="C155" t="s">
        <v>22</v>
      </c>
      <c r="D155" t="s">
        <v>356</v>
      </c>
      <c r="E155" t="s">
        <v>69</v>
      </c>
      <c r="F155" t="s">
        <v>70</v>
      </c>
      <c r="G155">
        <v>112</v>
      </c>
      <c r="H155">
        <v>0.05</v>
      </c>
      <c r="I155">
        <v>106.399999999999</v>
      </c>
      <c r="J155">
        <v>1</v>
      </c>
      <c r="K155">
        <v>71.669400222298506</v>
      </c>
      <c r="L155">
        <v>106.399999999999</v>
      </c>
      <c r="M155">
        <v>71.669400222298506</v>
      </c>
      <c r="N155">
        <v>34.7305997777014</v>
      </c>
      <c r="O155" t="s">
        <v>32</v>
      </c>
      <c r="P155">
        <f t="shared" si="4"/>
        <v>112</v>
      </c>
      <c r="Q155">
        <f t="shared" si="5"/>
        <v>-34.73059977770049</v>
      </c>
    </row>
    <row r="156" spans="1:17" x14ac:dyDescent="0.4">
      <c r="A156" t="s">
        <v>357</v>
      </c>
      <c r="B156" s="1">
        <v>45388.958333333336</v>
      </c>
      <c r="C156" t="s">
        <v>28</v>
      </c>
      <c r="D156" t="s">
        <v>358</v>
      </c>
      <c r="E156" t="s">
        <v>48</v>
      </c>
      <c r="F156" t="s">
        <v>19</v>
      </c>
      <c r="G156">
        <v>220</v>
      </c>
      <c r="H156">
        <v>0.2</v>
      </c>
      <c r="I156">
        <v>176</v>
      </c>
      <c r="J156">
        <v>7</v>
      </c>
      <c r="K156">
        <v>136.68572583009799</v>
      </c>
      <c r="L156">
        <v>1232</v>
      </c>
      <c r="M156">
        <v>956.80008081068797</v>
      </c>
      <c r="N156">
        <v>275.19991918931203</v>
      </c>
      <c r="O156" t="s">
        <v>32</v>
      </c>
      <c r="P156">
        <f t="shared" si="4"/>
        <v>1540</v>
      </c>
      <c r="Q156">
        <f t="shared" si="5"/>
        <v>-275.19991918931203</v>
      </c>
    </row>
    <row r="157" spans="1:17" x14ac:dyDescent="0.4">
      <c r="A157" t="s">
        <v>359</v>
      </c>
      <c r="B157" s="1">
        <v>45625.5</v>
      </c>
      <c r="C157" t="s">
        <v>65</v>
      </c>
      <c r="D157" t="s">
        <v>360</v>
      </c>
      <c r="E157" t="s">
        <v>82</v>
      </c>
      <c r="F157" t="s">
        <v>25</v>
      </c>
      <c r="G157">
        <v>327</v>
      </c>
      <c r="H157">
        <v>0</v>
      </c>
      <c r="I157">
        <v>327</v>
      </c>
      <c r="J157">
        <v>2</v>
      </c>
      <c r="K157">
        <v>238.52863170127901</v>
      </c>
      <c r="L157">
        <v>654</v>
      </c>
      <c r="M157">
        <v>477.05726340255899</v>
      </c>
      <c r="N157">
        <v>176.94273659743999</v>
      </c>
      <c r="O157" t="s">
        <v>32</v>
      </c>
      <c r="P157">
        <f t="shared" si="4"/>
        <v>654</v>
      </c>
      <c r="Q157">
        <f t="shared" si="5"/>
        <v>-176.94273659744101</v>
      </c>
    </row>
    <row r="158" spans="1:17" x14ac:dyDescent="0.4">
      <c r="A158" t="s">
        <v>361</v>
      </c>
      <c r="B158" s="1">
        <v>45616.041666666664</v>
      </c>
      <c r="C158" t="s">
        <v>22</v>
      </c>
      <c r="D158" t="s">
        <v>362</v>
      </c>
      <c r="E158" t="s">
        <v>18</v>
      </c>
      <c r="F158" t="s">
        <v>19</v>
      </c>
      <c r="G158">
        <v>85</v>
      </c>
      <c r="H158">
        <v>0.1</v>
      </c>
      <c r="I158">
        <v>76.5</v>
      </c>
      <c r="J158">
        <v>4</v>
      </c>
      <c r="K158">
        <v>46.007129820257298</v>
      </c>
      <c r="L158">
        <v>306</v>
      </c>
      <c r="M158">
        <v>184.02851928102899</v>
      </c>
      <c r="N158">
        <v>121.97148071897</v>
      </c>
      <c r="O158" t="s">
        <v>20</v>
      </c>
      <c r="P158">
        <f t="shared" si="4"/>
        <v>340</v>
      </c>
      <c r="Q158">
        <f t="shared" si="5"/>
        <v>-121.97148071897101</v>
      </c>
    </row>
    <row r="159" spans="1:17" x14ac:dyDescent="0.4">
      <c r="A159" t="s">
        <v>363</v>
      </c>
      <c r="B159" s="1">
        <v>45300.208333333336</v>
      </c>
      <c r="C159" t="s">
        <v>46</v>
      </c>
      <c r="D159" t="s">
        <v>364</v>
      </c>
      <c r="E159" t="s">
        <v>73</v>
      </c>
      <c r="F159" t="s">
        <v>38</v>
      </c>
      <c r="G159">
        <v>298</v>
      </c>
      <c r="H159">
        <v>0.1</v>
      </c>
      <c r="I159">
        <v>268.2</v>
      </c>
      <c r="J159">
        <v>7</v>
      </c>
      <c r="K159">
        <v>146.764014247446</v>
      </c>
      <c r="L159">
        <v>1877.3999999999901</v>
      </c>
      <c r="M159">
        <v>1027.3480997321201</v>
      </c>
      <c r="N159">
        <v>850.05190026787704</v>
      </c>
      <c r="O159" t="s">
        <v>32</v>
      </c>
      <c r="P159">
        <f t="shared" si="4"/>
        <v>2086</v>
      </c>
      <c r="Q159">
        <f t="shared" si="5"/>
        <v>-850.05190026787</v>
      </c>
    </row>
    <row r="160" spans="1:17" x14ac:dyDescent="0.4">
      <c r="A160" t="s">
        <v>365</v>
      </c>
      <c r="B160" s="1">
        <v>45372.416666666664</v>
      </c>
      <c r="C160" t="s">
        <v>43</v>
      </c>
      <c r="D160" t="s">
        <v>366</v>
      </c>
      <c r="E160" t="s">
        <v>85</v>
      </c>
      <c r="F160" t="s">
        <v>70</v>
      </c>
      <c r="G160">
        <v>245</v>
      </c>
      <c r="H160">
        <v>0</v>
      </c>
      <c r="I160">
        <v>245</v>
      </c>
      <c r="J160">
        <v>3</v>
      </c>
      <c r="K160">
        <v>149.052090952925</v>
      </c>
      <c r="L160">
        <v>735</v>
      </c>
      <c r="M160">
        <v>447.15627285877503</v>
      </c>
      <c r="N160">
        <v>287.84372714122401</v>
      </c>
      <c r="O160" t="s">
        <v>51</v>
      </c>
      <c r="P160">
        <f t="shared" si="4"/>
        <v>735</v>
      </c>
      <c r="Q160">
        <f t="shared" si="5"/>
        <v>-287.84372714122497</v>
      </c>
    </row>
    <row r="161" spans="1:17" x14ac:dyDescent="0.4">
      <c r="A161" t="s">
        <v>367</v>
      </c>
      <c r="B161" s="1">
        <v>45782.583333333336</v>
      </c>
      <c r="C161" t="s">
        <v>43</v>
      </c>
      <c r="D161" t="s">
        <v>368</v>
      </c>
      <c r="E161" t="s">
        <v>213</v>
      </c>
      <c r="F161" t="s">
        <v>31</v>
      </c>
      <c r="G161">
        <v>120</v>
      </c>
      <c r="H161">
        <v>0</v>
      </c>
      <c r="I161">
        <v>120</v>
      </c>
      <c r="J161">
        <v>4</v>
      </c>
      <c r="K161">
        <v>67.236932890066797</v>
      </c>
      <c r="L161">
        <v>480</v>
      </c>
      <c r="M161">
        <v>268.94773156026702</v>
      </c>
      <c r="N161">
        <v>211.05226843973199</v>
      </c>
      <c r="O161" t="s">
        <v>26</v>
      </c>
      <c r="P161">
        <f t="shared" si="4"/>
        <v>480</v>
      </c>
      <c r="Q161">
        <f t="shared" si="5"/>
        <v>-211.05226843973298</v>
      </c>
    </row>
    <row r="162" spans="1:17" x14ac:dyDescent="0.4">
      <c r="A162" t="s">
        <v>369</v>
      </c>
      <c r="B162" s="1">
        <v>45920.625</v>
      </c>
      <c r="C162" t="s">
        <v>28</v>
      </c>
      <c r="D162" t="s">
        <v>370</v>
      </c>
      <c r="E162" t="s">
        <v>60</v>
      </c>
      <c r="F162" t="s">
        <v>61</v>
      </c>
      <c r="G162">
        <v>213</v>
      </c>
      <c r="H162">
        <v>0.05</v>
      </c>
      <c r="I162">
        <v>202.35</v>
      </c>
      <c r="J162">
        <v>2</v>
      </c>
      <c r="K162">
        <v>118.79867670669501</v>
      </c>
      <c r="L162">
        <v>404.7</v>
      </c>
      <c r="M162">
        <v>237.59735341339101</v>
      </c>
      <c r="N162">
        <v>167.10264658660799</v>
      </c>
      <c r="O162" t="s">
        <v>26</v>
      </c>
      <c r="P162">
        <f t="shared" si="4"/>
        <v>426</v>
      </c>
      <c r="Q162">
        <f t="shared" si="5"/>
        <v>-167.10264658660898</v>
      </c>
    </row>
    <row r="163" spans="1:17" x14ac:dyDescent="0.4">
      <c r="A163" t="s">
        <v>371</v>
      </c>
      <c r="B163" s="1">
        <v>45681.125</v>
      </c>
      <c r="C163" t="s">
        <v>43</v>
      </c>
      <c r="D163" t="s">
        <v>372</v>
      </c>
      <c r="E163" t="s">
        <v>146</v>
      </c>
      <c r="F163" t="s">
        <v>70</v>
      </c>
      <c r="G163">
        <v>144</v>
      </c>
      <c r="H163">
        <v>0</v>
      </c>
      <c r="I163">
        <v>144</v>
      </c>
      <c r="J163">
        <v>1</v>
      </c>
      <c r="K163">
        <v>65.403362074924999</v>
      </c>
      <c r="L163">
        <v>144</v>
      </c>
      <c r="M163">
        <v>65.403362074924999</v>
      </c>
      <c r="N163">
        <v>78.596637925074901</v>
      </c>
      <c r="O163" t="s">
        <v>51</v>
      </c>
      <c r="P163">
        <f t="shared" si="4"/>
        <v>144</v>
      </c>
      <c r="Q163">
        <f t="shared" si="5"/>
        <v>-78.596637925075001</v>
      </c>
    </row>
    <row r="164" spans="1:17" x14ac:dyDescent="0.4">
      <c r="A164" t="s">
        <v>373</v>
      </c>
      <c r="B164" s="1">
        <v>45774.875</v>
      </c>
      <c r="C164" t="s">
        <v>22</v>
      </c>
      <c r="D164" t="s">
        <v>374</v>
      </c>
      <c r="E164" t="s">
        <v>94</v>
      </c>
      <c r="F164" t="s">
        <v>61</v>
      </c>
      <c r="G164">
        <v>327</v>
      </c>
      <c r="H164">
        <v>0.1</v>
      </c>
      <c r="I164">
        <v>294.3</v>
      </c>
      <c r="J164">
        <v>2</v>
      </c>
      <c r="K164">
        <v>173.55334697990699</v>
      </c>
      <c r="L164">
        <v>588.6</v>
      </c>
      <c r="M164">
        <v>347.10669395981398</v>
      </c>
      <c r="N164">
        <v>241.49330604018499</v>
      </c>
      <c r="O164" t="s">
        <v>26</v>
      </c>
      <c r="P164">
        <f t="shared" si="4"/>
        <v>654</v>
      </c>
      <c r="Q164">
        <f t="shared" si="5"/>
        <v>-241.49330604018604</v>
      </c>
    </row>
    <row r="165" spans="1:17" x14ac:dyDescent="0.4">
      <c r="A165" t="s">
        <v>375</v>
      </c>
      <c r="B165" s="1">
        <v>45946.5</v>
      </c>
      <c r="C165" t="s">
        <v>65</v>
      </c>
      <c r="D165" t="s">
        <v>376</v>
      </c>
      <c r="E165" t="s">
        <v>213</v>
      </c>
      <c r="F165" t="s">
        <v>31</v>
      </c>
      <c r="G165">
        <v>216</v>
      </c>
      <c r="H165">
        <v>0.1</v>
      </c>
      <c r="I165">
        <v>194.4</v>
      </c>
      <c r="J165">
        <v>1</v>
      </c>
      <c r="K165">
        <v>103.068567226581</v>
      </c>
      <c r="L165">
        <v>194.4</v>
      </c>
      <c r="M165">
        <v>103.068567226581</v>
      </c>
      <c r="N165">
        <v>91.3314327734182</v>
      </c>
      <c r="O165" t="s">
        <v>26</v>
      </c>
      <c r="P165">
        <f t="shared" si="4"/>
        <v>216</v>
      </c>
      <c r="Q165">
        <f t="shared" si="5"/>
        <v>-91.33143277341901</v>
      </c>
    </row>
    <row r="166" spans="1:17" x14ac:dyDescent="0.4">
      <c r="A166" t="s">
        <v>377</v>
      </c>
      <c r="B166" s="1">
        <v>46002.125</v>
      </c>
      <c r="C166" t="s">
        <v>43</v>
      </c>
      <c r="D166" t="s">
        <v>378</v>
      </c>
      <c r="E166" t="s">
        <v>104</v>
      </c>
      <c r="F166" t="s">
        <v>25</v>
      </c>
      <c r="G166">
        <v>224</v>
      </c>
      <c r="H166">
        <v>0.1</v>
      </c>
      <c r="I166">
        <v>201.6</v>
      </c>
      <c r="J166">
        <v>3</v>
      </c>
      <c r="K166">
        <v>123.592890942396</v>
      </c>
      <c r="L166">
        <v>604.79999999999995</v>
      </c>
      <c r="M166">
        <v>370.77867282719001</v>
      </c>
      <c r="N166">
        <v>234.02132717280901</v>
      </c>
      <c r="O166" t="s">
        <v>20</v>
      </c>
      <c r="P166">
        <f t="shared" si="4"/>
        <v>672</v>
      </c>
      <c r="Q166">
        <f t="shared" si="5"/>
        <v>-234.02132717280995</v>
      </c>
    </row>
    <row r="167" spans="1:17" x14ac:dyDescent="0.4">
      <c r="A167" t="s">
        <v>379</v>
      </c>
      <c r="B167" s="1">
        <v>45409.125</v>
      </c>
      <c r="C167" t="s">
        <v>43</v>
      </c>
      <c r="D167" t="s">
        <v>380</v>
      </c>
      <c r="E167" t="s">
        <v>115</v>
      </c>
      <c r="F167" t="s">
        <v>38</v>
      </c>
      <c r="G167">
        <v>211</v>
      </c>
      <c r="H167">
        <v>0.1</v>
      </c>
      <c r="I167">
        <v>189.9</v>
      </c>
      <c r="J167">
        <v>1</v>
      </c>
      <c r="K167">
        <v>116.774730775271</v>
      </c>
      <c r="L167">
        <v>189.9</v>
      </c>
      <c r="M167">
        <v>116.774730775271</v>
      </c>
      <c r="N167">
        <v>73.1252692247282</v>
      </c>
      <c r="O167" t="s">
        <v>32</v>
      </c>
      <c r="P167">
        <f t="shared" si="4"/>
        <v>211</v>
      </c>
      <c r="Q167">
        <f t="shared" si="5"/>
        <v>-73.12526922472901</v>
      </c>
    </row>
    <row r="168" spans="1:17" x14ac:dyDescent="0.4">
      <c r="A168" t="s">
        <v>381</v>
      </c>
      <c r="B168" s="1">
        <v>45885.458333333336</v>
      </c>
      <c r="C168" t="s">
        <v>65</v>
      </c>
      <c r="D168" t="s">
        <v>382</v>
      </c>
      <c r="E168" t="s">
        <v>73</v>
      </c>
      <c r="F168" t="s">
        <v>38</v>
      </c>
      <c r="G168">
        <v>249</v>
      </c>
      <c r="H168">
        <v>0.15</v>
      </c>
      <c r="I168">
        <v>211.65</v>
      </c>
      <c r="J168">
        <v>5</v>
      </c>
      <c r="K168">
        <v>107.564768033814</v>
      </c>
      <c r="L168">
        <v>1058.25</v>
      </c>
      <c r="M168">
        <v>537.82384016907099</v>
      </c>
      <c r="N168">
        <v>520.42615983092799</v>
      </c>
      <c r="O168" t="s">
        <v>51</v>
      </c>
      <c r="P168">
        <f t="shared" si="4"/>
        <v>1245</v>
      </c>
      <c r="Q168">
        <f t="shared" si="5"/>
        <v>-520.42615983092901</v>
      </c>
    </row>
    <row r="169" spans="1:17" x14ac:dyDescent="0.4">
      <c r="A169" t="s">
        <v>383</v>
      </c>
      <c r="B169" s="1">
        <v>45564.75</v>
      </c>
      <c r="C169" t="s">
        <v>46</v>
      </c>
      <c r="D169" t="s">
        <v>384</v>
      </c>
      <c r="E169" t="s">
        <v>213</v>
      </c>
      <c r="F169" t="s">
        <v>31</v>
      </c>
      <c r="G169">
        <v>142</v>
      </c>
      <c r="H169">
        <v>0.05</v>
      </c>
      <c r="I169">
        <v>134.9</v>
      </c>
      <c r="J169">
        <v>6</v>
      </c>
      <c r="K169">
        <v>70.259074503437503</v>
      </c>
      <c r="L169">
        <v>809.4</v>
      </c>
      <c r="M169">
        <v>421.55444702062499</v>
      </c>
      <c r="N169">
        <v>387.84555297937402</v>
      </c>
      <c r="O169" t="s">
        <v>32</v>
      </c>
      <c r="P169">
        <f t="shared" si="4"/>
        <v>852</v>
      </c>
      <c r="Q169">
        <f t="shared" si="5"/>
        <v>-387.84555297937499</v>
      </c>
    </row>
    <row r="170" spans="1:17" x14ac:dyDescent="0.4">
      <c r="A170" t="s">
        <v>385</v>
      </c>
      <c r="B170" s="1">
        <v>45374.75</v>
      </c>
      <c r="C170" t="s">
        <v>46</v>
      </c>
      <c r="D170" t="s">
        <v>386</v>
      </c>
      <c r="E170" t="s">
        <v>69</v>
      </c>
      <c r="F170" t="s">
        <v>70</v>
      </c>
      <c r="G170">
        <v>240</v>
      </c>
      <c r="H170">
        <v>0.15</v>
      </c>
      <c r="I170">
        <v>204</v>
      </c>
      <c r="J170">
        <v>2</v>
      </c>
      <c r="K170">
        <v>127.264832913318</v>
      </c>
      <c r="L170">
        <v>408</v>
      </c>
      <c r="M170">
        <v>254.52966582663601</v>
      </c>
      <c r="N170">
        <v>153.470334173363</v>
      </c>
      <c r="O170" t="s">
        <v>51</v>
      </c>
      <c r="P170">
        <f t="shared" si="4"/>
        <v>480</v>
      </c>
      <c r="Q170">
        <f t="shared" si="5"/>
        <v>-153.47033417336399</v>
      </c>
    </row>
    <row r="171" spans="1:17" x14ac:dyDescent="0.4">
      <c r="A171" t="s">
        <v>387</v>
      </c>
      <c r="B171" s="1">
        <v>45639.416666666664</v>
      </c>
      <c r="C171" t="s">
        <v>65</v>
      </c>
      <c r="D171" t="s">
        <v>388</v>
      </c>
      <c r="E171" t="s">
        <v>115</v>
      </c>
      <c r="F171" t="s">
        <v>38</v>
      </c>
      <c r="G171">
        <v>156</v>
      </c>
      <c r="H171">
        <v>0.2</v>
      </c>
      <c r="I171">
        <v>124.8</v>
      </c>
      <c r="J171">
        <v>3</v>
      </c>
      <c r="K171">
        <v>96.0763849887487</v>
      </c>
      <c r="L171">
        <v>374.4</v>
      </c>
      <c r="M171">
        <v>288.22915496624603</v>
      </c>
      <c r="N171">
        <v>86.170845033753693</v>
      </c>
      <c r="O171" t="s">
        <v>105</v>
      </c>
      <c r="P171">
        <f t="shared" si="4"/>
        <v>468</v>
      </c>
      <c r="Q171">
        <f t="shared" si="5"/>
        <v>-86.170845033753949</v>
      </c>
    </row>
    <row r="172" spans="1:17" x14ac:dyDescent="0.4">
      <c r="A172" t="s">
        <v>389</v>
      </c>
      <c r="B172" s="1">
        <v>45767.458333333336</v>
      </c>
      <c r="C172" t="s">
        <v>65</v>
      </c>
      <c r="D172" t="s">
        <v>390</v>
      </c>
      <c r="E172" t="s">
        <v>69</v>
      </c>
      <c r="F172" t="s">
        <v>70</v>
      </c>
      <c r="G172">
        <v>288</v>
      </c>
      <c r="H172">
        <v>0</v>
      </c>
      <c r="I172">
        <v>288</v>
      </c>
      <c r="J172">
        <v>6</v>
      </c>
      <c r="K172">
        <v>195.81165140765799</v>
      </c>
      <c r="L172">
        <v>1728</v>
      </c>
      <c r="M172">
        <v>1174.8699084459399</v>
      </c>
      <c r="N172">
        <v>553.130091554052</v>
      </c>
      <c r="O172" t="s">
        <v>51</v>
      </c>
      <c r="P172">
        <f t="shared" si="4"/>
        <v>1728</v>
      </c>
      <c r="Q172">
        <f t="shared" si="5"/>
        <v>-553.13009155406007</v>
      </c>
    </row>
    <row r="173" spans="1:17" x14ac:dyDescent="0.4">
      <c r="A173" t="s">
        <v>391</v>
      </c>
      <c r="B173" s="1">
        <v>45413.291666666664</v>
      </c>
      <c r="C173" t="s">
        <v>43</v>
      </c>
      <c r="D173" t="s">
        <v>392</v>
      </c>
      <c r="E173" t="s">
        <v>97</v>
      </c>
      <c r="F173" t="s">
        <v>61</v>
      </c>
      <c r="G173">
        <v>135</v>
      </c>
      <c r="H173">
        <v>0.2</v>
      </c>
      <c r="I173">
        <v>108</v>
      </c>
      <c r="J173">
        <v>2</v>
      </c>
      <c r="K173">
        <v>83.779181119303402</v>
      </c>
      <c r="L173">
        <v>216</v>
      </c>
      <c r="M173">
        <v>167.55836223860601</v>
      </c>
      <c r="N173">
        <v>48.441637761392997</v>
      </c>
      <c r="O173" t="s">
        <v>20</v>
      </c>
      <c r="P173">
        <f t="shared" si="4"/>
        <v>270</v>
      </c>
      <c r="Q173">
        <f t="shared" si="5"/>
        <v>-48.441637761393991</v>
      </c>
    </row>
    <row r="174" spans="1:17" x14ac:dyDescent="0.4">
      <c r="A174" t="s">
        <v>393</v>
      </c>
      <c r="B174" s="1">
        <v>45364.25</v>
      </c>
      <c r="C174" t="s">
        <v>46</v>
      </c>
      <c r="D174" t="s">
        <v>394</v>
      </c>
      <c r="E174" t="s">
        <v>85</v>
      </c>
      <c r="F174" t="s">
        <v>70</v>
      </c>
      <c r="G174">
        <v>331</v>
      </c>
      <c r="H174">
        <v>0</v>
      </c>
      <c r="I174">
        <v>331</v>
      </c>
      <c r="J174">
        <v>7</v>
      </c>
      <c r="K174">
        <v>139.81513525460801</v>
      </c>
      <c r="L174">
        <v>2317</v>
      </c>
      <c r="M174">
        <v>978.70594678226098</v>
      </c>
      <c r="N174">
        <v>1338.2940532177299</v>
      </c>
      <c r="O174" t="s">
        <v>32</v>
      </c>
      <c r="P174">
        <f t="shared" si="4"/>
        <v>2317</v>
      </c>
      <c r="Q174">
        <f t="shared" si="5"/>
        <v>-1338.294053217739</v>
      </c>
    </row>
    <row r="175" spans="1:17" x14ac:dyDescent="0.4">
      <c r="A175" t="s">
        <v>395</v>
      </c>
      <c r="B175" s="1">
        <v>45653.666666666664</v>
      </c>
      <c r="C175" t="s">
        <v>28</v>
      </c>
      <c r="D175" t="s">
        <v>396</v>
      </c>
      <c r="E175" t="s">
        <v>73</v>
      </c>
      <c r="F175" t="s">
        <v>38</v>
      </c>
      <c r="G175">
        <v>339</v>
      </c>
      <c r="H175">
        <v>0.1</v>
      </c>
      <c r="I175">
        <v>305.10000000000002</v>
      </c>
      <c r="J175">
        <v>7</v>
      </c>
      <c r="K175">
        <v>142.26529157727299</v>
      </c>
      <c r="L175">
        <v>2135.6999999999998</v>
      </c>
      <c r="M175">
        <v>995.85704104091496</v>
      </c>
      <c r="N175">
        <v>1139.8429589590801</v>
      </c>
      <c r="O175" t="s">
        <v>51</v>
      </c>
      <c r="P175">
        <f t="shared" si="4"/>
        <v>2373</v>
      </c>
      <c r="Q175">
        <f t="shared" si="5"/>
        <v>-1139.8429589590849</v>
      </c>
    </row>
    <row r="176" spans="1:17" x14ac:dyDescent="0.4">
      <c r="A176" t="s">
        <v>397</v>
      </c>
      <c r="B176" s="1">
        <v>45531.958333333336</v>
      </c>
      <c r="C176" t="s">
        <v>28</v>
      </c>
      <c r="D176" t="s">
        <v>398</v>
      </c>
      <c r="E176" t="s">
        <v>110</v>
      </c>
      <c r="F176" t="s">
        <v>19</v>
      </c>
      <c r="G176">
        <v>82</v>
      </c>
      <c r="H176">
        <v>0.1</v>
      </c>
      <c r="I176">
        <v>73.8</v>
      </c>
      <c r="J176">
        <v>2</v>
      </c>
      <c r="K176">
        <v>44.531907397276001</v>
      </c>
      <c r="L176">
        <v>147.6</v>
      </c>
      <c r="M176">
        <v>89.063814794552101</v>
      </c>
      <c r="N176">
        <v>58.536185205447801</v>
      </c>
      <c r="O176" t="s">
        <v>32</v>
      </c>
      <c r="P176">
        <f t="shared" si="4"/>
        <v>164</v>
      </c>
      <c r="Q176">
        <f t="shared" si="5"/>
        <v>-58.536185205447893</v>
      </c>
    </row>
    <row r="177" spans="1:17" x14ac:dyDescent="0.4">
      <c r="A177" t="s">
        <v>399</v>
      </c>
      <c r="B177" s="1">
        <v>45391.375</v>
      </c>
      <c r="C177" t="s">
        <v>22</v>
      </c>
      <c r="D177" t="s">
        <v>400</v>
      </c>
      <c r="E177" t="s">
        <v>97</v>
      </c>
      <c r="F177" t="s">
        <v>61</v>
      </c>
      <c r="G177">
        <v>281</v>
      </c>
      <c r="H177">
        <v>0</v>
      </c>
      <c r="I177">
        <v>281</v>
      </c>
      <c r="J177">
        <v>2</v>
      </c>
      <c r="K177">
        <v>199.114271674809</v>
      </c>
      <c r="L177">
        <v>562</v>
      </c>
      <c r="M177">
        <v>398.22854334961801</v>
      </c>
      <c r="N177">
        <v>163.77145665038199</v>
      </c>
      <c r="O177" t="s">
        <v>26</v>
      </c>
      <c r="P177">
        <f t="shared" si="4"/>
        <v>562</v>
      </c>
      <c r="Q177">
        <f t="shared" si="5"/>
        <v>-163.77145665038199</v>
      </c>
    </row>
    <row r="178" spans="1:17" x14ac:dyDescent="0.4">
      <c r="A178" t="s">
        <v>401</v>
      </c>
      <c r="B178" s="1">
        <v>45754.958333333336</v>
      </c>
      <c r="C178" t="s">
        <v>46</v>
      </c>
      <c r="D178" t="s">
        <v>402</v>
      </c>
      <c r="E178" t="s">
        <v>73</v>
      </c>
      <c r="F178" t="s">
        <v>38</v>
      </c>
      <c r="G178">
        <v>208</v>
      </c>
      <c r="H178">
        <v>0.05</v>
      </c>
      <c r="I178">
        <v>197.6</v>
      </c>
      <c r="J178">
        <v>4</v>
      </c>
      <c r="K178">
        <v>115.47271389285</v>
      </c>
      <c r="L178">
        <v>790.4</v>
      </c>
      <c r="M178">
        <v>461.890855571401</v>
      </c>
      <c r="N178">
        <v>328.50914442859801</v>
      </c>
      <c r="O178" t="s">
        <v>32</v>
      </c>
      <c r="P178">
        <f t="shared" si="4"/>
        <v>832</v>
      </c>
      <c r="Q178">
        <f t="shared" si="5"/>
        <v>-328.50914442859897</v>
      </c>
    </row>
    <row r="179" spans="1:17" x14ac:dyDescent="0.4">
      <c r="A179" t="s">
        <v>403</v>
      </c>
      <c r="B179" s="1">
        <v>45489.333333333336</v>
      </c>
      <c r="C179" t="s">
        <v>16</v>
      </c>
      <c r="D179" t="s">
        <v>404</v>
      </c>
      <c r="E179" t="s">
        <v>30</v>
      </c>
      <c r="F179" t="s">
        <v>31</v>
      </c>
      <c r="G179">
        <v>316</v>
      </c>
      <c r="H179">
        <v>0.05</v>
      </c>
      <c r="I179">
        <v>300.2</v>
      </c>
      <c r="J179">
        <v>7</v>
      </c>
      <c r="K179">
        <v>231.78134088047699</v>
      </c>
      <c r="L179">
        <v>2101.4</v>
      </c>
      <c r="M179">
        <v>1622.46938616334</v>
      </c>
      <c r="N179">
        <v>478.93061383665901</v>
      </c>
      <c r="O179" t="s">
        <v>32</v>
      </c>
      <c r="P179">
        <f t="shared" si="4"/>
        <v>2212</v>
      </c>
      <c r="Q179">
        <f t="shared" si="5"/>
        <v>-478.93061383666009</v>
      </c>
    </row>
    <row r="180" spans="1:17" x14ac:dyDescent="0.4">
      <c r="A180" t="s">
        <v>405</v>
      </c>
      <c r="B180" s="1">
        <v>45367.083333333336</v>
      </c>
      <c r="C180" t="s">
        <v>43</v>
      </c>
      <c r="D180" t="s">
        <v>406</v>
      </c>
      <c r="E180" t="s">
        <v>48</v>
      </c>
      <c r="F180" t="s">
        <v>19</v>
      </c>
      <c r="G180">
        <v>292</v>
      </c>
      <c r="H180">
        <v>0</v>
      </c>
      <c r="I180">
        <v>292</v>
      </c>
      <c r="J180">
        <v>6</v>
      </c>
      <c r="K180">
        <v>173.354535592426</v>
      </c>
      <c r="L180">
        <v>1752</v>
      </c>
      <c r="M180">
        <v>1040.1272135545601</v>
      </c>
      <c r="N180">
        <v>711.87278644543903</v>
      </c>
      <c r="O180" t="s">
        <v>32</v>
      </c>
      <c r="P180">
        <f t="shared" si="4"/>
        <v>1752</v>
      </c>
      <c r="Q180">
        <f t="shared" si="5"/>
        <v>-711.87278644543994</v>
      </c>
    </row>
    <row r="181" spans="1:17" x14ac:dyDescent="0.4">
      <c r="A181" t="s">
        <v>407</v>
      </c>
      <c r="B181" s="1">
        <v>45631.791666666664</v>
      </c>
      <c r="C181" t="s">
        <v>28</v>
      </c>
      <c r="D181" t="s">
        <v>408</v>
      </c>
      <c r="E181" t="s">
        <v>82</v>
      </c>
      <c r="F181" t="s">
        <v>25</v>
      </c>
      <c r="G181">
        <v>166</v>
      </c>
      <c r="H181">
        <v>0.2</v>
      </c>
      <c r="I181">
        <v>132.80000000000001</v>
      </c>
      <c r="J181">
        <v>7</v>
      </c>
      <c r="K181">
        <v>93.233106262083894</v>
      </c>
      <c r="L181">
        <v>929.6</v>
      </c>
      <c r="M181">
        <v>652.63174383458704</v>
      </c>
      <c r="N181">
        <v>276.96825616541201</v>
      </c>
      <c r="O181" t="s">
        <v>32</v>
      </c>
      <c r="P181">
        <f t="shared" si="4"/>
        <v>1162</v>
      </c>
      <c r="Q181">
        <f t="shared" si="5"/>
        <v>-276.96825616541298</v>
      </c>
    </row>
    <row r="182" spans="1:17" x14ac:dyDescent="0.4">
      <c r="A182" t="s">
        <v>409</v>
      </c>
      <c r="B182" s="1">
        <v>45630.333333333336</v>
      </c>
      <c r="C182" t="s">
        <v>16</v>
      </c>
      <c r="D182" t="s">
        <v>410</v>
      </c>
      <c r="E182" t="s">
        <v>73</v>
      </c>
      <c r="F182" t="s">
        <v>38</v>
      </c>
      <c r="G182">
        <v>318</v>
      </c>
      <c r="H182">
        <v>0.15</v>
      </c>
      <c r="I182">
        <v>270.3</v>
      </c>
      <c r="J182">
        <v>5</v>
      </c>
      <c r="K182">
        <v>207.55072302249499</v>
      </c>
      <c r="L182">
        <v>1351.5</v>
      </c>
      <c r="M182">
        <v>1037.75361511247</v>
      </c>
      <c r="N182">
        <v>313.74638488752402</v>
      </c>
      <c r="O182" t="s">
        <v>32</v>
      </c>
      <c r="P182">
        <f t="shared" si="4"/>
        <v>1590</v>
      </c>
      <c r="Q182">
        <f t="shared" si="5"/>
        <v>-313.74638488752998</v>
      </c>
    </row>
    <row r="183" spans="1:17" x14ac:dyDescent="0.4">
      <c r="A183" t="s">
        <v>411</v>
      </c>
      <c r="B183" s="1">
        <v>45567.666666666664</v>
      </c>
      <c r="C183" t="s">
        <v>46</v>
      </c>
      <c r="D183" t="s">
        <v>412</v>
      </c>
      <c r="E183" t="s">
        <v>110</v>
      </c>
      <c r="F183" t="s">
        <v>19</v>
      </c>
      <c r="G183">
        <v>183</v>
      </c>
      <c r="H183">
        <v>0.25</v>
      </c>
      <c r="I183">
        <v>137.25</v>
      </c>
      <c r="J183">
        <v>5</v>
      </c>
      <c r="K183">
        <v>120.11028719218901</v>
      </c>
      <c r="L183">
        <v>686.25</v>
      </c>
      <c r="M183">
        <v>600.55143596094501</v>
      </c>
      <c r="N183">
        <v>85.698564039054006</v>
      </c>
      <c r="O183" t="s">
        <v>32</v>
      </c>
      <c r="P183">
        <f t="shared" si="4"/>
        <v>915</v>
      </c>
      <c r="Q183">
        <f t="shared" si="5"/>
        <v>-85.698564039054986</v>
      </c>
    </row>
    <row r="184" spans="1:17" x14ac:dyDescent="0.4">
      <c r="A184" t="s">
        <v>413</v>
      </c>
      <c r="B184" s="1">
        <v>45886.041666666664</v>
      </c>
      <c r="C184" t="s">
        <v>46</v>
      </c>
      <c r="D184" t="s">
        <v>414</v>
      </c>
      <c r="E184" t="s">
        <v>18</v>
      </c>
      <c r="F184" t="s">
        <v>19</v>
      </c>
      <c r="G184">
        <v>288</v>
      </c>
      <c r="H184">
        <v>0.1</v>
      </c>
      <c r="I184">
        <v>259.2</v>
      </c>
      <c r="J184">
        <v>2</v>
      </c>
      <c r="K184">
        <v>204.071578219137</v>
      </c>
      <c r="L184">
        <v>518.4</v>
      </c>
      <c r="M184">
        <v>408.14315643827399</v>
      </c>
      <c r="N184">
        <v>110.25684356172501</v>
      </c>
      <c r="O184" t="s">
        <v>26</v>
      </c>
      <c r="P184">
        <f t="shared" si="4"/>
        <v>576</v>
      </c>
      <c r="Q184">
        <f t="shared" si="5"/>
        <v>-110.25684356172599</v>
      </c>
    </row>
    <row r="185" spans="1:17" x14ac:dyDescent="0.4">
      <c r="A185" t="s">
        <v>415</v>
      </c>
      <c r="B185" s="1">
        <v>45895.583333333336</v>
      </c>
      <c r="C185" t="s">
        <v>28</v>
      </c>
      <c r="D185" t="s">
        <v>416</v>
      </c>
      <c r="E185" t="s">
        <v>37</v>
      </c>
      <c r="F185" t="s">
        <v>38</v>
      </c>
      <c r="G185">
        <v>280</v>
      </c>
      <c r="H185">
        <v>0</v>
      </c>
      <c r="I185">
        <v>280</v>
      </c>
      <c r="J185">
        <v>3</v>
      </c>
      <c r="K185">
        <v>136.04452678828801</v>
      </c>
      <c r="L185">
        <v>840</v>
      </c>
      <c r="M185">
        <v>408.13358036486602</v>
      </c>
      <c r="N185">
        <v>431.86641963513301</v>
      </c>
      <c r="O185" t="s">
        <v>32</v>
      </c>
      <c r="P185">
        <f t="shared" si="4"/>
        <v>840</v>
      </c>
      <c r="Q185">
        <f t="shared" si="5"/>
        <v>-431.86641963513398</v>
      </c>
    </row>
    <row r="186" spans="1:17" x14ac:dyDescent="0.4">
      <c r="A186" t="s">
        <v>417</v>
      </c>
      <c r="B186" s="1">
        <v>45985.583333333336</v>
      </c>
      <c r="C186" t="s">
        <v>43</v>
      </c>
      <c r="D186" t="s">
        <v>418</v>
      </c>
      <c r="E186" t="s">
        <v>69</v>
      </c>
      <c r="F186" t="s">
        <v>70</v>
      </c>
      <c r="G186">
        <v>216</v>
      </c>
      <c r="H186">
        <v>0.1</v>
      </c>
      <c r="I186">
        <v>194.4</v>
      </c>
      <c r="J186">
        <v>6</v>
      </c>
      <c r="K186">
        <v>152.28301265606501</v>
      </c>
      <c r="L186">
        <v>1166.4000000000001</v>
      </c>
      <c r="M186">
        <v>913.69807593639496</v>
      </c>
      <c r="N186">
        <v>252.701924063604</v>
      </c>
      <c r="O186" t="s">
        <v>32</v>
      </c>
      <c r="P186">
        <f t="shared" si="4"/>
        <v>1296</v>
      </c>
      <c r="Q186">
        <f t="shared" si="5"/>
        <v>-252.70192406360513</v>
      </c>
    </row>
    <row r="187" spans="1:17" x14ac:dyDescent="0.4">
      <c r="A187" t="s">
        <v>419</v>
      </c>
      <c r="B187" s="1">
        <v>45878.458333333336</v>
      </c>
      <c r="C187" t="s">
        <v>22</v>
      </c>
      <c r="D187" t="s">
        <v>420</v>
      </c>
      <c r="E187" t="s">
        <v>48</v>
      </c>
      <c r="F187" t="s">
        <v>19</v>
      </c>
      <c r="G187">
        <v>220</v>
      </c>
      <c r="H187">
        <v>0.25</v>
      </c>
      <c r="I187">
        <v>165</v>
      </c>
      <c r="J187">
        <v>2</v>
      </c>
      <c r="K187">
        <v>89.704893611392393</v>
      </c>
      <c r="L187">
        <v>330</v>
      </c>
      <c r="M187">
        <v>179.40978722278399</v>
      </c>
      <c r="N187">
        <v>150.59021277721499</v>
      </c>
      <c r="O187" t="s">
        <v>26</v>
      </c>
      <c r="P187">
        <f t="shared" si="4"/>
        <v>440</v>
      </c>
      <c r="Q187">
        <f t="shared" si="5"/>
        <v>-150.59021277721601</v>
      </c>
    </row>
    <row r="188" spans="1:17" x14ac:dyDescent="0.4">
      <c r="A188" t="s">
        <v>421</v>
      </c>
      <c r="B188" s="1">
        <v>45675.666666666664</v>
      </c>
      <c r="C188" t="s">
        <v>43</v>
      </c>
      <c r="D188" t="s">
        <v>422</v>
      </c>
      <c r="E188" t="s">
        <v>18</v>
      </c>
      <c r="F188" t="s">
        <v>19</v>
      </c>
      <c r="G188">
        <v>96</v>
      </c>
      <c r="H188">
        <v>0</v>
      </c>
      <c r="I188">
        <v>96</v>
      </c>
      <c r="J188">
        <v>5</v>
      </c>
      <c r="K188">
        <v>64.097312674631695</v>
      </c>
      <c r="L188">
        <v>480</v>
      </c>
      <c r="M188">
        <v>320.48656337315799</v>
      </c>
      <c r="N188">
        <v>159.51343662684101</v>
      </c>
      <c r="O188" t="s">
        <v>20</v>
      </c>
      <c r="P188">
        <f t="shared" si="4"/>
        <v>480</v>
      </c>
      <c r="Q188">
        <f t="shared" si="5"/>
        <v>-159.51343662684201</v>
      </c>
    </row>
    <row r="189" spans="1:17" x14ac:dyDescent="0.4">
      <c r="A189" t="s">
        <v>423</v>
      </c>
      <c r="B189" s="1">
        <v>45974.125</v>
      </c>
      <c r="C189" t="s">
        <v>43</v>
      </c>
      <c r="D189" t="s">
        <v>424</v>
      </c>
      <c r="E189" t="s">
        <v>48</v>
      </c>
      <c r="F189" t="s">
        <v>19</v>
      </c>
      <c r="G189">
        <v>272</v>
      </c>
      <c r="H189">
        <v>0</v>
      </c>
      <c r="I189">
        <v>272</v>
      </c>
      <c r="J189">
        <v>1</v>
      </c>
      <c r="K189">
        <v>190.415807504752</v>
      </c>
      <c r="L189">
        <v>272</v>
      </c>
      <c r="M189">
        <v>190.415807504752</v>
      </c>
      <c r="N189">
        <v>81.584192495247905</v>
      </c>
      <c r="O189" t="s">
        <v>32</v>
      </c>
      <c r="P189">
        <f t="shared" si="4"/>
        <v>272</v>
      </c>
      <c r="Q189">
        <f t="shared" si="5"/>
        <v>-81.584192495248004</v>
      </c>
    </row>
    <row r="190" spans="1:17" x14ac:dyDescent="0.4">
      <c r="A190" t="s">
        <v>425</v>
      </c>
      <c r="B190" s="1">
        <v>45785.125</v>
      </c>
      <c r="C190" t="s">
        <v>65</v>
      </c>
      <c r="D190" t="s">
        <v>426</v>
      </c>
      <c r="E190" t="s">
        <v>94</v>
      </c>
      <c r="F190" t="s">
        <v>61</v>
      </c>
      <c r="G190">
        <v>223</v>
      </c>
      <c r="H190">
        <v>0</v>
      </c>
      <c r="I190">
        <v>223</v>
      </c>
      <c r="J190">
        <v>4</v>
      </c>
      <c r="K190">
        <v>143.62234645715299</v>
      </c>
      <c r="L190">
        <v>892</v>
      </c>
      <c r="M190">
        <v>574.48938582861399</v>
      </c>
      <c r="N190">
        <v>317.51061417138499</v>
      </c>
      <c r="O190" t="s">
        <v>51</v>
      </c>
      <c r="P190">
        <f t="shared" si="4"/>
        <v>892</v>
      </c>
      <c r="Q190">
        <f t="shared" si="5"/>
        <v>-317.51061417138601</v>
      </c>
    </row>
    <row r="191" spans="1:17" x14ac:dyDescent="0.4">
      <c r="A191" t="s">
        <v>427</v>
      </c>
      <c r="B191" s="1">
        <v>45840.666666666664</v>
      </c>
      <c r="C191" t="s">
        <v>43</v>
      </c>
      <c r="D191" t="s">
        <v>428</v>
      </c>
      <c r="E191" t="s">
        <v>115</v>
      </c>
      <c r="F191" t="s">
        <v>38</v>
      </c>
      <c r="G191">
        <v>197</v>
      </c>
      <c r="H191">
        <v>0.2</v>
      </c>
      <c r="I191">
        <v>157.6</v>
      </c>
      <c r="J191">
        <v>6</v>
      </c>
      <c r="K191">
        <v>114.003235793473</v>
      </c>
      <c r="L191">
        <v>945.6</v>
      </c>
      <c r="M191">
        <v>684.01941476084301</v>
      </c>
      <c r="N191">
        <v>261.58058523915599</v>
      </c>
      <c r="O191" t="s">
        <v>32</v>
      </c>
      <c r="P191">
        <f t="shared" si="4"/>
        <v>1182</v>
      </c>
      <c r="Q191">
        <f t="shared" si="5"/>
        <v>-261.58058523915702</v>
      </c>
    </row>
    <row r="192" spans="1:17" x14ac:dyDescent="0.4">
      <c r="A192" t="s">
        <v>429</v>
      </c>
      <c r="B192" s="1">
        <v>45377.375</v>
      </c>
      <c r="C192" t="s">
        <v>46</v>
      </c>
      <c r="D192" t="s">
        <v>430</v>
      </c>
      <c r="E192" t="s">
        <v>60</v>
      </c>
      <c r="F192" t="s">
        <v>61</v>
      </c>
      <c r="G192">
        <v>109</v>
      </c>
      <c r="H192">
        <v>0.15</v>
      </c>
      <c r="I192">
        <v>92.649999999999906</v>
      </c>
      <c r="J192">
        <v>2</v>
      </c>
      <c r="K192">
        <v>78.002679189038602</v>
      </c>
      <c r="L192">
        <v>185.29999999999899</v>
      </c>
      <c r="M192">
        <v>156.00535837807701</v>
      </c>
      <c r="N192">
        <v>29.2946416219227</v>
      </c>
      <c r="O192" t="s">
        <v>32</v>
      </c>
      <c r="P192">
        <f t="shared" si="4"/>
        <v>218</v>
      </c>
      <c r="Q192">
        <f t="shared" si="5"/>
        <v>-29.294641621921983</v>
      </c>
    </row>
    <row r="193" spans="1:17" x14ac:dyDescent="0.4">
      <c r="A193" t="s">
        <v>431</v>
      </c>
      <c r="B193" s="1">
        <v>45517.958333333336</v>
      </c>
      <c r="C193" t="s">
        <v>65</v>
      </c>
      <c r="D193" t="s">
        <v>432</v>
      </c>
      <c r="E193" t="s">
        <v>24</v>
      </c>
      <c r="F193" t="s">
        <v>25</v>
      </c>
      <c r="G193">
        <v>264</v>
      </c>
      <c r="H193">
        <v>0.15</v>
      </c>
      <c r="I193">
        <v>224.4</v>
      </c>
      <c r="J193">
        <v>7</v>
      </c>
      <c r="K193">
        <v>111.750580859274</v>
      </c>
      <c r="L193">
        <v>1570.8</v>
      </c>
      <c r="M193">
        <v>782.25406601491898</v>
      </c>
      <c r="N193">
        <v>788.54593398507996</v>
      </c>
      <c r="O193" t="s">
        <v>32</v>
      </c>
      <c r="P193">
        <f t="shared" si="4"/>
        <v>1848</v>
      </c>
      <c r="Q193">
        <f t="shared" si="5"/>
        <v>-788.54593398508098</v>
      </c>
    </row>
    <row r="194" spans="1:17" x14ac:dyDescent="0.4">
      <c r="A194" t="s">
        <v>433</v>
      </c>
      <c r="B194" s="1">
        <v>45899.875</v>
      </c>
      <c r="C194" t="s">
        <v>43</v>
      </c>
      <c r="D194" t="s">
        <v>434</v>
      </c>
      <c r="E194" t="s">
        <v>146</v>
      </c>
      <c r="F194" t="s">
        <v>70</v>
      </c>
      <c r="G194">
        <v>124</v>
      </c>
      <c r="H194">
        <v>0</v>
      </c>
      <c r="I194">
        <v>124</v>
      </c>
      <c r="J194">
        <v>4</v>
      </c>
      <c r="K194">
        <v>92.877714159388006</v>
      </c>
      <c r="L194">
        <v>496</v>
      </c>
      <c r="M194">
        <v>371.51085663755202</v>
      </c>
      <c r="N194">
        <v>124.489143362447</v>
      </c>
      <c r="O194" t="s">
        <v>32</v>
      </c>
      <c r="P194">
        <f t="shared" si="4"/>
        <v>496</v>
      </c>
      <c r="Q194">
        <f t="shared" si="5"/>
        <v>-124.48914336244798</v>
      </c>
    </row>
    <row r="195" spans="1:17" x14ac:dyDescent="0.4">
      <c r="A195" t="s">
        <v>435</v>
      </c>
      <c r="B195" s="1">
        <v>45590.25</v>
      </c>
      <c r="C195" t="s">
        <v>16</v>
      </c>
      <c r="D195" t="s">
        <v>436</v>
      </c>
      <c r="E195" t="s">
        <v>115</v>
      </c>
      <c r="F195" t="s">
        <v>38</v>
      </c>
      <c r="G195">
        <v>261</v>
      </c>
      <c r="H195">
        <v>0.15</v>
      </c>
      <c r="I195">
        <v>221.85</v>
      </c>
      <c r="J195">
        <v>3</v>
      </c>
      <c r="K195">
        <v>168.95103996776399</v>
      </c>
      <c r="L195">
        <v>665.55</v>
      </c>
      <c r="M195">
        <v>506.85311990329399</v>
      </c>
      <c r="N195">
        <v>158.696880096705</v>
      </c>
      <c r="O195" t="s">
        <v>32</v>
      </c>
      <c r="P195">
        <f t="shared" ref="P195:P258" si="6">G195 * J195</f>
        <v>783</v>
      </c>
      <c r="Q195">
        <f t="shared" ref="Q195:Q258" si="7" xml:space="preserve"> M195 - L195</f>
        <v>-158.69688009670597</v>
      </c>
    </row>
    <row r="196" spans="1:17" x14ac:dyDescent="0.4">
      <c r="A196" t="s">
        <v>437</v>
      </c>
      <c r="B196" s="1">
        <v>45719</v>
      </c>
      <c r="C196" t="s">
        <v>46</v>
      </c>
      <c r="D196" t="s">
        <v>438</v>
      </c>
      <c r="E196" t="s">
        <v>85</v>
      </c>
      <c r="F196" t="s">
        <v>70</v>
      </c>
      <c r="G196">
        <v>335</v>
      </c>
      <c r="H196">
        <v>0.1</v>
      </c>
      <c r="I196">
        <v>301.5</v>
      </c>
      <c r="J196">
        <v>4</v>
      </c>
      <c r="K196">
        <v>208.100672776453</v>
      </c>
      <c r="L196">
        <v>1206</v>
      </c>
      <c r="M196">
        <v>832.40269110581198</v>
      </c>
      <c r="N196">
        <v>373.59730889418699</v>
      </c>
      <c r="O196" t="s">
        <v>32</v>
      </c>
      <c r="P196">
        <f t="shared" si="6"/>
        <v>1340</v>
      </c>
      <c r="Q196">
        <f t="shared" si="7"/>
        <v>-373.59730889418802</v>
      </c>
    </row>
    <row r="197" spans="1:17" x14ac:dyDescent="0.4">
      <c r="A197" t="s">
        <v>439</v>
      </c>
      <c r="B197" s="1">
        <v>45600.333333333336</v>
      </c>
      <c r="C197" t="s">
        <v>46</v>
      </c>
      <c r="D197" t="s">
        <v>440</v>
      </c>
      <c r="E197" t="s">
        <v>73</v>
      </c>
      <c r="F197" t="s">
        <v>38</v>
      </c>
      <c r="G197">
        <v>329</v>
      </c>
      <c r="H197">
        <v>0.1</v>
      </c>
      <c r="I197">
        <v>296.10000000000002</v>
      </c>
      <c r="J197">
        <v>5</v>
      </c>
      <c r="K197">
        <v>171.925874424097</v>
      </c>
      <c r="L197">
        <v>1480.5</v>
      </c>
      <c r="M197">
        <v>859.62937212048803</v>
      </c>
      <c r="N197">
        <v>620.87062787951197</v>
      </c>
      <c r="O197" t="s">
        <v>32</v>
      </c>
      <c r="P197">
        <f t="shared" si="6"/>
        <v>1645</v>
      </c>
      <c r="Q197">
        <f t="shared" si="7"/>
        <v>-620.87062787951197</v>
      </c>
    </row>
    <row r="198" spans="1:17" x14ac:dyDescent="0.4">
      <c r="A198" t="s">
        <v>441</v>
      </c>
      <c r="B198" s="1">
        <v>45703.416666666664</v>
      </c>
      <c r="C198" t="s">
        <v>65</v>
      </c>
      <c r="D198" t="s">
        <v>442</v>
      </c>
      <c r="E198" t="s">
        <v>94</v>
      </c>
      <c r="F198" t="s">
        <v>61</v>
      </c>
      <c r="G198">
        <v>271</v>
      </c>
      <c r="H198">
        <v>0.15</v>
      </c>
      <c r="I198">
        <v>230.35</v>
      </c>
      <c r="J198">
        <v>3</v>
      </c>
      <c r="K198">
        <v>124.51321342391201</v>
      </c>
      <c r="L198">
        <v>691.05</v>
      </c>
      <c r="M198">
        <v>373.539640271736</v>
      </c>
      <c r="N198">
        <v>317.51035972826298</v>
      </c>
      <c r="O198" t="s">
        <v>51</v>
      </c>
      <c r="P198">
        <f t="shared" si="6"/>
        <v>813</v>
      </c>
      <c r="Q198">
        <f t="shared" si="7"/>
        <v>-317.51035972826395</v>
      </c>
    </row>
    <row r="199" spans="1:17" x14ac:dyDescent="0.4">
      <c r="A199" t="s">
        <v>443</v>
      </c>
      <c r="B199" s="1">
        <v>45923.291666666664</v>
      </c>
      <c r="C199" t="s">
        <v>28</v>
      </c>
      <c r="D199" t="s">
        <v>444</v>
      </c>
      <c r="E199" t="s">
        <v>110</v>
      </c>
      <c r="F199" t="s">
        <v>19</v>
      </c>
      <c r="G199">
        <v>143</v>
      </c>
      <c r="H199">
        <v>0.2</v>
      </c>
      <c r="I199">
        <v>114.4</v>
      </c>
      <c r="J199">
        <v>2</v>
      </c>
      <c r="K199">
        <v>86.169278063322594</v>
      </c>
      <c r="L199">
        <v>228.8</v>
      </c>
      <c r="M199">
        <v>172.33855612664499</v>
      </c>
      <c r="N199">
        <v>56.461443873354703</v>
      </c>
      <c r="O199" t="s">
        <v>32</v>
      </c>
      <c r="P199">
        <f t="shared" si="6"/>
        <v>286</v>
      </c>
      <c r="Q199">
        <f t="shared" si="7"/>
        <v>-56.461443873355023</v>
      </c>
    </row>
    <row r="200" spans="1:17" x14ac:dyDescent="0.4">
      <c r="A200" t="s">
        <v>445</v>
      </c>
      <c r="B200" s="1">
        <v>45340.083333333336</v>
      </c>
      <c r="C200" t="s">
        <v>16</v>
      </c>
      <c r="D200" t="s">
        <v>446</v>
      </c>
      <c r="E200" t="s">
        <v>24</v>
      </c>
      <c r="F200" t="s">
        <v>25</v>
      </c>
      <c r="G200">
        <v>119</v>
      </c>
      <c r="H200">
        <v>0.1</v>
      </c>
      <c r="I200">
        <v>107.1</v>
      </c>
      <c r="J200">
        <v>2</v>
      </c>
      <c r="K200">
        <v>65.295037605455803</v>
      </c>
      <c r="L200">
        <v>214.2</v>
      </c>
      <c r="M200">
        <v>130.59007521091101</v>
      </c>
      <c r="N200">
        <v>83.609924789088296</v>
      </c>
      <c r="O200" t="s">
        <v>26</v>
      </c>
      <c r="P200">
        <f t="shared" si="6"/>
        <v>238</v>
      </c>
      <c r="Q200">
        <f t="shared" si="7"/>
        <v>-83.609924789088979</v>
      </c>
    </row>
    <row r="201" spans="1:17" x14ac:dyDescent="0.4">
      <c r="A201" t="s">
        <v>447</v>
      </c>
      <c r="B201" s="1">
        <v>45479.458333333336</v>
      </c>
      <c r="C201" t="s">
        <v>46</v>
      </c>
      <c r="D201" t="s">
        <v>448</v>
      </c>
      <c r="E201" t="s">
        <v>18</v>
      </c>
      <c r="F201" t="s">
        <v>19</v>
      </c>
      <c r="G201">
        <v>81</v>
      </c>
      <c r="H201">
        <v>0</v>
      </c>
      <c r="I201">
        <v>81</v>
      </c>
      <c r="J201">
        <v>3</v>
      </c>
      <c r="K201">
        <v>55.698907335694898</v>
      </c>
      <c r="L201">
        <v>243</v>
      </c>
      <c r="M201">
        <v>167.096722007084</v>
      </c>
      <c r="N201">
        <v>75.903277992915207</v>
      </c>
      <c r="O201" t="s">
        <v>20</v>
      </c>
      <c r="P201">
        <f t="shared" si="6"/>
        <v>243</v>
      </c>
      <c r="Q201">
        <f t="shared" si="7"/>
        <v>-75.903277992916003</v>
      </c>
    </row>
    <row r="202" spans="1:17" x14ac:dyDescent="0.4">
      <c r="A202" t="s">
        <v>449</v>
      </c>
      <c r="B202" s="1">
        <v>45554.291666666664</v>
      </c>
      <c r="C202" t="s">
        <v>65</v>
      </c>
      <c r="D202" t="s">
        <v>450</v>
      </c>
      <c r="E202" t="s">
        <v>82</v>
      </c>
      <c r="F202" t="s">
        <v>25</v>
      </c>
      <c r="G202">
        <v>318</v>
      </c>
      <c r="H202">
        <v>0.15</v>
      </c>
      <c r="I202">
        <v>270.3</v>
      </c>
      <c r="J202">
        <v>3</v>
      </c>
      <c r="K202">
        <v>198.028457534664</v>
      </c>
      <c r="L202">
        <v>810.9</v>
      </c>
      <c r="M202">
        <v>594.08537260399305</v>
      </c>
      <c r="N202">
        <v>216.81462739600599</v>
      </c>
      <c r="O202" t="s">
        <v>51</v>
      </c>
      <c r="P202">
        <f t="shared" si="6"/>
        <v>954</v>
      </c>
      <c r="Q202">
        <f t="shared" si="7"/>
        <v>-216.81462739600693</v>
      </c>
    </row>
    <row r="203" spans="1:17" x14ac:dyDescent="0.4">
      <c r="A203" t="s">
        <v>451</v>
      </c>
      <c r="B203" s="1">
        <v>45799.625</v>
      </c>
      <c r="C203" t="s">
        <v>46</v>
      </c>
      <c r="D203" t="s">
        <v>452</v>
      </c>
      <c r="E203" t="s">
        <v>60</v>
      </c>
      <c r="F203" t="s">
        <v>61</v>
      </c>
      <c r="G203">
        <v>189</v>
      </c>
      <c r="H203">
        <v>0</v>
      </c>
      <c r="I203">
        <v>189</v>
      </c>
      <c r="J203">
        <v>4</v>
      </c>
      <c r="K203">
        <v>130.09221323211099</v>
      </c>
      <c r="L203">
        <v>756</v>
      </c>
      <c r="M203">
        <v>520.36885292844704</v>
      </c>
      <c r="N203">
        <v>235.63114707155199</v>
      </c>
      <c r="O203" t="s">
        <v>51</v>
      </c>
      <c r="P203">
        <f t="shared" si="6"/>
        <v>756</v>
      </c>
      <c r="Q203">
        <f t="shared" si="7"/>
        <v>-235.63114707155296</v>
      </c>
    </row>
    <row r="204" spans="1:17" x14ac:dyDescent="0.4">
      <c r="A204" t="s">
        <v>453</v>
      </c>
      <c r="B204" s="1">
        <v>45828.416666666664</v>
      </c>
      <c r="C204" t="s">
        <v>28</v>
      </c>
      <c r="D204" t="s">
        <v>454</v>
      </c>
      <c r="E204" t="s">
        <v>213</v>
      </c>
      <c r="F204" t="s">
        <v>31</v>
      </c>
      <c r="G204">
        <v>283</v>
      </c>
      <c r="H204">
        <v>0</v>
      </c>
      <c r="I204">
        <v>283</v>
      </c>
      <c r="J204">
        <v>1</v>
      </c>
      <c r="K204">
        <v>159.15822252155101</v>
      </c>
      <c r="L204">
        <v>283</v>
      </c>
      <c r="M204">
        <v>159.15822252155101</v>
      </c>
      <c r="N204">
        <v>123.84177747844799</v>
      </c>
      <c r="O204" t="s">
        <v>32</v>
      </c>
      <c r="P204">
        <f t="shared" si="6"/>
        <v>283</v>
      </c>
      <c r="Q204">
        <f t="shared" si="7"/>
        <v>-123.84177747844899</v>
      </c>
    </row>
    <row r="205" spans="1:17" x14ac:dyDescent="0.4">
      <c r="A205" t="s">
        <v>455</v>
      </c>
      <c r="B205" s="1">
        <v>45522.791666666664</v>
      </c>
      <c r="C205" t="s">
        <v>28</v>
      </c>
      <c r="D205" t="s">
        <v>456</v>
      </c>
      <c r="E205" t="s">
        <v>115</v>
      </c>
      <c r="F205" t="s">
        <v>38</v>
      </c>
      <c r="G205">
        <v>84</v>
      </c>
      <c r="H205">
        <v>0.15</v>
      </c>
      <c r="I205">
        <v>71.399999999999906</v>
      </c>
      <c r="J205">
        <v>6</v>
      </c>
      <c r="K205">
        <v>53.205313304386301</v>
      </c>
      <c r="L205">
        <v>428.4</v>
      </c>
      <c r="M205">
        <v>319.23187982631799</v>
      </c>
      <c r="N205">
        <v>109.168120173681</v>
      </c>
      <c r="O205" t="s">
        <v>51</v>
      </c>
      <c r="P205">
        <f t="shared" si="6"/>
        <v>504</v>
      </c>
      <c r="Q205">
        <f t="shared" si="7"/>
        <v>-109.16812017368198</v>
      </c>
    </row>
    <row r="206" spans="1:17" x14ac:dyDescent="0.4">
      <c r="A206" t="s">
        <v>457</v>
      </c>
      <c r="B206" s="1">
        <v>45693.541666666664</v>
      </c>
      <c r="C206" t="s">
        <v>43</v>
      </c>
      <c r="D206" t="s">
        <v>458</v>
      </c>
      <c r="E206" t="s">
        <v>69</v>
      </c>
      <c r="F206" t="s">
        <v>70</v>
      </c>
      <c r="G206">
        <v>183</v>
      </c>
      <c r="H206">
        <v>0.15</v>
      </c>
      <c r="I206">
        <v>155.54999999999899</v>
      </c>
      <c r="J206">
        <v>2</v>
      </c>
      <c r="K206">
        <v>127.314009823722</v>
      </c>
      <c r="L206">
        <v>311.099999999999</v>
      </c>
      <c r="M206">
        <v>254.62801964744401</v>
      </c>
      <c r="N206">
        <v>56.471980352555001</v>
      </c>
      <c r="O206" t="s">
        <v>20</v>
      </c>
      <c r="P206">
        <f t="shared" si="6"/>
        <v>366</v>
      </c>
      <c r="Q206">
        <f t="shared" si="7"/>
        <v>-56.471980352554993</v>
      </c>
    </row>
    <row r="207" spans="1:17" x14ac:dyDescent="0.4">
      <c r="A207" t="s">
        <v>459</v>
      </c>
      <c r="B207" s="1">
        <v>45941.416666666664</v>
      </c>
      <c r="C207" t="s">
        <v>22</v>
      </c>
      <c r="D207" t="s">
        <v>460</v>
      </c>
      <c r="E207" t="s">
        <v>24</v>
      </c>
      <c r="F207" t="s">
        <v>25</v>
      </c>
      <c r="G207">
        <v>219</v>
      </c>
      <c r="H207">
        <v>0.05</v>
      </c>
      <c r="I207">
        <v>208.04999999999899</v>
      </c>
      <c r="J207">
        <v>7</v>
      </c>
      <c r="K207">
        <v>149.023323577127</v>
      </c>
      <c r="L207">
        <v>1456.35</v>
      </c>
      <c r="M207">
        <v>1043.1632650398899</v>
      </c>
      <c r="N207">
        <v>413.186734960107</v>
      </c>
      <c r="O207" t="s">
        <v>32</v>
      </c>
      <c r="P207">
        <f t="shared" si="6"/>
        <v>1533</v>
      </c>
      <c r="Q207">
        <f t="shared" si="7"/>
        <v>-413.18673496011002</v>
      </c>
    </row>
    <row r="208" spans="1:17" x14ac:dyDescent="0.4">
      <c r="A208" t="s">
        <v>461</v>
      </c>
      <c r="B208" s="1">
        <v>45398.541666666664</v>
      </c>
      <c r="C208" t="s">
        <v>16</v>
      </c>
      <c r="D208" t="s">
        <v>462</v>
      </c>
      <c r="E208" t="s">
        <v>115</v>
      </c>
      <c r="F208" t="s">
        <v>38</v>
      </c>
      <c r="G208">
        <v>222</v>
      </c>
      <c r="H208">
        <v>0.05</v>
      </c>
      <c r="I208">
        <v>210.89999999999901</v>
      </c>
      <c r="J208">
        <v>5</v>
      </c>
      <c r="K208">
        <v>98.907268045709202</v>
      </c>
      <c r="L208">
        <v>1054.5</v>
      </c>
      <c r="M208">
        <v>494.53634022854601</v>
      </c>
      <c r="N208">
        <v>559.96365977145399</v>
      </c>
      <c r="O208" t="s">
        <v>32</v>
      </c>
      <c r="P208">
        <f t="shared" si="6"/>
        <v>1110</v>
      </c>
      <c r="Q208">
        <f t="shared" si="7"/>
        <v>-559.96365977145399</v>
      </c>
    </row>
    <row r="209" spans="1:17" x14ac:dyDescent="0.4">
      <c r="A209" t="s">
        <v>463</v>
      </c>
      <c r="B209" s="1">
        <v>45525</v>
      </c>
      <c r="C209" t="s">
        <v>65</v>
      </c>
      <c r="D209" t="s">
        <v>464</v>
      </c>
      <c r="E209" t="s">
        <v>37</v>
      </c>
      <c r="F209" t="s">
        <v>38</v>
      </c>
      <c r="G209">
        <v>165</v>
      </c>
      <c r="H209">
        <v>0</v>
      </c>
      <c r="I209">
        <v>165</v>
      </c>
      <c r="J209">
        <v>6</v>
      </c>
      <c r="K209">
        <v>118.933840669849</v>
      </c>
      <c r="L209">
        <v>990</v>
      </c>
      <c r="M209">
        <v>713.60304401909502</v>
      </c>
      <c r="N209">
        <v>276.39695598090401</v>
      </c>
      <c r="O209" t="s">
        <v>32</v>
      </c>
      <c r="P209">
        <f t="shared" si="6"/>
        <v>990</v>
      </c>
      <c r="Q209">
        <f t="shared" si="7"/>
        <v>-276.39695598090498</v>
      </c>
    </row>
    <row r="210" spans="1:17" x14ac:dyDescent="0.4">
      <c r="A210" t="s">
        <v>465</v>
      </c>
      <c r="B210" s="1">
        <v>45978.75</v>
      </c>
      <c r="C210" t="s">
        <v>65</v>
      </c>
      <c r="D210" t="s">
        <v>466</v>
      </c>
      <c r="E210" t="s">
        <v>115</v>
      </c>
      <c r="F210" t="s">
        <v>38</v>
      </c>
      <c r="G210">
        <v>287</v>
      </c>
      <c r="H210">
        <v>0.1</v>
      </c>
      <c r="I210">
        <v>258.3</v>
      </c>
      <c r="J210">
        <v>5</v>
      </c>
      <c r="K210">
        <v>173.75777208384201</v>
      </c>
      <c r="L210">
        <v>1291.5</v>
      </c>
      <c r="M210">
        <v>868.78886041921101</v>
      </c>
      <c r="N210">
        <v>422.71113958078899</v>
      </c>
      <c r="O210" t="s">
        <v>105</v>
      </c>
      <c r="P210">
        <f t="shared" si="6"/>
        <v>1435</v>
      </c>
      <c r="Q210">
        <f t="shared" si="7"/>
        <v>-422.71113958078899</v>
      </c>
    </row>
    <row r="211" spans="1:17" x14ac:dyDescent="0.4">
      <c r="A211" t="s">
        <v>467</v>
      </c>
      <c r="B211" s="1">
        <v>45383.666666666664</v>
      </c>
      <c r="C211" t="s">
        <v>43</v>
      </c>
      <c r="D211" t="s">
        <v>468</v>
      </c>
      <c r="E211" t="s">
        <v>115</v>
      </c>
      <c r="F211" t="s">
        <v>38</v>
      </c>
      <c r="G211">
        <v>153</v>
      </c>
      <c r="H211">
        <v>0</v>
      </c>
      <c r="I211">
        <v>153</v>
      </c>
      <c r="J211">
        <v>1</v>
      </c>
      <c r="K211">
        <v>73.456281015991294</v>
      </c>
      <c r="L211">
        <v>153</v>
      </c>
      <c r="M211">
        <v>73.456281015991294</v>
      </c>
      <c r="N211">
        <v>79.543718984008606</v>
      </c>
      <c r="O211" t="s">
        <v>51</v>
      </c>
      <c r="P211">
        <f t="shared" si="6"/>
        <v>153</v>
      </c>
      <c r="Q211">
        <f t="shared" si="7"/>
        <v>-79.543718984008706</v>
      </c>
    </row>
    <row r="212" spans="1:17" x14ac:dyDescent="0.4">
      <c r="A212" t="s">
        <v>469</v>
      </c>
      <c r="B212" s="1">
        <v>45882.5</v>
      </c>
      <c r="C212" t="s">
        <v>22</v>
      </c>
      <c r="D212" t="s">
        <v>470</v>
      </c>
      <c r="E212" t="s">
        <v>69</v>
      </c>
      <c r="F212" t="s">
        <v>70</v>
      </c>
      <c r="G212">
        <v>107</v>
      </c>
      <c r="H212">
        <v>0.1</v>
      </c>
      <c r="I212">
        <v>96.3</v>
      </c>
      <c r="J212">
        <v>3</v>
      </c>
      <c r="K212">
        <v>60.374731763350802</v>
      </c>
      <c r="L212">
        <v>288.89999999999998</v>
      </c>
      <c r="M212">
        <v>181.124195290052</v>
      </c>
      <c r="N212">
        <v>107.775804709947</v>
      </c>
      <c r="O212" t="s">
        <v>32</v>
      </c>
      <c r="P212">
        <f t="shared" si="6"/>
        <v>321</v>
      </c>
      <c r="Q212">
        <f t="shared" si="7"/>
        <v>-107.77580470994798</v>
      </c>
    </row>
    <row r="213" spans="1:17" x14ac:dyDescent="0.4">
      <c r="A213" t="s">
        <v>471</v>
      </c>
      <c r="B213" s="1">
        <v>45415.375</v>
      </c>
      <c r="C213" t="s">
        <v>43</v>
      </c>
      <c r="D213" t="s">
        <v>472</v>
      </c>
      <c r="E213" t="s">
        <v>82</v>
      </c>
      <c r="F213" t="s">
        <v>25</v>
      </c>
      <c r="G213">
        <v>249</v>
      </c>
      <c r="H213">
        <v>0.15</v>
      </c>
      <c r="I213">
        <v>211.65</v>
      </c>
      <c r="J213">
        <v>1</v>
      </c>
      <c r="K213">
        <v>143.52392799741901</v>
      </c>
      <c r="L213">
        <v>211.65</v>
      </c>
      <c r="M213">
        <v>143.52392799741901</v>
      </c>
      <c r="N213">
        <v>68.126072002580102</v>
      </c>
      <c r="O213" t="s">
        <v>26</v>
      </c>
      <c r="P213">
        <f t="shared" si="6"/>
        <v>249</v>
      </c>
      <c r="Q213">
        <f t="shared" si="7"/>
        <v>-68.126072002580997</v>
      </c>
    </row>
    <row r="214" spans="1:17" x14ac:dyDescent="0.4">
      <c r="A214" t="s">
        <v>473</v>
      </c>
      <c r="B214" s="1">
        <v>45883.958333333336</v>
      </c>
      <c r="C214" t="s">
        <v>22</v>
      </c>
      <c r="D214" t="s">
        <v>474</v>
      </c>
      <c r="E214" t="s">
        <v>18</v>
      </c>
      <c r="F214" t="s">
        <v>19</v>
      </c>
      <c r="G214">
        <v>289</v>
      </c>
      <c r="H214">
        <v>0</v>
      </c>
      <c r="I214">
        <v>289</v>
      </c>
      <c r="J214">
        <v>3</v>
      </c>
      <c r="K214">
        <v>132.52816381074999</v>
      </c>
      <c r="L214">
        <v>867</v>
      </c>
      <c r="M214">
        <v>397.58449143225101</v>
      </c>
      <c r="N214">
        <v>469.41550856774802</v>
      </c>
      <c r="O214" t="s">
        <v>26</v>
      </c>
      <c r="P214">
        <f t="shared" si="6"/>
        <v>867</v>
      </c>
      <c r="Q214">
        <f t="shared" si="7"/>
        <v>-469.41550856774899</v>
      </c>
    </row>
    <row r="215" spans="1:17" x14ac:dyDescent="0.4">
      <c r="A215" t="s">
        <v>475</v>
      </c>
      <c r="B215" s="1">
        <v>45790.708333333336</v>
      </c>
      <c r="C215" t="s">
        <v>16</v>
      </c>
      <c r="D215" t="s">
        <v>476</v>
      </c>
      <c r="E215" t="s">
        <v>73</v>
      </c>
      <c r="F215" t="s">
        <v>38</v>
      </c>
      <c r="G215">
        <v>261</v>
      </c>
      <c r="H215">
        <v>0.05</v>
      </c>
      <c r="I215">
        <v>247.95</v>
      </c>
      <c r="J215">
        <v>3</v>
      </c>
      <c r="K215">
        <v>172.71101385051799</v>
      </c>
      <c r="L215">
        <v>743.849999999999</v>
      </c>
      <c r="M215">
        <v>518.13304155155595</v>
      </c>
      <c r="N215">
        <v>225.71695844844299</v>
      </c>
      <c r="O215" t="s">
        <v>32</v>
      </c>
      <c r="P215">
        <f t="shared" si="6"/>
        <v>783</v>
      </c>
      <c r="Q215">
        <f t="shared" si="7"/>
        <v>-225.71695844844305</v>
      </c>
    </row>
    <row r="216" spans="1:17" x14ac:dyDescent="0.4">
      <c r="A216" t="s">
        <v>477</v>
      </c>
      <c r="B216" s="1">
        <v>45411.541666666664</v>
      </c>
      <c r="C216" t="s">
        <v>46</v>
      </c>
      <c r="D216" t="s">
        <v>478</v>
      </c>
      <c r="E216" t="s">
        <v>104</v>
      </c>
      <c r="F216" t="s">
        <v>25</v>
      </c>
      <c r="G216">
        <v>321</v>
      </c>
      <c r="H216">
        <v>0.15</v>
      </c>
      <c r="I216">
        <v>272.849999999999</v>
      </c>
      <c r="J216">
        <v>5</v>
      </c>
      <c r="K216">
        <v>234.99143279507001</v>
      </c>
      <c r="L216">
        <v>1364.24999999999</v>
      </c>
      <c r="M216">
        <v>1174.9571639753501</v>
      </c>
      <c r="N216">
        <v>189.29283602464901</v>
      </c>
      <c r="O216" t="s">
        <v>26</v>
      </c>
      <c r="P216">
        <f t="shared" si="6"/>
        <v>1605</v>
      </c>
      <c r="Q216">
        <f t="shared" si="7"/>
        <v>-189.29283602463988</v>
      </c>
    </row>
    <row r="217" spans="1:17" x14ac:dyDescent="0.4">
      <c r="A217" t="s">
        <v>479</v>
      </c>
      <c r="B217" s="1">
        <v>46014.5</v>
      </c>
      <c r="C217" t="s">
        <v>16</v>
      </c>
      <c r="D217" t="s">
        <v>480</v>
      </c>
      <c r="E217" t="s">
        <v>110</v>
      </c>
      <c r="F217" t="s">
        <v>19</v>
      </c>
      <c r="G217">
        <v>138</v>
      </c>
      <c r="H217">
        <v>0.15</v>
      </c>
      <c r="I217">
        <v>117.3</v>
      </c>
      <c r="J217">
        <v>4</v>
      </c>
      <c r="K217">
        <v>77.1703389873785</v>
      </c>
      <c r="L217">
        <v>469.2</v>
      </c>
      <c r="M217">
        <v>308.681355949514</v>
      </c>
      <c r="N217">
        <v>160.51864405048499</v>
      </c>
      <c r="O217" t="s">
        <v>51</v>
      </c>
      <c r="P217">
        <f t="shared" si="6"/>
        <v>552</v>
      </c>
      <c r="Q217">
        <f t="shared" si="7"/>
        <v>-160.51864405048599</v>
      </c>
    </row>
    <row r="218" spans="1:17" x14ac:dyDescent="0.4">
      <c r="A218" t="s">
        <v>481</v>
      </c>
      <c r="B218" s="1">
        <v>45875</v>
      </c>
      <c r="C218" t="s">
        <v>28</v>
      </c>
      <c r="D218" t="s">
        <v>482</v>
      </c>
      <c r="E218" t="s">
        <v>85</v>
      </c>
      <c r="F218" t="s">
        <v>70</v>
      </c>
      <c r="G218">
        <v>173</v>
      </c>
      <c r="H218">
        <v>0.25</v>
      </c>
      <c r="I218">
        <v>129.75</v>
      </c>
      <c r="J218">
        <v>2</v>
      </c>
      <c r="K218">
        <v>103.87136795100599</v>
      </c>
      <c r="L218">
        <v>259.5</v>
      </c>
      <c r="M218">
        <v>207.74273590201199</v>
      </c>
      <c r="N218">
        <v>51.757264097986997</v>
      </c>
      <c r="O218" t="s">
        <v>51</v>
      </c>
      <c r="P218">
        <f t="shared" si="6"/>
        <v>346</v>
      </c>
      <c r="Q218">
        <f t="shared" si="7"/>
        <v>-51.757264097988013</v>
      </c>
    </row>
    <row r="219" spans="1:17" x14ac:dyDescent="0.4">
      <c r="A219" t="s">
        <v>483</v>
      </c>
      <c r="B219" s="1">
        <v>45529.458333333336</v>
      </c>
      <c r="C219" t="s">
        <v>28</v>
      </c>
      <c r="D219" t="s">
        <v>484</v>
      </c>
      <c r="E219" t="s">
        <v>69</v>
      </c>
      <c r="F219" t="s">
        <v>70</v>
      </c>
      <c r="G219">
        <v>229</v>
      </c>
      <c r="H219">
        <v>0.15</v>
      </c>
      <c r="I219">
        <v>194.65</v>
      </c>
      <c r="J219">
        <v>5</v>
      </c>
      <c r="K219">
        <v>125.53031180387801</v>
      </c>
      <c r="L219">
        <v>973.25</v>
      </c>
      <c r="M219">
        <v>627.65155901939397</v>
      </c>
      <c r="N219">
        <v>345.59844098060597</v>
      </c>
      <c r="O219" t="s">
        <v>26</v>
      </c>
      <c r="P219">
        <f t="shared" si="6"/>
        <v>1145</v>
      </c>
      <c r="Q219">
        <f t="shared" si="7"/>
        <v>-345.59844098060603</v>
      </c>
    </row>
    <row r="220" spans="1:17" x14ac:dyDescent="0.4">
      <c r="A220" t="s">
        <v>485</v>
      </c>
      <c r="B220" s="1">
        <v>45458.125</v>
      </c>
      <c r="C220" t="s">
        <v>22</v>
      </c>
      <c r="D220" t="s">
        <v>486</v>
      </c>
      <c r="E220" t="s">
        <v>213</v>
      </c>
      <c r="F220" t="s">
        <v>31</v>
      </c>
      <c r="G220">
        <v>223</v>
      </c>
      <c r="H220">
        <v>0.15</v>
      </c>
      <c r="I220">
        <v>189.54999999999899</v>
      </c>
      <c r="J220">
        <v>3</v>
      </c>
      <c r="K220">
        <v>105.686644446462</v>
      </c>
      <c r="L220">
        <v>568.65</v>
      </c>
      <c r="M220">
        <v>317.05993333938602</v>
      </c>
      <c r="N220">
        <v>251.59006666061299</v>
      </c>
      <c r="O220" t="s">
        <v>26</v>
      </c>
      <c r="P220">
        <f t="shared" si="6"/>
        <v>669</v>
      </c>
      <c r="Q220">
        <f t="shared" si="7"/>
        <v>-251.59006666061396</v>
      </c>
    </row>
    <row r="221" spans="1:17" x14ac:dyDescent="0.4">
      <c r="A221" t="s">
        <v>487</v>
      </c>
      <c r="B221" s="1">
        <v>45852.25</v>
      </c>
      <c r="C221" t="s">
        <v>16</v>
      </c>
      <c r="D221" t="s">
        <v>488</v>
      </c>
      <c r="E221" t="s">
        <v>94</v>
      </c>
      <c r="F221" t="s">
        <v>61</v>
      </c>
      <c r="G221">
        <v>167</v>
      </c>
      <c r="H221">
        <v>0.25</v>
      </c>
      <c r="I221">
        <v>125.25</v>
      </c>
      <c r="J221">
        <v>1</v>
      </c>
      <c r="K221">
        <v>125.088555249365</v>
      </c>
      <c r="L221">
        <v>125.25</v>
      </c>
      <c r="M221">
        <v>125.088555249365</v>
      </c>
      <c r="N221">
        <v>0.16144475063441599</v>
      </c>
      <c r="O221" t="s">
        <v>51</v>
      </c>
      <c r="P221">
        <f t="shared" si="6"/>
        <v>167</v>
      </c>
      <c r="Q221">
        <f t="shared" si="7"/>
        <v>-0.16144475063499897</v>
      </c>
    </row>
    <row r="222" spans="1:17" x14ac:dyDescent="0.4">
      <c r="A222" t="s">
        <v>489</v>
      </c>
      <c r="B222" s="1">
        <v>45342.75</v>
      </c>
      <c r="C222" t="s">
        <v>16</v>
      </c>
      <c r="D222" t="s">
        <v>490</v>
      </c>
      <c r="E222" t="s">
        <v>48</v>
      </c>
      <c r="F222" t="s">
        <v>19</v>
      </c>
      <c r="G222">
        <v>343</v>
      </c>
      <c r="H222">
        <v>0</v>
      </c>
      <c r="I222">
        <v>343</v>
      </c>
      <c r="J222">
        <v>5</v>
      </c>
      <c r="K222">
        <v>144.69040793522299</v>
      </c>
      <c r="L222">
        <v>1715</v>
      </c>
      <c r="M222">
        <v>723.45203967611599</v>
      </c>
      <c r="N222">
        <v>991.54796032388401</v>
      </c>
      <c r="O222" t="s">
        <v>32</v>
      </c>
      <c r="P222">
        <f t="shared" si="6"/>
        <v>1715</v>
      </c>
      <c r="Q222">
        <f t="shared" si="7"/>
        <v>-991.54796032388401</v>
      </c>
    </row>
    <row r="223" spans="1:17" x14ac:dyDescent="0.4">
      <c r="A223" t="s">
        <v>491</v>
      </c>
      <c r="B223" s="1">
        <v>45489.291666666664</v>
      </c>
      <c r="C223" t="s">
        <v>43</v>
      </c>
      <c r="D223" t="s">
        <v>492</v>
      </c>
      <c r="E223" t="s">
        <v>48</v>
      </c>
      <c r="F223" t="s">
        <v>19</v>
      </c>
      <c r="G223">
        <v>143</v>
      </c>
      <c r="H223">
        <v>0.25</v>
      </c>
      <c r="I223">
        <v>107.25</v>
      </c>
      <c r="J223">
        <v>5</v>
      </c>
      <c r="K223">
        <v>61.459429480295199</v>
      </c>
      <c r="L223">
        <v>536.25</v>
      </c>
      <c r="M223">
        <v>307.29714740147602</v>
      </c>
      <c r="N223">
        <v>228.95285259852301</v>
      </c>
      <c r="O223" t="s">
        <v>32</v>
      </c>
      <c r="P223">
        <f t="shared" si="6"/>
        <v>715</v>
      </c>
      <c r="Q223">
        <f t="shared" si="7"/>
        <v>-228.95285259852398</v>
      </c>
    </row>
    <row r="224" spans="1:17" x14ac:dyDescent="0.4">
      <c r="A224" t="s">
        <v>493</v>
      </c>
      <c r="B224" s="1">
        <v>45762.666666666664</v>
      </c>
      <c r="C224" t="s">
        <v>22</v>
      </c>
      <c r="D224" t="s">
        <v>314</v>
      </c>
      <c r="E224" t="s">
        <v>69</v>
      </c>
      <c r="F224" t="s">
        <v>70</v>
      </c>
      <c r="G224">
        <v>129</v>
      </c>
      <c r="H224">
        <v>0.05</v>
      </c>
      <c r="I224">
        <v>122.55</v>
      </c>
      <c r="J224">
        <v>2</v>
      </c>
      <c r="K224">
        <v>54.978177414553002</v>
      </c>
      <c r="L224">
        <v>245.1</v>
      </c>
      <c r="M224">
        <v>109.956354829106</v>
      </c>
      <c r="N224">
        <v>135.143645170893</v>
      </c>
      <c r="O224" t="s">
        <v>105</v>
      </c>
      <c r="P224">
        <f t="shared" si="6"/>
        <v>258</v>
      </c>
      <c r="Q224">
        <f t="shared" si="7"/>
        <v>-135.14364517089399</v>
      </c>
    </row>
    <row r="225" spans="1:17" x14ac:dyDescent="0.4">
      <c r="A225" t="s">
        <v>494</v>
      </c>
      <c r="B225" s="1">
        <v>45481.791666666664</v>
      </c>
      <c r="C225" t="s">
        <v>16</v>
      </c>
      <c r="D225" t="s">
        <v>495</v>
      </c>
      <c r="E225" t="s">
        <v>115</v>
      </c>
      <c r="F225" t="s">
        <v>38</v>
      </c>
      <c r="G225">
        <v>189</v>
      </c>
      <c r="H225">
        <v>0.15</v>
      </c>
      <c r="I225">
        <v>160.65</v>
      </c>
      <c r="J225">
        <v>5</v>
      </c>
      <c r="K225">
        <v>90.980271384548004</v>
      </c>
      <c r="L225">
        <v>803.25</v>
      </c>
      <c r="M225">
        <v>454.90135692273998</v>
      </c>
      <c r="N225">
        <v>348.348643077259</v>
      </c>
      <c r="O225" t="s">
        <v>32</v>
      </c>
      <c r="P225">
        <f t="shared" si="6"/>
        <v>945</v>
      </c>
      <c r="Q225">
        <f t="shared" si="7"/>
        <v>-348.34864307726002</v>
      </c>
    </row>
    <row r="226" spans="1:17" x14ac:dyDescent="0.4">
      <c r="A226" t="s">
        <v>496</v>
      </c>
      <c r="B226" s="1">
        <v>45673.083333333336</v>
      </c>
      <c r="C226" t="s">
        <v>16</v>
      </c>
      <c r="D226" t="s">
        <v>497</v>
      </c>
      <c r="E226" t="s">
        <v>48</v>
      </c>
      <c r="F226" t="s">
        <v>19</v>
      </c>
      <c r="G226">
        <v>92</v>
      </c>
      <c r="H226">
        <v>0</v>
      </c>
      <c r="I226">
        <v>92</v>
      </c>
      <c r="J226">
        <v>5</v>
      </c>
      <c r="K226">
        <v>42.277716437358798</v>
      </c>
      <c r="L226">
        <v>460</v>
      </c>
      <c r="M226">
        <v>211.388582186794</v>
      </c>
      <c r="N226">
        <v>248.61141781320501</v>
      </c>
      <c r="O226" t="s">
        <v>20</v>
      </c>
      <c r="P226">
        <f t="shared" si="6"/>
        <v>460</v>
      </c>
      <c r="Q226">
        <f t="shared" si="7"/>
        <v>-248.611417813206</v>
      </c>
    </row>
    <row r="227" spans="1:17" x14ac:dyDescent="0.4">
      <c r="A227" t="s">
        <v>498</v>
      </c>
      <c r="B227" s="1">
        <v>45627.416666666664</v>
      </c>
      <c r="C227" t="s">
        <v>28</v>
      </c>
      <c r="D227" t="s">
        <v>499</v>
      </c>
      <c r="E227" t="s">
        <v>24</v>
      </c>
      <c r="F227" t="s">
        <v>25</v>
      </c>
      <c r="G227">
        <v>209</v>
      </c>
      <c r="H227">
        <v>0.2</v>
      </c>
      <c r="I227">
        <v>167.2</v>
      </c>
      <c r="J227">
        <v>3</v>
      </c>
      <c r="K227">
        <v>124.813321861993</v>
      </c>
      <c r="L227">
        <v>501.6</v>
      </c>
      <c r="M227">
        <v>374.43996558598099</v>
      </c>
      <c r="N227">
        <v>127.160034414018</v>
      </c>
      <c r="O227" t="s">
        <v>32</v>
      </c>
      <c r="P227">
        <f t="shared" si="6"/>
        <v>627</v>
      </c>
      <c r="Q227">
        <f t="shared" si="7"/>
        <v>-127.16003441401904</v>
      </c>
    </row>
    <row r="228" spans="1:17" x14ac:dyDescent="0.4">
      <c r="A228" t="s">
        <v>500</v>
      </c>
      <c r="B228" s="1">
        <v>45823.541666666664</v>
      </c>
      <c r="C228" t="s">
        <v>46</v>
      </c>
      <c r="D228" t="s">
        <v>501</v>
      </c>
      <c r="E228" t="s">
        <v>85</v>
      </c>
      <c r="F228" t="s">
        <v>70</v>
      </c>
      <c r="G228">
        <v>191</v>
      </c>
      <c r="H228">
        <v>0</v>
      </c>
      <c r="I228">
        <v>191</v>
      </c>
      <c r="J228">
        <v>7</v>
      </c>
      <c r="K228">
        <v>81.8999048779216</v>
      </c>
      <c r="L228">
        <v>1337</v>
      </c>
      <c r="M228">
        <v>573.29933414545098</v>
      </c>
      <c r="N228">
        <v>763.70066585454799</v>
      </c>
      <c r="O228" t="s">
        <v>20</v>
      </c>
      <c r="P228">
        <f t="shared" si="6"/>
        <v>1337</v>
      </c>
      <c r="Q228">
        <f t="shared" si="7"/>
        <v>-763.70066585454902</v>
      </c>
    </row>
    <row r="229" spans="1:17" x14ac:dyDescent="0.4">
      <c r="A229" t="s">
        <v>502</v>
      </c>
      <c r="B229" s="1">
        <v>46018.208333333336</v>
      </c>
      <c r="C229" t="s">
        <v>43</v>
      </c>
      <c r="D229" t="s">
        <v>503</v>
      </c>
      <c r="E229" t="s">
        <v>60</v>
      </c>
      <c r="F229" t="s">
        <v>61</v>
      </c>
      <c r="G229">
        <v>344</v>
      </c>
      <c r="H229">
        <v>0</v>
      </c>
      <c r="I229">
        <v>344</v>
      </c>
      <c r="J229">
        <v>1</v>
      </c>
      <c r="K229">
        <v>206.74422404086101</v>
      </c>
      <c r="L229">
        <v>344</v>
      </c>
      <c r="M229">
        <v>206.74422404086101</v>
      </c>
      <c r="N229">
        <v>137.25577595913799</v>
      </c>
      <c r="O229" t="s">
        <v>32</v>
      </c>
      <c r="P229">
        <f t="shared" si="6"/>
        <v>344</v>
      </c>
      <c r="Q229">
        <f t="shared" si="7"/>
        <v>-137.25577595913899</v>
      </c>
    </row>
    <row r="230" spans="1:17" x14ac:dyDescent="0.4">
      <c r="A230" t="s">
        <v>504</v>
      </c>
      <c r="B230" s="1">
        <v>45579.208333333336</v>
      </c>
      <c r="C230" t="s">
        <v>46</v>
      </c>
      <c r="D230" t="s">
        <v>505</v>
      </c>
      <c r="E230" t="s">
        <v>110</v>
      </c>
      <c r="F230" t="s">
        <v>19</v>
      </c>
      <c r="G230">
        <v>92</v>
      </c>
      <c r="H230">
        <v>0</v>
      </c>
      <c r="I230">
        <v>92</v>
      </c>
      <c r="J230">
        <v>1</v>
      </c>
      <c r="K230">
        <v>67.081498475084004</v>
      </c>
      <c r="L230">
        <v>92</v>
      </c>
      <c r="M230">
        <v>67.081498475084004</v>
      </c>
      <c r="N230">
        <v>24.9185015249159</v>
      </c>
      <c r="O230" t="s">
        <v>26</v>
      </c>
      <c r="P230">
        <f t="shared" si="6"/>
        <v>92</v>
      </c>
      <c r="Q230">
        <f t="shared" si="7"/>
        <v>-24.918501524915996</v>
      </c>
    </row>
    <row r="231" spans="1:17" x14ac:dyDescent="0.4">
      <c r="A231" t="s">
        <v>506</v>
      </c>
      <c r="B231" s="1">
        <v>45890.875</v>
      </c>
      <c r="C231" t="s">
        <v>46</v>
      </c>
      <c r="D231" t="s">
        <v>507</v>
      </c>
      <c r="E231" t="s">
        <v>115</v>
      </c>
      <c r="F231" t="s">
        <v>38</v>
      </c>
      <c r="G231">
        <v>117</v>
      </c>
      <c r="H231">
        <v>0.2</v>
      </c>
      <c r="I231">
        <v>93.6</v>
      </c>
      <c r="J231">
        <v>7</v>
      </c>
      <c r="K231">
        <v>51.591630132932899</v>
      </c>
      <c r="L231">
        <v>655.20000000000005</v>
      </c>
      <c r="M231">
        <v>361.14141093053001</v>
      </c>
      <c r="N231">
        <v>294.05858906946901</v>
      </c>
      <c r="O231" t="s">
        <v>26</v>
      </c>
      <c r="P231">
        <f t="shared" si="6"/>
        <v>819</v>
      </c>
      <c r="Q231">
        <f t="shared" si="7"/>
        <v>-294.05858906947003</v>
      </c>
    </row>
    <row r="232" spans="1:17" x14ac:dyDescent="0.4">
      <c r="A232" t="s">
        <v>508</v>
      </c>
      <c r="B232" s="1">
        <v>45898.875</v>
      </c>
      <c r="C232" t="s">
        <v>46</v>
      </c>
      <c r="D232" t="s">
        <v>509</v>
      </c>
      <c r="E232" t="s">
        <v>37</v>
      </c>
      <c r="F232" t="s">
        <v>38</v>
      </c>
      <c r="G232">
        <v>308</v>
      </c>
      <c r="H232">
        <v>0.1</v>
      </c>
      <c r="I232">
        <v>277.2</v>
      </c>
      <c r="J232">
        <v>5</v>
      </c>
      <c r="K232">
        <v>185.65009950615601</v>
      </c>
      <c r="L232">
        <v>1386</v>
      </c>
      <c r="M232">
        <v>928.25049753078395</v>
      </c>
      <c r="N232">
        <v>457.74950246921497</v>
      </c>
      <c r="O232" t="s">
        <v>26</v>
      </c>
      <c r="P232">
        <f t="shared" si="6"/>
        <v>1540</v>
      </c>
      <c r="Q232">
        <f t="shared" si="7"/>
        <v>-457.74950246921605</v>
      </c>
    </row>
    <row r="233" spans="1:17" x14ac:dyDescent="0.4">
      <c r="A233" t="s">
        <v>510</v>
      </c>
      <c r="B233" s="1">
        <v>45435.166666666664</v>
      </c>
      <c r="C233" t="s">
        <v>28</v>
      </c>
      <c r="D233" t="s">
        <v>511</v>
      </c>
      <c r="E233" t="s">
        <v>213</v>
      </c>
      <c r="F233" t="s">
        <v>31</v>
      </c>
      <c r="G233">
        <v>151</v>
      </c>
      <c r="H233">
        <v>0.05</v>
      </c>
      <c r="I233">
        <v>143.44999999999999</v>
      </c>
      <c r="J233">
        <v>3</v>
      </c>
      <c r="K233">
        <v>67.863664267270906</v>
      </c>
      <c r="L233">
        <v>430.349999999999</v>
      </c>
      <c r="M233">
        <v>203.59099280181201</v>
      </c>
      <c r="N233">
        <v>226.75900719818699</v>
      </c>
      <c r="O233" t="s">
        <v>32</v>
      </c>
      <c r="P233">
        <f t="shared" si="6"/>
        <v>453</v>
      </c>
      <c r="Q233">
        <f t="shared" si="7"/>
        <v>-226.75900719818699</v>
      </c>
    </row>
    <row r="234" spans="1:17" x14ac:dyDescent="0.4">
      <c r="A234" t="s">
        <v>512</v>
      </c>
      <c r="B234" s="1">
        <v>45656.75</v>
      </c>
      <c r="C234" t="s">
        <v>28</v>
      </c>
      <c r="D234" t="s">
        <v>513</v>
      </c>
      <c r="E234" t="s">
        <v>115</v>
      </c>
      <c r="F234" t="s">
        <v>38</v>
      </c>
      <c r="G234">
        <v>316</v>
      </c>
      <c r="H234">
        <v>0.1</v>
      </c>
      <c r="I234">
        <v>284.39999999999998</v>
      </c>
      <c r="J234">
        <v>6</v>
      </c>
      <c r="K234">
        <v>193.185918668954</v>
      </c>
      <c r="L234">
        <v>1706.4</v>
      </c>
      <c r="M234">
        <v>1159.11551201372</v>
      </c>
      <c r="N234">
        <v>547.28448798627096</v>
      </c>
      <c r="O234" t="s">
        <v>26</v>
      </c>
      <c r="P234">
        <f t="shared" si="6"/>
        <v>1896</v>
      </c>
      <c r="Q234">
        <f t="shared" si="7"/>
        <v>-547.28448798628006</v>
      </c>
    </row>
    <row r="235" spans="1:17" x14ac:dyDescent="0.4">
      <c r="A235" t="s">
        <v>514</v>
      </c>
      <c r="B235" s="1">
        <v>45736.875</v>
      </c>
      <c r="C235" t="s">
        <v>43</v>
      </c>
      <c r="D235" t="s">
        <v>515</v>
      </c>
      <c r="E235" t="s">
        <v>37</v>
      </c>
      <c r="F235" t="s">
        <v>38</v>
      </c>
      <c r="G235">
        <v>285</v>
      </c>
      <c r="H235">
        <v>0.05</v>
      </c>
      <c r="I235">
        <v>270.75</v>
      </c>
      <c r="J235">
        <v>2</v>
      </c>
      <c r="K235">
        <v>150.647225187532</v>
      </c>
      <c r="L235">
        <v>541.5</v>
      </c>
      <c r="M235">
        <v>301.29445037506503</v>
      </c>
      <c r="N235">
        <v>240.20554962493401</v>
      </c>
      <c r="O235" t="s">
        <v>26</v>
      </c>
      <c r="P235">
        <f t="shared" si="6"/>
        <v>570</v>
      </c>
      <c r="Q235">
        <f t="shared" si="7"/>
        <v>-240.20554962493497</v>
      </c>
    </row>
    <row r="236" spans="1:17" x14ac:dyDescent="0.4">
      <c r="A236" t="s">
        <v>516</v>
      </c>
      <c r="B236" s="1">
        <v>45537.625</v>
      </c>
      <c r="C236" t="s">
        <v>16</v>
      </c>
      <c r="D236" t="s">
        <v>517</v>
      </c>
      <c r="E236" t="s">
        <v>60</v>
      </c>
      <c r="F236" t="s">
        <v>61</v>
      </c>
      <c r="G236">
        <v>206</v>
      </c>
      <c r="H236">
        <v>0</v>
      </c>
      <c r="I236">
        <v>206</v>
      </c>
      <c r="J236">
        <v>6</v>
      </c>
      <c r="K236">
        <v>119.897339806113</v>
      </c>
      <c r="L236">
        <v>1236</v>
      </c>
      <c r="M236">
        <v>719.38403883668298</v>
      </c>
      <c r="N236">
        <v>516.615961163316</v>
      </c>
      <c r="O236" t="s">
        <v>26</v>
      </c>
      <c r="P236">
        <f t="shared" si="6"/>
        <v>1236</v>
      </c>
      <c r="Q236">
        <f t="shared" si="7"/>
        <v>-516.61596116331702</v>
      </c>
    </row>
    <row r="237" spans="1:17" x14ac:dyDescent="0.4">
      <c r="A237" t="s">
        <v>518</v>
      </c>
      <c r="B237" s="1">
        <v>45984.041666666664</v>
      </c>
      <c r="C237" t="s">
        <v>16</v>
      </c>
      <c r="D237" t="s">
        <v>519</v>
      </c>
      <c r="E237" t="s">
        <v>30</v>
      </c>
      <c r="F237" t="s">
        <v>31</v>
      </c>
      <c r="G237">
        <v>124</v>
      </c>
      <c r="H237">
        <v>0.25</v>
      </c>
      <c r="I237">
        <v>93</v>
      </c>
      <c r="J237">
        <v>2</v>
      </c>
      <c r="K237">
        <v>51.922527690426001</v>
      </c>
      <c r="L237">
        <v>186</v>
      </c>
      <c r="M237">
        <v>103.845055380852</v>
      </c>
      <c r="N237">
        <v>82.154944619147798</v>
      </c>
      <c r="O237" t="s">
        <v>32</v>
      </c>
      <c r="P237">
        <f t="shared" si="6"/>
        <v>248</v>
      </c>
      <c r="Q237">
        <f t="shared" si="7"/>
        <v>-82.154944619147997</v>
      </c>
    </row>
    <row r="238" spans="1:17" x14ac:dyDescent="0.4">
      <c r="A238" t="s">
        <v>520</v>
      </c>
      <c r="B238" s="1">
        <v>45943.5</v>
      </c>
      <c r="C238" t="s">
        <v>28</v>
      </c>
      <c r="D238" t="s">
        <v>521</v>
      </c>
      <c r="E238" t="s">
        <v>30</v>
      </c>
      <c r="F238" t="s">
        <v>31</v>
      </c>
      <c r="G238">
        <v>137</v>
      </c>
      <c r="H238">
        <v>0</v>
      </c>
      <c r="I238">
        <v>137</v>
      </c>
      <c r="J238">
        <v>3</v>
      </c>
      <c r="K238">
        <v>56.720834758480798</v>
      </c>
      <c r="L238">
        <v>411</v>
      </c>
      <c r="M238">
        <v>170.16250427544199</v>
      </c>
      <c r="N238">
        <v>240.83749572455699</v>
      </c>
      <c r="O238" t="s">
        <v>32</v>
      </c>
      <c r="P238">
        <f t="shared" si="6"/>
        <v>411</v>
      </c>
      <c r="Q238">
        <f t="shared" si="7"/>
        <v>-240.83749572455801</v>
      </c>
    </row>
    <row r="239" spans="1:17" x14ac:dyDescent="0.4">
      <c r="A239" t="s">
        <v>522</v>
      </c>
      <c r="B239" s="1">
        <v>45584.583333333336</v>
      </c>
      <c r="C239" t="s">
        <v>46</v>
      </c>
      <c r="D239" t="s">
        <v>523</v>
      </c>
      <c r="E239" t="s">
        <v>48</v>
      </c>
      <c r="F239" t="s">
        <v>19</v>
      </c>
      <c r="G239">
        <v>235</v>
      </c>
      <c r="H239">
        <v>0.2</v>
      </c>
      <c r="I239">
        <v>188</v>
      </c>
      <c r="J239">
        <v>7</v>
      </c>
      <c r="K239">
        <v>134.07757537472901</v>
      </c>
      <c r="L239">
        <v>1316</v>
      </c>
      <c r="M239">
        <v>938.54302762310397</v>
      </c>
      <c r="N239">
        <v>377.45697237689501</v>
      </c>
      <c r="O239" t="s">
        <v>26</v>
      </c>
      <c r="P239">
        <f t="shared" si="6"/>
        <v>1645</v>
      </c>
      <c r="Q239">
        <f t="shared" si="7"/>
        <v>-377.45697237689603</v>
      </c>
    </row>
    <row r="240" spans="1:17" x14ac:dyDescent="0.4">
      <c r="A240" t="s">
        <v>524</v>
      </c>
      <c r="B240" s="1">
        <v>45673.291666666664</v>
      </c>
      <c r="C240" t="s">
        <v>22</v>
      </c>
      <c r="D240" t="s">
        <v>525</v>
      </c>
      <c r="E240" t="s">
        <v>48</v>
      </c>
      <c r="F240" t="s">
        <v>19</v>
      </c>
      <c r="G240">
        <v>175</v>
      </c>
      <c r="H240">
        <v>0.05</v>
      </c>
      <c r="I240">
        <v>166.25</v>
      </c>
      <c r="J240">
        <v>6</v>
      </c>
      <c r="K240">
        <v>120.687624451785</v>
      </c>
      <c r="L240">
        <v>997.5</v>
      </c>
      <c r="M240">
        <v>724.12574671071195</v>
      </c>
      <c r="N240">
        <v>273.37425328928703</v>
      </c>
      <c r="O240" t="s">
        <v>32</v>
      </c>
      <c r="P240">
        <f t="shared" si="6"/>
        <v>1050</v>
      </c>
      <c r="Q240">
        <f t="shared" si="7"/>
        <v>-273.37425328928805</v>
      </c>
    </row>
    <row r="241" spans="1:17" x14ac:dyDescent="0.4">
      <c r="A241" t="s">
        <v>526</v>
      </c>
      <c r="B241" s="1">
        <v>45525.333333333336</v>
      </c>
      <c r="C241" t="s">
        <v>22</v>
      </c>
      <c r="D241" t="s">
        <v>527</v>
      </c>
      <c r="E241" t="s">
        <v>94</v>
      </c>
      <c r="F241" t="s">
        <v>61</v>
      </c>
      <c r="G241">
        <v>195</v>
      </c>
      <c r="H241">
        <v>0.15</v>
      </c>
      <c r="I241">
        <v>165.75</v>
      </c>
      <c r="J241">
        <v>4</v>
      </c>
      <c r="K241">
        <v>112.79753615181799</v>
      </c>
      <c r="L241">
        <v>663</v>
      </c>
      <c r="M241">
        <v>451.19014460727402</v>
      </c>
      <c r="N241">
        <v>211.80985539272501</v>
      </c>
      <c r="O241" t="s">
        <v>26</v>
      </c>
      <c r="P241">
        <f t="shared" si="6"/>
        <v>780</v>
      </c>
      <c r="Q241">
        <f t="shared" si="7"/>
        <v>-211.80985539272598</v>
      </c>
    </row>
    <row r="242" spans="1:17" x14ac:dyDescent="0.4">
      <c r="A242" t="s">
        <v>528</v>
      </c>
      <c r="B242" s="1">
        <v>45625.166666666664</v>
      </c>
      <c r="C242" t="s">
        <v>43</v>
      </c>
      <c r="D242" t="s">
        <v>492</v>
      </c>
      <c r="E242" t="s">
        <v>48</v>
      </c>
      <c r="F242" t="s">
        <v>19</v>
      </c>
      <c r="G242">
        <v>216</v>
      </c>
      <c r="H242">
        <v>0.2</v>
      </c>
      <c r="I242">
        <v>172.8</v>
      </c>
      <c r="J242">
        <v>1</v>
      </c>
      <c r="K242">
        <v>146.57815962350199</v>
      </c>
      <c r="L242">
        <v>172.8</v>
      </c>
      <c r="M242">
        <v>146.57815962350199</v>
      </c>
      <c r="N242">
        <v>26.221840376497301</v>
      </c>
      <c r="O242" t="s">
        <v>32</v>
      </c>
      <c r="P242">
        <f t="shared" si="6"/>
        <v>216</v>
      </c>
      <c r="Q242">
        <f t="shared" si="7"/>
        <v>-26.221840376498022</v>
      </c>
    </row>
    <row r="243" spans="1:17" x14ac:dyDescent="0.4">
      <c r="A243" t="s">
        <v>529</v>
      </c>
      <c r="B243" s="1">
        <v>45667.291666666664</v>
      </c>
      <c r="C243" t="s">
        <v>46</v>
      </c>
      <c r="D243" t="s">
        <v>530</v>
      </c>
      <c r="E243" t="s">
        <v>48</v>
      </c>
      <c r="F243" t="s">
        <v>19</v>
      </c>
      <c r="G243">
        <v>151</v>
      </c>
      <c r="H243">
        <v>0</v>
      </c>
      <c r="I243">
        <v>151</v>
      </c>
      <c r="J243">
        <v>4</v>
      </c>
      <c r="K243">
        <v>80.469867986285905</v>
      </c>
      <c r="L243">
        <v>604</v>
      </c>
      <c r="M243">
        <v>321.879471945143</v>
      </c>
      <c r="N243">
        <v>282.12052805485598</v>
      </c>
      <c r="O243" t="s">
        <v>32</v>
      </c>
      <c r="P243">
        <f t="shared" si="6"/>
        <v>604</v>
      </c>
      <c r="Q243">
        <f t="shared" si="7"/>
        <v>-282.120528054857</v>
      </c>
    </row>
    <row r="244" spans="1:17" x14ac:dyDescent="0.4">
      <c r="A244" t="s">
        <v>531</v>
      </c>
      <c r="B244" s="1">
        <v>45831.416666666664</v>
      </c>
      <c r="C244" t="s">
        <v>28</v>
      </c>
      <c r="D244" t="s">
        <v>532</v>
      </c>
      <c r="E244" t="s">
        <v>110</v>
      </c>
      <c r="F244" t="s">
        <v>19</v>
      </c>
      <c r="G244">
        <v>300</v>
      </c>
      <c r="H244">
        <v>0.25</v>
      </c>
      <c r="I244">
        <v>225</v>
      </c>
      <c r="J244">
        <v>7</v>
      </c>
      <c r="K244">
        <v>217.37229396156101</v>
      </c>
      <c r="L244">
        <v>1575</v>
      </c>
      <c r="M244">
        <v>1521.6060577309199</v>
      </c>
      <c r="N244">
        <v>53.393942269071403</v>
      </c>
      <c r="O244" t="s">
        <v>32</v>
      </c>
      <c r="P244">
        <f t="shared" si="6"/>
        <v>2100</v>
      </c>
      <c r="Q244">
        <f t="shared" si="7"/>
        <v>-53.393942269080071</v>
      </c>
    </row>
    <row r="245" spans="1:17" x14ac:dyDescent="0.4">
      <c r="A245" t="s">
        <v>533</v>
      </c>
      <c r="B245" s="1">
        <v>45485.416666666664</v>
      </c>
      <c r="C245" t="s">
        <v>65</v>
      </c>
      <c r="D245" t="s">
        <v>534</v>
      </c>
      <c r="E245" t="s">
        <v>37</v>
      </c>
      <c r="F245" t="s">
        <v>38</v>
      </c>
      <c r="G245">
        <v>279</v>
      </c>
      <c r="H245">
        <v>0.2</v>
      </c>
      <c r="I245">
        <v>223.2</v>
      </c>
      <c r="J245">
        <v>3</v>
      </c>
      <c r="K245">
        <v>152.47456018214899</v>
      </c>
      <c r="L245">
        <v>669.6</v>
      </c>
      <c r="M245">
        <v>457.42368054644902</v>
      </c>
      <c r="N245">
        <v>212.17631945355001</v>
      </c>
      <c r="O245" t="s">
        <v>105</v>
      </c>
      <c r="P245">
        <f t="shared" si="6"/>
        <v>837</v>
      </c>
      <c r="Q245">
        <f t="shared" si="7"/>
        <v>-212.176319453551</v>
      </c>
    </row>
    <row r="246" spans="1:17" x14ac:dyDescent="0.4">
      <c r="A246" t="s">
        <v>535</v>
      </c>
      <c r="B246" s="1">
        <v>45763.333333333336</v>
      </c>
      <c r="C246" t="s">
        <v>28</v>
      </c>
      <c r="D246" t="s">
        <v>536</v>
      </c>
      <c r="E246" t="s">
        <v>69</v>
      </c>
      <c r="F246" t="s">
        <v>70</v>
      </c>
      <c r="G246">
        <v>235</v>
      </c>
      <c r="H246">
        <v>0.1</v>
      </c>
      <c r="I246">
        <v>211.5</v>
      </c>
      <c r="J246">
        <v>6</v>
      </c>
      <c r="K246">
        <v>149.80662239206899</v>
      </c>
      <c r="L246">
        <v>1269</v>
      </c>
      <c r="M246">
        <v>898.83973435241603</v>
      </c>
      <c r="N246">
        <v>370.160265647583</v>
      </c>
      <c r="O246" t="s">
        <v>51</v>
      </c>
      <c r="P246">
        <f t="shared" si="6"/>
        <v>1410</v>
      </c>
      <c r="Q246">
        <f t="shared" si="7"/>
        <v>-370.16026564758397</v>
      </c>
    </row>
    <row r="247" spans="1:17" x14ac:dyDescent="0.4">
      <c r="A247" t="s">
        <v>537</v>
      </c>
      <c r="B247" s="1">
        <v>45611.958333333336</v>
      </c>
      <c r="C247" t="s">
        <v>16</v>
      </c>
      <c r="D247" t="s">
        <v>538</v>
      </c>
      <c r="E247" t="s">
        <v>48</v>
      </c>
      <c r="F247" t="s">
        <v>19</v>
      </c>
      <c r="G247">
        <v>323</v>
      </c>
      <c r="H247">
        <v>0.15</v>
      </c>
      <c r="I247">
        <v>274.55</v>
      </c>
      <c r="J247">
        <v>2</v>
      </c>
      <c r="K247">
        <v>232.406850089778</v>
      </c>
      <c r="L247">
        <v>549.1</v>
      </c>
      <c r="M247">
        <v>464.81370017955697</v>
      </c>
      <c r="N247">
        <v>84.286299820442594</v>
      </c>
      <c r="O247" t="s">
        <v>32</v>
      </c>
      <c r="P247">
        <f t="shared" si="6"/>
        <v>646</v>
      </c>
      <c r="Q247">
        <f t="shared" si="7"/>
        <v>-84.286299820443048</v>
      </c>
    </row>
    <row r="248" spans="1:17" x14ac:dyDescent="0.4">
      <c r="A248" t="s">
        <v>539</v>
      </c>
      <c r="B248" s="1">
        <v>45634</v>
      </c>
      <c r="C248" t="s">
        <v>16</v>
      </c>
      <c r="D248" t="s">
        <v>540</v>
      </c>
      <c r="E248" t="s">
        <v>48</v>
      </c>
      <c r="F248" t="s">
        <v>19</v>
      </c>
      <c r="G248">
        <v>307</v>
      </c>
      <c r="H248">
        <v>0.15</v>
      </c>
      <c r="I248">
        <v>260.95</v>
      </c>
      <c r="J248">
        <v>6</v>
      </c>
      <c r="K248">
        <v>208.16696387835901</v>
      </c>
      <c r="L248">
        <v>1565.69999999999</v>
      </c>
      <c r="M248">
        <v>1249.0017832701501</v>
      </c>
      <c r="N248">
        <v>316.69821672984398</v>
      </c>
      <c r="O248" t="s">
        <v>32</v>
      </c>
      <c r="P248">
        <f t="shared" si="6"/>
        <v>1842</v>
      </c>
      <c r="Q248">
        <f t="shared" si="7"/>
        <v>-316.69821672983994</v>
      </c>
    </row>
    <row r="249" spans="1:17" x14ac:dyDescent="0.4">
      <c r="A249" t="s">
        <v>541</v>
      </c>
      <c r="B249" s="1">
        <v>45738.5</v>
      </c>
      <c r="C249" t="s">
        <v>46</v>
      </c>
      <c r="D249" t="s">
        <v>68</v>
      </c>
      <c r="E249" t="s">
        <v>69</v>
      </c>
      <c r="F249" t="s">
        <v>70</v>
      </c>
      <c r="G249">
        <v>289</v>
      </c>
      <c r="H249">
        <v>0</v>
      </c>
      <c r="I249">
        <v>289</v>
      </c>
      <c r="J249">
        <v>1</v>
      </c>
      <c r="K249">
        <v>210.22425854330601</v>
      </c>
      <c r="L249">
        <v>289</v>
      </c>
      <c r="M249">
        <v>210.22425854330601</v>
      </c>
      <c r="N249">
        <v>78.775741456693794</v>
      </c>
      <c r="O249" t="s">
        <v>32</v>
      </c>
      <c r="P249">
        <f t="shared" si="6"/>
        <v>289</v>
      </c>
      <c r="Q249">
        <f t="shared" si="7"/>
        <v>-78.775741456693993</v>
      </c>
    </row>
    <row r="250" spans="1:17" x14ac:dyDescent="0.4">
      <c r="A250" t="s">
        <v>542</v>
      </c>
      <c r="B250" s="1">
        <v>46019.208333333336</v>
      </c>
      <c r="C250" t="s">
        <v>46</v>
      </c>
      <c r="D250" t="s">
        <v>543</v>
      </c>
      <c r="E250" t="s">
        <v>69</v>
      </c>
      <c r="F250" t="s">
        <v>70</v>
      </c>
      <c r="G250">
        <v>221</v>
      </c>
      <c r="H250">
        <v>0.1</v>
      </c>
      <c r="I250">
        <v>198.9</v>
      </c>
      <c r="J250">
        <v>7</v>
      </c>
      <c r="K250">
        <v>127.192414233085</v>
      </c>
      <c r="L250">
        <v>1392.3</v>
      </c>
      <c r="M250">
        <v>890.34689963159701</v>
      </c>
      <c r="N250">
        <v>501.95310036840198</v>
      </c>
      <c r="O250" t="s">
        <v>32</v>
      </c>
      <c r="P250">
        <f t="shared" si="6"/>
        <v>1547</v>
      </c>
      <c r="Q250">
        <f t="shared" si="7"/>
        <v>-501.95310036840294</v>
      </c>
    </row>
    <row r="251" spans="1:17" x14ac:dyDescent="0.4">
      <c r="A251" t="s">
        <v>544</v>
      </c>
      <c r="B251" s="1">
        <v>45435.5</v>
      </c>
      <c r="C251" t="s">
        <v>43</v>
      </c>
      <c r="D251" t="s">
        <v>545</v>
      </c>
      <c r="E251" t="s">
        <v>37</v>
      </c>
      <c r="F251" t="s">
        <v>38</v>
      </c>
      <c r="G251">
        <v>89</v>
      </c>
      <c r="H251">
        <v>0</v>
      </c>
      <c r="I251">
        <v>89</v>
      </c>
      <c r="J251">
        <v>5</v>
      </c>
      <c r="K251">
        <v>39.175924283877301</v>
      </c>
      <c r="L251">
        <v>445</v>
      </c>
      <c r="M251">
        <v>195.87962141938601</v>
      </c>
      <c r="N251">
        <v>249.12037858061299</v>
      </c>
      <c r="O251" t="s">
        <v>20</v>
      </c>
      <c r="P251">
        <f t="shared" si="6"/>
        <v>445</v>
      </c>
      <c r="Q251">
        <f t="shared" si="7"/>
        <v>-249.12037858061399</v>
      </c>
    </row>
    <row r="252" spans="1:17" x14ac:dyDescent="0.4">
      <c r="A252" t="s">
        <v>546</v>
      </c>
      <c r="B252" s="1">
        <v>45740.208333333336</v>
      </c>
      <c r="C252" t="s">
        <v>46</v>
      </c>
      <c r="D252" t="s">
        <v>547</v>
      </c>
      <c r="E252" t="s">
        <v>73</v>
      </c>
      <c r="F252" t="s">
        <v>38</v>
      </c>
      <c r="G252">
        <v>260</v>
      </c>
      <c r="H252">
        <v>0</v>
      </c>
      <c r="I252">
        <v>260</v>
      </c>
      <c r="J252">
        <v>7</v>
      </c>
      <c r="K252">
        <v>140.61896959623701</v>
      </c>
      <c r="L252">
        <v>1820</v>
      </c>
      <c r="M252">
        <v>984.33278717366102</v>
      </c>
      <c r="N252">
        <v>835.66721282633796</v>
      </c>
      <c r="O252" t="s">
        <v>20</v>
      </c>
      <c r="P252">
        <f t="shared" si="6"/>
        <v>1820</v>
      </c>
      <c r="Q252">
        <f t="shared" si="7"/>
        <v>-835.66721282633898</v>
      </c>
    </row>
    <row r="253" spans="1:17" x14ac:dyDescent="0.4">
      <c r="A253" t="s">
        <v>548</v>
      </c>
      <c r="B253" s="1">
        <v>45893.416666666664</v>
      </c>
      <c r="C253" t="s">
        <v>46</v>
      </c>
      <c r="D253" t="s">
        <v>549</v>
      </c>
      <c r="E253" t="s">
        <v>213</v>
      </c>
      <c r="F253" t="s">
        <v>31</v>
      </c>
      <c r="G253">
        <v>255</v>
      </c>
      <c r="H253">
        <v>0.15</v>
      </c>
      <c r="I253">
        <v>216.75</v>
      </c>
      <c r="J253">
        <v>1</v>
      </c>
      <c r="K253">
        <v>141.27518065096299</v>
      </c>
      <c r="L253">
        <v>216.75</v>
      </c>
      <c r="M253">
        <v>141.27518065096299</v>
      </c>
      <c r="N253">
        <v>75.474819349036096</v>
      </c>
      <c r="O253" t="s">
        <v>51</v>
      </c>
      <c r="P253">
        <f t="shared" si="6"/>
        <v>255</v>
      </c>
      <c r="Q253">
        <f t="shared" si="7"/>
        <v>-75.474819349037006</v>
      </c>
    </row>
    <row r="254" spans="1:17" x14ac:dyDescent="0.4">
      <c r="A254" t="s">
        <v>550</v>
      </c>
      <c r="B254" s="1">
        <v>45336.166666666664</v>
      </c>
      <c r="C254" t="s">
        <v>16</v>
      </c>
      <c r="D254" t="s">
        <v>551</v>
      </c>
      <c r="E254" t="s">
        <v>97</v>
      </c>
      <c r="F254" t="s">
        <v>61</v>
      </c>
      <c r="G254">
        <v>195</v>
      </c>
      <c r="H254">
        <v>0</v>
      </c>
      <c r="I254">
        <v>195</v>
      </c>
      <c r="J254">
        <v>6</v>
      </c>
      <c r="K254">
        <v>111.157039523287</v>
      </c>
      <c r="L254">
        <v>1170</v>
      </c>
      <c r="M254">
        <v>666.94223713972201</v>
      </c>
      <c r="N254">
        <v>503.05776286027702</v>
      </c>
      <c r="O254" t="s">
        <v>26</v>
      </c>
      <c r="P254">
        <f t="shared" si="6"/>
        <v>1170</v>
      </c>
      <c r="Q254">
        <f t="shared" si="7"/>
        <v>-503.05776286027799</v>
      </c>
    </row>
    <row r="255" spans="1:17" x14ac:dyDescent="0.4">
      <c r="A255" t="s">
        <v>552</v>
      </c>
      <c r="B255" s="1">
        <v>45434.5</v>
      </c>
      <c r="C255" t="s">
        <v>28</v>
      </c>
      <c r="D255" t="s">
        <v>553</v>
      </c>
      <c r="E255" t="s">
        <v>213</v>
      </c>
      <c r="F255" t="s">
        <v>31</v>
      </c>
      <c r="G255">
        <v>104</v>
      </c>
      <c r="H255">
        <v>0</v>
      </c>
      <c r="I255">
        <v>104</v>
      </c>
      <c r="J255">
        <v>1</v>
      </c>
      <c r="K255">
        <v>55.800376542655499</v>
      </c>
      <c r="L255">
        <v>104</v>
      </c>
      <c r="M255">
        <v>55.800376542655499</v>
      </c>
      <c r="N255">
        <v>48.199623457344401</v>
      </c>
      <c r="O255" t="s">
        <v>32</v>
      </c>
      <c r="P255">
        <f t="shared" si="6"/>
        <v>104</v>
      </c>
      <c r="Q255">
        <f t="shared" si="7"/>
        <v>-48.199623457344501</v>
      </c>
    </row>
    <row r="256" spans="1:17" x14ac:dyDescent="0.4">
      <c r="A256" t="s">
        <v>554</v>
      </c>
      <c r="B256" s="1">
        <v>45304.541666666664</v>
      </c>
      <c r="C256" t="s">
        <v>43</v>
      </c>
      <c r="D256" t="s">
        <v>555</v>
      </c>
      <c r="E256" t="s">
        <v>110</v>
      </c>
      <c r="F256" t="s">
        <v>19</v>
      </c>
      <c r="G256">
        <v>97</v>
      </c>
      <c r="H256">
        <v>0</v>
      </c>
      <c r="I256">
        <v>97</v>
      </c>
      <c r="J256">
        <v>3</v>
      </c>
      <c r="K256">
        <v>58.0362485398404</v>
      </c>
      <c r="L256">
        <v>291</v>
      </c>
      <c r="M256">
        <v>174.10874561952099</v>
      </c>
      <c r="N256">
        <v>116.891254380478</v>
      </c>
      <c r="O256" t="s">
        <v>32</v>
      </c>
      <c r="P256">
        <f t="shared" si="6"/>
        <v>291</v>
      </c>
      <c r="Q256">
        <f t="shared" si="7"/>
        <v>-116.89125438047901</v>
      </c>
    </row>
    <row r="257" spans="1:17" x14ac:dyDescent="0.4">
      <c r="A257" t="s">
        <v>556</v>
      </c>
      <c r="B257" s="1">
        <v>45811.5</v>
      </c>
      <c r="C257" t="s">
        <v>46</v>
      </c>
      <c r="D257" t="s">
        <v>557</v>
      </c>
      <c r="E257" t="s">
        <v>73</v>
      </c>
      <c r="F257" t="s">
        <v>38</v>
      </c>
      <c r="G257">
        <v>279</v>
      </c>
      <c r="H257">
        <v>0.2</v>
      </c>
      <c r="I257">
        <v>223.2</v>
      </c>
      <c r="J257">
        <v>5</v>
      </c>
      <c r="K257">
        <v>187.76586012281399</v>
      </c>
      <c r="L257">
        <v>1116</v>
      </c>
      <c r="M257">
        <v>938.82930061407296</v>
      </c>
      <c r="N257">
        <v>177.17069938592601</v>
      </c>
      <c r="O257" t="s">
        <v>32</v>
      </c>
      <c r="P257">
        <f t="shared" si="6"/>
        <v>1395</v>
      </c>
      <c r="Q257">
        <f t="shared" si="7"/>
        <v>-177.17069938592704</v>
      </c>
    </row>
    <row r="258" spans="1:17" x14ac:dyDescent="0.4">
      <c r="A258" t="s">
        <v>558</v>
      </c>
      <c r="B258" s="1">
        <v>45999.916666666664</v>
      </c>
      <c r="C258" t="s">
        <v>46</v>
      </c>
      <c r="D258" t="s">
        <v>559</v>
      </c>
      <c r="E258" t="s">
        <v>94</v>
      </c>
      <c r="F258" t="s">
        <v>61</v>
      </c>
      <c r="G258">
        <v>316</v>
      </c>
      <c r="H258">
        <v>0.1</v>
      </c>
      <c r="I258">
        <v>284.39999999999998</v>
      </c>
      <c r="J258">
        <v>5</v>
      </c>
      <c r="K258">
        <v>133.83610031801601</v>
      </c>
      <c r="L258">
        <v>1422</v>
      </c>
      <c r="M258">
        <v>669.18050159007998</v>
      </c>
      <c r="N258">
        <v>752.81949840991899</v>
      </c>
      <c r="O258" t="s">
        <v>26</v>
      </c>
      <c r="P258">
        <f t="shared" si="6"/>
        <v>1580</v>
      </c>
      <c r="Q258">
        <f t="shared" si="7"/>
        <v>-752.81949840992002</v>
      </c>
    </row>
    <row r="259" spans="1:17" x14ac:dyDescent="0.4">
      <c r="A259" t="s">
        <v>560</v>
      </c>
      <c r="B259" s="1">
        <v>45321.125</v>
      </c>
      <c r="C259" t="s">
        <v>22</v>
      </c>
      <c r="D259" t="s">
        <v>561</v>
      </c>
      <c r="E259" t="s">
        <v>37</v>
      </c>
      <c r="F259" t="s">
        <v>38</v>
      </c>
      <c r="G259">
        <v>346</v>
      </c>
      <c r="H259">
        <v>0.1</v>
      </c>
      <c r="I259">
        <v>311.39999999999998</v>
      </c>
      <c r="J259">
        <v>4</v>
      </c>
      <c r="K259">
        <v>244.13348085874799</v>
      </c>
      <c r="L259">
        <v>1245.5999999999999</v>
      </c>
      <c r="M259">
        <v>976.53392343499195</v>
      </c>
      <c r="N259">
        <v>269.06607656500802</v>
      </c>
      <c r="O259" t="s">
        <v>20</v>
      </c>
      <c r="P259">
        <f t="shared" ref="P259:P322" si="8">G259 * J259</f>
        <v>1384</v>
      </c>
      <c r="Q259">
        <f t="shared" ref="Q259:Q322" si="9" xml:space="preserve"> M259 - L259</f>
        <v>-269.06607656500796</v>
      </c>
    </row>
    <row r="260" spans="1:17" x14ac:dyDescent="0.4">
      <c r="A260" t="s">
        <v>562</v>
      </c>
      <c r="B260" s="1">
        <v>45299.916666666664</v>
      </c>
      <c r="C260" t="s">
        <v>46</v>
      </c>
      <c r="D260" t="s">
        <v>563</v>
      </c>
      <c r="E260" t="s">
        <v>104</v>
      </c>
      <c r="F260" t="s">
        <v>25</v>
      </c>
      <c r="G260">
        <v>173</v>
      </c>
      <c r="H260">
        <v>0.05</v>
      </c>
      <c r="I260">
        <v>164.35</v>
      </c>
      <c r="J260">
        <v>7</v>
      </c>
      <c r="K260">
        <v>116.55317407891999</v>
      </c>
      <c r="L260">
        <v>1150.45</v>
      </c>
      <c r="M260">
        <v>815.87221855244297</v>
      </c>
      <c r="N260">
        <v>334.57778144755599</v>
      </c>
      <c r="O260" t="s">
        <v>32</v>
      </c>
      <c r="P260">
        <f t="shared" si="8"/>
        <v>1211</v>
      </c>
      <c r="Q260">
        <f t="shared" si="9"/>
        <v>-334.57778144755707</v>
      </c>
    </row>
    <row r="261" spans="1:17" x14ac:dyDescent="0.4">
      <c r="A261" t="s">
        <v>564</v>
      </c>
      <c r="B261" s="1">
        <v>45729.166666666664</v>
      </c>
      <c r="C261" t="s">
        <v>46</v>
      </c>
      <c r="D261" t="s">
        <v>565</v>
      </c>
      <c r="E261" t="s">
        <v>73</v>
      </c>
      <c r="F261" t="s">
        <v>38</v>
      </c>
      <c r="G261">
        <v>119</v>
      </c>
      <c r="H261">
        <v>0</v>
      </c>
      <c r="I261">
        <v>119</v>
      </c>
      <c r="J261">
        <v>1</v>
      </c>
      <c r="K261">
        <v>58.131540625117097</v>
      </c>
      <c r="L261">
        <v>119</v>
      </c>
      <c r="M261">
        <v>58.131540625117097</v>
      </c>
      <c r="N261">
        <v>60.868459374882796</v>
      </c>
      <c r="O261" t="s">
        <v>51</v>
      </c>
      <c r="P261">
        <f t="shared" si="8"/>
        <v>119</v>
      </c>
      <c r="Q261">
        <f t="shared" si="9"/>
        <v>-60.868459374882903</v>
      </c>
    </row>
    <row r="262" spans="1:17" x14ac:dyDescent="0.4">
      <c r="A262" t="s">
        <v>566</v>
      </c>
      <c r="B262" s="1">
        <v>46015.5</v>
      </c>
      <c r="C262" t="s">
        <v>65</v>
      </c>
      <c r="D262" t="s">
        <v>567</v>
      </c>
      <c r="E262" t="s">
        <v>18</v>
      </c>
      <c r="F262" t="s">
        <v>19</v>
      </c>
      <c r="G262">
        <v>245</v>
      </c>
      <c r="H262">
        <v>0.25</v>
      </c>
      <c r="I262">
        <v>183.75</v>
      </c>
      <c r="J262">
        <v>6</v>
      </c>
      <c r="K262">
        <v>167.090020576049</v>
      </c>
      <c r="L262">
        <v>1102.5</v>
      </c>
      <c r="M262">
        <v>1002.54012345629</v>
      </c>
      <c r="N262">
        <v>99.959876543701895</v>
      </c>
      <c r="O262" t="s">
        <v>32</v>
      </c>
      <c r="P262">
        <f t="shared" si="8"/>
        <v>1470</v>
      </c>
      <c r="Q262">
        <f t="shared" si="9"/>
        <v>-99.959876543710038</v>
      </c>
    </row>
    <row r="263" spans="1:17" x14ac:dyDescent="0.4">
      <c r="A263" t="s">
        <v>568</v>
      </c>
      <c r="B263" s="1">
        <v>45415.958333333336</v>
      </c>
      <c r="C263" t="s">
        <v>22</v>
      </c>
      <c r="D263" t="s">
        <v>569</v>
      </c>
      <c r="E263" t="s">
        <v>82</v>
      </c>
      <c r="F263" t="s">
        <v>25</v>
      </c>
      <c r="G263">
        <v>157</v>
      </c>
      <c r="H263">
        <v>0</v>
      </c>
      <c r="I263">
        <v>157</v>
      </c>
      <c r="J263">
        <v>3</v>
      </c>
      <c r="K263">
        <v>74.9570663697112</v>
      </c>
      <c r="L263">
        <v>471</v>
      </c>
      <c r="M263">
        <v>224.87119910913299</v>
      </c>
      <c r="N263">
        <v>246.12880089086599</v>
      </c>
      <c r="O263" t="s">
        <v>51</v>
      </c>
      <c r="P263">
        <f t="shared" si="8"/>
        <v>471</v>
      </c>
      <c r="Q263">
        <f t="shared" si="9"/>
        <v>-246.12880089086701</v>
      </c>
    </row>
    <row r="264" spans="1:17" x14ac:dyDescent="0.4">
      <c r="A264" t="s">
        <v>570</v>
      </c>
      <c r="B264" s="1">
        <v>45546.25</v>
      </c>
      <c r="C264" t="s">
        <v>28</v>
      </c>
      <c r="D264" t="s">
        <v>571</v>
      </c>
      <c r="E264" t="s">
        <v>110</v>
      </c>
      <c r="F264" t="s">
        <v>19</v>
      </c>
      <c r="G264">
        <v>324</v>
      </c>
      <c r="H264">
        <v>0</v>
      </c>
      <c r="I264">
        <v>324</v>
      </c>
      <c r="J264">
        <v>4</v>
      </c>
      <c r="K264">
        <v>143.05420303509499</v>
      </c>
      <c r="L264">
        <v>1296</v>
      </c>
      <c r="M264">
        <v>572.21681214037994</v>
      </c>
      <c r="N264">
        <v>723.78318785961903</v>
      </c>
      <c r="O264" t="s">
        <v>26</v>
      </c>
      <c r="P264">
        <f t="shared" si="8"/>
        <v>1296</v>
      </c>
      <c r="Q264">
        <f t="shared" si="9"/>
        <v>-723.78318785962006</v>
      </c>
    </row>
    <row r="265" spans="1:17" x14ac:dyDescent="0.4">
      <c r="A265" t="s">
        <v>572</v>
      </c>
      <c r="B265" s="1">
        <v>45367.666666666664</v>
      </c>
      <c r="C265" t="s">
        <v>28</v>
      </c>
      <c r="D265" t="s">
        <v>573</v>
      </c>
      <c r="E265" t="s">
        <v>37</v>
      </c>
      <c r="F265" t="s">
        <v>38</v>
      </c>
      <c r="G265">
        <v>105</v>
      </c>
      <c r="H265">
        <v>0</v>
      </c>
      <c r="I265">
        <v>105</v>
      </c>
      <c r="J265">
        <v>2</v>
      </c>
      <c r="K265">
        <v>56.984742858850403</v>
      </c>
      <c r="L265">
        <v>210</v>
      </c>
      <c r="M265">
        <v>113.9694857177</v>
      </c>
      <c r="N265">
        <v>96.030514282299194</v>
      </c>
      <c r="O265" t="s">
        <v>26</v>
      </c>
      <c r="P265">
        <f t="shared" si="8"/>
        <v>210</v>
      </c>
      <c r="Q265">
        <f t="shared" si="9"/>
        <v>-96.030514282300004</v>
      </c>
    </row>
    <row r="266" spans="1:17" x14ac:dyDescent="0.4">
      <c r="A266" t="s">
        <v>574</v>
      </c>
      <c r="B266" s="1">
        <v>45315.708333333336</v>
      </c>
      <c r="C266" t="s">
        <v>16</v>
      </c>
      <c r="D266" t="s">
        <v>575</v>
      </c>
      <c r="E266" t="s">
        <v>146</v>
      </c>
      <c r="F266" t="s">
        <v>70</v>
      </c>
      <c r="G266">
        <v>328</v>
      </c>
      <c r="H266">
        <v>0.15</v>
      </c>
      <c r="I266">
        <v>278.8</v>
      </c>
      <c r="J266">
        <v>5</v>
      </c>
      <c r="K266">
        <v>156.913196265311</v>
      </c>
      <c r="L266">
        <v>1394</v>
      </c>
      <c r="M266">
        <v>784.56598132655597</v>
      </c>
      <c r="N266">
        <v>609.43401867344301</v>
      </c>
      <c r="O266" t="s">
        <v>26</v>
      </c>
      <c r="P266">
        <f t="shared" si="8"/>
        <v>1640</v>
      </c>
      <c r="Q266">
        <f t="shared" si="9"/>
        <v>-609.43401867344403</v>
      </c>
    </row>
    <row r="267" spans="1:17" x14ac:dyDescent="0.4">
      <c r="A267" t="s">
        <v>576</v>
      </c>
      <c r="B267" s="1">
        <v>45518.75</v>
      </c>
      <c r="C267" t="s">
        <v>22</v>
      </c>
      <c r="D267" t="s">
        <v>577</v>
      </c>
      <c r="E267" t="s">
        <v>73</v>
      </c>
      <c r="F267" t="s">
        <v>38</v>
      </c>
      <c r="G267">
        <v>179</v>
      </c>
      <c r="H267">
        <v>0.15</v>
      </c>
      <c r="I267">
        <v>152.15</v>
      </c>
      <c r="J267">
        <v>2</v>
      </c>
      <c r="K267">
        <v>123.82779725626899</v>
      </c>
      <c r="L267">
        <v>304.3</v>
      </c>
      <c r="M267">
        <v>247.65559451253901</v>
      </c>
      <c r="N267">
        <v>56.644405487460801</v>
      </c>
      <c r="O267" t="s">
        <v>32</v>
      </c>
      <c r="P267">
        <f t="shared" si="8"/>
        <v>358</v>
      </c>
      <c r="Q267">
        <f t="shared" si="9"/>
        <v>-56.644405487461</v>
      </c>
    </row>
    <row r="268" spans="1:17" x14ac:dyDescent="0.4">
      <c r="A268" t="s">
        <v>578</v>
      </c>
      <c r="B268" s="1">
        <v>45370.958333333336</v>
      </c>
      <c r="C268" t="s">
        <v>22</v>
      </c>
      <c r="D268" t="s">
        <v>579</v>
      </c>
      <c r="E268" t="s">
        <v>146</v>
      </c>
      <c r="F268" t="s">
        <v>70</v>
      </c>
      <c r="G268">
        <v>243</v>
      </c>
      <c r="H268">
        <v>0.1</v>
      </c>
      <c r="I268">
        <v>218.7</v>
      </c>
      <c r="J268">
        <v>2</v>
      </c>
      <c r="K268">
        <v>142.93843859975399</v>
      </c>
      <c r="L268">
        <v>437.4</v>
      </c>
      <c r="M268">
        <v>285.87687719950799</v>
      </c>
      <c r="N268">
        <v>151.523122800491</v>
      </c>
      <c r="O268" t="s">
        <v>32</v>
      </c>
      <c r="P268">
        <f t="shared" si="8"/>
        <v>486</v>
      </c>
      <c r="Q268">
        <f t="shared" si="9"/>
        <v>-151.52312280049199</v>
      </c>
    </row>
    <row r="269" spans="1:17" x14ac:dyDescent="0.4">
      <c r="A269" t="s">
        <v>580</v>
      </c>
      <c r="B269" s="1">
        <v>45452.958333333336</v>
      </c>
      <c r="C269" t="s">
        <v>46</v>
      </c>
      <c r="D269" t="s">
        <v>581</v>
      </c>
      <c r="E269" t="s">
        <v>213</v>
      </c>
      <c r="F269" t="s">
        <v>31</v>
      </c>
      <c r="G269">
        <v>287</v>
      </c>
      <c r="H269">
        <v>0.2</v>
      </c>
      <c r="I269">
        <v>229.6</v>
      </c>
      <c r="J269">
        <v>6</v>
      </c>
      <c r="K269">
        <v>130.49869862427499</v>
      </c>
      <c r="L269">
        <v>1377.6</v>
      </c>
      <c r="M269">
        <v>782.99219174564996</v>
      </c>
      <c r="N269">
        <v>594.60780825434995</v>
      </c>
      <c r="O269" t="s">
        <v>26</v>
      </c>
      <c r="P269">
        <f t="shared" si="8"/>
        <v>1722</v>
      </c>
      <c r="Q269">
        <f t="shared" si="9"/>
        <v>-594.60780825434995</v>
      </c>
    </row>
    <row r="270" spans="1:17" x14ac:dyDescent="0.4">
      <c r="A270" t="s">
        <v>582</v>
      </c>
      <c r="B270" s="1">
        <v>45830.041666666664</v>
      </c>
      <c r="C270" t="s">
        <v>65</v>
      </c>
      <c r="D270" t="s">
        <v>583</v>
      </c>
      <c r="E270" t="s">
        <v>69</v>
      </c>
      <c r="F270" t="s">
        <v>70</v>
      </c>
      <c r="G270">
        <v>338</v>
      </c>
      <c r="H270">
        <v>0</v>
      </c>
      <c r="I270">
        <v>338</v>
      </c>
      <c r="J270">
        <v>7</v>
      </c>
      <c r="K270">
        <v>221.73483635287801</v>
      </c>
      <c r="L270">
        <v>2366</v>
      </c>
      <c r="M270">
        <v>1552.14385447015</v>
      </c>
      <c r="N270">
        <v>813.85614552984896</v>
      </c>
      <c r="O270" t="s">
        <v>32</v>
      </c>
      <c r="P270">
        <f t="shared" si="8"/>
        <v>2366</v>
      </c>
      <c r="Q270">
        <f t="shared" si="9"/>
        <v>-813.85614552984998</v>
      </c>
    </row>
    <row r="271" spans="1:17" x14ac:dyDescent="0.4">
      <c r="A271" t="s">
        <v>584</v>
      </c>
      <c r="B271" s="1">
        <v>45602.625</v>
      </c>
      <c r="C271" t="s">
        <v>28</v>
      </c>
      <c r="D271" t="s">
        <v>585</v>
      </c>
      <c r="E271" t="s">
        <v>69</v>
      </c>
      <c r="F271" t="s">
        <v>70</v>
      </c>
      <c r="G271">
        <v>182</v>
      </c>
      <c r="H271">
        <v>0.15</v>
      </c>
      <c r="I271">
        <v>154.69999999999999</v>
      </c>
      <c r="J271">
        <v>1</v>
      </c>
      <c r="K271">
        <v>90.999064140651498</v>
      </c>
      <c r="L271">
        <v>154.69999999999999</v>
      </c>
      <c r="M271">
        <v>90.999064140651498</v>
      </c>
      <c r="N271">
        <v>63.700935859348398</v>
      </c>
      <c r="O271" t="s">
        <v>32</v>
      </c>
      <c r="P271">
        <f t="shared" si="8"/>
        <v>182</v>
      </c>
      <c r="Q271">
        <f t="shared" si="9"/>
        <v>-63.70093585934849</v>
      </c>
    </row>
    <row r="272" spans="1:17" x14ac:dyDescent="0.4">
      <c r="A272" t="s">
        <v>586</v>
      </c>
      <c r="B272" s="1">
        <v>45459.25</v>
      </c>
      <c r="C272" t="s">
        <v>22</v>
      </c>
      <c r="D272" t="s">
        <v>587</v>
      </c>
      <c r="E272" t="s">
        <v>146</v>
      </c>
      <c r="F272" t="s">
        <v>70</v>
      </c>
      <c r="G272">
        <v>300</v>
      </c>
      <c r="H272">
        <v>0.05</v>
      </c>
      <c r="I272">
        <v>285</v>
      </c>
      <c r="J272">
        <v>2</v>
      </c>
      <c r="K272">
        <v>206.569509348477</v>
      </c>
      <c r="L272">
        <v>570</v>
      </c>
      <c r="M272">
        <v>413.13901869695502</v>
      </c>
      <c r="N272">
        <v>156.86098130304401</v>
      </c>
      <c r="O272" t="s">
        <v>51</v>
      </c>
      <c r="P272">
        <f t="shared" si="8"/>
        <v>600</v>
      </c>
      <c r="Q272">
        <f t="shared" si="9"/>
        <v>-156.86098130304498</v>
      </c>
    </row>
    <row r="273" spans="1:17" x14ac:dyDescent="0.4">
      <c r="A273" t="s">
        <v>588</v>
      </c>
      <c r="B273" s="1">
        <v>45754.208333333336</v>
      </c>
      <c r="C273" t="s">
        <v>46</v>
      </c>
      <c r="D273" t="s">
        <v>589</v>
      </c>
      <c r="E273" t="s">
        <v>104</v>
      </c>
      <c r="F273" t="s">
        <v>25</v>
      </c>
      <c r="G273">
        <v>187</v>
      </c>
      <c r="H273">
        <v>0.05</v>
      </c>
      <c r="I273">
        <v>177.65</v>
      </c>
      <c r="J273">
        <v>7</v>
      </c>
      <c r="K273">
        <v>107.556240323476</v>
      </c>
      <c r="L273">
        <v>1243.55</v>
      </c>
      <c r="M273">
        <v>752.89368226433703</v>
      </c>
      <c r="N273">
        <v>490.65631773566201</v>
      </c>
      <c r="O273" t="s">
        <v>32</v>
      </c>
      <c r="P273">
        <f t="shared" si="8"/>
        <v>1309</v>
      </c>
      <c r="Q273">
        <f t="shared" si="9"/>
        <v>-490.65631773566292</v>
      </c>
    </row>
    <row r="274" spans="1:17" x14ac:dyDescent="0.4">
      <c r="A274" t="s">
        <v>590</v>
      </c>
      <c r="B274" s="1">
        <v>45417.375</v>
      </c>
      <c r="C274" t="s">
        <v>46</v>
      </c>
      <c r="D274" t="s">
        <v>591</v>
      </c>
      <c r="E274" t="s">
        <v>73</v>
      </c>
      <c r="F274" t="s">
        <v>38</v>
      </c>
      <c r="G274">
        <v>281</v>
      </c>
      <c r="H274">
        <v>0.1</v>
      </c>
      <c r="I274">
        <v>252.9</v>
      </c>
      <c r="J274">
        <v>3</v>
      </c>
      <c r="K274">
        <v>167.41752362028501</v>
      </c>
      <c r="L274">
        <v>758.7</v>
      </c>
      <c r="M274">
        <v>502.252570860856</v>
      </c>
      <c r="N274">
        <v>256.44742913914303</v>
      </c>
      <c r="O274" t="s">
        <v>20</v>
      </c>
      <c r="P274">
        <f t="shared" si="8"/>
        <v>843</v>
      </c>
      <c r="Q274">
        <f t="shared" si="9"/>
        <v>-256.44742913914405</v>
      </c>
    </row>
    <row r="275" spans="1:17" x14ac:dyDescent="0.4">
      <c r="A275" t="s">
        <v>592</v>
      </c>
      <c r="B275" s="1">
        <v>45981.083333333336</v>
      </c>
      <c r="C275" t="s">
        <v>16</v>
      </c>
      <c r="D275" t="s">
        <v>593</v>
      </c>
      <c r="E275" t="s">
        <v>213</v>
      </c>
      <c r="F275" t="s">
        <v>31</v>
      </c>
      <c r="G275">
        <v>293</v>
      </c>
      <c r="H275">
        <v>0.2</v>
      </c>
      <c r="I275">
        <v>234.4</v>
      </c>
      <c r="J275">
        <v>3</v>
      </c>
      <c r="K275">
        <v>214.28985289318899</v>
      </c>
      <c r="L275">
        <v>703.2</v>
      </c>
      <c r="M275">
        <v>642.86955867956704</v>
      </c>
      <c r="N275">
        <v>60.3304413204322</v>
      </c>
      <c r="O275" t="s">
        <v>20</v>
      </c>
      <c r="P275">
        <f t="shared" si="8"/>
        <v>879</v>
      </c>
      <c r="Q275">
        <f t="shared" si="9"/>
        <v>-60.33044132043301</v>
      </c>
    </row>
    <row r="276" spans="1:17" x14ac:dyDescent="0.4">
      <c r="A276" t="s">
        <v>594</v>
      </c>
      <c r="B276" s="1">
        <v>45739.041666666664</v>
      </c>
      <c r="C276" t="s">
        <v>43</v>
      </c>
      <c r="D276" t="s">
        <v>595</v>
      </c>
      <c r="E276" t="s">
        <v>73</v>
      </c>
      <c r="F276" t="s">
        <v>38</v>
      </c>
      <c r="G276">
        <v>155</v>
      </c>
      <c r="H276">
        <v>0.15</v>
      </c>
      <c r="I276">
        <v>131.75</v>
      </c>
      <c r="J276">
        <v>1</v>
      </c>
      <c r="K276">
        <v>85.380876679204505</v>
      </c>
      <c r="L276">
        <v>131.75</v>
      </c>
      <c r="M276">
        <v>85.380876679204505</v>
      </c>
      <c r="N276">
        <v>46.369123320795403</v>
      </c>
      <c r="O276" t="s">
        <v>32</v>
      </c>
      <c r="P276">
        <f t="shared" si="8"/>
        <v>155</v>
      </c>
      <c r="Q276">
        <f t="shared" si="9"/>
        <v>-46.369123320795495</v>
      </c>
    </row>
    <row r="277" spans="1:17" x14ac:dyDescent="0.4">
      <c r="A277" t="s">
        <v>596</v>
      </c>
      <c r="B277" s="1">
        <v>45350.708333333336</v>
      </c>
      <c r="C277" t="s">
        <v>28</v>
      </c>
      <c r="D277" t="s">
        <v>597</v>
      </c>
      <c r="E277" t="s">
        <v>73</v>
      </c>
      <c r="F277" t="s">
        <v>38</v>
      </c>
      <c r="G277">
        <v>254</v>
      </c>
      <c r="H277">
        <v>0.1</v>
      </c>
      <c r="I277">
        <v>228.6</v>
      </c>
      <c r="J277">
        <v>4</v>
      </c>
      <c r="K277">
        <v>150.18016435963</v>
      </c>
      <c r="L277">
        <v>914.4</v>
      </c>
      <c r="M277">
        <v>600.72065743852102</v>
      </c>
      <c r="N277">
        <v>313.67934256147799</v>
      </c>
      <c r="O277" t="s">
        <v>32</v>
      </c>
      <c r="P277">
        <f t="shared" si="8"/>
        <v>1016</v>
      </c>
      <c r="Q277">
        <f t="shared" si="9"/>
        <v>-313.67934256147896</v>
      </c>
    </row>
    <row r="278" spans="1:17" x14ac:dyDescent="0.4">
      <c r="A278" t="s">
        <v>598</v>
      </c>
      <c r="B278" s="1">
        <v>45802.375</v>
      </c>
      <c r="C278" t="s">
        <v>46</v>
      </c>
      <c r="D278" t="s">
        <v>412</v>
      </c>
      <c r="E278" t="s">
        <v>69</v>
      </c>
      <c r="F278" t="s">
        <v>70</v>
      </c>
      <c r="G278">
        <v>104</v>
      </c>
      <c r="H278">
        <v>0.2</v>
      </c>
      <c r="I278">
        <v>83.2</v>
      </c>
      <c r="J278">
        <v>2</v>
      </c>
      <c r="K278">
        <v>44.662246906241499</v>
      </c>
      <c r="L278">
        <v>166.4</v>
      </c>
      <c r="M278">
        <v>89.324493812482999</v>
      </c>
      <c r="N278">
        <v>77.075506187516893</v>
      </c>
      <c r="O278" t="s">
        <v>32</v>
      </c>
      <c r="P278">
        <f t="shared" si="8"/>
        <v>208</v>
      </c>
      <c r="Q278">
        <f t="shared" si="9"/>
        <v>-77.075506187517007</v>
      </c>
    </row>
    <row r="279" spans="1:17" x14ac:dyDescent="0.4">
      <c r="A279" t="s">
        <v>599</v>
      </c>
      <c r="B279" s="1">
        <v>45324.666666666664</v>
      </c>
      <c r="C279" t="s">
        <v>43</v>
      </c>
      <c r="D279" t="s">
        <v>600</v>
      </c>
      <c r="E279" t="s">
        <v>73</v>
      </c>
      <c r="F279" t="s">
        <v>38</v>
      </c>
      <c r="G279">
        <v>195</v>
      </c>
      <c r="H279">
        <v>0.05</v>
      </c>
      <c r="I279">
        <v>185.25</v>
      </c>
      <c r="J279">
        <v>2</v>
      </c>
      <c r="K279">
        <v>93.957725858601606</v>
      </c>
      <c r="L279">
        <v>370.5</v>
      </c>
      <c r="M279">
        <v>187.91545171720301</v>
      </c>
      <c r="N279">
        <v>182.58454828279599</v>
      </c>
      <c r="O279" t="s">
        <v>51</v>
      </c>
      <c r="P279">
        <f t="shared" si="8"/>
        <v>390</v>
      </c>
      <c r="Q279">
        <f t="shared" si="9"/>
        <v>-182.58454828279699</v>
      </c>
    </row>
    <row r="280" spans="1:17" x14ac:dyDescent="0.4">
      <c r="A280" t="s">
        <v>601</v>
      </c>
      <c r="B280" s="1">
        <v>45629.333333333336</v>
      </c>
      <c r="C280" t="s">
        <v>46</v>
      </c>
      <c r="D280" t="s">
        <v>602</v>
      </c>
      <c r="E280" t="s">
        <v>110</v>
      </c>
      <c r="F280" t="s">
        <v>19</v>
      </c>
      <c r="G280">
        <v>288</v>
      </c>
      <c r="H280">
        <v>0</v>
      </c>
      <c r="I280">
        <v>288</v>
      </c>
      <c r="J280">
        <v>2</v>
      </c>
      <c r="K280">
        <v>208.58755083398299</v>
      </c>
      <c r="L280">
        <v>576</v>
      </c>
      <c r="M280">
        <v>417.17510166796598</v>
      </c>
      <c r="N280">
        <v>158.824898332033</v>
      </c>
      <c r="O280" t="s">
        <v>32</v>
      </c>
      <c r="P280">
        <f t="shared" si="8"/>
        <v>576</v>
      </c>
      <c r="Q280">
        <f t="shared" si="9"/>
        <v>-158.82489833203402</v>
      </c>
    </row>
    <row r="281" spans="1:17" x14ac:dyDescent="0.4">
      <c r="A281" t="s">
        <v>603</v>
      </c>
      <c r="B281" s="1">
        <v>45607</v>
      </c>
      <c r="C281" t="s">
        <v>28</v>
      </c>
      <c r="D281" t="s">
        <v>604</v>
      </c>
      <c r="E281" t="s">
        <v>110</v>
      </c>
      <c r="F281" t="s">
        <v>19</v>
      </c>
      <c r="G281">
        <v>97</v>
      </c>
      <c r="H281">
        <v>0.25</v>
      </c>
      <c r="I281">
        <v>72.75</v>
      </c>
      <c r="J281">
        <v>3</v>
      </c>
      <c r="K281">
        <v>58.601418719011299</v>
      </c>
      <c r="L281">
        <v>218.25</v>
      </c>
      <c r="M281">
        <v>175.804256157033</v>
      </c>
      <c r="N281">
        <v>42.445743842966003</v>
      </c>
      <c r="O281" t="s">
        <v>32</v>
      </c>
      <c r="P281">
        <f t="shared" si="8"/>
        <v>291</v>
      </c>
      <c r="Q281">
        <f t="shared" si="9"/>
        <v>-42.445743842967005</v>
      </c>
    </row>
    <row r="282" spans="1:17" x14ac:dyDescent="0.4">
      <c r="A282" t="s">
        <v>605</v>
      </c>
      <c r="B282" s="1">
        <v>45814.208333333336</v>
      </c>
      <c r="C282" t="s">
        <v>28</v>
      </c>
      <c r="D282" t="s">
        <v>606</v>
      </c>
      <c r="E282" t="s">
        <v>213</v>
      </c>
      <c r="F282" t="s">
        <v>31</v>
      </c>
      <c r="G282">
        <v>325</v>
      </c>
      <c r="H282">
        <v>0.1</v>
      </c>
      <c r="I282">
        <v>292.5</v>
      </c>
      <c r="J282">
        <v>3</v>
      </c>
      <c r="K282">
        <v>190.89810330941199</v>
      </c>
      <c r="L282">
        <v>877.5</v>
      </c>
      <c r="M282">
        <v>572.694309928238</v>
      </c>
      <c r="N282">
        <v>304.80569007176098</v>
      </c>
      <c r="O282" t="s">
        <v>32</v>
      </c>
      <c r="P282">
        <f t="shared" si="8"/>
        <v>975</v>
      </c>
      <c r="Q282">
        <f t="shared" si="9"/>
        <v>-304.805690071762</v>
      </c>
    </row>
    <row r="283" spans="1:17" x14ac:dyDescent="0.4">
      <c r="A283" t="s">
        <v>607</v>
      </c>
      <c r="B283" s="1">
        <v>45597.958333333336</v>
      </c>
      <c r="C283" t="s">
        <v>22</v>
      </c>
      <c r="D283" t="s">
        <v>608</v>
      </c>
      <c r="E283" t="s">
        <v>110</v>
      </c>
      <c r="F283" t="s">
        <v>19</v>
      </c>
      <c r="G283">
        <v>332</v>
      </c>
      <c r="H283">
        <v>0.05</v>
      </c>
      <c r="I283">
        <v>315.39999999999998</v>
      </c>
      <c r="J283">
        <v>4</v>
      </c>
      <c r="K283">
        <v>227.77087727917799</v>
      </c>
      <c r="L283">
        <v>1261.5999999999999</v>
      </c>
      <c r="M283">
        <v>911.08350911671198</v>
      </c>
      <c r="N283">
        <v>350.51649088328702</v>
      </c>
      <c r="O283" t="s">
        <v>32</v>
      </c>
      <c r="P283">
        <f t="shared" si="8"/>
        <v>1328</v>
      </c>
      <c r="Q283">
        <f t="shared" si="9"/>
        <v>-350.51649088328793</v>
      </c>
    </row>
    <row r="284" spans="1:17" x14ac:dyDescent="0.4">
      <c r="A284" t="s">
        <v>609</v>
      </c>
      <c r="B284" s="1">
        <v>45592.25</v>
      </c>
      <c r="C284" t="s">
        <v>28</v>
      </c>
      <c r="D284" t="s">
        <v>610</v>
      </c>
      <c r="E284" t="s">
        <v>82</v>
      </c>
      <c r="F284" t="s">
        <v>25</v>
      </c>
      <c r="G284">
        <v>254</v>
      </c>
      <c r="H284">
        <v>0.25</v>
      </c>
      <c r="I284">
        <v>190.5</v>
      </c>
      <c r="J284">
        <v>6</v>
      </c>
      <c r="K284">
        <v>126.46941653467</v>
      </c>
      <c r="L284">
        <v>1143</v>
      </c>
      <c r="M284">
        <v>758.81649920802204</v>
      </c>
      <c r="N284">
        <v>384.183500791977</v>
      </c>
      <c r="O284" t="s">
        <v>32</v>
      </c>
      <c r="P284">
        <f t="shared" si="8"/>
        <v>1524</v>
      </c>
      <c r="Q284">
        <f t="shared" si="9"/>
        <v>-384.18350079197796</v>
      </c>
    </row>
    <row r="285" spans="1:17" x14ac:dyDescent="0.4">
      <c r="A285" t="s">
        <v>611</v>
      </c>
      <c r="B285" s="1">
        <v>45533.708333333336</v>
      </c>
      <c r="C285" t="s">
        <v>43</v>
      </c>
      <c r="D285" t="s">
        <v>612</v>
      </c>
      <c r="E285" t="s">
        <v>97</v>
      </c>
      <c r="F285" t="s">
        <v>61</v>
      </c>
      <c r="G285">
        <v>274</v>
      </c>
      <c r="H285">
        <v>0.1</v>
      </c>
      <c r="I285">
        <v>246.6</v>
      </c>
      <c r="J285">
        <v>7</v>
      </c>
      <c r="K285">
        <v>160.42130228660901</v>
      </c>
      <c r="L285">
        <v>1726.2</v>
      </c>
      <c r="M285">
        <v>1122.9491160062601</v>
      </c>
      <c r="N285">
        <v>603.25088399373396</v>
      </c>
      <c r="O285" t="s">
        <v>26</v>
      </c>
      <c r="P285">
        <f t="shared" si="8"/>
        <v>1918</v>
      </c>
      <c r="Q285">
        <f t="shared" si="9"/>
        <v>-603.25088399373999</v>
      </c>
    </row>
    <row r="286" spans="1:17" x14ac:dyDescent="0.4">
      <c r="A286" t="s">
        <v>613</v>
      </c>
      <c r="B286" s="1">
        <v>45997.041666666664</v>
      </c>
      <c r="C286" t="s">
        <v>28</v>
      </c>
      <c r="D286" t="s">
        <v>614</v>
      </c>
      <c r="E286" t="s">
        <v>94</v>
      </c>
      <c r="F286" t="s">
        <v>61</v>
      </c>
      <c r="G286">
        <v>227</v>
      </c>
      <c r="H286">
        <v>0.15</v>
      </c>
      <c r="I286">
        <v>192.95</v>
      </c>
      <c r="J286">
        <v>7</v>
      </c>
      <c r="K286">
        <v>119.48738700779499</v>
      </c>
      <c r="L286">
        <v>1350.6499999999901</v>
      </c>
      <c r="M286">
        <v>836.41170905456704</v>
      </c>
      <c r="N286">
        <v>514.23829094543203</v>
      </c>
      <c r="O286" t="s">
        <v>26</v>
      </c>
      <c r="P286">
        <f t="shared" si="8"/>
        <v>1589</v>
      </c>
      <c r="Q286">
        <f t="shared" si="9"/>
        <v>-514.23829094542305</v>
      </c>
    </row>
    <row r="287" spans="1:17" x14ac:dyDescent="0.4">
      <c r="A287" t="s">
        <v>615</v>
      </c>
      <c r="B287" s="1">
        <v>45541.416666666664</v>
      </c>
      <c r="C287" t="s">
        <v>43</v>
      </c>
      <c r="D287" t="s">
        <v>616</v>
      </c>
      <c r="E287" t="s">
        <v>60</v>
      </c>
      <c r="F287" t="s">
        <v>61</v>
      </c>
      <c r="G287">
        <v>109</v>
      </c>
      <c r="H287">
        <v>0.05</v>
      </c>
      <c r="I287">
        <v>103.55</v>
      </c>
      <c r="J287">
        <v>7</v>
      </c>
      <c r="K287">
        <v>74.228773623180004</v>
      </c>
      <c r="L287">
        <v>724.85</v>
      </c>
      <c r="M287">
        <v>519.60141536226001</v>
      </c>
      <c r="N287">
        <v>205.24858463773899</v>
      </c>
      <c r="O287" t="s">
        <v>105</v>
      </c>
      <c r="P287">
        <f t="shared" si="8"/>
        <v>763</v>
      </c>
      <c r="Q287">
        <f t="shared" si="9"/>
        <v>-205.24858463774001</v>
      </c>
    </row>
    <row r="288" spans="1:17" x14ac:dyDescent="0.4">
      <c r="A288" t="s">
        <v>617</v>
      </c>
      <c r="B288" s="1">
        <v>45735.625</v>
      </c>
      <c r="C288" t="s">
        <v>43</v>
      </c>
      <c r="D288" t="s">
        <v>618</v>
      </c>
      <c r="E288" t="s">
        <v>41</v>
      </c>
      <c r="F288" t="s">
        <v>31</v>
      </c>
      <c r="G288">
        <v>259</v>
      </c>
      <c r="H288">
        <v>0.25</v>
      </c>
      <c r="I288">
        <v>194.25</v>
      </c>
      <c r="J288">
        <v>4</v>
      </c>
      <c r="K288">
        <v>114.66940891853601</v>
      </c>
      <c r="L288">
        <v>777</v>
      </c>
      <c r="M288">
        <v>458.67763567414602</v>
      </c>
      <c r="N288">
        <v>318.32236432585302</v>
      </c>
      <c r="O288" t="s">
        <v>32</v>
      </c>
      <c r="P288">
        <f t="shared" si="8"/>
        <v>1036</v>
      </c>
      <c r="Q288">
        <f t="shared" si="9"/>
        <v>-318.32236432585398</v>
      </c>
    </row>
    <row r="289" spans="1:17" x14ac:dyDescent="0.4">
      <c r="A289" t="s">
        <v>619</v>
      </c>
      <c r="B289" s="1">
        <v>45655.166666666664</v>
      </c>
      <c r="C289" t="s">
        <v>43</v>
      </c>
      <c r="D289" t="s">
        <v>620</v>
      </c>
      <c r="E289" t="s">
        <v>73</v>
      </c>
      <c r="F289" t="s">
        <v>38</v>
      </c>
      <c r="G289">
        <v>129</v>
      </c>
      <c r="H289">
        <v>0.05</v>
      </c>
      <c r="I289">
        <v>122.55</v>
      </c>
      <c r="J289">
        <v>4</v>
      </c>
      <c r="K289">
        <v>81.235821551222202</v>
      </c>
      <c r="L289">
        <v>490.2</v>
      </c>
      <c r="M289">
        <v>324.94328620488898</v>
      </c>
      <c r="N289">
        <v>165.25671379511101</v>
      </c>
      <c r="O289" t="s">
        <v>32</v>
      </c>
      <c r="P289">
        <f t="shared" si="8"/>
        <v>516</v>
      </c>
      <c r="Q289">
        <f t="shared" si="9"/>
        <v>-165.25671379511101</v>
      </c>
    </row>
    <row r="290" spans="1:17" x14ac:dyDescent="0.4">
      <c r="A290" t="s">
        <v>621</v>
      </c>
      <c r="B290" s="1">
        <v>45805.458333333336</v>
      </c>
      <c r="C290" t="s">
        <v>16</v>
      </c>
      <c r="D290" t="s">
        <v>622</v>
      </c>
      <c r="E290" t="s">
        <v>30</v>
      </c>
      <c r="F290" t="s">
        <v>31</v>
      </c>
      <c r="G290">
        <v>156</v>
      </c>
      <c r="H290">
        <v>0</v>
      </c>
      <c r="I290">
        <v>156</v>
      </c>
      <c r="J290">
        <v>2</v>
      </c>
      <c r="K290">
        <v>89.952198743580098</v>
      </c>
      <c r="L290">
        <v>312</v>
      </c>
      <c r="M290">
        <v>179.90439748716</v>
      </c>
      <c r="N290">
        <v>132.09560251283901</v>
      </c>
      <c r="O290" t="s">
        <v>32</v>
      </c>
      <c r="P290">
        <f t="shared" si="8"/>
        <v>312</v>
      </c>
      <c r="Q290">
        <f t="shared" si="9"/>
        <v>-132.09560251284</v>
      </c>
    </row>
    <row r="291" spans="1:17" x14ac:dyDescent="0.4">
      <c r="A291" t="s">
        <v>623</v>
      </c>
      <c r="B291" s="1">
        <v>45491.166666666664</v>
      </c>
      <c r="C291" t="s">
        <v>46</v>
      </c>
      <c r="D291" t="s">
        <v>624</v>
      </c>
      <c r="E291" t="s">
        <v>73</v>
      </c>
      <c r="F291" t="s">
        <v>38</v>
      </c>
      <c r="G291">
        <v>268</v>
      </c>
      <c r="H291">
        <v>0.15</v>
      </c>
      <c r="I291">
        <v>227.79999999999899</v>
      </c>
      <c r="J291">
        <v>7</v>
      </c>
      <c r="K291">
        <v>151.06849773108101</v>
      </c>
      <c r="L291">
        <v>1594.6</v>
      </c>
      <c r="M291">
        <v>1057.4794841175701</v>
      </c>
      <c r="N291">
        <v>537.120515882429</v>
      </c>
      <c r="O291" t="s">
        <v>32</v>
      </c>
      <c r="P291">
        <f t="shared" si="8"/>
        <v>1876</v>
      </c>
      <c r="Q291">
        <f t="shared" si="9"/>
        <v>-537.1205158824298</v>
      </c>
    </row>
    <row r="292" spans="1:17" x14ac:dyDescent="0.4">
      <c r="A292" t="s">
        <v>625</v>
      </c>
      <c r="B292" s="1">
        <v>45390.666666666664</v>
      </c>
      <c r="C292" t="s">
        <v>43</v>
      </c>
      <c r="D292" t="s">
        <v>626</v>
      </c>
      <c r="E292" t="s">
        <v>85</v>
      </c>
      <c r="F292" t="s">
        <v>70</v>
      </c>
      <c r="G292">
        <v>223</v>
      </c>
      <c r="H292">
        <v>0.15</v>
      </c>
      <c r="I292">
        <v>189.54999999999899</v>
      </c>
      <c r="J292">
        <v>7</v>
      </c>
      <c r="K292">
        <v>162.132498674706</v>
      </c>
      <c r="L292">
        <v>1326.85</v>
      </c>
      <c r="M292">
        <v>1134.9274907229401</v>
      </c>
      <c r="N292">
        <v>191.922509277057</v>
      </c>
      <c r="O292" t="s">
        <v>51</v>
      </c>
      <c r="P292">
        <f t="shared" si="8"/>
        <v>1561</v>
      </c>
      <c r="Q292">
        <f t="shared" si="9"/>
        <v>-191.92250927705982</v>
      </c>
    </row>
    <row r="293" spans="1:17" x14ac:dyDescent="0.4">
      <c r="A293" t="s">
        <v>627</v>
      </c>
      <c r="B293" s="1">
        <v>45793.625</v>
      </c>
      <c r="C293" t="s">
        <v>65</v>
      </c>
      <c r="D293" t="s">
        <v>628</v>
      </c>
      <c r="E293" t="s">
        <v>48</v>
      </c>
      <c r="F293" t="s">
        <v>19</v>
      </c>
      <c r="G293">
        <v>83</v>
      </c>
      <c r="H293">
        <v>0.15</v>
      </c>
      <c r="I293">
        <v>70.55</v>
      </c>
      <c r="J293">
        <v>7</v>
      </c>
      <c r="K293">
        <v>56.973951339845499</v>
      </c>
      <c r="L293">
        <v>493.849999999999</v>
      </c>
      <c r="M293">
        <v>398.81765937891799</v>
      </c>
      <c r="N293">
        <v>95.032340621081403</v>
      </c>
      <c r="O293" t="s">
        <v>32</v>
      </c>
      <c r="P293">
        <f t="shared" si="8"/>
        <v>581</v>
      </c>
      <c r="Q293">
        <f t="shared" si="9"/>
        <v>-95.032340621081005</v>
      </c>
    </row>
    <row r="294" spans="1:17" x14ac:dyDescent="0.4">
      <c r="A294" t="s">
        <v>629</v>
      </c>
      <c r="B294" s="1">
        <v>45569.291666666664</v>
      </c>
      <c r="C294" t="s">
        <v>16</v>
      </c>
      <c r="D294" t="s">
        <v>630</v>
      </c>
      <c r="E294" t="s">
        <v>110</v>
      </c>
      <c r="F294" t="s">
        <v>19</v>
      </c>
      <c r="G294">
        <v>260</v>
      </c>
      <c r="H294">
        <v>0.2</v>
      </c>
      <c r="I294">
        <v>208</v>
      </c>
      <c r="J294">
        <v>2</v>
      </c>
      <c r="K294">
        <v>158.824754594014</v>
      </c>
      <c r="L294">
        <v>416</v>
      </c>
      <c r="M294">
        <v>317.64950918802799</v>
      </c>
      <c r="N294">
        <v>98.350490811971099</v>
      </c>
      <c r="O294" t="s">
        <v>32</v>
      </c>
      <c r="P294">
        <f t="shared" si="8"/>
        <v>520</v>
      </c>
      <c r="Q294">
        <f t="shared" si="9"/>
        <v>-98.350490811972008</v>
      </c>
    </row>
    <row r="295" spans="1:17" x14ac:dyDescent="0.4">
      <c r="A295" t="s">
        <v>631</v>
      </c>
      <c r="B295" s="1">
        <v>45632.541666666664</v>
      </c>
      <c r="C295" t="s">
        <v>46</v>
      </c>
      <c r="D295" t="s">
        <v>632</v>
      </c>
      <c r="E295" t="s">
        <v>85</v>
      </c>
      <c r="F295" t="s">
        <v>70</v>
      </c>
      <c r="G295">
        <v>250</v>
      </c>
      <c r="H295">
        <v>0</v>
      </c>
      <c r="I295">
        <v>250</v>
      </c>
      <c r="J295">
        <v>3</v>
      </c>
      <c r="K295">
        <v>128.37882051825699</v>
      </c>
      <c r="L295">
        <v>750</v>
      </c>
      <c r="M295">
        <v>385.13646155477301</v>
      </c>
      <c r="N295">
        <v>364.86353844522603</v>
      </c>
      <c r="O295" t="s">
        <v>26</v>
      </c>
      <c r="P295">
        <f t="shared" si="8"/>
        <v>750</v>
      </c>
      <c r="Q295">
        <f t="shared" si="9"/>
        <v>-364.86353844522699</v>
      </c>
    </row>
    <row r="296" spans="1:17" x14ac:dyDescent="0.4">
      <c r="A296" t="s">
        <v>633</v>
      </c>
      <c r="B296" s="1">
        <v>45479.291666666664</v>
      </c>
      <c r="C296" t="s">
        <v>28</v>
      </c>
      <c r="D296" t="s">
        <v>634</v>
      </c>
      <c r="E296" t="s">
        <v>146</v>
      </c>
      <c r="F296" t="s">
        <v>70</v>
      </c>
      <c r="G296">
        <v>223</v>
      </c>
      <c r="H296">
        <v>0</v>
      </c>
      <c r="I296">
        <v>223</v>
      </c>
      <c r="J296">
        <v>6</v>
      </c>
      <c r="K296">
        <v>122.688317924073</v>
      </c>
      <c r="L296">
        <v>1338</v>
      </c>
      <c r="M296">
        <v>736.12990754443797</v>
      </c>
      <c r="N296">
        <v>601.87009245556101</v>
      </c>
      <c r="O296" t="s">
        <v>20</v>
      </c>
      <c r="P296">
        <f t="shared" si="8"/>
        <v>1338</v>
      </c>
      <c r="Q296">
        <f t="shared" si="9"/>
        <v>-601.87009245556203</v>
      </c>
    </row>
    <row r="297" spans="1:17" x14ac:dyDescent="0.4">
      <c r="A297" t="s">
        <v>635</v>
      </c>
      <c r="B297" s="1">
        <v>45745.875</v>
      </c>
      <c r="C297" t="s">
        <v>28</v>
      </c>
      <c r="D297" t="s">
        <v>636</v>
      </c>
      <c r="E297" t="s">
        <v>146</v>
      </c>
      <c r="F297" t="s">
        <v>70</v>
      </c>
      <c r="G297">
        <v>121</v>
      </c>
      <c r="H297">
        <v>0.05</v>
      </c>
      <c r="I297">
        <v>114.94999999999899</v>
      </c>
      <c r="J297">
        <v>6</v>
      </c>
      <c r="K297">
        <v>53.946738015803199</v>
      </c>
      <c r="L297">
        <v>689.69999999999902</v>
      </c>
      <c r="M297">
        <v>323.68042809481898</v>
      </c>
      <c r="N297">
        <v>366.01957190517999</v>
      </c>
      <c r="O297" t="s">
        <v>51</v>
      </c>
      <c r="P297">
        <f t="shared" si="8"/>
        <v>726</v>
      </c>
      <c r="Q297">
        <f t="shared" si="9"/>
        <v>-366.01957190518004</v>
      </c>
    </row>
    <row r="298" spans="1:17" x14ac:dyDescent="0.4">
      <c r="A298" t="s">
        <v>637</v>
      </c>
      <c r="B298" s="1">
        <v>45850.458333333336</v>
      </c>
      <c r="C298" t="s">
        <v>65</v>
      </c>
      <c r="D298" t="s">
        <v>638</v>
      </c>
      <c r="E298" t="s">
        <v>37</v>
      </c>
      <c r="F298" t="s">
        <v>38</v>
      </c>
      <c r="G298">
        <v>239</v>
      </c>
      <c r="H298">
        <v>0.1</v>
      </c>
      <c r="I298">
        <v>215.1</v>
      </c>
      <c r="J298">
        <v>2</v>
      </c>
      <c r="K298">
        <v>130.01148289866299</v>
      </c>
      <c r="L298">
        <v>430.2</v>
      </c>
      <c r="M298">
        <v>260.02296579732598</v>
      </c>
      <c r="N298">
        <v>170.17703420267301</v>
      </c>
      <c r="O298" t="s">
        <v>32</v>
      </c>
      <c r="P298">
        <f t="shared" si="8"/>
        <v>478</v>
      </c>
      <c r="Q298">
        <f t="shared" si="9"/>
        <v>-170.17703420267401</v>
      </c>
    </row>
    <row r="299" spans="1:17" x14ac:dyDescent="0.4">
      <c r="A299" t="s">
        <v>639</v>
      </c>
      <c r="B299" s="1">
        <v>45838.708333333336</v>
      </c>
      <c r="C299" t="s">
        <v>43</v>
      </c>
      <c r="D299" t="s">
        <v>640</v>
      </c>
      <c r="E299" t="s">
        <v>37</v>
      </c>
      <c r="F299" t="s">
        <v>38</v>
      </c>
      <c r="G299">
        <v>255</v>
      </c>
      <c r="H299">
        <v>0</v>
      </c>
      <c r="I299">
        <v>255</v>
      </c>
      <c r="J299">
        <v>4</v>
      </c>
      <c r="K299">
        <v>171.387900446027</v>
      </c>
      <c r="L299">
        <v>1020</v>
      </c>
      <c r="M299">
        <v>685.55160178411097</v>
      </c>
      <c r="N299">
        <v>334.44839821588801</v>
      </c>
      <c r="O299" t="s">
        <v>20</v>
      </c>
      <c r="P299">
        <f t="shared" si="8"/>
        <v>1020</v>
      </c>
      <c r="Q299">
        <f t="shared" si="9"/>
        <v>-334.44839821588903</v>
      </c>
    </row>
    <row r="300" spans="1:17" x14ac:dyDescent="0.4">
      <c r="A300" t="s">
        <v>641</v>
      </c>
      <c r="B300" s="1">
        <v>45748.916666666664</v>
      </c>
      <c r="C300" t="s">
        <v>16</v>
      </c>
      <c r="D300" t="s">
        <v>642</v>
      </c>
      <c r="E300" t="s">
        <v>24</v>
      </c>
      <c r="F300" t="s">
        <v>25</v>
      </c>
      <c r="G300">
        <v>238</v>
      </c>
      <c r="H300">
        <v>0.2</v>
      </c>
      <c r="I300">
        <v>190.4</v>
      </c>
      <c r="J300">
        <v>2</v>
      </c>
      <c r="K300">
        <v>99.399717241063996</v>
      </c>
      <c r="L300">
        <v>380.8</v>
      </c>
      <c r="M300">
        <v>198.79943448212799</v>
      </c>
      <c r="N300">
        <v>182.000565517871</v>
      </c>
      <c r="O300" t="s">
        <v>26</v>
      </c>
      <c r="P300">
        <f t="shared" si="8"/>
        <v>476</v>
      </c>
      <c r="Q300">
        <f t="shared" si="9"/>
        <v>-182.00056551787202</v>
      </c>
    </row>
    <row r="301" spans="1:17" x14ac:dyDescent="0.4">
      <c r="A301" t="s">
        <v>643</v>
      </c>
      <c r="B301" s="1">
        <v>45327.541666666664</v>
      </c>
      <c r="C301" t="s">
        <v>46</v>
      </c>
      <c r="D301" t="s">
        <v>644</v>
      </c>
      <c r="E301" t="s">
        <v>48</v>
      </c>
      <c r="F301" t="s">
        <v>19</v>
      </c>
      <c r="G301">
        <v>189</v>
      </c>
      <c r="H301">
        <v>0</v>
      </c>
      <c r="I301">
        <v>189</v>
      </c>
      <c r="J301">
        <v>2</v>
      </c>
      <c r="K301">
        <v>84.0331777412772</v>
      </c>
      <c r="L301">
        <v>378</v>
      </c>
      <c r="M301">
        <v>168.066355482554</v>
      </c>
      <c r="N301">
        <v>209.933644517445</v>
      </c>
      <c r="O301" t="s">
        <v>51</v>
      </c>
      <c r="P301">
        <f t="shared" si="8"/>
        <v>378</v>
      </c>
      <c r="Q301">
        <f t="shared" si="9"/>
        <v>-209.933644517446</v>
      </c>
    </row>
    <row r="302" spans="1:17" x14ac:dyDescent="0.4">
      <c r="A302" t="s">
        <v>645</v>
      </c>
      <c r="B302" s="1">
        <v>45998.583333333336</v>
      </c>
      <c r="C302" t="s">
        <v>22</v>
      </c>
      <c r="D302" t="s">
        <v>646</v>
      </c>
      <c r="E302" t="s">
        <v>104</v>
      </c>
      <c r="F302" t="s">
        <v>25</v>
      </c>
      <c r="G302">
        <v>115</v>
      </c>
      <c r="H302">
        <v>0</v>
      </c>
      <c r="I302">
        <v>115</v>
      </c>
      <c r="J302">
        <v>6</v>
      </c>
      <c r="K302">
        <v>67.150179871074698</v>
      </c>
      <c r="L302">
        <v>690</v>
      </c>
      <c r="M302">
        <v>402.90107922644802</v>
      </c>
      <c r="N302">
        <v>287.09892077355101</v>
      </c>
      <c r="O302" t="s">
        <v>26</v>
      </c>
      <c r="P302">
        <f t="shared" si="8"/>
        <v>690</v>
      </c>
      <c r="Q302">
        <f t="shared" si="9"/>
        <v>-287.09892077355198</v>
      </c>
    </row>
    <row r="303" spans="1:17" x14ac:dyDescent="0.4">
      <c r="A303" t="s">
        <v>647</v>
      </c>
      <c r="B303" s="1">
        <v>45704.791666666664</v>
      </c>
      <c r="C303" t="s">
        <v>22</v>
      </c>
      <c r="D303" t="s">
        <v>648</v>
      </c>
      <c r="E303" t="s">
        <v>48</v>
      </c>
      <c r="F303" t="s">
        <v>19</v>
      </c>
      <c r="G303">
        <v>243</v>
      </c>
      <c r="H303">
        <v>0.15</v>
      </c>
      <c r="I303">
        <v>206.54999999999899</v>
      </c>
      <c r="J303">
        <v>6</v>
      </c>
      <c r="K303">
        <v>122.35983949208</v>
      </c>
      <c r="L303">
        <v>1239.3</v>
      </c>
      <c r="M303">
        <v>734.15903695248198</v>
      </c>
      <c r="N303">
        <v>505.140963047517</v>
      </c>
      <c r="O303" t="s">
        <v>32</v>
      </c>
      <c r="P303">
        <f t="shared" si="8"/>
        <v>1458</v>
      </c>
      <c r="Q303">
        <f t="shared" si="9"/>
        <v>-505.14096304751797</v>
      </c>
    </row>
    <row r="304" spans="1:17" x14ac:dyDescent="0.4">
      <c r="A304" t="s">
        <v>649</v>
      </c>
      <c r="B304" s="1">
        <v>45491.041666666664</v>
      </c>
      <c r="C304" t="s">
        <v>28</v>
      </c>
      <c r="D304" t="s">
        <v>650</v>
      </c>
      <c r="E304" t="s">
        <v>97</v>
      </c>
      <c r="F304" t="s">
        <v>61</v>
      </c>
      <c r="G304">
        <v>183</v>
      </c>
      <c r="H304">
        <v>0</v>
      </c>
      <c r="I304">
        <v>183</v>
      </c>
      <c r="J304">
        <v>7</v>
      </c>
      <c r="K304">
        <v>74.240392537565498</v>
      </c>
      <c r="L304">
        <v>1281</v>
      </c>
      <c r="M304">
        <v>519.682747762958</v>
      </c>
      <c r="N304">
        <v>761.31725223704098</v>
      </c>
      <c r="O304" t="s">
        <v>32</v>
      </c>
      <c r="P304">
        <f t="shared" si="8"/>
        <v>1281</v>
      </c>
      <c r="Q304">
        <f t="shared" si="9"/>
        <v>-761.317252237042</v>
      </c>
    </row>
    <row r="305" spans="1:17" x14ac:dyDescent="0.4">
      <c r="A305" t="s">
        <v>651</v>
      </c>
      <c r="B305" s="1">
        <v>45931.083333333336</v>
      </c>
      <c r="C305" t="s">
        <v>65</v>
      </c>
      <c r="D305" t="s">
        <v>652</v>
      </c>
      <c r="E305" t="s">
        <v>18</v>
      </c>
      <c r="F305" t="s">
        <v>19</v>
      </c>
      <c r="G305">
        <v>278</v>
      </c>
      <c r="H305">
        <v>0</v>
      </c>
      <c r="I305">
        <v>278</v>
      </c>
      <c r="J305">
        <v>7</v>
      </c>
      <c r="K305">
        <v>120.386958742364</v>
      </c>
      <c r="L305">
        <v>1946</v>
      </c>
      <c r="M305">
        <v>842.70871119655305</v>
      </c>
      <c r="N305">
        <v>1103.29128880344</v>
      </c>
      <c r="O305" t="s">
        <v>51</v>
      </c>
      <c r="P305">
        <f t="shared" si="8"/>
        <v>1946</v>
      </c>
      <c r="Q305">
        <f t="shared" si="9"/>
        <v>-1103.2912888034471</v>
      </c>
    </row>
    <row r="306" spans="1:17" x14ac:dyDescent="0.4">
      <c r="A306" t="s">
        <v>653</v>
      </c>
      <c r="B306" s="1">
        <v>45395.791666666664</v>
      </c>
      <c r="C306" t="s">
        <v>43</v>
      </c>
      <c r="D306" t="s">
        <v>654</v>
      </c>
      <c r="E306" t="s">
        <v>146</v>
      </c>
      <c r="F306" t="s">
        <v>70</v>
      </c>
      <c r="G306">
        <v>188</v>
      </c>
      <c r="H306">
        <v>0.25</v>
      </c>
      <c r="I306">
        <v>141</v>
      </c>
      <c r="J306">
        <v>7</v>
      </c>
      <c r="K306">
        <v>123.16419936691899</v>
      </c>
      <c r="L306">
        <v>987</v>
      </c>
      <c r="M306">
        <v>862.14939556843501</v>
      </c>
      <c r="N306">
        <v>124.85060443156399</v>
      </c>
      <c r="O306" t="s">
        <v>32</v>
      </c>
      <c r="P306">
        <f t="shared" si="8"/>
        <v>1316</v>
      </c>
      <c r="Q306">
        <f t="shared" si="9"/>
        <v>-124.85060443156499</v>
      </c>
    </row>
    <row r="307" spans="1:17" x14ac:dyDescent="0.4">
      <c r="A307" t="s">
        <v>655</v>
      </c>
      <c r="B307" s="1">
        <v>45930.666666666664</v>
      </c>
      <c r="C307" t="s">
        <v>22</v>
      </c>
      <c r="D307" t="s">
        <v>656</v>
      </c>
      <c r="E307" t="s">
        <v>48</v>
      </c>
      <c r="F307" t="s">
        <v>19</v>
      </c>
      <c r="G307">
        <v>162</v>
      </c>
      <c r="H307">
        <v>0</v>
      </c>
      <c r="I307">
        <v>162</v>
      </c>
      <c r="J307">
        <v>6</v>
      </c>
      <c r="K307">
        <v>95.434976363377004</v>
      </c>
      <c r="L307">
        <v>972</v>
      </c>
      <c r="M307">
        <v>572.60985818026199</v>
      </c>
      <c r="N307">
        <v>399.39014181973698</v>
      </c>
      <c r="O307" t="s">
        <v>51</v>
      </c>
      <c r="P307">
        <f t="shared" si="8"/>
        <v>972</v>
      </c>
      <c r="Q307">
        <f t="shared" si="9"/>
        <v>-399.39014181973801</v>
      </c>
    </row>
    <row r="308" spans="1:17" x14ac:dyDescent="0.4">
      <c r="A308" t="s">
        <v>657</v>
      </c>
      <c r="B308" s="1">
        <v>45900.291666666664</v>
      </c>
      <c r="C308" t="s">
        <v>43</v>
      </c>
      <c r="D308" t="s">
        <v>658</v>
      </c>
      <c r="E308" t="s">
        <v>97</v>
      </c>
      <c r="F308" t="s">
        <v>61</v>
      </c>
      <c r="G308">
        <v>174</v>
      </c>
      <c r="H308">
        <v>0.05</v>
      </c>
      <c r="I308">
        <v>165.29999999999899</v>
      </c>
      <c r="J308">
        <v>5</v>
      </c>
      <c r="K308">
        <v>129.82008386160001</v>
      </c>
      <c r="L308">
        <v>826.49999999999898</v>
      </c>
      <c r="M308">
        <v>649.10041930800003</v>
      </c>
      <c r="N308">
        <v>177.39958069199901</v>
      </c>
      <c r="O308" t="s">
        <v>32</v>
      </c>
      <c r="P308">
        <f t="shared" si="8"/>
        <v>870</v>
      </c>
      <c r="Q308">
        <f t="shared" si="9"/>
        <v>-177.39958069199895</v>
      </c>
    </row>
    <row r="309" spans="1:17" x14ac:dyDescent="0.4">
      <c r="A309" t="s">
        <v>659</v>
      </c>
      <c r="B309" s="1">
        <v>45419.125</v>
      </c>
      <c r="C309" t="s">
        <v>43</v>
      </c>
      <c r="D309" t="s">
        <v>602</v>
      </c>
      <c r="E309" t="s">
        <v>110</v>
      </c>
      <c r="F309" t="s">
        <v>19</v>
      </c>
      <c r="G309">
        <v>175</v>
      </c>
      <c r="H309">
        <v>0</v>
      </c>
      <c r="I309">
        <v>175</v>
      </c>
      <c r="J309">
        <v>7</v>
      </c>
      <c r="K309">
        <v>129.82865533568901</v>
      </c>
      <c r="L309">
        <v>1225</v>
      </c>
      <c r="M309">
        <v>908.80058734982697</v>
      </c>
      <c r="N309">
        <v>316.19941265017201</v>
      </c>
      <c r="O309" t="s">
        <v>51</v>
      </c>
      <c r="P309">
        <f t="shared" si="8"/>
        <v>1225</v>
      </c>
      <c r="Q309">
        <f t="shared" si="9"/>
        <v>-316.19941265017303</v>
      </c>
    </row>
    <row r="310" spans="1:17" x14ac:dyDescent="0.4">
      <c r="A310" t="s">
        <v>660</v>
      </c>
      <c r="B310" s="1">
        <v>45957.791666666664</v>
      </c>
      <c r="C310" t="s">
        <v>65</v>
      </c>
      <c r="D310" t="s">
        <v>661</v>
      </c>
      <c r="E310" t="s">
        <v>37</v>
      </c>
      <c r="F310" t="s">
        <v>38</v>
      </c>
      <c r="G310">
        <v>272</v>
      </c>
      <c r="H310">
        <v>0.05</v>
      </c>
      <c r="I310">
        <v>258.39999999999998</v>
      </c>
      <c r="J310">
        <v>5</v>
      </c>
      <c r="K310">
        <v>137.90682474898199</v>
      </c>
      <c r="L310">
        <v>1292</v>
      </c>
      <c r="M310">
        <v>689.53412374490995</v>
      </c>
      <c r="N310">
        <v>602.46587625508903</v>
      </c>
      <c r="O310" t="s">
        <v>26</v>
      </c>
      <c r="P310">
        <f t="shared" si="8"/>
        <v>1360</v>
      </c>
      <c r="Q310">
        <f t="shared" si="9"/>
        <v>-602.46587625509005</v>
      </c>
    </row>
    <row r="311" spans="1:17" x14ac:dyDescent="0.4">
      <c r="A311" t="s">
        <v>662</v>
      </c>
      <c r="B311" s="1">
        <v>45974.833333333336</v>
      </c>
      <c r="C311" t="s">
        <v>22</v>
      </c>
      <c r="D311" t="s">
        <v>663</v>
      </c>
      <c r="E311" t="s">
        <v>82</v>
      </c>
      <c r="F311" t="s">
        <v>25</v>
      </c>
      <c r="G311">
        <v>191</v>
      </c>
      <c r="H311">
        <v>0</v>
      </c>
      <c r="I311">
        <v>191</v>
      </c>
      <c r="J311">
        <v>3</v>
      </c>
      <c r="K311">
        <v>125.769117978428</v>
      </c>
      <c r="L311">
        <v>573</v>
      </c>
      <c r="M311">
        <v>377.30735393528403</v>
      </c>
      <c r="N311">
        <v>195.69264606471501</v>
      </c>
      <c r="O311" t="s">
        <v>32</v>
      </c>
      <c r="P311">
        <f t="shared" si="8"/>
        <v>573</v>
      </c>
      <c r="Q311">
        <f t="shared" si="9"/>
        <v>-195.69264606471597</v>
      </c>
    </row>
    <row r="312" spans="1:17" x14ac:dyDescent="0.4">
      <c r="A312" t="s">
        <v>664</v>
      </c>
      <c r="B312" s="1">
        <v>45328.5</v>
      </c>
      <c r="C312" t="s">
        <v>28</v>
      </c>
      <c r="D312" t="s">
        <v>665</v>
      </c>
      <c r="E312" t="s">
        <v>30</v>
      </c>
      <c r="F312" t="s">
        <v>31</v>
      </c>
      <c r="G312">
        <v>152</v>
      </c>
      <c r="H312">
        <v>0.2</v>
      </c>
      <c r="I312">
        <v>121.6</v>
      </c>
      <c r="J312">
        <v>3</v>
      </c>
      <c r="K312">
        <v>87.3978183725267</v>
      </c>
      <c r="L312">
        <v>364.8</v>
      </c>
      <c r="M312">
        <v>262.19345511758002</v>
      </c>
      <c r="N312">
        <v>102.606544882419</v>
      </c>
      <c r="O312" t="s">
        <v>20</v>
      </c>
      <c r="P312">
        <f t="shared" si="8"/>
        <v>456</v>
      </c>
      <c r="Q312">
        <f t="shared" si="9"/>
        <v>-102.60654488242</v>
      </c>
    </row>
    <row r="313" spans="1:17" x14ac:dyDescent="0.4">
      <c r="A313" t="s">
        <v>666</v>
      </c>
      <c r="B313" s="1">
        <v>45464.583333333336</v>
      </c>
      <c r="C313" t="s">
        <v>43</v>
      </c>
      <c r="D313" t="s">
        <v>667</v>
      </c>
      <c r="E313" t="s">
        <v>37</v>
      </c>
      <c r="F313" t="s">
        <v>38</v>
      </c>
      <c r="G313">
        <v>131</v>
      </c>
      <c r="H313">
        <v>0.1</v>
      </c>
      <c r="I313">
        <v>117.9</v>
      </c>
      <c r="J313">
        <v>5</v>
      </c>
      <c r="K313">
        <v>91.370635303571902</v>
      </c>
      <c r="L313">
        <v>589.5</v>
      </c>
      <c r="M313">
        <v>456.85317651785903</v>
      </c>
      <c r="N313">
        <v>132.64682348214001</v>
      </c>
      <c r="O313" t="s">
        <v>105</v>
      </c>
      <c r="P313">
        <f t="shared" si="8"/>
        <v>655</v>
      </c>
      <c r="Q313">
        <f t="shared" si="9"/>
        <v>-132.64682348214097</v>
      </c>
    </row>
    <row r="314" spans="1:17" x14ac:dyDescent="0.4">
      <c r="A314" t="s">
        <v>668</v>
      </c>
      <c r="B314" s="1">
        <v>45925.416666666664</v>
      </c>
      <c r="C314" t="s">
        <v>43</v>
      </c>
      <c r="D314" t="s">
        <v>669</v>
      </c>
      <c r="E314" t="s">
        <v>37</v>
      </c>
      <c r="F314" t="s">
        <v>38</v>
      </c>
      <c r="G314">
        <v>156</v>
      </c>
      <c r="H314">
        <v>0.1</v>
      </c>
      <c r="I314">
        <v>140.4</v>
      </c>
      <c r="J314">
        <v>4</v>
      </c>
      <c r="K314">
        <v>97.993787259710302</v>
      </c>
      <c r="L314">
        <v>561.6</v>
      </c>
      <c r="M314">
        <v>391.97514903884098</v>
      </c>
      <c r="N314">
        <v>169.62485096115799</v>
      </c>
      <c r="O314" t="s">
        <v>32</v>
      </c>
      <c r="P314">
        <f t="shared" si="8"/>
        <v>624</v>
      </c>
      <c r="Q314">
        <f t="shared" si="9"/>
        <v>-169.62485096115904</v>
      </c>
    </row>
    <row r="315" spans="1:17" x14ac:dyDescent="0.4">
      <c r="A315" t="s">
        <v>670</v>
      </c>
      <c r="B315" s="1">
        <v>45582.25</v>
      </c>
      <c r="C315" t="s">
        <v>46</v>
      </c>
      <c r="D315" t="s">
        <v>671</v>
      </c>
      <c r="E315" t="s">
        <v>18</v>
      </c>
      <c r="F315" t="s">
        <v>19</v>
      </c>
      <c r="G315">
        <v>346</v>
      </c>
      <c r="H315">
        <v>0.15</v>
      </c>
      <c r="I315">
        <v>294.099999999999</v>
      </c>
      <c r="J315">
        <v>3</v>
      </c>
      <c r="K315">
        <v>251.33114977058099</v>
      </c>
      <c r="L315">
        <v>882.3</v>
      </c>
      <c r="M315">
        <v>753.99344931174505</v>
      </c>
      <c r="N315">
        <v>128.30655068825399</v>
      </c>
      <c r="O315" t="s">
        <v>32</v>
      </c>
      <c r="P315">
        <f t="shared" si="8"/>
        <v>1038</v>
      </c>
      <c r="Q315">
        <f t="shared" si="9"/>
        <v>-128.3065506882549</v>
      </c>
    </row>
    <row r="316" spans="1:17" x14ac:dyDescent="0.4">
      <c r="A316" t="s">
        <v>672</v>
      </c>
      <c r="B316" s="1">
        <v>45586.958333333336</v>
      </c>
      <c r="C316" t="s">
        <v>43</v>
      </c>
      <c r="D316" t="s">
        <v>673</v>
      </c>
      <c r="E316" t="s">
        <v>104</v>
      </c>
      <c r="F316" t="s">
        <v>25</v>
      </c>
      <c r="G316">
        <v>309</v>
      </c>
      <c r="H316">
        <v>0.15</v>
      </c>
      <c r="I316">
        <v>262.64999999999998</v>
      </c>
      <c r="J316">
        <v>4</v>
      </c>
      <c r="K316">
        <v>220.71170198594001</v>
      </c>
      <c r="L316">
        <v>1050.5999999999999</v>
      </c>
      <c r="M316">
        <v>882.84680794376004</v>
      </c>
      <c r="N316">
        <v>167.75319205623899</v>
      </c>
      <c r="O316" t="s">
        <v>20</v>
      </c>
      <c r="P316">
        <f t="shared" si="8"/>
        <v>1236</v>
      </c>
      <c r="Q316">
        <f t="shared" si="9"/>
        <v>-167.75319205623987</v>
      </c>
    </row>
    <row r="317" spans="1:17" x14ac:dyDescent="0.4">
      <c r="A317" t="s">
        <v>674</v>
      </c>
      <c r="B317" s="1">
        <v>45624.791666666664</v>
      </c>
      <c r="C317" t="s">
        <v>46</v>
      </c>
      <c r="D317" t="s">
        <v>675</v>
      </c>
      <c r="E317" t="s">
        <v>69</v>
      </c>
      <c r="F317" t="s">
        <v>70</v>
      </c>
      <c r="G317">
        <v>346</v>
      </c>
      <c r="H317">
        <v>0</v>
      </c>
      <c r="I317">
        <v>346</v>
      </c>
      <c r="J317">
        <v>4</v>
      </c>
      <c r="K317">
        <v>161.40126612501001</v>
      </c>
      <c r="L317">
        <v>1384</v>
      </c>
      <c r="M317">
        <v>645.60506450004198</v>
      </c>
      <c r="N317">
        <v>738.394935499957</v>
      </c>
      <c r="O317" t="s">
        <v>26</v>
      </c>
      <c r="P317">
        <f t="shared" si="8"/>
        <v>1384</v>
      </c>
      <c r="Q317">
        <f t="shared" si="9"/>
        <v>-738.39493549995802</v>
      </c>
    </row>
    <row r="318" spans="1:17" x14ac:dyDescent="0.4">
      <c r="A318" t="s">
        <v>676</v>
      </c>
      <c r="B318" s="1">
        <v>45575.291666666664</v>
      </c>
      <c r="C318" t="s">
        <v>22</v>
      </c>
      <c r="D318" t="s">
        <v>677</v>
      </c>
      <c r="E318" t="s">
        <v>73</v>
      </c>
      <c r="F318" t="s">
        <v>38</v>
      </c>
      <c r="G318">
        <v>125</v>
      </c>
      <c r="H318">
        <v>0.15</v>
      </c>
      <c r="I318">
        <v>106.25</v>
      </c>
      <c r="J318">
        <v>1</v>
      </c>
      <c r="K318">
        <v>92.664123948928406</v>
      </c>
      <c r="L318">
        <v>106.25</v>
      </c>
      <c r="M318">
        <v>92.664123948928406</v>
      </c>
      <c r="N318">
        <v>13.5858760510715</v>
      </c>
      <c r="O318" t="s">
        <v>32</v>
      </c>
      <c r="P318">
        <f t="shared" si="8"/>
        <v>125</v>
      </c>
      <c r="Q318">
        <f t="shared" si="9"/>
        <v>-13.585876051071594</v>
      </c>
    </row>
    <row r="319" spans="1:17" x14ac:dyDescent="0.4">
      <c r="A319" t="s">
        <v>678</v>
      </c>
      <c r="B319" s="1">
        <v>45478.041666666664</v>
      </c>
      <c r="C319" t="s">
        <v>46</v>
      </c>
      <c r="D319" t="s">
        <v>679</v>
      </c>
      <c r="E319" t="s">
        <v>41</v>
      </c>
      <c r="F319" t="s">
        <v>31</v>
      </c>
      <c r="G319">
        <v>339</v>
      </c>
      <c r="H319">
        <v>0.05</v>
      </c>
      <c r="I319">
        <v>322.05</v>
      </c>
      <c r="J319">
        <v>1</v>
      </c>
      <c r="K319">
        <v>215.81986131287201</v>
      </c>
      <c r="L319">
        <v>322.05</v>
      </c>
      <c r="M319">
        <v>215.81986131287201</v>
      </c>
      <c r="N319">
        <v>106.230138687127</v>
      </c>
      <c r="O319" t="s">
        <v>32</v>
      </c>
      <c r="P319">
        <f t="shared" si="8"/>
        <v>339</v>
      </c>
      <c r="Q319">
        <f t="shared" si="9"/>
        <v>-106.230138687128</v>
      </c>
    </row>
    <row r="320" spans="1:17" x14ac:dyDescent="0.4">
      <c r="A320" t="s">
        <v>680</v>
      </c>
      <c r="B320" s="1">
        <v>46001.125</v>
      </c>
      <c r="C320" t="s">
        <v>28</v>
      </c>
      <c r="D320" t="s">
        <v>681</v>
      </c>
      <c r="E320" t="s">
        <v>115</v>
      </c>
      <c r="F320" t="s">
        <v>38</v>
      </c>
      <c r="G320">
        <v>107</v>
      </c>
      <c r="H320">
        <v>0.1</v>
      </c>
      <c r="I320">
        <v>96.3</v>
      </c>
      <c r="J320">
        <v>1</v>
      </c>
      <c r="K320">
        <v>56.950078554083099</v>
      </c>
      <c r="L320">
        <v>96.3</v>
      </c>
      <c r="M320">
        <v>56.950078554083099</v>
      </c>
      <c r="N320">
        <v>39.349921445916799</v>
      </c>
      <c r="O320" t="s">
        <v>32</v>
      </c>
      <c r="P320">
        <f t="shared" si="8"/>
        <v>107</v>
      </c>
      <c r="Q320">
        <f t="shared" si="9"/>
        <v>-39.349921445916898</v>
      </c>
    </row>
    <row r="321" spans="1:17" x14ac:dyDescent="0.4">
      <c r="A321" t="s">
        <v>682</v>
      </c>
      <c r="B321" s="1">
        <v>45851.041666666664</v>
      </c>
      <c r="C321" t="s">
        <v>28</v>
      </c>
      <c r="D321" t="s">
        <v>683</v>
      </c>
      <c r="E321" t="s">
        <v>41</v>
      </c>
      <c r="F321" t="s">
        <v>31</v>
      </c>
      <c r="G321">
        <v>114</v>
      </c>
      <c r="H321">
        <v>0.15</v>
      </c>
      <c r="I321">
        <v>96.899999999999906</v>
      </c>
      <c r="J321">
        <v>1</v>
      </c>
      <c r="K321">
        <v>49.842858164194197</v>
      </c>
      <c r="L321">
        <v>96.899999999999906</v>
      </c>
      <c r="M321">
        <v>49.842858164194197</v>
      </c>
      <c r="N321">
        <v>47.057141835805702</v>
      </c>
      <c r="O321" t="s">
        <v>51</v>
      </c>
      <c r="P321">
        <f t="shared" si="8"/>
        <v>114</v>
      </c>
      <c r="Q321">
        <f t="shared" si="9"/>
        <v>-47.057141835805709</v>
      </c>
    </row>
    <row r="322" spans="1:17" x14ac:dyDescent="0.4">
      <c r="A322" t="s">
        <v>684</v>
      </c>
      <c r="B322" s="1">
        <v>45638.291666666664</v>
      </c>
      <c r="C322" t="s">
        <v>16</v>
      </c>
      <c r="D322" t="s">
        <v>685</v>
      </c>
      <c r="E322" t="s">
        <v>146</v>
      </c>
      <c r="F322" t="s">
        <v>70</v>
      </c>
      <c r="G322">
        <v>185</v>
      </c>
      <c r="H322">
        <v>0.15</v>
      </c>
      <c r="I322">
        <v>157.25</v>
      </c>
      <c r="J322">
        <v>5</v>
      </c>
      <c r="K322">
        <v>102.62166400529</v>
      </c>
      <c r="L322">
        <v>786.25</v>
      </c>
      <c r="M322">
        <v>513.108320026451</v>
      </c>
      <c r="N322">
        <v>273.14167997354798</v>
      </c>
      <c r="O322" t="s">
        <v>32</v>
      </c>
      <c r="P322">
        <f t="shared" si="8"/>
        <v>925</v>
      </c>
      <c r="Q322">
        <f t="shared" si="9"/>
        <v>-273.141679973549</v>
      </c>
    </row>
    <row r="323" spans="1:17" x14ac:dyDescent="0.4">
      <c r="A323" t="s">
        <v>686</v>
      </c>
      <c r="B323" s="1">
        <v>46009.25</v>
      </c>
      <c r="C323" t="s">
        <v>46</v>
      </c>
      <c r="D323" t="s">
        <v>687</v>
      </c>
      <c r="E323" t="s">
        <v>48</v>
      </c>
      <c r="F323" t="s">
        <v>19</v>
      </c>
      <c r="G323">
        <v>86</v>
      </c>
      <c r="H323">
        <v>0.15</v>
      </c>
      <c r="I323">
        <v>73.099999999999994</v>
      </c>
      <c r="J323">
        <v>2</v>
      </c>
      <c r="K323">
        <v>40.348940539792999</v>
      </c>
      <c r="L323">
        <v>146.19999999999999</v>
      </c>
      <c r="M323">
        <v>80.697881079585997</v>
      </c>
      <c r="N323">
        <v>65.502118920413906</v>
      </c>
      <c r="O323" t="s">
        <v>32</v>
      </c>
      <c r="P323">
        <f t="shared" ref="P323:P386" si="10">G323 * J323</f>
        <v>172</v>
      </c>
      <c r="Q323">
        <f t="shared" ref="Q323:Q386" si="11" xml:space="preserve"> M323 - L323</f>
        <v>-65.502118920413992</v>
      </c>
    </row>
    <row r="324" spans="1:17" x14ac:dyDescent="0.4">
      <c r="A324" t="s">
        <v>688</v>
      </c>
      <c r="B324" s="1">
        <v>45879.416666666664</v>
      </c>
      <c r="C324" t="s">
        <v>16</v>
      </c>
      <c r="D324" t="s">
        <v>689</v>
      </c>
      <c r="E324" t="s">
        <v>85</v>
      </c>
      <c r="F324" t="s">
        <v>70</v>
      </c>
      <c r="G324">
        <v>240</v>
      </c>
      <c r="H324">
        <v>0</v>
      </c>
      <c r="I324">
        <v>240</v>
      </c>
      <c r="J324">
        <v>5</v>
      </c>
      <c r="K324">
        <v>152.75219000625199</v>
      </c>
      <c r="L324">
        <v>1200</v>
      </c>
      <c r="M324">
        <v>763.76095003126204</v>
      </c>
      <c r="N324">
        <v>436.23904996873699</v>
      </c>
      <c r="O324" t="s">
        <v>32</v>
      </c>
      <c r="P324">
        <f t="shared" si="10"/>
        <v>1200</v>
      </c>
      <c r="Q324">
        <f t="shared" si="11"/>
        <v>-436.23904996873796</v>
      </c>
    </row>
    <row r="325" spans="1:17" x14ac:dyDescent="0.4">
      <c r="A325" t="s">
        <v>690</v>
      </c>
      <c r="B325" s="1">
        <v>45507.708333333336</v>
      </c>
      <c r="C325" t="s">
        <v>22</v>
      </c>
      <c r="D325" t="s">
        <v>691</v>
      </c>
      <c r="E325" t="s">
        <v>30</v>
      </c>
      <c r="F325" t="s">
        <v>31</v>
      </c>
      <c r="G325">
        <v>150</v>
      </c>
      <c r="H325">
        <v>0.1</v>
      </c>
      <c r="I325">
        <v>135</v>
      </c>
      <c r="J325">
        <v>1</v>
      </c>
      <c r="K325">
        <v>65.176197087701595</v>
      </c>
      <c r="L325">
        <v>135</v>
      </c>
      <c r="M325">
        <v>65.176197087701595</v>
      </c>
      <c r="N325">
        <v>69.823802912298305</v>
      </c>
      <c r="O325" t="s">
        <v>26</v>
      </c>
      <c r="P325">
        <f t="shared" si="10"/>
        <v>150</v>
      </c>
      <c r="Q325">
        <f t="shared" si="11"/>
        <v>-69.823802912298405</v>
      </c>
    </row>
    <row r="326" spans="1:17" x14ac:dyDescent="0.4">
      <c r="A326" t="s">
        <v>692</v>
      </c>
      <c r="B326" s="1">
        <v>45886.25</v>
      </c>
      <c r="C326" t="s">
        <v>43</v>
      </c>
      <c r="D326" t="s">
        <v>693</v>
      </c>
      <c r="E326" t="s">
        <v>37</v>
      </c>
      <c r="F326" t="s">
        <v>38</v>
      </c>
      <c r="G326">
        <v>235</v>
      </c>
      <c r="H326">
        <v>0.05</v>
      </c>
      <c r="I326">
        <v>223.25</v>
      </c>
      <c r="J326">
        <v>3</v>
      </c>
      <c r="K326">
        <v>106.45639417918299</v>
      </c>
      <c r="L326">
        <v>669.75</v>
      </c>
      <c r="M326">
        <v>319.36918253754902</v>
      </c>
      <c r="N326">
        <v>350.38081746245001</v>
      </c>
      <c r="O326" t="s">
        <v>26</v>
      </c>
      <c r="P326">
        <f t="shared" si="10"/>
        <v>705</v>
      </c>
      <c r="Q326">
        <f t="shared" si="11"/>
        <v>-350.38081746245098</v>
      </c>
    </row>
    <row r="327" spans="1:17" x14ac:dyDescent="0.4">
      <c r="A327" t="s">
        <v>694</v>
      </c>
      <c r="B327" s="1">
        <v>45638.166666666664</v>
      </c>
      <c r="C327" t="s">
        <v>43</v>
      </c>
      <c r="D327" t="s">
        <v>695</v>
      </c>
      <c r="E327" t="s">
        <v>110</v>
      </c>
      <c r="F327" t="s">
        <v>19</v>
      </c>
      <c r="G327">
        <v>118</v>
      </c>
      <c r="H327">
        <v>0.1</v>
      </c>
      <c r="I327">
        <v>106.2</v>
      </c>
      <c r="J327">
        <v>6</v>
      </c>
      <c r="K327">
        <v>50.511713056340199</v>
      </c>
      <c r="L327">
        <v>637.20000000000005</v>
      </c>
      <c r="M327">
        <v>303.07027833804102</v>
      </c>
      <c r="N327">
        <v>334.129721661958</v>
      </c>
      <c r="O327" t="s">
        <v>26</v>
      </c>
      <c r="P327">
        <f t="shared" si="10"/>
        <v>708</v>
      </c>
      <c r="Q327">
        <f t="shared" si="11"/>
        <v>-334.12972166195902</v>
      </c>
    </row>
    <row r="328" spans="1:17" x14ac:dyDescent="0.4">
      <c r="A328" t="s">
        <v>696</v>
      </c>
      <c r="B328" s="1">
        <v>45539.875</v>
      </c>
      <c r="C328" t="s">
        <v>46</v>
      </c>
      <c r="D328" t="s">
        <v>697</v>
      </c>
      <c r="E328" t="s">
        <v>41</v>
      </c>
      <c r="F328" t="s">
        <v>31</v>
      </c>
      <c r="G328">
        <v>169</v>
      </c>
      <c r="H328">
        <v>0.05</v>
      </c>
      <c r="I328">
        <v>160.54999999999899</v>
      </c>
      <c r="J328">
        <v>7</v>
      </c>
      <c r="K328">
        <v>107.732752625681</v>
      </c>
      <c r="L328">
        <v>1123.8499999999999</v>
      </c>
      <c r="M328">
        <v>754.12926837977295</v>
      </c>
      <c r="N328">
        <v>369.72073162022599</v>
      </c>
      <c r="O328" t="s">
        <v>105</v>
      </c>
      <c r="P328">
        <f t="shared" si="10"/>
        <v>1183</v>
      </c>
      <c r="Q328">
        <f t="shared" si="11"/>
        <v>-369.72073162022696</v>
      </c>
    </row>
    <row r="329" spans="1:17" x14ac:dyDescent="0.4">
      <c r="A329" t="s">
        <v>698</v>
      </c>
      <c r="B329" s="1">
        <v>45339.916666666664</v>
      </c>
      <c r="C329" t="s">
        <v>46</v>
      </c>
      <c r="D329" t="s">
        <v>699</v>
      </c>
      <c r="E329" t="s">
        <v>104</v>
      </c>
      <c r="F329" t="s">
        <v>25</v>
      </c>
      <c r="G329">
        <v>123</v>
      </c>
      <c r="H329">
        <v>0</v>
      </c>
      <c r="I329">
        <v>123</v>
      </c>
      <c r="J329">
        <v>6</v>
      </c>
      <c r="K329">
        <v>69.412778543129505</v>
      </c>
      <c r="L329">
        <v>738</v>
      </c>
      <c r="M329">
        <v>416.476671258777</v>
      </c>
      <c r="N329">
        <v>321.52332874122197</v>
      </c>
      <c r="O329" t="s">
        <v>105</v>
      </c>
      <c r="P329">
        <f t="shared" si="10"/>
        <v>738</v>
      </c>
      <c r="Q329">
        <f t="shared" si="11"/>
        <v>-321.523328741223</v>
      </c>
    </row>
    <row r="330" spans="1:17" x14ac:dyDescent="0.4">
      <c r="A330" t="s">
        <v>700</v>
      </c>
      <c r="B330" s="1">
        <v>45372.458333333336</v>
      </c>
      <c r="C330" t="s">
        <v>43</v>
      </c>
      <c r="D330" t="s">
        <v>701</v>
      </c>
      <c r="E330" t="s">
        <v>37</v>
      </c>
      <c r="F330" t="s">
        <v>38</v>
      </c>
      <c r="G330">
        <v>112</v>
      </c>
      <c r="H330">
        <v>0</v>
      </c>
      <c r="I330">
        <v>112</v>
      </c>
      <c r="J330">
        <v>4</v>
      </c>
      <c r="K330">
        <v>82.060886581412802</v>
      </c>
      <c r="L330">
        <v>448</v>
      </c>
      <c r="M330">
        <v>328.24354632565098</v>
      </c>
      <c r="N330">
        <v>119.75645367434799</v>
      </c>
      <c r="O330" t="s">
        <v>105</v>
      </c>
      <c r="P330">
        <f t="shared" si="10"/>
        <v>448</v>
      </c>
      <c r="Q330">
        <f t="shared" si="11"/>
        <v>-119.75645367434902</v>
      </c>
    </row>
    <row r="331" spans="1:17" x14ac:dyDescent="0.4">
      <c r="A331" t="s">
        <v>702</v>
      </c>
      <c r="B331" s="1">
        <v>45675.5</v>
      </c>
      <c r="C331" t="s">
        <v>46</v>
      </c>
      <c r="D331" t="s">
        <v>703</v>
      </c>
      <c r="E331" t="s">
        <v>94</v>
      </c>
      <c r="F331" t="s">
        <v>61</v>
      </c>
      <c r="G331">
        <v>108</v>
      </c>
      <c r="H331">
        <v>0.05</v>
      </c>
      <c r="I331">
        <v>102.6</v>
      </c>
      <c r="J331">
        <v>6</v>
      </c>
      <c r="K331">
        <v>56.4882974298785</v>
      </c>
      <c r="L331">
        <v>615.599999999999</v>
      </c>
      <c r="M331">
        <v>338.92978457927097</v>
      </c>
      <c r="N331">
        <v>276.67021542072803</v>
      </c>
      <c r="O331" t="s">
        <v>32</v>
      </c>
      <c r="P331">
        <f t="shared" si="10"/>
        <v>648</v>
      </c>
      <c r="Q331">
        <f t="shared" si="11"/>
        <v>-276.67021542072803</v>
      </c>
    </row>
    <row r="332" spans="1:17" x14ac:dyDescent="0.4">
      <c r="A332" t="s">
        <v>704</v>
      </c>
      <c r="B332" s="1">
        <v>45337.041666666664</v>
      </c>
      <c r="C332" t="s">
        <v>22</v>
      </c>
      <c r="D332" t="s">
        <v>705</v>
      </c>
      <c r="E332" t="s">
        <v>104</v>
      </c>
      <c r="F332" t="s">
        <v>25</v>
      </c>
      <c r="G332">
        <v>338</v>
      </c>
      <c r="H332">
        <v>0</v>
      </c>
      <c r="I332">
        <v>338</v>
      </c>
      <c r="J332">
        <v>2</v>
      </c>
      <c r="K332">
        <v>180.534377791559</v>
      </c>
      <c r="L332">
        <v>676</v>
      </c>
      <c r="M332">
        <v>361.06875558311901</v>
      </c>
      <c r="N332">
        <v>314.93124441688002</v>
      </c>
      <c r="O332" t="s">
        <v>32</v>
      </c>
      <c r="P332">
        <f t="shared" si="10"/>
        <v>676</v>
      </c>
      <c r="Q332">
        <f t="shared" si="11"/>
        <v>-314.93124441688099</v>
      </c>
    </row>
    <row r="333" spans="1:17" x14ac:dyDescent="0.4">
      <c r="A333" t="s">
        <v>706</v>
      </c>
      <c r="B333" s="1">
        <v>45996</v>
      </c>
      <c r="C333" t="s">
        <v>28</v>
      </c>
      <c r="D333" t="s">
        <v>707</v>
      </c>
      <c r="E333" t="s">
        <v>213</v>
      </c>
      <c r="F333" t="s">
        <v>31</v>
      </c>
      <c r="G333">
        <v>289</v>
      </c>
      <c r="H333">
        <v>0.05</v>
      </c>
      <c r="I333">
        <v>274.55</v>
      </c>
      <c r="J333">
        <v>2</v>
      </c>
      <c r="K333">
        <v>196.498087313691</v>
      </c>
      <c r="L333">
        <v>549.1</v>
      </c>
      <c r="M333">
        <v>392.996174627382</v>
      </c>
      <c r="N333">
        <v>156.10382537261799</v>
      </c>
      <c r="O333" t="s">
        <v>51</v>
      </c>
      <c r="P333">
        <f t="shared" si="10"/>
        <v>578</v>
      </c>
      <c r="Q333">
        <f t="shared" si="11"/>
        <v>-156.10382537261802</v>
      </c>
    </row>
    <row r="334" spans="1:17" x14ac:dyDescent="0.4">
      <c r="A334" t="s">
        <v>708</v>
      </c>
      <c r="B334" s="1">
        <v>45850.625</v>
      </c>
      <c r="C334" t="s">
        <v>28</v>
      </c>
      <c r="D334" t="s">
        <v>709</v>
      </c>
      <c r="E334" t="s">
        <v>104</v>
      </c>
      <c r="F334" t="s">
        <v>25</v>
      </c>
      <c r="G334">
        <v>104</v>
      </c>
      <c r="H334">
        <v>0.1</v>
      </c>
      <c r="I334">
        <v>93.6</v>
      </c>
      <c r="J334">
        <v>5</v>
      </c>
      <c r="K334">
        <v>56.674734883050199</v>
      </c>
      <c r="L334">
        <v>468</v>
      </c>
      <c r="M334">
        <v>283.373674415251</v>
      </c>
      <c r="N334">
        <v>184.626325584748</v>
      </c>
      <c r="O334" t="s">
        <v>26</v>
      </c>
      <c r="P334">
        <f t="shared" si="10"/>
        <v>520</v>
      </c>
      <c r="Q334">
        <f t="shared" si="11"/>
        <v>-184.626325584749</v>
      </c>
    </row>
    <row r="335" spans="1:17" x14ac:dyDescent="0.4">
      <c r="A335" t="s">
        <v>710</v>
      </c>
      <c r="B335" s="1">
        <v>45617.208333333336</v>
      </c>
      <c r="C335" t="s">
        <v>22</v>
      </c>
      <c r="D335" t="s">
        <v>711</v>
      </c>
      <c r="E335" t="s">
        <v>115</v>
      </c>
      <c r="F335" t="s">
        <v>38</v>
      </c>
      <c r="G335">
        <v>344</v>
      </c>
      <c r="H335">
        <v>0</v>
      </c>
      <c r="I335">
        <v>344</v>
      </c>
      <c r="J335">
        <v>6</v>
      </c>
      <c r="K335">
        <v>144.774286521318</v>
      </c>
      <c r="L335">
        <v>2064</v>
      </c>
      <c r="M335">
        <v>868.64571912791098</v>
      </c>
      <c r="N335">
        <v>1195.3542808720799</v>
      </c>
      <c r="O335" t="s">
        <v>32</v>
      </c>
      <c r="P335">
        <f t="shared" si="10"/>
        <v>2064</v>
      </c>
      <c r="Q335">
        <f t="shared" si="11"/>
        <v>-1195.354280872089</v>
      </c>
    </row>
    <row r="336" spans="1:17" x14ac:dyDescent="0.4">
      <c r="A336" t="s">
        <v>712</v>
      </c>
      <c r="B336" s="1">
        <v>45510.208333333336</v>
      </c>
      <c r="C336" t="s">
        <v>22</v>
      </c>
      <c r="D336" t="s">
        <v>713</v>
      </c>
      <c r="E336" t="s">
        <v>18</v>
      </c>
      <c r="F336" t="s">
        <v>19</v>
      </c>
      <c r="G336">
        <v>202</v>
      </c>
      <c r="H336">
        <v>0</v>
      </c>
      <c r="I336">
        <v>202</v>
      </c>
      <c r="J336">
        <v>3</v>
      </c>
      <c r="K336">
        <v>133.280153148637</v>
      </c>
      <c r="L336">
        <v>606</v>
      </c>
      <c r="M336">
        <v>399.84045944591202</v>
      </c>
      <c r="N336">
        <v>206.15954055408699</v>
      </c>
      <c r="O336" t="s">
        <v>32</v>
      </c>
      <c r="P336">
        <f t="shared" si="10"/>
        <v>606</v>
      </c>
      <c r="Q336">
        <f t="shared" si="11"/>
        <v>-206.15954055408798</v>
      </c>
    </row>
    <row r="337" spans="1:17" x14ac:dyDescent="0.4">
      <c r="A337" t="s">
        <v>714</v>
      </c>
      <c r="B337" s="1">
        <v>45997.958333333336</v>
      </c>
      <c r="C337" t="s">
        <v>16</v>
      </c>
      <c r="D337" t="s">
        <v>715</v>
      </c>
      <c r="E337" t="s">
        <v>82</v>
      </c>
      <c r="F337" t="s">
        <v>25</v>
      </c>
      <c r="G337">
        <v>226</v>
      </c>
      <c r="H337">
        <v>0.25</v>
      </c>
      <c r="I337">
        <v>169.5</v>
      </c>
      <c r="J337">
        <v>7</v>
      </c>
      <c r="K337">
        <v>105.758282941545</v>
      </c>
      <c r="L337">
        <v>1186.5</v>
      </c>
      <c r="M337">
        <v>740.30798059081496</v>
      </c>
      <c r="N337">
        <v>446.19201940918401</v>
      </c>
      <c r="O337" t="s">
        <v>32</v>
      </c>
      <c r="P337">
        <f t="shared" si="10"/>
        <v>1582</v>
      </c>
      <c r="Q337">
        <f t="shared" si="11"/>
        <v>-446.19201940918504</v>
      </c>
    </row>
    <row r="338" spans="1:17" x14ac:dyDescent="0.4">
      <c r="A338" t="s">
        <v>716</v>
      </c>
      <c r="B338" s="1">
        <v>45824.291666666664</v>
      </c>
      <c r="C338" t="s">
        <v>22</v>
      </c>
      <c r="D338" t="s">
        <v>717</v>
      </c>
      <c r="E338" t="s">
        <v>69</v>
      </c>
      <c r="F338" t="s">
        <v>70</v>
      </c>
      <c r="G338">
        <v>95</v>
      </c>
      <c r="H338">
        <v>0.1</v>
      </c>
      <c r="I338">
        <v>85.5</v>
      </c>
      <c r="J338">
        <v>1</v>
      </c>
      <c r="K338">
        <v>56.549299715697401</v>
      </c>
      <c r="L338">
        <v>85.5</v>
      </c>
      <c r="M338">
        <v>56.549299715697401</v>
      </c>
      <c r="N338">
        <v>28.950700284302499</v>
      </c>
      <c r="O338" t="s">
        <v>32</v>
      </c>
      <c r="P338">
        <f t="shared" si="10"/>
        <v>95</v>
      </c>
      <c r="Q338">
        <f t="shared" si="11"/>
        <v>-28.950700284302599</v>
      </c>
    </row>
    <row r="339" spans="1:17" x14ac:dyDescent="0.4">
      <c r="A339" t="s">
        <v>718</v>
      </c>
      <c r="B339" s="1">
        <v>45968.833333333336</v>
      </c>
      <c r="C339" t="s">
        <v>28</v>
      </c>
      <c r="D339" t="s">
        <v>719</v>
      </c>
      <c r="E339" t="s">
        <v>104</v>
      </c>
      <c r="F339" t="s">
        <v>25</v>
      </c>
      <c r="G339">
        <v>192</v>
      </c>
      <c r="H339">
        <v>0.15</v>
      </c>
      <c r="I339">
        <v>163.19999999999999</v>
      </c>
      <c r="J339">
        <v>1</v>
      </c>
      <c r="K339">
        <v>99.002307030329405</v>
      </c>
      <c r="L339">
        <v>163.19999999999999</v>
      </c>
      <c r="M339">
        <v>99.002307030329405</v>
      </c>
      <c r="N339">
        <v>64.197692969670499</v>
      </c>
      <c r="O339" t="s">
        <v>32</v>
      </c>
      <c r="P339">
        <f t="shared" si="10"/>
        <v>192</v>
      </c>
      <c r="Q339">
        <f t="shared" si="11"/>
        <v>-64.197692969670584</v>
      </c>
    </row>
    <row r="340" spans="1:17" x14ac:dyDescent="0.4">
      <c r="A340" t="s">
        <v>720</v>
      </c>
      <c r="B340" s="1">
        <v>45841.333333333336</v>
      </c>
      <c r="C340" t="s">
        <v>28</v>
      </c>
      <c r="D340" t="s">
        <v>721</v>
      </c>
      <c r="E340" t="s">
        <v>37</v>
      </c>
      <c r="F340" t="s">
        <v>38</v>
      </c>
      <c r="G340">
        <v>91</v>
      </c>
      <c r="H340">
        <v>0</v>
      </c>
      <c r="I340">
        <v>91</v>
      </c>
      <c r="J340">
        <v>4</v>
      </c>
      <c r="K340">
        <v>40.326588370671402</v>
      </c>
      <c r="L340">
        <v>364</v>
      </c>
      <c r="M340">
        <v>161.30635348268501</v>
      </c>
      <c r="N340">
        <v>202.69364651731399</v>
      </c>
      <c r="O340" t="s">
        <v>32</v>
      </c>
      <c r="P340">
        <f t="shared" si="10"/>
        <v>364</v>
      </c>
      <c r="Q340">
        <f t="shared" si="11"/>
        <v>-202.69364651731499</v>
      </c>
    </row>
    <row r="341" spans="1:17" x14ac:dyDescent="0.4">
      <c r="A341" t="s">
        <v>722</v>
      </c>
      <c r="B341" s="1">
        <v>45431.291666666664</v>
      </c>
      <c r="C341" t="s">
        <v>16</v>
      </c>
      <c r="D341" t="s">
        <v>723</v>
      </c>
      <c r="E341" t="s">
        <v>24</v>
      </c>
      <c r="F341" t="s">
        <v>25</v>
      </c>
      <c r="G341">
        <v>104</v>
      </c>
      <c r="H341">
        <v>0</v>
      </c>
      <c r="I341">
        <v>104</v>
      </c>
      <c r="J341">
        <v>5</v>
      </c>
      <c r="K341">
        <v>44.917519275786198</v>
      </c>
      <c r="L341">
        <v>520</v>
      </c>
      <c r="M341">
        <v>224.58759637893101</v>
      </c>
      <c r="N341">
        <v>295.41240362106799</v>
      </c>
      <c r="O341" t="s">
        <v>26</v>
      </c>
      <c r="P341">
        <f t="shared" si="10"/>
        <v>520</v>
      </c>
      <c r="Q341">
        <f t="shared" si="11"/>
        <v>-295.41240362106896</v>
      </c>
    </row>
    <row r="342" spans="1:17" x14ac:dyDescent="0.4">
      <c r="A342" t="s">
        <v>724</v>
      </c>
      <c r="B342" s="1">
        <v>45854.5</v>
      </c>
      <c r="C342" t="s">
        <v>16</v>
      </c>
      <c r="D342" t="s">
        <v>725</v>
      </c>
      <c r="E342" t="s">
        <v>115</v>
      </c>
      <c r="F342" t="s">
        <v>38</v>
      </c>
      <c r="G342">
        <v>135</v>
      </c>
      <c r="H342">
        <v>0.1</v>
      </c>
      <c r="I342">
        <v>121.5</v>
      </c>
      <c r="J342">
        <v>7</v>
      </c>
      <c r="K342">
        <v>73.546317582053504</v>
      </c>
      <c r="L342">
        <v>850.5</v>
      </c>
      <c r="M342">
        <v>514.824223074374</v>
      </c>
      <c r="N342">
        <v>335.67577692562497</v>
      </c>
      <c r="O342" t="s">
        <v>32</v>
      </c>
      <c r="P342">
        <f t="shared" si="10"/>
        <v>945</v>
      </c>
      <c r="Q342">
        <f t="shared" si="11"/>
        <v>-335.675776925626</v>
      </c>
    </row>
    <row r="343" spans="1:17" x14ac:dyDescent="0.4">
      <c r="A343" t="s">
        <v>726</v>
      </c>
      <c r="B343" s="1">
        <v>45694.583333333336</v>
      </c>
      <c r="C343" t="s">
        <v>22</v>
      </c>
      <c r="D343" t="s">
        <v>727</v>
      </c>
      <c r="E343" t="s">
        <v>37</v>
      </c>
      <c r="F343" t="s">
        <v>38</v>
      </c>
      <c r="G343">
        <v>85</v>
      </c>
      <c r="H343">
        <v>0.15</v>
      </c>
      <c r="I343">
        <v>72.25</v>
      </c>
      <c r="J343">
        <v>7</v>
      </c>
      <c r="K343">
        <v>45.696127102446901</v>
      </c>
      <c r="L343">
        <v>505.75</v>
      </c>
      <c r="M343">
        <v>319.87288971712798</v>
      </c>
      <c r="N343">
        <v>185.877110282871</v>
      </c>
      <c r="O343" t="s">
        <v>32</v>
      </c>
      <c r="P343">
        <f t="shared" si="10"/>
        <v>595</v>
      </c>
      <c r="Q343">
        <f t="shared" si="11"/>
        <v>-185.87711028287202</v>
      </c>
    </row>
    <row r="344" spans="1:17" x14ac:dyDescent="0.4">
      <c r="A344" t="s">
        <v>728</v>
      </c>
      <c r="B344" s="1">
        <v>45998.833333333336</v>
      </c>
      <c r="C344" t="s">
        <v>16</v>
      </c>
      <c r="D344" t="s">
        <v>729</v>
      </c>
      <c r="E344" t="s">
        <v>104</v>
      </c>
      <c r="F344" t="s">
        <v>25</v>
      </c>
      <c r="G344">
        <v>145</v>
      </c>
      <c r="H344">
        <v>0.1</v>
      </c>
      <c r="I344">
        <v>130.5</v>
      </c>
      <c r="J344">
        <v>5</v>
      </c>
      <c r="K344">
        <v>82.110811047988406</v>
      </c>
      <c r="L344">
        <v>652.5</v>
      </c>
      <c r="M344">
        <v>410.55405523994199</v>
      </c>
      <c r="N344">
        <v>241.94594476005699</v>
      </c>
      <c r="O344" t="s">
        <v>32</v>
      </c>
      <c r="P344">
        <f t="shared" si="10"/>
        <v>725</v>
      </c>
      <c r="Q344">
        <f t="shared" si="11"/>
        <v>-241.94594476005801</v>
      </c>
    </row>
    <row r="345" spans="1:17" x14ac:dyDescent="0.4">
      <c r="A345" t="s">
        <v>730</v>
      </c>
      <c r="B345" s="1">
        <v>45922.208333333336</v>
      </c>
      <c r="C345" t="s">
        <v>28</v>
      </c>
      <c r="D345" t="s">
        <v>731</v>
      </c>
      <c r="E345" t="s">
        <v>115</v>
      </c>
      <c r="F345" t="s">
        <v>38</v>
      </c>
      <c r="G345">
        <v>282</v>
      </c>
      <c r="H345">
        <v>0.2</v>
      </c>
      <c r="I345">
        <v>225.6</v>
      </c>
      <c r="J345">
        <v>7</v>
      </c>
      <c r="K345">
        <v>136.55417980653101</v>
      </c>
      <c r="L345">
        <v>1579.2</v>
      </c>
      <c r="M345">
        <v>955.87925864571696</v>
      </c>
      <c r="N345">
        <v>623.32074135428297</v>
      </c>
      <c r="O345" t="s">
        <v>51</v>
      </c>
      <c r="P345">
        <f t="shared" si="10"/>
        <v>1974</v>
      </c>
      <c r="Q345">
        <f t="shared" si="11"/>
        <v>-623.32074135428309</v>
      </c>
    </row>
    <row r="346" spans="1:17" x14ac:dyDescent="0.4">
      <c r="A346" t="s">
        <v>732</v>
      </c>
      <c r="B346" s="1">
        <v>45630.75</v>
      </c>
      <c r="C346" t="s">
        <v>28</v>
      </c>
      <c r="D346" t="s">
        <v>733</v>
      </c>
      <c r="E346" t="s">
        <v>146</v>
      </c>
      <c r="F346" t="s">
        <v>70</v>
      </c>
      <c r="G346">
        <v>272</v>
      </c>
      <c r="H346">
        <v>0.1</v>
      </c>
      <c r="I346">
        <v>244.8</v>
      </c>
      <c r="J346">
        <v>7</v>
      </c>
      <c r="K346">
        <v>167.088652894056</v>
      </c>
      <c r="L346">
        <v>1713.6</v>
      </c>
      <c r="M346">
        <v>1169.62057025839</v>
      </c>
      <c r="N346">
        <v>543.97942974160298</v>
      </c>
      <c r="O346" t="s">
        <v>32</v>
      </c>
      <c r="P346">
        <f t="shared" si="10"/>
        <v>1904</v>
      </c>
      <c r="Q346">
        <f t="shared" si="11"/>
        <v>-543.97942974160992</v>
      </c>
    </row>
    <row r="347" spans="1:17" x14ac:dyDescent="0.4">
      <c r="A347" t="s">
        <v>734</v>
      </c>
      <c r="B347" s="1">
        <v>45361.958333333336</v>
      </c>
      <c r="C347" t="s">
        <v>22</v>
      </c>
      <c r="D347" t="s">
        <v>735</v>
      </c>
      <c r="E347" t="s">
        <v>110</v>
      </c>
      <c r="F347" t="s">
        <v>19</v>
      </c>
      <c r="G347">
        <v>107</v>
      </c>
      <c r="H347">
        <v>0.2</v>
      </c>
      <c r="I347">
        <v>85.6</v>
      </c>
      <c r="J347">
        <v>5</v>
      </c>
      <c r="K347">
        <v>49.586897261311599</v>
      </c>
      <c r="L347">
        <v>428</v>
      </c>
      <c r="M347">
        <v>247.934486306558</v>
      </c>
      <c r="N347">
        <v>180.06551369344101</v>
      </c>
      <c r="O347" t="s">
        <v>51</v>
      </c>
      <c r="P347">
        <f t="shared" si="10"/>
        <v>535</v>
      </c>
      <c r="Q347">
        <f t="shared" si="11"/>
        <v>-180.065513693442</v>
      </c>
    </row>
    <row r="348" spans="1:17" x14ac:dyDescent="0.4">
      <c r="A348" t="s">
        <v>736</v>
      </c>
      <c r="B348" s="1">
        <v>45438.083333333336</v>
      </c>
      <c r="C348" t="s">
        <v>16</v>
      </c>
      <c r="D348" t="s">
        <v>737</v>
      </c>
      <c r="E348" t="s">
        <v>37</v>
      </c>
      <c r="F348" t="s">
        <v>38</v>
      </c>
      <c r="G348">
        <v>205</v>
      </c>
      <c r="H348">
        <v>0.1</v>
      </c>
      <c r="I348">
        <v>184.5</v>
      </c>
      <c r="J348">
        <v>6</v>
      </c>
      <c r="K348">
        <v>86.245954906209107</v>
      </c>
      <c r="L348">
        <v>1107</v>
      </c>
      <c r="M348">
        <v>517.47572943725402</v>
      </c>
      <c r="N348">
        <v>589.52427056274496</v>
      </c>
      <c r="O348" t="s">
        <v>32</v>
      </c>
      <c r="P348">
        <f t="shared" si="10"/>
        <v>1230</v>
      </c>
      <c r="Q348">
        <f t="shared" si="11"/>
        <v>-589.52427056274598</v>
      </c>
    </row>
    <row r="349" spans="1:17" x14ac:dyDescent="0.4">
      <c r="A349" t="s">
        <v>738</v>
      </c>
      <c r="B349" s="1">
        <v>45845.5</v>
      </c>
      <c r="C349" t="s">
        <v>65</v>
      </c>
      <c r="D349" t="s">
        <v>739</v>
      </c>
      <c r="E349" t="s">
        <v>69</v>
      </c>
      <c r="F349" t="s">
        <v>70</v>
      </c>
      <c r="G349">
        <v>293</v>
      </c>
      <c r="H349">
        <v>0.25</v>
      </c>
      <c r="I349">
        <v>219.75</v>
      </c>
      <c r="J349">
        <v>5</v>
      </c>
      <c r="K349">
        <v>218.881686161098</v>
      </c>
      <c r="L349">
        <v>1098.75</v>
      </c>
      <c r="M349">
        <v>1094.4084308054901</v>
      </c>
      <c r="N349">
        <v>4.3415691945076498</v>
      </c>
      <c r="O349" t="s">
        <v>32</v>
      </c>
      <c r="P349">
        <f t="shared" si="10"/>
        <v>1465</v>
      </c>
      <c r="Q349">
        <f t="shared" si="11"/>
        <v>-4.3415691945099297</v>
      </c>
    </row>
    <row r="350" spans="1:17" x14ac:dyDescent="0.4">
      <c r="A350" t="s">
        <v>740</v>
      </c>
      <c r="B350" s="1">
        <v>45594.208333333336</v>
      </c>
      <c r="C350" t="s">
        <v>65</v>
      </c>
      <c r="D350" t="s">
        <v>741</v>
      </c>
      <c r="E350" t="s">
        <v>110</v>
      </c>
      <c r="F350" t="s">
        <v>19</v>
      </c>
      <c r="G350">
        <v>237</v>
      </c>
      <c r="H350">
        <v>0</v>
      </c>
      <c r="I350">
        <v>237</v>
      </c>
      <c r="J350">
        <v>2</v>
      </c>
      <c r="K350">
        <v>142.54547490569399</v>
      </c>
      <c r="L350">
        <v>474</v>
      </c>
      <c r="M350">
        <v>285.09094981138901</v>
      </c>
      <c r="N350">
        <v>188.90905018861</v>
      </c>
      <c r="O350" t="s">
        <v>32</v>
      </c>
      <c r="P350">
        <f t="shared" si="10"/>
        <v>474</v>
      </c>
      <c r="Q350">
        <f t="shared" si="11"/>
        <v>-188.90905018861099</v>
      </c>
    </row>
    <row r="351" spans="1:17" x14ac:dyDescent="0.4">
      <c r="A351" t="s">
        <v>742</v>
      </c>
      <c r="B351" s="1">
        <v>45685.125</v>
      </c>
      <c r="C351" t="s">
        <v>16</v>
      </c>
      <c r="D351" t="s">
        <v>743</v>
      </c>
      <c r="E351" t="s">
        <v>69</v>
      </c>
      <c r="F351" t="s">
        <v>70</v>
      </c>
      <c r="G351">
        <v>247</v>
      </c>
      <c r="H351">
        <v>0.05</v>
      </c>
      <c r="I351">
        <v>234.64999999999901</v>
      </c>
      <c r="J351">
        <v>7</v>
      </c>
      <c r="K351">
        <v>166.249383465905</v>
      </c>
      <c r="L351">
        <v>1642.54999999999</v>
      </c>
      <c r="M351">
        <v>1163.7456842613301</v>
      </c>
      <c r="N351">
        <v>478.80431573866099</v>
      </c>
      <c r="O351" t="s">
        <v>32</v>
      </c>
      <c r="P351">
        <f t="shared" si="10"/>
        <v>1729</v>
      </c>
      <c r="Q351">
        <f t="shared" si="11"/>
        <v>-478.80431573865985</v>
      </c>
    </row>
    <row r="352" spans="1:17" x14ac:dyDescent="0.4">
      <c r="A352" t="s">
        <v>744</v>
      </c>
      <c r="B352" s="1">
        <v>45763.25</v>
      </c>
      <c r="C352" t="s">
        <v>22</v>
      </c>
      <c r="D352" t="s">
        <v>745</v>
      </c>
      <c r="E352" t="s">
        <v>73</v>
      </c>
      <c r="F352" t="s">
        <v>38</v>
      </c>
      <c r="G352">
        <v>188</v>
      </c>
      <c r="H352">
        <v>0.1</v>
      </c>
      <c r="I352">
        <v>169.2</v>
      </c>
      <c r="J352">
        <v>5</v>
      </c>
      <c r="K352">
        <v>123.56465725129</v>
      </c>
      <c r="L352">
        <v>846</v>
      </c>
      <c r="M352">
        <v>617.82328625645096</v>
      </c>
      <c r="N352">
        <v>228.17671374354799</v>
      </c>
      <c r="O352" t="s">
        <v>32</v>
      </c>
      <c r="P352">
        <f t="shared" si="10"/>
        <v>940</v>
      </c>
      <c r="Q352">
        <f t="shared" si="11"/>
        <v>-228.17671374354904</v>
      </c>
    </row>
    <row r="353" spans="1:17" x14ac:dyDescent="0.4">
      <c r="A353" t="s">
        <v>746</v>
      </c>
      <c r="B353" s="1">
        <v>45846</v>
      </c>
      <c r="C353" t="s">
        <v>46</v>
      </c>
      <c r="D353" t="s">
        <v>747</v>
      </c>
      <c r="E353" t="s">
        <v>30</v>
      </c>
      <c r="F353" t="s">
        <v>31</v>
      </c>
      <c r="G353">
        <v>325</v>
      </c>
      <c r="H353">
        <v>0.1</v>
      </c>
      <c r="I353">
        <v>292.5</v>
      </c>
      <c r="J353">
        <v>1</v>
      </c>
      <c r="K353">
        <v>208.944480854528</v>
      </c>
      <c r="L353">
        <v>292.5</v>
      </c>
      <c r="M353">
        <v>208.944480854528</v>
      </c>
      <c r="N353">
        <v>83.555519145471806</v>
      </c>
      <c r="O353" t="s">
        <v>32</v>
      </c>
      <c r="P353">
        <f t="shared" si="10"/>
        <v>325</v>
      </c>
      <c r="Q353">
        <f t="shared" si="11"/>
        <v>-83.555519145472005</v>
      </c>
    </row>
    <row r="354" spans="1:17" x14ac:dyDescent="0.4">
      <c r="A354" t="s">
        <v>748</v>
      </c>
      <c r="B354" s="1">
        <v>45843.875</v>
      </c>
      <c r="C354" t="s">
        <v>28</v>
      </c>
      <c r="D354" t="s">
        <v>749</v>
      </c>
      <c r="E354" t="s">
        <v>37</v>
      </c>
      <c r="F354" t="s">
        <v>38</v>
      </c>
      <c r="G354">
        <v>328</v>
      </c>
      <c r="H354">
        <v>0</v>
      </c>
      <c r="I354">
        <v>328</v>
      </c>
      <c r="J354">
        <v>6</v>
      </c>
      <c r="K354">
        <v>133.949031253051</v>
      </c>
      <c r="L354">
        <v>1968</v>
      </c>
      <c r="M354">
        <v>803.69418751830904</v>
      </c>
      <c r="N354">
        <v>1164.3058124816901</v>
      </c>
      <c r="O354" t="s">
        <v>51</v>
      </c>
      <c r="P354">
        <f t="shared" si="10"/>
        <v>1968</v>
      </c>
      <c r="Q354">
        <f t="shared" si="11"/>
        <v>-1164.305812481691</v>
      </c>
    </row>
    <row r="355" spans="1:17" x14ac:dyDescent="0.4">
      <c r="A355" t="s">
        <v>750</v>
      </c>
      <c r="B355" s="1">
        <v>45756.625</v>
      </c>
      <c r="C355" t="s">
        <v>16</v>
      </c>
      <c r="D355" t="s">
        <v>751</v>
      </c>
      <c r="E355" t="s">
        <v>48</v>
      </c>
      <c r="F355" t="s">
        <v>19</v>
      </c>
      <c r="G355">
        <v>304</v>
      </c>
      <c r="H355">
        <v>0</v>
      </c>
      <c r="I355">
        <v>304</v>
      </c>
      <c r="J355">
        <v>2</v>
      </c>
      <c r="K355">
        <v>197.61366039646001</v>
      </c>
      <c r="L355">
        <v>608</v>
      </c>
      <c r="M355">
        <v>395.22732079292098</v>
      </c>
      <c r="N355">
        <v>212.772679207078</v>
      </c>
      <c r="O355" t="s">
        <v>32</v>
      </c>
      <c r="P355">
        <f t="shared" si="10"/>
        <v>608</v>
      </c>
      <c r="Q355">
        <f t="shared" si="11"/>
        <v>-212.77267920707902</v>
      </c>
    </row>
    <row r="356" spans="1:17" x14ac:dyDescent="0.4">
      <c r="A356" t="s">
        <v>752</v>
      </c>
      <c r="B356" s="1">
        <v>45727.708333333336</v>
      </c>
      <c r="C356" t="s">
        <v>28</v>
      </c>
      <c r="D356" t="s">
        <v>753</v>
      </c>
      <c r="E356" t="s">
        <v>37</v>
      </c>
      <c r="F356" t="s">
        <v>38</v>
      </c>
      <c r="G356">
        <v>80</v>
      </c>
      <c r="H356">
        <v>0</v>
      </c>
      <c r="I356">
        <v>80</v>
      </c>
      <c r="J356">
        <v>5</v>
      </c>
      <c r="K356">
        <v>45.8465915033714</v>
      </c>
      <c r="L356">
        <v>400</v>
      </c>
      <c r="M356">
        <v>229.232957516857</v>
      </c>
      <c r="N356">
        <v>170.76704248314201</v>
      </c>
      <c r="O356" t="s">
        <v>26</v>
      </c>
      <c r="P356">
        <f t="shared" si="10"/>
        <v>400</v>
      </c>
      <c r="Q356">
        <f t="shared" si="11"/>
        <v>-170.767042483143</v>
      </c>
    </row>
    <row r="357" spans="1:17" x14ac:dyDescent="0.4">
      <c r="A357" t="s">
        <v>754</v>
      </c>
      <c r="B357" s="1">
        <v>45395.291666666664</v>
      </c>
      <c r="C357" t="s">
        <v>65</v>
      </c>
      <c r="D357" t="s">
        <v>755</v>
      </c>
      <c r="E357" t="s">
        <v>146</v>
      </c>
      <c r="F357" t="s">
        <v>70</v>
      </c>
      <c r="G357">
        <v>290</v>
      </c>
      <c r="H357">
        <v>0.15</v>
      </c>
      <c r="I357">
        <v>246.5</v>
      </c>
      <c r="J357">
        <v>6</v>
      </c>
      <c r="K357">
        <v>208.67370888932001</v>
      </c>
      <c r="L357">
        <v>1479</v>
      </c>
      <c r="M357">
        <v>1252.0422533359199</v>
      </c>
      <c r="N357">
        <v>226.95774666407701</v>
      </c>
      <c r="O357" t="s">
        <v>32</v>
      </c>
      <c r="P357">
        <f t="shared" si="10"/>
        <v>1740</v>
      </c>
      <c r="Q357">
        <f t="shared" si="11"/>
        <v>-226.9577466640801</v>
      </c>
    </row>
    <row r="358" spans="1:17" x14ac:dyDescent="0.4">
      <c r="A358" t="s">
        <v>756</v>
      </c>
      <c r="B358" s="1">
        <v>45477.5</v>
      </c>
      <c r="C358" t="s">
        <v>46</v>
      </c>
      <c r="D358" t="s">
        <v>757</v>
      </c>
      <c r="E358" t="s">
        <v>69</v>
      </c>
      <c r="F358" t="s">
        <v>70</v>
      </c>
      <c r="G358">
        <v>113</v>
      </c>
      <c r="H358">
        <v>0.1</v>
      </c>
      <c r="I358">
        <v>101.7</v>
      </c>
      <c r="J358">
        <v>5</v>
      </c>
      <c r="K358">
        <v>68.455068945294499</v>
      </c>
      <c r="L358">
        <v>508.5</v>
      </c>
      <c r="M358">
        <v>342.27534472647199</v>
      </c>
      <c r="N358">
        <v>166.22465527352699</v>
      </c>
      <c r="O358" t="s">
        <v>26</v>
      </c>
      <c r="P358">
        <f t="shared" si="10"/>
        <v>565</v>
      </c>
      <c r="Q358">
        <f t="shared" si="11"/>
        <v>-166.22465527352801</v>
      </c>
    </row>
    <row r="359" spans="1:17" x14ac:dyDescent="0.4">
      <c r="A359" t="s">
        <v>758</v>
      </c>
      <c r="B359" s="1">
        <v>45537.041666666664</v>
      </c>
      <c r="C359" t="s">
        <v>16</v>
      </c>
      <c r="D359" t="s">
        <v>759</v>
      </c>
      <c r="E359" t="s">
        <v>110</v>
      </c>
      <c r="F359" t="s">
        <v>19</v>
      </c>
      <c r="G359">
        <v>89</v>
      </c>
      <c r="H359">
        <v>0.1</v>
      </c>
      <c r="I359">
        <v>80.099999999999994</v>
      </c>
      <c r="J359">
        <v>4</v>
      </c>
      <c r="K359">
        <v>53.635153690161602</v>
      </c>
      <c r="L359">
        <v>320.39999999999998</v>
      </c>
      <c r="M359">
        <v>214.54061476064601</v>
      </c>
      <c r="N359">
        <v>105.859385239353</v>
      </c>
      <c r="O359" t="s">
        <v>51</v>
      </c>
      <c r="P359">
        <f t="shared" si="10"/>
        <v>356</v>
      </c>
      <c r="Q359">
        <f t="shared" si="11"/>
        <v>-105.85938523935397</v>
      </c>
    </row>
    <row r="360" spans="1:17" x14ac:dyDescent="0.4">
      <c r="A360" t="s">
        <v>760</v>
      </c>
      <c r="B360" s="1">
        <v>45878.208333333336</v>
      </c>
      <c r="C360" t="s">
        <v>65</v>
      </c>
      <c r="D360" t="s">
        <v>761</v>
      </c>
      <c r="E360" t="s">
        <v>213</v>
      </c>
      <c r="F360" t="s">
        <v>31</v>
      </c>
      <c r="G360">
        <v>247</v>
      </c>
      <c r="H360">
        <v>0.15</v>
      </c>
      <c r="I360">
        <v>209.95</v>
      </c>
      <c r="J360">
        <v>1</v>
      </c>
      <c r="K360">
        <v>124.17608280805101</v>
      </c>
      <c r="L360">
        <v>209.95</v>
      </c>
      <c r="M360">
        <v>124.17608280805101</v>
      </c>
      <c r="N360">
        <v>85.773917191948698</v>
      </c>
      <c r="O360" t="s">
        <v>32</v>
      </c>
      <c r="P360">
        <f t="shared" si="10"/>
        <v>247</v>
      </c>
      <c r="Q360">
        <f t="shared" si="11"/>
        <v>-85.773917191948982</v>
      </c>
    </row>
    <row r="361" spans="1:17" x14ac:dyDescent="0.4">
      <c r="A361" t="s">
        <v>762</v>
      </c>
      <c r="B361" s="1">
        <v>45410.708333333336</v>
      </c>
      <c r="C361" t="s">
        <v>46</v>
      </c>
      <c r="D361" t="s">
        <v>763</v>
      </c>
      <c r="E361" t="s">
        <v>73</v>
      </c>
      <c r="F361" t="s">
        <v>38</v>
      </c>
      <c r="G361">
        <v>326</v>
      </c>
      <c r="H361">
        <v>0.15</v>
      </c>
      <c r="I361">
        <v>277.099999999999</v>
      </c>
      <c r="J361">
        <v>7</v>
      </c>
      <c r="K361">
        <v>206.051403944811</v>
      </c>
      <c r="L361">
        <v>1939.69999999999</v>
      </c>
      <c r="M361">
        <v>1442.3598276136699</v>
      </c>
      <c r="N361">
        <v>497.34017238632202</v>
      </c>
      <c r="O361" t="s">
        <v>51</v>
      </c>
      <c r="P361">
        <f t="shared" si="10"/>
        <v>2282</v>
      </c>
      <c r="Q361">
        <f t="shared" si="11"/>
        <v>-497.34017238632009</v>
      </c>
    </row>
    <row r="362" spans="1:17" x14ac:dyDescent="0.4">
      <c r="A362" t="s">
        <v>764</v>
      </c>
      <c r="B362" s="1">
        <v>45599.916666666664</v>
      </c>
      <c r="C362" t="s">
        <v>43</v>
      </c>
      <c r="D362" t="s">
        <v>765</v>
      </c>
      <c r="E362" t="s">
        <v>115</v>
      </c>
      <c r="F362" t="s">
        <v>38</v>
      </c>
      <c r="G362">
        <v>270</v>
      </c>
      <c r="H362">
        <v>0</v>
      </c>
      <c r="I362">
        <v>270</v>
      </c>
      <c r="J362">
        <v>1</v>
      </c>
      <c r="K362">
        <v>121.006009900645</v>
      </c>
      <c r="L362">
        <v>270</v>
      </c>
      <c r="M362">
        <v>121.006009900645</v>
      </c>
      <c r="N362">
        <v>148.99399009935399</v>
      </c>
      <c r="O362" t="s">
        <v>51</v>
      </c>
      <c r="P362">
        <f t="shared" si="10"/>
        <v>270</v>
      </c>
      <c r="Q362">
        <f t="shared" si="11"/>
        <v>-148.99399009935502</v>
      </c>
    </row>
    <row r="363" spans="1:17" x14ac:dyDescent="0.4">
      <c r="A363" t="s">
        <v>766</v>
      </c>
      <c r="B363" s="1">
        <v>45788.75</v>
      </c>
      <c r="C363" t="s">
        <v>16</v>
      </c>
      <c r="D363" t="s">
        <v>767</v>
      </c>
      <c r="E363" t="s">
        <v>30</v>
      </c>
      <c r="F363" t="s">
        <v>31</v>
      </c>
      <c r="G363">
        <v>347</v>
      </c>
      <c r="H363">
        <v>0.05</v>
      </c>
      <c r="I363">
        <v>329.65</v>
      </c>
      <c r="J363">
        <v>4</v>
      </c>
      <c r="K363">
        <v>230.864009131812</v>
      </c>
      <c r="L363">
        <v>1318.6</v>
      </c>
      <c r="M363">
        <v>923.45603652724901</v>
      </c>
      <c r="N363">
        <v>395.14396347274999</v>
      </c>
      <c r="O363" t="s">
        <v>32</v>
      </c>
      <c r="P363">
        <f t="shared" si="10"/>
        <v>1388</v>
      </c>
      <c r="Q363">
        <f t="shared" si="11"/>
        <v>-395.1439634727509</v>
      </c>
    </row>
    <row r="364" spans="1:17" x14ac:dyDescent="0.4">
      <c r="A364" t="s">
        <v>768</v>
      </c>
      <c r="B364" s="1">
        <v>45395.708333333336</v>
      </c>
      <c r="C364" t="s">
        <v>22</v>
      </c>
      <c r="D364" t="s">
        <v>769</v>
      </c>
      <c r="E364" t="s">
        <v>69</v>
      </c>
      <c r="F364" t="s">
        <v>70</v>
      </c>
      <c r="G364">
        <v>182</v>
      </c>
      <c r="H364">
        <v>0</v>
      </c>
      <c r="I364">
        <v>182</v>
      </c>
      <c r="J364">
        <v>7</v>
      </c>
      <c r="K364">
        <v>78.133278540748705</v>
      </c>
      <c r="L364">
        <v>1274</v>
      </c>
      <c r="M364">
        <v>546.93294978524</v>
      </c>
      <c r="N364">
        <v>727.06705021475898</v>
      </c>
      <c r="O364" t="s">
        <v>32</v>
      </c>
      <c r="P364">
        <f t="shared" si="10"/>
        <v>1274</v>
      </c>
      <c r="Q364">
        <f t="shared" si="11"/>
        <v>-727.06705021476</v>
      </c>
    </row>
    <row r="365" spans="1:17" x14ac:dyDescent="0.4">
      <c r="A365" t="s">
        <v>770</v>
      </c>
      <c r="B365" s="1">
        <v>45701.291666666664</v>
      </c>
      <c r="C365" t="s">
        <v>65</v>
      </c>
      <c r="D365" t="s">
        <v>771</v>
      </c>
      <c r="E365" t="s">
        <v>94</v>
      </c>
      <c r="F365" t="s">
        <v>61</v>
      </c>
      <c r="G365">
        <v>302</v>
      </c>
      <c r="H365">
        <v>0.15</v>
      </c>
      <c r="I365">
        <v>256.7</v>
      </c>
      <c r="J365">
        <v>2</v>
      </c>
      <c r="K365">
        <v>155.52859644292801</v>
      </c>
      <c r="L365">
        <v>513.4</v>
      </c>
      <c r="M365">
        <v>311.05719288585698</v>
      </c>
      <c r="N365">
        <v>202.342807114142</v>
      </c>
      <c r="O365" t="s">
        <v>26</v>
      </c>
      <c r="P365">
        <f t="shared" si="10"/>
        <v>604</v>
      </c>
      <c r="Q365">
        <f t="shared" si="11"/>
        <v>-202.342807114143</v>
      </c>
    </row>
    <row r="366" spans="1:17" x14ac:dyDescent="0.4">
      <c r="A366" t="s">
        <v>772</v>
      </c>
      <c r="B366" s="1">
        <v>45675.625</v>
      </c>
      <c r="C366" t="s">
        <v>28</v>
      </c>
      <c r="D366" t="s">
        <v>773</v>
      </c>
      <c r="E366" t="s">
        <v>18</v>
      </c>
      <c r="F366" t="s">
        <v>19</v>
      </c>
      <c r="G366">
        <v>149</v>
      </c>
      <c r="H366">
        <v>0.05</v>
      </c>
      <c r="I366">
        <v>141.54999999999899</v>
      </c>
      <c r="J366">
        <v>3</v>
      </c>
      <c r="K366">
        <v>81.892379443892807</v>
      </c>
      <c r="L366">
        <v>424.65</v>
      </c>
      <c r="M366">
        <v>245.67713833167801</v>
      </c>
      <c r="N366">
        <v>178.972861668321</v>
      </c>
      <c r="O366" t="s">
        <v>20</v>
      </c>
      <c r="P366">
        <f t="shared" si="10"/>
        <v>447</v>
      </c>
      <c r="Q366">
        <f t="shared" si="11"/>
        <v>-178.97286166832197</v>
      </c>
    </row>
    <row r="367" spans="1:17" x14ac:dyDescent="0.4">
      <c r="A367" t="s">
        <v>774</v>
      </c>
      <c r="B367" s="1">
        <v>45689.5</v>
      </c>
      <c r="C367" t="s">
        <v>65</v>
      </c>
      <c r="D367" t="s">
        <v>775</v>
      </c>
      <c r="E367" t="s">
        <v>37</v>
      </c>
      <c r="F367" t="s">
        <v>38</v>
      </c>
      <c r="G367">
        <v>223</v>
      </c>
      <c r="H367">
        <v>0.2</v>
      </c>
      <c r="I367">
        <v>178.4</v>
      </c>
      <c r="J367">
        <v>1</v>
      </c>
      <c r="K367">
        <v>118.096622092681</v>
      </c>
      <c r="L367">
        <v>178.4</v>
      </c>
      <c r="M367">
        <v>118.096622092681</v>
      </c>
      <c r="N367">
        <v>60.303377907318698</v>
      </c>
      <c r="O367" t="s">
        <v>51</v>
      </c>
      <c r="P367">
        <f t="shared" si="10"/>
        <v>223</v>
      </c>
      <c r="Q367">
        <f t="shared" si="11"/>
        <v>-60.303377907319003</v>
      </c>
    </row>
    <row r="368" spans="1:17" x14ac:dyDescent="0.4">
      <c r="A368" t="s">
        <v>776</v>
      </c>
      <c r="B368" s="1">
        <v>45973.833333333336</v>
      </c>
      <c r="C368" t="s">
        <v>28</v>
      </c>
      <c r="D368" t="s">
        <v>777</v>
      </c>
      <c r="E368" t="s">
        <v>18</v>
      </c>
      <c r="F368" t="s">
        <v>19</v>
      </c>
      <c r="G368">
        <v>179</v>
      </c>
      <c r="H368">
        <v>0.05</v>
      </c>
      <c r="I368">
        <v>170.04999999999899</v>
      </c>
      <c r="J368">
        <v>3</v>
      </c>
      <c r="K368">
        <v>120.966328869471</v>
      </c>
      <c r="L368">
        <v>510.15</v>
      </c>
      <c r="M368">
        <v>362.89898660841499</v>
      </c>
      <c r="N368">
        <v>147.251013391584</v>
      </c>
      <c r="O368" t="s">
        <v>51</v>
      </c>
      <c r="P368">
        <f t="shared" si="10"/>
        <v>537</v>
      </c>
      <c r="Q368">
        <f t="shared" si="11"/>
        <v>-147.25101339158499</v>
      </c>
    </row>
    <row r="369" spans="1:17" x14ac:dyDescent="0.4">
      <c r="A369" t="s">
        <v>778</v>
      </c>
      <c r="B369" s="1">
        <v>45484.125</v>
      </c>
      <c r="C369" t="s">
        <v>43</v>
      </c>
      <c r="D369" t="s">
        <v>779</v>
      </c>
      <c r="E369" t="s">
        <v>69</v>
      </c>
      <c r="F369" t="s">
        <v>70</v>
      </c>
      <c r="G369">
        <v>121</v>
      </c>
      <c r="H369">
        <v>0.1</v>
      </c>
      <c r="I369">
        <v>108.9</v>
      </c>
      <c r="J369">
        <v>5</v>
      </c>
      <c r="K369">
        <v>84.765865434707706</v>
      </c>
      <c r="L369">
        <v>544.5</v>
      </c>
      <c r="M369">
        <v>423.82932717353799</v>
      </c>
      <c r="N369">
        <v>120.670672826461</v>
      </c>
      <c r="O369" t="s">
        <v>20</v>
      </c>
      <c r="P369">
        <f t="shared" si="10"/>
        <v>605</v>
      </c>
      <c r="Q369">
        <f t="shared" si="11"/>
        <v>-120.67067282646201</v>
      </c>
    </row>
    <row r="370" spans="1:17" x14ac:dyDescent="0.4">
      <c r="A370" t="s">
        <v>780</v>
      </c>
      <c r="B370" s="1">
        <v>45536.916666666664</v>
      </c>
      <c r="C370" t="s">
        <v>65</v>
      </c>
      <c r="D370" t="s">
        <v>781</v>
      </c>
      <c r="E370" t="s">
        <v>37</v>
      </c>
      <c r="F370" t="s">
        <v>38</v>
      </c>
      <c r="G370">
        <v>294</v>
      </c>
      <c r="H370">
        <v>0.25</v>
      </c>
      <c r="I370">
        <v>220.5</v>
      </c>
      <c r="J370">
        <v>6</v>
      </c>
      <c r="K370">
        <v>151.72337377319599</v>
      </c>
      <c r="L370">
        <v>1323</v>
      </c>
      <c r="M370">
        <v>910.34024263917604</v>
      </c>
      <c r="N370">
        <v>412.65975736082299</v>
      </c>
      <c r="O370" t="s">
        <v>26</v>
      </c>
      <c r="P370">
        <f t="shared" si="10"/>
        <v>1764</v>
      </c>
      <c r="Q370">
        <f t="shared" si="11"/>
        <v>-412.65975736082396</v>
      </c>
    </row>
    <row r="371" spans="1:17" x14ac:dyDescent="0.4">
      <c r="A371" t="s">
        <v>782</v>
      </c>
      <c r="B371" s="1">
        <v>45973.125</v>
      </c>
      <c r="C371" t="s">
        <v>22</v>
      </c>
      <c r="D371" t="s">
        <v>783</v>
      </c>
      <c r="E371" t="s">
        <v>37</v>
      </c>
      <c r="F371" t="s">
        <v>38</v>
      </c>
      <c r="G371">
        <v>154</v>
      </c>
      <c r="H371">
        <v>0.25</v>
      </c>
      <c r="I371">
        <v>115.5</v>
      </c>
      <c r="J371">
        <v>6</v>
      </c>
      <c r="K371">
        <v>85.607573187601901</v>
      </c>
      <c r="L371">
        <v>693</v>
      </c>
      <c r="M371">
        <v>513.64543912561101</v>
      </c>
      <c r="N371">
        <v>179.354560874388</v>
      </c>
      <c r="O371" t="s">
        <v>26</v>
      </c>
      <c r="P371">
        <f t="shared" si="10"/>
        <v>924</v>
      </c>
      <c r="Q371">
        <f t="shared" si="11"/>
        <v>-179.35456087438899</v>
      </c>
    </row>
    <row r="372" spans="1:17" x14ac:dyDescent="0.4">
      <c r="A372" t="s">
        <v>784</v>
      </c>
      <c r="B372" s="1">
        <v>45327.458333333336</v>
      </c>
      <c r="C372" t="s">
        <v>22</v>
      </c>
      <c r="D372" t="s">
        <v>785</v>
      </c>
      <c r="E372" t="s">
        <v>69</v>
      </c>
      <c r="F372" t="s">
        <v>70</v>
      </c>
      <c r="G372">
        <v>191</v>
      </c>
      <c r="H372">
        <v>0.05</v>
      </c>
      <c r="I372">
        <v>181.45</v>
      </c>
      <c r="J372">
        <v>3</v>
      </c>
      <c r="K372">
        <v>130.096921876842</v>
      </c>
      <c r="L372">
        <v>544.349999999999</v>
      </c>
      <c r="M372">
        <v>390.29076563052598</v>
      </c>
      <c r="N372">
        <v>154.05923436947299</v>
      </c>
      <c r="O372" t="s">
        <v>26</v>
      </c>
      <c r="P372">
        <f t="shared" si="10"/>
        <v>573</v>
      </c>
      <c r="Q372">
        <f t="shared" si="11"/>
        <v>-154.05923436947302</v>
      </c>
    </row>
    <row r="373" spans="1:17" x14ac:dyDescent="0.4">
      <c r="A373" t="s">
        <v>786</v>
      </c>
      <c r="B373" s="1">
        <v>45576.708333333336</v>
      </c>
      <c r="C373" t="s">
        <v>43</v>
      </c>
      <c r="D373" t="s">
        <v>787</v>
      </c>
      <c r="E373" t="s">
        <v>85</v>
      </c>
      <c r="F373" t="s">
        <v>70</v>
      </c>
      <c r="G373">
        <v>275</v>
      </c>
      <c r="H373">
        <v>0.15</v>
      </c>
      <c r="I373">
        <v>233.75</v>
      </c>
      <c r="J373">
        <v>3</v>
      </c>
      <c r="K373">
        <v>126.2526270994</v>
      </c>
      <c r="L373">
        <v>701.25</v>
      </c>
      <c r="M373">
        <v>378.75788129820103</v>
      </c>
      <c r="N373">
        <v>322.49211870179801</v>
      </c>
      <c r="O373" t="s">
        <v>32</v>
      </c>
      <c r="P373">
        <f t="shared" si="10"/>
        <v>825</v>
      </c>
      <c r="Q373">
        <f t="shared" si="11"/>
        <v>-322.49211870179897</v>
      </c>
    </row>
    <row r="374" spans="1:17" x14ac:dyDescent="0.4">
      <c r="A374" t="s">
        <v>788</v>
      </c>
      <c r="B374" s="1">
        <v>45789.416666666664</v>
      </c>
      <c r="C374" t="s">
        <v>22</v>
      </c>
      <c r="D374" t="s">
        <v>789</v>
      </c>
      <c r="E374" t="s">
        <v>24</v>
      </c>
      <c r="F374" t="s">
        <v>25</v>
      </c>
      <c r="G374">
        <v>251</v>
      </c>
      <c r="H374">
        <v>0</v>
      </c>
      <c r="I374">
        <v>251</v>
      </c>
      <c r="J374">
        <v>3</v>
      </c>
      <c r="K374">
        <v>173.881446608478</v>
      </c>
      <c r="L374">
        <v>753</v>
      </c>
      <c r="M374">
        <v>521.64433982543403</v>
      </c>
      <c r="N374">
        <v>231.355660174565</v>
      </c>
      <c r="O374" t="s">
        <v>32</v>
      </c>
      <c r="P374">
        <f t="shared" si="10"/>
        <v>753</v>
      </c>
      <c r="Q374">
        <f t="shared" si="11"/>
        <v>-231.35566017456597</v>
      </c>
    </row>
    <row r="375" spans="1:17" x14ac:dyDescent="0.4">
      <c r="A375" t="s">
        <v>790</v>
      </c>
      <c r="B375" s="1">
        <v>45393.125</v>
      </c>
      <c r="C375" t="s">
        <v>43</v>
      </c>
      <c r="D375" t="s">
        <v>791</v>
      </c>
      <c r="E375" t="s">
        <v>97</v>
      </c>
      <c r="F375" t="s">
        <v>61</v>
      </c>
      <c r="G375">
        <v>266</v>
      </c>
      <c r="H375">
        <v>0.15</v>
      </c>
      <c r="I375">
        <v>226.1</v>
      </c>
      <c r="J375">
        <v>3</v>
      </c>
      <c r="K375">
        <v>180.23416794130799</v>
      </c>
      <c r="L375">
        <v>678.3</v>
      </c>
      <c r="M375">
        <v>540.70250382392396</v>
      </c>
      <c r="N375">
        <v>137.597496176075</v>
      </c>
      <c r="O375" t="s">
        <v>51</v>
      </c>
      <c r="P375">
        <f t="shared" si="10"/>
        <v>798</v>
      </c>
      <c r="Q375">
        <f t="shared" si="11"/>
        <v>-137.59749617607599</v>
      </c>
    </row>
    <row r="376" spans="1:17" x14ac:dyDescent="0.4">
      <c r="A376" t="s">
        <v>792</v>
      </c>
      <c r="B376" s="1">
        <v>45458.666666666664</v>
      </c>
      <c r="C376" t="s">
        <v>16</v>
      </c>
      <c r="D376" t="s">
        <v>793</v>
      </c>
      <c r="E376" t="s">
        <v>37</v>
      </c>
      <c r="F376" t="s">
        <v>38</v>
      </c>
      <c r="G376">
        <v>332</v>
      </c>
      <c r="H376">
        <v>0</v>
      </c>
      <c r="I376">
        <v>332</v>
      </c>
      <c r="J376">
        <v>7</v>
      </c>
      <c r="K376">
        <v>234.972284425444</v>
      </c>
      <c r="L376">
        <v>2324</v>
      </c>
      <c r="M376">
        <v>1644.8059909781</v>
      </c>
      <c r="N376">
        <v>679.19400902189</v>
      </c>
      <c r="O376" t="s">
        <v>26</v>
      </c>
      <c r="P376">
        <f t="shared" si="10"/>
        <v>2324</v>
      </c>
      <c r="Q376">
        <f t="shared" si="11"/>
        <v>-679.1940090219</v>
      </c>
    </row>
    <row r="377" spans="1:17" x14ac:dyDescent="0.4">
      <c r="A377" t="s">
        <v>794</v>
      </c>
      <c r="B377" s="1">
        <v>45502.5</v>
      </c>
      <c r="C377" t="s">
        <v>43</v>
      </c>
      <c r="D377" t="s">
        <v>795</v>
      </c>
      <c r="E377" t="s">
        <v>104</v>
      </c>
      <c r="F377" t="s">
        <v>25</v>
      </c>
      <c r="G377">
        <v>158</v>
      </c>
      <c r="H377">
        <v>0</v>
      </c>
      <c r="I377">
        <v>158</v>
      </c>
      <c r="J377">
        <v>7</v>
      </c>
      <c r="K377">
        <v>110.896056859307</v>
      </c>
      <c r="L377">
        <v>1106</v>
      </c>
      <c r="M377">
        <v>776.27239801515304</v>
      </c>
      <c r="N377">
        <v>329.72760198484599</v>
      </c>
      <c r="O377" t="s">
        <v>51</v>
      </c>
      <c r="P377">
        <f t="shared" si="10"/>
        <v>1106</v>
      </c>
      <c r="Q377">
        <f t="shared" si="11"/>
        <v>-329.72760198484696</v>
      </c>
    </row>
    <row r="378" spans="1:17" x14ac:dyDescent="0.4">
      <c r="A378" t="s">
        <v>796</v>
      </c>
      <c r="B378" s="1">
        <v>45406.083333333336</v>
      </c>
      <c r="C378" t="s">
        <v>22</v>
      </c>
      <c r="D378" t="s">
        <v>797</v>
      </c>
      <c r="E378" t="s">
        <v>37</v>
      </c>
      <c r="F378" t="s">
        <v>38</v>
      </c>
      <c r="G378">
        <v>268</v>
      </c>
      <c r="H378">
        <v>0</v>
      </c>
      <c r="I378">
        <v>268</v>
      </c>
      <c r="J378">
        <v>6</v>
      </c>
      <c r="K378">
        <v>192.700081286216</v>
      </c>
      <c r="L378">
        <v>1608</v>
      </c>
      <c r="M378">
        <v>1156.2004877172999</v>
      </c>
      <c r="N378">
        <v>451.79951228269903</v>
      </c>
      <c r="O378" t="s">
        <v>32</v>
      </c>
      <c r="P378">
        <f t="shared" si="10"/>
        <v>1608</v>
      </c>
      <c r="Q378">
        <f t="shared" si="11"/>
        <v>-451.79951228270011</v>
      </c>
    </row>
    <row r="379" spans="1:17" x14ac:dyDescent="0.4">
      <c r="A379" t="s">
        <v>798</v>
      </c>
      <c r="B379" s="1">
        <v>45516.458333333336</v>
      </c>
      <c r="C379" t="s">
        <v>22</v>
      </c>
      <c r="D379" t="s">
        <v>799</v>
      </c>
      <c r="E379" t="s">
        <v>73</v>
      </c>
      <c r="F379" t="s">
        <v>38</v>
      </c>
      <c r="G379">
        <v>177</v>
      </c>
      <c r="H379">
        <v>0</v>
      </c>
      <c r="I379">
        <v>177</v>
      </c>
      <c r="J379">
        <v>7</v>
      </c>
      <c r="K379">
        <v>125.310711125738</v>
      </c>
      <c r="L379">
        <v>1239</v>
      </c>
      <c r="M379">
        <v>877.17497788016999</v>
      </c>
      <c r="N379">
        <v>361.82502211983001</v>
      </c>
      <c r="O379" t="s">
        <v>32</v>
      </c>
      <c r="P379">
        <f t="shared" si="10"/>
        <v>1239</v>
      </c>
      <c r="Q379">
        <f t="shared" si="11"/>
        <v>-361.82502211983001</v>
      </c>
    </row>
    <row r="380" spans="1:17" x14ac:dyDescent="0.4">
      <c r="A380" t="s">
        <v>800</v>
      </c>
      <c r="B380" s="1">
        <v>45625.416666666664</v>
      </c>
      <c r="C380" t="s">
        <v>22</v>
      </c>
      <c r="D380" t="s">
        <v>801</v>
      </c>
      <c r="E380" t="s">
        <v>104</v>
      </c>
      <c r="F380" t="s">
        <v>25</v>
      </c>
      <c r="G380">
        <v>288</v>
      </c>
      <c r="H380">
        <v>0.1</v>
      </c>
      <c r="I380">
        <v>259.2</v>
      </c>
      <c r="J380">
        <v>1</v>
      </c>
      <c r="K380">
        <v>175.212930111812</v>
      </c>
      <c r="L380">
        <v>259.2</v>
      </c>
      <c r="M380">
        <v>175.212930111812</v>
      </c>
      <c r="N380">
        <v>83.987069888187193</v>
      </c>
      <c r="O380" t="s">
        <v>32</v>
      </c>
      <c r="P380">
        <f t="shared" si="10"/>
        <v>288</v>
      </c>
      <c r="Q380">
        <f t="shared" si="11"/>
        <v>-83.987069888187989</v>
      </c>
    </row>
    <row r="381" spans="1:17" x14ac:dyDescent="0.4">
      <c r="A381" t="s">
        <v>802</v>
      </c>
      <c r="B381" s="1">
        <v>45522.666666666664</v>
      </c>
      <c r="C381" t="s">
        <v>46</v>
      </c>
      <c r="D381" t="s">
        <v>803</v>
      </c>
      <c r="E381" t="s">
        <v>60</v>
      </c>
      <c r="F381" t="s">
        <v>61</v>
      </c>
      <c r="G381">
        <v>201</v>
      </c>
      <c r="H381">
        <v>0.15</v>
      </c>
      <c r="I381">
        <v>170.85</v>
      </c>
      <c r="J381">
        <v>3</v>
      </c>
      <c r="K381">
        <v>112.62231317667499</v>
      </c>
      <c r="L381">
        <v>512.54999999999995</v>
      </c>
      <c r="M381">
        <v>337.86693953002498</v>
      </c>
      <c r="N381">
        <v>174.68306046997401</v>
      </c>
      <c r="O381" t="s">
        <v>20</v>
      </c>
      <c r="P381">
        <f t="shared" si="10"/>
        <v>603</v>
      </c>
      <c r="Q381">
        <f t="shared" si="11"/>
        <v>-174.68306046997498</v>
      </c>
    </row>
    <row r="382" spans="1:17" x14ac:dyDescent="0.4">
      <c r="A382" t="s">
        <v>804</v>
      </c>
      <c r="B382" s="1">
        <v>45853.625</v>
      </c>
      <c r="C382" t="s">
        <v>43</v>
      </c>
      <c r="D382" t="s">
        <v>805</v>
      </c>
      <c r="E382" t="s">
        <v>94</v>
      </c>
      <c r="F382" t="s">
        <v>61</v>
      </c>
      <c r="G382">
        <v>160</v>
      </c>
      <c r="H382">
        <v>0</v>
      </c>
      <c r="I382">
        <v>160</v>
      </c>
      <c r="J382">
        <v>5</v>
      </c>
      <c r="K382">
        <v>78.537783887674706</v>
      </c>
      <c r="L382">
        <v>800</v>
      </c>
      <c r="M382">
        <v>392.68891943837298</v>
      </c>
      <c r="N382">
        <v>407.311080561626</v>
      </c>
      <c r="O382" t="s">
        <v>26</v>
      </c>
      <c r="P382">
        <f t="shared" si="10"/>
        <v>800</v>
      </c>
      <c r="Q382">
        <f t="shared" si="11"/>
        <v>-407.31108056162702</v>
      </c>
    </row>
    <row r="383" spans="1:17" x14ac:dyDescent="0.4">
      <c r="A383" t="s">
        <v>806</v>
      </c>
      <c r="B383" s="1">
        <v>45455.041666666664</v>
      </c>
      <c r="C383" t="s">
        <v>28</v>
      </c>
      <c r="D383" t="s">
        <v>807</v>
      </c>
      <c r="E383" t="s">
        <v>73</v>
      </c>
      <c r="F383" t="s">
        <v>38</v>
      </c>
      <c r="G383">
        <v>264</v>
      </c>
      <c r="H383">
        <v>0</v>
      </c>
      <c r="I383">
        <v>264</v>
      </c>
      <c r="J383">
        <v>3</v>
      </c>
      <c r="K383">
        <v>190.146142087871</v>
      </c>
      <c r="L383">
        <v>792</v>
      </c>
      <c r="M383">
        <v>570.43842626361402</v>
      </c>
      <c r="N383">
        <v>221.56157373638499</v>
      </c>
      <c r="O383" t="s">
        <v>51</v>
      </c>
      <c r="P383">
        <f t="shared" si="10"/>
        <v>792</v>
      </c>
      <c r="Q383">
        <f t="shared" si="11"/>
        <v>-221.56157373638598</v>
      </c>
    </row>
    <row r="384" spans="1:17" x14ac:dyDescent="0.4">
      <c r="A384" t="s">
        <v>808</v>
      </c>
      <c r="B384" s="1">
        <v>46019.083333333336</v>
      </c>
      <c r="C384" t="s">
        <v>65</v>
      </c>
      <c r="D384" t="s">
        <v>809</v>
      </c>
      <c r="E384" t="s">
        <v>24</v>
      </c>
      <c r="F384" t="s">
        <v>25</v>
      </c>
      <c r="G384">
        <v>176</v>
      </c>
      <c r="H384">
        <v>0.15</v>
      </c>
      <c r="I384">
        <v>149.6</v>
      </c>
      <c r="J384">
        <v>1</v>
      </c>
      <c r="K384">
        <v>84.6814235696271</v>
      </c>
      <c r="L384">
        <v>149.6</v>
      </c>
      <c r="M384">
        <v>84.6814235696271</v>
      </c>
      <c r="N384">
        <v>64.918576430372795</v>
      </c>
      <c r="O384" t="s">
        <v>32</v>
      </c>
      <c r="P384">
        <f t="shared" si="10"/>
        <v>176</v>
      </c>
      <c r="Q384">
        <f t="shared" si="11"/>
        <v>-64.918576430372894</v>
      </c>
    </row>
    <row r="385" spans="1:17" x14ac:dyDescent="0.4">
      <c r="A385" t="s">
        <v>810</v>
      </c>
      <c r="B385" s="1">
        <v>45735.166666666664</v>
      </c>
      <c r="C385" t="s">
        <v>65</v>
      </c>
      <c r="D385" t="s">
        <v>811</v>
      </c>
      <c r="E385" t="s">
        <v>69</v>
      </c>
      <c r="F385" t="s">
        <v>70</v>
      </c>
      <c r="G385">
        <v>250</v>
      </c>
      <c r="H385">
        <v>0.15</v>
      </c>
      <c r="I385">
        <v>212.5</v>
      </c>
      <c r="J385">
        <v>1</v>
      </c>
      <c r="K385">
        <v>162.887834910442</v>
      </c>
      <c r="L385">
        <v>212.5</v>
      </c>
      <c r="M385">
        <v>162.887834910442</v>
      </c>
      <c r="N385">
        <v>49.612165089557202</v>
      </c>
      <c r="O385" t="s">
        <v>32</v>
      </c>
      <c r="P385">
        <f t="shared" si="10"/>
        <v>250</v>
      </c>
      <c r="Q385">
        <f t="shared" si="11"/>
        <v>-49.612165089558005</v>
      </c>
    </row>
    <row r="386" spans="1:17" x14ac:dyDescent="0.4">
      <c r="A386" t="s">
        <v>812</v>
      </c>
      <c r="B386" s="1">
        <v>45530.583333333336</v>
      </c>
      <c r="C386" t="s">
        <v>46</v>
      </c>
      <c r="D386" t="s">
        <v>813</v>
      </c>
      <c r="E386" t="s">
        <v>104</v>
      </c>
      <c r="F386" t="s">
        <v>25</v>
      </c>
      <c r="G386">
        <v>166</v>
      </c>
      <c r="H386">
        <v>0.2</v>
      </c>
      <c r="I386">
        <v>132.80000000000001</v>
      </c>
      <c r="J386">
        <v>1</v>
      </c>
      <c r="K386">
        <v>89.164212977257606</v>
      </c>
      <c r="L386">
        <v>132.80000000000001</v>
      </c>
      <c r="M386">
        <v>89.164212977257606</v>
      </c>
      <c r="N386">
        <v>43.635787022742299</v>
      </c>
      <c r="O386" t="s">
        <v>32</v>
      </c>
      <c r="P386">
        <f t="shared" si="10"/>
        <v>166</v>
      </c>
      <c r="Q386">
        <f t="shared" si="11"/>
        <v>-43.635787022742406</v>
      </c>
    </row>
    <row r="387" spans="1:17" x14ac:dyDescent="0.4">
      <c r="A387" t="s">
        <v>814</v>
      </c>
      <c r="B387" s="1">
        <v>45432.541666666664</v>
      </c>
      <c r="C387" t="s">
        <v>28</v>
      </c>
      <c r="D387" t="s">
        <v>815</v>
      </c>
      <c r="E387" t="s">
        <v>94</v>
      </c>
      <c r="F387" t="s">
        <v>61</v>
      </c>
      <c r="G387">
        <v>268</v>
      </c>
      <c r="H387">
        <v>0.1</v>
      </c>
      <c r="I387">
        <v>241.2</v>
      </c>
      <c r="J387">
        <v>7</v>
      </c>
      <c r="K387">
        <v>179.72461241807099</v>
      </c>
      <c r="L387">
        <v>1688.4</v>
      </c>
      <c r="M387">
        <v>1258.0722869265001</v>
      </c>
      <c r="N387">
        <v>430.32771307349901</v>
      </c>
      <c r="O387" t="s">
        <v>32</v>
      </c>
      <c r="P387">
        <f t="shared" ref="P387:P450" si="12">G387 * J387</f>
        <v>1876</v>
      </c>
      <c r="Q387">
        <f t="shared" ref="Q387:Q450" si="13" xml:space="preserve"> M387 - L387</f>
        <v>-430.32771307350004</v>
      </c>
    </row>
    <row r="388" spans="1:17" x14ac:dyDescent="0.4">
      <c r="A388" t="s">
        <v>816</v>
      </c>
      <c r="B388" s="1">
        <v>45798.708333333336</v>
      </c>
      <c r="C388" t="s">
        <v>28</v>
      </c>
      <c r="D388" t="s">
        <v>817</v>
      </c>
      <c r="E388" t="s">
        <v>85</v>
      </c>
      <c r="F388" t="s">
        <v>70</v>
      </c>
      <c r="G388">
        <v>275</v>
      </c>
      <c r="H388">
        <v>0</v>
      </c>
      <c r="I388">
        <v>275</v>
      </c>
      <c r="J388">
        <v>2</v>
      </c>
      <c r="K388">
        <v>204.98873474362301</v>
      </c>
      <c r="L388">
        <v>550</v>
      </c>
      <c r="M388">
        <v>409.97746948724699</v>
      </c>
      <c r="N388">
        <v>140.02253051275201</v>
      </c>
      <c r="O388" t="s">
        <v>20</v>
      </c>
      <c r="P388">
        <f t="shared" si="12"/>
        <v>550</v>
      </c>
      <c r="Q388">
        <f t="shared" si="13"/>
        <v>-140.02253051275301</v>
      </c>
    </row>
    <row r="389" spans="1:17" x14ac:dyDescent="0.4">
      <c r="A389" t="s">
        <v>818</v>
      </c>
      <c r="B389" s="1">
        <v>45378.75</v>
      </c>
      <c r="C389" t="s">
        <v>28</v>
      </c>
      <c r="D389" t="s">
        <v>819</v>
      </c>
      <c r="E389" t="s">
        <v>41</v>
      </c>
      <c r="F389" t="s">
        <v>31</v>
      </c>
      <c r="G389">
        <v>131</v>
      </c>
      <c r="H389">
        <v>0.25</v>
      </c>
      <c r="I389">
        <v>98.25</v>
      </c>
      <c r="J389">
        <v>5</v>
      </c>
      <c r="K389">
        <v>84.7871560537383</v>
      </c>
      <c r="L389">
        <v>491.25</v>
      </c>
      <c r="M389">
        <v>423.93578026869102</v>
      </c>
      <c r="N389">
        <v>67.314219731308299</v>
      </c>
      <c r="O389" t="s">
        <v>32</v>
      </c>
      <c r="P389">
        <f t="shared" si="12"/>
        <v>655</v>
      </c>
      <c r="Q389">
        <f t="shared" si="13"/>
        <v>-67.314219731308981</v>
      </c>
    </row>
    <row r="390" spans="1:17" x14ac:dyDescent="0.4">
      <c r="A390" t="s">
        <v>820</v>
      </c>
      <c r="B390" s="1">
        <v>45970.375</v>
      </c>
      <c r="C390" t="s">
        <v>65</v>
      </c>
      <c r="D390" t="s">
        <v>821</v>
      </c>
      <c r="E390" t="s">
        <v>115</v>
      </c>
      <c r="F390" t="s">
        <v>38</v>
      </c>
      <c r="G390">
        <v>277</v>
      </c>
      <c r="H390">
        <v>0.05</v>
      </c>
      <c r="I390">
        <v>263.14999999999998</v>
      </c>
      <c r="J390">
        <v>3</v>
      </c>
      <c r="K390">
        <v>110.857970170033</v>
      </c>
      <c r="L390">
        <v>789.44999999999902</v>
      </c>
      <c r="M390">
        <v>332.57391051010001</v>
      </c>
      <c r="N390">
        <v>456.87608948989902</v>
      </c>
      <c r="O390" t="s">
        <v>32</v>
      </c>
      <c r="P390">
        <f t="shared" si="12"/>
        <v>831</v>
      </c>
      <c r="Q390">
        <f t="shared" si="13"/>
        <v>-456.87608948989902</v>
      </c>
    </row>
    <row r="391" spans="1:17" x14ac:dyDescent="0.4">
      <c r="A391" t="s">
        <v>822</v>
      </c>
      <c r="B391" s="1">
        <v>45929.708333333336</v>
      </c>
      <c r="C391" t="s">
        <v>43</v>
      </c>
      <c r="D391" t="s">
        <v>444</v>
      </c>
      <c r="E391" t="s">
        <v>69</v>
      </c>
      <c r="F391" t="s">
        <v>70</v>
      </c>
      <c r="G391">
        <v>162</v>
      </c>
      <c r="H391">
        <v>0.1</v>
      </c>
      <c r="I391">
        <v>145.80000000000001</v>
      </c>
      <c r="J391">
        <v>1</v>
      </c>
      <c r="K391">
        <v>81.320172829900102</v>
      </c>
      <c r="L391">
        <v>145.80000000000001</v>
      </c>
      <c r="M391">
        <v>81.320172829900102</v>
      </c>
      <c r="N391">
        <v>64.479827170099895</v>
      </c>
      <c r="O391" t="s">
        <v>32</v>
      </c>
      <c r="P391">
        <f t="shared" si="12"/>
        <v>162</v>
      </c>
      <c r="Q391">
        <f t="shared" si="13"/>
        <v>-64.479827170099909</v>
      </c>
    </row>
    <row r="392" spans="1:17" x14ac:dyDescent="0.4">
      <c r="A392" t="s">
        <v>823</v>
      </c>
      <c r="B392" s="1">
        <v>45701.041666666664</v>
      </c>
      <c r="C392" t="s">
        <v>46</v>
      </c>
      <c r="D392" t="s">
        <v>824</v>
      </c>
      <c r="E392" t="s">
        <v>24</v>
      </c>
      <c r="F392" t="s">
        <v>25</v>
      </c>
      <c r="G392">
        <v>291</v>
      </c>
      <c r="H392">
        <v>0.2</v>
      </c>
      <c r="I392">
        <v>232.8</v>
      </c>
      <c r="J392">
        <v>3</v>
      </c>
      <c r="K392">
        <v>150.026383539644</v>
      </c>
      <c r="L392">
        <v>698.4</v>
      </c>
      <c r="M392">
        <v>450.07915061893198</v>
      </c>
      <c r="N392">
        <v>248.32084938106701</v>
      </c>
      <c r="O392" t="s">
        <v>32</v>
      </c>
      <c r="P392">
        <f t="shared" si="12"/>
        <v>873</v>
      </c>
      <c r="Q392">
        <f t="shared" si="13"/>
        <v>-248.320849381068</v>
      </c>
    </row>
    <row r="393" spans="1:17" x14ac:dyDescent="0.4">
      <c r="A393" t="s">
        <v>825</v>
      </c>
      <c r="B393" s="1">
        <v>45761.208333333336</v>
      </c>
      <c r="C393" t="s">
        <v>28</v>
      </c>
      <c r="D393" t="s">
        <v>826</v>
      </c>
      <c r="E393" t="s">
        <v>69</v>
      </c>
      <c r="F393" t="s">
        <v>70</v>
      </c>
      <c r="G393">
        <v>201</v>
      </c>
      <c r="H393">
        <v>0.05</v>
      </c>
      <c r="I393">
        <v>190.95</v>
      </c>
      <c r="J393">
        <v>6</v>
      </c>
      <c r="K393">
        <v>127.817133579087</v>
      </c>
      <c r="L393">
        <v>1145.69999999999</v>
      </c>
      <c r="M393">
        <v>766.90280147452199</v>
      </c>
      <c r="N393">
        <v>378.79719852547697</v>
      </c>
      <c r="O393" t="s">
        <v>32</v>
      </c>
      <c r="P393">
        <f t="shared" si="12"/>
        <v>1206</v>
      </c>
      <c r="Q393">
        <f t="shared" si="13"/>
        <v>-378.79719852546805</v>
      </c>
    </row>
    <row r="394" spans="1:17" x14ac:dyDescent="0.4">
      <c r="A394" t="s">
        <v>827</v>
      </c>
      <c r="B394" s="1">
        <v>45309.375</v>
      </c>
      <c r="C394" t="s">
        <v>65</v>
      </c>
      <c r="D394" t="s">
        <v>828</v>
      </c>
      <c r="E394" t="s">
        <v>69</v>
      </c>
      <c r="F394" t="s">
        <v>70</v>
      </c>
      <c r="G394">
        <v>136</v>
      </c>
      <c r="H394">
        <v>0</v>
      </c>
      <c r="I394">
        <v>136</v>
      </c>
      <c r="J394">
        <v>3</v>
      </c>
      <c r="K394">
        <v>90.618172537163801</v>
      </c>
      <c r="L394">
        <v>408</v>
      </c>
      <c r="M394">
        <v>271.85451761149102</v>
      </c>
      <c r="N394">
        <v>136.14548238850799</v>
      </c>
      <c r="O394" t="s">
        <v>51</v>
      </c>
      <c r="P394">
        <f t="shared" si="12"/>
        <v>408</v>
      </c>
      <c r="Q394">
        <f t="shared" si="13"/>
        <v>-136.14548238850898</v>
      </c>
    </row>
    <row r="395" spans="1:17" x14ac:dyDescent="0.4">
      <c r="A395" t="s">
        <v>829</v>
      </c>
      <c r="B395" s="1">
        <v>45659</v>
      </c>
      <c r="C395" t="s">
        <v>16</v>
      </c>
      <c r="D395" t="s">
        <v>830</v>
      </c>
      <c r="E395" t="s">
        <v>82</v>
      </c>
      <c r="F395" t="s">
        <v>25</v>
      </c>
      <c r="G395">
        <v>258</v>
      </c>
      <c r="H395">
        <v>0.1</v>
      </c>
      <c r="I395">
        <v>232.2</v>
      </c>
      <c r="J395">
        <v>5</v>
      </c>
      <c r="K395">
        <v>180.82597468533999</v>
      </c>
      <c r="L395">
        <v>1161</v>
      </c>
      <c r="M395">
        <v>904.12987342670203</v>
      </c>
      <c r="N395">
        <v>256.870126573297</v>
      </c>
      <c r="O395" t="s">
        <v>51</v>
      </c>
      <c r="P395">
        <f t="shared" si="12"/>
        <v>1290</v>
      </c>
      <c r="Q395">
        <f t="shared" si="13"/>
        <v>-256.87012657329797</v>
      </c>
    </row>
    <row r="396" spans="1:17" x14ac:dyDescent="0.4">
      <c r="A396" t="s">
        <v>831</v>
      </c>
      <c r="B396" s="1">
        <v>45428.125</v>
      </c>
      <c r="C396" t="s">
        <v>43</v>
      </c>
      <c r="D396" t="s">
        <v>832</v>
      </c>
      <c r="E396" t="s">
        <v>85</v>
      </c>
      <c r="F396" t="s">
        <v>70</v>
      </c>
      <c r="G396">
        <v>144</v>
      </c>
      <c r="H396">
        <v>0.2</v>
      </c>
      <c r="I396">
        <v>115.2</v>
      </c>
      <c r="J396">
        <v>3</v>
      </c>
      <c r="K396">
        <v>58.3248142936013</v>
      </c>
      <c r="L396">
        <v>345.6</v>
      </c>
      <c r="M396">
        <v>174.974442880803</v>
      </c>
      <c r="N396">
        <v>170.625557119196</v>
      </c>
      <c r="O396" t="s">
        <v>105</v>
      </c>
      <c r="P396">
        <f t="shared" si="12"/>
        <v>432</v>
      </c>
      <c r="Q396">
        <f t="shared" si="13"/>
        <v>-170.62555711919703</v>
      </c>
    </row>
    <row r="397" spans="1:17" x14ac:dyDescent="0.4">
      <c r="A397" t="s">
        <v>833</v>
      </c>
      <c r="B397" s="1">
        <v>46009.041666666664</v>
      </c>
      <c r="C397" t="s">
        <v>28</v>
      </c>
      <c r="D397" t="s">
        <v>834</v>
      </c>
      <c r="E397" t="s">
        <v>94</v>
      </c>
      <c r="F397" t="s">
        <v>61</v>
      </c>
      <c r="G397">
        <v>187</v>
      </c>
      <c r="H397">
        <v>0.05</v>
      </c>
      <c r="I397">
        <v>177.65</v>
      </c>
      <c r="J397">
        <v>6</v>
      </c>
      <c r="K397">
        <v>137.14222388485601</v>
      </c>
      <c r="L397">
        <v>1065.9000000000001</v>
      </c>
      <c r="M397">
        <v>822.853343309141</v>
      </c>
      <c r="N397">
        <v>243.04665669085799</v>
      </c>
      <c r="O397" t="s">
        <v>32</v>
      </c>
      <c r="P397">
        <f t="shared" si="12"/>
        <v>1122</v>
      </c>
      <c r="Q397">
        <f t="shared" si="13"/>
        <v>-243.04665669085909</v>
      </c>
    </row>
    <row r="398" spans="1:17" x14ac:dyDescent="0.4">
      <c r="A398" t="s">
        <v>835</v>
      </c>
      <c r="B398" s="1">
        <v>45531.375</v>
      </c>
      <c r="C398" t="s">
        <v>28</v>
      </c>
      <c r="D398" t="s">
        <v>836</v>
      </c>
      <c r="E398" t="s">
        <v>37</v>
      </c>
      <c r="F398" t="s">
        <v>38</v>
      </c>
      <c r="G398">
        <v>89</v>
      </c>
      <c r="H398">
        <v>0</v>
      </c>
      <c r="I398">
        <v>89</v>
      </c>
      <c r="J398">
        <v>1</v>
      </c>
      <c r="K398">
        <v>51.279200818381597</v>
      </c>
      <c r="L398">
        <v>89</v>
      </c>
      <c r="M398">
        <v>51.279200818381597</v>
      </c>
      <c r="N398">
        <v>37.720799181618297</v>
      </c>
      <c r="O398" t="s">
        <v>20</v>
      </c>
      <c r="P398">
        <f t="shared" si="12"/>
        <v>89</v>
      </c>
      <c r="Q398">
        <f t="shared" si="13"/>
        <v>-37.720799181618403</v>
      </c>
    </row>
    <row r="399" spans="1:17" x14ac:dyDescent="0.4">
      <c r="A399" t="s">
        <v>837</v>
      </c>
      <c r="B399" s="1">
        <v>45764.416666666664</v>
      </c>
      <c r="C399" t="s">
        <v>28</v>
      </c>
      <c r="D399" t="s">
        <v>838</v>
      </c>
      <c r="E399" t="s">
        <v>30</v>
      </c>
      <c r="F399" t="s">
        <v>31</v>
      </c>
      <c r="G399">
        <v>318</v>
      </c>
      <c r="H399">
        <v>0.1</v>
      </c>
      <c r="I399">
        <v>286.2</v>
      </c>
      <c r="J399">
        <v>6</v>
      </c>
      <c r="K399">
        <v>215.475206275288</v>
      </c>
      <c r="L399">
        <v>1717.19999999999</v>
      </c>
      <c r="M399">
        <v>1292.8512376517201</v>
      </c>
      <c r="N399">
        <v>424.34876234826999</v>
      </c>
      <c r="O399" t="s">
        <v>32</v>
      </c>
      <c r="P399">
        <f t="shared" si="12"/>
        <v>1908</v>
      </c>
      <c r="Q399">
        <f t="shared" si="13"/>
        <v>-424.34876234826993</v>
      </c>
    </row>
    <row r="400" spans="1:17" x14ac:dyDescent="0.4">
      <c r="A400" t="s">
        <v>839</v>
      </c>
      <c r="B400" s="1">
        <v>45309.166666666664</v>
      </c>
      <c r="C400" t="s">
        <v>22</v>
      </c>
      <c r="D400" t="s">
        <v>840</v>
      </c>
      <c r="E400" t="s">
        <v>18</v>
      </c>
      <c r="F400" t="s">
        <v>19</v>
      </c>
      <c r="G400">
        <v>123</v>
      </c>
      <c r="H400">
        <v>0</v>
      </c>
      <c r="I400">
        <v>123</v>
      </c>
      <c r="J400">
        <v>1</v>
      </c>
      <c r="K400">
        <v>51.055459690225298</v>
      </c>
      <c r="L400">
        <v>123</v>
      </c>
      <c r="M400">
        <v>51.055459690225298</v>
      </c>
      <c r="N400">
        <v>71.944540309774595</v>
      </c>
      <c r="O400" t="s">
        <v>32</v>
      </c>
      <c r="P400">
        <f t="shared" si="12"/>
        <v>123</v>
      </c>
      <c r="Q400">
        <f t="shared" si="13"/>
        <v>-71.944540309774709</v>
      </c>
    </row>
    <row r="401" spans="1:17" x14ac:dyDescent="0.4">
      <c r="A401" t="s">
        <v>841</v>
      </c>
      <c r="B401" s="1">
        <v>45606.291666666664</v>
      </c>
      <c r="C401" t="s">
        <v>28</v>
      </c>
      <c r="D401" t="s">
        <v>842</v>
      </c>
      <c r="E401" t="s">
        <v>73</v>
      </c>
      <c r="F401" t="s">
        <v>38</v>
      </c>
      <c r="G401">
        <v>209</v>
      </c>
      <c r="H401">
        <v>0.2</v>
      </c>
      <c r="I401">
        <v>167.2</v>
      </c>
      <c r="J401">
        <v>1</v>
      </c>
      <c r="K401">
        <v>120.770566720358</v>
      </c>
      <c r="L401">
        <v>167.2</v>
      </c>
      <c r="M401">
        <v>120.770566720358</v>
      </c>
      <c r="N401">
        <v>46.429433279641003</v>
      </c>
      <c r="O401" t="s">
        <v>32</v>
      </c>
      <c r="P401">
        <f t="shared" si="12"/>
        <v>209</v>
      </c>
      <c r="Q401">
        <f t="shared" si="13"/>
        <v>-46.429433279641984</v>
      </c>
    </row>
    <row r="402" spans="1:17" x14ac:dyDescent="0.4">
      <c r="A402" t="s">
        <v>843</v>
      </c>
      <c r="B402" s="1">
        <v>45608.125</v>
      </c>
      <c r="C402" t="s">
        <v>65</v>
      </c>
      <c r="D402" t="s">
        <v>844</v>
      </c>
      <c r="E402" t="s">
        <v>115</v>
      </c>
      <c r="F402" t="s">
        <v>38</v>
      </c>
      <c r="G402">
        <v>146</v>
      </c>
      <c r="H402">
        <v>0</v>
      </c>
      <c r="I402">
        <v>146</v>
      </c>
      <c r="J402">
        <v>2</v>
      </c>
      <c r="K402">
        <v>81.409434923790897</v>
      </c>
      <c r="L402">
        <v>292</v>
      </c>
      <c r="M402">
        <v>162.818869847581</v>
      </c>
      <c r="N402">
        <v>129.18113015241801</v>
      </c>
      <c r="O402" t="s">
        <v>20</v>
      </c>
      <c r="P402">
        <f t="shared" si="12"/>
        <v>292</v>
      </c>
      <c r="Q402">
        <f t="shared" si="13"/>
        <v>-129.181130152419</v>
      </c>
    </row>
    <row r="403" spans="1:17" x14ac:dyDescent="0.4">
      <c r="A403" t="s">
        <v>845</v>
      </c>
      <c r="B403" s="1">
        <v>45322.333333333336</v>
      </c>
      <c r="C403" t="s">
        <v>28</v>
      </c>
      <c r="D403" t="s">
        <v>846</v>
      </c>
      <c r="E403" t="s">
        <v>69</v>
      </c>
      <c r="F403" t="s">
        <v>70</v>
      </c>
      <c r="G403">
        <v>184</v>
      </c>
      <c r="H403">
        <v>0.05</v>
      </c>
      <c r="I403">
        <v>174.79999999999899</v>
      </c>
      <c r="J403">
        <v>6</v>
      </c>
      <c r="K403">
        <v>116.838551078256</v>
      </c>
      <c r="L403">
        <v>1048.8</v>
      </c>
      <c r="M403">
        <v>701.031306469539</v>
      </c>
      <c r="N403">
        <v>347.76869353045998</v>
      </c>
      <c r="O403" t="s">
        <v>26</v>
      </c>
      <c r="P403">
        <f t="shared" si="12"/>
        <v>1104</v>
      </c>
      <c r="Q403">
        <f t="shared" si="13"/>
        <v>-347.76869353046095</v>
      </c>
    </row>
    <row r="404" spans="1:17" x14ac:dyDescent="0.4">
      <c r="A404" t="s">
        <v>847</v>
      </c>
      <c r="B404" s="1">
        <v>45777.708333333336</v>
      </c>
      <c r="C404" t="s">
        <v>46</v>
      </c>
      <c r="D404" t="s">
        <v>848</v>
      </c>
      <c r="E404" t="s">
        <v>85</v>
      </c>
      <c r="F404" t="s">
        <v>70</v>
      </c>
      <c r="G404">
        <v>307</v>
      </c>
      <c r="H404">
        <v>0.1</v>
      </c>
      <c r="I404">
        <v>276.3</v>
      </c>
      <c r="J404">
        <v>4</v>
      </c>
      <c r="K404">
        <v>137.012273437331</v>
      </c>
      <c r="L404">
        <v>1105.2</v>
      </c>
      <c r="M404">
        <v>548.04909374932697</v>
      </c>
      <c r="N404">
        <v>557.15090625067205</v>
      </c>
      <c r="O404" t="s">
        <v>32</v>
      </c>
      <c r="P404">
        <f t="shared" si="12"/>
        <v>1228</v>
      </c>
      <c r="Q404">
        <f t="shared" si="13"/>
        <v>-557.15090625067307</v>
      </c>
    </row>
    <row r="405" spans="1:17" x14ac:dyDescent="0.4">
      <c r="A405" t="s">
        <v>849</v>
      </c>
      <c r="B405" s="1">
        <v>45541.5</v>
      </c>
      <c r="C405" t="s">
        <v>28</v>
      </c>
      <c r="D405" t="s">
        <v>624</v>
      </c>
      <c r="E405" t="s">
        <v>73</v>
      </c>
      <c r="F405" t="s">
        <v>38</v>
      </c>
      <c r="G405">
        <v>111</v>
      </c>
      <c r="H405">
        <v>0.05</v>
      </c>
      <c r="I405">
        <v>105.44999999999899</v>
      </c>
      <c r="J405">
        <v>3</v>
      </c>
      <c r="K405">
        <v>72.087059297627206</v>
      </c>
      <c r="L405">
        <v>316.349999999999</v>
      </c>
      <c r="M405">
        <v>216.26117789288099</v>
      </c>
      <c r="N405">
        <v>100.08882210711801</v>
      </c>
      <c r="O405" t="s">
        <v>51</v>
      </c>
      <c r="P405">
        <f t="shared" si="12"/>
        <v>333</v>
      </c>
      <c r="Q405">
        <f t="shared" si="13"/>
        <v>-100.08882210711801</v>
      </c>
    </row>
    <row r="406" spans="1:17" x14ac:dyDescent="0.4">
      <c r="A406" t="s">
        <v>850</v>
      </c>
      <c r="B406" s="1">
        <v>45415.625</v>
      </c>
      <c r="C406" t="s">
        <v>16</v>
      </c>
      <c r="D406" t="s">
        <v>851</v>
      </c>
      <c r="E406" t="s">
        <v>69</v>
      </c>
      <c r="F406" t="s">
        <v>70</v>
      </c>
      <c r="G406">
        <v>193</v>
      </c>
      <c r="H406">
        <v>0.25</v>
      </c>
      <c r="I406">
        <v>144.75</v>
      </c>
      <c r="J406">
        <v>7</v>
      </c>
      <c r="K406">
        <v>90.665787813778394</v>
      </c>
      <c r="L406">
        <v>1013.25</v>
      </c>
      <c r="M406">
        <v>634.66051469644799</v>
      </c>
      <c r="N406">
        <v>378.58948530355099</v>
      </c>
      <c r="O406" t="s">
        <v>32</v>
      </c>
      <c r="P406">
        <f t="shared" si="12"/>
        <v>1351</v>
      </c>
      <c r="Q406">
        <f t="shared" si="13"/>
        <v>-378.58948530355201</v>
      </c>
    </row>
    <row r="407" spans="1:17" x14ac:dyDescent="0.4">
      <c r="A407" t="s">
        <v>852</v>
      </c>
      <c r="B407" s="1">
        <v>45897.291666666664</v>
      </c>
      <c r="C407" t="s">
        <v>65</v>
      </c>
      <c r="D407" t="s">
        <v>853</v>
      </c>
      <c r="E407" t="s">
        <v>110</v>
      </c>
      <c r="F407" t="s">
        <v>19</v>
      </c>
      <c r="G407">
        <v>153</v>
      </c>
      <c r="H407">
        <v>0.15</v>
      </c>
      <c r="I407">
        <v>130.04999999999899</v>
      </c>
      <c r="J407">
        <v>3</v>
      </c>
      <c r="K407">
        <v>65.862663058664793</v>
      </c>
      <c r="L407">
        <v>390.15</v>
      </c>
      <c r="M407">
        <v>197.58798917599401</v>
      </c>
      <c r="N407">
        <v>192.562010824005</v>
      </c>
      <c r="O407" t="s">
        <v>26</v>
      </c>
      <c r="P407">
        <f t="shared" si="12"/>
        <v>459</v>
      </c>
      <c r="Q407">
        <f t="shared" si="13"/>
        <v>-192.56201082400597</v>
      </c>
    </row>
    <row r="408" spans="1:17" x14ac:dyDescent="0.4">
      <c r="A408" t="s">
        <v>854</v>
      </c>
      <c r="B408" s="1">
        <v>45960.666666666664</v>
      </c>
      <c r="C408" t="s">
        <v>65</v>
      </c>
      <c r="D408" t="s">
        <v>855</v>
      </c>
      <c r="E408" t="s">
        <v>146</v>
      </c>
      <c r="F408" t="s">
        <v>70</v>
      </c>
      <c r="G408">
        <v>224</v>
      </c>
      <c r="H408">
        <v>0</v>
      </c>
      <c r="I408">
        <v>224</v>
      </c>
      <c r="J408">
        <v>1</v>
      </c>
      <c r="K408">
        <v>90.074088185623907</v>
      </c>
      <c r="L408">
        <v>224</v>
      </c>
      <c r="M408">
        <v>90.074088185623907</v>
      </c>
      <c r="N408">
        <v>133.92591181437601</v>
      </c>
      <c r="O408" t="s">
        <v>51</v>
      </c>
      <c r="P408">
        <f t="shared" si="12"/>
        <v>224</v>
      </c>
      <c r="Q408">
        <f t="shared" si="13"/>
        <v>-133.92591181437609</v>
      </c>
    </row>
    <row r="409" spans="1:17" x14ac:dyDescent="0.4">
      <c r="A409" t="s">
        <v>856</v>
      </c>
      <c r="B409" s="1">
        <v>46021.416666666664</v>
      </c>
      <c r="C409" t="s">
        <v>43</v>
      </c>
      <c r="D409" t="s">
        <v>857</v>
      </c>
      <c r="E409" t="s">
        <v>30</v>
      </c>
      <c r="F409" t="s">
        <v>31</v>
      </c>
      <c r="G409">
        <v>196</v>
      </c>
      <c r="H409">
        <v>0.1</v>
      </c>
      <c r="I409">
        <v>176.4</v>
      </c>
      <c r="J409">
        <v>6</v>
      </c>
      <c r="K409">
        <v>92.517494261474297</v>
      </c>
      <c r="L409">
        <v>1058.4000000000001</v>
      </c>
      <c r="M409">
        <v>555.10496556884596</v>
      </c>
      <c r="N409">
        <v>503.29503443115402</v>
      </c>
      <c r="O409" t="s">
        <v>26</v>
      </c>
      <c r="P409">
        <f t="shared" si="12"/>
        <v>1176</v>
      </c>
      <c r="Q409">
        <f t="shared" si="13"/>
        <v>-503.29503443115414</v>
      </c>
    </row>
    <row r="410" spans="1:17" x14ac:dyDescent="0.4">
      <c r="A410" t="s">
        <v>858</v>
      </c>
      <c r="B410" s="1">
        <v>45503.375</v>
      </c>
      <c r="C410" t="s">
        <v>16</v>
      </c>
      <c r="D410" t="s">
        <v>859</v>
      </c>
      <c r="E410" t="s">
        <v>48</v>
      </c>
      <c r="F410" t="s">
        <v>19</v>
      </c>
      <c r="G410">
        <v>231</v>
      </c>
      <c r="H410">
        <v>0</v>
      </c>
      <c r="I410">
        <v>231</v>
      </c>
      <c r="J410">
        <v>1</v>
      </c>
      <c r="K410">
        <v>108.202779329785</v>
      </c>
      <c r="L410">
        <v>231</v>
      </c>
      <c r="M410">
        <v>108.202779329785</v>
      </c>
      <c r="N410">
        <v>122.797220670214</v>
      </c>
      <c r="O410" t="s">
        <v>26</v>
      </c>
      <c r="P410">
        <f t="shared" si="12"/>
        <v>231</v>
      </c>
      <c r="Q410">
        <f t="shared" si="13"/>
        <v>-122.797220670215</v>
      </c>
    </row>
    <row r="411" spans="1:17" x14ac:dyDescent="0.4">
      <c r="A411" t="s">
        <v>860</v>
      </c>
      <c r="B411" s="1">
        <v>45504.666666666664</v>
      </c>
      <c r="C411" t="s">
        <v>43</v>
      </c>
      <c r="D411" t="s">
        <v>861</v>
      </c>
      <c r="E411" t="s">
        <v>48</v>
      </c>
      <c r="F411" t="s">
        <v>19</v>
      </c>
      <c r="G411">
        <v>93</v>
      </c>
      <c r="H411">
        <v>0.2</v>
      </c>
      <c r="I411">
        <v>74.400000000000006</v>
      </c>
      <c r="J411">
        <v>7</v>
      </c>
      <c r="K411">
        <v>37.324899086278897</v>
      </c>
      <c r="L411">
        <v>520.79999999999995</v>
      </c>
      <c r="M411">
        <v>261.274293603952</v>
      </c>
      <c r="N411">
        <v>259.52570639604698</v>
      </c>
      <c r="O411" t="s">
        <v>26</v>
      </c>
      <c r="P411">
        <f t="shared" si="12"/>
        <v>651</v>
      </c>
      <c r="Q411">
        <f t="shared" si="13"/>
        <v>-259.52570639604795</v>
      </c>
    </row>
    <row r="412" spans="1:17" x14ac:dyDescent="0.4">
      <c r="A412" t="s">
        <v>862</v>
      </c>
      <c r="B412" s="1">
        <v>45381.291666666664</v>
      </c>
      <c r="C412" t="s">
        <v>43</v>
      </c>
      <c r="D412" t="s">
        <v>863</v>
      </c>
      <c r="E412" t="s">
        <v>73</v>
      </c>
      <c r="F412" t="s">
        <v>38</v>
      </c>
      <c r="G412">
        <v>158</v>
      </c>
      <c r="H412">
        <v>0.1</v>
      </c>
      <c r="I412">
        <v>142.19999999999999</v>
      </c>
      <c r="J412">
        <v>4</v>
      </c>
      <c r="K412">
        <v>75.751913232775095</v>
      </c>
      <c r="L412">
        <v>568.79999999999995</v>
      </c>
      <c r="M412">
        <v>303.00765293109998</v>
      </c>
      <c r="N412">
        <v>265.79234706889901</v>
      </c>
      <c r="O412" t="s">
        <v>51</v>
      </c>
      <c r="P412">
        <f t="shared" si="12"/>
        <v>632</v>
      </c>
      <c r="Q412">
        <f t="shared" si="13"/>
        <v>-265.79234706889997</v>
      </c>
    </row>
    <row r="413" spans="1:17" x14ac:dyDescent="0.4">
      <c r="A413" t="s">
        <v>864</v>
      </c>
      <c r="B413" s="1">
        <v>45598.541666666664</v>
      </c>
      <c r="C413" t="s">
        <v>22</v>
      </c>
      <c r="D413" t="s">
        <v>865</v>
      </c>
      <c r="E413" t="s">
        <v>37</v>
      </c>
      <c r="F413" t="s">
        <v>38</v>
      </c>
      <c r="G413">
        <v>233</v>
      </c>
      <c r="H413">
        <v>0.05</v>
      </c>
      <c r="I413">
        <v>221.35</v>
      </c>
      <c r="J413">
        <v>1</v>
      </c>
      <c r="K413">
        <v>129.47771589708501</v>
      </c>
      <c r="L413">
        <v>221.35</v>
      </c>
      <c r="M413">
        <v>129.47771589708501</v>
      </c>
      <c r="N413">
        <v>91.872284102913994</v>
      </c>
      <c r="O413" t="s">
        <v>32</v>
      </c>
      <c r="P413">
        <f t="shared" si="12"/>
        <v>233</v>
      </c>
      <c r="Q413">
        <f t="shared" si="13"/>
        <v>-91.872284102914989</v>
      </c>
    </row>
    <row r="414" spans="1:17" x14ac:dyDescent="0.4">
      <c r="A414" t="s">
        <v>866</v>
      </c>
      <c r="B414" s="1">
        <v>45793.791666666664</v>
      </c>
      <c r="C414" t="s">
        <v>65</v>
      </c>
      <c r="D414" t="s">
        <v>867</v>
      </c>
      <c r="E414" t="s">
        <v>73</v>
      </c>
      <c r="F414" t="s">
        <v>38</v>
      </c>
      <c r="G414">
        <v>155</v>
      </c>
      <c r="H414">
        <v>0.2</v>
      </c>
      <c r="I414">
        <v>124</v>
      </c>
      <c r="J414">
        <v>7</v>
      </c>
      <c r="K414">
        <v>101.33728042638199</v>
      </c>
      <c r="L414">
        <v>868</v>
      </c>
      <c r="M414">
        <v>709.36096298467601</v>
      </c>
      <c r="N414">
        <v>158.639037015323</v>
      </c>
      <c r="O414" t="s">
        <v>51</v>
      </c>
      <c r="P414">
        <f t="shared" si="12"/>
        <v>1085</v>
      </c>
      <c r="Q414">
        <f t="shared" si="13"/>
        <v>-158.63903701532399</v>
      </c>
    </row>
    <row r="415" spans="1:17" x14ac:dyDescent="0.4">
      <c r="A415" t="s">
        <v>868</v>
      </c>
      <c r="B415" s="1">
        <v>45435.333333333336</v>
      </c>
      <c r="C415" t="s">
        <v>22</v>
      </c>
      <c r="D415" t="s">
        <v>869</v>
      </c>
      <c r="E415" t="s">
        <v>146</v>
      </c>
      <c r="F415" t="s">
        <v>70</v>
      </c>
      <c r="G415">
        <v>197</v>
      </c>
      <c r="H415">
        <v>0.15</v>
      </c>
      <c r="I415">
        <v>167.45</v>
      </c>
      <c r="J415">
        <v>6</v>
      </c>
      <c r="K415">
        <v>116.349856188606</v>
      </c>
      <c r="L415">
        <v>1004.69999999999</v>
      </c>
      <c r="M415">
        <v>698.09913713163598</v>
      </c>
      <c r="N415">
        <v>306.60086286836298</v>
      </c>
      <c r="O415" t="s">
        <v>32</v>
      </c>
      <c r="P415">
        <f t="shared" si="12"/>
        <v>1182</v>
      </c>
      <c r="Q415">
        <f t="shared" si="13"/>
        <v>-306.60086286835406</v>
      </c>
    </row>
    <row r="416" spans="1:17" x14ac:dyDescent="0.4">
      <c r="A416" t="s">
        <v>870</v>
      </c>
      <c r="B416" s="1">
        <v>45527.166666666664</v>
      </c>
      <c r="C416" t="s">
        <v>16</v>
      </c>
      <c r="D416" t="s">
        <v>871</v>
      </c>
      <c r="E416" t="s">
        <v>48</v>
      </c>
      <c r="F416" t="s">
        <v>19</v>
      </c>
      <c r="G416">
        <v>345</v>
      </c>
      <c r="H416">
        <v>0</v>
      </c>
      <c r="I416">
        <v>345</v>
      </c>
      <c r="J416">
        <v>2</v>
      </c>
      <c r="K416">
        <v>208.44814842147599</v>
      </c>
      <c r="L416">
        <v>690</v>
      </c>
      <c r="M416">
        <v>416.89629684295198</v>
      </c>
      <c r="N416">
        <v>273.10370315704699</v>
      </c>
      <c r="O416" t="s">
        <v>26</v>
      </c>
      <c r="P416">
        <f t="shared" si="12"/>
        <v>690</v>
      </c>
      <c r="Q416">
        <f t="shared" si="13"/>
        <v>-273.10370315704802</v>
      </c>
    </row>
    <row r="417" spans="1:17" x14ac:dyDescent="0.4">
      <c r="A417" t="s">
        <v>872</v>
      </c>
      <c r="B417" s="1">
        <v>45730.25</v>
      </c>
      <c r="C417" t="s">
        <v>65</v>
      </c>
      <c r="D417" t="s">
        <v>873</v>
      </c>
      <c r="E417" t="s">
        <v>48</v>
      </c>
      <c r="F417" t="s">
        <v>19</v>
      </c>
      <c r="G417">
        <v>233</v>
      </c>
      <c r="H417">
        <v>0</v>
      </c>
      <c r="I417">
        <v>233</v>
      </c>
      <c r="J417">
        <v>7</v>
      </c>
      <c r="K417">
        <v>132.72643010615499</v>
      </c>
      <c r="L417">
        <v>1631</v>
      </c>
      <c r="M417">
        <v>929.08501074309095</v>
      </c>
      <c r="N417">
        <v>701.91498925690803</v>
      </c>
      <c r="O417" t="s">
        <v>32</v>
      </c>
      <c r="P417">
        <f t="shared" si="12"/>
        <v>1631</v>
      </c>
      <c r="Q417">
        <f t="shared" si="13"/>
        <v>-701.91498925690905</v>
      </c>
    </row>
    <row r="418" spans="1:17" x14ac:dyDescent="0.4">
      <c r="A418" t="s">
        <v>874</v>
      </c>
      <c r="B418" s="1">
        <v>45898.333333333336</v>
      </c>
      <c r="C418" t="s">
        <v>46</v>
      </c>
      <c r="D418" t="s">
        <v>875</v>
      </c>
      <c r="E418" t="s">
        <v>73</v>
      </c>
      <c r="F418" t="s">
        <v>38</v>
      </c>
      <c r="G418">
        <v>81</v>
      </c>
      <c r="H418">
        <v>0.1</v>
      </c>
      <c r="I418">
        <v>72.900000000000006</v>
      </c>
      <c r="J418">
        <v>6</v>
      </c>
      <c r="K418">
        <v>40.895607186906197</v>
      </c>
      <c r="L418">
        <v>437.4</v>
      </c>
      <c r="M418">
        <v>245.373643121437</v>
      </c>
      <c r="N418">
        <v>192.02635687856201</v>
      </c>
      <c r="O418" t="s">
        <v>26</v>
      </c>
      <c r="P418">
        <f t="shared" si="12"/>
        <v>486</v>
      </c>
      <c r="Q418">
        <f t="shared" si="13"/>
        <v>-192.02635687856298</v>
      </c>
    </row>
    <row r="419" spans="1:17" x14ac:dyDescent="0.4">
      <c r="A419" t="s">
        <v>876</v>
      </c>
      <c r="B419" s="1">
        <v>45413.416666666664</v>
      </c>
      <c r="C419" t="s">
        <v>16</v>
      </c>
      <c r="D419" t="s">
        <v>877</v>
      </c>
      <c r="E419" t="s">
        <v>85</v>
      </c>
      <c r="F419" t="s">
        <v>70</v>
      </c>
      <c r="G419">
        <v>177</v>
      </c>
      <c r="H419">
        <v>0.15</v>
      </c>
      <c r="I419">
        <v>150.44999999999999</v>
      </c>
      <c r="J419">
        <v>5</v>
      </c>
      <c r="K419">
        <v>83.560463222577695</v>
      </c>
      <c r="L419">
        <v>752.25</v>
      </c>
      <c r="M419">
        <v>417.80231611288798</v>
      </c>
      <c r="N419">
        <v>334.447683887111</v>
      </c>
      <c r="O419" t="s">
        <v>32</v>
      </c>
      <c r="P419">
        <f t="shared" si="12"/>
        <v>885</v>
      </c>
      <c r="Q419">
        <f t="shared" si="13"/>
        <v>-334.44768388711202</v>
      </c>
    </row>
    <row r="420" spans="1:17" x14ac:dyDescent="0.4">
      <c r="A420" t="s">
        <v>878</v>
      </c>
      <c r="B420" s="1">
        <v>45858</v>
      </c>
      <c r="C420" t="s">
        <v>46</v>
      </c>
      <c r="D420" t="s">
        <v>879</v>
      </c>
      <c r="E420" t="s">
        <v>110</v>
      </c>
      <c r="F420" t="s">
        <v>19</v>
      </c>
      <c r="G420">
        <v>284</v>
      </c>
      <c r="H420">
        <v>0.15</v>
      </c>
      <c r="I420">
        <v>241.4</v>
      </c>
      <c r="J420">
        <v>6</v>
      </c>
      <c r="K420">
        <v>127.353799168286</v>
      </c>
      <c r="L420">
        <v>1448.4</v>
      </c>
      <c r="M420">
        <v>764.12279500971601</v>
      </c>
      <c r="N420">
        <v>684.27720499028305</v>
      </c>
      <c r="O420" t="s">
        <v>51</v>
      </c>
      <c r="P420">
        <f t="shared" si="12"/>
        <v>1704</v>
      </c>
      <c r="Q420">
        <f t="shared" si="13"/>
        <v>-684.27720499028408</v>
      </c>
    </row>
    <row r="421" spans="1:17" x14ac:dyDescent="0.4">
      <c r="A421" t="s">
        <v>880</v>
      </c>
      <c r="B421" s="1">
        <v>45798</v>
      </c>
      <c r="C421" t="s">
        <v>43</v>
      </c>
      <c r="D421" t="s">
        <v>881</v>
      </c>
      <c r="E421" t="s">
        <v>115</v>
      </c>
      <c r="F421" t="s">
        <v>38</v>
      </c>
      <c r="G421">
        <v>347</v>
      </c>
      <c r="H421">
        <v>0.15</v>
      </c>
      <c r="I421">
        <v>294.95</v>
      </c>
      <c r="J421">
        <v>4</v>
      </c>
      <c r="K421">
        <v>189.60145544230301</v>
      </c>
      <c r="L421">
        <v>1179.8</v>
      </c>
      <c r="M421">
        <v>758.40582176921498</v>
      </c>
      <c r="N421">
        <v>421.39417823078401</v>
      </c>
      <c r="O421" t="s">
        <v>51</v>
      </c>
      <c r="P421">
        <f t="shared" si="12"/>
        <v>1388</v>
      </c>
      <c r="Q421">
        <f t="shared" si="13"/>
        <v>-421.39417823078497</v>
      </c>
    </row>
    <row r="422" spans="1:17" x14ac:dyDescent="0.4">
      <c r="A422" t="s">
        <v>882</v>
      </c>
      <c r="B422" s="1">
        <v>45891.875</v>
      </c>
      <c r="C422" t="s">
        <v>43</v>
      </c>
      <c r="D422" t="s">
        <v>883</v>
      </c>
      <c r="E422" t="s">
        <v>82</v>
      </c>
      <c r="F422" t="s">
        <v>25</v>
      </c>
      <c r="G422">
        <v>271</v>
      </c>
      <c r="H422">
        <v>0</v>
      </c>
      <c r="I422">
        <v>271</v>
      </c>
      <c r="J422">
        <v>2</v>
      </c>
      <c r="K422">
        <v>139.495893173469</v>
      </c>
      <c r="L422">
        <v>542</v>
      </c>
      <c r="M422">
        <v>278.99178634693902</v>
      </c>
      <c r="N422">
        <v>263.00821365306001</v>
      </c>
      <c r="O422" t="s">
        <v>26</v>
      </c>
      <c r="P422">
        <f t="shared" si="12"/>
        <v>542</v>
      </c>
      <c r="Q422">
        <f t="shared" si="13"/>
        <v>-263.00821365306098</v>
      </c>
    </row>
    <row r="423" spans="1:17" x14ac:dyDescent="0.4">
      <c r="A423" t="s">
        <v>884</v>
      </c>
      <c r="B423" s="1">
        <v>45658.125</v>
      </c>
      <c r="C423" t="s">
        <v>43</v>
      </c>
      <c r="D423" t="s">
        <v>885</v>
      </c>
      <c r="E423" t="s">
        <v>115</v>
      </c>
      <c r="F423" t="s">
        <v>38</v>
      </c>
      <c r="G423">
        <v>127</v>
      </c>
      <c r="H423">
        <v>0.1</v>
      </c>
      <c r="I423">
        <v>114.3</v>
      </c>
      <c r="J423">
        <v>4</v>
      </c>
      <c r="K423">
        <v>89.455928489900998</v>
      </c>
      <c r="L423">
        <v>457.2</v>
      </c>
      <c r="M423">
        <v>357.82371395960399</v>
      </c>
      <c r="N423">
        <v>99.376286040395797</v>
      </c>
      <c r="O423" t="s">
        <v>20</v>
      </c>
      <c r="P423">
        <f t="shared" si="12"/>
        <v>508</v>
      </c>
      <c r="Q423">
        <f t="shared" si="13"/>
        <v>-99.376286040395996</v>
      </c>
    </row>
    <row r="424" spans="1:17" x14ac:dyDescent="0.4">
      <c r="A424" t="s">
        <v>886</v>
      </c>
      <c r="B424" s="1">
        <v>45883.291666666664</v>
      </c>
      <c r="C424" t="s">
        <v>22</v>
      </c>
      <c r="D424" t="s">
        <v>887</v>
      </c>
      <c r="E424" t="s">
        <v>94</v>
      </c>
      <c r="F424" t="s">
        <v>61</v>
      </c>
      <c r="G424">
        <v>222</v>
      </c>
      <c r="H424">
        <v>0.1</v>
      </c>
      <c r="I424">
        <v>199.8</v>
      </c>
      <c r="J424">
        <v>2</v>
      </c>
      <c r="K424">
        <v>146.28773012685099</v>
      </c>
      <c r="L424">
        <v>399.6</v>
      </c>
      <c r="M424">
        <v>292.57546025370198</v>
      </c>
      <c r="N424">
        <v>107.02453974629699</v>
      </c>
      <c r="O424" t="s">
        <v>32</v>
      </c>
      <c r="P424">
        <f t="shared" si="12"/>
        <v>444</v>
      </c>
      <c r="Q424">
        <f t="shared" si="13"/>
        <v>-107.02453974629805</v>
      </c>
    </row>
    <row r="425" spans="1:17" x14ac:dyDescent="0.4">
      <c r="A425" t="s">
        <v>888</v>
      </c>
      <c r="B425" s="1">
        <v>45322.333333333336</v>
      </c>
      <c r="C425" t="s">
        <v>28</v>
      </c>
      <c r="D425" t="s">
        <v>889</v>
      </c>
      <c r="E425" t="s">
        <v>73</v>
      </c>
      <c r="F425" t="s">
        <v>38</v>
      </c>
      <c r="G425">
        <v>96</v>
      </c>
      <c r="H425">
        <v>0.1</v>
      </c>
      <c r="I425">
        <v>86.4</v>
      </c>
      <c r="J425">
        <v>5</v>
      </c>
      <c r="K425">
        <v>66.507437929566294</v>
      </c>
      <c r="L425">
        <v>432</v>
      </c>
      <c r="M425">
        <v>332.53718964783098</v>
      </c>
      <c r="N425">
        <v>99.462810352168205</v>
      </c>
      <c r="O425" t="s">
        <v>51</v>
      </c>
      <c r="P425">
        <f t="shared" si="12"/>
        <v>480</v>
      </c>
      <c r="Q425">
        <f t="shared" si="13"/>
        <v>-99.462810352169015</v>
      </c>
    </row>
    <row r="426" spans="1:17" x14ac:dyDescent="0.4">
      <c r="A426" t="s">
        <v>890</v>
      </c>
      <c r="B426" s="1">
        <v>45321.083333333336</v>
      </c>
      <c r="C426" t="s">
        <v>16</v>
      </c>
      <c r="D426" t="s">
        <v>891</v>
      </c>
      <c r="E426" t="s">
        <v>115</v>
      </c>
      <c r="F426" t="s">
        <v>38</v>
      </c>
      <c r="G426">
        <v>93</v>
      </c>
      <c r="H426">
        <v>0.05</v>
      </c>
      <c r="I426">
        <v>88.35</v>
      </c>
      <c r="J426">
        <v>2</v>
      </c>
      <c r="K426">
        <v>67.476877353175993</v>
      </c>
      <c r="L426">
        <v>176.7</v>
      </c>
      <c r="M426">
        <v>134.95375470635199</v>
      </c>
      <c r="N426">
        <v>41.746245293647902</v>
      </c>
      <c r="O426" t="s">
        <v>32</v>
      </c>
      <c r="P426">
        <f t="shared" si="12"/>
        <v>186</v>
      </c>
      <c r="Q426">
        <f t="shared" si="13"/>
        <v>-41.746245293648002</v>
      </c>
    </row>
    <row r="427" spans="1:17" x14ac:dyDescent="0.4">
      <c r="A427" t="s">
        <v>892</v>
      </c>
      <c r="B427" s="1">
        <v>45591.416666666664</v>
      </c>
      <c r="C427" t="s">
        <v>43</v>
      </c>
      <c r="D427" t="s">
        <v>893</v>
      </c>
      <c r="E427" t="s">
        <v>37</v>
      </c>
      <c r="F427" t="s">
        <v>38</v>
      </c>
      <c r="G427">
        <v>201</v>
      </c>
      <c r="H427">
        <v>0</v>
      </c>
      <c r="I427">
        <v>201</v>
      </c>
      <c r="J427">
        <v>3</v>
      </c>
      <c r="K427">
        <v>101.70023027393199</v>
      </c>
      <c r="L427">
        <v>603</v>
      </c>
      <c r="M427">
        <v>305.10069082179803</v>
      </c>
      <c r="N427">
        <v>297.89930917820101</v>
      </c>
      <c r="O427" t="s">
        <v>26</v>
      </c>
      <c r="P427">
        <f t="shared" si="12"/>
        <v>603</v>
      </c>
      <c r="Q427">
        <f t="shared" si="13"/>
        <v>-297.89930917820197</v>
      </c>
    </row>
    <row r="428" spans="1:17" x14ac:dyDescent="0.4">
      <c r="A428" t="s">
        <v>894</v>
      </c>
      <c r="B428" s="1">
        <v>45896.666666666664</v>
      </c>
      <c r="C428" t="s">
        <v>22</v>
      </c>
      <c r="D428" t="s">
        <v>895</v>
      </c>
      <c r="E428" t="s">
        <v>41</v>
      </c>
      <c r="F428" t="s">
        <v>31</v>
      </c>
      <c r="G428">
        <v>185</v>
      </c>
      <c r="H428">
        <v>0.15</v>
      </c>
      <c r="I428">
        <v>157.25</v>
      </c>
      <c r="J428">
        <v>1</v>
      </c>
      <c r="K428">
        <v>136.79577148503699</v>
      </c>
      <c r="L428">
        <v>157.25</v>
      </c>
      <c r="M428">
        <v>136.79577148503699</v>
      </c>
      <c r="N428">
        <v>20.454228514962399</v>
      </c>
      <c r="O428" t="s">
        <v>51</v>
      </c>
      <c r="P428">
        <f t="shared" si="12"/>
        <v>185</v>
      </c>
      <c r="Q428">
        <f t="shared" si="13"/>
        <v>-20.454228514963006</v>
      </c>
    </row>
    <row r="429" spans="1:17" x14ac:dyDescent="0.4">
      <c r="A429" t="s">
        <v>896</v>
      </c>
      <c r="B429" s="1">
        <v>45872.125</v>
      </c>
      <c r="C429" t="s">
        <v>65</v>
      </c>
      <c r="D429" t="s">
        <v>897</v>
      </c>
      <c r="E429" t="s">
        <v>18</v>
      </c>
      <c r="F429" t="s">
        <v>19</v>
      </c>
      <c r="G429">
        <v>341</v>
      </c>
      <c r="H429">
        <v>0</v>
      </c>
      <c r="I429">
        <v>341</v>
      </c>
      <c r="J429">
        <v>3</v>
      </c>
      <c r="K429">
        <v>194.54875302612999</v>
      </c>
      <c r="L429">
        <v>1023</v>
      </c>
      <c r="M429">
        <v>583.64625907839104</v>
      </c>
      <c r="N429">
        <v>439.35374092160799</v>
      </c>
      <c r="O429" t="s">
        <v>32</v>
      </c>
      <c r="P429">
        <f t="shared" si="12"/>
        <v>1023</v>
      </c>
      <c r="Q429">
        <f t="shared" si="13"/>
        <v>-439.35374092160896</v>
      </c>
    </row>
    <row r="430" spans="1:17" x14ac:dyDescent="0.4">
      <c r="A430" t="s">
        <v>898</v>
      </c>
      <c r="B430" s="1">
        <v>45991.125</v>
      </c>
      <c r="C430" t="s">
        <v>16</v>
      </c>
      <c r="D430" t="s">
        <v>899</v>
      </c>
      <c r="E430" t="s">
        <v>85</v>
      </c>
      <c r="F430" t="s">
        <v>70</v>
      </c>
      <c r="G430">
        <v>218</v>
      </c>
      <c r="H430">
        <v>0</v>
      </c>
      <c r="I430">
        <v>218</v>
      </c>
      <c r="J430">
        <v>4</v>
      </c>
      <c r="K430">
        <v>102.273515603267</v>
      </c>
      <c r="L430">
        <v>872</v>
      </c>
      <c r="M430">
        <v>409.09406241307101</v>
      </c>
      <c r="N430">
        <v>462.90593758692802</v>
      </c>
      <c r="O430" t="s">
        <v>32</v>
      </c>
      <c r="P430">
        <f t="shared" si="12"/>
        <v>872</v>
      </c>
      <c r="Q430">
        <f t="shared" si="13"/>
        <v>-462.90593758692899</v>
      </c>
    </row>
    <row r="431" spans="1:17" x14ac:dyDescent="0.4">
      <c r="A431" t="s">
        <v>900</v>
      </c>
      <c r="B431" s="1">
        <v>45600.333333333336</v>
      </c>
      <c r="C431" t="s">
        <v>65</v>
      </c>
      <c r="D431" t="s">
        <v>901</v>
      </c>
      <c r="E431" t="s">
        <v>104</v>
      </c>
      <c r="F431" t="s">
        <v>25</v>
      </c>
      <c r="G431">
        <v>228</v>
      </c>
      <c r="H431">
        <v>0</v>
      </c>
      <c r="I431">
        <v>228</v>
      </c>
      <c r="J431">
        <v>6</v>
      </c>
      <c r="K431">
        <v>165.64284167210499</v>
      </c>
      <c r="L431">
        <v>1368</v>
      </c>
      <c r="M431">
        <v>993.85705003263195</v>
      </c>
      <c r="N431">
        <v>374.14294996736697</v>
      </c>
      <c r="O431" t="s">
        <v>20</v>
      </c>
      <c r="P431">
        <f t="shared" si="12"/>
        <v>1368</v>
      </c>
      <c r="Q431">
        <f t="shared" si="13"/>
        <v>-374.14294996736805</v>
      </c>
    </row>
    <row r="432" spans="1:17" x14ac:dyDescent="0.4">
      <c r="A432" t="s">
        <v>902</v>
      </c>
      <c r="B432" s="1">
        <v>45465.791666666664</v>
      </c>
      <c r="C432" t="s">
        <v>28</v>
      </c>
      <c r="D432" t="s">
        <v>903</v>
      </c>
      <c r="E432" t="s">
        <v>104</v>
      </c>
      <c r="F432" t="s">
        <v>25</v>
      </c>
      <c r="G432">
        <v>268</v>
      </c>
      <c r="H432">
        <v>0.1</v>
      </c>
      <c r="I432">
        <v>241.2</v>
      </c>
      <c r="J432">
        <v>4</v>
      </c>
      <c r="K432">
        <v>187.137522294717</v>
      </c>
      <c r="L432">
        <v>964.8</v>
      </c>
      <c r="M432">
        <v>748.55008917886801</v>
      </c>
      <c r="N432">
        <v>216.24991082113101</v>
      </c>
      <c r="O432" t="s">
        <v>32</v>
      </c>
      <c r="P432">
        <f t="shared" si="12"/>
        <v>1072</v>
      </c>
      <c r="Q432">
        <f t="shared" si="13"/>
        <v>-216.24991082113195</v>
      </c>
    </row>
    <row r="433" spans="1:17" x14ac:dyDescent="0.4">
      <c r="A433" t="s">
        <v>904</v>
      </c>
      <c r="B433" s="1">
        <v>45473.666666666664</v>
      </c>
      <c r="C433" t="s">
        <v>22</v>
      </c>
      <c r="D433" t="s">
        <v>905</v>
      </c>
      <c r="E433" t="s">
        <v>37</v>
      </c>
      <c r="F433" t="s">
        <v>38</v>
      </c>
      <c r="G433">
        <v>130</v>
      </c>
      <c r="H433">
        <v>0</v>
      </c>
      <c r="I433">
        <v>130</v>
      </c>
      <c r="J433">
        <v>5</v>
      </c>
      <c r="K433">
        <v>75.569474627612394</v>
      </c>
      <c r="L433">
        <v>650</v>
      </c>
      <c r="M433">
        <v>377.84737313806198</v>
      </c>
      <c r="N433">
        <v>272.15262686193699</v>
      </c>
      <c r="O433" t="s">
        <v>32</v>
      </c>
      <c r="P433">
        <f t="shared" si="12"/>
        <v>650</v>
      </c>
      <c r="Q433">
        <f t="shared" si="13"/>
        <v>-272.15262686193802</v>
      </c>
    </row>
    <row r="434" spans="1:17" x14ac:dyDescent="0.4">
      <c r="A434" t="s">
        <v>906</v>
      </c>
      <c r="B434" s="1">
        <v>45396.25</v>
      </c>
      <c r="C434" t="s">
        <v>16</v>
      </c>
      <c r="D434" t="s">
        <v>907</v>
      </c>
      <c r="E434" t="s">
        <v>146</v>
      </c>
      <c r="F434" t="s">
        <v>70</v>
      </c>
      <c r="G434">
        <v>97</v>
      </c>
      <c r="H434">
        <v>0</v>
      </c>
      <c r="I434">
        <v>97</v>
      </c>
      <c r="J434">
        <v>1</v>
      </c>
      <c r="K434">
        <v>54.308964464680699</v>
      </c>
      <c r="L434">
        <v>97</v>
      </c>
      <c r="M434">
        <v>54.308964464680699</v>
      </c>
      <c r="N434">
        <v>42.691035535319202</v>
      </c>
      <c r="O434" t="s">
        <v>32</v>
      </c>
      <c r="P434">
        <f t="shared" si="12"/>
        <v>97</v>
      </c>
      <c r="Q434">
        <f t="shared" si="13"/>
        <v>-42.691035535319301</v>
      </c>
    </row>
    <row r="435" spans="1:17" x14ac:dyDescent="0.4">
      <c r="A435" t="s">
        <v>908</v>
      </c>
      <c r="B435" s="1">
        <v>46004.541666666664</v>
      </c>
      <c r="C435" t="s">
        <v>46</v>
      </c>
      <c r="D435" t="s">
        <v>905</v>
      </c>
      <c r="E435" t="s">
        <v>37</v>
      </c>
      <c r="F435" t="s">
        <v>38</v>
      </c>
      <c r="G435">
        <v>111</v>
      </c>
      <c r="H435">
        <v>0</v>
      </c>
      <c r="I435">
        <v>111</v>
      </c>
      <c r="J435">
        <v>1</v>
      </c>
      <c r="K435">
        <v>49.031325704356199</v>
      </c>
      <c r="L435">
        <v>111</v>
      </c>
      <c r="M435">
        <v>49.031325704356199</v>
      </c>
      <c r="N435">
        <v>61.968674295643702</v>
      </c>
      <c r="O435" t="s">
        <v>32</v>
      </c>
      <c r="P435">
        <f t="shared" si="12"/>
        <v>111</v>
      </c>
      <c r="Q435">
        <f t="shared" si="13"/>
        <v>-61.968674295643801</v>
      </c>
    </row>
    <row r="436" spans="1:17" x14ac:dyDescent="0.4">
      <c r="A436" t="s">
        <v>909</v>
      </c>
      <c r="B436" s="1">
        <v>45520.583333333336</v>
      </c>
      <c r="C436" t="s">
        <v>46</v>
      </c>
      <c r="D436" t="s">
        <v>910</v>
      </c>
      <c r="E436" t="s">
        <v>48</v>
      </c>
      <c r="F436" t="s">
        <v>19</v>
      </c>
      <c r="G436">
        <v>143</v>
      </c>
      <c r="H436">
        <v>0.1</v>
      </c>
      <c r="I436">
        <v>128.69999999999999</v>
      </c>
      <c r="J436">
        <v>1</v>
      </c>
      <c r="K436">
        <v>99.441873270698295</v>
      </c>
      <c r="L436">
        <v>128.69999999999999</v>
      </c>
      <c r="M436">
        <v>99.441873270698295</v>
      </c>
      <c r="N436">
        <v>29.258126729301601</v>
      </c>
      <c r="O436" t="s">
        <v>32</v>
      </c>
      <c r="P436">
        <f t="shared" si="12"/>
        <v>143</v>
      </c>
      <c r="Q436">
        <f t="shared" si="13"/>
        <v>-29.258126729301694</v>
      </c>
    </row>
    <row r="437" spans="1:17" x14ac:dyDescent="0.4">
      <c r="A437" t="s">
        <v>911</v>
      </c>
      <c r="B437" s="1">
        <v>45639.291666666664</v>
      </c>
      <c r="C437" t="s">
        <v>22</v>
      </c>
      <c r="D437" t="s">
        <v>912</v>
      </c>
      <c r="E437" t="s">
        <v>69</v>
      </c>
      <c r="F437" t="s">
        <v>70</v>
      </c>
      <c r="G437">
        <v>325</v>
      </c>
      <c r="H437">
        <v>0.15</v>
      </c>
      <c r="I437">
        <v>276.25</v>
      </c>
      <c r="J437">
        <v>6</v>
      </c>
      <c r="K437">
        <v>165.89189930043099</v>
      </c>
      <c r="L437">
        <v>1657.5</v>
      </c>
      <c r="M437">
        <v>995.35139580258999</v>
      </c>
      <c r="N437">
        <v>662.14860419740899</v>
      </c>
      <c r="O437" t="s">
        <v>32</v>
      </c>
      <c r="P437">
        <f t="shared" si="12"/>
        <v>1950</v>
      </c>
      <c r="Q437">
        <f t="shared" si="13"/>
        <v>-662.14860419741001</v>
      </c>
    </row>
    <row r="438" spans="1:17" x14ac:dyDescent="0.4">
      <c r="A438" t="s">
        <v>913</v>
      </c>
      <c r="B438" s="1">
        <v>45479.125</v>
      </c>
      <c r="C438" t="s">
        <v>22</v>
      </c>
      <c r="D438" t="s">
        <v>914</v>
      </c>
      <c r="E438" t="s">
        <v>48</v>
      </c>
      <c r="F438" t="s">
        <v>19</v>
      </c>
      <c r="G438">
        <v>218</v>
      </c>
      <c r="H438">
        <v>0.25</v>
      </c>
      <c r="I438">
        <v>163.5</v>
      </c>
      <c r="J438">
        <v>2</v>
      </c>
      <c r="K438">
        <v>153.204924882342</v>
      </c>
      <c r="L438">
        <v>327</v>
      </c>
      <c r="M438">
        <v>306.40984976468502</v>
      </c>
      <c r="N438">
        <v>20.590150235314901</v>
      </c>
      <c r="O438" t="s">
        <v>26</v>
      </c>
      <c r="P438">
        <f t="shared" si="12"/>
        <v>436</v>
      </c>
      <c r="Q438">
        <f t="shared" si="13"/>
        <v>-20.590150235314979</v>
      </c>
    </row>
    <row r="439" spans="1:17" x14ac:dyDescent="0.4">
      <c r="A439" t="s">
        <v>915</v>
      </c>
      <c r="B439" s="1">
        <v>45755.75</v>
      </c>
      <c r="C439" t="s">
        <v>28</v>
      </c>
      <c r="D439" t="s">
        <v>916</v>
      </c>
      <c r="E439" t="s">
        <v>37</v>
      </c>
      <c r="F439" t="s">
        <v>38</v>
      </c>
      <c r="G439">
        <v>308</v>
      </c>
      <c r="H439">
        <v>0.05</v>
      </c>
      <c r="I439">
        <v>292.599999999999</v>
      </c>
      <c r="J439">
        <v>2</v>
      </c>
      <c r="K439">
        <v>204.88831320844201</v>
      </c>
      <c r="L439">
        <v>585.19999999999902</v>
      </c>
      <c r="M439">
        <v>409.77662641688403</v>
      </c>
      <c r="N439">
        <v>175.42337358311499</v>
      </c>
      <c r="O439" t="s">
        <v>32</v>
      </c>
      <c r="P439">
        <f t="shared" si="12"/>
        <v>616</v>
      </c>
      <c r="Q439">
        <f t="shared" si="13"/>
        <v>-175.42337358311499</v>
      </c>
    </row>
    <row r="440" spans="1:17" x14ac:dyDescent="0.4">
      <c r="A440" t="s">
        <v>917</v>
      </c>
      <c r="B440" s="1">
        <v>45610.791666666664</v>
      </c>
      <c r="C440" t="s">
        <v>28</v>
      </c>
      <c r="D440" t="s">
        <v>918</v>
      </c>
      <c r="E440" t="s">
        <v>85</v>
      </c>
      <c r="F440" t="s">
        <v>70</v>
      </c>
      <c r="G440">
        <v>97</v>
      </c>
      <c r="H440">
        <v>0</v>
      </c>
      <c r="I440">
        <v>97</v>
      </c>
      <c r="J440">
        <v>5</v>
      </c>
      <c r="K440">
        <v>44.388145342100501</v>
      </c>
      <c r="L440">
        <v>485</v>
      </c>
      <c r="M440">
        <v>221.94072671050199</v>
      </c>
      <c r="N440">
        <v>263.05927328949701</v>
      </c>
      <c r="O440" t="s">
        <v>32</v>
      </c>
      <c r="P440">
        <f t="shared" si="12"/>
        <v>485</v>
      </c>
      <c r="Q440">
        <f t="shared" si="13"/>
        <v>-263.05927328949804</v>
      </c>
    </row>
    <row r="441" spans="1:17" x14ac:dyDescent="0.4">
      <c r="A441" t="s">
        <v>919</v>
      </c>
      <c r="B441" s="1">
        <v>45340.625</v>
      </c>
      <c r="C441" t="s">
        <v>46</v>
      </c>
      <c r="D441" t="s">
        <v>920</v>
      </c>
      <c r="E441" t="s">
        <v>37</v>
      </c>
      <c r="F441" t="s">
        <v>38</v>
      </c>
      <c r="G441">
        <v>183</v>
      </c>
      <c r="H441">
        <v>0.1</v>
      </c>
      <c r="I441">
        <v>164.7</v>
      </c>
      <c r="J441">
        <v>2</v>
      </c>
      <c r="K441">
        <v>121.350918951094</v>
      </c>
      <c r="L441">
        <v>329.4</v>
      </c>
      <c r="M441">
        <v>242.701837902189</v>
      </c>
      <c r="N441">
        <v>86.698162097810496</v>
      </c>
      <c r="O441" t="s">
        <v>105</v>
      </c>
      <c r="P441">
        <f t="shared" si="12"/>
        <v>366</v>
      </c>
      <c r="Q441">
        <f t="shared" si="13"/>
        <v>-86.698162097810979</v>
      </c>
    </row>
    <row r="442" spans="1:17" x14ac:dyDescent="0.4">
      <c r="A442" t="s">
        <v>921</v>
      </c>
      <c r="B442" s="1">
        <v>45336.25</v>
      </c>
      <c r="C442" t="s">
        <v>16</v>
      </c>
      <c r="D442" t="s">
        <v>922</v>
      </c>
      <c r="E442" t="s">
        <v>60</v>
      </c>
      <c r="F442" t="s">
        <v>61</v>
      </c>
      <c r="G442">
        <v>337</v>
      </c>
      <c r="H442">
        <v>0</v>
      </c>
      <c r="I442">
        <v>337</v>
      </c>
      <c r="J442">
        <v>7</v>
      </c>
      <c r="K442">
        <v>244.796243291868</v>
      </c>
      <c r="L442">
        <v>2359</v>
      </c>
      <c r="M442">
        <v>1713.5737030430701</v>
      </c>
      <c r="N442">
        <v>645.42629695692301</v>
      </c>
      <c r="O442" t="s">
        <v>32</v>
      </c>
      <c r="P442">
        <f t="shared" si="12"/>
        <v>2359</v>
      </c>
      <c r="Q442">
        <f t="shared" si="13"/>
        <v>-645.42629695692995</v>
      </c>
    </row>
    <row r="443" spans="1:17" x14ac:dyDescent="0.4">
      <c r="A443" t="s">
        <v>923</v>
      </c>
      <c r="B443" s="1">
        <v>45757.583333333336</v>
      </c>
      <c r="C443" t="s">
        <v>22</v>
      </c>
      <c r="D443" t="s">
        <v>924</v>
      </c>
      <c r="E443" t="s">
        <v>115</v>
      </c>
      <c r="F443" t="s">
        <v>38</v>
      </c>
      <c r="G443">
        <v>84</v>
      </c>
      <c r="H443">
        <v>0</v>
      </c>
      <c r="I443">
        <v>84</v>
      </c>
      <c r="J443">
        <v>4</v>
      </c>
      <c r="K443">
        <v>51.931056150671701</v>
      </c>
      <c r="L443">
        <v>336</v>
      </c>
      <c r="M443">
        <v>207.72422460268601</v>
      </c>
      <c r="N443">
        <v>128.275775397313</v>
      </c>
      <c r="O443" t="s">
        <v>32</v>
      </c>
      <c r="P443">
        <f t="shared" si="12"/>
        <v>336</v>
      </c>
      <c r="Q443">
        <f t="shared" si="13"/>
        <v>-128.27577539731399</v>
      </c>
    </row>
    <row r="444" spans="1:17" x14ac:dyDescent="0.4">
      <c r="A444" t="s">
        <v>925</v>
      </c>
      <c r="B444" s="1">
        <v>45489.041666666664</v>
      </c>
      <c r="C444" t="s">
        <v>16</v>
      </c>
      <c r="D444" t="s">
        <v>926</v>
      </c>
      <c r="E444" t="s">
        <v>69</v>
      </c>
      <c r="F444" t="s">
        <v>70</v>
      </c>
      <c r="G444">
        <v>342</v>
      </c>
      <c r="H444">
        <v>0.2</v>
      </c>
      <c r="I444">
        <v>273.60000000000002</v>
      </c>
      <c r="J444">
        <v>3</v>
      </c>
      <c r="K444">
        <v>172.82566845990499</v>
      </c>
      <c r="L444">
        <v>820.8</v>
      </c>
      <c r="M444">
        <v>518.47700537971502</v>
      </c>
      <c r="N444">
        <v>302.32299462028402</v>
      </c>
      <c r="O444" t="s">
        <v>32</v>
      </c>
      <c r="P444">
        <f t="shared" si="12"/>
        <v>1026</v>
      </c>
      <c r="Q444">
        <f t="shared" si="13"/>
        <v>-302.32299462028493</v>
      </c>
    </row>
    <row r="445" spans="1:17" x14ac:dyDescent="0.4">
      <c r="A445" t="s">
        <v>927</v>
      </c>
      <c r="B445" s="1">
        <v>45681.5</v>
      </c>
      <c r="C445" t="s">
        <v>22</v>
      </c>
      <c r="D445" t="s">
        <v>928</v>
      </c>
      <c r="E445" t="s">
        <v>213</v>
      </c>
      <c r="F445" t="s">
        <v>31</v>
      </c>
      <c r="G445">
        <v>187</v>
      </c>
      <c r="H445">
        <v>0.15</v>
      </c>
      <c r="I445">
        <v>158.94999999999999</v>
      </c>
      <c r="J445">
        <v>5</v>
      </c>
      <c r="K445">
        <v>139.95619285663801</v>
      </c>
      <c r="L445">
        <v>794.75</v>
      </c>
      <c r="M445">
        <v>699.78096428319202</v>
      </c>
      <c r="N445">
        <v>94.969035716807795</v>
      </c>
      <c r="O445" t="s">
        <v>32</v>
      </c>
      <c r="P445">
        <f t="shared" si="12"/>
        <v>935</v>
      </c>
      <c r="Q445">
        <f t="shared" si="13"/>
        <v>-94.96903571680798</v>
      </c>
    </row>
    <row r="446" spans="1:17" x14ac:dyDescent="0.4">
      <c r="A446" t="s">
        <v>929</v>
      </c>
      <c r="B446" s="1">
        <v>45514.25</v>
      </c>
      <c r="C446" t="s">
        <v>16</v>
      </c>
      <c r="D446" t="s">
        <v>930</v>
      </c>
      <c r="E446" t="s">
        <v>110</v>
      </c>
      <c r="F446" t="s">
        <v>19</v>
      </c>
      <c r="G446">
        <v>230</v>
      </c>
      <c r="H446">
        <v>0</v>
      </c>
      <c r="I446">
        <v>230</v>
      </c>
      <c r="J446">
        <v>6</v>
      </c>
      <c r="K446">
        <v>153.909421219357</v>
      </c>
      <c r="L446">
        <v>1380</v>
      </c>
      <c r="M446">
        <v>923.45652731614598</v>
      </c>
      <c r="N446">
        <v>456.543472683853</v>
      </c>
      <c r="O446" t="s">
        <v>26</v>
      </c>
      <c r="P446">
        <f t="shared" si="12"/>
        <v>1380</v>
      </c>
      <c r="Q446">
        <f t="shared" si="13"/>
        <v>-456.54347268385402</v>
      </c>
    </row>
    <row r="447" spans="1:17" x14ac:dyDescent="0.4">
      <c r="A447" t="s">
        <v>931</v>
      </c>
      <c r="B447" s="1">
        <v>45663.833333333336</v>
      </c>
      <c r="C447" t="s">
        <v>16</v>
      </c>
      <c r="D447" t="s">
        <v>932</v>
      </c>
      <c r="E447" t="s">
        <v>60</v>
      </c>
      <c r="F447" t="s">
        <v>61</v>
      </c>
      <c r="G447">
        <v>169</v>
      </c>
      <c r="H447">
        <v>0.2</v>
      </c>
      <c r="I447">
        <v>135.19999999999999</v>
      </c>
      <c r="J447">
        <v>1</v>
      </c>
      <c r="K447">
        <v>72.728693473282107</v>
      </c>
      <c r="L447">
        <v>135.19999999999999</v>
      </c>
      <c r="M447">
        <v>72.728693473282107</v>
      </c>
      <c r="N447">
        <v>62.471306526717797</v>
      </c>
      <c r="O447" t="s">
        <v>51</v>
      </c>
      <c r="P447">
        <f t="shared" si="12"/>
        <v>169</v>
      </c>
      <c r="Q447">
        <f t="shared" si="13"/>
        <v>-62.471306526717882</v>
      </c>
    </row>
    <row r="448" spans="1:17" x14ac:dyDescent="0.4">
      <c r="A448" t="s">
        <v>933</v>
      </c>
      <c r="B448" s="1">
        <v>45472.416666666664</v>
      </c>
      <c r="C448" t="s">
        <v>46</v>
      </c>
      <c r="D448" t="s">
        <v>934</v>
      </c>
      <c r="E448" t="s">
        <v>24</v>
      </c>
      <c r="F448" t="s">
        <v>25</v>
      </c>
      <c r="G448">
        <v>276</v>
      </c>
      <c r="H448">
        <v>0</v>
      </c>
      <c r="I448">
        <v>276</v>
      </c>
      <c r="J448">
        <v>2</v>
      </c>
      <c r="K448">
        <v>182.98749247352299</v>
      </c>
      <c r="L448">
        <v>552</v>
      </c>
      <c r="M448">
        <v>365.97498494704701</v>
      </c>
      <c r="N448">
        <v>186.025015052952</v>
      </c>
      <c r="O448" t="s">
        <v>26</v>
      </c>
      <c r="P448">
        <f t="shared" si="12"/>
        <v>552</v>
      </c>
      <c r="Q448">
        <f t="shared" si="13"/>
        <v>-186.02501505295299</v>
      </c>
    </row>
    <row r="449" spans="1:17" x14ac:dyDescent="0.4">
      <c r="A449" t="s">
        <v>935</v>
      </c>
      <c r="B449" s="1">
        <v>45575.375</v>
      </c>
      <c r="C449" t="s">
        <v>43</v>
      </c>
      <c r="D449" t="s">
        <v>936</v>
      </c>
      <c r="E449" t="s">
        <v>82</v>
      </c>
      <c r="F449" t="s">
        <v>25</v>
      </c>
      <c r="G449">
        <v>112</v>
      </c>
      <c r="H449">
        <v>0</v>
      </c>
      <c r="I449">
        <v>112</v>
      </c>
      <c r="J449">
        <v>1</v>
      </c>
      <c r="K449">
        <v>74.800398941395102</v>
      </c>
      <c r="L449">
        <v>112</v>
      </c>
      <c r="M449">
        <v>74.800398941395102</v>
      </c>
      <c r="N449">
        <v>37.199601058604799</v>
      </c>
      <c r="O449" t="s">
        <v>32</v>
      </c>
      <c r="P449">
        <f t="shared" si="12"/>
        <v>112</v>
      </c>
      <c r="Q449">
        <f t="shared" si="13"/>
        <v>-37.199601058604898</v>
      </c>
    </row>
    <row r="450" spans="1:17" x14ac:dyDescent="0.4">
      <c r="A450" t="s">
        <v>937</v>
      </c>
      <c r="B450" s="1">
        <v>45493.916666666664</v>
      </c>
      <c r="C450" t="s">
        <v>16</v>
      </c>
      <c r="D450" t="s">
        <v>938</v>
      </c>
      <c r="E450" t="s">
        <v>24</v>
      </c>
      <c r="F450" t="s">
        <v>25</v>
      </c>
      <c r="G450">
        <v>340</v>
      </c>
      <c r="H450">
        <v>0.05</v>
      </c>
      <c r="I450">
        <v>323</v>
      </c>
      <c r="J450">
        <v>6</v>
      </c>
      <c r="K450">
        <v>169.649089390151</v>
      </c>
      <c r="L450">
        <v>1938</v>
      </c>
      <c r="M450">
        <v>1017.89453634091</v>
      </c>
      <c r="N450">
        <v>920.10546365908897</v>
      </c>
      <c r="O450" t="s">
        <v>51</v>
      </c>
      <c r="P450">
        <f t="shared" si="12"/>
        <v>2040</v>
      </c>
      <c r="Q450">
        <f t="shared" si="13"/>
        <v>-920.10546365908999</v>
      </c>
    </row>
    <row r="451" spans="1:17" x14ac:dyDescent="0.4">
      <c r="A451" t="s">
        <v>939</v>
      </c>
      <c r="B451" s="1">
        <v>45572.458333333336</v>
      </c>
      <c r="C451" t="s">
        <v>65</v>
      </c>
      <c r="D451" t="s">
        <v>940</v>
      </c>
      <c r="E451" t="s">
        <v>146</v>
      </c>
      <c r="F451" t="s">
        <v>70</v>
      </c>
      <c r="G451">
        <v>294</v>
      </c>
      <c r="H451">
        <v>0.05</v>
      </c>
      <c r="I451">
        <v>279.3</v>
      </c>
      <c r="J451">
        <v>4</v>
      </c>
      <c r="K451">
        <v>182.311021100083</v>
      </c>
      <c r="L451">
        <v>1117.2</v>
      </c>
      <c r="M451">
        <v>729.24408440033301</v>
      </c>
      <c r="N451">
        <v>387.95591559966698</v>
      </c>
      <c r="O451" t="s">
        <v>51</v>
      </c>
      <c r="P451">
        <f t="shared" ref="P451:P514" si="14">G451 * J451</f>
        <v>1176</v>
      </c>
      <c r="Q451">
        <f t="shared" ref="Q451:Q514" si="15" xml:space="preserve"> M451 - L451</f>
        <v>-387.95591559966704</v>
      </c>
    </row>
    <row r="452" spans="1:17" x14ac:dyDescent="0.4">
      <c r="A452" t="s">
        <v>941</v>
      </c>
      <c r="B452" s="1">
        <v>45932.333333333336</v>
      </c>
      <c r="C452" t="s">
        <v>16</v>
      </c>
      <c r="D452" t="s">
        <v>942</v>
      </c>
      <c r="E452" t="s">
        <v>37</v>
      </c>
      <c r="F452" t="s">
        <v>38</v>
      </c>
      <c r="G452">
        <v>142</v>
      </c>
      <c r="H452">
        <v>0.15</v>
      </c>
      <c r="I452">
        <v>120.7</v>
      </c>
      <c r="J452">
        <v>2</v>
      </c>
      <c r="K452">
        <v>94.382754035106899</v>
      </c>
      <c r="L452">
        <v>241.4</v>
      </c>
      <c r="M452">
        <v>188.765508070213</v>
      </c>
      <c r="N452">
        <v>52.634491929786002</v>
      </c>
      <c r="O452" t="s">
        <v>26</v>
      </c>
      <c r="P452">
        <f t="shared" si="14"/>
        <v>284</v>
      </c>
      <c r="Q452">
        <f t="shared" si="15"/>
        <v>-52.634491929787004</v>
      </c>
    </row>
    <row r="453" spans="1:17" x14ac:dyDescent="0.4">
      <c r="A453" t="s">
        <v>943</v>
      </c>
      <c r="B453" s="1">
        <v>46014.375</v>
      </c>
      <c r="C453" t="s">
        <v>46</v>
      </c>
      <c r="D453" t="s">
        <v>944</v>
      </c>
      <c r="E453" t="s">
        <v>69</v>
      </c>
      <c r="F453" t="s">
        <v>70</v>
      </c>
      <c r="G453">
        <v>107</v>
      </c>
      <c r="H453">
        <v>0</v>
      </c>
      <c r="I453">
        <v>107</v>
      </c>
      <c r="J453">
        <v>4</v>
      </c>
      <c r="K453">
        <v>51.4279796450015</v>
      </c>
      <c r="L453">
        <v>428</v>
      </c>
      <c r="M453">
        <v>205.711918580006</v>
      </c>
      <c r="N453">
        <v>222.28808141999301</v>
      </c>
      <c r="O453" t="s">
        <v>32</v>
      </c>
      <c r="P453">
        <f t="shared" si="14"/>
        <v>428</v>
      </c>
      <c r="Q453">
        <f t="shared" si="15"/>
        <v>-222.288081419994</v>
      </c>
    </row>
    <row r="454" spans="1:17" x14ac:dyDescent="0.4">
      <c r="A454" t="s">
        <v>945</v>
      </c>
      <c r="B454" s="1">
        <v>45397.791666666664</v>
      </c>
      <c r="C454" t="s">
        <v>28</v>
      </c>
      <c r="D454" t="s">
        <v>176</v>
      </c>
      <c r="E454" t="s">
        <v>110</v>
      </c>
      <c r="F454" t="s">
        <v>19</v>
      </c>
      <c r="G454">
        <v>253</v>
      </c>
      <c r="H454">
        <v>0.25</v>
      </c>
      <c r="I454">
        <v>189.75</v>
      </c>
      <c r="J454">
        <v>7</v>
      </c>
      <c r="K454">
        <v>102.675284728675</v>
      </c>
      <c r="L454">
        <v>1328.25</v>
      </c>
      <c r="M454">
        <v>718.72699310072699</v>
      </c>
      <c r="N454">
        <v>609.52300689927199</v>
      </c>
      <c r="O454" t="s">
        <v>20</v>
      </c>
      <c r="P454">
        <f t="shared" si="14"/>
        <v>1771</v>
      </c>
      <c r="Q454">
        <f t="shared" si="15"/>
        <v>-609.52300689927301</v>
      </c>
    </row>
    <row r="455" spans="1:17" x14ac:dyDescent="0.4">
      <c r="A455" t="s">
        <v>946</v>
      </c>
      <c r="B455" s="1">
        <v>45586</v>
      </c>
      <c r="C455" t="s">
        <v>65</v>
      </c>
      <c r="D455" t="s">
        <v>947</v>
      </c>
      <c r="E455" t="s">
        <v>30</v>
      </c>
      <c r="F455" t="s">
        <v>31</v>
      </c>
      <c r="G455">
        <v>138</v>
      </c>
      <c r="H455">
        <v>0.1</v>
      </c>
      <c r="I455">
        <v>124.2</v>
      </c>
      <c r="J455">
        <v>7</v>
      </c>
      <c r="K455">
        <v>67.584749237858802</v>
      </c>
      <c r="L455">
        <v>869.4</v>
      </c>
      <c r="M455">
        <v>473.09324466501198</v>
      </c>
      <c r="N455">
        <v>396.30675533498697</v>
      </c>
      <c r="O455" t="s">
        <v>32</v>
      </c>
      <c r="P455">
        <f t="shared" si="14"/>
        <v>966</v>
      </c>
      <c r="Q455">
        <f t="shared" si="15"/>
        <v>-396.306755334988</v>
      </c>
    </row>
    <row r="456" spans="1:17" x14ac:dyDescent="0.4">
      <c r="A456" t="s">
        <v>948</v>
      </c>
      <c r="B456" s="1">
        <v>45771.833333333336</v>
      </c>
      <c r="C456" t="s">
        <v>65</v>
      </c>
      <c r="D456" t="s">
        <v>949</v>
      </c>
      <c r="E456" t="s">
        <v>69</v>
      </c>
      <c r="F456" t="s">
        <v>70</v>
      </c>
      <c r="G456">
        <v>177</v>
      </c>
      <c r="H456">
        <v>0.25</v>
      </c>
      <c r="I456">
        <v>132.75</v>
      </c>
      <c r="J456">
        <v>1</v>
      </c>
      <c r="K456">
        <v>115.234373209883</v>
      </c>
      <c r="L456">
        <v>132.75</v>
      </c>
      <c r="M456">
        <v>115.234373209883</v>
      </c>
      <c r="N456">
        <v>17.515626790116301</v>
      </c>
      <c r="O456" t="s">
        <v>20</v>
      </c>
      <c r="P456">
        <f t="shared" si="14"/>
        <v>177</v>
      </c>
      <c r="Q456">
        <f t="shared" si="15"/>
        <v>-17.515626790116997</v>
      </c>
    </row>
    <row r="457" spans="1:17" x14ac:dyDescent="0.4">
      <c r="A457" t="s">
        <v>950</v>
      </c>
      <c r="B457" s="1">
        <v>45770.875</v>
      </c>
      <c r="C457" t="s">
        <v>46</v>
      </c>
      <c r="D457" t="s">
        <v>951</v>
      </c>
      <c r="E457" t="s">
        <v>41</v>
      </c>
      <c r="F457" t="s">
        <v>31</v>
      </c>
      <c r="G457">
        <v>274</v>
      </c>
      <c r="H457">
        <v>0.15</v>
      </c>
      <c r="I457">
        <v>232.9</v>
      </c>
      <c r="J457">
        <v>6</v>
      </c>
      <c r="K457">
        <v>192.42317692680501</v>
      </c>
      <c r="L457">
        <v>1397.4</v>
      </c>
      <c r="M457">
        <v>1154.5390615608301</v>
      </c>
      <c r="N457">
        <v>242.860938439168</v>
      </c>
      <c r="O457" t="s">
        <v>32</v>
      </c>
      <c r="P457">
        <f t="shared" si="14"/>
        <v>1644</v>
      </c>
      <c r="Q457">
        <f t="shared" si="15"/>
        <v>-242.86093843917001</v>
      </c>
    </row>
    <row r="458" spans="1:17" x14ac:dyDescent="0.4">
      <c r="A458" t="s">
        <v>952</v>
      </c>
      <c r="B458" s="1">
        <v>45356.25</v>
      </c>
      <c r="C458" t="s">
        <v>28</v>
      </c>
      <c r="D458" t="s">
        <v>953</v>
      </c>
      <c r="E458" t="s">
        <v>48</v>
      </c>
      <c r="F458" t="s">
        <v>19</v>
      </c>
      <c r="G458">
        <v>275</v>
      </c>
      <c r="H458">
        <v>0.25</v>
      </c>
      <c r="I458">
        <v>206.25</v>
      </c>
      <c r="J458">
        <v>7</v>
      </c>
      <c r="K458">
        <v>131.24358639715001</v>
      </c>
      <c r="L458">
        <v>1443.75</v>
      </c>
      <c r="M458">
        <v>918.70510478005201</v>
      </c>
      <c r="N458">
        <v>525.04489521994697</v>
      </c>
      <c r="O458" t="s">
        <v>32</v>
      </c>
      <c r="P458">
        <f t="shared" si="14"/>
        <v>1925</v>
      </c>
      <c r="Q458">
        <f t="shared" si="15"/>
        <v>-525.04489521994799</v>
      </c>
    </row>
    <row r="459" spans="1:17" x14ac:dyDescent="0.4">
      <c r="A459" t="s">
        <v>954</v>
      </c>
      <c r="B459" s="1">
        <v>45873.833333333336</v>
      </c>
      <c r="C459" t="s">
        <v>22</v>
      </c>
      <c r="D459" t="s">
        <v>955</v>
      </c>
      <c r="E459" t="s">
        <v>97</v>
      </c>
      <c r="F459" t="s">
        <v>61</v>
      </c>
      <c r="G459">
        <v>224</v>
      </c>
      <c r="H459">
        <v>0.1</v>
      </c>
      <c r="I459">
        <v>201.6</v>
      </c>
      <c r="J459">
        <v>5</v>
      </c>
      <c r="K459">
        <v>140.62532457041999</v>
      </c>
      <c r="L459">
        <v>1008</v>
      </c>
      <c r="M459">
        <v>703.12662285210195</v>
      </c>
      <c r="N459">
        <v>304.87337714789697</v>
      </c>
      <c r="O459" t="s">
        <v>32</v>
      </c>
      <c r="P459">
        <f t="shared" si="14"/>
        <v>1120</v>
      </c>
      <c r="Q459">
        <f t="shared" si="15"/>
        <v>-304.87337714789805</v>
      </c>
    </row>
    <row r="460" spans="1:17" x14ac:dyDescent="0.4">
      <c r="A460" t="s">
        <v>956</v>
      </c>
      <c r="B460" s="1">
        <v>45555.041666666664</v>
      </c>
      <c r="C460" t="s">
        <v>46</v>
      </c>
      <c r="D460" t="s">
        <v>957</v>
      </c>
      <c r="E460" t="s">
        <v>213</v>
      </c>
      <c r="F460" t="s">
        <v>31</v>
      </c>
      <c r="G460">
        <v>86</v>
      </c>
      <c r="H460">
        <v>0</v>
      </c>
      <c r="I460">
        <v>86</v>
      </c>
      <c r="J460">
        <v>5</v>
      </c>
      <c r="K460">
        <v>44.415157242962401</v>
      </c>
      <c r="L460">
        <v>430</v>
      </c>
      <c r="M460">
        <v>222.07578621481201</v>
      </c>
      <c r="N460">
        <v>207.92421378518699</v>
      </c>
      <c r="O460" t="s">
        <v>32</v>
      </c>
      <c r="P460">
        <f t="shared" si="14"/>
        <v>430</v>
      </c>
      <c r="Q460">
        <f t="shared" si="15"/>
        <v>-207.92421378518799</v>
      </c>
    </row>
    <row r="461" spans="1:17" x14ac:dyDescent="0.4">
      <c r="A461" t="s">
        <v>958</v>
      </c>
      <c r="B461" s="1">
        <v>45867.291666666664</v>
      </c>
      <c r="C461" t="s">
        <v>43</v>
      </c>
      <c r="D461" t="s">
        <v>959</v>
      </c>
      <c r="E461" t="s">
        <v>73</v>
      </c>
      <c r="F461" t="s">
        <v>38</v>
      </c>
      <c r="G461">
        <v>310</v>
      </c>
      <c r="H461">
        <v>0.25</v>
      </c>
      <c r="I461">
        <v>232.5</v>
      </c>
      <c r="J461">
        <v>2</v>
      </c>
      <c r="K461">
        <v>151.640234746034</v>
      </c>
      <c r="L461">
        <v>465</v>
      </c>
      <c r="M461">
        <v>303.28046949206799</v>
      </c>
      <c r="N461">
        <v>161.71953050793201</v>
      </c>
      <c r="O461" t="s">
        <v>20</v>
      </c>
      <c r="P461">
        <f t="shared" si="14"/>
        <v>620</v>
      </c>
      <c r="Q461">
        <f t="shared" si="15"/>
        <v>-161.71953050793201</v>
      </c>
    </row>
    <row r="462" spans="1:17" x14ac:dyDescent="0.4">
      <c r="A462" t="s">
        <v>960</v>
      </c>
      <c r="B462" s="1">
        <v>45691.166666666664</v>
      </c>
      <c r="C462" t="s">
        <v>22</v>
      </c>
      <c r="D462" t="s">
        <v>961</v>
      </c>
      <c r="E462" t="s">
        <v>97</v>
      </c>
      <c r="F462" t="s">
        <v>61</v>
      </c>
      <c r="G462">
        <v>171</v>
      </c>
      <c r="H462">
        <v>0</v>
      </c>
      <c r="I462">
        <v>171</v>
      </c>
      <c r="J462">
        <v>6</v>
      </c>
      <c r="K462">
        <v>79.430438607463401</v>
      </c>
      <c r="L462">
        <v>1026</v>
      </c>
      <c r="M462">
        <v>476.58263164478001</v>
      </c>
      <c r="N462">
        <v>549.41736835521897</v>
      </c>
      <c r="O462" t="s">
        <v>32</v>
      </c>
      <c r="P462">
        <f t="shared" si="14"/>
        <v>1026</v>
      </c>
      <c r="Q462">
        <f t="shared" si="15"/>
        <v>-549.41736835521999</v>
      </c>
    </row>
    <row r="463" spans="1:17" x14ac:dyDescent="0.4">
      <c r="A463" t="s">
        <v>962</v>
      </c>
      <c r="B463" s="1">
        <v>45654.125</v>
      </c>
      <c r="C463" t="s">
        <v>28</v>
      </c>
      <c r="D463" t="s">
        <v>963</v>
      </c>
      <c r="E463" t="s">
        <v>60</v>
      </c>
      <c r="F463" t="s">
        <v>61</v>
      </c>
      <c r="G463">
        <v>264</v>
      </c>
      <c r="H463">
        <v>0</v>
      </c>
      <c r="I463">
        <v>264</v>
      </c>
      <c r="J463">
        <v>4</v>
      </c>
      <c r="K463">
        <v>161.584865722584</v>
      </c>
      <c r="L463">
        <v>1056</v>
      </c>
      <c r="M463">
        <v>646.33946289033599</v>
      </c>
      <c r="N463">
        <v>409.66053710966298</v>
      </c>
      <c r="O463" t="s">
        <v>32</v>
      </c>
      <c r="P463">
        <f t="shared" si="14"/>
        <v>1056</v>
      </c>
      <c r="Q463">
        <f t="shared" si="15"/>
        <v>-409.66053710966401</v>
      </c>
    </row>
    <row r="464" spans="1:17" x14ac:dyDescent="0.4">
      <c r="A464" t="s">
        <v>964</v>
      </c>
      <c r="B464" s="1">
        <v>45604.25</v>
      </c>
      <c r="C464" t="s">
        <v>43</v>
      </c>
      <c r="D464" t="s">
        <v>965</v>
      </c>
      <c r="E464" t="s">
        <v>41</v>
      </c>
      <c r="F464" t="s">
        <v>31</v>
      </c>
      <c r="G464">
        <v>240</v>
      </c>
      <c r="H464">
        <v>0</v>
      </c>
      <c r="I464">
        <v>240</v>
      </c>
      <c r="J464">
        <v>1</v>
      </c>
      <c r="K464">
        <v>143.74828416376201</v>
      </c>
      <c r="L464">
        <v>240</v>
      </c>
      <c r="M464">
        <v>143.74828416376201</v>
      </c>
      <c r="N464">
        <v>96.251715836237693</v>
      </c>
      <c r="O464" t="s">
        <v>32</v>
      </c>
      <c r="P464">
        <f t="shared" si="14"/>
        <v>240</v>
      </c>
      <c r="Q464">
        <f t="shared" si="15"/>
        <v>-96.251715836237992</v>
      </c>
    </row>
    <row r="465" spans="1:17" x14ac:dyDescent="0.4">
      <c r="A465" t="s">
        <v>966</v>
      </c>
      <c r="B465" s="1">
        <v>45471.666666666664</v>
      </c>
      <c r="C465" t="s">
        <v>28</v>
      </c>
      <c r="D465" t="s">
        <v>967</v>
      </c>
      <c r="E465" t="s">
        <v>82</v>
      </c>
      <c r="F465" t="s">
        <v>25</v>
      </c>
      <c r="G465">
        <v>150</v>
      </c>
      <c r="H465">
        <v>0.05</v>
      </c>
      <c r="I465">
        <v>142.5</v>
      </c>
      <c r="J465">
        <v>5</v>
      </c>
      <c r="K465">
        <v>109.632011604775</v>
      </c>
      <c r="L465">
        <v>712.5</v>
      </c>
      <c r="M465">
        <v>548.16005802387895</v>
      </c>
      <c r="N465">
        <v>164.33994197612</v>
      </c>
      <c r="O465" t="s">
        <v>32</v>
      </c>
      <c r="P465">
        <f t="shared" si="14"/>
        <v>750</v>
      </c>
      <c r="Q465">
        <f t="shared" si="15"/>
        <v>-164.33994197612105</v>
      </c>
    </row>
    <row r="466" spans="1:17" x14ac:dyDescent="0.4">
      <c r="A466" t="s">
        <v>968</v>
      </c>
      <c r="B466" s="1">
        <v>45347.166666666664</v>
      </c>
      <c r="C466" t="s">
        <v>28</v>
      </c>
      <c r="D466" t="s">
        <v>969</v>
      </c>
      <c r="E466" t="s">
        <v>82</v>
      </c>
      <c r="F466" t="s">
        <v>25</v>
      </c>
      <c r="G466">
        <v>235</v>
      </c>
      <c r="H466">
        <v>0.05</v>
      </c>
      <c r="I466">
        <v>223.25</v>
      </c>
      <c r="J466">
        <v>5</v>
      </c>
      <c r="K466">
        <v>141.690982629925</v>
      </c>
      <c r="L466">
        <v>1116.25</v>
      </c>
      <c r="M466">
        <v>708.45491314962703</v>
      </c>
      <c r="N466">
        <v>407.795086850372</v>
      </c>
      <c r="O466" t="s">
        <v>32</v>
      </c>
      <c r="P466">
        <f t="shared" si="14"/>
        <v>1175</v>
      </c>
      <c r="Q466">
        <f t="shared" si="15"/>
        <v>-407.79508685037297</v>
      </c>
    </row>
    <row r="467" spans="1:17" x14ac:dyDescent="0.4">
      <c r="A467" t="s">
        <v>970</v>
      </c>
      <c r="B467" s="1">
        <v>45422.875</v>
      </c>
      <c r="C467" t="s">
        <v>43</v>
      </c>
      <c r="D467" t="s">
        <v>971</v>
      </c>
      <c r="E467" t="s">
        <v>48</v>
      </c>
      <c r="F467" t="s">
        <v>19</v>
      </c>
      <c r="G467">
        <v>316</v>
      </c>
      <c r="H467">
        <v>0</v>
      </c>
      <c r="I467">
        <v>316</v>
      </c>
      <c r="J467">
        <v>5</v>
      </c>
      <c r="K467">
        <v>169.784734792504</v>
      </c>
      <c r="L467">
        <v>1580</v>
      </c>
      <c r="M467">
        <v>848.92367396252098</v>
      </c>
      <c r="N467">
        <v>731.076326037478</v>
      </c>
      <c r="O467" t="s">
        <v>32</v>
      </c>
      <c r="P467">
        <f t="shared" si="14"/>
        <v>1580</v>
      </c>
      <c r="Q467">
        <f t="shared" si="15"/>
        <v>-731.07632603747902</v>
      </c>
    </row>
    <row r="468" spans="1:17" x14ac:dyDescent="0.4">
      <c r="A468" t="s">
        <v>972</v>
      </c>
      <c r="B468" s="1">
        <v>45367.416666666664</v>
      </c>
      <c r="C468" t="s">
        <v>22</v>
      </c>
      <c r="D468" t="s">
        <v>973</v>
      </c>
      <c r="E468" t="s">
        <v>82</v>
      </c>
      <c r="F468" t="s">
        <v>25</v>
      </c>
      <c r="G468">
        <v>134</v>
      </c>
      <c r="H468">
        <v>0</v>
      </c>
      <c r="I468">
        <v>134</v>
      </c>
      <c r="J468">
        <v>4</v>
      </c>
      <c r="K468">
        <v>57.678753250003197</v>
      </c>
      <c r="L468">
        <v>536</v>
      </c>
      <c r="M468">
        <v>230.71501300001299</v>
      </c>
      <c r="N468">
        <v>305.28498699998602</v>
      </c>
      <c r="O468" t="s">
        <v>105</v>
      </c>
      <c r="P468">
        <f t="shared" si="14"/>
        <v>536</v>
      </c>
      <c r="Q468">
        <f t="shared" si="15"/>
        <v>-305.28498699998704</v>
      </c>
    </row>
    <row r="469" spans="1:17" x14ac:dyDescent="0.4">
      <c r="A469" t="s">
        <v>974</v>
      </c>
      <c r="B469" s="1">
        <v>45566.5</v>
      </c>
      <c r="C469" t="s">
        <v>43</v>
      </c>
      <c r="D469" t="s">
        <v>975</v>
      </c>
      <c r="E469" t="s">
        <v>18</v>
      </c>
      <c r="F469" t="s">
        <v>19</v>
      </c>
      <c r="G469">
        <v>166</v>
      </c>
      <c r="H469">
        <v>0.2</v>
      </c>
      <c r="I469">
        <v>132.80000000000001</v>
      </c>
      <c r="J469">
        <v>5</v>
      </c>
      <c r="K469">
        <v>113.500715436614</v>
      </c>
      <c r="L469">
        <v>664</v>
      </c>
      <c r="M469">
        <v>567.50357718306998</v>
      </c>
      <c r="N469">
        <v>96.496422816929496</v>
      </c>
      <c r="O469" t="s">
        <v>32</v>
      </c>
      <c r="P469">
        <f t="shared" si="14"/>
        <v>830</v>
      </c>
      <c r="Q469">
        <f t="shared" si="15"/>
        <v>-96.496422816930021</v>
      </c>
    </row>
    <row r="470" spans="1:17" x14ac:dyDescent="0.4">
      <c r="A470" t="s">
        <v>976</v>
      </c>
      <c r="B470" s="1">
        <v>45512.875</v>
      </c>
      <c r="C470" t="s">
        <v>16</v>
      </c>
      <c r="D470" t="s">
        <v>977</v>
      </c>
      <c r="E470" t="s">
        <v>30</v>
      </c>
      <c r="F470" t="s">
        <v>31</v>
      </c>
      <c r="G470">
        <v>96</v>
      </c>
      <c r="H470">
        <v>0</v>
      </c>
      <c r="I470">
        <v>96</v>
      </c>
      <c r="J470">
        <v>2</v>
      </c>
      <c r="K470">
        <v>53.518107455433601</v>
      </c>
      <c r="L470">
        <v>192</v>
      </c>
      <c r="M470">
        <v>107.036214910867</v>
      </c>
      <c r="N470">
        <v>84.9637850891326</v>
      </c>
      <c r="O470" t="s">
        <v>20</v>
      </c>
      <c r="P470">
        <f t="shared" si="14"/>
        <v>192</v>
      </c>
      <c r="Q470">
        <f t="shared" si="15"/>
        <v>-84.963785089132998</v>
      </c>
    </row>
    <row r="471" spans="1:17" x14ac:dyDescent="0.4">
      <c r="A471" t="s">
        <v>978</v>
      </c>
      <c r="B471" s="1">
        <v>45937.208333333336</v>
      </c>
      <c r="C471" t="s">
        <v>22</v>
      </c>
      <c r="D471" t="s">
        <v>979</v>
      </c>
      <c r="E471" t="s">
        <v>18</v>
      </c>
      <c r="F471" t="s">
        <v>19</v>
      </c>
      <c r="G471">
        <v>325</v>
      </c>
      <c r="H471">
        <v>0.1</v>
      </c>
      <c r="I471">
        <v>292.5</v>
      </c>
      <c r="J471">
        <v>1</v>
      </c>
      <c r="K471">
        <v>230.397508292586</v>
      </c>
      <c r="L471">
        <v>292.5</v>
      </c>
      <c r="M471">
        <v>230.397508292586</v>
      </c>
      <c r="N471">
        <v>62.102491707413201</v>
      </c>
      <c r="O471" t="s">
        <v>105</v>
      </c>
      <c r="P471">
        <f t="shared" si="14"/>
        <v>325</v>
      </c>
      <c r="Q471">
        <f t="shared" si="15"/>
        <v>-62.102491707414003</v>
      </c>
    </row>
    <row r="472" spans="1:17" x14ac:dyDescent="0.4">
      <c r="A472" t="s">
        <v>980</v>
      </c>
      <c r="B472" s="1">
        <v>45780.083333333336</v>
      </c>
      <c r="C472" t="s">
        <v>43</v>
      </c>
      <c r="D472" t="s">
        <v>981</v>
      </c>
      <c r="E472" t="s">
        <v>60</v>
      </c>
      <c r="F472" t="s">
        <v>61</v>
      </c>
      <c r="G472">
        <v>283</v>
      </c>
      <c r="H472">
        <v>0.2</v>
      </c>
      <c r="I472">
        <v>226.4</v>
      </c>
      <c r="J472">
        <v>5</v>
      </c>
      <c r="K472">
        <v>135.71020735508401</v>
      </c>
      <c r="L472">
        <v>1132</v>
      </c>
      <c r="M472">
        <v>678.55103677542195</v>
      </c>
      <c r="N472">
        <v>453.44896322457703</v>
      </c>
      <c r="O472" t="s">
        <v>26</v>
      </c>
      <c r="P472">
        <f t="shared" si="14"/>
        <v>1415</v>
      </c>
      <c r="Q472">
        <f t="shared" si="15"/>
        <v>-453.44896322457805</v>
      </c>
    </row>
    <row r="473" spans="1:17" x14ac:dyDescent="0.4">
      <c r="A473" t="s">
        <v>982</v>
      </c>
      <c r="B473" s="1">
        <v>45489.833333333336</v>
      </c>
      <c r="C473" t="s">
        <v>43</v>
      </c>
      <c r="D473" t="s">
        <v>983</v>
      </c>
      <c r="E473" t="s">
        <v>85</v>
      </c>
      <c r="F473" t="s">
        <v>70</v>
      </c>
      <c r="G473">
        <v>136</v>
      </c>
      <c r="H473">
        <v>0.15</v>
      </c>
      <c r="I473">
        <v>115.6</v>
      </c>
      <c r="J473">
        <v>2</v>
      </c>
      <c r="K473">
        <v>72.058348719387197</v>
      </c>
      <c r="L473">
        <v>231.2</v>
      </c>
      <c r="M473">
        <v>144.116697438774</v>
      </c>
      <c r="N473">
        <v>87.083302561225494</v>
      </c>
      <c r="O473" t="s">
        <v>32</v>
      </c>
      <c r="P473">
        <f t="shared" si="14"/>
        <v>272</v>
      </c>
      <c r="Q473">
        <f t="shared" si="15"/>
        <v>-87.083302561225992</v>
      </c>
    </row>
    <row r="474" spans="1:17" x14ac:dyDescent="0.4">
      <c r="A474" t="s">
        <v>984</v>
      </c>
      <c r="B474" s="1">
        <v>45685.125</v>
      </c>
      <c r="C474" t="s">
        <v>22</v>
      </c>
      <c r="D474" t="s">
        <v>985</v>
      </c>
      <c r="E474" t="s">
        <v>110</v>
      </c>
      <c r="F474" t="s">
        <v>19</v>
      </c>
      <c r="G474">
        <v>331</v>
      </c>
      <c r="H474">
        <v>0</v>
      </c>
      <c r="I474">
        <v>331</v>
      </c>
      <c r="J474">
        <v>4</v>
      </c>
      <c r="K474">
        <v>188.49144577613001</v>
      </c>
      <c r="L474">
        <v>1324</v>
      </c>
      <c r="M474">
        <v>753.96578310452298</v>
      </c>
      <c r="N474">
        <v>570.03421689547702</v>
      </c>
      <c r="O474" t="s">
        <v>26</v>
      </c>
      <c r="P474">
        <f t="shared" si="14"/>
        <v>1324</v>
      </c>
      <c r="Q474">
        <f t="shared" si="15"/>
        <v>-570.03421689547702</v>
      </c>
    </row>
    <row r="475" spans="1:17" x14ac:dyDescent="0.4">
      <c r="A475" t="s">
        <v>986</v>
      </c>
      <c r="B475" s="1">
        <v>45446.541666666664</v>
      </c>
      <c r="C475" t="s">
        <v>65</v>
      </c>
      <c r="D475" t="s">
        <v>987</v>
      </c>
      <c r="E475" t="s">
        <v>73</v>
      </c>
      <c r="F475" t="s">
        <v>38</v>
      </c>
      <c r="G475">
        <v>155</v>
      </c>
      <c r="H475">
        <v>0.15</v>
      </c>
      <c r="I475">
        <v>131.75</v>
      </c>
      <c r="J475">
        <v>5</v>
      </c>
      <c r="K475">
        <v>74.1727766541389</v>
      </c>
      <c r="L475">
        <v>658.75</v>
      </c>
      <c r="M475">
        <v>370.86388327069398</v>
      </c>
      <c r="N475">
        <v>287.886116729305</v>
      </c>
      <c r="O475" t="s">
        <v>32</v>
      </c>
      <c r="P475">
        <f t="shared" si="14"/>
        <v>775</v>
      </c>
      <c r="Q475">
        <f t="shared" si="15"/>
        <v>-287.88611672930602</v>
      </c>
    </row>
    <row r="476" spans="1:17" x14ac:dyDescent="0.4">
      <c r="A476" t="s">
        <v>988</v>
      </c>
      <c r="B476" s="1">
        <v>45838.5</v>
      </c>
      <c r="C476" t="s">
        <v>43</v>
      </c>
      <c r="D476" t="s">
        <v>989</v>
      </c>
      <c r="E476" t="s">
        <v>18</v>
      </c>
      <c r="F476" t="s">
        <v>19</v>
      </c>
      <c r="G476">
        <v>225</v>
      </c>
      <c r="H476">
        <v>0.2</v>
      </c>
      <c r="I476">
        <v>180</v>
      </c>
      <c r="J476">
        <v>3</v>
      </c>
      <c r="K476">
        <v>145.672810081357</v>
      </c>
      <c r="L476">
        <v>540</v>
      </c>
      <c r="M476">
        <v>437.018430244071</v>
      </c>
      <c r="N476">
        <v>102.98156975592801</v>
      </c>
      <c r="O476" t="s">
        <v>51</v>
      </c>
      <c r="P476">
        <f t="shared" si="14"/>
        <v>675</v>
      </c>
      <c r="Q476">
        <f t="shared" si="15"/>
        <v>-102.981569755929</v>
      </c>
    </row>
    <row r="477" spans="1:17" x14ac:dyDescent="0.4">
      <c r="A477" t="s">
        <v>990</v>
      </c>
      <c r="B477" s="1">
        <v>45691</v>
      </c>
      <c r="C477" t="s">
        <v>28</v>
      </c>
      <c r="D477" t="s">
        <v>991</v>
      </c>
      <c r="E477" t="s">
        <v>85</v>
      </c>
      <c r="F477" t="s">
        <v>70</v>
      </c>
      <c r="G477">
        <v>333</v>
      </c>
      <c r="H477">
        <v>0.15</v>
      </c>
      <c r="I477">
        <v>283.05</v>
      </c>
      <c r="J477">
        <v>4</v>
      </c>
      <c r="K477">
        <v>143.97499121067</v>
      </c>
      <c r="L477">
        <v>1132.2</v>
      </c>
      <c r="M477">
        <v>575.89996484267999</v>
      </c>
      <c r="N477">
        <v>556.30003515731903</v>
      </c>
      <c r="O477" t="s">
        <v>26</v>
      </c>
      <c r="P477">
        <f t="shared" si="14"/>
        <v>1332</v>
      </c>
      <c r="Q477">
        <f t="shared" si="15"/>
        <v>-556.30003515732005</v>
      </c>
    </row>
    <row r="478" spans="1:17" x14ac:dyDescent="0.4">
      <c r="A478" t="s">
        <v>992</v>
      </c>
      <c r="B478" s="1">
        <v>45714.916666666664</v>
      </c>
      <c r="C478" t="s">
        <v>28</v>
      </c>
      <c r="D478" t="s">
        <v>993</v>
      </c>
      <c r="E478" t="s">
        <v>37</v>
      </c>
      <c r="F478" t="s">
        <v>38</v>
      </c>
      <c r="G478">
        <v>279</v>
      </c>
      <c r="H478">
        <v>0</v>
      </c>
      <c r="I478">
        <v>279</v>
      </c>
      <c r="J478">
        <v>3</v>
      </c>
      <c r="K478">
        <v>165.341802378604</v>
      </c>
      <c r="L478">
        <v>837</v>
      </c>
      <c r="M478">
        <v>496.02540713581197</v>
      </c>
      <c r="N478">
        <v>340.974592864187</v>
      </c>
      <c r="O478" t="s">
        <v>26</v>
      </c>
      <c r="P478">
        <f t="shared" si="14"/>
        <v>837</v>
      </c>
      <c r="Q478">
        <f t="shared" si="15"/>
        <v>-340.97459286418803</v>
      </c>
    </row>
    <row r="479" spans="1:17" x14ac:dyDescent="0.4">
      <c r="A479" t="s">
        <v>994</v>
      </c>
      <c r="B479" s="1">
        <v>45564.083333333336</v>
      </c>
      <c r="C479" t="s">
        <v>16</v>
      </c>
      <c r="D479" t="s">
        <v>751</v>
      </c>
      <c r="E479" t="s">
        <v>48</v>
      </c>
      <c r="F479" t="s">
        <v>19</v>
      </c>
      <c r="G479">
        <v>283</v>
      </c>
      <c r="H479">
        <v>0</v>
      </c>
      <c r="I479">
        <v>283</v>
      </c>
      <c r="J479">
        <v>6</v>
      </c>
      <c r="K479">
        <v>181.32353989052601</v>
      </c>
      <c r="L479">
        <v>1698</v>
      </c>
      <c r="M479">
        <v>1087.9412393431501</v>
      </c>
      <c r="N479">
        <v>610.05876065684299</v>
      </c>
      <c r="O479" t="s">
        <v>32</v>
      </c>
      <c r="P479">
        <f t="shared" si="14"/>
        <v>1698</v>
      </c>
      <c r="Q479">
        <f t="shared" si="15"/>
        <v>-610.05876065684993</v>
      </c>
    </row>
    <row r="480" spans="1:17" x14ac:dyDescent="0.4">
      <c r="A480" t="s">
        <v>995</v>
      </c>
      <c r="B480" s="1">
        <v>45716.5</v>
      </c>
      <c r="C480" t="s">
        <v>16</v>
      </c>
      <c r="D480" t="s">
        <v>996</v>
      </c>
      <c r="E480" t="s">
        <v>213</v>
      </c>
      <c r="F480" t="s">
        <v>31</v>
      </c>
      <c r="G480">
        <v>167</v>
      </c>
      <c r="H480">
        <v>0</v>
      </c>
      <c r="I480">
        <v>167</v>
      </c>
      <c r="J480">
        <v>7</v>
      </c>
      <c r="K480">
        <v>85.248761438209996</v>
      </c>
      <c r="L480">
        <v>1169</v>
      </c>
      <c r="M480">
        <v>596.74133006747002</v>
      </c>
      <c r="N480">
        <v>572.25866993252896</v>
      </c>
      <c r="O480" t="s">
        <v>32</v>
      </c>
      <c r="P480">
        <f t="shared" si="14"/>
        <v>1169</v>
      </c>
      <c r="Q480">
        <f t="shared" si="15"/>
        <v>-572.25866993252998</v>
      </c>
    </row>
    <row r="481" spans="1:17" x14ac:dyDescent="0.4">
      <c r="A481" t="s">
        <v>997</v>
      </c>
      <c r="B481" s="1">
        <v>45903.791666666664</v>
      </c>
      <c r="C481" t="s">
        <v>46</v>
      </c>
      <c r="D481" t="s">
        <v>998</v>
      </c>
      <c r="E481" t="s">
        <v>85</v>
      </c>
      <c r="F481" t="s">
        <v>70</v>
      </c>
      <c r="G481">
        <v>225</v>
      </c>
      <c r="H481">
        <v>0.2</v>
      </c>
      <c r="I481">
        <v>180</v>
      </c>
      <c r="J481">
        <v>7</v>
      </c>
      <c r="K481">
        <v>135.40291795865201</v>
      </c>
      <c r="L481">
        <v>1260</v>
      </c>
      <c r="M481">
        <v>947.82042571056502</v>
      </c>
      <c r="N481">
        <v>312.17957428943402</v>
      </c>
      <c r="O481" t="s">
        <v>32</v>
      </c>
      <c r="P481">
        <f t="shared" si="14"/>
        <v>1575</v>
      </c>
      <c r="Q481">
        <f t="shared" si="15"/>
        <v>-312.17957428943498</v>
      </c>
    </row>
    <row r="482" spans="1:17" x14ac:dyDescent="0.4">
      <c r="A482" t="s">
        <v>999</v>
      </c>
      <c r="B482" s="1">
        <v>45313</v>
      </c>
      <c r="C482" t="s">
        <v>28</v>
      </c>
      <c r="D482" t="s">
        <v>1000</v>
      </c>
      <c r="E482" t="s">
        <v>115</v>
      </c>
      <c r="F482" t="s">
        <v>38</v>
      </c>
      <c r="G482">
        <v>331</v>
      </c>
      <c r="H482">
        <v>0.05</v>
      </c>
      <c r="I482">
        <v>314.45</v>
      </c>
      <c r="J482">
        <v>7</v>
      </c>
      <c r="K482">
        <v>210.81565315462399</v>
      </c>
      <c r="L482">
        <v>2201.15</v>
      </c>
      <c r="M482">
        <v>1475.70957208237</v>
      </c>
      <c r="N482">
        <v>725.44042791762604</v>
      </c>
      <c r="O482" t="s">
        <v>26</v>
      </c>
      <c r="P482">
        <f t="shared" si="14"/>
        <v>2317</v>
      </c>
      <c r="Q482">
        <f t="shared" si="15"/>
        <v>-725.44042791763013</v>
      </c>
    </row>
    <row r="483" spans="1:17" x14ac:dyDescent="0.4">
      <c r="A483" t="s">
        <v>1001</v>
      </c>
      <c r="B483" s="1">
        <v>45342.583333333336</v>
      </c>
      <c r="C483" t="s">
        <v>46</v>
      </c>
      <c r="D483" t="s">
        <v>1002</v>
      </c>
      <c r="E483" t="s">
        <v>37</v>
      </c>
      <c r="F483" t="s">
        <v>38</v>
      </c>
      <c r="G483">
        <v>123</v>
      </c>
      <c r="H483">
        <v>0.15</v>
      </c>
      <c r="I483">
        <v>104.55</v>
      </c>
      <c r="J483">
        <v>6</v>
      </c>
      <c r="K483">
        <v>85.526143780490003</v>
      </c>
      <c r="L483">
        <v>627.29999999999995</v>
      </c>
      <c r="M483">
        <v>513.15686268293996</v>
      </c>
      <c r="N483">
        <v>114.143137317059</v>
      </c>
      <c r="O483" t="s">
        <v>32</v>
      </c>
      <c r="P483">
        <f t="shared" si="14"/>
        <v>738</v>
      </c>
      <c r="Q483">
        <f t="shared" si="15"/>
        <v>-114.14313731706</v>
      </c>
    </row>
    <row r="484" spans="1:17" x14ac:dyDescent="0.4">
      <c r="A484" t="s">
        <v>1003</v>
      </c>
      <c r="B484" s="1">
        <v>45355.791666666664</v>
      </c>
      <c r="C484" t="s">
        <v>65</v>
      </c>
      <c r="D484" t="s">
        <v>1004</v>
      </c>
      <c r="E484" t="s">
        <v>104</v>
      </c>
      <c r="F484" t="s">
        <v>25</v>
      </c>
      <c r="G484">
        <v>153</v>
      </c>
      <c r="H484">
        <v>0</v>
      </c>
      <c r="I484">
        <v>153</v>
      </c>
      <c r="J484">
        <v>5</v>
      </c>
      <c r="K484">
        <v>71.861452637568803</v>
      </c>
      <c r="L484">
        <v>765</v>
      </c>
      <c r="M484">
        <v>359.307263187844</v>
      </c>
      <c r="N484">
        <v>405.69273681215498</v>
      </c>
      <c r="O484" t="s">
        <v>32</v>
      </c>
      <c r="P484">
        <f t="shared" si="14"/>
        <v>765</v>
      </c>
      <c r="Q484">
        <f t="shared" si="15"/>
        <v>-405.692736812156</v>
      </c>
    </row>
    <row r="485" spans="1:17" x14ac:dyDescent="0.4">
      <c r="A485" t="s">
        <v>1005</v>
      </c>
      <c r="B485" s="1">
        <v>45326.291666666664</v>
      </c>
      <c r="C485" t="s">
        <v>22</v>
      </c>
      <c r="D485" t="s">
        <v>1006</v>
      </c>
      <c r="E485" t="s">
        <v>85</v>
      </c>
      <c r="F485" t="s">
        <v>70</v>
      </c>
      <c r="G485">
        <v>310</v>
      </c>
      <c r="H485">
        <v>0.15</v>
      </c>
      <c r="I485">
        <v>263.5</v>
      </c>
      <c r="J485">
        <v>4</v>
      </c>
      <c r="K485">
        <v>147.16939971220199</v>
      </c>
      <c r="L485">
        <v>1054</v>
      </c>
      <c r="M485">
        <v>588.67759884880797</v>
      </c>
      <c r="N485">
        <v>465.322401151191</v>
      </c>
      <c r="O485" t="s">
        <v>26</v>
      </c>
      <c r="P485">
        <f t="shared" si="14"/>
        <v>1240</v>
      </c>
      <c r="Q485">
        <f t="shared" si="15"/>
        <v>-465.32240115119203</v>
      </c>
    </row>
    <row r="486" spans="1:17" x14ac:dyDescent="0.4">
      <c r="A486" t="s">
        <v>1007</v>
      </c>
      <c r="B486" s="1">
        <v>46013.333333333336</v>
      </c>
      <c r="C486" t="s">
        <v>65</v>
      </c>
      <c r="D486" t="s">
        <v>1008</v>
      </c>
      <c r="E486" t="s">
        <v>60</v>
      </c>
      <c r="F486" t="s">
        <v>61</v>
      </c>
      <c r="G486">
        <v>83</v>
      </c>
      <c r="H486">
        <v>0.25</v>
      </c>
      <c r="I486">
        <v>62.25</v>
      </c>
      <c r="J486">
        <v>3</v>
      </c>
      <c r="K486">
        <v>56.443996778947799</v>
      </c>
      <c r="L486">
        <v>186.75</v>
      </c>
      <c r="M486">
        <v>169.33199033684301</v>
      </c>
      <c r="N486">
        <v>17.4180096631565</v>
      </c>
      <c r="O486" t="s">
        <v>32</v>
      </c>
      <c r="P486">
        <f t="shared" si="14"/>
        <v>249</v>
      </c>
      <c r="Q486">
        <f t="shared" si="15"/>
        <v>-17.418009663156994</v>
      </c>
    </row>
    <row r="487" spans="1:17" x14ac:dyDescent="0.4">
      <c r="A487" t="s">
        <v>1009</v>
      </c>
      <c r="B487" s="1">
        <v>45501.541666666664</v>
      </c>
      <c r="C487" t="s">
        <v>28</v>
      </c>
      <c r="D487" t="s">
        <v>1010</v>
      </c>
      <c r="E487" t="s">
        <v>24</v>
      </c>
      <c r="F487" t="s">
        <v>25</v>
      </c>
      <c r="G487">
        <v>135</v>
      </c>
      <c r="H487">
        <v>0.1</v>
      </c>
      <c r="I487">
        <v>121.5</v>
      </c>
      <c r="J487">
        <v>5</v>
      </c>
      <c r="K487">
        <v>94.555758862025996</v>
      </c>
      <c r="L487">
        <v>607.5</v>
      </c>
      <c r="M487">
        <v>472.77879431013002</v>
      </c>
      <c r="N487">
        <v>134.72120568986901</v>
      </c>
      <c r="O487" t="s">
        <v>32</v>
      </c>
      <c r="P487">
        <f t="shared" si="14"/>
        <v>675</v>
      </c>
      <c r="Q487">
        <f t="shared" si="15"/>
        <v>-134.72120568986998</v>
      </c>
    </row>
    <row r="488" spans="1:17" x14ac:dyDescent="0.4">
      <c r="A488" t="s">
        <v>1011</v>
      </c>
      <c r="B488" s="1">
        <v>45851.5</v>
      </c>
      <c r="C488" t="s">
        <v>16</v>
      </c>
      <c r="D488" t="s">
        <v>525</v>
      </c>
      <c r="E488" t="s">
        <v>48</v>
      </c>
      <c r="F488" t="s">
        <v>19</v>
      </c>
      <c r="G488">
        <v>337</v>
      </c>
      <c r="H488">
        <v>0</v>
      </c>
      <c r="I488">
        <v>337</v>
      </c>
      <c r="J488">
        <v>4</v>
      </c>
      <c r="K488">
        <v>161.437784620749</v>
      </c>
      <c r="L488">
        <v>1348</v>
      </c>
      <c r="M488">
        <v>645.751138482996</v>
      </c>
      <c r="N488">
        <v>702.24886151700298</v>
      </c>
      <c r="O488" t="s">
        <v>51</v>
      </c>
      <c r="P488">
        <f t="shared" si="14"/>
        <v>1348</v>
      </c>
      <c r="Q488">
        <f t="shared" si="15"/>
        <v>-702.248861517004</v>
      </c>
    </row>
    <row r="489" spans="1:17" x14ac:dyDescent="0.4">
      <c r="A489" t="s">
        <v>1012</v>
      </c>
      <c r="B489" s="1">
        <v>45980.208333333336</v>
      </c>
      <c r="C489" t="s">
        <v>16</v>
      </c>
      <c r="D489" t="s">
        <v>255</v>
      </c>
      <c r="E489" t="s">
        <v>24</v>
      </c>
      <c r="F489" t="s">
        <v>25</v>
      </c>
      <c r="G489">
        <v>186</v>
      </c>
      <c r="H489">
        <v>0.2</v>
      </c>
      <c r="I489">
        <v>148.80000000000001</v>
      </c>
      <c r="J489">
        <v>3</v>
      </c>
      <c r="K489">
        <v>127.527612174718</v>
      </c>
      <c r="L489">
        <v>446.4</v>
      </c>
      <c r="M489">
        <v>382.58283652415503</v>
      </c>
      <c r="N489">
        <v>63.817163475844801</v>
      </c>
      <c r="O489" t="s">
        <v>51</v>
      </c>
      <c r="P489">
        <f t="shared" si="14"/>
        <v>558</v>
      </c>
      <c r="Q489">
        <f t="shared" si="15"/>
        <v>-63.81716347584495</v>
      </c>
    </row>
    <row r="490" spans="1:17" x14ac:dyDescent="0.4">
      <c r="A490" t="s">
        <v>1013</v>
      </c>
      <c r="B490" s="1">
        <v>45379.708333333336</v>
      </c>
      <c r="C490" t="s">
        <v>22</v>
      </c>
      <c r="D490" t="s">
        <v>1014</v>
      </c>
      <c r="E490" t="s">
        <v>110</v>
      </c>
      <c r="F490" t="s">
        <v>19</v>
      </c>
      <c r="G490">
        <v>92</v>
      </c>
      <c r="H490">
        <v>0</v>
      </c>
      <c r="I490">
        <v>92</v>
      </c>
      <c r="J490">
        <v>5</v>
      </c>
      <c r="K490">
        <v>55.121258856592704</v>
      </c>
      <c r="L490">
        <v>460</v>
      </c>
      <c r="M490">
        <v>275.60629428296301</v>
      </c>
      <c r="N490">
        <v>184.393705717036</v>
      </c>
      <c r="O490" t="s">
        <v>32</v>
      </c>
      <c r="P490">
        <f t="shared" si="14"/>
        <v>460</v>
      </c>
      <c r="Q490">
        <f t="shared" si="15"/>
        <v>-184.39370571703699</v>
      </c>
    </row>
    <row r="491" spans="1:17" x14ac:dyDescent="0.4">
      <c r="A491" t="s">
        <v>1015</v>
      </c>
      <c r="B491" s="1">
        <v>45443.125</v>
      </c>
      <c r="C491" t="s">
        <v>46</v>
      </c>
      <c r="D491" t="s">
        <v>1016</v>
      </c>
      <c r="E491" t="s">
        <v>37</v>
      </c>
      <c r="F491" t="s">
        <v>38</v>
      </c>
      <c r="G491">
        <v>207</v>
      </c>
      <c r="H491">
        <v>0.05</v>
      </c>
      <c r="I491">
        <v>196.64999999999901</v>
      </c>
      <c r="J491">
        <v>3</v>
      </c>
      <c r="K491">
        <v>101.688350685925</v>
      </c>
      <c r="L491">
        <v>589.94999999999902</v>
      </c>
      <c r="M491">
        <v>305.06505205777501</v>
      </c>
      <c r="N491">
        <v>284.88494794222402</v>
      </c>
      <c r="O491" t="s">
        <v>20</v>
      </c>
      <c r="P491">
        <f t="shared" si="14"/>
        <v>621</v>
      </c>
      <c r="Q491">
        <f t="shared" si="15"/>
        <v>-284.88494794222402</v>
      </c>
    </row>
    <row r="492" spans="1:17" x14ac:dyDescent="0.4">
      <c r="A492" t="s">
        <v>1017</v>
      </c>
      <c r="B492" s="1">
        <v>45832.5</v>
      </c>
      <c r="C492" t="s">
        <v>22</v>
      </c>
      <c r="D492" t="s">
        <v>1018</v>
      </c>
      <c r="E492" t="s">
        <v>60</v>
      </c>
      <c r="F492" t="s">
        <v>61</v>
      </c>
      <c r="G492">
        <v>195</v>
      </c>
      <c r="H492">
        <v>0.1</v>
      </c>
      <c r="I492">
        <v>175.5</v>
      </c>
      <c r="J492">
        <v>7</v>
      </c>
      <c r="K492">
        <v>93.892596506793396</v>
      </c>
      <c r="L492">
        <v>1228.5</v>
      </c>
      <c r="M492">
        <v>657.24817554755396</v>
      </c>
      <c r="N492">
        <v>571.25182445244502</v>
      </c>
      <c r="O492" t="s">
        <v>51</v>
      </c>
      <c r="P492">
        <f t="shared" si="14"/>
        <v>1365</v>
      </c>
      <c r="Q492">
        <f t="shared" si="15"/>
        <v>-571.25182445244604</v>
      </c>
    </row>
    <row r="493" spans="1:17" x14ac:dyDescent="0.4">
      <c r="A493" t="s">
        <v>1019</v>
      </c>
      <c r="B493" s="1">
        <v>45369.166666666664</v>
      </c>
      <c r="C493" t="s">
        <v>65</v>
      </c>
      <c r="D493" t="s">
        <v>1020</v>
      </c>
      <c r="E493" t="s">
        <v>30</v>
      </c>
      <c r="F493" t="s">
        <v>31</v>
      </c>
      <c r="G493">
        <v>305</v>
      </c>
      <c r="H493">
        <v>0.05</v>
      </c>
      <c r="I493">
        <v>289.75</v>
      </c>
      <c r="J493">
        <v>1</v>
      </c>
      <c r="K493">
        <v>181.13731026074299</v>
      </c>
      <c r="L493">
        <v>289.75</v>
      </c>
      <c r="M493">
        <v>181.13731026074299</v>
      </c>
      <c r="N493">
        <v>108.612689739256</v>
      </c>
      <c r="O493" t="s">
        <v>51</v>
      </c>
      <c r="P493">
        <f t="shared" si="14"/>
        <v>305</v>
      </c>
      <c r="Q493">
        <f t="shared" si="15"/>
        <v>-108.61268973925701</v>
      </c>
    </row>
    <row r="494" spans="1:17" x14ac:dyDescent="0.4">
      <c r="A494" t="s">
        <v>1021</v>
      </c>
      <c r="B494" s="1">
        <v>45496.583333333336</v>
      </c>
      <c r="C494" t="s">
        <v>16</v>
      </c>
      <c r="D494" t="s">
        <v>1022</v>
      </c>
      <c r="E494" t="s">
        <v>110</v>
      </c>
      <c r="F494" t="s">
        <v>19</v>
      </c>
      <c r="G494">
        <v>317</v>
      </c>
      <c r="H494">
        <v>0.2</v>
      </c>
      <c r="I494">
        <v>253.6</v>
      </c>
      <c r="J494">
        <v>2</v>
      </c>
      <c r="K494">
        <v>226.62649454946401</v>
      </c>
      <c r="L494">
        <v>507.2</v>
      </c>
      <c r="M494">
        <v>453.25298909892803</v>
      </c>
      <c r="N494">
        <v>53.947010901071302</v>
      </c>
      <c r="O494" t="s">
        <v>32</v>
      </c>
      <c r="P494">
        <f t="shared" si="14"/>
        <v>634</v>
      </c>
      <c r="Q494">
        <f t="shared" si="15"/>
        <v>-53.947010901071963</v>
      </c>
    </row>
    <row r="495" spans="1:17" x14ac:dyDescent="0.4">
      <c r="A495" t="s">
        <v>1023</v>
      </c>
      <c r="B495" s="1">
        <v>45750.458333333336</v>
      </c>
      <c r="C495" t="s">
        <v>46</v>
      </c>
      <c r="D495" t="s">
        <v>1024</v>
      </c>
      <c r="E495" t="s">
        <v>48</v>
      </c>
      <c r="F495" t="s">
        <v>19</v>
      </c>
      <c r="G495">
        <v>151</v>
      </c>
      <c r="H495">
        <v>0.1</v>
      </c>
      <c r="I495">
        <v>135.9</v>
      </c>
      <c r="J495">
        <v>4</v>
      </c>
      <c r="K495">
        <v>74.434719054956005</v>
      </c>
      <c r="L495">
        <v>543.6</v>
      </c>
      <c r="M495">
        <v>297.73887621982402</v>
      </c>
      <c r="N495">
        <v>245.86112378017501</v>
      </c>
      <c r="O495" t="s">
        <v>32</v>
      </c>
      <c r="P495">
        <f t="shared" si="14"/>
        <v>604</v>
      </c>
      <c r="Q495">
        <f t="shared" si="15"/>
        <v>-245.861123780176</v>
      </c>
    </row>
    <row r="496" spans="1:17" x14ac:dyDescent="0.4">
      <c r="A496" t="s">
        <v>1025</v>
      </c>
      <c r="B496" s="1">
        <v>45868.791666666664</v>
      </c>
      <c r="C496" t="s">
        <v>43</v>
      </c>
      <c r="D496" t="s">
        <v>1026</v>
      </c>
      <c r="E496" t="s">
        <v>85</v>
      </c>
      <c r="F496" t="s">
        <v>70</v>
      </c>
      <c r="G496">
        <v>322</v>
      </c>
      <c r="H496">
        <v>0.05</v>
      </c>
      <c r="I496">
        <v>305.89999999999998</v>
      </c>
      <c r="J496">
        <v>2</v>
      </c>
      <c r="K496">
        <v>158.678263321787</v>
      </c>
      <c r="L496">
        <v>611.79999999999995</v>
      </c>
      <c r="M496">
        <v>317.356526643574</v>
      </c>
      <c r="N496">
        <v>294.44347335642499</v>
      </c>
      <c r="O496" t="s">
        <v>105</v>
      </c>
      <c r="P496">
        <f t="shared" si="14"/>
        <v>644</v>
      </c>
      <c r="Q496">
        <f t="shared" si="15"/>
        <v>-294.44347335642595</v>
      </c>
    </row>
    <row r="497" spans="1:17" x14ac:dyDescent="0.4">
      <c r="A497" t="s">
        <v>1027</v>
      </c>
      <c r="B497" s="1">
        <v>45779.666666666664</v>
      </c>
      <c r="C497" t="s">
        <v>46</v>
      </c>
      <c r="D497" t="s">
        <v>1028</v>
      </c>
      <c r="E497" t="s">
        <v>48</v>
      </c>
      <c r="F497" t="s">
        <v>19</v>
      </c>
      <c r="G497">
        <v>95</v>
      </c>
      <c r="H497">
        <v>0</v>
      </c>
      <c r="I497">
        <v>95</v>
      </c>
      <c r="J497">
        <v>3</v>
      </c>
      <c r="K497">
        <v>54.244037009138502</v>
      </c>
      <c r="L497">
        <v>285</v>
      </c>
      <c r="M497">
        <v>162.73211102741499</v>
      </c>
      <c r="N497">
        <v>122.267888972584</v>
      </c>
      <c r="O497" t="s">
        <v>26</v>
      </c>
      <c r="P497">
        <f t="shared" si="14"/>
        <v>285</v>
      </c>
      <c r="Q497">
        <f t="shared" si="15"/>
        <v>-122.26788897258501</v>
      </c>
    </row>
    <row r="498" spans="1:17" x14ac:dyDescent="0.4">
      <c r="A498" t="s">
        <v>1029</v>
      </c>
      <c r="B498" s="1">
        <v>45948.708333333336</v>
      </c>
      <c r="C498" t="s">
        <v>22</v>
      </c>
      <c r="D498" t="s">
        <v>1030</v>
      </c>
      <c r="E498" t="s">
        <v>94</v>
      </c>
      <c r="F498" t="s">
        <v>61</v>
      </c>
      <c r="G498">
        <v>171</v>
      </c>
      <c r="H498">
        <v>0.25</v>
      </c>
      <c r="I498">
        <v>128.25</v>
      </c>
      <c r="J498">
        <v>5</v>
      </c>
      <c r="K498">
        <v>112.82658059052601</v>
      </c>
      <c r="L498">
        <v>641.25</v>
      </c>
      <c r="M498">
        <v>564.13290295263198</v>
      </c>
      <c r="N498">
        <v>77.117097047367196</v>
      </c>
      <c r="O498" t="s">
        <v>32</v>
      </c>
      <c r="P498">
        <f t="shared" si="14"/>
        <v>855</v>
      </c>
      <c r="Q498">
        <f t="shared" si="15"/>
        <v>-77.11709704736802</v>
      </c>
    </row>
    <row r="499" spans="1:17" x14ac:dyDescent="0.4">
      <c r="A499" t="s">
        <v>1031</v>
      </c>
      <c r="B499" s="1">
        <v>45549.916666666664</v>
      </c>
      <c r="C499" t="s">
        <v>16</v>
      </c>
      <c r="D499" t="s">
        <v>1032</v>
      </c>
      <c r="E499" t="s">
        <v>18</v>
      </c>
      <c r="F499" t="s">
        <v>19</v>
      </c>
      <c r="G499">
        <v>126</v>
      </c>
      <c r="H499">
        <v>0.05</v>
      </c>
      <c r="I499">
        <v>119.69999999999899</v>
      </c>
      <c r="J499">
        <v>6</v>
      </c>
      <c r="K499">
        <v>67.453313444447005</v>
      </c>
      <c r="L499">
        <v>718.19999999999902</v>
      </c>
      <c r="M499">
        <v>404.719880666682</v>
      </c>
      <c r="N499">
        <v>313.48011933331702</v>
      </c>
      <c r="O499" t="s">
        <v>105</v>
      </c>
      <c r="P499">
        <f t="shared" si="14"/>
        <v>756</v>
      </c>
      <c r="Q499">
        <f t="shared" si="15"/>
        <v>-313.48011933331702</v>
      </c>
    </row>
    <row r="500" spans="1:17" x14ac:dyDescent="0.4">
      <c r="A500" t="s">
        <v>1033</v>
      </c>
      <c r="B500" s="1">
        <v>45527.208333333336</v>
      </c>
      <c r="C500" t="s">
        <v>16</v>
      </c>
      <c r="D500" t="s">
        <v>1034</v>
      </c>
      <c r="E500" t="s">
        <v>73</v>
      </c>
      <c r="F500" t="s">
        <v>38</v>
      </c>
      <c r="G500">
        <v>143</v>
      </c>
      <c r="H500">
        <v>0.05</v>
      </c>
      <c r="I500">
        <v>135.85</v>
      </c>
      <c r="J500">
        <v>5</v>
      </c>
      <c r="K500">
        <v>65.738586287313296</v>
      </c>
      <c r="L500">
        <v>679.25</v>
      </c>
      <c r="M500">
        <v>328.69293143656603</v>
      </c>
      <c r="N500">
        <v>350.55706856343301</v>
      </c>
      <c r="O500" t="s">
        <v>32</v>
      </c>
      <c r="P500">
        <f t="shared" si="14"/>
        <v>715</v>
      </c>
      <c r="Q500">
        <f t="shared" si="15"/>
        <v>-350.55706856343397</v>
      </c>
    </row>
    <row r="501" spans="1:17" x14ac:dyDescent="0.4">
      <c r="A501" t="s">
        <v>1035</v>
      </c>
      <c r="B501" s="1">
        <v>45691.5</v>
      </c>
      <c r="C501" t="s">
        <v>22</v>
      </c>
      <c r="D501" t="s">
        <v>1036</v>
      </c>
      <c r="E501" t="s">
        <v>213</v>
      </c>
      <c r="F501" t="s">
        <v>31</v>
      </c>
      <c r="G501">
        <v>176</v>
      </c>
      <c r="H501">
        <v>0</v>
      </c>
      <c r="I501">
        <v>176</v>
      </c>
      <c r="J501">
        <v>3</v>
      </c>
      <c r="K501">
        <v>115.08010566933</v>
      </c>
      <c r="L501">
        <v>528</v>
      </c>
      <c r="M501">
        <v>345.24031700798997</v>
      </c>
      <c r="N501">
        <v>182.759682992009</v>
      </c>
      <c r="O501" t="s">
        <v>105</v>
      </c>
      <c r="P501">
        <f t="shared" si="14"/>
        <v>528</v>
      </c>
      <c r="Q501">
        <f t="shared" si="15"/>
        <v>-182.75968299201003</v>
      </c>
    </row>
    <row r="502" spans="1:17" x14ac:dyDescent="0.4">
      <c r="A502" t="s">
        <v>1037</v>
      </c>
      <c r="B502" s="1">
        <v>45784.875</v>
      </c>
      <c r="C502" t="s">
        <v>43</v>
      </c>
      <c r="D502" t="s">
        <v>1038</v>
      </c>
      <c r="E502" t="s">
        <v>69</v>
      </c>
      <c r="F502" t="s">
        <v>70</v>
      </c>
      <c r="G502">
        <v>243</v>
      </c>
      <c r="H502">
        <v>0.2</v>
      </c>
      <c r="I502">
        <v>194.4</v>
      </c>
      <c r="J502">
        <v>2</v>
      </c>
      <c r="K502">
        <v>171.98654560898501</v>
      </c>
      <c r="L502">
        <v>388.8</v>
      </c>
      <c r="M502">
        <v>343.97309121797099</v>
      </c>
      <c r="N502">
        <v>44.826908782028397</v>
      </c>
      <c r="O502" t="s">
        <v>26</v>
      </c>
      <c r="P502">
        <f t="shared" si="14"/>
        <v>486</v>
      </c>
      <c r="Q502">
        <f t="shared" si="15"/>
        <v>-44.826908782029022</v>
      </c>
    </row>
    <row r="503" spans="1:17" x14ac:dyDescent="0.4">
      <c r="A503" t="s">
        <v>1039</v>
      </c>
      <c r="B503" s="1">
        <v>45627.541666666664</v>
      </c>
      <c r="C503" t="s">
        <v>46</v>
      </c>
      <c r="D503" t="s">
        <v>1040</v>
      </c>
      <c r="E503" t="s">
        <v>48</v>
      </c>
      <c r="F503" t="s">
        <v>19</v>
      </c>
      <c r="G503">
        <v>122</v>
      </c>
      <c r="H503">
        <v>0.1</v>
      </c>
      <c r="I503">
        <v>109.8</v>
      </c>
      <c r="J503">
        <v>3</v>
      </c>
      <c r="K503">
        <v>57.880765034034297</v>
      </c>
      <c r="L503">
        <v>329.4</v>
      </c>
      <c r="M503">
        <v>173.64229510210299</v>
      </c>
      <c r="N503">
        <v>155.75770489789599</v>
      </c>
      <c r="O503" t="s">
        <v>32</v>
      </c>
      <c r="P503">
        <f t="shared" si="14"/>
        <v>366</v>
      </c>
      <c r="Q503">
        <f t="shared" si="15"/>
        <v>-155.75770489789699</v>
      </c>
    </row>
    <row r="504" spans="1:17" x14ac:dyDescent="0.4">
      <c r="A504" t="s">
        <v>1041</v>
      </c>
      <c r="B504" s="1">
        <v>45430.75</v>
      </c>
      <c r="C504" t="s">
        <v>46</v>
      </c>
      <c r="D504" t="s">
        <v>1042</v>
      </c>
      <c r="E504" t="s">
        <v>97</v>
      </c>
      <c r="F504" t="s">
        <v>61</v>
      </c>
      <c r="G504">
        <v>337</v>
      </c>
      <c r="H504">
        <v>0.1</v>
      </c>
      <c r="I504">
        <v>303.3</v>
      </c>
      <c r="J504">
        <v>6</v>
      </c>
      <c r="K504">
        <v>244.32312510486301</v>
      </c>
      <c r="L504">
        <v>1819.8</v>
      </c>
      <c r="M504">
        <v>1465.93875062918</v>
      </c>
      <c r="N504">
        <v>353.86124937082002</v>
      </c>
      <c r="O504" t="s">
        <v>32</v>
      </c>
      <c r="P504">
        <f t="shared" si="14"/>
        <v>2022</v>
      </c>
      <c r="Q504">
        <f t="shared" si="15"/>
        <v>-353.86124937081991</v>
      </c>
    </row>
    <row r="505" spans="1:17" x14ac:dyDescent="0.4">
      <c r="A505" t="s">
        <v>1043</v>
      </c>
      <c r="B505" s="1">
        <v>45652.916666666664</v>
      </c>
      <c r="C505" t="s">
        <v>22</v>
      </c>
      <c r="D505" t="s">
        <v>1044</v>
      </c>
      <c r="E505" t="s">
        <v>82</v>
      </c>
      <c r="F505" t="s">
        <v>25</v>
      </c>
      <c r="G505">
        <v>128</v>
      </c>
      <c r="H505">
        <v>0.05</v>
      </c>
      <c r="I505">
        <v>121.6</v>
      </c>
      <c r="J505">
        <v>1</v>
      </c>
      <c r="K505">
        <v>95.150809828999996</v>
      </c>
      <c r="L505">
        <v>121.6</v>
      </c>
      <c r="M505">
        <v>95.150809828999996</v>
      </c>
      <c r="N505">
        <v>26.449190170999898</v>
      </c>
      <c r="O505" t="s">
        <v>26</v>
      </c>
      <c r="P505">
        <f t="shared" si="14"/>
        <v>128</v>
      </c>
      <c r="Q505">
        <f t="shared" si="15"/>
        <v>-26.449190170999998</v>
      </c>
    </row>
    <row r="506" spans="1:17" x14ac:dyDescent="0.4">
      <c r="A506" t="s">
        <v>1045</v>
      </c>
      <c r="B506" s="1">
        <v>45588.416666666664</v>
      </c>
      <c r="C506" t="s">
        <v>43</v>
      </c>
      <c r="D506" t="s">
        <v>1046</v>
      </c>
      <c r="E506" t="s">
        <v>24</v>
      </c>
      <c r="F506" t="s">
        <v>25</v>
      </c>
      <c r="G506">
        <v>315</v>
      </c>
      <c r="H506">
        <v>0</v>
      </c>
      <c r="I506">
        <v>315</v>
      </c>
      <c r="J506">
        <v>5</v>
      </c>
      <c r="K506">
        <v>139.808948228356</v>
      </c>
      <c r="L506">
        <v>1575</v>
      </c>
      <c r="M506">
        <v>699.04474114178402</v>
      </c>
      <c r="N506">
        <v>875.95525885821496</v>
      </c>
      <c r="O506" t="s">
        <v>32</v>
      </c>
      <c r="P506">
        <f t="shared" si="14"/>
        <v>1575</v>
      </c>
      <c r="Q506">
        <f t="shared" si="15"/>
        <v>-875.95525885821598</v>
      </c>
    </row>
    <row r="507" spans="1:17" x14ac:dyDescent="0.4">
      <c r="A507" t="s">
        <v>1047</v>
      </c>
      <c r="B507" s="1">
        <v>45847.125</v>
      </c>
      <c r="C507" t="s">
        <v>46</v>
      </c>
      <c r="D507" t="s">
        <v>1048</v>
      </c>
      <c r="E507" t="s">
        <v>94</v>
      </c>
      <c r="F507" t="s">
        <v>61</v>
      </c>
      <c r="G507">
        <v>126</v>
      </c>
      <c r="H507">
        <v>0.25</v>
      </c>
      <c r="I507">
        <v>94.5</v>
      </c>
      <c r="J507">
        <v>7</v>
      </c>
      <c r="K507">
        <v>72.184480477082204</v>
      </c>
      <c r="L507">
        <v>661.5</v>
      </c>
      <c r="M507">
        <v>505.29136333957598</v>
      </c>
      <c r="N507">
        <v>156.208636660423</v>
      </c>
      <c r="O507" t="s">
        <v>20</v>
      </c>
      <c r="P507">
        <f t="shared" si="14"/>
        <v>882</v>
      </c>
      <c r="Q507">
        <f t="shared" si="15"/>
        <v>-156.20863666042402</v>
      </c>
    </row>
    <row r="508" spans="1:17" x14ac:dyDescent="0.4">
      <c r="A508" t="s">
        <v>1049</v>
      </c>
      <c r="B508" s="1">
        <v>45348.375</v>
      </c>
      <c r="C508" t="s">
        <v>28</v>
      </c>
      <c r="D508" t="s">
        <v>1050</v>
      </c>
      <c r="E508" t="s">
        <v>104</v>
      </c>
      <c r="F508" t="s">
        <v>25</v>
      </c>
      <c r="G508">
        <v>296</v>
      </c>
      <c r="H508">
        <v>0.25</v>
      </c>
      <c r="I508">
        <v>222</v>
      </c>
      <c r="J508">
        <v>1</v>
      </c>
      <c r="K508">
        <v>175.43911773848501</v>
      </c>
      <c r="L508">
        <v>222</v>
      </c>
      <c r="M508">
        <v>175.43911773848501</v>
      </c>
      <c r="N508">
        <v>46.5608822615146</v>
      </c>
      <c r="O508" t="s">
        <v>32</v>
      </c>
      <c r="P508">
        <f t="shared" si="14"/>
        <v>296</v>
      </c>
      <c r="Q508">
        <f t="shared" si="15"/>
        <v>-46.56088226151499</v>
      </c>
    </row>
    <row r="509" spans="1:17" x14ac:dyDescent="0.4">
      <c r="A509" t="s">
        <v>1051</v>
      </c>
      <c r="B509" s="1">
        <v>45749.291666666664</v>
      </c>
      <c r="C509" t="s">
        <v>46</v>
      </c>
      <c r="D509" t="s">
        <v>1052</v>
      </c>
      <c r="E509" t="s">
        <v>24</v>
      </c>
      <c r="F509" t="s">
        <v>25</v>
      </c>
      <c r="G509">
        <v>327</v>
      </c>
      <c r="H509">
        <v>0</v>
      </c>
      <c r="I509">
        <v>327</v>
      </c>
      <c r="J509">
        <v>2</v>
      </c>
      <c r="K509">
        <v>200.12851445812001</v>
      </c>
      <c r="L509">
        <v>654</v>
      </c>
      <c r="M509">
        <v>400.25702891624098</v>
      </c>
      <c r="N509">
        <v>253.74297108375799</v>
      </c>
      <c r="O509" t="s">
        <v>26</v>
      </c>
      <c r="P509">
        <f t="shared" si="14"/>
        <v>654</v>
      </c>
      <c r="Q509">
        <f t="shared" si="15"/>
        <v>-253.74297108375902</v>
      </c>
    </row>
    <row r="510" spans="1:17" x14ac:dyDescent="0.4">
      <c r="A510" t="s">
        <v>1053</v>
      </c>
      <c r="B510" s="1">
        <v>45751.291666666664</v>
      </c>
      <c r="C510" t="s">
        <v>16</v>
      </c>
      <c r="D510" t="s">
        <v>1054</v>
      </c>
      <c r="E510" t="s">
        <v>115</v>
      </c>
      <c r="F510" t="s">
        <v>38</v>
      </c>
      <c r="G510">
        <v>173</v>
      </c>
      <c r="H510">
        <v>0.2</v>
      </c>
      <c r="I510">
        <v>138.4</v>
      </c>
      <c r="J510">
        <v>5</v>
      </c>
      <c r="K510">
        <v>113.247242292374</v>
      </c>
      <c r="L510">
        <v>692</v>
      </c>
      <c r="M510">
        <v>566.23621146187202</v>
      </c>
      <c r="N510">
        <v>125.763788538127</v>
      </c>
      <c r="O510" t="s">
        <v>32</v>
      </c>
      <c r="P510">
        <f t="shared" si="14"/>
        <v>865</v>
      </c>
      <c r="Q510">
        <f t="shared" si="15"/>
        <v>-125.76378853812798</v>
      </c>
    </row>
    <row r="511" spans="1:17" x14ac:dyDescent="0.4">
      <c r="A511" t="s">
        <v>1055</v>
      </c>
      <c r="B511" s="1">
        <v>45319.791666666664</v>
      </c>
      <c r="C511" t="s">
        <v>28</v>
      </c>
      <c r="D511" t="s">
        <v>1056</v>
      </c>
      <c r="E511" t="s">
        <v>60</v>
      </c>
      <c r="F511" t="s">
        <v>61</v>
      </c>
      <c r="G511">
        <v>311</v>
      </c>
      <c r="H511">
        <v>0</v>
      </c>
      <c r="I511">
        <v>311</v>
      </c>
      <c r="J511">
        <v>6</v>
      </c>
      <c r="K511">
        <v>129.73415560512299</v>
      </c>
      <c r="L511">
        <v>1866</v>
      </c>
      <c r="M511">
        <v>778.40493363073801</v>
      </c>
      <c r="N511">
        <v>1087.5950663692599</v>
      </c>
      <c r="O511" t="s">
        <v>51</v>
      </c>
      <c r="P511">
        <f t="shared" si="14"/>
        <v>1866</v>
      </c>
      <c r="Q511">
        <f t="shared" si="15"/>
        <v>-1087.595066369262</v>
      </c>
    </row>
    <row r="512" spans="1:17" x14ac:dyDescent="0.4">
      <c r="A512" t="s">
        <v>1057</v>
      </c>
      <c r="B512" s="1">
        <v>45681.041666666664</v>
      </c>
      <c r="C512" t="s">
        <v>46</v>
      </c>
      <c r="D512" t="s">
        <v>1058</v>
      </c>
      <c r="E512" t="s">
        <v>48</v>
      </c>
      <c r="F512" t="s">
        <v>19</v>
      </c>
      <c r="G512">
        <v>152</v>
      </c>
      <c r="H512">
        <v>0.05</v>
      </c>
      <c r="I512">
        <v>144.4</v>
      </c>
      <c r="J512">
        <v>3</v>
      </c>
      <c r="K512">
        <v>75.388125701404604</v>
      </c>
      <c r="L512">
        <v>433.2</v>
      </c>
      <c r="M512">
        <v>226.164377104213</v>
      </c>
      <c r="N512">
        <v>207.03562289578599</v>
      </c>
      <c r="O512" t="s">
        <v>20</v>
      </c>
      <c r="P512">
        <f t="shared" si="14"/>
        <v>456</v>
      </c>
      <c r="Q512">
        <f t="shared" si="15"/>
        <v>-207.03562289578699</v>
      </c>
    </row>
    <row r="513" spans="1:17" x14ac:dyDescent="0.4">
      <c r="A513" t="s">
        <v>1059</v>
      </c>
      <c r="B513" s="1">
        <v>45861.125</v>
      </c>
      <c r="C513" t="s">
        <v>65</v>
      </c>
      <c r="D513" t="s">
        <v>1060</v>
      </c>
      <c r="E513" t="s">
        <v>69</v>
      </c>
      <c r="F513" t="s">
        <v>70</v>
      </c>
      <c r="G513">
        <v>300</v>
      </c>
      <c r="H513">
        <v>0.15</v>
      </c>
      <c r="I513">
        <v>255</v>
      </c>
      <c r="J513">
        <v>7</v>
      </c>
      <c r="K513">
        <v>192.38879905648901</v>
      </c>
      <c r="L513">
        <v>1785</v>
      </c>
      <c r="M513">
        <v>1346.7215933954201</v>
      </c>
      <c r="N513">
        <v>438.27840660457599</v>
      </c>
      <c r="O513" t="s">
        <v>26</v>
      </c>
      <c r="P513">
        <f t="shared" si="14"/>
        <v>2100</v>
      </c>
      <c r="Q513">
        <f t="shared" si="15"/>
        <v>-438.27840660457991</v>
      </c>
    </row>
    <row r="514" spans="1:17" x14ac:dyDescent="0.4">
      <c r="A514" t="s">
        <v>1061</v>
      </c>
      <c r="B514" s="1">
        <v>45446.958333333336</v>
      </c>
      <c r="C514" t="s">
        <v>46</v>
      </c>
      <c r="D514" t="s">
        <v>1062</v>
      </c>
      <c r="E514" t="s">
        <v>146</v>
      </c>
      <c r="F514" t="s">
        <v>70</v>
      </c>
      <c r="G514">
        <v>152</v>
      </c>
      <c r="H514">
        <v>0.25</v>
      </c>
      <c r="I514">
        <v>114</v>
      </c>
      <c r="J514">
        <v>1</v>
      </c>
      <c r="K514">
        <v>64.918294565588695</v>
      </c>
      <c r="L514">
        <v>114</v>
      </c>
      <c r="M514">
        <v>64.918294565588695</v>
      </c>
      <c r="N514">
        <v>49.081705434411198</v>
      </c>
      <c r="O514" t="s">
        <v>32</v>
      </c>
      <c r="P514">
        <f t="shared" si="14"/>
        <v>152</v>
      </c>
      <c r="Q514">
        <f t="shared" si="15"/>
        <v>-49.081705434411305</v>
      </c>
    </row>
    <row r="515" spans="1:17" x14ac:dyDescent="0.4">
      <c r="A515" t="s">
        <v>1063</v>
      </c>
      <c r="B515" s="1">
        <v>45603.791666666664</v>
      </c>
      <c r="C515" t="s">
        <v>46</v>
      </c>
      <c r="D515" t="s">
        <v>1064</v>
      </c>
      <c r="E515" t="s">
        <v>37</v>
      </c>
      <c r="F515" t="s">
        <v>38</v>
      </c>
      <c r="G515">
        <v>204</v>
      </c>
      <c r="H515">
        <v>0.05</v>
      </c>
      <c r="I515">
        <v>193.79999999999899</v>
      </c>
      <c r="J515">
        <v>5</v>
      </c>
      <c r="K515">
        <v>137.39639313708599</v>
      </c>
      <c r="L515">
        <v>968.99999999999898</v>
      </c>
      <c r="M515">
        <v>686.98196568543096</v>
      </c>
      <c r="N515">
        <v>282.01803431456801</v>
      </c>
      <c r="O515" t="s">
        <v>51</v>
      </c>
      <c r="P515">
        <f t="shared" ref="P515:P578" si="16">G515 * J515</f>
        <v>1020</v>
      </c>
      <c r="Q515">
        <f t="shared" ref="Q515:Q578" si="17" xml:space="preserve"> M515 - L515</f>
        <v>-282.01803431456801</v>
      </c>
    </row>
    <row r="516" spans="1:17" x14ac:dyDescent="0.4">
      <c r="A516" t="s">
        <v>1065</v>
      </c>
      <c r="B516" s="1">
        <v>45314.458333333336</v>
      </c>
      <c r="C516" t="s">
        <v>65</v>
      </c>
      <c r="D516" t="s">
        <v>1066</v>
      </c>
      <c r="E516" t="s">
        <v>82</v>
      </c>
      <c r="F516" t="s">
        <v>25</v>
      </c>
      <c r="G516">
        <v>182</v>
      </c>
      <c r="H516">
        <v>0</v>
      </c>
      <c r="I516">
        <v>182</v>
      </c>
      <c r="J516">
        <v>4</v>
      </c>
      <c r="K516">
        <v>113.59649135337</v>
      </c>
      <c r="L516">
        <v>728</v>
      </c>
      <c r="M516">
        <v>454.38596541347999</v>
      </c>
      <c r="N516">
        <v>273.61403458651898</v>
      </c>
      <c r="O516" t="s">
        <v>105</v>
      </c>
      <c r="P516">
        <f t="shared" si="16"/>
        <v>728</v>
      </c>
      <c r="Q516">
        <f t="shared" si="17"/>
        <v>-273.61403458652001</v>
      </c>
    </row>
    <row r="517" spans="1:17" x14ac:dyDescent="0.4">
      <c r="A517" t="s">
        <v>1067</v>
      </c>
      <c r="B517" s="1">
        <v>45498.833333333336</v>
      </c>
      <c r="C517" t="s">
        <v>28</v>
      </c>
      <c r="D517" t="s">
        <v>1068</v>
      </c>
      <c r="E517" t="s">
        <v>30</v>
      </c>
      <c r="F517" t="s">
        <v>31</v>
      </c>
      <c r="G517">
        <v>184</v>
      </c>
      <c r="H517">
        <v>0</v>
      </c>
      <c r="I517">
        <v>184</v>
      </c>
      <c r="J517">
        <v>6</v>
      </c>
      <c r="K517">
        <v>123.482442156429</v>
      </c>
      <c r="L517">
        <v>1104</v>
      </c>
      <c r="M517">
        <v>740.89465293857404</v>
      </c>
      <c r="N517">
        <v>363.10534706142499</v>
      </c>
      <c r="O517" t="s">
        <v>32</v>
      </c>
      <c r="P517">
        <f t="shared" si="16"/>
        <v>1104</v>
      </c>
      <c r="Q517">
        <f t="shared" si="17"/>
        <v>-363.10534706142596</v>
      </c>
    </row>
    <row r="518" spans="1:17" x14ac:dyDescent="0.4">
      <c r="A518" t="s">
        <v>1069</v>
      </c>
      <c r="B518" s="1">
        <v>45493.458333333336</v>
      </c>
      <c r="C518" t="s">
        <v>43</v>
      </c>
      <c r="D518" t="s">
        <v>1070</v>
      </c>
      <c r="E518" t="s">
        <v>110</v>
      </c>
      <c r="F518" t="s">
        <v>19</v>
      </c>
      <c r="G518">
        <v>114</v>
      </c>
      <c r="H518">
        <v>0</v>
      </c>
      <c r="I518">
        <v>114</v>
      </c>
      <c r="J518">
        <v>4</v>
      </c>
      <c r="K518">
        <v>81.9802259840326</v>
      </c>
      <c r="L518">
        <v>456</v>
      </c>
      <c r="M518">
        <v>327.92090393613</v>
      </c>
      <c r="N518">
        <v>128.079096063869</v>
      </c>
      <c r="O518" t="s">
        <v>32</v>
      </c>
      <c r="P518">
        <f t="shared" si="16"/>
        <v>456</v>
      </c>
      <c r="Q518">
        <f t="shared" si="17"/>
        <v>-128.07909606387</v>
      </c>
    </row>
    <row r="519" spans="1:17" x14ac:dyDescent="0.4">
      <c r="A519" t="s">
        <v>1071</v>
      </c>
      <c r="B519" s="1">
        <v>45543.75</v>
      </c>
      <c r="C519" t="s">
        <v>43</v>
      </c>
      <c r="D519" t="s">
        <v>1072</v>
      </c>
      <c r="E519" t="s">
        <v>37</v>
      </c>
      <c r="F519" t="s">
        <v>38</v>
      </c>
      <c r="G519">
        <v>346</v>
      </c>
      <c r="H519">
        <v>0.2</v>
      </c>
      <c r="I519">
        <v>276.8</v>
      </c>
      <c r="J519">
        <v>2</v>
      </c>
      <c r="K519">
        <v>175.87591800763201</v>
      </c>
      <c r="L519">
        <v>553.6</v>
      </c>
      <c r="M519">
        <v>351.75183601526498</v>
      </c>
      <c r="N519">
        <v>201.84816398473399</v>
      </c>
      <c r="O519" t="s">
        <v>32</v>
      </c>
      <c r="P519">
        <f t="shared" si="16"/>
        <v>692</v>
      </c>
      <c r="Q519">
        <f t="shared" si="17"/>
        <v>-201.84816398473504</v>
      </c>
    </row>
    <row r="520" spans="1:17" x14ac:dyDescent="0.4">
      <c r="A520" t="s">
        <v>1073</v>
      </c>
      <c r="B520" s="1">
        <v>45910.208333333336</v>
      </c>
      <c r="C520" t="s">
        <v>43</v>
      </c>
      <c r="D520" t="s">
        <v>1074</v>
      </c>
      <c r="E520" t="s">
        <v>85</v>
      </c>
      <c r="F520" t="s">
        <v>70</v>
      </c>
      <c r="G520">
        <v>182</v>
      </c>
      <c r="H520">
        <v>0</v>
      </c>
      <c r="I520">
        <v>182</v>
      </c>
      <c r="J520">
        <v>2</v>
      </c>
      <c r="K520">
        <v>108.764642978193</v>
      </c>
      <c r="L520">
        <v>364</v>
      </c>
      <c r="M520">
        <v>217.52928595638599</v>
      </c>
      <c r="N520">
        <v>146.47071404361299</v>
      </c>
      <c r="O520" t="s">
        <v>51</v>
      </c>
      <c r="P520">
        <f t="shared" si="16"/>
        <v>364</v>
      </c>
      <c r="Q520">
        <f t="shared" si="17"/>
        <v>-146.47071404361401</v>
      </c>
    </row>
    <row r="521" spans="1:17" x14ac:dyDescent="0.4">
      <c r="A521" t="s">
        <v>1075</v>
      </c>
      <c r="B521" s="1">
        <v>45596.666666666664</v>
      </c>
      <c r="C521" t="s">
        <v>16</v>
      </c>
      <c r="D521" t="s">
        <v>1076</v>
      </c>
      <c r="E521" t="s">
        <v>48</v>
      </c>
      <c r="F521" t="s">
        <v>19</v>
      </c>
      <c r="G521">
        <v>105</v>
      </c>
      <c r="H521">
        <v>0</v>
      </c>
      <c r="I521">
        <v>105</v>
      </c>
      <c r="J521">
        <v>7</v>
      </c>
      <c r="K521">
        <v>49.5565896729507</v>
      </c>
      <c r="L521">
        <v>735</v>
      </c>
      <c r="M521">
        <v>346.89612771065498</v>
      </c>
      <c r="N521">
        <v>388.103872289344</v>
      </c>
      <c r="O521" t="s">
        <v>32</v>
      </c>
      <c r="P521">
        <f t="shared" si="16"/>
        <v>735</v>
      </c>
      <c r="Q521">
        <f t="shared" si="17"/>
        <v>-388.10387228934502</v>
      </c>
    </row>
    <row r="522" spans="1:17" x14ac:dyDescent="0.4">
      <c r="A522" t="s">
        <v>1077</v>
      </c>
      <c r="B522" s="1">
        <v>45513.666666666664</v>
      </c>
      <c r="C522" t="s">
        <v>28</v>
      </c>
      <c r="D522" t="s">
        <v>1078</v>
      </c>
      <c r="E522" t="s">
        <v>30</v>
      </c>
      <c r="F522" t="s">
        <v>31</v>
      </c>
      <c r="G522">
        <v>80</v>
      </c>
      <c r="H522">
        <v>0.1</v>
      </c>
      <c r="I522">
        <v>72</v>
      </c>
      <c r="J522">
        <v>3</v>
      </c>
      <c r="K522">
        <v>40.504581294302703</v>
      </c>
      <c r="L522">
        <v>216</v>
      </c>
      <c r="M522">
        <v>121.513743882908</v>
      </c>
      <c r="N522">
        <v>94.4862561170916</v>
      </c>
      <c r="O522" t="s">
        <v>32</v>
      </c>
      <c r="P522">
        <f t="shared" si="16"/>
        <v>240</v>
      </c>
      <c r="Q522">
        <f t="shared" si="17"/>
        <v>-94.486256117091997</v>
      </c>
    </row>
    <row r="523" spans="1:17" x14ac:dyDescent="0.4">
      <c r="A523" t="s">
        <v>1079</v>
      </c>
      <c r="B523" s="1">
        <v>45842.666666666664</v>
      </c>
      <c r="C523" t="s">
        <v>43</v>
      </c>
      <c r="D523" t="s">
        <v>1080</v>
      </c>
      <c r="E523" t="s">
        <v>37</v>
      </c>
      <c r="F523" t="s">
        <v>38</v>
      </c>
      <c r="G523">
        <v>162</v>
      </c>
      <c r="H523">
        <v>0.2</v>
      </c>
      <c r="I523">
        <v>129.6</v>
      </c>
      <c r="J523">
        <v>3</v>
      </c>
      <c r="K523">
        <v>72.189168560871394</v>
      </c>
      <c r="L523">
        <v>388.79999999999899</v>
      </c>
      <c r="M523">
        <v>216.56750568261401</v>
      </c>
      <c r="N523">
        <v>172.232494317385</v>
      </c>
      <c r="O523" t="s">
        <v>32</v>
      </c>
      <c r="P523">
        <f t="shared" si="16"/>
        <v>486</v>
      </c>
      <c r="Q523">
        <f t="shared" si="17"/>
        <v>-172.23249431738498</v>
      </c>
    </row>
    <row r="524" spans="1:17" x14ac:dyDescent="0.4">
      <c r="A524" t="s">
        <v>1081</v>
      </c>
      <c r="B524" s="1">
        <v>45407.791666666664</v>
      </c>
      <c r="C524" t="s">
        <v>16</v>
      </c>
      <c r="D524" t="s">
        <v>1082</v>
      </c>
      <c r="E524" t="s">
        <v>97</v>
      </c>
      <c r="F524" t="s">
        <v>61</v>
      </c>
      <c r="G524">
        <v>248</v>
      </c>
      <c r="H524">
        <v>0.05</v>
      </c>
      <c r="I524">
        <v>235.6</v>
      </c>
      <c r="J524">
        <v>2</v>
      </c>
      <c r="K524">
        <v>157.97438607028599</v>
      </c>
      <c r="L524">
        <v>471.2</v>
      </c>
      <c r="M524">
        <v>315.948772140573</v>
      </c>
      <c r="N524">
        <v>155.251227859426</v>
      </c>
      <c r="O524" t="s">
        <v>32</v>
      </c>
      <c r="P524">
        <f t="shared" si="16"/>
        <v>496</v>
      </c>
      <c r="Q524">
        <f t="shared" si="17"/>
        <v>-155.25122785942699</v>
      </c>
    </row>
    <row r="525" spans="1:17" x14ac:dyDescent="0.4">
      <c r="A525" t="s">
        <v>1083</v>
      </c>
      <c r="B525" s="1">
        <v>46013.166666666664</v>
      </c>
      <c r="C525" t="s">
        <v>65</v>
      </c>
      <c r="D525" t="s">
        <v>1084</v>
      </c>
      <c r="E525" t="s">
        <v>104</v>
      </c>
      <c r="F525" t="s">
        <v>25</v>
      </c>
      <c r="G525">
        <v>164</v>
      </c>
      <c r="H525">
        <v>0.1</v>
      </c>
      <c r="I525">
        <v>147.6</v>
      </c>
      <c r="J525">
        <v>4</v>
      </c>
      <c r="K525">
        <v>98.289142638966197</v>
      </c>
      <c r="L525">
        <v>590.4</v>
      </c>
      <c r="M525">
        <v>393.15657055586399</v>
      </c>
      <c r="N525">
        <v>197.24342944413499</v>
      </c>
      <c r="O525" t="s">
        <v>105</v>
      </c>
      <c r="P525">
        <f t="shared" si="16"/>
        <v>656</v>
      </c>
      <c r="Q525">
        <f t="shared" si="17"/>
        <v>-197.24342944413598</v>
      </c>
    </row>
    <row r="526" spans="1:17" x14ac:dyDescent="0.4">
      <c r="A526" t="s">
        <v>1085</v>
      </c>
      <c r="B526" s="1">
        <v>45357.875</v>
      </c>
      <c r="C526" t="s">
        <v>43</v>
      </c>
      <c r="D526" t="s">
        <v>1086</v>
      </c>
      <c r="E526" t="s">
        <v>60</v>
      </c>
      <c r="F526" t="s">
        <v>61</v>
      </c>
      <c r="G526">
        <v>323</v>
      </c>
      <c r="H526">
        <v>0</v>
      </c>
      <c r="I526">
        <v>323</v>
      </c>
      <c r="J526">
        <v>6</v>
      </c>
      <c r="K526">
        <v>239.983963323853</v>
      </c>
      <c r="L526">
        <v>1938</v>
      </c>
      <c r="M526">
        <v>1439.9037799431201</v>
      </c>
      <c r="N526">
        <v>498.09622005687902</v>
      </c>
      <c r="O526" t="s">
        <v>32</v>
      </c>
      <c r="P526">
        <f t="shared" si="16"/>
        <v>1938</v>
      </c>
      <c r="Q526">
        <f t="shared" si="17"/>
        <v>-498.09622005687993</v>
      </c>
    </row>
    <row r="527" spans="1:17" x14ac:dyDescent="0.4">
      <c r="A527" t="s">
        <v>1087</v>
      </c>
      <c r="B527" s="1">
        <v>45820.208333333336</v>
      </c>
      <c r="C527" t="s">
        <v>16</v>
      </c>
      <c r="D527" t="s">
        <v>1088</v>
      </c>
      <c r="E527" t="s">
        <v>37</v>
      </c>
      <c r="F527" t="s">
        <v>38</v>
      </c>
      <c r="G527">
        <v>322</v>
      </c>
      <c r="H527">
        <v>0</v>
      </c>
      <c r="I527">
        <v>322</v>
      </c>
      <c r="J527">
        <v>3</v>
      </c>
      <c r="K527">
        <v>231.37910319110699</v>
      </c>
      <c r="L527">
        <v>966</v>
      </c>
      <c r="M527">
        <v>694.13730957332098</v>
      </c>
      <c r="N527">
        <v>271.862690426678</v>
      </c>
      <c r="O527" t="s">
        <v>32</v>
      </c>
      <c r="P527">
        <f t="shared" si="16"/>
        <v>966</v>
      </c>
      <c r="Q527">
        <f t="shared" si="17"/>
        <v>-271.86269042667902</v>
      </c>
    </row>
    <row r="528" spans="1:17" x14ac:dyDescent="0.4">
      <c r="A528" t="s">
        <v>1089</v>
      </c>
      <c r="B528" s="1">
        <v>45530.041666666664</v>
      </c>
      <c r="C528" t="s">
        <v>22</v>
      </c>
      <c r="D528" t="s">
        <v>1090</v>
      </c>
      <c r="E528" t="s">
        <v>110</v>
      </c>
      <c r="F528" t="s">
        <v>19</v>
      </c>
      <c r="G528">
        <v>185</v>
      </c>
      <c r="H528">
        <v>0.1</v>
      </c>
      <c r="I528">
        <v>166.5</v>
      </c>
      <c r="J528">
        <v>3</v>
      </c>
      <c r="K528">
        <v>85.317088195651905</v>
      </c>
      <c r="L528">
        <v>499.5</v>
      </c>
      <c r="M528">
        <v>255.95126458695501</v>
      </c>
      <c r="N528">
        <v>243.548735413044</v>
      </c>
      <c r="O528" t="s">
        <v>20</v>
      </c>
      <c r="P528">
        <f t="shared" si="16"/>
        <v>555</v>
      </c>
      <c r="Q528">
        <f t="shared" si="17"/>
        <v>-243.54873541304499</v>
      </c>
    </row>
    <row r="529" spans="1:17" x14ac:dyDescent="0.4">
      <c r="A529" t="s">
        <v>1091</v>
      </c>
      <c r="B529" s="1">
        <v>45985.291666666664</v>
      </c>
      <c r="C529" t="s">
        <v>28</v>
      </c>
      <c r="D529" t="s">
        <v>1092</v>
      </c>
      <c r="E529" t="s">
        <v>18</v>
      </c>
      <c r="F529" t="s">
        <v>19</v>
      </c>
      <c r="G529">
        <v>88</v>
      </c>
      <c r="H529">
        <v>0.05</v>
      </c>
      <c r="I529">
        <v>83.6</v>
      </c>
      <c r="J529">
        <v>5</v>
      </c>
      <c r="K529">
        <v>54.7019031867897</v>
      </c>
      <c r="L529">
        <v>418</v>
      </c>
      <c r="M529">
        <v>273.50951593394802</v>
      </c>
      <c r="N529">
        <v>144.49048406605101</v>
      </c>
      <c r="O529" t="s">
        <v>32</v>
      </c>
      <c r="P529">
        <f t="shared" si="16"/>
        <v>440</v>
      </c>
      <c r="Q529">
        <f t="shared" si="17"/>
        <v>-144.49048406605198</v>
      </c>
    </row>
    <row r="530" spans="1:17" x14ac:dyDescent="0.4">
      <c r="A530" t="s">
        <v>1093</v>
      </c>
      <c r="B530" s="1">
        <v>45492.166666666664</v>
      </c>
      <c r="C530" t="s">
        <v>43</v>
      </c>
      <c r="D530" t="s">
        <v>1094</v>
      </c>
      <c r="E530" t="s">
        <v>41</v>
      </c>
      <c r="F530" t="s">
        <v>31</v>
      </c>
      <c r="G530">
        <v>321</v>
      </c>
      <c r="H530">
        <v>0</v>
      </c>
      <c r="I530">
        <v>321</v>
      </c>
      <c r="J530">
        <v>4</v>
      </c>
      <c r="K530">
        <v>229.30675307553801</v>
      </c>
      <c r="L530">
        <v>1284</v>
      </c>
      <c r="M530">
        <v>917.22701230215296</v>
      </c>
      <c r="N530">
        <v>366.77298769784602</v>
      </c>
      <c r="O530" t="s">
        <v>105</v>
      </c>
      <c r="P530">
        <f t="shared" si="16"/>
        <v>1284</v>
      </c>
      <c r="Q530">
        <f t="shared" si="17"/>
        <v>-366.77298769784704</v>
      </c>
    </row>
    <row r="531" spans="1:17" x14ac:dyDescent="0.4">
      <c r="A531" t="s">
        <v>1095</v>
      </c>
      <c r="B531" s="1">
        <v>45714.333333333336</v>
      </c>
      <c r="C531" t="s">
        <v>16</v>
      </c>
      <c r="D531" t="s">
        <v>1096</v>
      </c>
      <c r="E531" t="s">
        <v>85</v>
      </c>
      <c r="F531" t="s">
        <v>70</v>
      </c>
      <c r="G531">
        <v>181</v>
      </c>
      <c r="H531">
        <v>0</v>
      </c>
      <c r="I531">
        <v>181</v>
      </c>
      <c r="J531">
        <v>2</v>
      </c>
      <c r="K531">
        <v>130.213528453045</v>
      </c>
      <c r="L531">
        <v>362</v>
      </c>
      <c r="M531">
        <v>260.42705690609</v>
      </c>
      <c r="N531">
        <v>101.572943093909</v>
      </c>
      <c r="O531" t="s">
        <v>32</v>
      </c>
      <c r="P531">
        <f t="shared" si="16"/>
        <v>362</v>
      </c>
      <c r="Q531">
        <f t="shared" si="17"/>
        <v>-101.57294309391</v>
      </c>
    </row>
    <row r="532" spans="1:17" x14ac:dyDescent="0.4">
      <c r="A532" t="s">
        <v>1097</v>
      </c>
      <c r="B532" s="1">
        <v>45292.375</v>
      </c>
      <c r="C532" t="s">
        <v>22</v>
      </c>
      <c r="D532" t="s">
        <v>1098</v>
      </c>
      <c r="E532" t="s">
        <v>37</v>
      </c>
      <c r="F532" t="s">
        <v>38</v>
      </c>
      <c r="G532">
        <v>275</v>
      </c>
      <c r="H532">
        <v>0.1</v>
      </c>
      <c r="I532">
        <v>247.5</v>
      </c>
      <c r="J532">
        <v>1</v>
      </c>
      <c r="K532">
        <v>202.92443108030901</v>
      </c>
      <c r="L532">
        <v>247.5</v>
      </c>
      <c r="M532">
        <v>202.92443108030901</v>
      </c>
      <c r="N532">
        <v>44.575568919690198</v>
      </c>
      <c r="O532" t="s">
        <v>26</v>
      </c>
      <c r="P532">
        <f t="shared" si="16"/>
        <v>275</v>
      </c>
      <c r="Q532">
        <f t="shared" si="17"/>
        <v>-44.575568919690994</v>
      </c>
    </row>
    <row r="533" spans="1:17" x14ac:dyDescent="0.4">
      <c r="A533" t="s">
        <v>1099</v>
      </c>
      <c r="B533" s="1">
        <v>45505.5</v>
      </c>
      <c r="C533" t="s">
        <v>65</v>
      </c>
      <c r="D533" t="s">
        <v>1100</v>
      </c>
      <c r="E533" t="s">
        <v>60</v>
      </c>
      <c r="F533" t="s">
        <v>61</v>
      </c>
      <c r="G533">
        <v>148</v>
      </c>
      <c r="H533">
        <v>0</v>
      </c>
      <c r="I533">
        <v>148</v>
      </c>
      <c r="J533">
        <v>1</v>
      </c>
      <c r="K533">
        <v>62.399291609832297</v>
      </c>
      <c r="L533">
        <v>148</v>
      </c>
      <c r="M533">
        <v>62.399291609832297</v>
      </c>
      <c r="N533">
        <v>85.600708390167597</v>
      </c>
      <c r="O533" t="s">
        <v>26</v>
      </c>
      <c r="P533">
        <f t="shared" si="16"/>
        <v>148</v>
      </c>
      <c r="Q533">
        <f t="shared" si="17"/>
        <v>-85.600708390167711</v>
      </c>
    </row>
    <row r="534" spans="1:17" x14ac:dyDescent="0.4">
      <c r="A534" t="s">
        <v>1101</v>
      </c>
      <c r="B534" s="1">
        <v>45334.291666666664</v>
      </c>
      <c r="C534" t="s">
        <v>46</v>
      </c>
      <c r="D534" t="s">
        <v>1102</v>
      </c>
      <c r="E534" t="s">
        <v>146</v>
      </c>
      <c r="F534" t="s">
        <v>70</v>
      </c>
      <c r="G534">
        <v>210</v>
      </c>
      <c r="H534">
        <v>0</v>
      </c>
      <c r="I534">
        <v>210</v>
      </c>
      <c r="J534">
        <v>5</v>
      </c>
      <c r="K534">
        <v>90.497177085286694</v>
      </c>
      <c r="L534">
        <v>1050</v>
      </c>
      <c r="M534">
        <v>452.48588542643301</v>
      </c>
      <c r="N534">
        <v>597.51411457356596</v>
      </c>
      <c r="O534" t="s">
        <v>105</v>
      </c>
      <c r="P534">
        <f t="shared" si="16"/>
        <v>1050</v>
      </c>
      <c r="Q534">
        <f t="shared" si="17"/>
        <v>-597.51411457356699</v>
      </c>
    </row>
    <row r="535" spans="1:17" x14ac:dyDescent="0.4">
      <c r="A535" t="s">
        <v>1103</v>
      </c>
      <c r="B535" s="1">
        <v>45383.375</v>
      </c>
      <c r="C535" t="s">
        <v>65</v>
      </c>
      <c r="D535" t="s">
        <v>1104</v>
      </c>
      <c r="E535" t="s">
        <v>30</v>
      </c>
      <c r="F535" t="s">
        <v>31</v>
      </c>
      <c r="G535">
        <v>258</v>
      </c>
      <c r="H535">
        <v>0</v>
      </c>
      <c r="I535">
        <v>258</v>
      </c>
      <c r="J535">
        <v>4</v>
      </c>
      <c r="K535">
        <v>115.637389129569</v>
      </c>
      <c r="L535">
        <v>1032</v>
      </c>
      <c r="M535">
        <v>462.54955651827601</v>
      </c>
      <c r="N535">
        <v>569.45044348172303</v>
      </c>
      <c r="O535" t="s">
        <v>32</v>
      </c>
      <c r="P535">
        <f t="shared" si="16"/>
        <v>1032</v>
      </c>
      <c r="Q535">
        <f t="shared" si="17"/>
        <v>-569.45044348172405</v>
      </c>
    </row>
    <row r="536" spans="1:17" x14ac:dyDescent="0.4">
      <c r="A536" t="s">
        <v>1105</v>
      </c>
      <c r="B536" s="1">
        <v>45642.625</v>
      </c>
      <c r="C536" t="s">
        <v>22</v>
      </c>
      <c r="D536" t="s">
        <v>1106</v>
      </c>
      <c r="E536" t="s">
        <v>115</v>
      </c>
      <c r="F536" t="s">
        <v>38</v>
      </c>
      <c r="G536">
        <v>126</v>
      </c>
      <c r="H536">
        <v>0</v>
      </c>
      <c r="I536">
        <v>126</v>
      </c>
      <c r="J536">
        <v>2</v>
      </c>
      <c r="K536">
        <v>63.889961264832998</v>
      </c>
      <c r="L536">
        <v>252</v>
      </c>
      <c r="M536">
        <v>127.779922529666</v>
      </c>
      <c r="N536">
        <v>124.220077470333</v>
      </c>
      <c r="O536" t="s">
        <v>32</v>
      </c>
      <c r="P536">
        <f t="shared" si="16"/>
        <v>252</v>
      </c>
      <c r="Q536">
        <f t="shared" si="17"/>
        <v>-124.220077470334</v>
      </c>
    </row>
    <row r="537" spans="1:17" x14ac:dyDescent="0.4">
      <c r="A537" t="s">
        <v>1107</v>
      </c>
      <c r="B537" s="1">
        <v>45856.583333333336</v>
      </c>
      <c r="C537" t="s">
        <v>28</v>
      </c>
      <c r="D537" t="s">
        <v>1108</v>
      </c>
      <c r="E537" t="s">
        <v>69</v>
      </c>
      <c r="F537" t="s">
        <v>70</v>
      </c>
      <c r="G537">
        <v>241</v>
      </c>
      <c r="H537">
        <v>0.15</v>
      </c>
      <c r="I537">
        <v>204.85</v>
      </c>
      <c r="J537">
        <v>7</v>
      </c>
      <c r="K537">
        <v>107.180929071798</v>
      </c>
      <c r="L537">
        <v>1433.95</v>
      </c>
      <c r="M537">
        <v>750.26650350258797</v>
      </c>
      <c r="N537">
        <v>683.68349649741197</v>
      </c>
      <c r="O537" t="s">
        <v>32</v>
      </c>
      <c r="P537">
        <f t="shared" si="16"/>
        <v>1687</v>
      </c>
      <c r="Q537">
        <f t="shared" si="17"/>
        <v>-683.68349649741208</v>
      </c>
    </row>
    <row r="538" spans="1:17" x14ac:dyDescent="0.4">
      <c r="A538" t="s">
        <v>1109</v>
      </c>
      <c r="B538" s="1">
        <v>45896.666666666664</v>
      </c>
      <c r="C538" t="s">
        <v>46</v>
      </c>
      <c r="D538" t="s">
        <v>1110</v>
      </c>
      <c r="E538" t="s">
        <v>37</v>
      </c>
      <c r="F538" t="s">
        <v>38</v>
      </c>
      <c r="G538">
        <v>205</v>
      </c>
      <c r="H538">
        <v>0.25</v>
      </c>
      <c r="I538">
        <v>153.75</v>
      </c>
      <c r="J538">
        <v>6</v>
      </c>
      <c r="K538">
        <v>139.14103434796399</v>
      </c>
      <c r="L538">
        <v>922.5</v>
      </c>
      <c r="M538">
        <v>834.84620608778403</v>
      </c>
      <c r="N538">
        <v>87.653793912215093</v>
      </c>
      <c r="O538" t="s">
        <v>51</v>
      </c>
      <c r="P538">
        <f t="shared" si="16"/>
        <v>1230</v>
      </c>
      <c r="Q538">
        <f t="shared" si="17"/>
        <v>-87.653793912215974</v>
      </c>
    </row>
    <row r="539" spans="1:17" x14ac:dyDescent="0.4">
      <c r="A539" t="s">
        <v>1111</v>
      </c>
      <c r="B539" s="1">
        <v>45465.25</v>
      </c>
      <c r="C539" t="s">
        <v>16</v>
      </c>
      <c r="D539" t="s">
        <v>1112</v>
      </c>
      <c r="E539" t="s">
        <v>18</v>
      </c>
      <c r="F539" t="s">
        <v>19</v>
      </c>
      <c r="G539">
        <v>90</v>
      </c>
      <c r="H539">
        <v>0.15</v>
      </c>
      <c r="I539">
        <v>76.5</v>
      </c>
      <c r="J539">
        <v>2</v>
      </c>
      <c r="K539">
        <v>40.864096362485199</v>
      </c>
      <c r="L539">
        <v>153</v>
      </c>
      <c r="M539">
        <v>81.728192724970398</v>
      </c>
      <c r="N539">
        <v>71.271807275029502</v>
      </c>
      <c r="O539" t="s">
        <v>32</v>
      </c>
      <c r="P539">
        <f t="shared" si="16"/>
        <v>180</v>
      </c>
      <c r="Q539">
        <f t="shared" si="17"/>
        <v>-71.271807275029602</v>
      </c>
    </row>
    <row r="540" spans="1:17" x14ac:dyDescent="0.4">
      <c r="A540" t="s">
        <v>1113</v>
      </c>
      <c r="B540" s="1">
        <v>45582.416666666664</v>
      </c>
      <c r="C540" t="s">
        <v>16</v>
      </c>
      <c r="D540" t="s">
        <v>1114</v>
      </c>
      <c r="E540" t="s">
        <v>82</v>
      </c>
      <c r="F540" t="s">
        <v>25</v>
      </c>
      <c r="G540">
        <v>266</v>
      </c>
      <c r="H540">
        <v>0.1</v>
      </c>
      <c r="I540">
        <v>239.4</v>
      </c>
      <c r="J540">
        <v>3</v>
      </c>
      <c r="K540">
        <v>174.924895779666</v>
      </c>
      <c r="L540">
        <v>718.2</v>
      </c>
      <c r="M540">
        <v>524.77468733900002</v>
      </c>
      <c r="N540">
        <v>193.42531266099999</v>
      </c>
      <c r="O540" t="s">
        <v>26</v>
      </c>
      <c r="P540">
        <f t="shared" si="16"/>
        <v>798</v>
      </c>
      <c r="Q540">
        <f t="shared" si="17"/>
        <v>-193.42531266100002</v>
      </c>
    </row>
    <row r="541" spans="1:17" x14ac:dyDescent="0.4">
      <c r="A541" t="s">
        <v>1115</v>
      </c>
      <c r="B541" s="1">
        <v>45581.083333333336</v>
      </c>
      <c r="C541" t="s">
        <v>43</v>
      </c>
      <c r="D541" t="s">
        <v>1116</v>
      </c>
      <c r="E541" t="s">
        <v>115</v>
      </c>
      <c r="F541" t="s">
        <v>38</v>
      </c>
      <c r="G541">
        <v>194</v>
      </c>
      <c r="H541">
        <v>0.25</v>
      </c>
      <c r="I541">
        <v>145.5</v>
      </c>
      <c r="J541">
        <v>1</v>
      </c>
      <c r="K541">
        <v>122.708642992525</v>
      </c>
      <c r="L541">
        <v>145.5</v>
      </c>
      <c r="M541">
        <v>122.708642992525</v>
      </c>
      <c r="N541">
        <v>22.791357007474101</v>
      </c>
      <c r="O541" t="s">
        <v>32</v>
      </c>
      <c r="P541">
        <f t="shared" si="16"/>
        <v>194</v>
      </c>
      <c r="Q541">
        <f t="shared" si="17"/>
        <v>-22.791357007475</v>
      </c>
    </row>
    <row r="542" spans="1:17" x14ac:dyDescent="0.4">
      <c r="A542" t="s">
        <v>1117</v>
      </c>
      <c r="B542" s="1">
        <v>45865.833333333336</v>
      </c>
      <c r="C542" t="s">
        <v>46</v>
      </c>
      <c r="D542" t="s">
        <v>1118</v>
      </c>
      <c r="E542" t="s">
        <v>115</v>
      </c>
      <c r="F542" t="s">
        <v>38</v>
      </c>
      <c r="G542">
        <v>119</v>
      </c>
      <c r="H542">
        <v>0.15</v>
      </c>
      <c r="I542">
        <v>101.149999999999</v>
      </c>
      <c r="J542">
        <v>3</v>
      </c>
      <c r="K542">
        <v>66.567197803576704</v>
      </c>
      <c r="L542">
        <v>303.45</v>
      </c>
      <c r="M542">
        <v>199.70159341073</v>
      </c>
      <c r="N542">
        <v>103.748406589269</v>
      </c>
      <c r="O542" t="s">
        <v>20</v>
      </c>
      <c r="P542">
        <f t="shared" si="16"/>
        <v>357</v>
      </c>
      <c r="Q542">
        <f t="shared" si="17"/>
        <v>-103.74840658926999</v>
      </c>
    </row>
    <row r="543" spans="1:17" x14ac:dyDescent="0.4">
      <c r="A543" t="s">
        <v>1119</v>
      </c>
      <c r="B543" s="1">
        <v>45723</v>
      </c>
      <c r="C543" t="s">
        <v>46</v>
      </c>
      <c r="D543" t="s">
        <v>1120</v>
      </c>
      <c r="E543" t="s">
        <v>73</v>
      </c>
      <c r="F543" t="s">
        <v>38</v>
      </c>
      <c r="G543">
        <v>308</v>
      </c>
      <c r="H543">
        <v>0.15</v>
      </c>
      <c r="I543">
        <v>261.8</v>
      </c>
      <c r="J543">
        <v>7</v>
      </c>
      <c r="K543">
        <v>229.08720336896701</v>
      </c>
      <c r="L543">
        <v>1832.6</v>
      </c>
      <c r="M543">
        <v>1603.6104235827599</v>
      </c>
      <c r="N543">
        <v>228.98957641723001</v>
      </c>
      <c r="O543" t="s">
        <v>32</v>
      </c>
      <c r="P543">
        <f t="shared" si="16"/>
        <v>2156</v>
      </c>
      <c r="Q543">
        <f t="shared" si="17"/>
        <v>-228.98957641723996</v>
      </c>
    </row>
    <row r="544" spans="1:17" x14ac:dyDescent="0.4">
      <c r="A544" t="s">
        <v>1121</v>
      </c>
      <c r="B544" s="1">
        <v>45594.75</v>
      </c>
      <c r="C544" t="s">
        <v>28</v>
      </c>
      <c r="D544" t="s">
        <v>1122</v>
      </c>
      <c r="E544" t="s">
        <v>60</v>
      </c>
      <c r="F544" t="s">
        <v>61</v>
      </c>
      <c r="G544">
        <v>299</v>
      </c>
      <c r="H544">
        <v>0</v>
      </c>
      <c r="I544">
        <v>299</v>
      </c>
      <c r="J544">
        <v>1</v>
      </c>
      <c r="K544">
        <v>163.09544738935099</v>
      </c>
      <c r="L544">
        <v>299</v>
      </c>
      <c r="M544">
        <v>163.09544738935099</v>
      </c>
      <c r="N544">
        <v>135.90455261064801</v>
      </c>
      <c r="O544" t="s">
        <v>32</v>
      </c>
      <c r="P544">
        <f t="shared" si="16"/>
        <v>299</v>
      </c>
      <c r="Q544">
        <f t="shared" si="17"/>
        <v>-135.90455261064901</v>
      </c>
    </row>
    <row r="545" spans="1:17" x14ac:dyDescent="0.4">
      <c r="A545" t="s">
        <v>1123</v>
      </c>
      <c r="B545" s="1">
        <v>45654.583333333336</v>
      </c>
      <c r="C545" t="s">
        <v>22</v>
      </c>
      <c r="D545" t="s">
        <v>1124</v>
      </c>
      <c r="E545" t="s">
        <v>48</v>
      </c>
      <c r="F545" t="s">
        <v>19</v>
      </c>
      <c r="G545">
        <v>314</v>
      </c>
      <c r="H545">
        <v>0.15</v>
      </c>
      <c r="I545">
        <v>266.89999999999998</v>
      </c>
      <c r="J545">
        <v>5</v>
      </c>
      <c r="K545">
        <v>194.48560904412599</v>
      </c>
      <c r="L545">
        <v>1334.5</v>
      </c>
      <c r="M545">
        <v>972.42804522063102</v>
      </c>
      <c r="N545">
        <v>362.07195477936801</v>
      </c>
      <c r="O545" t="s">
        <v>26</v>
      </c>
      <c r="P545">
        <f t="shared" si="16"/>
        <v>1570</v>
      </c>
      <c r="Q545">
        <f t="shared" si="17"/>
        <v>-362.07195477936898</v>
      </c>
    </row>
    <row r="546" spans="1:17" x14ac:dyDescent="0.4">
      <c r="A546" t="s">
        <v>1125</v>
      </c>
      <c r="B546" s="1">
        <v>45308</v>
      </c>
      <c r="C546" t="s">
        <v>46</v>
      </c>
      <c r="D546" t="s">
        <v>1126</v>
      </c>
      <c r="E546" t="s">
        <v>48</v>
      </c>
      <c r="F546" t="s">
        <v>19</v>
      </c>
      <c r="G546">
        <v>213</v>
      </c>
      <c r="H546">
        <v>0.2</v>
      </c>
      <c r="I546">
        <v>170.4</v>
      </c>
      <c r="J546">
        <v>6</v>
      </c>
      <c r="K546">
        <v>85.255741659023101</v>
      </c>
      <c r="L546">
        <v>1022.4</v>
      </c>
      <c r="M546">
        <v>511.53444995413798</v>
      </c>
      <c r="N546">
        <v>510.86555004586103</v>
      </c>
      <c r="O546" t="s">
        <v>32</v>
      </c>
      <c r="P546">
        <f t="shared" si="16"/>
        <v>1278</v>
      </c>
      <c r="Q546">
        <f t="shared" si="17"/>
        <v>-510.86555004586199</v>
      </c>
    </row>
    <row r="547" spans="1:17" x14ac:dyDescent="0.4">
      <c r="A547" t="s">
        <v>1127</v>
      </c>
      <c r="B547" s="1">
        <v>45308.833333333336</v>
      </c>
      <c r="C547" t="s">
        <v>46</v>
      </c>
      <c r="D547" t="s">
        <v>1128</v>
      </c>
      <c r="E547" t="s">
        <v>110</v>
      </c>
      <c r="F547" t="s">
        <v>19</v>
      </c>
      <c r="G547">
        <v>265</v>
      </c>
      <c r="H547">
        <v>0</v>
      </c>
      <c r="I547">
        <v>265</v>
      </c>
      <c r="J547">
        <v>6</v>
      </c>
      <c r="K547">
        <v>148.961747717652</v>
      </c>
      <c r="L547">
        <v>1590</v>
      </c>
      <c r="M547">
        <v>893.77048630591401</v>
      </c>
      <c r="N547">
        <v>696.22951369408497</v>
      </c>
      <c r="O547" t="s">
        <v>26</v>
      </c>
      <c r="P547">
        <f t="shared" si="16"/>
        <v>1590</v>
      </c>
      <c r="Q547">
        <f t="shared" si="17"/>
        <v>-696.22951369408599</v>
      </c>
    </row>
    <row r="548" spans="1:17" x14ac:dyDescent="0.4">
      <c r="A548" t="s">
        <v>1129</v>
      </c>
      <c r="B548" s="1">
        <v>45632.625</v>
      </c>
      <c r="C548" t="s">
        <v>22</v>
      </c>
      <c r="D548" t="s">
        <v>1130</v>
      </c>
      <c r="E548" t="s">
        <v>24</v>
      </c>
      <c r="F548" t="s">
        <v>25</v>
      </c>
      <c r="G548">
        <v>230</v>
      </c>
      <c r="H548">
        <v>0.1</v>
      </c>
      <c r="I548">
        <v>207</v>
      </c>
      <c r="J548">
        <v>2</v>
      </c>
      <c r="K548">
        <v>166.85981532296299</v>
      </c>
      <c r="L548">
        <v>414</v>
      </c>
      <c r="M548">
        <v>333.719630645927</v>
      </c>
      <c r="N548">
        <v>80.280369354072207</v>
      </c>
      <c r="O548" t="s">
        <v>32</v>
      </c>
      <c r="P548">
        <f t="shared" si="16"/>
        <v>460</v>
      </c>
      <c r="Q548">
        <f t="shared" si="17"/>
        <v>-80.280369354073002</v>
      </c>
    </row>
    <row r="549" spans="1:17" x14ac:dyDescent="0.4">
      <c r="A549" t="s">
        <v>1131</v>
      </c>
      <c r="B549" s="1">
        <v>45923.583333333336</v>
      </c>
      <c r="C549" t="s">
        <v>46</v>
      </c>
      <c r="D549" t="s">
        <v>1132</v>
      </c>
      <c r="E549" t="s">
        <v>110</v>
      </c>
      <c r="F549" t="s">
        <v>19</v>
      </c>
      <c r="G549">
        <v>88</v>
      </c>
      <c r="H549">
        <v>0</v>
      </c>
      <c r="I549">
        <v>88</v>
      </c>
      <c r="J549">
        <v>2</v>
      </c>
      <c r="K549">
        <v>61.476347694835198</v>
      </c>
      <c r="L549">
        <v>176</v>
      </c>
      <c r="M549">
        <v>122.95269538967</v>
      </c>
      <c r="N549">
        <v>53.047304610329398</v>
      </c>
      <c r="O549" t="s">
        <v>51</v>
      </c>
      <c r="P549">
        <f t="shared" si="16"/>
        <v>176</v>
      </c>
      <c r="Q549">
        <f t="shared" si="17"/>
        <v>-53.047304610330002</v>
      </c>
    </row>
    <row r="550" spans="1:17" x14ac:dyDescent="0.4">
      <c r="A550" t="s">
        <v>1133</v>
      </c>
      <c r="B550" s="1">
        <v>45823.791666666664</v>
      </c>
      <c r="C550" t="s">
        <v>65</v>
      </c>
      <c r="D550" t="s">
        <v>1134</v>
      </c>
      <c r="E550" t="s">
        <v>37</v>
      </c>
      <c r="F550" t="s">
        <v>38</v>
      </c>
      <c r="G550">
        <v>210</v>
      </c>
      <c r="H550">
        <v>0</v>
      </c>
      <c r="I550">
        <v>210</v>
      </c>
      <c r="J550">
        <v>3</v>
      </c>
      <c r="K550">
        <v>132.98093689507601</v>
      </c>
      <c r="L550">
        <v>630</v>
      </c>
      <c r="M550">
        <v>398.94281068522901</v>
      </c>
      <c r="N550">
        <v>231.05718931477</v>
      </c>
      <c r="O550" t="s">
        <v>32</v>
      </c>
      <c r="P550">
        <f t="shared" si="16"/>
        <v>630</v>
      </c>
      <c r="Q550">
        <f t="shared" si="17"/>
        <v>-231.05718931477099</v>
      </c>
    </row>
    <row r="551" spans="1:17" x14ac:dyDescent="0.4">
      <c r="A551" t="s">
        <v>1135</v>
      </c>
      <c r="B551" s="1">
        <v>45702.833333333336</v>
      </c>
      <c r="C551" t="s">
        <v>22</v>
      </c>
      <c r="D551" t="s">
        <v>1136</v>
      </c>
      <c r="E551" t="s">
        <v>48</v>
      </c>
      <c r="F551" t="s">
        <v>19</v>
      </c>
      <c r="G551">
        <v>212</v>
      </c>
      <c r="H551">
        <v>0</v>
      </c>
      <c r="I551">
        <v>212</v>
      </c>
      <c r="J551">
        <v>1</v>
      </c>
      <c r="K551">
        <v>138.043054592521</v>
      </c>
      <c r="L551">
        <v>212</v>
      </c>
      <c r="M551">
        <v>138.043054592521</v>
      </c>
      <c r="N551">
        <v>73.956945407478599</v>
      </c>
      <c r="O551" t="s">
        <v>26</v>
      </c>
      <c r="P551">
        <f t="shared" si="16"/>
        <v>212</v>
      </c>
      <c r="Q551">
        <f t="shared" si="17"/>
        <v>-73.956945407478997</v>
      </c>
    </row>
    <row r="552" spans="1:17" x14ac:dyDescent="0.4">
      <c r="A552" t="s">
        <v>1137</v>
      </c>
      <c r="B552" s="1">
        <v>45541.541666666664</v>
      </c>
      <c r="C552" t="s">
        <v>43</v>
      </c>
      <c r="D552" t="s">
        <v>1138</v>
      </c>
      <c r="E552" t="s">
        <v>146</v>
      </c>
      <c r="F552" t="s">
        <v>70</v>
      </c>
      <c r="G552">
        <v>209</v>
      </c>
      <c r="H552">
        <v>0</v>
      </c>
      <c r="I552">
        <v>209</v>
      </c>
      <c r="J552">
        <v>3</v>
      </c>
      <c r="K552">
        <v>122.611506713856</v>
      </c>
      <c r="L552">
        <v>627</v>
      </c>
      <c r="M552">
        <v>367.83452014157001</v>
      </c>
      <c r="N552">
        <v>259.16547985842902</v>
      </c>
      <c r="O552" t="s">
        <v>51</v>
      </c>
      <c r="P552">
        <f t="shared" si="16"/>
        <v>627</v>
      </c>
      <c r="Q552">
        <f t="shared" si="17"/>
        <v>-259.16547985842999</v>
      </c>
    </row>
    <row r="553" spans="1:17" x14ac:dyDescent="0.4">
      <c r="A553" t="s">
        <v>1139</v>
      </c>
      <c r="B553" s="1">
        <v>45921.416666666664</v>
      </c>
      <c r="C553" t="s">
        <v>46</v>
      </c>
      <c r="D553" t="s">
        <v>1140</v>
      </c>
      <c r="E553" t="s">
        <v>37</v>
      </c>
      <c r="F553" t="s">
        <v>38</v>
      </c>
      <c r="G553">
        <v>222</v>
      </c>
      <c r="H553">
        <v>0.1</v>
      </c>
      <c r="I553">
        <v>199.8</v>
      </c>
      <c r="J553">
        <v>2</v>
      </c>
      <c r="K553">
        <v>160.67751603593601</v>
      </c>
      <c r="L553">
        <v>399.6</v>
      </c>
      <c r="M553">
        <v>321.35503207187202</v>
      </c>
      <c r="N553">
        <v>78.244967928127593</v>
      </c>
      <c r="O553" t="s">
        <v>20</v>
      </c>
      <c r="P553">
        <f t="shared" si="16"/>
        <v>444</v>
      </c>
      <c r="Q553">
        <f t="shared" si="17"/>
        <v>-78.244967928128005</v>
      </c>
    </row>
    <row r="554" spans="1:17" x14ac:dyDescent="0.4">
      <c r="A554" t="s">
        <v>1141</v>
      </c>
      <c r="B554" s="1">
        <v>45443.5</v>
      </c>
      <c r="C554" t="s">
        <v>46</v>
      </c>
      <c r="D554" t="s">
        <v>1142</v>
      </c>
      <c r="E554" t="s">
        <v>37</v>
      </c>
      <c r="F554" t="s">
        <v>38</v>
      </c>
      <c r="G554">
        <v>231</v>
      </c>
      <c r="H554">
        <v>0</v>
      </c>
      <c r="I554">
        <v>231</v>
      </c>
      <c r="J554">
        <v>6</v>
      </c>
      <c r="K554">
        <v>161.78053208840501</v>
      </c>
      <c r="L554">
        <v>1386</v>
      </c>
      <c r="M554">
        <v>970.68319253043001</v>
      </c>
      <c r="N554">
        <v>415.31680746956999</v>
      </c>
      <c r="O554" t="s">
        <v>32</v>
      </c>
      <c r="P554">
        <f t="shared" si="16"/>
        <v>1386</v>
      </c>
      <c r="Q554">
        <f t="shared" si="17"/>
        <v>-415.31680746956999</v>
      </c>
    </row>
    <row r="555" spans="1:17" x14ac:dyDescent="0.4">
      <c r="A555" t="s">
        <v>1143</v>
      </c>
      <c r="B555" s="1">
        <v>45746.833333333336</v>
      </c>
      <c r="C555" t="s">
        <v>46</v>
      </c>
      <c r="D555" t="s">
        <v>1144</v>
      </c>
      <c r="E555" t="s">
        <v>73</v>
      </c>
      <c r="F555" t="s">
        <v>38</v>
      </c>
      <c r="G555">
        <v>166</v>
      </c>
      <c r="H555">
        <v>0</v>
      </c>
      <c r="I555">
        <v>166</v>
      </c>
      <c r="J555">
        <v>1</v>
      </c>
      <c r="K555">
        <v>89.660720019394105</v>
      </c>
      <c r="L555">
        <v>166</v>
      </c>
      <c r="M555">
        <v>89.660720019394105</v>
      </c>
      <c r="N555">
        <v>76.339279980605795</v>
      </c>
      <c r="O555" t="s">
        <v>32</v>
      </c>
      <c r="P555">
        <f t="shared" si="16"/>
        <v>166</v>
      </c>
      <c r="Q555">
        <f t="shared" si="17"/>
        <v>-76.339279980605895</v>
      </c>
    </row>
    <row r="556" spans="1:17" x14ac:dyDescent="0.4">
      <c r="A556" t="s">
        <v>1145</v>
      </c>
      <c r="B556" s="1">
        <v>45492.375</v>
      </c>
      <c r="C556" t="s">
        <v>16</v>
      </c>
      <c r="D556" t="s">
        <v>1146</v>
      </c>
      <c r="E556" t="s">
        <v>30</v>
      </c>
      <c r="F556" t="s">
        <v>31</v>
      </c>
      <c r="G556">
        <v>96</v>
      </c>
      <c r="H556">
        <v>0</v>
      </c>
      <c r="I556">
        <v>96</v>
      </c>
      <c r="J556">
        <v>2</v>
      </c>
      <c r="K556">
        <v>69.866175932023594</v>
      </c>
      <c r="L556">
        <v>192</v>
      </c>
      <c r="M556">
        <v>139.73235186404699</v>
      </c>
      <c r="N556">
        <v>52.267648135952797</v>
      </c>
      <c r="O556" t="s">
        <v>20</v>
      </c>
      <c r="P556">
        <f t="shared" si="16"/>
        <v>192</v>
      </c>
      <c r="Q556">
        <f t="shared" si="17"/>
        <v>-52.26764813595301</v>
      </c>
    </row>
    <row r="557" spans="1:17" x14ac:dyDescent="0.4">
      <c r="A557" t="s">
        <v>1147</v>
      </c>
      <c r="B557" s="1">
        <v>45852.666666666664</v>
      </c>
      <c r="C557" t="s">
        <v>43</v>
      </c>
      <c r="D557" t="s">
        <v>1148</v>
      </c>
      <c r="E557" t="s">
        <v>85</v>
      </c>
      <c r="F557" t="s">
        <v>70</v>
      </c>
      <c r="G557">
        <v>293</v>
      </c>
      <c r="H557">
        <v>0</v>
      </c>
      <c r="I557">
        <v>293</v>
      </c>
      <c r="J557">
        <v>5</v>
      </c>
      <c r="K557">
        <v>146.85236679827301</v>
      </c>
      <c r="L557">
        <v>1465</v>
      </c>
      <c r="M557">
        <v>734.26183399136505</v>
      </c>
      <c r="N557">
        <v>730.73816600863404</v>
      </c>
      <c r="O557" t="s">
        <v>32</v>
      </c>
      <c r="P557">
        <f t="shared" si="16"/>
        <v>1465</v>
      </c>
      <c r="Q557">
        <f t="shared" si="17"/>
        <v>-730.73816600863495</v>
      </c>
    </row>
    <row r="558" spans="1:17" x14ac:dyDescent="0.4">
      <c r="A558" t="s">
        <v>1149</v>
      </c>
      <c r="B558" s="1">
        <v>45935.5</v>
      </c>
      <c r="C558" t="s">
        <v>22</v>
      </c>
      <c r="D558" t="s">
        <v>1150</v>
      </c>
      <c r="E558" t="s">
        <v>18</v>
      </c>
      <c r="F558" t="s">
        <v>19</v>
      </c>
      <c r="G558">
        <v>295</v>
      </c>
      <c r="H558">
        <v>0</v>
      </c>
      <c r="I558">
        <v>295</v>
      </c>
      <c r="J558">
        <v>7</v>
      </c>
      <c r="K558">
        <v>184.61174610081801</v>
      </c>
      <c r="L558">
        <v>2065</v>
      </c>
      <c r="M558">
        <v>1292.28222270572</v>
      </c>
      <c r="N558">
        <v>772.71777729427197</v>
      </c>
      <c r="O558" t="s">
        <v>105</v>
      </c>
      <c r="P558">
        <f t="shared" si="16"/>
        <v>2065</v>
      </c>
      <c r="Q558">
        <f t="shared" si="17"/>
        <v>-772.71777729428004</v>
      </c>
    </row>
    <row r="559" spans="1:17" x14ac:dyDescent="0.4">
      <c r="A559" t="s">
        <v>1151</v>
      </c>
      <c r="B559" s="1">
        <v>45541.875</v>
      </c>
      <c r="C559" t="s">
        <v>22</v>
      </c>
      <c r="D559" t="s">
        <v>1152</v>
      </c>
      <c r="E559" t="s">
        <v>48</v>
      </c>
      <c r="F559" t="s">
        <v>19</v>
      </c>
      <c r="G559">
        <v>209</v>
      </c>
      <c r="H559">
        <v>0.15</v>
      </c>
      <c r="I559">
        <v>177.65</v>
      </c>
      <c r="J559">
        <v>3</v>
      </c>
      <c r="K559">
        <v>151.79532255881901</v>
      </c>
      <c r="L559">
        <v>532.95000000000005</v>
      </c>
      <c r="M559">
        <v>455.38596767645703</v>
      </c>
      <c r="N559">
        <v>77.564032323542605</v>
      </c>
      <c r="O559" t="s">
        <v>32</v>
      </c>
      <c r="P559">
        <f t="shared" si="16"/>
        <v>627</v>
      </c>
      <c r="Q559">
        <f t="shared" si="17"/>
        <v>-77.564032323543017</v>
      </c>
    </row>
    <row r="560" spans="1:17" x14ac:dyDescent="0.4">
      <c r="A560" t="s">
        <v>1153</v>
      </c>
      <c r="B560" s="1">
        <v>45377.333333333336</v>
      </c>
      <c r="C560" t="s">
        <v>65</v>
      </c>
      <c r="D560" t="s">
        <v>1154</v>
      </c>
      <c r="E560" t="s">
        <v>30</v>
      </c>
      <c r="F560" t="s">
        <v>31</v>
      </c>
      <c r="G560">
        <v>99</v>
      </c>
      <c r="H560">
        <v>0.1</v>
      </c>
      <c r="I560">
        <v>89.1</v>
      </c>
      <c r="J560">
        <v>6</v>
      </c>
      <c r="K560">
        <v>62.723048590985499</v>
      </c>
      <c r="L560">
        <v>534.6</v>
      </c>
      <c r="M560">
        <v>376.33829154591302</v>
      </c>
      <c r="N560">
        <v>158.261708454086</v>
      </c>
      <c r="O560" t="s">
        <v>20</v>
      </c>
      <c r="P560">
        <f t="shared" si="16"/>
        <v>594</v>
      </c>
      <c r="Q560">
        <f t="shared" si="17"/>
        <v>-158.261708454087</v>
      </c>
    </row>
    <row r="561" spans="1:17" x14ac:dyDescent="0.4">
      <c r="A561" t="s">
        <v>1155</v>
      </c>
      <c r="B561" s="1">
        <v>45806.083333333336</v>
      </c>
      <c r="C561" t="s">
        <v>16</v>
      </c>
      <c r="D561" t="s">
        <v>1156</v>
      </c>
      <c r="E561" t="s">
        <v>82</v>
      </c>
      <c r="F561" t="s">
        <v>25</v>
      </c>
      <c r="G561">
        <v>304</v>
      </c>
      <c r="H561">
        <v>0.1</v>
      </c>
      <c r="I561">
        <v>273.60000000000002</v>
      </c>
      <c r="J561">
        <v>5</v>
      </c>
      <c r="K561">
        <v>214.422781540952</v>
      </c>
      <c r="L561">
        <v>1368</v>
      </c>
      <c r="M561">
        <v>1072.1139077047601</v>
      </c>
      <c r="N561">
        <v>295.88609229523797</v>
      </c>
      <c r="O561" t="s">
        <v>32</v>
      </c>
      <c r="P561">
        <f t="shared" si="16"/>
        <v>1520</v>
      </c>
      <c r="Q561">
        <f t="shared" si="17"/>
        <v>-295.88609229523991</v>
      </c>
    </row>
    <row r="562" spans="1:17" x14ac:dyDescent="0.4">
      <c r="A562" t="s">
        <v>1157</v>
      </c>
      <c r="B562" s="1">
        <v>46004.5</v>
      </c>
      <c r="C562" t="s">
        <v>65</v>
      </c>
      <c r="D562" t="s">
        <v>166</v>
      </c>
      <c r="E562" t="s">
        <v>115</v>
      </c>
      <c r="F562" t="s">
        <v>38</v>
      </c>
      <c r="G562">
        <v>173</v>
      </c>
      <c r="H562">
        <v>0</v>
      </c>
      <c r="I562">
        <v>173</v>
      </c>
      <c r="J562">
        <v>6</v>
      </c>
      <c r="K562">
        <v>85.320317415752896</v>
      </c>
      <c r="L562">
        <v>1038</v>
      </c>
      <c r="M562">
        <v>511.92190449451698</v>
      </c>
      <c r="N562">
        <v>526.078095505482</v>
      </c>
      <c r="O562" t="s">
        <v>32</v>
      </c>
      <c r="P562">
        <f t="shared" si="16"/>
        <v>1038</v>
      </c>
      <c r="Q562">
        <f t="shared" si="17"/>
        <v>-526.07809550548302</v>
      </c>
    </row>
    <row r="563" spans="1:17" x14ac:dyDescent="0.4">
      <c r="A563" t="s">
        <v>1158</v>
      </c>
      <c r="B563" s="1">
        <v>45481.333333333336</v>
      </c>
      <c r="C563" t="s">
        <v>46</v>
      </c>
      <c r="D563" t="s">
        <v>1159</v>
      </c>
      <c r="E563" t="s">
        <v>94</v>
      </c>
      <c r="F563" t="s">
        <v>61</v>
      </c>
      <c r="G563">
        <v>148</v>
      </c>
      <c r="H563">
        <v>0.1</v>
      </c>
      <c r="I563">
        <v>133.19999999999999</v>
      </c>
      <c r="J563">
        <v>6</v>
      </c>
      <c r="K563">
        <v>104.0821650763</v>
      </c>
      <c r="L563">
        <v>799.2</v>
      </c>
      <c r="M563">
        <v>624.49299045780197</v>
      </c>
      <c r="N563">
        <v>174.707009542197</v>
      </c>
      <c r="O563" t="s">
        <v>26</v>
      </c>
      <c r="P563">
        <f t="shared" si="16"/>
        <v>888</v>
      </c>
      <c r="Q563">
        <f t="shared" si="17"/>
        <v>-174.70700954219808</v>
      </c>
    </row>
    <row r="564" spans="1:17" x14ac:dyDescent="0.4">
      <c r="A564" t="s">
        <v>1160</v>
      </c>
      <c r="B564" s="1">
        <v>45499.333333333336</v>
      </c>
      <c r="C564" t="s">
        <v>16</v>
      </c>
      <c r="D564" t="s">
        <v>1161</v>
      </c>
      <c r="E564" t="s">
        <v>146</v>
      </c>
      <c r="F564" t="s">
        <v>70</v>
      </c>
      <c r="G564">
        <v>118</v>
      </c>
      <c r="H564">
        <v>0</v>
      </c>
      <c r="I564">
        <v>118</v>
      </c>
      <c r="J564">
        <v>6</v>
      </c>
      <c r="K564">
        <v>58.049323200179899</v>
      </c>
      <c r="L564">
        <v>708</v>
      </c>
      <c r="M564">
        <v>348.29593920107902</v>
      </c>
      <c r="N564">
        <v>359.70406079892001</v>
      </c>
      <c r="O564" t="s">
        <v>32</v>
      </c>
      <c r="P564">
        <f t="shared" si="16"/>
        <v>708</v>
      </c>
      <c r="Q564">
        <f t="shared" si="17"/>
        <v>-359.70406079892098</v>
      </c>
    </row>
    <row r="565" spans="1:17" x14ac:dyDescent="0.4">
      <c r="A565" t="s">
        <v>1162</v>
      </c>
      <c r="B565" s="1">
        <v>45824.291666666664</v>
      </c>
      <c r="C565" t="s">
        <v>65</v>
      </c>
      <c r="D565" t="s">
        <v>1163</v>
      </c>
      <c r="E565" t="s">
        <v>18</v>
      </c>
      <c r="F565" t="s">
        <v>19</v>
      </c>
      <c r="G565">
        <v>156</v>
      </c>
      <c r="H565">
        <v>0</v>
      </c>
      <c r="I565">
        <v>156</v>
      </c>
      <c r="J565">
        <v>2</v>
      </c>
      <c r="K565">
        <v>100.442812895473</v>
      </c>
      <c r="L565">
        <v>312</v>
      </c>
      <c r="M565">
        <v>200.88562579094599</v>
      </c>
      <c r="N565">
        <v>111.114374209053</v>
      </c>
      <c r="O565" t="s">
        <v>32</v>
      </c>
      <c r="P565">
        <f t="shared" si="16"/>
        <v>312</v>
      </c>
      <c r="Q565">
        <f t="shared" si="17"/>
        <v>-111.11437420905401</v>
      </c>
    </row>
    <row r="566" spans="1:17" x14ac:dyDescent="0.4">
      <c r="A566" t="s">
        <v>1164</v>
      </c>
      <c r="B566" s="1">
        <v>45709.291666666664</v>
      </c>
      <c r="C566" t="s">
        <v>43</v>
      </c>
      <c r="D566" t="s">
        <v>1165</v>
      </c>
      <c r="E566" t="s">
        <v>37</v>
      </c>
      <c r="F566" t="s">
        <v>38</v>
      </c>
      <c r="G566">
        <v>225</v>
      </c>
      <c r="H566">
        <v>0.25</v>
      </c>
      <c r="I566">
        <v>168.75</v>
      </c>
      <c r="J566">
        <v>2</v>
      </c>
      <c r="K566">
        <v>93.505086842998494</v>
      </c>
      <c r="L566">
        <v>337.5</v>
      </c>
      <c r="M566">
        <v>187.01017368599699</v>
      </c>
      <c r="N566">
        <v>150.48982631400199</v>
      </c>
      <c r="O566" t="s">
        <v>20</v>
      </c>
      <c r="P566">
        <f t="shared" si="16"/>
        <v>450</v>
      </c>
      <c r="Q566">
        <f t="shared" si="17"/>
        <v>-150.48982631400301</v>
      </c>
    </row>
    <row r="567" spans="1:17" x14ac:dyDescent="0.4">
      <c r="A567" t="s">
        <v>1166</v>
      </c>
      <c r="B567" s="1">
        <v>45434.458333333336</v>
      </c>
      <c r="C567" t="s">
        <v>65</v>
      </c>
      <c r="D567" t="s">
        <v>1167</v>
      </c>
      <c r="E567" t="s">
        <v>48</v>
      </c>
      <c r="F567" t="s">
        <v>19</v>
      </c>
      <c r="G567">
        <v>349</v>
      </c>
      <c r="H567">
        <v>0.1</v>
      </c>
      <c r="I567">
        <v>314.10000000000002</v>
      </c>
      <c r="J567">
        <v>1</v>
      </c>
      <c r="K567">
        <v>239.106450593565</v>
      </c>
      <c r="L567">
        <v>314.10000000000002</v>
      </c>
      <c r="M567">
        <v>239.106450593565</v>
      </c>
      <c r="N567">
        <v>74.993549406434198</v>
      </c>
      <c r="O567" t="s">
        <v>26</v>
      </c>
      <c r="P567">
        <f t="shared" si="16"/>
        <v>349</v>
      </c>
      <c r="Q567">
        <f t="shared" si="17"/>
        <v>-74.993549406435022</v>
      </c>
    </row>
    <row r="568" spans="1:17" x14ac:dyDescent="0.4">
      <c r="A568" t="s">
        <v>1168</v>
      </c>
      <c r="B568" s="1">
        <v>45893.25</v>
      </c>
      <c r="C568" t="s">
        <v>22</v>
      </c>
      <c r="D568" t="s">
        <v>1169</v>
      </c>
      <c r="E568" t="s">
        <v>18</v>
      </c>
      <c r="F568" t="s">
        <v>19</v>
      </c>
      <c r="G568">
        <v>172</v>
      </c>
      <c r="H568">
        <v>0.05</v>
      </c>
      <c r="I568">
        <v>163.4</v>
      </c>
      <c r="J568">
        <v>3</v>
      </c>
      <c r="K568">
        <v>116.771066530626</v>
      </c>
      <c r="L568">
        <v>490.2</v>
      </c>
      <c r="M568">
        <v>350.31319959187999</v>
      </c>
      <c r="N568">
        <v>139.886800408119</v>
      </c>
      <c r="O568" t="s">
        <v>32</v>
      </c>
      <c r="P568">
        <f t="shared" si="16"/>
        <v>516</v>
      </c>
      <c r="Q568">
        <f t="shared" si="17"/>
        <v>-139.88680040812</v>
      </c>
    </row>
    <row r="569" spans="1:17" x14ac:dyDescent="0.4">
      <c r="A569" t="s">
        <v>1170</v>
      </c>
      <c r="B569" s="1">
        <v>45593.625</v>
      </c>
      <c r="C569" t="s">
        <v>43</v>
      </c>
      <c r="D569" t="s">
        <v>505</v>
      </c>
      <c r="E569" t="s">
        <v>110</v>
      </c>
      <c r="F569" t="s">
        <v>19</v>
      </c>
      <c r="G569">
        <v>97</v>
      </c>
      <c r="H569">
        <v>0.1</v>
      </c>
      <c r="I569">
        <v>87.3</v>
      </c>
      <c r="J569">
        <v>5</v>
      </c>
      <c r="K569">
        <v>63.449782019821001</v>
      </c>
      <c r="L569">
        <v>436.5</v>
      </c>
      <c r="M569">
        <v>317.24891009910499</v>
      </c>
      <c r="N569">
        <v>119.251089900895</v>
      </c>
      <c r="O569" t="s">
        <v>51</v>
      </c>
      <c r="P569">
        <f t="shared" si="16"/>
        <v>485</v>
      </c>
      <c r="Q569">
        <f t="shared" si="17"/>
        <v>-119.25108990089501</v>
      </c>
    </row>
    <row r="570" spans="1:17" x14ac:dyDescent="0.4">
      <c r="A570" t="s">
        <v>1171</v>
      </c>
      <c r="B570" s="1">
        <v>45895.708333333336</v>
      </c>
      <c r="C570" t="s">
        <v>22</v>
      </c>
      <c r="D570" t="s">
        <v>1172</v>
      </c>
      <c r="E570" t="s">
        <v>146</v>
      </c>
      <c r="F570" t="s">
        <v>70</v>
      </c>
      <c r="G570">
        <v>113</v>
      </c>
      <c r="H570">
        <v>0.05</v>
      </c>
      <c r="I570">
        <v>107.35</v>
      </c>
      <c r="J570">
        <v>4</v>
      </c>
      <c r="K570">
        <v>83.892983443635103</v>
      </c>
      <c r="L570">
        <v>429.4</v>
      </c>
      <c r="M570">
        <v>335.57193377454001</v>
      </c>
      <c r="N570">
        <v>93.828066225459295</v>
      </c>
      <c r="O570" t="s">
        <v>32</v>
      </c>
      <c r="P570">
        <f t="shared" si="16"/>
        <v>452</v>
      </c>
      <c r="Q570">
        <f t="shared" si="17"/>
        <v>-93.828066225459963</v>
      </c>
    </row>
    <row r="571" spans="1:17" x14ac:dyDescent="0.4">
      <c r="A571" t="s">
        <v>1173</v>
      </c>
      <c r="B571" s="1">
        <v>45985.041666666664</v>
      </c>
      <c r="C571" t="s">
        <v>65</v>
      </c>
      <c r="D571" t="s">
        <v>1174</v>
      </c>
      <c r="E571" t="s">
        <v>110</v>
      </c>
      <c r="F571" t="s">
        <v>19</v>
      </c>
      <c r="G571">
        <v>306</v>
      </c>
      <c r="H571">
        <v>0.1</v>
      </c>
      <c r="I571">
        <v>275.39999999999998</v>
      </c>
      <c r="J571">
        <v>6</v>
      </c>
      <c r="K571">
        <v>160.58746045804401</v>
      </c>
      <c r="L571">
        <v>1652.4</v>
      </c>
      <c r="M571">
        <v>963.52476274826802</v>
      </c>
      <c r="N571">
        <v>688.87523725173105</v>
      </c>
      <c r="O571" t="s">
        <v>105</v>
      </c>
      <c r="P571">
        <f t="shared" si="16"/>
        <v>1836</v>
      </c>
      <c r="Q571">
        <f t="shared" si="17"/>
        <v>-688.87523725173207</v>
      </c>
    </row>
    <row r="572" spans="1:17" x14ac:dyDescent="0.4">
      <c r="A572" t="s">
        <v>1175</v>
      </c>
      <c r="B572" s="1">
        <v>45723.541666666664</v>
      </c>
      <c r="C572" t="s">
        <v>65</v>
      </c>
      <c r="D572" t="s">
        <v>1176</v>
      </c>
      <c r="E572" t="s">
        <v>30</v>
      </c>
      <c r="F572" t="s">
        <v>31</v>
      </c>
      <c r="G572">
        <v>213</v>
      </c>
      <c r="H572">
        <v>0.1</v>
      </c>
      <c r="I572">
        <v>191.7</v>
      </c>
      <c r="J572">
        <v>4</v>
      </c>
      <c r="K572">
        <v>139.69682152834801</v>
      </c>
      <c r="L572">
        <v>766.8</v>
      </c>
      <c r="M572">
        <v>558.78728611339398</v>
      </c>
      <c r="N572">
        <v>208.01271388660601</v>
      </c>
      <c r="O572" t="s">
        <v>26</v>
      </c>
      <c r="P572">
        <f t="shared" si="16"/>
        <v>852</v>
      </c>
      <c r="Q572">
        <f t="shared" si="17"/>
        <v>-208.01271388660598</v>
      </c>
    </row>
    <row r="573" spans="1:17" x14ac:dyDescent="0.4">
      <c r="A573" t="s">
        <v>1177</v>
      </c>
      <c r="B573" s="1">
        <v>46006.75</v>
      </c>
      <c r="C573" t="s">
        <v>22</v>
      </c>
      <c r="D573" t="s">
        <v>1178</v>
      </c>
      <c r="E573" t="s">
        <v>24</v>
      </c>
      <c r="F573" t="s">
        <v>25</v>
      </c>
      <c r="G573">
        <v>182</v>
      </c>
      <c r="H573">
        <v>0.05</v>
      </c>
      <c r="I573">
        <v>172.9</v>
      </c>
      <c r="J573">
        <v>1</v>
      </c>
      <c r="K573">
        <v>133.01605846402899</v>
      </c>
      <c r="L573">
        <v>172.9</v>
      </c>
      <c r="M573">
        <v>133.01605846402899</v>
      </c>
      <c r="N573">
        <v>39.883941535970699</v>
      </c>
      <c r="O573" t="s">
        <v>26</v>
      </c>
      <c r="P573">
        <f t="shared" si="16"/>
        <v>182</v>
      </c>
      <c r="Q573">
        <f t="shared" si="17"/>
        <v>-39.883941535971019</v>
      </c>
    </row>
    <row r="574" spans="1:17" x14ac:dyDescent="0.4">
      <c r="A574" t="s">
        <v>1179</v>
      </c>
      <c r="B574" s="1">
        <v>45473.791666666664</v>
      </c>
      <c r="C574" t="s">
        <v>43</v>
      </c>
      <c r="D574" t="s">
        <v>1180</v>
      </c>
      <c r="E574" t="s">
        <v>37</v>
      </c>
      <c r="F574" t="s">
        <v>38</v>
      </c>
      <c r="G574">
        <v>261</v>
      </c>
      <c r="H574">
        <v>0</v>
      </c>
      <c r="I574">
        <v>261</v>
      </c>
      <c r="J574">
        <v>7</v>
      </c>
      <c r="K574">
        <v>170.41714452824399</v>
      </c>
      <c r="L574">
        <v>1827</v>
      </c>
      <c r="M574">
        <v>1192.9200116977099</v>
      </c>
      <c r="N574">
        <v>634.07998830228905</v>
      </c>
      <c r="O574" t="s">
        <v>32</v>
      </c>
      <c r="P574">
        <f t="shared" si="16"/>
        <v>1827</v>
      </c>
      <c r="Q574">
        <f t="shared" si="17"/>
        <v>-634.07998830229008</v>
      </c>
    </row>
    <row r="575" spans="1:17" x14ac:dyDescent="0.4">
      <c r="A575" t="s">
        <v>1181</v>
      </c>
      <c r="B575" s="1">
        <v>45716</v>
      </c>
      <c r="C575" t="s">
        <v>22</v>
      </c>
      <c r="D575" t="s">
        <v>1182</v>
      </c>
      <c r="E575" t="s">
        <v>18</v>
      </c>
      <c r="F575" t="s">
        <v>19</v>
      </c>
      <c r="G575">
        <v>311</v>
      </c>
      <c r="H575">
        <v>0</v>
      </c>
      <c r="I575">
        <v>311</v>
      </c>
      <c r="J575">
        <v>2</v>
      </c>
      <c r="K575">
        <v>145.732443104786</v>
      </c>
      <c r="L575">
        <v>622</v>
      </c>
      <c r="M575">
        <v>291.46488620957302</v>
      </c>
      <c r="N575">
        <v>330.53511379042601</v>
      </c>
      <c r="O575" t="s">
        <v>105</v>
      </c>
      <c r="P575">
        <f t="shared" si="16"/>
        <v>622</v>
      </c>
      <c r="Q575">
        <f t="shared" si="17"/>
        <v>-330.53511379042698</v>
      </c>
    </row>
    <row r="576" spans="1:17" x14ac:dyDescent="0.4">
      <c r="A576" t="s">
        <v>1183</v>
      </c>
      <c r="B576" s="1">
        <v>46019.541666666664</v>
      </c>
      <c r="C576" t="s">
        <v>65</v>
      </c>
      <c r="D576" t="s">
        <v>1184</v>
      </c>
      <c r="E576" t="s">
        <v>115</v>
      </c>
      <c r="F576" t="s">
        <v>38</v>
      </c>
      <c r="G576">
        <v>195</v>
      </c>
      <c r="H576">
        <v>0.1</v>
      </c>
      <c r="I576">
        <v>175.5</v>
      </c>
      <c r="J576">
        <v>2</v>
      </c>
      <c r="K576">
        <v>140.42790374300401</v>
      </c>
      <c r="L576">
        <v>351</v>
      </c>
      <c r="M576">
        <v>280.85580748600802</v>
      </c>
      <c r="N576">
        <v>70.144192513991698</v>
      </c>
      <c r="O576" t="s">
        <v>32</v>
      </c>
      <c r="P576">
        <f t="shared" si="16"/>
        <v>390</v>
      </c>
      <c r="Q576">
        <f t="shared" si="17"/>
        <v>-70.144192513991982</v>
      </c>
    </row>
    <row r="577" spans="1:17" x14ac:dyDescent="0.4">
      <c r="A577" t="s">
        <v>1185</v>
      </c>
      <c r="B577" s="1">
        <v>45643.125</v>
      </c>
      <c r="C577" t="s">
        <v>43</v>
      </c>
      <c r="D577" t="s">
        <v>1186</v>
      </c>
      <c r="E577" t="s">
        <v>85</v>
      </c>
      <c r="F577" t="s">
        <v>70</v>
      </c>
      <c r="G577">
        <v>165</v>
      </c>
      <c r="H577">
        <v>0</v>
      </c>
      <c r="I577">
        <v>165</v>
      </c>
      <c r="J577">
        <v>5</v>
      </c>
      <c r="K577">
        <v>72.356759650455999</v>
      </c>
      <c r="L577">
        <v>825</v>
      </c>
      <c r="M577">
        <v>361.78379825228001</v>
      </c>
      <c r="N577">
        <v>463.21620174771903</v>
      </c>
      <c r="O577" t="s">
        <v>51</v>
      </c>
      <c r="P577">
        <f t="shared" si="16"/>
        <v>825</v>
      </c>
      <c r="Q577">
        <f t="shared" si="17"/>
        <v>-463.21620174771999</v>
      </c>
    </row>
    <row r="578" spans="1:17" x14ac:dyDescent="0.4">
      <c r="A578" t="s">
        <v>1187</v>
      </c>
      <c r="B578" s="1">
        <v>45649.5</v>
      </c>
      <c r="C578" t="s">
        <v>22</v>
      </c>
      <c r="D578" t="s">
        <v>1188</v>
      </c>
      <c r="E578" t="s">
        <v>18</v>
      </c>
      <c r="F578" t="s">
        <v>19</v>
      </c>
      <c r="G578">
        <v>166</v>
      </c>
      <c r="H578">
        <v>0</v>
      </c>
      <c r="I578">
        <v>166</v>
      </c>
      <c r="J578">
        <v>7</v>
      </c>
      <c r="K578">
        <v>82.939602326979497</v>
      </c>
      <c r="L578">
        <v>1162</v>
      </c>
      <c r="M578">
        <v>580.57721628885599</v>
      </c>
      <c r="N578">
        <v>581.42278371114298</v>
      </c>
      <c r="O578" t="s">
        <v>20</v>
      </c>
      <c r="P578">
        <f t="shared" si="16"/>
        <v>1162</v>
      </c>
      <c r="Q578">
        <f t="shared" si="17"/>
        <v>-581.42278371114401</v>
      </c>
    </row>
    <row r="579" spans="1:17" x14ac:dyDescent="0.4">
      <c r="A579" t="s">
        <v>1189</v>
      </c>
      <c r="B579" s="1">
        <v>45494.416666666664</v>
      </c>
      <c r="C579" t="s">
        <v>46</v>
      </c>
      <c r="D579" t="s">
        <v>1190</v>
      </c>
      <c r="E579" t="s">
        <v>69</v>
      </c>
      <c r="F579" t="s">
        <v>70</v>
      </c>
      <c r="G579">
        <v>209</v>
      </c>
      <c r="H579">
        <v>0.15</v>
      </c>
      <c r="I579">
        <v>177.65</v>
      </c>
      <c r="J579">
        <v>4</v>
      </c>
      <c r="K579">
        <v>113.627980906963</v>
      </c>
      <c r="L579">
        <v>710.6</v>
      </c>
      <c r="M579">
        <v>454.51192362785298</v>
      </c>
      <c r="N579">
        <v>256.08807637214602</v>
      </c>
      <c r="O579" t="s">
        <v>26</v>
      </c>
      <c r="P579">
        <f t="shared" ref="P579:P642" si="18">G579 * J579</f>
        <v>836</v>
      </c>
      <c r="Q579">
        <f t="shared" ref="Q579:Q642" si="19" xml:space="preserve"> M579 - L579</f>
        <v>-256.08807637214704</v>
      </c>
    </row>
    <row r="580" spans="1:17" x14ac:dyDescent="0.4">
      <c r="A580" t="s">
        <v>1191</v>
      </c>
      <c r="B580" s="1">
        <v>45710.333333333336</v>
      </c>
      <c r="C580" t="s">
        <v>46</v>
      </c>
      <c r="D580" t="s">
        <v>507</v>
      </c>
      <c r="E580" t="s">
        <v>115</v>
      </c>
      <c r="F580" t="s">
        <v>38</v>
      </c>
      <c r="G580">
        <v>273</v>
      </c>
      <c r="H580">
        <v>0</v>
      </c>
      <c r="I580">
        <v>273</v>
      </c>
      <c r="J580">
        <v>5</v>
      </c>
      <c r="K580">
        <v>120.47547584348099</v>
      </c>
      <c r="L580">
        <v>1365</v>
      </c>
      <c r="M580">
        <v>602.37737921740597</v>
      </c>
      <c r="N580">
        <v>762.622620782593</v>
      </c>
      <c r="O580" t="s">
        <v>32</v>
      </c>
      <c r="P580">
        <f t="shared" si="18"/>
        <v>1365</v>
      </c>
      <c r="Q580">
        <f t="shared" si="19"/>
        <v>-762.62262078259403</v>
      </c>
    </row>
    <row r="581" spans="1:17" x14ac:dyDescent="0.4">
      <c r="A581" t="s">
        <v>1192</v>
      </c>
      <c r="B581" s="1">
        <v>45927.583333333336</v>
      </c>
      <c r="C581" t="s">
        <v>28</v>
      </c>
      <c r="D581" t="s">
        <v>1193</v>
      </c>
      <c r="E581" t="s">
        <v>104</v>
      </c>
      <c r="F581" t="s">
        <v>25</v>
      </c>
      <c r="G581">
        <v>270</v>
      </c>
      <c r="H581">
        <v>0.15</v>
      </c>
      <c r="I581">
        <v>229.5</v>
      </c>
      <c r="J581">
        <v>3</v>
      </c>
      <c r="K581">
        <v>112.75551716232501</v>
      </c>
      <c r="L581">
        <v>688.5</v>
      </c>
      <c r="M581">
        <v>338.26655148697699</v>
      </c>
      <c r="N581">
        <v>350.23344851302198</v>
      </c>
      <c r="O581" t="s">
        <v>26</v>
      </c>
      <c r="P581">
        <f t="shared" si="18"/>
        <v>810</v>
      </c>
      <c r="Q581">
        <f t="shared" si="19"/>
        <v>-350.23344851302301</v>
      </c>
    </row>
    <row r="582" spans="1:17" x14ac:dyDescent="0.4">
      <c r="A582" t="s">
        <v>1194</v>
      </c>
      <c r="B582" s="1">
        <v>45769.916666666664</v>
      </c>
      <c r="C582" t="s">
        <v>16</v>
      </c>
      <c r="D582" t="s">
        <v>1195</v>
      </c>
      <c r="E582" t="s">
        <v>73</v>
      </c>
      <c r="F582" t="s">
        <v>38</v>
      </c>
      <c r="G582">
        <v>250</v>
      </c>
      <c r="H582">
        <v>0</v>
      </c>
      <c r="I582">
        <v>250</v>
      </c>
      <c r="J582">
        <v>6</v>
      </c>
      <c r="K582">
        <v>143.17949983137601</v>
      </c>
      <c r="L582">
        <v>1500</v>
      </c>
      <c r="M582">
        <v>859.07699898826002</v>
      </c>
      <c r="N582">
        <v>640.92300101173896</v>
      </c>
      <c r="O582" t="s">
        <v>32</v>
      </c>
      <c r="P582">
        <f t="shared" si="18"/>
        <v>1500</v>
      </c>
      <c r="Q582">
        <f t="shared" si="19"/>
        <v>-640.92300101173998</v>
      </c>
    </row>
    <row r="583" spans="1:17" x14ac:dyDescent="0.4">
      <c r="A583" t="s">
        <v>1196</v>
      </c>
      <c r="B583" s="1">
        <v>45344.166666666664</v>
      </c>
      <c r="C583" t="s">
        <v>46</v>
      </c>
      <c r="D583" t="s">
        <v>1197</v>
      </c>
      <c r="E583" t="s">
        <v>60</v>
      </c>
      <c r="F583" t="s">
        <v>61</v>
      </c>
      <c r="G583">
        <v>88</v>
      </c>
      <c r="H583">
        <v>0</v>
      </c>
      <c r="I583">
        <v>88</v>
      </c>
      <c r="J583">
        <v>3</v>
      </c>
      <c r="K583">
        <v>36.922531583949301</v>
      </c>
      <c r="L583">
        <v>264</v>
      </c>
      <c r="M583">
        <v>110.76759475184799</v>
      </c>
      <c r="N583">
        <v>153.232405248151</v>
      </c>
      <c r="O583" t="s">
        <v>32</v>
      </c>
      <c r="P583">
        <f t="shared" si="18"/>
        <v>264</v>
      </c>
      <c r="Q583">
        <f t="shared" si="19"/>
        <v>-153.23240524815202</v>
      </c>
    </row>
    <row r="584" spans="1:17" x14ac:dyDescent="0.4">
      <c r="A584" t="s">
        <v>1198</v>
      </c>
      <c r="B584" s="1">
        <v>45583.5</v>
      </c>
      <c r="C584" t="s">
        <v>43</v>
      </c>
      <c r="D584" t="s">
        <v>1199</v>
      </c>
      <c r="E584" t="s">
        <v>73</v>
      </c>
      <c r="F584" t="s">
        <v>38</v>
      </c>
      <c r="G584">
        <v>122</v>
      </c>
      <c r="H584">
        <v>0</v>
      </c>
      <c r="I584">
        <v>122</v>
      </c>
      <c r="J584">
        <v>6</v>
      </c>
      <c r="K584">
        <v>71.303225569631493</v>
      </c>
      <c r="L584">
        <v>732</v>
      </c>
      <c r="M584">
        <v>427.81935341778899</v>
      </c>
      <c r="N584">
        <v>304.18064658221101</v>
      </c>
      <c r="O584" t="s">
        <v>32</v>
      </c>
      <c r="P584">
        <f t="shared" si="18"/>
        <v>732</v>
      </c>
      <c r="Q584">
        <f t="shared" si="19"/>
        <v>-304.18064658221101</v>
      </c>
    </row>
    <row r="585" spans="1:17" x14ac:dyDescent="0.4">
      <c r="A585" t="s">
        <v>1200</v>
      </c>
      <c r="B585" s="1">
        <v>45799.208333333336</v>
      </c>
      <c r="C585" t="s">
        <v>65</v>
      </c>
      <c r="D585" t="s">
        <v>1201</v>
      </c>
      <c r="E585" t="s">
        <v>85</v>
      </c>
      <c r="F585" t="s">
        <v>70</v>
      </c>
      <c r="G585">
        <v>214</v>
      </c>
      <c r="H585">
        <v>0</v>
      </c>
      <c r="I585">
        <v>214</v>
      </c>
      <c r="J585">
        <v>6</v>
      </c>
      <c r="K585">
        <v>87.246437929240699</v>
      </c>
      <c r="L585">
        <v>1284</v>
      </c>
      <c r="M585">
        <v>523.47862757544397</v>
      </c>
      <c r="N585">
        <v>760.52137242455501</v>
      </c>
      <c r="O585" t="s">
        <v>20</v>
      </c>
      <c r="P585">
        <f t="shared" si="18"/>
        <v>1284</v>
      </c>
      <c r="Q585">
        <f t="shared" si="19"/>
        <v>-760.52137242455603</v>
      </c>
    </row>
    <row r="586" spans="1:17" x14ac:dyDescent="0.4">
      <c r="A586" t="s">
        <v>1202</v>
      </c>
      <c r="B586" s="1">
        <v>45486.708333333336</v>
      </c>
      <c r="C586" t="s">
        <v>43</v>
      </c>
      <c r="D586" t="s">
        <v>1203</v>
      </c>
      <c r="E586" t="s">
        <v>37</v>
      </c>
      <c r="F586" t="s">
        <v>38</v>
      </c>
      <c r="G586">
        <v>308</v>
      </c>
      <c r="H586">
        <v>0</v>
      </c>
      <c r="I586">
        <v>308</v>
      </c>
      <c r="J586">
        <v>6</v>
      </c>
      <c r="K586">
        <v>207.57998368429901</v>
      </c>
      <c r="L586">
        <v>1848</v>
      </c>
      <c r="M586">
        <v>1245.47990210579</v>
      </c>
      <c r="N586">
        <v>602.52009789420299</v>
      </c>
      <c r="O586" t="s">
        <v>32</v>
      </c>
      <c r="P586">
        <f t="shared" si="18"/>
        <v>1848</v>
      </c>
      <c r="Q586">
        <f t="shared" si="19"/>
        <v>-602.52009789421004</v>
      </c>
    </row>
    <row r="587" spans="1:17" x14ac:dyDescent="0.4">
      <c r="A587" t="s">
        <v>1204</v>
      </c>
      <c r="B587" s="1">
        <v>45949.541666666664</v>
      </c>
      <c r="C587" t="s">
        <v>16</v>
      </c>
      <c r="D587" t="s">
        <v>1205</v>
      </c>
      <c r="E587" t="s">
        <v>18</v>
      </c>
      <c r="F587" t="s">
        <v>19</v>
      </c>
      <c r="G587">
        <v>123</v>
      </c>
      <c r="H587">
        <v>0</v>
      </c>
      <c r="I587">
        <v>123</v>
      </c>
      <c r="J587">
        <v>3</v>
      </c>
      <c r="K587">
        <v>52.322085744890401</v>
      </c>
      <c r="L587">
        <v>369</v>
      </c>
      <c r="M587">
        <v>156.96625723467099</v>
      </c>
      <c r="N587">
        <v>212.03374276532799</v>
      </c>
      <c r="O587" t="s">
        <v>32</v>
      </c>
      <c r="P587">
        <f t="shared" si="18"/>
        <v>369</v>
      </c>
      <c r="Q587">
        <f t="shared" si="19"/>
        <v>-212.03374276532901</v>
      </c>
    </row>
    <row r="588" spans="1:17" x14ac:dyDescent="0.4">
      <c r="A588" t="s">
        <v>1206</v>
      </c>
      <c r="B588" s="1">
        <v>45835.791666666664</v>
      </c>
      <c r="C588" t="s">
        <v>43</v>
      </c>
      <c r="D588" t="s">
        <v>1207</v>
      </c>
      <c r="E588" t="s">
        <v>69</v>
      </c>
      <c r="F588" t="s">
        <v>70</v>
      </c>
      <c r="G588">
        <v>313</v>
      </c>
      <c r="H588">
        <v>0</v>
      </c>
      <c r="I588">
        <v>313</v>
      </c>
      <c r="J588">
        <v>5</v>
      </c>
      <c r="K588">
        <v>226.716211428306</v>
      </c>
      <c r="L588">
        <v>1565</v>
      </c>
      <c r="M588">
        <v>1133.58105714153</v>
      </c>
      <c r="N588">
        <v>431.41894285846701</v>
      </c>
      <c r="O588" t="s">
        <v>32</v>
      </c>
      <c r="P588">
        <f t="shared" si="18"/>
        <v>1565</v>
      </c>
      <c r="Q588">
        <f t="shared" si="19"/>
        <v>-431.41894285847002</v>
      </c>
    </row>
    <row r="589" spans="1:17" x14ac:dyDescent="0.4">
      <c r="A589" t="s">
        <v>1208</v>
      </c>
      <c r="B589" s="1">
        <v>45578.708333333336</v>
      </c>
      <c r="C589" t="s">
        <v>22</v>
      </c>
      <c r="D589" t="s">
        <v>1209</v>
      </c>
      <c r="E589" t="s">
        <v>85</v>
      </c>
      <c r="F589" t="s">
        <v>70</v>
      </c>
      <c r="G589">
        <v>197</v>
      </c>
      <c r="H589">
        <v>0</v>
      </c>
      <c r="I589">
        <v>197</v>
      </c>
      <c r="J589">
        <v>4</v>
      </c>
      <c r="K589">
        <v>102.981439882054</v>
      </c>
      <c r="L589">
        <v>788</v>
      </c>
      <c r="M589">
        <v>411.92575952821602</v>
      </c>
      <c r="N589">
        <v>376.07424047178301</v>
      </c>
      <c r="O589" t="s">
        <v>32</v>
      </c>
      <c r="P589">
        <f t="shared" si="18"/>
        <v>788</v>
      </c>
      <c r="Q589">
        <f t="shared" si="19"/>
        <v>-376.07424047178398</v>
      </c>
    </row>
    <row r="590" spans="1:17" x14ac:dyDescent="0.4">
      <c r="A590" t="s">
        <v>1210</v>
      </c>
      <c r="B590" s="1">
        <v>45581.541666666664</v>
      </c>
      <c r="C590" t="s">
        <v>16</v>
      </c>
      <c r="D590" t="s">
        <v>1211</v>
      </c>
      <c r="E590" t="s">
        <v>69</v>
      </c>
      <c r="F590" t="s">
        <v>70</v>
      </c>
      <c r="G590">
        <v>142</v>
      </c>
      <c r="H590">
        <v>0.05</v>
      </c>
      <c r="I590">
        <v>134.9</v>
      </c>
      <c r="J590">
        <v>1</v>
      </c>
      <c r="K590">
        <v>95.594464473300704</v>
      </c>
      <c r="L590">
        <v>134.9</v>
      </c>
      <c r="M590">
        <v>95.594464473300704</v>
      </c>
      <c r="N590">
        <v>39.305535526699202</v>
      </c>
      <c r="O590" t="s">
        <v>32</v>
      </c>
      <c r="P590">
        <f t="shared" si="18"/>
        <v>142</v>
      </c>
      <c r="Q590">
        <f t="shared" si="19"/>
        <v>-39.305535526699302</v>
      </c>
    </row>
    <row r="591" spans="1:17" x14ac:dyDescent="0.4">
      <c r="A591" t="s">
        <v>1212</v>
      </c>
      <c r="B591" s="1">
        <v>45688.708333333336</v>
      </c>
      <c r="C591" t="s">
        <v>28</v>
      </c>
      <c r="D591" t="s">
        <v>1213</v>
      </c>
      <c r="E591" t="s">
        <v>60</v>
      </c>
      <c r="F591" t="s">
        <v>61</v>
      </c>
      <c r="G591">
        <v>211</v>
      </c>
      <c r="H591">
        <v>0</v>
      </c>
      <c r="I591">
        <v>211</v>
      </c>
      <c r="J591">
        <v>4</v>
      </c>
      <c r="K591">
        <v>113.219116886778</v>
      </c>
      <c r="L591">
        <v>844</v>
      </c>
      <c r="M591">
        <v>452.87646754711199</v>
      </c>
      <c r="N591">
        <v>391.12353245288699</v>
      </c>
      <c r="O591" t="s">
        <v>32</v>
      </c>
      <c r="P591">
        <f t="shared" si="18"/>
        <v>844</v>
      </c>
      <c r="Q591">
        <f t="shared" si="19"/>
        <v>-391.12353245288801</v>
      </c>
    </row>
    <row r="592" spans="1:17" x14ac:dyDescent="0.4">
      <c r="A592" t="s">
        <v>1214</v>
      </c>
      <c r="B592" s="1">
        <v>45626.041666666664</v>
      </c>
      <c r="C592" t="s">
        <v>22</v>
      </c>
      <c r="D592" t="s">
        <v>1215</v>
      </c>
      <c r="E592" t="s">
        <v>213</v>
      </c>
      <c r="F592" t="s">
        <v>31</v>
      </c>
      <c r="G592">
        <v>319</v>
      </c>
      <c r="H592">
        <v>0.05</v>
      </c>
      <c r="I592">
        <v>303.05</v>
      </c>
      <c r="J592">
        <v>3</v>
      </c>
      <c r="K592">
        <v>171.22093341732</v>
      </c>
      <c r="L592">
        <v>909.15</v>
      </c>
      <c r="M592">
        <v>513.66280025196204</v>
      </c>
      <c r="N592">
        <v>395.48719974803703</v>
      </c>
      <c r="O592" t="s">
        <v>32</v>
      </c>
      <c r="P592">
        <f t="shared" si="18"/>
        <v>957</v>
      </c>
      <c r="Q592">
        <f t="shared" si="19"/>
        <v>-395.48719974803794</v>
      </c>
    </row>
    <row r="593" spans="1:17" x14ac:dyDescent="0.4">
      <c r="A593" t="s">
        <v>1216</v>
      </c>
      <c r="B593" s="1">
        <v>45581.208333333336</v>
      </c>
      <c r="C593" t="s">
        <v>22</v>
      </c>
      <c r="D593" t="s">
        <v>1217</v>
      </c>
      <c r="E593" t="s">
        <v>37</v>
      </c>
      <c r="F593" t="s">
        <v>38</v>
      </c>
      <c r="G593">
        <v>88</v>
      </c>
      <c r="H593">
        <v>0.2</v>
      </c>
      <c r="I593">
        <v>70.400000000000006</v>
      </c>
      <c r="J593">
        <v>2</v>
      </c>
      <c r="K593">
        <v>40.4114539916593</v>
      </c>
      <c r="L593">
        <v>140.80000000000001</v>
      </c>
      <c r="M593">
        <v>80.8229079833187</v>
      </c>
      <c r="N593">
        <v>59.977092016681297</v>
      </c>
      <c r="O593" t="s">
        <v>32</v>
      </c>
      <c r="P593">
        <f t="shared" si="18"/>
        <v>176</v>
      </c>
      <c r="Q593">
        <f t="shared" si="19"/>
        <v>-59.977092016681311</v>
      </c>
    </row>
    <row r="594" spans="1:17" x14ac:dyDescent="0.4">
      <c r="A594" t="s">
        <v>1218</v>
      </c>
      <c r="B594" s="1">
        <v>45717.375</v>
      </c>
      <c r="C594" t="s">
        <v>16</v>
      </c>
      <c r="D594" t="s">
        <v>1219</v>
      </c>
      <c r="E594" t="s">
        <v>115</v>
      </c>
      <c r="F594" t="s">
        <v>38</v>
      </c>
      <c r="G594">
        <v>118</v>
      </c>
      <c r="H594">
        <v>0</v>
      </c>
      <c r="I594">
        <v>118</v>
      </c>
      <c r="J594">
        <v>3</v>
      </c>
      <c r="K594">
        <v>47.946749108094799</v>
      </c>
      <c r="L594">
        <v>354</v>
      </c>
      <c r="M594">
        <v>143.84024732428401</v>
      </c>
      <c r="N594">
        <v>210.159752675715</v>
      </c>
      <c r="O594" t="s">
        <v>26</v>
      </c>
      <c r="P594">
        <f t="shared" si="18"/>
        <v>354</v>
      </c>
      <c r="Q594">
        <f t="shared" si="19"/>
        <v>-210.15975267571599</v>
      </c>
    </row>
    <row r="595" spans="1:17" x14ac:dyDescent="0.4">
      <c r="A595" t="s">
        <v>1220</v>
      </c>
      <c r="B595" s="1">
        <v>45689.916666666664</v>
      </c>
      <c r="C595" t="s">
        <v>28</v>
      </c>
      <c r="D595" t="s">
        <v>1221</v>
      </c>
      <c r="E595" t="s">
        <v>94</v>
      </c>
      <c r="F595" t="s">
        <v>61</v>
      </c>
      <c r="G595">
        <v>285</v>
      </c>
      <c r="H595">
        <v>0</v>
      </c>
      <c r="I595">
        <v>285</v>
      </c>
      <c r="J595">
        <v>2</v>
      </c>
      <c r="K595">
        <v>161.18081172139</v>
      </c>
      <c r="L595">
        <v>570</v>
      </c>
      <c r="M595">
        <v>322.36162344278102</v>
      </c>
      <c r="N595">
        <v>247.63837655721801</v>
      </c>
      <c r="O595" t="s">
        <v>32</v>
      </c>
      <c r="P595">
        <f t="shared" si="18"/>
        <v>570</v>
      </c>
      <c r="Q595">
        <f t="shared" si="19"/>
        <v>-247.63837655721898</v>
      </c>
    </row>
    <row r="596" spans="1:17" x14ac:dyDescent="0.4">
      <c r="A596" t="s">
        <v>1222</v>
      </c>
      <c r="B596" s="1">
        <v>45485.208333333336</v>
      </c>
      <c r="C596" t="s">
        <v>16</v>
      </c>
      <c r="D596" t="s">
        <v>1223</v>
      </c>
      <c r="E596" t="s">
        <v>69</v>
      </c>
      <c r="F596" t="s">
        <v>70</v>
      </c>
      <c r="G596">
        <v>337</v>
      </c>
      <c r="H596">
        <v>0</v>
      </c>
      <c r="I596">
        <v>337</v>
      </c>
      <c r="J596">
        <v>6</v>
      </c>
      <c r="K596">
        <v>146.285585198289</v>
      </c>
      <c r="L596">
        <v>2022</v>
      </c>
      <c r="M596">
        <v>877.71351118973405</v>
      </c>
      <c r="N596">
        <v>1144.2864888102599</v>
      </c>
      <c r="O596" t="s">
        <v>51</v>
      </c>
      <c r="P596">
        <f t="shared" si="18"/>
        <v>2022</v>
      </c>
      <c r="Q596">
        <f t="shared" si="19"/>
        <v>-1144.2864888102658</v>
      </c>
    </row>
    <row r="597" spans="1:17" x14ac:dyDescent="0.4">
      <c r="A597" t="s">
        <v>1224</v>
      </c>
      <c r="B597" s="1">
        <v>45494.25</v>
      </c>
      <c r="C597" t="s">
        <v>22</v>
      </c>
      <c r="D597" t="s">
        <v>1225</v>
      </c>
      <c r="E597" t="s">
        <v>146</v>
      </c>
      <c r="F597" t="s">
        <v>70</v>
      </c>
      <c r="G597">
        <v>337</v>
      </c>
      <c r="H597">
        <v>0.1</v>
      </c>
      <c r="I597">
        <v>303.3</v>
      </c>
      <c r="J597">
        <v>2</v>
      </c>
      <c r="K597">
        <v>204.492676239253</v>
      </c>
      <c r="L597">
        <v>606.6</v>
      </c>
      <c r="M597">
        <v>408.98535247850702</v>
      </c>
      <c r="N597">
        <v>197.614647521492</v>
      </c>
      <c r="O597" t="s">
        <v>32</v>
      </c>
      <c r="P597">
        <f t="shared" si="18"/>
        <v>674</v>
      </c>
      <c r="Q597">
        <f t="shared" si="19"/>
        <v>-197.614647521493</v>
      </c>
    </row>
    <row r="598" spans="1:17" x14ac:dyDescent="0.4">
      <c r="A598" t="s">
        <v>1226</v>
      </c>
      <c r="B598" s="1">
        <v>45722</v>
      </c>
      <c r="C598" t="s">
        <v>16</v>
      </c>
      <c r="D598" t="s">
        <v>1227</v>
      </c>
      <c r="E598" t="s">
        <v>24</v>
      </c>
      <c r="F598" t="s">
        <v>25</v>
      </c>
      <c r="G598">
        <v>183</v>
      </c>
      <c r="H598">
        <v>0.2</v>
      </c>
      <c r="I598">
        <v>146.4</v>
      </c>
      <c r="J598">
        <v>3</v>
      </c>
      <c r="K598">
        <v>77.199555812079794</v>
      </c>
      <c r="L598">
        <v>439.2</v>
      </c>
      <c r="M598">
        <v>231.598667436239</v>
      </c>
      <c r="N598">
        <v>207.60133256376</v>
      </c>
      <c r="O598" t="s">
        <v>32</v>
      </c>
      <c r="P598">
        <f t="shared" si="18"/>
        <v>549</v>
      </c>
      <c r="Q598">
        <f t="shared" si="19"/>
        <v>-207.60133256376099</v>
      </c>
    </row>
    <row r="599" spans="1:17" x14ac:dyDescent="0.4">
      <c r="A599" t="s">
        <v>1228</v>
      </c>
      <c r="B599" s="1">
        <v>45495.833333333336</v>
      </c>
      <c r="C599" t="s">
        <v>43</v>
      </c>
      <c r="D599" t="s">
        <v>1229</v>
      </c>
      <c r="E599" t="s">
        <v>97</v>
      </c>
      <c r="F599" t="s">
        <v>61</v>
      </c>
      <c r="G599">
        <v>343</v>
      </c>
      <c r="H599">
        <v>0</v>
      </c>
      <c r="I599">
        <v>343</v>
      </c>
      <c r="J599">
        <v>2</v>
      </c>
      <c r="K599">
        <v>173.56856740520399</v>
      </c>
      <c r="L599">
        <v>686</v>
      </c>
      <c r="M599">
        <v>347.13713481040901</v>
      </c>
      <c r="N599">
        <v>338.86286518959002</v>
      </c>
      <c r="O599" t="s">
        <v>105</v>
      </c>
      <c r="P599">
        <f t="shared" si="18"/>
        <v>686</v>
      </c>
      <c r="Q599">
        <f t="shared" si="19"/>
        <v>-338.86286518959099</v>
      </c>
    </row>
    <row r="600" spans="1:17" x14ac:dyDescent="0.4">
      <c r="A600" t="s">
        <v>1230</v>
      </c>
      <c r="B600" s="1">
        <v>45585.458333333336</v>
      </c>
      <c r="C600" t="s">
        <v>28</v>
      </c>
      <c r="D600" t="s">
        <v>1231</v>
      </c>
      <c r="E600" t="s">
        <v>60</v>
      </c>
      <c r="F600" t="s">
        <v>61</v>
      </c>
      <c r="G600">
        <v>163</v>
      </c>
      <c r="H600">
        <v>0.15</v>
      </c>
      <c r="I600">
        <v>138.54999999999899</v>
      </c>
      <c r="J600">
        <v>3</v>
      </c>
      <c r="K600">
        <v>85.178141213138304</v>
      </c>
      <c r="L600">
        <v>415.65</v>
      </c>
      <c r="M600">
        <v>255.534423639415</v>
      </c>
      <c r="N600">
        <v>160.11557636058399</v>
      </c>
      <c r="O600" t="s">
        <v>32</v>
      </c>
      <c r="P600">
        <f t="shared" si="18"/>
        <v>489</v>
      </c>
      <c r="Q600">
        <f t="shared" si="19"/>
        <v>-160.11557636058498</v>
      </c>
    </row>
    <row r="601" spans="1:17" x14ac:dyDescent="0.4">
      <c r="A601" t="s">
        <v>1232</v>
      </c>
      <c r="B601" s="1">
        <v>45980.375</v>
      </c>
      <c r="C601" t="s">
        <v>28</v>
      </c>
      <c r="D601" t="s">
        <v>1233</v>
      </c>
      <c r="E601" t="s">
        <v>24</v>
      </c>
      <c r="F601" t="s">
        <v>25</v>
      </c>
      <c r="G601">
        <v>255</v>
      </c>
      <c r="H601">
        <v>0.1</v>
      </c>
      <c r="I601">
        <v>229.5</v>
      </c>
      <c r="J601">
        <v>3</v>
      </c>
      <c r="K601">
        <v>158.33353596686101</v>
      </c>
      <c r="L601">
        <v>688.5</v>
      </c>
      <c r="M601">
        <v>475.00060790058399</v>
      </c>
      <c r="N601">
        <v>213.49939209941499</v>
      </c>
      <c r="O601" t="s">
        <v>26</v>
      </c>
      <c r="P601">
        <f t="shared" si="18"/>
        <v>765</v>
      </c>
      <c r="Q601">
        <f t="shared" si="19"/>
        <v>-213.49939209941601</v>
      </c>
    </row>
    <row r="602" spans="1:17" x14ac:dyDescent="0.4">
      <c r="A602" t="s">
        <v>1234</v>
      </c>
      <c r="B602" s="1">
        <v>45465.5</v>
      </c>
      <c r="C602" t="s">
        <v>65</v>
      </c>
      <c r="D602" t="s">
        <v>1235</v>
      </c>
      <c r="E602" t="s">
        <v>94</v>
      </c>
      <c r="F602" t="s">
        <v>61</v>
      </c>
      <c r="G602">
        <v>113</v>
      </c>
      <c r="H602">
        <v>0.1</v>
      </c>
      <c r="I602">
        <v>101.7</v>
      </c>
      <c r="J602">
        <v>4</v>
      </c>
      <c r="K602">
        <v>78.762389127596705</v>
      </c>
      <c r="L602">
        <v>406.8</v>
      </c>
      <c r="M602">
        <v>315.04955651038603</v>
      </c>
      <c r="N602">
        <v>91.750443489613005</v>
      </c>
      <c r="O602" t="s">
        <v>32</v>
      </c>
      <c r="P602">
        <f t="shared" si="18"/>
        <v>452</v>
      </c>
      <c r="Q602">
        <f t="shared" si="19"/>
        <v>-91.750443489613986</v>
      </c>
    </row>
    <row r="603" spans="1:17" x14ac:dyDescent="0.4">
      <c r="A603" t="s">
        <v>1236</v>
      </c>
      <c r="B603" s="1">
        <v>45622.875</v>
      </c>
      <c r="C603" t="s">
        <v>22</v>
      </c>
      <c r="D603" t="s">
        <v>265</v>
      </c>
      <c r="E603" t="s">
        <v>82</v>
      </c>
      <c r="F603" t="s">
        <v>25</v>
      </c>
      <c r="G603">
        <v>88</v>
      </c>
      <c r="H603">
        <v>0.05</v>
      </c>
      <c r="I603">
        <v>83.6</v>
      </c>
      <c r="J603">
        <v>1</v>
      </c>
      <c r="K603">
        <v>57.484864858597497</v>
      </c>
      <c r="L603">
        <v>83.6</v>
      </c>
      <c r="M603">
        <v>57.484864858597497</v>
      </c>
      <c r="N603">
        <v>26.115135141402401</v>
      </c>
      <c r="O603" t="s">
        <v>26</v>
      </c>
      <c r="P603">
        <f t="shared" si="18"/>
        <v>88</v>
      </c>
      <c r="Q603">
        <f t="shared" si="19"/>
        <v>-26.115135141402497</v>
      </c>
    </row>
    <row r="604" spans="1:17" x14ac:dyDescent="0.4">
      <c r="A604" t="s">
        <v>1237</v>
      </c>
      <c r="B604" s="1">
        <v>45891.5</v>
      </c>
      <c r="C604" t="s">
        <v>28</v>
      </c>
      <c r="D604" t="s">
        <v>1238</v>
      </c>
      <c r="E604" t="s">
        <v>24</v>
      </c>
      <c r="F604" t="s">
        <v>25</v>
      </c>
      <c r="G604">
        <v>200</v>
      </c>
      <c r="H604">
        <v>0.05</v>
      </c>
      <c r="I604">
        <v>190</v>
      </c>
      <c r="J604">
        <v>4</v>
      </c>
      <c r="K604">
        <v>105.15966787815699</v>
      </c>
      <c r="L604">
        <v>760</v>
      </c>
      <c r="M604">
        <v>420.63867151262798</v>
      </c>
      <c r="N604">
        <v>339.361328487371</v>
      </c>
      <c r="O604" t="s">
        <v>32</v>
      </c>
      <c r="P604">
        <f t="shared" si="18"/>
        <v>800</v>
      </c>
      <c r="Q604">
        <f t="shared" si="19"/>
        <v>-339.36132848737202</v>
      </c>
    </row>
    <row r="605" spans="1:17" x14ac:dyDescent="0.4">
      <c r="A605" t="s">
        <v>1239</v>
      </c>
      <c r="B605" s="1">
        <v>45524.041666666664</v>
      </c>
      <c r="C605" t="s">
        <v>65</v>
      </c>
      <c r="D605" t="s">
        <v>1240</v>
      </c>
      <c r="E605" t="s">
        <v>48</v>
      </c>
      <c r="F605" t="s">
        <v>19</v>
      </c>
      <c r="G605">
        <v>274</v>
      </c>
      <c r="H605">
        <v>0.15</v>
      </c>
      <c r="I605">
        <v>232.9</v>
      </c>
      <c r="J605">
        <v>2</v>
      </c>
      <c r="K605">
        <v>114.654868846944</v>
      </c>
      <c r="L605">
        <v>465.8</v>
      </c>
      <c r="M605">
        <v>229.30973769388899</v>
      </c>
      <c r="N605">
        <v>236.49026230611</v>
      </c>
      <c r="O605" t="s">
        <v>20</v>
      </c>
      <c r="P605">
        <f t="shared" si="18"/>
        <v>548</v>
      </c>
      <c r="Q605">
        <f t="shared" si="19"/>
        <v>-236.49026230611102</v>
      </c>
    </row>
    <row r="606" spans="1:17" x14ac:dyDescent="0.4">
      <c r="A606" t="s">
        <v>1241</v>
      </c>
      <c r="B606" s="1">
        <v>45471.166666666664</v>
      </c>
      <c r="C606" t="s">
        <v>65</v>
      </c>
      <c r="D606" t="s">
        <v>1242</v>
      </c>
      <c r="E606" t="s">
        <v>24</v>
      </c>
      <c r="F606" t="s">
        <v>25</v>
      </c>
      <c r="G606">
        <v>132</v>
      </c>
      <c r="H606">
        <v>0</v>
      </c>
      <c r="I606">
        <v>132</v>
      </c>
      <c r="J606">
        <v>7</v>
      </c>
      <c r="K606">
        <v>58.607612880859698</v>
      </c>
      <c r="L606">
        <v>924</v>
      </c>
      <c r="M606">
        <v>410.25329016601802</v>
      </c>
      <c r="N606">
        <v>513.74670983398096</v>
      </c>
      <c r="O606" t="s">
        <v>20</v>
      </c>
      <c r="P606">
        <f t="shared" si="18"/>
        <v>924</v>
      </c>
      <c r="Q606">
        <f t="shared" si="19"/>
        <v>-513.74670983398198</v>
      </c>
    </row>
    <row r="607" spans="1:17" x14ac:dyDescent="0.4">
      <c r="A607" t="s">
        <v>1243</v>
      </c>
      <c r="B607" s="1">
        <v>45553.208333333336</v>
      </c>
      <c r="C607" t="s">
        <v>16</v>
      </c>
      <c r="D607" t="s">
        <v>1244</v>
      </c>
      <c r="E607" t="s">
        <v>69</v>
      </c>
      <c r="F607" t="s">
        <v>70</v>
      </c>
      <c r="G607">
        <v>259</v>
      </c>
      <c r="H607">
        <v>0.15</v>
      </c>
      <c r="I607">
        <v>220.15</v>
      </c>
      <c r="J607">
        <v>3</v>
      </c>
      <c r="K607">
        <v>176.64249919329001</v>
      </c>
      <c r="L607">
        <v>660.45</v>
      </c>
      <c r="M607">
        <v>529.92749757987099</v>
      </c>
      <c r="N607">
        <v>130.52250242012801</v>
      </c>
      <c r="O607" t="s">
        <v>51</v>
      </c>
      <c r="P607">
        <f t="shared" si="18"/>
        <v>777</v>
      </c>
      <c r="Q607">
        <f t="shared" si="19"/>
        <v>-130.52250242012906</v>
      </c>
    </row>
    <row r="608" spans="1:17" x14ac:dyDescent="0.4">
      <c r="A608" t="s">
        <v>1245</v>
      </c>
      <c r="B608" s="1">
        <v>45451.083333333336</v>
      </c>
      <c r="C608" t="s">
        <v>43</v>
      </c>
      <c r="D608" t="s">
        <v>1246</v>
      </c>
      <c r="E608" t="s">
        <v>146</v>
      </c>
      <c r="F608" t="s">
        <v>70</v>
      </c>
      <c r="G608">
        <v>137</v>
      </c>
      <c r="H608">
        <v>0.15</v>
      </c>
      <c r="I608">
        <v>116.45</v>
      </c>
      <c r="J608">
        <v>3</v>
      </c>
      <c r="K608">
        <v>63.207276874020401</v>
      </c>
      <c r="L608">
        <v>349.35</v>
      </c>
      <c r="M608">
        <v>189.621830622061</v>
      </c>
      <c r="N608">
        <v>159.728169377938</v>
      </c>
      <c r="O608" t="s">
        <v>20</v>
      </c>
      <c r="P608">
        <f t="shared" si="18"/>
        <v>411</v>
      </c>
      <c r="Q608">
        <f t="shared" si="19"/>
        <v>-159.72816937793903</v>
      </c>
    </row>
    <row r="609" spans="1:17" x14ac:dyDescent="0.4">
      <c r="A609" t="s">
        <v>1247</v>
      </c>
      <c r="B609" s="1">
        <v>45792.625</v>
      </c>
      <c r="C609" t="s">
        <v>16</v>
      </c>
      <c r="D609" t="s">
        <v>1248</v>
      </c>
      <c r="E609" t="s">
        <v>146</v>
      </c>
      <c r="F609" t="s">
        <v>70</v>
      </c>
      <c r="G609">
        <v>312</v>
      </c>
      <c r="H609">
        <v>0</v>
      </c>
      <c r="I609">
        <v>312</v>
      </c>
      <c r="J609">
        <v>5</v>
      </c>
      <c r="K609">
        <v>198.35819365403901</v>
      </c>
      <c r="L609">
        <v>1560</v>
      </c>
      <c r="M609">
        <v>991.79096827019498</v>
      </c>
      <c r="N609">
        <v>568.209031729804</v>
      </c>
      <c r="O609" t="s">
        <v>32</v>
      </c>
      <c r="P609">
        <f t="shared" si="18"/>
        <v>1560</v>
      </c>
      <c r="Q609">
        <f t="shared" si="19"/>
        <v>-568.20903172980502</v>
      </c>
    </row>
    <row r="610" spans="1:17" x14ac:dyDescent="0.4">
      <c r="A610" t="s">
        <v>1249</v>
      </c>
      <c r="B610" s="1">
        <v>45801.75</v>
      </c>
      <c r="C610" t="s">
        <v>43</v>
      </c>
      <c r="D610" t="s">
        <v>1250</v>
      </c>
      <c r="E610" t="s">
        <v>18</v>
      </c>
      <c r="F610" t="s">
        <v>19</v>
      </c>
      <c r="G610">
        <v>220</v>
      </c>
      <c r="H610">
        <v>0.15</v>
      </c>
      <c r="I610">
        <v>187</v>
      </c>
      <c r="J610">
        <v>2</v>
      </c>
      <c r="K610">
        <v>132.82514981673501</v>
      </c>
      <c r="L610">
        <v>374</v>
      </c>
      <c r="M610">
        <v>265.65029963347001</v>
      </c>
      <c r="N610">
        <v>108.34970036652901</v>
      </c>
      <c r="O610" t="s">
        <v>32</v>
      </c>
      <c r="P610">
        <f t="shared" si="18"/>
        <v>440</v>
      </c>
      <c r="Q610">
        <f t="shared" si="19"/>
        <v>-108.34970036652999</v>
      </c>
    </row>
    <row r="611" spans="1:17" x14ac:dyDescent="0.4">
      <c r="A611" t="s">
        <v>1251</v>
      </c>
      <c r="B611" s="1">
        <v>45552.583333333336</v>
      </c>
      <c r="C611" t="s">
        <v>28</v>
      </c>
      <c r="D611" t="s">
        <v>1252</v>
      </c>
      <c r="E611" t="s">
        <v>18</v>
      </c>
      <c r="F611" t="s">
        <v>19</v>
      </c>
      <c r="G611">
        <v>219</v>
      </c>
      <c r="H611">
        <v>0.15</v>
      </c>
      <c r="I611">
        <v>186.15</v>
      </c>
      <c r="J611">
        <v>7</v>
      </c>
      <c r="K611">
        <v>159.307839694466</v>
      </c>
      <c r="L611">
        <v>1303.05</v>
      </c>
      <c r="M611">
        <v>1115.15487786126</v>
      </c>
      <c r="N611">
        <v>187.895122138734</v>
      </c>
      <c r="O611" t="s">
        <v>26</v>
      </c>
      <c r="P611">
        <f t="shared" si="18"/>
        <v>1533</v>
      </c>
      <c r="Q611">
        <f t="shared" si="19"/>
        <v>-187.89512213873991</v>
      </c>
    </row>
    <row r="612" spans="1:17" x14ac:dyDescent="0.4">
      <c r="A612" t="s">
        <v>1253</v>
      </c>
      <c r="B612" s="1">
        <v>46006.333333333336</v>
      </c>
      <c r="C612" t="s">
        <v>22</v>
      </c>
      <c r="D612" t="s">
        <v>1254</v>
      </c>
      <c r="E612" t="s">
        <v>48</v>
      </c>
      <c r="F612" t="s">
        <v>19</v>
      </c>
      <c r="G612">
        <v>188</v>
      </c>
      <c r="H612">
        <v>0.2</v>
      </c>
      <c r="I612">
        <v>150.4</v>
      </c>
      <c r="J612">
        <v>2</v>
      </c>
      <c r="K612">
        <v>133.75123473100999</v>
      </c>
      <c r="L612">
        <v>300.8</v>
      </c>
      <c r="M612">
        <v>267.502469462021</v>
      </c>
      <c r="N612">
        <v>33.297530537978297</v>
      </c>
      <c r="O612" t="s">
        <v>26</v>
      </c>
      <c r="P612">
        <f t="shared" si="18"/>
        <v>376</v>
      </c>
      <c r="Q612">
        <f t="shared" si="19"/>
        <v>-33.297530537979014</v>
      </c>
    </row>
    <row r="613" spans="1:17" x14ac:dyDescent="0.4">
      <c r="A613" t="s">
        <v>1255</v>
      </c>
      <c r="B613" s="1">
        <v>45598.25</v>
      </c>
      <c r="C613" t="s">
        <v>43</v>
      </c>
      <c r="D613" t="s">
        <v>1256</v>
      </c>
      <c r="E613" t="s">
        <v>115</v>
      </c>
      <c r="F613" t="s">
        <v>38</v>
      </c>
      <c r="G613">
        <v>178</v>
      </c>
      <c r="H613">
        <v>0.25</v>
      </c>
      <c r="I613">
        <v>133.5</v>
      </c>
      <c r="J613">
        <v>7</v>
      </c>
      <c r="K613">
        <v>110.355792975206</v>
      </c>
      <c r="L613">
        <v>934.5</v>
      </c>
      <c r="M613">
        <v>772.49055082644395</v>
      </c>
      <c r="N613">
        <v>162.00944917355599</v>
      </c>
      <c r="O613" t="s">
        <v>20</v>
      </c>
      <c r="P613">
        <f t="shared" si="18"/>
        <v>1246</v>
      </c>
      <c r="Q613">
        <f t="shared" si="19"/>
        <v>-162.00944917355605</v>
      </c>
    </row>
    <row r="614" spans="1:17" x14ac:dyDescent="0.4">
      <c r="A614" t="s">
        <v>1257</v>
      </c>
      <c r="B614" s="1">
        <v>45924.625</v>
      </c>
      <c r="C614" t="s">
        <v>65</v>
      </c>
      <c r="D614" t="s">
        <v>1258</v>
      </c>
      <c r="E614" t="s">
        <v>94</v>
      </c>
      <c r="F614" t="s">
        <v>61</v>
      </c>
      <c r="G614">
        <v>165</v>
      </c>
      <c r="H614">
        <v>0</v>
      </c>
      <c r="I614">
        <v>165</v>
      </c>
      <c r="J614">
        <v>1</v>
      </c>
      <c r="K614">
        <v>107.999754168628</v>
      </c>
      <c r="L614">
        <v>165</v>
      </c>
      <c r="M614">
        <v>107.999754168628</v>
      </c>
      <c r="N614">
        <v>57.000245831371899</v>
      </c>
      <c r="O614" t="s">
        <v>105</v>
      </c>
      <c r="P614">
        <f t="shared" si="18"/>
        <v>165</v>
      </c>
      <c r="Q614">
        <f t="shared" si="19"/>
        <v>-57.000245831371998</v>
      </c>
    </row>
    <row r="615" spans="1:17" x14ac:dyDescent="0.4">
      <c r="A615" t="s">
        <v>1259</v>
      </c>
      <c r="B615" s="1">
        <v>45551.916666666664</v>
      </c>
      <c r="C615" t="s">
        <v>65</v>
      </c>
      <c r="D615" t="s">
        <v>1260</v>
      </c>
      <c r="E615" t="s">
        <v>69</v>
      </c>
      <c r="F615" t="s">
        <v>70</v>
      </c>
      <c r="G615">
        <v>143</v>
      </c>
      <c r="H615">
        <v>0.25</v>
      </c>
      <c r="I615">
        <v>107.25</v>
      </c>
      <c r="J615">
        <v>5</v>
      </c>
      <c r="K615">
        <v>86.382537605328295</v>
      </c>
      <c r="L615">
        <v>536.25</v>
      </c>
      <c r="M615">
        <v>431.91268802664098</v>
      </c>
      <c r="N615">
        <v>104.337311973358</v>
      </c>
      <c r="O615" t="s">
        <v>51</v>
      </c>
      <c r="P615">
        <f t="shared" si="18"/>
        <v>715</v>
      </c>
      <c r="Q615">
        <f t="shared" si="19"/>
        <v>-104.33731197335902</v>
      </c>
    </row>
    <row r="616" spans="1:17" x14ac:dyDescent="0.4">
      <c r="A616" t="s">
        <v>1261</v>
      </c>
      <c r="B616" s="1">
        <v>45545.75</v>
      </c>
      <c r="C616" t="s">
        <v>16</v>
      </c>
      <c r="D616" t="s">
        <v>1262</v>
      </c>
      <c r="E616" t="s">
        <v>85</v>
      </c>
      <c r="F616" t="s">
        <v>70</v>
      </c>
      <c r="G616">
        <v>117</v>
      </c>
      <c r="H616">
        <v>0.1</v>
      </c>
      <c r="I616">
        <v>105.3</v>
      </c>
      <c r="J616">
        <v>1</v>
      </c>
      <c r="K616">
        <v>77.434927099992606</v>
      </c>
      <c r="L616">
        <v>105.3</v>
      </c>
      <c r="M616">
        <v>77.434927099992606</v>
      </c>
      <c r="N616">
        <v>27.865072900007299</v>
      </c>
      <c r="O616" t="s">
        <v>51</v>
      </c>
      <c r="P616">
        <f t="shared" si="18"/>
        <v>117</v>
      </c>
      <c r="Q616">
        <f t="shared" si="19"/>
        <v>-27.865072900007391</v>
      </c>
    </row>
    <row r="617" spans="1:17" x14ac:dyDescent="0.4">
      <c r="A617" t="s">
        <v>1263</v>
      </c>
      <c r="B617" s="1">
        <v>45776.875</v>
      </c>
      <c r="C617" t="s">
        <v>46</v>
      </c>
      <c r="D617" t="s">
        <v>1264</v>
      </c>
      <c r="E617" t="s">
        <v>110</v>
      </c>
      <c r="F617" t="s">
        <v>19</v>
      </c>
      <c r="G617">
        <v>152</v>
      </c>
      <c r="H617">
        <v>0.05</v>
      </c>
      <c r="I617">
        <v>144.4</v>
      </c>
      <c r="J617">
        <v>4</v>
      </c>
      <c r="K617">
        <v>102.026194726676</v>
      </c>
      <c r="L617">
        <v>577.6</v>
      </c>
      <c r="M617">
        <v>408.104778906707</v>
      </c>
      <c r="N617">
        <v>169.495221093292</v>
      </c>
      <c r="O617" t="s">
        <v>32</v>
      </c>
      <c r="P617">
        <f t="shared" si="18"/>
        <v>608</v>
      </c>
      <c r="Q617">
        <f t="shared" si="19"/>
        <v>-169.49522109329303</v>
      </c>
    </row>
    <row r="618" spans="1:17" x14ac:dyDescent="0.4">
      <c r="A618" t="s">
        <v>1265</v>
      </c>
      <c r="B618" s="1">
        <v>45818.958333333336</v>
      </c>
      <c r="C618" t="s">
        <v>22</v>
      </c>
      <c r="D618" t="s">
        <v>1266</v>
      </c>
      <c r="E618" t="s">
        <v>213</v>
      </c>
      <c r="F618" t="s">
        <v>31</v>
      </c>
      <c r="G618">
        <v>305</v>
      </c>
      <c r="H618">
        <v>0.05</v>
      </c>
      <c r="I618">
        <v>289.75</v>
      </c>
      <c r="J618">
        <v>6</v>
      </c>
      <c r="K618">
        <v>132.98511818050801</v>
      </c>
      <c r="L618">
        <v>1738.5</v>
      </c>
      <c r="M618">
        <v>797.91070908305096</v>
      </c>
      <c r="N618">
        <v>940.58929091694802</v>
      </c>
      <c r="O618" t="s">
        <v>32</v>
      </c>
      <c r="P618">
        <f t="shared" si="18"/>
        <v>1830</v>
      </c>
      <c r="Q618">
        <f t="shared" si="19"/>
        <v>-940.58929091694904</v>
      </c>
    </row>
    <row r="619" spans="1:17" x14ac:dyDescent="0.4">
      <c r="A619" t="s">
        <v>1267</v>
      </c>
      <c r="B619" s="1">
        <v>45704.958333333336</v>
      </c>
      <c r="C619" t="s">
        <v>65</v>
      </c>
      <c r="D619" t="s">
        <v>1268</v>
      </c>
      <c r="E619" t="s">
        <v>37</v>
      </c>
      <c r="F619" t="s">
        <v>38</v>
      </c>
      <c r="G619">
        <v>323</v>
      </c>
      <c r="H619">
        <v>0.15</v>
      </c>
      <c r="I619">
        <v>274.55</v>
      </c>
      <c r="J619">
        <v>3</v>
      </c>
      <c r="K619">
        <v>157.70487420759201</v>
      </c>
      <c r="L619">
        <v>823.65</v>
      </c>
      <c r="M619">
        <v>473.11462262277701</v>
      </c>
      <c r="N619">
        <v>350.53537737722201</v>
      </c>
      <c r="O619" t="s">
        <v>32</v>
      </c>
      <c r="P619">
        <f t="shared" si="18"/>
        <v>969</v>
      </c>
      <c r="Q619">
        <f t="shared" si="19"/>
        <v>-350.53537737722297</v>
      </c>
    </row>
    <row r="620" spans="1:17" x14ac:dyDescent="0.4">
      <c r="A620" t="s">
        <v>1269</v>
      </c>
      <c r="B620" s="1">
        <v>45645</v>
      </c>
      <c r="C620" t="s">
        <v>28</v>
      </c>
      <c r="D620" t="s">
        <v>1270</v>
      </c>
      <c r="E620" t="s">
        <v>24</v>
      </c>
      <c r="F620" t="s">
        <v>25</v>
      </c>
      <c r="G620">
        <v>212</v>
      </c>
      <c r="H620">
        <v>0.05</v>
      </c>
      <c r="I620">
        <v>201.39999999999901</v>
      </c>
      <c r="J620">
        <v>2</v>
      </c>
      <c r="K620">
        <v>94.159414224798397</v>
      </c>
      <c r="L620">
        <v>402.79999999999899</v>
      </c>
      <c r="M620">
        <v>188.318828449596</v>
      </c>
      <c r="N620">
        <v>214.48117155040299</v>
      </c>
      <c r="O620" t="s">
        <v>20</v>
      </c>
      <c r="P620">
        <f t="shared" si="18"/>
        <v>424</v>
      </c>
      <c r="Q620">
        <f t="shared" si="19"/>
        <v>-214.48117155040299</v>
      </c>
    </row>
    <row r="621" spans="1:17" x14ac:dyDescent="0.4">
      <c r="A621" t="s">
        <v>1271</v>
      </c>
      <c r="B621" s="1">
        <v>45428.083333333336</v>
      </c>
      <c r="C621" t="s">
        <v>43</v>
      </c>
      <c r="D621" t="s">
        <v>1272</v>
      </c>
      <c r="E621" t="s">
        <v>69</v>
      </c>
      <c r="F621" t="s">
        <v>70</v>
      </c>
      <c r="G621">
        <v>258</v>
      </c>
      <c r="H621">
        <v>0</v>
      </c>
      <c r="I621">
        <v>258</v>
      </c>
      <c r="J621">
        <v>5</v>
      </c>
      <c r="K621">
        <v>151.88919960969599</v>
      </c>
      <c r="L621">
        <v>1290</v>
      </c>
      <c r="M621">
        <v>759.44599804848201</v>
      </c>
      <c r="N621">
        <v>530.55400195151697</v>
      </c>
      <c r="O621" t="s">
        <v>32</v>
      </c>
      <c r="P621">
        <f t="shared" si="18"/>
        <v>1290</v>
      </c>
      <c r="Q621">
        <f t="shared" si="19"/>
        <v>-530.55400195151799</v>
      </c>
    </row>
    <row r="622" spans="1:17" x14ac:dyDescent="0.4">
      <c r="A622" t="s">
        <v>1273</v>
      </c>
      <c r="B622" s="1">
        <v>45319.75</v>
      </c>
      <c r="C622" t="s">
        <v>28</v>
      </c>
      <c r="D622" t="s">
        <v>1274</v>
      </c>
      <c r="E622" t="s">
        <v>104</v>
      </c>
      <c r="F622" t="s">
        <v>25</v>
      </c>
      <c r="G622">
        <v>321</v>
      </c>
      <c r="H622">
        <v>0</v>
      </c>
      <c r="I622">
        <v>321</v>
      </c>
      <c r="J622">
        <v>1</v>
      </c>
      <c r="K622">
        <v>132.091449991133</v>
      </c>
      <c r="L622">
        <v>321</v>
      </c>
      <c r="M622">
        <v>132.091449991133</v>
      </c>
      <c r="N622">
        <v>188.908550008866</v>
      </c>
      <c r="O622" t="s">
        <v>32</v>
      </c>
      <c r="P622">
        <f t="shared" si="18"/>
        <v>321</v>
      </c>
      <c r="Q622">
        <f t="shared" si="19"/>
        <v>-188.908550008867</v>
      </c>
    </row>
    <row r="623" spans="1:17" x14ac:dyDescent="0.4">
      <c r="A623" t="s">
        <v>1275</v>
      </c>
      <c r="B623" s="1">
        <v>45466.5</v>
      </c>
      <c r="C623" t="s">
        <v>16</v>
      </c>
      <c r="D623" t="s">
        <v>1276</v>
      </c>
      <c r="E623" t="s">
        <v>73</v>
      </c>
      <c r="F623" t="s">
        <v>38</v>
      </c>
      <c r="G623">
        <v>210</v>
      </c>
      <c r="H623">
        <v>0</v>
      </c>
      <c r="I623">
        <v>210</v>
      </c>
      <c r="J623">
        <v>4</v>
      </c>
      <c r="K623">
        <v>109.52570286146801</v>
      </c>
      <c r="L623">
        <v>840</v>
      </c>
      <c r="M623">
        <v>438.10281144587498</v>
      </c>
      <c r="N623">
        <v>401.897188554124</v>
      </c>
      <c r="O623" t="s">
        <v>26</v>
      </c>
      <c r="P623">
        <f t="shared" si="18"/>
        <v>840</v>
      </c>
      <c r="Q623">
        <f t="shared" si="19"/>
        <v>-401.89718855412502</v>
      </c>
    </row>
    <row r="624" spans="1:17" x14ac:dyDescent="0.4">
      <c r="A624" t="s">
        <v>1277</v>
      </c>
      <c r="B624" s="1">
        <v>46002.625</v>
      </c>
      <c r="C624" t="s">
        <v>65</v>
      </c>
      <c r="D624" t="s">
        <v>1278</v>
      </c>
      <c r="E624" t="s">
        <v>110</v>
      </c>
      <c r="F624" t="s">
        <v>19</v>
      </c>
      <c r="G624">
        <v>124</v>
      </c>
      <c r="H624">
        <v>0.1</v>
      </c>
      <c r="I624">
        <v>111.6</v>
      </c>
      <c r="J624">
        <v>3</v>
      </c>
      <c r="K624">
        <v>60.944643538721103</v>
      </c>
      <c r="L624">
        <v>334.8</v>
      </c>
      <c r="M624">
        <v>182.833930616163</v>
      </c>
      <c r="N624">
        <v>151.96606938383599</v>
      </c>
      <c r="O624" t="s">
        <v>20</v>
      </c>
      <c r="P624">
        <f t="shared" si="18"/>
        <v>372</v>
      </c>
      <c r="Q624">
        <f t="shared" si="19"/>
        <v>-151.96606938383701</v>
      </c>
    </row>
    <row r="625" spans="1:17" x14ac:dyDescent="0.4">
      <c r="A625" t="s">
        <v>1279</v>
      </c>
      <c r="B625" s="1">
        <v>45715.375</v>
      </c>
      <c r="C625" t="s">
        <v>28</v>
      </c>
      <c r="D625" t="s">
        <v>1280</v>
      </c>
      <c r="E625" t="s">
        <v>104</v>
      </c>
      <c r="F625" t="s">
        <v>25</v>
      </c>
      <c r="G625">
        <v>269</v>
      </c>
      <c r="H625">
        <v>0.15</v>
      </c>
      <c r="I625">
        <v>228.65</v>
      </c>
      <c r="J625">
        <v>4</v>
      </c>
      <c r="K625">
        <v>156.28796763280101</v>
      </c>
      <c r="L625">
        <v>914.6</v>
      </c>
      <c r="M625">
        <v>625.15187053120599</v>
      </c>
      <c r="N625">
        <v>289.44812946879301</v>
      </c>
      <c r="O625" t="s">
        <v>32</v>
      </c>
      <c r="P625">
        <f t="shared" si="18"/>
        <v>1076</v>
      </c>
      <c r="Q625">
        <f t="shared" si="19"/>
        <v>-289.44812946879404</v>
      </c>
    </row>
    <row r="626" spans="1:17" x14ac:dyDescent="0.4">
      <c r="A626" t="s">
        <v>1281</v>
      </c>
      <c r="B626" s="1">
        <v>45763.416666666664</v>
      </c>
      <c r="C626" t="s">
        <v>46</v>
      </c>
      <c r="D626" t="s">
        <v>1282</v>
      </c>
      <c r="E626" t="s">
        <v>115</v>
      </c>
      <c r="F626" t="s">
        <v>38</v>
      </c>
      <c r="G626">
        <v>161</v>
      </c>
      <c r="H626">
        <v>0.05</v>
      </c>
      <c r="I626">
        <v>152.94999999999999</v>
      </c>
      <c r="J626">
        <v>3</v>
      </c>
      <c r="K626">
        <v>119.084212229618</v>
      </c>
      <c r="L626">
        <v>458.849999999999</v>
      </c>
      <c r="M626">
        <v>357.252636688856</v>
      </c>
      <c r="N626">
        <v>101.597363311143</v>
      </c>
      <c r="O626" t="s">
        <v>32</v>
      </c>
      <c r="P626">
        <f t="shared" si="18"/>
        <v>483</v>
      </c>
      <c r="Q626">
        <f t="shared" si="19"/>
        <v>-101.597363311143</v>
      </c>
    </row>
    <row r="627" spans="1:17" x14ac:dyDescent="0.4">
      <c r="A627" t="s">
        <v>1283</v>
      </c>
      <c r="B627" s="1">
        <v>45829.125</v>
      </c>
      <c r="C627" t="s">
        <v>65</v>
      </c>
      <c r="D627" t="s">
        <v>1284</v>
      </c>
      <c r="E627" t="s">
        <v>48</v>
      </c>
      <c r="F627" t="s">
        <v>19</v>
      </c>
      <c r="G627">
        <v>316</v>
      </c>
      <c r="H627">
        <v>0.05</v>
      </c>
      <c r="I627">
        <v>300.2</v>
      </c>
      <c r="J627">
        <v>6</v>
      </c>
      <c r="K627">
        <v>152.745963563603</v>
      </c>
      <c r="L627">
        <v>1801.19999999999</v>
      </c>
      <c r="M627">
        <v>916.47578138161805</v>
      </c>
      <c r="N627">
        <v>884.72421861838097</v>
      </c>
      <c r="O627" t="s">
        <v>32</v>
      </c>
      <c r="P627">
        <f t="shared" si="18"/>
        <v>1896</v>
      </c>
      <c r="Q627">
        <f t="shared" si="19"/>
        <v>-884.72421861837199</v>
      </c>
    </row>
    <row r="628" spans="1:17" x14ac:dyDescent="0.4">
      <c r="A628" t="s">
        <v>1285</v>
      </c>
      <c r="B628" s="1">
        <v>45491.041666666664</v>
      </c>
      <c r="C628" t="s">
        <v>28</v>
      </c>
      <c r="D628" t="s">
        <v>1286</v>
      </c>
      <c r="E628" t="s">
        <v>213</v>
      </c>
      <c r="F628" t="s">
        <v>31</v>
      </c>
      <c r="G628">
        <v>104</v>
      </c>
      <c r="H628">
        <v>0</v>
      </c>
      <c r="I628">
        <v>104</v>
      </c>
      <c r="J628">
        <v>2</v>
      </c>
      <c r="K628">
        <v>70.009149437037607</v>
      </c>
      <c r="L628">
        <v>208</v>
      </c>
      <c r="M628">
        <v>140.01829887407499</v>
      </c>
      <c r="N628">
        <v>67.981701125924701</v>
      </c>
      <c r="O628" t="s">
        <v>32</v>
      </c>
      <c r="P628">
        <f t="shared" si="18"/>
        <v>208</v>
      </c>
      <c r="Q628">
        <f t="shared" si="19"/>
        <v>-67.981701125925014</v>
      </c>
    </row>
    <row r="629" spans="1:17" x14ac:dyDescent="0.4">
      <c r="A629" t="s">
        <v>1287</v>
      </c>
      <c r="B629" s="1">
        <v>45454.5</v>
      </c>
      <c r="C629" t="s">
        <v>65</v>
      </c>
      <c r="D629" t="s">
        <v>1288</v>
      </c>
      <c r="E629" t="s">
        <v>69</v>
      </c>
      <c r="F629" t="s">
        <v>70</v>
      </c>
      <c r="G629">
        <v>91</v>
      </c>
      <c r="H629">
        <v>0.15</v>
      </c>
      <c r="I629">
        <v>77.349999999999994</v>
      </c>
      <c r="J629">
        <v>4</v>
      </c>
      <c r="K629">
        <v>60.9714260337784</v>
      </c>
      <c r="L629">
        <v>309.39999999999998</v>
      </c>
      <c r="M629">
        <v>243.885704135113</v>
      </c>
      <c r="N629">
        <v>65.514295864886094</v>
      </c>
      <c r="O629" t="s">
        <v>51</v>
      </c>
      <c r="P629">
        <f t="shared" si="18"/>
        <v>364</v>
      </c>
      <c r="Q629">
        <f t="shared" si="19"/>
        <v>-65.514295864886975</v>
      </c>
    </row>
    <row r="630" spans="1:17" x14ac:dyDescent="0.4">
      <c r="A630" t="s">
        <v>1289</v>
      </c>
      <c r="B630" s="1">
        <v>45863.5</v>
      </c>
      <c r="C630" t="s">
        <v>22</v>
      </c>
      <c r="D630" t="s">
        <v>1290</v>
      </c>
      <c r="E630" t="s">
        <v>94</v>
      </c>
      <c r="F630" t="s">
        <v>61</v>
      </c>
      <c r="G630">
        <v>159</v>
      </c>
      <c r="H630">
        <v>0.25</v>
      </c>
      <c r="I630">
        <v>119.25</v>
      </c>
      <c r="J630">
        <v>2</v>
      </c>
      <c r="K630">
        <v>108.06892141220899</v>
      </c>
      <c r="L630">
        <v>238.5</v>
      </c>
      <c r="M630">
        <v>216.13784282441799</v>
      </c>
      <c r="N630">
        <v>22.362157175581402</v>
      </c>
      <c r="O630" t="s">
        <v>26</v>
      </c>
      <c r="P630">
        <f t="shared" si="18"/>
        <v>318</v>
      </c>
      <c r="Q630">
        <f t="shared" si="19"/>
        <v>-22.362157175582013</v>
      </c>
    </row>
    <row r="631" spans="1:17" x14ac:dyDescent="0.4">
      <c r="A631" t="s">
        <v>1291</v>
      </c>
      <c r="B631" s="1">
        <v>45582.875</v>
      </c>
      <c r="C631" t="s">
        <v>43</v>
      </c>
      <c r="D631" t="s">
        <v>1292</v>
      </c>
      <c r="E631" t="s">
        <v>69</v>
      </c>
      <c r="F631" t="s">
        <v>70</v>
      </c>
      <c r="G631">
        <v>94</v>
      </c>
      <c r="H631">
        <v>0.1</v>
      </c>
      <c r="I631">
        <v>84.6</v>
      </c>
      <c r="J631">
        <v>2</v>
      </c>
      <c r="K631">
        <v>45.024364782412597</v>
      </c>
      <c r="L631">
        <v>169.2</v>
      </c>
      <c r="M631">
        <v>90.048729564825194</v>
      </c>
      <c r="N631">
        <v>79.151270435174794</v>
      </c>
      <c r="O631" t="s">
        <v>20</v>
      </c>
      <c r="P631">
        <f t="shared" si="18"/>
        <v>188</v>
      </c>
      <c r="Q631">
        <f t="shared" si="19"/>
        <v>-79.151270435174794</v>
      </c>
    </row>
    <row r="632" spans="1:17" x14ac:dyDescent="0.4">
      <c r="A632" t="s">
        <v>1293</v>
      </c>
      <c r="B632" s="1">
        <v>45557.666666666664</v>
      </c>
      <c r="C632" t="s">
        <v>28</v>
      </c>
      <c r="D632" t="s">
        <v>1294</v>
      </c>
      <c r="E632" t="s">
        <v>48</v>
      </c>
      <c r="F632" t="s">
        <v>19</v>
      </c>
      <c r="G632">
        <v>160</v>
      </c>
      <c r="H632">
        <v>0.15</v>
      </c>
      <c r="I632">
        <v>136</v>
      </c>
      <c r="J632">
        <v>4</v>
      </c>
      <c r="K632">
        <v>110.773667368896</v>
      </c>
      <c r="L632">
        <v>544</v>
      </c>
      <c r="M632">
        <v>443.09466947558502</v>
      </c>
      <c r="N632">
        <v>100.905330524414</v>
      </c>
      <c r="O632" t="s">
        <v>51</v>
      </c>
      <c r="P632">
        <f t="shared" si="18"/>
        <v>640</v>
      </c>
      <c r="Q632">
        <f t="shared" si="19"/>
        <v>-100.90533052441498</v>
      </c>
    </row>
    <row r="633" spans="1:17" x14ac:dyDescent="0.4">
      <c r="A633" t="s">
        <v>1295</v>
      </c>
      <c r="B633" s="1">
        <v>45996.458333333336</v>
      </c>
      <c r="C633" t="s">
        <v>65</v>
      </c>
      <c r="D633" t="s">
        <v>1296</v>
      </c>
      <c r="E633" t="s">
        <v>37</v>
      </c>
      <c r="F633" t="s">
        <v>38</v>
      </c>
      <c r="G633">
        <v>282</v>
      </c>
      <c r="H633">
        <v>0</v>
      </c>
      <c r="I633">
        <v>282</v>
      </c>
      <c r="J633">
        <v>5</v>
      </c>
      <c r="K633">
        <v>134.55721923890101</v>
      </c>
      <c r="L633">
        <v>1410</v>
      </c>
      <c r="M633">
        <v>672.78609619450503</v>
      </c>
      <c r="N633">
        <v>737.21390380549497</v>
      </c>
      <c r="O633" t="s">
        <v>51</v>
      </c>
      <c r="P633">
        <f t="shared" si="18"/>
        <v>1410</v>
      </c>
      <c r="Q633">
        <f t="shared" si="19"/>
        <v>-737.21390380549497</v>
      </c>
    </row>
    <row r="634" spans="1:17" x14ac:dyDescent="0.4">
      <c r="A634" t="s">
        <v>1297</v>
      </c>
      <c r="B634" s="1">
        <v>45715.333333333336</v>
      </c>
      <c r="C634" t="s">
        <v>16</v>
      </c>
      <c r="D634" t="s">
        <v>1298</v>
      </c>
      <c r="E634" t="s">
        <v>18</v>
      </c>
      <c r="F634" t="s">
        <v>19</v>
      </c>
      <c r="G634">
        <v>265</v>
      </c>
      <c r="H634">
        <v>0</v>
      </c>
      <c r="I634">
        <v>265</v>
      </c>
      <c r="J634">
        <v>1</v>
      </c>
      <c r="K634">
        <v>195.719682328034</v>
      </c>
      <c r="L634">
        <v>265</v>
      </c>
      <c r="M634">
        <v>195.719682328034</v>
      </c>
      <c r="N634">
        <v>69.280317671965605</v>
      </c>
      <c r="O634" t="s">
        <v>32</v>
      </c>
      <c r="P634">
        <f t="shared" si="18"/>
        <v>265</v>
      </c>
      <c r="Q634">
        <f t="shared" si="19"/>
        <v>-69.280317671966003</v>
      </c>
    </row>
    <row r="635" spans="1:17" x14ac:dyDescent="0.4">
      <c r="A635" t="s">
        <v>1299</v>
      </c>
      <c r="B635" s="1">
        <v>45880.5</v>
      </c>
      <c r="C635" t="s">
        <v>16</v>
      </c>
      <c r="D635" t="s">
        <v>1300</v>
      </c>
      <c r="E635" t="s">
        <v>73</v>
      </c>
      <c r="F635" t="s">
        <v>38</v>
      </c>
      <c r="G635">
        <v>206</v>
      </c>
      <c r="H635">
        <v>0.15</v>
      </c>
      <c r="I635">
        <v>175.1</v>
      </c>
      <c r="J635">
        <v>6</v>
      </c>
      <c r="K635">
        <v>92.8138705075811</v>
      </c>
      <c r="L635">
        <v>1050.5999999999999</v>
      </c>
      <c r="M635">
        <v>556.88322304548603</v>
      </c>
      <c r="N635">
        <v>493.71677695451302</v>
      </c>
      <c r="O635" t="s">
        <v>32</v>
      </c>
      <c r="P635">
        <f t="shared" si="18"/>
        <v>1236</v>
      </c>
      <c r="Q635">
        <f t="shared" si="19"/>
        <v>-493.71677695451388</v>
      </c>
    </row>
    <row r="636" spans="1:17" x14ac:dyDescent="0.4">
      <c r="A636" t="s">
        <v>1301</v>
      </c>
      <c r="B636" s="1">
        <v>45970.416666666664</v>
      </c>
      <c r="C636" t="s">
        <v>43</v>
      </c>
      <c r="D636" t="s">
        <v>1302</v>
      </c>
      <c r="E636" t="s">
        <v>97</v>
      </c>
      <c r="F636" t="s">
        <v>61</v>
      </c>
      <c r="G636">
        <v>131</v>
      </c>
      <c r="H636">
        <v>0.05</v>
      </c>
      <c r="I636">
        <v>124.44999999999899</v>
      </c>
      <c r="J636">
        <v>1</v>
      </c>
      <c r="K636">
        <v>85.091705281860797</v>
      </c>
      <c r="L636">
        <v>124.44999999999899</v>
      </c>
      <c r="M636">
        <v>85.091705281860797</v>
      </c>
      <c r="N636">
        <v>39.358294718139099</v>
      </c>
      <c r="O636" t="s">
        <v>32</v>
      </c>
      <c r="P636">
        <f t="shared" si="18"/>
        <v>131</v>
      </c>
      <c r="Q636">
        <f t="shared" si="19"/>
        <v>-39.358294718138197</v>
      </c>
    </row>
    <row r="637" spans="1:17" x14ac:dyDescent="0.4">
      <c r="A637" t="s">
        <v>1303</v>
      </c>
      <c r="B637" s="1">
        <v>45729</v>
      </c>
      <c r="C637" t="s">
        <v>28</v>
      </c>
      <c r="D637" t="s">
        <v>1304</v>
      </c>
      <c r="E637" t="s">
        <v>30</v>
      </c>
      <c r="F637" t="s">
        <v>31</v>
      </c>
      <c r="G637">
        <v>224</v>
      </c>
      <c r="H637">
        <v>0.05</v>
      </c>
      <c r="I637">
        <v>212.79999999999899</v>
      </c>
      <c r="J637">
        <v>1</v>
      </c>
      <c r="K637">
        <v>121.223761514066</v>
      </c>
      <c r="L637">
        <v>212.79999999999899</v>
      </c>
      <c r="M637">
        <v>121.223761514066</v>
      </c>
      <c r="N637">
        <v>91.576238485933899</v>
      </c>
      <c r="O637" t="s">
        <v>32</v>
      </c>
      <c r="P637">
        <f t="shared" si="18"/>
        <v>224</v>
      </c>
      <c r="Q637">
        <f t="shared" si="19"/>
        <v>-91.57623848593299</v>
      </c>
    </row>
    <row r="638" spans="1:17" x14ac:dyDescent="0.4">
      <c r="A638" t="s">
        <v>1305</v>
      </c>
      <c r="B638" s="1">
        <v>45510.333333333336</v>
      </c>
      <c r="C638" t="s">
        <v>16</v>
      </c>
      <c r="D638" t="s">
        <v>1306</v>
      </c>
      <c r="E638" t="s">
        <v>30</v>
      </c>
      <c r="F638" t="s">
        <v>31</v>
      </c>
      <c r="G638">
        <v>284</v>
      </c>
      <c r="H638">
        <v>0.15</v>
      </c>
      <c r="I638">
        <v>241.4</v>
      </c>
      <c r="J638">
        <v>7</v>
      </c>
      <c r="K638">
        <v>155.37281041966901</v>
      </c>
      <c r="L638">
        <v>1689.8</v>
      </c>
      <c r="M638">
        <v>1087.60967293768</v>
      </c>
      <c r="N638">
        <v>602.19032706231201</v>
      </c>
      <c r="O638" t="s">
        <v>32</v>
      </c>
      <c r="P638">
        <f t="shared" si="18"/>
        <v>1988</v>
      </c>
      <c r="Q638">
        <f t="shared" si="19"/>
        <v>-602.19032706231997</v>
      </c>
    </row>
    <row r="639" spans="1:17" x14ac:dyDescent="0.4">
      <c r="A639" t="s">
        <v>1307</v>
      </c>
      <c r="B639" s="1">
        <v>45727.541666666664</v>
      </c>
      <c r="C639" t="s">
        <v>16</v>
      </c>
      <c r="D639" t="s">
        <v>1308</v>
      </c>
      <c r="E639" t="s">
        <v>30</v>
      </c>
      <c r="F639" t="s">
        <v>31</v>
      </c>
      <c r="G639">
        <v>228</v>
      </c>
      <c r="H639">
        <v>0</v>
      </c>
      <c r="I639">
        <v>228</v>
      </c>
      <c r="J639">
        <v>6</v>
      </c>
      <c r="K639">
        <v>164.61904549590199</v>
      </c>
      <c r="L639">
        <v>1368</v>
      </c>
      <c r="M639">
        <v>987.71427297541402</v>
      </c>
      <c r="N639">
        <v>380.28572702458501</v>
      </c>
      <c r="O639" t="s">
        <v>32</v>
      </c>
      <c r="P639">
        <f t="shared" si="18"/>
        <v>1368</v>
      </c>
      <c r="Q639">
        <f t="shared" si="19"/>
        <v>-380.28572702458598</v>
      </c>
    </row>
    <row r="640" spans="1:17" x14ac:dyDescent="0.4">
      <c r="A640" t="s">
        <v>1309</v>
      </c>
      <c r="B640" s="1">
        <v>45728.583333333336</v>
      </c>
      <c r="C640" t="s">
        <v>28</v>
      </c>
      <c r="D640" t="s">
        <v>1310</v>
      </c>
      <c r="E640" t="s">
        <v>69</v>
      </c>
      <c r="F640" t="s">
        <v>70</v>
      </c>
      <c r="G640">
        <v>145</v>
      </c>
      <c r="H640">
        <v>0.15</v>
      </c>
      <c r="I640">
        <v>123.25</v>
      </c>
      <c r="J640">
        <v>4</v>
      </c>
      <c r="K640">
        <v>83.467384058680906</v>
      </c>
      <c r="L640">
        <v>493</v>
      </c>
      <c r="M640">
        <v>333.869536234723</v>
      </c>
      <c r="N640">
        <v>159.13046376527601</v>
      </c>
      <c r="O640" t="s">
        <v>32</v>
      </c>
      <c r="P640">
        <f t="shared" si="18"/>
        <v>580</v>
      </c>
      <c r="Q640">
        <f t="shared" si="19"/>
        <v>-159.130463765277</v>
      </c>
    </row>
    <row r="641" spans="1:17" x14ac:dyDescent="0.4">
      <c r="A641" t="s">
        <v>1311</v>
      </c>
      <c r="B641" s="1">
        <v>45808.416666666664</v>
      </c>
      <c r="C641" t="s">
        <v>43</v>
      </c>
      <c r="D641" t="s">
        <v>1312</v>
      </c>
      <c r="E641" t="s">
        <v>48</v>
      </c>
      <c r="F641" t="s">
        <v>19</v>
      </c>
      <c r="G641">
        <v>297</v>
      </c>
      <c r="H641">
        <v>0</v>
      </c>
      <c r="I641">
        <v>297</v>
      </c>
      <c r="J641">
        <v>1</v>
      </c>
      <c r="K641">
        <v>165.989020695325</v>
      </c>
      <c r="L641">
        <v>297</v>
      </c>
      <c r="M641">
        <v>165.989020695325</v>
      </c>
      <c r="N641">
        <v>131.01097930467401</v>
      </c>
      <c r="O641" t="s">
        <v>26</v>
      </c>
      <c r="P641">
        <f t="shared" si="18"/>
        <v>297</v>
      </c>
      <c r="Q641">
        <f t="shared" si="19"/>
        <v>-131.010979304675</v>
      </c>
    </row>
    <row r="642" spans="1:17" x14ac:dyDescent="0.4">
      <c r="A642" t="s">
        <v>1313</v>
      </c>
      <c r="B642" s="1">
        <v>45476.666666666664</v>
      </c>
      <c r="C642" t="s">
        <v>22</v>
      </c>
      <c r="D642" t="s">
        <v>1314</v>
      </c>
      <c r="E642" t="s">
        <v>18</v>
      </c>
      <c r="F642" t="s">
        <v>19</v>
      </c>
      <c r="G642">
        <v>127</v>
      </c>
      <c r="H642">
        <v>0</v>
      </c>
      <c r="I642">
        <v>127</v>
      </c>
      <c r="J642">
        <v>4</v>
      </c>
      <c r="K642">
        <v>62.001320952078899</v>
      </c>
      <c r="L642">
        <v>508</v>
      </c>
      <c r="M642">
        <v>248.005283808315</v>
      </c>
      <c r="N642">
        <v>259.99471619168401</v>
      </c>
      <c r="O642" t="s">
        <v>32</v>
      </c>
      <c r="P642">
        <f t="shared" si="18"/>
        <v>508</v>
      </c>
      <c r="Q642">
        <f t="shared" si="19"/>
        <v>-259.99471619168503</v>
      </c>
    </row>
    <row r="643" spans="1:17" x14ac:dyDescent="0.4">
      <c r="A643" t="s">
        <v>1315</v>
      </c>
      <c r="B643" s="1">
        <v>45857.333333333336</v>
      </c>
      <c r="C643" t="s">
        <v>43</v>
      </c>
      <c r="D643" t="s">
        <v>1316</v>
      </c>
      <c r="E643" t="s">
        <v>97</v>
      </c>
      <c r="F643" t="s">
        <v>61</v>
      </c>
      <c r="G643">
        <v>282</v>
      </c>
      <c r="H643">
        <v>0.1</v>
      </c>
      <c r="I643">
        <v>253.8</v>
      </c>
      <c r="J643">
        <v>2</v>
      </c>
      <c r="K643">
        <v>124.32301800328</v>
      </c>
      <c r="L643">
        <v>507.6</v>
      </c>
      <c r="M643">
        <v>248.64603600656</v>
      </c>
      <c r="N643">
        <v>258.953963993439</v>
      </c>
      <c r="O643" t="s">
        <v>26</v>
      </c>
      <c r="P643">
        <f t="shared" ref="P643:P706" si="20">G643 * J643</f>
        <v>564</v>
      </c>
      <c r="Q643">
        <f t="shared" ref="Q643:Q706" si="21" xml:space="preserve"> M643 - L643</f>
        <v>-258.95396399344003</v>
      </c>
    </row>
    <row r="644" spans="1:17" x14ac:dyDescent="0.4">
      <c r="A644" t="s">
        <v>1317</v>
      </c>
      <c r="B644" s="1">
        <v>45882.75</v>
      </c>
      <c r="C644" t="s">
        <v>28</v>
      </c>
      <c r="D644" t="s">
        <v>1318</v>
      </c>
      <c r="E644" t="s">
        <v>69</v>
      </c>
      <c r="F644" t="s">
        <v>70</v>
      </c>
      <c r="G644">
        <v>102</v>
      </c>
      <c r="H644">
        <v>0</v>
      </c>
      <c r="I644">
        <v>102</v>
      </c>
      <c r="J644">
        <v>1</v>
      </c>
      <c r="K644">
        <v>49.646904211776501</v>
      </c>
      <c r="L644">
        <v>102</v>
      </c>
      <c r="M644">
        <v>49.646904211776501</v>
      </c>
      <c r="N644">
        <v>52.353095788223399</v>
      </c>
      <c r="O644" t="s">
        <v>32</v>
      </c>
      <c r="P644">
        <f t="shared" si="20"/>
        <v>102</v>
      </c>
      <c r="Q644">
        <f t="shared" si="21"/>
        <v>-52.353095788223499</v>
      </c>
    </row>
    <row r="645" spans="1:17" x14ac:dyDescent="0.4">
      <c r="A645" t="s">
        <v>1319</v>
      </c>
      <c r="B645" s="1">
        <v>45304.583333333336</v>
      </c>
      <c r="C645" t="s">
        <v>43</v>
      </c>
      <c r="D645" t="s">
        <v>1320</v>
      </c>
      <c r="E645" t="s">
        <v>82</v>
      </c>
      <c r="F645" t="s">
        <v>25</v>
      </c>
      <c r="G645">
        <v>167</v>
      </c>
      <c r="H645">
        <v>0.1</v>
      </c>
      <c r="I645">
        <v>150.30000000000001</v>
      </c>
      <c r="J645">
        <v>7</v>
      </c>
      <c r="K645">
        <v>96.124316253075506</v>
      </c>
      <c r="L645">
        <v>1052.0999999999999</v>
      </c>
      <c r="M645">
        <v>672.87021377152803</v>
      </c>
      <c r="N645">
        <v>379.22978622847103</v>
      </c>
      <c r="O645" t="s">
        <v>32</v>
      </c>
      <c r="P645">
        <f t="shared" si="20"/>
        <v>1169</v>
      </c>
      <c r="Q645">
        <f t="shared" si="21"/>
        <v>-379.22978622847188</v>
      </c>
    </row>
    <row r="646" spans="1:17" x14ac:dyDescent="0.4">
      <c r="A646" t="s">
        <v>1321</v>
      </c>
      <c r="B646" s="1">
        <v>46001.25</v>
      </c>
      <c r="C646" t="s">
        <v>46</v>
      </c>
      <c r="D646" t="s">
        <v>1322</v>
      </c>
      <c r="E646" t="s">
        <v>104</v>
      </c>
      <c r="F646" t="s">
        <v>25</v>
      </c>
      <c r="G646">
        <v>306</v>
      </c>
      <c r="H646">
        <v>0.1</v>
      </c>
      <c r="I646">
        <v>275.39999999999998</v>
      </c>
      <c r="J646">
        <v>4</v>
      </c>
      <c r="K646">
        <v>226.57496440326199</v>
      </c>
      <c r="L646">
        <v>1101.5999999999999</v>
      </c>
      <c r="M646">
        <v>906.29985761304897</v>
      </c>
      <c r="N646">
        <v>195.30014238695099</v>
      </c>
      <c r="O646" t="s">
        <v>32</v>
      </c>
      <c r="P646">
        <f t="shared" si="20"/>
        <v>1224</v>
      </c>
      <c r="Q646">
        <f t="shared" si="21"/>
        <v>-195.30014238695094</v>
      </c>
    </row>
    <row r="647" spans="1:17" x14ac:dyDescent="0.4">
      <c r="A647" t="s">
        <v>1323</v>
      </c>
      <c r="B647" s="1">
        <v>45294.291666666664</v>
      </c>
      <c r="C647" t="s">
        <v>46</v>
      </c>
      <c r="D647" t="s">
        <v>1324</v>
      </c>
      <c r="E647" t="s">
        <v>69</v>
      </c>
      <c r="F647" t="s">
        <v>70</v>
      </c>
      <c r="G647">
        <v>218</v>
      </c>
      <c r="H647">
        <v>0.2</v>
      </c>
      <c r="I647">
        <v>174.4</v>
      </c>
      <c r="J647">
        <v>7</v>
      </c>
      <c r="K647">
        <v>137.99788783224699</v>
      </c>
      <c r="L647">
        <v>1220.8</v>
      </c>
      <c r="M647">
        <v>965.98521482573199</v>
      </c>
      <c r="N647">
        <v>254.814785174267</v>
      </c>
      <c r="O647" t="s">
        <v>26</v>
      </c>
      <c r="P647">
        <f t="shared" si="20"/>
        <v>1526</v>
      </c>
      <c r="Q647">
        <f t="shared" si="21"/>
        <v>-254.81478517426797</v>
      </c>
    </row>
    <row r="648" spans="1:17" x14ac:dyDescent="0.4">
      <c r="A648" t="s">
        <v>1325</v>
      </c>
      <c r="B648" s="1">
        <v>45834.208333333336</v>
      </c>
      <c r="C648" t="s">
        <v>16</v>
      </c>
      <c r="D648" t="s">
        <v>1102</v>
      </c>
      <c r="E648" t="s">
        <v>146</v>
      </c>
      <c r="F648" t="s">
        <v>70</v>
      </c>
      <c r="G648">
        <v>207</v>
      </c>
      <c r="H648">
        <v>0.15</v>
      </c>
      <c r="I648">
        <v>175.95</v>
      </c>
      <c r="J648">
        <v>5</v>
      </c>
      <c r="K648">
        <v>88.9874099868738</v>
      </c>
      <c r="L648">
        <v>879.75</v>
      </c>
      <c r="M648">
        <v>444.93704993436899</v>
      </c>
      <c r="N648">
        <v>434.81295006562999</v>
      </c>
      <c r="O648" t="s">
        <v>20</v>
      </c>
      <c r="P648">
        <f t="shared" si="20"/>
        <v>1035</v>
      </c>
      <c r="Q648">
        <f t="shared" si="21"/>
        <v>-434.81295006563101</v>
      </c>
    </row>
    <row r="649" spans="1:17" x14ac:dyDescent="0.4">
      <c r="A649" t="s">
        <v>1326</v>
      </c>
      <c r="B649" s="1">
        <v>45655.208333333336</v>
      </c>
      <c r="C649" t="s">
        <v>22</v>
      </c>
      <c r="D649" t="s">
        <v>1327</v>
      </c>
      <c r="E649" t="s">
        <v>115</v>
      </c>
      <c r="F649" t="s">
        <v>38</v>
      </c>
      <c r="G649">
        <v>277</v>
      </c>
      <c r="H649">
        <v>0.25</v>
      </c>
      <c r="I649">
        <v>207.75</v>
      </c>
      <c r="J649">
        <v>7</v>
      </c>
      <c r="K649">
        <v>159.03546718886099</v>
      </c>
      <c r="L649">
        <v>1454.25</v>
      </c>
      <c r="M649">
        <v>1113.2482703220301</v>
      </c>
      <c r="N649">
        <v>341.00172967796902</v>
      </c>
      <c r="O649" t="s">
        <v>20</v>
      </c>
      <c r="P649">
        <f t="shared" si="20"/>
        <v>1939</v>
      </c>
      <c r="Q649">
        <f t="shared" si="21"/>
        <v>-341.00172967796993</v>
      </c>
    </row>
    <row r="650" spans="1:17" x14ac:dyDescent="0.4">
      <c r="A650" t="s">
        <v>1328</v>
      </c>
      <c r="B650" s="1">
        <v>45631.583333333336</v>
      </c>
      <c r="C650" t="s">
        <v>46</v>
      </c>
      <c r="D650" t="s">
        <v>1329</v>
      </c>
      <c r="E650" t="s">
        <v>24</v>
      </c>
      <c r="F650" t="s">
        <v>25</v>
      </c>
      <c r="G650">
        <v>136</v>
      </c>
      <c r="H650">
        <v>0.25</v>
      </c>
      <c r="I650">
        <v>102</v>
      </c>
      <c r="J650">
        <v>7</v>
      </c>
      <c r="K650">
        <v>63.824944242639503</v>
      </c>
      <c r="L650">
        <v>714</v>
      </c>
      <c r="M650">
        <v>446.77460969847601</v>
      </c>
      <c r="N650">
        <v>267.22539030152302</v>
      </c>
      <c r="O650" t="s">
        <v>32</v>
      </c>
      <c r="P650">
        <f t="shared" si="20"/>
        <v>952</v>
      </c>
      <c r="Q650">
        <f t="shared" si="21"/>
        <v>-267.22539030152399</v>
      </c>
    </row>
    <row r="651" spans="1:17" x14ac:dyDescent="0.4">
      <c r="A651" t="s">
        <v>1330</v>
      </c>
      <c r="B651" s="1">
        <v>45380.541666666664</v>
      </c>
      <c r="C651" t="s">
        <v>22</v>
      </c>
      <c r="D651" t="s">
        <v>1331</v>
      </c>
      <c r="E651" t="s">
        <v>85</v>
      </c>
      <c r="F651" t="s">
        <v>70</v>
      </c>
      <c r="G651">
        <v>122</v>
      </c>
      <c r="H651">
        <v>0.05</v>
      </c>
      <c r="I651">
        <v>115.899999999999</v>
      </c>
      <c r="J651">
        <v>6</v>
      </c>
      <c r="K651">
        <v>51.600226402011302</v>
      </c>
      <c r="L651">
        <v>695.4</v>
      </c>
      <c r="M651">
        <v>309.60135841206801</v>
      </c>
      <c r="N651">
        <v>385.798641587931</v>
      </c>
      <c r="O651" t="s">
        <v>26</v>
      </c>
      <c r="P651">
        <f t="shared" si="20"/>
        <v>732</v>
      </c>
      <c r="Q651">
        <f t="shared" si="21"/>
        <v>-385.79864158793197</v>
      </c>
    </row>
    <row r="652" spans="1:17" x14ac:dyDescent="0.4">
      <c r="A652" t="s">
        <v>1332</v>
      </c>
      <c r="B652" s="1">
        <v>45770.291666666664</v>
      </c>
      <c r="C652" t="s">
        <v>16</v>
      </c>
      <c r="D652" t="s">
        <v>1333</v>
      </c>
      <c r="E652" t="s">
        <v>146</v>
      </c>
      <c r="F652" t="s">
        <v>70</v>
      </c>
      <c r="G652">
        <v>292</v>
      </c>
      <c r="H652">
        <v>0.15</v>
      </c>
      <c r="I652">
        <v>248.2</v>
      </c>
      <c r="J652">
        <v>7</v>
      </c>
      <c r="K652">
        <v>148.04827623176399</v>
      </c>
      <c r="L652">
        <v>1737.3999999999901</v>
      </c>
      <c r="M652">
        <v>1036.33793362235</v>
      </c>
      <c r="N652">
        <v>701.06206637764706</v>
      </c>
      <c r="O652" t="s">
        <v>51</v>
      </c>
      <c r="P652">
        <f t="shared" si="20"/>
        <v>2044</v>
      </c>
      <c r="Q652">
        <f t="shared" si="21"/>
        <v>-701.06206637764012</v>
      </c>
    </row>
    <row r="653" spans="1:17" x14ac:dyDescent="0.4">
      <c r="A653" t="s">
        <v>1334</v>
      </c>
      <c r="B653" s="1">
        <v>45948.041666666664</v>
      </c>
      <c r="C653" t="s">
        <v>16</v>
      </c>
      <c r="D653" t="s">
        <v>1335</v>
      </c>
      <c r="E653" t="s">
        <v>41</v>
      </c>
      <c r="F653" t="s">
        <v>31</v>
      </c>
      <c r="G653">
        <v>208</v>
      </c>
      <c r="H653">
        <v>0</v>
      </c>
      <c r="I653">
        <v>208</v>
      </c>
      <c r="J653">
        <v>1</v>
      </c>
      <c r="K653">
        <v>130.25538016260199</v>
      </c>
      <c r="L653">
        <v>208</v>
      </c>
      <c r="M653">
        <v>130.25538016260199</v>
      </c>
      <c r="N653">
        <v>77.744619837397806</v>
      </c>
      <c r="O653" t="s">
        <v>32</v>
      </c>
      <c r="P653">
        <f t="shared" si="20"/>
        <v>208</v>
      </c>
      <c r="Q653">
        <f t="shared" si="21"/>
        <v>-77.744619837398005</v>
      </c>
    </row>
    <row r="654" spans="1:17" x14ac:dyDescent="0.4">
      <c r="A654" t="s">
        <v>1336</v>
      </c>
      <c r="B654" s="1">
        <v>45989.833333333336</v>
      </c>
      <c r="C654" t="s">
        <v>28</v>
      </c>
      <c r="D654" t="s">
        <v>1337</v>
      </c>
      <c r="E654" t="s">
        <v>48</v>
      </c>
      <c r="F654" t="s">
        <v>19</v>
      </c>
      <c r="G654">
        <v>287</v>
      </c>
      <c r="H654">
        <v>0.15</v>
      </c>
      <c r="I654">
        <v>243.95</v>
      </c>
      <c r="J654">
        <v>6</v>
      </c>
      <c r="K654">
        <v>170.579465654215</v>
      </c>
      <c r="L654">
        <v>1463.69999999999</v>
      </c>
      <c r="M654">
        <v>1023.4767939252901</v>
      </c>
      <c r="N654">
        <v>440.22320607470402</v>
      </c>
      <c r="O654" t="s">
        <v>51</v>
      </c>
      <c r="P654">
        <f t="shared" si="20"/>
        <v>1722</v>
      </c>
      <c r="Q654">
        <f t="shared" si="21"/>
        <v>-440.22320607469999</v>
      </c>
    </row>
    <row r="655" spans="1:17" x14ac:dyDescent="0.4">
      <c r="A655" t="s">
        <v>1338</v>
      </c>
      <c r="B655" s="1">
        <v>45575.708333333336</v>
      </c>
      <c r="C655" t="s">
        <v>46</v>
      </c>
      <c r="D655" t="s">
        <v>1339</v>
      </c>
      <c r="E655" t="s">
        <v>115</v>
      </c>
      <c r="F655" t="s">
        <v>38</v>
      </c>
      <c r="G655">
        <v>108</v>
      </c>
      <c r="H655">
        <v>0.15</v>
      </c>
      <c r="I655">
        <v>91.8</v>
      </c>
      <c r="J655">
        <v>2</v>
      </c>
      <c r="K655">
        <v>58.353344707834999</v>
      </c>
      <c r="L655">
        <v>183.6</v>
      </c>
      <c r="M655">
        <v>116.70668941567</v>
      </c>
      <c r="N655">
        <v>66.893310584329896</v>
      </c>
      <c r="O655" t="s">
        <v>26</v>
      </c>
      <c r="P655">
        <f t="shared" si="20"/>
        <v>216</v>
      </c>
      <c r="Q655">
        <f t="shared" si="21"/>
        <v>-66.893310584329996</v>
      </c>
    </row>
    <row r="656" spans="1:17" x14ac:dyDescent="0.4">
      <c r="A656" t="s">
        <v>1340</v>
      </c>
      <c r="B656" s="1">
        <v>45484.541666666664</v>
      </c>
      <c r="C656" t="s">
        <v>28</v>
      </c>
      <c r="D656" t="s">
        <v>1341</v>
      </c>
      <c r="E656" t="s">
        <v>41</v>
      </c>
      <c r="F656" t="s">
        <v>31</v>
      </c>
      <c r="G656">
        <v>266</v>
      </c>
      <c r="H656">
        <v>0.2</v>
      </c>
      <c r="I656">
        <v>212.8</v>
      </c>
      <c r="J656">
        <v>4</v>
      </c>
      <c r="K656">
        <v>169.432220565515</v>
      </c>
      <c r="L656">
        <v>851.2</v>
      </c>
      <c r="M656">
        <v>677.72888226205998</v>
      </c>
      <c r="N656">
        <v>173.47111773793901</v>
      </c>
      <c r="O656" t="s">
        <v>26</v>
      </c>
      <c r="P656">
        <f t="shared" si="20"/>
        <v>1064</v>
      </c>
      <c r="Q656">
        <f t="shared" si="21"/>
        <v>-173.47111773794006</v>
      </c>
    </row>
    <row r="657" spans="1:17" x14ac:dyDescent="0.4">
      <c r="A657" t="s">
        <v>1342</v>
      </c>
      <c r="B657" s="1">
        <v>45918.416666666664</v>
      </c>
      <c r="C657" t="s">
        <v>28</v>
      </c>
      <c r="D657" t="s">
        <v>1343</v>
      </c>
      <c r="E657" t="s">
        <v>73</v>
      </c>
      <c r="F657" t="s">
        <v>38</v>
      </c>
      <c r="G657">
        <v>135</v>
      </c>
      <c r="H657">
        <v>0.15</v>
      </c>
      <c r="I657">
        <v>114.75</v>
      </c>
      <c r="J657">
        <v>2</v>
      </c>
      <c r="K657">
        <v>67.924639727091204</v>
      </c>
      <c r="L657">
        <v>229.5</v>
      </c>
      <c r="M657">
        <v>135.84927945418201</v>
      </c>
      <c r="N657">
        <v>93.650720545817506</v>
      </c>
      <c r="O657" t="s">
        <v>20</v>
      </c>
      <c r="P657">
        <f t="shared" si="20"/>
        <v>270</v>
      </c>
      <c r="Q657">
        <f t="shared" si="21"/>
        <v>-93.65072054581799</v>
      </c>
    </row>
    <row r="658" spans="1:17" x14ac:dyDescent="0.4">
      <c r="A658" t="s">
        <v>1344</v>
      </c>
      <c r="B658" s="1">
        <v>45859.625</v>
      </c>
      <c r="C658" t="s">
        <v>16</v>
      </c>
      <c r="D658" t="s">
        <v>1345</v>
      </c>
      <c r="E658" t="s">
        <v>213</v>
      </c>
      <c r="F658" t="s">
        <v>31</v>
      </c>
      <c r="G658">
        <v>101</v>
      </c>
      <c r="H658">
        <v>0.1</v>
      </c>
      <c r="I658">
        <v>90.9</v>
      </c>
      <c r="J658">
        <v>1</v>
      </c>
      <c r="K658">
        <v>68.6264179875905</v>
      </c>
      <c r="L658">
        <v>90.9</v>
      </c>
      <c r="M658">
        <v>68.6264179875905</v>
      </c>
      <c r="N658">
        <v>22.273582012409399</v>
      </c>
      <c r="O658" t="s">
        <v>32</v>
      </c>
      <c r="P658">
        <f t="shared" si="20"/>
        <v>101</v>
      </c>
      <c r="Q658">
        <f t="shared" si="21"/>
        <v>-22.273582012409506</v>
      </c>
    </row>
    <row r="659" spans="1:17" x14ac:dyDescent="0.4">
      <c r="A659" t="s">
        <v>1346</v>
      </c>
      <c r="B659" s="1">
        <v>45505.583333333336</v>
      </c>
      <c r="C659" t="s">
        <v>43</v>
      </c>
      <c r="D659" t="s">
        <v>1347</v>
      </c>
      <c r="E659" t="s">
        <v>146</v>
      </c>
      <c r="F659" t="s">
        <v>70</v>
      </c>
      <c r="G659">
        <v>184</v>
      </c>
      <c r="H659">
        <v>0.1</v>
      </c>
      <c r="I659">
        <v>165.6</v>
      </c>
      <c r="J659">
        <v>2</v>
      </c>
      <c r="K659">
        <v>126.64914334715201</v>
      </c>
      <c r="L659">
        <v>331.2</v>
      </c>
      <c r="M659">
        <v>253.29828669430401</v>
      </c>
      <c r="N659">
        <v>77.901713305695793</v>
      </c>
      <c r="O659" t="s">
        <v>32</v>
      </c>
      <c r="P659">
        <f t="shared" si="20"/>
        <v>368</v>
      </c>
      <c r="Q659">
        <f t="shared" si="21"/>
        <v>-77.901713305695978</v>
      </c>
    </row>
    <row r="660" spans="1:17" x14ac:dyDescent="0.4">
      <c r="A660" t="s">
        <v>1348</v>
      </c>
      <c r="B660" s="1">
        <v>45505.416666666664</v>
      </c>
      <c r="C660" t="s">
        <v>43</v>
      </c>
      <c r="D660" t="s">
        <v>1349</v>
      </c>
      <c r="E660" t="s">
        <v>37</v>
      </c>
      <c r="F660" t="s">
        <v>38</v>
      </c>
      <c r="G660">
        <v>318</v>
      </c>
      <c r="H660">
        <v>0</v>
      </c>
      <c r="I660">
        <v>318</v>
      </c>
      <c r="J660">
        <v>5</v>
      </c>
      <c r="K660">
        <v>193.01181787515699</v>
      </c>
      <c r="L660">
        <v>1590</v>
      </c>
      <c r="M660">
        <v>965.05908937578499</v>
      </c>
      <c r="N660">
        <v>624.94091062421398</v>
      </c>
      <c r="O660" t="s">
        <v>51</v>
      </c>
      <c r="P660">
        <f t="shared" si="20"/>
        <v>1590</v>
      </c>
      <c r="Q660">
        <f t="shared" si="21"/>
        <v>-624.94091062421501</v>
      </c>
    </row>
    <row r="661" spans="1:17" x14ac:dyDescent="0.4">
      <c r="A661" t="s">
        <v>1350</v>
      </c>
      <c r="B661" s="1">
        <v>46012.916666666664</v>
      </c>
      <c r="C661" t="s">
        <v>22</v>
      </c>
      <c r="D661" t="s">
        <v>1351</v>
      </c>
      <c r="E661" t="s">
        <v>82</v>
      </c>
      <c r="F661" t="s">
        <v>25</v>
      </c>
      <c r="G661">
        <v>204</v>
      </c>
      <c r="H661">
        <v>0.1</v>
      </c>
      <c r="I661">
        <v>183.6</v>
      </c>
      <c r="J661">
        <v>2</v>
      </c>
      <c r="K661">
        <v>137.76205981736899</v>
      </c>
      <c r="L661">
        <v>367.2</v>
      </c>
      <c r="M661">
        <v>275.52411963473901</v>
      </c>
      <c r="N661">
        <v>91.675880365260795</v>
      </c>
      <c r="O661" t="s">
        <v>105</v>
      </c>
      <c r="P661">
        <f t="shared" si="20"/>
        <v>408</v>
      </c>
      <c r="Q661">
        <f t="shared" si="21"/>
        <v>-91.67588036526098</v>
      </c>
    </row>
    <row r="662" spans="1:17" x14ac:dyDescent="0.4">
      <c r="A662" t="s">
        <v>1352</v>
      </c>
      <c r="B662" s="1">
        <v>45536.583333333336</v>
      </c>
      <c r="C662" t="s">
        <v>22</v>
      </c>
      <c r="D662" t="s">
        <v>1353</v>
      </c>
      <c r="E662" t="s">
        <v>41</v>
      </c>
      <c r="F662" t="s">
        <v>31</v>
      </c>
      <c r="G662">
        <v>281</v>
      </c>
      <c r="H662">
        <v>0.05</v>
      </c>
      <c r="I662">
        <v>266.95</v>
      </c>
      <c r="J662">
        <v>4</v>
      </c>
      <c r="K662">
        <v>177.74872212512199</v>
      </c>
      <c r="L662">
        <v>1067.8</v>
      </c>
      <c r="M662">
        <v>710.99488850048795</v>
      </c>
      <c r="N662">
        <v>356.80511149951099</v>
      </c>
      <c r="O662" t="s">
        <v>32</v>
      </c>
      <c r="P662">
        <f t="shared" si="20"/>
        <v>1124</v>
      </c>
      <c r="Q662">
        <f t="shared" si="21"/>
        <v>-356.80511149951201</v>
      </c>
    </row>
    <row r="663" spans="1:17" x14ac:dyDescent="0.4">
      <c r="A663" t="s">
        <v>1354</v>
      </c>
      <c r="B663" s="1">
        <v>45355.791666666664</v>
      </c>
      <c r="C663" t="s">
        <v>43</v>
      </c>
      <c r="D663" t="s">
        <v>1355</v>
      </c>
      <c r="E663" t="s">
        <v>85</v>
      </c>
      <c r="F663" t="s">
        <v>70</v>
      </c>
      <c r="G663">
        <v>255</v>
      </c>
      <c r="H663">
        <v>0</v>
      </c>
      <c r="I663">
        <v>255</v>
      </c>
      <c r="J663">
        <v>3</v>
      </c>
      <c r="K663">
        <v>172.50522412649599</v>
      </c>
      <c r="L663">
        <v>765</v>
      </c>
      <c r="M663">
        <v>517.51567237948996</v>
      </c>
      <c r="N663">
        <v>247.48432762050899</v>
      </c>
      <c r="O663" t="s">
        <v>20</v>
      </c>
      <c r="P663">
        <f t="shared" si="20"/>
        <v>765</v>
      </c>
      <c r="Q663">
        <f t="shared" si="21"/>
        <v>-247.48432762051004</v>
      </c>
    </row>
    <row r="664" spans="1:17" x14ac:dyDescent="0.4">
      <c r="A664" t="s">
        <v>1356</v>
      </c>
      <c r="B664" s="1">
        <v>45632.5</v>
      </c>
      <c r="C664" t="s">
        <v>65</v>
      </c>
      <c r="D664" t="s">
        <v>1357</v>
      </c>
      <c r="E664" t="s">
        <v>97</v>
      </c>
      <c r="F664" t="s">
        <v>61</v>
      </c>
      <c r="G664">
        <v>267</v>
      </c>
      <c r="H664">
        <v>0.15</v>
      </c>
      <c r="I664">
        <v>226.95</v>
      </c>
      <c r="J664">
        <v>3</v>
      </c>
      <c r="K664">
        <v>144.91771642710799</v>
      </c>
      <c r="L664">
        <v>680.849999999999</v>
      </c>
      <c r="M664">
        <v>434.75314928132599</v>
      </c>
      <c r="N664">
        <v>246.09685071867301</v>
      </c>
      <c r="O664" t="s">
        <v>26</v>
      </c>
      <c r="P664">
        <f t="shared" si="20"/>
        <v>801</v>
      </c>
      <c r="Q664">
        <f t="shared" si="21"/>
        <v>-246.09685071867301</v>
      </c>
    </row>
    <row r="665" spans="1:17" x14ac:dyDescent="0.4">
      <c r="A665" t="s">
        <v>1358</v>
      </c>
      <c r="B665" s="1">
        <v>45611.708333333336</v>
      </c>
      <c r="C665" t="s">
        <v>65</v>
      </c>
      <c r="D665" t="s">
        <v>1359</v>
      </c>
      <c r="E665" t="s">
        <v>115</v>
      </c>
      <c r="F665" t="s">
        <v>38</v>
      </c>
      <c r="G665">
        <v>150</v>
      </c>
      <c r="H665">
        <v>0</v>
      </c>
      <c r="I665">
        <v>150</v>
      </c>
      <c r="J665">
        <v>4</v>
      </c>
      <c r="K665">
        <v>83.603126028313696</v>
      </c>
      <c r="L665">
        <v>600</v>
      </c>
      <c r="M665">
        <v>334.41250411325501</v>
      </c>
      <c r="N665">
        <v>265.58749588674402</v>
      </c>
      <c r="O665" t="s">
        <v>51</v>
      </c>
      <c r="P665">
        <f t="shared" si="20"/>
        <v>600</v>
      </c>
      <c r="Q665">
        <f t="shared" si="21"/>
        <v>-265.58749588674499</v>
      </c>
    </row>
    <row r="666" spans="1:17" x14ac:dyDescent="0.4">
      <c r="A666" t="s">
        <v>1360</v>
      </c>
      <c r="B666" s="1">
        <v>45578.75</v>
      </c>
      <c r="C666" t="s">
        <v>46</v>
      </c>
      <c r="D666" t="s">
        <v>1361</v>
      </c>
      <c r="E666" t="s">
        <v>73</v>
      </c>
      <c r="F666" t="s">
        <v>38</v>
      </c>
      <c r="G666">
        <v>304</v>
      </c>
      <c r="H666">
        <v>0</v>
      </c>
      <c r="I666">
        <v>304</v>
      </c>
      <c r="J666">
        <v>6</v>
      </c>
      <c r="K666">
        <v>128.46288072425</v>
      </c>
      <c r="L666">
        <v>1824</v>
      </c>
      <c r="M666">
        <v>770.77728434550102</v>
      </c>
      <c r="N666">
        <v>1053.22271565449</v>
      </c>
      <c r="O666" t="s">
        <v>26</v>
      </c>
      <c r="P666">
        <f t="shared" si="20"/>
        <v>1824</v>
      </c>
      <c r="Q666">
        <f t="shared" si="21"/>
        <v>-1053.2227156544991</v>
      </c>
    </row>
    <row r="667" spans="1:17" x14ac:dyDescent="0.4">
      <c r="A667" t="s">
        <v>1362</v>
      </c>
      <c r="B667" s="1">
        <v>45371.416666666664</v>
      </c>
      <c r="C667" t="s">
        <v>28</v>
      </c>
      <c r="D667" t="s">
        <v>1363</v>
      </c>
      <c r="E667" t="s">
        <v>30</v>
      </c>
      <c r="F667" t="s">
        <v>31</v>
      </c>
      <c r="G667">
        <v>87</v>
      </c>
      <c r="H667">
        <v>0.05</v>
      </c>
      <c r="I667">
        <v>82.649999999999906</v>
      </c>
      <c r="J667">
        <v>5</v>
      </c>
      <c r="K667">
        <v>61.292258982089002</v>
      </c>
      <c r="L667">
        <v>413.24999999999898</v>
      </c>
      <c r="M667">
        <v>306.46129491044502</v>
      </c>
      <c r="N667">
        <v>106.788705089554</v>
      </c>
      <c r="O667" t="s">
        <v>32</v>
      </c>
      <c r="P667">
        <f t="shared" si="20"/>
        <v>435</v>
      </c>
      <c r="Q667">
        <f t="shared" si="21"/>
        <v>-106.78870508955396</v>
      </c>
    </row>
    <row r="668" spans="1:17" x14ac:dyDescent="0.4">
      <c r="A668" t="s">
        <v>1364</v>
      </c>
      <c r="B668" s="1">
        <v>45420.583333333336</v>
      </c>
      <c r="C668" t="s">
        <v>46</v>
      </c>
      <c r="D668" t="s">
        <v>893</v>
      </c>
      <c r="E668" t="s">
        <v>37</v>
      </c>
      <c r="F668" t="s">
        <v>38</v>
      </c>
      <c r="G668">
        <v>180</v>
      </c>
      <c r="H668">
        <v>0.1</v>
      </c>
      <c r="I668">
        <v>162</v>
      </c>
      <c r="J668">
        <v>2</v>
      </c>
      <c r="K668">
        <v>109.053053523964</v>
      </c>
      <c r="L668">
        <v>324</v>
      </c>
      <c r="M668">
        <v>218.10610704792899</v>
      </c>
      <c r="N668">
        <v>105.89389295207</v>
      </c>
      <c r="O668" t="s">
        <v>32</v>
      </c>
      <c r="P668">
        <f t="shared" si="20"/>
        <v>360</v>
      </c>
      <c r="Q668">
        <f t="shared" si="21"/>
        <v>-105.89389295207101</v>
      </c>
    </row>
    <row r="669" spans="1:17" x14ac:dyDescent="0.4">
      <c r="A669" t="s">
        <v>1365</v>
      </c>
      <c r="B669" s="1">
        <v>45854.625</v>
      </c>
      <c r="C669" t="s">
        <v>46</v>
      </c>
      <c r="D669" t="s">
        <v>1366</v>
      </c>
      <c r="E669" t="s">
        <v>110</v>
      </c>
      <c r="F669" t="s">
        <v>19</v>
      </c>
      <c r="G669">
        <v>267</v>
      </c>
      <c r="H669">
        <v>0.15</v>
      </c>
      <c r="I669">
        <v>226.95</v>
      </c>
      <c r="J669">
        <v>2</v>
      </c>
      <c r="K669">
        <v>179.535800956363</v>
      </c>
      <c r="L669">
        <v>453.9</v>
      </c>
      <c r="M669">
        <v>359.07160191272601</v>
      </c>
      <c r="N669">
        <v>94.8283980872732</v>
      </c>
      <c r="O669" t="s">
        <v>51</v>
      </c>
      <c r="P669">
        <f t="shared" si="20"/>
        <v>534</v>
      </c>
      <c r="Q669">
        <f t="shared" si="21"/>
        <v>-94.828398087273968</v>
      </c>
    </row>
    <row r="670" spans="1:17" x14ac:dyDescent="0.4">
      <c r="A670" t="s">
        <v>1367</v>
      </c>
      <c r="B670" s="1">
        <v>45631.666666666664</v>
      </c>
      <c r="C670" t="s">
        <v>22</v>
      </c>
      <c r="D670" t="s">
        <v>1368</v>
      </c>
      <c r="E670" t="s">
        <v>18</v>
      </c>
      <c r="F670" t="s">
        <v>19</v>
      </c>
      <c r="G670">
        <v>310</v>
      </c>
      <c r="H670">
        <v>0.2</v>
      </c>
      <c r="I670">
        <v>248</v>
      </c>
      <c r="J670">
        <v>6</v>
      </c>
      <c r="K670">
        <v>137.55778742011501</v>
      </c>
      <c r="L670">
        <v>1488</v>
      </c>
      <c r="M670">
        <v>825.34672452069503</v>
      </c>
      <c r="N670">
        <v>662.65327547930406</v>
      </c>
      <c r="O670" t="s">
        <v>26</v>
      </c>
      <c r="P670">
        <f t="shared" si="20"/>
        <v>1860</v>
      </c>
      <c r="Q670">
        <f t="shared" si="21"/>
        <v>-662.65327547930497</v>
      </c>
    </row>
    <row r="671" spans="1:17" x14ac:dyDescent="0.4">
      <c r="A671" t="s">
        <v>1369</v>
      </c>
      <c r="B671" s="1">
        <v>45531.583333333336</v>
      </c>
      <c r="C671" t="s">
        <v>46</v>
      </c>
      <c r="D671" t="s">
        <v>1370</v>
      </c>
      <c r="E671" t="s">
        <v>110</v>
      </c>
      <c r="F671" t="s">
        <v>19</v>
      </c>
      <c r="G671">
        <v>102</v>
      </c>
      <c r="H671">
        <v>0.05</v>
      </c>
      <c r="I671">
        <v>96.899999999999906</v>
      </c>
      <c r="J671">
        <v>3</v>
      </c>
      <c r="K671">
        <v>46.0857334137512</v>
      </c>
      <c r="L671">
        <v>290.7</v>
      </c>
      <c r="M671">
        <v>138.257200241253</v>
      </c>
      <c r="N671">
        <v>152.44279975874599</v>
      </c>
      <c r="O671" t="s">
        <v>26</v>
      </c>
      <c r="P671">
        <f t="shared" si="20"/>
        <v>306</v>
      </c>
      <c r="Q671">
        <f t="shared" si="21"/>
        <v>-152.44279975874699</v>
      </c>
    </row>
    <row r="672" spans="1:17" x14ac:dyDescent="0.4">
      <c r="A672" t="s">
        <v>1371</v>
      </c>
      <c r="B672" s="1">
        <v>45824.166666666664</v>
      </c>
      <c r="C672" t="s">
        <v>46</v>
      </c>
      <c r="D672" t="s">
        <v>1372</v>
      </c>
      <c r="E672" t="s">
        <v>73</v>
      </c>
      <c r="F672" t="s">
        <v>38</v>
      </c>
      <c r="G672">
        <v>202</v>
      </c>
      <c r="H672">
        <v>0.2</v>
      </c>
      <c r="I672">
        <v>161.6</v>
      </c>
      <c r="J672">
        <v>1</v>
      </c>
      <c r="K672">
        <v>133.08085802960599</v>
      </c>
      <c r="L672">
        <v>161.6</v>
      </c>
      <c r="M672">
        <v>133.08085802960599</v>
      </c>
      <c r="N672">
        <v>28.5191419703932</v>
      </c>
      <c r="O672" t="s">
        <v>32</v>
      </c>
      <c r="P672">
        <f t="shared" si="20"/>
        <v>202</v>
      </c>
      <c r="Q672">
        <f t="shared" si="21"/>
        <v>-28.519141970394003</v>
      </c>
    </row>
    <row r="673" spans="1:17" x14ac:dyDescent="0.4">
      <c r="A673" t="s">
        <v>1373</v>
      </c>
      <c r="B673" s="1">
        <v>45719.791666666664</v>
      </c>
      <c r="C673" t="s">
        <v>65</v>
      </c>
      <c r="D673" t="s">
        <v>1374</v>
      </c>
      <c r="E673" t="s">
        <v>146</v>
      </c>
      <c r="F673" t="s">
        <v>70</v>
      </c>
      <c r="G673">
        <v>277</v>
      </c>
      <c r="H673">
        <v>0</v>
      </c>
      <c r="I673">
        <v>277</v>
      </c>
      <c r="J673">
        <v>1</v>
      </c>
      <c r="K673">
        <v>175.41967939159201</v>
      </c>
      <c r="L673">
        <v>277</v>
      </c>
      <c r="M673">
        <v>175.41967939159201</v>
      </c>
      <c r="N673">
        <v>101.58032060840701</v>
      </c>
      <c r="O673" t="s">
        <v>32</v>
      </c>
      <c r="P673">
        <f t="shared" si="20"/>
        <v>277</v>
      </c>
      <c r="Q673">
        <f t="shared" si="21"/>
        <v>-101.58032060840799</v>
      </c>
    </row>
    <row r="674" spans="1:17" x14ac:dyDescent="0.4">
      <c r="A674" t="s">
        <v>1375</v>
      </c>
      <c r="B674" s="1">
        <v>45336.25</v>
      </c>
      <c r="C674" t="s">
        <v>43</v>
      </c>
      <c r="D674" t="s">
        <v>1376</v>
      </c>
      <c r="E674" t="s">
        <v>41</v>
      </c>
      <c r="F674" t="s">
        <v>31</v>
      </c>
      <c r="G674">
        <v>344</v>
      </c>
      <c r="H674">
        <v>0.2</v>
      </c>
      <c r="I674">
        <v>275.2</v>
      </c>
      <c r="J674">
        <v>4</v>
      </c>
      <c r="K674">
        <v>200.24696459344199</v>
      </c>
      <c r="L674">
        <v>1100.8</v>
      </c>
      <c r="M674">
        <v>800.98785837377102</v>
      </c>
      <c r="N674">
        <v>299.81214162622803</v>
      </c>
      <c r="O674" t="s">
        <v>105</v>
      </c>
      <c r="P674">
        <f t="shared" si="20"/>
        <v>1376</v>
      </c>
      <c r="Q674">
        <f t="shared" si="21"/>
        <v>-299.81214162622894</v>
      </c>
    </row>
    <row r="675" spans="1:17" x14ac:dyDescent="0.4">
      <c r="A675" t="s">
        <v>1377</v>
      </c>
      <c r="B675" s="1">
        <v>45551.541666666664</v>
      </c>
      <c r="C675" t="s">
        <v>65</v>
      </c>
      <c r="D675" t="s">
        <v>1378</v>
      </c>
      <c r="E675" t="s">
        <v>104</v>
      </c>
      <c r="F675" t="s">
        <v>25</v>
      </c>
      <c r="G675">
        <v>209</v>
      </c>
      <c r="H675">
        <v>0</v>
      </c>
      <c r="I675">
        <v>209</v>
      </c>
      <c r="J675">
        <v>2</v>
      </c>
      <c r="K675">
        <v>92.702362311305095</v>
      </c>
      <c r="L675">
        <v>418</v>
      </c>
      <c r="M675">
        <v>185.40472462260999</v>
      </c>
      <c r="N675">
        <v>232.59527537738899</v>
      </c>
      <c r="O675" t="s">
        <v>32</v>
      </c>
      <c r="P675">
        <f t="shared" si="20"/>
        <v>418</v>
      </c>
      <c r="Q675">
        <f t="shared" si="21"/>
        <v>-232.59527537739001</v>
      </c>
    </row>
    <row r="676" spans="1:17" x14ac:dyDescent="0.4">
      <c r="A676" t="s">
        <v>1379</v>
      </c>
      <c r="B676" s="1">
        <v>45979.875</v>
      </c>
      <c r="C676" t="s">
        <v>46</v>
      </c>
      <c r="D676" t="s">
        <v>1380</v>
      </c>
      <c r="E676" t="s">
        <v>146</v>
      </c>
      <c r="F676" t="s">
        <v>70</v>
      </c>
      <c r="G676">
        <v>94</v>
      </c>
      <c r="H676">
        <v>0.1</v>
      </c>
      <c r="I676">
        <v>84.6</v>
      </c>
      <c r="J676">
        <v>2</v>
      </c>
      <c r="K676">
        <v>67.345339429775706</v>
      </c>
      <c r="L676">
        <v>169.2</v>
      </c>
      <c r="M676">
        <v>134.69067885955101</v>
      </c>
      <c r="N676">
        <v>34.509321140448499</v>
      </c>
      <c r="O676" t="s">
        <v>32</v>
      </c>
      <c r="P676">
        <f t="shared" si="20"/>
        <v>188</v>
      </c>
      <c r="Q676">
        <f t="shared" si="21"/>
        <v>-34.509321140448975</v>
      </c>
    </row>
    <row r="677" spans="1:17" x14ac:dyDescent="0.4">
      <c r="A677" t="s">
        <v>1381</v>
      </c>
      <c r="B677" s="1">
        <v>45923.125</v>
      </c>
      <c r="C677" t="s">
        <v>28</v>
      </c>
      <c r="D677" t="s">
        <v>1382</v>
      </c>
      <c r="E677" t="s">
        <v>94</v>
      </c>
      <c r="F677" t="s">
        <v>61</v>
      </c>
      <c r="G677">
        <v>257</v>
      </c>
      <c r="H677">
        <v>0</v>
      </c>
      <c r="I677">
        <v>257</v>
      </c>
      <c r="J677">
        <v>2</v>
      </c>
      <c r="K677">
        <v>149.07499647441799</v>
      </c>
      <c r="L677">
        <v>514</v>
      </c>
      <c r="M677">
        <v>298.14999294883597</v>
      </c>
      <c r="N677">
        <v>215.850007051163</v>
      </c>
      <c r="O677" t="s">
        <v>51</v>
      </c>
      <c r="P677">
        <f t="shared" si="20"/>
        <v>514</v>
      </c>
      <c r="Q677">
        <f t="shared" si="21"/>
        <v>-215.85000705116403</v>
      </c>
    </row>
    <row r="678" spans="1:17" x14ac:dyDescent="0.4">
      <c r="A678" t="s">
        <v>1383</v>
      </c>
      <c r="B678" s="1">
        <v>45485</v>
      </c>
      <c r="C678" t="s">
        <v>22</v>
      </c>
      <c r="D678" t="s">
        <v>1384</v>
      </c>
      <c r="E678" t="s">
        <v>48</v>
      </c>
      <c r="F678" t="s">
        <v>19</v>
      </c>
      <c r="G678">
        <v>275</v>
      </c>
      <c r="H678">
        <v>0</v>
      </c>
      <c r="I678">
        <v>275</v>
      </c>
      <c r="J678">
        <v>7</v>
      </c>
      <c r="K678">
        <v>197.434472824599</v>
      </c>
      <c r="L678">
        <v>1925</v>
      </c>
      <c r="M678">
        <v>1382.0413097721901</v>
      </c>
      <c r="N678">
        <v>542.95869022780096</v>
      </c>
      <c r="O678" t="s">
        <v>32</v>
      </c>
      <c r="P678">
        <f t="shared" si="20"/>
        <v>1925</v>
      </c>
      <c r="Q678">
        <f t="shared" si="21"/>
        <v>-542.95869022780994</v>
      </c>
    </row>
    <row r="679" spans="1:17" x14ac:dyDescent="0.4">
      <c r="A679" t="s">
        <v>1385</v>
      </c>
      <c r="B679" s="1">
        <v>45554</v>
      </c>
      <c r="C679" t="s">
        <v>46</v>
      </c>
      <c r="D679" t="s">
        <v>1386</v>
      </c>
      <c r="E679" t="s">
        <v>115</v>
      </c>
      <c r="F679" t="s">
        <v>38</v>
      </c>
      <c r="G679">
        <v>207</v>
      </c>
      <c r="H679">
        <v>0.05</v>
      </c>
      <c r="I679">
        <v>196.64999999999901</v>
      </c>
      <c r="J679">
        <v>6</v>
      </c>
      <c r="K679">
        <v>146.03655046440801</v>
      </c>
      <c r="L679">
        <v>1179.8999999999901</v>
      </c>
      <c r="M679">
        <v>876.219302786448</v>
      </c>
      <c r="N679">
        <v>303.68069721355101</v>
      </c>
      <c r="O679" t="s">
        <v>26</v>
      </c>
      <c r="P679">
        <f t="shared" si="20"/>
        <v>1242</v>
      </c>
      <c r="Q679">
        <f t="shared" si="21"/>
        <v>-303.68069721354209</v>
      </c>
    </row>
    <row r="680" spans="1:17" x14ac:dyDescent="0.4">
      <c r="A680" t="s">
        <v>1387</v>
      </c>
      <c r="B680" s="1">
        <v>45441.833333333336</v>
      </c>
      <c r="C680" t="s">
        <v>16</v>
      </c>
      <c r="D680" t="s">
        <v>1388</v>
      </c>
      <c r="E680" t="s">
        <v>110</v>
      </c>
      <c r="F680" t="s">
        <v>19</v>
      </c>
      <c r="G680">
        <v>92</v>
      </c>
      <c r="H680">
        <v>0.05</v>
      </c>
      <c r="I680">
        <v>87.399999999999906</v>
      </c>
      <c r="J680">
        <v>2</v>
      </c>
      <c r="K680">
        <v>55.413921684799597</v>
      </c>
      <c r="L680">
        <v>174.79999999999899</v>
      </c>
      <c r="M680">
        <v>110.82784336959899</v>
      </c>
      <c r="N680">
        <v>63.972156630400598</v>
      </c>
      <c r="O680" t="s">
        <v>26</v>
      </c>
      <c r="P680">
        <f t="shared" si="20"/>
        <v>184</v>
      </c>
      <c r="Q680">
        <f t="shared" si="21"/>
        <v>-63.972156630399994</v>
      </c>
    </row>
    <row r="681" spans="1:17" x14ac:dyDescent="0.4">
      <c r="A681" t="s">
        <v>1389</v>
      </c>
      <c r="B681" s="1">
        <v>45770.125</v>
      </c>
      <c r="C681" t="s">
        <v>16</v>
      </c>
      <c r="D681" t="s">
        <v>1390</v>
      </c>
      <c r="E681" t="s">
        <v>60</v>
      </c>
      <c r="F681" t="s">
        <v>61</v>
      </c>
      <c r="G681">
        <v>191</v>
      </c>
      <c r="H681">
        <v>0</v>
      </c>
      <c r="I681">
        <v>191</v>
      </c>
      <c r="J681">
        <v>6</v>
      </c>
      <c r="K681">
        <v>127.79188548120899</v>
      </c>
      <c r="L681">
        <v>1146</v>
      </c>
      <c r="M681">
        <v>766.75131288725697</v>
      </c>
      <c r="N681">
        <v>379.248687112742</v>
      </c>
      <c r="O681" t="s">
        <v>20</v>
      </c>
      <c r="P681">
        <f t="shared" si="20"/>
        <v>1146</v>
      </c>
      <c r="Q681">
        <f t="shared" si="21"/>
        <v>-379.24868711274303</v>
      </c>
    </row>
    <row r="682" spans="1:17" x14ac:dyDescent="0.4">
      <c r="A682" t="s">
        <v>1391</v>
      </c>
      <c r="B682" s="1">
        <v>45549</v>
      </c>
      <c r="C682" t="s">
        <v>28</v>
      </c>
      <c r="D682" t="s">
        <v>1392</v>
      </c>
      <c r="E682" t="s">
        <v>37</v>
      </c>
      <c r="F682" t="s">
        <v>38</v>
      </c>
      <c r="G682">
        <v>211</v>
      </c>
      <c r="H682">
        <v>0.1</v>
      </c>
      <c r="I682">
        <v>189.9</v>
      </c>
      <c r="J682">
        <v>2</v>
      </c>
      <c r="K682">
        <v>84.760717815595598</v>
      </c>
      <c r="L682">
        <v>379.8</v>
      </c>
      <c r="M682">
        <v>169.521435631191</v>
      </c>
      <c r="N682">
        <v>210.27856436880799</v>
      </c>
      <c r="O682" t="s">
        <v>32</v>
      </c>
      <c r="P682">
        <f t="shared" si="20"/>
        <v>422</v>
      </c>
      <c r="Q682">
        <f t="shared" si="21"/>
        <v>-210.27856436880901</v>
      </c>
    </row>
    <row r="683" spans="1:17" x14ac:dyDescent="0.4">
      <c r="A683" t="s">
        <v>1393</v>
      </c>
      <c r="B683" s="1">
        <v>45700.125</v>
      </c>
      <c r="C683" t="s">
        <v>28</v>
      </c>
      <c r="D683" t="s">
        <v>1394</v>
      </c>
      <c r="E683" t="s">
        <v>110</v>
      </c>
      <c r="F683" t="s">
        <v>19</v>
      </c>
      <c r="G683">
        <v>332</v>
      </c>
      <c r="H683">
        <v>0.1</v>
      </c>
      <c r="I683">
        <v>298.8</v>
      </c>
      <c r="J683">
        <v>5</v>
      </c>
      <c r="K683">
        <v>240.86662489932201</v>
      </c>
      <c r="L683">
        <v>1494</v>
      </c>
      <c r="M683">
        <v>1204.33312449661</v>
      </c>
      <c r="N683">
        <v>289.666875503386</v>
      </c>
      <c r="O683" t="s">
        <v>32</v>
      </c>
      <c r="P683">
        <f t="shared" si="20"/>
        <v>1660</v>
      </c>
      <c r="Q683">
        <f t="shared" si="21"/>
        <v>-289.66687550338997</v>
      </c>
    </row>
    <row r="684" spans="1:17" x14ac:dyDescent="0.4">
      <c r="A684" t="s">
        <v>1395</v>
      </c>
      <c r="B684" s="1">
        <v>45607.041666666664</v>
      </c>
      <c r="C684" t="s">
        <v>22</v>
      </c>
      <c r="D684" t="s">
        <v>1396</v>
      </c>
      <c r="E684" t="s">
        <v>85</v>
      </c>
      <c r="F684" t="s">
        <v>70</v>
      </c>
      <c r="G684">
        <v>265</v>
      </c>
      <c r="H684">
        <v>0.05</v>
      </c>
      <c r="I684">
        <v>251.75</v>
      </c>
      <c r="J684">
        <v>6</v>
      </c>
      <c r="K684">
        <v>150.66739275534499</v>
      </c>
      <c r="L684">
        <v>1510.5</v>
      </c>
      <c r="M684">
        <v>904.00435653207501</v>
      </c>
      <c r="N684">
        <v>606.49564346792397</v>
      </c>
      <c r="O684" t="s">
        <v>51</v>
      </c>
      <c r="P684">
        <f t="shared" si="20"/>
        <v>1590</v>
      </c>
      <c r="Q684">
        <f t="shared" si="21"/>
        <v>-606.49564346792499</v>
      </c>
    </row>
    <row r="685" spans="1:17" x14ac:dyDescent="0.4">
      <c r="A685" t="s">
        <v>1397</v>
      </c>
      <c r="B685" s="1">
        <v>45636.083333333336</v>
      </c>
      <c r="C685" t="s">
        <v>16</v>
      </c>
      <c r="D685" t="s">
        <v>1398</v>
      </c>
      <c r="E685" t="s">
        <v>69</v>
      </c>
      <c r="F685" t="s">
        <v>70</v>
      </c>
      <c r="G685">
        <v>82</v>
      </c>
      <c r="H685">
        <v>0.05</v>
      </c>
      <c r="I685">
        <v>77.899999999999906</v>
      </c>
      <c r="J685">
        <v>7</v>
      </c>
      <c r="K685">
        <v>43.024703580357901</v>
      </c>
      <c r="L685">
        <v>545.29999999999995</v>
      </c>
      <c r="M685">
        <v>301.17292506250499</v>
      </c>
      <c r="N685">
        <v>244.127074937494</v>
      </c>
      <c r="O685" t="s">
        <v>51</v>
      </c>
      <c r="P685">
        <f t="shared" si="20"/>
        <v>574</v>
      </c>
      <c r="Q685">
        <f t="shared" si="21"/>
        <v>-244.12707493749497</v>
      </c>
    </row>
    <row r="686" spans="1:17" x14ac:dyDescent="0.4">
      <c r="A686" t="s">
        <v>1399</v>
      </c>
      <c r="B686" s="1">
        <v>45984.333333333336</v>
      </c>
      <c r="C686" t="s">
        <v>43</v>
      </c>
      <c r="D686" t="s">
        <v>1400</v>
      </c>
      <c r="E686" t="s">
        <v>97</v>
      </c>
      <c r="F686" t="s">
        <v>61</v>
      </c>
      <c r="G686">
        <v>218</v>
      </c>
      <c r="H686">
        <v>0</v>
      </c>
      <c r="I686">
        <v>218</v>
      </c>
      <c r="J686">
        <v>5</v>
      </c>
      <c r="K686">
        <v>109.469465607877</v>
      </c>
      <c r="L686">
        <v>1090</v>
      </c>
      <c r="M686">
        <v>547.34732803938596</v>
      </c>
      <c r="N686">
        <v>542.65267196061302</v>
      </c>
      <c r="O686" t="s">
        <v>26</v>
      </c>
      <c r="P686">
        <f t="shared" si="20"/>
        <v>1090</v>
      </c>
      <c r="Q686">
        <f t="shared" si="21"/>
        <v>-542.65267196061404</v>
      </c>
    </row>
    <row r="687" spans="1:17" x14ac:dyDescent="0.4">
      <c r="A687" t="s">
        <v>1401</v>
      </c>
      <c r="B687" s="1">
        <v>45557.458333333336</v>
      </c>
      <c r="C687" t="s">
        <v>16</v>
      </c>
      <c r="D687" t="s">
        <v>1402</v>
      </c>
      <c r="E687" t="s">
        <v>85</v>
      </c>
      <c r="F687" t="s">
        <v>70</v>
      </c>
      <c r="G687">
        <v>126</v>
      </c>
      <c r="H687">
        <v>0.2</v>
      </c>
      <c r="I687">
        <v>100.8</v>
      </c>
      <c r="J687">
        <v>3</v>
      </c>
      <c r="K687">
        <v>59.673179445472002</v>
      </c>
      <c r="L687">
        <v>302.39999999999998</v>
      </c>
      <c r="M687">
        <v>179.01953833641599</v>
      </c>
      <c r="N687">
        <v>123.38046166358301</v>
      </c>
      <c r="O687" t="s">
        <v>26</v>
      </c>
      <c r="P687">
        <f t="shared" si="20"/>
        <v>378</v>
      </c>
      <c r="Q687">
        <f t="shared" si="21"/>
        <v>-123.38046166358399</v>
      </c>
    </row>
    <row r="688" spans="1:17" x14ac:dyDescent="0.4">
      <c r="A688" t="s">
        <v>1403</v>
      </c>
      <c r="B688" s="1">
        <v>45890.708333333336</v>
      </c>
      <c r="C688" t="s">
        <v>22</v>
      </c>
      <c r="D688" t="s">
        <v>1404</v>
      </c>
      <c r="E688" t="s">
        <v>73</v>
      </c>
      <c r="F688" t="s">
        <v>38</v>
      </c>
      <c r="G688">
        <v>156</v>
      </c>
      <c r="H688">
        <v>0.15</v>
      </c>
      <c r="I688">
        <v>132.6</v>
      </c>
      <c r="J688">
        <v>2</v>
      </c>
      <c r="K688">
        <v>79.9027520501064</v>
      </c>
      <c r="L688">
        <v>265.2</v>
      </c>
      <c r="M688">
        <v>159.805504100212</v>
      </c>
      <c r="N688">
        <v>105.394495899787</v>
      </c>
      <c r="O688" t="s">
        <v>32</v>
      </c>
      <c r="P688">
        <f t="shared" si="20"/>
        <v>312</v>
      </c>
      <c r="Q688">
        <f t="shared" si="21"/>
        <v>-105.39449589978798</v>
      </c>
    </row>
    <row r="689" spans="1:17" x14ac:dyDescent="0.4">
      <c r="A689" t="s">
        <v>1405</v>
      </c>
      <c r="B689" s="1">
        <v>45829.916666666664</v>
      </c>
      <c r="C689" t="s">
        <v>46</v>
      </c>
      <c r="D689" t="s">
        <v>1406</v>
      </c>
      <c r="E689" t="s">
        <v>115</v>
      </c>
      <c r="F689" t="s">
        <v>38</v>
      </c>
      <c r="G689">
        <v>156</v>
      </c>
      <c r="H689">
        <v>0</v>
      </c>
      <c r="I689">
        <v>156</v>
      </c>
      <c r="J689">
        <v>4</v>
      </c>
      <c r="K689">
        <v>104.24020228309099</v>
      </c>
      <c r="L689">
        <v>624</v>
      </c>
      <c r="M689">
        <v>416.96080913236699</v>
      </c>
      <c r="N689">
        <v>207.03919086763199</v>
      </c>
      <c r="O689" t="s">
        <v>32</v>
      </c>
      <c r="P689">
        <f t="shared" si="20"/>
        <v>624</v>
      </c>
      <c r="Q689">
        <f t="shared" si="21"/>
        <v>-207.03919086763301</v>
      </c>
    </row>
    <row r="690" spans="1:17" x14ac:dyDescent="0.4">
      <c r="A690" t="s">
        <v>1407</v>
      </c>
      <c r="B690" s="1">
        <v>45622.958333333336</v>
      </c>
      <c r="C690" t="s">
        <v>65</v>
      </c>
      <c r="D690" t="s">
        <v>1408</v>
      </c>
      <c r="E690" t="s">
        <v>73</v>
      </c>
      <c r="F690" t="s">
        <v>38</v>
      </c>
      <c r="G690">
        <v>221</v>
      </c>
      <c r="H690">
        <v>0.15</v>
      </c>
      <c r="I690">
        <v>187.85</v>
      </c>
      <c r="J690">
        <v>4</v>
      </c>
      <c r="K690">
        <v>93.999319955744397</v>
      </c>
      <c r="L690">
        <v>751.4</v>
      </c>
      <c r="M690">
        <v>375.99727982297702</v>
      </c>
      <c r="N690">
        <v>375.40272017702199</v>
      </c>
      <c r="O690" t="s">
        <v>32</v>
      </c>
      <c r="P690">
        <f t="shared" si="20"/>
        <v>884</v>
      </c>
      <c r="Q690">
        <f t="shared" si="21"/>
        <v>-375.40272017702296</v>
      </c>
    </row>
    <row r="691" spans="1:17" x14ac:dyDescent="0.4">
      <c r="A691" t="s">
        <v>1409</v>
      </c>
      <c r="B691" s="1">
        <v>45800.291666666664</v>
      </c>
      <c r="C691" t="s">
        <v>16</v>
      </c>
      <c r="D691" t="s">
        <v>1410</v>
      </c>
      <c r="E691" t="s">
        <v>146</v>
      </c>
      <c r="F691" t="s">
        <v>70</v>
      </c>
      <c r="G691">
        <v>303</v>
      </c>
      <c r="H691">
        <v>0</v>
      </c>
      <c r="I691">
        <v>303</v>
      </c>
      <c r="J691">
        <v>4</v>
      </c>
      <c r="K691">
        <v>121.952587271082</v>
      </c>
      <c r="L691">
        <v>1212</v>
      </c>
      <c r="M691">
        <v>487.81034908433099</v>
      </c>
      <c r="N691">
        <v>724.18965091566804</v>
      </c>
      <c r="O691" t="s">
        <v>32</v>
      </c>
      <c r="P691">
        <f t="shared" si="20"/>
        <v>1212</v>
      </c>
      <c r="Q691">
        <f t="shared" si="21"/>
        <v>-724.18965091566906</v>
      </c>
    </row>
    <row r="692" spans="1:17" x14ac:dyDescent="0.4">
      <c r="A692" t="s">
        <v>1411</v>
      </c>
      <c r="B692" s="1">
        <v>45947.333333333336</v>
      </c>
      <c r="C692" t="s">
        <v>65</v>
      </c>
      <c r="D692" t="s">
        <v>1412</v>
      </c>
      <c r="E692" t="s">
        <v>97</v>
      </c>
      <c r="F692" t="s">
        <v>61</v>
      </c>
      <c r="G692">
        <v>142</v>
      </c>
      <c r="H692">
        <v>0.05</v>
      </c>
      <c r="I692">
        <v>134.9</v>
      </c>
      <c r="J692">
        <v>1</v>
      </c>
      <c r="K692">
        <v>83.207595675859395</v>
      </c>
      <c r="L692">
        <v>134.9</v>
      </c>
      <c r="M692">
        <v>83.207595675859395</v>
      </c>
      <c r="N692">
        <v>51.692404324140497</v>
      </c>
      <c r="O692" t="s">
        <v>105</v>
      </c>
      <c r="P692">
        <f t="shared" si="20"/>
        <v>142</v>
      </c>
      <c r="Q692">
        <f t="shared" si="21"/>
        <v>-51.692404324140611</v>
      </c>
    </row>
    <row r="693" spans="1:17" x14ac:dyDescent="0.4">
      <c r="A693" t="s">
        <v>1413</v>
      </c>
      <c r="B693" s="1">
        <v>45572.75</v>
      </c>
      <c r="C693" t="s">
        <v>22</v>
      </c>
      <c r="D693" t="s">
        <v>1414</v>
      </c>
      <c r="E693" t="s">
        <v>69</v>
      </c>
      <c r="F693" t="s">
        <v>70</v>
      </c>
      <c r="G693">
        <v>171</v>
      </c>
      <c r="H693">
        <v>0</v>
      </c>
      <c r="I693">
        <v>171</v>
      </c>
      <c r="J693">
        <v>6</v>
      </c>
      <c r="K693">
        <v>122.43433402610199</v>
      </c>
      <c r="L693">
        <v>1026</v>
      </c>
      <c r="M693">
        <v>734.60600415661395</v>
      </c>
      <c r="N693">
        <v>291.39399584338503</v>
      </c>
      <c r="O693" t="s">
        <v>32</v>
      </c>
      <c r="P693">
        <f t="shared" si="20"/>
        <v>1026</v>
      </c>
      <c r="Q693">
        <f t="shared" si="21"/>
        <v>-291.39399584338605</v>
      </c>
    </row>
    <row r="694" spans="1:17" x14ac:dyDescent="0.4">
      <c r="A694" t="s">
        <v>1415</v>
      </c>
      <c r="B694" s="1">
        <v>45955.041666666664</v>
      </c>
      <c r="C694" t="s">
        <v>28</v>
      </c>
      <c r="D694" t="s">
        <v>1416</v>
      </c>
      <c r="E694" t="s">
        <v>41</v>
      </c>
      <c r="F694" t="s">
        <v>31</v>
      </c>
      <c r="G694">
        <v>125</v>
      </c>
      <c r="H694">
        <v>0.1</v>
      </c>
      <c r="I694">
        <v>112.5</v>
      </c>
      <c r="J694">
        <v>6</v>
      </c>
      <c r="K694">
        <v>68.083732619364596</v>
      </c>
      <c r="L694">
        <v>675</v>
      </c>
      <c r="M694">
        <v>408.502395716188</v>
      </c>
      <c r="N694">
        <v>266.497604283812</v>
      </c>
      <c r="O694" t="s">
        <v>32</v>
      </c>
      <c r="P694">
        <f t="shared" si="20"/>
        <v>750</v>
      </c>
      <c r="Q694">
        <f t="shared" si="21"/>
        <v>-266.497604283812</v>
      </c>
    </row>
    <row r="695" spans="1:17" x14ac:dyDescent="0.4">
      <c r="A695" t="s">
        <v>1417</v>
      </c>
      <c r="B695" s="1">
        <v>45395</v>
      </c>
      <c r="C695" t="s">
        <v>65</v>
      </c>
      <c r="D695" t="s">
        <v>1418</v>
      </c>
      <c r="E695" t="s">
        <v>37</v>
      </c>
      <c r="F695" t="s">
        <v>38</v>
      </c>
      <c r="G695">
        <v>167</v>
      </c>
      <c r="H695">
        <v>0</v>
      </c>
      <c r="I695">
        <v>167</v>
      </c>
      <c r="J695">
        <v>2</v>
      </c>
      <c r="K695">
        <v>96.533043935631994</v>
      </c>
      <c r="L695">
        <v>334</v>
      </c>
      <c r="M695">
        <v>193.06608787126399</v>
      </c>
      <c r="N695">
        <v>140.93391212873499</v>
      </c>
      <c r="O695" t="s">
        <v>32</v>
      </c>
      <c r="P695">
        <f t="shared" si="20"/>
        <v>334</v>
      </c>
      <c r="Q695">
        <f t="shared" si="21"/>
        <v>-140.93391212873601</v>
      </c>
    </row>
    <row r="696" spans="1:17" x14ac:dyDescent="0.4">
      <c r="A696" t="s">
        <v>1419</v>
      </c>
      <c r="B696" s="1">
        <v>45945.291666666664</v>
      </c>
      <c r="C696" t="s">
        <v>28</v>
      </c>
      <c r="D696" t="s">
        <v>1420</v>
      </c>
      <c r="E696" t="s">
        <v>37</v>
      </c>
      <c r="F696" t="s">
        <v>38</v>
      </c>
      <c r="G696">
        <v>212</v>
      </c>
      <c r="H696">
        <v>0.1</v>
      </c>
      <c r="I696">
        <v>190.8</v>
      </c>
      <c r="J696">
        <v>1</v>
      </c>
      <c r="K696">
        <v>144.51859504339799</v>
      </c>
      <c r="L696">
        <v>190.8</v>
      </c>
      <c r="M696">
        <v>144.51859504339799</v>
      </c>
      <c r="N696">
        <v>46.281404956601698</v>
      </c>
      <c r="O696" t="s">
        <v>51</v>
      </c>
      <c r="P696">
        <f t="shared" si="20"/>
        <v>212</v>
      </c>
      <c r="Q696">
        <f t="shared" si="21"/>
        <v>-46.281404956602017</v>
      </c>
    </row>
    <row r="697" spans="1:17" x14ac:dyDescent="0.4">
      <c r="A697" t="s">
        <v>1421</v>
      </c>
      <c r="B697" s="1">
        <v>45365.375</v>
      </c>
      <c r="C697" t="s">
        <v>65</v>
      </c>
      <c r="D697" t="s">
        <v>1422</v>
      </c>
      <c r="E697" t="s">
        <v>18</v>
      </c>
      <c r="F697" t="s">
        <v>19</v>
      </c>
      <c r="G697">
        <v>210</v>
      </c>
      <c r="H697">
        <v>0</v>
      </c>
      <c r="I697">
        <v>210</v>
      </c>
      <c r="J697">
        <v>6</v>
      </c>
      <c r="K697">
        <v>149.87669408403801</v>
      </c>
      <c r="L697">
        <v>1260</v>
      </c>
      <c r="M697">
        <v>899.26016450423003</v>
      </c>
      <c r="N697">
        <v>360.739835495769</v>
      </c>
      <c r="O697" t="s">
        <v>51</v>
      </c>
      <c r="P697">
        <f t="shared" si="20"/>
        <v>1260</v>
      </c>
      <c r="Q697">
        <f t="shared" si="21"/>
        <v>-360.73983549576997</v>
      </c>
    </row>
    <row r="698" spans="1:17" x14ac:dyDescent="0.4">
      <c r="A698" t="s">
        <v>1423</v>
      </c>
      <c r="B698" s="1">
        <v>45715.625</v>
      </c>
      <c r="C698" t="s">
        <v>65</v>
      </c>
      <c r="D698" t="s">
        <v>1424</v>
      </c>
      <c r="E698" t="s">
        <v>110</v>
      </c>
      <c r="F698" t="s">
        <v>19</v>
      </c>
      <c r="G698">
        <v>190</v>
      </c>
      <c r="H698">
        <v>0</v>
      </c>
      <c r="I698">
        <v>190</v>
      </c>
      <c r="J698">
        <v>1</v>
      </c>
      <c r="K698">
        <v>88.420373127370098</v>
      </c>
      <c r="L698">
        <v>190</v>
      </c>
      <c r="M698">
        <v>88.420373127370098</v>
      </c>
      <c r="N698">
        <v>101.57962687262901</v>
      </c>
      <c r="O698" t="s">
        <v>20</v>
      </c>
      <c r="P698">
        <f t="shared" si="20"/>
        <v>190</v>
      </c>
      <c r="Q698">
        <f t="shared" si="21"/>
        <v>-101.5796268726299</v>
      </c>
    </row>
    <row r="699" spans="1:17" x14ac:dyDescent="0.4">
      <c r="A699" t="s">
        <v>1425</v>
      </c>
      <c r="B699" s="1">
        <v>45731.75</v>
      </c>
      <c r="C699" t="s">
        <v>22</v>
      </c>
      <c r="D699" t="s">
        <v>1426</v>
      </c>
      <c r="E699" t="s">
        <v>73</v>
      </c>
      <c r="F699" t="s">
        <v>38</v>
      </c>
      <c r="G699">
        <v>190</v>
      </c>
      <c r="H699">
        <v>0</v>
      </c>
      <c r="I699">
        <v>190</v>
      </c>
      <c r="J699">
        <v>4</v>
      </c>
      <c r="K699">
        <v>120.946859418209</v>
      </c>
      <c r="L699">
        <v>760</v>
      </c>
      <c r="M699">
        <v>483.78743767283601</v>
      </c>
      <c r="N699">
        <v>276.21256232716303</v>
      </c>
      <c r="O699" t="s">
        <v>32</v>
      </c>
      <c r="P699">
        <f t="shared" si="20"/>
        <v>760</v>
      </c>
      <c r="Q699">
        <f t="shared" si="21"/>
        <v>-276.21256232716399</v>
      </c>
    </row>
    <row r="700" spans="1:17" x14ac:dyDescent="0.4">
      <c r="A700" t="s">
        <v>1427</v>
      </c>
      <c r="B700" s="1">
        <v>46011.166666666664</v>
      </c>
      <c r="C700" t="s">
        <v>65</v>
      </c>
      <c r="D700" t="s">
        <v>1428</v>
      </c>
      <c r="E700" t="s">
        <v>115</v>
      </c>
      <c r="F700" t="s">
        <v>38</v>
      </c>
      <c r="G700">
        <v>209</v>
      </c>
      <c r="H700">
        <v>0.15</v>
      </c>
      <c r="I700">
        <v>177.65</v>
      </c>
      <c r="J700">
        <v>3</v>
      </c>
      <c r="K700">
        <v>146.92193441066499</v>
      </c>
      <c r="L700">
        <v>532.95000000000005</v>
      </c>
      <c r="M700">
        <v>440.76580323199602</v>
      </c>
      <c r="N700">
        <v>92.184196768003901</v>
      </c>
      <c r="O700" t="s">
        <v>32</v>
      </c>
      <c r="P700">
        <f t="shared" si="20"/>
        <v>627</v>
      </c>
      <c r="Q700">
        <f t="shared" si="21"/>
        <v>-92.184196768004028</v>
      </c>
    </row>
    <row r="701" spans="1:17" x14ac:dyDescent="0.4">
      <c r="A701" t="s">
        <v>1429</v>
      </c>
      <c r="B701" s="1">
        <v>45886.875</v>
      </c>
      <c r="C701" t="s">
        <v>65</v>
      </c>
      <c r="D701" t="s">
        <v>1430</v>
      </c>
      <c r="E701" t="s">
        <v>73</v>
      </c>
      <c r="F701" t="s">
        <v>38</v>
      </c>
      <c r="G701">
        <v>117</v>
      </c>
      <c r="H701">
        <v>0.15</v>
      </c>
      <c r="I701">
        <v>99.45</v>
      </c>
      <c r="J701">
        <v>2</v>
      </c>
      <c r="K701">
        <v>86.0952984445981</v>
      </c>
      <c r="L701">
        <v>198.9</v>
      </c>
      <c r="M701">
        <v>172.190596889196</v>
      </c>
      <c r="N701">
        <v>26.709403110803699</v>
      </c>
      <c r="O701" t="s">
        <v>26</v>
      </c>
      <c r="P701">
        <f t="shared" si="20"/>
        <v>234</v>
      </c>
      <c r="Q701">
        <f t="shared" si="21"/>
        <v>-26.709403110804004</v>
      </c>
    </row>
    <row r="702" spans="1:17" x14ac:dyDescent="0.4">
      <c r="A702" t="s">
        <v>1431</v>
      </c>
      <c r="B702" s="1">
        <v>45450.833333333336</v>
      </c>
      <c r="C702" t="s">
        <v>16</v>
      </c>
      <c r="D702" t="s">
        <v>1432</v>
      </c>
      <c r="E702" t="s">
        <v>30</v>
      </c>
      <c r="F702" t="s">
        <v>31</v>
      </c>
      <c r="G702">
        <v>231</v>
      </c>
      <c r="H702">
        <v>0</v>
      </c>
      <c r="I702">
        <v>231</v>
      </c>
      <c r="J702">
        <v>1</v>
      </c>
      <c r="K702">
        <v>115.384708173367</v>
      </c>
      <c r="L702">
        <v>231</v>
      </c>
      <c r="M702">
        <v>115.384708173367</v>
      </c>
      <c r="N702">
        <v>115.615291826632</v>
      </c>
      <c r="O702" t="s">
        <v>32</v>
      </c>
      <c r="P702">
        <f t="shared" si="20"/>
        <v>231</v>
      </c>
      <c r="Q702">
        <f t="shared" si="21"/>
        <v>-115.615291826633</v>
      </c>
    </row>
    <row r="703" spans="1:17" x14ac:dyDescent="0.4">
      <c r="A703" t="s">
        <v>1433</v>
      </c>
      <c r="B703" s="1">
        <v>45358.875</v>
      </c>
      <c r="C703" t="s">
        <v>65</v>
      </c>
      <c r="D703" t="s">
        <v>1434</v>
      </c>
      <c r="E703" t="s">
        <v>85</v>
      </c>
      <c r="F703" t="s">
        <v>70</v>
      </c>
      <c r="G703">
        <v>308</v>
      </c>
      <c r="H703">
        <v>0.25</v>
      </c>
      <c r="I703">
        <v>231</v>
      </c>
      <c r="J703">
        <v>1</v>
      </c>
      <c r="K703">
        <v>207.71216548450201</v>
      </c>
      <c r="L703">
        <v>231</v>
      </c>
      <c r="M703">
        <v>207.71216548450201</v>
      </c>
      <c r="N703">
        <v>23.287834515497501</v>
      </c>
      <c r="O703" t="s">
        <v>26</v>
      </c>
      <c r="P703">
        <f t="shared" si="20"/>
        <v>308</v>
      </c>
      <c r="Q703">
        <f t="shared" si="21"/>
        <v>-23.287834515497991</v>
      </c>
    </row>
    <row r="704" spans="1:17" x14ac:dyDescent="0.4">
      <c r="A704" t="s">
        <v>1435</v>
      </c>
      <c r="B704" s="1">
        <v>45526.25</v>
      </c>
      <c r="C704" t="s">
        <v>65</v>
      </c>
      <c r="D704" t="s">
        <v>1436</v>
      </c>
      <c r="E704" t="s">
        <v>85</v>
      </c>
      <c r="F704" t="s">
        <v>70</v>
      </c>
      <c r="G704">
        <v>168</v>
      </c>
      <c r="H704">
        <v>0.15</v>
      </c>
      <c r="I704">
        <v>142.79999999999899</v>
      </c>
      <c r="J704">
        <v>1</v>
      </c>
      <c r="K704">
        <v>113.962925524003</v>
      </c>
      <c r="L704">
        <v>142.79999999999899</v>
      </c>
      <c r="M704">
        <v>113.962925524003</v>
      </c>
      <c r="N704">
        <v>28.837074475996101</v>
      </c>
      <c r="O704" t="s">
        <v>32</v>
      </c>
      <c r="P704">
        <f t="shared" si="20"/>
        <v>168</v>
      </c>
      <c r="Q704">
        <f t="shared" si="21"/>
        <v>-28.83707447599599</v>
      </c>
    </row>
    <row r="705" spans="1:17" x14ac:dyDescent="0.4">
      <c r="A705" t="s">
        <v>1437</v>
      </c>
      <c r="B705" s="1">
        <v>45573.958333333336</v>
      </c>
      <c r="C705" t="s">
        <v>28</v>
      </c>
      <c r="D705" t="s">
        <v>1438</v>
      </c>
      <c r="E705" t="s">
        <v>97</v>
      </c>
      <c r="F705" t="s">
        <v>61</v>
      </c>
      <c r="G705">
        <v>184</v>
      </c>
      <c r="H705">
        <v>0</v>
      </c>
      <c r="I705">
        <v>184</v>
      </c>
      <c r="J705">
        <v>7</v>
      </c>
      <c r="K705">
        <v>91.167926689870001</v>
      </c>
      <c r="L705">
        <v>1288</v>
      </c>
      <c r="M705">
        <v>638.17548682909</v>
      </c>
      <c r="N705">
        <v>649.82451317090897</v>
      </c>
      <c r="O705" t="s">
        <v>51</v>
      </c>
      <c r="P705">
        <f t="shared" si="20"/>
        <v>1288</v>
      </c>
      <c r="Q705">
        <f t="shared" si="21"/>
        <v>-649.82451317091</v>
      </c>
    </row>
    <row r="706" spans="1:17" x14ac:dyDescent="0.4">
      <c r="A706" t="s">
        <v>1439</v>
      </c>
      <c r="B706" s="1">
        <v>45775.875</v>
      </c>
      <c r="C706" t="s">
        <v>46</v>
      </c>
      <c r="D706" t="s">
        <v>1440</v>
      </c>
      <c r="E706" t="s">
        <v>85</v>
      </c>
      <c r="F706" t="s">
        <v>70</v>
      </c>
      <c r="G706">
        <v>336</v>
      </c>
      <c r="H706">
        <v>0.1</v>
      </c>
      <c r="I706">
        <v>302.39999999999998</v>
      </c>
      <c r="J706">
        <v>1</v>
      </c>
      <c r="K706">
        <v>245.33326915640001</v>
      </c>
      <c r="L706">
        <v>302.39999999999998</v>
      </c>
      <c r="M706">
        <v>245.33326915640001</v>
      </c>
      <c r="N706">
        <v>57.066730843599998</v>
      </c>
      <c r="O706" t="s">
        <v>32</v>
      </c>
      <c r="P706">
        <f t="shared" si="20"/>
        <v>336</v>
      </c>
      <c r="Q706">
        <f t="shared" si="21"/>
        <v>-57.06673084359997</v>
      </c>
    </row>
    <row r="707" spans="1:17" x14ac:dyDescent="0.4">
      <c r="A707" t="s">
        <v>1441</v>
      </c>
      <c r="B707" s="1">
        <v>45733.208333333336</v>
      </c>
      <c r="C707" t="s">
        <v>46</v>
      </c>
      <c r="D707" t="s">
        <v>1442</v>
      </c>
      <c r="E707" t="s">
        <v>69</v>
      </c>
      <c r="F707" t="s">
        <v>70</v>
      </c>
      <c r="G707">
        <v>262</v>
      </c>
      <c r="H707">
        <v>0.05</v>
      </c>
      <c r="I707">
        <v>248.89999999999901</v>
      </c>
      <c r="J707">
        <v>2</v>
      </c>
      <c r="K707">
        <v>127.018298287682</v>
      </c>
      <c r="L707">
        <v>497.79999999999899</v>
      </c>
      <c r="M707">
        <v>254.036596575365</v>
      </c>
      <c r="N707">
        <v>243.76340342463399</v>
      </c>
      <c r="O707" t="s">
        <v>26</v>
      </c>
      <c r="P707">
        <f t="shared" ref="P707:P770" si="22">G707 * J707</f>
        <v>524</v>
      </c>
      <c r="Q707">
        <f t="shared" ref="Q707:Q770" si="23" xml:space="preserve"> M707 - L707</f>
        <v>-243.76340342463399</v>
      </c>
    </row>
    <row r="708" spans="1:17" x14ac:dyDescent="0.4">
      <c r="A708" t="s">
        <v>1443</v>
      </c>
      <c r="B708" s="1">
        <v>45871.916666666664</v>
      </c>
      <c r="C708" t="s">
        <v>65</v>
      </c>
      <c r="D708" t="s">
        <v>1444</v>
      </c>
      <c r="E708" t="s">
        <v>69</v>
      </c>
      <c r="F708" t="s">
        <v>70</v>
      </c>
      <c r="G708">
        <v>147</v>
      </c>
      <c r="H708">
        <v>0</v>
      </c>
      <c r="I708">
        <v>147</v>
      </c>
      <c r="J708">
        <v>5</v>
      </c>
      <c r="K708">
        <v>84.714941115666505</v>
      </c>
      <c r="L708">
        <v>735</v>
      </c>
      <c r="M708">
        <v>423.57470557833199</v>
      </c>
      <c r="N708">
        <v>311.42529442166699</v>
      </c>
      <c r="O708" t="s">
        <v>26</v>
      </c>
      <c r="P708">
        <f t="shared" si="22"/>
        <v>735</v>
      </c>
      <c r="Q708">
        <f t="shared" si="23"/>
        <v>-311.42529442166801</v>
      </c>
    </row>
    <row r="709" spans="1:17" x14ac:dyDescent="0.4">
      <c r="A709" t="s">
        <v>1445</v>
      </c>
      <c r="B709" s="1">
        <v>45835.583333333336</v>
      </c>
      <c r="C709" t="s">
        <v>16</v>
      </c>
      <c r="D709" t="s">
        <v>1446</v>
      </c>
      <c r="E709" t="s">
        <v>48</v>
      </c>
      <c r="F709" t="s">
        <v>19</v>
      </c>
      <c r="G709">
        <v>182</v>
      </c>
      <c r="H709">
        <v>0.05</v>
      </c>
      <c r="I709">
        <v>172.9</v>
      </c>
      <c r="J709">
        <v>4</v>
      </c>
      <c r="K709">
        <v>100.367263104811</v>
      </c>
      <c r="L709">
        <v>691.6</v>
      </c>
      <c r="M709">
        <v>401.46905241924702</v>
      </c>
      <c r="N709">
        <v>290.13094758075198</v>
      </c>
      <c r="O709" t="s">
        <v>26</v>
      </c>
      <c r="P709">
        <f t="shared" si="22"/>
        <v>728</v>
      </c>
      <c r="Q709">
        <f t="shared" si="23"/>
        <v>-290.130947580753</v>
      </c>
    </row>
    <row r="710" spans="1:17" x14ac:dyDescent="0.4">
      <c r="A710" t="s">
        <v>1447</v>
      </c>
      <c r="B710" s="1">
        <v>45399.916666666664</v>
      </c>
      <c r="C710" t="s">
        <v>65</v>
      </c>
      <c r="D710" t="s">
        <v>1448</v>
      </c>
      <c r="E710" t="s">
        <v>146</v>
      </c>
      <c r="F710" t="s">
        <v>70</v>
      </c>
      <c r="G710">
        <v>167</v>
      </c>
      <c r="H710">
        <v>0.1</v>
      </c>
      <c r="I710">
        <v>150.30000000000001</v>
      </c>
      <c r="J710">
        <v>6</v>
      </c>
      <c r="K710">
        <v>84.910563974229206</v>
      </c>
      <c r="L710">
        <v>901.8</v>
      </c>
      <c r="M710">
        <v>509.46338384537501</v>
      </c>
      <c r="N710">
        <v>392.33661615462398</v>
      </c>
      <c r="O710" t="s">
        <v>32</v>
      </c>
      <c r="P710">
        <f t="shared" si="22"/>
        <v>1002</v>
      </c>
      <c r="Q710">
        <f t="shared" si="23"/>
        <v>-392.33661615462495</v>
      </c>
    </row>
    <row r="711" spans="1:17" x14ac:dyDescent="0.4">
      <c r="A711" t="s">
        <v>1449</v>
      </c>
      <c r="B711" s="1">
        <v>46018.958333333336</v>
      </c>
      <c r="C711" t="s">
        <v>28</v>
      </c>
      <c r="D711" t="s">
        <v>1450</v>
      </c>
      <c r="E711" t="s">
        <v>30</v>
      </c>
      <c r="F711" t="s">
        <v>31</v>
      </c>
      <c r="G711">
        <v>96</v>
      </c>
      <c r="H711">
        <v>0</v>
      </c>
      <c r="I711">
        <v>96</v>
      </c>
      <c r="J711">
        <v>2</v>
      </c>
      <c r="K711">
        <v>58.307428595093597</v>
      </c>
      <c r="L711">
        <v>192</v>
      </c>
      <c r="M711">
        <v>116.614857190187</v>
      </c>
      <c r="N711">
        <v>75.385142809812706</v>
      </c>
      <c r="O711" t="s">
        <v>26</v>
      </c>
      <c r="P711">
        <f t="shared" si="22"/>
        <v>192</v>
      </c>
      <c r="Q711">
        <f t="shared" si="23"/>
        <v>-75.385142809813004</v>
      </c>
    </row>
    <row r="712" spans="1:17" x14ac:dyDescent="0.4">
      <c r="A712" t="s">
        <v>1451</v>
      </c>
      <c r="B712" s="1">
        <v>45472.166666666664</v>
      </c>
      <c r="C712" t="s">
        <v>46</v>
      </c>
      <c r="D712" t="s">
        <v>259</v>
      </c>
      <c r="E712" t="s">
        <v>48</v>
      </c>
      <c r="F712" t="s">
        <v>19</v>
      </c>
      <c r="G712">
        <v>149</v>
      </c>
      <c r="H712">
        <v>0</v>
      </c>
      <c r="I712">
        <v>149</v>
      </c>
      <c r="J712">
        <v>5</v>
      </c>
      <c r="K712">
        <v>111.657904446967</v>
      </c>
      <c r="L712">
        <v>745</v>
      </c>
      <c r="M712">
        <v>558.28952223483805</v>
      </c>
      <c r="N712">
        <v>186.71047776516099</v>
      </c>
      <c r="O712" t="s">
        <v>32</v>
      </c>
      <c r="P712">
        <f t="shared" si="22"/>
        <v>745</v>
      </c>
      <c r="Q712">
        <f t="shared" si="23"/>
        <v>-186.71047776516195</v>
      </c>
    </row>
    <row r="713" spans="1:17" x14ac:dyDescent="0.4">
      <c r="A713" t="s">
        <v>1452</v>
      </c>
      <c r="B713" s="1">
        <v>45741.458333333336</v>
      </c>
      <c r="C713" t="s">
        <v>28</v>
      </c>
      <c r="D713" t="s">
        <v>1453</v>
      </c>
      <c r="E713" t="s">
        <v>18</v>
      </c>
      <c r="F713" t="s">
        <v>19</v>
      </c>
      <c r="G713">
        <v>184</v>
      </c>
      <c r="H713">
        <v>0</v>
      </c>
      <c r="I713">
        <v>184</v>
      </c>
      <c r="J713">
        <v>5</v>
      </c>
      <c r="K713">
        <v>100.384839336759</v>
      </c>
      <c r="L713">
        <v>920</v>
      </c>
      <c r="M713">
        <v>501.92419668379699</v>
      </c>
      <c r="N713">
        <v>418.07580331620198</v>
      </c>
      <c r="O713" t="s">
        <v>51</v>
      </c>
      <c r="P713">
        <f t="shared" si="22"/>
        <v>920</v>
      </c>
      <c r="Q713">
        <f t="shared" si="23"/>
        <v>-418.07580331620301</v>
      </c>
    </row>
    <row r="714" spans="1:17" x14ac:dyDescent="0.4">
      <c r="A714" t="s">
        <v>1454</v>
      </c>
      <c r="B714" s="1">
        <v>45671.625</v>
      </c>
      <c r="C714" t="s">
        <v>65</v>
      </c>
      <c r="D714" t="s">
        <v>1455</v>
      </c>
      <c r="E714" t="s">
        <v>69</v>
      </c>
      <c r="F714" t="s">
        <v>70</v>
      </c>
      <c r="G714">
        <v>292</v>
      </c>
      <c r="H714">
        <v>0.1</v>
      </c>
      <c r="I714">
        <v>262.8</v>
      </c>
      <c r="J714">
        <v>4</v>
      </c>
      <c r="K714">
        <v>199.00706512487301</v>
      </c>
      <c r="L714">
        <v>1051.2</v>
      </c>
      <c r="M714">
        <v>796.02826049949203</v>
      </c>
      <c r="N714">
        <v>255.17173950050801</v>
      </c>
      <c r="O714" t="s">
        <v>26</v>
      </c>
      <c r="P714">
        <f t="shared" si="22"/>
        <v>1168</v>
      </c>
      <c r="Q714">
        <f t="shared" si="23"/>
        <v>-255.17173950050801</v>
      </c>
    </row>
    <row r="715" spans="1:17" x14ac:dyDescent="0.4">
      <c r="A715" t="s">
        <v>1456</v>
      </c>
      <c r="B715" s="1">
        <v>45514.583333333336</v>
      </c>
      <c r="C715" t="s">
        <v>43</v>
      </c>
      <c r="D715" t="s">
        <v>1457</v>
      </c>
      <c r="E715" t="s">
        <v>110</v>
      </c>
      <c r="F715" t="s">
        <v>19</v>
      </c>
      <c r="G715">
        <v>188</v>
      </c>
      <c r="H715">
        <v>0</v>
      </c>
      <c r="I715">
        <v>188</v>
      </c>
      <c r="J715">
        <v>4</v>
      </c>
      <c r="K715">
        <v>126.80561182401</v>
      </c>
      <c r="L715">
        <v>752</v>
      </c>
      <c r="M715">
        <v>507.22244729604199</v>
      </c>
      <c r="N715">
        <v>244.77755270395701</v>
      </c>
      <c r="O715" t="s">
        <v>32</v>
      </c>
      <c r="P715">
        <f t="shared" si="22"/>
        <v>752</v>
      </c>
      <c r="Q715">
        <f t="shared" si="23"/>
        <v>-244.77755270395801</v>
      </c>
    </row>
    <row r="716" spans="1:17" x14ac:dyDescent="0.4">
      <c r="A716" t="s">
        <v>1458</v>
      </c>
      <c r="B716" s="1">
        <v>45974.875</v>
      </c>
      <c r="C716" t="s">
        <v>46</v>
      </c>
      <c r="D716" t="s">
        <v>567</v>
      </c>
      <c r="E716" t="s">
        <v>18</v>
      </c>
      <c r="F716" t="s">
        <v>19</v>
      </c>
      <c r="G716">
        <v>136</v>
      </c>
      <c r="H716">
        <v>0.05</v>
      </c>
      <c r="I716">
        <v>129.19999999999999</v>
      </c>
      <c r="J716">
        <v>3</v>
      </c>
      <c r="K716">
        <v>90.211154471747307</v>
      </c>
      <c r="L716">
        <v>387.599999999999</v>
      </c>
      <c r="M716">
        <v>270.63346341524198</v>
      </c>
      <c r="N716">
        <v>116.96653658475699</v>
      </c>
      <c r="O716" t="s">
        <v>26</v>
      </c>
      <c r="P716">
        <f t="shared" si="22"/>
        <v>408</v>
      </c>
      <c r="Q716">
        <f t="shared" si="23"/>
        <v>-116.96653658475702</v>
      </c>
    </row>
    <row r="717" spans="1:17" x14ac:dyDescent="0.4">
      <c r="A717" t="s">
        <v>1459</v>
      </c>
      <c r="B717" s="1">
        <v>45652.791666666664</v>
      </c>
      <c r="C717" t="s">
        <v>65</v>
      </c>
      <c r="D717" t="s">
        <v>1460</v>
      </c>
      <c r="E717" t="s">
        <v>110</v>
      </c>
      <c r="F717" t="s">
        <v>19</v>
      </c>
      <c r="G717">
        <v>165</v>
      </c>
      <c r="H717">
        <v>0.15</v>
      </c>
      <c r="I717">
        <v>140.25</v>
      </c>
      <c r="J717">
        <v>1</v>
      </c>
      <c r="K717">
        <v>77.402669187012805</v>
      </c>
      <c r="L717">
        <v>140.25</v>
      </c>
      <c r="M717">
        <v>77.402669187012805</v>
      </c>
      <c r="N717">
        <v>62.847330812987103</v>
      </c>
      <c r="O717" t="s">
        <v>20</v>
      </c>
      <c r="P717">
        <f t="shared" si="22"/>
        <v>165</v>
      </c>
      <c r="Q717">
        <f t="shared" si="23"/>
        <v>-62.847330812987195</v>
      </c>
    </row>
    <row r="718" spans="1:17" x14ac:dyDescent="0.4">
      <c r="A718" t="s">
        <v>1461</v>
      </c>
      <c r="B718" s="1">
        <v>45877.125</v>
      </c>
      <c r="C718" t="s">
        <v>28</v>
      </c>
      <c r="D718" t="s">
        <v>1462</v>
      </c>
      <c r="E718" t="s">
        <v>73</v>
      </c>
      <c r="F718" t="s">
        <v>38</v>
      </c>
      <c r="G718">
        <v>259</v>
      </c>
      <c r="H718">
        <v>0</v>
      </c>
      <c r="I718">
        <v>259</v>
      </c>
      <c r="J718">
        <v>1</v>
      </c>
      <c r="K718">
        <v>168.86433224384299</v>
      </c>
      <c r="L718">
        <v>259</v>
      </c>
      <c r="M718">
        <v>168.86433224384299</v>
      </c>
      <c r="N718">
        <v>90.135667756156593</v>
      </c>
      <c r="O718" t="s">
        <v>32</v>
      </c>
      <c r="P718">
        <f t="shared" si="22"/>
        <v>259</v>
      </c>
      <c r="Q718">
        <f t="shared" si="23"/>
        <v>-90.135667756157005</v>
      </c>
    </row>
    <row r="719" spans="1:17" x14ac:dyDescent="0.4">
      <c r="A719" t="s">
        <v>1463</v>
      </c>
      <c r="B719" s="1">
        <v>45660.208333333336</v>
      </c>
      <c r="C719" t="s">
        <v>28</v>
      </c>
      <c r="D719" t="s">
        <v>1464</v>
      </c>
      <c r="E719" t="s">
        <v>110</v>
      </c>
      <c r="F719" t="s">
        <v>19</v>
      </c>
      <c r="G719">
        <v>304</v>
      </c>
      <c r="H719">
        <v>0</v>
      </c>
      <c r="I719">
        <v>304</v>
      </c>
      <c r="J719">
        <v>5</v>
      </c>
      <c r="K719">
        <v>216.31947934700401</v>
      </c>
      <c r="L719">
        <v>1520</v>
      </c>
      <c r="M719">
        <v>1081.5973967350201</v>
      </c>
      <c r="N719">
        <v>438.40260326497599</v>
      </c>
      <c r="O719" t="s">
        <v>26</v>
      </c>
      <c r="P719">
        <f t="shared" si="22"/>
        <v>1520</v>
      </c>
      <c r="Q719">
        <f t="shared" si="23"/>
        <v>-438.40260326497992</v>
      </c>
    </row>
    <row r="720" spans="1:17" x14ac:dyDescent="0.4">
      <c r="A720" t="s">
        <v>1465</v>
      </c>
      <c r="B720" s="1">
        <v>45296.875</v>
      </c>
      <c r="C720" t="s">
        <v>65</v>
      </c>
      <c r="D720" t="s">
        <v>1466</v>
      </c>
      <c r="E720" t="s">
        <v>82</v>
      </c>
      <c r="F720" t="s">
        <v>25</v>
      </c>
      <c r="G720">
        <v>105</v>
      </c>
      <c r="H720">
        <v>0.25</v>
      </c>
      <c r="I720">
        <v>78.75</v>
      </c>
      <c r="J720">
        <v>5</v>
      </c>
      <c r="K720">
        <v>67.699749852457401</v>
      </c>
      <c r="L720">
        <v>393.75</v>
      </c>
      <c r="M720">
        <v>338.49874926228699</v>
      </c>
      <c r="N720">
        <v>55.251250737712802</v>
      </c>
      <c r="O720" t="s">
        <v>26</v>
      </c>
      <c r="P720">
        <f t="shared" si="22"/>
        <v>525</v>
      </c>
      <c r="Q720">
        <f t="shared" si="23"/>
        <v>-55.251250737713008</v>
      </c>
    </row>
    <row r="721" spans="1:17" x14ac:dyDescent="0.4">
      <c r="A721" t="s">
        <v>1467</v>
      </c>
      <c r="B721" s="1">
        <v>45871.875</v>
      </c>
      <c r="C721" t="s">
        <v>43</v>
      </c>
      <c r="D721" t="s">
        <v>1468</v>
      </c>
      <c r="E721" t="s">
        <v>104</v>
      </c>
      <c r="F721" t="s">
        <v>25</v>
      </c>
      <c r="G721">
        <v>265</v>
      </c>
      <c r="H721">
        <v>0</v>
      </c>
      <c r="I721">
        <v>265</v>
      </c>
      <c r="J721">
        <v>5</v>
      </c>
      <c r="K721">
        <v>181.85564903172499</v>
      </c>
      <c r="L721">
        <v>1325</v>
      </c>
      <c r="M721">
        <v>909.27824515862801</v>
      </c>
      <c r="N721">
        <v>415.72175484137102</v>
      </c>
      <c r="O721" t="s">
        <v>51</v>
      </c>
      <c r="P721">
        <f t="shared" si="22"/>
        <v>1325</v>
      </c>
      <c r="Q721">
        <f t="shared" si="23"/>
        <v>-415.72175484137199</v>
      </c>
    </row>
    <row r="722" spans="1:17" x14ac:dyDescent="0.4">
      <c r="A722" t="s">
        <v>1469</v>
      </c>
      <c r="B722" s="1">
        <v>45888.208333333336</v>
      </c>
      <c r="C722" t="s">
        <v>46</v>
      </c>
      <c r="D722" t="s">
        <v>1470</v>
      </c>
      <c r="E722" t="s">
        <v>37</v>
      </c>
      <c r="F722" t="s">
        <v>38</v>
      </c>
      <c r="G722">
        <v>252</v>
      </c>
      <c r="H722">
        <v>0</v>
      </c>
      <c r="I722">
        <v>252</v>
      </c>
      <c r="J722">
        <v>2</v>
      </c>
      <c r="K722">
        <v>119.36861268046199</v>
      </c>
      <c r="L722">
        <v>504</v>
      </c>
      <c r="M722">
        <v>238.73722536092399</v>
      </c>
      <c r="N722">
        <v>265.26277463907502</v>
      </c>
      <c r="O722" t="s">
        <v>105</v>
      </c>
      <c r="P722">
        <f t="shared" si="22"/>
        <v>504</v>
      </c>
      <c r="Q722">
        <f t="shared" si="23"/>
        <v>-265.26277463907604</v>
      </c>
    </row>
    <row r="723" spans="1:17" x14ac:dyDescent="0.4">
      <c r="A723" t="s">
        <v>1471</v>
      </c>
      <c r="B723" s="1">
        <v>45843.416666666664</v>
      </c>
      <c r="C723" t="s">
        <v>46</v>
      </c>
      <c r="D723" t="s">
        <v>1472</v>
      </c>
      <c r="E723" t="s">
        <v>41</v>
      </c>
      <c r="F723" t="s">
        <v>31</v>
      </c>
      <c r="G723">
        <v>190</v>
      </c>
      <c r="H723">
        <v>0</v>
      </c>
      <c r="I723">
        <v>190</v>
      </c>
      <c r="J723">
        <v>1</v>
      </c>
      <c r="K723">
        <v>109.378716121927</v>
      </c>
      <c r="L723">
        <v>190</v>
      </c>
      <c r="M723">
        <v>109.378716121927</v>
      </c>
      <c r="N723">
        <v>80.621283878072703</v>
      </c>
      <c r="O723" t="s">
        <v>26</v>
      </c>
      <c r="P723">
        <f t="shared" si="22"/>
        <v>190</v>
      </c>
      <c r="Q723">
        <f t="shared" si="23"/>
        <v>-80.621283878073001</v>
      </c>
    </row>
    <row r="724" spans="1:17" x14ac:dyDescent="0.4">
      <c r="A724" t="s">
        <v>1473</v>
      </c>
      <c r="B724" s="1">
        <v>45523.666666666664</v>
      </c>
      <c r="C724" t="s">
        <v>16</v>
      </c>
      <c r="D724" t="s">
        <v>1474</v>
      </c>
      <c r="E724" t="s">
        <v>37</v>
      </c>
      <c r="F724" t="s">
        <v>38</v>
      </c>
      <c r="G724">
        <v>261</v>
      </c>
      <c r="H724">
        <v>0.2</v>
      </c>
      <c r="I724">
        <v>208.8</v>
      </c>
      <c r="J724">
        <v>7</v>
      </c>
      <c r="K724">
        <v>185.39232491917701</v>
      </c>
      <c r="L724">
        <v>1461.6</v>
      </c>
      <c r="M724">
        <v>1297.7462744342399</v>
      </c>
      <c r="N724">
        <v>163.85372556575601</v>
      </c>
      <c r="O724" t="s">
        <v>32</v>
      </c>
      <c r="P724">
        <f t="shared" si="22"/>
        <v>1827</v>
      </c>
      <c r="Q724">
        <f t="shared" si="23"/>
        <v>-163.85372556575999</v>
      </c>
    </row>
    <row r="725" spans="1:17" x14ac:dyDescent="0.4">
      <c r="A725" t="s">
        <v>1475</v>
      </c>
      <c r="B725" s="1">
        <v>45327.25</v>
      </c>
      <c r="C725" t="s">
        <v>46</v>
      </c>
      <c r="D725" t="s">
        <v>1476</v>
      </c>
      <c r="E725" t="s">
        <v>85</v>
      </c>
      <c r="F725" t="s">
        <v>70</v>
      </c>
      <c r="G725">
        <v>193</v>
      </c>
      <c r="H725">
        <v>0.15</v>
      </c>
      <c r="I725">
        <v>164.04999999999899</v>
      </c>
      <c r="J725">
        <v>7</v>
      </c>
      <c r="K725">
        <v>86.354164809028902</v>
      </c>
      <c r="L725">
        <v>1148.3499999999999</v>
      </c>
      <c r="M725">
        <v>604.47915366320206</v>
      </c>
      <c r="N725">
        <v>543.87084633679694</v>
      </c>
      <c r="O725" t="s">
        <v>32</v>
      </c>
      <c r="P725">
        <f t="shared" si="22"/>
        <v>1351</v>
      </c>
      <c r="Q725">
        <f t="shared" si="23"/>
        <v>-543.87084633679785</v>
      </c>
    </row>
    <row r="726" spans="1:17" x14ac:dyDescent="0.4">
      <c r="A726" t="s">
        <v>1477</v>
      </c>
      <c r="B726" s="1">
        <v>45748.416666666664</v>
      </c>
      <c r="C726" t="s">
        <v>16</v>
      </c>
      <c r="D726" t="s">
        <v>1478</v>
      </c>
      <c r="E726" t="s">
        <v>115</v>
      </c>
      <c r="F726" t="s">
        <v>38</v>
      </c>
      <c r="G726">
        <v>340</v>
      </c>
      <c r="H726">
        <v>0.05</v>
      </c>
      <c r="I726">
        <v>323</v>
      </c>
      <c r="J726">
        <v>7</v>
      </c>
      <c r="K726">
        <v>226.477086481426</v>
      </c>
      <c r="L726">
        <v>2261</v>
      </c>
      <c r="M726">
        <v>1585.3396053699801</v>
      </c>
      <c r="N726">
        <v>675.66039463001403</v>
      </c>
      <c r="O726" t="s">
        <v>51</v>
      </c>
      <c r="P726">
        <f t="shared" si="22"/>
        <v>2380</v>
      </c>
      <c r="Q726">
        <f t="shared" si="23"/>
        <v>-675.66039463001994</v>
      </c>
    </row>
    <row r="727" spans="1:17" x14ac:dyDescent="0.4">
      <c r="A727" t="s">
        <v>1479</v>
      </c>
      <c r="B727" s="1">
        <v>45862.958333333336</v>
      </c>
      <c r="C727" t="s">
        <v>16</v>
      </c>
      <c r="D727" t="s">
        <v>1480</v>
      </c>
      <c r="E727" t="s">
        <v>146</v>
      </c>
      <c r="F727" t="s">
        <v>70</v>
      </c>
      <c r="G727">
        <v>102</v>
      </c>
      <c r="H727">
        <v>0.05</v>
      </c>
      <c r="I727">
        <v>96.899999999999906</v>
      </c>
      <c r="J727">
        <v>6</v>
      </c>
      <c r="K727">
        <v>46.064104852112997</v>
      </c>
      <c r="L727">
        <v>581.4</v>
      </c>
      <c r="M727">
        <v>276.384629112678</v>
      </c>
      <c r="N727">
        <v>305.01537088732101</v>
      </c>
      <c r="O727" t="s">
        <v>26</v>
      </c>
      <c r="P727">
        <f t="shared" si="22"/>
        <v>612</v>
      </c>
      <c r="Q727">
        <f t="shared" si="23"/>
        <v>-305.01537088732198</v>
      </c>
    </row>
    <row r="728" spans="1:17" x14ac:dyDescent="0.4">
      <c r="A728" t="s">
        <v>1481</v>
      </c>
      <c r="B728" s="1">
        <v>45933.041666666664</v>
      </c>
      <c r="C728" t="s">
        <v>28</v>
      </c>
      <c r="D728" t="s">
        <v>1482</v>
      </c>
      <c r="E728" t="s">
        <v>73</v>
      </c>
      <c r="F728" t="s">
        <v>38</v>
      </c>
      <c r="G728">
        <v>323</v>
      </c>
      <c r="H728">
        <v>0</v>
      </c>
      <c r="I728">
        <v>323</v>
      </c>
      <c r="J728">
        <v>7</v>
      </c>
      <c r="K728">
        <v>236.15384862268101</v>
      </c>
      <c r="L728">
        <v>2261</v>
      </c>
      <c r="M728">
        <v>1653.0769403587601</v>
      </c>
      <c r="N728">
        <v>607.92305964123</v>
      </c>
      <c r="O728" t="s">
        <v>32</v>
      </c>
      <c r="P728">
        <f t="shared" si="22"/>
        <v>2261</v>
      </c>
      <c r="Q728">
        <f t="shared" si="23"/>
        <v>-607.92305964123989</v>
      </c>
    </row>
    <row r="729" spans="1:17" x14ac:dyDescent="0.4">
      <c r="A729" t="s">
        <v>1483</v>
      </c>
      <c r="B729" s="1">
        <v>45864.75</v>
      </c>
      <c r="C729" t="s">
        <v>46</v>
      </c>
      <c r="D729" t="s">
        <v>1484</v>
      </c>
      <c r="E729" t="s">
        <v>82</v>
      </c>
      <c r="F729" t="s">
        <v>25</v>
      </c>
      <c r="G729">
        <v>152</v>
      </c>
      <c r="H729">
        <v>0.1</v>
      </c>
      <c r="I729">
        <v>136.80000000000001</v>
      </c>
      <c r="J729">
        <v>1</v>
      </c>
      <c r="K729">
        <v>111.203169496781</v>
      </c>
      <c r="L729">
        <v>136.80000000000001</v>
      </c>
      <c r="M729">
        <v>111.203169496781</v>
      </c>
      <c r="N729">
        <v>25.596830503219</v>
      </c>
      <c r="O729" t="s">
        <v>32</v>
      </c>
      <c r="P729">
        <f t="shared" si="22"/>
        <v>152</v>
      </c>
      <c r="Q729">
        <f t="shared" si="23"/>
        <v>-25.59683050321901</v>
      </c>
    </row>
    <row r="730" spans="1:17" x14ac:dyDescent="0.4">
      <c r="A730" t="s">
        <v>1485</v>
      </c>
      <c r="B730" s="1">
        <v>45561.541666666664</v>
      </c>
      <c r="C730" t="s">
        <v>28</v>
      </c>
      <c r="D730" t="s">
        <v>1486</v>
      </c>
      <c r="E730" t="s">
        <v>18</v>
      </c>
      <c r="F730" t="s">
        <v>19</v>
      </c>
      <c r="G730">
        <v>266</v>
      </c>
      <c r="H730">
        <v>0.05</v>
      </c>
      <c r="I730">
        <v>252.7</v>
      </c>
      <c r="J730">
        <v>4</v>
      </c>
      <c r="K730">
        <v>119.696924686328</v>
      </c>
      <c r="L730">
        <v>1010.8</v>
      </c>
      <c r="M730">
        <v>478.78769874531503</v>
      </c>
      <c r="N730">
        <v>532.01230125468396</v>
      </c>
      <c r="O730" t="s">
        <v>26</v>
      </c>
      <c r="P730">
        <f t="shared" si="22"/>
        <v>1064</v>
      </c>
      <c r="Q730">
        <f t="shared" si="23"/>
        <v>-532.01230125468487</v>
      </c>
    </row>
    <row r="731" spans="1:17" x14ac:dyDescent="0.4">
      <c r="A731" t="s">
        <v>1487</v>
      </c>
      <c r="B731" s="1">
        <v>45680.875</v>
      </c>
      <c r="C731" t="s">
        <v>28</v>
      </c>
      <c r="D731" t="s">
        <v>1488</v>
      </c>
      <c r="E731" t="s">
        <v>85</v>
      </c>
      <c r="F731" t="s">
        <v>70</v>
      </c>
      <c r="G731">
        <v>278</v>
      </c>
      <c r="H731">
        <v>0.1</v>
      </c>
      <c r="I731">
        <v>250.2</v>
      </c>
      <c r="J731">
        <v>3</v>
      </c>
      <c r="K731">
        <v>191.51709509997801</v>
      </c>
      <c r="L731">
        <v>750.6</v>
      </c>
      <c r="M731">
        <v>574.55128529993499</v>
      </c>
      <c r="N731">
        <v>176.04871470006401</v>
      </c>
      <c r="O731" t="s">
        <v>32</v>
      </c>
      <c r="P731">
        <f t="shared" si="22"/>
        <v>834</v>
      </c>
      <c r="Q731">
        <f t="shared" si="23"/>
        <v>-176.04871470006503</v>
      </c>
    </row>
    <row r="732" spans="1:17" x14ac:dyDescent="0.4">
      <c r="A732" t="s">
        <v>1489</v>
      </c>
      <c r="B732" s="1">
        <v>45984</v>
      </c>
      <c r="C732" t="s">
        <v>43</v>
      </c>
      <c r="D732" t="s">
        <v>1490</v>
      </c>
      <c r="E732" t="s">
        <v>48</v>
      </c>
      <c r="F732" t="s">
        <v>19</v>
      </c>
      <c r="G732">
        <v>328</v>
      </c>
      <c r="H732">
        <v>0</v>
      </c>
      <c r="I732">
        <v>328</v>
      </c>
      <c r="J732">
        <v>2</v>
      </c>
      <c r="K732">
        <v>237.895988584859</v>
      </c>
      <c r="L732">
        <v>656</v>
      </c>
      <c r="M732">
        <v>475.79197716971902</v>
      </c>
      <c r="N732">
        <v>180.20802283027999</v>
      </c>
      <c r="O732" t="s">
        <v>32</v>
      </c>
      <c r="P732">
        <f t="shared" si="22"/>
        <v>656</v>
      </c>
      <c r="Q732">
        <f t="shared" si="23"/>
        <v>-180.20802283028098</v>
      </c>
    </row>
    <row r="733" spans="1:17" x14ac:dyDescent="0.4">
      <c r="A733" t="s">
        <v>1491</v>
      </c>
      <c r="B733" s="1">
        <v>45826.125</v>
      </c>
      <c r="C733" t="s">
        <v>43</v>
      </c>
      <c r="D733" t="s">
        <v>757</v>
      </c>
      <c r="E733" t="s">
        <v>110</v>
      </c>
      <c r="F733" t="s">
        <v>19</v>
      </c>
      <c r="G733">
        <v>297</v>
      </c>
      <c r="H733">
        <v>0.15</v>
      </c>
      <c r="I733">
        <v>252.45</v>
      </c>
      <c r="J733">
        <v>5</v>
      </c>
      <c r="K733">
        <v>200.47030812979901</v>
      </c>
      <c r="L733">
        <v>1262.25</v>
      </c>
      <c r="M733">
        <v>1002.35154064899</v>
      </c>
      <c r="N733">
        <v>259.898459351003</v>
      </c>
      <c r="O733" t="s">
        <v>51</v>
      </c>
      <c r="P733">
        <f t="shared" si="22"/>
        <v>1485</v>
      </c>
      <c r="Q733">
        <f t="shared" si="23"/>
        <v>-259.89845935101005</v>
      </c>
    </row>
    <row r="734" spans="1:17" x14ac:dyDescent="0.4">
      <c r="A734" t="s">
        <v>1492</v>
      </c>
      <c r="B734" s="1">
        <v>45467.333333333336</v>
      </c>
      <c r="C734" t="s">
        <v>43</v>
      </c>
      <c r="D734" t="s">
        <v>1493</v>
      </c>
      <c r="E734" t="s">
        <v>82</v>
      </c>
      <c r="F734" t="s">
        <v>25</v>
      </c>
      <c r="G734">
        <v>293</v>
      </c>
      <c r="H734">
        <v>0.2</v>
      </c>
      <c r="I734">
        <v>234.4</v>
      </c>
      <c r="J734">
        <v>6</v>
      </c>
      <c r="K734">
        <v>125.368510277474</v>
      </c>
      <c r="L734">
        <v>1406.4</v>
      </c>
      <c r="M734">
        <v>752.21106166484606</v>
      </c>
      <c r="N734">
        <v>654.18893833515301</v>
      </c>
      <c r="O734" t="s">
        <v>32</v>
      </c>
      <c r="P734">
        <f t="shared" si="22"/>
        <v>1758</v>
      </c>
      <c r="Q734">
        <f t="shared" si="23"/>
        <v>-654.18893833515403</v>
      </c>
    </row>
    <row r="735" spans="1:17" x14ac:dyDescent="0.4">
      <c r="A735" t="s">
        <v>1494</v>
      </c>
      <c r="B735" s="1">
        <v>45553.791666666664</v>
      </c>
      <c r="C735" t="s">
        <v>46</v>
      </c>
      <c r="D735" t="s">
        <v>261</v>
      </c>
      <c r="E735" t="s">
        <v>60</v>
      </c>
      <c r="F735" t="s">
        <v>61</v>
      </c>
      <c r="G735">
        <v>305</v>
      </c>
      <c r="H735">
        <v>0</v>
      </c>
      <c r="I735">
        <v>305</v>
      </c>
      <c r="J735">
        <v>2</v>
      </c>
      <c r="K735">
        <v>167.92127822642999</v>
      </c>
      <c r="L735">
        <v>610</v>
      </c>
      <c r="M735">
        <v>335.84255645285998</v>
      </c>
      <c r="N735">
        <v>274.157443547139</v>
      </c>
      <c r="O735" t="s">
        <v>32</v>
      </c>
      <c r="P735">
        <f t="shared" si="22"/>
        <v>610</v>
      </c>
      <c r="Q735">
        <f t="shared" si="23"/>
        <v>-274.15744354714002</v>
      </c>
    </row>
    <row r="736" spans="1:17" x14ac:dyDescent="0.4">
      <c r="A736" t="s">
        <v>1495</v>
      </c>
      <c r="B736" s="1">
        <v>45377.333333333336</v>
      </c>
      <c r="C736" t="s">
        <v>43</v>
      </c>
      <c r="D736" t="s">
        <v>1496</v>
      </c>
      <c r="E736" t="s">
        <v>48</v>
      </c>
      <c r="F736" t="s">
        <v>19</v>
      </c>
      <c r="G736">
        <v>318</v>
      </c>
      <c r="H736">
        <v>0.15</v>
      </c>
      <c r="I736">
        <v>270.3</v>
      </c>
      <c r="J736">
        <v>1</v>
      </c>
      <c r="K736">
        <v>133.16307108430399</v>
      </c>
      <c r="L736">
        <v>270.3</v>
      </c>
      <c r="M736">
        <v>133.16307108430399</v>
      </c>
      <c r="N736">
        <v>137.13692891569499</v>
      </c>
      <c r="O736" t="s">
        <v>26</v>
      </c>
      <c r="P736">
        <f t="shared" si="22"/>
        <v>318</v>
      </c>
      <c r="Q736">
        <f t="shared" si="23"/>
        <v>-137.13692891569602</v>
      </c>
    </row>
    <row r="737" spans="1:17" x14ac:dyDescent="0.4">
      <c r="A737" t="s">
        <v>1497</v>
      </c>
      <c r="B737" s="1">
        <v>45551.708333333336</v>
      </c>
      <c r="C737" t="s">
        <v>65</v>
      </c>
      <c r="D737" t="s">
        <v>1498</v>
      </c>
      <c r="E737" t="s">
        <v>37</v>
      </c>
      <c r="F737" t="s">
        <v>38</v>
      </c>
      <c r="G737">
        <v>136</v>
      </c>
      <c r="H737">
        <v>0.1</v>
      </c>
      <c r="I737">
        <v>122.4</v>
      </c>
      <c r="J737">
        <v>1</v>
      </c>
      <c r="K737">
        <v>99.545037403774998</v>
      </c>
      <c r="L737">
        <v>122.4</v>
      </c>
      <c r="M737">
        <v>99.545037403774998</v>
      </c>
      <c r="N737">
        <v>22.854962596224901</v>
      </c>
      <c r="O737" t="s">
        <v>20</v>
      </c>
      <c r="P737">
        <f t="shared" si="22"/>
        <v>136</v>
      </c>
      <c r="Q737">
        <f t="shared" si="23"/>
        <v>-22.854962596225008</v>
      </c>
    </row>
    <row r="738" spans="1:17" x14ac:dyDescent="0.4">
      <c r="A738" t="s">
        <v>1499</v>
      </c>
      <c r="B738" s="1">
        <v>45831.208333333336</v>
      </c>
      <c r="C738" t="s">
        <v>43</v>
      </c>
      <c r="D738" t="s">
        <v>1500</v>
      </c>
      <c r="E738" t="s">
        <v>82</v>
      </c>
      <c r="F738" t="s">
        <v>25</v>
      </c>
      <c r="G738">
        <v>336</v>
      </c>
      <c r="H738">
        <v>0</v>
      </c>
      <c r="I738">
        <v>336</v>
      </c>
      <c r="J738">
        <v>2</v>
      </c>
      <c r="K738">
        <v>239.745241852417</v>
      </c>
      <c r="L738">
        <v>672</v>
      </c>
      <c r="M738">
        <v>479.49048370483399</v>
      </c>
      <c r="N738">
        <v>192.50951629516501</v>
      </c>
      <c r="O738" t="s">
        <v>32</v>
      </c>
      <c r="P738">
        <f t="shared" si="22"/>
        <v>672</v>
      </c>
      <c r="Q738">
        <f t="shared" si="23"/>
        <v>-192.50951629516601</v>
      </c>
    </row>
    <row r="739" spans="1:17" x14ac:dyDescent="0.4">
      <c r="A739" t="s">
        <v>1501</v>
      </c>
      <c r="B739" s="1">
        <v>45817.291666666664</v>
      </c>
      <c r="C739" t="s">
        <v>65</v>
      </c>
      <c r="D739" t="s">
        <v>1502</v>
      </c>
      <c r="E739" t="s">
        <v>85</v>
      </c>
      <c r="F739" t="s">
        <v>70</v>
      </c>
      <c r="G739">
        <v>224</v>
      </c>
      <c r="H739">
        <v>0.1</v>
      </c>
      <c r="I739">
        <v>201.6</v>
      </c>
      <c r="J739">
        <v>4</v>
      </c>
      <c r="K739">
        <v>118.88555923104001</v>
      </c>
      <c r="L739">
        <v>806.4</v>
      </c>
      <c r="M739">
        <v>475.54223692416298</v>
      </c>
      <c r="N739">
        <v>330.85776307583598</v>
      </c>
      <c r="O739" t="s">
        <v>32</v>
      </c>
      <c r="P739">
        <f t="shared" si="22"/>
        <v>896</v>
      </c>
      <c r="Q739">
        <f t="shared" si="23"/>
        <v>-330.857763075837</v>
      </c>
    </row>
    <row r="740" spans="1:17" x14ac:dyDescent="0.4">
      <c r="A740" t="s">
        <v>1503</v>
      </c>
      <c r="B740" s="1">
        <v>45698.875</v>
      </c>
      <c r="C740" t="s">
        <v>22</v>
      </c>
      <c r="D740" t="s">
        <v>1504</v>
      </c>
      <c r="E740" t="s">
        <v>69</v>
      </c>
      <c r="F740" t="s">
        <v>70</v>
      </c>
      <c r="G740">
        <v>122</v>
      </c>
      <c r="H740">
        <v>0.05</v>
      </c>
      <c r="I740">
        <v>115.899999999999</v>
      </c>
      <c r="J740">
        <v>4</v>
      </c>
      <c r="K740">
        <v>65.982205217576094</v>
      </c>
      <c r="L740">
        <v>463.599999999999</v>
      </c>
      <c r="M740">
        <v>263.92882087030398</v>
      </c>
      <c r="N740">
        <v>199.67117912969499</v>
      </c>
      <c r="O740" t="s">
        <v>32</v>
      </c>
      <c r="P740">
        <f t="shared" si="22"/>
        <v>488</v>
      </c>
      <c r="Q740">
        <f t="shared" si="23"/>
        <v>-199.67117912969502</v>
      </c>
    </row>
    <row r="741" spans="1:17" x14ac:dyDescent="0.4">
      <c r="A741" t="s">
        <v>1505</v>
      </c>
      <c r="B741" s="1">
        <v>45368.166666666664</v>
      </c>
      <c r="C741" t="s">
        <v>28</v>
      </c>
      <c r="D741" t="s">
        <v>1506</v>
      </c>
      <c r="E741" t="s">
        <v>110</v>
      </c>
      <c r="F741" t="s">
        <v>19</v>
      </c>
      <c r="G741">
        <v>326</v>
      </c>
      <c r="H741">
        <v>0</v>
      </c>
      <c r="I741">
        <v>326</v>
      </c>
      <c r="J741">
        <v>5</v>
      </c>
      <c r="K741">
        <v>241.37669556575401</v>
      </c>
      <c r="L741">
        <v>1630</v>
      </c>
      <c r="M741">
        <v>1206.8834778287701</v>
      </c>
      <c r="N741">
        <v>423.11652217122798</v>
      </c>
      <c r="O741" t="s">
        <v>32</v>
      </c>
      <c r="P741">
        <f t="shared" si="22"/>
        <v>1630</v>
      </c>
      <c r="Q741">
        <f t="shared" si="23"/>
        <v>-423.11652217122992</v>
      </c>
    </row>
    <row r="742" spans="1:17" x14ac:dyDescent="0.4">
      <c r="A742" t="s">
        <v>1507</v>
      </c>
      <c r="B742" s="1">
        <v>45371.875</v>
      </c>
      <c r="C742" t="s">
        <v>22</v>
      </c>
      <c r="D742" t="s">
        <v>1508</v>
      </c>
      <c r="E742" t="s">
        <v>146</v>
      </c>
      <c r="F742" t="s">
        <v>70</v>
      </c>
      <c r="G742">
        <v>293</v>
      </c>
      <c r="H742">
        <v>0</v>
      </c>
      <c r="I742">
        <v>293</v>
      </c>
      <c r="J742">
        <v>6</v>
      </c>
      <c r="K742">
        <v>166.66562919016101</v>
      </c>
      <c r="L742">
        <v>1758</v>
      </c>
      <c r="M742">
        <v>999.99377514096795</v>
      </c>
      <c r="N742">
        <v>758.00622485903205</v>
      </c>
      <c r="O742" t="s">
        <v>32</v>
      </c>
      <c r="P742">
        <f t="shared" si="22"/>
        <v>1758</v>
      </c>
      <c r="Q742">
        <f t="shared" si="23"/>
        <v>-758.00622485903205</v>
      </c>
    </row>
    <row r="743" spans="1:17" x14ac:dyDescent="0.4">
      <c r="A743" t="s">
        <v>1509</v>
      </c>
      <c r="B743" s="1">
        <v>45583.166666666664</v>
      </c>
      <c r="C743" t="s">
        <v>65</v>
      </c>
      <c r="D743" t="s">
        <v>1510</v>
      </c>
      <c r="E743" t="s">
        <v>104</v>
      </c>
      <c r="F743" t="s">
        <v>25</v>
      </c>
      <c r="G743">
        <v>140</v>
      </c>
      <c r="H743">
        <v>0.15</v>
      </c>
      <c r="I743">
        <v>119</v>
      </c>
      <c r="J743">
        <v>3</v>
      </c>
      <c r="K743">
        <v>60.794993133105997</v>
      </c>
      <c r="L743">
        <v>357</v>
      </c>
      <c r="M743">
        <v>182.38497939931801</v>
      </c>
      <c r="N743">
        <v>174.61502060068099</v>
      </c>
      <c r="O743" t="s">
        <v>32</v>
      </c>
      <c r="P743">
        <f t="shared" si="22"/>
        <v>420</v>
      </c>
      <c r="Q743">
        <f t="shared" si="23"/>
        <v>-174.61502060068199</v>
      </c>
    </row>
    <row r="744" spans="1:17" x14ac:dyDescent="0.4">
      <c r="A744" t="s">
        <v>1511</v>
      </c>
      <c r="B744" s="1">
        <v>45900.083333333336</v>
      </c>
      <c r="C744" t="s">
        <v>65</v>
      </c>
      <c r="D744" t="s">
        <v>1512</v>
      </c>
      <c r="E744" t="s">
        <v>60</v>
      </c>
      <c r="F744" t="s">
        <v>61</v>
      </c>
      <c r="G744">
        <v>159</v>
      </c>
      <c r="H744">
        <v>0</v>
      </c>
      <c r="I744">
        <v>159</v>
      </c>
      <c r="J744">
        <v>3</v>
      </c>
      <c r="K744">
        <v>74.454795292453596</v>
      </c>
      <c r="L744">
        <v>477</v>
      </c>
      <c r="M744">
        <v>223.36438587736001</v>
      </c>
      <c r="N744">
        <v>253.635614122639</v>
      </c>
      <c r="O744" t="s">
        <v>32</v>
      </c>
      <c r="P744">
        <f t="shared" si="22"/>
        <v>477</v>
      </c>
      <c r="Q744">
        <f t="shared" si="23"/>
        <v>-253.63561412263999</v>
      </c>
    </row>
    <row r="745" spans="1:17" x14ac:dyDescent="0.4">
      <c r="A745" t="s">
        <v>1513</v>
      </c>
      <c r="B745" s="1">
        <v>45832.708333333336</v>
      </c>
      <c r="C745" t="s">
        <v>43</v>
      </c>
      <c r="D745" t="s">
        <v>1514</v>
      </c>
      <c r="E745" t="s">
        <v>41</v>
      </c>
      <c r="F745" t="s">
        <v>31</v>
      </c>
      <c r="G745">
        <v>198</v>
      </c>
      <c r="H745">
        <v>0.1</v>
      </c>
      <c r="I745">
        <v>178.2</v>
      </c>
      <c r="J745">
        <v>5</v>
      </c>
      <c r="K745">
        <v>88.083228143727396</v>
      </c>
      <c r="L745">
        <v>891</v>
      </c>
      <c r="M745">
        <v>440.416140718637</v>
      </c>
      <c r="N745">
        <v>450.58385928136198</v>
      </c>
      <c r="O745" t="s">
        <v>26</v>
      </c>
      <c r="P745">
        <f t="shared" si="22"/>
        <v>990</v>
      </c>
      <c r="Q745">
        <f t="shared" si="23"/>
        <v>-450.583859281363</v>
      </c>
    </row>
    <row r="746" spans="1:17" x14ac:dyDescent="0.4">
      <c r="A746" t="s">
        <v>1515</v>
      </c>
      <c r="B746" s="1">
        <v>45292.375</v>
      </c>
      <c r="C746" t="s">
        <v>16</v>
      </c>
      <c r="D746" t="s">
        <v>1516</v>
      </c>
      <c r="E746" t="s">
        <v>94</v>
      </c>
      <c r="F746" t="s">
        <v>61</v>
      </c>
      <c r="G746">
        <v>194</v>
      </c>
      <c r="H746">
        <v>0.1</v>
      </c>
      <c r="I746">
        <v>174.6</v>
      </c>
      <c r="J746">
        <v>6</v>
      </c>
      <c r="K746">
        <v>80.465411816670098</v>
      </c>
      <c r="L746">
        <v>1047.5999999999999</v>
      </c>
      <c r="M746">
        <v>482.79247090002099</v>
      </c>
      <c r="N746">
        <v>564.80752909997796</v>
      </c>
      <c r="O746" t="s">
        <v>26</v>
      </c>
      <c r="P746">
        <f t="shared" si="22"/>
        <v>1164</v>
      </c>
      <c r="Q746">
        <f t="shared" si="23"/>
        <v>-564.80752909997886</v>
      </c>
    </row>
    <row r="747" spans="1:17" x14ac:dyDescent="0.4">
      <c r="A747" t="s">
        <v>1517</v>
      </c>
      <c r="B747" s="1">
        <v>45985.5</v>
      </c>
      <c r="C747" t="s">
        <v>46</v>
      </c>
      <c r="D747" t="s">
        <v>1518</v>
      </c>
      <c r="E747" t="s">
        <v>115</v>
      </c>
      <c r="F747" t="s">
        <v>38</v>
      </c>
      <c r="G747">
        <v>201</v>
      </c>
      <c r="H747">
        <v>0</v>
      </c>
      <c r="I747">
        <v>201</v>
      </c>
      <c r="J747">
        <v>2</v>
      </c>
      <c r="K747">
        <v>94.266409831243905</v>
      </c>
      <c r="L747">
        <v>402</v>
      </c>
      <c r="M747">
        <v>188.53281966248699</v>
      </c>
      <c r="N747">
        <v>213.46718033751199</v>
      </c>
      <c r="O747" t="s">
        <v>20</v>
      </c>
      <c r="P747">
        <f t="shared" si="22"/>
        <v>402</v>
      </c>
      <c r="Q747">
        <f t="shared" si="23"/>
        <v>-213.46718033751301</v>
      </c>
    </row>
    <row r="748" spans="1:17" x14ac:dyDescent="0.4">
      <c r="A748" t="s">
        <v>1519</v>
      </c>
      <c r="B748" s="1">
        <v>45703.041666666664</v>
      </c>
      <c r="C748" t="s">
        <v>43</v>
      </c>
      <c r="D748" t="s">
        <v>1520</v>
      </c>
      <c r="E748" t="s">
        <v>110</v>
      </c>
      <c r="F748" t="s">
        <v>19</v>
      </c>
      <c r="G748">
        <v>247</v>
      </c>
      <c r="H748">
        <v>0.05</v>
      </c>
      <c r="I748">
        <v>234.64999999999901</v>
      </c>
      <c r="J748">
        <v>5</v>
      </c>
      <c r="K748">
        <v>172.77039476533</v>
      </c>
      <c r="L748">
        <v>1173.25</v>
      </c>
      <c r="M748">
        <v>863.85197382665297</v>
      </c>
      <c r="N748">
        <v>309.39802617334601</v>
      </c>
      <c r="O748" t="s">
        <v>32</v>
      </c>
      <c r="P748">
        <f t="shared" si="22"/>
        <v>1235</v>
      </c>
      <c r="Q748">
        <f t="shared" si="23"/>
        <v>-309.39802617334703</v>
      </c>
    </row>
    <row r="749" spans="1:17" x14ac:dyDescent="0.4">
      <c r="A749" t="s">
        <v>1521</v>
      </c>
      <c r="B749" s="1">
        <v>45384.458333333336</v>
      </c>
      <c r="C749" t="s">
        <v>65</v>
      </c>
      <c r="D749" t="s">
        <v>1522</v>
      </c>
      <c r="E749" t="s">
        <v>85</v>
      </c>
      <c r="F749" t="s">
        <v>70</v>
      </c>
      <c r="G749">
        <v>151</v>
      </c>
      <c r="H749">
        <v>0</v>
      </c>
      <c r="I749">
        <v>151</v>
      </c>
      <c r="J749">
        <v>2</v>
      </c>
      <c r="K749">
        <v>76.1671497485993</v>
      </c>
      <c r="L749">
        <v>302</v>
      </c>
      <c r="M749">
        <v>152.334299497198</v>
      </c>
      <c r="N749">
        <v>149.665700502801</v>
      </c>
      <c r="O749" t="s">
        <v>26</v>
      </c>
      <c r="P749">
        <f t="shared" si="22"/>
        <v>302</v>
      </c>
      <c r="Q749">
        <f t="shared" si="23"/>
        <v>-149.665700502802</v>
      </c>
    </row>
    <row r="750" spans="1:17" x14ac:dyDescent="0.4">
      <c r="A750" t="s">
        <v>1523</v>
      </c>
      <c r="B750" s="1">
        <v>45585.375</v>
      </c>
      <c r="C750" t="s">
        <v>28</v>
      </c>
      <c r="D750" t="s">
        <v>1524</v>
      </c>
      <c r="E750" t="s">
        <v>30</v>
      </c>
      <c r="F750" t="s">
        <v>31</v>
      </c>
      <c r="G750">
        <v>86</v>
      </c>
      <c r="H750">
        <v>0</v>
      </c>
      <c r="I750">
        <v>86</v>
      </c>
      <c r="J750">
        <v>5</v>
      </c>
      <c r="K750">
        <v>49.5053913009247</v>
      </c>
      <c r="L750">
        <v>430</v>
      </c>
      <c r="M750">
        <v>247.526956504623</v>
      </c>
      <c r="N750">
        <v>182.473043495376</v>
      </c>
      <c r="O750" t="s">
        <v>51</v>
      </c>
      <c r="P750">
        <f t="shared" si="22"/>
        <v>430</v>
      </c>
      <c r="Q750">
        <f t="shared" si="23"/>
        <v>-182.473043495377</v>
      </c>
    </row>
    <row r="751" spans="1:17" x14ac:dyDescent="0.4">
      <c r="A751" t="s">
        <v>1525</v>
      </c>
      <c r="B751" s="1">
        <v>45512.291666666664</v>
      </c>
      <c r="C751" t="s">
        <v>43</v>
      </c>
      <c r="D751" t="s">
        <v>1526</v>
      </c>
      <c r="E751" t="s">
        <v>85</v>
      </c>
      <c r="F751" t="s">
        <v>70</v>
      </c>
      <c r="G751">
        <v>321</v>
      </c>
      <c r="H751">
        <v>0.05</v>
      </c>
      <c r="I751">
        <v>304.95</v>
      </c>
      <c r="J751">
        <v>1</v>
      </c>
      <c r="K751">
        <v>228.93855469926501</v>
      </c>
      <c r="L751">
        <v>304.95</v>
      </c>
      <c r="M751">
        <v>228.93855469926501</v>
      </c>
      <c r="N751">
        <v>76.011445300734806</v>
      </c>
      <c r="O751" t="s">
        <v>32</v>
      </c>
      <c r="P751">
        <f t="shared" si="22"/>
        <v>321</v>
      </c>
      <c r="Q751">
        <f t="shared" si="23"/>
        <v>-76.011445300734977</v>
      </c>
    </row>
    <row r="752" spans="1:17" x14ac:dyDescent="0.4">
      <c r="A752" t="s">
        <v>1527</v>
      </c>
      <c r="B752" s="1">
        <v>45359.458333333336</v>
      </c>
      <c r="C752" t="s">
        <v>22</v>
      </c>
      <c r="D752" t="s">
        <v>1528</v>
      </c>
      <c r="E752" t="s">
        <v>110</v>
      </c>
      <c r="F752" t="s">
        <v>19</v>
      </c>
      <c r="G752">
        <v>255</v>
      </c>
      <c r="H752">
        <v>0.2</v>
      </c>
      <c r="I752">
        <v>204</v>
      </c>
      <c r="J752">
        <v>7</v>
      </c>
      <c r="K752">
        <v>151.979435178122</v>
      </c>
      <c r="L752">
        <v>1428</v>
      </c>
      <c r="M752">
        <v>1063.8560462468499</v>
      </c>
      <c r="N752">
        <v>364.143953753142</v>
      </c>
      <c r="O752" t="s">
        <v>51</v>
      </c>
      <c r="P752">
        <f t="shared" si="22"/>
        <v>1785</v>
      </c>
      <c r="Q752">
        <f t="shared" si="23"/>
        <v>-364.14395375315007</v>
      </c>
    </row>
    <row r="753" spans="1:17" x14ac:dyDescent="0.4">
      <c r="A753" t="s">
        <v>1529</v>
      </c>
      <c r="B753" s="1">
        <v>45646.666666666664</v>
      </c>
      <c r="C753" t="s">
        <v>16</v>
      </c>
      <c r="D753" t="s">
        <v>1530</v>
      </c>
      <c r="E753" t="s">
        <v>110</v>
      </c>
      <c r="F753" t="s">
        <v>19</v>
      </c>
      <c r="G753">
        <v>213</v>
      </c>
      <c r="H753">
        <v>0.15</v>
      </c>
      <c r="I753">
        <v>181.04999999999899</v>
      </c>
      <c r="J753">
        <v>1</v>
      </c>
      <c r="K753">
        <v>90.090537026651901</v>
      </c>
      <c r="L753">
        <v>181.04999999999899</v>
      </c>
      <c r="M753">
        <v>90.090537026651901</v>
      </c>
      <c r="N753">
        <v>90.959462973347996</v>
      </c>
      <c r="O753" t="s">
        <v>32</v>
      </c>
      <c r="P753">
        <f t="shared" si="22"/>
        <v>213</v>
      </c>
      <c r="Q753">
        <f t="shared" si="23"/>
        <v>-90.959462973347087</v>
      </c>
    </row>
    <row r="754" spans="1:17" x14ac:dyDescent="0.4">
      <c r="A754" t="s">
        <v>1531</v>
      </c>
      <c r="B754" s="1">
        <v>45347.916666666664</v>
      </c>
      <c r="C754" t="s">
        <v>65</v>
      </c>
      <c r="D754" t="s">
        <v>1532</v>
      </c>
      <c r="E754" t="s">
        <v>94</v>
      </c>
      <c r="F754" t="s">
        <v>61</v>
      </c>
      <c r="G754">
        <v>138</v>
      </c>
      <c r="H754">
        <v>0.15</v>
      </c>
      <c r="I754">
        <v>117.3</v>
      </c>
      <c r="J754">
        <v>2</v>
      </c>
      <c r="K754">
        <v>71.271059637420194</v>
      </c>
      <c r="L754">
        <v>234.6</v>
      </c>
      <c r="M754">
        <v>142.54211927483999</v>
      </c>
      <c r="N754">
        <v>92.057880725159507</v>
      </c>
      <c r="O754" t="s">
        <v>32</v>
      </c>
      <c r="P754">
        <f t="shared" si="22"/>
        <v>276</v>
      </c>
      <c r="Q754">
        <f t="shared" si="23"/>
        <v>-92.057880725160004</v>
      </c>
    </row>
    <row r="755" spans="1:17" x14ac:dyDescent="0.4">
      <c r="A755" t="s">
        <v>1533</v>
      </c>
      <c r="B755" s="1">
        <v>45732.333333333336</v>
      </c>
      <c r="C755" t="s">
        <v>16</v>
      </c>
      <c r="D755" t="s">
        <v>1534</v>
      </c>
      <c r="E755" t="s">
        <v>213</v>
      </c>
      <c r="F755" t="s">
        <v>31</v>
      </c>
      <c r="G755">
        <v>124</v>
      </c>
      <c r="H755">
        <v>0.05</v>
      </c>
      <c r="I755">
        <v>117.8</v>
      </c>
      <c r="J755">
        <v>5</v>
      </c>
      <c r="K755">
        <v>62.829976545721898</v>
      </c>
      <c r="L755">
        <v>589</v>
      </c>
      <c r="M755">
        <v>314.14988272860899</v>
      </c>
      <c r="N755">
        <v>274.85011727138999</v>
      </c>
      <c r="O755" t="s">
        <v>51</v>
      </c>
      <c r="P755">
        <f t="shared" si="22"/>
        <v>620</v>
      </c>
      <c r="Q755">
        <f t="shared" si="23"/>
        <v>-274.85011727139101</v>
      </c>
    </row>
    <row r="756" spans="1:17" x14ac:dyDescent="0.4">
      <c r="A756" t="s">
        <v>1535</v>
      </c>
      <c r="B756" s="1">
        <v>45884.958333333336</v>
      </c>
      <c r="C756" t="s">
        <v>22</v>
      </c>
      <c r="D756" t="s">
        <v>1536</v>
      </c>
      <c r="E756" t="s">
        <v>73</v>
      </c>
      <c r="F756" t="s">
        <v>38</v>
      </c>
      <c r="G756">
        <v>192</v>
      </c>
      <c r="H756">
        <v>0</v>
      </c>
      <c r="I756">
        <v>192</v>
      </c>
      <c r="J756">
        <v>2</v>
      </c>
      <c r="K756">
        <v>118.21227152635799</v>
      </c>
      <c r="L756">
        <v>384</v>
      </c>
      <c r="M756">
        <v>236.42454305271701</v>
      </c>
      <c r="N756">
        <v>147.57545694728199</v>
      </c>
      <c r="O756" t="s">
        <v>32</v>
      </c>
      <c r="P756">
        <f t="shared" si="22"/>
        <v>384</v>
      </c>
      <c r="Q756">
        <f t="shared" si="23"/>
        <v>-147.57545694728299</v>
      </c>
    </row>
    <row r="757" spans="1:17" x14ac:dyDescent="0.4">
      <c r="A757" t="s">
        <v>1537</v>
      </c>
      <c r="B757" s="1">
        <v>45437.416666666664</v>
      </c>
      <c r="C757" t="s">
        <v>46</v>
      </c>
      <c r="D757" t="s">
        <v>1235</v>
      </c>
      <c r="E757" t="s">
        <v>94</v>
      </c>
      <c r="F757" t="s">
        <v>61</v>
      </c>
      <c r="G757">
        <v>260</v>
      </c>
      <c r="H757">
        <v>0.05</v>
      </c>
      <c r="I757">
        <v>247</v>
      </c>
      <c r="J757">
        <v>1</v>
      </c>
      <c r="K757">
        <v>170.81472990793301</v>
      </c>
      <c r="L757">
        <v>247</v>
      </c>
      <c r="M757">
        <v>170.81472990793301</v>
      </c>
      <c r="N757">
        <v>76.185270092066304</v>
      </c>
      <c r="O757" t="s">
        <v>51</v>
      </c>
      <c r="P757">
        <f t="shared" si="22"/>
        <v>260</v>
      </c>
      <c r="Q757">
        <f t="shared" si="23"/>
        <v>-76.185270092066986</v>
      </c>
    </row>
    <row r="758" spans="1:17" x14ac:dyDescent="0.4">
      <c r="A758" t="s">
        <v>1538</v>
      </c>
      <c r="B758" s="1">
        <v>45679.916666666664</v>
      </c>
      <c r="C758" t="s">
        <v>43</v>
      </c>
      <c r="D758" t="s">
        <v>1539</v>
      </c>
      <c r="E758" t="s">
        <v>18</v>
      </c>
      <c r="F758" t="s">
        <v>19</v>
      </c>
      <c r="G758">
        <v>208</v>
      </c>
      <c r="H758">
        <v>0.1</v>
      </c>
      <c r="I758">
        <v>187.2</v>
      </c>
      <c r="J758">
        <v>5</v>
      </c>
      <c r="K758">
        <v>114.624863589667</v>
      </c>
      <c r="L758">
        <v>936</v>
      </c>
      <c r="M758">
        <v>573.12431794833697</v>
      </c>
      <c r="N758">
        <v>362.87568205166201</v>
      </c>
      <c r="O758" t="s">
        <v>51</v>
      </c>
      <c r="P758">
        <f t="shared" si="22"/>
        <v>1040</v>
      </c>
      <c r="Q758">
        <f t="shared" si="23"/>
        <v>-362.87568205166303</v>
      </c>
    </row>
    <row r="759" spans="1:17" x14ac:dyDescent="0.4">
      <c r="A759" t="s">
        <v>1540</v>
      </c>
      <c r="B759" s="1">
        <v>45624.666666666664</v>
      </c>
      <c r="C759" t="s">
        <v>46</v>
      </c>
      <c r="D759" t="s">
        <v>1541</v>
      </c>
      <c r="E759" t="s">
        <v>73</v>
      </c>
      <c r="F759" t="s">
        <v>38</v>
      </c>
      <c r="G759">
        <v>168</v>
      </c>
      <c r="H759">
        <v>0.05</v>
      </c>
      <c r="I759">
        <v>159.6</v>
      </c>
      <c r="J759">
        <v>5</v>
      </c>
      <c r="K759">
        <v>120.81510970584</v>
      </c>
      <c r="L759">
        <v>798</v>
      </c>
      <c r="M759">
        <v>604.07554852920202</v>
      </c>
      <c r="N759">
        <v>193.92445147079701</v>
      </c>
      <c r="O759" t="s">
        <v>32</v>
      </c>
      <c r="P759">
        <f t="shared" si="22"/>
        <v>840</v>
      </c>
      <c r="Q759">
        <f t="shared" si="23"/>
        <v>-193.92445147079798</v>
      </c>
    </row>
    <row r="760" spans="1:17" x14ac:dyDescent="0.4">
      <c r="A760" t="s">
        <v>1542</v>
      </c>
      <c r="B760" s="1">
        <v>45801.125</v>
      </c>
      <c r="C760" t="s">
        <v>16</v>
      </c>
      <c r="D760" t="s">
        <v>1543</v>
      </c>
      <c r="E760" t="s">
        <v>69</v>
      </c>
      <c r="F760" t="s">
        <v>70</v>
      </c>
      <c r="G760">
        <v>255</v>
      </c>
      <c r="H760">
        <v>0.15</v>
      </c>
      <c r="I760">
        <v>216.75</v>
      </c>
      <c r="J760">
        <v>5</v>
      </c>
      <c r="K760">
        <v>169.884137389063</v>
      </c>
      <c r="L760">
        <v>1083.75</v>
      </c>
      <c r="M760">
        <v>849.42068694531497</v>
      </c>
      <c r="N760">
        <v>234.329313054685</v>
      </c>
      <c r="O760" t="s">
        <v>51</v>
      </c>
      <c r="P760">
        <f t="shared" si="22"/>
        <v>1275</v>
      </c>
      <c r="Q760">
        <f t="shared" si="23"/>
        <v>-234.32931305468503</v>
      </c>
    </row>
    <row r="761" spans="1:17" x14ac:dyDescent="0.4">
      <c r="A761" t="s">
        <v>1544</v>
      </c>
      <c r="B761" s="1">
        <v>45301.791666666664</v>
      </c>
      <c r="C761" t="s">
        <v>65</v>
      </c>
      <c r="D761" t="s">
        <v>1545</v>
      </c>
      <c r="E761" t="s">
        <v>60</v>
      </c>
      <c r="F761" t="s">
        <v>61</v>
      </c>
      <c r="G761">
        <v>120</v>
      </c>
      <c r="H761">
        <v>0.1</v>
      </c>
      <c r="I761">
        <v>108</v>
      </c>
      <c r="J761">
        <v>6</v>
      </c>
      <c r="K761">
        <v>73.368209905059004</v>
      </c>
      <c r="L761">
        <v>648</v>
      </c>
      <c r="M761">
        <v>440.209259430354</v>
      </c>
      <c r="N761">
        <v>207.790740569646</v>
      </c>
      <c r="O761" t="s">
        <v>105</v>
      </c>
      <c r="P761">
        <f t="shared" si="22"/>
        <v>720</v>
      </c>
      <c r="Q761">
        <f t="shared" si="23"/>
        <v>-207.790740569646</v>
      </c>
    </row>
    <row r="762" spans="1:17" x14ac:dyDescent="0.4">
      <c r="A762" t="s">
        <v>1546</v>
      </c>
      <c r="B762" s="1">
        <v>45715.375</v>
      </c>
      <c r="C762" t="s">
        <v>28</v>
      </c>
      <c r="D762" t="s">
        <v>1547</v>
      </c>
      <c r="E762" t="s">
        <v>73</v>
      </c>
      <c r="F762" t="s">
        <v>38</v>
      </c>
      <c r="G762">
        <v>323</v>
      </c>
      <c r="H762">
        <v>0</v>
      </c>
      <c r="I762">
        <v>323</v>
      </c>
      <c r="J762">
        <v>3</v>
      </c>
      <c r="K762">
        <v>241.83135371992199</v>
      </c>
      <c r="L762">
        <v>969</v>
      </c>
      <c r="M762">
        <v>725.49406115976797</v>
      </c>
      <c r="N762">
        <v>243.50593884023101</v>
      </c>
      <c r="O762" t="s">
        <v>26</v>
      </c>
      <c r="P762">
        <f t="shared" si="22"/>
        <v>969</v>
      </c>
      <c r="Q762">
        <f t="shared" si="23"/>
        <v>-243.50593884023203</v>
      </c>
    </row>
    <row r="763" spans="1:17" x14ac:dyDescent="0.4">
      <c r="A763" t="s">
        <v>1548</v>
      </c>
      <c r="B763" s="1">
        <v>45371.5</v>
      </c>
      <c r="C763" t="s">
        <v>22</v>
      </c>
      <c r="D763" t="s">
        <v>1549</v>
      </c>
      <c r="E763" t="s">
        <v>48</v>
      </c>
      <c r="F763" t="s">
        <v>19</v>
      </c>
      <c r="G763">
        <v>134</v>
      </c>
      <c r="H763">
        <v>0.2</v>
      </c>
      <c r="I763">
        <v>107.2</v>
      </c>
      <c r="J763">
        <v>7</v>
      </c>
      <c r="K763">
        <v>69.2713077498031</v>
      </c>
      <c r="L763">
        <v>750.4</v>
      </c>
      <c r="M763">
        <v>484.89915424862198</v>
      </c>
      <c r="N763">
        <v>265.50084575137799</v>
      </c>
      <c r="O763" t="s">
        <v>32</v>
      </c>
      <c r="P763">
        <f t="shared" si="22"/>
        <v>938</v>
      </c>
      <c r="Q763">
        <f t="shared" si="23"/>
        <v>-265.50084575137799</v>
      </c>
    </row>
    <row r="764" spans="1:17" x14ac:dyDescent="0.4">
      <c r="A764" t="s">
        <v>1550</v>
      </c>
      <c r="B764" s="1">
        <v>45648.958333333336</v>
      </c>
      <c r="C764" t="s">
        <v>22</v>
      </c>
      <c r="D764" t="s">
        <v>1551</v>
      </c>
      <c r="E764" t="s">
        <v>37</v>
      </c>
      <c r="F764" t="s">
        <v>38</v>
      </c>
      <c r="G764">
        <v>284</v>
      </c>
      <c r="H764">
        <v>0.25</v>
      </c>
      <c r="I764">
        <v>213</v>
      </c>
      <c r="J764">
        <v>2</v>
      </c>
      <c r="K764">
        <v>167.69180500829401</v>
      </c>
      <c r="L764">
        <v>426</v>
      </c>
      <c r="M764">
        <v>335.38361001658802</v>
      </c>
      <c r="N764">
        <v>90.616389983411807</v>
      </c>
      <c r="O764" t="s">
        <v>32</v>
      </c>
      <c r="P764">
        <f t="shared" si="22"/>
        <v>568</v>
      </c>
      <c r="Q764">
        <f t="shared" si="23"/>
        <v>-90.616389983411977</v>
      </c>
    </row>
    <row r="765" spans="1:17" x14ac:dyDescent="0.4">
      <c r="A765" t="s">
        <v>1552</v>
      </c>
      <c r="B765" s="1">
        <v>45439.083333333336</v>
      </c>
      <c r="C765" t="s">
        <v>65</v>
      </c>
      <c r="D765" t="s">
        <v>1553</v>
      </c>
      <c r="E765" t="s">
        <v>41</v>
      </c>
      <c r="F765" t="s">
        <v>31</v>
      </c>
      <c r="G765">
        <v>166</v>
      </c>
      <c r="H765">
        <v>0.15</v>
      </c>
      <c r="I765">
        <v>141.1</v>
      </c>
      <c r="J765">
        <v>5</v>
      </c>
      <c r="K765">
        <v>105.830151451342</v>
      </c>
      <c r="L765">
        <v>705.5</v>
      </c>
      <c r="M765">
        <v>529.15075725671295</v>
      </c>
      <c r="N765">
        <v>176.349242743286</v>
      </c>
      <c r="O765" t="s">
        <v>105</v>
      </c>
      <c r="P765">
        <f t="shared" si="22"/>
        <v>830</v>
      </c>
      <c r="Q765">
        <f t="shared" si="23"/>
        <v>-176.34924274328705</v>
      </c>
    </row>
    <row r="766" spans="1:17" x14ac:dyDescent="0.4">
      <c r="A766" t="s">
        <v>1554</v>
      </c>
      <c r="B766" s="1">
        <v>45511</v>
      </c>
      <c r="C766" t="s">
        <v>16</v>
      </c>
      <c r="D766" t="s">
        <v>1555</v>
      </c>
      <c r="E766" t="s">
        <v>73</v>
      </c>
      <c r="F766" t="s">
        <v>38</v>
      </c>
      <c r="G766">
        <v>270</v>
      </c>
      <c r="H766">
        <v>0.05</v>
      </c>
      <c r="I766">
        <v>256.5</v>
      </c>
      <c r="J766">
        <v>5</v>
      </c>
      <c r="K766">
        <v>124.089489875853</v>
      </c>
      <c r="L766">
        <v>1282.5</v>
      </c>
      <c r="M766">
        <v>620.44744937926805</v>
      </c>
      <c r="N766">
        <v>662.05255062073104</v>
      </c>
      <c r="O766" t="s">
        <v>32</v>
      </c>
      <c r="P766">
        <f t="shared" si="22"/>
        <v>1350</v>
      </c>
      <c r="Q766">
        <f t="shared" si="23"/>
        <v>-662.05255062073195</v>
      </c>
    </row>
    <row r="767" spans="1:17" x14ac:dyDescent="0.4">
      <c r="A767" t="s">
        <v>1556</v>
      </c>
      <c r="B767" s="1">
        <v>45632.083333333336</v>
      </c>
      <c r="C767" t="s">
        <v>46</v>
      </c>
      <c r="D767" t="s">
        <v>1557</v>
      </c>
      <c r="E767" t="s">
        <v>48</v>
      </c>
      <c r="F767" t="s">
        <v>19</v>
      </c>
      <c r="G767">
        <v>192</v>
      </c>
      <c r="H767">
        <v>0</v>
      </c>
      <c r="I767">
        <v>192</v>
      </c>
      <c r="J767">
        <v>7</v>
      </c>
      <c r="K767">
        <v>113.281410494646</v>
      </c>
      <c r="L767">
        <v>1344</v>
      </c>
      <c r="M767">
        <v>792.96987346252195</v>
      </c>
      <c r="N767">
        <v>551.03012653747703</v>
      </c>
      <c r="O767" t="s">
        <v>32</v>
      </c>
      <c r="P767">
        <f t="shared" si="22"/>
        <v>1344</v>
      </c>
      <c r="Q767">
        <f t="shared" si="23"/>
        <v>-551.03012653747805</v>
      </c>
    </row>
    <row r="768" spans="1:17" x14ac:dyDescent="0.4">
      <c r="A768" t="s">
        <v>1558</v>
      </c>
      <c r="B768" s="1">
        <v>45517.625</v>
      </c>
      <c r="C768" t="s">
        <v>16</v>
      </c>
      <c r="D768" t="s">
        <v>1559</v>
      </c>
      <c r="E768" t="s">
        <v>85</v>
      </c>
      <c r="F768" t="s">
        <v>70</v>
      </c>
      <c r="G768">
        <v>339</v>
      </c>
      <c r="H768">
        <v>0.05</v>
      </c>
      <c r="I768">
        <v>322.05</v>
      </c>
      <c r="J768">
        <v>2</v>
      </c>
      <c r="K768">
        <v>202.21935802435601</v>
      </c>
      <c r="L768">
        <v>644.1</v>
      </c>
      <c r="M768">
        <v>404.43871604871299</v>
      </c>
      <c r="N768">
        <v>239.66128395128601</v>
      </c>
      <c r="O768" t="s">
        <v>105</v>
      </c>
      <c r="P768">
        <f t="shared" si="22"/>
        <v>678</v>
      </c>
      <c r="Q768">
        <f t="shared" si="23"/>
        <v>-239.66128395128703</v>
      </c>
    </row>
    <row r="769" spans="1:17" x14ac:dyDescent="0.4">
      <c r="A769" t="s">
        <v>1560</v>
      </c>
      <c r="B769" s="1">
        <v>45433.291666666664</v>
      </c>
      <c r="C769" t="s">
        <v>46</v>
      </c>
      <c r="D769" t="s">
        <v>237</v>
      </c>
      <c r="E769" t="s">
        <v>110</v>
      </c>
      <c r="F769" t="s">
        <v>19</v>
      </c>
      <c r="G769">
        <v>297</v>
      </c>
      <c r="H769">
        <v>0.15</v>
      </c>
      <c r="I769">
        <v>252.45</v>
      </c>
      <c r="J769">
        <v>6</v>
      </c>
      <c r="K769">
        <v>153.90590507724201</v>
      </c>
      <c r="L769">
        <v>1514.69999999999</v>
      </c>
      <c r="M769">
        <v>923.43543046345496</v>
      </c>
      <c r="N769">
        <v>591.26456953654395</v>
      </c>
      <c r="O769" t="s">
        <v>20</v>
      </c>
      <c r="P769">
        <f t="shared" si="22"/>
        <v>1782</v>
      </c>
      <c r="Q769">
        <f t="shared" si="23"/>
        <v>-591.26456953653508</v>
      </c>
    </row>
    <row r="770" spans="1:17" x14ac:dyDescent="0.4">
      <c r="A770" t="s">
        <v>1561</v>
      </c>
      <c r="B770" s="1">
        <v>45756.875</v>
      </c>
      <c r="C770" t="s">
        <v>46</v>
      </c>
      <c r="D770" t="s">
        <v>1562</v>
      </c>
      <c r="E770" t="s">
        <v>115</v>
      </c>
      <c r="F770" t="s">
        <v>38</v>
      </c>
      <c r="G770">
        <v>194</v>
      </c>
      <c r="H770">
        <v>0.15</v>
      </c>
      <c r="I770">
        <v>164.9</v>
      </c>
      <c r="J770">
        <v>2</v>
      </c>
      <c r="K770">
        <v>115.647674988386</v>
      </c>
      <c r="L770">
        <v>329.8</v>
      </c>
      <c r="M770">
        <v>231.295349976773</v>
      </c>
      <c r="N770">
        <v>98.504650023226105</v>
      </c>
      <c r="O770" t="s">
        <v>20</v>
      </c>
      <c r="P770">
        <f t="shared" si="22"/>
        <v>388</v>
      </c>
      <c r="Q770">
        <f t="shared" si="23"/>
        <v>-98.504650023227015</v>
      </c>
    </row>
    <row r="771" spans="1:17" x14ac:dyDescent="0.4">
      <c r="A771" t="s">
        <v>1563</v>
      </c>
      <c r="B771" s="1">
        <v>45539.958333333336</v>
      </c>
      <c r="C771" t="s">
        <v>22</v>
      </c>
      <c r="D771" t="s">
        <v>1564</v>
      </c>
      <c r="E771" t="s">
        <v>146</v>
      </c>
      <c r="F771" t="s">
        <v>70</v>
      </c>
      <c r="G771">
        <v>321</v>
      </c>
      <c r="H771">
        <v>0.1</v>
      </c>
      <c r="I771">
        <v>288.89999999999998</v>
      </c>
      <c r="J771">
        <v>5</v>
      </c>
      <c r="K771">
        <v>176.43026581219601</v>
      </c>
      <c r="L771">
        <v>1444.5</v>
      </c>
      <c r="M771">
        <v>882.15132906098302</v>
      </c>
      <c r="N771">
        <v>562.34867093901596</v>
      </c>
      <c r="O771" t="s">
        <v>51</v>
      </c>
      <c r="P771">
        <f t="shared" ref="P771:P834" si="24">G771 * J771</f>
        <v>1605</v>
      </c>
      <c r="Q771">
        <f t="shared" ref="Q771:Q834" si="25" xml:space="preserve"> M771 - L771</f>
        <v>-562.34867093901698</v>
      </c>
    </row>
    <row r="772" spans="1:17" x14ac:dyDescent="0.4">
      <c r="A772" t="s">
        <v>1565</v>
      </c>
      <c r="B772" s="1">
        <v>45625.625</v>
      </c>
      <c r="C772" t="s">
        <v>22</v>
      </c>
      <c r="D772" t="s">
        <v>1566</v>
      </c>
      <c r="E772" t="s">
        <v>24</v>
      </c>
      <c r="F772" t="s">
        <v>25</v>
      </c>
      <c r="G772">
        <v>164</v>
      </c>
      <c r="H772">
        <v>0.2</v>
      </c>
      <c r="I772">
        <v>131.19999999999999</v>
      </c>
      <c r="J772">
        <v>4</v>
      </c>
      <c r="K772">
        <v>113.05501540025401</v>
      </c>
      <c r="L772">
        <v>524.79999999999995</v>
      </c>
      <c r="M772">
        <v>452.22006160101603</v>
      </c>
      <c r="N772">
        <v>72.579938398983401</v>
      </c>
      <c r="O772" t="s">
        <v>32</v>
      </c>
      <c r="P772">
        <f t="shared" si="24"/>
        <v>656</v>
      </c>
      <c r="Q772">
        <f t="shared" si="25"/>
        <v>-72.579938398983927</v>
      </c>
    </row>
    <row r="773" spans="1:17" x14ac:dyDescent="0.4">
      <c r="A773" t="s">
        <v>1567</v>
      </c>
      <c r="B773" s="1">
        <v>45669.666666666664</v>
      </c>
      <c r="C773" t="s">
        <v>28</v>
      </c>
      <c r="D773" t="s">
        <v>1568</v>
      </c>
      <c r="E773" t="s">
        <v>18</v>
      </c>
      <c r="F773" t="s">
        <v>19</v>
      </c>
      <c r="G773">
        <v>317</v>
      </c>
      <c r="H773">
        <v>0.1</v>
      </c>
      <c r="I773">
        <v>285.3</v>
      </c>
      <c r="J773">
        <v>1</v>
      </c>
      <c r="K773">
        <v>145.309755764231</v>
      </c>
      <c r="L773">
        <v>285.3</v>
      </c>
      <c r="M773">
        <v>145.309755764231</v>
      </c>
      <c r="N773">
        <v>139.99024423576799</v>
      </c>
      <c r="O773" t="s">
        <v>20</v>
      </c>
      <c r="P773">
        <f t="shared" si="24"/>
        <v>317</v>
      </c>
      <c r="Q773">
        <f t="shared" si="25"/>
        <v>-139.99024423576901</v>
      </c>
    </row>
    <row r="774" spans="1:17" x14ac:dyDescent="0.4">
      <c r="A774" t="s">
        <v>1569</v>
      </c>
      <c r="B774" s="1">
        <v>45938.833333333336</v>
      </c>
      <c r="C774" t="s">
        <v>16</v>
      </c>
      <c r="D774" t="s">
        <v>1570</v>
      </c>
      <c r="E774" t="s">
        <v>104</v>
      </c>
      <c r="F774" t="s">
        <v>25</v>
      </c>
      <c r="G774">
        <v>163</v>
      </c>
      <c r="H774">
        <v>0.15</v>
      </c>
      <c r="I774">
        <v>138.54999999999899</v>
      </c>
      <c r="J774">
        <v>3</v>
      </c>
      <c r="K774">
        <v>97.871554644624098</v>
      </c>
      <c r="L774">
        <v>415.65</v>
      </c>
      <c r="M774">
        <v>293.61466393387201</v>
      </c>
      <c r="N774">
        <v>122.035336066127</v>
      </c>
      <c r="O774" t="s">
        <v>26</v>
      </c>
      <c r="P774">
        <f t="shared" si="24"/>
        <v>489</v>
      </c>
      <c r="Q774">
        <f t="shared" si="25"/>
        <v>-122.03533606612797</v>
      </c>
    </row>
    <row r="775" spans="1:17" x14ac:dyDescent="0.4">
      <c r="A775" t="s">
        <v>1571</v>
      </c>
      <c r="B775" s="1">
        <v>45295.208333333336</v>
      </c>
      <c r="C775" t="s">
        <v>46</v>
      </c>
      <c r="D775" t="s">
        <v>1572</v>
      </c>
      <c r="E775" t="s">
        <v>97</v>
      </c>
      <c r="F775" t="s">
        <v>61</v>
      </c>
      <c r="G775">
        <v>200</v>
      </c>
      <c r="H775">
        <v>0</v>
      </c>
      <c r="I775">
        <v>200</v>
      </c>
      <c r="J775">
        <v>5</v>
      </c>
      <c r="K775">
        <v>96.313123978681006</v>
      </c>
      <c r="L775">
        <v>1000</v>
      </c>
      <c r="M775">
        <v>481.56561989340503</v>
      </c>
      <c r="N775">
        <v>518.43438010659395</v>
      </c>
      <c r="O775" t="s">
        <v>32</v>
      </c>
      <c r="P775">
        <f t="shared" si="24"/>
        <v>1000</v>
      </c>
      <c r="Q775">
        <f t="shared" si="25"/>
        <v>-518.43438010659497</v>
      </c>
    </row>
    <row r="776" spans="1:17" x14ac:dyDescent="0.4">
      <c r="A776" t="s">
        <v>1573</v>
      </c>
      <c r="B776" s="1">
        <v>45607.708333333336</v>
      </c>
      <c r="C776" t="s">
        <v>65</v>
      </c>
      <c r="D776" t="s">
        <v>1574</v>
      </c>
      <c r="E776" t="s">
        <v>94</v>
      </c>
      <c r="F776" t="s">
        <v>61</v>
      </c>
      <c r="G776">
        <v>110</v>
      </c>
      <c r="H776">
        <v>0.1</v>
      </c>
      <c r="I776">
        <v>99</v>
      </c>
      <c r="J776">
        <v>4</v>
      </c>
      <c r="K776">
        <v>57.1678725735472</v>
      </c>
      <c r="L776">
        <v>396</v>
      </c>
      <c r="M776">
        <v>228.671490294189</v>
      </c>
      <c r="N776">
        <v>167.32850970581001</v>
      </c>
      <c r="O776" t="s">
        <v>20</v>
      </c>
      <c r="P776">
        <f t="shared" si="24"/>
        <v>440</v>
      </c>
      <c r="Q776">
        <f t="shared" si="25"/>
        <v>-167.328509705811</v>
      </c>
    </row>
    <row r="777" spans="1:17" x14ac:dyDescent="0.4">
      <c r="A777" t="s">
        <v>1575</v>
      </c>
      <c r="B777" s="1">
        <v>45999.666666666664</v>
      </c>
      <c r="C777" t="s">
        <v>28</v>
      </c>
      <c r="D777" t="s">
        <v>1576</v>
      </c>
      <c r="E777" t="s">
        <v>69</v>
      </c>
      <c r="F777" t="s">
        <v>70</v>
      </c>
      <c r="G777">
        <v>195</v>
      </c>
      <c r="H777">
        <v>0.1</v>
      </c>
      <c r="I777">
        <v>175.5</v>
      </c>
      <c r="J777">
        <v>6</v>
      </c>
      <c r="K777">
        <v>126.23354288329099</v>
      </c>
      <c r="L777">
        <v>1053</v>
      </c>
      <c r="M777">
        <v>757.40125729974704</v>
      </c>
      <c r="N777">
        <v>295.59874270025199</v>
      </c>
      <c r="O777" t="s">
        <v>26</v>
      </c>
      <c r="P777">
        <f t="shared" si="24"/>
        <v>1170</v>
      </c>
      <c r="Q777">
        <f t="shared" si="25"/>
        <v>-295.59874270025296</v>
      </c>
    </row>
    <row r="778" spans="1:17" x14ac:dyDescent="0.4">
      <c r="A778" t="s">
        <v>1577</v>
      </c>
      <c r="B778" s="1">
        <v>45877.833333333336</v>
      </c>
      <c r="C778" t="s">
        <v>65</v>
      </c>
      <c r="D778" t="s">
        <v>1578</v>
      </c>
      <c r="E778" t="s">
        <v>30</v>
      </c>
      <c r="F778" t="s">
        <v>31</v>
      </c>
      <c r="G778">
        <v>228</v>
      </c>
      <c r="H778">
        <v>0.15</v>
      </c>
      <c r="I778">
        <v>193.79999999999899</v>
      </c>
      <c r="J778">
        <v>1</v>
      </c>
      <c r="K778">
        <v>100.788708847102</v>
      </c>
      <c r="L778">
        <v>193.79999999999899</v>
      </c>
      <c r="M778">
        <v>100.788708847102</v>
      </c>
      <c r="N778">
        <v>93.0112911528973</v>
      </c>
      <c r="O778" t="s">
        <v>32</v>
      </c>
      <c r="P778">
        <f t="shared" si="24"/>
        <v>228</v>
      </c>
      <c r="Q778">
        <f t="shared" si="25"/>
        <v>-93.011291152896987</v>
      </c>
    </row>
    <row r="779" spans="1:17" x14ac:dyDescent="0.4">
      <c r="A779" t="s">
        <v>1579</v>
      </c>
      <c r="B779" s="1">
        <v>46019.041666666664</v>
      </c>
      <c r="C779" t="s">
        <v>22</v>
      </c>
      <c r="D779" t="s">
        <v>1580</v>
      </c>
      <c r="E779" t="s">
        <v>146</v>
      </c>
      <c r="F779" t="s">
        <v>70</v>
      </c>
      <c r="G779">
        <v>202</v>
      </c>
      <c r="H779">
        <v>0.15</v>
      </c>
      <c r="I779">
        <v>171.7</v>
      </c>
      <c r="J779">
        <v>4</v>
      </c>
      <c r="K779">
        <v>94.375548943433998</v>
      </c>
      <c r="L779">
        <v>686.8</v>
      </c>
      <c r="M779">
        <v>377.50219577373599</v>
      </c>
      <c r="N779">
        <v>309.297804226263</v>
      </c>
      <c r="O779" t="s">
        <v>51</v>
      </c>
      <c r="P779">
        <f t="shared" si="24"/>
        <v>808</v>
      </c>
      <c r="Q779">
        <f t="shared" si="25"/>
        <v>-309.29780422626396</v>
      </c>
    </row>
    <row r="780" spans="1:17" x14ac:dyDescent="0.4">
      <c r="A780" t="s">
        <v>1581</v>
      </c>
      <c r="B780" s="1">
        <v>45730.958333333336</v>
      </c>
      <c r="C780" t="s">
        <v>43</v>
      </c>
      <c r="D780" t="s">
        <v>1422</v>
      </c>
      <c r="E780" t="s">
        <v>18</v>
      </c>
      <c r="F780" t="s">
        <v>19</v>
      </c>
      <c r="G780">
        <v>215</v>
      </c>
      <c r="H780">
        <v>0</v>
      </c>
      <c r="I780">
        <v>215</v>
      </c>
      <c r="J780">
        <v>1</v>
      </c>
      <c r="K780">
        <v>141.29750166759499</v>
      </c>
      <c r="L780">
        <v>215</v>
      </c>
      <c r="M780">
        <v>141.29750166759499</v>
      </c>
      <c r="N780">
        <v>73.702498332405</v>
      </c>
      <c r="O780" t="s">
        <v>20</v>
      </c>
      <c r="P780">
        <f t="shared" si="24"/>
        <v>215</v>
      </c>
      <c r="Q780">
        <f t="shared" si="25"/>
        <v>-73.702498332405014</v>
      </c>
    </row>
    <row r="781" spans="1:17" x14ac:dyDescent="0.4">
      <c r="A781" t="s">
        <v>1582</v>
      </c>
      <c r="B781" s="1">
        <v>45688.25</v>
      </c>
      <c r="C781" t="s">
        <v>28</v>
      </c>
      <c r="D781" t="s">
        <v>1324</v>
      </c>
      <c r="E781" t="s">
        <v>110</v>
      </c>
      <c r="F781" t="s">
        <v>19</v>
      </c>
      <c r="G781">
        <v>225</v>
      </c>
      <c r="H781">
        <v>0.2</v>
      </c>
      <c r="I781">
        <v>180</v>
      </c>
      <c r="J781">
        <v>7</v>
      </c>
      <c r="K781">
        <v>104.797407617875</v>
      </c>
      <c r="L781">
        <v>1260</v>
      </c>
      <c r="M781">
        <v>733.58185332512699</v>
      </c>
      <c r="N781">
        <v>526.41814667487199</v>
      </c>
      <c r="O781" t="s">
        <v>32</v>
      </c>
      <c r="P781">
        <f t="shared" si="24"/>
        <v>1575</v>
      </c>
      <c r="Q781">
        <f t="shared" si="25"/>
        <v>-526.41814667487301</v>
      </c>
    </row>
    <row r="782" spans="1:17" x14ac:dyDescent="0.4">
      <c r="A782" t="s">
        <v>1583</v>
      </c>
      <c r="B782" s="1">
        <v>45581.291666666664</v>
      </c>
      <c r="C782" t="s">
        <v>22</v>
      </c>
      <c r="D782" t="s">
        <v>1584</v>
      </c>
      <c r="E782" t="s">
        <v>94</v>
      </c>
      <c r="F782" t="s">
        <v>61</v>
      </c>
      <c r="G782">
        <v>239</v>
      </c>
      <c r="H782">
        <v>0.05</v>
      </c>
      <c r="I782">
        <v>227.04999999999899</v>
      </c>
      <c r="J782">
        <v>3</v>
      </c>
      <c r="K782">
        <v>98.868932084063502</v>
      </c>
      <c r="L782">
        <v>681.15</v>
      </c>
      <c r="M782">
        <v>296.60679625219001</v>
      </c>
      <c r="N782">
        <v>384.543203747809</v>
      </c>
      <c r="O782" t="s">
        <v>32</v>
      </c>
      <c r="P782">
        <f t="shared" si="24"/>
        <v>717</v>
      </c>
      <c r="Q782">
        <f t="shared" si="25"/>
        <v>-384.54320374780997</v>
      </c>
    </row>
    <row r="783" spans="1:17" x14ac:dyDescent="0.4">
      <c r="A783" t="s">
        <v>1585</v>
      </c>
      <c r="B783" s="1">
        <v>45790.083333333336</v>
      </c>
      <c r="C783" t="s">
        <v>43</v>
      </c>
      <c r="D783" t="s">
        <v>1586</v>
      </c>
      <c r="E783" t="s">
        <v>94</v>
      </c>
      <c r="F783" t="s">
        <v>61</v>
      </c>
      <c r="G783">
        <v>348</v>
      </c>
      <c r="H783">
        <v>0.25</v>
      </c>
      <c r="I783">
        <v>261</v>
      </c>
      <c r="J783">
        <v>5</v>
      </c>
      <c r="K783">
        <v>150.438364755744</v>
      </c>
      <c r="L783">
        <v>1305</v>
      </c>
      <c r="M783">
        <v>752.19182377872198</v>
      </c>
      <c r="N783">
        <v>552.80817622127699</v>
      </c>
      <c r="O783" t="s">
        <v>32</v>
      </c>
      <c r="P783">
        <f t="shared" si="24"/>
        <v>1740</v>
      </c>
      <c r="Q783">
        <f t="shared" si="25"/>
        <v>-552.80817622127802</v>
      </c>
    </row>
    <row r="784" spans="1:17" x14ac:dyDescent="0.4">
      <c r="A784" t="s">
        <v>1587</v>
      </c>
      <c r="B784" s="1">
        <v>45617.166666666664</v>
      </c>
      <c r="C784" t="s">
        <v>22</v>
      </c>
      <c r="D784" t="s">
        <v>1588</v>
      </c>
      <c r="E784" t="s">
        <v>104</v>
      </c>
      <c r="F784" t="s">
        <v>25</v>
      </c>
      <c r="G784">
        <v>289</v>
      </c>
      <c r="H784">
        <v>0</v>
      </c>
      <c r="I784">
        <v>289</v>
      </c>
      <c r="J784">
        <v>7</v>
      </c>
      <c r="K784">
        <v>173.95174326391799</v>
      </c>
      <c r="L784">
        <v>2023</v>
      </c>
      <c r="M784">
        <v>1217.6622028474201</v>
      </c>
      <c r="N784">
        <v>805.33779715257299</v>
      </c>
      <c r="O784" t="s">
        <v>26</v>
      </c>
      <c r="P784">
        <f t="shared" si="24"/>
        <v>2023</v>
      </c>
      <c r="Q784">
        <f t="shared" si="25"/>
        <v>-805.33779715257992</v>
      </c>
    </row>
    <row r="785" spans="1:17" x14ac:dyDescent="0.4">
      <c r="A785" t="s">
        <v>1589</v>
      </c>
      <c r="B785" s="1">
        <v>45565.541666666664</v>
      </c>
      <c r="C785" t="s">
        <v>22</v>
      </c>
      <c r="D785" t="s">
        <v>1590</v>
      </c>
      <c r="E785" t="s">
        <v>73</v>
      </c>
      <c r="F785" t="s">
        <v>38</v>
      </c>
      <c r="G785">
        <v>221</v>
      </c>
      <c r="H785">
        <v>0.25</v>
      </c>
      <c r="I785">
        <v>165.75</v>
      </c>
      <c r="J785">
        <v>7</v>
      </c>
      <c r="K785">
        <v>113.664204409608</v>
      </c>
      <c r="L785">
        <v>1160.25</v>
      </c>
      <c r="M785">
        <v>795.64943086725896</v>
      </c>
      <c r="N785">
        <v>364.60056913274002</v>
      </c>
      <c r="O785" t="s">
        <v>51</v>
      </c>
      <c r="P785">
        <f t="shared" si="24"/>
        <v>1547</v>
      </c>
      <c r="Q785">
        <f t="shared" si="25"/>
        <v>-364.60056913274104</v>
      </c>
    </row>
    <row r="786" spans="1:17" x14ac:dyDescent="0.4">
      <c r="A786" t="s">
        <v>1591</v>
      </c>
      <c r="B786" s="1">
        <v>45541.333333333336</v>
      </c>
      <c r="C786" t="s">
        <v>65</v>
      </c>
      <c r="D786" t="s">
        <v>1592</v>
      </c>
      <c r="E786" t="s">
        <v>37</v>
      </c>
      <c r="F786" t="s">
        <v>38</v>
      </c>
      <c r="G786">
        <v>262</v>
      </c>
      <c r="H786">
        <v>0.05</v>
      </c>
      <c r="I786">
        <v>248.89999999999901</v>
      </c>
      <c r="J786">
        <v>5</v>
      </c>
      <c r="K786">
        <v>174.12206834699501</v>
      </c>
      <c r="L786">
        <v>1244.5</v>
      </c>
      <c r="M786">
        <v>870.61034173497706</v>
      </c>
      <c r="N786">
        <v>373.88965826502198</v>
      </c>
      <c r="O786" t="s">
        <v>32</v>
      </c>
      <c r="P786">
        <f t="shared" si="24"/>
        <v>1310</v>
      </c>
      <c r="Q786">
        <f t="shared" si="25"/>
        <v>-373.88965826502294</v>
      </c>
    </row>
    <row r="787" spans="1:17" x14ac:dyDescent="0.4">
      <c r="A787" t="s">
        <v>1593</v>
      </c>
      <c r="B787" s="1">
        <v>45486.583333333336</v>
      </c>
      <c r="C787" t="s">
        <v>28</v>
      </c>
      <c r="D787" t="s">
        <v>525</v>
      </c>
      <c r="E787" t="s">
        <v>48</v>
      </c>
      <c r="F787" t="s">
        <v>19</v>
      </c>
      <c r="G787">
        <v>337</v>
      </c>
      <c r="H787">
        <v>0.2</v>
      </c>
      <c r="I787">
        <v>269.60000000000002</v>
      </c>
      <c r="J787">
        <v>2</v>
      </c>
      <c r="K787">
        <v>152.19208244294501</v>
      </c>
      <c r="L787">
        <v>539.20000000000005</v>
      </c>
      <c r="M787">
        <v>304.38416488589098</v>
      </c>
      <c r="N787">
        <v>234.81583511410801</v>
      </c>
      <c r="O787" t="s">
        <v>51</v>
      </c>
      <c r="P787">
        <f t="shared" si="24"/>
        <v>674</v>
      </c>
      <c r="Q787">
        <f t="shared" si="25"/>
        <v>-234.81583511410906</v>
      </c>
    </row>
    <row r="788" spans="1:17" x14ac:dyDescent="0.4">
      <c r="A788" t="s">
        <v>1594</v>
      </c>
      <c r="B788" s="1">
        <v>45674.666666666664</v>
      </c>
      <c r="C788" t="s">
        <v>65</v>
      </c>
      <c r="D788" t="s">
        <v>1595</v>
      </c>
      <c r="E788" t="s">
        <v>48</v>
      </c>
      <c r="F788" t="s">
        <v>19</v>
      </c>
      <c r="G788">
        <v>347</v>
      </c>
      <c r="H788">
        <v>0.15</v>
      </c>
      <c r="I788">
        <v>294.95</v>
      </c>
      <c r="J788">
        <v>5</v>
      </c>
      <c r="K788">
        <v>226.400338816871</v>
      </c>
      <c r="L788">
        <v>1474.75</v>
      </c>
      <c r="M788">
        <v>1132.00169408435</v>
      </c>
      <c r="N788">
        <v>342.74830591564302</v>
      </c>
      <c r="O788" t="s">
        <v>51</v>
      </c>
      <c r="P788">
        <f t="shared" si="24"/>
        <v>1735</v>
      </c>
      <c r="Q788">
        <f t="shared" si="25"/>
        <v>-342.74830591565001</v>
      </c>
    </row>
    <row r="789" spans="1:17" x14ac:dyDescent="0.4">
      <c r="A789" t="s">
        <v>1596</v>
      </c>
      <c r="B789" s="1">
        <v>45383.333333333336</v>
      </c>
      <c r="C789" t="s">
        <v>65</v>
      </c>
      <c r="D789" t="s">
        <v>1260</v>
      </c>
      <c r="E789" t="s">
        <v>110</v>
      </c>
      <c r="F789" t="s">
        <v>19</v>
      </c>
      <c r="G789">
        <v>148</v>
      </c>
      <c r="H789">
        <v>0.05</v>
      </c>
      <c r="I789">
        <v>140.6</v>
      </c>
      <c r="J789">
        <v>6</v>
      </c>
      <c r="K789">
        <v>77.719190412530807</v>
      </c>
      <c r="L789">
        <v>843.599999999999</v>
      </c>
      <c r="M789">
        <v>466.31514247518498</v>
      </c>
      <c r="N789">
        <v>377.28485752481402</v>
      </c>
      <c r="O789" t="s">
        <v>20</v>
      </c>
      <c r="P789">
        <f t="shared" si="24"/>
        <v>888</v>
      </c>
      <c r="Q789">
        <f t="shared" si="25"/>
        <v>-377.28485752481402</v>
      </c>
    </row>
    <row r="790" spans="1:17" x14ac:dyDescent="0.4">
      <c r="A790" t="s">
        <v>1597</v>
      </c>
      <c r="B790" s="1">
        <v>45344</v>
      </c>
      <c r="C790" t="s">
        <v>43</v>
      </c>
      <c r="D790" t="s">
        <v>1598</v>
      </c>
      <c r="E790" t="s">
        <v>94</v>
      </c>
      <c r="F790" t="s">
        <v>61</v>
      </c>
      <c r="G790">
        <v>156</v>
      </c>
      <c r="H790">
        <v>0</v>
      </c>
      <c r="I790">
        <v>156</v>
      </c>
      <c r="J790">
        <v>7</v>
      </c>
      <c r="K790">
        <v>110.602872391023</v>
      </c>
      <c r="L790">
        <v>1092</v>
      </c>
      <c r="M790">
        <v>774.22010673716102</v>
      </c>
      <c r="N790">
        <v>317.77989326283802</v>
      </c>
      <c r="O790" t="s">
        <v>26</v>
      </c>
      <c r="P790">
        <f t="shared" si="24"/>
        <v>1092</v>
      </c>
      <c r="Q790">
        <f t="shared" si="25"/>
        <v>-317.77989326283898</v>
      </c>
    </row>
    <row r="791" spans="1:17" x14ac:dyDescent="0.4">
      <c r="A791" t="s">
        <v>1599</v>
      </c>
      <c r="B791" s="1">
        <v>45760.583333333336</v>
      </c>
      <c r="C791" t="s">
        <v>43</v>
      </c>
      <c r="D791" t="s">
        <v>1600</v>
      </c>
      <c r="E791" t="s">
        <v>48</v>
      </c>
      <c r="F791" t="s">
        <v>19</v>
      </c>
      <c r="G791">
        <v>340</v>
      </c>
      <c r="H791">
        <v>0</v>
      </c>
      <c r="I791">
        <v>340</v>
      </c>
      <c r="J791">
        <v>7</v>
      </c>
      <c r="K791">
        <v>246.61117893880899</v>
      </c>
      <c r="L791">
        <v>2380</v>
      </c>
      <c r="M791">
        <v>1726.27825257166</v>
      </c>
      <c r="N791">
        <v>653.72174742833204</v>
      </c>
      <c r="O791" t="s">
        <v>26</v>
      </c>
      <c r="P791">
        <f t="shared" si="24"/>
        <v>2380</v>
      </c>
      <c r="Q791">
        <f t="shared" si="25"/>
        <v>-653.72174742834</v>
      </c>
    </row>
    <row r="792" spans="1:17" x14ac:dyDescent="0.4">
      <c r="A792" t="s">
        <v>1601</v>
      </c>
      <c r="B792" s="1">
        <v>45824.916666666664</v>
      </c>
      <c r="C792" t="s">
        <v>16</v>
      </c>
      <c r="D792" t="s">
        <v>1602</v>
      </c>
      <c r="E792" t="s">
        <v>69</v>
      </c>
      <c r="F792" t="s">
        <v>70</v>
      </c>
      <c r="G792">
        <v>109</v>
      </c>
      <c r="H792">
        <v>0.2</v>
      </c>
      <c r="I792">
        <v>87.2</v>
      </c>
      <c r="J792">
        <v>3</v>
      </c>
      <c r="K792">
        <v>50.062476460944701</v>
      </c>
      <c r="L792">
        <v>261.60000000000002</v>
      </c>
      <c r="M792">
        <v>150.18742938283401</v>
      </c>
      <c r="N792">
        <v>111.412570617165</v>
      </c>
      <c r="O792" t="s">
        <v>20</v>
      </c>
      <c r="P792">
        <f t="shared" si="24"/>
        <v>327</v>
      </c>
      <c r="Q792">
        <f t="shared" si="25"/>
        <v>-111.41257061716601</v>
      </c>
    </row>
    <row r="793" spans="1:17" x14ac:dyDescent="0.4">
      <c r="A793" t="s">
        <v>1603</v>
      </c>
      <c r="B793" s="1">
        <v>45445.625</v>
      </c>
      <c r="C793" t="s">
        <v>65</v>
      </c>
      <c r="D793" t="s">
        <v>1604</v>
      </c>
      <c r="E793" t="s">
        <v>115</v>
      </c>
      <c r="F793" t="s">
        <v>38</v>
      </c>
      <c r="G793">
        <v>226</v>
      </c>
      <c r="H793">
        <v>0.25</v>
      </c>
      <c r="I793">
        <v>169.5</v>
      </c>
      <c r="J793">
        <v>3</v>
      </c>
      <c r="K793">
        <v>164.43713955903999</v>
      </c>
      <c r="L793">
        <v>508.5</v>
      </c>
      <c r="M793">
        <v>493.31141867712103</v>
      </c>
      <c r="N793">
        <v>15.1885813228781</v>
      </c>
      <c r="O793" t="s">
        <v>32</v>
      </c>
      <c r="P793">
        <f t="shared" si="24"/>
        <v>678</v>
      </c>
      <c r="Q793">
        <f t="shared" si="25"/>
        <v>-15.188581322878974</v>
      </c>
    </row>
    <row r="794" spans="1:17" x14ac:dyDescent="0.4">
      <c r="A794" t="s">
        <v>1605</v>
      </c>
      <c r="B794" s="1">
        <v>45459.416666666664</v>
      </c>
      <c r="C794" t="s">
        <v>43</v>
      </c>
      <c r="D794" t="s">
        <v>1606</v>
      </c>
      <c r="E794" t="s">
        <v>30</v>
      </c>
      <c r="F794" t="s">
        <v>31</v>
      </c>
      <c r="G794">
        <v>163</v>
      </c>
      <c r="H794">
        <v>0.15</v>
      </c>
      <c r="I794">
        <v>138.54999999999899</v>
      </c>
      <c r="J794">
        <v>5</v>
      </c>
      <c r="K794">
        <v>108.032582688806</v>
      </c>
      <c r="L794">
        <v>692.74999999999898</v>
      </c>
      <c r="M794">
        <v>540.16291344403396</v>
      </c>
      <c r="N794">
        <v>152.58708655596499</v>
      </c>
      <c r="O794" t="s">
        <v>32</v>
      </c>
      <c r="P794">
        <f t="shared" si="24"/>
        <v>815</v>
      </c>
      <c r="Q794">
        <f t="shared" si="25"/>
        <v>-152.58708655596502</v>
      </c>
    </row>
    <row r="795" spans="1:17" x14ac:dyDescent="0.4">
      <c r="A795" t="s">
        <v>1607</v>
      </c>
      <c r="B795" s="1">
        <v>45762.916666666664</v>
      </c>
      <c r="C795" t="s">
        <v>65</v>
      </c>
      <c r="D795" t="s">
        <v>1608</v>
      </c>
      <c r="E795" t="s">
        <v>213</v>
      </c>
      <c r="F795" t="s">
        <v>31</v>
      </c>
      <c r="G795">
        <v>254</v>
      </c>
      <c r="H795">
        <v>0</v>
      </c>
      <c r="I795">
        <v>254</v>
      </c>
      <c r="J795">
        <v>6</v>
      </c>
      <c r="K795">
        <v>149.373010030458</v>
      </c>
      <c r="L795">
        <v>1524</v>
      </c>
      <c r="M795">
        <v>896.23806018275195</v>
      </c>
      <c r="N795">
        <v>627.76193981724703</v>
      </c>
      <c r="O795" t="s">
        <v>32</v>
      </c>
      <c r="P795">
        <f t="shared" si="24"/>
        <v>1524</v>
      </c>
      <c r="Q795">
        <f t="shared" si="25"/>
        <v>-627.76193981724805</v>
      </c>
    </row>
    <row r="796" spans="1:17" x14ac:dyDescent="0.4">
      <c r="A796" t="s">
        <v>1609</v>
      </c>
      <c r="B796" s="1">
        <v>45374.083333333336</v>
      </c>
      <c r="C796" t="s">
        <v>46</v>
      </c>
      <c r="D796" t="s">
        <v>1610</v>
      </c>
      <c r="E796" t="s">
        <v>18</v>
      </c>
      <c r="F796" t="s">
        <v>19</v>
      </c>
      <c r="G796">
        <v>191</v>
      </c>
      <c r="H796">
        <v>0</v>
      </c>
      <c r="I796">
        <v>191</v>
      </c>
      <c r="J796">
        <v>7</v>
      </c>
      <c r="K796">
        <v>91.324623561486703</v>
      </c>
      <c r="L796">
        <v>1337</v>
      </c>
      <c r="M796">
        <v>639.27236493040698</v>
      </c>
      <c r="N796">
        <v>697.727635069592</v>
      </c>
      <c r="O796" t="s">
        <v>26</v>
      </c>
      <c r="P796">
        <f t="shared" si="24"/>
        <v>1337</v>
      </c>
      <c r="Q796">
        <f t="shared" si="25"/>
        <v>-697.72763506959302</v>
      </c>
    </row>
    <row r="797" spans="1:17" x14ac:dyDescent="0.4">
      <c r="A797" t="s">
        <v>1611</v>
      </c>
      <c r="B797" s="1">
        <v>45641.541666666664</v>
      </c>
      <c r="C797" t="s">
        <v>46</v>
      </c>
      <c r="D797" t="s">
        <v>1612</v>
      </c>
      <c r="E797" t="s">
        <v>37</v>
      </c>
      <c r="F797" t="s">
        <v>38</v>
      </c>
      <c r="G797">
        <v>203</v>
      </c>
      <c r="H797">
        <v>0</v>
      </c>
      <c r="I797">
        <v>203</v>
      </c>
      <c r="J797">
        <v>6</v>
      </c>
      <c r="K797">
        <v>121.487679267762</v>
      </c>
      <c r="L797">
        <v>1218</v>
      </c>
      <c r="M797">
        <v>728.92607560657302</v>
      </c>
      <c r="N797">
        <v>489.07392439342601</v>
      </c>
      <c r="O797" t="s">
        <v>32</v>
      </c>
      <c r="P797">
        <f t="shared" si="24"/>
        <v>1218</v>
      </c>
      <c r="Q797">
        <f t="shared" si="25"/>
        <v>-489.07392439342698</v>
      </c>
    </row>
    <row r="798" spans="1:17" x14ac:dyDescent="0.4">
      <c r="A798" t="s">
        <v>1613</v>
      </c>
      <c r="B798" s="1">
        <v>45932.583333333336</v>
      </c>
      <c r="C798" t="s">
        <v>28</v>
      </c>
      <c r="D798" t="s">
        <v>1614</v>
      </c>
      <c r="E798" t="s">
        <v>110</v>
      </c>
      <c r="F798" t="s">
        <v>19</v>
      </c>
      <c r="G798">
        <v>288</v>
      </c>
      <c r="H798">
        <v>0</v>
      </c>
      <c r="I798">
        <v>288</v>
      </c>
      <c r="J798">
        <v>3</v>
      </c>
      <c r="K798">
        <v>196.494791367408</v>
      </c>
      <c r="L798">
        <v>864</v>
      </c>
      <c r="M798">
        <v>589.48437410222596</v>
      </c>
      <c r="N798">
        <v>274.51562589777302</v>
      </c>
      <c r="O798" t="s">
        <v>105</v>
      </c>
      <c r="P798">
        <f t="shared" si="24"/>
        <v>864</v>
      </c>
      <c r="Q798">
        <f t="shared" si="25"/>
        <v>-274.51562589777404</v>
      </c>
    </row>
    <row r="799" spans="1:17" x14ac:dyDescent="0.4">
      <c r="A799" t="s">
        <v>1615</v>
      </c>
      <c r="B799" s="1">
        <v>45533.166666666664</v>
      </c>
      <c r="C799" t="s">
        <v>43</v>
      </c>
      <c r="D799" t="s">
        <v>1616</v>
      </c>
      <c r="E799" t="s">
        <v>37</v>
      </c>
      <c r="F799" t="s">
        <v>38</v>
      </c>
      <c r="G799">
        <v>174</v>
      </c>
      <c r="H799">
        <v>0.15</v>
      </c>
      <c r="I799">
        <v>147.9</v>
      </c>
      <c r="J799">
        <v>5</v>
      </c>
      <c r="K799">
        <v>101.051460421881</v>
      </c>
      <c r="L799">
        <v>739.5</v>
      </c>
      <c r="M799">
        <v>505.25730210940901</v>
      </c>
      <c r="N799">
        <v>234.24269789058999</v>
      </c>
      <c r="O799" t="s">
        <v>26</v>
      </c>
      <c r="P799">
        <f t="shared" si="24"/>
        <v>870</v>
      </c>
      <c r="Q799">
        <f t="shared" si="25"/>
        <v>-234.24269789059099</v>
      </c>
    </row>
    <row r="800" spans="1:17" x14ac:dyDescent="0.4">
      <c r="A800" t="s">
        <v>1617</v>
      </c>
      <c r="B800" s="1">
        <v>45517.333333333336</v>
      </c>
      <c r="C800" t="s">
        <v>65</v>
      </c>
      <c r="D800" t="s">
        <v>1618</v>
      </c>
      <c r="E800" t="s">
        <v>146</v>
      </c>
      <c r="F800" t="s">
        <v>70</v>
      </c>
      <c r="G800">
        <v>135</v>
      </c>
      <c r="H800">
        <v>0.15</v>
      </c>
      <c r="I800">
        <v>114.75</v>
      </c>
      <c r="J800">
        <v>3</v>
      </c>
      <c r="K800">
        <v>75.8952251660195</v>
      </c>
      <c r="L800">
        <v>344.25</v>
      </c>
      <c r="M800">
        <v>227.685675498058</v>
      </c>
      <c r="N800">
        <v>116.564324501941</v>
      </c>
      <c r="O800" t="s">
        <v>32</v>
      </c>
      <c r="P800">
        <f t="shared" si="24"/>
        <v>405</v>
      </c>
      <c r="Q800">
        <f t="shared" si="25"/>
        <v>-116.564324501942</v>
      </c>
    </row>
    <row r="801" spans="1:17" x14ac:dyDescent="0.4">
      <c r="A801" t="s">
        <v>1619</v>
      </c>
      <c r="B801" s="1">
        <v>45685.583333333336</v>
      </c>
      <c r="C801" t="s">
        <v>16</v>
      </c>
      <c r="D801" t="s">
        <v>1620</v>
      </c>
      <c r="E801" t="s">
        <v>85</v>
      </c>
      <c r="F801" t="s">
        <v>70</v>
      </c>
      <c r="G801">
        <v>328</v>
      </c>
      <c r="H801">
        <v>0.1</v>
      </c>
      <c r="I801">
        <v>295.2</v>
      </c>
      <c r="J801">
        <v>4</v>
      </c>
      <c r="K801">
        <v>145.91599075864099</v>
      </c>
      <c r="L801">
        <v>1180.8</v>
      </c>
      <c r="M801">
        <v>583.66396303456395</v>
      </c>
      <c r="N801">
        <v>597.13603696543498</v>
      </c>
      <c r="O801" t="s">
        <v>32</v>
      </c>
      <c r="P801">
        <f t="shared" si="24"/>
        <v>1312</v>
      </c>
      <c r="Q801">
        <f t="shared" si="25"/>
        <v>-597.13603696543601</v>
      </c>
    </row>
    <row r="802" spans="1:17" x14ac:dyDescent="0.4">
      <c r="A802" t="s">
        <v>1621</v>
      </c>
      <c r="B802" s="1">
        <v>45330.416666666664</v>
      </c>
      <c r="C802" t="s">
        <v>22</v>
      </c>
      <c r="D802" t="s">
        <v>1622</v>
      </c>
      <c r="E802" t="s">
        <v>82</v>
      </c>
      <c r="F802" t="s">
        <v>25</v>
      </c>
      <c r="G802">
        <v>97</v>
      </c>
      <c r="H802">
        <v>0.25</v>
      </c>
      <c r="I802">
        <v>72.75</v>
      </c>
      <c r="J802">
        <v>4</v>
      </c>
      <c r="K802">
        <v>39.293433892280298</v>
      </c>
      <c r="L802">
        <v>291</v>
      </c>
      <c r="M802">
        <v>157.17373556912099</v>
      </c>
      <c r="N802">
        <v>133.82626443087801</v>
      </c>
      <c r="O802" t="s">
        <v>51</v>
      </c>
      <c r="P802">
        <f t="shared" si="24"/>
        <v>388</v>
      </c>
      <c r="Q802">
        <f t="shared" si="25"/>
        <v>-133.82626443087901</v>
      </c>
    </row>
    <row r="803" spans="1:17" x14ac:dyDescent="0.4">
      <c r="A803" t="s">
        <v>1623</v>
      </c>
      <c r="B803" s="1">
        <v>45309.458333333336</v>
      </c>
      <c r="C803" t="s">
        <v>65</v>
      </c>
      <c r="D803" t="s">
        <v>1624</v>
      </c>
      <c r="E803" t="s">
        <v>115</v>
      </c>
      <c r="F803" t="s">
        <v>38</v>
      </c>
      <c r="G803">
        <v>96</v>
      </c>
      <c r="H803">
        <v>0.1</v>
      </c>
      <c r="I803">
        <v>86.4</v>
      </c>
      <c r="J803">
        <v>6</v>
      </c>
      <c r="K803">
        <v>51.101638300995901</v>
      </c>
      <c r="L803">
        <v>518.4</v>
      </c>
      <c r="M803">
        <v>306.60982980597498</v>
      </c>
      <c r="N803">
        <v>211.790170194024</v>
      </c>
      <c r="O803" t="s">
        <v>20</v>
      </c>
      <c r="P803">
        <f t="shared" si="24"/>
        <v>576</v>
      </c>
      <c r="Q803">
        <f t="shared" si="25"/>
        <v>-211.79017019402499</v>
      </c>
    </row>
    <row r="804" spans="1:17" x14ac:dyDescent="0.4">
      <c r="A804" t="s">
        <v>1625</v>
      </c>
      <c r="B804" s="1">
        <v>45741.541666666664</v>
      </c>
      <c r="C804" t="s">
        <v>46</v>
      </c>
      <c r="D804" t="s">
        <v>1626</v>
      </c>
      <c r="E804" t="s">
        <v>82</v>
      </c>
      <c r="F804" t="s">
        <v>25</v>
      </c>
      <c r="G804">
        <v>101</v>
      </c>
      <c r="H804">
        <v>0</v>
      </c>
      <c r="I804">
        <v>101</v>
      </c>
      <c r="J804">
        <v>5</v>
      </c>
      <c r="K804">
        <v>52.214512172145</v>
      </c>
      <c r="L804">
        <v>505</v>
      </c>
      <c r="M804">
        <v>261.07256086072499</v>
      </c>
      <c r="N804">
        <v>243.92743913927399</v>
      </c>
      <c r="O804" t="s">
        <v>26</v>
      </c>
      <c r="P804">
        <f t="shared" si="24"/>
        <v>505</v>
      </c>
      <c r="Q804">
        <f t="shared" si="25"/>
        <v>-243.92743913927501</v>
      </c>
    </row>
    <row r="805" spans="1:17" x14ac:dyDescent="0.4">
      <c r="A805" t="s">
        <v>1627</v>
      </c>
      <c r="B805" s="1">
        <v>45338.666666666664</v>
      </c>
      <c r="C805" t="s">
        <v>65</v>
      </c>
      <c r="D805" t="s">
        <v>1628</v>
      </c>
      <c r="E805" t="s">
        <v>73</v>
      </c>
      <c r="F805" t="s">
        <v>38</v>
      </c>
      <c r="G805">
        <v>220</v>
      </c>
      <c r="H805">
        <v>0</v>
      </c>
      <c r="I805">
        <v>220</v>
      </c>
      <c r="J805">
        <v>6</v>
      </c>
      <c r="K805">
        <v>90.373495639851498</v>
      </c>
      <c r="L805">
        <v>1320</v>
      </c>
      <c r="M805">
        <v>542.24097383910896</v>
      </c>
      <c r="N805">
        <v>777.75902616089002</v>
      </c>
      <c r="O805" t="s">
        <v>32</v>
      </c>
      <c r="P805">
        <f t="shared" si="24"/>
        <v>1320</v>
      </c>
      <c r="Q805">
        <f t="shared" si="25"/>
        <v>-777.75902616089104</v>
      </c>
    </row>
    <row r="806" spans="1:17" x14ac:dyDescent="0.4">
      <c r="A806" t="s">
        <v>1629</v>
      </c>
      <c r="B806" s="1">
        <v>45761.166666666664</v>
      </c>
      <c r="C806" t="s">
        <v>22</v>
      </c>
      <c r="D806" t="s">
        <v>1630</v>
      </c>
      <c r="E806" t="s">
        <v>69</v>
      </c>
      <c r="F806" t="s">
        <v>70</v>
      </c>
      <c r="G806">
        <v>253</v>
      </c>
      <c r="H806">
        <v>0.05</v>
      </c>
      <c r="I806">
        <v>240.35</v>
      </c>
      <c r="J806">
        <v>6</v>
      </c>
      <c r="K806">
        <v>183.03954240531701</v>
      </c>
      <c r="L806">
        <v>1442.1</v>
      </c>
      <c r="M806">
        <v>1098.2372544319001</v>
      </c>
      <c r="N806">
        <v>343.862745568094</v>
      </c>
      <c r="O806" t="s">
        <v>26</v>
      </c>
      <c r="P806">
        <f t="shared" si="24"/>
        <v>1518</v>
      </c>
      <c r="Q806">
        <f t="shared" si="25"/>
        <v>-343.86274556809985</v>
      </c>
    </row>
    <row r="807" spans="1:17" x14ac:dyDescent="0.4">
      <c r="A807" t="s">
        <v>1631</v>
      </c>
      <c r="B807" s="1">
        <v>46014.25</v>
      </c>
      <c r="C807" t="s">
        <v>65</v>
      </c>
      <c r="D807" t="s">
        <v>1632</v>
      </c>
      <c r="E807" t="s">
        <v>73</v>
      </c>
      <c r="F807" t="s">
        <v>38</v>
      </c>
      <c r="G807">
        <v>112</v>
      </c>
      <c r="H807">
        <v>0.1</v>
      </c>
      <c r="I807">
        <v>100.8</v>
      </c>
      <c r="J807">
        <v>3</v>
      </c>
      <c r="K807">
        <v>81.410892472442498</v>
      </c>
      <c r="L807">
        <v>302.39999999999998</v>
      </c>
      <c r="M807">
        <v>244.23267741732701</v>
      </c>
      <c r="N807">
        <v>58.167322582672298</v>
      </c>
      <c r="O807" t="s">
        <v>32</v>
      </c>
      <c r="P807">
        <f t="shared" si="24"/>
        <v>336</v>
      </c>
      <c r="Q807">
        <f t="shared" si="25"/>
        <v>-58.167322582672966</v>
      </c>
    </row>
    <row r="808" spans="1:17" x14ac:dyDescent="0.4">
      <c r="A808" t="s">
        <v>1633</v>
      </c>
      <c r="B808" s="1">
        <v>45389.333333333336</v>
      </c>
      <c r="C808" t="s">
        <v>65</v>
      </c>
      <c r="D808" t="s">
        <v>1634</v>
      </c>
      <c r="E808" t="s">
        <v>24</v>
      </c>
      <c r="F808" t="s">
        <v>25</v>
      </c>
      <c r="G808">
        <v>333</v>
      </c>
      <c r="H808">
        <v>0.05</v>
      </c>
      <c r="I808">
        <v>316.349999999999</v>
      </c>
      <c r="J808">
        <v>7</v>
      </c>
      <c r="K808">
        <v>147.54172500445199</v>
      </c>
      <c r="L808">
        <v>2214.4499999999998</v>
      </c>
      <c r="M808">
        <v>1032.79207503116</v>
      </c>
      <c r="N808">
        <v>1181.65792496883</v>
      </c>
      <c r="O808" t="s">
        <v>32</v>
      </c>
      <c r="P808">
        <f t="shared" si="24"/>
        <v>2331</v>
      </c>
      <c r="Q808">
        <f t="shared" si="25"/>
        <v>-1181.6579249688398</v>
      </c>
    </row>
    <row r="809" spans="1:17" x14ac:dyDescent="0.4">
      <c r="A809" t="s">
        <v>1635</v>
      </c>
      <c r="B809" s="1">
        <v>45515.875</v>
      </c>
      <c r="C809" t="s">
        <v>43</v>
      </c>
      <c r="D809" t="s">
        <v>1636</v>
      </c>
      <c r="E809" t="s">
        <v>97</v>
      </c>
      <c r="F809" t="s">
        <v>61</v>
      </c>
      <c r="G809">
        <v>238</v>
      </c>
      <c r="H809">
        <v>0.15</v>
      </c>
      <c r="I809">
        <v>202.29999999999899</v>
      </c>
      <c r="J809">
        <v>6</v>
      </c>
      <c r="K809">
        <v>137.38781620714099</v>
      </c>
      <c r="L809">
        <v>1213.8</v>
      </c>
      <c r="M809">
        <v>824.32689724284899</v>
      </c>
      <c r="N809">
        <v>389.47310275715</v>
      </c>
      <c r="O809" t="s">
        <v>32</v>
      </c>
      <c r="P809">
        <f t="shared" si="24"/>
        <v>1428</v>
      </c>
      <c r="Q809">
        <f t="shared" si="25"/>
        <v>-389.47310275715097</v>
      </c>
    </row>
    <row r="810" spans="1:17" x14ac:dyDescent="0.4">
      <c r="A810" t="s">
        <v>1637</v>
      </c>
      <c r="B810" s="1">
        <v>45385.458333333336</v>
      </c>
      <c r="C810" t="s">
        <v>16</v>
      </c>
      <c r="D810" t="s">
        <v>1638</v>
      </c>
      <c r="E810" t="s">
        <v>48</v>
      </c>
      <c r="F810" t="s">
        <v>19</v>
      </c>
      <c r="G810">
        <v>304</v>
      </c>
      <c r="H810">
        <v>0.1</v>
      </c>
      <c r="I810">
        <v>273.60000000000002</v>
      </c>
      <c r="J810">
        <v>7</v>
      </c>
      <c r="K810">
        <v>176.49664147510501</v>
      </c>
      <c r="L810">
        <v>1915.2</v>
      </c>
      <c r="M810">
        <v>1235.4764903257301</v>
      </c>
      <c r="N810">
        <v>679.72350967426405</v>
      </c>
      <c r="O810" t="s">
        <v>51</v>
      </c>
      <c r="P810">
        <f t="shared" si="24"/>
        <v>2128</v>
      </c>
      <c r="Q810">
        <f t="shared" si="25"/>
        <v>-679.72350967426996</v>
      </c>
    </row>
    <row r="811" spans="1:17" x14ac:dyDescent="0.4">
      <c r="A811" t="s">
        <v>1639</v>
      </c>
      <c r="B811" s="1">
        <v>45484.166666666664</v>
      </c>
      <c r="C811" t="s">
        <v>43</v>
      </c>
      <c r="D811" t="s">
        <v>1640</v>
      </c>
      <c r="E811" t="s">
        <v>146</v>
      </c>
      <c r="F811" t="s">
        <v>70</v>
      </c>
      <c r="G811">
        <v>305</v>
      </c>
      <c r="H811">
        <v>0.1</v>
      </c>
      <c r="I811">
        <v>274.5</v>
      </c>
      <c r="J811">
        <v>2</v>
      </c>
      <c r="K811">
        <v>181.431173853296</v>
      </c>
      <c r="L811">
        <v>549</v>
      </c>
      <c r="M811">
        <v>362.86234770659303</v>
      </c>
      <c r="N811">
        <v>186.13765229340601</v>
      </c>
      <c r="O811" t="s">
        <v>51</v>
      </c>
      <c r="P811">
        <f t="shared" si="24"/>
        <v>610</v>
      </c>
      <c r="Q811">
        <f t="shared" si="25"/>
        <v>-186.13765229340697</v>
      </c>
    </row>
    <row r="812" spans="1:17" x14ac:dyDescent="0.4">
      <c r="A812" t="s">
        <v>1641</v>
      </c>
      <c r="B812" s="1">
        <v>45873.083333333336</v>
      </c>
      <c r="C812" t="s">
        <v>28</v>
      </c>
      <c r="D812" t="s">
        <v>1642</v>
      </c>
      <c r="E812" t="s">
        <v>73</v>
      </c>
      <c r="F812" t="s">
        <v>38</v>
      </c>
      <c r="G812">
        <v>239</v>
      </c>
      <c r="H812">
        <v>0</v>
      </c>
      <c r="I812">
        <v>239</v>
      </c>
      <c r="J812">
        <v>7</v>
      </c>
      <c r="K812">
        <v>112.84885718518299</v>
      </c>
      <c r="L812">
        <v>1673</v>
      </c>
      <c r="M812">
        <v>789.94200029628598</v>
      </c>
      <c r="N812">
        <v>883.05799970371299</v>
      </c>
      <c r="O812" t="s">
        <v>26</v>
      </c>
      <c r="P812">
        <f t="shared" si="24"/>
        <v>1673</v>
      </c>
      <c r="Q812">
        <f t="shared" si="25"/>
        <v>-883.05799970371402</v>
      </c>
    </row>
    <row r="813" spans="1:17" x14ac:dyDescent="0.4">
      <c r="A813" t="s">
        <v>1643</v>
      </c>
      <c r="B813" s="1">
        <v>45754.666666666664</v>
      </c>
      <c r="C813" t="s">
        <v>65</v>
      </c>
      <c r="D813" t="s">
        <v>1644</v>
      </c>
      <c r="E813" t="s">
        <v>73</v>
      </c>
      <c r="F813" t="s">
        <v>38</v>
      </c>
      <c r="G813">
        <v>165</v>
      </c>
      <c r="H813">
        <v>0.15</v>
      </c>
      <c r="I813">
        <v>140.25</v>
      </c>
      <c r="J813">
        <v>1</v>
      </c>
      <c r="K813">
        <v>93.205085377696605</v>
      </c>
      <c r="L813">
        <v>140.25</v>
      </c>
      <c r="M813">
        <v>93.205085377696605</v>
      </c>
      <c r="N813">
        <v>47.044914622303303</v>
      </c>
      <c r="O813" t="s">
        <v>32</v>
      </c>
      <c r="P813">
        <f t="shared" si="24"/>
        <v>165</v>
      </c>
      <c r="Q813">
        <f t="shared" si="25"/>
        <v>-47.044914622303395</v>
      </c>
    </row>
    <row r="814" spans="1:17" x14ac:dyDescent="0.4">
      <c r="A814" t="s">
        <v>1645</v>
      </c>
      <c r="B814" s="1">
        <v>45851.541666666664</v>
      </c>
      <c r="C814" t="s">
        <v>46</v>
      </c>
      <c r="D814" t="s">
        <v>1646</v>
      </c>
      <c r="E814" t="s">
        <v>115</v>
      </c>
      <c r="F814" t="s">
        <v>38</v>
      </c>
      <c r="G814">
        <v>190</v>
      </c>
      <c r="H814">
        <v>0.2</v>
      </c>
      <c r="I814">
        <v>152</v>
      </c>
      <c r="J814">
        <v>3</v>
      </c>
      <c r="K814">
        <v>133.617422292767</v>
      </c>
      <c r="L814">
        <v>456</v>
      </c>
      <c r="M814">
        <v>400.85226687830101</v>
      </c>
      <c r="N814">
        <v>55.147733121698103</v>
      </c>
      <c r="O814" t="s">
        <v>51</v>
      </c>
      <c r="P814">
        <f t="shared" si="24"/>
        <v>570</v>
      </c>
      <c r="Q814">
        <f t="shared" si="25"/>
        <v>-55.147733121698991</v>
      </c>
    </row>
    <row r="815" spans="1:17" x14ac:dyDescent="0.4">
      <c r="A815" t="s">
        <v>1647</v>
      </c>
      <c r="B815" s="1">
        <v>45557.458333333336</v>
      </c>
      <c r="C815" t="s">
        <v>43</v>
      </c>
      <c r="D815" t="s">
        <v>1648</v>
      </c>
      <c r="E815" t="s">
        <v>37</v>
      </c>
      <c r="F815" t="s">
        <v>38</v>
      </c>
      <c r="G815">
        <v>312</v>
      </c>
      <c r="H815">
        <v>0.05</v>
      </c>
      <c r="I815">
        <v>296.39999999999998</v>
      </c>
      <c r="J815">
        <v>4</v>
      </c>
      <c r="K815">
        <v>157.09620954053901</v>
      </c>
      <c r="L815">
        <v>1185.5999999999999</v>
      </c>
      <c r="M815">
        <v>628.38483816215899</v>
      </c>
      <c r="N815">
        <v>557.21516183784001</v>
      </c>
      <c r="O815" t="s">
        <v>32</v>
      </c>
      <c r="P815">
        <f t="shared" si="24"/>
        <v>1248</v>
      </c>
      <c r="Q815">
        <f t="shared" si="25"/>
        <v>-557.21516183784092</v>
      </c>
    </row>
    <row r="816" spans="1:17" x14ac:dyDescent="0.4">
      <c r="A816" t="s">
        <v>1649</v>
      </c>
      <c r="B816" s="1">
        <v>45556.958333333336</v>
      </c>
      <c r="C816" t="s">
        <v>46</v>
      </c>
      <c r="D816" t="s">
        <v>1650</v>
      </c>
      <c r="E816" t="s">
        <v>48</v>
      </c>
      <c r="F816" t="s">
        <v>19</v>
      </c>
      <c r="G816">
        <v>311</v>
      </c>
      <c r="H816">
        <v>0</v>
      </c>
      <c r="I816">
        <v>311</v>
      </c>
      <c r="J816">
        <v>3</v>
      </c>
      <c r="K816">
        <v>168.96200692931501</v>
      </c>
      <c r="L816">
        <v>933</v>
      </c>
      <c r="M816">
        <v>506.88602078794497</v>
      </c>
      <c r="N816">
        <v>426.11397921205401</v>
      </c>
      <c r="O816" t="s">
        <v>26</v>
      </c>
      <c r="P816">
        <f t="shared" si="24"/>
        <v>933</v>
      </c>
      <c r="Q816">
        <f t="shared" si="25"/>
        <v>-426.11397921205503</v>
      </c>
    </row>
    <row r="817" spans="1:17" x14ac:dyDescent="0.4">
      <c r="A817" t="s">
        <v>1651</v>
      </c>
      <c r="B817" s="1">
        <v>45619.625</v>
      </c>
      <c r="C817" t="s">
        <v>16</v>
      </c>
      <c r="D817" t="s">
        <v>1652</v>
      </c>
      <c r="E817" t="s">
        <v>37</v>
      </c>
      <c r="F817" t="s">
        <v>38</v>
      </c>
      <c r="G817">
        <v>299</v>
      </c>
      <c r="H817">
        <v>0</v>
      </c>
      <c r="I817">
        <v>299</v>
      </c>
      <c r="J817">
        <v>2</v>
      </c>
      <c r="K817">
        <v>164.60529187426599</v>
      </c>
      <c r="L817">
        <v>598</v>
      </c>
      <c r="M817">
        <v>329.210583748533</v>
      </c>
      <c r="N817">
        <v>268.78941625146598</v>
      </c>
      <c r="O817" t="s">
        <v>32</v>
      </c>
      <c r="P817">
        <f t="shared" si="24"/>
        <v>598</v>
      </c>
      <c r="Q817">
        <f t="shared" si="25"/>
        <v>-268.789416251467</v>
      </c>
    </row>
    <row r="818" spans="1:17" x14ac:dyDescent="0.4">
      <c r="A818" t="s">
        <v>1653</v>
      </c>
      <c r="B818" s="1">
        <v>45426.5</v>
      </c>
      <c r="C818" t="s">
        <v>28</v>
      </c>
      <c r="D818" t="s">
        <v>1223</v>
      </c>
      <c r="E818" t="s">
        <v>69</v>
      </c>
      <c r="F818" t="s">
        <v>70</v>
      </c>
      <c r="G818">
        <v>214</v>
      </c>
      <c r="H818">
        <v>0</v>
      </c>
      <c r="I818">
        <v>214</v>
      </c>
      <c r="J818">
        <v>3</v>
      </c>
      <c r="K818">
        <v>131.353420255412</v>
      </c>
      <c r="L818">
        <v>642</v>
      </c>
      <c r="M818">
        <v>394.06026076623601</v>
      </c>
      <c r="N818">
        <v>247.93973923376299</v>
      </c>
      <c r="O818" t="s">
        <v>26</v>
      </c>
      <c r="P818">
        <f t="shared" si="24"/>
        <v>642</v>
      </c>
      <c r="Q818">
        <f t="shared" si="25"/>
        <v>-247.93973923376399</v>
      </c>
    </row>
    <row r="819" spans="1:17" x14ac:dyDescent="0.4">
      <c r="A819" t="s">
        <v>1654</v>
      </c>
      <c r="B819" s="1">
        <v>45891.25</v>
      </c>
      <c r="C819" t="s">
        <v>43</v>
      </c>
      <c r="D819" t="s">
        <v>1655</v>
      </c>
      <c r="E819" t="s">
        <v>41</v>
      </c>
      <c r="F819" t="s">
        <v>31</v>
      </c>
      <c r="G819">
        <v>83</v>
      </c>
      <c r="H819">
        <v>0.05</v>
      </c>
      <c r="I819">
        <v>78.849999999999994</v>
      </c>
      <c r="J819">
        <v>6</v>
      </c>
      <c r="K819">
        <v>34.770083574509499</v>
      </c>
      <c r="L819">
        <v>473.099999999999</v>
      </c>
      <c r="M819">
        <v>208.62050144705699</v>
      </c>
      <c r="N819">
        <v>264.479498552942</v>
      </c>
      <c r="O819" t="s">
        <v>26</v>
      </c>
      <c r="P819">
        <f t="shared" si="24"/>
        <v>498</v>
      </c>
      <c r="Q819">
        <f t="shared" si="25"/>
        <v>-264.479498552942</v>
      </c>
    </row>
    <row r="820" spans="1:17" x14ac:dyDescent="0.4">
      <c r="A820" t="s">
        <v>1656</v>
      </c>
      <c r="B820" s="1">
        <v>45412.458333333336</v>
      </c>
      <c r="C820" t="s">
        <v>22</v>
      </c>
      <c r="D820" t="s">
        <v>1657</v>
      </c>
      <c r="E820" t="s">
        <v>115</v>
      </c>
      <c r="F820" t="s">
        <v>38</v>
      </c>
      <c r="G820">
        <v>284</v>
      </c>
      <c r="H820">
        <v>0.2</v>
      </c>
      <c r="I820">
        <v>227.2</v>
      </c>
      <c r="J820">
        <v>7</v>
      </c>
      <c r="K820">
        <v>152.771914661897</v>
      </c>
      <c r="L820">
        <v>1590.4</v>
      </c>
      <c r="M820">
        <v>1069.4034026332799</v>
      </c>
      <c r="N820">
        <v>520.99659736671902</v>
      </c>
      <c r="O820" t="s">
        <v>26</v>
      </c>
      <c r="P820">
        <f t="shared" si="24"/>
        <v>1988</v>
      </c>
      <c r="Q820">
        <f t="shared" si="25"/>
        <v>-520.99659736672015</v>
      </c>
    </row>
    <row r="821" spans="1:17" x14ac:dyDescent="0.4">
      <c r="A821" t="s">
        <v>1658</v>
      </c>
      <c r="B821" s="1">
        <v>45448.5</v>
      </c>
      <c r="C821" t="s">
        <v>16</v>
      </c>
      <c r="D821" t="s">
        <v>1659</v>
      </c>
      <c r="E821" t="s">
        <v>48</v>
      </c>
      <c r="F821" t="s">
        <v>19</v>
      </c>
      <c r="G821">
        <v>326</v>
      </c>
      <c r="H821">
        <v>0</v>
      </c>
      <c r="I821">
        <v>326</v>
      </c>
      <c r="J821">
        <v>5</v>
      </c>
      <c r="K821">
        <v>186.379009009984</v>
      </c>
      <c r="L821">
        <v>1630</v>
      </c>
      <c r="M821">
        <v>931.89504504992203</v>
      </c>
      <c r="N821">
        <v>698.10495495007694</v>
      </c>
      <c r="O821" t="s">
        <v>20</v>
      </c>
      <c r="P821">
        <f t="shared" si="24"/>
        <v>1630</v>
      </c>
      <c r="Q821">
        <f t="shared" si="25"/>
        <v>-698.10495495007797</v>
      </c>
    </row>
    <row r="822" spans="1:17" x14ac:dyDescent="0.4">
      <c r="A822" t="s">
        <v>1660</v>
      </c>
      <c r="B822" s="1">
        <v>45949.083333333336</v>
      </c>
      <c r="C822" t="s">
        <v>43</v>
      </c>
      <c r="D822" t="s">
        <v>1661</v>
      </c>
      <c r="E822" t="s">
        <v>115</v>
      </c>
      <c r="F822" t="s">
        <v>38</v>
      </c>
      <c r="G822">
        <v>100</v>
      </c>
      <c r="H822">
        <v>0.25</v>
      </c>
      <c r="I822">
        <v>75</v>
      </c>
      <c r="J822">
        <v>2</v>
      </c>
      <c r="K822">
        <v>51.359393840582399</v>
      </c>
      <c r="L822">
        <v>150</v>
      </c>
      <c r="M822">
        <v>102.718787681164</v>
      </c>
      <c r="N822">
        <v>47.281212318835102</v>
      </c>
      <c r="O822" t="s">
        <v>20</v>
      </c>
      <c r="P822">
        <f t="shared" si="24"/>
        <v>200</v>
      </c>
      <c r="Q822">
        <f t="shared" si="25"/>
        <v>-47.281212318835998</v>
      </c>
    </row>
    <row r="823" spans="1:17" x14ac:dyDescent="0.4">
      <c r="A823" t="s">
        <v>1662</v>
      </c>
      <c r="B823" s="1">
        <v>45978.583333333336</v>
      </c>
      <c r="C823" t="s">
        <v>43</v>
      </c>
      <c r="D823" t="s">
        <v>1663</v>
      </c>
      <c r="E823" t="s">
        <v>110</v>
      </c>
      <c r="F823" t="s">
        <v>19</v>
      </c>
      <c r="G823">
        <v>167</v>
      </c>
      <c r="H823">
        <v>0.05</v>
      </c>
      <c r="I823">
        <v>158.65</v>
      </c>
      <c r="J823">
        <v>7</v>
      </c>
      <c r="K823">
        <v>89.874617265304806</v>
      </c>
      <c r="L823">
        <v>1110.55</v>
      </c>
      <c r="M823">
        <v>629.12232085713401</v>
      </c>
      <c r="N823">
        <v>481.42767914286497</v>
      </c>
      <c r="O823" t="s">
        <v>32</v>
      </c>
      <c r="P823">
        <f t="shared" si="24"/>
        <v>1169</v>
      </c>
      <c r="Q823">
        <f t="shared" si="25"/>
        <v>-481.42767914286594</v>
      </c>
    </row>
    <row r="824" spans="1:17" x14ac:dyDescent="0.4">
      <c r="A824" t="s">
        <v>1664</v>
      </c>
      <c r="B824" s="1">
        <v>45403.416666666664</v>
      </c>
      <c r="C824" t="s">
        <v>22</v>
      </c>
      <c r="D824" t="s">
        <v>1665</v>
      </c>
      <c r="E824" t="s">
        <v>115</v>
      </c>
      <c r="F824" t="s">
        <v>38</v>
      </c>
      <c r="G824">
        <v>336</v>
      </c>
      <c r="H824">
        <v>0.15</v>
      </c>
      <c r="I824">
        <v>285.599999999999</v>
      </c>
      <c r="J824">
        <v>1</v>
      </c>
      <c r="K824">
        <v>163.18846506500199</v>
      </c>
      <c r="L824">
        <v>285.599999999999</v>
      </c>
      <c r="M824">
        <v>163.18846506500199</v>
      </c>
      <c r="N824">
        <v>122.41153493499699</v>
      </c>
      <c r="O824" t="s">
        <v>32</v>
      </c>
      <c r="P824">
        <f t="shared" si="24"/>
        <v>336</v>
      </c>
      <c r="Q824">
        <f t="shared" si="25"/>
        <v>-122.41153493499701</v>
      </c>
    </row>
    <row r="825" spans="1:17" x14ac:dyDescent="0.4">
      <c r="A825" t="s">
        <v>1666</v>
      </c>
      <c r="B825" s="1">
        <v>45579.416666666664</v>
      </c>
      <c r="C825" t="s">
        <v>43</v>
      </c>
      <c r="D825" t="s">
        <v>1667</v>
      </c>
      <c r="E825" t="s">
        <v>41</v>
      </c>
      <c r="F825" t="s">
        <v>31</v>
      </c>
      <c r="G825">
        <v>130</v>
      </c>
      <c r="H825">
        <v>0.05</v>
      </c>
      <c r="I825">
        <v>123.5</v>
      </c>
      <c r="J825">
        <v>3</v>
      </c>
      <c r="K825">
        <v>90.827265641196902</v>
      </c>
      <c r="L825">
        <v>370.5</v>
      </c>
      <c r="M825">
        <v>272.48179692359003</v>
      </c>
      <c r="N825">
        <v>98.018203076409094</v>
      </c>
      <c r="O825" t="s">
        <v>20</v>
      </c>
      <c r="P825">
        <f t="shared" si="24"/>
        <v>390</v>
      </c>
      <c r="Q825">
        <f t="shared" si="25"/>
        <v>-98.018203076409975</v>
      </c>
    </row>
    <row r="826" spans="1:17" x14ac:dyDescent="0.4">
      <c r="A826" t="s">
        <v>1668</v>
      </c>
      <c r="B826" s="1">
        <v>45714.791666666664</v>
      </c>
      <c r="C826" t="s">
        <v>28</v>
      </c>
      <c r="D826" t="s">
        <v>283</v>
      </c>
      <c r="E826" t="s">
        <v>18</v>
      </c>
      <c r="F826" t="s">
        <v>19</v>
      </c>
      <c r="G826">
        <v>276</v>
      </c>
      <c r="H826">
        <v>0.05</v>
      </c>
      <c r="I826">
        <v>262.2</v>
      </c>
      <c r="J826">
        <v>4</v>
      </c>
      <c r="K826">
        <v>142.97371659731999</v>
      </c>
      <c r="L826">
        <v>1048.8</v>
      </c>
      <c r="M826">
        <v>571.89486638928304</v>
      </c>
      <c r="N826">
        <v>476.90513361071601</v>
      </c>
      <c r="O826" t="s">
        <v>32</v>
      </c>
      <c r="P826">
        <f t="shared" si="24"/>
        <v>1104</v>
      </c>
      <c r="Q826">
        <f t="shared" si="25"/>
        <v>-476.90513361071692</v>
      </c>
    </row>
    <row r="827" spans="1:17" x14ac:dyDescent="0.4">
      <c r="A827" t="s">
        <v>1669</v>
      </c>
      <c r="B827" s="1">
        <v>45325.041666666664</v>
      </c>
      <c r="C827" t="s">
        <v>65</v>
      </c>
      <c r="D827" t="s">
        <v>1670</v>
      </c>
      <c r="E827" t="s">
        <v>24</v>
      </c>
      <c r="F827" t="s">
        <v>25</v>
      </c>
      <c r="G827">
        <v>230</v>
      </c>
      <c r="H827">
        <v>0.1</v>
      </c>
      <c r="I827">
        <v>207</v>
      </c>
      <c r="J827">
        <v>6</v>
      </c>
      <c r="K827">
        <v>164.55136622762299</v>
      </c>
      <c r="L827">
        <v>1242</v>
      </c>
      <c r="M827">
        <v>987.30819736573903</v>
      </c>
      <c r="N827">
        <v>254.69180263426</v>
      </c>
      <c r="O827" t="s">
        <v>51</v>
      </c>
      <c r="P827">
        <f t="shared" si="24"/>
        <v>1380</v>
      </c>
      <c r="Q827">
        <f t="shared" si="25"/>
        <v>-254.69180263426097</v>
      </c>
    </row>
    <row r="828" spans="1:17" x14ac:dyDescent="0.4">
      <c r="A828" t="s">
        <v>1671</v>
      </c>
      <c r="B828" s="1">
        <v>45380.166666666664</v>
      </c>
      <c r="C828" t="s">
        <v>28</v>
      </c>
      <c r="D828" t="s">
        <v>1672</v>
      </c>
      <c r="E828" t="s">
        <v>110</v>
      </c>
      <c r="F828" t="s">
        <v>19</v>
      </c>
      <c r="G828">
        <v>236</v>
      </c>
      <c r="H828">
        <v>0.05</v>
      </c>
      <c r="I828">
        <v>224.2</v>
      </c>
      <c r="J828">
        <v>3</v>
      </c>
      <c r="K828">
        <v>99.625496692387699</v>
      </c>
      <c r="L828">
        <v>672.599999999999</v>
      </c>
      <c r="M828">
        <v>298.876490077163</v>
      </c>
      <c r="N828">
        <v>373.723509922836</v>
      </c>
      <c r="O828" t="s">
        <v>51</v>
      </c>
      <c r="P828">
        <f t="shared" si="24"/>
        <v>708</v>
      </c>
      <c r="Q828">
        <f t="shared" si="25"/>
        <v>-373.723509922836</v>
      </c>
    </row>
    <row r="829" spans="1:17" x14ac:dyDescent="0.4">
      <c r="A829" t="s">
        <v>1673</v>
      </c>
      <c r="B829" s="1">
        <v>45532.791666666664</v>
      </c>
      <c r="C829" t="s">
        <v>16</v>
      </c>
      <c r="D829" t="s">
        <v>1674</v>
      </c>
      <c r="E829" t="s">
        <v>69</v>
      </c>
      <c r="F829" t="s">
        <v>70</v>
      </c>
      <c r="G829">
        <v>250</v>
      </c>
      <c r="H829">
        <v>0</v>
      </c>
      <c r="I829">
        <v>250</v>
      </c>
      <c r="J829">
        <v>7</v>
      </c>
      <c r="K829">
        <v>151.31520733279399</v>
      </c>
      <c r="L829">
        <v>1750</v>
      </c>
      <c r="M829">
        <v>1059.20645132956</v>
      </c>
      <c r="N829">
        <v>690.79354867043605</v>
      </c>
      <c r="O829" t="s">
        <v>32</v>
      </c>
      <c r="P829">
        <f t="shared" si="24"/>
        <v>1750</v>
      </c>
      <c r="Q829">
        <f t="shared" si="25"/>
        <v>-690.79354867044003</v>
      </c>
    </row>
    <row r="830" spans="1:17" x14ac:dyDescent="0.4">
      <c r="A830" t="s">
        <v>1675</v>
      </c>
      <c r="B830" s="1">
        <v>45804.416666666664</v>
      </c>
      <c r="C830" t="s">
        <v>43</v>
      </c>
      <c r="D830" t="s">
        <v>1676</v>
      </c>
      <c r="E830" t="s">
        <v>94</v>
      </c>
      <c r="F830" t="s">
        <v>61</v>
      </c>
      <c r="G830">
        <v>237</v>
      </c>
      <c r="H830">
        <v>0.15</v>
      </c>
      <c r="I830">
        <v>201.45</v>
      </c>
      <c r="J830">
        <v>3</v>
      </c>
      <c r="K830">
        <v>169.04854741104401</v>
      </c>
      <c r="L830">
        <v>604.349999999999</v>
      </c>
      <c r="M830">
        <v>507.14564223313403</v>
      </c>
      <c r="N830">
        <v>97.204357766864902</v>
      </c>
      <c r="O830" t="s">
        <v>26</v>
      </c>
      <c r="P830">
        <f t="shared" si="24"/>
        <v>711</v>
      </c>
      <c r="Q830">
        <f t="shared" si="25"/>
        <v>-97.204357766864973</v>
      </c>
    </row>
    <row r="831" spans="1:17" x14ac:dyDescent="0.4">
      <c r="A831" t="s">
        <v>1677</v>
      </c>
      <c r="B831" s="1">
        <v>45881.708333333336</v>
      </c>
      <c r="C831" t="s">
        <v>65</v>
      </c>
      <c r="D831" t="s">
        <v>1678</v>
      </c>
      <c r="E831" t="s">
        <v>115</v>
      </c>
      <c r="F831" t="s">
        <v>38</v>
      </c>
      <c r="G831">
        <v>201</v>
      </c>
      <c r="H831">
        <v>0.1</v>
      </c>
      <c r="I831">
        <v>180.9</v>
      </c>
      <c r="J831">
        <v>5</v>
      </c>
      <c r="K831">
        <v>105.16436657900699</v>
      </c>
      <c r="L831">
        <v>904.5</v>
      </c>
      <c r="M831">
        <v>525.82183289503496</v>
      </c>
      <c r="N831">
        <v>378.67816710496402</v>
      </c>
      <c r="O831" t="s">
        <v>32</v>
      </c>
      <c r="P831">
        <f t="shared" si="24"/>
        <v>1005</v>
      </c>
      <c r="Q831">
        <f t="shared" si="25"/>
        <v>-378.67816710496504</v>
      </c>
    </row>
    <row r="832" spans="1:17" x14ac:dyDescent="0.4">
      <c r="A832" t="s">
        <v>1679</v>
      </c>
      <c r="B832" s="1">
        <v>45754.958333333336</v>
      </c>
      <c r="C832" t="s">
        <v>16</v>
      </c>
      <c r="D832" t="s">
        <v>1680</v>
      </c>
      <c r="E832" t="s">
        <v>24</v>
      </c>
      <c r="F832" t="s">
        <v>25</v>
      </c>
      <c r="G832">
        <v>276</v>
      </c>
      <c r="H832">
        <v>0</v>
      </c>
      <c r="I832">
        <v>276</v>
      </c>
      <c r="J832">
        <v>3</v>
      </c>
      <c r="K832">
        <v>153.60084736067901</v>
      </c>
      <c r="L832">
        <v>828</v>
      </c>
      <c r="M832">
        <v>460.80254208203797</v>
      </c>
      <c r="N832">
        <v>367.197457917961</v>
      </c>
      <c r="O832" t="s">
        <v>20</v>
      </c>
      <c r="P832">
        <f t="shared" si="24"/>
        <v>828</v>
      </c>
      <c r="Q832">
        <f t="shared" si="25"/>
        <v>-367.19745791796203</v>
      </c>
    </row>
    <row r="833" spans="1:17" x14ac:dyDescent="0.4">
      <c r="A833" t="s">
        <v>1681</v>
      </c>
      <c r="B833" s="1">
        <v>45741.541666666664</v>
      </c>
      <c r="C833" t="s">
        <v>22</v>
      </c>
      <c r="D833" t="s">
        <v>1682</v>
      </c>
      <c r="E833" t="s">
        <v>73</v>
      </c>
      <c r="F833" t="s">
        <v>38</v>
      </c>
      <c r="G833">
        <v>343</v>
      </c>
      <c r="H833">
        <v>0.2</v>
      </c>
      <c r="I833">
        <v>274.39999999999998</v>
      </c>
      <c r="J833">
        <v>1</v>
      </c>
      <c r="K833">
        <v>219.65832257287499</v>
      </c>
      <c r="L833">
        <v>274.39999999999998</v>
      </c>
      <c r="M833">
        <v>219.65832257287499</v>
      </c>
      <c r="N833">
        <v>54.741677427124003</v>
      </c>
      <c r="O833" t="s">
        <v>26</v>
      </c>
      <c r="P833">
        <f t="shared" si="24"/>
        <v>343</v>
      </c>
      <c r="Q833">
        <f t="shared" si="25"/>
        <v>-54.741677427124984</v>
      </c>
    </row>
    <row r="834" spans="1:17" x14ac:dyDescent="0.4">
      <c r="A834" t="s">
        <v>1683</v>
      </c>
      <c r="B834" s="1">
        <v>45766.875</v>
      </c>
      <c r="C834" t="s">
        <v>65</v>
      </c>
      <c r="D834" t="s">
        <v>1684</v>
      </c>
      <c r="E834" t="s">
        <v>146</v>
      </c>
      <c r="F834" t="s">
        <v>70</v>
      </c>
      <c r="G834">
        <v>273</v>
      </c>
      <c r="H834">
        <v>0.05</v>
      </c>
      <c r="I834">
        <v>259.349999999999</v>
      </c>
      <c r="J834">
        <v>3</v>
      </c>
      <c r="K834">
        <v>152.70666204421099</v>
      </c>
      <c r="L834">
        <v>778.05</v>
      </c>
      <c r="M834">
        <v>458.11998613263501</v>
      </c>
      <c r="N834">
        <v>319.93001386736398</v>
      </c>
      <c r="O834" t="s">
        <v>32</v>
      </c>
      <c r="P834">
        <f t="shared" si="24"/>
        <v>819</v>
      </c>
      <c r="Q834">
        <f t="shared" si="25"/>
        <v>-319.93001386736495</v>
      </c>
    </row>
    <row r="835" spans="1:17" x14ac:dyDescent="0.4">
      <c r="A835" t="s">
        <v>1685</v>
      </c>
      <c r="B835" s="1">
        <v>45833.625</v>
      </c>
      <c r="C835" t="s">
        <v>16</v>
      </c>
      <c r="D835" t="s">
        <v>1686</v>
      </c>
      <c r="E835" t="s">
        <v>85</v>
      </c>
      <c r="F835" t="s">
        <v>70</v>
      </c>
      <c r="G835">
        <v>218</v>
      </c>
      <c r="H835">
        <v>0</v>
      </c>
      <c r="I835">
        <v>218</v>
      </c>
      <c r="J835">
        <v>2</v>
      </c>
      <c r="K835">
        <v>94.978979532975103</v>
      </c>
      <c r="L835">
        <v>436</v>
      </c>
      <c r="M835">
        <v>189.95795906595001</v>
      </c>
      <c r="N835">
        <v>246.042040934049</v>
      </c>
      <c r="O835" t="s">
        <v>51</v>
      </c>
      <c r="P835">
        <f t="shared" ref="P835:P898" si="26">G835 * J835</f>
        <v>436</v>
      </c>
      <c r="Q835">
        <f t="shared" ref="Q835:Q898" si="27" xml:space="preserve"> M835 - L835</f>
        <v>-246.04204093404999</v>
      </c>
    </row>
    <row r="836" spans="1:17" x14ac:dyDescent="0.4">
      <c r="A836" t="s">
        <v>1687</v>
      </c>
      <c r="B836" s="1">
        <v>45325.916666666664</v>
      </c>
      <c r="C836" t="s">
        <v>16</v>
      </c>
      <c r="D836" t="s">
        <v>1688</v>
      </c>
      <c r="E836" t="s">
        <v>69</v>
      </c>
      <c r="F836" t="s">
        <v>70</v>
      </c>
      <c r="G836">
        <v>209</v>
      </c>
      <c r="H836">
        <v>0.2</v>
      </c>
      <c r="I836">
        <v>167.2</v>
      </c>
      <c r="J836">
        <v>4</v>
      </c>
      <c r="K836">
        <v>145.268152667761</v>
      </c>
      <c r="L836">
        <v>668.8</v>
      </c>
      <c r="M836">
        <v>581.07261067104503</v>
      </c>
      <c r="N836">
        <v>87.727389328954104</v>
      </c>
      <c r="O836" t="s">
        <v>26</v>
      </c>
      <c r="P836">
        <f t="shared" si="26"/>
        <v>836</v>
      </c>
      <c r="Q836">
        <f t="shared" si="27"/>
        <v>-87.727389328954928</v>
      </c>
    </row>
    <row r="837" spans="1:17" x14ac:dyDescent="0.4">
      <c r="A837" t="s">
        <v>1689</v>
      </c>
      <c r="B837" s="1">
        <v>45989.041666666664</v>
      </c>
      <c r="C837" t="s">
        <v>46</v>
      </c>
      <c r="D837" t="s">
        <v>1690</v>
      </c>
      <c r="E837" t="s">
        <v>18</v>
      </c>
      <c r="F837" t="s">
        <v>19</v>
      </c>
      <c r="G837">
        <v>110</v>
      </c>
      <c r="H837">
        <v>0.05</v>
      </c>
      <c r="I837">
        <v>104.5</v>
      </c>
      <c r="J837">
        <v>4</v>
      </c>
      <c r="K837">
        <v>78.422517716426995</v>
      </c>
      <c r="L837">
        <v>418</v>
      </c>
      <c r="M837">
        <v>313.69007086570798</v>
      </c>
      <c r="N837">
        <v>104.309929134291</v>
      </c>
      <c r="O837" t="s">
        <v>51</v>
      </c>
      <c r="P837">
        <f t="shared" si="26"/>
        <v>440</v>
      </c>
      <c r="Q837">
        <f t="shared" si="27"/>
        <v>-104.30992913429202</v>
      </c>
    </row>
    <row r="838" spans="1:17" x14ac:dyDescent="0.4">
      <c r="A838" t="s">
        <v>1691</v>
      </c>
      <c r="B838" s="1">
        <v>45731.208333333336</v>
      </c>
      <c r="C838" t="s">
        <v>22</v>
      </c>
      <c r="D838" t="s">
        <v>1692</v>
      </c>
      <c r="E838" t="s">
        <v>41</v>
      </c>
      <c r="F838" t="s">
        <v>31</v>
      </c>
      <c r="G838">
        <v>108</v>
      </c>
      <c r="H838">
        <v>0.1</v>
      </c>
      <c r="I838">
        <v>97.2</v>
      </c>
      <c r="J838">
        <v>3</v>
      </c>
      <c r="K838">
        <v>58.549904610759299</v>
      </c>
      <c r="L838">
        <v>291.60000000000002</v>
      </c>
      <c r="M838">
        <v>175.649713832278</v>
      </c>
      <c r="N838">
        <v>115.950286167721</v>
      </c>
      <c r="O838" t="s">
        <v>32</v>
      </c>
      <c r="P838">
        <f t="shared" si="26"/>
        <v>324</v>
      </c>
      <c r="Q838">
        <f t="shared" si="27"/>
        <v>-115.95028616772203</v>
      </c>
    </row>
    <row r="839" spans="1:17" x14ac:dyDescent="0.4">
      <c r="A839" t="s">
        <v>1693</v>
      </c>
      <c r="B839" s="1">
        <v>45393.791666666664</v>
      </c>
      <c r="C839" t="s">
        <v>22</v>
      </c>
      <c r="D839" t="s">
        <v>1694</v>
      </c>
      <c r="E839" t="s">
        <v>69</v>
      </c>
      <c r="F839" t="s">
        <v>70</v>
      </c>
      <c r="G839">
        <v>322</v>
      </c>
      <c r="H839">
        <v>0</v>
      </c>
      <c r="I839">
        <v>322</v>
      </c>
      <c r="J839">
        <v>5</v>
      </c>
      <c r="K839">
        <v>227.34652025794301</v>
      </c>
      <c r="L839">
        <v>1610</v>
      </c>
      <c r="M839">
        <v>1136.7326012897099</v>
      </c>
      <c r="N839">
        <v>473.267398710284</v>
      </c>
      <c r="O839" t="s">
        <v>20</v>
      </c>
      <c r="P839">
        <f t="shared" si="26"/>
        <v>1610</v>
      </c>
      <c r="Q839">
        <f t="shared" si="27"/>
        <v>-473.26739871029008</v>
      </c>
    </row>
    <row r="840" spans="1:17" x14ac:dyDescent="0.4">
      <c r="A840" t="s">
        <v>1695</v>
      </c>
      <c r="B840" s="1">
        <v>45727.708333333336</v>
      </c>
      <c r="C840" t="s">
        <v>46</v>
      </c>
      <c r="D840" t="s">
        <v>1696</v>
      </c>
      <c r="E840" t="s">
        <v>69</v>
      </c>
      <c r="F840" t="s">
        <v>70</v>
      </c>
      <c r="G840">
        <v>89</v>
      </c>
      <c r="H840">
        <v>0.1</v>
      </c>
      <c r="I840">
        <v>80.099999999999994</v>
      </c>
      <c r="J840">
        <v>7</v>
      </c>
      <c r="K840">
        <v>66.118724528205703</v>
      </c>
      <c r="L840">
        <v>560.70000000000005</v>
      </c>
      <c r="M840">
        <v>462.83107169744</v>
      </c>
      <c r="N840">
        <v>97.868928302559894</v>
      </c>
      <c r="O840" t="s">
        <v>51</v>
      </c>
      <c r="P840">
        <f t="shared" si="26"/>
        <v>623</v>
      </c>
      <c r="Q840">
        <f t="shared" si="27"/>
        <v>-97.86892830256005</v>
      </c>
    </row>
    <row r="841" spans="1:17" x14ac:dyDescent="0.4">
      <c r="A841" t="s">
        <v>1697</v>
      </c>
      <c r="B841" s="1">
        <v>45724.5</v>
      </c>
      <c r="C841" t="s">
        <v>16</v>
      </c>
      <c r="D841" t="s">
        <v>1698</v>
      </c>
      <c r="E841" t="s">
        <v>73</v>
      </c>
      <c r="F841" t="s">
        <v>38</v>
      </c>
      <c r="G841">
        <v>141</v>
      </c>
      <c r="H841">
        <v>0.2</v>
      </c>
      <c r="I841">
        <v>112.8</v>
      </c>
      <c r="J841">
        <v>7</v>
      </c>
      <c r="K841">
        <v>57.938481764673298</v>
      </c>
      <c r="L841">
        <v>789.6</v>
      </c>
      <c r="M841">
        <v>405.569372352713</v>
      </c>
      <c r="N841">
        <v>384.030627647286</v>
      </c>
      <c r="O841" t="s">
        <v>32</v>
      </c>
      <c r="P841">
        <f t="shared" si="26"/>
        <v>987</v>
      </c>
      <c r="Q841">
        <f t="shared" si="27"/>
        <v>-384.03062764728702</v>
      </c>
    </row>
    <row r="842" spans="1:17" x14ac:dyDescent="0.4">
      <c r="A842" t="s">
        <v>1699</v>
      </c>
      <c r="B842" s="1">
        <v>45616.291666666664</v>
      </c>
      <c r="C842" t="s">
        <v>16</v>
      </c>
      <c r="D842" t="s">
        <v>1700</v>
      </c>
      <c r="E842" t="s">
        <v>73</v>
      </c>
      <c r="F842" t="s">
        <v>38</v>
      </c>
      <c r="G842">
        <v>136</v>
      </c>
      <c r="H842">
        <v>0</v>
      </c>
      <c r="I842">
        <v>136</v>
      </c>
      <c r="J842">
        <v>4</v>
      </c>
      <c r="K842">
        <v>85.458273072133096</v>
      </c>
      <c r="L842">
        <v>544</v>
      </c>
      <c r="M842">
        <v>341.83309228853199</v>
      </c>
      <c r="N842">
        <v>202.16690771146699</v>
      </c>
      <c r="O842" t="s">
        <v>32</v>
      </c>
      <c r="P842">
        <f t="shared" si="26"/>
        <v>544</v>
      </c>
      <c r="Q842">
        <f t="shared" si="27"/>
        <v>-202.16690771146801</v>
      </c>
    </row>
    <row r="843" spans="1:17" x14ac:dyDescent="0.4">
      <c r="A843" t="s">
        <v>1701</v>
      </c>
      <c r="B843" s="1">
        <v>45770.041666666664</v>
      </c>
      <c r="C843" t="s">
        <v>16</v>
      </c>
      <c r="D843" t="s">
        <v>1702</v>
      </c>
      <c r="E843" t="s">
        <v>146</v>
      </c>
      <c r="F843" t="s">
        <v>70</v>
      </c>
      <c r="G843">
        <v>165</v>
      </c>
      <c r="H843">
        <v>0.1</v>
      </c>
      <c r="I843">
        <v>148.5</v>
      </c>
      <c r="J843">
        <v>7</v>
      </c>
      <c r="K843">
        <v>73.081769886229793</v>
      </c>
      <c r="L843">
        <v>1039.5</v>
      </c>
      <c r="M843">
        <v>511.57238920360902</v>
      </c>
      <c r="N843">
        <v>527.92761079639001</v>
      </c>
      <c r="O843" t="s">
        <v>32</v>
      </c>
      <c r="P843">
        <f t="shared" si="26"/>
        <v>1155</v>
      </c>
      <c r="Q843">
        <f t="shared" si="27"/>
        <v>-527.92761079639104</v>
      </c>
    </row>
    <row r="844" spans="1:17" x14ac:dyDescent="0.4">
      <c r="A844" t="s">
        <v>1703</v>
      </c>
      <c r="B844" s="1">
        <v>46015.666666666664</v>
      </c>
      <c r="C844" t="s">
        <v>65</v>
      </c>
      <c r="D844" t="s">
        <v>1704</v>
      </c>
      <c r="E844" t="s">
        <v>97</v>
      </c>
      <c r="F844" t="s">
        <v>61</v>
      </c>
      <c r="G844">
        <v>184</v>
      </c>
      <c r="H844">
        <v>0</v>
      </c>
      <c r="I844">
        <v>184</v>
      </c>
      <c r="J844">
        <v>7</v>
      </c>
      <c r="K844">
        <v>95.068888774706593</v>
      </c>
      <c r="L844">
        <v>1288</v>
      </c>
      <c r="M844">
        <v>665.48222142294605</v>
      </c>
      <c r="N844">
        <v>622.51777857705304</v>
      </c>
      <c r="O844" t="s">
        <v>26</v>
      </c>
      <c r="P844">
        <f t="shared" si="26"/>
        <v>1288</v>
      </c>
      <c r="Q844">
        <f t="shared" si="27"/>
        <v>-622.51777857705395</v>
      </c>
    </row>
    <row r="845" spans="1:17" x14ac:dyDescent="0.4">
      <c r="A845" t="s">
        <v>1705</v>
      </c>
      <c r="B845" s="1">
        <v>45930.666666666664</v>
      </c>
      <c r="C845" t="s">
        <v>46</v>
      </c>
      <c r="D845" t="s">
        <v>1706</v>
      </c>
      <c r="E845" t="s">
        <v>69</v>
      </c>
      <c r="F845" t="s">
        <v>70</v>
      </c>
      <c r="G845">
        <v>145</v>
      </c>
      <c r="H845">
        <v>0.15</v>
      </c>
      <c r="I845">
        <v>123.25</v>
      </c>
      <c r="J845">
        <v>7</v>
      </c>
      <c r="K845">
        <v>72.336810376013901</v>
      </c>
      <c r="L845">
        <v>862.75</v>
      </c>
      <c r="M845">
        <v>506.35767263209698</v>
      </c>
      <c r="N845">
        <v>356.392327367902</v>
      </c>
      <c r="O845" t="s">
        <v>20</v>
      </c>
      <c r="P845">
        <f t="shared" si="26"/>
        <v>1015</v>
      </c>
      <c r="Q845">
        <f t="shared" si="27"/>
        <v>-356.39232736790302</v>
      </c>
    </row>
    <row r="846" spans="1:17" x14ac:dyDescent="0.4">
      <c r="A846" t="s">
        <v>1707</v>
      </c>
      <c r="B846" s="1">
        <v>45326.458333333336</v>
      </c>
      <c r="C846" t="s">
        <v>16</v>
      </c>
      <c r="D846" t="s">
        <v>1708</v>
      </c>
      <c r="E846" t="s">
        <v>115</v>
      </c>
      <c r="F846" t="s">
        <v>38</v>
      </c>
      <c r="G846">
        <v>96</v>
      </c>
      <c r="H846">
        <v>0.2</v>
      </c>
      <c r="I846">
        <v>76.8</v>
      </c>
      <c r="J846">
        <v>2</v>
      </c>
      <c r="K846">
        <v>41.945258519080298</v>
      </c>
      <c r="L846">
        <v>153.6</v>
      </c>
      <c r="M846">
        <v>83.890517038160695</v>
      </c>
      <c r="N846">
        <v>69.709482961839299</v>
      </c>
      <c r="O846" t="s">
        <v>26</v>
      </c>
      <c r="P846">
        <f t="shared" si="26"/>
        <v>192</v>
      </c>
      <c r="Q846">
        <f t="shared" si="27"/>
        <v>-69.709482961839299</v>
      </c>
    </row>
    <row r="847" spans="1:17" x14ac:dyDescent="0.4">
      <c r="A847" t="s">
        <v>1709</v>
      </c>
      <c r="B847" s="1">
        <v>45589.791666666664</v>
      </c>
      <c r="C847" t="s">
        <v>16</v>
      </c>
      <c r="D847" t="s">
        <v>1710</v>
      </c>
      <c r="E847" t="s">
        <v>110</v>
      </c>
      <c r="F847" t="s">
        <v>19</v>
      </c>
      <c r="G847">
        <v>153</v>
      </c>
      <c r="H847">
        <v>0</v>
      </c>
      <c r="I847">
        <v>153</v>
      </c>
      <c r="J847">
        <v>6</v>
      </c>
      <c r="K847">
        <v>107.39625497574301</v>
      </c>
      <c r="L847">
        <v>918</v>
      </c>
      <c r="M847">
        <v>644.37752985446105</v>
      </c>
      <c r="N847">
        <v>273.62247014553799</v>
      </c>
      <c r="O847" t="s">
        <v>26</v>
      </c>
      <c r="P847">
        <f t="shared" si="26"/>
        <v>918</v>
      </c>
      <c r="Q847">
        <f t="shared" si="27"/>
        <v>-273.62247014553895</v>
      </c>
    </row>
    <row r="848" spans="1:17" x14ac:dyDescent="0.4">
      <c r="A848" t="s">
        <v>1711</v>
      </c>
      <c r="B848" s="1">
        <v>45477.458333333336</v>
      </c>
      <c r="C848" t="s">
        <v>65</v>
      </c>
      <c r="D848" t="s">
        <v>145</v>
      </c>
      <c r="E848" t="s">
        <v>146</v>
      </c>
      <c r="F848" t="s">
        <v>70</v>
      </c>
      <c r="G848">
        <v>338</v>
      </c>
      <c r="H848">
        <v>0</v>
      </c>
      <c r="I848">
        <v>338</v>
      </c>
      <c r="J848">
        <v>5</v>
      </c>
      <c r="K848">
        <v>223.71604866118199</v>
      </c>
      <c r="L848">
        <v>1690</v>
      </c>
      <c r="M848">
        <v>1118.58024330591</v>
      </c>
      <c r="N848">
        <v>571.41975669408896</v>
      </c>
      <c r="O848" t="s">
        <v>51</v>
      </c>
      <c r="P848">
        <f t="shared" si="26"/>
        <v>1690</v>
      </c>
      <c r="Q848">
        <f t="shared" si="27"/>
        <v>-571.41975669408998</v>
      </c>
    </row>
    <row r="849" spans="1:17" x14ac:dyDescent="0.4">
      <c r="A849" t="s">
        <v>1712</v>
      </c>
      <c r="B849" s="1">
        <v>45931.291666666664</v>
      </c>
      <c r="C849" t="s">
        <v>16</v>
      </c>
      <c r="D849" t="s">
        <v>1713</v>
      </c>
      <c r="E849" t="s">
        <v>115</v>
      </c>
      <c r="F849" t="s">
        <v>38</v>
      </c>
      <c r="G849">
        <v>235</v>
      </c>
      <c r="H849">
        <v>0.15</v>
      </c>
      <c r="I849">
        <v>199.75</v>
      </c>
      <c r="J849">
        <v>3</v>
      </c>
      <c r="K849">
        <v>129.195983267945</v>
      </c>
      <c r="L849">
        <v>599.25</v>
      </c>
      <c r="M849">
        <v>387.58794980383601</v>
      </c>
      <c r="N849">
        <v>211.66205019616299</v>
      </c>
      <c r="O849" t="s">
        <v>26</v>
      </c>
      <c r="P849">
        <f t="shared" si="26"/>
        <v>705</v>
      </c>
      <c r="Q849">
        <f t="shared" si="27"/>
        <v>-211.66205019616399</v>
      </c>
    </row>
    <row r="850" spans="1:17" x14ac:dyDescent="0.4">
      <c r="A850" t="s">
        <v>1714</v>
      </c>
      <c r="B850" s="1">
        <v>45860.125</v>
      </c>
      <c r="C850" t="s">
        <v>28</v>
      </c>
      <c r="D850" t="s">
        <v>1715</v>
      </c>
      <c r="E850" t="s">
        <v>85</v>
      </c>
      <c r="F850" t="s">
        <v>70</v>
      </c>
      <c r="G850">
        <v>95</v>
      </c>
      <c r="H850">
        <v>0.2</v>
      </c>
      <c r="I850">
        <v>76</v>
      </c>
      <c r="J850">
        <v>2</v>
      </c>
      <c r="K850">
        <v>60.0568068143033</v>
      </c>
      <c r="L850">
        <v>152</v>
      </c>
      <c r="M850">
        <v>120.113613628606</v>
      </c>
      <c r="N850">
        <v>31.886386371393201</v>
      </c>
      <c r="O850" t="s">
        <v>32</v>
      </c>
      <c r="P850">
        <f t="shared" si="26"/>
        <v>190</v>
      </c>
      <c r="Q850">
        <f t="shared" si="27"/>
        <v>-31.886386371393996</v>
      </c>
    </row>
    <row r="851" spans="1:17" x14ac:dyDescent="0.4">
      <c r="A851" t="s">
        <v>1716</v>
      </c>
      <c r="B851" s="1">
        <v>45540.291666666664</v>
      </c>
      <c r="C851" t="s">
        <v>65</v>
      </c>
      <c r="D851" t="s">
        <v>1717</v>
      </c>
      <c r="E851" t="s">
        <v>48</v>
      </c>
      <c r="F851" t="s">
        <v>19</v>
      </c>
      <c r="G851">
        <v>191</v>
      </c>
      <c r="H851">
        <v>0.05</v>
      </c>
      <c r="I851">
        <v>181.45</v>
      </c>
      <c r="J851">
        <v>5</v>
      </c>
      <c r="K851">
        <v>121.80173541295601</v>
      </c>
      <c r="L851">
        <v>907.25</v>
      </c>
      <c r="M851">
        <v>609.008677064783</v>
      </c>
      <c r="N851">
        <v>298.24132293521598</v>
      </c>
      <c r="O851" t="s">
        <v>32</v>
      </c>
      <c r="P851">
        <f t="shared" si="26"/>
        <v>955</v>
      </c>
      <c r="Q851">
        <f t="shared" si="27"/>
        <v>-298.241322935217</v>
      </c>
    </row>
    <row r="852" spans="1:17" x14ac:dyDescent="0.4">
      <c r="A852" t="s">
        <v>1718</v>
      </c>
      <c r="B852" s="1">
        <v>45297.25</v>
      </c>
      <c r="C852" t="s">
        <v>28</v>
      </c>
      <c r="D852" t="s">
        <v>1719</v>
      </c>
      <c r="E852" t="s">
        <v>73</v>
      </c>
      <c r="F852" t="s">
        <v>38</v>
      </c>
      <c r="G852">
        <v>179</v>
      </c>
      <c r="H852">
        <v>0</v>
      </c>
      <c r="I852">
        <v>179</v>
      </c>
      <c r="J852">
        <v>1</v>
      </c>
      <c r="K852">
        <v>107.13061352690301</v>
      </c>
      <c r="L852">
        <v>179</v>
      </c>
      <c r="M852">
        <v>107.13061352690301</v>
      </c>
      <c r="N852">
        <v>71.869386473096796</v>
      </c>
      <c r="O852" t="s">
        <v>32</v>
      </c>
      <c r="P852">
        <f t="shared" si="26"/>
        <v>179</v>
      </c>
      <c r="Q852">
        <f t="shared" si="27"/>
        <v>-71.869386473096995</v>
      </c>
    </row>
    <row r="853" spans="1:17" x14ac:dyDescent="0.4">
      <c r="A853" t="s">
        <v>1720</v>
      </c>
      <c r="B853" s="1">
        <v>45658.458333333336</v>
      </c>
      <c r="C853" t="s">
        <v>28</v>
      </c>
      <c r="D853" t="s">
        <v>1721</v>
      </c>
      <c r="E853" t="s">
        <v>41</v>
      </c>
      <c r="F853" t="s">
        <v>31</v>
      </c>
      <c r="G853">
        <v>212</v>
      </c>
      <c r="H853">
        <v>0.05</v>
      </c>
      <c r="I853">
        <v>201.39999999999901</v>
      </c>
      <c r="J853">
        <v>5</v>
      </c>
      <c r="K853">
        <v>156.31527046016299</v>
      </c>
      <c r="L853">
        <v>1006.99999999999</v>
      </c>
      <c r="M853">
        <v>781.57635230081496</v>
      </c>
      <c r="N853">
        <v>225.42364769918399</v>
      </c>
      <c r="O853" t="s">
        <v>32</v>
      </c>
      <c r="P853">
        <f t="shared" si="26"/>
        <v>1060</v>
      </c>
      <c r="Q853">
        <f t="shared" si="27"/>
        <v>-225.42364769917504</v>
      </c>
    </row>
    <row r="854" spans="1:17" x14ac:dyDescent="0.4">
      <c r="A854" t="s">
        <v>1722</v>
      </c>
      <c r="B854" s="1">
        <v>45777.041666666664</v>
      </c>
      <c r="C854" t="s">
        <v>43</v>
      </c>
      <c r="D854" t="s">
        <v>1723</v>
      </c>
      <c r="E854" t="s">
        <v>37</v>
      </c>
      <c r="F854" t="s">
        <v>38</v>
      </c>
      <c r="G854">
        <v>213</v>
      </c>
      <c r="H854">
        <v>0.1</v>
      </c>
      <c r="I854">
        <v>191.7</v>
      </c>
      <c r="J854">
        <v>5</v>
      </c>
      <c r="K854">
        <v>86.855219708244206</v>
      </c>
      <c r="L854">
        <v>958.5</v>
      </c>
      <c r="M854">
        <v>434.27609854122102</v>
      </c>
      <c r="N854">
        <v>524.22390145877796</v>
      </c>
      <c r="O854" t="s">
        <v>20</v>
      </c>
      <c r="P854">
        <f t="shared" si="26"/>
        <v>1065</v>
      </c>
      <c r="Q854">
        <f t="shared" si="27"/>
        <v>-524.22390145877898</v>
      </c>
    </row>
    <row r="855" spans="1:17" x14ac:dyDescent="0.4">
      <c r="A855" t="s">
        <v>1724</v>
      </c>
      <c r="B855" s="1">
        <v>45591.833333333336</v>
      </c>
      <c r="C855" t="s">
        <v>46</v>
      </c>
      <c r="D855" t="s">
        <v>1725</v>
      </c>
      <c r="E855" t="s">
        <v>115</v>
      </c>
      <c r="F855" t="s">
        <v>38</v>
      </c>
      <c r="G855">
        <v>211</v>
      </c>
      <c r="H855">
        <v>0</v>
      </c>
      <c r="I855">
        <v>211</v>
      </c>
      <c r="J855">
        <v>3</v>
      </c>
      <c r="K855">
        <v>97.785331372482105</v>
      </c>
      <c r="L855">
        <v>633</v>
      </c>
      <c r="M855">
        <v>293.35599411744602</v>
      </c>
      <c r="N855">
        <v>339.64400588255302</v>
      </c>
      <c r="O855" t="s">
        <v>32</v>
      </c>
      <c r="P855">
        <f t="shared" si="26"/>
        <v>633</v>
      </c>
      <c r="Q855">
        <f t="shared" si="27"/>
        <v>-339.64400588255398</v>
      </c>
    </row>
    <row r="856" spans="1:17" x14ac:dyDescent="0.4">
      <c r="A856" t="s">
        <v>1726</v>
      </c>
      <c r="B856" s="1">
        <v>45773.625</v>
      </c>
      <c r="C856" t="s">
        <v>28</v>
      </c>
      <c r="D856" t="s">
        <v>1727</v>
      </c>
      <c r="E856" t="s">
        <v>94</v>
      </c>
      <c r="F856" t="s">
        <v>61</v>
      </c>
      <c r="G856">
        <v>305</v>
      </c>
      <c r="H856">
        <v>0.1</v>
      </c>
      <c r="I856">
        <v>274.5</v>
      </c>
      <c r="J856">
        <v>1</v>
      </c>
      <c r="K856">
        <v>173.34051666299899</v>
      </c>
      <c r="L856">
        <v>274.5</v>
      </c>
      <c r="M856">
        <v>173.34051666299899</v>
      </c>
      <c r="N856">
        <v>101.159483337</v>
      </c>
      <c r="O856" t="s">
        <v>32</v>
      </c>
      <c r="P856">
        <f t="shared" si="26"/>
        <v>305</v>
      </c>
      <c r="Q856">
        <f t="shared" si="27"/>
        <v>-101.15948333700101</v>
      </c>
    </row>
    <row r="857" spans="1:17" x14ac:dyDescent="0.4">
      <c r="A857" t="s">
        <v>1728</v>
      </c>
      <c r="B857" s="1">
        <v>45432.333333333336</v>
      </c>
      <c r="C857" t="s">
        <v>16</v>
      </c>
      <c r="D857" t="s">
        <v>1729</v>
      </c>
      <c r="E857" t="s">
        <v>37</v>
      </c>
      <c r="F857" t="s">
        <v>38</v>
      </c>
      <c r="G857">
        <v>147</v>
      </c>
      <c r="H857">
        <v>0.15</v>
      </c>
      <c r="I857">
        <v>124.95</v>
      </c>
      <c r="J857">
        <v>2</v>
      </c>
      <c r="K857">
        <v>83.824849265173498</v>
      </c>
      <c r="L857">
        <v>249.9</v>
      </c>
      <c r="M857">
        <v>167.649698530347</v>
      </c>
      <c r="N857">
        <v>82.250301469652797</v>
      </c>
      <c r="O857" t="s">
        <v>105</v>
      </c>
      <c r="P857">
        <f t="shared" si="26"/>
        <v>294</v>
      </c>
      <c r="Q857">
        <f t="shared" si="27"/>
        <v>-82.25030146965301</v>
      </c>
    </row>
    <row r="858" spans="1:17" x14ac:dyDescent="0.4">
      <c r="A858" t="s">
        <v>1730</v>
      </c>
      <c r="B858" s="1">
        <v>45450.208333333336</v>
      </c>
      <c r="C858" t="s">
        <v>22</v>
      </c>
      <c r="D858" t="s">
        <v>1731</v>
      </c>
      <c r="E858" t="s">
        <v>110</v>
      </c>
      <c r="F858" t="s">
        <v>19</v>
      </c>
      <c r="G858">
        <v>254</v>
      </c>
      <c r="H858">
        <v>0</v>
      </c>
      <c r="I858">
        <v>254</v>
      </c>
      <c r="J858">
        <v>1</v>
      </c>
      <c r="K858">
        <v>101.761089810976</v>
      </c>
      <c r="L858">
        <v>254</v>
      </c>
      <c r="M858">
        <v>101.761089810976</v>
      </c>
      <c r="N858">
        <v>152.23891018902299</v>
      </c>
      <c r="O858" t="s">
        <v>32</v>
      </c>
      <c r="P858">
        <f t="shared" si="26"/>
        <v>254</v>
      </c>
      <c r="Q858">
        <f t="shared" si="27"/>
        <v>-152.23891018902401</v>
      </c>
    </row>
    <row r="859" spans="1:17" x14ac:dyDescent="0.4">
      <c r="A859" t="s">
        <v>1732</v>
      </c>
      <c r="B859" s="1">
        <v>45921.75</v>
      </c>
      <c r="C859" t="s">
        <v>16</v>
      </c>
      <c r="D859" t="s">
        <v>1733</v>
      </c>
      <c r="E859" t="s">
        <v>110</v>
      </c>
      <c r="F859" t="s">
        <v>19</v>
      </c>
      <c r="G859">
        <v>96</v>
      </c>
      <c r="H859">
        <v>0</v>
      </c>
      <c r="I859">
        <v>96</v>
      </c>
      <c r="J859">
        <v>2</v>
      </c>
      <c r="K859">
        <v>49.498338301911097</v>
      </c>
      <c r="L859">
        <v>192</v>
      </c>
      <c r="M859">
        <v>98.996676603822195</v>
      </c>
      <c r="N859">
        <v>93.003323396177706</v>
      </c>
      <c r="O859" t="s">
        <v>32</v>
      </c>
      <c r="P859">
        <f t="shared" si="26"/>
        <v>192</v>
      </c>
      <c r="Q859">
        <f t="shared" si="27"/>
        <v>-93.003323396177805</v>
      </c>
    </row>
    <row r="860" spans="1:17" x14ac:dyDescent="0.4">
      <c r="A860" t="s">
        <v>1734</v>
      </c>
      <c r="B860" s="1">
        <v>45863.583333333336</v>
      </c>
      <c r="C860" t="s">
        <v>43</v>
      </c>
      <c r="D860" t="s">
        <v>1735</v>
      </c>
      <c r="E860" t="s">
        <v>60</v>
      </c>
      <c r="F860" t="s">
        <v>61</v>
      </c>
      <c r="G860">
        <v>297</v>
      </c>
      <c r="H860">
        <v>0.05</v>
      </c>
      <c r="I860">
        <v>282.14999999999998</v>
      </c>
      <c r="J860">
        <v>5</v>
      </c>
      <c r="K860">
        <v>148.90212215052199</v>
      </c>
      <c r="L860">
        <v>1410.75</v>
      </c>
      <c r="M860">
        <v>744.51061075260998</v>
      </c>
      <c r="N860">
        <v>666.239389247389</v>
      </c>
      <c r="O860" t="s">
        <v>32</v>
      </c>
      <c r="P860">
        <f t="shared" si="26"/>
        <v>1485</v>
      </c>
      <c r="Q860">
        <f t="shared" si="27"/>
        <v>-666.23938924739002</v>
      </c>
    </row>
    <row r="861" spans="1:17" x14ac:dyDescent="0.4">
      <c r="A861" t="s">
        <v>1736</v>
      </c>
      <c r="B861" s="1">
        <v>45366.666666666664</v>
      </c>
      <c r="C861" t="s">
        <v>28</v>
      </c>
      <c r="D861" t="s">
        <v>1737</v>
      </c>
      <c r="E861" t="s">
        <v>73</v>
      </c>
      <c r="F861" t="s">
        <v>38</v>
      </c>
      <c r="G861">
        <v>97</v>
      </c>
      <c r="H861">
        <v>0</v>
      </c>
      <c r="I861">
        <v>97</v>
      </c>
      <c r="J861">
        <v>2</v>
      </c>
      <c r="K861">
        <v>61.345316414734299</v>
      </c>
      <c r="L861">
        <v>194</v>
      </c>
      <c r="M861">
        <v>122.690632829468</v>
      </c>
      <c r="N861">
        <v>71.309367170531203</v>
      </c>
      <c r="O861" t="s">
        <v>51</v>
      </c>
      <c r="P861">
        <f t="shared" si="26"/>
        <v>194</v>
      </c>
      <c r="Q861">
        <f t="shared" si="27"/>
        <v>-71.309367170531999</v>
      </c>
    </row>
    <row r="862" spans="1:17" x14ac:dyDescent="0.4">
      <c r="A862" t="s">
        <v>1738</v>
      </c>
      <c r="B862" s="1">
        <v>45752.541666666664</v>
      </c>
      <c r="C862" t="s">
        <v>22</v>
      </c>
      <c r="D862" t="s">
        <v>1739</v>
      </c>
      <c r="E862" t="s">
        <v>37</v>
      </c>
      <c r="F862" t="s">
        <v>38</v>
      </c>
      <c r="G862">
        <v>345</v>
      </c>
      <c r="H862">
        <v>0.2</v>
      </c>
      <c r="I862">
        <v>276</v>
      </c>
      <c r="J862">
        <v>7</v>
      </c>
      <c r="K862">
        <v>229.861686487724</v>
      </c>
      <c r="L862">
        <v>1932</v>
      </c>
      <c r="M862">
        <v>1609.03180541406</v>
      </c>
      <c r="N862">
        <v>322.96819458593001</v>
      </c>
      <c r="O862" t="s">
        <v>26</v>
      </c>
      <c r="P862">
        <f t="shared" si="26"/>
        <v>2415</v>
      </c>
      <c r="Q862">
        <f t="shared" si="27"/>
        <v>-322.96819458593995</v>
      </c>
    </row>
    <row r="863" spans="1:17" x14ac:dyDescent="0.4">
      <c r="A863" t="s">
        <v>1740</v>
      </c>
      <c r="B863" s="1">
        <v>45436.833333333336</v>
      </c>
      <c r="C863" t="s">
        <v>46</v>
      </c>
      <c r="D863" t="s">
        <v>1741</v>
      </c>
      <c r="E863" t="s">
        <v>18</v>
      </c>
      <c r="F863" t="s">
        <v>19</v>
      </c>
      <c r="G863">
        <v>191</v>
      </c>
      <c r="H863">
        <v>0.15</v>
      </c>
      <c r="I863">
        <v>162.35</v>
      </c>
      <c r="J863">
        <v>7</v>
      </c>
      <c r="K863">
        <v>96.128027303319399</v>
      </c>
      <c r="L863">
        <v>1136.45</v>
      </c>
      <c r="M863">
        <v>672.89619112323601</v>
      </c>
      <c r="N863">
        <v>463.55380887676301</v>
      </c>
      <c r="O863" t="s">
        <v>51</v>
      </c>
      <c r="P863">
        <f t="shared" si="26"/>
        <v>1337</v>
      </c>
      <c r="Q863">
        <f t="shared" si="27"/>
        <v>-463.55380887676404</v>
      </c>
    </row>
    <row r="864" spans="1:17" x14ac:dyDescent="0.4">
      <c r="A864" t="s">
        <v>1742</v>
      </c>
      <c r="B864" s="1">
        <v>45434.375</v>
      </c>
      <c r="C864" t="s">
        <v>43</v>
      </c>
      <c r="D864" t="s">
        <v>1743</v>
      </c>
      <c r="E864" t="s">
        <v>104</v>
      </c>
      <c r="F864" t="s">
        <v>25</v>
      </c>
      <c r="G864">
        <v>342</v>
      </c>
      <c r="H864">
        <v>0</v>
      </c>
      <c r="I864">
        <v>342</v>
      </c>
      <c r="J864">
        <v>7</v>
      </c>
      <c r="K864">
        <v>178.68248699859299</v>
      </c>
      <c r="L864">
        <v>2394</v>
      </c>
      <c r="M864">
        <v>1250.77740899015</v>
      </c>
      <c r="N864">
        <v>1143.22259100984</v>
      </c>
      <c r="O864" t="s">
        <v>32</v>
      </c>
      <c r="P864">
        <f t="shared" si="26"/>
        <v>2394</v>
      </c>
      <c r="Q864">
        <f t="shared" si="27"/>
        <v>-1143.22259100985</v>
      </c>
    </row>
    <row r="865" spans="1:17" x14ac:dyDescent="0.4">
      <c r="A865" t="s">
        <v>1744</v>
      </c>
      <c r="B865" s="1">
        <v>45360.541666666664</v>
      </c>
      <c r="C865" t="s">
        <v>22</v>
      </c>
      <c r="D865" t="s">
        <v>1745</v>
      </c>
      <c r="E865" t="s">
        <v>24</v>
      </c>
      <c r="F865" t="s">
        <v>25</v>
      </c>
      <c r="G865">
        <v>259</v>
      </c>
      <c r="H865">
        <v>0</v>
      </c>
      <c r="I865">
        <v>259</v>
      </c>
      <c r="J865">
        <v>5</v>
      </c>
      <c r="K865">
        <v>151.35072942929901</v>
      </c>
      <c r="L865">
        <v>1295</v>
      </c>
      <c r="M865">
        <v>756.75364714649595</v>
      </c>
      <c r="N865">
        <v>538.24635285350303</v>
      </c>
      <c r="O865" t="s">
        <v>32</v>
      </c>
      <c r="P865">
        <f t="shared" si="26"/>
        <v>1295</v>
      </c>
      <c r="Q865">
        <f t="shared" si="27"/>
        <v>-538.24635285350405</v>
      </c>
    </row>
    <row r="866" spans="1:17" x14ac:dyDescent="0.4">
      <c r="A866" t="s">
        <v>1746</v>
      </c>
      <c r="B866" s="1">
        <v>45906.791666666664</v>
      </c>
      <c r="C866" t="s">
        <v>65</v>
      </c>
      <c r="D866" t="s">
        <v>1747</v>
      </c>
      <c r="E866" t="s">
        <v>94</v>
      </c>
      <c r="F866" t="s">
        <v>61</v>
      </c>
      <c r="G866">
        <v>148</v>
      </c>
      <c r="H866">
        <v>0</v>
      </c>
      <c r="I866">
        <v>148</v>
      </c>
      <c r="J866">
        <v>6</v>
      </c>
      <c r="K866">
        <v>67.107692923212596</v>
      </c>
      <c r="L866">
        <v>888</v>
      </c>
      <c r="M866">
        <v>402.64615753927501</v>
      </c>
      <c r="N866">
        <v>485.35384246072402</v>
      </c>
      <c r="O866" t="s">
        <v>26</v>
      </c>
      <c r="P866">
        <f t="shared" si="26"/>
        <v>888</v>
      </c>
      <c r="Q866">
        <f t="shared" si="27"/>
        <v>-485.35384246072499</v>
      </c>
    </row>
    <row r="867" spans="1:17" x14ac:dyDescent="0.4">
      <c r="A867" t="s">
        <v>1748</v>
      </c>
      <c r="B867" s="1">
        <v>45420</v>
      </c>
      <c r="C867" t="s">
        <v>22</v>
      </c>
      <c r="D867" t="s">
        <v>1749</v>
      </c>
      <c r="E867" t="s">
        <v>146</v>
      </c>
      <c r="F867" t="s">
        <v>70</v>
      </c>
      <c r="G867">
        <v>133</v>
      </c>
      <c r="H867">
        <v>0.15</v>
      </c>
      <c r="I867">
        <v>113.05</v>
      </c>
      <c r="J867">
        <v>3</v>
      </c>
      <c r="K867">
        <v>63.261122063073302</v>
      </c>
      <c r="L867">
        <v>339.15</v>
      </c>
      <c r="M867">
        <v>189.78336618922</v>
      </c>
      <c r="N867">
        <v>149.36663381077901</v>
      </c>
      <c r="O867" t="s">
        <v>51</v>
      </c>
      <c r="P867">
        <f t="shared" si="26"/>
        <v>399</v>
      </c>
      <c r="Q867">
        <f t="shared" si="27"/>
        <v>-149.36663381077997</v>
      </c>
    </row>
    <row r="868" spans="1:17" x14ac:dyDescent="0.4">
      <c r="A868" t="s">
        <v>1750</v>
      </c>
      <c r="B868" s="1">
        <v>45369.25</v>
      </c>
      <c r="C868" t="s">
        <v>46</v>
      </c>
      <c r="D868" t="s">
        <v>1751</v>
      </c>
      <c r="E868" t="s">
        <v>213</v>
      </c>
      <c r="F868" t="s">
        <v>31</v>
      </c>
      <c r="G868">
        <v>301</v>
      </c>
      <c r="H868">
        <v>0</v>
      </c>
      <c r="I868">
        <v>301</v>
      </c>
      <c r="J868">
        <v>4</v>
      </c>
      <c r="K868">
        <v>146.44305927934201</v>
      </c>
      <c r="L868">
        <v>1204</v>
      </c>
      <c r="M868">
        <v>585.77223711736804</v>
      </c>
      <c r="N868">
        <v>618.22776288263105</v>
      </c>
      <c r="O868" t="s">
        <v>32</v>
      </c>
      <c r="P868">
        <f t="shared" si="26"/>
        <v>1204</v>
      </c>
      <c r="Q868">
        <f t="shared" si="27"/>
        <v>-618.22776288263196</v>
      </c>
    </row>
    <row r="869" spans="1:17" x14ac:dyDescent="0.4">
      <c r="A869" t="s">
        <v>1752</v>
      </c>
      <c r="B869" s="1">
        <v>45486.25</v>
      </c>
      <c r="C869" t="s">
        <v>46</v>
      </c>
      <c r="D869" t="s">
        <v>1128</v>
      </c>
      <c r="E869" t="s">
        <v>69</v>
      </c>
      <c r="F869" t="s">
        <v>70</v>
      </c>
      <c r="G869">
        <v>87</v>
      </c>
      <c r="H869">
        <v>0.2</v>
      </c>
      <c r="I869">
        <v>69.599999999999994</v>
      </c>
      <c r="J869">
        <v>6</v>
      </c>
      <c r="K869">
        <v>40.386292590907402</v>
      </c>
      <c r="L869">
        <v>417.6</v>
      </c>
      <c r="M869">
        <v>242.31775554544399</v>
      </c>
      <c r="N869">
        <v>175.28224445455501</v>
      </c>
      <c r="O869" t="s">
        <v>32</v>
      </c>
      <c r="P869">
        <f t="shared" si="26"/>
        <v>522</v>
      </c>
      <c r="Q869">
        <f t="shared" si="27"/>
        <v>-175.28224445455604</v>
      </c>
    </row>
    <row r="870" spans="1:17" x14ac:dyDescent="0.4">
      <c r="A870" t="s">
        <v>1753</v>
      </c>
      <c r="B870" s="1">
        <v>45563.416666666664</v>
      </c>
      <c r="C870" t="s">
        <v>65</v>
      </c>
      <c r="D870" t="s">
        <v>1754</v>
      </c>
      <c r="E870" t="s">
        <v>115</v>
      </c>
      <c r="F870" t="s">
        <v>38</v>
      </c>
      <c r="G870">
        <v>153</v>
      </c>
      <c r="H870">
        <v>0.15</v>
      </c>
      <c r="I870">
        <v>130.04999999999899</v>
      </c>
      <c r="J870">
        <v>4</v>
      </c>
      <c r="K870">
        <v>86.910759563710897</v>
      </c>
      <c r="L870">
        <v>520.19999999999902</v>
      </c>
      <c r="M870">
        <v>347.64303825484302</v>
      </c>
      <c r="N870">
        <v>172.556961745156</v>
      </c>
      <c r="O870" t="s">
        <v>32</v>
      </c>
      <c r="P870">
        <f t="shared" si="26"/>
        <v>612</v>
      </c>
      <c r="Q870">
        <f t="shared" si="27"/>
        <v>-172.556961745156</v>
      </c>
    </row>
    <row r="871" spans="1:17" x14ac:dyDescent="0.4">
      <c r="A871" t="s">
        <v>1755</v>
      </c>
      <c r="B871" s="1">
        <v>45404.833333333336</v>
      </c>
      <c r="C871" t="s">
        <v>43</v>
      </c>
      <c r="D871" t="s">
        <v>1756</v>
      </c>
      <c r="E871" t="s">
        <v>48</v>
      </c>
      <c r="F871" t="s">
        <v>19</v>
      </c>
      <c r="G871">
        <v>281</v>
      </c>
      <c r="H871">
        <v>0.25</v>
      </c>
      <c r="I871">
        <v>210.75</v>
      </c>
      <c r="J871">
        <v>4</v>
      </c>
      <c r="K871">
        <v>185.39546924706301</v>
      </c>
      <c r="L871">
        <v>843</v>
      </c>
      <c r="M871">
        <v>741.58187698825304</v>
      </c>
      <c r="N871">
        <v>101.418123011746</v>
      </c>
      <c r="O871" t="s">
        <v>32</v>
      </c>
      <c r="P871">
        <f t="shared" si="26"/>
        <v>1124</v>
      </c>
      <c r="Q871">
        <f t="shared" si="27"/>
        <v>-101.41812301174696</v>
      </c>
    </row>
    <row r="872" spans="1:17" x14ac:dyDescent="0.4">
      <c r="A872" t="s">
        <v>1757</v>
      </c>
      <c r="B872" s="1">
        <v>45779.25</v>
      </c>
      <c r="C872" t="s">
        <v>46</v>
      </c>
      <c r="D872" t="s">
        <v>1758</v>
      </c>
      <c r="E872" t="s">
        <v>73</v>
      </c>
      <c r="F872" t="s">
        <v>38</v>
      </c>
      <c r="G872">
        <v>344</v>
      </c>
      <c r="H872">
        <v>0</v>
      </c>
      <c r="I872">
        <v>344</v>
      </c>
      <c r="J872">
        <v>3</v>
      </c>
      <c r="K872">
        <v>177.25711927091899</v>
      </c>
      <c r="L872">
        <v>1032</v>
      </c>
      <c r="M872">
        <v>531.77135781275899</v>
      </c>
      <c r="N872">
        <v>500.22864218723998</v>
      </c>
      <c r="O872" t="s">
        <v>51</v>
      </c>
      <c r="P872">
        <f t="shared" si="26"/>
        <v>1032</v>
      </c>
      <c r="Q872">
        <f t="shared" si="27"/>
        <v>-500.22864218724101</v>
      </c>
    </row>
    <row r="873" spans="1:17" x14ac:dyDescent="0.4">
      <c r="A873" t="s">
        <v>1759</v>
      </c>
      <c r="B873" s="1">
        <v>45688.833333333336</v>
      </c>
      <c r="C873" t="s">
        <v>22</v>
      </c>
      <c r="D873" t="s">
        <v>1760</v>
      </c>
      <c r="E873" t="s">
        <v>60</v>
      </c>
      <c r="F873" t="s">
        <v>61</v>
      </c>
      <c r="G873">
        <v>99</v>
      </c>
      <c r="H873">
        <v>0.15</v>
      </c>
      <c r="I873">
        <v>84.149999999999906</v>
      </c>
      <c r="J873">
        <v>4</v>
      </c>
      <c r="K873">
        <v>42.832770692269101</v>
      </c>
      <c r="L873">
        <v>336.599999999999</v>
      </c>
      <c r="M873">
        <v>171.331082769076</v>
      </c>
      <c r="N873">
        <v>165.26891723092299</v>
      </c>
      <c r="O873" t="s">
        <v>51</v>
      </c>
      <c r="P873">
        <f t="shared" si="26"/>
        <v>396</v>
      </c>
      <c r="Q873">
        <f t="shared" si="27"/>
        <v>-165.26891723092299</v>
      </c>
    </row>
    <row r="874" spans="1:17" x14ac:dyDescent="0.4">
      <c r="A874" t="s">
        <v>1761</v>
      </c>
      <c r="B874" s="1">
        <v>45561</v>
      </c>
      <c r="C874" t="s">
        <v>46</v>
      </c>
      <c r="D874" t="s">
        <v>1762</v>
      </c>
      <c r="E874" t="s">
        <v>73</v>
      </c>
      <c r="F874" t="s">
        <v>38</v>
      </c>
      <c r="G874">
        <v>247</v>
      </c>
      <c r="H874">
        <v>0.15</v>
      </c>
      <c r="I874">
        <v>209.95</v>
      </c>
      <c r="J874">
        <v>2</v>
      </c>
      <c r="K874">
        <v>170.42644094082101</v>
      </c>
      <c r="L874">
        <v>419.9</v>
      </c>
      <c r="M874">
        <v>340.85288188164202</v>
      </c>
      <c r="N874">
        <v>79.047118118357105</v>
      </c>
      <c r="O874" t="s">
        <v>26</v>
      </c>
      <c r="P874">
        <f t="shared" si="26"/>
        <v>494</v>
      </c>
      <c r="Q874">
        <f t="shared" si="27"/>
        <v>-79.047118118357957</v>
      </c>
    </row>
    <row r="875" spans="1:17" x14ac:dyDescent="0.4">
      <c r="A875" t="s">
        <v>1763</v>
      </c>
      <c r="B875" s="1">
        <v>45467.5</v>
      </c>
      <c r="C875" t="s">
        <v>43</v>
      </c>
      <c r="D875" t="s">
        <v>1764</v>
      </c>
      <c r="E875" t="s">
        <v>24</v>
      </c>
      <c r="F875" t="s">
        <v>25</v>
      </c>
      <c r="G875">
        <v>84</v>
      </c>
      <c r="H875">
        <v>0</v>
      </c>
      <c r="I875">
        <v>84</v>
      </c>
      <c r="J875">
        <v>4</v>
      </c>
      <c r="K875">
        <v>56.069116816309702</v>
      </c>
      <c r="L875">
        <v>336</v>
      </c>
      <c r="M875">
        <v>224.27646726523901</v>
      </c>
      <c r="N875">
        <v>111.72353273476</v>
      </c>
      <c r="O875" t="s">
        <v>20</v>
      </c>
      <c r="P875">
        <f t="shared" si="26"/>
        <v>336</v>
      </c>
      <c r="Q875">
        <f t="shared" si="27"/>
        <v>-111.72353273476099</v>
      </c>
    </row>
    <row r="876" spans="1:17" x14ac:dyDescent="0.4">
      <c r="A876" t="s">
        <v>1765</v>
      </c>
      <c r="B876" s="1">
        <v>45843</v>
      </c>
      <c r="C876" t="s">
        <v>46</v>
      </c>
      <c r="D876" t="s">
        <v>1766</v>
      </c>
      <c r="E876" t="s">
        <v>115</v>
      </c>
      <c r="F876" t="s">
        <v>38</v>
      </c>
      <c r="G876">
        <v>249</v>
      </c>
      <c r="H876">
        <v>0</v>
      </c>
      <c r="I876">
        <v>249</v>
      </c>
      <c r="J876">
        <v>2</v>
      </c>
      <c r="K876">
        <v>102.14222376623</v>
      </c>
      <c r="L876">
        <v>498</v>
      </c>
      <c r="M876">
        <v>204.284447532461</v>
      </c>
      <c r="N876">
        <v>293.71555246753798</v>
      </c>
      <c r="O876" t="s">
        <v>32</v>
      </c>
      <c r="P876">
        <f t="shared" si="26"/>
        <v>498</v>
      </c>
      <c r="Q876">
        <f t="shared" si="27"/>
        <v>-293.715552467539</v>
      </c>
    </row>
    <row r="877" spans="1:17" x14ac:dyDescent="0.4">
      <c r="A877" t="s">
        <v>1767</v>
      </c>
      <c r="B877" s="1">
        <v>45624.083333333336</v>
      </c>
      <c r="C877" t="s">
        <v>16</v>
      </c>
      <c r="D877" t="s">
        <v>583</v>
      </c>
      <c r="E877" t="s">
        <v>110</v>
      </c>
      <c r="F877" t="s">
        <v>19</v>
      </c>
      <c r="G877">
        <v>168</v>
      </c>
      <c r="H877">
        <v>0.15</v>
      </c>
      <c r="I877">
        <v>142.79999999999899</v>
      </c>
      <c r="J877">
        <v>4</v>
      </c>
      <c r="K877">
        <v>70.682330357320495</v>
      </c>
      <c r="L877">
        <v>571.19999999999902</v>
      </c>
      <c r="M877">
        <v>282.72932142928198</v>
      </c>
      <c r="N877">
        <v>288.47067857071698</v>
      </c>
      <c r="O877" t="s">
        <v>32</v>
      </c>
      <c r="P877">
        <f t="shared" si="26"/>
        <v>672</v>
      </c>
      <c r="Q877">
        <f t="shared" si="27"/>
        <v>-288.47067857071704</v>
      </c>
    </row>
    <row r="878" spans="1:17" x14ac:dyDescent="0.4">
      <c r="A878" t="s">
        <v>1768</v>
      </c>
      <c r="B878" s="1">
        <v>45997</v>
      </c>
      <c r="C878" t="s">
        <v>16</v>
      </c>
      <c r="D878" t="s">
        <v>1769</v>
      </c>
      <c r="E878" t="s">
        <v>146</v>
      </c>
      <c r="F878" t="s">
        <v>70</v>
      </c>
      <c r="G878">
        <v>173</v>
      </c>
      <c r="H878">
        <v>0</v>
      </c>
      <c r="I878">
        <v>173</v>
      </c>
      <c r="J878">
        <v>5</v>
      </c>
      <c r="K878">
        <v>76.825705815426105</v>
      </c>
      <c r="L878">
        <v>865</v>
      </c>
      <c r="M878">
        <v>384.12852907713</v>
      </c>
      <c r="N878">
        <v>480.87147092286898</v>
      </c>
      <c r="O878" t="s">
        <v>51</v>
      </c>
      <c r="P878">
        <f t="shared" si="26"/>
        <v>865</v>
      </c>
      <c r="Q878">
        <f t="shared" si="27"/>
        <v>-480.87147092287</v>
      </c>
    </row>
    <row r="879" spans="1:17" x14ac:dyDescent="0.4">
      <c r="A879" t="s">
        <v>1770</v>
      </c>
      <c r="B879" s="1">
        <v>45359.708333333336</v>
      </c>
      <c r="C879" t="s">
        <v>16</v>
      </c>
      <c r="D879" t="s">
        <v>1771</v>
      </c>
      <c r="E879" t="s">
        <v>82</v>
      </c>
      <c r="F879" t="s">
        <v>25</v>
      </c>
      <c r="G879">
        <v>324</v>
      </c>
      <c r="H879">
        <v>0.1</v>
      </c>
      <c r="I879">
        <v>291.60000000000002</v>
      </c>
      <c r="J879">
        <v>2</v>
      </c>
      <c r="K879">
        <v>174.778612913508</v>
      </c>
      <c r="L879">
        <v>583.20000000000005</v>
      </c>
      <c r="M879">
        <v>349.55722582701702</v>
      </c>
      <c r="N879">
        <v>233.642774172982</v>
      </c>
      <c r="O879" t="s">
        <v>32</v>
      </c>
      <c r="P879">
        <f t="shared" si="26"/>
        <v>648</v>
      </c>
      <c r="Q879">
        <f t="shared" si="27"/>
        <v>-233.64277417298302</v>
      </c>
    </row>
    <row r="880" spans="1:17" x14ac:dyDescent="0.4">
      <c r="A880" t="s">
        <v>1772</v>
      </c>
      <c r="B880" s="1">
        <v>45721.75</v>
      </c>
      <c r="C880" t="s">
        <v>46</v>
      </c>
      <c r="D880" t="s">
        <v>1773</v>
      </c>
      <c r="E880" t="s">
        <v>18</v>
      </c>
      <c r="F880" t="s">
        <v>19</v>
      </c>
      <c r="G880">
        <v>136</v>
      </c>
      <c r="H880">
        <v>0.1</v>
      </c>
      <c r="I880">
        <v>122.4</v>
      </c>
      <c r="J880">
        <v>4</v>
      </c>
      <c r="K880">
        <v>60.346182991254103</v>
      </c>
      <c r="L880">
        <v>489.6</v>
      </c>
      <c r="M880">
        <v>241.38473196501599</v>
      </c>
      <c r="N880">
        <v>248.21526803498301</v>
      </c>
      <c r="O880" t="s">
        <v>51</v>
      </c>
      <c r="P880">
        <f t="shared" si="26"/>
        <v>544</v>
      </c>
      <c r="Q880">
        <f t="shared" si="27"/>
        <v>-248.21526803498404</v>
      </c>
    </row>
    <row r="881" spans="1:17" x14ac:dyDescent="0.4">
      <c r="A881" t="s">
        <v>1774</v>
      </c>
      <c r="B881" s="1">
        <v>45624.208333333336</v>
      </c>
      <c r="C881" t="s">
        <v>46</v>
      </c>
      <c r="D881" t="s">
        <v>1775</v>
      </c>
      <c r="E881" t="s">
        <v>24</v>
      </c>
      <c r="F881" t="s">
        <v>25</v>
      </c>
      <c r="G881">
        <v>187</v>
      </c>
      <c r="H881">
        <v>0.1</v>
      </c>
      <c r="I881">
        <v>168.3</v>
      </c>
      <c r="J881">
        <v>3</v>
      </c>
      <c r="K881">
        <v>129.39437533126801</v>
      </c>
      <c r="L881">
        <v>504.9</v>
      </c>
      <c r="M881">
        <v>388.18312599380499</v>
      </c>
      <c r="N881">
        <v>116.716874006194</v>
      </c>
      <c r="O881" t="s">
        <v>20</v>
      </c>
      <c r="P881">
        <f t="shared" si="26"/>
        <v>561</v>
      </c>
      <c r="Q881">
        <f t="shared" si="27"/>
        <v>-116.71687400619498</v>
      </c>
    </row>
    <row r="882" spans="1:17" x14ac:dyDescent="0.4">
      <c r="A882" t="s">
        <v>1776</v>
      </c>
      <c r="B882" s="1">
        <v>45649.375</v>
      </c>
      <c r="C882" t="s">
        <v>65</v>
      </c>
      <c r="D882" t="s">
        <v>1777</v>
      </c>
      <c r="E882" t="s">
        <v>24</v>
      </c>
      <c r="F882" t="s">
        <v>25</v>
      </c>
      <c r="G882">
        <v>314</v>
      </c>
      <c r="H882">
        <v>0.25</v>
      </c>
      <c r="I882">
        <v>235.5</v>
      </c>
      <c r="J882">
        <v>5</v>
      </c>
      <c r="K882">
        <v>131.28025622223299</v>
      </c>
      <c r="L882">
        <v>1177.5</v>
      </c>
      <c r="M882">
        <v>656.40128111116701</v>
      </c>
      <c r="N882">
        <v>521.09871888883299</v>
      </c>
      <c r="O882" t="s">
        <v>51</v>
      </c>
      <c r="P882">
        <f t="shared" si="26"/>
        <v>1570</v>
      </c>
      <c r="Q882">
        <f t="shared" si="27"/>
        <v>-521.09871888883299</v>
      </c>
    </row>
    <row r="883" spans="1:17" x14ac:dyDescent="0.4">
      <c r="A883" t="s">
        <v>1778</v>
      </c>
      <c r="B883" s="1">
        <v>45628.25</v>
      </c>
      <c r="C883" t="s">
        <v>16</v>
      </c>
      <c r="D883" t="s">
        <v>1779</v>
      </c>
      <c r="E883" t="s">
        <v>37</v>
      </c>
      <c r="F883" t="s">
        <v>38</v>
      </c>
      <c r="G883">
        <v>292</v>
      </c>
      <c r="H883">
        <v>0.15</v>
      </c>
      <c r="I883">
        <v>248.2</v>
      </c>
      <c r="J883">
        <v>4</v>
      </c>
      <c r="K883">
        <v>162.51737400528401</v>
      </c>
      <c r="L883">
        <v>992.8</v>
      </c>
      <c r="M883">
        <v>650.06949602113696</v>
      </c>
      <c r="N883">
        <v>342.73050397886198</v>
      </c>
      <c r="O883" t="s">
        <v>26</v>
      </c>
      <c r="P883">
        <f t="shared" si="26"/>
        <v>1168</v>
      </c>
      <c r="Q883">
        <f t="shared" si="27"/>
        <v>-342.730503978863</v>
      </c>
    </row>
    <row r="884" spans="1:17" x14ac:dyDescent="0.4">
      <c r="A884" t="s">
        <v>1780</v>
      </c>
      <c r="B884" s="1">
        <v>45653.083333333336</v>
      </c>
      <c r="C884" t="s">
        <v>46</v>
      </c>
      <c r="D884" t="s">
        <v>1781</v>
      </c>
      <c r="E884" t="s">
        <v>24</v>
      </c>
      <c r="F884" t="s">
        <v>25</v>
      </c>
      <c r="G884">
        <v>144</v>
      </c>
      <c r="H884">
        <v>0.1</v>
      </c>
      <c r="I884">
        <v>129.6</v>
      </c>
      <c r="J884">
        <v>7</v>
      </c>
      <c r="K884">
        <v>77.603225411687603</v>
      </c>
      <c r="L884">
        <v>907.19999999999902</v>
      </c>
      <c r="M884">
        <v>543.22257788181298</v>
      </c>
      <c r="N884">
        <v>363.97742211818598</v>
      </c>
      <c r="O884" t="s">
        <v>32</v>
      </c>
      <c r="P884">
        <f t="shared" si="26"/>
        <v>1008</v>
      </c>
      <c r="Q884">
        <f t="shared" si="27"/>
        <v>-363.97742211818604</v>
      </c>
    </row>
    <row r="885" spans="1:17" x14ac:dyDescent="0.4">
      <c r="A885" t="s">
        <v>1782</v>
      </c>
      <c r="B885" s="1">
        <v>45442</v>
      </c>
      <c r="C885" t="s">
        <v>43</v>
      </c>
      <c r="D885" t="s">
        <v>1783</v>
      </c>
      <c r="E885" t="s">
        <v>85</v>
      </c>
      <c r="F885" t="s">
        <v>70</v>
      </c>
      <c r="G885">
        <v>218</v>
      </c>
      <c r="H885">
        <v>0</v>
      </c>
      <c r="I885">
        <v>218</v>
      </c>
      <c r="J885">
        <v>3</v>
      </c>
      <c r="K885">
        <v>99.454020072582196</v>
      </c>
      <c r="L885">
        <v>654</v>
      </c>
      <c r="M885">
        <v>298.36206021774598</v>
      </c>
      <c r="N885">
        <v>355.637939782253</v>
      </c>
      <c r="O885" t="s">
        <v>32</v>
      </c>
      <c r="P885">
        <f t="shared" si="26"/>
        <v>654</v>
      </c>
      <c r="Q885">
        <f t="shared" si="27"/>
        <v>-355.63793978225402</v>
      </c>
    </row>
    <row r="886" spans="1:17" x14ac:dyDescent="0.4">
      <c r="A886" t="s">
        <v>1784</v>
      </c>
      <c r="B886" s="1">
        <v>45574.625</v>
      </c>
      <c r="C886" t="s">
        <v>16</v>
      </c>
      <c r="D886" t="s">
        <v>1785</v>
      </c>
      <c r="E886" t="s">
        <v>69</v>
      </c>
      <c r="F886" t="s">
        <v>70</v>
      </c>
      <c r="G886">
        <v>219</v>
      </c>
      <c r="H886">
        <v>0.2</v>
      </c>
      <c r="I886">
        <v>175.2</v>
      </c>
      <c r="J886">
        <v>7</v>
      </c>
      <c r="K886">
        <v>125.274565410009</v>
      </c>
      <c r="L886">
        <v>1226.4000000000001</v>
      </c>
      <c r="M886">
        <v>876.92195787006597</v>
      </c>
      <c r="N886">
        <v>349.47804212993299</v>
      </c>
      <c r="O886" t="s">
        <v>32</v>
      </c>
      <c r="P886">
        <f t="shared" si="26"/>
        <v>1533</v>
      </c>
      <c r="Q886">
        <f t="shared" si="27"/>
        <v>-349.47804212993412</v>
      </c>
    </row>
    <row r="887" spans="1:17" x14ac:dyDescent="0.4">
      <c r="A887" t="s">
        <v>1786</v>
      </c>
      <c r="B887" s="1">
        <v>45843.083333333336</v>
      </c>
      <c r="C887" t="s">
        <v>43</v>
      </c>
      <c r="D887" t="s">
        <v>1787</v>
      </c>
      <c r="E887" t="s">
        <v>115</v>
      </c>
      <c r="F887" t="s">
        <v>38</v>
      </c>
      <c r="G887">
        <v>317</v>
      </c>
      <c r="H887">
        <v>0.15</v>
      </c>
      <c r="I887">
        <v>269.45</v>
      </c>
      <c r="J887">
        <v>6</v>
      </c>
      <c r="K887">
        <v>234.37233530601199</v>
      </c>
      <c r="L887">
        <v>1616.69999999999</v>
      </c>
      <c r="M887">
        <v>1406.2340118360701</v>
      </c>
      <c r="N887">
        <v>210.465988163925</v>
      </c>
      <c r="O887" t="s">
        <v>32</v>
      </c>
      <c r="P887">
        <f t="shared" si="26"/>
        <v>1902</v>
      </c>
      <c r="Q887">
        <f t="shared" si="27"/>
        <v>-210.46598816391997</v>
      </c>
    </row>
    <row r="888" spans="1:17" x14ac:dyDescent="0.4">
      <c r="A888" t="s">
        <v>1788</v>
      </c>
      <c r="B888" s="1">
        <v>45673.083333333336</v>
      </c>
      <c r="C888" t="s">
        <v>28</v>
      </c>
      <c r="D888" t="s">
        <v>1789</v>
      </c>
      <c r="E888" t="s">
        <v>41</v>
      </c>
      <c r="F888" t="s">
        <v>31</v>
      </c>
      <c r="G888">
        <v>247</v>
      </c>
      <c r="H888">
        <v>0.1</v>
      </c>
      <c r="I888">
        <v>222.3</v>
      </c>
      <c r="J888">
        <v>7</v>
      </c>
      <c r="K888">
        <v>130.52656793923401</v>
      </c>
      <c r="L888">
        <v>1556.1</v>
      </c>
      <c r="M888">
        <v>913.68597557464</v>
      </c>
      <c r="N888">
        <v>642.414024425359</v>
      </c>
      <c r="O888" t="s">
        <v>51</v>
      </c>
      <c r="P888">
        <f t="shared" si="26"/>
        <v>1729</v>
      </c>
      <c r="Q888">
        <f t="shared" si="27"/>
        <v>-642.41402442535991</v>
      </c>
    </row>
    <row r="889" spans="1:17" x14ac:dyDescent="0.4">
      <c r="A889" t="s">
        <v>1790</v>
      </c>
      <c r="B889" s="1">
        <v>45499.125</v>
      </c>
      <c r="C889" t="s">
        <v>16</v>
      </c>
      <c r="D889" t="s">
        <v>1791</v>
      </c>
      <c r="E889" t="s">
        <v>48</v>
      </c>
      <c r="F889" t="s">
        <v>19</v>
      </c>
      <c r="G889">
        <v>213</v>
      </c>
      <c r="H889">
        <v>0</v>
      </c>
      <c r="I889">
        <v>213</v>
      </c>
      <c r="J889">
        <v>5</v>
      </c>
      <c r="K889">
        <v>90.155571857093705</v>
      </c>
      <c r="L889">
        <v>1065</v>
      </c>
      <c r="M889">
        <v>450.77785928546803</v>
      </c>
      <c r="N889">
        <v>614.22214071453095</v>
      </c>
      <c r="O889" t="s">
        <v>26</v>
      </c>
      <c r="P889">
        <f t="shared" si="26"/>
        <v>1065</v>
      </c>
      <c r="Q889">
        <f t="shared" si="27"/>
        <v>-614.22214071453197</v>
      </c>
    </row>
    <row r="890" spans="1:17" x14ac:dyDescent="0.4">
      <c r="A890" t="s">
        <v>1792</v>
      </c>
      <c r="B890" s="1">
        <v>45854.083333333336</v>
      </c>
      <c r="C890" t="s">
        <v>16</v>
      </c>
      <c r="D890" t="s">
        <v>1793</v>
      </c>
      <c r="E890" t="s">
        <v>213</v>
      </c>
      <c r="F890" t="s">
        <v>31</v>
      </c>
      <c r="G890">
        <v>114</v>
      </c>
      <c r="H890">
        <v>0.1</v>
      </c>
      <c r="I890">
        <v>102.6</v>
      </c>
      <c r="J890">
        <v>4</v>
      </c>
      <c r="K890">
        <v>83.714186454664997</v>
      </c>
      <c r="L890">
        <v>410.4</v>
      </c>
      <c r="M890">
        <v>334.85674581865999</v>
      </c>
      <c r="N890">
        <v>75.543254181339904</v>
      </c>
      <c r="O890" t="s">
        <v>26</v>
      </c>
      <c r="P890">
        <f t="shared" si="26"/>
        <v>456</v>
      </c>
      <c r="Q890">
        <f t="shared" si="27"/>
        <v>-75.543254181339989</v>
      </c>
    </row>
    <row r="891" spans="1:17" x14ac:dyDescent="0.4">
      <c r="A891" t="s">
        <v>1794</v>
      </c>
      <c r="B891" s="1">
        <v>45831.625</v>
      </c>
      <c r="C891" t="s">
        <v>46</v>
      </c>
      <c r="D891" t="s">
        <v>1795</v>
      </c>
      <c r="E891" t="s">
        <v>115</v>
      </c>
      <c r="F891" t="s">
        <v>38</v>
      </c>
      <c r="G891">
        <v>303</v>
      </c>
      <c r="H891">
        <v>0.1</v>
      </c>
      <c r="I891">
        <v>272.7</v>
      </c>
      <c r="J891">
        <v>6</v>
      </c>
      <c r="K891">
        <v>188.05367940169501</v>
      </c>
      <c r="L891">
        <v>1636.19999999999</v>
      </c>
      <c r="M891">
        <v>1128.32207641017</v>
      </c>
      <c r="N891">
        <v>507.87792358982699</v>
      </c>
      <c r="O891" t="s">
        <v>32</v>
      </c>
      <c r="P891">
        <f t="shared" si="26"/>
        <v>1818</v>
      </c>
      <c r="Q891">
        <f t="shared" si="27"/>
        <v>-507.87792358982006</v>
      </c>
    </row>
    <row r="892" spans="1:17" x14ac:dyDescent="0.4">
      <c r="A892" t="s">
        <v>1796</v>
      </c>
      <c r="B892" s="1">
        <v>45805</v>
      </c>
      <c r="C892" t="s">
        <v>28</v>
      </c>
      <c r="D892" t="s">
        <v>1797</v>
      </c>
      <c r="E892" t="s">
        <v>213</v>
      </c>
      <c r="F892" t="s">
        <v>31</v>
      </c>
      <c r="G892">
        <v>84</v>
      </c>
      <c r="H892">
        <v>0</v>
      </c>
      <c r="I892">
        <v>84</v>
      </c>
      <c r="J892">
        <v>1</v>
      </c>
      <c r="K892">
        <v>34.493159650661198</v>
      </c>
      <c r="L892">
        <v>84</v>
      </c>
      <c r="M892">
        <v>34.493159650661198</v>
      </c>
      <c r="N892">
        <v>49.506840349338802</v>
      </c>
      <c r="O892" t="s">
        <v>32</v>
      </c>
      <c r="P892">
        <f t="shared" si="26"/>
        <v>84</v>
      </c>
      <c r="Q892">
        <f t="shared" si="27"/>
        <v>-49.506840349338802</v>
      </c>
    </row>
    <row r="893" spans="1:17" x14ac:dyDescent="0.4">
      <c r="A893" t="s">
        <v>1798</v>
      </c>
      <c r="B893" s="1">
        <v>45374.916666666664</v>
      </c>
      <c r="C893" t="s">
        <v>28</v>
      </c>
      <c r="D893" t="s">
        <v>1799</v>
      </c>
      <c r="E893" t="s">
        <v>37</v>
      </c>
      <c r="F893" t="s">
        <v>38</v>
      </c>
      <c r="G893">
        <v>307</v>
      </c>
      <c r="H893">
        <v>0</v>
      </c>
      <c r="I893">
        <v>307</v>
      </c>
      <c r="J893">
        <v>3</v>
      </c>
      <c r="K893">
        <v>194.71167459768299</v>
      </c>
      <c r="L893">
        <v>921</v>
      </c>
      <c r="M893">
        <v>584.13502379304896</v>
      </c>
      <c r="N893">
        <v>336.86497620695002</v>
      </c>
      <c r="O893" t="s">
        <v>32</v>
      </c>
      <c r="P893">
        <f t="shared" si="26"/>
        <v>921</v>
      </c>
      <c r="Q893">
        <f t="shared" si="27"/>
        <v>-336.86497620695104</v>
      </c>
    </row>
    <row r="894" spans="1:17" x14ac:dyDescent="0.4">
      <c r="A894" t="s">
        <v>1800</v>
      </c>
      <c r="B894" s="1">
        <v>45512.791666666664</v>
      </c>
      <c r="C894" t="s">
        <v>28</v>
      </c>
      <c r="D894" t="s">
        <v>1801</v>
      </c>
      <c r="E894" t="s">
        <v>73</v>
      </c>
      <c r="F894" t="s">
        <v>38</v>
      </c>
      <c r="G894">
        <v>313</v>
      </c>
      <c r="H894">
        <v>0</v>
      </c>
      <c r="I894">
        <v>313</v>
      </c>
      <c r="J894">
        <v>6</v>
      </c>
      <c r="K894">
        <v>153.82852577532501</v>
      </c>
      <c r="L894">
        <v>1878</v>
      </c>
      <c r="M894">
        <v>922.97115465195395</v>
      </c>
      <c r="N894">
        <v>955.02884534804502</v>
      </c>
      <c r="O894" t="s">
        <v>32</v>
      </c>
      <c r="P894">
        <f t="shared" si="26"/>
        <v>1878</v>
      </c>
      <c r="Q894">
        <f t="shared" si="27"/>
        <v>-955.02884534804605</v>
      </c>
    </row>
    <row r="895" spans="1:17" x14ac:dyDescent="0.4">
      <c r="A895" t="s">
        <v>1802</v>
      </c>
      <c r="B895" s="1">
        <v>45833.541666666664</v>
      </c>
      <c r="C895" t="s">
        <v>22</v>
      </c>
      <c r="D895" t="s">
        <v>1803</v>
      </c>
      <c r="E895" t="s">
        <v>18</v>
      </c>
      <c r="F895" t="s">
        <v>19</v>
      </c>
      <c r="G895">
        <v>214</v>
      </c>
      <c r="H895">
        <v>0.25</v>
      </c>
      <c r="I895">
        <v>160.5</v>
      </c>
      <c r="J895">
        <v>1</v>
      </c>
      <c r="K895">
        <v>137.64207266739101</v>
      </c>
      <c r="L895">
        <v>160.5</v>
      </c>
      <c r="M895">
        <v>137.64207266739101</v>
      </c>
      <c r="N895">
        <v>22.857927332608099</v>
      </c>
      <c r="O895" t="s">
        <v>51</v>
      </c>
      <c r="P895">
        <f t="shared" si="26"/>
        <v>214</v>
      </c>
      <c r="Q895">
        <f t="shared" si="27"/>
        <v>-22.857927332608995</v>
      </c>
    </row>
    <row r="896" spans="1:17" x14ac:dyDescent="0.4">
      <c r="A896" t="s">
        <v>1804</v>
      </c>
      <c r="B896" s="1">
        <v>45853.333333333336</v>
      </c>
      <c r="C896" t="s">
        <v>65</v>
      </c>
      <c r="D896" t="s">
        <v>1805</v>
      </c>
      <c r="E896" t="s">
        <v>37</v>
      </c>
      <c r="F896" t="s">
        <v>38</v>
      </c>
      <c r="G896">
        <v>167</v>
      </c>
      <c r="H896">
        <v>0</v>
      </c>
      <c r="I896">
        <v>167</v>
      </c>
      <c r="J896">
        <v>5</v>
      </c>
      <c r="K896">
        <v>123.03976640979501</v>
      </c>
      <c r="L896">
        <v>835</v>
      </c>
      <c r="M896">
        <v>615.19883204897803</v>
      </c>
      <c r="N896">
        <v>219.801167951021</v>
      </c>
      <c r="O896" t="s">
        <v>51</v>
      </c>
      <c r="P896">
        <f t="shared" si="26"/>
        <v>835</v>
      </c>
      <c r="Q896">
        <f t="shared" si="27"/>
        <v>-219.80116795102197</v>
      </c>
    </row>
    <row r="897" spans="1:17" x14ac:dyDescent="0.4">
      <c r="A897" t="s">
        <v>1806</v>
      </c>
      <c r="B897" s="1">
        <v>45474.5</v>
      </c>
      <c r="C897" t="s">
        <v>28</v>
      </c>
      <c r="D897" t="s">
        <v>1807</v>
      </c>
      <c r="E897" t="s">
        <v>60</v>
      </c>
      <c r="F897" t="s">
        <v>61</v>
      </c>
      <c r="G897">
        <v>310</v>
      </c>
      <c r="H897">
        <v>0.05</v>
      </c>
      <c r="I897">
        <v>294.5</v>
      </c>
      <c r="J897">
        <v>7</v>
      </c>
      <c r="K897">
        <v>156.000028234719</v>
      </c>
      <c r="L897">
        <v>2061.5</v>
      </c>
      <c r="M897">
        <v>1092.0001976430301</v>
      </c>
      <c r="N897">
        <v>969.49980235696501</v>
      </c>
      <c r="O897" t="s">
        <v>32</v>
      </c>
      <c r="P897">
        <f t="shared" si="26"/>
        <v>2170</v>
      </c>
      <c r="Q897">
        <f t="shared" si="27"/>
        <v>-969.49980235696989</v>
      </c>
    </row>
    <row r="898" spans="1:17" x14ac:dyDescent="0.4">
      <c r="A898" t="s">
        <v>1808</v>
      </c>
      <c r="B898" s="1">
        <v>45490.208333333336</v>
      </c>
      <c r="C898" t="s">
        <v>28</v>
      </c>
      <c r="D898" t="s">
        <v>1809</v>
      </c>
      <c r="E898" t="s">
        <v>146</v>
      </c>
      <c r="F898" t="s">
        <v>70</v>
      </c>
      <c r="G898">
        <v>271</v>
      </c>
      <c r="H898">
        <v>0.25</v>
      </c>
      <c r="I898">
        <v>203.25</v>
      </c>
      <c r="J898">
        <v>5</v>
      </c>
      <c r="K898">
        <v>172.62353883371699</v>
      </c>
      <c r="L898">
        <v>1016.25</v>
      </c>
      <c r="M898">
        <v>863.11769416858499</v>
      </c>
      <c r="N898">
        <v>153.13230583141399</v>
      </c>
      <c r="O898" t="s">
        <v>20</v>
      </c>
      <c r="P898">
        <f t="shared" si="26"/>
        <v>1355</v>
      </c>
      <c r="Q898">
        <f t="shared" si="27"/>
        <v>-153.13230583141501</v>
      </c>
    </row>
    <row r="899" spans="1:17" x14ac:dyDescent="0.4">
      <c r="A899" t="s">
        <v>1810</v>
      </c>
      <c r="B899" s="1">
        <v>45725.125</v>
      </c>
      <c r="C899" t="s">
        <v>16</v>
      </c>
      <c r="D899" t="s">
        <v>1811</v>
      </c>
      <c r="E899" t="s">
        <v>110</v>
      </c>
      <c r="F899" t="s">
        <v>19</v>
      </c>
      <c r="G899">
        <v>108</v>
      </c>
      <c r="H899">
        <v>0</v>
      </c>
      <c r="I899">
        <v>108</v>
      </c>
      <c r="J899">
        <v>5</v>
      </c>
      <c r="K899">
        <v>47.373479012180198</v>
      </c>
      <c r="L899">
        <v>540</v>
      </c>
      <c r="M899">
        <v>236.867395060901</v>
      </c>
      <c r="N899">
        <v>303.13260493909797</v>
      </c>
      <c r="O899" t="s">
        <v>32</v>
      </c>
      <c r="P899">
        <f t="shared" ref="P899:P962" si="28">G899 * J899</f>
        <v>540</v>
      </c>
      <c r="Q899">
        <f t="shared" ref="Q899:Q962" si="29" xml:space="preserve"> M899 - L899</f>
        <v>-303.132604939099</v>
      </c>
    </row>
    <row r="900" spans="1:17" x14ac:dyDescent="0.4">
      <c r="A900" t="s">
        <v>1812</v>
      </c>
      <c r="B900" s="1">
        <v>45968.708333333336</v>
      </c>
      <c r="C900" t="s">
        <v>16</v>
      </c>
      <c r="D900" t="s">
        <v>1813</v>
      </c>
      <c r="E900" t="s">
        <v>94</v>
      </c>
      <c r="F900" t="s">
        <v>61</v>
      </c>
      <c r="G900">
        <v>279</v>
      </c>
      <c r="H900">
        <v>0.1</v>
      </c>
      <c r="I900">
        <v>251.1</v>
      </c>
      <c r="J900">
        <v>6</v>
      </c>
      <c r="K900">
        <v>202.829834656759</v>
      </c>
      <c r="L900">
        <v>1506.6</v>
      </c>
      <c r="M900">
        <v>1216.97900794055</v>
      </c>
      <c r="N900">
        <v>289.62099205944099</v>
      </c>
      <c r="O900" t="s">
        <v>20</v>
      </c>
      <c r="P900">
        <f t="shared" si="28"/>
        <v>1674</v>
      </c>
      <c r="Q900">
        <f t="shared" si="29"/>
        <v>-289.62099205944992</v>
      </c>
    </row>
    <row r="901" spans="1:17" x14ac:dyDescent="0.4">
      <c r="A901" t="s">
        <v>1814</v>
      </c>
      <c r="B901" s="1">
        <v>45524.833333333336</v>
      </c>
      <c r="C901" t="s">
        <v>22</v>
      </c>
      <c r="D901" t="s">
        <v>1815</v>
      </c>
      <c r="E901" t="s">
        <v>48</v>
      </c>
      <c r="F901" t="s">
        <v>19</v>
      </c>
      <c r="G901">
        <v>234</v>
      </c>
      <c r="H901">
        <v>0.05</v>
      </c>
      <c r="I901">
        <v>222.29999999999899</v>
      </c>
      <c r="J901">
        <v>2</v>
      </c>
      <c r="K901">
        <v>175.03218603382999</v>
      </c>
      <c r="L901">
        <v>444.599999999999</v>
      </c>
      <c r="M901">
        <v>350.064372067661</v>
      </c>
      <c r="N901">
        <v>94.5356279323384</v>
      </c>
      <c r="O901" t="s">
        <v>32</v>
      </c>
      <c r="P901">
        <f t="shared" si="28"/>
        <v>468</v>
      </c>
      <c r="Q901">
        <f t="shared" si="29"/>
        <v>-94.535627932338002</v>
      </c>
    </row>
    <row r="902" spans="1:17" x14ac:dyDescent="0.4">
      <c r="A902" t="s">
        <v>1816</v>
      </c>
      <c r="B902" s="1">
        <v>46014.916666666664</v>
      </c>
      <c r="C902" t="s">
        <v>43</v>
      </c>
      <c r="D902" t="s">
        <v>1817</v>
      </c>
      <c r="E902" t="s">
        <v>115</v>
      </c>
      <c r="F902" t="s">
        <v>38</v>
      </c>
      <c r="G902">
        <v>174</v>
      </c>
      <c r="H902">
        <v>0.05</v>
      </c>
      <c r="I902">
        <v>165.29999999999899</v>
      </c>
      <c r="J902">
        <v>2</v>
      </c>
      <c r="K902">
        <v>110.105818847119</v>
      </c>
      <c r="L902">
        <v>330.599999999999</v>
      </c>
      <c r="M902">
        <v>220.21163769423799</v>
      </c>
      <c r="N902">
        <v>110.38836230576101</v>
      </c>
      <c r="O902" t="s">
        <v>20</v>
      </c>
      <c r="P902">
        <f t="shared" si="28"/>
        <v>348</v>
      </c>
      <c r="Q902">
        <f t="shared" si="29"/>
        <v>-110.38836230576101</v>
      </c>
    </row>
    <row r="903" spans="1:17" x14ac:dyDescent="0.4">
      <c r="A903" t="s">
        <v>1818</v>
      </c>
      <c r="B903" s="1">
        <v>45498</v>
      </c>
      <c r="C903" t="s">
        <v>43</v>
      </c>
      <c r="D903" t="s">
        <v>1819</v>
      </c>
      <c r="E903" t="s">
        <v>48</v>
      </c>
      <c r="F903" t="s">
        <v>19</v>
      </c>
      <c r="G903">
        <v>139</v>
      </c>
      <c r="H903">
        <v>0</v>
      </c>
      <c r="I903">
        <v>139</v>
      </c>
      <c r="J903">
        <v>5</v>
      </c>
      <c r="K903">
        <v>100.500548299594</v>
      </c>
      <c r="L903">
        <v>695</v>
      </c>
      <c r="M903">
        <v>502.50274149797201</v>
      </c>
      <c r="N903">
        <v>192.49725850202699</v>
      </c>
      <c r="O903" t="s">
        <v>32</v>
      </c>
      <c r="P903">
        <f t="shared" si="28"/>
        <v>695</v>
      </c>
      <c r="Q903">
        <f t="shared" si="29"/>
        <v>-192.49725850202799</v>
      </c>
    </row>
    <row r="904" spans="1:17" x14ac:dyDescent="0.4">
      <c r="A904" t="s">
        <v>1820</v>
      </c>
      <c r="B904" s="1">
        <v>45850.125</v>
      </c>
      <c r="C904" t="s">
        <v>46</v>
      </c>
      <c r="D904" t="s">
        <v>1821</v>
      </c>
      <c r="E904" t="s">
        <v>18</v>
      </c>
      <c r="F904" t="s">
        <v>19</v>
      </c>
      <c r="G904">
        <v>118</v>
      </c>
      <c r="H904">
        <v>0.05</v>
      </c>
      <c r="I904">
        <v>112.1</v>
      </c>
      <c r="J904">
        <v>5</v>
      </c>
      <c r="K904">
        <v>86.679446438432393</v>
      </c>
      <c r="L904">
        <v>560.5</v>
      </c>
      <c r="M904">
        <v>433.39723219216199</v>
      </c>
      <c r="N904">
        <v>127.102767807837</v>
      </c>
      <c r="O904" t="s">
        <v>32</v>
      </c>
      <c r="P904">
        <f t="shared" si="28"/>
        <v>590</v>
      </c>
      <c r="Q904">
        <f t="shared" si="29"/>
        <v>-127.10276780783801</v>
      </c>
    </row>
    <row r="905" spans="1:17" x14ac:dyDescent="0.4">
      <c r="A905" t="s">
        <v>1822</v>
      </c>
      <c r="B905" s="1">
        <v>46003.333333333336</v>
      </c>
      <c r="C905" t="s">
        <v>28</v>
      </c>
      <c r="D905" t="s">
        <v>1823</v>
      </c>
      <c r="E905" t="s">
        <v>97</v>
      </c>
      <c r="F905" t="s">
        <v>61</v>
      </c>
      <c r="G905">
        <v>258</v>
      </c>
      <c r="H905">
        <v>0.1</v>
      </c>
      <c r="I905">
        <v>232.2</v>
      </c>
      <c r="J905">
        <v>7</v>
      </c>
      <c r="K905">
        <v>117.355694168216</v>
      </c>
      <c r="L905">
        <v>1625.4</v>
      </c>
      <c r="M905">
        <v>821.48985917751395</v>
      </c>
      <c r="N905">
        <v>803.910140822485</v>
      </c>
      <c r="O905" t="s">
        <v>26</v>
      </c>
      <c r="P905">
        <f t="shared" si="28"/>
        <v>1806</v>
      </c>
      <c r="Q905">
        <f t="shared" si="29"/>
        <v>-803.91014082248614</v>
      </c>
    </row>
    <row r="906" spans="1:17" x14ac:dyDescent="0.4">
      <c r="A906" t="s">
        <v>1824</v>
      </c>
      <c r="B906" s="1">
        <v>45468.791666666664</v>
      </c>
      <c r="C906" t="s">
        <v>22</v>
      </c>
      <c r="D906" t="s">
        <v>1825</v>
      </c>
      <c r="E906" t="s">
        <v>146</v>
      </c>
      <c r="F906" t="s">
        <v>70</v>
      </c>
      <c r="G906">
        <v>83</v>
      </c>
      <c r="H906">
        <v>0.05</v>
      </c>
      <c r="I906">
        <v>78.849999999999994</v>
      </c>
      <c r="J906">
        <v>5</v>
      </c>
      <c r="K906">
        <v>51.651310526497298</v>
      </c>
      <c r="L906">
        <v>394.25</v>
      </c>
      <c r="M906">
        <v>258.25655263248598</v>
      </c>
      <c r="N906">
        <v>135.993447367513</v>
      </c>
      <c r="O906" t="s">
        <v>20</v>
      </c>
      <c r="P906">
        <f t="shared" si="28"/>
        <v>415</v>
      </c>
      <c r="Q906">
        <f t="shared" si="29"/>
        <v>-135.99344736751402</v>
      </c>
    </row>
    <row r="907" spans="1:17" x14ac:dyDescent="0.4">
      <c r="A907" t="s">
        <v>1826</v>
      </c>
      <c r="B907" s="1">
        <v>45705.166666666664</v>
      </c>
      <c r="C907" t="s">
        <v>46</v>
      </c>
      <c r="D907" t="s">
        <v>515</v>
      </c>
      <c r="E907" t="s">
        <v>37</v>
      </c>
      <c r="F907" t="s">
        <v>38</v>
      </c>
      <c r="G907">
        <v>171</v>
      </c>
      <c r="H907">
        <v>0</v>
      </c>
      <c r="I907">
        <v>171</v>
      </c>
      <c r="J907">
        <v>4</v>
      </c>
      <c r="K907">
        <v>125.60882208962001</v>
      </c>
      <c r="L907">
        <v>684</v>
      </c>
      <c r="M907">
        <v>502.43528835848298</v>
      </c>
      <c r="N907">
        <v>181.564711641516</v>
      </c>
      <c r="O907" t="s">
        <v>26</v>
      </c>
      <c r="P907">
        <f t="shared" si="28"/>
        <v>684</v>
      </c>
      <c r="Q907">
        <f t="shared" si="29"/>
        <v>-181.56471164151702</v>
      </c>
    </row>
    <row r="908" spans="1:17" x14ac:dyDescent="0.4">
      <c r="A908" t="s">
        <v>1827</v>
      </c>
      <c r="B908" s="1">
        <v>45708</v>
      </c>
      <c r="C908" t="s">
        <v>16</v>
      </c>
      <c r="D908" t="s">
        <v>1828</v>
      </c>
      <c r="E908" t="s">
        <v>30</v>
      </c>
      <c r="F908" t="s">
        <v>31</v>
      </c>
      <c r="G908">
        <v>167</v>
      </c>
      <c r="H908">
        <v>0.15</v>
      </c>
      <c r="I908">
        <v>141.94999999999999</v>
      </c>
      <c r="J908">
        <v>7</v>
      </c>
      <c r="K908">
        <v>86.399980485974694</v>
      </c>
      <c r="L908">
        <v>993.64999999999895</v>
      </c>
      <c r="M908">
        <v>604.79986340182302</v>
      </c>
      <c r="N908">
        <v>388.85013659817599</v>
      </c>
      <c r="O908" t="s">
        <v>32</v>
      </c>
      <c r="P908">
        <f t="shared" si="28"/>
        <v>1169</v>
      </c>
      <c r="Q908">
        <f t="shared" si="29"/>
        <v>-388.85013659817594</v>
      </c>
    </row>
    <row r="909" spans="1:17" x14ac:dyDescent="0.4">
      <c r="A909" t="s">
        <v>1829</v>
      </c>
      <c r="B909" s="1">
        <v>45365.291666666664</v>
      </c>
      <c r="C909" t="s">
        <v>16</v>
      </c>
      <c r="D909" t="s">
        <v>1830</v>
      </c>
      <c r="E909" t="s">
        <v>48</v>
      </c>
      <c r="F909" t="s">
        <v>19</v>
      </c>
      <c r="G909">
        <v>93</v>
      </c>
      <c r="H909">
        <v>0</v>
      </c>
      <c r="I909">
        <v>93</v>
      </c>
      <c r="J909">
        <v>7</v>
      </c>
      <c r="K909">
        <v>48.808039551787999</v>
      </c>
      <c r="L909">
        <v>651</v>
      </c>
      <c r="M909">
        <v>341.65627686251599</v>
      </c>
      <c r="N909">
        <v>309.34372313748401</v>
      </c>
      <c r="O909" t="s">
        <v>32</v>
      </c>
      <c r="P909">
        <f t="shared" si="28"/>
        <v>651</v>
      </c>
      <c r="Q909">
        <f t="shared" si="29"/>
        <v>-309.34372313748401</v>
      </c>
    </row>
    <row r="910" spans="1:17" x14ac:dyDescent="0.4">
      <c r="A910" t="s">
        <v>1831</v>
      </c>
      <c r="B910" s="1">
        <v>45674.541666666664</v>
      </c>
      <c r="C910" t="s">
        <v>16</v>
      </c>
      <c r="D910" t="s">
        <v>1832</v>
      </c>
      <c r="E910" t="s">
        <v>73</v>
      </c>
      <c r="F910" t="s">
        <v>38</v>
      </c>
      <c r="G910">
        <v>131</v>
      </c>
      <c r="H910">
        <v>0.25</v>
      </c>
      <c r="I910">
        <v>98.25</v>
      </c>
      <c r="J910">
        <v>5</v>
      </c>
      <c r="K910">
        <v>83.754202955089795</v>
      </c>
      <c r="L910">
        <v>491.25</v>
      </c>
      <c r="M910">
        <v>418.77101477544898</v>
      </c>
      <c r="N910">
        <v>72.478985224550897</v>
      </c>
      <c r="O910" t="s">
        <v>32</v>
      </c>
      <c r="P910">
        <f t="shared" si="28"/>
        <v>655</v>
      </c>
      <c r="Q910">
        <f t="shared" si="29"/>
        <v>-72.478985224551025</v>
      </c>
    </row>
    <row r="911" spans="1:17" x14ac:dyDescent="0.4">
      <c r="A911" t="s">
        <v>1833</v>
      </c>
      <c r="B911" s="1">
        <v>45395.416666666664</v>
      </c>
      <c r="C911" t="s">
        <v>16</v>
      </c>
      <c r="D911" t="s">
        <v>1834</v>
      </c>
      <c r="E911" t="s">
        <v>60</v>
      </c>
      <c r="F911" t="s">
        <v>61</v>
      </c>
      <c r="G911">
        <v>339</v>
      </c>
      <c r="H911">
        <v>0.25</v>
      </c>
      <c r="I911">
        <v>254.25</v>
      </c>
      <c r="J911">
        <v>3</v>
      </c>
      <c r="K911">
        <v>159.57716752818999</v>
      </c>
      <c r="L911">
        <v>762.75</v>
      </c>
      <c r="M911">
        <v>478.73150258457002</v>
      </c>
      <c r="N911">
        <v>284.01849741542901</v>
      </c>
      <c r="O911" t="s">
        <v>32</v>
      </c>
      <c r="P911">
        <f t="shared" si="28"/>
        <v>1017</v>
      </c>
      <c r="Q911">
        <f t="shared" si="29"/>
        <v>-284.01849741542998</v>
      </c>
    </row>
    <row r="912" spans="1:17" x14ac:dyDescent="0.4">
      <c r="A912" t="s">
        <v>1835</v>
      </c>
      <c r="B912" s="1">
        <v>45331.625</v>
      </c>
      <c r="C912" t="s">
        <v>43</v>
      </c>
      <c r="D912" t="s">
        <v>1836</v>
      </c>
      <c r="E912" t="s">
        <v>213</v>
      </c>
      <c r="F912" t="s">
        <v>31</v>
      </c>
      <c r="G912">
        <v>81</v>
      </c>
      <c r="H912">
        <v>0.05</v>
      </c>
      <c r="I912">
        <v>76.95</v>
      </c>
      <c r="J912">
        <v>2</v>
      </c>
      <c r="K912">
        <v>34.380585451410099</v>
      </c>
      <c r="L912">
        <v>153.9</v>
      </c>
      <c r="M912">
        <v>68.761170902820297</v>
      </c>
      <c r="N912">
        <v>85.138829097179595</v>
      </c>
      <c r="O912" t="s">
        <v>32</v>
      </c>
      <c r="P912">
        <f t="shared" si="28"/>
        <v>162</v>
      </c>
      <c r="Q912">
        <f t="shared" si="29"/>
        <v>-85.138829097179709</v>
      </c>
    </row>
    <row r="913" spans="1:17" x14ac:dyDescent="0.4">
      <c r="A913" t="s">
        <v>1837</v>
      </c>
      <c r="B913" s="1">
        <v>45378.625</v>
      </c>
      <c r="C913" t="s">
        <v>65</v>
      </c>
      <c r="D913" t="s">
        <v>1838</v>
      </c>
      <c r="E913" t="s">
        <v>97</v>
      </c>
      <c r="F913" t="s">
        <v>61</v>
      </c>
      <c r="G913">
        <v>291</v>
      </c>
      <c r="H913">
        <v>0</v>
      </c>
      <c r="I913">
        <v>291</v>
      </c>
      <c r="J913">
        <v>2</v>
      </c>
      <c r="K913">
        <v>194.66368609329101</v>
      </c>
      <c r="L913">
        <v>582</v>
      </c>
      <c r="M913">
        <v>389.32737218658201</v>
      </c>
      <c r="N913">
        <v>192.67262781341699</v>
      </c>
      <c r="O913" t="s">
        <v>32</v>
      </c>
      <c r="P913">
        <f t="shared" si="28"/>
        <v>582</v>
      </c>
      <c r="Q913">
        <f t="shared" si="29"/>
        <v>-192.67262781341799</v>
      </c>
    </row>
    <row r="914" spans="1:17" x14ac:dyDescent="0.4">
      <c r="A914" t="s">
        <v>1839</v>
      </c>
      <c r="B914" s="1">
        <v>45405.208333333336</v>
      </c>
      <c r="C914" t="s">
        <v>22</v>
      </c>
      <c r="D914" t="s">
        <v>1840</v>
      </c>
      <c r="E914" t="s">
        <v>48</v>
      </c>
      <c r="F914" t="s">
        <v>19</v>
      </c>
      <c r="G914">
        <v>142</v>
      </c>
      <c r="H914">
        <v>0</v>
      </c>
      <c r="I914">
        <v>142</v>
      </c>
      <c r="J914">
        <v>2</v>
      </c>
      <c r="K914">
        <v>94.711112927927502</v>
      </c>
      <c r="L914">
        <v>284</v>
      </c>
      <c r="M914">
        <v>189.422225855855</v>
      </c>
      <c r="N914">
        <v>94.577774144144897</v>
      </c>
      <c r="O914" t="s">
        <v>26</v>
      </c>
      <c r="P914">
        <f t="shared" si="28"/>
        <v>284</v>
      </c>
      <c r="Q914">
        <f t="shared" si="29"/>
        <v>-94.577774144144996</v>
      </c>
    </row>
    <row r="915" spans="1:17" x14ac:dyDescent="0.4">
      <c r="A915" t="s">
        <v>1841</v>
      </c>
      <c r="B915" s="1">
        <v>45695.833333333336</v>
      </c>
      <c r="C915" t="s">
        <v>22</v>
      </c>
      <c r="D915" t="s">
        <v>1842</v>
      </c>
      <c r="E915" t="s">
        <v>115</v>
      </c>
      <c r="F915" t="s">
        <v>38</v>
      </c>
      <c r="G915">
        <v>181</v>
      </c>
      <c r="H915">
        <v>0.1</v>
      </c>
      <c r="I915">
        <v>162.9</v>
      </c>
      <c r="J915">
        <v>7</v>
      </c>
      <c r="K915">
        <v>113.92297646886701</v>
      </c>
      <c r="L915">
        <v>1140.3</v>
      </c>
      <c r="M915">
        <v>797.46083528206998</v>
      </c>
      <c r="N915">
        <v>342.83916471792901</v>
      </c>
      <c r="O915" t="s">
        <v>51</v>
      </c>
      <c r="P915">
        <f t="shared" si="28"/>
        <v>1267</v>
      </c>
      <c r="Q915">
        <f t="shared" si="29"/>
        <v>-342.83916471792998</v>
      </c>
    </row>
    <row r="916" spans="1:17" x14ac:dyDescent="0.4">
      <c r="A916" t="s">
        <v>1843</v>
      </c>
      <c r="B916" s="1">
        <v>45596.625</v>
      </c>
      <c r="C916" t="s">
        <v>46</v>
      </c>
      <c r="D916" t="s">
        <v>1844</v>
      </c>
      <c r="E916" t="s">
        <v>48</v>
      </c>
      <c r="F916" t="s">
        <v>19</v>
      </c>
      <c r="G916">
        <v>144</v>
      </c>
      <c r="H916">
        <v>0.15</v>
      </c>
      <c r="I916">
        <v>122.399999999999</v>
      </c>
      <c r="J916">
        <v>2</v>
      </c>
      <c r="K916">
        <v>82.653301191280093</v>
      </c>
      <c r="L916">
        <v>244.79999999999899</v>
      </c>
      <c r="M916">
        <v>165.30660238255999</v>
      </c>
      <c r="N916">
        <v>79.493397617439598</v>
      </c>
      <c r="O916" t="s">
        <v>51</v>
      </c>
      <c r="P916">
        <f t="shared" si="28"/>
        <v>288</v>
      </c>
      <c r="Q916">
        <f t="shared" si="29"/>
        <v>-79.493397617439001</v>
      </c>
    </row>
    <row r="917" spans="1:17" x14ac:dyDescent="0.4">
      <c r="A917" t="s">
        <v>1845</v>
      </c>
      <c r="B917" s="1">
        <v>45324</v>
      </c>
      <c r="C917" t="s">
        <v>22</v>
      </c>
      <c r="D917" t="s">
        <v>1846</v>
      </c>
      <c r="E917" t="s">
        <v>146</v>
      </c>
      <c r="F917" t="s">
        <v>70</v>
      </c>
      <c r="G917">
        <v>184</v>
      </c>
      <c r="H917">
        <v>0.1</v>
      </c>
      <c r="I917">
        <v>165.6</v>
      </c>
      <c r="J917">
        <v>2</v>
      </c>
      <c r="K917">
        <v>130.11030716750699</v>
      </c>
      <c r="L917">
        <v>331.2</v>
      </c>
      <c r="M917">
        <v>260.220614335015</v>
      </c>
      <c r="N917">
        <v>70.979385664984306</v>
      </c>
      <c r="O917" t="s">
        <v>26</v>
      </c>
      <c r="P917">
        <f t="shared" si="28"/>
        <v>368</v>
      </c>
      <c r="Q917">
        <f t="shared" si="29"/>
        <v>-70.979385664984989</v>
      </c>
    </row>
    <row r="918" spans="1:17" x14ac:dyDescent="0.4">
      <c r="A918" t="s">
        <v>1847</v>
      </c>
      <c r="B918" s="1">
        <v>45520.75</v>
      </c>
      <c r="C918" t="s">
        <v>28</v>
      </c>
      <c r="D918" t="s">
        <v>1848</v>
      </c>
      <c r="E918" t="s">
        <v>37</v>
      </c>
      <c r="F918" t="s">
        <v>38</v>
      </c>
      <c r="G918">
        <v>151</v>
      </c>
      <c r="H918">
        <v>0</v>
      </c>
      <c r="I918">
        <v>151</v>
      </c>
      <c r="J918">
        <v>2</v>
      </c>
      <c r="K918">
        <v>65.563829504190196</v>
      </c>
      <c r="L918">
        <v>302</v>
      </c>
      <c r="M918">
        <v>131.12765900837999</v>
      </c>
      <c r="N918">
        <v>170.87234099161901</v>
      </c>
      <c r="O918" t="s">
        <v>32</v>
      </c>
      <c r="P918">
        <f t="shared" si="28"/>
        <v>302</v>
      </c>
      <c r="Q918">
        <f t="shared" si="29"/>
        <v>-170.87234099162001</v>
      </c>
    </row>
    <row r="919" spans="1:17" x14ac:dyDescent="0.4">
      <c r="A919" t="s">
        <v>1849</v>
      </c>
      <c r="B919" s="1">
        <v>45939.25</v>
      </c>
      <c r="C919" t="s">
        <v>65</v>
      </c>
      <c r="D919" t="s">
        <v>1850</v>
      </c>
      <c r="E919" t="s">
        <v>115</v>
      </c>
      <c r="F919" t="s">
        <v>38</v>
      </c>
      <c r="G919">
        <v>225</v>
      </c>
      <c r="H919">
        <v>0</v>
      </c>
      <c r="I919">
        <v>225</v>
      </c>
      <c r="J919">
        <v>2</v>
      </c>
      <c r="K919">
        <v>152.98131599512499</v>
      </c>
      <c r="L919">
        <v>450</v>
      </c>
      <c r="M919">
        <v>305.96263199024997</v>
      </c>
      <c r="N919">
        <v>144.037368009749</v>
      </c>
      <c r="O919" t="s">
        <v>32</v>
      </c>
      <c r="P919">
        <f t="shared" si="28"/>
        <v>450</v>
      </c>
      <c r="Q919">
        <f t="shared" si="29"/>
        <v>-144.03736800975003</v>
      </c>
    </row>
    <row r="920" spans="1:17" x14ac:dyDescent="0.4">
      <c r="A920" t="s">
        <v>1851</v>
      </c>
      <c r="B920" s="1">
        <v>45568.875</v>
      </c>
      <c r="C920" t="s">
        <v>28</v>
      </c>
      <c r="D920" t="s">
        <v>1852</v>
      </c>
      <c r="E920" t="s">
        <v>69</v>
      </c>
      <c r="F920" t="s">
        <v>70</v>
      </c>
      <c r="G920">
        <v>325</v>
      </c>
      <c r="H920">
        <v>0.15</v>
      </c>
      <c r="I920">
        <v>276.25</v>
      </c>
      <c r="J920">
        <v>6</v>
      </c>
      <c r="K920">
        <v>231.760508093673</v>
      </c>
      <c r="L920">
        <v>1657.5</v>
      </c>
      <c r="M920">
        <v>1390.56304856203</v>
      </c>
      <c r="N920">
        <v>266.936951437961</v>
      </c>
      <c r="O920" t="s">
        <v>105</v>
      </c>
      <c r="P920">
        <f t="shared" si="28"/>
        <v>1950</v>
      </c>
      <c r="Q920">
        <f t="shared" si="29"/>
        <v>-266.93695143797004</v>
      </c>
    </row>
    <row r="921" spans="1:17" x14ac:dyDescent="0.4">
      <c r="A921" t="s">
        <v>1853</v>
      </c>
      <c r="B921" s="1">
        <v>45510</v>
      </c>
      <c r="C921" t="s">
        <v>43</v>
      </c>
      <c r="D921" t="s">
        <v>1854</v>
      </c>
      <c r="E921" t="s">
        <v>115</v>
      </c>
      <c r="F921" t="s">
        <v>38</v>
      </c>
      <c r="G921">
        <v>207</v>
      </c>
      <c r="H921">
        <v>0.2</v>
      </c>
      <c r="I921">
        <v>165.6</v>
      </c>
      <c r="J921">
        <v>2</v>
      </c>
      <c r="K921">
        <v>119.378180353655</v>
      </c>
      <c r="L921">
        <v>331.2</v>
      </c>
      <c r="M921">
        <v>238.75636070730999</v>
      </c>
      <c r="N921">
        <v>92.443639292689994</v>
      </c>
      <c r="O921" t="s">
        <v>32</v>
      </c>
      <c r="P921">
        <f t="shared" si="28"/>
        <v>414</v>
      </c>
      <c r="Q921">
        <f t="shared" si="29"/>
        <v>-92.443639292689994</v>
      </c>
    </row>
    <row r="922" spans="1:17" x14ac:dyDescent="0.4">
      <c r="A922" t="s">
        <v>1855</v>
      </c>
      <c r="B922" s="1">
        <v>45770.541666666664</v>
      </c>
      <c r="C922" t="s">
        <v>65</v>
      </c>
      <c r="D922" t="s">
        <v>1856</v>
      </c>
      <c r="E922" t="s">
        <v>146</v>
      </c>
      <c r="F922" t="s">
        <v>70</v>
      </c>
      <c r="G922">
        <v>303</v>
      </c>
      <c r="H922">
        <v>0.05</v>
      </c>
      <c r="I922">
        <v>287.849999999999</v>
      </c>
      <c r="J922">
        <v>5</v>
      </c>
      <c r="K922">
        <v>179.89764315458501</v>
      </c>
      <c r="L922">
        <v>1439.24999999999</v>
      </c>
      <c r="M922">
        <v>899.48821577292597</v>
      </c>
      <c r="N922">
        <v>539.76178422707301</v>
      </c>
      <c r="O922" t="s">
        <v>32</v>
      </c>
      <c r="P922">
        <f t="shared" si="28"/>
        <v>1515</v>
      </c>
      <c r="Q922">
        <f t="shared" si="29"/>
        <v>-539.76178422706403</v>
      </c>
    </row>
    <row r="923" spans="1:17" x14ac:dyDescent="0.4">
      <c r="A923" t="s">
        <v>1857</v>
      </c>
      <c r="B923" s="1">
        <v>45533.541666666664</v>
      </c>
      <c r="C923" t="s">
        <v>43</v>
      </c>
      <c r="D923" t="s">
        <v>1858</v>
      </c>
      <c r="E923" t="s">
        <v>48</v>
      </c>
      <c r="F923" t="s">
        <v>19</v>
      </c>
      <c r="G923">
        <v>139</v>
      </c>
      <c r="H923">
        <v>0.1</v>
      </c>
      <c r="I923">
        <v>125.1</v>
      </c>
      <c r="J923">
        <v>5</v>
      </c>
      <c r="K923">
        <v>65.181794109654305</v>
      </c>
      <c r="L923">
        <v>625.5</v>
      </c>
      <c r="M923">
        <v>325.90897054827099</v>
      </c>
      <c r="N923">
        <v>299.59102945172799</v>
      </c>
      <c r="O923" t="s">
        <v>32</v>
      </c>
      <c r="P923">
        <f t="shared" si="28"/>
        <v>695</v>
      </c>
      <c r="Q923">
        <f t="shared" si="29"/>
        <v>-299.59102945172901</v>
      </c>
    </row>
    <row r="924" spans="1:17" x14ac:dyDescent="0.4">
      <c r="A924" t="s">
        <v>1859</v>
      </c>
      <c r="B924" s="1">
        <v>45806.25</v>
      </c>
      <c r="C924" t="s">
        <v>46</v>
      </c>
      <c r="D924" t="s">
        <v>1860</v>
      </c>
      <c r="E924" t="s">
        <v>85</v>
      </c>
      <c r="F924" t="s">
        <v>70</v>
      </c>
      <c r="G924">
        <v>332</v>
      </c>
      <c r="H924">
        <v>0.1</v>
      </c>
      <c r="I924">
        <v>298.8</v>
      </c>
      <c r="J924">
        <v>4</v>
      </c>
      <c r="K924">
        <v>156.45082771238501</v>
      </c>
      <c r="L924">
        <v>1195.2</v>
      </c>
      <c r="M924">
        <v>625.80331084954298</v>
      </c>
      <c r="N924">
        <v>569.39668915045695</v>
      </c>
      <c r="O924" t="s">
        <v>32</v>
      </c>
      <c r="P924">
        <f t="shared" si="28"/>
        <v>1328</v>
      </c>
      <c r="Q924">
        <f t="shared" si="29"/>
        <v>-569.39668915045706</v>
      </c>
    </row>
    <row r="925" spans="1:17" x14ac:dyDescent="0.4">
      <c r="A925" t="s">
        <v>1861</v>
      </c>
      <c r="B925" s="1">
        <v>45626.916666666664</v>
      </c>
      <c r="C925" t="s">
        <v>46</v>
      </c>
      <c r="D925" t="s">
        <v>1862</v>
      </c>
      <c r="E925" t="s">
        <v>37</v>
      </c>
      <c r="F925" t="s">
        <v>38</v>
      </c>
      <c r="G925">
        <v>266</v>
      </c>
      <c r="H925">
        <v>0.25</v>
      </c>
      <c r="I925">
        <v>199.5</v>
      </c>
      <c r="J925">
        <v>3</v>
      </c>
      <c r="K925">
        <v>157.99320108198401</v>
      </c>
      <c r="L925">
        <v>598.5</v>
      </c>
      <c r="M925">
        <v>473.97960324595198</v>
      </c>
      <c r="N925">
        <v>124.520396754047</v>
      </c>
      <c r="O925" t="s">
        <v>32</v>
      </c>
      <c r="P925">
        <f t="shared" si="28"/>
        <v>798</v>
      </c>
      <c r="Q925">
        <f t="shared" si="29"/>
        <v>-124.52039675404802</v>
      </c>
    </row>
    <row r="926" spans="1:17" x14ac:dyDescent="0.4">
      <c r="A926" t="s">
        <v>1863</v>
      </c>
      <c r="B926" s="1">
        <v>45958.75</v>
      </c>
      <c r="C926" t="s">
        <v>16</v>
      </c>
      <c r="D926" t="s">
        <v>1864</v>
      </c>
      <c r="E926" t="s">
        <v>110</v>
      </c>
      <c r="F926" t="s">
        <v>19</v>
      </c>
      <c r="G926">
        <v>289</v>
      </c>
      <c r="H926">
        <v>0.2</v>
      </c>
      <c r="I926">
        <v>231.2</v>
      </c>
      <c r="J926">
        <v>4</v>
      </c>
      <c r="K926">
        <v>137.962128074091</v>
      </c>
      <c r="L926">
        <v>924.8</v>
      </c>
      <c r="M926">
        <v>551.84851229636604</v>
      </c>
      <c r="N926">
        <v>372.95148770363301</v>
      </c>
      <c r="O926" t="s">
        <v>32</v>
      </c>
      <c r="P926">
        <f t="shared" si="28"/>
        <v>1156</v>
      </c>
      <c r="Q926">
        <f t="shared" si="29"/>
        <v>-372.95148770363392</v>
      </c>
    </row>
    <row r="927" spans="1:17" x14ac:dyDescent="0.4">
      <c r="A927" t="s">
        <v>1865</v>
      </c>
      <c r="B927" s="1">
        <v>45837.291666666664</v>
      </c>
      <c r="C927" t="s">
        <v>43</v>
      </c>
      <c r="D927" t="s">
        <v>1866</v>
      </c>
      <c r="E927" t="s">
        <v>110</v>
      </c>
      <c r="F927" t="s">
        <v>19</v>
      </c>
      <c r="G927">
        <v>110</v>
      </c>
      <c r="H927">
        <v>0</v>
      </c>
      <c r="I927">
        <v>110</v>
      </c>
      <c r="J927">
        <v>4</v>
      </c>
      <c r="K927">
        <v>49.713465314719201</v>
      </c>
      <c r="L927">
        <v>440</v>
      </c>
      <c r="M927">
        <v>198.853861258877</v>
      </c>
      <c r="N927">
        <v>241.146138741122</v>
      </c>
      <c r="O927" t="s">
        <v>51</v>
      </c>
      <c r="P927">
        <f t="shared" si="28"/>
        <v>440</v>
      </c>
      <c r="Q927">
        <f t="shared" si="29"/>
        <v>-241.146138741123</v>
      </c>
    </row>
    <row r="928" spans="1:17" x14ac:dyDescent="0.4">
      <c r="A928" t="s">
        <v>1867</v>
      </c>
      <c r="B928" s="1">
        <v>45495.041666666664</v>
      </c>
      <c r="C928" t="s">
        <v>22</v>
      </c>
      <c r="D928" t="s">
        <v>1868</v>
      </c>
      <c r="E928" t="s">
        <v>18</v>
      </c>
      <c r="F928" t="s">
        <v>19</v>
      </c>
      <c r="G928">
        <v>107</v>
      </c>
      <c r="H928">
        <v>0.1</v>
      </c>
      <c r="I928">
        <v>96.3</v>
      </c>
      <c r="J928">
        <v>6</v>
      </c>
      <c r="K928">
        <v>46.055886547924899</v>
      </c>
      <c r="L928">
        <v>577.79999999999995</v>
      </c>
      <c r="M928">
        <v>276.335319287549</v>
      </c>
      <c r="N928">
        <v>301.46468071244999</v>
      </c>
      <c r="O928" t="s">
        <v>32</v>
      </c>
      <c r="P928">
        <f t="shared" si="28"/>
        <v>642</v>
      </c>
      <c r="Q928">
        <f t="shared" si="29"/>
        <v>-301.46468071245096</v>
      </c>
    </row>
    <row r="929" spans="1:17" x14ac:dyDescent="0.4">
      <c r="A929" t="s">
        <v>1869</v>
      </c>
      <c r="B929" s="1">
        <v>45353.708333333336</v>
      </c>
      <c r="C929" t="s">
        <v>46</v>
      </c>
      <c r="D929" t="s">
        <v>1870</v>
      </c>
      <c r="E929" t="s">
        <v>146</v>
      </c>
      <c r="F929" t="s">
        <v>70</v>
      </c>
      <c r="G929">
        <v>209</v>
      </c>
      <c r="H929">
        <v>0</v>
      </c>
      <c r="I929">
        <v>209</v>
      </c>
      <c r="J929">
        <v>2</v>
      </c>
      <c r="K929">
        <v>84.033345387960196</v>
      </c>
      <c r="L929">
        <v>418</v>
      </c>
      <c r="M929">
        <v>168.06669077591999</v>
      </c>
      <c r="N929">
        <v>249.93330922407901</v>
      </c>
      <c r="O929" t="s">
        <v>32</v>
      </c>
      <c r="P929">
        <f t="shared" si="28"/>
        <v>418</v>
      </c>
      <c r="Q929">
        <f t="shared" si="29"/>
        <v>-249.93330922408001</v>
      </c>
    </row>
    <row r="930" spans="1:17" x14ac:dyDescent="0.4">
      <c r="A930" t="s">
        <v>1871</v>
      </c>
      <c r="B930" s="1">
        <v>45712.541666666664</v>
      </c>
      <c r="C930" t="s">
        <v>28</v>
      </c>
      <c r="D930" t="s">
        <v>630</v>
      </c>
      <c r="E930" t="s">
        <v>69</v>
      </c>
      <c r="F930" t="s">
        <v>70</v>
      </c>
      <c r="G930">
        <v>312</v>
      </c>
      <c r="H930">
        <v>0.2</v>
      </c>
      <c r="I930">
        <v>249.6</v>
      </c>
      <c r="J930">
        <v>6</v>
      </c>
      <c r="K930">
        <v>150.708176511359</v>
      </c>
      <c r="L930">
        <v>1497.6</v>
      </c>
      <c r="M930">
        <v>904.24905906815604</v>
      </c>
      <c r="N930">
        <v>593.35094093184296</v>
      </c>
      <c r="O930" t="s">
        <v>26</v>
      </c>
      <c r="P930">
        <f t="shared" si="28"/>
        <v>1872</v>
      </c>
      <c r="Q930">
        <f t="shared" si="29"/>
        <v>-593.35094093184387</v>
      </c>
    </row>
    <row r="931" spans="1:17" x14ac:dyDescent="0.4">
      <c r="A931" t="s">
        <v>1872</v>
      </c>
      <c r="B931" s="1">
        <v>45892.916666666664</v>
      </c>
      <c r="C931" t="s">
        <v>22</v>
      </c>
      <c r="D931" t="s">
        <v>1873</v>
      </c>
      <c r="E931" t="s">
        <v>104</v>
      </c>
      <c r="F931" t="s">
        <v>25</v>
      </c>
      <c r="G931">
        <v>180</v>
      </c>
      <c r="H931">
        <v>0.2</v>
      </c>
      <c r="I931">
        <v>144</v>
      </c>
      <c r="J931">
        <v>4</v>
      </c>
      <c r="K931">
        <v>117.184811553656</v>
      </c>
      <c r="L931">
        <v>576</v>
      </c>
      <c r="M931">
        <v>468.73924621462498</v>
      </c>
      <c r="N931">
        <v>107.26075378537401</v>
      </c>
      <c r="O931" t="s">
        <v>51</v>
      </c>
      <c r="P931">
        <f t="shared" si="28"/>
        <v>720</v>
      </c>
      <c r="Q931">
        <f t="shared" si="29"/>
        <v>-107.26075378537502</v>
      </c>
    </row>
    <row r="932" spans="1:17" x14ac:dyDescent="0.4">
      <c r="A932" t="s">
        <v>1874</v>
      </c>
      <c r="B932" s="1">
        <v>45976.916666666664</v>
      </c>
      <c r="C932" t="s">
        <v>65</v>
      </c>
      <c r="D932" t="s">
        <v>1875</v>
      </c>
      <c r="E932" t="s">
        <v>69</v>
      </c>
      <c r="F932" t="s">
        <v>70</v>
      </c>
      <c r="G932">
        <v>112</v>
      </c>
      <c r="H932">
        <v>0</v>
      </c>
      <c r="I932">
        <v>112</v>
      </c>
      <c r="J932">
        <v>4</v>
      </c>
      <c r="K932">
        <v>79.427308280066399</v>
      </c>
      <c r="L932">
        <v>448</v>
      </c>
      <c r="M932">
        <v>317.70923312026503</v>
      </c>
      <c r="N932">
        <v>130.29076687973401</v>
      </c>
      <c r="O932" t="s">
        <v>32</v>
      </c>
      <c r="P932">
        <f t="shared" si="28"/>
        <v>448</v>
      </c>
      <c r="Q932">
        <f t="shared" si="29"/>
        <v>-130.29076687973497</v>
      </c>
    </row>
    <row r="933" spans="1:17" x14ac:dyDescent="0.4">
      <c r="A933" t="s">
        <v>1876</v>
      </c>
      <c r="B933" s="1">
        <v>45610.458333333336</v>
      </c>
      <c r="C933" t="s">
        <v>65</v>
      </c>
      <c r="D933" t="s">
        <v>1877</v>
      </c>
      <c r="E933" t="s">
        <v>60</v>
      </c>
      <c r="F933" t="s">
        <v>61</v>
      </c>
      <c r="G933">
        <v>304</v>
      </c>
      <c r="H933">
        <v>0</v>
      </c>
      <c r="I933">
        <v>304</v>
      </c>
      <c r="J933">
        <v>4</v>
      </c>
      <c r="K933">
        <v>198.678537004655</v>
      </c>
      <c r="L933">
        <v>1216</v>
      </c>
      <c r="M933">
        <v>794.71414801861999</v>
      </c>
      <c r="N933">
        <v>421.28585198137898</v>
      </c>
      <c r="O933" t="s">
        <v>32</v>
      </c>
      <c r="P933">
        <f t="shared" si="28"/>
        <v>1216</v>
      </c>
      <c r="Q933">
        <f t="shared" si="29"/>
        <v>-421.28585198138001</v>
      </c>
    </row>
    <row r="934" spans="1:17" x14ac:dyDescent="0.4">
      <c r="A934" t="s">
        <v>1878</v>
      </c>
      <c r="B934" s="1">
        <v>45946.5</v>
      </c>
      <c r="C934" t="s">
        <v>28</v>
      </c>
      <c r="D934" t="s">
        <v>1879</v>
      </c>
      <c r="E934" t="s">
        <v>85</v>
      </c>
      <c r="F934" t="s">
        <v>70</v>
      </c>
      <c r="G934">
        <v>335</v>
      </c>
      <c r="H934">
        <v>0.1</v>
      </c>
      <c r="I934">
        <v>301.5</v>
      </c>
      <c r="J934">
        <v>4</v>
      </c>
      <c r="K934">
        <v>179.242020141533</v>
      </c>
      <c r="L934">
        <v>1206</v>
      </c>
      <c r="M934">
        <v>716.96808056613497</v>
      </c>
      <c r="N934">
        <v>489.031919433864</v>
      </c>
      <c r="O934" t="s">
        <v>32</v>
      </c>
      <c r="P934">
        <f t="shared" si="28"/>
        <v>1340</v>
      </c>
      <c r="Q934">
        <f t="shared" si="29"/>
        <v>-489.03191943386503</v>
      </c>
    </row>
    <row r="935" spans="1:17" x14ac:dyDescent="0.4">
      <c r="A935" t="s">
        <v>1880</v>
      </c>
      <c r="B935" s="1">
        <v>45761.625</v>
      </c>
      <c r="C935" t="s">
        <v>28</v>
      </c>
      <c r="D935" t="s">
        <v>1881</v>
      </c>
      <c r="E935" t="s">
        <v>146</v>
      </c>
      <c r="F935" t="s">
        <v>70</v>
      </c>
      <c r="G935">
        <v>292</v>
      </c>
      <c r="H935">
        <v>0.05</v>
      </c>
      <c r="I935">
        <v>277.39999999999998</v>
      </c>
      <c r="J935">
        <v>3</v>
      </c>
      <c r="K935">
        <v>159.59716882732701</v>
      </c>
      <c r="L935">
        <v>832.19999999999902</v>
      </c>
      <c r="M935">
        <v>478.79150648198203</v>
      </c>
      <c r="N935">
        <v>353.408493518017</v>
      </c>
      <c r="O935" t="s">
        <v>32</v>
      </c>
      <c r="P935">
        <f t="shared" si="28"/>
        <v>876</v>
      </c>
      <c r="Q935">
        <f t="shared" si="29"/>
        <v>-353.408493518017</v>
      </c>
    </row>
    <row r="936" spans="1:17" x14ac:dyDescent="0.4">
      <c r="A936" t="s">
        <v>1882</v>
      </c>
      <c r="B936" s="1">
        <v>46009.333333333336</v>
      </c>
      <c r="C936" t="s">
        <v>22</v>
      </c>
      <c r="D936" t="s">
        <v>1883</v>
      </c>
      <c r="E936" t="s">
        <v>73</v>
      </c>
      <c r="F936" t="s">
        <v>38</v>
      </c>
      <c r="G936">
        <v>146</v>
      </c>
      <c r="H936">
        <v>0</v>
      </c>
      <c r="I936">
        <v>146</v>
      </c>
      <c r="J936">
        <v>3</v>
      </c>
      <c r="K936">
        <v>89.556088791928403</v>
      </c>
      <c r="L936">
        <v>438</v>
      </c>
      <c r="M936">
        <v>268.66826637578498</v>
      </c>
      <c r="N936">
        <v>169.331733624214</v>
      </c>
      <c r="O936" t="s">
        <v>20</v>
      </c>
      <c r="P936">
        <f t="shared" si="28"/>
        <v>438</v>
      </c>
      <c r="Q936">
        <f t="shared" si="29"/>
        <v>-169.33173362421502</v>
      </c>
    </row>
    <row r="937" spans="1:17" x14ac:dyDescent="0.4">
      <c r="A937" t="s">
        <v>1884</v>
      </c>
      <c r="B937" s="1">
        <v>45817</v>
      </c>
      <c r="C937" t="s">
        <v>28</v>
      </c>
      <c r="D937" t="s">
        <v>1050</v>
      </c>
      <c r="E937" t="s">
        <v>104</v>
      </c>
      <c r="F937" t="s">
        <v>25</v>
      </c>
      <c r="G937">
        <v>146</v>
      </c>
      <c r="H937">
        <v>0</v>
      </c>
      <c r="I937">
        <v>146</v>
      </c>
      <c r="J937">
        <v>7</v>
      </c>
      <c r="K937">
        <v>69.1255242417853</v>
      </c>
      <c r="L937">
        <v>1022</v>
      </c>
      <c r="M937">
        <v>483.878669692497</v>
      </c>
      <c r="N937">
        <v>538.12133030750203</v>
      </c>
      <c r="O937" t="s">
        <v>51</v>
      </c>
      <c r="P937">
        <f t="shared" si="28"/>
        <v>1022</v>
      </c>
      <c r="Q937">
        <f t="shared" si="29"/>
        <v>-538.12133030750306</v>
      </c>
    </row>
    <row r="938" spans="1:17" x14ac:dyDescent="0.4">
      <c r="A938" t="s">
        <v>1885</v>
      </c>
      <c r="B938" s="1">
        <v>45750.25</v>
      </c>
      <c r="C938" t="s">
        <v>22</v>
      </c>
      <c r="D938" t="s">
        <v>1886</v>
      </c>
      <c r="E938" t="s">
        <v>37</v>
      </c>
      <c r="F938" t="s">
        <v>38</v>
      </c>
      <c r="G938">
        <v>314</v>
      </c>
      <c r="H938">
        <v>0.2</v>
      </c>
      <c r="I938">
        <v>251.2</v>
      </c>
      <c r="J938">
        <v>1</v>
      </c>
      <c r="K938">
        <v>128.49012016264501</v>
      </c>
      <c r="L938">
        <v>251.2</v>
      </c>
      <c r="M938">
        <v>128.49012016264501</v>
      </c>
      <c r="N938">
        <v>122.70987983735399</v>
      </c>
      <c r="O938" t="s">
        <v>26</v>
      </c>
      <c r="P938">
        <f t="shared" si="28"/>
        <v>314</v>
      </c>
      <c r="Q938">
        <f t="shared" si="29"/>
        <v>-122.70987983735498</v>
      </c>
    </row>
    <row r="939" spans="1:17" x14ac:dyDescent="0.4">
      <c r="A939" t="s">
        <v>1887</v>
      </c>
      <c r="B939" s="1">
        <v>45887.625</v>
      </c>
      <c r="C939" t="s">
        <v>28</v>
      </c>
      <c r="D939" t="s">
        <v>1888</v>
      </c>
      <c r="E939" t="s">
        <v>94</v>
      </c>
      <c r="F939" t="s">
        <v>61</v>
      </c>
      <c r="G939">
        <v>138</v>
      </c>
      <c r="H939">
        <v>0.1</v>
      </c>
      <c r="I939">
        <v>124.2</v>
      </c>
      <c r="J939">
        <v>4</v>
      </c>
      <c r="K939">
        <v>81.052707082595603</v>
      </c>
      <c r="L939">
        <v>496.8</v>
      </c>
      <c r="M939">
        <v>324.21082833038201</v>
      </c>
      <c r="N939">
        <v>172.589171669617</v>
      </c>
      <c r="O939" t="s">
        <v>32</v>
      </c>
      <c r="P939">
        <f t="shared" si="28"/>
        <v>552</v>
      </c>
      <c r="Q939">
        <f t="shared" si="29"/>
        <v>-172.589171669618</v>
      </c>
    </row>
    <row r="940" spans="1:17" x14ac:dyDescent="0.4">
      <c r="A940" t="s">
        <v>1889</v>
      </c>
      <c r="B940" s="1">
        <v>45737.083333333336</v>
      </c>
      <c r="C940" t="s">
        <v>28</v>
      </c>
      <c r="D940" t="s">
        <v>1890</v>
      </c>
      <c r="E940" t="s">
        <v>97</v>
      </c>
      <c r="F940" t="s">
        <v>61</v>
      </c>
      <c r="G940">
        <v>253</v>
      </c>
      <c r="H940">
        <v>0.2</v>
      </c>
      <c r="I940">
        <v>202.4</v>
      </c>
      <c r="J940">
        <v>4</v>
      </c>
      <c r="K940">
        <v>132.30264134868801</v>
      </c>
      <c r="L940">
        <v>809.6</v>
      </c>
      <c r="M940">
        <v>529.21056539475398</v>
      </c>
      <c r="N940">
        <v>280.38943460524501</v>
      </c>
      <c r="O940" t="s">
        <v>32</v>
      </c>
      <c r="P940">
        <f t="shared" si="28"/>
        <v>1012</v>
      </c>
      <c r="Q940">
        <f t="shared" si="29"/>
        <v>-280.38943460524604</v>
      </c>
    </row>
    <row r="941" spans="1:17" x14ac:dyDescent="0.4">
      <c r="A941" t="s">
        <v>1891</v>
      </c>
      <c r="B941" s="1">
        <v>45974.5</v>
      </c>
      <c r="C941" t="s">
        <v>43</v>
      </c>
      <c r="D941" t="s">
        <v>1892</v>
      </c>
      <c r="E941" t="s">
        <v>97</v>
      </c>
      <c r="F941" t="s">
        <v>61</v>
      </c>
      <c r="G941">
        <v>108</v>
      </c>
      <c r="H941">
        <v>0.1</v>
      </c>
      <c r="I941">
        <v>97.2</v>
      </c>
      <c r="J941">
        <v>7</v>
      </c>
      <c r="K941">
        <v>61.941976066114698</v>
      </c>
      <c r="L941">
        <v>680.4</v>
      </c>
      <c r="M941">
        <v>433.59383246280299</v>
      </c>
      <c r="N941">
        <v>246.80616753719599</v>
      </c>
      <c r="O941" t="s">
        <v>32</v>
      </c>
      <c r="P941">
        <f t="shared" si="28"/>
        <v>756</v>
      </c>
      <c r="Q941">
        <f t="shared" si="29"/>
        <v>-246.80616753719698</v>
      </c>
    </row>
    <row r="942" spans="1:17" x14ac:dyDescent="0.4">
      <c r="A942" t="s">
        <v>1893</v>
      </c>
      <c r="B942" s="1">
        <v>45646.958333333336</v>
      </c>
      <c r="C942" t="s">
        <v>46</v>
      </c>
      <c r="D942" t="s">
        <v>1894</v>
      </c>
      <c r="E942" t="s">
        <v>97</v>
      </c>
      <c r="F942" t="s">
        <v>61</v>
      </c>
      <c r="G942">
        <v>239</v>
      </c>
      <c r="H942">
        <v>0</v>
      </c>
      <c r="I942">
        <v>239</v>
      </c>
      <c r="J942">
        <v>4</v>
      </c>
      <c r="K942">
        <v>122.659751261449</v>
      </c>
      <c r="L942">
        <v>956</v>
      </c>
      <c r="M942">
        <v>490.63900504579601</v>
      </c>
      <c r="N942">
        <v>465.36099495420302</v>
      </c>
      <c r="O942" t="s">
        <v>26</v>
      </c>
      <c r="P942">
        <f t="shared" si="28"/>
        <v>956</v>
      </c>
      <c r="Q942">
        <f t="shared" si="29"/>
        <v>-465.36099495420399</v>
      </c>
    </row>
    <row r="943" spans="1:17" x14ac:dyDescent="0.4">
      <c r="A943" t="s">
        <v>1895</v>
      </c>
      <c r="B943" s="1">
        <v>45429.5</v>
      </c>
      <c r="C943" t="s">
        <v>16</v>
      </c>
      <c r="D943" t="s">
        <v>1896</v>
      </c>
      <c r="E943" t="s">
        <v>18</v>
      </c>
      <c r="F943" t="s">
        <v>19</v>
      </c>
      <c r="G943">
        <v>172</v>
      </c>
      <c r="H943">
        <v>0.2</v>
      </c>
      <c r="I943">
        <v>137.6</v>
      </c>
      <c r="J943">
        <v>4</v>
      </c>
      <c r="K943">
        <v>84.347514344807195</v>
      </c>
      <c r="L943">
        <v>550.4</v>
      </c>
      <c r="M943">
        <v>337.39005737922901</v>
      </c>
      <c r="N943">
        <v>213.00994262077</v>
      </c>
      <c r="O943" t="s">
        <v>105</v>
      </c>
      <c r="P943">
        <f t="shared" si="28"/>
        <v>688</v>
      </c>
      <c r="Q943">
        <f t="shared" si="29"/>
        <v>-213.00994262077097</v>
      </c>
    </row>
    <row r="944" spans="1:17" x14ac:dyDescent="0.4">
      <c r="A944" t="s">
        <v>1897</v>
      </c>
      <c r="B944" s="1">
        <v>45572.083333333336</v>
      </c>
      <c r="C944" t="s">
        <v>22</v>
      </c>
      <c r="D944" t="s">
        <v>1898</v>
      </c>
      <c r="E944" t="s">
        <v>85</v>
      </c>
      <c r="F944" t="s">
        <v>70</v>
      </c>
      <c r="G944">
        <v>93</v>
      </c>
      <c r="H944">
        <v>0.2</v>
      </c>
      <c r="I944">
        <v>74.400000000000006</v>
      </c>
      <c r="J944">
        <v>2</v>
      </c>
      <c r="K944">
        <v>41.20075899175</v>
      </c>
      <c r="L944">
        <v>148.80000000000001</v>
      </c>
      <c r="M944">
        <v>82.401517983500099</v>
      </c>
      <c r="N944">
        <v>66.398482016499798</v>
      </c>
      <c r="O944" t="s">
        <v>32</v>
      </c>
      <c r="P944">
        <f t="shared" si="28"/>
        <v>186</v>
      </c>
      <c r="Q944">
        <f t="shared" si="29"/>
        <v>-66.398482016499912</v>
      </c>
    </row>
    <row r="945" spans="1:17" x14ac:dyDescent="0.4">
      <c r="A945" t="s">
        <v>1899</v>
      </c>
      <c r="B945" s="1">
        <v>45592.75</v>
      </c>
      <c r="C945" t="s">
        <v>28</v>
      </c>
      <c r="D945" t="s">
        <v>1900</v>
      </c>
      <c r="E945" t="s">
        <v>48</v>
      </c>
      <c r="F945" t="s">
        <v>19</v>
      </c>
      <c r="G945">
        <v>86</v>
      </c>
      <c r="H945">
        <v>0.1</v>
      </c>
      <c r="I945">
        <v>77.400000000000006</v>
      </c>
      <c r="J945">
        <v>3</v>
      </c>
      <c r="K945">
        <v>41.528069116358402</v>
      </c>
      <c r="L945">
        <v>232.2</v>
      </c>
      <c r="M945">
        <v>124.584207349075</v>
      </c>
      <c r="N945">
        <v>107.61579265092401</v>
      </c>
      <c r="O945" t="s">
        <v>32</v>
      </c>
      <c r="P945">
        <f t="shared" si="28"/>
        <v>258</v>
      </c>
      <c r="Q945">
        <f t="shared" si="29"/>
        <v>-107.61579265092499</v>
      </c>
    </row>
    <row r="946" spans="1:17" x14ac:dyDescent="0.4">
      <c r="A946" t="s">
        <v>1901</v>
      </c>
      <c r="B946" s="1">
        <v>45419.25</v>
      </c>
      <c r="C946" t="s">
        <v>22</v>
      </c>
      <c r="D946" t="s">
        <v>1902</v>
      </c>
      <c r="E946" t="s">
        <v>69</v>
      </c>
      <c r="F946" t="s">
        <v>70</v>
      </c>
      <c r="G946">
        <v>133</v>
      </c>
      <c r="H946">
        <v>0</v>
      </c>
      <c r="I946">
        <v>133</v>
      </c>
      <c r="J946">
        <v>3</v>
      </c>
      <c r="K946">
        <v>71.141352192425799</v>
      </c>
      <c r="L946">
        <v>399</v>
      </c>
      <c r="M946">
        <v>213.42405657727701</v>
      </c>
      <c r="N946">
        <v>185.57594342272199</v>
      </c>
      <c r="O946" t="s">
        <v>51</v>
      </c>
      <c r="P946">
        <f t="shared" si="28"/>
        <v>399</v>
      </c>
      <c r="Q946">
        <f t="shared" si="29"/>
        <v>-185.57594342272299</v>
      </c>
    </row>
    <row r="947" spans="1:17" x14ac:dyDescent="0.4">
      <c r="A947" t="s">
        <v>1903</v>
      </c>
      <c r="B947" s="1">
        <v>45857.625</v>
      </c>
      <c r="C947" t="s">
        <v>22</v>
      </c>
      <c r="D947" t="s">
        <v>1904</v>
      </c>
      <c r="E947" t="s">
        <v>94</v>
      </c>
      <c r="F947" t="s">
        <v>61</v>
      </c>
      <c r="G947">
        <v>263</v>
      </c>
      <c r="H947">
        <v>0.15</v>
      </c>
      <c r="I947">
        <v>223.54999999999899</v>
      </c>
      <c r="J947">
        <v>6</v>
      </c>
      <c r="K947">
        <v>176.99536039274301</v>
      </c>
      <c r="L947">
        <v>1341.3</v>
      </c>
      <c r="M947">
        <v>1061.9721623564501</v>
      </c>
      <c r="N947">
        <v>279.32783764354002</v>
      </c>
      <c r="O947" t="s">
        <v>32</v>
      </c>
      <c r="P947">
        <f t="shared" si="28"/>
        <v>1578</v>
      </c>
      <c r="Q947">
        <f t="shared" si="29"/>
        <v>-279.32783764354986</v>
      </c>
    </row>
    <row r="948" spans="1:17" x14ac:dyDescent="0.4">
      <c r="A948" t="s">
        <v>1905</v>
      </c>
      <c r="B948" s="1">
        <v>45624.083333333336</v>
      </c>
      <c r="C948" t="s">
        <v>16</v>
      </c>
      <c r="D948" t="s">
        <v>1906</v>
      </c>
      <c r="E948" t="s">
        <v>60</v>
      </c>
      <c r="F948" t="s">
        <v>61</v>
      </c>
      <c r="G948">
        <v>324</v>
      </c>
      <c r="H948">
        <v>0</v>
      </c>
      <c r="I948">
        <v>324</v>
      </c>
      <c r="J948">
        <v>4</v>
      </c>
      <c r="K948">
        <v>163.50067236424701</v>
      </c>
      <c r="L948">
        <v>1296</v>
      </c>
      <c r="M948">
        <v>654.00268945698804</v>
      </c>
      <c r="N948">
        <v>641.99731054301105</v>
      </c>
      <c r="O948" t="s">
        <v>32</v>
      </c>
      <c r="P948">
        <f t="shared" si="28"/>
        <v>1296</v>
      </c>
      <c r="Q948">
        <f t="shared" si="29"/>
        <v>-641.99731054301196</v>
      </c>
    </row>
    <row r="949" spans="1:17" x14ac:dyDescent="0.4">
      <c r="A949" t="s">
        <v>1907</v>
      </c>
      <c r="B949" s="1">
        <v>45381.291666666664</v>
      </c>
      <c r="C949" t="s">
        <v>22</v>
      </c>
      <c r="D949" t="s">
        <v>1908</v>
      </c>
      <c r="E949" t="s">
        <v>85</v>
      </c>
      <c r="F949" t="s">
        <v>70</v>
      </c>
      <c r="G949">
        <v>84</v>
      </c>
      <c r="H949">
        <v>0</v>
      </c>
      <c r="I949">
        <v>84</v>
      </c>
      <c r="J949">
        <v>2</v>
      </c>
      <c r="K949">
        <v>62.771912296916902</v>
      </c>
      <c r="L949">
        <v>168</v>
      </c>
      <c r="M949">
        <v>125.54382459383299</v>
      </c>
      <c r="N949">
        <v>42.456175406165997</v>
      </c>
      <c r="O949" t="s">
        <v>51</v>
      </c>
      <c r="P949">
        <f t="shared" si="28"/>
        <v>168</v>
      </c>
      <c r="Q949">
        <f t="shared" si="29"/>
        <v>-42.456175406167006</v>
      </c>
    </row>
    <row r="950" spans="1:17" x14ac:dyDescent="0.4">
      <c r="A950" t="s">
        <v>1909</v>
      </c>
      <c r="B950" s="1">
        <v>45687.958333333336</v>
      </c>
      <c r="C950" t="s">
        <v>22</v>
      </c>
      <c r="D950" t="s">
        <v>1910</v>
      </c>
      <c r="E950" t="s">
        <v>82</v>
      </c>
      <c r="F950" t="s">
        <v>25</v>
      </c>
      <c r="G950">
        <v>262</v>
      </c>
      <c r="H950">
        <v>0</v>
      </c>
      <c r="I950">
        <v>262</v>
      </c>
      <c r="J950">
        <v>4</v>
      </c>
      <c r="K950">
        <v>145.21817321183099</v>
      </c>
      <c r="L950">
        <v>1048</v>
      </c>
      <c r="M950">
        <v>580.87269284732497</v>
      </c>
      <c r="N950">
        <v>467.12730715267401</v>
      </c>
      <c r="O950" t="s">
        <v>26</v>
      </c>
      <c r="P950">
        <f t="shared" si="28"/>
        <v>1048</v>
      </c>
      <c r="Q950">
        <f t="shared" si="29"/>
        <v>-467.12730715267503</v>
      </c>
    </row>
    <row r="951" spans="1:17" x14ac:dyDescent="0.4">
      <c r="A951" t="s">
        <v>1911</v>
      </c>
      <c r="B951" s="1">
        <v>45923.208333333336</v>
      </c>
      <c r="C951" t="s">
        <v>28</v>
      </c>
      <c r="D951" t="s">
        <v>1912</v>
      </c>
      <c r="E951" t="s">
        <v>37</v>
      </c>
      <c r="F951" t="s">
        <v>38</v>
      </c>
      <c r="G951">
        <v>330</v>
      </c>
      <c r="H951">
        <v>0.2</v>
      </c>
      <c r="I951">
        <v>264</v>
      </c>
      <c r="J951">
        <v>6</v>
      </c>
      <c r="K951">
        <v>203.104617816901</v>
      </c>
      <c r="L951">
        <v>1584</v>
      </c>
      <c r="M951">
        <v>1218.6277069014</v>
      </c>
      <c r="N951">
        <v>365.37229309859299</v>
      </c>
      <c r="O951" t="s">
        <v>51</v>
      </c>
      <c r="P951">
        <f t="shared" si="28"/>
        <v>1980</v>
      </c>
      <c r="Q951">
        <f t="shared" si="29"/>
        <v>-365.37229309860004</v>
      </c>
    </row>
    <row r="952" spans="1:17" x14ac:dyDescent="0.4">
      <c r="A952" t="s">
        <v>1913</v>
      </c>
      <c r="B952" s="1">
        <v>45799.291666666664</v>
      </c>
      <c r="C952" t="s">
        <v>22</v>
      </c>
      <c r="D952" t="s">
        <v>1914</v>
      </c>
      <c r="E952" t="s">
        <v>69</v>
      </c>
      <c r="F952" t="s">
        <v>70</v>
      </c>
      <c r="G952">
        <v>107</v>
      </c>
      <c r="H952">
        <v>0.15</v>
      </c>
      <c r="I952">
        <v>90.95</v>
      </c>
      <c r="J952">
        <v>7</v>
      </c>
      <c r="K952">
        <v>66.670349047670797</v>
      </c>
      <c r="L952">
        <v>636.65</v>
      </c>
      <c r="M952">
        <v>466.692443333695</v>
      </c>
      <c r="N952">
        <v>169.95755666630399</v>
      </c>
      <c r="O952" t="s">
        <v>26</v>
      </c>
      <c r="P952">
        <f t="shared" si="28"/>
        <v>749</v>
      </c>
      <c r="Q952">
        <f t="shared" si="29"/>
        <v>-169.95755666630498</v>
      </c>
    </row>
    <row r="953" spans="1:17" x14ac:dyDescent="0.4">
      <c r="A953" t="s">
        <v>1915</v>
      </c>
      <c r="B953" s="1">
        <v>45640.166666666664</v>
      </c>
      <c r="C953" t="s">
        <v>22</v>
      </c>
      <c r="D953" t="s">
        <v>1916</v>
      </c>
      <c r="E953" t="s">
        <v>94</v>
      </c>
      <c r="F953" t="s">
        <v>61</v>
      </c>
      <c r="G953">
        <v>329</v>
      </c>
      <c r="H953">
        <v>0</v>
      </c>
      <c r="I953">
        <v>329</v>
      </c>
      <c r="J953">
        <v>3</v>
      </c>
      <c r="K953">
        <v>222.96422240432901</v>
      </c>
      <c r="L953">
        <v>987</v>
      </c>
      <c r="M953">
        <v>668.89266721298895</v>
      </c>
      <c r="N953">
        <v>318.10733278701002</v>
      </c>
      <c r="O953" t="s">
        <v>26</v>
      </c>
      <c r="P953">
        <f t="shared" si="28"/>
        <v>987</v>
      </c>
      <c r="Q953">
        <f t="shared" si="29"/>
        <v>-318.10733278701105</v>
      </c>
    </row>
    <row r="954" spans="1:17" x14ac:dyDescent="0.4">
      <c r="A954" t="s">
        <v>1917</v>
      </c>
      <c r="B954" s="1">
        <v>45919.916666666664</v>
      </c>
      <c r="C954" t="s">
        <v>28</v>
      </c>
      <c r="D954" t="s">
        <v>1918</v>
      </c>
      <c r="E954" t="s">
        <v>73</v>
      </c>
      <c r="F954" t="s">
        <v>38</v>
      </c>
      <c r="G954">
        <v>176</v>
      </c>
      <c r="H954">
        <v>0.05</v>
      </c>
      <c r="I954">
        <v>167.2</v>
      </c>
      <c r="J954">
        <v>4</v>
      </c>
      <c r="K954">
        <v>112.885614547491</v>
      </c>
      <c r="L954">
        <v>668.8</v>
      </c>
      <c r="M954">
        <v>451.54245818996401</v>
      </c>
      <c r="N954">
        <v>217.25754181003501</v>
      </c>
      <c r="O954" t="s">
        <v>26</v>
      </c>
      <c r="P954">
        <f t="shared" si="28"/>
        <v>704</v>
      </c>
      <c r="Q954">
        <f t="shared" si="29"/>
        <v>-217.25754181003595</v>
      </c>
    </row>
    <row r="955" spans="1:17" x14ac:dyDescent="0.4">
      <c r="A955" t="s">
        <v>1919</v>
      </c>
      <c r="B955" s="1">
        <v>45326.25</v>
      </c>
      <c r="C955" t="s">
        <v>65</v>
      </c>
      <c r="D955" t="s">
        <v>1920</v>
      </c>
      <c r="E955" t="s">
        <v>41</v>
      </c>
      <c r="F955" t="s">
        <v>31</v>
      </c>
      <c r="G955">
        <v>174</v>
      </c>
      <c r="H955">
        <v>0.2</v>
      </c>
      <c r="I955">
        <v>139.19999999999999</v>
      </c>
      <c r="J955">
        <v>4</v>
      </c>
      <c r="K955">
        <v>70.190751614813195</v>
      </c>
      <c r="L955">
        <v>556.79999999999995</v>
      </c>
      <c r="M955">
        <v>280.76300645925301</v>
      </c>
      <c r="N955">
        <v>276.03699354074701</v>
      </c>
      <c r="O955" t="s">
        <v>32</v>
      </c>
      <c r="P955">
        <f t="shared" si="28"/>
        <v>696</v>
      </c>
      <c r="Q955">
        <f t="shared" si="29"/>
        <v>-276.03699354074695</v>
      </c>
    </row>
    <row r="956" spans="1:17" x14ac:dyDescent="0.4">
      <c r="A956" t="s">
        <v>1921</v>
      </c>
      <c r="B956" s="1">
        <v>46013.958333333336</v>
      </c>
      <c r="C956" t="s">
        <v>28</v>
      </c>
      <c r="D956" t="s">
        <v>1922</v>
      </c>
      <c r="E956" t="s">
        <v>110</v>
      </c>
      <c r="F956" t="s">
        <v>19</v>
      </c>
      <c r="G956">
        <v>100</v>
      </c>
      <c r="H956">
        <v>0</v>
      </c>
      <c r="I956">
        <v>100</v>
      </c>
      <c r="J956">
        <v>1</v>
      </c>
      <c r="K956">
        <v>45.534429937157299</v>
      </c>
      <c r="L956">
        <v>100</v>
      </c>
      <c r="M956">
        <v>45.534429937157299</v>
      </c>
      <c r="N956">
        <v>54.465570062842602</v>
      </c>
      <c r="O956" t="s">
        <v>32</v>
      </c>
      <c r="P956">
        <f t="shared" si="28"/>
        <v>100</v>
      </c>
      <c r="Q956">
        <f t="shared" si="29"/>
        <v>-54.465570062842701</v>
      </c>
    </row>
    <row r="957" spans="1:17" x14ac:dyDescent="0.4">
      <c r="A957" t="s">
        <v>1923</v>
      </c>
      <c r="B957" s="1">
        <v>45887.375</v>
      </c>
      <c r="C957" t="s">
        <v>16</v>
      </c>
      <c r="D957" t="s">
        <v>1924</v>
      </c>
      <c r="E957" t="s">
        <v>69</v>
      </c>
      <c r="F957" t="s">
        <v>70</v>
      </c>
      <c r="G957">
        <v>127</v>
      </c>
      <c r="H957">
        <v>0.15</v>
      </c>
      <c r="I957">
        <v>107.95</v>
      </c>
      <c r="J957">
        <v>6</v>
      </c>
      <c r="K957">
        <v>81.353792866667106</v>
      </c>
      <c r="L957">
        <v>647.70000000000005</v>
      </c>
      <c r="M957">
        <v>488.12275720000201</v>
      </c>
      <c r="N957">
        <v>159.57724279999701</v>
      </c>
      <c r="O957" t="s">
        <v>32</v>
      </c>
      <c r="P957">
        <f t="shared" si="28"/>
        <v>762</v>
      </c>
      <c r="Q957">
        <f t="shared" si="29"/>
        <v>-159.57724279999803</v>
      </c>
    </row>
    <row r="958" spans="1:17" x14ac:dyDescent="0.4">
      <c r="A958" t="s">
        <v>1925</v>
      </c>
      <c r="B958" s="1">
        <v>45548.25</v>
      </c>
      <c r="C958" t="s">
        <v>65</v>
      </c>
      <c r="D958" t="s">
        <v>1926</v>
      </c>
      <c r="E958" t="s">
        <v>85</v>
      </c>
      <c r="F958" t="s">
        <v>70</v>
      </c>
      <c r="G958">
        <v>349</v>
      </c>
      <c r="H958">
        <v>0.2</v>
      </c>
      <c r="I958">
        <v>279.2</v>
      </c>
      <c r="J958">
        <v>6</v>
      </c>
      <c r="K958">
        <v>198.58555543051801</v>
      </c>
      <c r="L958">
        <v>1675.19999999999</v>
      </c>
      <c r="M958">
        <v>1191.51333258311</v>
      </c>
      <c r="N958">
        <v>483.686667416886</v>
      </c>
      <c r="O958" t="s">
        <v>51</v>
      </c>
      <c r="P958">
        <f t="shared" si="28"/>
        <v>2094</v>
      </c>
      <c r="Q958">
        <f t="shared" si="29"/>
        <v>-483.68666741688003</v>
      </c>
    </row>
    <row r="959" spans="1:17" x14ac:dyDescent="0.4">
      <c r="A959" t="s">
        <v>1927</v>
      </c>
      <c r="B959" s="1">
        <v>45476.375</v>
      </c>
      <c r="C959" t="s">
        <v>22</v>
      </c>
      <c r="D959" t="s">
        <v>1928</v>
      </c>
      <c r="E959" t="s">
        <v>48</v>
      </c>
      <c r="F959" t="s">
        <v>19</v>
      </c>
      <c r="G959">
        <v>226</v>
      </c>
      <c r="H959">
        <v>0</v>
      </c>
      <c r="I959">
        <v>226</v>
      </c>
      <c r="J959">
        <v>1</v>
      </c>
      <c r="K959">
        <v>93.421840195209597</v>
      </c>
      <c r="L959">
        <v>226</v>
      </c>
      <c r="M959">
        <v>93.421840195209597</v>
      </c>
      <c r="N959">
        <v>132.57815980479</v>
      </c>
      <c r="O959" t="s">
        <v>51</v>
      </c>
      <c r="P959">
        <f t="shared" si="28"/>
        <v>226</v>
      </c>
      <c r="Q959">
        <f t="shared" si="29"/>
        <v>-132.5781598047904</v>
      </c>
    </row>
    <row r="960" spans="1:17" x14ac:dyDescent="0.4">
      <c r="A960" t="s">
        <v>1929</v>
      </c>
      <c r="B960" s="1">
        <v>45960</v>
      </c>
      <c r="C960" t="s">
        <v>28</v>
      </c>
      <c r="D960" t="s">
        <v>1930</v>
      </c>
      <c r="E960" t="s">
        <v>24</v>
      </c>
      <c r="F960" t="s">
        <v>25</v>
      </c>
      <c r="G960">
        <v>329</v>
      </c>
      <c r="H960">
        <v>0.1</v>
      </c>
      <c r="I960">
        <v>296.10000000000002</v>
      </c>
      <c r="J960">
        <v>6</v>
      </c>
      <c r="K960">
        <v>229.17881643710101</v>
      </c>
      <c r="L960">
        <v>1776.6</v>
      </c>
      <c r="M960">
        <v>1375.0728986226</v>
      </c>
      <c r="N960">
        <v>401.52710137739001</v>
      </c>
      <c r="O960" t="s">
        <v>32</v>
      </c>
      <c r="P960">
        <f t="shared" si="28"/>
        <v>1974</v>
      </c>
      <c r="Q960">
        <f t="shared" si="29"/>
        <v>-401.52710137739996</v>
      </c>
    </row>
    <row r="961" spans="1:17" x14ac:dyDescent="0.4">
      <c r="A961" t="s">
        <v>1931</v>
      </c>
      <c r="B961" s="1">
        <v>45383.583333333336</v>
      </c>
      <c r="C961" t="s">
        <v>28</v>
      </c>
      <c r="D961" t="s">
        <v>1932</v>
      </c>
      <c r="E961" t="s">
        <v>213</v>
      </c>
      <c r="F961" t="s">
        <v>31</v>
      </c>
      <c r="G961">
        <v>305</v>
      </c>
      <c r="H961">
        <v>0</v>
      </c>
      <c r="I961">
        <v>305</v>
      </c>
      <c r="J961">
        <v>6</v>
      </c>
      <c r="K961">
        <v>187.05828548968699</v>
      </c>
      <c r="L961">
        <v>1830</v>
      </c>
      <c r="M961">
        <v>1122.3497129381201</v>
      </c>
      <c r="N961">
        <v>707.65028706187695</v>
      </c>
      <c r="O961" t="s">
        <v>32</v>
      </c>
      <c r="P961">
        <f t="shared" si="28"/>
        <v>1830</v>
      </c>
      <c r="Q961">
        <f t="shared" si="29"/>
        <v>-707.65028706187991</v>
      </c>
    </row>
    <row r="962" spans="1:17" x14ac:dyDescent="0.4">
      <c r="A962" t="s">
        <v>1933</v>
      </c>
      <c r="B962" s="1">
        <v>45435.833333333336</v>
      </c>
      <c r="C962" t="s">
        <v>43</v>
      </c>
      <c r="D962" t="s">
        <v>1934</v>
      </c>
      <c r="E962" t="s">
        <v>146</v>
      </c>
      <c r="F962" t="s">
        <v>70</v>
      </c>
      <c r="G962">
        <v>113</v>
      </c>
      <c r="H962">
        <v>0.2</v>
      </c>
      <c r="I962">
        <v>90.4</v>
      </c>
      <c r="J962">
        <v>4</v>
      </c>
      <c r="K962">
        <v>60.6271129003187</v>
      </c>
      <c r="L962">
        <v>361.6</v>
      </c>
      <c r="M962">
        <v>242.508451601274</v>
      </c>
      <c r="N962">
        <v>119.091548398725</v>
      </c>
      <c r="O962" t="s">
        <v>51</v>
      </c>
      <c r="P962">
        <f t="shared" si="28"/>
        <v>452</v>
      </c>
      <c r="Q962">
        <f t="shared" si="29"/>
        <v>-119.09154839872602</v>
      </c>
    </row>
    <row r="963" spans="1:17" x14ac:dyDescent="0.4">
      <c r="A963" t="s">
        <v>1935</v>
      </c>
      <c r="B963" s="1">
        <v>45671.416666666664</v>
      </c>
      <c r="C963" t="s">
        <v>46</v>
      </c>
      <c r="D963" t="s">
        <v>1936</v>
      </c>
      <c r="E963" t="s">
        <v>146</v>
      </c>
      <c r="F963" t="s">
        <v>70</v>
      </c>
      <c r="G963">
        <v>258</v>
      </c>
      <c r="H963">
        <v>0.2</v>
      </c>
      <c r="I963">
        <v>206.4</v>
      </c>
      <c r="J963">
        <v>7</v>
      </c>
      <c r="K963">
        <v>192.33353746973901</v>
      </c>
      <c r="L963">
        <v>1444.8</v>
      </c>
      <c r="M963">
        <v>1346.3347622881699</v>
      </c>
      <c r="N963">
        <v>98.465237711825907</v>
      </c>
      <c r="O963" t="s">
        <v>32</v>
      </c>
      <c r="P963">
        <f t="shared" ref="P963:P1026" si="30">G963 * J963</f>
        <v>1806</v>
      </c>
      <c r="Q963">
        <f t="shared" ref="Q963:Q1026" si="31" xml:space="preserve"> M963 - L963</f>
        <v>-98.465237711830014</v>
      </c>
    </row>
    <row r="964" spans="1:17" x14ac:dyDescent="0.4">
      <c r="A964" t="s">
        <v>1937</v>
      </c>
      <c r="B964" s="1">
        <v>45869.458333333336</v>
      </c>
      <c r="C964" t="s">
        <v>46</v>
      </c>
      <c r="D964" t="s">
        <v>1938</v>
      </c>
      <c r="E964" t="s">
        <v>18</v>
      </c>
      <c r="F964" t="s">
        <v>19</v>
      </c>
      <c r="G964">
        <v>342</v>
      </c>
      <c r="H964">
        <v>0.2</v>
      </c>
      <c r="I964">
        <v>273.60000000000002</v>
      </c>
      <c r="J964">
        <v>5</v>
      </c>
      <c r="K964">
        <v>175.42523973721501</v>
      </c>
      <c r="L964">
        <v>1368</v>
      </c>
      <c r="M964">
        <v>877.12619868607499</v>
      </c>
      <c r="N964">
        <v>490.87380131392399</v>
      </c>
      <c r="O964" t="s">
        <v>51</v>
      </c>
      <c r="P964">
        <f t="shared" si="30"/>
        <v>1710</v>
      </c>
      <c r="Q964">
        <f t="shared" si="31"/>
        <v>-490.87380131392501</v>
      </c>
    </row>
    <row r="965" spans="1:17" x14ac:dyDescent="0.4">
      <c r="A965" t="s">
        <v>1939</v>
      </c>
      <c r="B965" s="1">
        <v>45654.708333333336</v>
      </c>
      <c r="C965" t="s">
        <v>46</v>
      </c>
      <c r="D965" t="s">
        <v>1940</v>
      </c>
      <c r="E965" t="s">
        <v>85</v>
      </c>
      <c r="F965" t="s">
        <v>70</v>
      </c>
      <c r="G965">
        <v>331</v>
      </c>
      <c r="H965">
        <v>0</v>
      </c>
      <c r="I965">
        <v>331</v>
      </c>
      <c r="J965">
        <v>3</v>
      </c>
      <c r="K965">
        <v>184.59465805092</v>
      </c>
      <c r="L965">
        <v>993</v>
      </c>
      <c r="M965">
        <v>553.78397415276197</v>
      </c>
      <c r="N965">
        <v>439.21602584723701</v>
      </c>
      <c r="O965" t="s">
        <v>20</v>
      </c>
      <c r="P965">
        <f t="shared" si="30"/>
        <v>993</v>
      </c>
      <c r="Q965">
        <f t="shared" si="31"/>
        <v>-439.21602584723803</v>
      </c>
    </row>
    <row r="966" spans="1:17" x14ac:dyDescent="0.4">
      <c r="A966" t="s">
        <v>1941</v>
      </c>
      <c r="B966" s="1">
        <v>45713.333333333336</v>
      </c>
      <c r="C966" t="s">
        <v>65</v>
      </c>
      <c r="D966" t="s">
        <v>1942</v>
      </c>
      <c r="E966" t="s">
        <v>48</v>
      </c>
      <c r="F966" t="s">
        <v>19</v>
      </c>
      <c r="G966">
        <v>216</v>
      </c>
      <c r="H966">
        <v>0.15</v>
      </c>
      <c r="I966">
        <v>183.6</v>
      </c>
      <c r="J966">
        <v>6</v>
      </c>
      <c r="K966">
        <v>118.572590448307</v>
      </c>
      <c r="L966">
        <v>1101.5999999999999</v>
      </c>
      <c r="M966">
        <v>711.43554268984406</v>
      </c>
      <c r="N966">
        <v>390.164457310155</v>
      </c>
      <c r="O966" t="s">
        <v>26</v>
      </c>
      <c r="P966">
        <f t="shared" si="30"/>
        <v>1296</v>
      </c>
      <c r="Q966">
        <f t="shared" si="31"/>
        <v>-390.16445731015585</v>
      </c>
    </row>
    <row r="967" spans="1:17" x14ac:dyDescent="0.4">
      <c r="A967" t="s">
        <v>1943</v>
      </c>
      <c r="B967" s="1">
        <v>45493.708333333336</v>
      </c>
      <c r="C967" t="s">
        <v>28</v>
      </c>
      <c r="D967" t="s">
        <v>1944</v>
      </c>
      <c r="E967" t="s">
        <v>18</v>
      </c>
      <c r="F967" t="s">
        <v>19</v>
      </c>
      <c r="G967">
        <v>99</v>
      </c>
      <c r="H967">
        <v>0</v>
      </c>
      <c r="I967">
        <v>99</v>
      </c>
      <c r="J967">
        <v>4</v>
      </c>
      <c r="K967">
        <v>50.991048496313802</v>
      </c>
      <c r="L967">
        <v>396</v>
      </c>
      <c r="M967">
        <v>203.96419398525501</v>
      </c>
      <c r="N967">
        <v>192.035806014744</v>
      </c>
      <c r="O967" t="s">
        <v>26</v>
      </c>
      <c r="P967">
        <f t="shared" si="30"/>
        <v>396</v>
      </c>
      <c r="Q967">
        <f t="shared" si="31"/>
        <v>-192.03580601474499</v>
      </c>
    </row>
    <row r="968" spans="1:17" x14ac:dyDescent="0.4">
      <c r="A968" t="s">
        <v>1945</v>
      </c>
      <c r="B968" s="1">
        <v>45931.916666666664</v>
      </c>
      <c r="C968" t="s">
        <v>16</v>
      </c>
      <c r="D968" t="s">
        <v>1946</v>
      </c>
      <c r="E968" t="s">
        <v>73</v>
      </c>
      <c r="F968" t="s">
        <v>38</v>
      </c>
      <c r="G968">
        <v>287</v>
      </c>
      <c r="H968">
        <v>0.1</v>
      </c>
      <c r="I968">
        <v>258.3</v>
      </c>
      <c r="J968">
        <v>7</v>
      </c>
      <c r="K968">
        <v>115.944092159495</v>
      </c>
      <c r="L968">
        <v>1808.1</v>
      </c>
      <c r="M968">
        <v>811.60864511646503</v>
      </c>
      <c r="N968">
        <v>996.49135488353397</v>
      </c>
      <c r="O968" t="s">
        <v>51</v>
      </c>
      <c r="P968">
        <f t="shared" si="30"/>
        <v>2009</v>
      </c>
      <c r="Q968">
        <f t="shared" si="31"/>
        <v>-996.49135488353488</v>
      </c>
    </row>
    <row r="969" spans="1:17" x14ac:dyDescent="0.4">
      <c r="A969" t="s">
        <v>1947</v>
      </c>
      <c r="B969" s="1">
        <v>45350.708333333336</v>
      </c>
      <c r="C969" t="s">
        <v>16</v>
      </c>
      <c r="D969" t="s">
        <v>1948</v>
      </c>
      <c r="E969" t="s">
        <v>146</v>
      </c>
      <c r="F969" t="s">
        <v>70</v>
      </c>
      <c r="G969">
        <v>258</v>
      </c>
      <c r="H969">
        <v>0.15</v>
      </c>
      <c r="I969">
        <v>219.29999999999899</v>
      </c>
      <c r="J969">
        <v>4</v>
      </c>
      <c r="K969">
        <v>146.23408530527499</v>
      </c>
      <c r="L969">
        <v>877.19999999999902</v>
      </c>
      <c r="M969">
        <v>584.936341221102</v>
      </c>
      <c r="N969">
        <v>292.26365877889702</v>
      </c>
      <c r="O969" t="s">
        <v>20</v>
      </c>
      <c r="P969">
        <f t="shared" si="30"/>
        <v>1032</v>
      </c>
      <c r="Q969">
        <f t="shared" si="31"/>
        <v>-292.26365877889702</v>
      </c>
    </row>
    <row r="970" spans="1:17" x14ac:dyDescent="0.4">
      <c r="A970" t="s">
        <v>1949</v>
      </c>
      <c r="B970" s="1">
        <v>45482.25</v>
      </c>
      <c r="C970" t="s">
        <v>16</v>
      </c>
      <c r="D970" t="s">
        <v>1950</v>
      </c>
      <c r="E970" t="s">
        <v>146</v>
      </c>
      <c r="F970" t="s">
        <v>70</v>
      </c>
      <c r="G970">
        <v>259</v>
      </c>
      <c r="H970">
        <v>0</v>
      </c>
      <c r="I970">
        <v>259</v>
      </c>
      <c r="J970">
        <v>5</v>
      </c>
      <c r="K970">
        <v>107.337301339014</v>
      </c>
      <c r="L970">
        <v>1295</v>
      </c>
      <c r="M970">
        <v>536.68650669507394</v>
      </c>
      <c r="N970">
        <v>758.31349330492503</v>
      </c>
      <c r="O970" t="s">
        <v>26</v>
      </c>
      <c r="P970">
        <f t="shared" si="30"/>
        <v>1295</v>
      </c>
      <c r="Q970">
        <f t="shared" si="31"/>
        <v>-758.31349330492606</v>
      </c>
    </row>
    <row r="971" spans="1:17" x14ac:dyDescent="0.4">
      <c r="A971" t="s">
        <v>1951</v>
      </c>
      <c r="B971" s="1">
        <v>45766.25</v>
      </c>
      <c r="C971" t="s">
        <v>43</v>
      </c>
      <c r="D971" t="s">
        <v>1148</v>
      </c>
      <c r="E971" t="s">
        <v>85</v>
      </c>
      <c r="F971" t="s">
        <v>70</v>
      </c>
      <c r="G971">
        <v>96</v>
      </c>
      <c r="H971">
        <v>0.1</v>
      </c>
      <c r="I971">
        <v>86.4</v>
      </c>
      <c r="J971">
        <v>1</v>
      </c>
      <c r="K971">
        <v>57.828520815295597</v>
      </c>
      <c r="L971">
        <v>86.4</v>
      </c>
      <c r="M971">
        <v>57.828520815295597</v>
      </c>
      <c r="N971">
        <v>28.571479184704302</v>
      </c>
      <c r="O971" t="s">
        <v>26</v>
      </c>
      <c r="P971">
        <f t="shared" si="30"/>
        <v>96</v>
      </c>
      <c r="Q971">
        <f t="shared" si="31"/>
        <v>-28.571479184704408</v>
      </c>
    </row>
    <row r="972" spans="1:17" x14ac:dyDescent="0.4">
      <c r="A972" t="s">
        <v>1952</v>
      </c>
      <c r="B972" s="1">
        <v>45900.166666666664</v>
      </c>
      <c r="C972" t="s">
        <v>28</v>
      </c>
      <c r="D972" t="s">
        <v>1953</v>
      </c>
      <c r="E972" t="s">
        <v>104</v>
      </c>
      <c r="F972" t="s">
        <v>25</v>
      </c>
      <c r="G972">
        <v>224</v>
      </c>
      <c r="H972">
        <v>0</v>
      </c>
      <c r="I972">
        <v>224</v>
      </c>
      <c r="J972">
        <v>1</v>
      </c>
      <c r="K972">
        <v>161.29347982906501</v>
      </c>
      <c r="L972">
        <v>224</v>
      </c>
      <c r="M972">
        <v>161.29347982906501</v>
      </c>
      <c r="N972">
        <v>62.706520170934198</v>
      </c>
      <c r="O972" t="s">
        <v>32</v>
      </c>
      <c r="P972">
        <f t="shared" si="30"/>
        <v>224</v>
      </c>
      <c r="Q972">
        <f t="shared" si="31"/>
        <v>-62.706520170934994</v>
      </c>
    </row>
    <row r="973" spans="1:17" x14ac:dyDescent="0.4">
      <c r="A973" t="s">
        <v>1954</v>
      </c>
      <c r="B973" s="1">
        <v>45325.5</v>
      </c>
      <c r="C973" t="s">
        <v>43</v>
      </c>
      <c r="D973" t="s">
        <v>1955</v>
      </c>
      <c r="E973" t="s">
        <v>18</v>
      </c>
      <c r="F973" t="s">
        <v>19</v>
      </c>
      <c r="G973">
        <v>189</v>
      </c>
      <c r="H973">
        <v>0.05</v>
      </c>
      <c r="I973">
        <v>179.54999999999899</v>
      </c>
      <c r="J973">
        <v>2</v>
      </c>
      <c r="K973">
        <v>93.629695084138703</v>
      </c>
      <c r="L973">
        <v>359.099999999999</v>
      </c>
      <c r="M973">
        <v>187.25939016827701</v>
      </c>
      <c r="N973">
        <v>171.84060983172199</v>
      </c>
      <c r="O973" t="s">
        <v>32</v>
      </c>
      <c r="P973">
        <f t="shared" si="30"/>
        <v>378</v>
      </c>
      <c r="Q973">
        <f t="shared" si="31"/>
        <v>-171.84060983172199</v>
      </c>
    </row>
    <row r="974" spans="1:17" x14ac:dyDescent="0.4">
      <c r="A974" t="s">
        <v>1956</v>
      </c>
      <c r="B974" s="1">
        <v>45842.875</v>
      </c>
      <c r="C974" t="s">
        <v>28</v>
      </c>
      <c r="D974" t="s">
        <v>1957</v>
      </c>
      <c r="E974" t="s">
        <v>213</v>
      </c>
      <c r="F974" t="s">
        <v>31</v>
      </c>
      <c r="G974">
        <v>121</v>
      </c>
      <c r="H974">
        <v>0.25</v>
      </c>
      <c r="I974">
        <v>90.75</v>
      </c>
      <c r="J974">
        <v>2</v>
      </c>
      <c r="K974">
        <v>72.298150088767301</v>
      </c>
      <c r="L974">
        <v>181.5</v>
      </c>
      <c r="M974">
        <v>144.596300177534</v>
      </c>
      <c r="N974">
        <v>36.903699822465299</v>
      </c>
      <c r="O974" t="s">
        <v>105</v>
      </c>
      <c r="P974">
        <f t="shared" si="30"/>
        <v>242</v>
      </c>
      <c r="Q974">
        <f t="shared" si="31"/>
        <v>-36.903699822465995</v>
      </c>
    </row>
    <row r="975" spans="1:17" x14ac:dyDescent="0.4">
      <c r="A975" t="s">
        <v>1958</v>
      </c>
      <c r="B975" s="1">
        <v>45345.291666666664</v>
      </c>
      <c r="C975" t="s">
        <v>16</v>
      </c>
      <c r="D975" t="s">
        <v>1959</v>
      </c>
      <c r="E975" t="s">
        <v>18</v>
      </c>
      <c r="F975" t="s">
        <v>19</v>
      </c>
      <c r="G975">
        <v>105</v>
      </c>
      <c r="H975">
        <v>0</v>
      </c>
      <c r="I975">
        <v>105</v>
      </c>
      <c r="J975">
        <v>3</v>
      </c>
      <c r="K975">
        <v>72.622830709806806</v>
      </c>
      <c r="L975">
        <v>315</v>
      </c>
      <c r="M975">
        <v>217.86849212941999</v>
      </c>
      <c r="N975">
        <v>97.131507870579398</v>
      </c>
      <c r="O975" t="s">
        <v>20</v>
      </c>
      <c r="P975">
        <f t="shared" si="30"/>
        <v>315</v>
      </c>
      <c r="Q975">
        <f t="shared" si="31"/>
        <v>-97.131507870580009</v>
      </c>
    </row>
    <row r="976" spans="1:17" x14ac:dyDescent="0.4">
      <c r="A976" t="s">
        <v>1960</v>
      </c>
      <c r="B976" s="1">
        <v>45841.666666666664</v>
      </c>
      <c r="C976" t="s">
        <v>28</v>
      </c>
      <c r="D976" t="s">
        <v>1961</v>
      </c>
      <c r="E976" t="s">
        <v>82</v>
      </c>
      <c r="F976" t="s">
        <v>25</v>
      </c>
      <c r="G976">
        <v>229</v>
      </c>
      <c r="H976">
        <v>0.15</v>
      </c>
      <c r="I976">
        <v>194.65</v>
      </c>
      <c r="J976">
        <v>2</v>
      </c>
      <c r="K976">
        <v>170.51924620527501</v>
      </c>
      <c r="L976">
        <v>389.3</v>
      </c>
      <c r="M976">
        <v>341.03849241055002</v>
      </c>
      <c r="N976">
        <v>48.261507589449302</v>
      </c>
      <c r="O976" t="s">
        <v>32</v>
      </c>
      <c r="P976">
        <f t="shared" si="30"/>
        <v>458</v>
      </c>
      <c r="Q976">
        <f t="shared" si="31"/>
        <v>-48.261507589449991</v>
      </c>
    </row>
    <row r="977" spans="1:17" x14ac:dyDescent="0.4">
      <c r="A977" t="s">
        <v>1962</v>
      </c>
      <c r="B977" s="1">
        <v>45587.125</v>
      </c>
      <c r="C977" t="s">
        <v>28</v>
      </c>
      <c r="D977" t="s">
        <v>1963</v>
      </c>
      <c r="E977" t="s">
        <v>85</v>
      </c>
      <c r="F977" t="s">
        <v>70</v>
      </c>
      <c r="G977">
        <v>251</v>
      </c>
      <c r="H977">
        <v>0.15</v>
      </c>
      <c r="I977">
        <v>213.35</v>
      </c>
      <c r="J977">
        <v>6</v>
      </c>
      <c r="K977">
        <v>135.29643847239299</v>
      </c>
      <c r="L977">
        <v>1280.0999999999999</v>
      </c>
      <c r="M977">
        <v>811.77863083436102</v>
      </c>
      <c r="N977">
        <v>468.32136916563798</v>
      </c>
      <c r="O977" t="s">
        <v>105</v>
      </c>
      <c r="P977">
        <f t="shared" si="30"/>
        <v>1506</v>
      </c>
      <c r="Q977">
        <f t="shared" si="31"/>
        <v>-468.32136916563888</v>
      </c>
    </row>
    <row r="978" spans="1:17" x14ac:dyDescent="0.4">
      <c r="A978" t="s">
        <v>1964</v>
      </c>
      <c r="B978" s="1">
        <v>45754.208333333336</v>
      </c>
      <c r="C978" t="s">
        <v>65</v>
      </c>
      <c r="D978" t="s">
        <v>1965</v>
      </c>
      <c r="E978" t="s">
        <v>85</v>
      </c>
      <c r="F978" t="s">
        <v>70</v>
      </c>
      <c r="G978">
        <v>262</v>
      </c>
      <c r="H978">
        <v>0</v>
      </c>
      <c r="I978">
        <v>262</v>
      </c>
      <c r="J978">
        <v>6</v>
      </c>
      <c r="K978">
        <v>133.68625883490199</v>
      </c>
      <c r="L978">
        <v>1572</v>
      </c>
      <c r="M978">
        <v>802.11755300941297</v>
      </c>
      <c r="N978">
        <v>769.882446990586</v>
      </c>
      <c r="O978" t="s">
        <v>51</v>
      </c>
      <c r="P978">
        <f t="shared" si="30"/>
        <v>1572</v>
      </c>
      <c r="Q978">
        <f t="shared" si="31"/>
        <v>-769.88244699058703</v>
      </c>
    </row>
    <row r="979" spans="1:17" x14ac:dyDescent="0.4">
      <c r="A979" t="s">
        <v>1966</v>
      </c>
      <c r="B979" s="1">
        <v>45828.666666666664</v>
      </c>
      <c r="C979" t="s">
        <v>22</v>
      </c>
      <c r="D979" t="s">
        <v>1967</v>
      </c>
      <c r="E979" t="s">
        <v>24</v>
      </c>
      <c r="F979" t="s">
        <v>25</v>
      </c>
      <c r="G979">
        <v>141</v>
      </c>
      <c r="H979">
        <v>0.05</v>
      </c>
      <c r="I979">
        <v>133.94999999999999</v>
      </c>
      <c r="J979">
        <v>3</v>
      </c>
      <c r="K979">
        <v>101.925320532528</v>
      </c>
      <c r="L979">
        <v>401.849999999999</v>
      </c>
      <c r="M979">
        <v>305.77596159758502</v>
      </c>
      <c r="N979">
        <v>96.074038402414402</v>
      </c>
      <c r="O979" t="s">
        <v>20</v>
      </c>
      <c r="P979">
        <f t="shared" si="30"/>
        <v>423</v>
      </c>
      <c r="Q979">
        <f t="shared" si="31"/>
        <v>-96.074038402413976</v>
      </c>
    </row>
    <row r="980" spans="1:17" x14ac:dyDescent="0.4">
      <c r="A980" t="s">
        <v>1968</v>
      </c>
      <c r="B980" s="1">
        <v>45938.541666666664</v>
      </c>
      <c r="C980" t="s">
        <v>65</v>
      </c>
      <c r="D980" t="s">
        <v>1969</v>
      </c>
      <c r="E980" t="s">
        <v>69</v>
      </c>
      <c r="F980" t="s">
        <v>70</v>
      </c>
      <c r="G980">
        <v>273</v>
      </c>
      <c r="H980">
        <v>0.05</v>
      </c>
      <c r="I980">
        <v>259.349999999999</v>
      </c>
      <c r="J980">
        <v>4</v>
      </c>
      <c r="K980">
        <v>112.11394514733</v>
      </c>
      <c r="L980">
        <v>1037.3999999999901</v>
      </c>
      <c r="M980">
        <v>448.45578058932199</v>
      </c>
      <c r="N980">
        <v>588.94421941067696</v>
      </c>
      <c r="O980" t="s">
        <v>51</v>
      </c>
      <c r="P980">
        <f t="shared" si="30"/>
        <v>1092</v>
      </c>
      <c r="Q980">
        <f t="shared" si="31"/>
        <v>-588.9442194106681</v>
      </c>
    </row>
    <row r="981" spans="1:17" x14ac:dyDescent="0.4">
      <c r="A981" t="s">
        <v>1970</v>
      </c>
      <c r="B981" s="1">
        <v>45379.75</v>
      </c>
      <c r="C981" t="s">
        <v>65</v>
      </c>
      <c r="D981" t="s">
        <v>1971</v>
      </c>
      <c r="E981" t="s">
        <v>94</v>
      </c>
      <c r="F981" t="s">
        <v>61</v>
      </c>
      <c r="G981">
        <v>231</v>
      </c>
      <c r="H981">
        <v>0.15</v>
      </c>
      <c r="I981">
        <v>196.35</v>
      </c>
      <c r="J981">
        <v>4</v>
      </c>
      <c r="K981">
        <v>154.111607627925</v>
      </c>
      <c r="L981">
        <v>785.4</v>
      </c>
      <c r="M981">
        <v>616.44643051170101</v>
      </c>
      <c r="N981">
        <v>168.953569488298</v>
      </c>
      <c r="O981" t="s">
        <v>20</v>
      </c>
      <c r="P981">
        <f t="shared" si="30"/>
        <v>924</v>
      </c>
      <c r="Q981">
        <f t="shared" si="31"/>
        <v>-168.95356948829897</v>
      </c>
    </row>
    <row r="982" spans="1:17" x14ac:dyDescent="0.4">
      <c r="A982" t="s">
        <v>1972</v>
      </c>
      <c r="B982" s="1">
        <v>45962.25</v>
      </c>
      <c r="C982" t="s">
        <v>65</v>
      </c>
      <c r="D982" t="s">
        <v>1973</v>
      </c>
      <c r="E982" t="s">
        <v>82</v>
      </c>
      <c r="F982" t="s">
        <v>25</v>
      </c>
      <c r="G982">
        <v>306</v>
      </c>
      <c r="H982">
        <v>0.2</v>
      </c>
      <c r="I982">
        <v>244.8</v>
      </c>
      <c r="J982">
        <v>2</v>
      </c>
      <c r="K982">
        <v>200.97089791673901</v>
      </c>
      <c r="L982">
        <v>489.6</v>
      </c>
      <c r="M982">
        <v>401.94179583347801</v>
      </c>
      <c r="N982">
        <v>87.658204166521799</v>
      </c>
      <c r="O982" t="s">
        <v>105</v>
      </c>
      <c r="P982">
        <f t="shared" si="30"/>
        <v>612</v>
      </c>
      <c r="Q982">
        <f t="shared" si="31"/>
        <v>-87.658204166522012</v>
      </c>
    </row>
    <row r="983" spans="1:17" x14ac:dyDescent="0.4">
      <c r="A983" t="s">
        <v>1974</v>
      </c>
      <c r="B983" s="1">
        <v>45493.291666666664</v>
      </c>
      <c r="C983" t="s">
        <v>46</v>
      </c>
      <c r="D983" t="s">
        <v>1975</v>
      </c>
      <c r="E983" t="s">
        <v>73</v>
      </c>
      <c r="F983" t="s">
        <v>38</v>
      </c>
      <c r="G983">
        <v>231</v>
      </c>
      <c r="H983">
        <v>0.1</v>
      </c>
      <c r="I983">
        <v>207.9</v>
      </c>
      <c r="J983">
        <v>2</v>
      </c>
      <c r="K983">
        <v>100.652757667339</v>
      </c>
      <c r="L983">
        <v>415.8</v>
      </c>
      <c r="M983">
        <v>201.30551533467801</v>
      </c>
      <c r="N983">
        <v>214.49448466532101</v>
      </c>
      <c r="O983" t="s">
        <v>51</v>
      </c>
      <c r="P983">
        <f t="shared" si="30"/>
        <v>462</v>
      </c>
      <c r="Q983">
        <f t="shared" si="31"/>
        <v>-214.49448466532201</v>
      </c>
    </row>
    <row r="984" spans="1:17" x14ac:dyDescent="0.4">
      <c r="A984" t="s">
        <v>1976</v>
      </c>
      <c r="B984" s="1">
        <v>45424.75</v>
      </c>
      <c r="C984" t="s">
        <v>28</v>
      </c>
      <c r="D984" t="s">
        <v>1977</v>
      </c>
      <c r="E984" t="s">
        <v>97</v>
      </c>
      <c r="F984" t="s">
        <v>61</v>
      </c>
      <c r="G984">
        <v>195</v>
      </c>
      <c r="H984">
        <v>0.05</v>
      </c>
      <c r="I984">
        <v>185.25</v>
      </c>
      <c r="J984">
        <v>3</v>
      </c>
      <c r="K984">
        <v>133.576042135585</v>
      </c>
      <c r="L984">
        <v>555.75</v>
      </c>
      <c r="M984">
        <v>400.72812640675699</v>
      </c>
      <c r="N984">
        <v>155.02187359324199</v>
      </c>
      <c r="O984" t="s">
        <v>20</v>
      </c>
      <c r="P984">
        <f t="shared" si="30"/>
        <v>585</v>
      </c>
      <c r="Q984">
        <f t="shared" si="31"/>
        <v>-155.02187359324301</v>
      </c>
    </row>
    <row r="985" spans="1:17" x14ac:dyDescent="0.4">
      <c r="A985" t="s">
        <v>1978</v>
      </c>
      <c r="B985" s="1">
        <v>45399.208333333336</v>
      </c>
      <c r="C985" t="s">
        <v>46</v>
      </c>
      <c r="D985" t="s">
        <v>1979</v>
      </c>
      <c r="E985" t="s">
        <v>24</v>
      </c>
      <c r="F985" t="s">
        <v>25</v>
      </c>
      <c r="G985">
        <v>178</v>
      </c>
      <c r="H985">
        <v>0</v>
      </c>
      <c r="I985">
        <v>178</v>
      </c>
      <c r="J985">
        <v>7</v>
      </c>
      <c r="K985">
        <v>79.6365943436506</v>
      </c>
      <c r="L985">
        <v>1246</v>
      </c>
      <c r="M985">
        <v>557.45616040555399</v>
      </c>
      <c r="N985">
        <v>688.54383959444499</v>
      </c>
      <c r="O985" t="s">
        <v>32</v>
      </c>
      <c r="P985">
        <f t="shared" si="30"/>
        <v>1246</v>
      </c>
      <c r="Q985">
        <f t="shared" si="31"/>
        <v>-688.54383959444601</v>
      </c>
    </row>
    <row r="986" spans="1:17" x14ac:dyDescent="0.4">
      <c r="A986" t="s">
        <v>1980</v>
      </c>
      <c r="B986" s="1">
        <v>45825.666666666664</v>
      </c>
      <c r="C986" t="s">
        <v>22</v>
      </c>
      <c r="D986" t="s">
        <v>1981</v>
      </c>
      <c r="E986" t="s">
        <v>18</v>
      </c>
      <c r="F986" t="s">
        <v>19</v>
      </c>
      <c r="G986">
        <v>148</v>
      </c>
      <c r="H986">
        <v>0.1</v>
      </c>
      <c r="I986">
        <v>133.19999999999999</v>
      </c>
      <c r="J986">
        <v>4</v>
      </c>
      <c r="K986">
        <v>108.062856977324</v>
      </c>
      <c r="L986">
        <v>532.79999999999995</v>
      </c>
      <c r="M986">
        <v>432.25142790929903</v>
      </c>
      <c r="N986">
        <v>100.54857209070001</v>
      </c>
      <c r="O986" t="s">
        <v>26</v>
      </c>
      <c r="P986">
        <f t="shared" si="30"/>
        <v>592</v>
      </c>
      <c r="Q986">
        <f t="shared" si="31"/>
        <v>-100.54857209070093</v>
      </c>
    </row>
    <row r="987" spans="1:17" x14ac:dyDescent="0.4">
      <c r="A987" t="s">
        <v>1982</v>
      </c>
      <c r="B987" s="1">
        <v>45400.291666666664</v>
      </c>
      <c r="C987" t="s">
        <v>16</v>
      </c>
      <c r="D987" t="s">
        <v>1983</v>
      </c>
      <c r="E987" t="s">
        <v>73</v>
      </c>
      <c r="F987" t="s">
        <v>38</v>
      </c>
      <c r="G987">
        <v>141</v>
      </c>
      <c r="H987">
        <v>0.1</v>
      </c>
      <c r="I987">
        <v>126.9</v>
      </c>
      <c r="J987">
        <v>3</v>
      </c>
      <c r="K987">
        <v>102.678681002354</v>
      </c>
      <c r="L987">
        <v>380.7</v>
      </c>
      <c r="M987">
        <v>308.03604300706297</v>
      </c>
      <c r="N987">
        <v>72.663956992936903</v>
      </c>
      <c r="O987" t="s">
        <v>51</v>
      </c>
      <c r="P987">
        <f t="shared" si="30"/>
        <v>423</v>
      </c>
      <c r="Q987">
        <f t="shared" si="31"/>
        <v>-72.663956992937017</v>
      </c>
    </row>
    <row r="988" spans="1:17" x14ac:dyDescent="0.4">
      <c r="A988" t="s">
        <v>1984</v>
      </c>
      <c r="B988" s="1">
        <v>45460.041666666664</v>
      </c>
      <c r="C988" t="s">
        <v>43</v>
      </c>
      <c r="D988" t="s">
        <v>1985</v>
      </c>
      <c r="E988" t="s">
        <v>110</v>
      </c>
      <c r="F988" t="s">
        <v>19</v>
      </c>
      <c r="G988">
        <v>239</v>
      </c>
      <c r="H988">
        <v>0.05</v>
      </c>
      <c r="I988">
        <v>227.04999999999899</v>
      </c>
      <c r="J988">
        <v>5</v>
      </c>
      <c r="K988">
        <v>155.75924171194799</v>
      </c>
      <c r="L988">
        <v>1135.25</v>
      </c>
      <c r="M988">
        <v>778.79620855973997</v>
      </c>
      <c r="N988">
        <v>356.45379144025901</v>
      </c>
      <c r="O988" t="s">
        <v>20</v>
      </c>
      <c r="P988">
        <f t="shared" si="30"/>
        <v>1195</v>
      </c>
      <c r="Q988">
        <f t="shared" si="31"/>
        <v>-356.45379144026003</v>
      </c>
    </row>
    <row r="989" spans="1:17" x14ac:dyDescent="0.4">
      <c r="A989" t="s">
        <v>1986</v>
      </c>
      <c r="B989" s="1">
        <v>45643.166666666664</v>
      </c>
      <c r="C989" t="s">
        <v>16</v>
      </c>
      <c r="D989" t="s">
        <v>1987</v>
      </c>
      <c r="E989" t="s">
        <v>30</v>
      </c>
      <c r="F989" t="s">
        <v>31</v>
      </c>
      <c r="G989">
        <v>96</v>
      </c>
      <c r="H989">
        <v>0.1</v>
      </c>
      <c r="I989">
        <v>86.4</v>
      </c>
      <c r="J989">
        <v>4</v>
      </c>
      <c r="K989">
        <v>55.899403694441098</v>
      </c>
      <c r="L989">
        <v>345.6</v>
      </c>
      <c r="M989">
        <v>223.59761477776399</v>
      </c>
      <c r="N989">
        <v>122.00238522223501</v>
      </c>
      <c r="O989" t="s">
        <v>20</v>
      </c>
      <c r="P989">
        <f t="shared" si="30"/>
        <v>384</v>
      </c>
      <c r="Q989">
        <f t="shared" si="31"/>
        <v>-122.00238522223603</v>
      </c>
    </row>
    <row r="990" spans="1:17" x14ac:dyDescent="0.4">
      <c r="A990" t="s">
        <v>1988</v>
      </c>
      <c r="B990" s="1">
        <v>45346.333333333336</v>
      </c>
      <c r="C990" t="s">
        <v>16</v>
      </c>
      <c r="D990" t="s">
        <v>1989</v>
      </c>
      <c r="E990" t="s">
        <v>110</v>
      </c>
      <c r="F990" t="s">
        <v>19</v>
      </c>
      <c r="G990">
        <v>233</v>
      </c>
      <c r="H990">
        <v>0.1</v>
      </c>
      <c r="I990">
        <v>209.7</v>
      </c>
      <c r="J990">
        <v>5</v>
      </c>
      <c r="K990">
        <v>122.54842584688301</v>
      </c>
      <c r="L990">
        <v>1048.5</v>
      </c>
      <c r="M990">
        <v>612.74212923441905</v>
      </c>
      <c r="N990">
        <v>435.75787076557998</v>
      </c>
      <c r="O990" t="s">
        <v>32</v>
      </c>
      <c r="P990">
        <f t="shared" si="30"/>
        <v>1165</v>
      </c>
      <c r="Q990">
        <f t="shared" si="31"/>
        <v>-435.75787076558095</v>
      </c>
    </row>
    <row r="991" spans="1:17" x14ac:dyDescent="0.4">
      <c r="A991" t="s">
        <v>1990</v>
      </c>
      <c r="B991" s="1">
        <v>45651.708333333336</v>
      </c>
      <c r="C991" t="s">
        <v>28</v>
      </c>
      <c r="D991" t="s">
        <v>1991</v>
      </c>
      <c r="E991" t="s">
        <v>60</v>
      </c>
      <c r="F991" t="s">
        <v>61</v>
      </c>
      <c r="G991">
        <v>100</v>
      </c>
      <c r="H991">
        <v>0.15</v>
      </c>
      <c r="I991">
        <v>85</v>
      </c>
      <c r="J991">
        <v>3</v>
      </c>
      <c r="K991">
        <v>54.695463012379498</v>
      </c>
      <c r="L991">
        <v>255</v>
      </c>
      <c r="M991">
        <v>164.08638903713799</v>
      </c>
      <c r="N991">
        <v>90.913610962861497</v>
      </c>
      <c r="O991" t="s">
        <v>32</v>
      </c>
      <c r="P991">
        <f t="shared" si="30"/>
        <v>300</v>
      </c>
      <c r="Q991">
        <f t="shared" si="31"/>
        <v>-90.913610962862009</v>
      </c>
    </row>
    <row r="992" spans="1:17" x14ac:dyDescent="0.4">
      <c r="A992" t="s">
        <v>1992</v>
      </c>
      <c r="B992" s="1">
        <v>45765.833333333336</v>
      </c>
      <c r="C992" t="s">
        <v>22</v>
      </c>
      <c r="D992" t="s">
        <v>1993</v>
      </c>
      <c r="E992" t="s">
        <v>85</v>
      </c>
      <c r="F992" t="s">
        <v>70</v>
      </c>
      <c r="G992">
        <v>315</v>
      </c>
      <c r="H992">
        <v>0.15</v>
      </c>
      <c r="I992">
        <v>267.75</v>
      </c>
      <c r="J992">
        <v>4</v>
      </c>
      <c r="K992">
        <v>180.69232150468301</v>
      </c>
      <c r="L992">
        <v>1071</v>
      </c>
      <c r="M992">
        <v>722.76928601873396</v>
      </c>
      <c r="N992">
        <v>348.23071398126501</v>
      </c>
      <c r="O992" t="s">
        <v>26</v>
      </c>
      <c r="P992">
        <f t="shared" si="30"/>
        <v>1260</v>
      </c>
      <c r="Q992">
        <f t="shared" si="31"/>
        <v>-348.23071398126604</v>
      </c>
    </row>
    <row r="993" spans="1:17" x14ac:dyDescent="0.4">
      <c r="A993" t="s">
        <v>1994</v>
      </c>
      <c r="B993" s="1">
        <v>45666.833333333336</v>
      </c>
      <c r="C993" t="s">
        <v>28</v>
      </c>
      <c r="D993" t="s">
        <v>1995</v>
      </c>
      <c r="E993" t="s">
        <v>97</v>
      </c>
      <c r="F993" t="s">
        <v>61</v>
      </c>
      <c r="G993">
        <v>203</v>
      </c>
      <c r="H993">
        <v>0.1</v>
      </c>
      <c r="I993">
        <v>182.7</v>
      </c>
      <c r="J993">
        <v>1</v>
      </c>
      <c r="K993">
        <v>88.889503252692194</v>
      </c>
      <c r="L993">
        <v>182.7</v>
      </c>
      <c r="M993">
        <v>88.889503252692194</v>
      </c>
      <c r="N993">
        <v>93.810496747307695</v>
      </c>
      <c r="O993" t="s">
        <v>32</v>
      </c>
      <c r="P993">
        <f t="shared" si="30"/>
        <v>203</v>
      </c>
      <c r="Q993">
        <f t="shared" si="31"/>
        <v>-93.810496747307795</v>
      </c>
    </row>
    <row r="994" spans="1:17" x14ac:dyDescent="0.4">
      <c r="A994" t="s">
        <v>1996</v>
      </c>
      <c r="B994" s="1">
        <v>45977.75</v>
      </c>
      <c r="C994" t="s">
        <v>65</v>
      </c>
      <c r="D994" t="s">
        <v>1997</v>
      </c>
      <c r="E994" t="s">
        <v>110</v>
      </c>
      <c r="F994" t="s">
        <v>19</v>
      </c>
      <c r="G994">
        <v>172</v>
      </c>
      <c r="H994">
        <v>0.05</v>
      </c>
      <c r="I994">
        <v>163.4</v>
      </c>
      <c r="J994">
        <v>3</v>
      </c>
      <c r="K994">
        <v>79.166094899030398</v>
      </c>
      <c r="L994">
        <v>490.2</v>
      </c>
      <c r="M994">
        <v>237.49828469709101</v>
      </c>
      <c r="N994">
        <v>252.70171530290801</v>
      </c>
      <c r="O994" t="s">
        <v>32</v>
      </c>
      <c r="P994">
        <f t="shared" si="30"/>
        <v>516</v>
      </c>
      <c r="Q994">
        <f t="shared" si="31"/>
        <v>-252.70171530290898</v>
      </c>
    </row>
    <row r="995" spans="1:17" x14ac:dyDescent="0.4">
      <c r="A995" t="s">
        <v>1998</v>
      </c>
      <c r="B995" s="1">
        <v>45520.125</v>
      </c>
      <c r="C995" t="s">
        <v>16</v>
      </c>
      <c r="D995" t="s">
        <v>1999</v>
      </c>
      <c r="E995" t="s">
        <v>18</v>
      </c>
      <c r="F995" t="s">
        <v>19</v>
      </c>
      <c r="G995">
        <v>103</v>
      </c>
      <c r="H995">
        <v>0</v>
      </c>
      <c r="I995">
        <v>103</v>
      </c>
      <c r="J995">
        <v>3</v>
      </c>
      <c r="K995">
        <v>63.616775553484402</v>
      </c>
      <c r="L995">
        <v>309</v>
      </c>
      <c r="M995">
        <v>190.85032666045299</v>
      </c>
      <c r="N995">
        <v>118.149673339546</v>
      </c>
      <c r="O995" t="s">
        <v>26</v>
      </c>
      <c r="P995">
        <f t="shared" si="30"/>
        <v>309</v>
      </c>
      <c r="Q995">
        <f t="shared" si="31"/>
        <v>-118.14967333954701</v>
      </c>
    </row>
    <row r="996" spans="1:17" x14ac:dyDescent="0.4">
      <c r="A996" t="s">
        <v>2000</v>
      </c>
      <c r="B996" s="1">
        <v>45591.333333333336</v>
      </c>
      <c r="C996" t="s">
        <v>46</v>
      </c>
      <c r="D996" t="s">
        <v>2001</v>
      </c>
      <c r="E996" t="s">
        <v>73</v>
      </c>
      <c r="F996" t="s">
        <v>38</v>
      </c>
      <c r="G996">
        <v>82</v>
      </c>
      <c r="H996">
        <v>0.1</v>
      </c>
      <c r="I996">
        <v>73.8</v>
      </c>
      <c r="J996">
        <v>7</v>
      </c>
      <c r="K996">
        <v>37.601549605803399</v>
      </c>
      <c r="L996">
        <v>516.6</v>
      </c>
      <c r="M996">
        <v>263.21084724062302</v>
      </c>
      <c r="N996">
        <v>253.389152759376</v>
      </c>
      <c r="O996" t="s">
        <v>26</v>
      </c>
      <c r="P996">
        <f t="shared" si="30"/>
        <v>574</v>
      </c>
      <c r="Q996">
        <f t="shared" si="31"/>
        <v>-253.389152759377</v>
      </c>
    </row>
    <row r="997" spans="1:17" x14ac:dyDescent="0.4">
      <c r="A997" t="s">
        <v>2002</v>
      </c>
      <c r="B997" s="1">
        <v>45828.458333333336</v>
      </c>
      <c r="C997" t="s">
        <v>65</v>
      </c>
      <c r="D997" t="s">
        <v>2003</v>
      </c>
      <c r="E997" t="s">
        <v>37</v>
      </c>
      <c r="F997" t="s">
        <v>38</v>
      </c>
      <c r="G997">
        <v>199</v>
      </c>
      <c r="H997">
        <v>0.15</v>
      </c>
      <c r="I997">
        <v>169.15</v>
      </c>
      <c r="J997">
        <v>5</v>
      </c>
      <c r="K997">
        <v>101.249316536565</v>
      </c>
      <c r="L997">
        <v>845.75</v>
      </c>
      <c r="M997">
        <v>506.24658268282502</v>
      </c>
      <c r="N997">
        <v>339.50341731717498</v>
      </c>
      <c r="O997" t="s">
        <v>51</v>
      </c>
      <c r="P997">
        <f t="shared" si="30"/>
        <v>995</v>
      </c>
      <c r="Q997">
        <f t="shared" si="31"/>
        <v>-339.50341731717498</v>
      </c>
    </row>
    <row r="998" spans="1:17" x14ac:dyDescent="0.4">
      <c r="A998" t="s">
        <v>2004</v>
      </c>
      <c r="B998" s="1">
        <v>45359.583333333336</v>
      </c>
      <c r="C998" t="s">
        <v>43</v>
      </c>
      <c r="D998" t="s">
        <v>2005</v>
      </c>
      <c r="E998" t="s">
        <v>213</v>
      </c>
      <c r="F998" t="s">
        <v>31</v>
      </c>
      <c r="G998">
        <v>259</v>
      </c>
      <c r="H998">
        <v>0.2</v>
      </c>
      <c r="I998">
        <v>207.2</v>
      </c>
      <c r="J998">
        <v>1</v>
      </c>
      <c r="K998">
        <v>179.49391530920599</v>
      </c>
      <c r="L998">
        <v>207.2</v>
      </c>
      <c r="M998">
        <v>179.49391530920599</v>
      </c>
      <c r="N998">
        <v>27.706084690793901</v>
      </c>
      <c r="O998" t="s">
        <v>20</v>
      </c>
      <c r="P998">
        <f t="shared" si="30"/>
        <v>259</v>
      </c>
      <c r="Q998">
        <f t="shared" si="31"/>
        <v>-27.706084690794</v>
      </c>
    </row>
    <row r="999" spans="1:17" x14ac:dyDescent="0.4">
      <c r="A999" t="s">
        <v>2006</v>
      </c>
      <c r="B999" s="1">
        <v>45958.166666666664</v>
      </c>
      <c r="C999" t="s">
        <v>16</v>
      </c>
      <c r="D999" t="s">
        <v>2007</v>
      </c>
      <c r="E999" t="s">
        <v>213</v>
      </c>
      <c r="F999" t="s">
        <v>31</v>
      </c>
      <c r="G999">
        <v>253</v>
      </c>
      <c r="H999">
        <v>0.1</v>
      </c>
      <c r="I999">
        <v>227.7</v>
      </c>
      <c r="J999">
        <v>7</v>
      </c>
      <c r="K999">
        <v>178.84440619812901</v>
      </c>
      <c r="L999">
        <v>1593.9</v>
      </c>
      <c r="M999">
        <v>1251.9108433869001</v>
      </c>
      <c r="N999">
        <v>341.98915661309201</v>
      </c>
      <c r="O999" t="s">
        <v>51</v>
      </c>
      <c r="P999">
        <f t="shared" si="30"/>
        <v>1771</v>
      </c>
      <c r="Q999">
        <f t="shared" si="31"/>
        <v>-341.98915661310002</v>
      </c>
    </row>
    <row r="1000" spans="1:17" x14ac:dyDescent="0.4">
      <c r="A1000" t="s">
        <v>2008</v>
      </c>
      <c r="B1000" s="1">
        <v>45627.041666666664</v>
      </c>
      <c r="C1000" t="s">
        <v>43</v>
      </c>
      <c r="D1000" t="s">
        <v>2009</v>
      </c>
      <c r="E1000" t="s">
        <v>73</v>
      </c>
      <c r="F1000" t="s">
        <v>38</v>
      </c>
      <c r="G1000">
        <v>189</v>
      </c>
      <c r="H1000">
        <v>0.1</v>
      </c>
      <c r="I1000">
        <v>170.1</v>
      </c>
      <c r="J1000">
        <v>6</v>
      </c>
      <c r="K1000">
        <v>136.908263807629</v>
      </c>
      <c r="L1000">
        <v>1020.59999999999</v>
      </c>
      <c r="M1000">
        <v>821.44958284577501</v>
      </c>
      <c r="N1000">
        <v>199.15041715422399</v>
      </c>
      <c r="O1000" t="s">
        <v>32</v>
      </c>
      <c r="P1000">
        <f t="shared" si="30"/>
        <v>1134</v>
      </c>
      <c r="Q1000">
        <f t="shared" si="31"/>
        <v>-199.15041715421501</v>
      </c>
    </row>
    <row r="1001" spans="1:17" x14ac:dyDescent="0.4">
      <c r="A1001" t="s">
        <v>2010</v>
      </c>
      <c r="B1001" s="1">
        <v>45988.875</v>
      </c>
      <c r="C1001" t="s">
        <v>28</v>
      </c>
      <c r="D1001" t="s">
        <v>2011</v>
      </c>
      <c r="E1001" t="s">
        <v>73</v>
      </c>
      <c r="F1001" t="s">
        <v>38</v>
      </c>
      <c r="G1001">
        <v>191</v>
      </c>
      <c r="H1001">
        <v>0.05</v>
      </c>
      <c r="I1001">
        <v>181.45</v>
      </c>
      <c r="J1001">
        <v>3</v>
      </c>
      <c r="K1001">
        <v>137.28664110458999</v>
      </c>
      <c r="L1001">
        <v>544.349999999999</v>
      </c>
      <c r="M1001">
        <v>411.85992331377003</v>
      </c>
      <c r="N1001">
        <v>132.490076686229</v>
      </c>
      <c r="O1001" t="s">
        <v>26</v>
      </c>
      <c r="P1001">
        <f t="shared" si="30"/>
        <v>573</v>
      </c>
      <c r="Q1001">
        <f t="shared" si="31"/>
        <v>-132.49007668622897</v>
      </c>
    </row>
    <row r="1002" spans="1:17" x14ac:dyDescent="0.4">
      <c r="A1002" t="s">
        <v>2012</v>
      </c>
      <c r="B1002" s="1">
        <v>45625</v>
      </c>
      <c r="C1002" t="s">
        <v>43</v>
      </c>
      <c r="D1002" t="s">
        <v>2013</v>
      </c>
      <c r="E1002" t="s">
        <v>73</v>
      </c>
      <c r="F1002" t="s">
        <v>38</v>
      </c>
      <c r="G1002">
        <v>284</v>
      </c>
      <c r="H1002">
        <v>0.05</v>
      </c>
      <c r="I1002">
        <v>269.8</v>
      </c>
      <c r="J1002">
        <v>6</v>
      </c>
      <c r="K1002">
        <v>158.469922441096</v>
      </c>
      <c r="L1002">
        <v>1618.8</v>
      </c>
      <c r="M1002">
        <v>950.81953464658</v>
      </c>
      <c r="N1002">
        <v>667.98046535341905</v>
      </c>
      <c r="O1002" t="s">
        <v>26</v>
      </c>
      <c r="P1002">
        <f t="shared" si="30"/>
        <v>1704</v>
      </c>
      <c r="Q1002">
        <f t="shared" si="31"/>
        <v>-667.98046535341996</v>
      </c>
    </row>
    <row r="1003" spans="1:17" x14ac:dyDescent="0.4">
      <c r="A1003" t="s">
        <v>2014</v>
      </c>
      <c r="B1003" s="1">
        <v>45943.916666666664</v>
      </c>
      <c r="C1003" t="s">
        <v>43</v>
      </c>
      <c r="D1003" t="s">
        <v>2015</v>
      </c>
      <c r="E1003" t="s">
        <v>73</v>
      </c>
      <c r="F1003" t="s">
        <v>38</v>
      </c>
      <c r="G1003">
        <v>338</v>
      </c>
      <c r="H1003">
        <v>0</v>
      </c>
      <c r="I1003">
        <v>338</v>
      </c>
      <c r="J1003">
        <v>4</v>
      </c>
      <c r="K1003">
        <v>161.64334137826799</v>
      </c>
      <c r="L1003">
        <v>1352</v>
      </c>
      <c r="M1003">
        <v>646.57336551307503</v>
      </c>
      <c r="N1003">
        <v>705.42663448692394</v>
      </c>
      <c r="O1003" t="s">
        <v>32</v>
      </c>
      <c r="P1003">
        <f t="shared" si="30"/>
        <v>1352</v>
      </c>
      <c r="Q1003">
        <f t="shared" si="31"/>
        <v>-705.42663448692497</v>
      </c>
    </row>
    <row r="1004" spans="1:17" x14ac:dyDescent="0.4">
      <c r="A1004" t="s">
        <v>2016</v>
      </c>
      <c r="B1004" s="1">
        <v>46001.541666666664</v>
      </c>
      <c r="C1004" t="s">
        <v>43</v>
      </c>
      <c r="D1004" t="s">
        <v>2017</v>
      </c>
      <c r="E1004" t="s">
        <v>24</v>
      </c>
      <c r="F1004" t="s">
        <v>25</v>
      </c>
      <c r="G1004">
        <v>234</v>
      </c>
      <c r="H1004">
        <v>0.15</v>
      </c>
      <c r="I1004">
        <v>198.9</v>
      </c>
      <c r="J1004">
        <v>2</v>
      </c>
      <c r="K1004">
        <v>150.56050480664899</v>
      </c>
      <c r="L1004">
        <v>397.8</v>
      </c>
      <c r="M1004">
        <v>301.12100961329901</v>
      </c>
      <c r="N1004">
        <v>96.678990386700804</v>
      </c>
      <c r="O1004" t="s">
        <v>20</v>
      </c>
      <c r="P1004">
        <f t="shared" si="30"/>
        <v>468</v>
      </c>
      <c r="Q1004">
        <f t="shared" si="31"/>
        <v>-96.678990386701003</v>
      </c>
    </row>
    <row r="1005" spans="1:17" x14ac:dyDescent="0.4">
      <c r="A1005" t="s">
        <v>2018</v>
      </c>
      <c r="B1005" s="1">
        <v>45469.625</v>
      </c>
      <c r="C1005" t="s">
        <v>22</v>
      </c>
      <c r="D1005" t="s">
        <v>2019</v>
      </c>
      <c r="E1005" t="s">
        <v>60</v>
      </c>
      <c r="F1005" t="s">
        <v>61</v>
      </c>
      <c r="G1005">
        <v>225</v>
      </c>
      <c r="H1005">
        <v>0.1</v>
      </c>
      <c r="I1005">
        <v>202.5</v>
      </c>
      <c r="J1005">
        <v>5</v>
      </c>
      <c r="K1005">
        <v>125.45838398786</v>
      </c>
      <c r="L1005">
        <v>1012.5</v>
      </c>
      <c r="M1005">
        <v>627.29191993930101</v>
      </c>
      <c r="N1005">
        <v>385.20808006069802</v>
      </c>
      <c r="O1005" t="s">
        <v>32</v>
      </c>
      <c r="P1005">
        <f t="shared" si="30"/>
        <v>1125</v>
      </c>
      <c r="Q1005">
        <f t="shared" si="31"/>
        <v>-385.20808006069899</v>
      </c>
    </row>
    <row r="1006" spans="1:17" x14ac:dyDescent="0.4">
      <c r="A1006" t="s">
        <v>2020</v>
      </c>
      <c r="B1006" s="1">
        <v>45877.833333333336</v>
      </c>
      <c r="C1006" t="s">
        <v>46</v>
      </c>
      <c r="D1006" t="s">
        <v>2021</v>
      </c>
      <c r="E1006" t="s">
        <v>69</v>
      </c>
      <c r="F1006" t="s">
        <v>70</v>
      </c>
      <c r="G1006">
        <v>190</v>
      </c>
      <c r="H1006">
        <v>0.05</v>
      </c>
      <c r="I1006">
        <v>180.5</v>
      </c>
      <c r="J1006">
        <v>7</v>
      </c>
      <c r="K1006">
        <v>129.67826603174299</v>
      </c>
      <c r="L1006">
        <v>1263.5</v>
      </c>
      <c r="M1006">
        <v>907.74786222220496</v>
      </c>
      <c r="N1006">
        <v>355.75213777779402</v>
      </c>
      <c r="O1006" t="s">
        <v>32</v>
      </c>
      <c r="P1006">
        <f t="shared" si="30"/>
        <v>1330</v>
      </c>
      <c r="Q1006">
        <f t="shared" si="31"/>
        <v>-355.75213777779504</v>
      </c>
    </row>
    <row r="1007" spans="1:17" x14ac:dyDescent="0.4">
      <c r="A1007" t="s">
        <v>2022</v>
      </c>
      <c r="B1007" s="1">
        <v>45923.5</v>
      </c>
      <c r="C1007" t="s">
        <v>65</v>
      </c>
      <c r="D1007" t="s">
        <v>2023</v>
      </c>
      <c r="E1007" t="s">
        <v>37</v>
      </c>
      <c r="F1007" t="s">
        <v>38</v>
      </c>
      <c r="G1007">
        <v>294</v>
      </c>
      <c r="H1007">
        <v>0.2</v>
      </c>
      <c r="I1007">
        <v>235.2</v>
      </c>
      <c r="J1007">
        <v>3</v>
      </c>
      <c r="K1007">
        <v>188.33242201536001</v>
      </c>
      <c r="L1007">
        <v>705.6</v>
      </c>
      <c r="M1007">
        <v>564.99726604607997</v>
      </c>
      <c r="N1007">
        <v>140.602733953919</v>
      </c>
      <c r="O1007" t="s">
        <v>20</v>
      </c>
      <c r="P1007">
        <f t="shared" si="30"/>
        <v>882</v>
      </c>
      <c r="Q1007">
        <f t="shared" si="31"/>
        <v>-140.60273395392005</v>
      </c>
    </row>
    <row r="1008" spans="1:17" x14ac:dyDescent="0.4">
      <c r="A1008" t="s">
        <v>2024</v>
      </c>
      <c r="B1008" s="1">
        <v>45652.25</v>
      </c>
      <c r="C1008" t="s">
        <v>28</v>
      </c>
      <c r="D1008" t="s">
        <v>2025</v>
      </c>
      <c r="E1008" t="s">
        <v>97</v>
      </c>
      <c r="F1008" t="s">
        <v>61</v>
      </c>
      <c r="G1008">
        <v>93</v>
      </c>
      <c r="H1008">
        <v>0</v>
      </c>
      <c r="I1008">
        <v>93</v>
      </c>
      <c r="J1008">
        <v>5</v>
      </c>
      <c r="K1008">
        <v>61.886201258030297</v>
      </c>
      <c r="L1008">
        <v>465</v>
      </c>
      <c r="M1008">
        <v>309.431006290151</v>
      </c>
      <c r="N1008">
        <v>155.568993709848</v>
      </c>
      <c r="O1008" t="s">
        <v>51</v>
      </c>
      <c r="P1008">
        <f t="shared" si="30"/>
        <v>465</v>
      </c>
      <c r="Q1008">
        <f t="shared" si="31"/>
        <v>-155.568993709849</v>
      </c>
    </row>
    <row r="1009" spans="1:17" x14ac:dyDescent="0.4">
      <c r="A1009" t="s">
        <v>2026</v>
      </c>
      <c r="B1009" s="1">
        <v>45778</v>
      </c>
      <c r="C1009" t="s">
        <v>22</v>
      </c>
      <c r="D1009" t="s">
        <v>2027</v>
      </c>
      <c r="E1009" t="s">
        <v>30</v>
      </c>
      <c r="F1009" t="s">
        <v>31</v>
      </c>
      <c r="G1009">
        <v>190</v>
      </c>
      <c r="H1009">
        <v>0</v>
      </c>
      <c r="I1009">
        <v>190</v>
      </c>
      <c r="J1009">
        <v>5</v>
      </c>
      <c r="K1009">
        <v>110.139812977639</v>
      </c>
      <c r="L1009">
        <v>950</v>
      </c>
      <c r="M1009">
        <v>550.69906488819697</v>
      </c>
      <c r="N1009">
        <v>399.300935111802</v>
      </c>
      <c r="O1009" t="s">
        <v>51</v>
      </c>
      <c r="P1009">
        <f t="shared" si="30"/>
        <v>950</v>
      </c>
      <c r="Q1009">
        <f t="shared" si="31"/>
        <v>-399.30093511180303</v>
      </c>
    </row>
    <row r="1010" spans="1:17" x14ac:dyDescent="0.4">
      <c r="A1010" t="s">
        <v>2028</v>
      </c>
      <c r="B1010" s="1">
        <v>45415.708333333336</v>
      </c>
      <c r="C1010" t="s">
        <v>46</v>
      </c>
      <c r="D1010" t="s">
        <v>2029</v>
      </c>
      <c r="E1010" t="s">
        <v>73</v>
      </c>
      <c r="F1010" t="s">
        <v>38</v>
      </c>
      <c r="G1010">
        <v>83</v>
      </c>
      <c r="H1010">
        <v>0.2</v>
      </c>
      <c r="I1010">
        <v>66.400000000000006</v>
      </c>
      <c r="J1010">
        <v>2</v>
      </c>
      <c r="K1010">
        <v>51.399407841150499</v>
      </c>
      <c r="L1010">
        <v>132.80000000000001</v>
      </c>
      <c r="M1010">
        <v>102.798815682301</v>
      </c>
      <c r="N1010">
        <v>30.001184317699</v>
      </c>
      <c r="O1010" t="s">
        <v>105</v>
      </c>
      <c r="P1010">
        <f t="shared" si="30"/>
        <v>166</v>
      </c>
      <c r="Q1010">
        <f t="shared" si="31"/>
        <v>-30.001184317699014</v>
      </c>
    </row>
    <row r="1011" spans="1:17" x14ac:dyDescent="0.4">
      <c r="A1011" t="s">
        <v>2030</v>
      </c>
      <c r="B1011" s="1">
        <v>45418.166666666664</v>
      </c>
      <c r="C1011" t="s">
        <v>16</v>
      </c>
      <c r="D1011" t="s">
        <v>2031</v>
      </c>
      <c r="E1011" t="s">
        <v>146</v>
      </c>
      <c r="F1011" t="s">
        <v>70</v>
      </c>
      <c r="G1011">
        <v>148</v>
      </c>
      <c r="H1011">
        <v>0.25</v>
      </c>
      <c r="I1011">
        <v>111</v>
      </c>
      <c r="J1011">
        <v>6</v>
      </c>
      <c r="K1011">
        <v>87.232168761414101</v>
      </c>
      <c r="L1011">
        <v>666</v>
      </c>
      <c r="M1011">
        <v>523.39301256848398</v>
      </c>
      <c r="N1011">
        <v>142.60698743151499</v>
      </c>
      <c r="O1011" t="s">
        <v>32</v>
      </c>
      <c r="P1011">
        <f t="shared" si="30"/>
        <v>888</v>
      </c>
      <c r="Q1011">
        <f t="shared" si="31"/>
        <v>-142.60698743151602</v>
      </c>
    </row>
    <row r="1012" spans="1:17" x14ac:dyDescent="0.4">
      <c r="A1012" t="s">
        <v>2032</v>
      </c>
      <c r="B1012" s="1">
        <v>45443.208333333336</v>
      </c>
      <c r="C1012" t="s">
        <v>46</v>
      </c>
      <c r="D1012" t="s">
        <v>2033</v>
      </c>
      <c r="E1012" t="s">
        <v>110</v>
      </c>
      <c r="F1012" t="s">
        <v>19</v>
      </c>
      <c r="G1012">
        <v>228</v>
      </c>
      <c r="H1012">
        <v>0.2</v>
      </c>
      <c r="I1012">
        <v>182.4</v>
      </c>
      <c r="J1012">
        <v>5</v>
      </c>
      <c r="K1012">
        <v>105.52412078744899</v>
      </c>
      <c r="L1012">
        <v>912</v>
      </c>
      <c r="M1012">
        <v>527.62060393724505</v>
      </c>
      <c r="N1012">
        <v>384.37939606275398</v>
      </c>
      <c r="O1012" t="s">
        <v>20</v>
      </c>
      <c r="P1012">
        <f t="shared" si="30"/>
        <v>1140</v>
      </c>
      <c r="Q1012">
        <f t="shared" si="31"/>
        <v>-384.37939606275495</v>
      </c>
    </row>
    <row r="1013" spans="1:17" x14ac:dyDescent="0.4">
      <c r="A1013" t="s">
        <v>2034</v>
      </c>
      <c r="B1013" s="1">
        <v>45419.791666666664</v>
      </c>
      <c r="C1013" t="s">
        <v>43</v>
      </c>
      <c r="D1013" t="s">
        <v>2035</v>
      </c>
      <c r="E1013" t="s">
        <v>110</v>
      </c>
      <c r="F1013" t="s">
        <v>19</v>
      </c>
      <c r="G1013">
        <v>186</v>
      </c>
      <c r="H1013">
        <v>0.05</v>
      </c>
      <c r="I1013">
        <v>176.7</v>
      </c>
      <c r="J1013">
        <v>5</v>
      </c>
      <c r="K1013">
        <v>97.175996293883301</v>
      </c>
      <c r="L1013">
        <v>883.5</v>
      </c>
      <c r="M1013">
        <v>485.87998146941601</v>
      </c>
      <c r="N1013">
        <v>397.62001853058302</v>
      </c>
      <c r="O1013" t="s">
        <v>32</v>
      </c>
      <c r="P1013">
        <f t="shared" si="30"/>
        <v>930</v>
      </c>
      <c r="Q1013">
        <f t="shared" si="31"/>
        <v>-397.62001853058399</v>
      </c>
    </row>
    <row r="1014" spans="1:17" x14ac:dyDescent="0.4">
      <c r="A1014" t="s">
        <v>2036</v>
      </c>
      <c r="B1014" s="1">
        <v>45539.541666666664</v>
      </c>
      <c r="C1014" t="s">
        <v>22</v>
      </c>
      <c r="D1014" t="s">
        <v>2037</v>
      </c>
      <c r="E1014" t="s">
        <v>30</v>
      </c>
      <c r="F1014" t="s">
        <v>31</v>
      </c>
      <c r="G1014">
        <v>314</v>
      </c>
      <c r="H1014">
        <v>0.2</v>
      </c>
      <c r="I1014">
        <v>251.2</v>
      </c>
      <c r="J1014">
        <v>1</v>
      </c>
      <c r="K1014">
        <v>229.733970195605</v>
      </c>
      <c r="L1014">
        <v>251.2</v>
      </c>
      <c r="M1014">
        <v>229.733970195605</v>
      </c>
      <c r="N1014">
        <v>21.466029804394299</v>
      </c>
      <c r="O1014" t="s">
        <v>32</v>
      </c>
      <c r="P1014">
        <f t="shared" si="30"/>
        <v>314</v>
      </c>
      <c r="Q1014">
        <f t="shared" si="31"/>
        <v>-21.466029804394992</v>
      </c>
    </row>
    <row r="1015" spans="1:17" x14ac:dyDescent="0.4">
      <c r="A1015" t="s">
        <v>2038</v>
      </c>
      <c r="B1015" s="1">
        <v>45773.458333333336</v>
      </c>
      <c r="C1015" t="s">
        <v>28</v>
      </c>
      <c r="D1015" t="s">
        <v>2039</v>
      </c>
      <c r="E1015" t="s">
        <v>104</v>
      </c>
      <c r="F1015" t="s">
        <v>25</v>
      </c>
      <c r="G1015">
        <v>84</v>
      </c>
      <c r="H1015">
        <v>0.1</v>
      </c>
      <c r="I1015">
        <v>75.599999999999994</v>
      </c>
      <c r="J1015">
        <v>3</v>
      </c>
      <c r="K1015">
        <v>35.785347609994098</v>
      </c>
      <c r="L1015">
        <v>226.8</v>
      </c>
      <c r="M1015">
        <v>107.356042829982</v>
      </c>
      <c r="N1015">
        <v>119.443957170017</v>
      </c>
      <c r="O1015" t="s">
        <v>32</v>
      </c>
      <c r="P1015">
        <f t="shared" si="30"/>
        <v>252</v>
      </c>
      <c r="Q1015">
        <f t="shared" si="31"/>
        <v>-119.44395717001801</v>
      </c>
    </row>
    <row r="1016" spans="1:17" x14ac:dyDescent="0.4">
      <c r="A1016" t="s">
        <v>2040</v>
      </c>
      <c r="B1016" s="1">
        <v>45837.041666666664</v>
      </c>
      <c r="C1016" t="s">
        <v>22</v>
      </c>
      <c r="D1016" t="s">
        <v>2041</v>
      </c>
      <c r="E1016" t="s">
        <v>24</v>
      </c>
      <c r="F1016" t="s">
        <v>25</v>
      </c>
      <c r="G1016">
        <v>190</v>
      </c>
      <c r="H1016">
        <v>0.05</v>
      </c>
      <c r="I1016">
        <v>180.5</v>
      </c>
      <c r="J1016">
        <v>1</v>
      </c>
      <c r="K1016">
        <v>105.33987329716</v>
      </c>
      <c r="L1016">
        <v>180.5</v>
      </c>
      <c r="M1016">
        <v>105.33987329716</v>
      </c>
      <c r="N1016">
        <v>75.160126702840003</v>
      </c>
      <c r="O1016" t="s">
        <v>32</v>
      </c>
      <c r="P1016">
        <f t="shared" si="30"/>
        <v>190</v>
      </c>
      <c r="Q1016">
        <f t="shared" si="31"/>
        <v>-75.160126702840003</v>
      </c>
    </row>
    <row r="1017" spans="1:17" x14ac:dyDescent="0.4">
      <c r="A1017" t="s">
        <v>2042</v>
      </c>
      <c r="B1017" s="1">
        <v>45576.125</v>
      </c>
      <c r="C1017" t="s">
        <v>16</v>
      </c>
      <c r="D1017" t="s">
        <v>2043</v>
      </c>
      <c r="E1017" t="s">
        <v>97</v>
      </c>
      <c r="F1017" t="s">
        <v>61</v>
      </c>
      <c r="G1017">
        <v>196</v>
      </c>
      <c r="H1017">
        <v>0.1</v>
      </c>
      <c r="I1017">
        <v>176.4</v>
      </c>
      <c r="J1017">
        <v>6</v>
      </c>
      <c r="K1017">
        <v>110.02251402578</v>
      </c>
      <c r="L1017">
        <v>1058.4000000000001</v>
      </c>
      <c r="M1017">
        <v>660.13508415468095</v>
      </c>
      <c r="N1017">
        <v>398.264915845318</v>
      </c>
      <c r="O1017" t="s">
        <v>26</v>
      </c>
      <c r="P1017">
        <f t="shared" si="30"/>
        <v>1176</v>
      </c>
      <c r="Q1017">
        <f t="shared" si="31"/>
        <v>-398.26491584531914</v>
      </c>
    </row>
    <row r="1018" spans="1:17" x14ac:dyDescent="0.4">
      <c r="A1018" t="s">
        <v>2044</v>
      </c>
      <c r="B1018" s="1">
        <v>45752.25</v>
      </c>
      <c r="C1018" t="s">
        <v>65</v>
      </c>
      <c r="D1018" t="s">
        <v>2045</v>
      </c>
      <c r="E1018" t="s">
        <v>73</v>
      </c>
      <c r="F1018" t="s">
        <v>38</v>
      </c>
      <c r="G1018">
        <v>210</v>
      </c>
      <c r="H1018">
        <v>0</v>
      </c>
      <c r="I1018">
        <v>210</v>
      </c>
      <c r="J1018">
        <v>3</v>
      </c>
      <c r="K1018">
        <v>128.409102769952</v>
      </c>
      <c r="L1018">
        <v>630</v>
      </c>
      <c r="M1018">
        <v>385.22730830985802</v>
      </c>
      <c r="N1018">
        <v>244.77269169014099</v>
      </c>
      <c r="O1018" t="s">
        <v>26</v>
      </c>
      <c r="P1018">
        <f t="shared" si="30"/>
        <v>630</v>
      </c>
      <c r="Q1018">
        <f t="shared" si="31"/>
        <v>-244.77269169014198</v>
      </c>
    </row>
    <row r="1019" spans="1:17" x14ac:dyDescent="0.4">
      <c r="A1019" t="s">
        <v>2046</v>
      </c>
      <c r="B1019" s="1">
        <v>45404.958333333336</v>
      </c>
      <c r="C1019" t="s">
        <v>16</v>
      </c>
      <c r="D1019" t="s">
        <v>2047</v>
      </c>
      <c r="E1019" t="s">
        <v>115</v>
      </c>
      <c r="F1019" t="s">
        <v>38</v>
      </c>
      <c r="G1019">
        <v>297</v>
      </c>
      <c r="H1019">
        <v>0</v>
      </c>
      <c r="I1019">
        <v>297</v>
      </c>
      <c r="J1019">
        <v>7</v>
      </c>
      <c r="K1019">
        <v>139.76205921119299</v>
      </c>
      <c r="L1019">
        <v>2079</v>
      </c>
      <c r="M1019">
        <v>978.33441447835401</v>
      </c>
      <c r="N1019">
        <v>1100.66558552164</v>
      </c>
      <c r="O1019" t="s">
        <v>20</v>
      </c>
      <c r="P1019">
        <f t="shared" si="30"/>
        <v>2079</v>
      </c>
      <c r="Q1019">
        <f t="shared" si="31"/>
        <v>-1100.6655855216459</v>
      </c>
    </row>
    <row r="1020" spans="1:17" x14ac:dyDescent="0.4">
      <c r="A1020" t="s">
        <v>2048</v>
      </c>
      <c r="B1020" s="1">
        <v>45494.208333333336</v>
      </c>
      <c r="C1020" t="s">
        <v>16</v>
      </c>
      <c r="D1020" t="s">
        <v>2049</v>
      </c>
      <c r="E1020" t="s">
        <v>104</v>
      </c>
      <c r="F1020" t="s">
        <v>25</v>
      </c>
      <c r="G1020">
        <v>290</v>
      </c>
      <c r="H1020">
        <v>0.1</v>
      </c>
      <c r="I1020">
        <v>261</v>
      </c>
      <c r="J1020">
        <v>5</v>
      </c>
      <c r="K1020">
        <v>135.69038655667401</v>
      </c>
      <c r="L1020">
        <v>1305</v>
      </c>
      <c r="M1020">
        <v>678.45193278337399</v>
      </c>
      <c r="N1020">
        <v>626.54806721662499</v>
      </c>
      <c r="O1020" t="s">
        <v>26</v>
      </c>
      <c r="P1020">
        <f t="shared" si="30"/>
        <v>1450</v>
      </c>
      <c r="Q1020">
        <f t="shared" si="31"/>
        <v>-626.54806721662601</v>
      </c>
    </row>
    <row r="1021" spans="1:17" x14ac:dyDescent="0.4">
      <c r="A1021" t="s">
        <v>2050</v>
      </c>
      <c r="B1021" s="1">
        <v>45613.458333333336</v>
      </c>
      <c r="C1021" t="s">
        <v>46</v>
      </c>
      <c r="D1021" t="s">
        <v>2051</v>
      </c>
      <c r="E1021" t="s">
        <v>85</v>
      </c>
      <c r="F1021" t="s">
        <v>70</v>
      </c>
      <c r="G1021">
        <v>132</v>
      </c>
      <c r="H1021">
        <v>0.2</v>
      </c>
      <c r="I1021">
        <v>105.6</v>
      </c>
      <c r="J1021">
        <v>4</v>
      </c>
      <c r="K1021">
        <v>88.872289331485007</v>
      </c>
      <c r="L1021">
        <v>422.4</v>
      </c>
      <c r="M1021">
        <v>355.48915732594003</v>
      </c>
      <c r="N1021">
        <v>66.910842674060007</v>
      </c>
      <c r="O1021" t="s">
        <v>32</v>
      </c>
      <c r="P1021">
        <f t="shared" si="30"/>
        <v>528</v>
      </c>
      <c r="Q1021">
        <f t="shared" si="31"/>
        <v>-66.91084267405995</v>
      </c>
    </row>
    <row r="1022" spans="1:17" x14ac:dyDescent="0.4">
      <c r="A1022" t="s">
        <v>2052</v>
      </c>
      <c r="B1022" s="1">
        <v>45664.583333333336</v>
      </c>
      <c r="C1022" t="s">
        <v>16</v>
      </c>
      <c r="D1022" t="s">
        <v>2053</v>
      </c>
      <c r="E1022" t="s">
        <v>69</v>
      </c>
      <c r="F1022" t="s">
        <v>70</v>
      </c>
      <c r="G1022">
        <v>122</v>
      </c>
      <c r="H1022">
        <v>0.15</v>
      </c>
      <c r="I1022">
        <v>103.7</v>
      </c>
      <c r="J1022">
        <v>3</v>
      </c>
      <c r="K1022">
        <v>86.218606515392196</v>
      </c>
      <c r="L1022">
        <v>311.10000000000002</v>
      </c>
      <c r="M1022">
        <v>258.65581954617602</v>
      </c>
      <c r="N1022">
        <v>52.4441804538233</v>
      </c>
      <c r="O1022" t="s">
        <v>32</v>
      </c>
      <c r="P1022">
        <f t="shared" si="30"/>
        <v>366</v>
      </c>
      <c r="Q1022">
        <f t="shared" si="31"/>
        <v>-52.444180453824004</v>
      </c>
    </row>
    <row r="1023" spans="1:17" x14ac:dyDescent="0.4">
      <c r="A1023" t="s">
        <v>2054</v>
      </c>
      <c r="B1023" s="1">
        <v>45938.125</v>
      </c>
      <c r="C1023" t="s">
        <v>43</v>
      </c>
      <c r="D1023" t="s">
        <v>2055</v>
      </c>
      <c r="E1023" t="s">
        <v>115</v>
      </c>
      <c r="F1023" t="s">
        <v>38</v>
      </c>
      <c r="G1023">
        <v>246</v>
      </c>
      <c r="H1023">
        <v>0.05</v>
      </c>
      <c r="I1023">
        <v>233.7</v>
      </c>
      <c r="J1023">
        <v>2</v>
      </c>
      <c r="K1023">
        <v>102.45006249900899</v>
      </c>
      <c r="L1023">
        <v>467.4</v>
      </c>
      <c r="M1023">
        <v>204.90012499801901</v>
      </c>
      <c r="N1023">
        <v>262.49987500198</v>
      </c>
      <c r="O1023" t="s">
        <v>32</v>
      </c>
      <c r="P1023">
        <f t="shared" si="30"/>
        <v>492</v>
      </c>
      <c r="Q1023">
        <f t="shared" si="31"/>
        <v>-262.49987500198097</v>
      </c>
    </row>
    <row r="1024" spans="1:17" x14ac:dyDescent="0.4">
      <c r="A1024" t="s">
        <v>2056</v>
      </c>
      <c r="B1024" s="1">
        <v>45951.416666666664</v>
      </c>
      <c r="C1024" t="s">
        <v>43</v>
      </c>
      <c r="D1024" t="s">
        <v>2057</v>
      </c>
      <c r="E1024" t="s">
        <v>48</v>
      </c>
      <c r="F1024" t="s">
        <v>19</v>
      </c>
      <c r="G1024">
        <v>260</v>
      </c>
      <c r="H1024">
        <v>0.1</v>
      </c>
      <c r="I1024">
        <v>234</v>
      </c>
      <c r="J1024">
        <v>7</v>
      </c>
      <c r="K1024">
        <v>125.422059644578</v>
      </c>
      <c r="L1024">
        <v>1638</v>
      </c>
      <c r="M1024">
        <v>877.95441751205203</v>
      </c>
      <c r="N1024">
        <v>760.04558248794694</v>
      </c>
      <c r="O1024" t="s">
        <v>32</v>
      </c>
      <c r="P1024">
        <f t="shared" si="30"/>
        <v>1820</v>
      </c>
      <c r="Q1024">
        <f t="shared" si="31"/>
        <v>-760.04558248794797</v>
      </c>
    </row>
    <row r="1025" spans="1:17" x14ac:dyDescent="0.4">
      <c r="A1025" t="s">
        <v>2058</v>
      </c>
      <c r="B1025" s="1">
        <v>45365.416666666664</v>
      </c>
      <c r="C1025" t="s">
        <v>43</v>
      </c>
      <c r="D1025" t="s">
        <v>2059</v>
      </c>
      <c r="E1025" t="s">
        <v>37</v>
      </c>
      <c r="F1025" t="s">
        <v>38</v>
      </c>
      <c r="G1025">
        <v>83</v>
      </c>
      <c r="H1025">
        <v>0.1</v>
      </c>
      <c r="I1025">
        <v>74.7</v>
      </c>
      <c r="J1025">
        <v>3</v>
      </c>
      <c r="K1025">
        <v>53.1552414572934</v>
      </c>
      <c r="L1025">
        <v>224.1</v>
      </c>
      <c r="M1025">
        <v>159.46572437187999</v>
      </c>
      <c r="N1025">
        <v>64.634275628119497</v>
      </c>
      <c r="O1025" t="s">
        <v>26</v>
      </c>
      <c r="P1025">
        <f t="shared" si="30"/>
        <v>249</v>
      </c>
      <c r="Q1025">
        <f t="shared" si="31"/>
        <v>-64.634275628120008</v>
      </c>
    </row>
    <row r="1026" spans="1:17" x14ac:dyDescent="0.4">
      <c r="A1026" t="s">
        <v>2060</v>
      </c>
      <c r="B1026" s="1">
        <v>45952.416666666664</v>
      </c>
      <c r="C1026" t="s">
        <v>22</v>
      </c>
      <c r="D1026" t="s">
        <v>2061</v>
      </c>
      <c r="E1026" t="s">
        <v>110</v>
      </c>
      <c r="F1026" t="s">
        <v>19</v>
      </c>
      <c r="G1026">
        <v>217</v>
      </c>
      <c r="H1026">
        <v>0</v>
      </c>
      <c r="I1026">
        <v>217</v>
      </c>
      <c r="J1026">
        <v>6</v>
      </c>
      <c r="K1026">
        <v>104.44116205583801</v>
      </c>
      <c r="L1026">
        <v>1302</v>
      </c>
      <c r="M1026">
        <v>626.64697233503102</v>
      </c>
      <c r="N1026">
        <v>675.35302766496795</v>
      </c>
      <c r="O1026" t="s">
        <v>32</v>
      </c>
      <c r="P1026">
        <f t="shared" si="30"/>
        <v>1302</v>
      </c>
      <c r="Q1026">
        <f t="shared" si="31"/>
        <v>-675.35302766496898</v>
      </c>
    </row>
    <row r="1027" spans="1:17" x14ac:dyDescent="0.4">
      <c r="A1027" t="s">
        <v>2062</v>
      </c>
      <c r="B1027" s="1">
        <v>45796.666666666664</v>
      </c>
      <c r="C1027" t="s">
        <v>22</v>
      </c>
      <c r="D1027" t="s">
        <v>2063</v>
      </c>
      <c r="E1027" t="s">
        <v>82</v>
      </c>
      <c r="F1027" t="s">
        <v>25</v>
      </c>
      <c r="G1027">
        <v>99</v>
      </c>
      <c r="H1027">
        <v>0.2</v>
      </c>
      <c r="I1027">
        <v>79.2</v>
      </c>
      <c r="J1027">
        <v>2</v>
      </c>
      <c r="K1027">
        <v>50.179542401502601</v>
      </c>
      <c r="L1027">
        <v>158.4</v>
      </c>
      <c r="M1027">
        <v>100.359084803005</v>
      </c>
      <c r="N1027">
        <v>58.040915196994597</v>
      </c>
      <c r="O1027" t="s">
        <v>26</v>
      </c>
      <c r="P1027">
        <f t="shared" ref="P1027:P1090" si="32">G1027 * J1027</f>
        <v>198</v>
      </c>
      <c r="Q1027">
        <f t="shared" ref="Q1027:Q1090" si="33" xml:space="preserve"> M1027 - L1027</f>
        <v>-58.040915196995002</v>
      </c>
    </row>
    <row r="1028" spans="1:17" x14ac:dyDescent="0.4">
      <c r="A1028" t="s">
        <v>2064</v>
      </c>
      <c r="B1028" s="1">
        <v>45819.166666666664</v>
      </c>
      <c r="C1028" t="s">
        <v>65</v>
      </c>
      <c r="D1028" t="s">
        <v>2065</v>
      </c>
      <c r="E1028" t="s">
        <v>104</v>
      </c>
      <c r="F1028" t="s">
        <v>25</v>
      </c>
      <c r="G1028">
        <v>212</v>
      </c>
      <c r="H1028">
        <v>0</v>
      </c>
      <c r="I1028">
        <v>212</v>
      </c>
      <c r="J1028">
        <v>2</v>
      </c>
      <c r="K1028">
        <v>128.05848719509899</v>
      </c>
      <c r="L1028">
        <v>424</v>
      </c>
      <c r="M1028">
        <v>256.11697439019798</v>
      </c>
      <c r="N1028">
        <v>167.883025609801</v>
      </c>
      <c r="O1028" t="s">
        <v>51</v>
      </c>
      <c r="P1028">
        <f t="shared" si="32"/>
        <v>424</v>
      </c>
      <c r="Q1028">
        <f t="shared" si="33"/>
        <v>-167.88302560980202</v>
      </c>
    </row>
    <row r="1029" spans="1:17" x14ac:dyDescent="0.4">
      <c r="A1029" t="s">
        <v>2066</v>
      </c>
      <c r="B1029" s="1">
        <v>45547.083333333336</v>
      </c>
      <c r="C1029" t="s">
        <v>22</v>
      </c>
      <c r="D1029" t="s">
        <v>2067</v>
      </c>
      <c r="E1029" t="s">
        <v>94</v>
      </c>
      <c r="F1029" t="s">
        <v>61</v>
      </c>
      <c r="G1029">
        <v>292</v>
      </c>
      <c r="H1029">
        <v>0.2</v>
      </c>
      <c r="I1029">
        <v>233.6</v>
      </c>
      <c r="J1029">
        <v>2</v>
      </c>
      <c r="K1029">
        <v>122.882171630038</v>
      </c>
      <c r="L1029">
        <v>467.2</v>
      </c>
      <c r="M1029">
        <v>245.764343260076</v>
      </c>
      <c r="N1029">
        <v>221.43565673992299</v>
      </c>
      <c r="O1029" t="s">
        <v>51</v>
      </c>
      <c r="P1029">
        <f t="shared" si="32"/>
        <v>584</v>
      </c>
      <c r="Q1029">
        <f t="shared" si="33"/>
        <v>-221.43565673992399</v>
      </c>
    </row>
    <row r="1030" spans="1:17" x14ac:dyDescent="0.4">
      <c r="A1030" t="s">
        <v>2068</v>
      </c>
      <c r="B1030" s="1">
        <v>45312.041666666664</v>
      </c>
      <c r="C1030" t="s">
        <v>16</v>
      </c>
      <c r="D1030" t="s">
        <v>2069</v>
      </c>
      <c r="E1030" t="s">
        <v>73</v>
      </c>
      <c r="F1030" t="s">
        <v>38</v>
      </c>
      <c r="G1030">
        <v>133</v>
      </c>
      <c r="H1030">
        <v>0.05</v>
      </c>
      <c r="I1030">
        <v>126.35</v>
      </c>
      <c r="J1030">
        <v>5</v>
      </c>
      <c r="K1030">
        <v>80.016564918124601</v>
      </c>
      <c r="L1030">
        <v>631.75</v>
      </c>
      <c r="M1030">
        <v>400.08282459062298</v>
      </c>
      <c r="N1030">
        <v>231.667175409376</v>
      </c>
      <c r="O1030" t="s">
        <v>32</v>
      </c>
      <c r="P1030">
        <f t="shared" si="32"/>
        <v>665</v>
      </c>
      <c r="Q1030">
        <f t="shared" si="33"/>
        <v>-231.66717540937702</v>
      </c>
    </row>
    <row r="1031" spans="1:17" x14ac:dyDescent="0.4">
      <c r="A1031" t="s">
        <v>2070</v>
      </c>
      <c r="B1031" s="1">
        <v>45897.666666666664</v>
      </c>
      <c r="C1031" t="s">
        <v>28</v>
      </c>
      <c r="D1031" t="s">
        <v>2071</v>
      </c>
      <c r="E1031" t="s">
        <v>104</v>
      </c>
      <c r="F1031" t="s">
        <v>25</v>
      </c>
      <c r="G1031">
        <v>85</v>
      </c>
      <c r="H1031">
        <v>0</v>
      </c>
      <c r="I1031">
        <v>85</v>
      </c>
      <c r="J1031">
        <v>6</v>
      </c>
      <c r="K1031">
        <v>36.067885950595397</v>
      </c>
      <c r="L1031">
        <v>510</v>
      </c>
      <c r="M1031">
        <v>216.40731570357201</v>
      </c>
      <c r="N1031">
        <v>293.59268429642702</v>
      </c>
      <c r="O1031" t="s">
        <v>32</v>
      </c>
      <c r="P1031">
        <f t="shared" si="32"/>
        <v>510</v>
      </c>
      <c r="Q1031">
        <f t="shared" si="33"/>
        <v>-293.59268429642799</v>
      </c>
    </row>
    <row r="1032" spans="1:17" x14ac:dyDescent="0.4">
      <c r="A1032" t="s">
        <v>2072</v>
      </c>
      <c r="B1032" s="1">
        <v>45298.375</v>
      </c>
      <c r="C1032" t="s">
        <v>28</v>
      </c>
      <c r="D1032" t="s">
        <v>836</v>
      </c>
      <c r="E1032" t="s">
        <v>37</v>
      </c>
      <c r="F1032" t="s">
        <v>38</v>
      </c>
      <c r="G1032">
        <v>321</v>
      </c>
      <c r="H1032">
        <v>0.05</v>
      </c>
      <c r="I1032">
        <v>304.95</v>
      </c>
      <c r="J1032">
        <v>4</v>
      </c>
      <c r="K1032">
        <v>217.45731575372599</v>
      </c>
      <c r="L1032">
        <v>1219.8</v>
      </c>
      <c r="M1032">
        <v>869.829263014905</v>
      </c>
      <c r="N1032">
        <v>349.97073698509399</v>
      </c>
      <c r="O1032" t="s">
        <v>32</v>
      </c>
      <c r="P1032">
        <f t="shared" si="32"/>
        <v>1284</v>
      </c>
      <c r="Q1032">
        <f t="shared" si="33"/>
        <v>-349.97073698509496</v>
      </c>
    </row>
    <row r="1033" spans="1:17" x14ac:dyDescent="0.4">
      <c r="A1033" t="s">
        <v>2073</v>
      </c>
      <c r="B1033" s="1">
        <v>45609.375</v>
      </c>
      <c r="C1033" t="s">
        <v>65</v>
      </c>
      <c r="D1033" t="s">
        <v>2074</v>
      </c>
      <c r="E1033" t="s">
        <v>146</v>
      </c>
      <c r="F1033" t="s">
        <v>70</v>
      </c>
      <c r="G1033">
        <v>139</v>
      </c>
      <c r="H1033">
        <v>0.15</v>
      </c>
      <c r="I1033">
        <v>118.149999999999</v>
      </c>
      <c r="J1033">
        <v>7</v>
      </c>
      <c r="K1033">
        <v>97.987375548723193</v>
      </c>
      <c r="L1033">
        <v>827.05</v>
      </c>
      <c r="M1033">
        <v>685.911628841062</v>
      </c>
      <c r="N1033">
        <v>141.13837115893699</v>
      </c>
      <c r="O1033" t="s">
        <v>32</v>
      </c>
      <c r="P1033">
        <f t="shared" si="32"/>
        <v>973</v>
      </c>
      <c r="Q1033">
        <f t="shared" si="33"/>
        <v>-141.13837115893796</v>
      </c>
    </row>
    <row r="1034" spans="1:17" x14ac:dyDescent="0.4">
      <c r="A1034" t="s">
        <v>2075</v>
      </c>
      <c r="B1034" s="1">
        <v>45355.5</v>
      </c>
      <c r="C1034" t="s">
        <v>28</v>
      </c>
      <c r="D1034" t="s">
        <v>2076</v>
      </c>
      <c r="E1034" t="s">
        <v>97</v>
      </c>
      <c r="F1034" t="s">
        <v>61</v>
      </c>
      <c r="G1034">
        <v>211</v>
      </c>
      <c r="H1034">
        <v>0.1</v>
      </c>
      <c r="I1034">
        <v>189.9</v>
      </c>
      <c r="J1034">
        <v>4</v>
      </c>
      <c r="K1034">
        <v>103.503648995235</v>
      </c>
      <c r="L1034">
        <v>759.6</v>
      </c>
      <c r="M1034">
        <v>414.01459598094198</v>
      </c>
      <c r="N1034">
        <v>345.58540401905799</v>
      </c>
      <c r="O1034" t="s">
        <v>20</v>
      </c>
      <c r="P1034">
        <f t="shared" si="32"/>
        <v>844</v>
      </c>
      <c r="Q1034">
        <f t="shared" si="33"/>
        <v>-345.58540401905805</v>
      </c>
    </row>
    <row r="1035" spans="1:17" x14ac:dyDescent="0.4">
      <c r="A1035" t="s">
        <v>2077</v>
      </c>
      <c r="B1035" s="1">
        <v>45380.333333333336</v>
      </c>
      <c r="C1035" t="s">
        <v>28</v>
      </c>
      <c r="D1035" t="s">
        <v>2078</v>
      </c>
      <c r="E1035" t="s">
        <v>97</v>
      </c>
      <c r="F1035" t="s">
        <v>61</v>
      </c>
      <c r="G1035">
        <v>316</v>
      </c>
      <c r="H1035">
        <v>0.05</v>
      </c>
      <c r="I1035">
        <v>300.2</v>
      </c>
      <c r="J1035">
        <v>6</v>
      </c>
      <c r="K1035">
        <v>206.595299512911</v>
      </c>
      <c r="L1035">
        <v>1801.19999999999</v>
      </c>
      <c r="M1035">
        <v>1239.5717970774599</v>
      </c>
      <c r="N1035">
        <v>561.62820292253002</v>
      </c>
      <c r="O1035" t="s">
        <v>32</v>
      </c>
      <c r="P1035">
        <f t="shared" si="32"/>
        <v>1896</v>
      </c>
      <c r="Q1035">
        <f t="shared" si="33"/>
        <v>-561.62820292253014</v>
      </c>
    </row>
    <row r="1036" spans="1:17" x14ac:dyDescent="0.4">
      <c r="A1036" t="s">
        <v>2079</v>
      </c>
      <c r="B1036" s="1">
        <v>45919</v>
      </c>
      <c r="C1036" t="s">
        <v>43</v>
      </c>
      <c r="D1036" t="s">
        <v>2080</v>
      </c>
      <c r="E1036" t="s">
        <v>94</v>
      </c>
      <c r="F1036" t="s">
        <v>61</v>
      </c>
      <c r="G1036">
        <v>130</v>
      </c>
      <c r="H1036">
        <v>0</v>
      </c>
      <c r="I1036">
        <v>130</v>
      </c>
      <c r="J1036">
        <v>2</v>
      </c>
      <c r="K1036">
        <v>56.820993966154099</v>
      </c>
      <c r="L1036">
        <v>260</v>
      </c>
      <c r="M1036">
        <v>113.641987932308</v>
      </c>
      <c r="N1036">
        <v>146.35801206769099</v>
      </c>
      <c r="O1036" t="s">
        <v>32</v>
      </c>
      <c r="P1036">
        <f t="shared" si="32"/>
        <v>260</v>
      </c>
      <c r="Q1036">
        <f t="shared" si="33"/>
        <v>-146.35801206769202</v>
      </c>
    </row>
    <row r="1037" spans="1:17" x14ac:dyDescent="0.4">
      <c r="A1037" t="s">
        <v>2081</v>
      </c>
      <c r="B1037" s="1">
        <v>45389.625</v>
      </c>
      <c r="C1037" t="s">
        <v>16</v>
      </c>
      <c r="D1037" t="s">
        <v>2082</v>
      </c>
      <c r="E1037" t="s">
        <v>73</v>
      </c>
      <c r="F1037" t="s">
        <v>38</v>
      </c>
      <c r="G1037">
        <v>242</v>
      </c>
      <c r="H1037">
        <v>0</v>
      </c>
      <c r="I1037">
        <v>242</v>
      </c>
      <c r="J1037">
        <v>7</v>
      </c>
      <c r="K1037">
        <v>97.276972189760102</v>
      </c>
      <c r="L1037">
        <v>1694</v>
      </c>
      <c r="M1037">
        <v>680.938805328321</v>
      </c>
      <c r="N1037">
        <v>1013.06119467167</v>
      </c>
      <c r="O1037" t="s">
        <v>26</v>
      </c>
      <c r="P1037">
        <f t="shared" si="32"/>
        <v>1694</v>
      </c>
      <c r="Q1037">
        <f t="shared" si="33"/>
        <v>-1013.061194671679</v>
      </c>
    </row>
    <row r="1038" spans="1:17" x14ac:dyDescent="0.4">
      <c r="A1038" t="s">
        <v>2083</v>
      </c>
      <c r="B1038" s="1">
        <v>45506</v>
      </c>
      <c r="C1038" t="s">
        <v>28</v>
      </c>
      <c r="D1038" t="s">
        <v>2084</v>
      </c>
      <c r="E1038" t="s">
        <v>213</v>
      </c>
      <c r="F1038" t="s">
        <v>31</v>
      </c>
      <c r="G1038">
        <v>318</v>
      </c>
      <c r="H1038">
        <v>0.05</v>
      </c>
      <c r="I1038">
        <v>302.099999999999</v>
      </c>
      <c r="J1038">
        <v>6</v>
      </c>
      <c r="K1038">
        <v>219.80049291118101</v>
      </c>
      <c r="L1038">
        <v>1812.6</v>
      </c>
      <c r="M1038">
        <v>1318.80295746708</v>
      </c>
      <c r="N1038">
        <v>493.79704253290998</v>
      </c>
      <c r="O1038" t="s">
        <v>26</v>
      </c>
      <c r="P1038">
        <f t="shared" si="32"/>
        <v>1908</v>
      </c>
      <c r="Q1038">
        <f t="shared" si="33"/>
        <v>-493.79704253291993</v>
      </c>
    </row>
    <row r="1039" spans="1:17" x14ac:dyDescent="0.4">
      <c r="A1039" t="s">
        <v>2085</v>
      </c>
      <c r="B1039" s="1">
        <v>45343.666666666664</v>
      </c>
      <c r="C1039" t="s">
        <v>43</v>
      </c>
      <c r="D1039" t="s">
        <v>2086</v>
      </c>
      <c r="E1039" t="s">
        <v>104</v>
      </c>
      <c r="F1039" t="s">
        <v>25</v>
      </c>
      <c r="G1039">
        <v>186</v>
      </c>
      <c r="H1039">
        <v>0</v>
      </c>
      <c r="I1039">
        <v>186</v>
      </c>
      <c r="J1039">
        <v>5</v>
      </c>
      <c r="K1039">
        <v>114.476338070145</v>
      </c>
      <c r="L1039">
        <v>930</v>
      </c>
      <c r="M1039">
        <v>572.38169035072701</v>
      </c>
      <c r="N1039">
        <v>357.61830964927202</v>
      </c>
      <c r="O1039" t="s">
        <v>105</v>
      </c>
      <c r="P1039">
        <f t="shared" si="32"/>
        <v>930</v>
      </c>
      <c r="Q1039">
        <f t="shared" si="33"/>
        <v>-357.61830964927299</v>
      </c>
    </row>
    <row r="1040" spans="1:17" x14ac:dyDescent="0.4">
      <c r="A1040" t="s">
        <v>2087</v>
      </c>
      <c r="B1040" s="1">
        <v>45294.5</v>
      </c>
      <c r="C1040" t="s">
        <v>22</v>
      </c>
      <c r="D1040" t="s">
        <v>2088</v>
      </c>
      <c r="E1040" t="s">
        <v>48</v>
      </c>
      <c r="F1040" t="s">
        <v>19</v>
      </c>
      <c r="G1040">
        <v>86</v>
      </c>
      <c r="H1040">
        <v>0</v>
      </c>
      <c r="I1040">
        <v>86</v>
      </c>
      <c r="J1040">
        <v>1</v>
      </c>
      <c r="K1040">
        <v>43.0751802502879</v>
      </c>
      <c r="L1040">
        <v>86</v>
      </c>
      <c r="M1040">
        <v>43.0751802502879</v>
      </c>
      <c r="N1040">
        <v>42.924819749712</v>
      </c>
      <c r="O1040" t="s">
        <v>26</v>
      </c>
      <c r="P1040">
        <f t="shared" si="32"/>
        <v>86</v>
      </c>
      <c r="Q1040">
        <f t="shared" si="33"/>
        <v>-42.9248197497121</v>
      </c>
    </row>
    <row r="1041" spans="1:17" x14ac:dyDescent="0.4">
      <c r="A1041" t="s">
        <v>2089</v>
      </c>
      <c r="B1041" s="1">
        <v>45672.416666666664</v>
      </c>
      <c r="C1041" t="s">
        <v>22</v>
      </c>
      <c r="D1041" t="s">
        <v>2090</v>
      </c>
      <c r="E1041" t="s">
        <v>69</v>
      </c>
      <c r="F1041" t="s">
        <v>70</v>
      </c>
      <c r="G1041">
        <v>288</v>
      </c>
      <c r="H1041">
        <v>0.15</v>
      </c>
      <c r="I1041">
        <v>244.79999999999899</v>
      </c>
      <c r="J1041">
        <v>3</v>
      </c>
      <c r="K1041">
        <v>139.69122061222001</v>
      </c>
      <c r="L1041">
        <v>734.4</v>
      </c>
      <c r="M1041">
        <v>419.07366183666198</v>
      </c>
      <c r="N1041">
        <v>315.32633816333703</v>
      </c>
      <c r="O1041" t="s">
        <v>32</v>
      </c>
      <c r="P1041">
        <f t="shared" si="32"/>
        <v>864</v>
      </c>
      <c r="Q1041">
        <f t="shared" si="33"/>
        <v>-315.32633816333799</v>
      </c>
    </row>
    <row r="1042" spans="1:17" x14ac:dyDescent="0.4">
      <c r="A1042" t="s">
        <v>2091</v>
      </c>
      <c r="B1042" s="1">
        <v>45805</v>
      </c>
      <c r="C1042" t="s">
        <v>43</v>
      </c>
      <c r="D1042" t="s">
        <v>2092</v>
      </c>
      <c r="E1042" t="s">
        <v>104</v>
      </c>
      <c r="F1042" t="s">
        <v>25</v>
      </c>
      <c r="G1042">
        <v>195</v>
      </c>
      <c r="H1042">
        <v>0.05</v>
      </c>
      <c r="I1042">
        <v>185.25</v>
      </c>
      <c r="J1042">
        <v>4</v>
      </c>
      <c r="K1042">
        <v>143.93631631392299</v>
      </c>
      <c r="L1042">
        <v>741</v>
      </c>
      <c r="M1042">
        <v>575.74526525569399</v>
      </c>
      <c r="N1042">
        <v>165.25473474430501</v>
      </c>
      <c r="O1042" t="s">
        <v>32</v>
      </c>
      <c r="P1042">
        <f t="shared" si="32"/>
        <v>780</v>
      </c>
      <c r="Q1042">
        <f t="shared" si="33"/>
        <v>-165.25473474430601</v>
      </c>
    </row>
    <row r="1043" spans="1:17" x14ac:dyDescent="0.4">
      <c r="A1043" t="s">
        <v>2093</v>
      </c>
      <c r="B1043" s="1">
        <v>45848.25</v>
      </c>
      <c r="C1043" t="s">
        <v>22</v>
      </c>
      <c r="D1043" t="s">
        <v>2094</v>
      </c>
      <c r="E1043" t="s">
        <v>146</v>
      </c>
      <c r="F1043" t="s">
        <v>70</v>
      </c>
      <c r="G1043">
        <v>136</v>
      </c>
      <c r="H1043">
        <v>0.15</v>
      </c>
      <c r="I1043">
        <v>115.6</v>
      </c>
      <c r="J1043">
        <v>2</v>
      </c>
      <c r="K1043">
        <v>98.830474053398802</v>
      </c>
      <c r="L1043">
        <v>231.2</v>
      </c>
      <c r="M1043">
        <v>197.66094810679701</v>
      </c>
      <c r="N1043">
        <v>33.539051893202299</v>
      </c>
      <c r="O1043" t="s">
        <v>51</v>
      </c>
      <c r="P1043">
        <f t="shared" si="32"/>
        <v>272</v>
      </c>
      <c r="Q1043">
        <f t="shared" si="33"/>
        <v>-33.539051893202981</v>
      </c>
    </row>
    <row r="1044" spans="1:17" x14ac:dyDescent="0.4">
      <c r="A1044" t="s">
        <v>2095</v>
      </c>
      <c r="B1044" s="1">
        <v>45809.416666666664</v>
      </c>
      <c r="C1044" t="s">
        <v>43</v>
      </c>
      <c r="D1044" t="s">
        <v>1223</v>
      </c>
      <c r="E1044" t="s">
        <v>110</v>
      </c>
      <c r="F1044" t="s">
        <v>19</v>
      </c>
      <c r="G1044">
        <v>154</v>
      </c>
      <c r="H1044">
        <v>0.15</v>
      </c>
      <c r="I1044">
        <v>130.9</v>
      </c>
      <c r="J1044">
        <v>7</v>
      </c>
      <c r="K1044">
        <v>94.076145477751098</v>
      </c>
      <c r="L1044">
        <v>916.3</v>
      </c>
      <c r="M1044">
        <v>658.53301834425804</v>
      </c>
      <c r="N1044">
        <v>257.76698165574197</v>
      </c>
      <c r="O1044" t="s">
        <v>32</v>
      </c>
      <c r="P1044">
        <f t="shared" si="32"/>
        <v>1078</v>
      </c>
      <c r="Q1044">
        <f t="shared" si="33"/>
        <v>-257.76698165574192</v>
      </c>
    </row>
    <row r="1045" spans="1:17" x14ac:dyDescent="0.4">
      <c r="A1045" t="s">
        <v>2096</v>
      </c>
      <c r="B1045" s="1">
        <v>45344.166666666664</v>
      </c>
      <c r="C1045" t="s">
        <v>22</v>
      </c>
      <c r="D1045" t="s">
        <v>2097</v>
      </c>
      <c r="E1045" t="s">
        <v>110</v>
      </c>
      <c r="F1045" t="s">
        <v>19</v>
      </c>
      <c r="G1045">
        <v>299</v>
      </c>
      <c r="H1045">
        <v>0.1</v>
      </c>
      <c r="I1045">
        <v>269.10000000000002</v>
      </c>
      <c r="J1045">
        <v>2</v>
      </c>
      <c r="K1045">
        <v>124.214250446001</v>
      </c>
      <c r="L1045">
        <v>538.20000000000005</v>
      </c>
      <c r="M1045">
        <v>248.428500892003</v>
      </c>
      <c r="N1045">
        <v>289.77149910799602</v>
      </c>
      <c r="O1045" t="s">
        <v>32</v>
      </c>
      <c r="P1045">
        <f t="shared" si="32"/>
        <v>598</v>
      </c>
      <c r="Q1045">
        <f t="shared" si="33"/>
        <v>-289.77149910799704</v>
      </c>
    </row>
    <row r="1046" spans="1:17" x14ac:dyDescent="0.4">
      <c r="A1046" t="s">
        <v>2098</v>
      </c>
      <c r="B1046" s="1">
        <v>45640.458333333336</v>
      </c>
      <c r="C1046" t="s">
        <v>28</v>
      </c>
      <c r="D1046" t="s">
        <v>2099</v>
      </c>
      <c r="E1046" t="s">
        <v>69</v>
      </c>
      <c r="F1046" t="s">
        <v>70</v>
      </c>
      <c r="G1046">
        <v>126</v>
      </c>
      <c r="H1046">
        <v>0.15</v>
      </c>
      <c r="I1046">
        <v>107.1</v>
      </c>
      <c r="J1046">
        <v>3</v>
      </c>
      <c r="K1046">
        <v>82.741242799685295</v>
      </c>
      <c r="L1046">
        <v>321.29999999999899</v>
      </c>
      <c r="M1046">
        <v>248.22372839905501</v>
      </c>
      <c r="N1046">
        <v>73.076271600943898</v>
      </c>
      <c r="O1046" t="s">
        <v>26</v>
      </c>
      <c r="P1046">
        <f t="shared" si="32"/>
        <v>378</v>
      </c>
      <c r="Q1046">
        <f t="shared" si="33"/>
        <v>-73.076271600943983</v>
      </c>
    </row>
    <row r="1047" spans="1:17" x14ac:dyDescent="0.4">
      <c r="A1047" t="s">
        <v>2100</v>
      </c>
      <c r="B1047" s="1">
        <v>45694.083333333336</v>
      </c>
      <c r="C1047" t="s">
        <v>16</v>
      </c>
      <c r="D1047" t="s">
        <v>2101</v>
      </c>
      <c r="E1047" t="s">
        <v>18</v>
      </c>
      <c r="F1047" t="s">
        <v>19</v>
      </c>
      <c r="G1047">
        <v>173</v>
      </c>
      <c r="H1047">
        <v>0.1</v>
      </c>
      <c r="I1047">
        <v>155.69999999999999</v>
      </c>
      <c r="J1047">
        <v>2</v>
      </c>
      <c r="K1047">
        <v>104.73197794920399</v>
      </c>
      <c r="L1047">
        <v>311.39999999999998</v>
      </c>
      <c r="M1047">
        <v>209.46395589840799</v>
      </c>
      <c r="N1047">
        <v>101.93604410159099</v>
      </c>
      <c r="O1047" t="s">
        <v>26</v>
      </c>
      <c r="P1047">
        <f t="shared" si="32"/>
        <v>346</v>
      </c>
      <c r="Q1047">
        <f t="shared" si="33"/>
        <v>-101.93604410159199</v>
      </c>
    </row>
    <row r="1048" spans="1:17" x14ac:dyDescent="0.4">
      <c r="A1048" t="s">
        <v>2102</v>
      </c>
      <c r="B1048" s="1">
        <v>45971.75</v>
      </c>
      <c r="C1048" t="s">
        <v>16</v>
      </c>
      <c r="D1048" t="s">
        <v>2103</v>
      </c>
      <c r="E1048" t="s">
        <v>60</v>
      </c>
      <c r="F1048" t="s">
        <v>61</v>
      </c>
      <c r="G1048">
        <v>170</v>
      </c>
      <c r="H1048">
        <v>0.05</v>
      </c>
      <c r="I1048">
        <v>161.5</v>
      </c>
      <c r="J1048">
        <v>1</v>
      </c>
      <c r="K1048">
        <v>94.133025400446499</v>
      </c>
      <c r="L1048">
        <v>161.5</v>
      </c>
      <c r="M1048">
        <v>94.133025400446499</v>
      </c>
      <c r="N1048">
        <v>67.366974599553402</v>
      </c>
      <c r="O1048" t="s">
        <v>32</v>
      </c>
      <c r="P1048">
        <f t="shared" si="32"/>
        <v>170</v>
      </c>
      <c r="Q1048">
        <f t="shared" si="33"/>
        <v>-67.366974599553501</v>
      </c>
    </row>
    <row r="1049" spans="1:17" x14ac:dyDescent="0.4">
      <c r="A1049" t="s">
        <v>2104</v>
      </c>
      <c r="B1049" s="1">
        <v>45462.416666666664</v>
      </c>
      <c r="C1049" t="s">
        <v>28</v>
      </c>
      <c r="D1049" t="s">
        <v>372</v>
      </c>
      <c r="E1049" t="s">
        <v>146</v>
      </c>
      <c r="F1049" t="s">
        <v>70</v>
      </c>
      <c r="G1049">
        <v>90</v>
      </c>
      <c r="H1049">
        <v>0</v>
      </c>
      <c r="I1049">
        <v>90</v>
      </c>
      <c r="J1049">
        <v>1</v>
      </c>
      <c r="K1049">
        <v>37.617032696695802</v>
      </c>
      <c r="L1049">
        <v>90</v>
      </c>
      <c r="M1049">
        <v>37.617032696695802</v>
      </c>
      <c r="N1049">
        <v>52.382967303304099</v>
      </c>
      <c r="O1049" t="s">
        <v>20</v>
      </c>
      <c r="P1049">
        <f t="shared" si="32"/>
        <v>90</v>
      </c>
      <c r="Q1049">
        <f t="shared" si="33"/>
        <v>-52.382967303304198</v>
      </c>
    </row>
    <row r="1050" spans="1:17" x14ac:dyDescent="0.4">
      <c r="A1050" t="s">
        <v>2105</v>
      </c>
      <c r="B1050" s="1">
        <v>45582</v>
      </c>
      <c r="C1050" t="s">
        <v>28</v>
      </c>
      <c r="D1050" t="s">
        <v>2106</v>
      </c>
      <c r="E1050" t="s">
        <v>18</v>
      </c>
      <c r="F1050" t="s">
        <v>19</v>
      </c>
      <c r="G1050">
        <v>89</v>
      </c>
      <c r="H1050">
        <v>0</v>
      </c>
      <c r="I1050">
        <v>89</v>
      </c>
      <c r="J1050">
        <v>6</v>
      </c>
      <c r="K1050">
        <v>44.143256632449699</v>
      </c>
      <c r="L1050">
        <v>534</v>
      </c>
      <c r="M1050">
        <v>264.85953979469798</v>
      </c>
      <c r="N1050">
        <v>269.140460205301</v>
      </c>
      <c r="O1050" t="s">
        <v>32</v>
      </c>
      <c r="P1050">
        <f t="shared" si="32"/>
        <v>534</v>
      </c>
      <c r="Q1050">
        <f t="shared" si="33"/>
        <v>-269.14046020530202</v>
      </c>
    </row>
    <row r="1051" spans="1:17" x14ac:dyDescent="0.4">
      <c r="A1051" t="s">
        <v>2107</v>
      </c>
      <c r="B1051" s="1">
        <v>45417.166666666664</v>
      </c>
      <c r="C1051" t="s">
        <v>28</v>
      </c>
      <c r="D1051" t="s">
        <v>2108</v>
      </c>
      <c r="E1051" t="s">
        <v>97</v>
      </c>
      <c r="F1051" t="s">
        <v>61</v>
      </c>
      <c r="G1051">
        <v>97</v>
      </c>
      <c r="H1051">
        <v>0.1</v>
      </c>
      <c r="I1051">
        <v>87.3</v>
      </c>
      <c r="J1051">
        <v>4</v>
      </c>
      <c r="K1051">
        <v>44.933233925995197</v>
      </c>
      <c r="L1051">
        <v>349.2</v>
      </c>
      <c r="M1051">
        <v>179.73293570397999</v>
      </c>
      <c r="N1051">
        <v>169.467064296019</v>
      </c>
      <c r="O1051" t="s">
        <v>32</v>
      </c>
      <c r="P1051">
        <f t="shared" si="32"/>
        <v>388</v>
      </c>
      <c r="Q1051">
        <f t="shared" si="33"/>
        <v>-169.46706429602</v>
      </c>
    </row>
    <row r="1052" spans="1:17" x14ac:dyDescent="0.4">
      <c r="A1052" t="s">
        <v>2109</v>
      </c>
      <c r="B1052" s="1">
        <v>45988.375</v>
      </c>
      <c r="C1052" t="s">
        <v>65</v>
      </c>
      <c r="D1052" t="s">
        <v>2110</v>
      </c>
      <c r="E1052" t="s">
        <v>146</v>
      </c>
      <c r="F1052" t="s">
        <v>70</v>
      </c>
      <c r="G1052">
        <v>153</v>
      </c>
      <c r="H1052">
        <v>0.1</v>
      </c>
      <c r="I1052">
        <v>137.69999999999999</v>
      </c>
      <c r="J1052">
        <v>6</v>
      </c>
      <c r="K1052">
        <v>100.773024982016</v>
      </c>
      <c r="L1052">
        <v>826.2</v>
      </c>
      <c r="M1052">
        <v>604.63814989210096</v>
      </c>
      <c r="N1052">
        <v>221.56185010789901</v>
      </c>
      <c r="O1052" t="s">
        <v>32</v>
      </c>
      <c r="P1052">
        <f t="shared" si="32"/>
        <v>918</v>
      </c>
      <c r="Q1052">
        <f t="shared" si="33"/>
        <v>-221.56185010789909</v>
      </c>
    </row>
    <row r="1053" spans="1:17" x14ac:dyDescent="0.4">
      <c r="A1053" t="s">
        <v>2111</v>
      </c>
      <c r="B1053" s="1">
        <v>45443.666666666664</v>
      </c>
      <c r="C1053" t="s">
        <v>22</v>
      </c>
      <c r="D1053" t="s">
        <v>2112</v>
      </c>
      <c r="E1053" t="s">
        <v>60</v>
      </c>
      <c r="F1053" t="s">
        <v>61</v>
      </c>
      <c r="G1053">
        <v>186</v>
      </c>
      <c r="H1053">
        <v>0.05</v>
      </c>
      <c r="I1053">
        <v>176.7</v>
      </c>
      <c r="J1053">
        <v>1</v>
      </c>
      <c r="K1053">
        <v>108.251877874803</v>
      </c>
      <c r="L1053">
        <v>176.7</v>
      </c>
      <c r="M1053">
        <v>108.251877874803</v>
      </c>
      <c r="N1053">
        <v>68.448122125196306</v>
      </c>
      <c r="O1053" t="s">
        <v>32</v>
      </c>
      <c r="P1053">
        <f t="shared" si="32"/>
        <v>186</v>
      </c>
      <c r="Q1053">
        <f t="shared" si="33"/>
        <v>-68.448122125196988</v>
      </c>
    </row>
    <row r="1054" spans="1:17" x14ac:dyDescent="0.4">
      <c r="A1054" t="s">
        <v>2113</v>
      </c>
      <c r="B1054" s="1">
        <v>45347.875</v>
      </c>
      <c r="C1054" t="s">
        <v>65</v>
      </c>
      <c r="D1054" t="s">
        <v>2114</v>
      </c>
      <c r="E1054" t="s">
        <v>73</v>
      </c>
      <c r="F1054" t="s">
        <v>38</v>
      </c>
      <c r="G1054">
        <v>130</v>
      </c>
      <c r="H1054">
        <v>0</v>
      </c>
      <c r="I1054">
        <v>130</v>
      </c>
      <c r="J1054">
        <v>7</v>
      </c>
      <c r="K1054">
        <v>85.543859314867106</v>
      </c>
      <c r="L1054">
        <v>910</v>
      </c>
      <c r="M1054">
        <v>598.80701520406899</v>
      </c>
      <c r="N1054">
        <v>311.19298479592999</v>
      </c>
      <c r="O1054" t="s">
        <v>32</v>
      </c>
      <c r="P1054">
        <f t="shared" si="32"/>
        <v>910</v>
      </c>
      <c r="Q1054">
        <f t="shared" si="33"/>
        <v>-311.19298479593101</v>
      </c>
    </row>
    <row r="1055" spans="1:17" x14ac:dyDescent="0.4">
      <c r="A1055" t="s">
        <v>2115</v>
      </c>
      <c r="B1055" s="1">
        <v>45785.958333333336</v>
      </c>
      <c r="C1055" t="s">
        <v>28</v>
      </c>
      <c r="D1055" t="s">
        <v>2116</v>
      </c>
      <c r="E1055" t="s">
        <v>110</v>
      </c>
      <c r="F1055" t="s">
        <v>19</v>
      </c>
      <c r="G1055">
        <v>106</v>
      </c>
      <c r="H1055">
        <v>0</v>
      </c>
      <c r="I1055">
        <v>106</v>
      </c>
      <c r="J1055">
        <v>1</v>
      </c>
      <c r="K1055">
        <v>68.606281435646395</v>
      </c>
      <c r="L1055">
        <v>106</v>
      </c>
      <c r="M1055">
        <v>68.606281435646395</v>
      </c>
      <c r="N1055">
        <v>37.393718564353499</v>
      </c>
      <c r="O1055" t="s">
        <v>32</v>
      </c>
      <c r="P1055">
        <f t="shared" si="32"/>
        <v>106</v>
      </c>
      <c r="Q1055">
        <f t="shared" si="33"/>
        <v>-37.393718564353605</v>
      </c>
    </row>
    <row r="1056" spans="1:17" x14ac:dyDescent="0.4">
      <c r="A1056" t="s">
        <v>2117</v>
      </c>
      <c r="B1056" s="1">
        <v>45306.083333333336</v>
      </c>
      <c r="C1056" t="s">
        <v>43</v>
      </c>
      <c r="D1056" t="s">
        <v>2118</v>
      </c>
      <c r="E1056" t="s">
        <v>69</v>
      </c>
      <c r="F1056" t="s">
        <v>70</v>
      </c>
      <c r="G1056">
        <v>173</v>
      </c>
      <c r="H1056">
        <v>0</v>
      </c>
      <c r="I1056">
        <v>173</v>
      </c>
      <c r="J1056">
        <v>1</v>
      </c>
      <c r="K1056">
        <v>114.104062845087</v>
      </c>
      <c r="L1056">
        <v>173</v>
      </c>
      <c r="M1056">
        <v>114.104062845087</v>
      </c>
      <c r="N1056">
        <v>58.895937154911998</v>
      </c>
      <c r="O1056" t="s">
        <v>32</v>
      </c>
      <c r="P1056">
        <f t="shared" si="32"/>
        <v>173</v>
      </c>
      <c r="Q1056">
        <f t="shared" si="33"/>
        <v>-58.895937154913</v>
      </c>
    </row>
    <row r="1057" spans="1:17" x14ac:dyDescent="0.4">
      <c r="A1057" t="s">
        <v>2119</v>
      </c>
      <c r="B1057" s="1">
        <v>45537.625</v>
      </c>
      <c r="C1057" t="s">
        <v>46</v>
      </c>
      <c r="D1057" t="s">
        <v>2120</v>
      </c>
      <c r="E1057" t="s">
        <v>82</v>
      </c>
      <c r="F1057" t="s">
        <v>25</v>
      </c>
      <c r="G1057">
        <v>252</v>
      </c>
      <c r="H1057">
        <v>0</v>
      </c>
      <c r="I1057">
        <v>252</v>
      </c>
      <c r="J1057">
        <v>5</v>
      </c>
      <c r="K1057">
        <v>161.51457616183799</v>
      </c>
      <c r="L1057">
        <v>1260</v>
      </c>
      <c r="M1057">
        <v>807.57288080919102</v>
      </c>
      <c r="N1057">
        <v>452.42711919080801</v>
      </c>
      <c r="O1057" t="s">
        <v>51</v>
      </c>
      <c r="P1057">
        <f t="shared" si="32"/>
        <v>1260</v>
      </c>
      <c r="Q1057">
        <f t="shared" si="33"/>
        <v>-452.42711919080898</v>
      </c>
    </row>
    <row r="1058" spans="1:17" x14ac:dyDescent="0.4">
      <c r="A1058" t="s">
        <v>2121</v>
      </c>
      <c r="B1058" s="1">
        <v>45802.583333333336</v>
      </c>
      <c r="C1058" t="s">
        <v>46</v>
      </c>
      <c r="D1058" t="s">
        <v>2122</v>
      </c>
      <c r="E1058" t="s">
        <v>73</v>
      </c>
      <c r="F1058" t="s">
        <v>38</v>
      </c>
      <c r="G1058">
        <v>338</v>
      </c>
      <c r="H1058">
        <v>0</v>
      </c>
      <c r="I1058">
        <v>338</v>
      </c>
      <c r="J1058">
        <v>2</v>
      </c>
      <c r="K1058">
        <v>186.98905126453599</v>
      </c>
      <c r="L1058">
        <v>676</v>
      </c>
      <c r="M1058">
        <v>373.97810252907198</v>
      </c>
      <c r="N1058">
        <v>302.021897470927</v>
      </c>
      <c r="O1058" t="s">
        <v>32</v>
      </c>
      <c r="P1058">
        <f t="shared" si="32"/>
        <v>676</v>
      </c>
      <c r="Q1058">
        <f t="shared" si="33"/>
        <v>-302.02189747092802</v>
      </c>
    </row>
    <row r="1059" spans="1:17" x14ac:dyDescent="0.4">
      <c r="A1059" t="s">
        <v>2123</v>
      </c>
      <c r="B1059" s="1">
        <v>45764.666666666664</v>
      </c>
      <c r="C1059" t="s">
        <v>43</v>
      </c>
      <c r="D1059" t="s">
        <v>2124</v>
      </c>
      <c r="E1059" t="s">
        <v>85</v>
      </c>
      <c r="F1059" t="s">
        <v>70</v>
      </c>
      <c r="G1059">
        <v>251</v>
      </c>
      <c r="H1059">
        <v>0.1</v>
      </c>
      <c r="I1059">
        <v>225.9</v>
      </c>
      <c r="J1059">
        <v>2</v>
      </c>
      <c r="K1059">
        <v>159.458299273075</v>
      </c>
      <c r="L1059">
        <v>451.8</v>
      </c>
      <c r="M1059">
        <v>318.91659854615102</v>
      </c>
      <c r="N1059">
        <v>132.88340145384799</v>
      </c>
      <c r="O1059" t="s">
        <v>105</v>
      </c>
      <c r="P1059">
        <f t="shared" si="32"/>
        <v>502</v>
      </c>
      <c r="Q1059">
        <f t="shared" si="33"/>
        <v>-132.88340145384899</v>
      </c>
    </row>
    <row r="1060" spans="1:17" x14ac:dyDescent="0.4">
      <c r="A1060" t="s">
        <v>2125</v>
      </c>
      <c r="B1060" s="1">
        <v>45364.916666666664</v>
      </c>
      <c r="C1060" t="s">
        <v>46</v>
      </c>
      <c r="D1060" t="s">
        <v>2126</v>
      </c>
      <c r="E1060" t="s">
        <v>97</v>
      </c>
      <c r="F1060" t="s">
        <v>61</v>
      </c>
      <c r="G1060">
        <v>155</v>
      </c>
      <c r="H1060">
        <v>0</v>
      </c>
      <c r="I1060">
        <v>155</v>
      </c>
      <c r="J1060">
        <v>2</v>
      </c>
      <c r="K1060">
        <v>99.926511642933605</v>
      </c>
      <c r="L1060">
        <v>310</v>
      </c>
      <c r="M1060">
        <v>199.85302328586701</v>
      </c>
      <c r="N1060">
        <v>110.14697671413199</v>
      </c>
      <c r="O1060" t="s">
        <v>51</v>
      </c>
      <c r="P1060">
        <f t="shared" si="32"/>
        <v>310</v>
      </c>
      <c r="Q1060">
        <f t="shared" si="33"/>
        <v>-110.14697671413299</v>
      </c>
    </row>
    <row r="1061" spans="1:17" x14ac:dyDescent="0.4">
      <c r="A1061" t="s">
        <v>2127</v>
      </c>
      <c r="B1061" s="1">
        <v>45392.875</v>
      </c>
      <c r="C1061" t="s">
        <v>43</v>
      </c>
      <c r="D1061" t="s">
        <v>2128</v>
      </c>
      <c r="E1061" t="s">
        <v>18</v>
      </c>
      <c r="F1061" t="s">
        <v>19</v>
      </c>
      <c r="G1061">
        <v>85</v>
      </c>
      <c r="H1061">
        <v>0.1</v>
      </c>
      <c r="I1061">
        <v>76.5</v>
      </c>
      <c r="J1061">
        <v>2</v>
      </c>
      <c r="K1061">
        <v>59.894278269714597</v>
      </c>
      <c r="L1061">
        <v>153</v>
      </c>
      <c r="M1061">
        <v>119.788556539429</v>
      </c>
      <c r="N1061">
        <v>33.211443460570699</v>
      </c>
      <c r="O1061" t="s">
        <v>26</v>
      </c>
      <c r="P1061">
        <f t="shared" si="32"/>
        <v>170</v>
      </c>
      <c r="Q1061">
        <f t="shared" si="33"/>
        <v>-33.211443460571004</v>
      </c>
    </row>
    <row r="1062" spans="1:17" x14ac:dyDescent="0.4">
      <c r="A1062" t="s">
        <v>2129</v>
      </c>
      <c r="B1062" s="1">
        <v>45588.625</v>
      </c>
      <c r="C1062" t="s">
        <v>43</v>
      </c>
      <c r="D1062" t="s">
        <v>2130</v>
      </c>
      <c r="E1062" t="s">
        <v>18</v>
      </c>
      <c r="F1062" t="s">
        <v>19</v>
      </c>
      <c r="G1062">
        <v>123</v>
      </c>
      <c r="H1062">
        <v>0</v>
      </c>
      <c r="I1062">
        <v>123</v>
      </c>
      <c r="J1062">
        <v>4</v>
      </c>
      <c r="K1062">
        <v>66.105696830102403</v>
      </c>
      <c r="L1062">
        <v>492</v>
      </c>
      <c r="M1062">
        <v>264.42278732040899</v>
      </c>
      <c r="N1062">
        <v>227.57721267958999</v>
      </c>
      <c r="O1062" t="s">
        <v>26</v>
      </c>
      <c r="P1062">
        <f t="shared" si="32"/>
        <v>492</v>
      </c>
      <c r="Q1062">
        <f t="shared" si="33"/>
        <v>-227.57721267959101</v>
      </c>
    </row>
    <row r="1063" spans="1:17" x14ac:dyDescent="0.4">
      <c r="A1063" t="s">
        <v>2131</v>
      </c>
      <c r="B1063" s="1">
        <v>45513.625</v>
      </c>
      <c r="C1063" t="s">
        <v>28</v>
      </c>
      <c r="D1063" t="s">
        <v>2132</v>
      </c>
      <c r="E1063" t="s">
        <v>73</v>
      </c>
      <c r="F1063" t="s">
        <v>38</v>
      </c>
      <c r="G1063">
        <v>100</v>
      </c>
      <c r="H1063">
        <v>0.1</v>
      </c>
      <c r="I1063">
        <v>90</v>
      </c>
      <c r="J1063">
        <v>2</v>
      </c>
      <c r="K1063">
        <v>73.181864864851093</v>
      </c>
      <c r="L1063">
        <v>180</v>
      </c>
      <c r="M1063">
        <v>146.36372972970199</v>
      </c>
      <c r="N1063">
        <v>33.636270270297601</v>
      </c>
      <c r="O1063" t="s">
        <v>26</v>
      </c>
      <c r="P1063">
        <f t="shared" si="32"/>
        <v>200</v>
      </c>
      <c r="Q1063">
        <f t="shared" si="33"/>
        <v>-33.636270270298013</v>
      </c>
    </row>
    <row r="1064" spans="1:17" x14ac:dyDescent="0.4">
      <c r="A1064" t="s">
        <v>2133</v>
      </c>
      <c r="B1064" s="1">
        <v>45954.333333333336</v>
      </c>
      <c r="C1064" t="s">
        <v>43</v>
      </c>
      <c r="D1064" t="s">
        <v>1264</v>
      </c>
      <c r="E1064" t="s">
        <v>69</v>
      </c>
      <c r="F1064" t="s">
        <v>70</v>
      </c>
      <c r="G1064">
        <v>211</v>
      </c>
      <c r="H1064">
        <v>0.05</v>
      </c>
      <c r="I1064">
        <v>200.45</v>
      </c>
      <c r="J1064">
        <v>4</v>
      </c>
      <c r="K1064">
        <v>85.924518010456794</v>
      </c>
      <c r="L1064">
        <v>801.8</v>
      </c>
      <c r="M1064">
        <v>343.698072041827</v>
      </c>
      <c r="N1064">
        <v>458.10192795817198</v>
      </c>
      <c r="O1064" t="s">
        <v>32</v>
      </c>
      <c r="P1064">
        <f t="shared" si="32"/>
        <v>844</v>
      </c>
      <c r="Q1064">
        <f t="shared" si="33"/>
        <v>-458.10192795817295</v>
      </c>
    </row>
    <row r="1065" spans="1:17" x14ac:dyDescent="0.4">
      <c r="A1065" t="s">
        <v>2134</v>
      </c>
      <c r="B1065" s="1">
        <v>45788.583333333336</v>
      </c>
      <c r="C1065" t="s">
        <v>22</v>
      </c>
      <c r="D1065" t="s">
        <v>2135</v>
      </c>
      <c r="E1065" t="s">
        <v>73</v>
      </c>
      <c r="F1065" t="s">
        <v>38</v>
      </c>
      <c r="G1065">
        <v>169</v>
      </c>
      <c r="H1065">
        <v>0.05</v>
      </c>
      <c r="I1065">
        <v>160.54999999999899</v>
      </c>
      <c r="J1065">
        <v>3</v>
      </c>
      <c r="K1065">
        <v>93.546465806874593</v>
      </c>
      <c r="L1065">
        <v>481.65</v>
      </c>
      <c r="M1065">
        <v>280.63939742062399</v>
      </c>
      <c r="N1065">
        <v>201.01060257937499</v>
      </c>
      <c r="O1065" t="s">
        <v>51</v>
      </c>
      <c r="P1065">
        <f t="shared" si="32"/>
        <v>507</v>
      </c>
      <c r="Q1065">
        <f t="shared" si="33"/>
        <v>-201.01060257937598</v>
      </c>
    </row>
    <row r="1066" spans="1:17" x14ac:dyDescent="0.4">
      <c r="A1066" t="s">
        <v>2136</v>
      </c>
      <c r="B1066" s="1">
        <v>45869.041666666664</v>
      </c>
      <c r="C1066" t="s">
        <v>43</v>
      </c>
      <c r="D1066" t="s">
        <v>2137</v>
      </c>
      <c r="E1066" t="s">
        <v>60</v>
      </c>
      <c r="F1066" t="s">
        <v>61</v>
      </c>
      <c r="G1066">
        <v>82</v>
      </c>
      <c r="H1066">
        <v>0</v>
      </c>
      <c r="I1066">
        <v>82</v>
      </c>
      <c r="J1066">
        <v>4</v>
      </c>
      <c r="K1066">
        <v>54.138522776859404</v>
      </c>
      <c r="L1066">
        <v>328</v>
      </c>
      <c r="M1066">
        <v>216.55409110743699</v>
      </c>
      <c r="N1066">
        <v>111.445908892562</v>
      </c>
      <c r="O1066" t="s">
        <v>51</v>
      </c>
      <c r="P1066">
        <f t="shared" si="32"/>
        <v>328</v>
      </c>
      <c r="Q1066">
        <f t="shared" si="33"/>
        <v>-111.44590889256301</v>
      </c>
    </row>
    <row r="1067" spans="1:17" x14ac:dyDescent="0.4">
      <c r="A1067" t="s">
        <v>2138</v>
      </c>
      <c r="B1067" s="1">
        <v>45495.041666666664</v>
      </c>
      <c r="C1067" t="s">
        <v>28</v>
      </c>
      <c r="D1067" t="s">
        <v>2139</v>
      </c>
      <c r="E1067" t="s">
        <v>110</v>
      </c>
      <c r="F1067" t="s">
        <v>19</v>
      </c>
      <c r="G1067">
        <v>195</v>
      </c>
      <c r="H1067">
        <v>0.15</v>
      </c>
      <c r="I1067">
        <v>165.75</v>
      </c>
      <c r="J1067">
        <v>3</v>
      </c>
      <c r="K1067">
        <v>140.21794252560801</v>
      </c>
      <c r="L1067">
        <v>497.25</v>
      </c>
      <c r="M1067">
        <v>420.65382757682602</v>
      </c>
      <c r="N1067">
        <v>76.596172423173002</v>
      </c>
      <c r="O1067" t="s">
        <v>105</v>
      </c>
      <c r="P1067">
        <f t="shared" si="32"/>
        <v>585</v>
      </c>
      <c r="Q1067">
        <f t="shared" si="33"/>
        <v>-76.596172423173982</v>
      </c>
    </row>
    <row r="1068" spans="1:17" x14ac:dyDescent="0.4">
      <c r="A1068" t="s">
        <v>2140</v>
      </c>
      <c r="B1068" s="1">
        <v>45492.25</v>
      </c>
      <c r="C1068" t="s">
        <v>65</v>
      </c>
      <c r="D1068" t="s">
        <v>2141</v>
      </c>
      <c r="E1068" t="s">
        <v>18</v>
      </c>
      <c r="F1068" t="s">
        <v>19</v>
      </c>
      <c r="G1068">
        <v>89</v>
      </c>
      <c r="H1068">
        <v>0.1</v>
      </c>
      <c r="I1068">
        <v>80.099999999999994</v>
      </c>
      <c r="J1068">
        <v>6</v>
      </c>
      <c r="K1068">
        <v>41.457480034140602</v>
      </c>
      <c r="L1068">
        <v>480.6</v>
      </c>
      <c r="M1068">
        <v>248.74488020484401</v>
      </c>
      <c r="N1068">
        <v>231.85511979515499</v>
      </c>
      <c r="O1068" t="s">
        <v>32</v>
      </c>
      <c r="P1068">
        <f t="shared" si="32"/>
        <v>534</v>
      </c>
      <c r="Q1068">
        <f t="shared" si="33"/>
        <v>-231.85511979515601</v>
      </c>
    </row>
    <row r="1069" spans="1:17" x14ac:dyDescent="0.4">
      <c r="A1069" t="s">
        <v>2142</v>
      </c>
      <c r="B1069" s="1">
        <v>45650</v>
      </c>
      <c r="C1069" t="s">
        <v>65</v>
      </c>
      <c r="D1069" t="s">
        <v>2143</v>
      </c>
      <c r="E1069" t="s">
        <v>146</v>
      </c>
      <c r="F1069" t="s">
        <v>70</v>
      </c>
      <c r="G1069">
        <v>85</v>
      </c>
      <c r="H1069">
        <v>0</v>
      </c>
      <c r="I1069">
        <v>85</v>
      </c>
      <c r="J1069">
        <v>4</v>
      </c>
      <c r="K1069">
        <v>36.189043511068299</v>
      </c>
      <c r="L1069">
        <v>340</v>
      </c>
      <c r="M1069">
        <v>144.756174044273</v>
      </c>
      <c r="N1069">
        <v>195.24382595572601</v>
      </c>
      <c r="O1069" t="s">
        <v>20</v>
      </c>
      <c r="P1069">
        <f t="shared" si="32"/>
        <v>340</v>
      </c>
      <c r="Q1069">
        <f t="shared" si="33"/>
        <v>-195.243825955727</v>
      </c>
    </row>
    <row r="1070" spans="1:17" x14ac:dyDescent="0.4">
      <c r="A1070" t="s">
        <v>2144</v>
      </c>
      <c r="B1070" s="1">
        <v>45799.583333333336</v>
      </c>
      <c r="C1070" t="s">
        <v>65</v>
      </c>
      <c r="D1070" t="s">
        <v>2145</v>
      </c>
      <c r="E1070" t="s">
        <v>146</v>
      </c>
      <c r="F1070" t="s">
        <v>70</v>
      </c>
      <c r="G1070">
        <v>189</v>
      </c>
      <c r="H1070">
        <v>0</v>
      </c>
      <c r="I1070">
        <v>189</v>
      </c>
      <c r="J1070">
        <v>4</v>
      </c>
      <c r="K1070">
        <v>129.911263300428</v>
      </c>
      <c r="L1070">
        <v>756</v>
      </c>
      <c r="M1070">
        <v>519.64505320171497</v>
      </c>
      <c r="N1070">
        <v>236.354946798284</v>
      </c>
      <c r="O1070" t="s">
        <v>32</v>
      </c>
      <c r="P1070">
        <f t="shared" si="32"/>
        <v>756</v>
      </c>
      <c r="Q1070">
        <f t="shared" si="33"/>
        <v>-236.35494679828503</v>
      </c>
    </row>
    <row r="1071" spans="1:17" x14ac:dyDescent="0.4">
      <c r="A1071" t="s">
        <v>2146</v>
      </c>
      <c r="B1071" s="1">
        <v>45990.916666666664</v>
      </c>
      <c r="C1071" t="s">
        <v>43</v>
      </c>
      <c r="D1071" t="s">
        <v>2147</v>
      </c>
      <c r="E1071" t="s">
        <v>213</v>
      </c>
      <c r="F1071" t="s">
        <v>31</v>
      </c>
      <c r="G1071">
        <v>82</v>
      </c>
      <c r="H1071">
        <v>0.2</v>
      </c>
      <c r="I1071">
        <v>65.599999999999994</v>
      </c>
      <c r="J1071">
        <v>6</v>
      </c>
      <c r="K1071">
        <v>56.870819854121699</v>
      </c>
      <c r="L1071">
        <v>393.6</v>
      </c>
      <c r="M1071">
        <v>341.22491912472998</v>
      </c>
      <c r="N1071">
        <v>52.375080875269397</v>
      </c>
      <c r="O1071" t="s">
        <v>20</v>
      </c>
      <c r="P1071">
        <f t="shared" si="32"/>
        <v>492</v>
      </c>
      <c r="Q1071">
        <f t="shared" si="33"/>
        <v>-52.375080875270044</v>
      </c>
    </row>
    <row r="1072" spans="1:17" x14ac:dyDescent="0.4">
      <c r="A1072" t="s">
        <v>2148</v>
      </c>
      <c r="B1072" s="1">
        <v>45793.875</v>
      </c>
      <c r="C1072" t="s">
        <v>16</v>
      </c>
      <c r="D1072" t="s">
        <v>2149</v>
      </c>
      <c r="E1072" t="s">
        <v>97</v>
      </c>
      <c r="F1072" t="s">
        <v>61</v>
      </c>
      <c r="G1072">
        <v>334</v>
      </c>
      <c r="H1072">
        <v>0.05</v>
      </c>
      <c r="I1072">
        <v>317.3</v>
      </c>
      <c r="J1072">
        <v>7</v>
      </c>
      <c r="K1072">
        <v>134.69242506254099</v>
      </c>
      <c r="L1072">
        <v>2221.1</v>
      </c>
      <c r="M1072">
        <v>942.84697543779305</v>
      </c>
      <c r="N1072">
        <v>1278.2530245621999</v>
      </c>
      <c r="O1072" t="s">
        <v>51</v>
      </c>
      <c r="P1072">
        <f t="shared" si="32"/>
        <v>2338</v>
      </c>
      <c r="Q1072">
        <f t="shared" si="33"/>
        <v>-1278.253024562207</v>
      </c>
    </row>
    <row r="1073" spans="1:17" x14ac:dyDescent="0.4">
      <c r="A1073" t="s">
        <v>2150</v>
      </c>
      <c r="B1073" s="1">
        <v>45476.583333333336</v>
      </c>
      <c r="C1073" t="s">
        <v>22</v>
      </c>
      <c r="D1073" t="s">
        <v>2151</v>
      </c>
      <c r="E1073" t="s">
        <v>73</v>
      </c>
      <c r="F1073" t="s">
        <v>38</v>
      </c>
      <c r="G1073">
        <v>270</v>
      </c>
      <c r="H1073">
        <v>0.15</v>
      </c>
      <c r="I1073">
        <v>229.5</v>
      </c>
      <c r="J1073">
        <v>6</v>
      </c>
      <c r="K1073">
        <v>171.34520541125499</v>
      </c>
      <c r="L1073">
        <v>1377</v>
      </c>
      <c r="M1073">
        <v>1028.0712324675301</v>
      </c>
      <c r="N1073">
        <v>348.92876753246497</v>
      </c>
      <c r="O1073" t="s">
        <v>51</v>
      </c>
      <c r="P1073">
        <f t="shared" si="32"/>
        <v>1620</v>
      </c>
      <c r="Q1073">
        <f t="shared" si="33"/>
        <v>-348.92876753246992</v>
      </c>
    </row>
    <row r="1074" spans="1:17" x14ac:dyDescent="0.4">
      <c r="A1074" t="s">
        <v>2152</v>
      </c>
      <c r="B1074" s="1">
        <v>45659.5</v>
      </c>
      <c r="C1074" t="s">
        <v>28</v>
      </c>
      <c r="D1074" t="s">
        <v>2153</v>
      </c>
      <c r="E1074" t="s">
        <v>60</v>
      </c>
      <c r="F1074" t="s">
        <v>61</v>
      </c>
      <c r="G1074">
        <v>209</v>
      </c>
      <c r="H1074">
        <v>0.1</v>
      </c>
      <c r="I1074">
        <v>188.1</v>
      </c>
      <c r="J1074">
        <v>4</v>
      </c>
      <c r="K1074">
        <v>125.67648663754299</v>
      </c>
      <c r="L1074">
        <v>752.4</v>
      </c>
      <c r="M1074">
        <v>502.70594655017499</v>
      </c>
      <c r="N1074">
        <v>249.694053449824</v>
      </c>
      <c r="O1074" t="s">
        <v>32</v>
      </c>
      <c r="P1074">
        <f t="shared" si="32"/>
        <v>836</v>
      </c>
      <c r="Q1074">
        <f t="shared" si="33"/>
        <v>-249.69405344982499</v>
      </c>
    </row>
    <row r="1075" spans="1:17" x14ac:dyDescent="0.4">
      <c r="A1075" t="s">
        <v>2154</v>
      </c>
      <c r="B1075" s="1">
        <v>45468.333333333336</v>
      </c>
      <c r="C1075" t="s">
        <v>65</v>
      </c>
      <c r="D1075" t="s">
        <v>2155</v>
      </c>
      <c r="E1075" t="s">
        <v>48</v>
      </c>
      <c r="F1075" t="s">
        <v>19</v>
      </c>
      <c r="G1075">
        <v>88</v>
      </c>
      <c r="H1075">
        <v>0.1</v>
      </c>
      <c r="I1075">
        <v>79.2</v>
      </c>
      <c r="J1075">
        <v>1</v>
      </c>
      <c r="K1075">
        <v>35.259502960178303</v>
      </c>
      <c r="L1075">
        <v>79.2</v>
      </c>
      <c r="M1075">
        <v>35.259502960178303</v>
      </c>
      <c r="N1075">
        <v>43.940497039821601</v>
      </c>
      <c r="O1075" t="s">
        <v>26</v>
      </c>
      <c r="P1075">
        <f t="shared" si="32"/>
        <v>88</v>
      </c>
      <c r="Q1075">
        <f t="shared" si="33"/>
        <v>-43.9404970398217</v>
      </c>
    </row>
    <row r="1076" spans="1:17" x14ac:dyDescent="0.4">
      <c r="A1076" t="s">
        <v>2156</v>
      </c>
      <c r="B1076" s="1">
        <v>45755.416666666664</v>
      </c>
      <c r="C1076" t="s">
        <v>43</v>
      </c>
      <c r="D1076" t="s">
        <v>2157</v>
      </c>
      <c r="E1076" t="s">
        <v>69</v>
      </c>
      <c r="F1076" t="s">
        <v>70</v>
      </c>
      <c r="G1076">
        <v>346</v>
      </c>
      <c r="H1076">
        <v>0.2</v>
      </c>
      <c r="I1076">
        <v>276.8</v>
      </c>
      <c r="J1076">
        <v>6</v>
      </c>
      <c r="K1076">
        <v>229.882706285327</v>
      </c>
      <c r="L1076">
        <v>1660.8</v>
      </c>
      <c r="M1076">
        <v>1379.29623771196</v>
      </c>
      <c r="N1076">
        <v>281.50376228803401</v>
      </c>
      <c r="O1076" t="s">
        <v>20</v>
      </c>
      <c r="P1076">
        <f t="shared" si="32"/>
        <v>2076</v>
      </c>
      <c r="Q1076">
        <f t="shared" si="33"/>
        <v>-281.50376228803998</v>
      </c>
    </row>
    <row r="1077" spans="1:17" x14ac:dyDescent="0.4">
      <c r="A1077" t="s">
        <v>2158</v>
      </c>
      <c r="B1077" s="1">
        <v>45917.958333333336</v>
      </c>
      <c r="C1077" t="s">
        <v>46</v>
      </c>
      <c r="D1077" t="s">
        <v>2159</v>
      </c>
      <c r="E1077" t="s">
        <v>146</v>
      </c>
      <c r="F1077" t="s">
        <v>70</v>
      </c>
      <c r="G1077">
        <v>196</v>
      </c>
      <c r="H1077">
        <v>0.1</v>
      </c>
      <c r="I1077">
        <v>176.4</v>
      </c>
      <c r="J1077">
        <v>3</v>
      </c>
      <c r="K1077">
        <v>114.990889557366</v>
      </c>
      <c r="L1077">
        <v>529.20000000000005</v>
      </c>
      <c r="M1077">
        <v>344.97266867209999</v>
      </c>
      <c r="N1077">
        <v>184.22733132789901</v>
      </c>
      <c r="O1077" t="s">
        <v>32</v>
      </c>
      <c r="P1077">
        <f t="shared" si="32"/>
        <v>588</v>
      </c>
      <c r="Q1077">
        <f t="shared" si="33"/>
        <v>-184.22733132790006</v>
      </c>
    </row>
    <row r="1078" spans="1:17" x14ac:dyDescent="0.4">
      <c r="A1078" t="s">
        <v>2160</v>
      </c>
      <c r="B1078" s="1">
        <v>45625.625</v>
      </c>
      <c r="C1078" t="s">
        <v>22</v>
      </c>
      <c r="D1078" t="s">
        <v>2161</v>
      </c>
      <c r="E1078" t="s">
        <v>94</v>
      </c>
      <c r="F1078" t="s">
        <v>61</v>
      </c>
      <c r="G1078">
        <v>288</v>
      </c>
      <c r="H1078">
        <v>0</v>
      </c>
      <c r="I1078">
        <v>288</v>
      </c>
      <c r="J1078">
        <v>1</v>
      </c>
      <c r="K1078">
        <v>185.32058794729701</v>
      </c>
      <c r="L1078">
        <v>288</v>
      </c>
      <c r="M1078">
        <v>185.32058794729701</v>
      </c>
      <c r="N1078">
        <v>102.67941205270201</v>
      </c>
      <c r="O1078" t="s">
        <v>26</v>
      </c>
      <c r="P1078">
        <f t="shared" si="32"/>
        <v>288</v>
      </c>
      <c r="Q1078">
        <f t="shared" si="33"/>
        <v>-102.67941205270299</v>
      </c>
    </row>
    <row r="1079" spans="1:17" x14ac:dyDescent="0.4">
      <c r="A1079" t="s">
        <v>2162</v>
      </c>
      <c r="B1079" s="1">
        <v>45667.75</v>
      </c>
      <c r="C1079" t="s">
        <v>65</v>
      </c>
      <c r="D1079" t="s">
        <v>2163</v>
      </c>
      <c r="E1079" t="s">
        <v>30</v>
      </c>
      <c r="F1079" t="s">
        <v>31</v>
      </c>
      <c r="G1079">
        <v>106</v>
      </c>
      <c r="H1079">
        <v>0</v>
      </c>
      <c r="I1079">
        <v>106</v>
      </c>
      <c r="J1079">
        <v>1</v>
      </c>
      <c r="K1079">
        <v>43.142434946627503</v>
      </c>
      <c r="L1079">
        <v>106</v>
      </c>
      <c r="M1079">
        <v>43.142434946627503</v>
      </c>
      <c r="N1079">
        <v>62.857565053372397</v>
      </c>
      <c r="O1079" t="s">
        <v>26</v>
      </c>
      <c r="P1079">
        <f t="shared" si="32"/>
        <v>106</v>
      </c>
      <c r="Q1079">
        <f t="shared" si="33"/>
        <v>-62.857565053372497</v>
      </c>
    </row>
    <row r="1080" spans="1:17" x14ac:dyDescent="0.4">
      <c r="A1080" t="s">
        <v>2164</v>
      </c>
      <c r="B1080" s="1">
        <v>45354.5</v>
      </c>
      <c r="C1080" t="s">
        <v>16</v>
      </c>
      <c r="D1080" t="s">
        <v>2165</v>
      </c>
      <c r="E1080" t="s">
        <v>146</v>
      </c>
      <c r="F1080" t="s">
        <v>70</v>
      </c>
      <c r="G1080">
        <v>344</v>
      </c>
      <c r="H1080">
        <v>0.1</v>
      </c>
      <c r="I1080">
        <v>309.60000000000002</v>
      </c>
      <c r="J1080">
        <v>6</v>
      </c>
      <c r="K1080">
        <v>242.22174790993699</v>
      </c>
      <c r="L1080">
        <v>1857.6</v>
      </c>
      <c r="M1080">
        <v>1453.3304874596199</v>
      </c>
      <c r="N1080">
        <v>404.26951254037698</v>
      </c>
      <c r="O1080" t="s">
        <v>32</v>
      </c>
      <c r="P1080">
        <f t="shared" si="32"/>
        <v>2064</v>
      </c>
      <c r="Q1080">
        <f t="shared" si="33"/>
        <v>-404.26951254037999</v>
      </c>
    </row>
    <row r="1081" spans="1:17" x14ac:dyDescent="0.4">
      <c r="A1081" t="s">
        <v>2166</v>
      </c>
      <c r="B1081" s="1">
        <v>45572.708333333336</v>
      </c>
      <c r="C1081" t="s">
        <v>65</v>
      </c>
      <c r="D1081" t="s">
        <v>2167</v>
      </c>
      <c r="E1081" t="s">
        <v>73</v>
      </c>
      <c r="F1081" t="s">
        <v>38</v>
      </c>
      <c r="G1081">
        <v>280</v>
      </c>
      <c r="H1081">
        <v>0</v>
      </c>
      <c r="I1081">
        <v>280</v>
      </c>
      <c r="J1081">
        <v>4</v>
      </c>
      <c r="K1081">
        <v>157.70657450131699</v>
      </c>
      <c r="L1081">
        <v>1120</v>
      </c>
      <c r="M1081">
        <v>630.826298005269</v>
      </c>
      <c r="N1081">
        <v>489.17370199472998</v>
      </c>
      <c r="O1081" t="s">
        <v>32</v>
      </c>
      <c r="P1081">
        <f t="shared" si="32"/>
        <v>1120</v>
      </c>
      <c r="Q1081">
        <f t="shared" si="33"/>
        <v>-489.173701994731</v>
      </c>
    </row>
    <row r="1082" spans="1:17" x14ac:dyDescent="0.4">
      <c r="A1082" t="s">
        <v>2168</v>
      </c>
      <c r="B1082" s="1">
        <v>45429.25</v>
      </c>
      <c r="C1082" t="s">
        <v>65</v>
      </c>
      <c r="D1082" t="s">
        <v>2169</v>
      </c>
      <c r="E1082" t="s">
        <v>115</v>
      </c>
      <c r="F1082" t="s">
        <v>38</v>
      </c>
      <c r="G1082">
        <v>214</v>
      </c>
      <c r="H1082">
        <v>0.15</v>
      </c>
      <c r="I1082">
        <v>181.9</v>
      </c>
      <c r="J1082">
        <v>4</v>
      </c>
      <c r="K1082">
        <v>86.778624929978406</v>
      </c>
      <c r="L1082">
        <v>727.6</v>
      </c>
      <c r="M1082">
        <v>347.114499719913</v>
      </c>
      <c r="N1082">
        <v>380.485500280086</v>
      </c>
      <c r="O1082" t="s">
        <v>51</v>
      </c>
      <c r="P1082">
        <f t="shared" si="32"/>
        <v>856</v>
      </c>
      <c r="Q1082">
        <f t="shared" si="33"/>
        <v>-380.48550028008702</v>
      </c>
    </row>
    <row r="1083" spans="1:17" x14ac:dyDescent="0.4">
      <c r="A1083" t="s">
        <v>2170</v>
      </c>
      <c r="B1083" s="1">
        <v>45479.375</v>
      </c>
      <c r="C1083" t="s">
        <v>65</v>
      </c>
      <c r="D1083" t="s">
        <v>2171</v>
      </c>
      <c r="E1083" t="s">
        <v>69</v>
      </c>
      <c r="F1083" t="s">
        <v>70</v>
      </c>
      <c r="G1083">
        <v>207</v>
      </c>
      <c r="H1083">
        <v>0</v>
      </c>
      <c r="I1083">
        <v>207</v>
      </c>
      <c r="J1083">
        <v>7</v>
      </c>
      <c r="K1083">
        <v>138.21600230397499</v>
      </c>
      <c r="L1083">
        <v>1449</v>
      </c>
      <c r="M1083">
        <v>967.51201612782904</v>
      </c>
      <c r="N1083">
        <v>481.48798387216999</v>
      </c>
      <c r="O1083" t="s">
        <v>26</v>
      </c>
      <c r="P1083">
        <f t="shared" si="32"/>
        <v>1449</v>
      </c>
      <c r="Q1083">
        <f t="shared" si="33"/>
        <v>-481.48798387217096</v>
      </c>
    </row>
    <row r="1084" spans="1:17" x14ac:dyDescent="0.4">
      <c r="A1084" t="s">
        <v>2172</v>
      </c>
      <c r="B1084" s="1">
        <v>45317.583333333336</v>
      </c>
      <c r="C1084" t="s">
        <v>43</v>
      </c>
      <c r="D1084" t="s">
        <v>2173</v>
      </c>
      <c r="E1084" t="s">
        <v>213</v>
      </c>
      <c r="F1084" t="s">
        <v>31</v>
      </c>
      <c r="G1084">
        <v>175</v>
      </c>
      <c r="H1084">
        <v>0.15</v>
      </c>
      <c r="I1084">
        <v>148.75</v>
      </c>
      <c r="J1084">
        <v>5</v>
      </c>
      <c r="K1084">
        <v>111.55917050591999</v>
      </c>
      <c r="L1084">
        <v>743.75</v>
      </c>
      <c r="M1084">
        <v>557.79585252960203</v>
      </c>
      <c r="N1084">
        <v>185.954147470397</v>
      </c>
      <c r="O1084" t="s">
        <v>20</v>
      </c>
      <c r="P1084">
        <f t="shared" si="32"/>
        <v>875</v>
      </c>
      <c r="Q1084">
        <f t="shared" si="33"/>
        <v>-185.95414747039797</v>
      </c>
    </row>
    <row r="1085" spans="1:17" x14ac:dyDescent="0.4">
      <c r="A1085" t="s">
        <v>2174</v>
      </c>
      <c r="B1085" s="1">
        <v>45682.583333333336</v>
      </c>
      <c r="C1085" t="s">
        <v>16</v>
      </c>
      <c r="D1085" t="s">
        <v>2175</v>
      </c>
      <c r="E1085" t="s">
        <v>85</v>
      </c>
      <c r="F1085" t="s">
        <v>70</v>
      </c>
      <c r="G1085">
        <v>251</v>
      </c>
      <c r="H1085">
        <v>0.05</v>
      </c>
      <c r="I1085">
        <v>238.45</v>
      </c>
      <c r="J1085">
        <v>1</v>
      </c>
      <c r="K1085">
        <v>158.49215715538801</v>
      </c>
      <c r="L1085">
        <v>238.45</v>
      </c>
      <c r="M1085">
        <v>158.49215715538801</v>
      </c>
      <c r="N1085">
        <v>79.957842844611605</v>
      </c>
      <c r="O1085" t="s">
        <v>26</v>
      </c>
      <c r="P1085">
        <f t="shared" si="32"/>
        <v>251</v>
      </c>
      <c r="Q1085">
        <f t="shared" si="33"/>
        <v>-79.957842844611974</v>
      </c>
    </row>
    <row r="1086" spans="1:17" x14ac:dyDescent="0.4">
      <c r="A1086" t="s">
        <v>2176</v>
      </c>
      <c r="B1086" s="1">
        <v>45403.125</v>
      </c>
      <c r="C1086" t="s">
        <v>65</v>
      </c>
      <c r="D1086" t="s">
        <v>2177</v>
      </c>
      <c r="E1086" t="s">
        <v>82</v>
      </c>
      <c r="F1086" t="s">
        <v>25</v>
      </c>
      <c r="G1086">
        <v>179</v>
      </c>
      <c r="H1086">
        <v>0</v>
      </c>
      <c r="I1086">
        <v>179</v>
      </c>
      <c r="J1086">
        <v>1</v>
      </c>
      <c r="K1086">
        <v>121.04612340291</v>
      </c>
      <c r="L1086">
        <v>179</v>
      </c>
      <c r="M1086">
        <v>121.04612340291</v>
      </c>
      <c r="N1086">
        <v>57.953876597089</v>
      </c>
      <c r="O1086" t="s">
        <v>32</v>
      </c>
      <c r="P1086">
        <f t="shared" si="32"/>
        <v>179</v>
      </c>
      <c r="Q1086">
        <f t="shared" si="33"/>
        <v>-57.953876597090002</v>
      </c>
    </row>
    <row r="1087" spans="1:17" x14ac:dyDescent="0.4">
      <c r="A1087" t="s">
        <v>2178</v>
      </c>
      <c r="B1087" s="1">
        <v>45850.708333333336</v>
      </c>
      <c r="C1087" t="s">
        <v>16</v>
      </c>
      <c r="D1087" t="s">
        <v>2179</v>
      </c>
      <c r="E1087" t="s">
        <v>115</v>
      </c>
      <c r="F1087" t="s">
        <v>38</v>
      </c>
      <c r="G1087">
        <v>265</v>
      </c>
      <c r="H1087">
        <v>0.1</v>
      </c>
      <c r="I1087">
        <v>238.5</v>
      </c>
      <c r="J1087">
        <v>2</v>
      </c>
      <c r="K1087">
        <v>171.87506996375299</v>
      </c>
      <c r="L1087">
        <v>477</v>
      </c>
      <c r="M1087">
        <v>343.75013992750598</v>
      </c>
      <c r="N1087">
        <v>133.24986007249299</v>
      </c>
      <c r="O1087" t="s">
        <v>32</v>
      </c>
      <c r="P1087">
        <f t="shared" si="32"/>
        <v>530</v>
      </c>
      <c r="Q1087">
        <f t="shared" si="33"/>
        <v>-133.24986007249402</v>
      </c>
    </row>
    <row r="1088" spans="1:17" x14ac:dyDescent="0.4">
      <c r="A1088" t="s">
        <v>2180</v>
      </c>
      <c r="B1088" s="1">
        <v>45980.083333333336</v>
      </c>
      <c r="C1088" t="s">
        <v>65</v>
      </c>
      <c r="D1088" t="s">
        <v>2181</v>
      </c>
      <c r="E1088" t="s">
        <v>48</v>
      </c>
      <c r="F1088" t="s">
        <v>19</v>
      </c>
      <c r="G1088">
        <v>207</v>
      </c>
      <c r="H1088">
        <v>0.15</v>
      </c>
      <c r="I1088">
        <v>175.95</v>
      </c>
      <c r="J1088">
        <v>1</v>
      </c>
      <c r="K1088">
        <v>119.298385997849</v>
      </c>
      <c r="L1088">
        <v>175.95</v>
      </c>
      <c r="M1088">
        <v>119.298385997849</v>
      </c>
      <c r="N1088">
        <v>56.651614002150197</v>
      </c>
      <c r="O1088" t="s">
        <v>26</v>
      </c>
      <c r="P1088">
        <f t="shared" si="32"/>
        <v>207</v>
      </c>
      <c r="Q1088">
        <f t="shared" si="33"/>
        <v>-56.651614002150993</v>
      </c>
    </row>
    <row r="1089" spans="1:17" x14ac:dyDescent="0.4">
      <c r="A1089" t="s">
        <v>2182</v>
      </c>
      <c r="B1089" s="1">
        <v>45416.291666666664</v>
      </c>
      <c r="C1089" t="s">
        <v>22</v>
      </c>
      <c r="D1089" t="s">
        <v>2183</v>
      </c>
      <c r="E1089" t="s">
        <v>18</v>
      </c>
      <c r="F1089" t="s">
        <v>19</v>
      </c>
      <c r="G1089">
        <v>126</v>
      </c>
      <c r="H1089">
        <v>0</v>
      </c>
      <c r="I1089">
        <v>126</v>
      </c>
      <c r="J1089">
        <v>5</v>
      </c>
      <c r="K1089">
        <v>53.863048900023301</v>
      </c>
      <c r="L1089">
        <v>630</v>
      </c>
      <c r="M1089">
        <v>269.31524450011602</v>
      </c>
      <c r="N1089">
        <v>360.68475549988301</v>
      </c>
      <c r="O1089" t="s">
        <v>32</v>
      </c>
      <c r="P1089">
        <f t="shared" si="32"/>
        <v>630</v>
      </c>
      <c r="Q1089">
        <f t="shared" si="33"/>
        <v>-360.68475549988398</v>
      </c>
    </row>
    <row r="1090" spans="1:17" x14ac:dyDescent="0.4">
      <c r="A1090" t="s">
        <v>2184</v>
      </c>
      <c r="B1090" s="1">
        <v>45819.125</v>
      </c>
      <c r="C1090" t="s">
        <v>22</v>
      </c>
      <c r="D1090" t="s">
        <v>2185</v>
      </c>
      <c r="E1090" t="s">
        <v>97</v>
      </c>
      <c r="F1090" t="s">
        <v>61</v>
      </c>
      <c r="G1090">
        <v>341</v>
      </c>
      <c r="H1090">
        <v>0.2</v>
      </c>
      <c r="I1090">
        <v>272.8</v>
      </c>
      <c r="J1090">
        <v>6</v>
      </c>
      <c r="K1090">
        <v>223.33289131112201</v>
      </c>
      <c r="L1090">
        <v>1636.8</v>
      </c>
      <c r="M1090">
        <v>1339.99734786673</v>
      </c>
      <c r="N1090">
        <v>296.80265213326498</v>
      </c>
      <c r="O1090" t="s">
        <v>32</v>
      </c>
      <c r="P1090">
        <f t="shared" si="32"/>
        <v>2046</v>
      </c>
      <c r="Q1090">
        <f t="shared" si="33"/>
        <v>-296.80265213326993</v>
      </c>
    </row>
    <row r="1091" spans="1:17" x14ac:dyDescent="0.4">
      <c r="A1091" t="s">
        <v>2186</v>
      </c>
      <c r="B1091" s="1">
        <v>45634.916666666664</v>
      </c>
      <c r="C1091" t="s">
        <v>28</v>
      </c>
      <c r="D1091" t="s">
        <v>2187</v>
      </c>
      <c r="E1091" t="s">
        <v>48</v>
      </c>
      <c r="F1091" t="s">
        <v>19</v>
      </c>
      <c r="G1091">
        <v>186</v>
      </c>
      <c r="H1091">
        <v>0.05</v>
      </c>
      <c r="I1091">
        <v>176.7</v>
      </c>
      <c r="J1091">
        <v>2</v>
      </c>
      <c r="K1091">
        <v>120.763451408184</v>
      </c>
      <c r="L1091">
        <v>353.4</v>
      </c>
      <c r="M1091">
        <v>241.52690281636899</v>
      </c>
      <c r="N1091">
        <v>111.87309718362999</v>
      </c>
      <c r="O1091" t="s">
        <v>32</v>
      </c>
      <c r="P1091">
        <f t="shared" ref="P1091:P1154" si="34">G1091 * J1091</f>
        <v>372</v>
      </c>
      <c r="Q1091">
        <f t="shared" ref="Q1091:Q1154" si="35" xml:space="preserve"> M1091 - L1091</f>
        <v>-111.87309718363099</v>
      </c>
    </row>
    <row r="1092" spans="1:17" x14ac:dyDescent="0.4">
      <c r="A1092" t="s">
        <v>2188</v>
      </c>
      <c r="B1092" s="1">
        <v>45568.666666666664</v>
      </c>
      <c r="C1092" t="s">
        <v>28</v>
      </c>
      <c r="D1092" t="s">
        <v>2189</v>
      </c>
      <c r="E1092" t="s">
        <v>48</v>
      </c>
      <c r="F1092" t="s">
        <v>19</v>
      </c>
      <c r="G1092">
        <v>299</v>
      </c>
      <c r="H1092">
        <v>0.05</v>
      </c>
      <c r="I1092">
        <v>284.05</v>
      </c>
      <c r="J1092">
        <v>1</v>
      </c>
      <c r="K1092">
        <v>196.45544584215</v>
      </c>
      <c r="L1092">
        <v>284.05</v>
      </c>
      <c r="M1092">
        <v>196.45544584215</v>
      </c>
      <c r="N1092">
        <v>87.594554157849203</v>
      </c>
      <c r="O1092" t="s">
        <v>51</v>
      </c>
      <c r="P1092">
        <f t="shared" si="34"/>
        <v>299</v>
      </c>
      <c r="Q1092">
        <f t="shared" si="35"/>
        <v>-87.594554157850013</v>
      </c>
    </row>
    <row r="1093" spans="1:17" x14ac:dyDescent="0.4">
      <c r="A1093" t="s">
        <v>2190</v>
      </c>
      <c r="B1093" s="1">
        <v>45782.791666666664</v>
      </c>
      <c r="C1093" t="s">
        <v>46</v>
      </c>
      <c r="D1093" t="s">
        <v>2191</v>
      </c>
      <c r="E1093" t="s">
        <v>24</v>
      </c>
      <c r="F1093" t="s">
        <v>25</v>
      </c>
      <c r="G1093">
        <v>293</v>
      </c>
      <c r="H1093">
        <v>0</v>
      </c>
      <c r="I1093">
        <v>293</v>
      </c>
      <c r="J1093">
        <v>3</v>
      </c>
      <c r="K1093">
        <v>186.256296174509</v>
      </c>
      <c r="L1093">
        <v>879</v>
      </c>
      <c r="M1093">
        <v>558.76888852352795</v>
      </c>
      <c r="N1093">
        <v>320.23111147647103</v>
      </c>
      <c r="O1093" t="s">
        <v>51</v>
      </c>
      <c r="P1093">
        <f t="shared" si="34"/>
        <v>879</v>
      </c>
      <c r="Q1093">
        <f t="shared" si="35"/>
        <v>-320.23111147647205</v>
      </c>
    </row>
    <row r="1094" spans="1:17" x14ac:dyDescent="0.4">
      <c r="A1094" t="s">
        <v>2192</v>
      </c>
      <c r="B1094" s="1">
        <v>45930.208333333336</v>
      </c>
      <c r="C1094" t="s">
        <v>65</v>
      </c>
      <c r="D1094" t="s">
        <v>2193</v>
      </c>
      <c r="E1094" t="s">
        <v>48</v>
      </c>
      <c r="F1094" t="s">
        <v>19</v>
      </c>
      <c r="G1094">
        <v>159</v>
      </c>
      <c r="H1094">
        <v>0.2</v>
      </c>
      <c r="I1094">
        <v>127.2</v>
      </c>
      <c r="J1094">
        <v>5</v>
      </c>
      <c r="K1094">
        <v>103.543374319023</v>
      </c>
      <c r="L1094">
        <v>636</v>
      </c>
      <c r="M1094">
        <v>517.716871595116</v>
      </c>
      <c r="N1094">
        <v>118.283128404883</v>
      </c>
      <c r="O1094" t="s">
        <v>51</v>
      </c>
      <c r="P1094">
        <f t="shared" si="34"/>
        <v>795</v>
      </c>
      <c r="Q1094">
        <f t="shared" si="35"/>
        <v>-118.283128404884</v>
      </c>
    </row>
    <row r="1095" spans="1:17" x14ac:dyDescent="0.4">
      <c r="A1095" t="s">
        <v>2194</v>
      </c>
      <c r="B1095" s="1">
        <v>46013</v>
      </c>
      <c r="C1095" t="s">
        <v>65</v>
      </c>
      <c r="D1095" t="s">
        <v>2195</v>
      </c>
      <c r="E1095" t="s">
        <v>30</v>
      </c>
      <c r="F1095" t="s">
        <v>31</v>
      </c>
      <c r="G1095">
        <v>254</v>
      </c>
      <c r="H1095">
        <v>0.1</v>
      </c>
      <c r="I1095">
        <v>228.6</v>
      </c>
      <c r="J1095">
        <v>4</v>
      </c>
      <c r="K1095">
        <v>151.24038005599201</v>
      </c>
      <c r="L1095">
        <v>914.4</v>
      </c>
      <c r="M1095">
        <v>604.96152022396996</v>
      </c>
      <c r="N1095">
        <v>309.438479776029</v>
      </c>
      <c r="O1095" t="s">
        <v>32</v>
      </c>
      <c r="P1095">
        <f t="shared" si="34"/>
        <v>1016</v>
      </c>
      <c r="Q1095">
        <f t="shared" si="35"/>
        <v>-309.43847977603002</v>
      </c>
    </row>
    <row r="1096" spans="1:17" x14ac:dyDescent="0.4">
      <c r="A1096" t="s">
        <v>2196</v>
      </c>
      <c r="B1096" s="1">
        <v>45607.166666666664</v>
      </c>
      <c r="C1096" t="s">
        <v>28</v>
      </c>
      <c r="D1096" t="s">
        <v>2197</v>
      </c>
      <c r="E1096" t="s">
        <v>37</v>
      </c>
      <c r="F1096" t="s">
        <v>38</v>
      </c>
      <c r="G1096">
        <v>223</v>
      </c>
      <c r="H1096">
        <v>0.1</v>
      </c>
      <c r="I1096">
        <v>200.7</v>
      </c>
      <c r="J1096">
        <v>7</v>
      </c>
      <c r="K1096">
        <v>160.08419794411199</v>
      </c>
      <c r="L1096">
        <v>1404.9</v>
      </c>
      <c r="M1096">
        <v>1120.58938560878</v>
      </c>
      <c r="N1096">
        <v>284.31061439121498</v>
      </c>
      <c r="O1096" t="s">
        <v>26</v>
      </c>
      <c r="P1096">
        <f t="shared" si="34"/>
        <v>1561</v>
      </c>
      <c r="Q1096">
        <f t="shared" si="35"/>
        <v>-284.31061439122004</v>
      </c>
    </row>
    <row r="1097" spans="1:17" x14ac:dyDescent="0.4">
      <c r="A1097" t="s">
        <v>2198</v>
      </c>
      <c r="B1097" s="1">
        <v>45938.666666666664</v>
      </c>
      <c r="C1097" t="s">
        <v>46</v>
      </c>
      <c r="D1097" t="s">
        <v>2199</v>
      </c>
      <c r="E1097" t="s">
        <v>37</v>
      </c>
      <c r="F1097" t="s">
        <v>38</v>
      </c>
      <c r="G1097">
        <v>157</v>
      </c>
      <c r="H1097">
        <v>0</v>
      </c>
      <c r="I1097">
        <v>157</v>
      </c>
      <c r="J1097">
        <v>1</v>
      </c>
      <c r="K1097">
        <v>82.973949300298997</v>
      </c>
      <c r="L1097">
        <v>157</v>
      </c>
      <c r="M1097">
        <v>82.973949300298997</v>
      </c>
      <c r="N1097">
        <v>74.026050699700903</v>
      </c>
      <c r="O1097" t="s">
        <v>32</v>
      </c>
      <c r="P1097">
        <f t="shared" si="34"/>
        <v>157</v>
      </c>
      <c r="Q1097">
        <f t="shared" si="35"/>
        <v>-74.026050699701003</v>
      </c>
    </row>
    <row r="1098" spans="1:17" x14ac:dyDescent="0.4">
      <c r="A1098" t="s">
        <v>2200</v>
      </c>
      <c r="B1098" s="1">
        <v>45864.375</v>
      </c>
      <c r="C1098" t="s">
        <v>43</v>
      </c>
      <c r="D1098" t="s">
        <v>2201</v>
      </c>
      <c r="E1098" t="s">
        <v>97</v>
      </c>
      <c r="F1098" t="s">
        <v>61</v>
      </c>
      <c r="G1098">
        <v>247</v>
      </c>
      <c r="H1098">
        <v>0.1</v>
      </c>
      <c r="I1098">
        <v>222.3</v>
      </c>
      <c r="J1098">
        <v>1</v>
      </c>
      <c r="K1098">
        <v>144.78367974538801</v>
      </c>
      <c r="L1098">
        <v>222.3</v>
      </c>
      <c r="M1098">
        <v>144.78367974538801</v>
      </c>
      <c r="N1098">
        <v>77.516320254611401</v>
      </c>
      <c r="O1098" t="s">
        <v>32</v>
      </c>
      <c r="P1098">
        <f t="shared" si="34"/>
        <v>247</v>
      </c>
      <c r="Q1098">
        <f t="shared" si="35"/>
        <v>-77.516320254611998</v>
      </c>
    </row>
    <row r="1099" spans="1:17" x14ac:dyDescent="0.4">
      <c r="A1099" t="s">
        <v>2202</v>
      </c>
      <c r="B1099" s="1">
        <v>45680.458333333336</v>
      </c>
      <c r="C1099" t="s">
        <v>46</v>
      </c>
      <c r="D1099" t="s">
        <v>2203</v>
      </c>
      <c r="E1099" t="s">
        <v>48</v>
      </c>
      <c r="F1099" t="s">
        <v>19</v>
      </c>
      <c r="G1099">
        <v>127</v>
      </c>
      <c r="H1099">
        <v>0.25</v>
      </c>
      <c r="I1099">
        <v>95.25</v>
      </c>
      <c r="J1099">
        <v>4</v>
      </c>
      <c r="K1099">
        <v>76.037685713396996</v>
      </c>
      <c r="L1099">
        <v>381</v>
      </c>
      <c r="M1099">
        <v>304.15074285358799</v>
      </c>
      <c r="N1099">
        <v>76.849257146412</v>
      </c>
      <c r="O1099" t="s">
        <v>105</v>
      </c>
      <c r="P1099">
        <f t="shared" si="34"/>
        <v>508</v>
      </c>
      <c r="Q1099">
        <f t="shared" si="35"/>
        <v>-76.849257146412015</v>
      </c>
    </row>
    <row r="1100" spans="1:17" x14ac:dyDescent="0.4">
      <c r="A1100" t="s">
        <v>2204</v>
      </c>
      <c r="B1100" s="1">
        <v>45926.541666666664</v>
      </c>
      <c r="C1100" t="s">
        <v>22</v>
      </c>
      <c r="D1100" t="s">
        <v>2205</v>
      </c>
      <c r="E1100" t="s">
        <v>110</v>
      </c>
      <c r="F1100" t="s">
        <v>19</v>
      </c>
      <c r="G1100">
        <v>297</v>
      </c>
      <c r="H1100">
        <v>0.1</v>
      </c>
      <c r="I1100">
        <v>267.3</v>
      </c>
      <c r="J1100">
        <v>5</v>
      </c>
      <c r="K1100">
        <v>127.400311884319</v>
      </c>
      <c r="L1100">
        <v>1336.5</v>
      </c>
      <c r="M1100">
        <v>637.00155942159904</v>
      </c>
      <c r="N1100">
        <v>699.49844057840005</v>
      </c>
      <c r="O1100" t="s">
        <v>51</v>
      </c>
      <c r="P1100">
        <f t="shared" si="34"/>
        <v>1485</v>
      </c>
      <c r="Q1100">
        <f t="shared" si="35"/>
        <v>-699.49844057840096</v>
      </c>
    </row>
    <row r="1101" spans="1:17" x14ac:dyDescent="0.4">
      <c r="A1101" t="s">
        <v>2206</v>
      </c>
      <c r="B1101" s="1">
        <v>45780.041666666664</v>
      </c>
      <c r="C1101" t="s">
        <v>46</v>
      </c>
      <c r="D1101" t="s">
        <v>2207</v>
      </c>
      <c r="E1101" t="s">
        <v>146</v>
      </c>
      <c r="F1101" t="s">
        <v>70</v>
      </c>
      <c r="G1101">
        <v>132</v>
      </c>
      <c r="H1101">
        <v>0</v>
      </c>
      <c r="I1101">
        <v>132</v>
      </c>
      <c r="J1101">
        <v>2</v>
      </c>
      <c r="K1101">
        <v>76.428361971133299</v>
      </c>
      <c r="L1101">
        <v>264</v>
      </c>
      <c r="M1101">
        <v>152.856723942266</v>
      </c>
      <c r="N1101">
        <v>111.143276057733</v>
      </c>
      <c r="O1101" t="s">
        <v>26</v>
      </c>
      <c r="P1101">
        <f t="shared" si="34"/>
        <v>264</v>
      </c>
      <c r="Q1101">
        <f t="shared" si="35"/>
        <v>-111.143276057734</v>
      </c>
    </row>
    <row r="1102" spans="1:17" x14ac:dyDescent="0.4">
      <c r="A1102" t="s">
        <v>2208</v>
      </c>
      <c r="B1102" s="1">
        <v>45646.25</v>
      </c>
      <c r="C1102" t="s">
        <v>22</v>
      </c>
      <c r="D1102" t="s">
        <v>2209</v>
      </c>
      <c r="E1102" t="s">
        <v>115</v>
      </c>
      <c r="F1102" t="s">
        <v>38</v>
      </c>
      <c r="G1102">
        <v>171</v>
      </c>
      <c r="H1102">
        <v>0.1</v>
      </c>
      <c r="I1102">
        <v>153.9</v>
      </c>
      <c r="J1102">
        <v>3</v>
      </c>
      <c r="K1102">
        <v>112.797117543483</v>
      </c>
      <c r="L1102">
        <v>461.7</v>
      </c>
      <c r="M1102">
        <v>338.39135263045</v>
      </c>
      <c r="N1102">
        <v>123.30864736954901</v>
      </c>
      <c r="O1102" t="s">
        <v>32</v>
      </c>
      <c r="P1102">
        <f t="shared" si="34"/>
        <v>513</v>
      </c>
      <c r="Q1102">
        <f t="shared" si="35"/>
        <v>-123.30864736954999</v>
      </c>
    </row>
    <row r="1103" spans="1:17" x14ac:dyDescent="0.4">
      <c r="A1103" t="s">
        <v>2210</v>
      </c>
      <c r="B1103" s="1">
        <v>45314.708333333336</v>
      </c>
      <c r="C1103" t="s">
        <v>22</v>
      </c>
      <c r="D1103" t="s">
        <v>2211</v>
      </c>
      <c r="E1103" t="s">
        <v>146</v>
      </c>
      <c r="F1103" t="s">
        <v>70</v>
      </c>
      <c r="G1103">
        <v>213</v>
      </c>
      <c r="H1103">
        <v>0.25</v>
      </c>
      <c r="I1103">
        <v>159.75</v>
      </c>
      <c r="J1103">
        <v>6</v>
      </c>
      <c r="K1103">
        <v>112.21926170404799</v>
      </c>
      <c r="L1103">
        <v>958.5</v>
      </c>
      <c r="M1103">
        <v>673.31557022428899</v>
      </c>
      <c r="N1103">
        <v>285.18442977570999</v>
      </c>
      <c r="O1103" t="s">
        <v>26</v>
      </c>
      <c r="P1103">
        <f t="shared" si="34"/>
        <v>1278</v>
      </c>
      <c r="Q1103">
        <f t="shared" si="35"/>
        <v>-285.18442977571101</v>
      </c>
    </row>
    <row r="1104" spans="1:17" x14ac:dyDescent="0.4">
      <c r="A1104" t="s">
        <v>2212</v>
      </c>
      <c r="B1104" s="1">
        <v>45473.083333333336</v>
      </c>
      <c r="C1104" t="s">
        <v>65</v>
      </c>
      <c r="D1104" t="s">
        <v>2213</v>
      </c>
      <c r="E1104" t="s">
        <v>146</v>
      </c>
      <c r="F1104" t="s">
        <v>70</v>
      </c>
      <c r="G1104">
        <v>193</v>
      </c>
      <c r="H1104">
        <v>0</v>
      </c>
      <c r="I1104">
        <v>193</v>
      </c>
      <c r="J1104">
        <v>3</v>
      </c>
      <c r="K1104">
        <v>133.37446492459401</v>
      </c>
      <c r="L1104">
        <v>579</v>
      </c>
      <c r="M1104">
        <v>400.12339477378401</v>
      </c>
      <c r="N1104">
        <v>178.87660522621499</v>
      </c>
      <c r="O1104" t="s">
        <v>51</v>
      </c>
      <c r="P1104">
        <f t="shared" si="34"/>
        <v>579</v>
      </c>
      <c r="Q1104">
        <f t="shared" si="35"/>
        <v>-178.87660522621599</v>
      </c>
    </row>
    <row r="1105" spans="1:17" x14ac:dyDescent="0.4">
      <c r="A1105" t="s">
        <v>2214</v>
      </c>
      <c r="B1105" s="1">
        <v>45708.5</v>
      </c>
      <c r="C1105" t="s">
        <v>43</v>
      </c>
      <c r="D1105" t="s">
        <v>2215</v>
      </c>
      <c r="E1105" t="s">
        <v>69</v>
      </c>
      <c r="F1105" t="s">
        <v>70</v>
      </c>
      <c r="G1105">
        <v>241</v>
      </c>
      <c r="H1105">
        <v>0.2</v>
      </c>
      <c r="I1105">
        <v>192.8</v>
      </c>
      <c r="J1105">
        <v>7</v>
      </c>
      <c r="K1105">
        <v>148.362849865475</v>
      </c>
      <c r="L1105">
        <v>1349.6</v>
      </c>
      <c r="M1105">
        <v>1038.53994905832</v>
      </c>
      <c r="N1105">
        <v>311.06005094167199</v>
      </c>
      <c r="O1105" t="s">
        <v>26</v>
      </c>
      <c r="P1105">
        <f t="shared" si="34"/>
        <v>1687</v>
      </c>
      <c r="Q1105">
        <f t="shared" si="35"/>
        <v>-311.06005094167995</v>
      </c>
    </row>
    <row r="1106" spans="1:17" x14ac:dyDescent="0.4">
      <c r="A1106" t="s">
        <v>2216</v>
      </c>
      <c r="B1106" s="1">
        <v>45949.291666666664</v>
      </c>
      <c r="C1106" t="s">
        <v>28</v>
      </c>
      <c r="D1106" t="s">
        <v>2017</v>
      </c>
      <c r="E1106" t="s">
        <v>24</v>
      </c>
      <c r="F1106" t="s">
        <v>25</v>
      </c>
      <c r="G1106">
        <v>226</v>
      </c>
      <c r="H1106">
        <v>0.15</v>
      </c>
      <c r="I1106">
        <v>192.1</v>
      </c>
      <c r="J1106">
        <v>3</v>
      </c>
      <c r="K1106">
        <v>116.091594206586</v>
      </c>
      <c r="L1106">
        <v>576.29999999999995</v>
      </c>
      <c r="M1106">
        <v>348.27478261975898</v>
      </c>
      <c r="N1106">
        <v>228.02521738024001</v>
      </c>
      <c r="O1106" t="s">
        <v>32</v>
      </c>
      <c r="P1106">
        <f t="shared" si="34"/>
        <v>678</v>
      </c>
      <c r="Q1106">
        <f t="shared" si="35"/>
        <v>-228.02521738024097</v>
      </c>
    </row>
    <row r="1107" spans="1:17" x14ac:dyDescent="0.4">
      <c r="A1107" t="s">
        <v>2217</v>
      </c>
      <c r="B1107" s="1">
        <v>45871.958333333336</v>
      </c>
      <c r="C1107" t="s">
        <v>65</v>
      </c>
      <c r="D1107" t="s">
        <v>2218</v>
      </c>
      <c r="E1107" t="s">
        <v>48</v>
      </c>
      <c r="F1107" t="s">
        <v>19</v>
      </c>
      <c r="G1107">
        <v>224</v>
      </c>
      <c r="H1107">
        <v>0.1</v>
      </c>
      <c r="I1107">
        <v>201.6</v>
      </c>
      <c r="J1107">
        <v>5</v>
      </c>
      <c r="K1107">
        <v>160.63895192272699</v>
      </c>
      <c r="L1107">
        <v>1008</v>
      </c>
      <c r="M1107">
        <v>803.19475961363798</v>
      </c>
      <c r="N1107">
        <v>204.80524038636099</v>
      </c>
      <c r="O1107" t="s">
        <v>51</v>
      </c>
      <c r="P1107">
        <f t="shared" si="34"/>
        <v>1120</v>
      </c>
      <c r="Q1107">
        <f t="shared" si="35"/>
        <v>-204.80524038636202</v>
      </c>
    </row>
    <row r="1108" spans="1:17" x14ac:dyDescent="0.4">
      <c r="A1108" t="s">
        <v>2219</v>
      </c>
      <c r="B1108" s="1">
        <v>45450.75</v>
      </c>
      <c r="C1108" t="s">
        <v>46</v>
      </c>
      <c r="D1108" t="s">
        <v>2220</v>
      </c>
      <c r="E1108" t="s">
        <v>146</v>
      </c>
      <c r="F1108" t="s">
        <v>70</v>
      </c>
      <c r="G1108">
        <v>268</v>
      </c>
      <c r="H1108">
        <v>0</v>
      </c>
      <c r="I1108">
        <v>268</v>
      </c>
      <c r="J1108">
        <v>7</v>
      </c>
      <c r="K1108">
        <v>176.861575409972</v>
      </c>
      <c r="L1108">
        <v>1876</v>
      </c>
      <c r="M1108">
        <v>1238.0310278698</v>
      </c>
      <c r="N1108">
        <v>637.96897213019304</v>
      </c>
      <c r="O1108" t="s">
        <v>51</v>
      </c>
      <c r="P1108">
        <f t="shared" si="34"/>
        <v>1876</v>
      </c>
      <c r="Q1108">
        <f t="shared" si="35"/>
        <v>-637.96897213019997</v>
      </c>
    </row>
    <row r="1109" spans="1:17" x14ac:dyDescent="0.4">
      <c r="A1109" t="s">
        <v>2221</v>
      </c>
      <c r="B1109" s="1">
        <v>45592.25</v>
      </c>
      <c r="C1109" t="s">
        <v>65</v>
      </c>
      <c r="D1109" t="s">
        <v>2222</v>
      </c>
      <c r="E1109" t="s">
        <v>115</v>
      </c>
      <c r="F1109" t="s">
        <v>38</v>
      </c>
      <c r="G1109">
        <v>181</v>
      </c>
      <c r="H1109">
        <v>0.15</v>
      </c>
      <c r="I1109">
        <v>153.85</v>
      </c>
      <c r="J1109">
        <v>4</v>
      </c>
      <c r="K1109">
        <v>75.8189843864252</v>
      </c>
      <c r="L1109">
        <v>615.4</v>
      </c>
      <c r="M1109">
        <v>303.27593754570103</v>
      </c>
      <c r="N1109">
        <v>312.12406245429798</v>
      </c>
      <c r="O1109" t="s">
        <v>20</v>
      </c>
      <c r="P1109">
        <f t="shared" si="34"/>
        <v>724</v>
      </c>
      <c r="Q1109">
        <f t="shared" si="35"/>
        <v>-312.12406245429895</v>
      </c>
    </row>
    <row r="1110" spans="1:17" x14ac:dyDescent="0.4">
      <c r="A1110" t="s">
        <v>2223</v>
      </c>
      <c r="B1110" s="1">
        <v>45667.208333333336</v>
      </c>
      <c r="C1110" t="s">
        <v>22</v>
      </c>
      <c r="D1110" t="s">
        <v>2224</v>
      </c>
      <c r="E1110" t="s">
        <v>18</v>
      </c>
      <c r="F1110" t="s">
        <v>19</v>
      </c>
      <c r="G1110">
        <v>346</v>
      </c>
      <c r="H1110">
        <v>0.15</v>
      </c>
      <c r="I1110">
        <v>294.099999999999</v>
      </c>
      <c r="J1110">
        <v>6</v>
      </c>
      <c r="K1110">
        <v>206.241358671928</v>
      </c>
      <c r="L1110">
        <v>1764.6</v>
      </c>
      <c r="M1110">
        <v>1237.4481520315701</v>
      </c>
      <c r="N1110">
        <v>527.15184796842902</v>
      </c>
      <c r="O1110" t="s">
        <v>105</v>
      </c>
      <c r="P1110">
        <f t="shared" si="34"/>
        <v>2076</v>
      </c>
      <c r="Q1110">
        <f t="shared" si="35"/>
        <v>-527.15184796842982</v>
      </c>
    </row>
    <row r="1111" spans="1:17" x14ac:dyDescent="0.4">
      <c r="A1111" t="s">
        <v>2225</v>
      </c>
      <c r="B1111" s="1">
        <v>45974.125</v>
      </c>
      <c r="C1111" t="s">
        <v>65</v>
      </c>
      <c r="D1111" t="s">
        <v>2226</v>
      </c>
      <c r="E1111" t="s">
        <v>69</v>
      </c>
      <c r="F1111" t="s">
        <v>70</v>
      </c>
      <c r="G1111">
        <v>87</v>
      </c>
      <c r="H1111">
        <v>0.1</v>
      </c>
      <c r="I1111">
        <v>78.3</v>
      </c>
      <c r="J1111">
        <v>7</v>
      </c>
      <c r="K1111">
        <v>57.213701295064197</v>
      </c>
      <c r="L1111">
        <v>548.1</v>
      </c>
      <c r="M1111">
        <v>400.49590906544898</v>
      </c>
      <c r="N1111">
        <v>147.60409093454999</v>
      </c>
      <c r="O1111" t="s">
        <v>26</v>
      </c>
      <c r="P1111">
        <f t="shared" si="34"/>
        <v>609</v>
      </c>
      <c r="Q1111">
        <f t="shared" si="35"/>
        <v>-147.60409093455104</v>
      </c>
    </row>
    <row r="1112" spans="1:17" x14ac:dyDescent="0.4">
      <c r="A1112" t="s">
        <v>2227</v>
      </c>
      <c r="B1112" s="1">
        <v>45805.166666666664</v>
      </c>
      <c r="C1112" t="s">
        <v>65</v>
      </c>
      <c r="D1112" t="s">
        <v>2228</v>
      </c>
      <c r="E1112" t="s">
        <v>82</v>
      </c>
      <c r="F1112" t="s">
        <v>25</v>
      </c>
      <c r="G1112">
        <v>320</v>
      </c>
      <c r="H1112">
        <v>0</v>
      </c>
      <c r="I1112">
        <v>320</v>
      </c>
      <c r="J1112">
        <v>2</v>
      </c>
      <c r="K1112">
        <v>228.25189728177</v>
      </c>
      <c r="L1112">
        <v>640</v>
      </c>
      <c r="M1112">
        <v>456.50379456354</v>
      </c>
      <c r="N1112">
        <v>183.49620543645901</v>
      </c>
      <c r="O1112" t="s">
        <v>32</v>
      </c>
      <c r="P1112">
        <f t="shared" si="34"/>
        <v>640</v>
      </c>
      <c r="Q1112">
        <f t="shared" si="35"/>
        <v>-183.49620543646</v>
      </c>
    </row>
    <row r="1113" spans="1:17" x14ac:dyDescent="0.4">
      <c r="A1113" t="s">
        <v>2229</v>
      </c>
      <c r="B1113" s="1">
        <v>45643.5</v>
      </c>
      <c r="C1113" t="s">
        <v>16</v>
      </c>
      <c r="D1113" t="s">
        <v>2230</v>
      </c>
      <c r="E1113" t="s">
        <v>97</v>
      </c>
      <c r="F1113" t="s">
        <v>61</v>
      </c>
      <c r="G1113">
        <v>291</v>
      </c>
      <c r="H1113">
        <v>0.1</v>
      </c>
      <c r="I1113">
        <v>261.89999999999998</v>
      </c>
      <c r="J1113">
        <v>6</v>
      </c>
      <c r="K1113">
        <v>210.30118092902001</v>
      </c>
      <c r="L1113">
        <v>1571.4</v>
      </c>
      <c r="M1113">
        <v>1261.80708557412</v>
      </c>
      <c r="N1113">
        <v>309.59291442587602</v>
      </c>
      <c r="O1113" t="s">
        <v>32</v>
      </c>
      <c r="P1113">
        <f t="shared" si="34"/>
        <v>1746</v>
      </c>
      <c r="Q1113">
        <f t="shared" si="35"/>
        <v>-309.59291442588005</v>
      </c>
    </row>
    <row r="1114" spans="1:17" x14ac:dyDescent="0.4">
      <c r="A1114" t="s">
        <v>2231</v>
      </c>
      <c r="B1114" s="1">
        <v>45833</v>
      </c>
      <c r="C1114" t="s">
        <v>16</v>
      </c>
      <c r="D1114" t="s">
        <v>2232</v>
      </c>
      <c r="E1114" t="s">
        <v>69</v>
      </c>
      <c r="F1114" t="s">
        <v>70</v>
      </c>
      <c r="G1114">
        <v>266</v>
      </c>
      <c r="H1114">
        <v>0</v>
      </c>
      <c r="I1114">
        <v>266</v>
      </c>
      <c r="J1114">
        <v>5</v>
      </c>
      <c r="K1114">
        <v>106.487797259309</v>
      </c>
      <c r="L1114">
        <v>1330</v>
      </c>
      <c r="M1114">
        <v>532.43898629654598</v>
      </c>
      <c r="N1114">
        <v>797.561013703453</v>
      </c>
      <c r="O1114" t="s">
        <v>105</v>
      </c>
      <c r="P1114">
        <f t="shared" si="34"/>
        <v>1330</v>
      </c>
      <c r="Q1114">
        <f t="shared" si="35"/>
        <v>-797.56101370345402</v>
      </c>
    </row>
    <row r="1115" spans="1:17" x14ac:dyDescent="0.4">
      <c r="A1115" t="s">
        <v>2233</v>
      </c>
      <c r="B1115" s="1">
        <v>45303.291666666664</v>
      </c>
      <c r="C1115" t="s">
        <v>46</v>
      </c>
      <c r="D1115" t="s">
        <v>2234</v>
      </c>
      <c r="E1115" t="s">
        <v>213</v>
      </c>
      <c r="F1115" t="s">
        <v>31</v>
      </c>
      <c r="G1115">
        <v>212</v>
      </c>
      <c r="H1115">
        <v>0.1</v>
      </c>
      <c r="I1115">
        <v>190.8</v>
      </c>
      <c r="J1115">
        <v>4</v>
      </c>
      <c r="K1115">
        <v>123.75010905086501</v>
      </c>
      <c r="L1115">
        <v>763.2</v>
      </c>
      <c r="M1115">
        <v>495.00043620346099</v>
      </c>
      <c r="N1115">
        <v>268.19956379653797</v>
      </c>
      <c r="O1115" t="s">
        <v>32</v>
      </c>
      <c r="P1115">
        <f t="shared" si="34"/>
        <v>848</v>
      </c>
      <c r="Q1115">
        <f t="shared" si="35"/>
        <v>-268.19956379653905</v>
      </c>
    </row>
    <row r="1116" spans="1:17" x14ac:dyDescent="0.4">
      <c r="A1116" t="s">
        <v>2235</v>
      </c>
      <c r="B1116" s="1">
        <v>45734.333333333336</v>
      </c>
      <c r="C1116" t="s">
        <v>43</v>
      </c>
      <c r="D1116" t="s">
        <v>2236</v>
      </c>
      <c r="E1116" t="s">
        <v>104</v>
      </c>
      <c r="F1116" t="s">
        <v>25</v>
      </c>
      <c r="G1116">
        <v>225</v>
      </c>
      <c r="H1116">
        <v>0</v>
      </c>
      <c r="I1116">
        <v>225</v>
      </c>
      <c r="J1116">
        <v>5</v>
      </c>
      <c r="K1116">
        <v>137.922103158082</v>
      </c>
      <c r="L1116">
        <v>1125</v>
      </c>
      <c r="M1116">
        <v>689.61051579041202</v>
      </c>
      <c r="N1116">
        <v>435.38948420958701</v>
      </c>
      <c r="O1116" t="s">
        <v>32</v>
      </c>
      <c r="P1116">
        <f t="shared" si="34"/>
        <v>1125</v>
      </c>
      <c r="Q1116">
        <f t="shared" si="35"/>
        <v>-435.38948420958798</v>
      </c>
    </row>
    <row r="1117" spans="1:17" x14ac:dyDescent="0.4">
      <c r="A1117" t="s">
        <v>2237</v>
      </c>
      <c r="B1117" s="1">
        <v>45473.708333333336</v>
      </c>
      <c r="C1117" t="s">
        <v>22</v>
      </c>
      <c r="D1117" t="s">
        <v>2238</v>
      </c>
      <c r="E1117" t="s">
        <v>82</v>
      </c>
      <c r="F1117" t="s">
        <v>25</v>
      </c>
      <c r="G1117">
        <v>99</v>
      </c>
      <c r="H1117">
        <v>0.1</v>
      </c>
      <c r="I1117">
        <v>89.1</v>
      </c>
      <c r="J1117">
        <v>7</v>
      </c>
      <c r="K1117">
        <v>67.957651735799502</v>
      </c>
      <c r="L1117">
        <v>623.70000000000005</v>
      </c>
      <c r="M1117">
        <v>475.70356215059701</v>
      </c>
      <c r="N1117">
        <v>147.99643784940301</v>
      </c>
      <c r="O1117" t="s">
        <v>32</v>
      </c>
      <c r="P1117">
        <f t="shared" si="34"/>
        <v>693</v>
      </c>
      <c r="Q1117">
        <f t="shared" si="35"/>
        <v>-147.99643784940304</v>
      </c>
    </row>
    <row r="1118" spans="1:17" x14ac:dyDescent="0.4">
      <c r="A1118" t="s">
        <v>2239</v>
      </c>
      <c r="B1118" s="1">
        <v>45586.541666666664</v>
      </c>
      <c r="C1118" t="s">
        <v>46</v>
      </c>
      <c r="D1118" t="s">
        <v>2240</v>
      </c>
      <c r="E1118" t="s">
        <v>104</v>
      </c>
      <c r="F1118" t="s">
        <v>25</v>
      </c>
      <c r="G1118">
        <v>211</v>
      </c>
      <c r="H1118">
        <v>0</v>
      </c>
      <c r="I1118">
        <v>211</v>
      </c>
      <c r="J1118">
        <v>7</v>
      </c>
      <c r="K1118">
        <v>123.033158838124</v>
      </c>
      <c r="L1118">
        <v>1477</v>
      </c>
      <c r="M1118">
        <v>861.23211186687195</v>
      </c>
      <c r="N1118">
        <v>615.76788813312703</v>
      </c>
      <c r="O1118" t="s">
        <v>26</v>
      </c>
      <c r="P1118">
        <f t="shared" si="34"/>
        <v>1477</v>
      </c>
      <c r="Q1118">
        <f t="shared" si="35"/>
        <v>-615.76788813312805</v>
      </c>
    </row>
    <row r="1119" spans="1:17" x14ac:dyDescent="0.4">
      <c r="A1119" t="s">
        <v>2241</v>
      </c>
      <c r="B1119" s="1">
        <v>46013</v>
      </c>
      <c r="C1119" t="s">
        <v>28</v>
      </c>
      <c r="D1119" t="s">
        <v>2242</v>
      </c>
      <c r="E1119" t="s">
        <v>18</v>
      </c>
      <c r="F1119" t="s">
        <v>19</v>
      </c>
      <c r="G1119">
        <v>313</v>
      </c>
      <c r="H1119">
        <v>0</v>
      </c>
      <c r="I1119">
        <v>313</v>
      </c>
      <c r="J1119">
        <v>4</v>
      </c>
      <c r="K1119">
        <v>197.04248246301401</v>
      </c>
      <c r="L1119">
        <v>1252</v>
      </c>
      <c r="M1119">
        <v>788.16992985205695</v>
      </c>
      <c r="N1119">
        <v>463.83007014794202</v>
      </c>
      <c r="O1119" t="s">
        <v>26</v>
      </c>
      <c r="P1119">
        <f t="shared" si="34"/>
        <v>1252</v>
      </c>
      <c r="Q1119">
        <f t="shared" si="35"/>
        <v>-463.83007014794305</v>
      </c>
    </row>
    <row r="1120" spans="1:17" x14ac:dyDescent="0.4">
      <c r="A1120" t="s">
        <v>2243</v>
      </c>
      <c r="B1120" s="1">
        <v>45434.916666666664</v>
      </c>
      <c r="C1120" t="s">
        <v>16</v>
      </c>
      <c r="D1120" t="s">
        <v>2244</v>
      </c>
      <c r="E1120" t="s">
        <v>18</v>
      </c>
      <c r="F1120" t="s">
        <v>19</v>
      </c>
      <c r="G1120">
        <v>287</v>
      </c>
      <c r="H1120">
        <v>0</v>
      </c>
      <c r="I1120">
        <v>287</v>
      </c>
      <c r="J1120">
        <v>4</v>
      </c>
      <c r="K1120">
        <v>149.75962883954401</v>
      </c>
      <c r="L1120">
        <v>1148</v>
      </c>
      <c r="M1120">
        <v>599.03851535817603</v>
      </c>
      <c r="N1120">
        <v>548.96148464182397</v>
      </c>
      <c r="O1120" t="s">
        <v>51</v>
      </c>
      <c r="P1120">
        <f t="shared" si="34"/>
        <v>1148</v>
      </c>
      <c r="Q1120">
        <f t="shared" si="35"/>
        <v>-548.96148464182397</v>
      </c>
    </row>
    <row r="1121" spans="1:17" x14ac:dyDescent="0.4">
      <c r="A1121" t="s">
        <v>2245</v>
      </c>
      <c r="B1121" s="1">
        <v>45820.166666666664</v>
      </c>
      <c r="C1121" t="s">
        <v>65</v>
      </c>
      <c r="D1121" t="s">
        <v>1207</v>
      </c>
      <c r="E1121" t="s">
        <v>110</v>
      </c>
      <c r="F1121" t="s">
        <v>19</v>
      </c>
      <c r="G1121">
        <v>153</v>
      </c>
      <c r="H1121">
        <v>0.05</v>
      </c>
      <c r="I1121">
        <v>145.35</v>
      </c>
      <c r="J1121">
        <v>1</v>
      </c>
      <c r="K1121">
        <v>74.116622781330605</v>
      </c>
      <c r="L1121">
        <v>145.35</v>
      </c>
      <c r="M1121">
        <v>74.116622781330605</v>
      </c>
      <c r="N1121">
        <v>71.233377218669304</v>
      </c>
      <c r="O1121" t="s">
        <v>105</v>
      </c>
      <c r="P1121">
        <f t="shared" si="34"/>
        <v>153</v>
      </c>
      <c r="Q1121">
        <f t="shared" si="35"/>
        <v>-71.233377218669389</v>
      </c>
    </row>
    <row r="1122" spans="1:17" x14ac:dyDescent="0.4">
      <c r="A1122" t="s">
        <v>2246</v>
      </c>
      <c r="B1122" s="1">
        <v>45742.666666666664</v>
      </c>
      <c r="C1122" t="s">
        <v>65</v>
      </c>
      <c r="D1122" t="s">
        <v>2247</v>
      </c>
      <c r="E1122" t="s">
        <v>146</v>
      </c>
      <c r="F1122" t="s">
        <v>70</v>
      </c>
      <c r="G1122">
        <v>269</v>
      </c>
      <c r="H1122">
        <v>0.15</v>
      </c>
      <c r="I1122">
        <v>228.65</v>
      </c>
      <c r="J1122">
        <v>6</v>
      </c>
      <c r="K1122">
        <v>139.71482050450101</v>
      </c>
      <c r="L1122">
        <v>1371.9</v>
      </c>
      <c r="M1122">
        <v>838.28892302700797</v>
      </c>
      <c r="N1122">
        <v>533.61107697299099</v>
      </c>
      <c r="O1122" t="s">
        <v>32</v>
      </c>
      <c r="P1122">
        <f t="shared" si="34"/>
        <v>1614</v>
      </c>
      <c r="Q1122">
        <f t="shared" si="35"/>
        <v>-533.61107697299212</v>
      </c>
    </row>
    <row r="1123" spans="1:17" x14ac:dyDescent="0.4">
      <c r="A1123" t="s">
        <v>2248</v>
      </c>
      <c r="B1123" s="1">
        <v>45377.416666666664</v>
      </c>
      <c r="C1123" t="s">
        <v>43</v>
      </c>
      <c r="D1123" t="s">
        <v>2249</v>
      </c>
      <c r="E1123" t="s">
        <v>18</v>
      </c>
      <c r="F1123" t="s">
        <v>19</v>
      </c>
      <c r="G1123">
        <v>160</v>
      </c>
      <c r="H1123">
        <v>0.1</v>
      </c>
      <c r="I1123">
        <v>144</v>
      </c>
      <c r="J1123">
        <v>6</v>
      </c>
      <c r="K1123">
        <v>103.44772280273899</v>
      </c>
      <c r="L1123">
        <v>864</v>
      </c>
      <c r="M1123">
        <v>620.68633681643496</v>
      </c>
      <c r="N1123">
        <v>243.31366318356399</v>
      </c>
      <c r="O1123" t="s">
        <v>32</v>
      </c>
      <c r="P1123">
        <f t="shared" si="34"/>
        <v>960</v>
      </c>
      <c r="Q1123">
        <f t="shared" si="35"/>
        <v>-243.31366318356504</v>
      </c>
    </row>
    <row r="1124" spans="1:17" x14ac:dyDescent="0.4">
      <c r="A1124" t="s">
        <v>2250</v>
      </c>
      <c r="B1124" s="1">
        <v>45779.166666666664</v>
      </c>
      <c r="C1124" t="s">
        <v>16</v>
      </c>
      <c r="D1124" t="s">
        <v>1830</v>
      </c>
      <c r="E1124" t="s">
        <v>48</v>
      </c>
      <c r="F1124" t="s">
        <v>19</v>
      </c>
      <c r="G1124">
        <v>97</v>
      </c>
      <c r="H1124">
        <v>0.15</v>
      </c>
      <c r="I1124">
        <v>82.45</v>
      </c>
      <c r="J1124">
        <v>3</v>
      </c>
      <c r="K1124">
        <v>41.998441844644098</v>
      </c>
      <c r="L1124">
        <v>247.35</v>
      </c>
      <c r="M1124">
        <v>125.995325533932</v>
      </c>
      <c r="N1124">
        <v>121.354674466067</v>
      </c>
      <c r="O1124" t="s">
        <v>105</v>
      </c>
      <c r="P1124">
        <f t="shared" si="34"/>
        <v>291</v>
      </c>
      <c r="Q1124">
        <f t="shared" si="35"/>
        <v>-121.35467446606799</v>
      </c>
    </row>
    <row r="1125" spans="1:17" x14ac:dyDescent="0.4">
      <c r="A1125" t="s">
        <v>2251</v>
      </c>
      <c r="B1125" s="1">
        <v>45340.541666666664</v>
      </c>
      <c r="C1125" t="s">
        <v>28</v>
      </c>
      <c r="D1125" t="s">
        <v>2252</v>
      </c>
      <c r="E1125" t="s">
        <v>18</v>
      </c>
      <c r="F1125" t="s">
        <v>19</v>
      </c>
      <c r="G1125">
        <v>318</v>
      </c>
      <c r="H1125">
        <v>0.2</v>
      </c>
      <c r="I1125">
        <v>254.4</v>
      </c>
      <c r="J1125">
        <v>2</v>
      </c>
      <c r="K1125">
        <v>221.44695092389</v>
      </c>
      <c r="L1125">
        <v>508.8</v>
      </c>
      <c r="M1125">
        <v>442.89390184778102</v>
      </c>
      <c r="N1125">
        <v>65.906098152218505</v>
      </c>
      <c r="O1125" t="s">
        <v>26</v>
      </c>
      <c r="P1125">
        <f t="shared" si="34"/>
        <v>636</v>
      </c>
      <c r="Q1125">
        <f t="shared" si="35"/>
        <v>-65.906098152218988</v>
      </c>
    </row>
    <row r="1126" spans="1:17" x14ac:dyDescent="0.4">
      <c r="A1126" t="s">
        <v>2253</v>
      </c>
      <c r="B1126" s="1">
        <v>45376.708333333336</v>
      </c>
      <c r="C1126" t="s">
        <v>16</v>
      </c>
      <c r="D1126" t="s">
        <v>2254</v>
      </c>
      <c r="E1126" t="s">
        <v>18</v>
      </c>
      <c r="F1126" t="s">
        <v>19</v>
      </c>
      <c r="G1126">
        <v>263</v>
      </c>
      <c r="H1126">
        <v>0.15</v>
      </c>
      <c r="I1126">
        <v>223.54999999999899</v>
      </c>
      <c r="J1126">
        <v>4</v>
      </c>
      <c r="K1126">
        <v>116.550299379837</v>
      </c>
      <c r="L1126">
        <v>894.19999999999902</v>
      </c>
      <c r="M1126">
        <v>466.201197519348</v>
      </c>
      <c r="N1126">
        <v>427.99880248065102</v>
      </c>
      <c r="O1126" t="s">
        <v>26</v>
      </c>
      <c r="P1126">
        <f t="shared" si="34"/>
        <v>1052</v>
      </c>
      <c r="Q1126">
        <f t="shared" si="35"/>
        <v>-427.99880248065102</v>
      </c>
    </row>
    <row r="1127" spans="1:17" x14ac:dyDescent="0.4">
      <c r="A1127" t="s">
        <v>2255</v>
      </c>
      <c r="B1127" s="1">
        <v>45298.041666666664</v>
      </c>
      <c r="C1127" t="s">
        <v>22</v>
      </c>
      <c r="D1127" t="s">
        <v>1440</v>
      </c>
      <c r="E1127" t="s">
        <v>85</v>
      </c>
      <c r="F1127" t="s">
        <v>70</v>
      </c>
      <c r="G1127">
        <v>238</v>
      </c>
      <c r="H1127">
        <v>0.1</v>
      </c>
      <c r="I1127">
        <v>214.2</v>
      </c>
      <c r="J1127">
        <v>2</v>
      </c>
      <c r="K1127">
        <v>119.188618040777</v>
      </c>
      <c r="L1127">
        <v>428.4</v>
      </c>
      <c r="M1127">
        <v>238.377236081554</v>
      </c>
      <c r="N1127">
        <v>190.02276391844501</v>
      </c>
      <c r="O1127" t="s">
        <v>32</v>
      </c>
      <c r="P1127">
        <f t="shared" si="34"/>
        <v>476</v>
      </c>
      <c r="Q1127">
        <f t="shared" si="35"/>
        <v>-190.02276391844597</v>
      </c>
    </row>
    <row r="1128" spans="1:17" x14ac:dyDescent="0.4">
      <c r="A1128" t="s">
        <v>2256</v>
      </c>
      <c r="B1128" s="1">
        <v>45886.541666666664</v>
      </c>
      <c r="C1128" t="s">
        <v>22</v>
      </c>
      <c r="D1128" t="s">
        <v>2257</v>
      </c>
      <c r="E1128" t="s">
        <v>41</v>
      </c>
      <c r="F1128" t="s">
        <v>31</v>
      </c>
      <c r="G1128">
        <v>257</v>
      </c>
      <c r="H1128">
        <v>0.1</v>
      </c>
      <c r="I1128">
        <v>231.3</v>
      </c>
      <c r="J1128">
        <v>1</v>
      </c>
      <c r="K1128">
        <v>178.815093314308</v>
      </c>
      <c r="L1128">
        <v>231.3</v>
      </c>
      <c r="M1128">
        <v>178.815093314308</v>
      </c>
      <c r="N1128">
        <v>52.484906685691598</v>
      </c>
      <c r="O1128" t="s">
        <v>32</v>
      </c>
      <c r="P1128">
        <f t="shared" si="34"/>
        <v>257</v>
      </c>
      <c r="Q1128">
        <f t="shared" si="35"/>
        <v>-52.48490668569201</v>
      </c>
    </row>
    <row r="1129" spans="1:17" x14ac:dyDescent="0.4">
      <c r="A1129" t="s">
        <v>2258</v>
      </c>
      <c r="B1129" s="1">
        <v>45618.333333333336</v>
      </c>
      <c r="C1129" t="s">
        <v>16</v>
      </c>
      <c r="D1129" t="s">
        <v>2259</v>
      </c>
      <c r="E1129" t="s">
        <v>60</v>
      </c>
      <c r="F1129" t="s">
        <v>61</v>
      </c>
      <c r="G1129">
        <v>131</v>
      </c>
      <c r="H1129">
        <v>0.1</v>
      </c>
      <c r="I1129">
        <v>117.9</v>
      </c>
      <c r="J1129">
        <v>4</v>
      </c>
      <c r="K1129">
        <v>71.521982581269498</v>
      </c>
      <c r="L1129">
        <v>471.6</v>
      </c>
      <c r="M1129">
        <v>286.08793032507799</v>
      </c>
      <c r="N1129">
        <v>185.51206967492101</v>
      </c>
      <c r="O1129" t="s">
        <v>32</v>
      </c>
      <c r="P1129">
        <f t="shared" si="34"/>
        <v>524</v>
      </c>
      <c r="Q1129">
        <f t="shared" si="35"/>
        <v>-185.51206967492203</v>
      </c>
    </row>
    <row r="1130" spans="1:17" x14ac:dyDescent="0.4">
      <c r="A1130" t="s">
        <v>2260</v>
      </c>
      <c r="B1130" s="1">
        <v>45887.25</v>
      </c>
      <c r="C1130" t="s">
        <v>16</v>
      </c>
      <c r="D1130" t="s">
        <v>2261</v>
      </c>
      <c r="E1130" t="s">
        <v>48</v>
      </c>
      <c r="F1130" t="s">
        <v>19</v>
      </c>
      <c r="G1130">
        <v>328</v>
      </c>
      <c r="H1130">
        <v>0.1</v>
      </c>
      <c r="I1130">
        <v>295.2</v>
      </c>
      <c r="J1130">
        <v>5</v>
      </c>
      <c r="K1130">
        <v>201.92951988772401</v>
      </c>
      <c r="L1130">
        <v>1476</v>
      </c>
      <c r="M1130">
        <v>1009.64759943862</v>
      </c>
      <c r="N1130">
        <v>466.35240056137599</v>
      </c>
      <c r="O1130" t="s">
        <v>32</v>
      </c>
      <c r="P1130">
        <f t="shared" si="34"/>
        <v>1640</v>
      </c>
      <c r="Q1130">
        <f t="shared" si="35"/>
        <v>-466.35240056138002</v>
      </c>
    </row>
    <row r="1131" spans="1:17" x14ac:dyDescent="0.4">
      <c r="A1131" t="s">
        <v>2262</v>
      </c>
      <c r="B1131" s="1">
        <v>45401.666666666664</v>
      </c>
      <c r="C1131" t="s">
        <v>28</v>
      </c>
      <c r="D1131" t="s">
        <v>2263</v>
      </c>
      <c r="E1131" t="s">
        <v>69</v>
      </c>
      <c r="F1131" t="s">
        <v>70</v>
      </c>
      <c r="G1131">
        <v>256</v>
      </c>
      <c r="H1131">
        <v>0.1</v>
      </c>
      <c r="I1131">
        <v>230.4</v>
      </c>
      <c r="J1131">
        <v>1</v>
      </c>
      <c r="K1131">
        <v>142.314800404267</v>
      </c>
      <c r="L1131">
        <v>230.4</v>
      </c>
      <c r="M1131">
        <v>142.314800404267</v>
      </c>
      <c r="N1131">
        <v>88.085199595732206</v>
      </c>
      <c r="O1131" t="s">
        <v>26</v>
      </c>
      <c r="P1131">
        <f t="shared" si="34"/>
        <v>256</v>
      </c>
      <c r="Q1131">
        <f t="shared" si="35"/>
        <v>-88.085199595733002</v>
      </c>
    </row>
    <row r="1132" spans="1:17" x14ac:dyDescent="0.4">
      <c r="A1132" t="s">
        <v>2264</v>
      </c>
      <c r="B1132" s="1">
        <v>45479.25</v>
      </c>
      <c r="C1132" t="s">
        <v>46</v>
      </c>
      <c r="D1132" t="s">
        <v>2265</v>
      </c>
      <c r="E1132" t="s">
        <v>73</v>
      </c>
      <c r="F1132" t="s">
        <v>38</v>
      </c>
      <c r="G1132">
        <v>277</v>
      </c>
      <c r="H1132">
        <v>0.1</v>
      </c>
      <c r="I1132">
        <v>249.3</v>
      </c>
      <c r="J1132">
        <v>3</v>
      </c>
      <c r="K1132">
        <v>117.08567751132099</v>
      </c>
      <c r="L1132">
        <v>747.9</v>
      </c>
      <c r="M1132">
        <v>351.25703253396301</v>
      </c>
      <c r="N1132">
        <v>396.642967466036</v>
      </c>
      <c r="O1132" t="s">
        <v>32</v>
      </c>
      <c r="P1132">
        <f t="shared" si="34"/>
        <v>831</v>
      </c>
      <c r="Q1132">
        <f t="shared" si="35"/>
        <v>-396.64296746603696</v>
      </c>
    </row>
    <row r="1133" spans="1:17" x14ac:dyDescent="0.4">
      <c r="A1133" t="s">
        <v>2266</v>
      </c>
      <c r="B1133" s="1">
        <v>45923.333333333336</v>
      </c>
      <c r="C1133" t="s">
        <v>28</v>
      </c>
      <c r="D1133" t="s">
        <v>2267</v>
      </c>
      <c r="E1133" t="s">
        <v>104</v>
      </c>
      <c r="F1133" t="s">
        <v>25</v>
      </c>
      <c r="G1133">
        <v>194</v>
      </c>
      <c r="H1133">
        <v>0.1</v>
      </c>
      <c r="I1133">
        <v>174.6</v>
      </c>
      <c r="J1133">
        <v>2</v>
      </c>
      <c r="K1133">
        <v>103.93831011582201</v>
      </c>
      <c r="L1133">
        <v>349.2</v>
      </c>
      <c r="M1133">
        <v>207.87662023164401</v>
      </c>
      <c r="N1133">
        <v>141.32337976835501</v>
      </c>
      <c r="O1133" t="s">
        <v>32</v>
      </c>
      <c r="P1133">
        <f t="shared" si="34"/>
        <v>388</v>
      </c>
      <c r="Q1133">
        <f t="shared" si="35"/>
        <v>-141.32337976835598</v>
      </c>
    </row>
    <row r="1134" spans="1:17" x14ac:dyDescent="0.4">
      <c r="A1134" t="s">
        <v>2268</v>
      </c>
      <c r="B1134" s="1">
        <v>45673.458333333336</v>
      </c>
      <c r="C1134" t="s">
        <v>22</v>
      </c>
      <c r="D1134" t="s">
        <v>2269</v>
      </c>
      <c r="E1134" t="s">
        <v>115</v>
      </c>
      <c r="F1134" t="s">
        <v>38</v>
      </c>
      <c r="G1134">
        <v>126</v>
      </c>
      <c r="H1134">
        <v>0.25</v>
      </c>
      <c r="I1134">
        <v>94.5</v>
      </c>
      <c r="J1134">
        <v>7</v>
      </c>
      <c r="K1134">
        <v>69.047953064798605</v>
      </c>
      <c r="L1134">
        <v>661.5</v>
      </c>
      <c r="M1134">
        <v>483.33567145359001</v>
      </c>
      <c r="N1134">
        <v>178.164328546409</v>
      </c>
      <c r="O1134" t="s">
        <v>32</v>
      </c>
      <c r="P1134">
        <f t="shared" si="34"/>
        <v>882</v>
      </c>
      <c r="Q1134">
        <f t="shared" si="35"/>
        <v>-178.16432854640999</v>
      </c>
    </row>
    <row r="1135" spans="1:17" x14ac:dyDescent="0.4">
      <c r="A1135" t="s">
        <v>2270</v>
      </c>
      <c r="B1135" s="1">
        <v>45726.416666666664</v>
      </c>
      <c r="C1135" t="s">
        <v>22</v>
      </c>
      <c r="D1135" t="s">
        <v>2271</v>
      </c>
      <c r="E1135" t="s">
        <v>18</v>
      </c>
      <c r="F1135" t="s">
        <v>19</v>
      </c>
      <c r="G1135">
        <v>87</v>
      </c>
      <c r="H1135">
        <v>0</v>
      </c>
      <c r="I1135">
        <v>87</v>
      </c>
      <c r="J1135">
        <v>5</v>
      </c>
      <c r="K1135">
        <v>63.096595843832802</v>
      </c>
      <c r="L1135">
        <v>435</v>
      </c>
      <c r="M1135">
        <v>315.48297921916401</v>
      </c>
      <c r="N1135">
        <v>119.517020780835</v>
      </c>
      <c r="O1135" t="s">
        <v>20</v>
      </c>
      <c r="P1135">
        <f t="shared" si="34"/>
        <v>435</v>
      </c>
      <c r="Q1135">
        <f t="shared" si="35"/>
        <v>-119.51702078083599</v>
      </c>
    </row>
    <row r="1136" spans="1:17" x14ac:dyDescent="0.4">
      <c r="A1136" t="s">
        <v>2272</v>
      </c>
      <c r="B1136" s="1">
        <v>45718.375</v>
      </c>
      <c r="C1136" t="s">
        <v>16</v>
      </c>
      <c r="D1136" t="s">
        <v>2273</v>
      </c>
      <c r="E1136" t="s">
        <v>115</v>
      </c>
      <c r="F1136" t="s">
        <v>38</v>
      </c>
      <c r="G1136">
        <v>194</v>
      </c>
      <c r="H1136">
        <v>0.15</v>
      </c>
      <c r="I1136">
        <v>164.9</v>
      </c>
      <c r="J1136">
        <v>3</v>
      </c>
      <c r="K1136">
        <v>89.285579994925598</v>
      </c>
      <c r="L1136">
        <v>494.7</v>
      </c>
      <c r="M1136">
        <v>267.85673998477603</v>
      </c>
      <c r="N1136">
        <v>226.843260015223</v>
      </c>
      <c r="O1136" t="s">
        <v>32</v>
      </c>
      <c r="P1136">
        <f t="shared" si="34"/>
        <v>582</v>
      </c>
      <c r="Q1136">
        <f t="shared" si="35"/>
        <v>-226.84326001522396</v>
      </c>
    </row>
    <row r="1137" spans="1:17" x14ac:dyDescent="0.4">
      <c r="A1137" t="s">
        <v>2274</v>
      </c>
      <c r="B1137" s="1">
        <v>45368.166666666664</v>
      </c>
      <c r="C1137" t="s">
        <v>22</v>
      </c>
      <c r="D1137" t="s">
        <v>2275</v>
      </c>
      <c r="E1137" t="s">
        <v>97</v>
      </c>
      <c r="F1137" t="s">
        <v>61</v>
      </c>
      <c r="G1137">
        <v>151</v>
      </c>
      <c r="H1137">
        <v>0.2</v>
      </c>
      <c r="I1137">
        <v>120.8</v>
      </c>
      <c r="J1137">
        <v>7</v>
      </c>
      <c r="K1137">
        <v>98.893447460636295</v>
      </c>
      <c r="L1137">
        <v>845.6</v>
      </c>
      <c r="M1137">
        <v>692.254132224454</v>
      </c>
      <c r="N1137">
        <v>153.345867775546</v>
      </c>
      <c r="O1137" t="s">
        <v>105</v>
      </c>
      <c r="P1137">
        <f t="shared" si="34"/>
        <v>1057</v>
      </c>
      <c r="Q1137">
        <f t="shared" si="35"/>
        <v>-153.34586777554603</v>
      </c>
    </row>
    <row r="1138" spans="1:17" x14ac:dyDescent="0.4">
      <c r="A1138" t="s">
        <v>2276</v>
      </c>
      <c r="B1138" s="1">
        <v>45802.833333333336</v>
      </c>
      <c r="C1138" t="s">
        <v>22</v>
      </c>
      <c r="D1138" t="s">
        <v>2277</v>
      </c>
      <c r="E1138" t="s">
        <v>24</v>
      </c>
      <c r="F1138" t="s">
        <v>25</v>
      </c>
      <c r="G1138">
        <v>151</v>
      </c>
      <c r="H1138">
        <v>0.25</v>
      </c>
      <c r="I1138">
        <v>113.25</v>
      </c>
      <c r="J1138">
        <v>6</v>
      </c>
      <c r="K1138">
        <v>108.30082005640401</v>
      </c>
      <c r="L1138">
        <v>679.5</v>
      </c>
      <c r="M1138">
        <v>649.80492033842904</v>
      </c>
      <c r="N1138">
        <v>29.695079661570599</v>
      </c>
      <c r="O1138" t="s">
        <v>26</v>
      </c>
      <c r="P1138">
        <f t="shared" si="34"/>
        <v>906</v>
      </c>
      <c r="Q1138">
        <f t="shared" si="35"/>
        <v>-29.695079661570958</v>
      </c>
    </row>
    <row r="1139" spans="1:17" x14ac:dyDescent="0.4">
      <c r="A1139" t="s">
        <v>2278</v>
      </c>
      <c r="B1139" s="1">
        <v>45672.416666666664</v>
      </c>
      <c r="C1139" t="s">
        <v>22</v>
      </c>
      <c r="D1139" t="s">
        <v>665</v>
      </c>
      <c r="E1139" t="s">
        <v>30</v>
      </c>
      <c r="F1139" t="s">
        <v>31</v>
      </c>
      <c r="G1139">
        <v>108</v>
      </c>
      <c r="H1139">
        <v>0</v>
      </c>
      <c r="I1139">
        <v>108</v>
      </c>
      <c r="J1139">
        <v>7</v>
      </c>
      <c r="K1139">
        <v>53.8954180718111</v>
      </c>
      <c r="L1139">
        <v>756</v>
      </c>
      <c r="M1139">
        <v>377.26792650267703</v>
      </c>
      <c r="N1139">
        <v>378.73207349732201</v>
      </c>
      <c r="O1139" t="s">
        <v>51</v>
      </c>
      <c r="P1139">
        <f t="shared" si="34"/>
        <v>756</v>
      </c>
      <c r="Q1139">
        <f t="shared" si="35"/>
        <v>-378.73207349732297</v>
      </c>
    </row>
    <row r="1140" spans="1:17" x14ac:dyDescent="0.4">
      <c r="A1140" t="s">
        <v>2279</v>
      </c>
      <c r="B1140" s="1">
        <v>45492.208333333336</v>
      </c>
      <c r="C1140" t="s">
        <v>65</v>
      </c>
      <c r="D1140" t="s">
        <v>2280</v>
      </c>
      <c r="E1140" t="s">
        <v>97</v>
      </c>
      <c r="F1140" t="s">
        <v>61</v>
      </c>
      <c r="G1140">
        <v>81</v>
      </c>
      <c r="H1140">
        <v>0.15</v>
      </c>
      <c r="I1140">
        <v>68.849999999999994</v>
      </c>
      <c r="J1140">
        <v>3</v>
      </c>
      <c r="K1140">
        <v>49.614954915959302</v>
      </c>
      <c r="L1140">
        <v>206.54999999999899</v>
      </c>
      <c r="M1140">
        <v>148.84486474787801</v>
      </c>
      <c r="N1140">
        <v>57.705135252121799</v>
      </c>
      <c r="O1140" t="s">
        <v>32</v>
      </c>
      <c r="P1140">
        <f t="shared" si="34"/>
        <v>243</v>
      </c>
      <c r="Q1140">
        <f t="shared" si="35"/>
        <v>-57.705135252120982</v>
      </c>
    </row>
    <row r="1141" spans="1:17" x14ac:dyDescent="0.4">
      <c r="A1141" t="s">
        <v>2281</v>
      </c>
      <c r="B1141" s="1">
        <v>45325.583333333336</v>
      </c>
      <c r="C1141" t="s">
        <v>16</v>
      </c>
      <c r="D1141" t="s">
        <v>2282</v>
      </c>
      <c r="E1141" t="s">
        <v>97</v>
      </c>
      <c r="F1141" t="s">
        <v>61</v>
      </c>
      <c r="G1141">
        <v>151</v>
      </c>
      <c r="H1141">
        <v>0.25</v>
      </c>
      <c r="I1141">
        <v>113.25</v>
      </c>
      <c r="J1141">
        <v>3</v>
      </c>
      <c r="K1141">
        <v>84.2745516732911</v>
      </c>
      <c r="L1141">
        <v>339.75</v>
      </c>
      <c r="M1141">
        <v>252.823655019873</v>
      </c>
      <c r="N1141">
        <v>86.926344980126601</v>
      </c>
      <c r="O1141" t="s">
        <v>32</v>
      </c>
      <c r="P1141">
        <f t="shared" si="34"/>
        <v>453</v>
      </c>
      <c r="Q1141">
        <f t="shared" si="35"/>
        <v>-86.926344980126999</v>
      </c>
    </row>
    <row r="1142" spans="1:17" x14ac:dyDescent="0.4">
      <c r="A1142" t="s">
        <v>2283</v>
      </c>
      <c r="B1142" s="1">
        <v>45633.75</v>
      </c>
      <c r="C1142" t="s">
        <v>43</v>
      </c>
      <c r="D1142" t="s">
        <v>2284</v>
      </c>
      <c r="E1142" t="s">
        <v>146</v>
      </c>
      <c r="F1142" t="s">
        <v>70</v>
      </c>
      <c r="G1142">
        <v>185</v>
      </c>
      <c r="H1142">
        <v>0</v>
      </c>
      <c r="I1142">
        <v>185</v>
      </c>
      <c r="J1142">
        <v>4</v>
      </c>
      <c r="K1142">
        <v>95.782582930116604</v>
      </c>
      <c r="L1142">
        <v>740</v>
      </c>
      <c r="M1142">
        <v>383.13033172046602</v>
      </c>
      <c r="N1142">
        <v>356.86966827953302</v>
      </c>
      <c r="O1142" t="s">
        <v>26</v>
      </c>
      <c r="P1142">
        <f t="shared" si="34"/>
        <v>740</v>
      </c>
      <c r="Q1142">
        <f t="shared" si="35"/>
        <v>-356.86966827953398</v>
      </c>
    </row>
    <row r="1143" spans="1:17" x14ac:dyDescent="0.4">
      <c r="A1143" t="s">
        <v>2285</v>
      </c>
      <c r="B1143" s="1">
        <v>45369.833333333336</v>
      </c>
      <c r="C1143" t="s">
        <v>65</v>
      </c>
      <c r="D1143" t="s">
        <v>2286</v>
      </c>
      <c r="E1143" t="s">
        <v>37</v>
      </c>
      <c r="F1143" t="s">
        <v>38</v>
      </c>
      <c r="G1143">
        <v>234</v>
      </c>
      <c r="H1143">
        <v>0</v>
      </c>
      <c r="I1143">
        <v>234</v>
      </c>
      <c r="J1143">
        <v>2</v>
      </c>
      <c r="K1143">
        <v>150.85034521004701</v>
      </c>
      <c r="L1143">
        <v>468</v>
      </c>
      <c r="M1143">
        <v>301.70069042009499</v>
      </c>
      <c r="N1143">
        <v>166.29930957990399</v>
      </c>
      <c r="O1143" t="s">
        <v>32</v>
      </c>
      <c r="P1143">
        <f t="shared" si="34"/>
        <v>468</v>
      </c>
      <c r="Q1143">
        <f t="shared" si="35"/>
        <v>-166.29930957990501</v>
      </c>
    </row>
    <row r="1144" spans="1:17" x14ac:dyDescent="0.4">
      <c r="A1144" t="s">
        <v>2287</v>
      </c>
      <c r="B1144" s="1">
        <v>45898.708333333336</v>
      </c>
      <c r="C1144" t="s">
        <v>43</v>
      </c>
      <c r="D1144" t="s">
        <v>2288</v>
      </c>
      <c r="E1144" t="s">
        <v>146</v>
      </c>
      <c r="F1144" t="s">
        <v>70</v>
      </c>
      <c r="G1144">
        <v>326</v>
      </c>
      <c r="H1144">
        <v>0.1</v>
      </c>
      <c r="I1144">
        <v>293.39999999999998</v>
      </c>
      <c r="J1144">
        <v>6</v>
      </c>
      <c r="K1144">
        <v>151.424645191081</v>
      </c>
      <c r="L1144">
        <v>1760.4</v>
      </c>
      <c r="M1144">
        <v>908.54787114649105</v>
      </c>
      <c r="N1144">
        <v>851.85212885350802</v>
      </c>
      <c r="O1144" t="s">
        <v>26</v>
      </c>
      <c r="P1144">
        <f t="shared" si="34"/>
        <v>1956</v>
      </c>
      <c r="Q1144">
        <f t="shared" si="35"/>
        <v>-851.85212885350904</v>
      </c>
    </row>
    <row r="1145" spans="1:17" x14ac:dyDescent="0.4">
      <c r="A1145" t="s">
        <v>2289</v>
      </c>
      <c r="B1145" s="1">
        <v>45938.333333333336</v>
      </c>
      <c r="C1145" t="s">
        <v>16</v>
      </c>
      <c r="D1145" t="s">
        <v>2290</v>
      </c>
      <c r="E1145" t="s">
        <v>48</v>
      </c>
      <c r="F1145" t="s">
        <v>19</v>
      </c>
      <c r="G1145">
        <v>124</v>
      </c>
      <c r="H1145">
        <v>0</v>
      </c>
      <c r="I1145">
        <v>124</v>
      </c>
      <c r="J1145">
        <v>6</v>
      </c>
      <c r="K1145">
        <v>53.438191290360798</v>
      </c>
      <c r="L1145">
        <v>744</v>
      </c>
      <c r="M1145">
        <v>320.62914774216398</v>
      </c>
      <c r="N1145">
        <v>423.370852257835</v>
      </c>
      <c r="O1145" t="s">
        <v>51</v>
      </c>
      <c r="P1145">
        <f t="shared" si="34"/>
        <v>744</v>
      </c>
      <c r="Q1145">
        <f t="shared" si="35"/>
        <v>-423.37085225783602</v>
      </c>
    </row>
    <row r="1146" spans="1:17" x14ac:dyDescent="0.4">
      <c r="A1146" t="s">
        <v>2291</v>
      </c>
      <c r="B1146" s="1">
        <v>45912.791666666664</v>
      </c>
      <c r="C1146" t="s">
        <v>16</v>
      </c>
      <c r="D1146" t="s">
        <v>72</v>
      </c>
      <c r="E1146" t="s">
        <v>73</v>
      </c>
      <c r="F1146" t="s">
        <v>38</v>
      </c>
      <c r="G1146">
        <v>212</v>
      </c>
      <c r="H1146">
        <v>0.1</v>
      </c>
      <c r="I1146">
        <v>190.8</v>
      </c>
      <c r="J1146">
        <v>4</v>
      </c>
      <c r="K1146">
        <v>120.43356413955</v>
      </c>
      <c r="L1146">
        <v>763.2</v>
      </c>
      <c r="M1146">
        <v>481.7342565582</v>
      </c>
      <c r="N1146">
        <v>281.46574344179902</v>
      </c>
      <c r="O1146" t="s">
        <v>51</v>
      </c>
      <c r="P1146">
        <f t="shared" si="34"/>
        <v>848</v>
      </c>
      <c r="Q1146">
        <f t="shared" si="35"/>
        <v>-281.46574344180004</v>
      </c>
    </row>
    <row r="1147" spans="1:17" x14ac:dyDescent="0.4">
      <c r="A1147" t="s">
        <v>2292</v>
      </c>
      <c r="B1147" s="1">
        <v>45967.833333333336</v>
      </c>
      <c r="C1147" t="s">
        <v>46</v>
      </c>
      <c r="D1147" t="s">
        <v>2293</v>
      </c>
      <c r="E1147" t="s">
        <v>18</v>
      </c>
      <c r="F1147" t="s">
        <v>19</v>
      </c>
      <c r="G1147">
        <v>319</v>
      </c>
      <c r="H1147">
        <v>0.1</v>
      </c>
      <c r="I1147">
        <v>287.10000000000002</v>
      </c>
      <c r="J1147">
        <v>7</v>
      </c>
      <c r="K1147">
        <v>178.49749474514499</v>
      </c>
      <c r="L1147">
        <v>2009.7</v>
      </c>
      <c r="M1147">
        <v>1249.48246321601</v>
      </c>
      <c r="N1147">
        <v>760.21753678398204</v>
      </c>
      <c r="O1147" t="s">
        <v>32</v>
      </c>
      <c r="P1147">
        <f t="shared" si="34"/>
        <v>2233</v>
      </c>
      <c r="Q1147">
        <f t="shared" si="35"/>
        <v>-760.21753678399</v>
      </c>
    </row>
    <row r="1148" spans="1:17" x14ac:dyDescent="0.4">
      <c r="A1148" t="s">
        <v>2294</v>
      </c>
      <c r="B1148" s="1">
        <v>45955.916666666664</v>
      </c>
      <c r="C1148" t="s">
        <v>43</v>
      </c>
      <c r="D1148" t="s">
        <v>2295</v>
      </c>
      <c r="E1148" t="s">
        <v>73</v>
      </c>
      <c r="F1148" t="s">
        <v>38</v>
      </c>
      <c r="G1148">
        <v>341</v>
      </c>
      <c r="H1148">
        <v>0</v>
      </c>
      <c r="I1148">
        <v>341</v>
      </c>
      <c r="J1148">
        <v>6</v>
      </c>
      <c r="K1148">
        <v>216.09921197630101</v>
      </c>
      <c r="L1148">
        <v>2046</v>
      </c>
      <c r="M1148">
        <v>1296.5952718578001</v>
      </c>
      <c r="N1148">
        <v>749.40472814219004</v>
      </c>
      <c r="O1148" t="s">
        <v>32</v>
      </c>
      <c r="P1148">
        <f t="shared" si="34"/>
        <v>2046</v>
      </c>
      <c r="Q1148">
        <f t="shared" si="35"/>
        <v>-749.40472814219993</v>
      </c>
    </row>
    <row r="1149" spans="1:17" x14ac:dyDescent="0.4">
      <c r="A1149" t="s">
        <v>2296</v>
      </c>
      <c r="B1149" s="1">
        <v>45518.208333333336</v>
      </c>
      <c r="C1149" t="s">
        <v>16</v>
      </c>
      <c r="D1149" t="s">
        <v>2297</v>
      </c>
      <c r="E1149" t="s">
        <v>104</v>
      </c>
      <c r="F1149" t="s">
        <v>25</v>
      </c>
      <c r="G1149">
        <v>132</v>
      </c>
      <c r="H1149">
        <v>0</v>
      </c>
      <c r="I1149">
        <v>132</v>
      </c>
      <c r="J1149">
        <v>4</v>
      </c>
      <c r="K1149">
        <v>77.941215525486101</v>
      </c>
      <c r="L1149">
        <v>528</v>
      </c>
      <c r="M1149">
        <v>311.764862101944</v>
      </c>
      <c r="N1149">
        <v>216.235137898055</v>
      </c>
      <c r="O1149" t="s">
        <v>32</v>
      </c>
      <c r="P1149">
        <f t="shared" si="34"/>
        <v>528</v>
      </c>
      <c r="Q1149">
        <f t="shared" si="35"/>
        <v>-216.235137898056</v>
      </c>
    </row>
    <row r="1150" spans="1:17" x14ac:dyDescent="0.4">
      <c r="A1150" t="s">
        <v>2298</v>
      </c>
      <c r="B1150" s="1">
        <v>45670.166666666664</v>
      </c>
      <c r="C1150" t="s">
        <v>43</v>
      </c>
      <c r="D1150" t="s">
        <v>2299</v>
      </c>
      <c r="E1150" t="s">
        <v>69</v>
      </c>
      <c r="F1150" t="s">
        <v>70</v>
      </c>
      <c r="G1150">
        <v>329</v>
      </c>
      <c r="H1150">
        <v>0.05</v>
      </c>
      <c r="I1150">
        <v>312.55</v>
      </c>
      <c r="J1150">
        <v>6</v>
      </c>
      <c r="K1150">
        <v>132.01195426069299</v>
      </c>
      <c r="L1150">
        <v>1875.3</v>
      </c>
      <c r="M1150">
        <v>792.07172556416106</v>
      </c>
      <c r="N1150">
        <v>1083.2282744358299</v>
      </c>
      <c r="O1150" t="s">
        <v>32</v>
      </c>
      <c r="P1150">
        <f t="shared" si="34"/>
        <v>1974</v>
      </c>
      <c r="Q1150">
        <f t="shared" si="35"/>
        <v>-1083.228274435839</v>
      </c>
    </row>
    <row r="1151" spans="1:17" x14ac:dyDescent="0.4">
      <c r="A1151" t="s">
        <v>2300</v>
      </c>
      <c r="B1151" s="1">
        <v>45440.5</v>
      </c>
      <c r="C1151" t="s">
        <v>43</v>
      </c>
      <c r="D1151" t="s">
        <v>2301</v>
      </c>
      <c r="E1151" t="s">
        <v>146</v>
      </c>
      <c r="F1151" t="s">
        <v>70</v>
      </c>
      <c r="G1151">
        <v>292</v>
      </c>
      <c r="H1151">
        <v>0</v>
      </c>
      <c r="I1151">
        <v>292</v>
      </c>
      <c r="J1151">
        <v>5</v>
      </c>
      <c r="K1151">
        <v>189.287599592654</v>
      </c>
      <c r="L1151">
        <v>1460</v>
      </c>
      <c r="M1151">
        <v>946.43799796327403</v>
      </c>
      <c r="N1151">
        <v>513.56200203672495</v>
      </c>
      <c r="O1151" t="s">
        <v>32</v>
      </c>
      <c r="P1151">
        <f t="shared" si="34"/>
        <v>1460</v>
      </c>
      <c r="Q1151">
        <f t="shared" si="35"/>
        <v>-513.56200203672597</v>
      </c>
    </row>
    <row r="1152" spans="1:17" x14ac:dyDescent="0.4">
      <c r="A1152" t="s">
        <v>2302</v>
      </c>
      <c r="B1152" s="1">
        <v>45349.875</v>
      </c>
      <c r="C1152" t="s">
        <v>28</v>
      </c>
      <c r="D1152" t="s">
        <v>834</v>
      </c>
      <c r="E1152" t="s">
        <v>94</v>
      </c>
      <c r="F1152" t="s">
        <v>61</v>
      </c>
      <c r="G1152">
        <v>112</v>
      </c>
      <c r="H1152">
        <v>0</v>
      </c>
      <c r="I1152">
        <v>112</v>
      </c>
      <c r="J1152">
        <v>6</v>
      </c>
      <c r="K1152">
        <v>76.180192884260507</v>
      </c>
      <c r="L1152">
        <v>672</v>
      </c>
      <c r="M1152">
        <v>457.08115730556301</v>
      </c>
      <c r="N1152">
        <v>214.91884269443599</v>
      </c>
      <c r="O1152" t="s">
        <v>32</v>
      </c>
      <c r="P1152">
        <f t="shared" si="34"/>
        <v>672</v>
      </c>
      <c r="Q1152">
        <f t="shared" si="35"/>
        <v>-214.91884269443699</v>
      </c>
    </row>
    <row r="1153" spans="1:17" x14ac:dyDescent="0.4">
      <c r="A1153" t="s">
        <v>2303</v>
      </c>
      <c r="B1153" s="1">
        <v>45775.041666666664</v>
      </c>
      <c r="C1153" t="s">
        <v>22</v>
      </c>
      <c r="D1153" t="s">
        <v>589</v>
      </c>
      <c r="E1153" t="s">
        <v>104</v>
      </c>
      <c r="F1153" t="s">
        <v>25</v>
      </c>
      <c r="G1153">
        <v>169</v>
      </c>
      <c r="H1153">
        <v>0.1</v>
      </c>
      <c r="I1153">
        <v>152.1</v>
      </c>
      <c r="J1153">
        <v>1</v>
      </c>
      <c r="K1153">
        <v>96.663298689398601</v>
      </c>
      <c r="L1153">
        <v>152.1</v>
      </c>
      <c r="M1153">
        <v>96.663298689398601</v>
      </c>
      <c r="N1153">
        <v>55.4367013106013</v>
      </c>
      <c r="O1153" t="s">
        <v>20</v>
      </c>
      <c r="P1153">
        <f t="shared" si="34"/>
        <v>169</v>
      </c>
      <c r="Q1153">
        <f t="shared" si="35"/>
        <v>-55.436701310601393</v>
      </c>
    </row>
    <row r="1154" spans="1:17" x14ac:dyDescent="0.4">
      <c r="A1154" t="s">
        <v>2304</v>
      </c>
      <c r="B1154" s="1">
        <v>45595.083333333336</v>
      </c>
      <c r="C1154" t="s">
        <v>28</v>
      </c>
      <c r="D1154" t="s">
        <v>2305</v>
      </c>
      <c r="E1154" t="s">
        <v>85</v>
      </c>
      <c r="F1154" t="s">
        <v>70</v>
      </c>
      <c r="G1154">
        <v>190</v>
      </c>
      <c r="H1154">
        <v>0</v>
      </c>
      <c r="I1154">
        <v>190</v>
      </c>
      <c r="J1154">
        <v>1</v>
      </c>
      <c r="K1154">
        <v>92.628774440925099</v>
      </c>
      <c r="L1154">
        <v>190</v>
      </c>
      <c r="M1154">
        <v>92.628774440925099</v>
      </c>
      <c r="N1154">
        <v>97.371225559074801</v>
      </c>
      <c r="O1154" t="s">
        <v>32</v>
      </c>
      <c r="P1154">
        <f t="shared" si="34"/>
        <v>190</v>
      </c>
      <c r="Q1154">
        <f t="shared" si="35"/>
        <v>-97.371225559074901</v>
      </c>
    </row>
    <row r="1155" spans="1:17" x14ac:dyDescent="0.4">
      <c r="A1155" t="s">
        <v>2306</v>
      </c>
      <c r="B1155" s="1">
        <v>46009</v>
      </c>
      <c r="C1155" t="s">
        <v>65</v>
      </c>
      <c r="D1155" t="s">
        <v>2307</v>
      </c>
      <c r="E1155" t="s">
        <v>104</v>
      </c>
      <c r="F1155" t="s">
        <v>25</v>
      </c>
      <c r="G1155">
        <v>173</v>
      </c>
      <c r="H1155">
        <v>0</v>
      </c>
      <c r="I1155">
        <v>173</v>
      </c>
      <c r="J1155">
        <v>1</v>
      </c>
      <c r="K1155">
        <v>111.87538787780301</v>
      </c>
      <c r="L1155">
        <v>173</v>
      </c>
      <c r="M1155">
        <v>111.87538787780301</v>
      </c>
      <c r="N1155">
        <v>61.124612122196098</v>
      </c>
      <c r="O1155" t="s">
        <v>51</v>
      </c>
      <c r="P1155">
        <f t="shared" ref="P1155:P1218" si="36">G1155 * J1155</f>
        <v>173</v>
      </c>
      <c r="Q1155">
        <f t="shared" ref="Q1155:Q1218" si="37" xml:space="preserve"> M1155 - L1155</f>
        <v>-61.124612122196993</v>
      </c>
    </row>
    <row r="1156" spans="1:17" x14ac:dyDescent="0.4">
      <c r="A1156" t="s">
        <v>2308</v>
      </c>
      <c r="B1156" s="1">
        <v>46013.666666666664</v>
      </c>
      <c r="C1156" t="s">
        <v>43</v>
      </c>
      <c r="D1156" t="s">
        <v>2309</v>
      </c>
      <c r="E1156" t="s">
        <v>85</v>
      </c>
      <c r="F1156" t="s">
        <v>70</v>
      </c>
      <c r="G1156">
        <v>145</v>
      </c>
      <c r="H1156">
        <v>0.1</v>
      </c>
      <c r="I1156">
        <v>130.5</v>
      </c>
      <c r="J1156">
        <v>1</v>
      </c>
      <c r="K1156">
        <v>92.978409120419798</v>
      </c>
      <c r="L1156">
        <v>130.5</v>
      </c>
      <c r="M1156">
        <v>92.978409120419798</v>
      </c>
      <c r="N1156">
        <v>37.521590879580202</v>
      </c>
      <c r="O1156" t="s">
        <v>32</v>
      </c>
      <c r="P1156">
        <f t="shared" si="36"/>
        <v>145</v>
      </c>
      <c r="Q1156">
        <f t="shared" si="37"/>
        <v>-37.521590879580202</v>
      </c>
    </row>
    <row r="1157" spans="1:17" x14ac:dyDescent="0.4">
      <c r="A1157" t="s">
        <v>2310</v>
      </c>
      <c r="B1157" s="1">
        <v>45739.708333333336</v>
      </c>
      <c r="C1157" t="s">
        <v>28</v>
      </c>
      <c r="D1157" t="s">
        <v>2311</v>
      </c>
      <c r="E1157" t="s">
        <v>115</v>
      </c>
      <c r="F1157" t="s">
        <v>38</v>
      </c>
      <c r="G1157">
        <v>181</v>
      </c>
      <c r="H1157">
        <v>0.15</v>
      </c>
      <c r="I1157">
        <v>153.85</v>
      </c>
      <c r="J1157">
        <v>6</v>
      </c>
      <c r="K1157">
        <v>82.327533886580895</v>
      </c>
      <c r="L1157">
        <v>923.099999999999</v>
      </c>
      <c r="M1157">
        <v>493.965203319485</v>
      </c>
      <c r="N1157">
        <v>429.134796680514</v>
      </c>
      <c r="O1157" t="s">
        <v>32</v>
      </c>
      <c r="P1157">
        <f t="shared" si="36"/>
        <v>1086</v>
      </c>
      <c r="Q1157">
        <f t="shared" si="37"/>
        <v>-429.134796680514</v>
      </c>
    </row>
    <row r="1158" spans="1:17" x14ac:dyDescent="0.4">
      <c r="A1158" t="s">
        <v>2312</v>
      </c>
      <c r="B1158" s="1">
        <v>45883.625</v>
      </c>
      <c r="C1158" t="s">
        <v>28</v>
      </c>
      <c r="D1158" t="s">
        <v>2313</v>
      </c>
      <c r="E1158" t="s">
        <v>73</v>
      </c>
      <c r="F1158" t="s">
        <v>38</v>
      </c>
      <c r="G1158">
        <v>240</v>
      </c>
      <c r="H1158">
        <v>0.05</v>
      </c>
      <c r="I1158">
        <v>228</v>
      </c>
      <c r="J1158">
        <v>2</v>
      </c>
      <c r="K1158">
        <v>164.75757671206199</v>
      </c>
      <c r="L1158">
        <v>456</v>
      </c>
      <c r="M1158">
        <v>329.51515342412398</v>
      </c>
      <c r="N1158">
        <v>126.484846575875</v>
      </c>
      <c r="O1158" t="s">
        <v>26</v>
      </c>
      <c r="P1158">
        <f t="shared" si="36"/>
        <v>480</v>
      </c>
      <c r="Q1158">
        <f t="shared" si="37"/>
        <v>-126.48484657587602</v>
      </c>
    </row>
    <row r="1159" spans="1:17" x14ac:dyDescent="0.4">
      <c r="A1159" t="s">
        <v>2314</v>
      </c>
      <c r="B1159" s="1">
        <v>45953.5</v>
      </c>
      <c r="C1159" t="s">
        <v>43</v>
      </c>
      <c r="D1159" t="s">
        <v>2315</v>
      </c>
      <c r="E1159" t="s">
        <v>94</v>
      </c>
      <c r="F1159" t="s">
        <v>61</v>
      </c>
      <c r="G1159">
        <v>176</v>
      </c>
      <c r="H1159">
        <v>0.1</v>
      </c>
      <c r="I1159">
        <v>158.4</v>
      </c>
      <c r="J1159">
        <v>7</v>
      </c>
      <c r="K1159">
        <v>99.030707085749995</v>
      </c>
      <c r="L1159">
        <v>1108.8</v>
      </c>
      <c r="M1159">
        <v>693.21494960024995</v>
      </c>
      <c r="N1159">
        <v>415.58505039974898</v>
      </c>
      <c r="O1159" t="s">
        <v>32</v>
      </c>
      <c r="P1159">
        <f t="shared" si="36"/>
        <v>1232</v>
      </c>
      <c r="Q1159">
        <f t="shared" si="37"/>
        <v>-415.58505039975</v>
      </c>
    </row>
    <row r="1160" spans="1:17" x14ac:dyDescent="0.4">
      <c r="A1160" t="s">
        <v>2316</v>
      </c>
      <c r="B1160" s="1">
        <v>45635.541666666664</v>
      </c>
      <c r="C1160" t="s">
        <v>46</v>
      </c>
      <c r="D1160" t="s">
        <v>579</v>
      </c>
      <c r="E1160" t="s">
        <v>146</v>
      </c>
      <c r="F1160" t="s">
        <v>70</v>
      </c>
      <c r="G1160">
        <v>233</v>
      </c>
      <c r="H1160">
        <v>0.2</v>
      </c>
      <c r="I1160">
        <v>186.4</v>
      </c>
      <c r="J1160">
        <v>2</v>
      </c>
      <c r="K1160">
        <v>157.50884294459499</v>
      </c>
      <c r="L1160">
        <v>372.8</v>
      </c>
      <c r="M1160">
        <v>315.017685889191</v>
      </c>
      <c r="N1160">
        <v>57.782314110808301</v>
      </c>
      <c r="O1160" t="s">
        <v>32</v>
      </c>
      <c r="P1160">
        <f t="shared" si="36"/>
        <v>466</v>
      </c>
      <c r="Q1160">
        <f t="shared" si="37"/>
        <v>-57.782314110809011</v>
      </c>
    </row>
    <row r="1161" spans="1:17" x14ac:dyDescent="0.4">
      <c r="A1161" t="s">
        <v>2317</v>
      </c>
      <c r="B1161" s="1">
        <v>45592.583333333336</v>
      </c>
      <c r="C1161" t="s">
        <v>22</v>
      </c>
      <c r="D1161" t="s">
        <v>2318</v>
      </c>
      <c r="E1161" t="s">
        <v>94</v>
      </c>
      <c r="F1161" t="s">
        <v>61</v>
      </c>
      <c r="G1161">
        <v>205</v>
      </c>
      <c r="H1161">
        <v>0</v>
      </c>
      <c r="I1161">
        <v>205</v>
      </c>
      <c r="J1161">
        <v>5</v>
      </c>
      <c r="K1161">
        <v>144.30224439191301</v>
      </c>
      <c r="L1161">
        <v>1025</v>
      </c>
      <c r="M1161">
        <v>721.51122195956896</v>
      </c>
      <c r="N1161">
        <v>303.48877804043002</v>
      </c>
      <c r="O1161" t="s">
        <v>26</v>
      </c>
      <c r="P1161">
        <f t="shared" si="36"/>
        <v>1025</v>
      </c>
      <c r="Q1161">
        <f t="shared" si="37"/>
        <v>-303.48877804043104</v>
      </c>
    </row>
    <row r="1162" spans="1:17" x14ac:dyDescent="0.4">
      <c r="A1162" t="s">
        <v>2319</v>
      </c>
      <c r="B1162" s="1">
        <v>45322.25</v>
      </c>
      <c r="C1162" t="s">
        <v>65</v>
      </c>
      <c r="D1162" t="s">
        <v>2165</v>
      </c>
      <c r="E1162" t="s">
        <v>146</v>
      </c>
      <c r="F1162" t="s">
        <v>70</v>
      </c>
      <c r="G1162">
        <v>151</v>
      </c>
      <c r="H1162">
        <v>0</v>
      </c>
      <c r="I1162">
        <v>151</v>
      </c>
      <c r="J1162">
        <v>2</v>
      </c>
      <c r="K1162">
        <v>99.799838060894004</v>
      </c>
      <c r="L1162">
        <v>302</v>
      </c>
      <c r="M1162">
        <v>199.59967612178801</v>
      </c>
      <c r="N1162">
        <v>102.400323878211</v>
      </c>
      <c r="O1162" t="s">
        <v>26</v>
      </c>
      <c r="P1162">
        <f t="shared" si="36"/>
        <v>302</v>
      </c>
      <c r="Q1162">
        <f t="shared" si="37"/>
        <v>-102.40032387821199</v>
      </c>
    </row>
    <row r="1163" spans="1:17" x14ac:dyDescent="0.4">
      <c r="A1163" t="s">
        <v>2320</v>
      </c>
      <c r="B1163" s="1">
        <v>45868.333333333336</v>
      </c>
      <c r="C1163" t="s">
        <v>46</v>
      </c>
      <c r="D1163" t="s">
        <v>2321</v>
      </c>
      <c r="E1163" t="s">
        <v>146</v>
      </c>
      <c r="F1163" t="s">
        <v>70</v>
      </c>
      <c r="G1163">
        <v>117</v>
      </c>
      <c r="H1163">
        <v>0.05</v>
      </c>
      <c r="I1163">
        <v>111.149999999999</v>
      </c>
      <c r="J1163">
        <v>3</v>
      </c>
      <c r="K1163">
        <v>54.812534805857702</v>
      </c>
      <c r="L1163">
        <v>333.45</v>
      </c>
      <c r="M1163">
        <v>164.437604417573</v>
      </c>
      <c r="N1163">
        <v>169.012395582426</v>
      </c>
      <c r="O1163" t="s">
        <v>32</v>
      </c>
      <c r="P1163">
        <f t="shared" si="36"/>
        <v>351</v>
      </c>
      <c r="Q1163">
        <f t="shared" si="37"/>
        <v>-169.01239558242699</v>
      </c>
    </row>
    <row r="1164" spans="1:17" x14ac:dyDescent="0.4">
      <c r="A1164" t="s">
        <v>2322</v>
      </c>
      <c r="B1164" s="1">
        <v>45765.416666666664</v>
      </c>
      <c r="C1164" t="s">
        <v>16</v>
      </c>
      <c r="D1164" t="s">
        <v>2323</v>
      </c>
      <c r="E1164" t="s">
        <v>18</v>
      </c>
      <c r="F1164" t="s">
        <v>19</v>
      </c>
      <c r="G1164">
        <v>122</v>
      </c>
      <c r="H1164">
        <v>0.15</v>
      </c>
      <c r="I1164">
        <v>103.7</v>
      </c>
      <c r="J1164">
        <v>7</v>
      </c>
      <c r="K1164">
        <v>85.735242648361094</v>
      </c>
      <c r="L1164">
        <v>725.9</v>
      </c>
      <c r="M1164">
        <v>600.14669853852695</v>
      </c>
      <c r="N1164">
        <v>125.75330146147201</v>
      </c>
      <c r="O1164" t="s">
        <v>32</v>
      </c>
      <c r="P1164">
        <f t="shared" si="36"/>
        <v>854</v>
      </c>
      <c r="Q1164">
        <f t="shared" si="37"/>
        <v>-125.75330146147303</v>
      </c>
    </row>
    <row r="1165" spans="1:17" x14ac:dyDescent="0.4">
      <c r="A1165" t="s">
        <v>2324</v>
      </c>
      <c r="B1165" s="1">
        <v>45713.083333333336</v>
      </c>
      <c r="C1165" t="s">
        <v>28</v>
      </c>
      <c r="D1165" t="s">
        <v>2325</v>
      </c>
      <c r="E1165" t="s">
        <v>30</v>
      </c>
      <c r="F1165" t="s">
        <v>31</v>
      </c>
      <c r="G1165">
        <v>107</v>
      </c>
      <c r="H1165">
        <v>0</v>
      </c>
      <c r="I1165">
        <v>107</v>
      </c>
      <c r="J1165">
        <v>7</v>
      </c>
      <c r="K1165">
        <v>66.871059177785</v>
      </c>
      <c r="L1165">
        <v>749</v>
      </c>
      <c r="M1165">
        <v>468.09741424449498</v>
      </c>
      <c r="N1165">
        <v>280.90258575550399</v>
      </c>
      <c r="O1165" t="s">
        <v>32</v>
      </c>
      <c r="P1165">
        <f t="shared" si="36"/>
        <v>749</v>
      </c>
      <c r="Q1165">
        <f t="shared" si="37"/>
        <v>-280.90258575550502</v>
      </c>
    </row>
    <row r="1166" spans="1:17" x14ac:dyDescent="0.4">
      <c r="A1166" t="s">
        <v>2326</v>
      </c>
      <c r="B1166" s="1">
        <v>45611.041666666664</v>
      </c>
      <c r="C1166" t="s">
        <v>46</v>
      </c>
      <c r="D1166" t="s">
        <v>2327</v>
      </c>
      <c r="E1166" t="s">
        <v>41</v>
      </c>
      <c r="F1166" t="s">
        <v>31</v>
      </c>
      <c r="G1166">
        <v>333</v>
      </c>
      <c r="H1166">
        <v>0.2</v>
      </c>
      <c r="I1166">
        <v>266.39999999999998</v>
      </c>
      <c r="J1166">
        <v>4</v>
      </c>
      <c r="K1166">
        <v>220.23096625578</v>
      </c>
      <c r="L1166">
        <v>1065.5999999999999</v>
      </c>
      <c r="M1166">
        <v>880.92386502312002</v>
      </c>
      <c r="N1166">
        <v>184.67613497687901</v>
      </c>
      <c r="O1166" t="s">
        <v>51</v>
      </c>
      <c r="P1166">
        <f t="shared" si="36"/>
        <v>1332</v>
      </c>
      <c r="Q1166">
        <f t="shared" si="37"/>
        <v>-184.67613497687989</v>
      </c>
    </row>
    <row r="1167" spans="1:17" x14ac:dyDescent="0.4">
      <c r="A1167" t="s">
        <v>2328</v>
      </c>
      <c r="B1167" s="1">
        <v>45898.291666666664</v>
      </c>
      <c r="C1167" t="s">
        <v>46</v>
      </c>
      <c r="D1167" t="s">
        <v>2329</v>
      </c>
      <c r="E1167" t="s">
        <v>213</v>
      </c>
      <c r="F1167" t="s">
        <v>31</v>
      </c>
      <c r="G1167">
        <v>252</v>
      </c>
      <c r="H1167">
        <v>0</v>
      </c>
      <c r="I1167">
        <v>252</v>
      </c>
      <c r="J1167">
        <v>6</v>
      </c>
      <c r="K1167">
        <v>142.42487565961599</v>
      </c>
      <c r="L1167">
        <v>1512</v>
      </c>
      <c r="M1167">
        <v>854.54925395770101</v>
      </c>
      <c r="N1167">
        <v>657.45074604229796</v>
      </c>
      <c r="O1167" t="s">
        <v>32</v>
      </c>
      <c r="P1167">
        <f t="shared" si="36"/>
        <v>1512</v>
      </c>
      <c r="Q1167">
        <f t="shared" si="37"/>
        <v>-657.45074604229899</v>
      </c>
    </row>
    <row r="1168" spans="1:17" x14ac:dyDescent="0.4">
      <c r="A1168" t="s">
        <v>2330</v>
      </c>
      <c r="B1168" s="1">
        <v>45621.416666666664</v>
      </c>
      <c r="C1168" t="s">
        <v>46</v>
      </c>
      <c r="D1168" t="s">
        <v>2331</v>
      </c>
      <c r="E1168" t="s">
        <v>69</v>
      </c>
      <c r="F1168" t="s">
        <v>70</v>
      </c>
      <c r="G1168">
        <v>105</v>
      </c>
      <c r="H1168">
        <v>0.1</v>
      </c>
      <c r="I1168">
        <v>94.5</v>
      </c>
      <c r="J1168">
        <v>7</v>
      </c>
      <c r="K1168">
        <v>72.236063042618198</v>
      </c>
      <c r="L1168">
        <v>661.5</v>
      </c>
      <c r="M1168">
        <v>505.65244129832797</v>
      </c>
      <c r="N1168">
        <v>155.847558701672</v>
      </c>
      <c r="O1168" t="s">
        <v>26</v>
      </c>
      <c r="P1168">
        <f t="shared" si="36"/>
        <v>735</v>
      </c>
      <c r="Q1168">
        <f t="shared" si="37"/>
        <v>-155.84755870167203</v>
      </c>
    </row>
    <row r="1169" spans="1:17" x14ac:dyDescent="0.4">
      <c r="A1169" t="s">
        <v>2332</v>
      </c>
      <c r="B1169" s="1">
        <v>45595.625</v>
      </c>
      <c r="C1169" t="s">
        <v>28</v>
      </c>
      <c r="D1169" t="s">
        <v>1743</v>
      </c>
      <c r="E1169" t="s">
        <v>104</v>
      </c>
      <c r="F1169" t="s">
        <v>25</v>
      </c>
      <c r="G1169">
        <v>215</v>
      </c>
      <c r="H1169">
        <v>0.05</v>
      </c>
      <c r="I1169">
        <v>204.25</v>
      </c>
      <c r="J1169">
        <v>7</v>
      </c>
      <c r="K1169">
        <v>115.667932221054</v>
      </c>
      <c r="L1169">
        <v>1429.75</v>
      </c>
      <c r="M1169">
        <v>809.67552554738302</v>
      </c>
      <c r="N1169">
        <v>620.07447445261596</v>
      </c>
      <c r="O1169" t="s">
        <v>32</v>
      </c>
      <c r="P1169">
        <f t="shared" si="36"/>
        <v>1505</v>
      </c>
      <c r="Q1169">
        <f t="shared" si="37"/>
        <v>-620.07447445261698</v>
      </c>
    </row>
    <row r="1170" spans="1:17" x14ac:dyDescent="0.4">
      <c r="A1170" t="s">
        <v>2333</v>
      </c>
      <c r="B1170" s="1">
        <v>45329.166666666664</v>
      </c>
      <c r="C1170" t="s">
        <v>46</v>
      </c>
      <c r="D1170" t="s">
        <v>1694</v>
      </c>
      <c r="E1170" t="s">
        <v>110</v>
      </c>
      <c r="F1170" t="s">
        <v>19</v>
      </c>
      <c r="G1170">
        <v>188</v>
      </c>
      <c r="H1170">
        <v>0.25</v>
      </c>
      <c r="I1170">
        <v>141</v>
      </c>
      <c r="J1170">
        <v>2</v>
      </c>
      <c r="K1170">
        <v>128.78878317672499</v>
      </c>
      <c r="L1170">
        <v>282</v>
      </c>
      <c r="M1170">
        <v>257.577566353451</v>
      </c>
      <c r="N1170">
        <v>24.422433646548701</v>
      </c>
      <c r="O1170" t="s">
        <v>32</v>
      </c>
      <c r="P1170">
        <f t="shared" si="36"/>
        <v>376</v>
      </c>
      <c r="Q1170">
        <f t="shared" si="37"/>
        <v>-24.422433646548996</v>
      </c>
    </row>
    <row r="1171" spans="1:17" x14ac:dyDescent="0.4">
      <c r="A1171" t="s">
        <v>2334</v>
      </c>
      <c r="B1171" s="1">
        <v>45717.916666666664</v>
      </c>
      <c r="C1171" t="s">
        <v>65</v>
      </c>
      <c r="D1171" t="s">
        <v>2335</v>
      </c>
      <c r="E1171" t="s">
        <v>82</v>
      </c>
      <c r="F1171" t="s">
        <v>25</v>
      </c>
      <c r="G1171">
        <v>216</v>
      </c>
      <c r="H1171">
        <v>0.1</v>
      </c>
      <c r="I1171">
        <v>194.4</v>
      </c>
      <c r="J1171">
        <v>5</v>
      </c>
      <c r="K1171">
        <v>126.10893514118401</v>
      </c>
      <c r="L1171">
        <v>972</v>
      </c>
      <c r="M1171">
        <v>630.54467570592396</v>
      </c>
      <c r="N1171">
        <v>341.45532429407501</v>
      </c>
      <c r="O1171" t="s">
        <v>51</v>
      </c>
      <c r="P1171">
        <f t="shared" si="36"/>
        <v>1080</v>
      </c>
      <c r="Q1171">
        <f t="shared" si="37"/>
        <v>-341.45532429407604</v>
      </c>
    </row>
    <row r="1172" spans="1:17" x14ac:dyDescent="0.4">
      <c r="A1172" t="s">
        <v>2336</v>
      </c>
      <c r="B1172" s="1">
        <v>45486.791666666664</v>
      </c>
      <c r="C1172" t="s">
        <v>28</v>
      </c>
      <c r="D1172" t="s">
        <v>2337</v>
      </c>
      <c r="E1172" t="s">
        <v>24</v>
      </c>
      <c r="F1172" t="s">
        <v>25</v>
      </c>
      <c r="G1172">
        <v>190</v>
      </c>
      <c r="H1172">
        <v>0</v>
      </c>
      <c r="I1172">
        <v>190</v>
      </c>
      <c r="J1172">
        <v>7</v>
      </c>
      <c r="K1172">
        <v>79.463845810655499</v>
      </c>
      <c r="L1172">
        <v>1330</v>
      </c>
      <c r="M1172">
        <v>556.24692067458795</v>
      </c>
      <c r="N1172">
        <v>773.75307932541102</v>
      </c>
      <c r="O1172" t="s">
        <v>26</v>
      </c>
      <c r="P1172">
        <f t="shared" si="36"/>
        <v>1330</v>
      </c>
      <c r="Q1172">
        <f t="shared" si="37"/>
        <v>-773.75307932541205</v>
      </c>
    </row>
    <row r="1173" spans="1:17" x14ac:dyDescent="0.4">
      <c r="A1173" t="s">
        <v>2338</v>
      </c>
      <c r="B1173" s="1">
        <v>45372.541666666664</v>
      </c>
      <c r="C1173" t="s">
        <v>16</v>
      </c>
      <c r="D1173" t="s">
        <v>2165</v>
      </c>
      <c r="E1173" t="s">
        <v>146</v>
      </c>
      <c r="F1173" t="s">
        <v>70</v>
      </c>
      <c r="G1173">
        <v>160</v>
      </c>
      <c r="H1173">
        <v>0.05</v>
      </c>
      <c r="I1173">
        <v>152</v>
      </c>
      <c r="J1173">
        <v>3</v>
      </c>
      <c r="K1173">
        <v>91.285975379345203</v>
      </c>
      <c r="L1173">
        <v>456</v>
      </c>
      <c r="M1173">
        <v>273.857926138035</v>
      </c>
      <c r="N1173">
        <v>182.14207386196401</v>
      </c>
      <c r="O1173" t="s">
        <v>32</v>
      </c>
      <c r="P1173">
        <f t="shared" si="36"/>
        <v>480</v>
      </c>
      <c r="Q1173">
        <f t="shared" si="37"/>
        <v>-182.142073861965</v>
      </c>
    </row>
    <row r="1174" spans="1:17" x14ac:dyDescent="0.4">
      <c r="A1174" t="s">
        <v>2339</v>
      </c>
      <c r="B1174" s="1">
        <v>45786.708333333336</v>
      </c>
      <c r="C1174" t="s">
        <v>43</v>
      </c>
      <c r="D1174" t="s">
        <v>388</v>
      </c>
      <c r="E1174" t="s">
        <v>115</v>
      </c>
      <c r="F1174" t="s">
        <v>38</v>
      </c>
      <c r="G1174">
        <v>236</v>
      </c>
      <c r="H1174">
        <v>0.1</v>
      </c>
      <c r="I1174">
        <v>212.4</v>
      </c>
      <c r="J1174">
        <v>5</v>
      </c>
      <c r="K1174">
        <v>98.484358269713994</v>
      </c>
      <c r="L1174">
        <v>1062</v>
      </c>
      <c r="M1174">
        <v>492.42179134857003</v>
      </c>
      <c r="N1174">
        <v>569.57820865142901</v>
      </c>
      <c r="O1174" t="s">
        <v>32</v>
      </c>
      <c r="P1174">
        <f t="shared" si="36"/>
        <v>1180</v>
      </c>
      <c r="Q1174">
        <f t="shared" si="37"/>
        <v>-569.57820865143003</v>
      </c>
    </row>
    <row r="1175" spans="1:17" x14ac:dyDescent="0.4">
      <c r="A1175" t="s">
        <v>2340</v>
      </c>
      <c r="B1175" s="1">
        <v>45843.625</v>
      </c>
      <c r="C1175" t="s">
        <v>43</v>
      </c>
      <c r="D1175" t="s">
        <v>2341</v>
      </c>
      <c r="E1175" t="s">
        <v>85</v>
      </c>
      <c r="F1175" t="s">
        <v>70</v>
      </c>
      <c r="G1175">
        <v>130</v>
      </c>
      <c r="H1175">
        <v>0</v>
      </c>
      <c r="I1175">
        <v>130</v>
      </c>
      <c r="J1175">
        <v>4</v>
      </c>
      <c r="K1175">
        <v>79.306391986210897</v>
      </c>
      <c r="L1175">
        <v>520</v>
      </c>
      <c r="M1175">
        <v>317.22556794484302</v>
      </c>
      <c r="N1175">
        <v>202.77443205515601</v>
      </c>
      <c r="O1175" t="s">
        <v>32</v>
      </c>
      <c r="P1175">
        <f t="shared" si="36"/>
        <v>520</v>
      </c>
      <c r="Q1175">
        <f t="shared" si="37"/>
        <v>-202.77443205515698</v>
      </c>
    </row>
    <row r="1176" spans="1:17" x14ac:dyDescent="0.4">
      <c r="A1176" t="s">
        <v>2342</v>
      </c>
      <c r="B1176" s="1">
        <v>45745.083333333336</v>
      </c>
      <c r="C1176" t="s">
        <v>16</v>
      </c>
      <c r="D1176" t="s">
        <v>2343</v>
      </c>
      <c r="E1176" t="s">
        <v>146</v>
      </c>
      <c r="F1176" t="s">
        <v>70</v>
      </c>
      <c r="G1176">
        <v>229</v>
      </c>
      <c r="H1176">
        <v>0.05</v>
      </c>
      <c r="I1176">
        <v>217.54999999999899</v>
      </c>
      <c r="J1176">
        <v>3</v>
      </c>
      <c r="K1176">
        <v>154.896720183908</v>
      </c>
      <c r="L1176">
        <v>652.65</v>
      </c>
      <c r="M1176">
        <v>464.69016055172398</v>
      </c>
      <c r="N1176">
        <v>187.95983944827501</v>
      </c>
      <c r="O1176" t="s">
        <v>32</v>
      </c>
      <c r="P1176">
        <f t="shared" si="36"/>
        <v>687</v>
      </c>
      <c r="Q1176">
        <f t="shared" si="37"/>
        <v>-187.959839448276</v>
      </c>
    </row>
    <row r="1177" spans="1:17" x14ac:dyDescent="0.4">
      <c r="A1177" t="s">
        <v>2344</v>
      </c>
      <c r="B1177" s="1">
        <v>45501</v>
      </c>
      <c r="C1177" t="s">
        <v>22</v>
      </c>
      <c r="D1177" t="s">
        <v>2345</v>
      </c>
      <c r="E1177" t="s">
        <v>115</v>
      </c>
      <c r="F1177" t="s">
        <v>38</v>
      </c>
      <c r="G1177">
        <v>139</v>
      </c>
      <c r="H1177">
        <v>0.2</v>
      </c>
      <c r="I1177">
        <v>111.2</v>
      </c>
      <c r="J1177">
        <v>5</v>
      </c>
      <c r="K1177">
        <v>77.638357605377706</v>
      </c>
      <c r="L1177">
        <v>556</v>
      </c>
      <c r="M1177">
        <v>388.19178802688799</v>
      </c>
      <c r="N1177">
        <v>167.80821197311101</v>
      </c>
      <c r="O1177" t="s">
        <v>32</v>
      </c>
      <c r="P1177">
        <f t="shared" si="36"/>
        <v>695</v>
      </c>
      <c r="Q1177">
        <f t="shared" si="37"/>
        <v>-167.80821197311201</v>
      </c>
    </row>
    <row r="1178" spans="1:17" x14ac:dyDescent="0.4">
      <c r="A1178" t="s">
        <v>2346</v>
      </c>
      <c r="B1178" s="1">
        <v>45865.916666666664</v>
      </c>
      <c r="C1178" t="s">
        <v>65</v>
      </c>
      <c r="D1178" t="s">
        <v>2347</v>
      </c>
      <c r="E1178" t="s">
        <v>48</v>
      </c>
      <c r="F1178" t="s">
        <v>19</v>
      </c>
      <c r="G1178">
        <v>105</v>
      </c>
      <c r="H1178">
        <v>0</v>
      </c>
      <c r="I1178">
        <v>105</v>
      </c>
      <c r="J1178">
        <v>5</v>
      </c>
      <c r="K1178">
        <v>58.261555777300302</v>
      </c>
      <c r="L1178">
        <v>525</v>
      </c>
      <c r="M1178">
        <v>291.30777888650101</v>
      </c>
      <c r="N1178">
        <v>233.69222111349799</v>
      </c>
      <c r="O1178" t="s">
        <v>32</v>
      </c>
      <c r="P1178">
        <f t="shared" si="36"/>
        <v>525</v>
      </c>
      <c r="Q1178">
        <f t="shared" si="37"/>
        <v>-233.69222111349899</v>
      </c>
    </row>
    <row r="1179" spans="1:17" x14ac:dyDescent="0.4">
      <c r="A1179" t="s">
        <v>2348</v>
      </c>
      <c r="B1179" s="1">
        <v>45698.333333333336</v>
      </c>
      <c r="C1179" t="s">
        <v>28</v>
      </c>
      <c r="D1179" t="s">
        <v>2349</v>
      </c>
      <c r="E1179" t="s">
        <v>37</v>
      </c>
      <c r="F1179" t="s">
        <v>38</v>
      </c>
      <c r="G1179">
        <v>252</v>
      </c>
      <c r="H1179">
        <v>0.15</v>
      </c>
      <c r="I1179">
        <v>214.2</v>
      </c>
      <c r="J1179">
        <v>7</v>
      </c>
      <c r="K1179">
        <v>160.67924643982599</v>
      </c>
      <c r="L1179">
        <v>1499.3999999999901</v>
      </c>
      <c r="M1179">
        <v>1124.75472507878</v>
      </c>
      <c r="N1179">
        <v>374.64527492121601</v>
      </c>
      <c r="O1179" t="s">
        <v>32</v>
      </c>
      <c r="P1179">
        <f t="shared" si="36"/>
        <v>1764</v>
      </c>
      <c r="Q1179">
        <f t="shared" si="37"/>
        <v>-374.6452749212101</v>
      </c>
    </row>
    <row r="1180" spans="1:17" x14ac:dyDescent="0.4">
      <c r="A1180" t="s">
        <v>2350</v>
      </c>
      <c r="B1180" s="1">
        <v>46014.416666666664</v>
      </c>
      <c r="C1180" t="s">
        <v>28</v>
      </c>
      <c r="D1180" t="s">
        <v>926</v>
      </c>
      <c r="E1180" t="s">
        <v>69</v>
      </c>
      <c r="F1180" t="s">
        <v>70</v>
      </c>
      <c r="G1180">
        <v>269</v>
      </c>
      <c r="H1180">
        <v>0</v>
      </c>
      <c r="I1180">
        <v>269</v>
      </c>
      <c r="J1180">
        <v>5</v>
      </c>
      <c r="K1180">
        <v>189.28051861299701</v>
      </c>
      <c r="L1180">
        <v>1345</v>
      </c>
      <c r="M1180">
        <v>946.40259306498695</v>
      </c>
      <c r="N1180">
        <v>398.59740693501197</v>
      </c>
      <c r="O1180" t="s">
        <v>26</v>
      </c>
      <c r="P1180">
        <f t="shared" si="36"/>
        <v>1345</v>
      </c>
      <c r="Q1180">
        <f t="shared" si="37"/>
        <v>-398.59740693501305</v>
      </c>
    </row>
    <row r="1181" spans="1:17" x14ac:dyDescent="0.4">
      <c r="A1181" t="s">
        <v>2351</v>
      </c>
      <c r="B1181" s="1">
        <v>45941.375</v>
      </c>
      <c r="C1181" t="s">
        <v>65</v>
      </c>
      <c r="D1181" t="s">
        <v>2352</v>
      </c>
      <c r="E1181" t="s">
        <v>69</v>
      </c>
      <c r="F1181" t="s">
        <v>70</v>
      </c>
      <c r="G1181">
        <v>259</v>
      </c>
      <c r="H1181">
        <v>0.05</v>
      </c>
      <c r="I1181">
        <v>246.04999999999899</v>
      </c>
      <c r="J1181">
        <v>6</v>
      </c>
      <c r="K1181">
        <v>142.38374772734201</v>
      </c>
      <c r="L1181">
        <v>1476.3</v>
      </c>
      <c r="M1181">
        <v>854.30248636405395</v>
      </c>
      <c r="N1181">
        <v>621.99751363594498</v>
      </c>
      <c r="O1181" t="s">
        <v>105</v>
      </c>
      <c r="P1181">
        <f t="shared" si="36"/>
        <v>1554</v>
      </c>
      <c r="Q1181">
        <f t="shared" si="37"/>
        <v>-621.99751363594601</v>
      </c>
    </row>
    <row r="1182" spans="1:17" x14ac:dyDescent="0.4">
      <c r="A1182" t="s">
        <v>2353</v>
      </c>
      <c r="B1182" s="1">
        <v>45595.791666666664</v>
      </c>
      <c r="C1182" t="s">
        <v>65</v>
      </c>
      <c r="D1182" t="s">
        <v>2354</v>
      </c>
      <c r="E1182" t="s">
        <v>48</v>
      </c>
      <c r="F1182" t="s">
        <v>19</v>
      </c>
      <c r="G1182">
        <v>245</v>
      </c>
      <c r="H1182">
        <v>0.2</v>
      </c>
      <c r="I1182">
        <v>196</v>
      </c>
      <c r="J1182">
        <v>4</v>
      </c>
      <c r="K1182">
        <v>112.65126209738899</v>
      </c>
      <c r="L1182">
        <v>784</v>
      </c>
      <c r="M1182">
        <v>450.605048389557</v>
      </c>
      <c r="N1182">
        <v>333.39495161044198</v>
      </c>
      <c r="O1182" t="s">
        <v>32</v>
      </c>
      <c r="P1182">
        <f t="shared" si="36"/>
        <v>980</v>
      </c>
      <c r="Q1182">
        <f t="shared" si="37"/>
        <v>-333.394951610443</v>
      </c>
    </row>
    <row r="1183" spans="1:17" x14ac:dyDescent="0.4">
      <c r="A1183" t="s">
        <v>2355</v>
      </c>
      <c r="B1183" s="1">
        <v>45332.583333333336</v>
      </c>
      <c r="C1183" t="s">
        <v>16</v>
      </c>
      <c r="D1183" t="s">
        <v>2356</v>
      </c>
      <c r="E1183" t="s">
        <v>94</v>
      </c>
      <c r="F1183" t="s">
        <v>61</v>
      </c>
      <c r="G1183">
        <v>325</v>
      </c>
      <c r="H1183">
        <v>0</v>
      </c>
      <c r="I1183">
        <v>325</v>
      </c>
      <c r="J1183">
        <v>7</v>
      </c>
      <c r="K1183">
        <v>179.52554380956099</v>
      </c>
      <c r="L1183">
        <v>2275</v>
      </c>
      <c r="M1183">
        <v>1256.6788066669301</v>
      </c>
      <c r="N1183">
        <v>1018.32119333306</v>
      </c>
      <c r="O1183" t="s">
        <v>32</v>
      </c>
      <c r="P1183">
        <f t="shared" si="36"/>
        <v>2275</v>
      </c>
      <c r="Q1183">
        <f t="shared" si="37"/>
        <v>-1018.3211933330699</v>
      </c>
    </row>
    <row r="1184" spans="1:17" x14ac:dyDescent="0.4">
      <c r="A1184" t="s">
        <v>2357</v>
      </c>
      <c r="B1184" s="1">
        <v>45464.208333333336</v>
      </c>
      <c r="C1184" t="s">
        <v>46</v>
      </c>
      <c r="D1184" t="s">
        <v>2358</v>
      </c>
      <c r="E1184" t="s">
        <v>110</v>
      </c>
      <c r="F1184" t="s">
        <v>19</v>
      </c>
      <c r="G1184">
        <v>106</v>
      </c>
      <c r="H1184">
        <v>0.15</v>
      </c>
      <c r="I1184">
        <v>90.1</v>
      </c>
      <c r="J1184">
        <v>1</v>
      </c>
      <c r="K1184">
        <v>53.892266036170398</v>
      </c>
      <c r="L1184">
        <v>90.1</v>
      </c>
      <c r="M1184">
        <v>53.892266036170398</v>
      </c>
      <c r="N1184">
        <v>36.207733963829497</v>
      </c>
      <c r="O1184" t="s">
        <v>32</v>
      </c>
      <c r="P1184">
        <f t="shared" si="36"/>
        <v>106</v>
      </c>
      <c r="Q1184">
        <f t="shared" si="37"/>
        <v>-36.207733963829597</v>
      </c>
    </row>
    <row r="1185" spans="1:17" x14ac:dyDescent="0.4">
      <c r="A1185" t="s">
        <v>2359</v>
      </c>
      <c r="B1185" s="1">
        <v>45902.958333333336</v>
      </c>
      <c r="C1185" t="s">
        <v>22</v>
      </c>
      <c r="D1185" t="s">
        <v>2360</v>
      </c>
      <c r="E1185" t="s">
        <v>104</v>
      </c>
      <c r="F1185" t="s">
        <v>25</v>
      </c>
      <c r="G1185">
        <v>120</v>
      </c>
      <c r="H1185">
        <v>0.15</v>
      </c>
      <c r="I1185">
        <v>102</v>
      </c>
      <c r="J1185">
        <v>1</v>
      </c>
      <c r="K1185">
        <v>70.845329316191197</v>
      </c>
      <c r="L1185">
        <v>102</v>
      </c>
      <c r="M1185">
        <v>70.845329316191197</v>
      </c>
      <c r="N1185">
        <v>31.1546706838087</v>
      </c>
      <c r="O1185" t="s">
        <v>32</v>
      </c>
      <c r="P1185">
        <f t="shared" si="36"/>
        <v>120</v>
      </c>
      <c r="Q1185">
        <f t="shared" si="37"/>
        <v>-31.154670683808803</v>
      </c>
    </row>
    <row r="1186" spans="1:17" x14ac:dyDescent="0.4">
      <c r="A1186" t="s">
        <v>2361</v>
      </c>
      <c r="B1186" s="1">
        <v>45457.5</v>
      </c>
      <c r="C1186" t="s">
        <v>22</v>
      </c>
      <c r="D1186" t="s">
        <v>2362</v>
      </c>
      <c r="E1186" t="s">
        <v>85</v>
      </c>
      <c r="F1186" t="s">
        <v>70</v>
      </c>
      <c r="G1186">
        <v>221</v>
      </c>
      <c r="H1186">
        <v>0.1</v>
      </c>
      <c r="I1186">
        <v>198.9</v>
      </c>
      <c r="J1186">
        <v>2</v>
      </c>
      <c r="K1186">
        <v>115.80245354469101</v>
      </c>
      <c r="L1186">
        <v>397.8</v>
      </c>
      <c r="M1186">
        <v>231.604907089383</v>
      </c>
      <c r="N1186">
        <v>166.19509291061601</v>
      </c>
      <c r="O1186" t="s">
        <v>51</v>
      </c>
      <c r="P1186">
        <f t="shared" si="36"/>
        <v>442</v>
      </c>
      <c r="Q1186">
        <f t="shared" si="37"/>
        <v>-166.19509291061701</v>
      </c>
    </row>
    <row r="1187" spans="1:17" x14ac:dyDescent="0.4">
      <c r="A1187" t="s">
        <v>2363</v>
      </c>
      <c r="B1187" s="1">
        <v>45512.625</v>
      </c>
      <c r="C1187" t="s">
        <v>16</v>
      </c>
      <c r="D1187" t="s">
        <v>2364</v>
      </c>
      <c r="E1187" t="s">
        <v>85</v>
      </c>
      <c r="F1187" t="s">
        <v>70</v>
      </c>
      <c r="G1187">
        <v>315</v>
      </c>
      <c r="H1187">
        <v>0</v>
      </c>
      <c r="I1187">
        <v>315</v>
      </c>
      <c r="J1187">
        <v>4</v>
      </c>
      <c r="K1187">
        <v>146.256049522643</v>
      </c>
      <c r="L1187">
        <v>1260</v>
      </c>
      <c r="M1187">
        <v>585.02419809057301</v>
      </c>
      <c r="N1187">
        <v>674.97580190942597</v>
      </c>
      <c r="O1187" t="s">
        <v>51</v>
      </c>
      <c r="P1187">
        <f t="shared" si="36"/>
        <v>1260</v>
      </c>
      <c r="Q1187">
        <f t="shared" si="37"/>
        <v>-674.97580190942699</v>
      </c>
    </row>
    <row r="1188" spans="1:17" x14ac:dyDescent="0.4">
      <c r="A1188" t="s">
        <v>2365</v>
      </c>
      <c r="B1188" s="1">
        <v>45871.708333333336</v>
      </c>
      <c r="C1188" t="s">
        <v>22</v>
      </c>
      <c r="D1188" t="s">
        <v>2366</v>
      </c>
      <c r="E1188" t="s">
        <v>146</v>
      </c>
      <c r="F1188" t="s">
        <v>70</v>
      </c>
      <c r="G1188">
        <v>131</v>
      </c>
      <c r="H1188">
        <v>0.1</v>
      </c>
      <c r="I1188">
        <v>117.9</v>
      </c>
      <c r="J1188">
        <v>2</v>
      </c>
      <c r="K1188">
        <v>59.783968955947103</v>
      </c>
      <c r="L1188">
        <v>235.8</v>
      </c>
      <c r="M1188">
        <v>119.56793791189401</v>
      </c>
      <c r="N1188">
        <v>116.232062088105</v>
      </c>
      <c r="O1188" t="s">
        <v>32</v>
      </c>
      <c r="P1188">
        <f t="shared" si="36"/>
        <v>262</v>
      </c>
      <c r="Q1188">
        <f t="shared" si="37"/>
        <v>-116.23206208810601</v>
      </c>
    </row>
    <row r="1189" spans="1:17" x14ac:dyDescent="0.4">
      <c r="A1189" t="s">
        <v>2367</v>
      </c>
      <c r="B1189" s="1">
        <v>45671.375</v>
      </c>
      <c r="C1189" t="s">
        <v>65</v>
      </c>
      <c r="D1189" t="s">
        <v>2368</v>
      </c>
      <c r="E1189" t="s">
        <v>18</v>
      </c>
      <c r="F1189" t="s">
        <v>19</v>
      </c>
      <c r="G1189">
        <v>341</v>
      </c>
      <c r="H1189">
        <v>0.1</v>
      </c>
      <c r="I1189">
        <v>306.89999999999998</v>
      </c>
      <c r="J1189">
        <v>5</v>
      </c>
      <c r="K1189">
        <v>185.23131108796801</v>
      </c>
      <c r="L1189">
        <v>1534.5</v>
      </c>
      <c r="M1189">
        <v>926.15655543984099</v>
      </c>
      <c r="N1189">
        <v>608.34344456015901</v>
      </c>
      <c r="O1189" t="s">
        <v>51</v>
      </c>
      <c r="P1189">
        <f t="shared" si="36"/>
        <v>1705</v>
      </c>
      <c r="Q1189">
        <f t="shared" si="37"/>
        <v>-608.34344456015901</v>
      </c>
    </row>
    <row r="1190" spans="1:17" x14ac:dyDescent="0.4">
      <c r="A1190" t="s">
        <v>2369</v>
      </c>
      <c r="B1190" s="1">
        <v>45634.833333333336</v>
      </c>
      <c r="C1190" t="s">
        <v>22</v>
      </c>
      <c r="D1190" t="s">
        <v>2370</v>
      </c>
      <c r="E1190" t="s">
        <v>104</v>
      </c>
      <c r="F1190" t="s">
        <v>25</v>
      </c>
      <c r="G1190">
        <v>323</v>
      </c>
      <c r="H1190">
        <v>0.15</v>
      </c>
      <c r="I1190">
        <v>274.55</v>
      </c>
      <c r="J1190">
        <v>2</v>
      </c>
      <c r="K1190">
        <v>182.77662897101001</v>
      </c>
      <c r="L1190">
        <v>549.1</v>
      </c>
      <c r="M1190">
        <v>365.55325794202002</v>
      </c>
      <c r="N1190">
        <v>183.546742057979</v>
      </c>
      <c r="O1190" t="s">
        <v>32</v>
      </c>
      <c r="P1190">
        <f t="shared" si="36"/>
        <v>646</v>
      </c>
      <c r="Q1190">
        <f t="shared" si="37"/>
        <v>-183.54674205798</v>
      </c>
    </row>
    <row r="1191" spans="1:17" x14ac:dyDescent="0.4">
      <c r="A1191" t="s">
        <v>2371</v>
      </c>
      <c r="B1191" s="1">
        <v>45704.625</v>
      </c>
      <c r="C1191" t="s">
        <v>28</v>
      </c>
      <c r="D1191" t="s">
        <v>2372</v>
      </c>
      <c r="E1191" t="s">
        <v>48</v>
      </c>
      <c r="F1191" t="s">
        <v>19</v>
      </c>
      <c r="G1191">
        <v>129</v>
      </c>
      <c r="H1191">
        <v>0.1</v>
      </c>
      <c r="I1191">
        <v>116.1</v>
      </c>
      <c r="J1191">
        <v>2</v>
      </c>
      <c r="K1191">
        <v>70.443258601731898</v>
      </c>
      <c r="L1191">
        <v>232.2</v>
      </c>
      <c r="M1191">
        <v>140.886517203463</v>
      </c>
      <c r="N1191">
        <v>91.313482796535993</v>
      </c>
      <c r="O1191" t="s">
        <v>20</v>
      </c>
      <c r="P1191">
        <f t="shared" si="36"/>
        <v>258</v>
      </c>
      <c r="Q1191">
        <f t="shared" si="37"/>
        <v>-91.313482796536988</v>
      </c>
    </row>
    <row r="1192" spans="1:17" x14ac:dyDescent="0.4">
      <c r="A1192" t="s">
        <v>2373</v>
      </c>
      <c r="B1192" s="1">
        <v>45417.833333333336</v>
      </c>
      <c r="C1192" t="s">
        <v>43</v>
      </c>
      <c r="D1192" t="s">
        <v>2374</v>
      </c>
      <c r="E1192" t="s">
        <v>48</v>
      </c>
      <c r="F1192" t="s">
        <v>19</v>
      </c>
      <c r="G1192">
        <v>142</v>
      </c>
      <c r="H1192">
        <v>0.05</v>
      </c>
      <c r="I1192">
        <v>134.9</v>
      </c>
      <c r="J1192">
        <v>1</v>
      </c>
      <c r="K1192">
        <v>74.109248383550593</v>
      </c>
      <c r="L1192">
        <v>134.9</v>
      </c>
      <c r="M1192">
        <v>74.109248383550593</v>
      </c>
      <c r="N1192">
        <v>60.790751616449398</v>
      </c>
      <c r="O1192" t="s">
        <v>26</v>
      </c>
      <c r="P1192">
        <f t="shared" si="36"/>
        <v>142</v>
      </c>
      <c r="Q1192">
        <f t="shared" si="37"/>
        <v>-60.790751616449413</v>
      </c>
    </row>
    <row r="1193" spans="1:17" x14ac:dyDescent="0.4">
      <c r="A1193" t="s">
        <v>2375</v>
      </c>
      <c r="B1193" s="1">
        <v>45666.458333333336</v>
      </c>
      <c r="C1193" t="s">
        <v>16</v>
      </c>
      <c r="D1193" t="s">
        <v>2376</v>
      </c>
      <c r="E1193" t="s">
        <v>85</v>
      </c>
      <c r="F1193" t="s">
        <v>70</v>
      </c>
      <c r="G1193">
        <v>275</v>
      </c>
      <c r="H1193">
        <v>0</v>
      </c>
      <c r="I1193">
        <v>275</v>
      </c>
      <c r="J1193">
        <v>2</v>
      </c>
      <c r="K1193">
        <v>169.17170424129</v>
      </c>
      <c r="L1193">
        <v>550</v>
      </c>
      <c r="M1193">
        <v>338.34340848258</v>
      </c>
      <c r="N1193">
        <v>211.656591517419</v>
      </c>
      <c r="O1193" t="s">
        <v>32</v>
      </c>
      <c r="P1193">
        <f t="shared" si="36"/>
        <v>550</v>
      </c>
      <c r="Q1193">
        <f t="shared" si="37"/>
        <v>-211.65659151742</v>
      </c>
    </row>
    <row r="1194" spans="1:17" x14ac:dyDescent="0.4">
      <c r="A1194" t="s">
        <v>2377</v>
      </c>
      <c r="B1194" s="1">
        <v>45828.666666666664</v>
      </c>
      <c r="C1194" t="s">
        <v>28</v>
      </c>
      <c r="D1194" t="s">
        <v>2378</v>
      </c>
      <c r="E1194" t="s">
        <v>18</v>
      </c>
      <c r="F1194" t="s">
        <v>19</v>
      </c>
      <c r="G1194">
        <v>293</v>
      </c>
      <c r="H1194">
        <v>0</v>
      </c>
      <c r="I1194">
        <v>293</v>
      </c>
      <c r="J1194">
        <v>4</v>
      </c>
      <c r="K1194">
        <v>171.00679666018601</v>
      </c>
      <c r="L1194">
        <v>1172</v>
      </c>
      <c r="M1194">
        <v>684.02718664074405</v>
      </c>
      <c r="N1194">
        <v>487.97281335925499</v>
      </c>
      <c r="O1194" t="s">
        <v>20</v>
      </c>
      <c r="P1194">
        <f t="shared" si="36"/>
        <v>1172</v>
      </c>
      <c r="Q1194">
        <f t="shared" si="37"/>
        <v>-487.97281335925595</v>
      </c>
    </row>
    <row r="1195" spans="1:17" x14ac:dyDescent="0.4">
      <c r="A1195" t="s">
        <v>2379</v>
      </c>
      <c r="B1195" s="1">
        <v>45510.041666666664</v>
      </c>
      <c r="C1195" t="s">
        <v>28</v>
      </c>
      <c r="D1195" t="s">
        <v>2380</v>
      </c>
      <c r="E1195" t="s">
        <v>97</v>
      </c>
      <c r="F1195" t="s">
        <v>61</v>
      </c>
      <c r="G1195">
        <v>337</v>
      </c>
      <c r="H1195">
        <v>0.05</v>
      </c>
      <c r="I1195">
        <v>320.14999999999998</v>
      </c>
      <c r="J1195">
        <v>4</v>
      </c>
      <c r="K1195">
        <v>216.61220037648999</v>
      </c>
      <c r="L1195">
        <v>1280.5999999999999</v>
      </c>
      <c r="M1195">
        <v>866.44880150596202</v>
      </c>
      <c r="N1195">
        <v>414.15119849403698</v>
      </c>
      <c r="O1195" t="s">
        <v>20</v>
      </c>
      <c r="P1195">
        <f t="shared" si="36"/>
        <v>1348</v>
      </c>
      <c r="Q1195">
        <f t="shared" si="37"/>
        <v>-414.15119849403789</v>
      </c>
    </row>
    <row r="1196" spans="1:17" x14ac:dyDescent="0.4">
      <c r="A1196" t="s">
        <v>2381</v>
      </c>
      <c r="B1196" s="1">
        <v>45688.5</v>
      </c>
      <c r="C1196" t="s">
        <v>65</v>
      </c>
      <c r="D1196" t="s">
        <v>2382</v>
      </c>
      <c r="E1196" t="s">
        <v>213</v>
      </c>
      <c r="F1196" t="s">
        <v>31</v>
      </c>
      <c r="G1196">
        <v>122</v>
      </c>
      <c r="H1196">
        <v>0.1</v>
      </c>
      <c r="I1196">
        <v>109.8</v>
      </c>
      <c r="J1196">
        <v>5</v>
      </c>
      <c r="K1196">
        <v>69.511862631819696</v>
      </c>
      <c r="L1196">
        <v>549</v>
      </c>
      <c r="M1196">
        <v>347.559313159098</v>
      </c>
      <c r="N1196">
        <v>201.44068684090101</v>
      </c>
      <c r="O1196" t="s">
        <v>26</v>
      </c>
      <c r="P1196">
        <f t="shared" si="36"/>
        <v>610</v>
      </c>
      <c r="Q1196">
        <f t="shared" si="37"/>
        <v>-201.440686840902</v>
      </c>
    </row>
    <row r="1197" spans="1:17" x14ac:dyDescent="0.4">
      <c r="A1197" t="s">
        <v>2383</v>
      </c>
      <c r="B1197" s="1">
        <v>45898.625</v>
      </c>
      <c r="C1197" t="s">
        <v>22</v>
      </c>
      <c r="D1197" t="s">
        <v>2384</v>
      </c>
      <c r="E1197" t="s">
        <v>104</v>
      </c>
      <c r="F1197" t="s">
        <v>25</v>
      </c>
      <c r="G1197">
        <v>120</v>
      </c>
      <c r="H1197">
        <v>0.1</v>
      </c>
      <c r="I1197">
        <v>108</v>
      </c>
      <c r="J1197">
        <v>1</v>
      </c>
      <c r="K1197">
        <v>89.688774789221398</v>
      </c>
      <c r="L1197">
        <v>108</v>
      </c>
      <c r="M1197">
        <v>89.688774789221398</v>
      </c>
      <c r="N1197">
        <v>18.311225210778499</v>
      </c>
      <c r="O1197" t="s">
        <v>51</v>
      </c>
      <c r="P1197">
        <f t="shared" si="36"/>
        <v>120</v>
      </c>
      <c r="Q1197">
        <f t="shared" si="37"/>
        <v>-18.311225210778602</v>
      </c>
    </row>
    <row r="1198" spans="1:17" x14ac:dyDescent="0.4">
      <c r="A1198" t="s">
        <v>2385</v>
      </c>
      <c r="B1198" s="1">
        <v>45987.875</v>
      </c>
      <c r="C1198" t="s">
        <v>46</v>
      </c>
      <c r="D1198" t="s">
        <v>2386</v>
      </c>
      <c r="E1198" t="s">
        <v>115</v>
      </c>
      <c r="F1198" t="s">
        <v>38</v>
      </c>
      <c r="G1198">
        <v>331</v>
      </c>
      <c r="H1198">
        <v>0.05</v>
      </c>
      <c r="I1198">
        <v>314.45</v>
      </c>
      <c r="J1198">
        <v>4</v>
      </c>
      <c r="K1198">
        <v>153.347820792427</v>
      </c>
      <c r="L1198">
        <v>1257.8</v>
      </c>
      <c r="M1198">
        <v>613.39128316970903</v>
      </c>
      <c r="N1198">
        <v>644.40871683029002</v>
      </c>
      <c r="O1198" t="s">
        <v>32</v>
      </c>
      <c r="P1198">
        <f t="shared" si="36"/>
        <v>1324</v>
      </c>
      <c r="Q1198">
        <f t="shared" si="37"/>
        <v>-644.40871683029093</v>
      </c>
    </row>
    <row r="1199" spans="1:17" x14ac:dyDescent="0.4">
      <c r="A1199" t="s">
        <v>2387</v>
      </c>
      <c r="B1199" s="1">
        <v>45391.833333333336</v>
      </c>
      <c r="C1199" t="s">
        <v>46</v>
      </c>
      <c r="D1199" t="s">
        <v>2057</v>
      </c>
      <c r="E1199" t="s">
        <v>48</v>
      </c>
      <c r="F1199" t="s">
        <v>19</v>
      </c>
      <c r="G1199">
        <v>285</v>
      </c>
      <c r="H1199">
        <v>0.1</v>
      </c>
      <c r="I1199">
        <v>256.5</v>
      </c>
      <c r="J1199">
        <v>5</v>
      </c>
      <c r="K1199">
        <v>156.16302181693899</v>
      </c>
      <c r="L1199">
        <v>1282.5</v>
      </c>
      <c r="M1199">
        <v>780.815109084695</v>
      </c>
      <c r="N1199">
        <v>501.684890915305</v>
      </c>
      <c r="O1199" t="s">
        <v>32</v>
      </c>
      <c r="P1199">
        <f t="shared" si="36"/>
        <v>1425</v>
      </c>
      <c r="Q1199">
        <f t="shared" si="37"/>
        <v>-501.684890915305</v>
      </c>
    </row>
    <row r="1200" spans="1:17" x14ac:dyDescent="0.4">
      <c r="A1200" t="s">
        <v>2388</v>
      </c>
      <c r="B1200" s="1">
        <v>45358.291666666664</v>
      </c>
      <c r="C1200" t="s">
        <v>43</v>
      </c>
      <c r="D1200" t="s">
        <v>2389</v>
      </c>
      <c r="E1200" t="s">
        <v>24</v>
      </c>
      <c r="F1200" t="s">
        <v>25</v>
      </c>
      <c r="G1200">
        <v>319</v>
      </c>
      <c r="H1200">
        <v>0.05</v>
      </c>
      <c r="I1200">
        <v>303.05</v>
      </c>
      <c r="J1200">
        <v>5</v>
      </c>
      <c r="K1200">
        <v>135.81191097770099</v>
      </c>
      <c r="L1200">
        <v>1515.25</v>
      </c>
      <c r="M1200">
        <v>679.05955488850702</v>
      </c>
      <c r="N1200">
        <v>836.19044511149195</v>
      </c>
      <c r="O1200" t="s">
        <v>32</v>
      </c>
      <c r="P1200">
        <f t="shared" si="36"/>
        <v>1595</v>
      </c>
      <c r="Q1200">
        <f t="shared" si="37"/>
        <v>-836.19044511149298</v>
      </c>
    </row>
    <row r="1201" spans="1:17" x14ac:dyDescent="0.4">
      <c r="A1201" t="s">
        <v>2390</v>
      </c>
      <c r="B1201" s="1">
        <v>45762.958333333336</v>
      </c>
      <c r="C1201" t="s">
        <v>28</v>
      </c>
      <c r="D1201" t="s">
        <v>2391</v>
      </c>
      <c r="E1201" t="s">
        <v>213</v>
      </c>
      <c r="F1201" t="s">
        <v>31</v>
      </c>
      <c r="G1201">
        <v>214</v>
      </c>
      <c r="H1201">
        <v>0.1</v>
      </c>
      <c r="I1201">
        <v>192.6</v>
      </c>
      <c r="J1201">
        <v>1</v>
      </c>
      <c r="K1201">
        <v>157.08051177658501</v>
      </c>
      <c r="L1201">
        <v>192.6</v>
      </c>
      <c r="M1201">
        <v>157.08051177658501</v>
      </c>
      <c r="N1201">
        <v>35.519488223414697</v>
      </c>
      <c r="O1201" t="s">
        <v>32</v>
      </c>
      <c r="P1201">
        <f t="shared" si="36"/>
        <v>214</v>
      </c>
      <c r="Q1201">
        <f t="shared" si="37"/>
        <v>-35.519488223414982</v>
      </c>
    </row>
    <row r="1202" spans="1:17" x14ac:dyDescent="0.4">
      <c r="A1202" t="s">
        <v>2392</v>
      </c>
      <c r="B1202" s="1">
        <v>45549.625</v>
      </c>
      <c r="C1202" t="s">
        <v>16</v>
      </c>
      <c r="D1202" t="s">
        <v>2393</v>
      </c>
      <c r="E1202" t="s">
        <v>104</v>
      </c>
      <c r="F1202" t="s">
        <v>25</v>
      </c>
      <c r="G1202">
        <v>141</v>
      </c>
      <c r="H1202">
        <v>0</v>
      </c>
      <c r="I1202">
        <v>141</v>
      </c>
      <c r="J1202">
        <v>5</v>
      </c>
      <c r="K1202">
        <v>95.815221755413404</v>
      </c>
      <c r="L1202">
        <v>705</v>
      </c>
      <c r="M1202">
        <v>479.07610877706702</v>
      </c>
      <c r="N1202">
        <v>225.92389122293201</v>
      </c>
      <c r="O1202" t="s">
        <v>32</v>
      </c>
      <c r="P1202">
        <f t="shared" si="36"/>
        <v>705</v>
      </c>
      <c r="Q1202">
        <f t="shared" si="37"/>
        <v>-225.92389122293298</v>
      </c>
    </row>
    <row r="1203" spans="1:17" x14ac:dyDescent="0.4">
      <c r="A1203" t="s">
        <v>2394</v>
      </c>
      <c r="B1203" s="1">
        <v>45346.666666666664</v>
      </c>
      <c r="C1203" t="s">
        <v>16</v>
      </c>
      <c r="D1203" t="s">
        <v>2395</v>
      </c>
      <c r="E1203" t="s">
        <v>69</v>
      </c>
      <c r="F1203" t="s">
        <v>70</v>
      </c>
      <c r="G1203">
        <v>93</v>
      </c>
      <c r="H1203">
        <v>0.2</v>
      </c>
      <c r="I1203">
        <v>74.400000000000006</v>
      </c>
      <c r="J1203">
        <v>5</v>
      </c>
      <c r="K1203">
        <v>63.5483529729823</v>
      </c>
      <c r="L1203">
        <v>372</v>
      </c>
      <c r="M1203">
        <v>317.74176486491098</v>
      </c>
      <c r="N1203">
        <v>54.258235135088</v>
      </c>
      <c r="O1203" t="s">
        <v>32</v>
      </c>
      <c r="P1203">
        <f t="shared" si="36"/>
        <v>465</v>
      </c>
      <c r="Q1203">
        <f t="shared" si="37"/>
        <v>-54.258235135089024</v>
      </c>
    </row>
    <row r="1204" spans="1:17" x14ac:dyDescent="0.4">
      <c r="A1204" t="s">
        <v>2396</v>
      </c>
      <c r="B1204" s="1">
        <v>45596.75</v>
      </c>
      <c r="C1204" t="s">
        <v>28</v>
      </c>
      <c r="D1204" t="s">
        <v>2397</v>
      </c>
      <c r="E1204" t="s">
        <v>37</v>
      </c>
      <c r="F1204" t="s">
        <v>38</v>
      </c>
      <c r="G1204">
        <v>115</v>
      </c>
      <c r="H1204">
        <v>0.1</v>
      </c>
      <c r="I1204">
        <v>103.5</v>
      </c>
      <c r="J1204">
        <v>1</v>
      </c>
      <c r="K1204">
        <v>56.612937208468402</v>
      </c>
      <c r="L1204">
        <v>103.5</v>
      </c>
      <c r="M1204">
        <v>56.612937208468402</v>
      </c>
      <c r="N1204">
        <v>46.887062791531498</v>
      </c>
      <c r="O1204" t="s">
        <v>32</v>
      </c>
      <c r="P1204">
        <f t="shared" si="36"/>
        <v>115</v>
      </c>
      <c r="Q1204">
        <f t="shared" si="37"/>
        <v>-46.887062791531598</v>
      </c>
    </row>
    <row r="1205" spans="1:17" x14ac:dyDescent="0.4">
      <c r="A1205" t="s">
        <v>2398</v>
      </c>
      <c r="B1205" s="1">
        <v>45381.125</v>
      </c>
      <c r="C1205" t="s">
        <v>43</v>
      </c>
      <c r="D1205" t="s">
        <v>2399</v>
      </c>
      <c r="E1205" t="s">
        <v>115</v>
      </c>
      <c r="F1205" t="s">
        <v>38</v>
      </c>
      <c r="G1205">
        <v>241</v>
      </c>
      <c r="H1205">
        <v>0.15</v>
      </c>
      <c r="I1205">
        <v>204.85</v>
      </c>
      <c r="J1205">
        <v>2</v>
      </c>
      <c r="K1205">
        <v>143.215812516716</v>
      </c>
      <c r="L1205">
        <v>409.7</v>
      </c>
      <c r="M1205">
        <v>286.431625033432</v>
      </c>
      <c r="N1205">
        <v>123.26837496656699</v>
      </c>
      <c r="O1205" t="s">
        <v>51</v>
      </c>
      <c r="P1205">
        <f t="shared" si="36"/>
        <v>482</v>
      </c>
      <c r="Q1205">
        <f t="shared" si="37"/>
        <v>-123.26837496656799</v>
      </c>
    </row>
    <row r="1206" spans="1:17" x14ac:dyDescent="0.4">
      <c r="A1206" t="s">
        <v>2400</v>
      </c>
      <c r="B1206" s="1">
        <v>45904</v>
      </c>
      <c r="C1206" t="s">
        <v>16</v>
      </c>
      <c r="D1206" t="s">
        <v>2401</v>
      </c>
      <c r="E1206" t="s">
        <v>146</v>
      </c>
      <c r="F1206" t="s">
        <v>70</v>
      </c>
      <c r="G1206">
        <v>135</v>
      </c>
      <c r="H1206">
        <v>0</v>
      </c>
      <c r="I1206">
        <v>135</v>
      </c>
      <c r="J1206">
        <v>6</v>
      </c>
      <c r="K1206">
        <v>98.8960385861524</v>
      </c>
      <c r="L1206">
        <v>810</v>
      </c>
      <c r="M1206">
        <v>593.376231516914</v>
      </c>
      <c r="N1206">
        <v>216.623768483085</v>
      </c>
      <c r="O1206" t="s">
        <v>32</v>
      </c>
      <c r="P1206">
        <f t="shared" si="36"/>
        <v>810</v>
      </c>
      <c r="Q1206">
        <f t="shared" si="37"/>
        <v>-216.623768483086</v>
      </c>
    </row>
    <row r="1207" spans="1:17" x14ac:dyDescent="0.4">
      <c r="A1207" t="s">
        <v>2402</v>
      </c>
      <c r="B1207" s="1">
        <v>45580.5</v>
      </c>
      <c r="C1207" t="s">
        <v>46</v>
      </c>
      <c r="D1207" t="s">
        <v>2403</v>
      </c>
      <c r="E1207" t="s">
        <v>85</v>
      </c>
      <c r="F1207" t="s">
        <v>70</v>
      </c>
      <c r="G1207">
        <v>329</v>
      </c>
      <c r="H1207">
        <v>0</v>
      </c>
      <c r="I1207">
        <v>329</v>
      </c>
      <c r="J1207">
        <v>5</v>
      </c>
      <c r="K1207">
        <v>246.387149437012</v>
      </c>
      <c r="L1207">
        <v>1645</v>
      </c>
      <c r="M1207">
        <v>1231.9357471850601</v>
      </c>
      <c r="N1207">
        <v>413.06425281493898</v>
      </c>
      <c r="O1207" t="s">
        <v>51</v>
      </c>
      <c r="P1207">
        <f t="shared" si="36"/>
        <v>1645</v>
      </c>
      <c r="Q1207">
        <f t="shared" si="37"/>
        <v>-413.06425281493989</v>
      </c>
    </row>
    <row r="1208" spans="1:17" x14ac:dyDescent="0.4">
      <c r="A1208" t="s">
        <v>2404</v>
      </c>
      <c r="B1208" s="1">
        <v>45307.083333333336</v>
      </c>
      <c r="C1208" t="s">
        <v>22</v>
      </c>
      <c r="D1208" t="s">
        <v>2405</v>
      </c>
      <c r="E1208" t="s">
        <v>146</v>
      </c>
      <c r="F1208" t="s">
        <v>70</v>
      </c>
      <c r="G1208">
        <v>206</v>
      </c>
      <c r="H1208">
        <v>0</v>
      </c>
      <c r="I1208">
        <v>206</v>
      </c>
      <c r="J1208">
        <v>7</v>
      </c>
      <c r="K1208">
        <v>108.65541825744199</v>
      </c>
      <c r="L1208">
        <v>1442</v>
      </c>
      <c r="M1208">
        <v>760.58792780209399</v>
      </c>
      <c r="N1208">
        <v>681.41207219790499</v>
      </c>
      <c r="O1208" t="s">
        <v>20</v>
      </c>
      <c r="P1208">
        <f t="shared" si="36"/>
        <v>1442</v>
      </c>
      <c r="Q1208">
        <f t="shared" si="37"/>
        <v>-681.41207219790601</v>
      </c>
    </row>
    <row r="1209" spans="1:17" x14ac:dyDescent="0.4">
      <c r="A1209" t="s">
        <v>2406</v>
      </c>
      <c r="B1209" s="1">
        <v>45853.708333333336</v>
      </c>
      <c r="C1209" t="s">
        <v>65</v>
      </c>
      <c r="D1209" t="s">
        <v>2213</v>
      </c>
      <c r="E1209" t="s">
        <v>146</v>
      </c>
      <c r="F1209" t="s">
        <v>70</v>
      </c>
      <c r="G1209">
        <v>348</v>
      </c>
      <c r="H1209">
        <v>0.2</v>
      </c>
      <c r="I1209">
        <v>278.39999999999998</v>
      </c>
      <c r="J1209">
        <v>3</v>
      </c>
      <c r="K1209">
        <v>156.874487581659</v>
      </c>
      <c r="L1209">
        <v>835.2</v>
      </c>
      <c r="M1209">
        <v>470.62346274497799</v>
      </c>
      <c r="N1209">
        <v>364.57653725502098</v>
      </c>
      <c r="O1209" t="s">
        <v>32</v>
      </c>
      <c r="P1209">
        <f t="shared" si="36"/>
        <v>1044</v>
      </c>
      <c r="Q1209">
        <f t="shared" si="37"/>
        <v>-364.57653725502206</v>
      </c>
    </row>
    <row r="1210" spans="1:17" x14ac:dyDescent="0.4">
      <c r="A1210" t="s">
        <v>2407</v>
      </c>
      <c r="B1210" s="1">
        <v>45447.75</v>
      </c>
      <c r="C1210" t="s">
        <v>16</v>
      </c>
      <c r="D1210" t="s">
        <v>2325</v>
      </c>
      <c r="E1210" t="s">
        <v>30</v>
      </c>
      <c r="F1210" t="s">
        <v>31</v>
      </c>
      <c r="G1210">
        <v>343</v>
      </c>
      <c r="H1210">
        <v>0</v>
      </c>
      <c r="I1210">
        <v>343</v>
      </c>
      <c r="J1210">
        <v>3</v>
      </c>
      <c r="K1210">
        <v>139.41578992607</v>
      </c>
      <c r="L1210">
        <v>1029</v>
      </c>
      <c r="M1210">
        <v>418.24736977820999</v>
      </c>
      <c r="N1210">
        <v>610.75263022178899</v>
      </c>
      <c r="O1210" t="s">
        <v>32</v>
      </c>
      <c r="P1210">
        <f t="shared" si="36"/>
        <v>1029</v>
      </c>
      <c r="Q1210">
        <f t="shared" si="37"/>
        <v>-610.75263022179001</v>
      </c>
    </row>
    <row r="1211" spans="1:17" x14ac:dyDescent="0.4">
      <c r="A1211" t="s">
        <v>2408</v>
      </c>
      <c r="B1211" s="1">
        <v>45394.875</v>
      </c>
      <c r="C1211" t="s">
        <v>22</v>
      </c>
      <c r="D1211" t="s">
        <v>2409</v>
      </c>
      <c r="E1211" t="s">
        <v>97</v>
      </c>
      <c r="F1211" t="s">
        <v>61</v>
      </c>
      <c r="G1211">
        <v>335</v>
      </c>
      <c r="H1211">
        <v>0.1</v>
      </c>
      <c r="I1211">
        <v>301.5</v>
      </c>
      <c r="J1211">
        <v>2</v>
      </c>
      <c r="K1211">
        <v>199.397918004247</v>
      </c>
      <c r="L1211">
        <v>603</v>
      </c>
      <c r="M1211">
        <v>398.79583600849497</v>
      </c>
      <c r="N1211">
        <v>204.204163991504</v>
      </c>
      <c r="O1211" t="s">
        <v>32</v>
      </c>
      <c r="P1211">
        <f t="shared" si="36"/>
        <v>670</v>
      </c>
      <c r="Q1211">
        <f t="shared" si="37"/>
        <v>-204.20416399150503</v>
      </c>
    </row>
    <row r="1212" spans="1:17" x14ac:dyDescent="0.4">
      <c r="A1212" t="s">
        <v>2410</v>
      </c>
      <c r="B1212" s="1">
        <v>45963.083333333336</v>
      </c>
      <c r="C1212" t="s">
        <v>22</v>
      </c>
      <c r="D1212" t="s">
        <v>2411</v>
      </c>
      <c r="E1212" t="s">
        <v>97</v>
      </c>
      <c r="F1212" t="s">
        <v>61</v>
      </c>
      <c r="G1212">
        <v>317</v>
      </c>
      <c r="H1212">
        <v>0.1</v>
      </c>
      <c r="I1212">
        <v>285.3</v>
      </c>
      <c r="J1212">
        <v>5</v>
      </c>
      <c r="K1212">
        <v>205.562898333672</v>
      </c>
      <c r="L1212">
        <v>1426.5</v>
      </c>
      <c r="M1212">
        <v>1027.81449166836</v>
      </c>
      <c r="N1212">
        <v>398.685508331638</v>
      </c>
      <c r="O1212" t="s">
        <v>20</v>
      </c>
      <c r="P1212">
        <f t="shared" si="36"/>
        <v>1585</v>
      </c>
      <c r="Q1212">
        <f t="shared" si="37"/>
        <v>-398.68550833163999</v>
      </c>
    </row>
    <row r="1213" spans="1:17" x14ac:dyDescent="0.4">
      <c r="A1213" t="s">
        <v>2412</v>
      </c>
      <c r="B1213" s="1">
        <v>45997.833333333336</v>
      </c>
      <c r="C1213" t="s">
        <v>46</v>
      </c>
      <c r="D1213" t="s">
        <v>2413</v>
      </c>
      <c r="E1213" t="s">
        <v>110</v>
      </c>
      <c r="F1213" t="s">
        <v>19</v>
      </c>
      <c r="G1213">
        <v>160</v>
      </c>
      <c r="H1213">
        <v>0.1</v>
      </c>
      <c r="I1213">
        <v>144</v>
      </c>
      <c r="J1213">
        <v>1</v>
      </c>
      <c r="K1213">
        <v>117.10532530410001</v>
      </c>
      <c r="L1213">
        <v>144</v>
      </c>
      <c r="M1213">
        <v>117.10532530410001</v>
      </c>
      <c r="N1213">
        <v>26.894674695899401</v>
      </c>
      <c r="O1213" t="s">
        <v>105</v>
      </c>
      <c r="P1213">
        <f t="shared" si="36"/>
        <v>160</v>
      </c>
      <c r="Q1213">
        <f t="shared" si="37"/>
        <v>-26.894674695899994</v>
      </c>
    </row>
    <row r="1214" spans="1:17" x14ac:dyDescent="0.4">
      <c r="A1214" t="s">
        <v>2414</v>
      </c>
      <c r="B1214" s="1">
        <v>45667.708333333336</v>
      </c>
      <c r="C1214" t="s">
        <v>22</v>
      </c>
      <c r="D1214" t="s">
        <v>2415</v>
      </c>
      <c r="E1214" t="s">
        <v>82</v>
      </c>
      <c r="F1214" t="s">
        <v>25</v>
      </c>
      <c r="G1214">
        <v>283</v>
      </c>
      <c r="H1214">
        <v>0.25</v>
      </c>
      <c r="I1214">
        <v>212.25</v>
      </c>
      <c r="J1214">
        <v>6</v>
      </c>
      <c r="K1214">
        <v>179.35913454748501</v>
      </c>
      <c r="L1214">
        <v>1273.5</v>
      </c>
      <c r="M1214">
        <v>1076.15480728491</v>
      </c>
      <c r="N1214">
        <v>197.34519271508401</v>
      </c>
      <c r="O1214" t="s">
        <v>32</v>
      </c>
      <c r="P1214">
        <f t="shared" si="36"/>
        <v>1698</v>
      </c>
      <c r="Q1214">
        <f t="shared" si="37"/>
        <v>-197.34519271508998</v>
      </c>
    </row>
    <row r="1215" spans="1:17" x14ac:dyDescent="0.4">
      <c r="A1215" t="s">
        <v>2416</v>
      </c>
      <c r="B1215" s="1">
        <v>45409</v>
      </c>
      <c r="C1215" t="s">
        <v>46</v>
      </c>
      <c r="D1215" t="s">
        <v>685</v>
      </c>
      <c r="E1215" t="s">
        <v>146</v>
      </c>
      <c r="F1215" t="s">
        <v>70</v>
      </c>
      <c r="G1215">
        <v>210</v>
      </c>
      <c r="H1215">
        <v>0.05</v>
      </c>
      <c r="I1215">
        <v>199.5</v>
      </c>
      <c r="J1215">
        <v>3</v>
      </c>
      <c r="K1215">
        <v>137.098856592147</v>
      </c>
      <c r="L1215">
        <v>598.5</v>
      </c>
      <c r="M1215">
        <v>411.29656977644203</v>
      </c>
      <c r="N1215">
        <v>187.20343022355701</v>
      </c>
      <c r="O1215" t="s">
        <v>32</v>
      </c>
      <c r="P1215">
        <f t="shared" si="36"/>
        <v>630</v>
      </c>
      <c r="Q1215">
        <f t="shared" si="37"/>
        <v>-187.20343022355797</v>
      </c>
    </row>
    <row r="1216" spans="1:17" x14ac:dyDescent="0.4">
      <c r="A1216" t="s">
        <v>2417</v>
      </c>
      <c r="B1216" s="1">
        <v>45974.083333333336</v>
      </c>
      <c r="C1216" t="s">
        <v>22</v>
      </c>
      <c r="D1216" t="s">
        <v>2418</v>
      </c>
      <c r="E1216" t="s">
        <v>213</v>
      </c>
      <c r="F1216" t="s">
        <v>31</v>
      </c>
      <c r="G1216">
        <v>100</v>
      </c>
      <c r="H1216">
        <v>0.25</v>
      </c>
      <c r="I1216">
        <v>75</v>
      </c>
      <c r="J1216">
        <v>5</v>
      </c>
      <c r="K1216">
        <v>67.532838062672099</v>
      </c>
      <c r="L1216">
        <v>375</v>
      </c>
      <c r="M1216">
        <v>337.66419031336</v>
      </c>
      <c r="N1216">
        <v>37.335809686639301</v>
      </c>
      <c r="O1216" t="s">
        <v>51</v>
      </c>
      <c r="P1216">
        <f t="shared" si="36"/>
        <v>500</v>
      </c>
      <c r="Q1216">
        <f t="shared" si="37"/>
        <v>-37.335809686640005</v>
      </c>
    </row>
    <row r="1217" spans="1:17" x14ac:dyDescent="0.4">
      <c r="A1217" t="s">
        <v>2419</v>
      </c>
      <c r="B1217" s="1">
        <v>45911.583333333336</v>
      </c>
      <c r="C1217" t="s">
        <v>16</v>
      </c>
      <c r="D1217" t="s">
        <v>2420</v>
      </c>
      <c r="E1217" t="s">
        <v>48</v>
      </c>
      <c r="F1217" t="s">
        <v>19</v>
      </c>
      <c r="G1217">
        <v>185</v>
      </c>
      <c r="H1217">
        <v>0.05</v>
      </c>
      <c r="I1217">
        <v>175.75</v>
      </c>
      <c r="J1217">
        <v>6</v>
      </c>
      <c r="K1217">
        <v>90.344919818107002</v>
      </c>
      <c r="L1217">
        <v>1054.5</v>
      </c>
      <c r="M1217">
        <v>542.06951890864195</v>
      </c>
      <c r="N1217">
        <v>512.43048109135702</v>
      </c>
      <c r="O1217" t="s">
        <v>26</v>
      </c>
      <c r="P1217">
        <f t="shared" si="36"/>
        <v>1110</v>
      </c>
      <c r="Q1217">
        <f t="shared" si="37"/>
        <v>-512.43048109135805</v>
      </c>
    </row>
    <row r="1218" spans="1:17" x14ac:dyDescent="0.4">
      <c r="A1218" t="s">
        <v>2421</v>
      </c>
      <c r="B1218" s="1">
        <v>45821.708333333336</v>
      </c>
      <c r="C1218" t="s">
        <v>46</v>
      </c>
      <c r="D1218" t="s">
        <v>2422</v>
      </c>
      <c r="E1218" t="s">
        <v>104</v>
      </c>
      <c r="F1218" t="s">
        <v>25</v>
      </c>
      <c r="G1218">
        <v>149</v>
      </c>
      <c r="H1218">
        <v>0.1</v>
      </c>
      <c r="I1218">
        <v>134.1</v>
      </c>
      <c r="J1218">
        <v>3</v>
      </c>
      <c r="K1218">
        <v>108.743213925061</v>
      </c>
      <c r="L1218">
        <v>402.29999999999899</v>
      </c>
      <c r="M1218">
        <v>326.22964177518298</v>
      </c>
      <c r="N1218">
        <v>76.070358224816005</v>
      </c>
      <c r="O1218" t="s">
        <v>32</v>
      </c>
      <c r="P1218">
        <f t="shared" si="36"/>
        <v>447</v>
      </c>
      <c r="Q1218">
        <f t="shared" si="37"/>
        <v>-76.070358224816005</v>
      </c>
    </row>
    <row r="1219" spans="1:17" x14ac:dyDescent="0.4">
      <c r="A1219" t="s">
        <v>2423</v>
      </c>
      <c r="B1219" s="1">
        <v>45607.041666666664</v>
      </c>
      <c r="C1219" t="s">
        <v>43</v>
      </c>
      <c r="D1219" t="s">
        <v>2424</v>
      </c>
      <c r="E1219" t="s">
        <v>24</v>
      </c>
      <c r="F1219" t="s">
        <v>25</v>
      </c>
      <c r="G1219">
        <v>273</v>
      </c>
      <c r="H1219">
        <v>0.2</v>
      </c>
      <c r="I1219">
        <v>218.4</v>
      </c>
      <c r="J1219">
        <v>3</v>
      </c>
      <c r="K1219">
        <v>181.580063570308</v>
      </c>
      <c r="L1219">
        <v>655.20000000000005</v>
      </c>
      <c r="M1219">
        <v>544.74019071092403</v>
      </c>
      <c r="N1219">
        <v>110.459809289075</v>
      </c>
      <c r="O1219" t="s">
        <v>51</v>
      </c>
      <c r="P1219">
        <f t="shared" ref="P1219:P1282" si="38">G1219 * J1219</f>
        <v>819</v>
      </c>
      <c r="Q1219">
        <f t="shared" ref="Q1219:Q1282" si="39" xml:space="preserve"> M1219 - L1219</f>
        <v>-110.45980928907602</v>
      </c>
    </row>
    <row r="1220" spans="1:17" x14ac:dyDescent="0.4">
      <c r="A1220" t="s">
        <v>2425</v>
      </c>
      <c r="B1220" s="1">
        <v>45405.291666666664</v>
      </c>
      <c r="C1220" t="s">
        <v>16</v>
      </c>
      <c r="D1220" t="s">
        <v>2426</v>
      </c>
      <c r="E1220" t="s">
        <v>24</v>
      </c>
      <c r="F1220" t="s">
        <v>25</v>
      </c>
      <c r="G1220">
        <v>282</v>
      </c>
      <c r="H1220">
        <v>0.15</v>
      </c>
      <c r="I1220">
        <v>239.7</v>
      </c>
      <c r="J1220">
        <v>7</v>
      </c>
      <c r="K1220">
        <v>181.920237128331</v>
      </c>
      <c r="L1220">
        <v>1677.8999999999901</v>
      </c>
      <c r="M1220">
        <v>1273.44165989832</v>
      </c>
      <c r="N1220">
        <v>404.45834010167698</v>
      </c>
      <c r="O1220" t="s">
        <v>32</v>
      </c>
      <c r="P1220">
        <f t="shared" si="38"/>
        <v>1974</v>
      </c>
      <c r="Q1220">
        <f t="shared" si="39"/>
        <v>-404.45834010167005</v>
      </c>
    </row>
    <row r="1221" spans="1:17" x14ac:dyDescent="0.4">
      <c r="A1221" t="s">
        <v>2427</v>
      </c>
      <c r="B1221" s="1">
        <v>45779.5</v>
      </c>
      <c r="C1221" t="s">
        <v>16</v>
      </c>
      <c r="D1221" t="s">
        <v>2428</v>
      </c>
      <c r="E1221" t="s">
        <v>69</v>
      </c>
      <c r="F1221" t="s">
        <v>70</v>
      </c>
      <c r="G1221">
        <v>99</v>
      </c>
      <c r="H1221">
        <v>0</v>
      </c>
      <c r="I1221">
        <v>99</v>
      </c>
      <c r="J1221">
        <v>2</v>
      </c>
      <c r="K1221">
        <v>57.140905400549002</v>
      </c>
      <c r="L1221">
        <v>198</v>
      </c>
      <c r="M1221">
        <v>114.281810801098</v>
      </c>
      <c r="N1221">
        <v>83.718189198901996</v>
      </c>
      <c r="O1221" t="s">
        <v>51</v>
      </c>
      <c r="P1221">
        <f t="shared" si="38"/>
        <v>198</v>
      </c>
      <c r="Q1221">
        <f t="shared" si="39"/>
        <v>-83.718189198901996</v>
      </c>
    </row>
    <row r="1222" spans="1:17" x14ac:dyDescent="0.4">
      <c r="A1222" t="s">
        <v>2429</v>
      </c>
      <c r="B1222" s="1">
        <v>45447.875</v>
      </c>
      <c r="C1222" t="s">
        <v>43</v>
      </c>
      <c r="D1222" t="s">
        <v>2430</v>
      </c>
      <c r="E1222" t="s">
        <v>37</v>
      </c>
      <c r="F1222" t="s">
        <v>38</v>
      </c>
      <c r="G1222">
        <v>196</v>
      </c>
      <c r="H1222">
        <v>0</v>
      </c>
      <c r="I1222">
        <v>196</v>
      </c>
      <c r="J1222">
        <v>7</v>
      </c>
      <c r="K1222">
        <v>86.743330300654407</v>
      </c>
      <c r="L1222">
        <v>1372</v>
      </c>
      <c r="M1222">
        <v>607.20331210458096</v>
      </c>
      <c r="N1222">
        <v>764.79668789541802</v>
      </c>
      <c r="O1222" t="s">
        <v>32</v>
      </c>
      <c r="P1222">
        <f t="shared" si="38"/>
        <v>1372</v>
      </c>
      <c r="Q1222">
        <f t="shared" si="39"/>
        <v>-764.79668789541904</v>
      </c>
    </row>
    <row r="1223" spans="1:17" x14ac:dyDescent="0.4">
      <c r="A1223" t="s">
        <v>2431</v>
      </c>
      <c r="B1223" s="1">
        <v>45698.916666666664</v>
      </c>
      <c r="C1223" t="s">
        <v>46</v>
      </c>
      <c r="D1223" t="s">
        <v>2432</v>
      </c>
      <c r="E1223" t="s">
        <v>115</v>
      </c>
      <c r="F1223" t="s">
        <v>38</v>
      </c>
      <c r="G1223">
        <v>342</v>
      </c>
      <c r="H1223">
        <v>0.25</v>
      </c>
      <c r="I1223">
        <v>256.5</v>
      </c>
      <c r="J1223">
        <v>5</v>
      </c>
      <c r="K1223">
        <v>229.20414279168099</v>
      </c>
      <c r="L1223">
        <v>1282.5</v>
      </c>
      <c r="M1223">
        <v>1146.0207139583999</v>
      </c>
      <c r="N1223">
        <v>136.47928604159401</v>
      </c>
      <c r="O1223" t="s">
        <v>32</v>
      </c>
      <c r="P1223">
        <f t="shared" si="38"/>
        <v>1710</v>
      </c>
      <c r="Q1223">
        <f t="shared" si="39"/>
        <v>-136.47928604160006</v>
      </c>
    </row>
    <row r="1224" spans="1:17" x14ac:dyDescent="0.4">
      <c r="A1224" t="s">
        <v>2433</v>
      </c>
      <c r="B1224" s="1">
        <v>45458.583333333336</v>
      </c>
      <c r="C1224" t="s">
        <v>46</v>
      </c>
      <c r="D1224" t="s">
        <v>2434</v>
      </c>
      <c r="E1224" t="s">
        <v>110</v>
      </c>
      <c r="F1224" t="s">
        <v>19</v>
      </c>
      <c r="G1224">
        <v>276</v>
      </c>
      <c r="H1224">
        <v>0</v>
      </c>
      <c r="I1224">
        <v>276</v>
      </c>
      <c r="J1224">
        <v>4</v>
      </c>
      <c r="K1224">
        <v>123.1831317212</v>
      </c>
      <c r="L1224">
        <v>1104</v>
      </c>
      <c r="M1224">
        <v>492.73252688480301</v>
      </c>
      <c r="N1224">
        <v>611.26747311519603</v>
      </c>
      <c r="O1224" t="s">
        <v>51</v>
      </c>
      <c r="P1224">
        <f t="shared" si="38"/>
        <v>1104</v>
      </c>
      <c r="Q1224">
        <f t="shared" si="39"/>
        <v>-611.26747311519694</v>
      </c>
    </row>
    <row r="1225" spans="1:17" x14ac:dyDescent="0.4">
      <c r="A1225" t="s">
        <v>2435</v>
      </c>
      <c r="B1225" s="1">
        <v>45961.875</v>
      </c>
      <c r="C1225" t="s">
        <v>43</v>
      </c>
      <c r="D1225" t="s">
        <v>2436</v>
      </c>
      <c r="E1225" t="s">
        <v>146</v>
      </c>
      <c r="F1225" t="s">
        <v>70</v>
      </c>
      <c r="G1225">
        <v>93</v>
      </c>
      <c r="H1225">
        <v>0.15</v>
      </c>
      <c r="I1225">
        <v>79.05</v>
      </c>
      <c r="J1225">
        <v>5</v>
      </c>
      <c r="K1225">
        <v>46.333211529965702</v>
      </c>
      <c r="L1225">
        <v>395.25</v>
      </c>
      <c r="M1225">
        <v>231.66605764982799</v>
      </c>
      <c r="N1225">
        <v>163.58394235017099</v>
      </c>
      <c r="O1225" t="s">
        <v>20</v>
      </c>
      <c r="P1225">
        <f t="shared" si="38"/>
        <v>465</v>
      </c>
      <c r="Q1225">
        <f t="shared" si="39"/>
        <v>-163.58394235017201</v>
      </c>
    </row>
    <row r="1226" spans="1:17" x14ac:dyDescent="0.4">
      <c r="A1226" t="s">
        <v>2437</v>
      </c>
      <c r="B1226" s="1">
        <v>45304.25</v>
      </c>
      <c r="C1226" t="s">
        <v>65</v>
      </c>
      <c r="D1226" t="s">
        <v>2438</v>
      </c>
      <c r="E1226" t="s">
        <v>213</v>
      </c>
      <c r="F1226" t="s">
        <v>31</v>
      </c>
      <c r="G1226">
        <v>241</v>
      </c>
      <c r="H1226">
        <v>0.1</v>
      </c>
      <c r="I1226">
        <v>216.9</v>
      </c>
      <c r="J1226">
        <v>4</v>
      </c>
      <c r="K1226">
        <v>105.522110236142</v>
      </c>
      <c r="L1226">
        <v>867.6</v>
      </c>
      <c r="M1226">
        <v>422.08844094456998</v>
      </c>
      <c r="N1226">
        <v>445.51155905542902</v>
      </c>
      <c r="O1226" t="s">
        <v>32</v>
      </c>
      <c r="P1226">
        <f t="shared" si="38"/>
        <v>964</v>
      </c>
      <c r="Q1226">
        <f t="shared" si="39"/>
        <v>-445.51155905543004</v>
      </c>
    </row>
    <row r="1227" spans="1:17" x14ac:dyDescent="0.4">
      <c r="A1227" t="s">
        <v>2439</v>
      </c>
      <c r="B1227" s="1">
        <v>45716.041666666664</v>
      </c>
      <c r="C1227" t="s">
        <v>65</v>
      </c>
      <c r="D1227" t="s">
        <v>2440</v>
      </c>
      <c r="E1227" t="s">
        <v>37</v>
      </c>
      <c r="F1227" t="s">
        <v>38</v>
      </c>
      <c r="G1227">
        <v>157</v>
      </c>
      <c r="H1227">
        <v>0.2</v>
      </c>
      <c r="I1227">
        <v>125.6</v>
      </c>
      <c r="J1227">
        <v>2</v>
      </c>
      <c r="K1227">
        <v>66.418026939750504</v>
      </c>
      <c r="L1227">
        <v>251.2</v>
      </c>
      <c r="M1227">
        <v>132.83605387950101</v>
      </c>
      <c r="N1227">
        <v>118.363946120498</v>
      </c>
      <c r="O1227" t="s">
        <v>32</v>
      </c>
      <c r="P1227">
        <f t="shared" si="38"/>
        <v>314</v>
      </c>
      <c r="Q1227">
        <f t="shared" si="39"/>
        <v>-118.36394612049898</v>
      </c>
    </row>
    <row r="1228" spans="1:17" x14ac:dyDescent="0.4">
      <c r="A1228" t="s">
        <v>2441</v>
      </c>
      <c r="B1228" s="1">
        <v>45703.75</v>
      </c>
      <c r="C1228" t="s">
        <v>16</v>
      </c>
      <c r="D1228" t="s">
        <v>2442</v>
      </c>
      <c r="E1228" t="s">
        <v>97</v>
      </c>
      <c r="F1228" t="s">
        <v>61</v>
      </c>
      <c r="G1228">
        <v>162</v>
      </c>
      <c r="H1228">
        <v>0.2</v>
      </c>
      <c r="I1228">
        <v>129.6</v>
      </c>
      <c r="J1228">
        <v>3</v>
      </c>
      <c r="K1228">
        <v>70.483147492595407</v>
      </c>
      <c r="L1228">
        <v>388.79999999999899</v>
      </c>
      <c r="M1228">
        <v>211.44944247778599</v>
      </c>
      <c r="N1228">
        <v>177.35055752221299</v>
      </c>
      <c r="O1228" t="s">
        <v>32</v>
      </c>
      <c r="P1228">
        <f t="shared" si="38"/>
        <v>486</v>
      </c>
      <c r="Q1228">
        <f t="shared" si="39"/>
        <v>-177.35055752221299</v>
      </c>
    </row>
    <row r="1229" spans="1:17" x14ac:dyDescent="0.4">
      <c r="A1229" t="s">
        <v>2443</v>
      </c>
      <c r="B1229" s="1">
        <v>45339.333333333336</v>
      </c>
      <c r="C1229" t="s">
        <v>16</v>
      </c>
      <c r="D1229" t="s">
        <v>2444</v>
      </c>
      <c r="E1229" t="s">
        <v>37</v>
      </c>
      <c r="F1229" t="s">
        <v>38</v>
      </c>
      <c r="G1229">
        <v>227</v>
      </c>
      <c r="H1229">
        <v>0.1</v>
      </c>
      <c r="I1229">
        <v>204.3</v>
      </c>
      <c r="J1229">
        <v>4</v>
      </c>
      <c r="K1229">
        <v>150.857678316967</v>
      </c>
      <c r="L1229">
        <v>817.2</v>
      </c>
      <c r="M1229">
        <v>603.43071326786799</v>
      </c>
      <c r="N1229">
        <v>213.76928673213101</v>
      </c>
      <c r="O1229" t="s">
        <v>51</v>
      </c>
      <c r="P1229">
        <f t="shared" si="38"/>
        <v>908</v>
      </c>
      <c r="Q1229">
        <f t="shared" si="39"/>
        <v>-213.76928673213206</v>
      </c>
    </row>
    <row r="1230" spans="1:17" x14ac:dyDescent="0.4">
      <c r="A1230" t="s">
        <v>2445</v>
      </c>
      <c r="B1230" s="1">
        <v>45378</v>
      </c>
      <c r="C1230" t="s">
        <v>65</v>
      </c>
      <c r="D1230" t="s">
        <v>2446</v>
      </c>
      <c r="E1230" t="s">
        <v>85</v>
      </c>
      <c r="F1230" t="s">
        <v>70</v>
      </c>
      <c r="G1230">
        <v>325</v>
      </c>
      <c r="H1230">
        <v>0.1</v>
      </c>
      <c r="I1230">
        <v>292.5</v>
      </c>
      <c r="J1230">
        <v>4</v>
      </c>
      <c r="K1230">
        <v>147.39090940495899</v>
      </c>
      <c r="L1230">
        <v>1170</v>
      </c>
      <c r="M1230">
        <v>589.56363761983903</v>
      </c>
      <c r="N1230">
        <v>580.43636238015995</v>
      </c>
      <c r="O1230" t="s">
        <v>32</v>
      </c>
      <c r="P1230">
        <f t="shared" si="38"/>
        <v>1300</v>
      </c>
      <c r="Q1230">
        <f t="shared" si="39"/>
        <v>-580.43636238016097</v>
      </c>
    </row>
    <row r="1231" spans="1:17" x14ac:dyDescent="0.4">
      <c r="A1231" t="s">
        <v>2447</v>
      </c>
      <c r="B1231" s="1">
        <v>45584.041666666664</v>
      </c>
      <c r="C1231" t="s">
        <v>16</v>
      </c>
      <c r="D1231" t="s">
        <v>2448</v>
      </c>
      <c r="E1231" t="s">
        <v>115</v>
      </c>
      <c r="F1231" t="s">
        <v>38</v>
      </c>
      <c r="G1231">
        <v>295</v>
      </c>
      <c r="H1231">
        <v>0.15</v>
      </c>
      <c r="I1231">
        <v>250.75</v>
      </c>
      <c r="J1231">
        <v>2</v>
      </c>
      <c r="K1231">
        <v>199.553882086958</v>
      </c>
      <c r="L1231">
        <v>501.5</v>
      </c>
      <c r="M1231">
        <v>399.107764173916</v>
      </c>
      <c r="N1231">
        <v>102.392235826083</v>
      </c>
      <c r="O1231" t="s">
        <v>26</v>
      </c>
      <c r="P1231">
        <f t="shared" si="38"/>
        <v>590</v>
      </c>
      <c r="Q1231">
        <f t="shared" si="39"/>
        <v>-102.392235826084</v>
      </c>
    </row>
    <row r="1232" spans="1:17" x14ac:dyDescent="0.4">
      <c r="A1232" t="s">
        <v>2449</v>
      </c>
      <c r="B1232" s="1">
        <v>45833.125</v>
      </c>
      <c r="C1232" t="s">
        <v>43</v>
      </c>
      <c r="D1232" t="s">
        <v>2450</v>
      </c>
      <c r="E1232" t="s">
        <v>97</v>
      </c>
      <c r="F1232" t="s">
        <v>61</v>
      </c>
      <c r="G1232">
        <v>187</v>
      </c>
      <c r="H1232">
        <v>0.15</v>
      </c>
      <c r="I1232">
        <v>158.94999999999999</v>
      </c>
      <c r="J1232">
        <v>5</v>
      </c>
      <c r="K1232">
        <v>129.919766667517</v>
      </c>
      <c r="L1232">
        <v>794.75</v>
      </c>
      <c r="M1232">
        <v>649.59883333758705</v>
      </c>
      <c r="N1232">
        <v>145.15116666241201</v>
      </c>
      <c r="O1232" t="s">
        <v>32</v>
      </c>
      <c r="P1232">
        <f t="shared" si="38"/>
        <v>935</v>
      </c>
      <c r="Q1232">
        <f t="shared" si="39"/>
        <v>-145.15116666241295</v>
      </c>
    </row>
    <row r="1233" spans="1:17" x14ac:dyDescent="0.4">
      <c r="A1233" t="s">
        <v>2451</v>
      </c>
      <c r="B1233" s="1">
        <v>45481.291666666664</v>
      </c>
      <c r="C1233" t="s">
        <v>16</v>
      </c>
      <c r="D1233" t="s">
        <v>2452</v>
      </c>
      <c r="E1233" t="s">
        <v>146</v>
      </c>
      <c r="F1233" t="s">
        <v>70</v>
      </c>
      <c r="G1233">
        <v>194</v>
      </c>
      <c r="H1233">
        <v>0</v>
      </c>
      <c r="I1233">
        <v>194</v>
      </c>
      <c r="J1233">
        <v>2</v>
      </c>
      <c r="K1233">
        <v>81.688962745831503</v>
      </c>
      <c r="L1233">
        <v>388</v>
      </c>
      <c r="M1233">
        <v>163.37792549166301</v>
      </c>
      <c r="N1233">
        <v>224.622074508336</v>
      </c>
      <c r="O1233" t="s">
        <v>26</v>
      </c>
      <c r="P1233">
        <f t="shared" si="38"/>
        <v>388</v>
      </c>
      <c r="Q1233">
        <f t="shared" si="39"/>
        <v>-224.62207450833699</v>
      </c>
    </row>
    <row r="1234" spans="1:17" x14ac:dyDescent="0.4">
      <c r="A1234" t="s">
        <v>2453</v>
      </c>
      <c r="B1234" s="1">
        <v>45333.958333333336</v>
      </c>
      <c r="C1234" t="s">
        <v>16</v>
      </c>
      <c r="D1234" t="s">
        <v>2454</v>
      </c>
      <c r="E1234" t="s">
        <v>85</v>
      </c>
      <c r="F1234" t="s">
        <v>70</v>
      </c>
      <c r="G1234">
        <v>109</v>
      </c>
      <c r="H1234">
        <v>0.05</v>
      </c>
      <c r="I1234">
        <v>103.55</v>
      </c>
      <c r="J1234">
        <v>4</v>
      </c>
      <c r="K1234">
        <v>61.950866449387597</v>
      </c>
      <c r="L1234">
        <v>414.2</v>
      </c>
      <c r="M1234">
        <v>247.80346579754999</v>
      </c>
      <c r="N1234">
        <v>166.396534202449</v>
      </c>
      <c r="O1234" t="s">
        <v>32</v>
      </c>
      <c r="P1234">
        <f t="shared" si="38"/>
        <v>436</v>
      </c>
      <c r="Q1234">
        <f t="shared" si="39"/>
        <v>-166.39653420245</v>
      </c>
    </row>
    <row r="1235" spans="1:17" x14ac:dyDescent="0.4">
      <c r="A1235" t="s">
        <v>2455</v>
      </c>
      <c r="B1235" s="1">
        <v>45518.875</v>
      </c>
      <c r="C1235" t="s">
        <v>16</v>
      </c>
      <c r="D1235" t="s">
        <v>2456</v>
      </c>
      <c r="E1235" t="s">
        <v>18</v>
      </c>
      <c r="F1235" t="s">
        <v>19</v>
      </c>
      <c r="G1235">
        <v>176</v>
      </c>
      <c r="H1235">
        <v>0.1</v>
      </c>
      <c r="I1235">
        <v>158.4</v>
      </c>
      <c r="J1235">
        <v>3</v>
      </c>
      <c r="K1235">
        <v>86.168414744728594</v>
      </c>
      <c r="L1235">
        <v>475.2</v>
      </c>
      <c r="M1235">
        <v>258.505244234185</v>
      </c>
      <c r="N1235">
        <v>216.69475576581399</v>
      </c>
      <c r="O1235" t="s">
        <v>32</v>
      </c>
      <c r="P1235">
        <f t="shared" si="38"/>
        <v>528</v>
      </c>
      <c r="Q1235">
        <f t="shared" si="39"/>
        <v>-216.69475576581499</v>
      </c>
    </row>
    <row r="1236" spans="1:17" x14ac:dyDescent="0.4">
      <c r="A1236" t="s">
        <v>2457</v>
      </c>
      <c r="B1236" s="1">
        <v>45738.083333333336</v>
      </c>
      <c r="C1236" t="s">
        <v>28</v>
      </c>
      <c r="D1236" t="s">
        <v>2458</v>
      </c>
      <c r="E1236" t="s">
        <v>69</v>
      </c>
      <c r="F1236" t="s">
        <v>70</v>
      </c>
      <c r="G1236">
        <v>207</v>
      </c>
      <c r="H1236">
        <v>0.1</v>
      </c>
      <c r="I1236">
        <v>186.3</v>
      </c>
      <c r="J1236">
        <v>7</v>
      </c>
      <c r="K1236">
        <v>86.863008263152906</v>
      </c>
      <c r="L1236">
        <v>1304.0999999999999</v>
      </c>
      <c r="M1236">
        <v>608.04105784207002</v>
      </c>
      <c r="N1236">
        <v>696.05894215792898</v>
      </c>
      <c r="O1236" t="s">
        <v>51</v>
      </c>
      <c r="P1236">
        <f t="shared" si="38"/>
        <v>1449</v>
      </c>
      <c r="Q1236">
        <f t="shared" si="39"/>
        <v>-696.05894215792989</v>
      </c>
    </row>
    <row r="1237" spans="1:17" x14ac:dyDescent="0.4">
      <c r="A1237" t="s">
        <v>2459</v>
      </c>
      <c r="B1237" s="1">
        <v>45906.541666666664</v>
      </c>
      <c r="C1237" t="s">
        <v>46</v>
      </c>
      <c r="D1237" t="s">
        <v>2460</v>
      </c>
      <c r="E1237" t="s">
        <v>30</v>
      </c>
      <c r="F1237" t="s">
        <v>31</v>
      </c>
      <c r="G1237">
        <v>88</v>
      </c>
      <c r="H1237">
        <v>0.05</v>
      </c>
      <c r="I1237">
        <v>83.6</v>
      </c>
      <c r="J1237">
        <v>2</v>
      </c>
      <c r="K1237">
        <v>63.282617080631901</v>
      </c>
      <c r="L1237">
        <v>167.2</v>
      </c>
      <c r="M1237">
        <v>126.56523416126301</v>
      </c>
      <c r="N1237">
        <v>40.634765838736001</v>
      </c>
      <c r="O1237" t="s">
        <v>51</v>
      </c>
      <c r="P1237">
        <f t="shared" si="38"/>
        <v>176</v>
      </c>
      <c r="Q1237">
        <f t="shared" si="39"/>
        <v>-40.634765838736982</v>
      </c>
    </row>
    <row r="1238" spans="1:17" x14ac:dyDescent="0.4">
      <c r="A1238" t="s">
        <v>2461</v>
      </c>
      <c r="B1238" s="1">
        <v>45780.25</v>
      </c>
      <c r="C1238" t="s">
        <v>65</v>
      </c>
      <c r="D1238" t="s">
        <v>2462</v>
      </c>
      <c r="E1238" t="s">
        <v>37</v>
      </c>
      <c r="F1238" t="s">
        <v>38</v>
      </c>
      <c r="G1238">
        <v>314</v>
      </c>
      <c r="H1238">
        <v>0</v>
      </c>
      <c r="I1238">
        <v>314</v>
      </c>
      <c r="J1238">
        <v>4</v>
      </c>
      <c r="K1238">
        <v>154.23510066191</v>
      </c>
      <c r="L1238">
        <v>1256</v>
      </c>
      <c r="M1238">
        <v>616.94040264764203</v>
      </c>
      <c r="N1238">
        <v>639.05959735235695</v>
      </c>
      <c r="O1238" t="s">
        <v>32</v>
      </c>
      <c r="P1238">
        <f t="shared" si="38"/>
        <v>1256</v>
      </c>
      <c r="Q1238">
        <f t="shared" si="39"/>
        <v>-639.05959735235797</v>
      </c>
    </row>
    <row r="1239" spans="1:17" x14ac:dyDescent="0.4">
      <c r="A1239" t="s">
        <v>2463</v>
      </c>
      <c r="B1239" s="1">
        <v>45685.291666666664</v>
      </c>
      <c r="C1239" t="s">
        <v>46</v>
      </c>
      <c r="D1239" t="s">
        <v>2464</v>
      </c>
      <c r="E1239" t="s">
        <v>73</v>
      </c>
      <c r="F1239" t="s">
        <v>38</v>
      </c>
      <c r="G1239">
        <v>276</v>
      </c>
      <c r="H1239">
        <v>0.15</v>
      </c>
      <c r="I1239">
        <v>234.6</v>
      </c>
      <c r="J1239">
        <v>6</v>
      </c>
      <c r="K1239">
        <v>190.67810786214099</v>
      </c>
      <c r="L1239">
        <v>1407.6</v>
      </c>
      <c r="M1239">
        <v>1144.06864717284</v>
      </c>
      <c r="N1239">
        <v>263.53135282715101</v>
      </c>
      <c r="O1239" t="s">
        <v>32</v>
      </c>
      <c r="P1239">
        <f t="shared" si="38"/>
        <v>1656</v>
      </c>
      <c r="Q1239">
        <f t="shared" si="39"/>
        <v>-263.53135282715994</v>
      </c>
    </row>
    <row r="1240" spans="1:17" x14ac:dyDescent="0.4">
      <c r="A1240" t="s">
        <v>2465</v>
      </c>
      <c r="B1240" s="1">
        <v>45845.375</v>
      </c>
      <c r="C1240" t="s">
        <v>46</v>
      </c>
      <c r="D1240" t="s">
        <v>2466</v>
      </c>
      <c r="E1240" t="s">
        <v>60</v>
      </c>
      <c r="F1240" t="s">
        <v>61</v>
      </c>
      <c r="G1240">
        <v>206</v>
      </c>
      <c r="H1240">
        <v>0</v>
      </c>
      <c r="I1240">
        <v>206</v>
      </c>
      <c r="J1240">
        <v>6</v>
      </c>
      <c r="K1240">
        <v>94.359798368168796</v>
      </c>
      <c r="L1240">
        <v>1236</v>
      </c>
      <c r="M1240">
        <v>566.15879020901195</v>
      </c>
      <c r="N1240">
        <v>669.84120979098702</v>
      </c>
      <c r="O1240" t="s">
        <v>26</v>
      </c>
      <c r="P1240">
        <f t="shared" si="38"/>
        <v>1236</v>
      </c>
      <c r="Q1240">
        <f t="shared" si="39"/>
        <v>-669.84120979098805</v>
      </c>
    </row>
    <row r="1241" spans="1:17" x14ac:dyDescent="0.4">
      <c r="A1241" t="s">
        <v>2467</v>
      </c>
      <c r="B1241" s="1">
        <v>45351.791666666664</v>
      </c>
      <c r="C1241" t="s">
        <v>16</v>
      </c>
      <c r="D1241" t="s">
        <v>2468</v>
      </c>
      <c r="E1241" t="s">
        <v>18</v>
      </c>
      <c r="F1241" t="s">
        <v>19</v>
      </c>
      <c r="G1241">
        <v>326</v>
      </c>
      <c r="H1241">
        <v>0.05</v>
      </c>
      <c r="I1241">
        <v>309.7</v>
      </c>
      <c r="J1241">
        <v>3</v>
      </c>
      <c r="K1241">
        <v>158.53904792900499</v>
      </c>
      <c r="L1241">
        <v>929.099999999999</v>
      </c>
      <c r="M1241">
        <v>475.61714378701703</v>
      </c>
      <c r="N1241">
        <v>453.48285621298203</v>
      </c>
      <c r="O1241" t="s">
        <v>32</v>
      </c>
      <c r="P1241">
        <f t="shared" si="38"/>
        <v>978</v>
      </c>
      <c r="Q1241">
        <f t="shared" si="39"/>
        <v>-453.48285621298197</v>
      </c>
    </row>
    <row r="1242" spans="1:17" x14ac:dyDescent="0.4">
      <c r="A1242" t="s">
        <v>2469</v>
      </c>
      <c r="B1242" s="1">
        <v>45315.791666666664</v>
      </c>
      <c r="C1242" t="s">
        <v>28</v>
      </c>
      <c r="D1242" t="s">
        <v>2470</v>
      </c>
      <c r="E1242" t="s">
        <v>41</v>
      </c>
      <c r="F1242" t="s">
        <v>31</v>
      </c>
      <c r="G1242">
        <v>216</v>
      </c>
      <c r="H1242">
        <v>0.1</v>
      </c>
      <c r="I1242">
        <v>194.4</v>
      </c>
      <c r="J1242">
        <v>4</v>
      </c>
      <c r="K1242">
        <v>113.380782868398</v>
      </c>
      <c r="L1242">
        <v>777.6</v>
      </c>
      <c r="M1242">
        <v>453.52313147359303</v>
      </c>
      <c r="N1242">
        <v>324.07686852640597</v>
      </c>
      <c r="O1242" t="s">
        <v>32</v>
      </c>
      <c r="P1242">
        <f t="shared" si="38"/>
        <v>864</v>
      </c>
      <c r="Q1242">
        <f t="shared" si="39"/>
        <v>-324.076868526407</v>
      </c>
    </row>
    <row r="1243" spans="1:17" x14ac:dyDescent="0.4">
      <c r="A1243" t="s">
        <v>2471</v>
      </c>
      <c r="B1243" s="1">
        <v>45391.25</v>
      </c>
      <c r="C1243" t="s">
        <v>22</v>
      </c>
      <c r="D1243" t="s">
        <v>2472</v>
      </c>
      <c r="E1243" t="s">
        <v>213</v>
      </c>
      <c r="F1243" t="s">
        <v>31</v>
      </c>
      <c r="G1243">
        <v>234</v>
      </c>
      <c r="H1243">
        <v>0.1</v>
      </c>
      <c r="I1243">
        <v>210.6</v>
      </c>
      <c r="J1243">
        <v>1</v>
      </c>
      <c r="K1243">
        <v>149.16039869064301</v>
      </c>
      <c r="L1243">
        <v>210.6</v>
      </c>
      <c r="M1243">
        <v>149.16039869064301</v>
      </c>
      <c r="N1243">
        <v>61.4396013093561</v>
      </c>
      <c r="O1243" t="s">
        <v>26</v>
      </c>
      <c r="P1243">
        <f t="shared" si="38"/>
        <v>234</v>
      </c>
      <c r="Q1243">
        <f t="shared" si="39"/>
        <v>-61.439601309356988</v>
      </c>
    </row>
    <row r="1244" spans="1:17" x14ac:dyDescent="0.4">
      <c r="A1244" t="s">
        <v>2473</v>
      </c>
      <c r="B1244" s="1">
        <v>45503.833333333336</v>
      </c>
      <c r="C1244" t="s">
        <v>22</v>
      </c>
      <c r="D1244" t="s">
        <v>2474</v>
      </c>
      <c r="E1244" t="s">
        <v>115</v>
      </c>
      <c r="F1244" t="s">
        <v>38</v>
      </c>
      <c r="G1244">
        <v>328</v>
      </c>
      <c r="H1244">
        <v>0.25</v>
      </c>
      <c r="I1244">
        <v>246</v>
      </c>
      <c r="J1244">
        <v>7</v>
      </c>
      <c r="K1244">
        <v>217.637843506081</v>
      </c>
      <c r="L1244">
        <v>1722</v>
      </c>
      <c r="M1244">
        <v>1523.4649045425699</v>
      </c>
      <c r="N1244">
        <v>198.53509545742801</v>
      </c>
      <c r="O1244" t="s">
        <v>51</v>
      </c>
      <c r="P1244">
        <f t="shared" si="38"/>
        <v>2296</v>
      </c>
      <c r="Q1244">
        <f t="shared" si="39"/>
        <v>-198.53509545743009</v>
      </c>
    </row>
    <row r="1245" spans="1:17" x14ac:dyDescent="0.4">
      <c r="A1245" t="s">
        <v>2475</v>
      </c>
      <c r="B1245" s="1">
        <v>45986.208333333336</v>
      </c>
      <c r="C1245" t="s">
        <v>43</v>
      </c>
      <c r="D1245" t="s">
        <v>2476</v>
      </c>
      <c r="E1245" t="s">
        <v>73</v>
      </c>
      <c r="F1245" t="s">
        <v>38</v>
      </c>
      <c r="G1245">
        <v>171</v>
      </c>
      <c r="H1245">
        <v>0.1</v>
      </c>
      <c r="I1245">
        <v>153.9</v>
      </c>
      <c r="J1245">
        <v>3</v>
      </c>
      <c r="K1245">
        <v>87.239919579459894</v>
      </c>
      <c r="L1245">
        <v>461.7</v>
      </c>
      <c r="M1245">
        <v>261.71975873837903</v>
      </c>
      <c r="N1245">
        <v>199.98024126161999</v>
      </c>
      <c r="O1245" t="s">
        <v>32</v>
      </c>
      <c r="P1245">
        <f t="shared" si="38"/>
        <v>513</v>
      </c>
      <c r="Q1245">
        <f t="shared" si="39"/>
        <v>-199.98024126162096</v>
      </c>
    </row>
    <row r="1246" spans="1:17" x14ac:dyDescent="0.4">
      <c r="A1246" t="s">
        <v>2477</v>
      </c>
      <c r="B1246" s="1">
        <v>45854.791666666664</v>
      </c>
      <c r="C1246" t="s">
        <v>46</v>
      </c>
      <c r="D1246" t="s">
        <v>2478</v>
      </c>
      <c r="E1246" t="s">
        <v>110</v>
      </c>
      <c r="F1246" t="s">
        <v>19</v>
      </c>
      <c r="G1246">
        <v>141</v>
      </c>
      <c r="H1246">
        <v>0.15</v>
      </c>
      <c r="I1246">
        <v>119.85</v>
      </c>
      <c r="J1246">
        <v>1</v>
      </c>
      <c r="K1246">
        <v>60.945008061462303</v>
      </c>
      <c r="L1246">
        <v>119.85</v>
      </c>
      <c r="M1246">
        <v>60.945008061462303</v>
      </c>
      <c r="N1246">
        <v>58.904991938537599</v>
      </c>
      <c r="O1246" t="s">
        <v>51</v>
      </c>
      <c r="P1246">
        <f t="shared" si="38"/>
        <v>141</v>
      </c>
      <c r="Q1246">
        <f t="shared" si="39"/>
        <v>-58.904991938537691</v>
      </c>
    </row>
    <row r="1247" spans="1:17" x14ac:dyDescent="0.4">
      <c r="A1247" t="s">
        <v>2479</v>
      </c>
      <c r="B1247" s="1">
        <v>45586.125</v>
      </c>
      <c r="C1247" t="s">
        <v>46</v>
      </c>
      <c r="D1247" t="s">
        <v>1428</v>
      </c>
      <c r="E1247" t="s">
        <v>115</v>
      </c>
      <c r="F1247" t="s">
        <v>38</v>
      </c>
      <c r="G1247">
        <v>345</v>
      </c>
      <c r="H1247">
        <v>0.25</v>
      </c>
      <c r="I1247">
        <v>258.75</v>
      </c>
      <c r="J1247">
        <v>6</v>
      </c>
      <c r="K1247">
        <v>218.95267339506901</v>
      </c>
      <c r="L1247">
        <v>1552.5</v>
      </c>
      <c r="M1247">
        <v>1313.7160403704099</v>
      </c>
      <c r="N1247">
        <v>238.78395962958501</v>
      </c>
      <c r="O1247" t="s">
        <v>105</v>
      </c>
      <c r="P1247">
        <f t="shared" si="38"/>
        <v>2070</v>
      </c>
      <c r="Q1247">
        <f t="shared" si="39"/>
        <v>-238.78395962959007</v>
      </c>
    </row>
    <row r="1248" spans="1:17" x14ac:dyDescent="0.4">
      <c r="A1248" t="s">
        <v>2480</v>
      </c>
      <c r="B1248" s="1">
        <v>45824.125</v>
      </c>
      <c r="C1248" t="s">
        <v>22</v>
      </c>
      <c r="D1248" t="s">
        <v>2481</v>
      </c>
      <c r="E1248" t="s">
        <v>69</v>
      </c>
      <c r="F1248" t="s">
        <v>70</v>
      </c>
      <c r="G1248">
        <v>211</v>
      </c>
      <c r="H1248">
        <v>0</v>
      </c>
      <c r="I1248">
        <v>211</v>
      </c>
      <c r="J1248">
        <v>4</v>
      </c>
      <c r="K1248">
        <v>136.55382901351999</v>
      </c>
      <c r="L1248">
        <v>844</v>
      </c>
      <c r="M1248">
        <v>546.21531605407995</v>
      </c>
      <c r="N1248">
        <v>297.78468394591903</v>
      </c>
      <c r="O1248" t="s">
        <v>51</v>
      </c>
      <c r="P1248">
        <f t="shared" si="38"/>
        <v>844</v>
      </c>
      <c r="Q1248">
        <f t="shared" si="39"/>
        <v>-297.78468394592005</v>
      </c>
    </row>
    <row r="1249" spans="1:17" x14ac:dyDescent="0.4">
      <c r="A1249" t="s">
        <v>2482</v>
      </c>
      <c r="B1249" s="1">
        <v>45604.125</v>
      </c>
      <c r="C1249" t="s">
        <v>43</v>
      </c>
      <c r="D1249" t="s">
        <v>2011</v>
      </c>
      <c r="E1249" t="s">
        <v>73</v>
      </c>
      <c r="F1249" t="s">
        <v>38</v>
      </c>
      <c r="G1249">
        <v>277</v>
      </c>
      <c r="H1249">
        <v>0.15</v>
      </c>
      <c r="I1249">
        <v>235.45</v>
      </c>
      <c r="J1249">
        <v>4</v>
      </c>
      <c r="K1249">
        <v>137.259318693447</v>
      </c>
      <c r="L1249">
        <v>941.8</v>
      </c>
      <c r="M1249">
        <v>549.03727477379095</v>
      </c>
      <c r="N1249">
        <v>392.76272522620798</v>
      </c>
      <c r="O1249" t="s">
        <v>32</v>
      </c>
      <c r="P1249">
        <f t="shared" si="38"/>
        <v>1108</v>
      </c>
      <c r="Q1249">
        <f t="shared" si="39"/>
        <v>-392.762725226209</v>
      </c>
    </row>
    <row r="1250" spans="1:17" x14ac:dyDescent="0.4">
      <c r="A1250" t="s">
        <v>2483</v>
      </c>
      <c r="B1250" s="1">
        <v>45897.291666666664</v>
      </c>
      <c r="C1250" t="s">
        <v>16</v>
      </c>
      <c r="D1250" t="s">
        <v>2484</v>
      </c>
      <c r="E1250" t="s">
        <v>82</v>
      </c>
      <c r="F1250" t="s">
        <v>25</v>
      </c>
      <c r="G1250">
        <v>299</v>
      </c>
      <c r="H1250">
        <v>0.05</v>
      </c>
      <c r="I1250">
        <v>284.05</v>
      </c>
      <c r="J1250">
        <v>6</v>
      </c>
      <c r="K1250">
        <v>146.24670159522501</v>
      </c>
      <c r="L1250">
        <v>1704.3</v>
      </c>
      <c r="M1250">
        <v>877.48020957135304</v>
      </c>
      <c r="N1250">
        <v>826.81979042864702</v>
      </c>
      <c r="O1250" t="s">
        <v>20</v>
      </c>
      <c r="P1250">
        <f t="shared" si="38"/>
        <v>1794</v>
      </c>
      <c r="Q1250">
        <f t="shared" si="39"/>
        <v>-826.81979042864691</v>
      </c>
    </row>
    <row r="1251" spans="1:17" x14ac:dyDescent="0.4">
      <c r="A1251" t="s">
        <v>2485</v>
      </c>
      <c r="B1251" s="1">
        <v>46018</v>
      </c>
      <c r="C1251" t="s">
        <v>65</v>
      </c>
      <c r="D1251" t="s">
        <v>2486</v>
      </c>
      <c r="E1251" t="s">
        <v>213</v>
      </c>
      <c r="F1251" t="s">
        <v>31</v>
      </c>
      <c r="G1251">
        <v>268</v>
      </c>
      <c r="H1251">
        <v>0.15</v>
      </c>
      <c r="I1251">
        <v>227.79999999999899</v>
      </c>
      <c r="J1251">
        <v>2</v>
      </c>
      <c r="K1251">
        <v>150.45509876520899</v>
      </c>
      <c r="L1251">
        <v>455.599999999999</v>
      </c>
      <c r="M1251">
        <v>300.910197530419</v>
      </c>
      <c r="N1251">
        <v>154.68980246958</v>
      </c>
      <c r="O1251" t="s">
        <v>32</v>
      </c>
      <c r="P1251">
        <f t="shared" si="38"/>
        <v>536</v>
      </c>
      <c r="Q1251">
        <f t="shared" si="39"/>
        <v>-154.68980246958</v>
      </c>
    </row>
    <row r="1252" spans="1:17" x14ac:dyDescent="0.4">
      <c r="A1252" t="s">
        <v>2487</v>
      </c>
      <c r="B1252" s="1">
        <v>45911.125</v>
      </c>
      <c r="C1252" t="s">
        <v>65</v>
      </c>
      <c r="D1252" t="s">
        <v>2488</v>
      </c>
      <c r="E1252" t="s">
        <v>24</v>
      </c>
      <c r="F1252" t="s">
        <v>25</v>
      </c>
      <c r="G1252">
        <v>239</v>
      </c>
      <c r="H1252">
        <v>0</v>
      </c>
      <c r="I1252">
        <v>239</v>
      </c>
      <c r="J1252">
        <v>2</v>
      </c>
      <c r="K1252">
        <v>158.29122381066699</v>
      </c>
      <c r="L1252">
        <v>478</v>
      </c>
      <c r="M1252">
        <v>316.58244762133501</v>
      </c>
      <c r="N1252">
        <v>161.417552378664</v>
      </c>
      <c r="O1252" t="s">
        <v>51</v>
      </c>
      <c r="P1252">
        <f t="shared" si="38"/>
        <v>478</v>
      </c>
      <c r="Q1252">
        <f t="shared" si="39"/>
        <v>-161.41755237866499</v>
      </c>
    </row>
    <row r="1253" spans="1:17" x14ac:dyDescent="0.4">
      <c r="A1253" t="s">
        <v>2489</v>
      </c>
      <c r="B1253" s="1">
        <v>45628.375</v>
      </c>
      <c r="C1253" t="s">
        <v>65</v>
      </c>
      <c r="D1253" t="s">
        <v>2490</v>
      </c>
      <c r="E1253" t="s">
        <v>30</v>
      </c>
      <c r="F1253" t="s">
        <v>31</v>
      </c>
      <c r="G1253">
        <v>84</v>
      </c>
      <c r="H1253">
        <v>0.05</v>
      </c>
      <c r="I1253">
        <v>79.8</v>
      </c>
      <c r="J1253">
        <v>1</v>
      </c>
      <c r="K1253">
        <v>55.796374754585301</v>
      </c>
      <c r="L1253">
        <v>79.8</v>
      </c>
      <c r="M1253">
        <v>55.796374754585301</v>
      </c>
      <c r="N1253">
        <v>24.0036252454146</v>
      </c>
      <c r="O1253" t="s">
        <v>51</v>
      </c>
      <c r="P1253">
        <f t="shared" si="38"/>
        <v>84</v>
      </c>
      <c r="Q1253">
        <f t="shared" si="39"/>
        <v>-24.003625245414696</v>
      </c>
    </row>
    <row r="1254" spans="1:17" x14ac:dyDescent="0.4">
      <c r="A1254" t="s">
        <v>2491</v>
      </c>
      <c r="B1254" s="1">
        <v>45670.208333333336</v>
      </c>
      <c r="C1254" t="s">
        <v>28</v>
      </c>
      <c r="D1254" t="s">
        <v>2492</v>
      </c>
      <c r="E1254" t="s">
        <v>24</v>
      </c>
      <c r="F1254" t="s">
        <v>25</v>
      </c>
      <c r="G1254">
        <v>94</v>
      </c>
      <c r="H1254">
        <v>0</v>
      </c>
      <c r="I1254">
        <v>94</v>
      </c>
      <c r="J1254">
        <v>1</v>
      </c>
      <c r="K1254">
        <v>40.293243544646003</v>
      </c>
      <c r="L1254">
        <v>94</v>
      </c>
      <c r="M1254">
        <v>40.293243544646003</v>
      </c>
      <c r="N1254">
        <v>53.706756455353897</v>
      </c>
      <c r="O1254" t="s">
        <v>26</v>
      </c>
      <c r="P1254">
        <f t="shared" si="38"/>
        <v>94</v>
      </c>
      <c r="Q1254">
        <f t="shared" si="39"/>
        <v>-53.706756455353997</v>
      </c>
    </row>
    <row r="1255" spans="1:17" x14ac:dyDescent="0.4">
      <c r="A1255" t="s">
        <v>2493</v>
      </c>
      <c r="B1255" s="1">
        <v>45766.291666666664</v>
      </c>
      <c r="C1255" t="s">
        <v>16</v>
      </c>
      <c r="D1255" t="s">
        <v>2494</v>
      </c>
      <c r="E1255" t="s">
        <v>94</v>
      </c>
      <c r="F1255" t="s">
        <v>61</v>
      </c>
      <c r="G1255">
        <v>297</v>
      </c>
      <c r="H1255">
        <v>0.1</v>
      </c>
      <c r="I1255">
        <v>267.3</v>
      </c>
      <c r="J1255">
        <v>7</v>
      </c>
      <c r="K1255">
        <v>174.00882447346399</v>
      </c>
      <c r="L1255">
        <v>1871.1</v>
      </c>
      <c r="M1255">
        <v>1218.0617713142501</v>
      </c>
      <c r="N1255">
        <v>653.03822868574503</v>
      </c>
      <c r="O1255" t="s">
        <v>32</v>
      </c>
      <c r="P1255">
        <f t="shared" si="38"/>
        <v>2079</v>
      </c>
      <c r="Q1255">
        <f t="shared" si="39"/>
        <v>-653.0382286857498</v>
      </c>
    </row>
    <row r="1256" spans="1:17" x14ac:dyDescent="0.4">
      <c r="A1256" t="s">
        <v>2495</v>
      </c>
      <c r="B1256" s="1">
        <v>45974.416666666664</v>
      </c>
      <c r="C1256" t="s">
        <v>28</v>
      </c>
      <c r="D1256" t="s">
        <v>2496</v>
      </c>
      <c r="E1256" t="s">
        <v>73</v>
      </c>
      <c r="F1256" t="s">
        <v>38</v>
      </c>
      <c r="G1256">
        <v>286</v>
      </c>
      <c r="H1256">
        <v>0.05</v>
      </c>
      <c r="I1256">
        <v>271.7</v>
      </c>
      <c r="J1256">
        <v>1</v>
      </c>
      <c r="K1256">
        <v>152.526600723087</v>
      </c>
      <c r="L1256">
        <v>271.7</v>
      </c>
      <c r="M1256">
        <v>152.526600723087</v>
      </c>
      <c r="N1256">
        <v>119.17339927691199</v>
      </c>
      <c r="O1256" t="s">
        <v>32</v>
      </c>
      <c r="P1256">
        <f t="shared" si="38"/>
        <v>286</v>
      </c>
      <c r="Q1256">
        <f t="shared" si="39"/>
        <v>-119.17339927691299</v>
      </c>
    </row>
    <row r="1257" spans="1:17" x14ac:dyDescent="0.4">
      <c r="A1257" t="s">
        <v>2497</v>
      </c>
      <c r="B1257" s="1">
        <v>45390.041666666664</v>
      </c>
      <c r="C1257" t="s">
        <v>65</v>
      </c>
      <c r="D1257" t="s">
        <v>2498</v>
      </c>
      <c r="E1257" t="s">
        <v>37</v>
      </c>
      <c r="F1257" t="s">
        <v>38</v>
      </c>
      <c r="G1257">
        <v>98</v>
      </c>
      <c r="H1257">
        <v>0.1</v>
      </c>
      <c r="I1257">
        <v>88.2</v>
      </c>
      <c r="J1257">
        <v>1</v>
      </c>
      <c r="K1257">
        <v>71.881171994946598</v>
      </c>
      <c r="L1257">
        <v>88.2</v>
      </c>
      <c r="M1257">
        <v>71.881171994946598</v>
      </c>
      <c r="N1257">
        <v>16.318828005053302</v>
      </c>
      <c r="O1257" t="s">
        <v>32</v>
      </c>
      <c r="P1257">
        <f t="shared" si="38"/>
        <v>98</v>
      </c>
      <c r="Q1257">
        <f t="shared" si="39"/>
        <v>-16.318828005053405</v>
      </c>
    </row>
    <row r="1258" spans="1:17" x14ac:dyDescent="0.4">
      <c r="A1258" t="s">
        <v>2499</v>
      </c>
      <c r="B1258" s="1">
        <v>45491.958333333336</v>
      </c>
      <c r="C1258" t="s">
        <v>16</v>
      </c>
      <c r="D1258" t="s">
        <v>2500</v>
      </c>
      <c r="E1258" t="s">
        <v>115</v>
      </c>
      <c r="F1258" t="s">
        <v>38</v>
      </c>
      <c r="G1258">
        <v>189</v>
      </c>
      <c r="H1258">
        <v>0.2</v>
      </c>
      <c r="I1258">
        <v>151.19999999999999</v>
      </c>
      <c r="J1258">
        <v>6</v>
      </c>
      <c r="K1258">
        <v>79.549876357573197</v>
      </c>
      <c r="L1258">
        <v>907.2</v>
      </c>
      <c r="M1258">
        <v>477.29925814543901</v>
      </c>
      <c r="N1258">
        <v>429.90074185456001</v>
      </c>
      <c r="O1258" t="s">
        <v>32</v>
      </c>
      <c r="P1258">
        <f t="shared" si="38"/>
        <v>1134</v>
      </c>
      <c r="Q1258">
        <f t="shared" si="39"/>
        <v>-429.90074185456103</v>
      </c>
    </row>
    <row r="1259" spans="1:17" x14ac:dyDescent="0.4">
      <c r="A1259" t="s">
        <v>2501</v>
      </c>
      <c r="B1259" s="1">
        <v>46003.25</v>
      </c>
      <c r="C1259" t="s">
        <v>22</v>
      </c>
      <c r="D1259" t="s">
        <v>2502</v>
      </c>
      <c r="E1259" t="s">
        <v>85</v>
      </c>
      <c r="F1259" t="s">
        <v>70</v>
      </c>
      <c r="G1259">
        <v>198</v>
      </c>
      <c r="H1259">
        <v>0.05</v>
      </c>
      <c r="I1259">
        <v>188.1</v>
      </c>
      <c r="J1259">
        <v>6</v>
      </c>
      <c r="K1259">
        <v>101.284188153687</v>
      </c>
      <c r="L1259">
        <v>1128.5999999999999</v>
      </c>
      <c r="M1259">
        <v>607.70512892212503</v>
      </c>
      <c r="N1259">
        <v>520.89487107787397</v>
      </c>
      <c r="O1259" t="s">
        <v>26</v>
      </c>
      <c r="P1259">
        <f t="shared" si="38"/>
        <v>1188</v>
      </c>
      <c r="Q1259">
        <f t="shared" si="39"/>
        <v>-520.89487107787488</v>
      </c>
    </row>
    <row r="1260" spans="1:17" x14ac:dyDescent="0.4">
      <c r="A1260" t="s">
        <v>2503</v>
      </c>
      <c r="B1260" s="1">
        <v>45789.458333333336</v>
      </c>
      <c r="C1260" t="s">
        <v>65</v>
      </c>
      <c r="D1260" t="s">
        <v>2504</v>
      </c>
      <c r="E1260" t="s">
        <v>146</v>
      </c>
      <c r="F1260" t="s">
        <v>70</v>
      </c>
      <c r="G1260">
        <v>219</v>
      </c>
      <c r="H1260">
        <v>0.1</v>
      </c>
      <c r="I1260">
        <v>197.1</v>
      </c>
      <c r="J1260">
        <v>5</v>
      </c>
      <c r="K1260">
        <v>150.12411554565799</v>
      </c>
      <c r="L1260">
        <v>985.5</v>
      </c>
      <c r="M1260">
        <v>750.62057772829405</v>
      </c>
      <c r="N1260">
        <v>234.87942227170501</v>
      </c>
      <c r="O1260" t="s">
        <v>51</v>
      </c>
      <c r="P1260">
        <f t="shared" si="38"/>
        <v>1095</v>
      </c>
      <c r="Q1260">
        <f t="shared" si="39"/>
        <v>-234.87942227170595</v>
      </c>
    </row>
    <row r="1261" spans="1:17" x14ac:dyDescent="0.4">
      <c r="A1261" t="s">
        <v>2505</v>
      </c>
      <c r="B1261" s="1">
        <v>45393.166666666664</v>
      </c>
      <c r="C1261" t="s">
        <v>43</v>
      </c>
      <c r="D1261" t="s">
        <v>2506</v>
      </c>
      <c r="E1261" t="s">
        <v>97</v>
      </c>
      <c r="F1261" t="s">
        <v>61</v>
      </c>
      <c r="G1261">
        <v>283</v>
      </c>
      <c r="H1261">
        <v>0.05</v>
      </c>
      <c r="I1261">
        <v>268.849999999999</v>
      </c>
      <c r="J1261">
        <v>4</v>
      </c>
      <c r="K1261">
        <v>116.641995595757</v>
      </c>
      <c r="L1261">
        <v>1075.3999999999901</v>
      </c>
      <c r="M1261">
        <v>466.567982383029</v>
      </c>
      <c r="N1261">
        <v>608.83201761697001</v>
      </c>
      <c r="O1261" t="s">
        <v>26</v>
      </c>
      <c r="P1261">
        <f t="shared" si="38"/>
        <v>1132</v>
      </c>
      <c r="Q1261">
        <f t="shared" si="39"/>
        <v>-608.83201761696114</v>
      </c>
    </row>
    <row r="1262" spans="1:17" x14ac:dyDescent="0.4">
      <c r="A1262" t="s">
        <v>2507</v>
      </c>
      <c r="B1262" s="1">
        <v>45762.666666666664</v>
      </c>
      <c r="C1262" t="s">
        <v>46</v>
      </c>
      <c r="D1262" t="s">
        <v>2508</v>
      </c>
      <c r="E1262" t="s">
        <v>73</v>
      </c>
      <c r="F1262" t="s">
        <v>38</v>
      </c>
      <c r="G1262">
        <v>155</v>
      </c>
      <c r="H1262">
        <v>0.1</v>
      </c>
      <c r="I1262">
        <v>139.5</v>
      </c>
      <c r="J1262">
        <v>6</v>
      </c>
      <c r="K1262">
        <v>84.270527739668296</v>
      </c>
      <c r="L1262">
        <v>837</v>
      </c>
      <c r="M1262">
        <v>505.62316643801</v>
      </c>
      <c r="N1262">
        <v>331.37683356198897</v>
      </c>
      <c r="O1262" t="s">
        <v>20</v>
      </c>
      <c r="P1262">
        <f t="shared" si="38"/>
        <v>930</v>
      </c>
      <c r="Q1262">
        <f t="shared" si="39"/>
        <v>-331.37683356199</v>
      </c>
    </row>
    <row r="1263" spans="1:17" x14ac:dyDescent="0.4">
      <c r="A1263" t="s">
        <v>2509</v>
      </c>
      <c r="B1263" s="1">
        <v>45617.541666666664</v>
      </c>
      <c r="C1263" t="s">
        <v>46</v>
      </c>
      <c r="D1263" t="s">
        <v>1274</v>
      </c>
      <c r="E1263" t="s">
        <v>104</v>
      </c>
      <c r="F1263" t="s">
        <v>25</v>
      </c>
      <c r="G1263">
        <v>270</v>
      </c>
      <c r="H1263">
        <v>0</v>
      </c>
      <c r="I1263">
        <v>270</v>
      </c>
      <c r="J1263">
        <v>2</v>
      </c>
      <c r="K1263">
        <v>132.190578133228</v>
      </c>
      <c r="L1263">
        <v>540</v>
      </c>
      <c r="M1263">
        <v>264.38115626645703</v>
      </c>
      <c r="N1263">
        <v>275.61884373354201</v>
      </c>
      <c r="O1263" t="s">
        <v>32</v>
      </c>
      <c r="P1263">
        <f t="shared" si="38"/>
        <v>540</v>
      </c>
      <c r="Q1263">
        <f t="shared" si="39"/>
        <v>-275.61884373354297</v>
      </c>
    </row>
    <row r="1264" spans="1:17" x14ac:dyDescent="0.4">
      <c r="A1264" t="s">
        <v>2510</v>
      </c>
      <c r="B1264" s="1">
        <v>45892.583333333336</v>
      </c>
      <c r="C1264" t="s">
        <v>22</v>
      </c>
      <c r="D1264" t="s">
        <v>2456</v>
      </c>
      <c r="E1264" t="s">
        <v>18</v>
      </c>
      <c r="F1264" t="s">
        <v>19</v>
      </c>
      <c r="G1264">
        <v>230</v>
      </c>
      <c r="H1264">
        <v>0</v>
      </c>
      <c r="I1264">
        <v>230</v>
      </c>
      <c r="J1264">
        <v>6</v>
      </c>
      <c r="K1264">
        <v>154.10453242276199</v>
      </c>
      <c r="L1264">
        <v>1380</v>
      </c>
      <c r="M1264">
        <v>924.62719453657496</v>
      </c>
      <c r="N1264">
        <v>455.37280546342402</v>
      </c>
      <c r="O1264" t="s">
        <v>26</v>
      </c>
      <c r="P1264">
        <f t="shared" si="38"/>
        <v>1380</v>
      </c>
      <c r="Q1264">
        <f t="shared" si="39"/>
        <v>-455.37280546342504</v>
      </c>
    </row>
    <row r="1265" spans="1:17" x14ac:dyDescent="0.4">
      <c r="A1265" t="s">
        <v>2511</v>
      </c>
      <c r="B1265" s="1">
        <v>45783.708333333336</v>
      </c>
      <c r="C1265" t="s">
        <v>22</v>
      </c>
      <c r="D1265" t="s">
        <v>2512</v>
      </c>
      <c r="E1265" t="s">
        <v>146</v>
      </c>
      <c r="F1265" t="s">
        <v>70</v>
      </c>
      <c r="G1265">
        <v>251</v>
      </c>
      <c r="H1265">
        <v>0</v>
      </c>
      <c r="I1265">
        <v>251</v>
      </c>
      <c r="J1265">
        <v>7</v>
      </c>
      <c r="K1265">
        <v>175.447416799964</v>
      </c>
      <c r="L1265">
        <v>1757</v>
      </c>
      <c r="M1265">
        <v>1228.1319175997401</v>
      </c>
      <c r="N1265">
        <v>528.86808240025096</v>
      </c>
      <c r="O1265" t="s">
        <v>26</v>
      </c>
      <c r="P1265">
        <f t="shared" si="38"/>
        <v>1757</v>
      </c>
      <c r="Q1265">
        <f t="shared" si="39"/>
        <v>-528.86808240025994</v>
      </c>
    </row>
    <row r="1266" spans="1:17" x14ac:dyDescent="0.4">
      <c r="A1266" t="s">
        <v>2513</v>
      </c>
      <c r="B1266" s="1">
        <v>45781.375</v>
      </c>
      <c r="C1266" t="s">
        <v>22</v>
      </c>
      <c r="D1266" t="s">
        <v>2514</v>
      </c>
      <c r="E1266" t="s">
        <v>69</v>
      </c>
      <c r="F1266" t="s">
        <v>70</v>
      </c>
      <c r="G1266">
        <v>286</v>
      </c>
      <c r="H1266">
        <v>0</v>
      </c>
      <c r="I1266">
        <v>286</v>
      </c>
      <c r="J1266">
        <v>7</v>
      </c>
      <c r="K1266">
        <v>132.38134601985101</v>
      </c>
      <c r="L1266">
        <v>2002</v>
      </c>
      <c r="M1266">
        <v>926.66942213895902</v>
      </c>
      <c r="N1266">
        <v>1075.33057786104</v>
      </c>
      <c r="O1266" t="s">
        <v>26</v>
      </c>
      <c r="P1266">
        <f t="shared" si="38"/>
        <v>2002</v>
      </c>
      <c r="Q1266">
        <f t="shared" si="39"/>
        <v>-1075.3305778610411</v>
      </c>
    </row>
    <row r="1267" spans="1:17" x14ac:dyDescent="0.4">
      <c r="A1267" t="s">
        <v>2515</v>
      </c>
      <c r="B1267" s="1">
        <v>45834.708333333336</v>
      </c>
      <c r="C1267" t="s">
        <v>28</v>
      </c>
      <c r="D1267" t="s">
        <v>1398</v>
      </c>
      <c r="E1267" t="s">
        <v>110</v>
      </c>
      <c r="F1267" t="s">
        <v>19</v>
      </c>
      <c r="G1267">
        <v>189</v>
      </c>
      <c r="H1267">
        <v>0.2</v>
      </c>
      <c r="I1267">
        <v>151.19999999999999</v>
      </c>
      <c r="J1267">
        <v>2</v>
      </c>
      <c r="K1267">
        <v>97.369692482821307</v>
      </c>
      <c r="L1267">
        <v>302.39999999999998</v>
      </c>
      <c r="M1267">
        <v>194.73938496564199</v>
      </c>
      <c r="N1267">
        <v>107.66061503435699</v>
      </c>
      <c r="O1267" t="s">
        <v>32</v>
      </c>
      <c r="P1267">
        <f t="shared" si="38"/>
        <v>378</v>
      </c>
      <c r="Q1267">
        <f t="shared" si="39"/>
        <v>-107.66061503435799</v>
      </c>
    </row>
    <row r="1268" spans="1:17" x14ac:dyDescent="0.4">
      <c r="A1268" t="s">
        <v>2516</v>
      </c>
      <c r="B1268" s="1">
        <v>45431.833333333336</v>
      </c>
      <c r="C1268" t="s">
        <v>16</v>
      </c>
      <c r="D1268" t="s">
        <v>2517</v>
      </c>
      <c r="E1268" t="s">
        <v>94</v>
      </c>
      <c r="F1268" t="s">
        <v>61</v>
      </c>
      <c r="G1268">
        <v>191</v>
      </c>
      <c r="H1268">
        <v>0.15</v>
      </c>
      <c r="I1268">
        <v>162.35</v>
      </c>
      <c r="J1268">
        <v>2</v>
      </c>
      <c r="K1268">
        <v>132.77676792452601</v>
      </c>
      <c r="L1268">
        <v>324.7</v>
      </c>
      <c r="M1268">
        <v>265.55353584905203</v>
      </c>
      <c r="N1268">
        <v>59.146464150947899</v>
      </c>
      <c r="O1268" t="s">
        <v>26</v>
      </c>
      <c r="P1268">
        <f t="shared" si="38"/>
        <v>382</v>
      </c>
      <c r="Q1268">
        <f t="shared" si="39"/>
        <v>-59.146464150947963</v>
      </c>
    </row>
    <row r="1269" spans="1:17" x14ac:dyDescent="0.4">
      <c r="A1269" t="s">
        <v>2518</v>
      </c>
      <c r="B1269" s="1">
        <v>45887.333333333336</v>
      </c>
      <c r="C1269" t="s">
        <v>28</v>
      </c>
      <c r="D1269" t="s">
        <v>2519</v>
      </c>
      <c r="E1269" t="s">
        <v>30</v>
      </c>
      <c r="F1269" t="s">
        <v>31</v>
      </c>
      <c r="G1269">
        <v>346</v>
      </c>
      <c r="H1269">
        <v>0</v>
      </c>
      <c r="I1269">
        <v>346</v>
      </c>
      <c r="J1269">
        <v>5</v>
      </c>
      <c r="K1269">
        <v>159.55609145707001</v>
      </c>
      <c r="L1269">
        <v>1730</v>
      </c>
      <c r="M1269">
        <v>797.78045728535403</v>
      </c>
      <c r="N1269">
        <v>932.21954271464597</v>
      </c>
      <c r="O1269" t="s">
        <v>51</v>
      </c>
      <c r="P1269">
        <f t="shared" si="38"/>
        <v>1730</v>
      </c>
      <c r="Q1269">
        <f t="shared" si="39"/>
        <v>-932.21954271464597</v>
      </c>
    </row>
    <row r="1270" spans="1:17" x14ac:dyDescent="0.4">
      <c r="A1270" t="s">
        <v>2520</v>
      </c>
      <c r="B1270" s="1">
        <v>45564.5</v>
      </c>
      <c r="C1270" t="s">
        <v>28</v>
      </c>
      <c r="D1270" t="s">
        <v>2521</v>
      </c>
      <c r="E1270" t="s">
        <v>94</v>
      </c>
      <c r="F1270" t="s">
        <v>61</v>
      </c>
      <c r="G1270">
        <v>325</v>
      </c>
      <c r="H1270">
        <v>0.05</v>
      </c>
      <c r="I1270">
        <v>308.75</v>
      </c>
      <c r="J1270">
        <v>3</v>
      </c>
      <c r="K1270">
        <v>140.31281256793699</v>
      </c>
      <c r="L1270">
        <v>926.25</v>
      </c>
      <c r="M1270">
        <v>420.93843770381102</v>
      </c>
      <c r="N1270">
        <v>505.31156229618801</v>
      </c>
      <c r="O1270" t="s">
        <v>32</v>
      </c>
      <c r="P1270">
        <f t="shared" si="38"/>
        <v>975</v>
      </c>
      <c r="Q1270">
        <f t="shared" si="39"/>
        <v>-505.31156229618898</v>
      </c>
    </row>
    <row r="1271" spans="1:17" x14ac:dyDescent="0.4">
      <c r="A1271" t="s">
        <v>2522</v>
      </c>
      <c r="B1271" s="1">
        <v>45976.25</v>
      </c>
      <c r="C1271" t="s">
        <v>65</v>
      </c>
      <c r="D1271" t="s">
        <v>2523</v>
      </c>
      <c r="E1271" t="s">
        <v>37</v>
      </c>
      <c r="F1271" t="s">
        <v>38</v>
      </c>
      <c r="G1271">
        <v>187</v>
      </c>
      <c r="H1271">
        <v>0.05</v>
      </c>
      <c r="I1271">
        <v>177.65</v>
      </c>
      <c r="J1271">
        <v>4</v>
      </c>
      <c r="K1271">
        <v>115.485655882928</v>
      </c>
      <c r="L1271">
        <v>710.6</v>
      </c>
      <c r="M1271">
        <v>461.94262353171302</v>
      </c>
      <c r="N1271">
        <v>248.657376468286</v>
      </c>
      <c r="O1271" t="s">
        <v>26</v>
      </c>
      <c r="P1271">
        <f t="shared" si="38"/>
        <v>748</v>
      </c>
      <c r="Q1271">
        <f t="shared" si="39"/>
        <v>-248.657376468287</v>
      </c>
    </row>
    <row r="1272" spans="1:17" x14ac:dyDescent="0.4">
      <c r="A1272" t="s">
        <v>2524</v>
      </c>
      <c r="B1272" s="1">
        <v>45431.25</v>
      </c>
      <c r="C1272" t="s">
        <v>16</v>
      </c>
      <c r="D1272" t="s">
        <v>2525</v>
      </c>
      <c r="E1272" t="s">
        <v>94</v>
      </c>
      <c r="F1272" t="s">
        <v>61</v>
      </c>
      <c r="G1272">
        <v>340</v>
      </c>
      <c r="H1272">
        <v>0.1</v>
      </c>
      <c r="I1272">
        <v>306</v>
      </c>
      <c r="J1272">
        <v>7</v>
      </c>
      <c r="K1272">
        <v>196.97955467574801</v>
      </c>
      <c r="L1272">
        <v>2142</v>
      </c>
      <c r="M1272">
        <v>1378.8568827302299</v>
      </c>
      <c r="N1272">
        <v>763.14311726975995</v>
      </c>
      <c r="O1272" t="s">
        <v>26</v>
      </c>
      <c r="P1272">
        <f t="shared" si="38"/>
        <v>2380</v>
      </c>
      <c r="Q1272">
        <f t="shared" si="39"/>
        <v>-763.14311726977007</v>
      </c>
    </row>
    <row r="1273" spans="1:17" x14ac:dyDescent="0.4">
      <c r="A1273" t="s">
        <v>2526</v>
      </c>
      <c r="B1273" s="1">
        <v>45670.25</v>
      </c>
      <c r="C1273" t="s">
        <v>22</v>
      </c>
      <c r="D1273" t="s">
        <v>2527</v>
      </c>
      <c r="E1273" t="s">
        <v>104</v>
      </c>
      <c r="F1273" t="s">
        <v>25</v>
      </c>
      <c r="G1273">
        <v>148</v>
      </c>
      <c r="H1273">
        <v>0</v>
      </c>
      <c r="I1273">
        <v>148</v>
      </c>
      <c r="J1273">
        <v>3</v>
      </c>
      <c r="K1273">
        <v>72.463104394283405</v>
      </c>
      <c r="L1273">
        <v>444</v>
      </c>
      <c r="M1273">
        <v>217.38931318285</v>
      </c>
      <c r="N1273">
        <v>226.610686817149</v>
      </c>
      <c r="O1273" t="s">
        <v>51</v>
      </c>
      <c r="P1273">
        <f t="shared" si="38"/>
        <v>444</v>
      </c>
      <c r="Q1273">
        <f t="shared" si="39"/>
        <v>-226.61068681715</v>
      </c>
    </row>
    <row r="1274" spans="1:17" x14ac:dyDescent="0.4">
      <c r="A1274" t="s">
        <v>2528</v>
      </c>
      <c r="B1274" s="1">
        <v>45410.5</v>
      </c>
      <c r="C1274" t="s">
        <v>65</v>
      </c>
      <c r="D1274" t="s">
        <v>2529</v>
      </c>
      <c r="E1274" t="s">
        <v>82</v>
      </c>
      <c r="F1274" t="s">
        <v>25</v>
      </c>
      <c r="G1274">
        <v>241</v>
      </c>
      <c r="H1274">
        <v>0.05</v>
      </c>
      <c r="I1274">
        <v>228.95</v>
      </c>
      <c r="J1274">
        <v>7</v>
      </c>
      <c r="K1274">
        <v>121.189628517862</v>
      </c>
      <c r="L1274">
        <v>1602.6499999999901</v>
      </c>
      <c r="M1274">
        <v>848.32739962503604</v>
      </c>
      <c r="N1274">
        <v>754.32260037496303</v>
      </c>
      <c r="O1274" t="s">
        <v>32</v>
      </c>
      <c r="P1274">
        <f t="shared" si="38"/>
        <v>1687</v>
      </c>
      <c r="Q1274">
        <f t="shared" si="39"/>
        <v>-754.32260037495405</v>
      </c>
    </row>
    <row r="1275" spans="1:17" x14ac:dyDescent="0.4">
      <c r="A1275" t="s">
        <v>2530</v>
      </c>
      <c r="B1275" s="1">
        <v>45725.166666666664</v>
      </c>
      <c r="C1275" t="s">
        <v>46</v>
      </c>
      <c r="D1275" t="s">
        <v>2531</v>
      </c>
      <c r="E1275" t="s">
        <v>85</v>
      </c>
      <c r="F1275" t="s">
        <v>70</v>
      </c>
      <c r="G1275">
        <v>302</v>
      </c>
      <c r="H1275">
        <v>0.05</v>
      </c>
      <c r="I1275">
        <v>286.89999999999998</v>
      </c>
      <c r="J1275">
        <v>5</v>
      </c>
      <c r="K1275">
        <v>163.232583156782</v>
      </c>
      <c r="L1275">
        <v>1434.5</v>
      </c>
      <c r="M1275">
        <v>816.16291578391201</v>
      </c>
      <c r="N1275">
        <v>618.33708421608696</v>
      </c>
      <c r="O1275" t="s">
        <v>51</v>
      </c>
      <c r="P1275">
        <f t="shared" si="38"/>
        <v>1510</v>
      </c>
      <c r="Q1275">
        <f t="shared" si="39"/>
        <v>-618.33708421608799</v>
      </c>
    </row>
    <row r="1276" spans="1:17" x14ac:dyDescent="0.4">
      <c r="A1276" t="s">
        <v>2532</v>
      </c>
      <c r="B1276" s="1">
        <v>46020.416666666664</v>
      </c>
      <c r="C1276" t="s">
        <v>46</v>
      </c>
      <c r="D1276" t="s">
        <v>2533</v>
      </c>
      <c r="E1276" t="s">
        <v>69</v>
      </c>
      <c r="F1276" t="s">
        <v>70</v>
      </c>
      <c r="G1276">
        <v>333</v>
      </c>
      <c r="H1276">
        <v>0.05</v>
      </c>
      <c r="I1276">
        <v>316.349999999999</v>
      </c>
      <c r="J1276">
        <v>3</v>
      </c>
      <c r="K1276">
        <v>134.40789183956301</v>
      </c>
      <c r="L1276">
        <v>949.05</v>
      </c>
      <c r="M1276">
        <v>403.22367551869002</v>
      </c>
      <c r="N1276">
        <v>545.82632448130903</v>
      </c>
      <c r="O1276" t="s">
        <v>26</v>
      </c>
      <c r="P1276">
        <f t="shared" si="38"/>
        <v>999</v>
      </c>
      <c r="Q1276">
        <f t="shared" si="39"/>
        <v>-545.82632448130994</v>
      </c>
    </row>
    <row r="1277" spans="1:17" x14ac:dyDescent="0.4">
      <c r="A1277" t="s">
        <v>2534</v>
      </c>
      <c r="B1277" s="1">
        <v>45875.25</v>
      </c>
      <c r="C1277" t="s">
        <v>43</v>
      </c>
      <c r="D1277" t="s">
        <v>2535</v>
      </c>
      <c r="E1277" t="s">
        <v>48</v>
      </c>
      <c r="F1277" t="s">
        <v>19</v>
      </c>
      <c r="G1277">
        <v>274</v>
      </c>
      <c r="H1277">
        <v>0</v>
      </c>
      <c r="I1277">
        <v>274</v>
      </c>
      <c r="J1277">
        <v>5</v>
      </c>
      <c r="K1277">
        <v>160.341003368636</v>
      </c>
      <c r="L1277">
        <v>1370</v>
      </c>
      <c r="M1277">
        <v>801.70501684318003</v>
      </c>
      <c r="N1277">
        <v>568.29498315681894</v>
      </c>
      <c r="O1277" t="s">
        <v>32</v>
      </c>
      <c r="P1277">
        <f t="shared" si="38"/>
        <v>1370</v>
      </c>
      <c r="Q1277">
        <f t="shared" si="39"/>
        <v>-568.29498315681997</v>
      </c>
    </row>
    <row r="1278" spans="1:17" x14ac:dyDescent="0.4">
      <c r="A1278" t="s">
        <v>2536</v>
      </c>
      <c r="B1278" s="1">
        <v>45844.541666666664</v>
      </c>
      <c r="C1278" t="s">
        <v>43</v>
      </c>
      <c r="D1278" t="s">
        <v>2537</v>
      </c>
      <c r="E1278" t="s">
        <v>37</v>
      </c>
      <c r="F1278" t="s">
        <v>38</v>
      </c>
      <c r="G1278">
        <v>146</v>
      </c>
      <c r="H1278">
        <v>0.1</v>
      </c>
      <c r="I1278">
        <v>131.4</v>
      </c>
      <c r="J1278">
        <v>1</v>
      </c>
      <c r="K1278">
        <v>67.138654660771394</v>
      </c>
      <c r="L1278">
        <v>131.4</v>
      </c>
      <c r="M1278">
        <v>67.138654660771394</v>
      </c>
      <c r="N1278">
        <v>64.261345339228498</v>
      </c>
      <c r="O1278" t="s">
        <v>20</v>
      </c>
      <c r="P1278">
        <f t="shared" si="38"/>
        <v>146</v>
      </c>
      <c r="Q1278">
        <f t="shared" si="39"/>
        <v>-64.261345339228612</v>
      </c>
    </row>
    <row r="1279" spans="1:17" x14ac:dyDescent="0.4">
      <c r="A1279" t="s">
        <v>2538</v>
      </c>
      <c r="B1279" s="1">
        <v>45420.875</v>
      </c>
      <c r="C1279" t="s">
        <v>65</v>
      </c>
      <c r="D1279" t="s">
        <v>2539</v>
      </c>
      <c r="E1279" t="s">
        <v>97</v>
      </c>
      <c r="F1279" t="s">
        <v>61</v>
      </c>
      <c r="G1279">
        <v>269</v>
      </c>
      <c r="H1279">
        <v>0.05</v>
      </c>
      <c r="I1279">
        <v>255.54999999999899</v>
      </c>
      <c r="J1279">
        <v>6</v>
      </c>
      <c r="K1279">
        <v>159.73781779682099</v>
      </c>
      <c r="L1279">
        <v>1533.3</v>
      </c>
      <c r="M1279">
        <v>958.42690678092799</v>
      </c>
      <c r="N1279">
        <v>574.87309321907196</v>
      </c>
      <c r="O1279" t="s">
        <v>26</v>
      </c>
      <c r="P1279">
        <f t="shared" si="38"/>
        <v>1614</v>
      </c>
      <c r="Q1279">
        <f t="shared" si="39"/>
        <v>-574.87309321907196</v>
      </c>
    </row>
    <row r="1280" spans="1:17" x14ac:dyDescent="0.4">
      <c r="A1280" t="s">
        <v>2540</v>
      </c>
      <c r="B1280" s="1">
        <v>45780.416666666664</v>
      </c>
      <c r="C1280" t="s">
        <v>65</v>
      </c>
      <c r="D1280" t="s">
        <v>2541</v>
      </c>
      <c r="E1280" t="s">
        <v>110</v>
      </c>
      <c r="F1280" t="s">
        <v>19</v>
      </c>
      <c r="G1280">
        <v>237</v>
      </c>
      <c r="H1280">
        <v>0.1</v>
      </c>
      <c r="I1280">
        <v>213.3</v>
      </c>
      <c r="J1280">
        <v>1</v>
      </c>
      <c r="K1280">
        <v>126.05850978629</v>
      </c>
      <c r="L1280">
        <v>213.3</v>
      </c>
      <c r="M1280">
        <v>126.05850978629</v>
      </c>
      <c r="N1280">
        <v>87.241490213709</v>
      </c>
      <c r="O1280" t="s">
        <v>32</v>
      </c>
      <c r="P1280">
        <f t="shared" si="38"/>
        <v>237</v>
      </c>
      <c r="Q1280">
        <f t="shared" si="39"/>
        <v>-87.241490213710009</v>
      </c>
    </row>
    <row r="1281" spans="1:17" x14ac:dyDescent="0.4">
      <c r="A1281" t="s">
        <v>2542</v>
      </c>
      <c r="B1281" s="1">
        <v>45777.208333333336</v>
      </c>
      <c r="C1281" t="s">
        <v>22</v>
      </c>
      <c r="D1281" t="s">
        <v>2543</v>
      </c>
      <c r="E1281" t="s">
        <v>146</v>
      </c>
      <c r="F1281" t="s">
        <v>70</v>
      </c>
      <c r="G1281">
        <v>115</v>
      </c>
      <c r="H1281">
        <v>0.25</v>
      </c>
      <c r="I1281">
        <v>86.25</v>
      </c>
      <c r="J1281">
        <v>3</v>
      </c>
      <c r="K1281">
        <v>59.034998183919299</v>
      </c>
      <c r="L1281">
        <v>258.75</v>
      </c>
      <c r="M1281">
        <v>177.10499455175801</v>
      </c>
      <c r="N1281">
        <v>81.645005448241804</v>
      </c>
      <c r="O1281" t="s">
        <v>51</v>
      </c>
      <c r="P1281">
        <f t="shared" si="38"/>
        <v>345</v>
      </c>
      <c r="Q1281">
        <f t="shared" si="39"/>
        <v>-81.645005448241989</v>
      </c>
    </row>
    <row r="1282" spans="1:17" x14ac:dyDescent="0.4">
      <c r="A1282" t="s">
        <v>2544</v>
      </c>
      <c r="B1282" s="1">
        <v>45920.458333333336</v>
      </c>
      <c r="C1282" t="s">
        <v>43</v>
      </c>
      <c r="D1282" t="s">
        <v>2545</v>
      </c>
      <c r="E1282" t="s">
        <v>110</v>
      </c>
      <c r="F1282" t="s">
        <v>19</v>
      </c>
      <c r="G1282">
        <v>92</v>
      </c>
      <c r="H1282">
        <v>0</v>
      </c>
      <c r="I1282">
        <v>92</v>
      </c>
      <c r="J1282">
        <v>4</v>
      </c>
      <c r="K1282">
        <v>58.192197275632203</v>
      </c>
      <c r="L1282">
        <v>368</v>
      </c>
      <c r="M1282">
        <v>232.76878910252901</v>
      </c>
      <c r="N1282">
        <v>135.23121089747099</v>
      </c>
      <c r="O1282" t="s">
        <v>32</v>
      </c>
      <c r="P1282">
        <f t="shared" si="38"/>
        <v>368</v>
      </c>
      <c r="Q1282">
        <f t="shared" si="39"/>
        <v>-135.23121089747099</v>
      </c>
    </row>
    <row r="1283" spans="1:17" x14ac:dyDescent="0.4">
      <c r="A1283" t="s">
        <v>2546</v>
      </c>
      <c r="B1283" s="1">
        <v>45333.166666666664</v>
      </c>
      <c r="C1283" t="s">
        <v>28</v>
      </c>
      <c r="D1283" t="s">
        <v>2547</v>
      </c>
      <c r="E1283" t="s">
        <v>115</v>
      </c>
      <c r="F1283" t="s">
        <v>38</v>
      </c>
      <c r="G1283">
        <v>86</v>
      </c>
      <c r="H1283">
        <v>0.2</v>
      </c>
      <c r="I1283">
        <v>68.8</v>
      </c>
      <c r="J1283">
        <v>6</v>
      </c>
      <c r="K1283">
        <v>38.835668504862802</v>
      </c>
      <c r="L1283">
        <v>412.79999999999899</v>
      </c>
      <c r="M1283">
        <v>233.014011029176</v>
      </c>
      <c r="N1283">
        <v>179.78598897082199</v>
      </c>
      <c r="O1283" t="s">
        <v>51</v>
      </c>
      <c r="P1283">
        <f t="shared" ref="P1283:P1346" si="40">G1283 * J1283</f>
        <v>516</v>
      </c>
      <c r="Q1283">
        <f t="shared" ref="Q1283:Q1346" si="41" xml:space="preserve"> M1283 - L1283</f>
        <v>-179.78598897082298</v>
      </c>
    </row>
    <row r="1284" spans="1:17" x14ac:dyDescent="0.4">
      <c r="A1284" t="s">
        <v>2548</v>
      </c>
      <c r="B1284" s="1">
        <v>45560.583333333336</v>
      </c>
      <c r="C1284" t="s">
        <v>16</v>
      </c>
      <c r="D1284" t="s">
        <v>2549</v>
      </c>
      <c r="E1284" t="s">
        <v>85</v>
      </c>
      <c r="F1284" t="s">
        <v>70</v>
      </c>
      <c r="G1284">
        <v>137</v>
      </c>
      <c r="H1284">
        <v>0</v>
      </c>
      <c r="I1284">
        <v>137</v>
      </c>
      <c r="J1284">
        <v>2</v>
      </c>
      <c r="K1284">
        <v>57.072761811799303</v>
      </c>
      <c r="L1284">
        <v>274</v>
      </c>
      <c r="M1284">
        <v>114.145523623598</v>
      </c>
      <c r="N1284">
        <v>159.85447637640101</v>
      </c>
      <c r="O1284" t="s">
        <v>32</v>
      </c>
      <c r="P1284">
        <f t="shared" si="40"/>
        <v>274</v>
      </c>
      <c r="Q1284">
        <f t="shared" si="41"/>
        <v>-159.854476376402</v>
      </c>
    </row>
    <row r="1285" spans="1:17" x14ac:dyDescent="0.4">
      <c r="A1285" t="s">
        <v>2550</v>
      </c>
      <c r="B1285" s="1">
        <v>45972.625</v>
      </c>
      <c r="C1285" t="s">
        <v>22</v>
      </c>
      <c r="D1285" t="s">
        <v>2551</v>
      </c>
      <c r="E1285" t="s">
        <v>97</v>
      </c>
      <c r="F1285" t="s">
        <v>61</v>
      </c>
      <c r="G1285">
        <v>145</v>
      </c>
      <c r="H1285">
        <v>0.1</v>
      </c>
      <c r="I1285">
        <v>130.5</v>
      </c>
      <c r="J1285">
        <v>3</v>
      </c>
      <c r="K1285">
        <v>101.297124815348</v>
      </c>
      <c r="L1285">
        <v>391.5</v>
      </c>
      <c r="M1285">
        <v>303.89137444604501</v>
      </c>
      <c r="N1285">
        <v>87.608625553954397</v>
      </c>
      <c r="O1285" t="s">
        <v>32</v>
      </c>
      <c r="P1285">
        <f t="shared" si="40"/>
        <v>435</v>
      </c>
      <c r="Q1285">
        <f t="shared" si="41"/>
        <v>-87.608625553954994</v>
      </c>
    </row>
    <row r="1286" spans="1:17" x14ac:dyDescent="0.4">
      <c r="A1286" t="s">
        <v>2552</v>
      </c>
      <c r="B1286" s="1">
        <v>45964.208333333336</v>
      </c>
      <c r="C1286" t="s">
        <v>28</v>
      </c>
      <c r="D1286" t="s">
        <v>2553</v>
      </c>
      <c r="E1286" t="s">
        <v>73</v>
      </c>
      <c r="F1286" t="s">
        <v>38</v>
      </c>
      <c r="G1286">
        <v>214</v>
      </c>
      <c r="H1286">
        <v>0.15</v>
      </c>
      <c r="I1286">
        <v>181.9</v>
      </c>
      <c r="J1286">
        <v>1</v>
      </c>
      <c r="K1286">
        <v>111.64015873983899</v>
      </c>
      <c r="L1286">
        <v>181.9</v>
      </c>
      <c r="M1286">
        <v>111.64015873983899</v>
      </c>
      <c r="N1286">
        <v>70.259841260160897</v>
      </c>
      <c r="O1286" t="s">
        <v>32</v>
      </c>
      <c r="P1286">
        <f t="shared" si="40"/>
        <v>214</v>
      </c>
      <c r="Q1286">
        <f t="shared" si="41"/>
        <v>-70.259841260161011</v>
      </c>
    </row>
    <row r="1287" spans="1:17" x14ac:dyDescent="0.4">
      <c r="A1287" t="s">
        <v>2554</v>
      </c>
      <c r="B1287" s="1">
        <v>45362.083333333336</v>
      </c>
      <c r="C1287" t="s">
        <v>65</v>
      </c>
      <c r="D1287" t="s">
        <v>2555</v>
      </c>
      <c r="E1287" t="s">
        <v>85</v>
      </c>
      <c r="F1287" t="s">
        <v>70</v>
      </c>
      <c r="G1287">
        <v>322</v>
      </c>
      <c r="H1287">
        <v>0</v>
      </c>
      <c r="I1287">
        <v>322</v>
      </c>
      <c r="J1287">
        <v>4</v>
      </c>
      <c r="K1287">
        <v>162.11402138579501</v>
      </c>
      <c r="L1287">
        <v>1288</v>
      </c>
      <c r="M1287">
        <v>648.45608554318301</v>
      </c>
      <c r="N1287">
        <v>639.54391445681597</v>
      </c>
      <c r="O1287" t="s">
        <v>105</v>
      </c>
      <c r="P1287">
        <f t="shared" si="40"/>
        <v>1288</v>
      </c>
      <c r="Q1287">
        <f t="shared" si="41"/>
        <v>-639.54391445681699</v>
      </c>
    </row>
    <row r="1288" spans="1:17" x14ac:dyDescent="0.4">
      <c r="A1288" t="s">
        <v>2556</v>
      </c>
      <c r="B1288" s="1">
        <v>45526.416666666664</v>
      </c>
      <c r="C1288" t="s">
        <v>65</v>
      </c>
      <c r="D1288" t="s">
        <v>2557</v>
      </c>
      <c r="E1288" t="s">
        <v>94</v>
      </c>
      <c r="F1288" t="s">
        <v>61</v>
      </c>
      <c r="G1288">
        <v>87</v>
      </c>
      <c r="H1288">
        <v>0.1</v>
      </c>
      <c r="I1288">
        <v>78.3</v>
      </c>
      <c r="J1288">
        <v>2</v>
      </c>
      <c r="K1288">
        <v>39.140838029758903</v>
      </c>
      <c r="L1288">
        <v>156.6</v>
      </c>
      <c r="M1288">
        <v>78.281676059517807</v>
      </c>
      <c r="N1288">
        <v>78.318323940482102</v>
      </c>
      <c r="O1288" t="s">
        <v>20</v>
      </c>
      <c r="P1288">
        <f t="shared" si="40"/>
        <v>174</v>
      </c>
      <c r="Q1288">
        <f t="shared" si="41"/>
        <v>-78.318323940482188</v>
      </c>
    </row>
    <row r="1289" spans="1:17" x14ac:dyDescent="0.4">
      <c r="A1289" t="s">
        <v>2558</v>
      </c>
      <c r="B1289" s="1">
        <v>45601.333333333336</v>
      </c>
      <c r="C1289" t="s">
        <v>22</v>
      </c>
      <c r="D1289" t="s">
        <v>2559</v>
      </c>
      <c r="E1289" t="s">
        <v>213</v>
      </c>
      <c r="F1289" t="s">
        <v>31</v>
      </c>
      <c r="G1289">
        <v>132</v>
      </c>
      <c r="H1289">
        <v>0.15</v>
      </c>
      <c r="I1289">
        <v>112.2</v>
      </c>
      <c r="J1289">
        <v>2</v>
      </c>
      <c r="K1289">
        <v>92.559800843545403</v>
      </c>
      <c r="L1289">
        <v>224.4</v>
      </c>
      <c r="M1289">
        <v>185.11960168709001</v>
      </c>
      <c r="N1289">
        <v>39.280398312909099</v>
      </c>
      <c r="O1289" t="s">
        <v>32</v>
      </c>
      <c r="P1289">
        <f t="shared" si="40"/>
        <v>264</v>
      </c>
      <c r="Q1289">
        <f t="shared" si="41"/>
        <v>-39.280398312909995</v>
      </c>
    </row>
    <row r="1290" spans="1:17" x14ac:dyDescent="0.4">
      <c r="A1290" t="s">
        <v>2560</v>
      </c>
      <c r="B1290" s="1">
        <v>45827.708333333336</v>
      </c>
      <c r="C1290" t="s">
        <v>28</v>
      </c>
      <c r="D1290" t="s">
        <v>2561</v>
      </c>
      <c r="E1290" t="s">
        <v>37</v>
      </c>
      <c r="F1290" t="s">
        <v>38</v>
      </c>
      <c r="G1290">
        <v>113</v>
      </c>
      <c r="H1290">
        <v>0.15</v>
      </c>
      <c r="I1290">
        <v>96.05</v>
      </c>
      <c r="J1290">
        <v>3</v>
      </c>
      <c r="K1290">
        <v>49.734009768814701</v>
      </c>
      <c r="L1290">
        <v>288.14999999999998</v>
      </c>
      <c r="M1290">
        <v>149.20202930644399</v>
      </c>
      <c r="N1290">
        <v>138.94797069355499</v>
      </c>
      <c r="O1290" t="s">
        <v>32</v>
      </c>
      <c r="P1290">
        <f t="shared" si="40"/>
        <v>339</v>
      </c>
      <c r="Q1290">
        <f t="shared" si="41"/>
        <v>-138.94797069355599</v>
      </c>
    </row>
    <row r="1291" spans="1:17" x14ac:dyDescent="0.4">
      <c r="A1291" t="s">
        <v>2562</v>
      </c>
      <c r="B1291" s="1">
        <v>45798.458333333336</v>
      </c>
      <c r="C1291" t="s">
        <v>16</v>
      </c>
      <c r="D1291" t="s">
        <v>2563</v>
      </c>
      <c r="E1291" t="s">
        <v>73</v>
      </c>
      <c r="F1291" t="s">
        <v>38</v>
      </c>
      <c r="G1291">
        <v>191</v>
      </c>
      <c r="H1291">
        <v>0.25</v>
      </c>
      <c r="I1291">
        <v>143.25</v>
      </c>
      <c r="J1291">
        <v>5</v>
      </c>
      <c r="K1291">
        <v>99.117436599420003</v>
      </c>
      <c r="L1291">
        <v>716.25</v>
      </c>
      <c r="M1291">
        <v>495.5871829971</v>
      </c>
      <c r="N1291">
        <v>220.662817002899</v>
      </c>
      <c r="O1291" t="s">
        <v>32</v>
      </c>
      <c r="P1291">
        <f t="shared" si="40"/>
        <v>955</v>
      </c>
      <c r="Q1291">
        <f t="shared" si="41"/>
        <v>-220.6628170029</v>
      </c>
    </row>
    <row r="1292" spans="1:17" x14ac:dyDescent="0.4">
      <c r="A1292" t="s">
        <v>2564</v>
      </c>
      <c r="B1292" s="1">
        <v>46013.541666666664</v>
      </c>
      <c r="C1292" t="s">
        <v>46</v>
      </c>
      <c r="D1292" t="s">
        <v>2565</v>
      </c>
      <c r="E1292" t="s">
        <v>69</v>
      </c>
      <c r="F1292" t="s">
        <v>70</v>
      </c>
      <c r="G1292">
        <v>97</v>
      </c>
      <c r="H1292">
        <v>0.25</v>
      </c>
      <c r="I1292">
        <v>72.75</v>
      </c>
      <c r="J1292">
        <v>3</v>
      </c>
      <c r="K1292">
        <v>69.927900441963601</v>
      </c>
      <c r="L1292">
        <v>218.25</v>
      </c>
      <c r="M1292">
        <v>209.78370132589001</v>
      </c>
      <c r="N1292">
        <v>8.4662986741090194</v>
      </c>
      <c r="O1292" t="s">
        <v>26</v>
      </c>
      <c r="P1292">
        <f t="shared" si="40"/>
        <v>291</v>
      </c>
      <c r="Q1292">
        <f t="shared" si="41"/>
        <v>-8.4662986741099928</v>
      </c>
    </row>
    <row r="1293" spans="1:17" x14ac:dyDescent="0.4">
      <c r="A1293" t="s">
        <v>2566</v>
      </c>
      <c r="B1293" s="1">
        <v>45768.041666666664</v>
      </c>
      <c r="C1293" t="s">
        <v>22</v>
      </c>
      <c r="D1293" t="s">
        <v>2567</v>
      </c>
      <c r="E1293" t="s">
        <v>213</v>
      </c>
      <c r="F1293" t="s">
        <v>31</v>
      </c>
      <c r="G1293">
        <v>208</v>
      </c>
      <c r="H1293">
        <v>0</v>
      </c>
      <c r="I1293">
        <v>208</v>
      </c>
      <c r="J1293">
        <v>4</v>
      </c>
      <c r="K1293">
        <v>93.748622397574806</v>
      </c>
      <c r="L1293">
        <v>832</v>
      </c>
      <c r="M1293">
        <v>374.994489590299</v>
      </c>
      <c r="N1293">
        <v>457.00551040969998</v>
      </c>
      <c r="O1293" t="s">
        <v>51</v>
      </c>
      <c r="P1293">
        <f t="shared" si="40"/>
        <v>832</v>
      </c>
      <c r="Q1293">
        <f t="shared" si="41"/>
        <v>-457.005510409701</v>
      </c>
    </row>
    <row r="1294" spans="1:17" x14ac:dyDescent="0.4">
      <c r="A1294" t="s">
        <v>2568</v>
      </c>
      <c r="B1294" s="1">
        <v>45374.5</v>
      </c>
      <c r="C1294" t="s">
        <v>16</v>
      </c>
      <c r="D1294" t="s">
        <v>2569</v>
      </c>
      <c r="E1294" t="s">
        <v>18</v>
      </c>
      <c r="F1294" t="s">
        <v>19</v>
      </c>
      <c r="G1294">
        <v>339</v>
      </c>
      <c r="H1294">
        <v>0.05</v>
      </c>
      <c r="I1294">
        <v>322.05</v>
      </c>
      <c r="J1294">
        <v>3</v>
      </c>
      <c r="K1294">
        <v>213.153854770458</v>
      </c>
      <c r="L1294">
        <v>966.15</v>
      </c>
      <c r="M1294">
        <v>639.46156431137501</v>
      </c>
      <c r="N1294">
        <v>326.688435688624</v>
      </c>
      <c r="O1294" t="s">
        <v>32</v>
      </c>
      <c r="P1294">
        <f t="shared" si="40"/>
        <v>1017</v>
      </c>
      <c r="Q1294">
        <f t="shared" si="41"/>
        <v>-326.68843568862496</v>
      </c>
    </row>
    <row r="1295" spans="1:17" x14ac:dyDescent="0.4">
      <c r="A1295" t="s">
        <v>2570</v>
      </c>
      <c r="B1295" s="1">
        <v>45938.75</v>
      </c>
      <c r="C1295" t="s">
        <v>28</v>
      </c>
      <c r="D1295" t="s">
        <v>2571</v>
      </c>
      <c r="E1295" t="s">
        <v>110</v>
      </c>
      <c r="F1295" t="s">
        <v>19</v>
      </c>
      <c r="G1295">
        <v>326</v>
      </c>
      <c r="H1295">
        <v>0.05</v>
      </c>
      <c r="I1295">
        <v>309.7</v>
      </c>
      <c r="J1295">
        <v>4</v>
      </c>
      <c r="K1295">
        <v>216.93980076797101</v>
      </c>
      <c r="L1295">
        <v>1238.8</v>
      </c>
      <c r="M1295">
        <v>867.75920307188505</v>
      </c>
      <c r="N1295">
        <v>371.04079692811399</v>
      </c>
      <c r="O1295" t="s">
        <v>32</v>
      </c>
      <c r="P1295">
        <f t="shared" si="40"/>
        <v>1304</v>
      </c>
      <c r="Q1295">
        <f t="shared" si="41"/>
        <v>-371.0407969281149</v>
      </c>
    </row>
    <row r="1296" spans="1:17" x14ac:dyDescent="0.4">
      <c r="A1296" t="s">
        <v>2572</v>
      </c>
      <c r="B1296" s="1">
        <v>45666.333333333336</v>
      </c>
      <c r="C1296" t="s">
        <v>46</v>
      </c>
      <c r="D1296" t="s">
        <v>2573</v>
      </c>
      <c r="E1296" t="s">
        <v>82</v>
      </c>
      <c r="F1296" t="s">
        <v>25</v>
      </c>
      <c r="G1296">
        <v>196</v>
      </c>
      <c r="H1296">
        <v>0</v>
      </c>
      <c r="I1296">
        <v>196</v>
      </c>
      <c r="J1296">
        <v>2</v>
      </c>
      <c r="K1296">
        <v>118.034546430342</v>
      </c>
      <c r="L1296">
        <v>392</v>
      </c>
      <c r="M1296">
        <v>236.069092860685</v>
      </c>
      <c r="N1296">
        <v>155.930907139314</v>
      </c>
      <c r="O1296" t="s">
        <v>32</v>
      </c>
      <c r="P1296">
        <f t="shared" si="40"/>
        <v>392</v>
      </c>
      <c r="Q1296">
        <f t="shared" si="41"/>
        <v>-155.930907139315</v>
      </c>
    </row>
    <row r="1297" spans="1:17" x14ac:dyDescent="0.4">
      <c r="A1297" t="s">
        <v>2574</v>
      </c>
      <c r="B1297" s="1">
        <v>46007.625</v>
      </c>
      <c r="C1297" t="s">
        <v>46</v>
      </c>
      <c r="D1297" t="s">
        <v>2575</v>
      </c>
      <c r="E1297" t="s">
        <v>30</v>
      </c>
      <c r="F1297" t="s">
        <v>31</v>
      </c>
      <c r="G1297">
        <v>221</v>
      </c>
      <c r="H1297">
        <v>0.15</v>
      </c>
      <c r="I1297">
        <v>187.85</v>
      </c>
      <c r="J1297">
        <v>5</v>
      </c>
      <c r="K1297">
        <v>143.16467644289401</v>
      </c>
      <c r="L1297">
        <v>939.25</v>
      </c>
      <c r="M1297">
        <v>715.82338221447105</v>
      </c>
      <c r="N1297">
        <v>223.42661778552801</v>
      </c>
      <c r="O1297" t="s">
        <v>32</v>
      </c>
      <c r="P1297">
        <f t="shared" si="40"/>
        <v>1105</v>
      </c>
      <c r="Q1297">
        <f t="shared" si="41"/>
        <v>-223.42661778552895</v>
      </c>
    </row>
    <row r="1298" spans="1:17" x14ac:dyDescent="0.4">
      <c r="A1298" t="s">
        <v>2576</v>
      </c>
      <c r="B1298" s="1">
        <v>45953.791666666664</v>
      </c>
      <c r="C1298" t="s">
        <v>16</v>
      </c>
      <c r="D1298" t="s">
        <v>2577</v>
      </c>
      <c r="E1298" t="s">
        <v>18</v>
      </c>
      <c r="F1298" t="s">
        <v>19</v>
      </c>
      <c r="G1298">
        <v>162</v>
      </c>
      <c r="H1298">
        <v>0.15</v>
      </c>
      <c r="I1298">
        <v>137.69999999999999</v>
      </c>
      <c r="J1298">
        <v>1</v>
      </c>
      <c r="K1298">
        <v>92.097384115796203</v>
      </c>
      <c r="L1298">
        <v>137.69999999999999</v>
      </c>
      <c r="M1298">
        <v>92.097384115796203</v>
      </c>
      <c r="N1298">
        <v>45.602615884203701</v>
      </c>
      <c r="O1298" t="s">
        <v>51</v>
      </c>
      <c r="P1298">
        <f t="shared" si="40"/>
        <v>162</v>
      </c>
      <c r="Q1298">
        <f t="shared" si="41"/>
        <v>-45.602615884203786</v>
      </c>
    </row>
    <row r="1299" spans="1:17" x14ac:dyDescent="0.4">
      <c r="A1299" t="s">
        <v>2578</v>
      </c>
      <c r="B1299" s="1">
        <v>45516.583333333336</v>
      </c>
      <c r="C1299" t="s">
        <v>16</v>
      </c>
      <c r="D1299" t="s">
        <v>2097</v>
      </c>
      <c r="E1299" t="s">
        <v>69</v>
      </c>
      <c r="F1299" t="s">
        <v>70</v>
      </c>
      <c r="G1299">
        <v>174</v>
      </c>
      <c r="H1299">
        <v>0</v>
      </c>
      <c r="I1299">
        <v>174</v>
      </c>
      <c r="J1299">
        <v>6</v>
      </c>
      <c r="K1299">
        <v>117.580961422759</v>
      </c>
      <c r="L1299">
        <v>1044</v>
      </c>
      <c r="M1299">
        <v>705.48576853655698</v>
      </c>
      <c r="N1299">
        <v>338.514231463442</v>
      </c>
      <c r="O1299" t="s">
        <v>20</v>
      </c>
      <c r="P1299">
        <f t="shared" si="40"/>
        <v>1044</v>
      </c>
      <c r="Q1299">
        <f t="shared" si="41"/>
        <v>-338.51423146344302</v>
      </c>
    </row>
    <row r="1300" spans="1:17" x14ac:dyDescent="0.4">
      <c r="A1300" t="s">
        <v>2579</v>
      </c>
      <c r="B1300" s="1">
        <v>45358.958333333336</v>
      </c>
      <c r="C1300" t="s">
        <v>46</v>
      </c>
      <c r="D1300" t="s">
        <v>2580</v>
      </c>
      <c r="E1300" t="s">
        <v>115</v>
      </c>
      <c r="F1300" t="s">
        <v>38</v>
      </c>
      <c r="G1300">
        <v>227</v>
      </c>
      <c r="H1300">
        <v>0.1</v>
      </c>
      <c r="I1300">
        <v>204.3</v>
      </c>
      <c r="J1300">
        <v>1</v>
      </c>
      <c r="K1300">
        <v>167.910397307621</v>
      </c>
      <c r="L1300">
        <v>204.3</v>
      </c>
      <c r="M1300">
        <v>167.910397307621</v>
      </c>
      <c r="N1300">
        <v>36.389602692378702</v>
      </c>
      <c r="O1300" t="s">
        <v>32</v>
      </c>
      <c r="P1300">
        <f t="shared" si="40"/>
        <v>227</v>
      </c>
      <c r="Q1300">
        <f t="shared" si="41"/>
        <v>-36.389602692379015</v>
      </c>
    </row>
    <row r="1301" spans="1:17" x14ac:dyDescent="0.4">
      <c r="A1301" t="s">
        <v>2581</v>
      </c>
      <c r="B1301" s="1">
        <v>45565.875</v>
      </c>
      <c r="C1301" t="s">
        <v>65</v>
      </c>
      <c r="D1301" t="s">
        <v>2582</v>
      </c>
      <c r="E1301" t="s">
        <v>213</v>
      </c>
      <c r="F1301" t="s">
        <v>31</v>
      </c>
      <c r="G1301">
        <v>116</v>
      </c>
      <c r="H1301">
        <v>0.15</v>
      </c>
      <c r="I1301">
        <v>98.6</v>
      </c>
      <c r="J1301">
        <v>7</v>
      </c>
      <c r="K1301">
        <v>69.992913534734598</v>
      </c>
      <c r="L1301">
        <v>690.19999999999902</v>
      </c>
      <c r="M1301">
        <v>489.950394743142</v>
      </c>
      <c r="N1301">
        <v>200.249605256857</v>
      </c>
      <c r="O1301" t="s">
        <v>32</v>
      </c>
      <c r="P1301">
        <f t="shared" si="40"/>
        <v>812</v>
      </c>
      <c r="Q1301">
        <f t="shared" si="41"/>
        <v>-200.24960525685702</v>
      </c>
    </row>
    <row r="1302" spans="1:17" x14ac:dyDescent="0.4">
      <c r="A1302" t="s">
        <v>2583</v>
      </c>
      <c r="B1302" s="1">
        <v>46015.666666666664</v>
      </c>
      <c r="C1302" t="s">
        <v>43</v>
      </c>
      <c r="D1302" t="s">
        <v>2584</v>
      </c>
      <c r="E1302" t="s">
        <v>41</v>
      </c>
      <c r="F1302" t="s">
        <v>31</v>
      </c>
      <c r="G1302">
        <v>103</v>
      </c>
      <c r="H1302">
        <v>0.2</v>
      </c>
      <c r="I1302">
        <v>82.4</v>
      </c>
      <c r="J1302">
        <v>1</v>
      </c>
      <c r="K1302">
        <v>56.193791012224402</v>
      </c>
      <c r="L1302">
        <v>82.4</v>
      </c>
      <c r="M1302">
        <v>56.193791012224402</v>
      </c>
      <c r="N1302">
        <v>26.206208987775501</v>
      </c>
      <c r="O1302" t="s">
        <v>26</v>
      </c>
      <c r="P1302">
        <f t="shared" si="40"/>
        <v>103</v>
      </c>
      <c r="Q1302">
        <f t="shared" si="41"/>
        <v>-26.206208987775604</v>
      </c>
    </row>
    <row r="1303" spans="1:17" x14ac:dyDescent="0.4">
      <c r="A1303" t="s">
        <v>2585</v>
      </c>
      <c r="B1303" s="1">
        <v>45532.666666666664</v>
      </c>
      <c r="C1303" t="s">
        <v>65</v>
      </c>
      <c r="D1303" t="s">
        <v>2586</v>
      </c>
      <c r="E1303" t="s">
        <v>37</v>
      </c>
      <c r="F1303" t="s">
        <v>38</v>
      </c>
      <c r="G1303">
        <v>347</v>
      </c>
      <c r="H1303">
        <v>0.1</v>
      </c>
      <c r="I1303">
        <v>312.3</v>
      </c>
      <c r="J1303">
        <v>7</v>
      </c>
      <c r="K1303">
        <v>231.40988935895999</v>
      </c>
      <c r="L1303">
        <v>2186.1</v>
      </c>
      <c r="M1303">
        <v>1619.86922551272</v>
      </c>
      <c r="N1303">
        <v>566.23077448727395</v>
      </c>
      <c r="O1303" t="s">
        <v>32</v>
      </c>
      <c r="P1303">
        <f t="shared" si="40"/>
        <v>2429</v>
      </c>
      <c r="Q1303">
        <f t="shared" si="41"/>
        <v>-566.23077448727986</v>
      </c>
    </row>
    <row r="1304" spans="1:17" x14ac:dyDescent="0.4">
      <c r="A1304" t="s">
        <v>2587</v>
      </c>
      <c r="B1304" s="1">
        <v>45445.166666666664</v>
      </c>
      <c r="C1304" t="s">
        <v>16</v>
      </c>
      <c r="D1304" t="s">
        <v>2588</v>
      </c>
      <c r="E1304" t="s">
        <v>104</v>
      </c>
      <c r="F1304" t="s">
        <v>25</v>
      </c>
      <c r="G1304">
        <v>198</v>
      </c>
      <c r="H1304">
        <v>0.1</v>
      </c>
      <c r="I1304">
        <v>178.2</v>
      </c>
      <c r="J1304">
        <v>5</v>
      </c>
      <c r="K1304">
        <v>125.888217187054</v>
      </c>
      <c r="L1304">
        <v>891</v>
      </c>
      <c r="M1304">
        <v>629.44108593527403</v>
      </c>
      <c r="N1304">
        <v>261.558914064725</v>
      </c>
      <c r="O1304" t="s">
        <v>32</v>
      </c>
      <c r="P1304">
        <f t="shared" si="40"/>
        <v>990</v>
      </c>
      <c r="Q1304">
        <f t="shared" si="41"/>
        <v>-261.55891406472597</v>
      </c>
    </row>
    <row r="1305" spans="1:17" x14ac:dyDescent="0.4">
      <c r="A1305" t="s">
        <v>2589</v>
      </c>
      <c r="B1305" s="1">
        <v>45432.833333333336</v>
      </c>
      <c r="C1305" t="s">
        <v>28</v>
      </c>
      <c r="D1305" t="s">
        <v>2590</v>
      </c>
      <c r="E1305" t="s">
        <v>30</v>
      </c>
      <c r="F1305" t="s">
        <v>31</v>
      </c>
      <c r="G1305">
        <v>294</v>
      </c>
      <c r="H1305">
        <v>0</v>
      </c>
      <c r="I1305">
        <v>294</v>
      </c>
      <c r="J1305">
        <v>1</v>
      </c>
      <c r="K1305">
        <v>201.720570596491</v>
      </c>
      <c r="L1305">
        <v>294</v>
      </c>
      <c r="M1305">
        <v>201.720570596491</v>
      </c>
      <c r="N1305">
        <v>92.2794294035089</v>
      </c>
      <c r="O1305" t="s">
        <v>32</v>
      </c>
      <c r="P1305">
        <f t="shared" si="40"/>
        <v>294</v>
      </c>
      <c r="Q1305">
        <f t="shared" si="41"/>
        <v>-92.279429403508999</v>
      </c>
    </row>
    <row r="1306" spans="1:17" x14ac:dyDescent="0.4">
      <c r="A1306" t="s">
        <v>2591</v>
      </c>
      <c r="B1306" s="1">
        <v>45654.958333333336</v>
      </c>
      <c r="C1306" t="s">
        <v>46</v>
      </c>
      <c r="D1306" t="s">
        <v>1074</v>
      </c>
      <c r="E1306" t="s">
        <v>85</v>
      </c>
      <c r="F1306" t="s">
        <v>70</v>
      </c>
      <c r="G1306">
        <v>116</v>
      </c>
      <c r="H1306">
        <v>0</v>
      </c>
      <c r="I1306">
        <v>116</v>
      </c>
      <c r="J1306">
        <v>6</v>
      </c>
      <c r="K1306">
        <v>68.527341678391906</v>
      </c>
      <c r="L1306">
        <v>696</v>
      </c>
      <c r="M1306">
        <v>411.16405007035098</v>
      </c>
      <c r="N1306">
        <v>284.835949929648</v>
      </c>
      <c r="O1306" t="s">
        <v>32</v>
      </c>
      <c r="P1306">
        <f t="shared" si="40"/>
        <v>696</v>
      </c>
      <c r="Q1306">
        <f t="shared" si="41"/>
        <v>-284.83594992964902</v>
      </c>
    </row>
    <row r="1307" spans="1:17" x14ac:dyDescent="0.4">
      <c r="A1307" t="s">
        <v>2592</v>
      </c>
      <c r="B1307" s="1">
        <v>45657.916666666664</v>
      </c>
      <c r="C1307" t="s">
        <v>46</v>
      </c>
      <c r="D1307" t="s">
        <v>2593</v>
      </c>
      <c r="E1307" t="s">
        <v>69</v>
      </c>
      <c r="F1307" t="s">
        <v>70</v>
      </c>
      <c r="G1307">
        <v>278</v>
      </c>
      <c r="H1307">
        <v>0.1</v>
      </c>
      <c r="I1307">
        <v>250.2</v>
      </c>
      <c r="J1307">
        <v>3</v>
      </c>
      <c r="K1307">
        <v>149.461346912761</v>
      </c>
      <c r="L1307">
        <v>750.6</v>
      </c>
      <c r="M1307">
        <v>448.38404073828298</v>
      </c>
      <c r="N1307">
        <v>302.21595926171699</v>
      </c>
      <c r="O1307" t="s">
        <v>32</v>
      </c>
      <c r="P1307">
        <f t="shared" si="40"/>
        <v>834</v>
      </c>
      <c r="Q1307">
        <f t="shared" si="41"/>
        <v>-302.21595926171705</v>
      </c>
    </row>
    <row r="1308" spans="1:17" x14ac:dyDescent="0.4">
      <c r="A1308" t="s">
        <v>2594</v>
      </c>
      <c r="B1308" s="1">
        <v>46018.416666666664</v>
      </c>
      <c r="C1308" t="s">
        <v>16</v>
      </c>
      <c r="D1308" t="s">
        <v>2595</v>
      </c>
      <c r="E1308" t="s">
        <v>110</v>
      </c>
      <c r="F1308" t="s">
        <v>19</v>
      </c>
      <c r="G1308">
        <v>180</v>
      </c>
      <c r="H1308">
        <v>0.1</v>
      </c>
      <c r="I1308">
        <v>162</v>
      </c>
      <c r="J1308">
        <v>6</v>
      </c>
      <c r="K1308">
        <v>78.343696869539599</v>
      </c>
      <c r="L1308">
        <v>972</v>
      </c>
      <c r="M1308">
        <v>470.06218121723703</v>
      </c>
      <c r="N1308">
        <v>501.93781878276201</v>
      </c>
      <c r="O1308" t="s">
        <v>32</v>
      </c>
      <c r="P1308">
        <f t="shared" si="40"/>
        <v>1080</v>
      </c>
      <c r="Q1308">
        <f t="shared" si="41"/>
        <v>-501.93781878276297</v>
      </c>
    </row>
    <row r="1309" spans="1:17" x14ac:dyDescent="0.4">
      <c r="A1309" t="s">
        <v>2596</v>
      </c>
      <c r="B1309" s="1">
        <v>45875.208333333336</v>
      </c>
      <c r="C1309" t="s">
        <v>65</v>
      </c>
      <c r="D1309" t="s">
        <v>2597</v>
      </c>
      <c r="E1309" t="s">
        <v>146</v>
      </c>
      <c r="F1309" t="s">
        <v>70</v>
      </c>
      <c r="G1309">
        <v>302</v>
      </c>
      <c r="H1309">
        <v>0</v>
      </c>
      <c r="I1309">
        <v>302</v>
      </c>
      <c r="J1309">
        <v>7</v>
      </c>
      <c r="K1309">
        <v>129.38154909123</v>
      </c>
      <c r="L1309">
        <v>2114</v>
      </c>
      <c r="M1309">
        <v>905.67084363861397</v>
      </c>
      <c r="N1309">
        <v>1208.32915636138</v>
      </c>
      <c r="O1309" t="s">
        <v>32</v>
      </c>
      <c r="P1309">
        <f t="shared" si="40"/>
        <v>2114</v>
      </c>
      <c r="Q1309">
        <f t="shared" si="41"/>
        <v>-1208.3291563613861</v>
      </c>
    </row>
    <row r="1310" spans="1:17" x14ac:dyDescent="0.4">
      <c r="A1310" t="s">
        <v>2598</v>
      </c>
      <c r="B1310" s="1">
        <v>45556.25</v>
      </c>
      <c r="C1310" t="s">
        <v>43</v>
      </c>
      <c r="D1310" t="s">
        <v>2599</v>
      </c>
      <c r="E1310" t="s">
        <v>48</v>
      </c>
      <c r="F1310" t="s">
        <v>19</v>
      </c>
      <c r="G1310">
        <v>89</v>
      </c>
      <c r="H1310">
        <v>0</v>
      </c>
      <c r="I1310">
        <v>89</v>
      </c>
      <c r="J1310">
        <v>3</v>
      </c>
      <c r="K1310">
        <v>37.425106152170699</v>
      </c>
      <c r="L1310">
        <v>267</v>
      </c>
      <c r="M1310">
        <v>112.275318456512</v>
      </c>
      <c r="N1310">
        <v>154.72468154348701</v>
      </c>
      <c r="O1310" t="s">
        <v>105</v>
      </c>
      <c r="P1310">
        <f t="shared" si="40"/>
        <v>267</v>
      </c>
      <c r="Q1310">
        <f t="shared" si="41"/>
        <v>-154.724681543488</v>
      </c>
    </row>
    <row r="1311" spans="1:17" x14ac:dyDescent="0.4">
      <c r="A1311" t="s">
        <v>2600</v>
      </c>
      <c r="B1311" s="1">
        <v>46014.625</v>
      </c>
      <c r="C1311" t="s">
        <v>16</v>
      </c>
      <c r="D1311" t="s">
        <v>2601</v>
      </c>
      <c r="E1311" t="s">
        <v>30</v>
      </c>
      <c r="F1311" t="s">
        <v>31</v>
      </c>
      <c r="G1311">
        <v>150</v>
      </c>
      <c r="H1311">
        <v>0.2</v>
      </c>
      <c r="I1311">
        <v>120</v>
      </c>
      <c r="J1311">
        <v>5</v>
      </c>
      <c r="K1311">
        <v>103.517098378733</v>
      </c>
      <c r="L1311">
        <v>600</v>
      </c>
      <c r="M1311">
        <v>517.58549189366795</v>
      </c>
      <c r="N1311">
        <v>82.414508106331894</v>
      </c>
      <c r="O1311" t="s">
        <v>32</v>
      </c>
      <c r="P1311">
        <f t="shared" si="40"/>
        <v>750</v>
      </c>
      <c r="Q1311">
        <f t="shared" si="41"/>
        <v>-82.41450810633205</v>
      </c>
    </row>
    <row r="1312" spans="1:17" x14ac:dyDescent="0.4">
      <c r="A1312" t="s">
        <v>2602</v>
      </c>
      <c r="B1312" s="1">
        <v>45544.458333333336</v>
      </c>
      <c r="C1312" t="s">
        <v>43</v>
      </c>
      <c r="D1312" t="s">
        <v>2603</v>
      </c>
      <c r="E1312" t="s">
        <v>94</v>
      </c>
      <c r="F1312" t="s">
        <v>61</v>
      </c>
      <c r="G1312">
        <v>135</v>
      </c>
      <c r="H1312">
        <v>0</v>
      </c>
      <c r="I1312">
        <v>135</v>
      </c>
      <c r="J1312">
        <v>3</v>
      </c>
      <c r="K1312">
        <v>85.922093771227395</v>
      </c>
      <c r="L1312">
        <v>405</v>
      </c>
      <c r="M1312">
        <v>257.76628131368199</v>
      </c>
      <c r="N1312">
        <v>147.23371868631699</v>
      </c>
      <c r="O1312" t="s">
        <v>20</v>
      </c>
      <c r="P1312">
        <f t="shared" si="40"/>
        <v>405</v>
      </c>
      <c r="Q1312">
        <f t="shared" si="41"/>
        <v>-147.23371868631801</v>
      </c>
    </row>
    <row r="1313" spans="1:17" x14ac:dyDescent="0.4">
      <c r="A1313" t="s">
        <v>2604</v>
      </c>
      <c r="B1313" s="1">
        <v>45662.166666666664</v>
      </c>
      <c r="C1313" t="s">
        <v>46</v>
      </c>
      <c r="D1313" t="s">
        <v>2605</v>
      </c>
      <c r="E1313" t="s">
        <v>97</v>
      </c>
      <c r="F1313" t="s">
        <v>61</v>
      </c>
      <c r="G1313">
        <v>230</v>
      </c>
      <c r="H1313">
        <v>0</v>
      </c>
      <c r="I1313">
        <v>230</v>
      </c>
      <c r="J1313">
        <v>5</v>
      </c>
      <c r="K1313">
        <v>155.35002324356199</v>
      </c>
      <c r="L1313">
        <v>1150</v>
      </c>
      <c r="M1313">
        <v>776.75011621781402</v>
      </c>
      <c r="N1313">
        <v>373.24988378218501</v>
      </c>
      <c r="O1313" t="s">
        <v>26</v>
      </c>
      <c r="P1313">
        <f t="shared" si="40"/>
        <v>1150</v>
      </c>
      <c r="Q1313">
        <f t="shared" si="41"/>
        <v>-373.24988378218598</v>
      </c>
    </row>
    <row r="1314" spans="1:17" x14ac:dyDescent="0.4">
      <c r="A1314" t="s">
        <v>2606</v>
      </c>
      <c r="B1314" s="1">
        <v>45527.625</v>
      </c>
      <c r="C1314" t="s">
        <v>43</v>
      </c>
      <c r="D1314" t="s">
        <v>2607</v>
      </c>
      <c r="E1314" t="s">
        <v>73</v>
      </c>
      <c r="F1314" t="s">
        <v>38</v>
      </c>
      <c r="G1314">
        <v>157</v>
      </c>
      <c r="H1314">
        <v>0.1</v>
      </c>
      <c r="I1314">
        <v>141.30000000000001</v>
      </c>
      <c r="J1314">
        <v>5</v>
      </c>
      <c r="K1314">
        <v>79.744111131245404</v>
      </c>
      <c r="L1314">
        <v>706.5</v>
      </c>
      <c r="M1314">
        <v>398.72055565622702</v>
      </c>
      <c r="N1314">
        <v>307.77944434377201</v>
      </c>
      <c r="O1314" t="s">
        <v>26</v>
      </c>
      <c r="P1314">
        <f t="shared" si="40"/>
        <v>785</v>
      </c>
      <c r="Q1314">
        <f t="shared" si="41"/>
        <v>-307.77944434377298</v>
      </c>
    </row>
    <row r="1315" spans="1:17" x14ac:dyDescent="0.4">
      <c r="A1315" t="s">
        <v>2608</v>
      </c>
      <c r="B1315" s="1">
        <v>45795.791666666664</v>
      </c>
      <c r="C1315" t="s">
        <v>46</v>
      </c>
      <c r="D1315" t="s">
        <v>2609</v>
      </c>
      <c r="E1315" t="s">
        <v>213</v>
      </c>
      <c r="F1315" t="s">
        <v>31</v>
      </c>
      <c r="G1315">
        <v>293</v>
      </c>
      <c r="H1315">
        <v>0.2</v>
      </c>
      <c r="I1315">
        <v>234.4</v>
      </c>
      <c r="J1315">
        <v>6</v>
      </c>
      <c r="K1315">
        <v>214.51337398140399</v>
      </c>
      <c r="L1315">
        <v>1406.4</v>
      </c>
      <c r="M1315">
        <v>1287.08024388842</v>
      </c>
      <c r="N1315">
        <v>119.31975611157399</v>
      </c>
      <c r="O1315" t="s">
        <v>32</v>
      </c>
      <c r="P1315">
        <f t="shared" si="40"/>
        <v>1758</v>
      </c>
      <c r="Q1315">
        <f t="shared" si="41"/>
        <v>-119.31975611158009</v>
      </c>
    </row>
    <row r="1316" spans="1:17" x14ac:dyDescent="0.4">
      <c r="A1316" t="s">
        <v>2610</v>
      </c>
      <c r="B1316" s="1">
        <v>45927.458333333336</v>
      </c>
      <c r="C1316" t="s">
        <v>28</v>
      </c>
      <c r="D1316" t="s">
        <v>2611</v>
      </c>
      <c r="E1316" t="s">
        <v>18</v>
      </c>
      <c r="F1316" t="s">
        <v>19</v>
      </c>
      <c r="G1316">
        <v>273</v>
      </c>
      <c r="H1316">
        <v>0.25</v>
      </c>
      <c r="I1316">
        <v>204.75</v>
      </c>
      <c r="J1316">
        <v>3</v>
      </c>
      <c r="K1316">
        <v>147.12683945082401</v>
      </c>
      <c r="L1316">
        <v>614.25</v>
      </c>
      <c r="M1316">
        <v>441.38051835247302</v>
      </c>
      <c r="N1316">
        <v>172.86948164752599</v>
      </c>
      <c r="O1316" t="s">
        <v>32</v>
      </c>
      <c r="P1316">
        <f t="shared" si="40"/>
        <v>819</v>
      </c>
      <c r="Q1316">
        <f t="shared" si="41"/>
        <v>-172.86948164752698</v>
      </c>
    </row>
    <row r="1317" spans="1:17" x14ac:dyDescent="0.4">
      <c r="A1317" t="s">
        <v>2612</v>
      </c>
      <c r="B1317" s="1">
        <v>45313.916666666664</v>
      </c>
      <c r="C1317" t="s">
        <v>46</v>
      </c>
      <c r="D1317" t="s">
        <v>2613</v>
      </c>
      <c r="E1317" t="s">
        <v>48</v>
      </c>
      <c r="F1317" t="s">
        <v>19</v>
      </c>
      <c r="G1317">
        <v>192</v>
      </c>
      <c r="H1317">
        <v>0.1</v>
      </c>
      <c r="I1317">
        <v>172.8</v>
      </c>
      <c r="J1317">
        <v>7</v>
      </c>
      <c r="K1317">
        <v>78.001434127139703</v>
      </c>
      <c r="L1317">
        <v>1209.5999999999999</v>
      </c>
      <c r="M1317">
        <v>546.01003888997798</v>
      </c>
      <c r="N1317">
        <v>663.58996111002102</v>
      </c>
      <c r="O1317" t="s">
        <v>26</v>
      </c>
      <c r="P1317">
        <f t="shared" si="40"/>
        <v>1344</v>
      </c>
      <c r="Q1317">
        <f t="shared" si="41"/>
        <v>-663.58996111002193</v>
      </c>
    </row>
    <row r="1318" spans="1:17" x14ac:dyDescent="0.4">
      <c r="A1318" t="s">
        <v>2614</v>
      </c>
      <c r="B1318" s="1">
        <v>45426.333333333336</v>
      </c>
      <c r="C1318" t="s">
        <v>46</v>
      </c>
      <c r="D1318" t="s">
        <v>2615</v>
      </c>
      <c r="E1318" t="s">
        <v>69</v>
      </c>
      <c r="F1318" t="s">
        <v>70</v>
      </c>
      <c r="G1318">
        <v>263</v>
      </c>
      <c r="H1318">
        <v>0.1</v>
      </c>
      <c r="I1318">
        <v>236.7</v>
      </c>
      <c r="J1318">
        <v>1</v>
      </c>
      <c r="K1318">
        <v>123.616143197696</v>
      </c>
      <c r="L1318">
        <v>236.7</v>
      </c>
      <c r="M1318">
        <v>123.616143197696</v>
      </c>
      <c r="N1318">
        <v>113.083856802303</v>
      </c>
      <c r="O1318" t="s">
        <v>32</v>
      </c>
      <c r="P1318">
        <f t="shared" si="40"/>
        <v>263</v>
      </c>
      <c r="Q1318">
        <f t="shared" si="41"/>
        <v>-113.08385680230398</v>
      </c>
    </row>
    <row r="1319" spans="1:17" x14ac:dyDescent="0.4">
      <c r="A1319" t="s">
        <v>2616</v>
      </c>
      <c r="B1319" s="1">
        <v>45919.875</v>
      </c>
      <c r="C1319" t="s">
        <v>46</v>
      </c>
      <c r="D1319" t="s">
        <v>2617</v>
      </c>
      <c r="E1319" t="s">
        <v>146</v>
      </c>
      <c r="F1319" t="s">
        <v>70</v>
      </c>
      <c r="G1319">
        <v>303</v>
      </c>
      <c r="H1319">
        <v>0</v>
      </c>
      <c r="I1319">
        <v>303</v>
      </c>
      <c r="J1319">
        <v>2</v>
      </c>
      <c r="K1319">
        <v>217.30826180605001</v>
      </c>
      <c r="L1319">
        <v>606</v>
      </c>
      <c r="M1319">
        <v>434.61652361210099</v>
      </c>
      <c r="N1319">
        <v>171.38347638789801</v>
      </c>
      <c r="O1319" t="s">
        <v>26</v>
      </c>
      <c r="P1319">
        <f t="shared" si="40"/>
        <v>606</v>
      </c>
      <c r="Q1319">
        <f t="shared" si="41"/>
        <v>-171.38347638789901</v>
      </c>
    </row>
    <row r="1320" spans="1:17" x14ac:dyDescent="0.4">
      <c r="A1320" t="s">
        <v>2618</v>
      </c>
      <c r="B1320" s="1">
        <v>45772.666666666664</v>
      </c>
      <c r="C1320" t="s">
        <v>16</v>
      </c>
      <c r="D1320" t="s">
        <v>2619</v>
      </c>
      <c r="E1320" t="s">
        <v>69</v>
      </c>
      <c r="F1320" t="s">
        <v>70</v>
      </c>
      <c r="G1320">
        <v>105</v>
      </c>
      <c r="H1320">
        <v>0.1</v>
      </c>
      <c r="I1320">
        <v>94.5</v>
      </c>
      <c r="J1320">
        <v>7</v>
      </c>
      <c r="K1320">
        <v>71.770047077424096</v>
      </c>
      <c r="L1320">
        <v>661.5</v>
      </c>
      <c r="M1320">
        <v>502.39032954196801</v>
      </c>
      <c r="N1320">
        <v>159.10967045803099</v>
      </c>
      <c r="O1320" t="s">
        <v>32</v>
      </c>
      <c r="P1320">
        <f t="shared" si="40"/>
        <v>735</v>
      </c>
      <c r="Q1320">
        <f t="shared" si="41"/>
        <v>-159.10967045803199</v>
      </c>
    </row>
    <row r="1321" spans="1:17" x14ac:dyDescent="0.4">
      <c r="A1321" t="s">
        <v>2620</v>
      </c>
      <c r="B1321" s="1">
        <v>45856.458333333336</v>
      </c>
      <c r="C1321" t="s">
        <v>65</v>
      </c>
      <c r="D1321" t="s">
        <v>2621</v>
      </c>
      <c r="E1321" t="s">
        <v>73</v>
      </c>
      <c r="F1321" t="s">
        <v>38</v>
      </c>
      <c r="G1321">
        <v>275</v>
      </c>
      <c r="H1321">
        <v>0.1</v>
      </c>
      <c r="I1321">
        <v>247.5</v>
      </c>
      <c r="J1321">
        <v>1</v>
      </c>
      <c r="K1321">
        <v>164.50749357121299</v>
      </c>
      <c r="L1321">
        <v>247.5</v>
      </c>
      <c r="M1321">
        <v>164.50749357121299</v>
      </c>
      <c r="N1321">
        <v>82.9925064287862</v>
      </c>
      <c r="O1321" t="s">
        <v>32</v>
      </c>
      <c r="P1321">
        <f t="shared" si="40"/>
        <v>275</v>
      </c>
      <c r="Q1321">
        <f t="shared" si="41"/>
        <v>-82.99250642878701</v>
      </c>
    </row>
    <row r="1322" spans="1:17" x14ac:dyDescent="0.4">
      <c r="A1322" t="s">
        <v>2622</v>
      </c>
      <c r="B1322" s="1">
        <v>45365.458333333336</v>
      </c>
      <c r="C1322" t="s">
        <v>22</v>
      </c>
      <c r="D1322" t="s">
        <v>2623</v>
      </c>
      <c r="E1322" t="s">
        <v>48</v>
      </c>
      <c r="F1322" t="s">
        <v>19</v>
      </c>
      <c r="G1322">
        <v>94</v>
      </c>
      <c r="H1322">
        <v>0</v>
      </c>
      <c r="I1322">
        <v>94</v>
      </c>
      <c r="J1322">
        <v>7</v>
      </c>
      <c r="K1322">
        <v>64.632173046711998</v>
      </c>
      <c r="L1322">
        <v>658</v>
      </c>
      <c r="M1322">
        <v>452.42521132698403</v>
      </c>
      <c r="N1322">
        <v>205.57478867301501</v>
      </c>
      <c r="O1322" t="s">
        <v>32</v>
      </c>
      <c r="P1322">
        <f t="shared" si="40"/>
        <v>658</v>
      </c>
      <c r="Q1322">
        <f t="shared" si="41"/>
        <v>-205.57478867301597</v>
      </c>
    </row>
    <row r="1323" spans="1:17" x14ac:dyDescent="0.4">
      <c r="A1323" t="s">
        <v>2624</v>
      </c>
      <c r="B1323" s="1">
        <v>45655</v>
      </c>
      <c r="C1323" t="s">
        <v>16</v>
      </c>
      <c r="D1323" t="s">
        <v>2625</v>
      </c>
      <c r="E1323" t="s">
        <v>104</v>
      </c>
      <c r="F1323" t="s">
        <v>25</v>
      </c>
      <c r="G1323">
        <v>339</v>
      </c>
      <c r="H1323">
        <v>0</v>
      </c>
      <c r="I1323">
        <v>339</v>
      </c>
      <c r="J1323">
        <v>2</v>
      </c>
      <c r="K1323">
        <v>136.06621398674599</v>
      </c>
      <c r="L1323">
        <v>678</v>
      </c>
      <c r="M1323">
        <v>272.13242797349199</v>
      </c>
      <c r="N1323">
        <v>405.86757202650699</v>
      </c>
      <c r="O1323" t="s">
        <v>32</v>
      </c>
      <c r="P1323">
        <f t="shared" si="40"/>
        <v>678</v>
      </c>
      <c r="Q1323">
        <f t="shared" si="41"/>
        <v>-405.86757202650801</v>
      </c>
    </row>
    <row r="1324" spans="1:17" x14ac:dyDescent="0.4">
      <c r="A1324" t="s">
        <v>2626</v>
      </c>
      <c r="B1324" s="1">
        <v>45533.541666666664</v>
      </c>
      <c r="C1324" t="s">
        <v>16</v>
      </c>
      <c r="D1324" t="s">
        <v>2627</v>
      </c>
      <c r="E1324" t="s">
        <v>60</v>
      </c>
      <c r="F1324" t="s">
        <v>61</v>
      </c>
      <c r="G1324">
        <v>137</v>
      </c>
      <c r="H1324">
        <v>0.1</v>
      </c>
      <c r="I1324">
        <v>123.3</v>
      </c>
      <c r="J1324">
        <v>1</v>
      </c>
      <c r="K1324">
        <v>58.973259446139998</v>
      </c>
      <c r="L1324">
        <v>123.3</v>
      </c>
      <c r="M1324">
        <v>58.973259446139998</v>
      </c>
      <c r="N1324">
        <v>64.326740553859906</v>
      </c>
      <c r="O1324" t="s">
        <v>51</v>
      </c>
      <c r="P1324">
        <f t="shared" si="40"/>
        <v>137</v>
      </c>
      <c r="Q1324">
        <f t="shared" si="41"/>
        <v>-64.326740553859992</v>
      </c>
    </row>
    <row r="1325" spans="1:17" x14ac:dyDescent="0.4">
      <c r="A1325" t="s">
        <v>2628</v>
      </c>
      <c r="B1325" s="1">
        <v>45675.666666666664</v>
      </c>
      <c r="C1325" t="s">
        <v>28</v>
      </c>
      <c r="D1325" t="s">
        <v>2629</v>
      </c>
      <c r="E1325" t="s">
        <v>73</v>
      </c>
      <c r="F1325" t="s">
        <v>38</v>
      </c>
      <c r="G1325">
        <v>131</v>
      </c>
      <c r="H1325">
        <v>0.05</v>
      </c>
      <c r="I1325">
        <v>124.44999999999899</v>
      </c>
      <c r="J1325">
        <v>3</v>
      </c>
      <c r="K1325">
        <v>57.396349203584499</v>
      </c>
      <c r="L1325">
        <v>373.349999999999</v>
      </c>
      <c r="M1325">
        <v>172.18904761075299</v>
      </c>
      <c r="N1325">
        <v>201.16095238924601</v>
      </c>
      <c r="O1325" t="s">
        <v>51</v>
      </c>
      <c r="P1325">
        <f t="shared" si="40"/>
        <v>393</v>
      </c>
      <c r="Q1325">
        <f t="shared" si="41"/>
        <v>-201.16095238924601</v>
      </c>
    </row>
    <row r="1326" spans="1:17" x14ac:dyDescent="0.4">
      <c r="A1326" t="s">
        <v>2630</v>
      </c>
      <c r="B1326" s="1">
        <v>45504.875</v>
      </c>
      <c r="C1326" t="s">
        <v>22</v>
      </c>
      <c r="D1326" t="s">
        <v>2631</v>
      </c>
      <c r="E1326" t="s">
        <v>94</v>
      </c>
      <c r="F1326" t="s">
        <v>61</v>
      </c>
      <c r="G1326">
        <v>321</v>
      </c>
      <c r="H1326">
        <v>0.15</v>
      </c>
      <c r="I1326">
        <v>272.849999999999</v>
      </c>
      <c r="J1326">
        <v>4</v>
      </c>
      <c r="K1326">
        <v>166.04959277514999</v>
      </c>
      <c r="L1326">
        <v>1091.3999999999901</v>
      </c>
      <c r="M1326">
        <v>664.198371100602</v>
      </c>
      <c r="N1326">
        <v>427.20162889939701</v>
      </c>
      <c r="O1326" t="s">
        <v>26</v>
      </c>
      <c r="P1326">
        <f t="shared" si="40"/>
        <v>1284</v>
      </c>
      <c r="Q1326">
        <f t="shared" si="41"/>
        <v>-427.20162889938808</v>
      </c>
    </row>
    <row r="1327" spans="1:17" x14ac:dyDescent="0.4">
      <c r="A1327" t="s">
        <v>2632</v>
      </c>
      <c r="B1327" s="1">
        <v>45979.5</v>
      </c>
      <c r="C1327" t="s">
        <v>16</v>
      </c>
      <c r="D1327" t="s">
        <v>2633</v>
      </c>
      <c r="E1327" t="s">
        <v>146</v>
      </c>
      <c r="F1327" t="s">
        <v>70</v>
      </c>
      <c r="G1327">
        <v>229</v>
      </c>
      <c r="H1327">
        <v>0.05</v>
      </c>
      <c r="I1327">
        <v>217.54999999999899</v>
      </c>
      <c r="J1327">
        <v>1</v>
      </c>
      <c r="K1327">
        <v>156.658844857324</v>
      </c>
      <c r="L1327">
        <v>217.54999999999899</v>
      </c>
      <c r="M1327">
        <v>156.658844857324</v>
      </c>
      <c r="N1327">
        <v>60.891155142675103</v>
      </c>
      <c r="O1327" t="s">
        <v>26</v>
      </c>
      <c r="P1327">
        <f t="shared" si="40"/>
        <v>229</v>
      </c>
      <c r="Q1327">
        <f t="shared" si="41"/>
        <v>-60.89115514267499</v>
      </c>
    </row>
    <row r="1328" spans="1:17" x14ac:dyDescent="0.4">
      <c r="A1328" t="s">
        <v>2634</v>
      </c>
      <c r="B1328" s="1">
        <v>45393.375</v>
      </c>
      <c r="C1328" t="s">
        <v>65</v>
      </c>
      <c r="D1328" t="s">
        <v>2635</v>
      </c>
      <c r="E1328" t="s">
        <v>18</v>
      </c>
      <c r="F1328" t="s">
        <v>19</v>
      </c>
      <c r="G1328">
        <v>222</v>
      </c>
      <c r="H1328">
        <v>0.05</v>
      </c>
      <c r="I1328">
        <v>210.89999999999901</v>
      </c>
      <c r="J1328">
        <v>5</v>
      </c>
      <c r="K1328">
        <v>118.7177041802</v>
      </c>
      <c r="L1328">
        <v>1054.5</v>
      </c>
      <c r="M1328">
        <v>593.58852090100004</v>
      </c>
      <c r="N1328">
        <v>460.911479098999</v>
      </c>
      <c r="O1328" t="s">
        <v>32</v>
      </c>
      <c r="P1328">
        <f t="shared" si="40"/>
        <v>1110</v>
      </c>
      <c r="Q1328">
        <f t="shared" si="41"/>
        <v>-460.91147909899996</v>
      </c>
    </row>
    <row r="1329" spans="1:17" x14ac:dyDescent="0.4">
      <c r="A1329" t="s">
        <v>2636</v>
      </c>
      <c r="B1329" s="1">
        <v>45998.958333333336</v>
      </c>
      <c r="C1329" t="s">
        <v>28</v>
      </c>
      <c r="D1329" t="s">
        <v>2637</v>
      </c>
      <c r="E1329" t="s">
        <v>213</v>
      </c>
      <c r="F1329" t="s">
        <v>31</v>
      </c>
      <c r="G1329">
        <v>152</v>
      </c>
      <c r="H1329">
        <v>0.05</v>
      </c>
      <c r="I1329">
        <v>144.4</v>
      </c>
      <c r="J1329">
        <v>6</v>
      </c>
      <c r="K1329">
        <v>67.636411656264301</v>
      </c>
      <c r="L1329">
        <v>866.4</v>
      </c>
      <c r="M1329">
        <v>405.81846993758597</v>
      </c>
      <c r="N1329">
        <v>460.58153006241298</v>
      </c>
      <c r="O1329" t="s">
        <v>51</v>
      </c>
      <c r="P1329">
        <f t="shared" si="40"/>
        <v>912</v>
      </c>
      <c r="Q1329">
        <f t="shared" si="41"/>
        <v>-460.581530062414</v>
      </c>
    </row>
    <row r="1330" spans="1:17" x14ac:dyDescent="0.4">
      <c r="A1330" t="s">
        <v>2638</v>
      </c>
      <c r="B1330" s="1">
        <v>45465.625</v>
      </c>
      <c r="C1330" t="s">
        <v>28</v>
      </c>
      <c r="D1330" t="s">
        <v>2639</v>
      </c>
      <c r="E1330" t="s">
        <v>60</v>
      </c>
      <c r="F1330" t="s">
        <v>61</v>
      </c>
      <c r="G1330">
        <v>296</v>
      </c>
      <c r="H1330">
        <v>0.05</v>
      </c>
      <c r="I1330">
        <v>281.2</v>
      </c>
      <c r="J1330">
        <v>6</v>
      </c>
      <c r="K1330">
        <v>199.80703078079199</v>
      </c>
      <c r="L1330">
        <v>1687.19999999999</v>
      </c>
      <c r="M1330">
        <v>1198.84218468475</v>
      </c>
      <c r="N1330">
        <v>488.35781531524202</v>
      </c>
      <c r="O1330" t="s">
        <v>26</v>
      </c>
      <c r="P1330">
        <f t="shared" si="40"/>
        <v>1776</v>
      </c>
      <c r="Q1330">
        <f t="shared" si="41"/>
        <v>-488.35781531524003</v>
      </c>
    </row>
    <row r="1331" spans="1:17" x14ac:dyDescent="0.4">
      <c r="A1331" t="s">
        <v>2640</v>
      </c>
      <c r="B1331" s="1">
        <v>45640.208333333336</v>
      </c>
      <c r="C1331" t="s">
        <v>28</v>
      </c>
      <c r="D1331" t="s">
        <v>687</v>
      </c>
      <c r="E1331" t="s">
        <v>48</v>
      </c>
      <c r="F1331" t="s">
        <v>19</v>
      </c>
      <c r="G1331">
        <v>270</v>
      </c>
      <c r="H1331">
        <v>0</v>
      </c>
      <c r="I1331">
        <v>270</v>
      </c>
      <c r="J1331">
        <v>7</v>
      </c>
      <c r="K1331">
        <v>164.874949987382</v>
      </c>
      <c r="L1331">
        <v>1890</v>
      </c>
      <c r="M1331">
        <v>1154.1246499116701</v>
      </c>
      <c r="N1331">
        <v>735.87535008832197</v>
      </c>
      <c r="O1331" t="s">
        <v>20</v>
      </c>
      <c r="P1331">
        <f t="shared" si="40"/>
        <v>1890</v>
      </c>
      <c r="Q1331">
        <f t="shared" si="41"/>
        <v>-735.87535008832992</v>
      </c>
    </row>
    <row r="1332" spans="1:17" x14ac:dyDescent="0.4">
      <c r="A1332" t="s">
        <v>2641</v>
      </c>
      <c r="B1332" s="1">
        <v>45548.416666666664</v>
      </c>
      <c r="C1332" t="s">
        <v>28</v>
      </c>
      <c r="D1332" t="s">
        <v>2642</v>
      </c>
      <c r="E1332" t="s">
        <v>18</v>
      </c>
      <c r="F1332" t="s">
        <v>19</v>
      </c>
      <c r="G1332">
        <v>215</v>
      </c>
      <c r="H1332">
        <v>0</v>
      </c>
      <c r="I1332">
        <v>215</v>
      </c>
      <c r="J1332">
        <v>7</v>
      </c>
      <c r="K1332">
        <v>96.917980859595104</v>
      </c>
      <c r="L1332">
        <v>1505</v>
      </c>
      <c r="M1332">
        <v>678.42586601716596</v>
      </c>
      <c r="N1332">
        <v>826.57413398283302</v>
      </c>
      <c r="O1332" t="s">
        <v>32</v>
      </c>
      <c r="P1332">
        <f t="shared" si="40"/>
        <v>1505</v>
      </c>
      <c r="Q1332">
        <f t="shared" si="41"/>
        <v>-826.57413398283404</v>
      </c>
    </row>
    <row r="1333" spans="1:17" x14ac:dyDescent="0.4">
      <c r="A1333" t="s">
        <v>2643</v>
      </c>
      <c r="B1333" s="1">
        <v>45663.666666666664</v>
      </c>
      <c r="C1333" t="s">
        <v>28</v>
      </c>
      <c r="D1333" t="s">
        <v>2644</v>
      </c>
      <c r="E1333" t="s">
        <v>37</v>
      </c>
      <c r="F1333" t="s">
        <v>38</v>
      </c>
      <c r="G1333">
        <v>124</v>
      </c>
      <c r="H1333">
        <v>0.2</v>
      </c>
      <c r="I1333">
        <v>99.2</v>
      </c>
      <c r="J1333">
        <v>1</v>
      </c>
      <c r="K1333">
        <v>92.400225523817298</v>
      </c>
      <c r="L1333">
        <v>99.2</v>
      </c>
      <c r="M1333">
        <v>92.400225523817298</v>
      </c>
      <c r="N1333">
        <v>6.7997744761826402</v>
      </c>
      <c r="O1333" t="s">
        <v>32</v>
      </c>
      <c r="P1333">
        <f t="shared" si="40"/>
        <v>124</v>
      </c>
      <c r="Q1333">
        <f t="shared" si="41"/>
        <v>-6.799774476182705</v>
      </c>
    </row>
    <row r="1334" spans="1:17" x14ac:dyDescent="0.4">
      <c r="A1334" t="s">
        <v>2645</v>
      </c>
      <c r="B1334" s="1">
        <v>46007.083333333336</v>
      </c>
      <c r="C1334" t="s">
        <v>16</v>
      </c>
      <c r="D1334" t="s">
        <v>2646</v>
      </c>
      <c r="E1334" t="s">
        <v>85</v>
      </c>
      <c r="F1334" t="s">
        <v>70</v>
      </c>
      <c r="G1334">
        <v>190</v>
      </c>
      <c r="H1334">
        <v>0.05</v>
      </c>
      <c r="I1334">
        <v>180.5</v>
      </c>
      <c r="J1334">
        <v>2</v>
      </c>
      <c r="K1334">
        <v>102.79769120820499</v>
      </c>
      <c r="L1334">
        <v>361</v>
      </c>
      <c r="M1334">
        <v>205.59538241641101</v>
      </c>
      <c r="N1334">
        <v>155.40461758358799</v>
      </c>
      <c r="O1334" t="s">
        <v>51</v>
      </c>
      <c r="P1334">
        <f t="shared" si="40"/>
        <v>380</v>
      </c>
      <c r="Q1334">
        <f t="shared" si="41"/>
        <v>-155.40461758358899</v>
      </c>
    </row>
    <row r="1335" spans="1:17" x14ac:dyDescent="0.4">
      <c r="A1335" t="s">
        <v>2647</v>
      </c>
      <c r="B1335" s="1">
        <v>45300.875</v>
      </c>
      <c r="C1335" t="s">
        <v>22</v>
      </c>
      <c r="D1335" t="s">
        <v>2648</v>
      </c>
      <c r="E1335" t="s">
        <v>37</v>
      </c>
      <c r="F1335" t="s">
        <v>38</v>
      </c>
      <c r="G1335">
        <v>252</v>
      </c>
      <c r="H1335">
        <v>0</v>
      </c>
      <c r="I1335">
        <v>252</v>
      </c>
      <c r="J1335">
        <v>2</v>
      </c>
      <c r="K1335">
        <v>168.017966762713</v>
      </c>
      <c r="L1335">
        <v>504</v>
      </c>
      <c r="M1335">
        <v>336.03593352542703</v>
      </c>
      <c r="N1335">
        <v>167.96406647457201</v>
      </c>
      <c r="O1335" t="s">
        <v>32</v>
      </c>
      <c r="P1335">
        <f t="shared" si="40"/>
        <v>504</v>
      </c>
      <c r="Q1335">
        <f t="shared" si="41"/>
        <v>-167.96406647457297</v>
      </c>
    </row>
    <row r="1336" spans="1:17" x14ac:dyDescent="0.4">
      <c r="A1336" t="s">
        <v>2649</v>
      </c>
      <c r="B1336" s="1">
        <v>45448.75</v>
      </c>
      <c r="C1336" t="s">
        <v>22</v>
      </c>
      <c r="D1336" t="s">
        <v>2650</v>
      </c>
      <c r="E1336" t="s">
        <v>18</v>
      </c>
      <c r="F1336" t="s">
        <v>19</v>
      </c>
      <c r="G1336">
        <v>234</v>
      </c>
      <c r="H1336">
        <v>0.05</v>
      </c>
      <c r="I1336">
        <v>222.29999999999899</v>
      </c>
      <c r="J1336">
        <v>7</v>
      </c>
      <c r="K1336">
        <v>124.778964371974</v>
      </c>
      <c r="L1336">
        <v>1556.1</v>
      </c>
      <c r="M1336">
        <v>873.45275060382096</v>
      </c>
      <c r="N1336">
        <v>682.64724939617804</v>
      </c>
      <c r="O1336" t="s">
        <v>26</v>
      </c>
      <c r="P1336">
        <f t="shared" si="40"/>
        <v>1638</v>
      </c>
      <c r="Q1336">
        <f t="shared" si="41"/>
        <v>-682.64724939617895</v>
      </c>
    </row>
    <row r="1337" spans="1:17" x14ac:dyDescent="0.4">
      <c r="A1337" t="s">
        <v>2651</v>
      </c>
      <c r="B1337" s="1">
        <v>45850.291666666664</v>
      </c>
      <c r="C1337" t="s">
        <v>43</v>
      </c>
      <c r="D1337" t="s">
        <v>2652</v>
      </c>
      <c r="E1337" t="s">
        <v>37</v>
      </c>
      <c r="F1337" t="s">
        <v>38</v>
      </c>
      <c r="G1337">
        <v>181</v>
      </c>
      <c r="H1337">
        <v>0.1</v>
      </c>
      <c r="I1337">
        <v>162.9</v>
      </c>
      <c r="J1337">
        <v>4</v>
      </c>
      <c r="K1337">
        <v>132.652957931846</v>
      </c>
      <c r="L1337">
        <v>651.6</v>
      </c>
      <c r="M1337">
        <v>530.61183172738595</v>
      </c>
      <c r="N1337">
        <v>120.988168272614</v>
      </c>
      <c r="O1337" t="s">
        <v>32</v>
      </c>
      <c r="P1337">
        <f t="shared" si="40"/>
        <v>724</v>
      </c>
      <c r="Q1337">
        <f t="shared" si="41"/>
        <v>-120.98816827261408</v>
      </c>
    </row>
    <row r="1338" spans="1:17" x14ac:dyDescent="0.4">
      <c r="A1338" t="s">
        <v>2653</v>
      </c>
      <c r="B1338" s="1">
        <v>45699</v>
      </c>
      <c r="C1338" t="s">
        <v>28</v>
      </c>
      <c r="D1338" t="s">
        <v>1817</v>
      </c>
      <c r="E1338" t="s">
        <v>115</v>
      </c>
      <c r="F1338" t="s">
        <v>38</v>
      </c>
      <c r="G1338">
        <v>336</v>
      </c>
      <c r="H1338">
        <v>0</v>
      </c>
      <c r="I1338">
        <v>336</v>
      </c>
      <c r="J1338">
        <v>2</v>
      </c>
      <c r="K1338">
        <v>183.32758644408401</v>
      </c>
      <c r="L1338">
        <v>672</v>
      </c>
      <c r="M1338">
        <v>366.65517288816801</v>
      </c>
      <c r="N1338">
        <v>305.34482711183102</v>
      </c>
      <c r="O1338" t="s">
        <v>26</v>
      </c>
      <c r="P1338">
        <f t="shared" si="40"/>
        <v>672</v>
      </c>
      <c r="Q1338">
        <f t="shared" si="41"/>
        <v>-305.34482711183199</v>
      </c>
    </row>
    <row r="1339" spans="1:17" x14ac:dyDescent="0.4">
      <c r="A1339" t="s">
        <v>2654</v>
      </c>
      <c r="B1339" s="1">
        <v>45735.333333333336</v>
      </c>
      <c r="C1339" t="s">
        <v>28</v>
      </c>
      <c r="D1339" t="s">
        <v>1936</v>
      </c>
      <c r="E1339" t="s">
        <v>146</v>
      </c>
      <c r="F1339" t="s">
        <v>70</v>
      </c>
      <c r="G1339">
        <v>204</v>
      </c>
      <c r="H1339">
        <v>0</v>
      </c>
      <c r="I1339">
        <v>204</v>
      </c>
      <c r="J1339">
        <v>2</v>
      </c>
      <c r="K1339">
        <v>95.762651833002394</v>
      </c>
      <c r="L1339">
        <v>408</v>
      </c>
      <c r="M1339">
        <v>191.52530366600399</v>
      </c>
      <c r="N1339">
        <v>216.47469633399501</v>
      </c>
      <c r="O1339" t="s">
        <v>32</v>
      </c>
      <c r="P1339">
        <f t="shared" si="40"/>
        <v>408</v>
      </c>
      <c r="Q1339">
        <f t="shared" si="41"/>
        <v>-216.47469633399601</v>
      </c>
    </row>
    <row r="1340" spans="1:17" x14ac:dyDescent="0.4">
      <c r="A1340" t="s">
        <v>2655</v>
      </c>
      <c r="B1340" s="1">
        <v>45572.458333333336</v>
      </c>
      <c r="C1340" t="s">
        <v>46</v>
      </c>
      <c r="D1340" t="s">
        <v>2656</v>
      </c>
      <c r="E1340" t="s">
        <v>37</v>
      </c>
      <c r="F1340" t="s">
        <v>38</v>
      </c>
      <c r="G1340">
        <v>251</v>
      </c>
      <c r="H1340">
        <v>0.15</v>
      </c>
      <c r="I1340">
        <v>213.35</v>
      </c>
      <c r="J1340">
        <v>7</v>
      </c>
      <c r="K1340">
        <v>139.661551963232</v>
      </c>
      <c r="L1340">
        <v>1493.45</v>
      </c>
      <c r="M1340">
        <v>977.63086374262696</v>
      </c>
      <c r="N1340">
        <v>515.81913625737195</v>
      </c>
      <c r="O1340" t="s">
        <v>32</v>
      </c>
      <c r="P1340">
        <f t="shared" si="40"/>
        <v>1757</v>
      </c>
      <c r="Q1340">
        <f t="shared" si="41"/>
        <v>-515.81913625737309</v>
      </c>
    </row>
    <row r="1341" spans="1:17" x14ac:dyDescent="0.4">
      <c r="A1341" t="s">
        <v>2657</v>
      </c>
      <c r="B1341" s="1">
        <v>45533.291666666664</v>
      </c>
      <c r="C1341" t="s">
        <v>43</v>
      </c>
      <c r="D1341" t="s">
        <v>2658</v>
      </c>
      <c r="E1341" t="s">
        <v>60</v>
      </c>
      <c r="F1341" t="s">
        <v>61</v>
      </c>
      <c r="G1341">
        <v>99</v>
      </c>
      <c r="H1341">
        <v>0.05</v>
      </c>
      <c r="I1341">
        <v>94.05</v>
      </c>
      <c r="J1341">
        <v>7</v>
      </c>
      <c r="K1341">
        <v>45.424338782480604</v>
      </c>
      <c r="L1341">
        <v>658.35</v>
      </c>
      <c r="M1341">
        <v>317.97037147736398</v>
      </c>
      <c r="N1341">
        <v>340.37962852263502</v>
      </c>
      <c r="O1341" t="s">
        <v>32</v>
      </c>
      <c r="P1341">
        <f t="shared" si="40"/>
        <v>693</v>
      </c>
      <c r="Q1341">
        <f t="shared" si="41"/>
        <v>-340.37962852263604</v>
      </c>
    </row>
    <row r="1342" spans="1:17" x14ac:dyDescent="0.4">
      <c r="A1342" t="s">
        <v>2659</v>
      </c>
      <c r="B1342" s="1">
        <v>45951.25</v>
      </c>
      <c r="C1342" t="s">
        <v>28</v>
      </c>
      <c r="D1342" t="s">
        <v>2660</v>
      </c>
      <c r="E1342" t="s">
        <v>94</v>
      </c>
      <c r="F1342" t="s">
        <v>61</v>
      </c>
      <c r="G1342">
        <v>192</v>
      </c>
      <c r="H1342">
        <v>0</v>
      </c>
      <c r="I1342">
        <v>192</v>
      </c>
      <c r="J1342">
        <v>2</v>
      </c>
      <c r="K1342">
        <v>100.023034689032</v>
      </c>
      <c r="L1342">
        <v>384</v>
      </c>
      <c r="M1342">
        <v>200.046069378064</v>
      </c>
      <c r="N1342">
        <v>183.953930621935</v>
      </c>
      <c r="O1342" t="s">
        <v>32</v>
      </c>
      <c r="P1342">
        <f t="shared" si="40"/>
        <v>384</v>
      </c>
      <c r="Q1342">
        <f t="shared" si="41"/>
        <v>-183.953930621936</v>
      </c>
    </row>
    <row r="1343" spans="1:17" x14ac:dyDescent="0.4">
      <c r="A1343" t="s">
        <v>2661</v>
      </c>
      <c r="B1343" s="1">
        <v>45657.958333333336</v>
      </c>
      <c r="C1343" t="s">
        <v>16</v>
      </c>
      <c r="D1343" t="s">
        <v>2662</v>
      </c>
      <c r="E1343" t="s">
        <v>41</v>
      </c>
      <c r="F1343" t="s">
        <v>31</v>
      </c>
      <c r="G1343">
        <v>176</v>
      </c>
      <c r="H1343">
        <v>0.1</v>
      </c>
      <c r="I1343">
        <v>158.4</v>
      </c>
      <c r="J1343">
        <v>4</v>
      </c>
      <c r="K1343">
        <v>71.379033017424206</v>
      </c>
      <c r="L1343">
        <v>633.6</v>
      </c>
      <c r="M1343">
        <v>285.51613206969603</v>
      </c>
      <c r="N1343">
        <v>348.08386793030297</v>
      </c>
      <c r="O1343" t="s">
        <v>26</v>
      </c>
      <c r="P1343">
        <f t="shared" si="40"/>
        <v>704</v>
      </c>
      <c r="Q1343">
        <f t="shared" si="41"/>
        <v>-348.083867930304</v>
      </c>
    </row>
    <row r="1344" spans="1:17" x14ac:dyDescent="0.4">
      <c r="A1344" t="s">
        <v>2663</v>
      </c>
      <c r="B1344" s="1">
        <v>45859.541666666664</v>
      </c>
      <c r="C1344" t="s">
        <v>22</v>
      </c>
      <c r="D1344" t="s">
        <v>2664</v>
      </c>
      <c r="E1344" t="s">
        <v>73</v>
      </c>
      <c r="F1344" t="s">
        <v>38</v>
      </c>
      <c r="G1344">
        <v>176</v>
      </c>
      <c r="H1344">
        <v>0.15</v>
      </c>
      <c r="I1344">
        <v>149.6</v>
      </c>
      <c r="J1344">
        <v>2</v>
      </c>
      <c r="K1344">
        <v>113.23708035310101</v>
      </c>
      <c r="L1344">
        <v>299.2</v>
      </c>
      <c r="M1344">
        <v>226.47416070620201</v>
      </c>
      <c r="N1344">
        <v>72.725839293797506</v>
      </c>
      <c r="O1344" t="s">
        <v>32</v>
      </c>
      <c r="P1344">
        <f t="shared" si="40"/>
        <v>352</v>
      </c>
      <c r="Q1344">
        <f t="shared" si="41"/>
        <v>-72.725839293797975</v>
      </c>
    </row>
    <row r="1345" spans="1:17" x14ac:dyDescent="0.4">
      <c r="A1345" t="s">
        <v>2665</v>
      </c>
      <c r="B1345" s="1">
        <v>45959.458333333336</v>
      </c>
      <c r="C1345" t="s">
        <v>43</v>
      </c>
      <c r="D1345" t="s">
        <v>2666</v>
      </c>
      <c r="E1345" t="s">
        <v>37</v>
      </c>
      <c r="F1345" t="s">
        <v>38</v>
      </c>
      <c r="G1345">
        <v>259</v>
      </c>
      <c r="H1345">
        <v>0.1</v>
      </c>
      <c r="I1345">
        <v>233.1</v>
      </c>
      <c r="J1345">
        <v>7</v>
      </c>
      <c r="K1345">
        <v>121.130138083568</v>
      </c>
      <c r="L1345">
        <v>1631.7</v>
      </c>
      <c r="M1345">
        <v>847.91096658497895</v>
      </c>
      <c r="N1345">
        <v>783.78903341501996</v>
      </c>
      <c r="O1345" t="s">
        <v>26</v>
      </c>
      <c r="P1345">
        <f t="shared" si="40"/>
        <v>1813</v>
      </c>
      <c r="Q1345">
        <f t="shared" si="41"/>
        <v>-783.78903341502109</v>
      </c>
    </row>
    <row r="1346" spans="1:17" x14ac:dyDescent="0.4">
      <c r="A1346" t="s">
        <v>2667</v>
      </c>
      <c r="B1346" s="1">
        <v>45405.333333333336</v>
      </c>
      <c r="C1346" t="s">
        <v>22</v>
      </c>
      <c r="D1346" t="s">
        <v>2668</v>
      </c>
      <c r="E1346" t="s">
        <v>18</v>
      </c>
      <c r="F1346" t="s">
        <v>19</v>
      </c>
      <c r="G1346">
        <v>90</v>
      </c>
      <c r="H1346">
        <v>0.15</v>
      </c>
      <c r="I1346">
        <v>76.5</v>
      </c>
      <c r="J1346">
        <v>4</v>
      </c>
      <c r="K1346">
        <v>48.831676566327602</v>
      </c>
      <c r="L1346">
        <v>306</v>
      </c>
      <c r="M1346">
        <v>195.32670626531001</v>
      </c>
      <c r="N1346">
        <v>110.673293734689</v>
      </c>
      <c r="O1346" t="s">
        <v>51</v>
      </c>
      <c r="P1346">
        <f t="shared" si="40"/>
        <v>360</v>
      </c>
      <c r="Q1346">
        <f t="shared" si="41"/>
        <v>-110.67329373468999</v>
      </c>
    </row>
    <row r="1347" spans="1:17" x14ac:dyDescent="0.4">
      <c r="A1347" t="s">
        <v>2669</v>
      </c>
      <c r="B1347" s="1">
        <v>45663.041666666664</v>
      </c>
      <c r="C1347" t="s">
        <v>43</v>
      </c>
      <c r="D1347" t="s">
        <v>2670</v>
      </c>
      <c r="E1347" t="s">
        <v>73</v>
      </c>
      <c r="F1347" t="s">
        <v>38</v>
      </c>
      <c r="G1347">
        <v>195</v>
      </c>
      <c r="H1347">
        <v>0.15</v>
      </c>
      <c r="I1347">
        <v>165.75</v>
      </c>
      <c r="J1347">
        <v>5</v>
      </c>
      <c r="K1347">
        <v>97.970818646651495</v>
      </c>
      <c r="L1347">
        <v>828.75</v>
      </c>
      <c r="M1347">
        <v>489.854093233257</v>
      </c>
      <c r="N1347">
        <v>338.89590676674197</v>
      </c>
      <c r="O1347" t="s">
        <v>26</v>
      </c>
      <c r="P1347">
        <f t="shared" ref="P1347:P1410" si="42">G1347 * J1347</f>
        <v>975</v>
      </c>
      <c r="Q1347">
        <f t="shared" ref="Q1347:Q1410" si="43" xml:space="preserve"> M1347 - L1347</f>
        <v>-338.895906766743</v>
      </c>
    </row>
    <row r="1348" spans="1:17" x14ac:dyDescent="0.4">
      <c r="A1348" t="s">
        <v>2671</v>
      </c>
      <c r="B1348" s="1">
        <v>45672.291666666664</v>
      </c>
      <c r="C1348" t="s">
        <v>46</v>
      </c>
      <c r="D1348" t="s">
        <v>2672</v>
      </c>
      <c r="E1348" t="s">
        <v>24</v>
      </c>
      <c r="F1348" t="s">
        <v>25</v>
      </c>
      <c r="G1348">
        <v>336</v>
      </c>
      <c r="H1348">
        <v>0</v>
      </c>
      <c r="I1348">
        <v>336</v>
      </c>
      <c r="J1348">
        <v>5</v>
      </c>
      <c r="K1348">
        <v>135.05787273170699</v>
      </c>
      <c r="L1348">
        <v>1680</v>
      </c>
      <c r="M1348">
        <v>675.28936365853895</v>
      </c>
      <c r="N1348">
        <v>1004.71063634146</v>
      </c>
      <c r="O1348" t="s">
        <v>51</v>
      </c>
      <c r="P1348">
        <f t="shared" si="42"/>
        <v>1680</v>
      </c>
      <c r="Q1348">
        <f t="shared" si="43"/>
        <v>-1004.7106363414611</v>
      </c>
    </row>
    <row r="1349" spans="1:17" x14ac:dyDescent="0.4">
      <c r="A1349" t="s">
        <v>2673</v>
      </c>
      <c r="B1349" s="1">
        <v>45974.708333333336</v>
      </c>
      <c r="C1349" t="s">
        <v>46</v>
      </c>
      <c r="D1349" t="s">
        <v>2674</v>
      </c>
      <c r="E1349" t="s">
        <v>48</v>
      </c>
      <c r="F1349" t="s">
        <v>19</v>
      </c>
      <c r="G1349">
        <v>324</v>
      </c>
      <c r="H1349">
        <v>0</v>
      </c>
      <c r="I1349">
        <v>324</v>
      </c>
      <c r="J1349">
        <v>7</v>
      </c>
      <c r="K1349">
        <v>235.727804508769</v>
      </c>
      <c r="L1349">
        <v>2268</v>
      </c>
      <c r="M1349">
        <v>1650.0946315613801</v>
      </c>
      <c r="N1349">
        <v>617.90536843861298</v>
      </c>
      <c r="O1349" t="s">
        <v>51</v>
      </c>
      <c r="P1349">
        <f t="shared" si="42"/>
        <v>2268</v>
      </c>
      <c r="Q1349">
        <f t="shared" si="43"/>
        <v>-617.90536843861992</v>
      </c>
    </row>
    <row r="1350" spans="1:17" x14ac:dyDescent="0.4">
      <c r="A1350" t="s">
        <v>2675</v>
      </c>
      <c r="B1350" s="1">
        <v>45557.333333333336</v>
      </c>
      <c r="C1350" t="s">
        <v>65</v>
      </c>
      <c r="D1350" t="s">
        <v>2676</v>
      </c>
      <c r="E1350" t="s">
        <v>104</v>
      </c>
      <c r="F1350" t="s">
        <v>25</v>
      </c>
      <c r="G1350">
        <v>325</v>
      </c>
      <c r="H1350">
        <v>0.2</v>
      </c>
      <c r="I1350">
        <v>260</v>
      </c>
      <c r="J1350">
        <v>3</v>
      </c>
      <c r="K1350">
        <v>158.28869332734101</v>
      </c>
      <c r="L1350">
        <v>780</v>
      </c>
      <c r="M1350">
        <v>474.86607998202402</v>
      </c>
      <c r="N1350">
        <v>305.13392001797502</v>
      </c>
      <c r="O1350" t="s">
        <v>26</v>
      </c>
      <c r="P1350">
        <f t="shared" si="42"/>
        <v>975</v>
      </c>
      <c r="Q1350">
        <f t="shared" si="43"/>
        <v>-305.13392001797598</v>
      </c>
    </row>
    <row r="1351" spans="1:17" x14ac:dyDescent="0.4">
      <c r="A1351" t="s">
        <v>2677</v>
      </c>
      <c r="B1351" s="1">
        <v>45877.666666666664</v>
      </c>
      <c r="C1351" t="s">
        <v>46</v>
      </c>
      <c r="D1351" t="s">
        <v>1710</v>
      </c>
      <c r="E1351" t="s">
        <v>69</v>
      </c>
      <c r="F1351" t="s">
        <v>70</v>
      </c>
      <c r="G1351">
        <v>222</v>
      </c>
      <c r="H1351">
        <v>0</v>
      </c>
      <c r="I1351">
        <v>222</v>
      </c>
      <c r="J1351">
        <v>2</v>
      </c>
      <c r="K1351">
        <v>105.988911651964</v>
      </c>
      <c r="L1351">
        <v>444</v>
      </c>
      <c r="M1351">
        <v>211.977823303929</v>
      </c>
      <c r="N1351">
        <v>232.02217669607001</v>
      </c>
      <c r="O1351" t="s">
        <v>32</v>
      </c>
      <c r="P1351">
        <f t="shared" si="42"/>
        <v>444</v>
      </c>
      <c r="Q1351">
        <f t="shared" si="43"/>
        <v>-232.022176696071</v>
      </c>
    </row>
    <row r="1352" spans="1:17" x14ac:dyDescent="0.4">
      <c r="A1352" t="s">
        <v>2678</v>
      </c>
      <c r="B1352" s="1">
        <v>45801.833333333336</v>
      </c>
      <c r="C1352" t="s">
        <v>65</v>
      </c>
      <c r="D1352" t="s">
        <v>2679</v>
      </c>
      <c r="E1352" t="s">
        <v>60</v>
      </c>
      <c r="F1352" t="s">
        <v>61</v>
      </c>
      <c r="G1352">
        <v>293</v>
      </c>
      <c r="H1352">
        <v>0.15</v>
      </c>
      <c r="I1352">
        <v>249.04999999999899</v>
      </c>
      <c r="J1352">
        <v>6</v>
      </c>
      <c r="K1352">
        <v>148.50375966425</v>
      </c>
      <c r="L1352">
        <v>1494.3</v>
      </c>
      <c r="M1352">
        <v>891.02255798550198</v>
      </c>
      <c r="N1352">
        <v>603.27744201449696</v>
      </c>
      <c r="O1352" t="s">
        <v>20</v>
      </c>
      <c r="P1352">
        <f t="shared" si="42"/>
        <v>1758</v>
      </c>
      <c r="Q1352">
        <f t="shared" si="43"/>
        <v>-603.27744201449798</v>
      </c>
    </row>
    <row r="1353" spans="1:17" x14ac:dyDescent="0.4">
      <c r="A1353" t="s">
        <v>2680</v>
      </c>
      <c r="B1353" s="1">
        <v>45894.125</v>
      </c>
      <c r="C1353" t="s">
        <v>28</v>
      </c>
      <c r="D1353" t="s">
        <v>2681</v>
      </c>
      <c r="E1353" t="s">
        <v>73</v>
      </c>
      <c r="F1353" t="s">
        <v>38</v>
      </c>
      <c r="G1353">
        <v>231</v>
      </c>
      <c r="H1353">
        <v>0.15</v>
      </c>
      <c r="I1353">
        <v>196.35</v>
      </c>
      <c r="J1353">
        <v>4</v>
      </c>
      <c r="K1353">
        <v>139.20702082805599</v>
      </c>
      <c r="L1353">
        <v>785.4</v>
      </c>
      <c r="M1353">
        <v>556.82808331222395</v>
      </c>
      <c r="N1353">
        <v>228.571916687775</v>
      </c>
      <c r="O1353" t="s">
        <v>32</v>
      </c>
      <c r="P1353">
        <f t="shared" si="42"/>
        <v>924</v>
      </c>
      <c r="Q1353">
        <f t="shared" si="43"/>
        <v>-228.57191668777602</v>
      </c>
    </row>
    <row r="1354" spans="1:17" x14ac:dyDescent="0.4">
      <c r="A1354" t="s">
        <v>2682</v>
      </c>
      <c r="B1354" s="1">
        <v>46012.875</v>
      </c>
      <c r="C1354" t="s">
        <v>16</v>
      </c>
      <c r="D1354" t="s">
        <v>2683</v>
      </c>
      <c r="E1354" t="s">
        <v>48</v>
      </c>
      <c r="F1354" t="s">
        <v>19</v>
      </c>
      <c r="G1354">
        <v>93</v>
      </c>
      <c r="H1354">
        <v>0.15</v>
      </c>
      <c r="I1354">
        <v>79.05</v>
      </c>
      <c r="J1354">
        <v>3</v>
      </c>
      <c r="K1354">
        <v>52.506604483232202</v>
      </c>
      <c r="L1354">
        <v>237.14999999999901</v>
      </c>
      <c r="M1354">
        <v>157.51981344969599</v>
      </c>
      <c r="N1354">
        <v>79.630186550303193</v>
      </c>
      <c r="O1354" t="s">
        <v>32</v>
      </c>
      <c r="P1354">
        <f t="shared" si="42"/>
        <v>279</v>
      </c>
      <c r="Q1354">
        <f t="shared" si="43"/>
        <v>-79.630186550303023</v>
      </c>
    </row>
    <row r="1355" spans="1:17" x14ac:dyDescent="0.4">
      <c r="A1355" t="s">
        <v>2684</v>
      </c>
      <c r="B1355" s="1">
        <v>45726.708333333336</v>
      </c>
      <c r="C1355" t="s">
        <v>28</v>
      </c>
      <c r="D1355" t="s">
        <v>2685</v>
      </c>
      <c r="E1355" t="s">
        <v>85</v>
      </c>
      <c r="F1355" t="s">
        <v>70</v>
      </c>
      <c r="G1355">
        <v>275</v>
      </c>
      <c r="H1355">
        <v>0.2</v>
      </c>
      <c r="I1355">
        <v>220</v>
      </c>
      <c r="J1355">
        <v>4</v>
      </c>
      <c r="K1355">
        <v>144.999170819223</v>
      </c>
      <c r="L1355">
        <v>880</v>
      </c>
      <c r="M1355">
        <v>579.99668327689506</v>
      </c>
      <c r="N1355">
        <v>300.00331672310398</v>
      </c>
      <c r="O1355" t="s">
        <v>51</v>
      </c>
      <c r="P1355">
        <f t="shared" si="42"/>
        <v>1100</v>
      </c>
      <c r="Q1355">
        <f t="shared" si="43"/>
        <v>-300.00331672310494</v>
      </c>
    </row>
    <row r="1356" spans="1:17" x14ac:dyDescent="0.4">
      <c r="A1356" t="s">
        <v>2686</v>
      </c>
      <c r="B1356" s="1">
        <v>45938.875</v>
      </c>
      <c r="C1356" t="s">
        <v>43</v>
      </c>
      <c r="D1356" t="s">
        <v>1329</v>
      </c>
      <c r="E1356" t="s">
        <v>24</v>
      </c>
      <c r="F1356" t="s">
        <v>25</v>
      </c>
      <c r="G1356">
        <v>108</v>
      </c>
      <c r="H1356">
        <v>0.15</v>
      </c>
      <c r="I1356">
        <v>91.8</v>
      </c>
      <c r="J1356">
        <v>5</v>
      </c>
      <c r="K1356">
        <v>70.244272912601005</v>
      </c>
      <c r="L1356">
        <v>459</v>
      </c>
      <c r="M1356">
        <v>351.22136456300501</v>
      </c>
      <c r="N1356">
        <v>107.77863543699399</v>
      </c>
      <c r="O1356" t="s">
        <v>105</v>
      </c>
      <c r="P1356">
        <f t="shared" si="42"/>
        <v>540</v>
      </c>
      <c r="Q1356">
        <f t="shared" si="43"/>
        <v>-107.77863543699499</v>
      </c>
    </row>
    <row r="1357" spans="1:17" x14ac:dyDescent="0.4">
      <c r="A1357" t="s">
        <v>2687</v>
      </c>
      <c r="B1357" s="1">
        <v>45295.708333333336</v>
      </c>
      <c r="C1357" t="s">
        <v>46</v>
      </c>
      <c r="D1357" t="s">
        <v>2688</v>
      </c>
      <c r="E1357" t="s">
        <v>110</v>
      </c>
      <c r="F1357" t="s">
        <v>19</v>
      </c>
      <c r="G1357">
        <v>334</v>
      </c>
      <c r="H1357">
        <v>0.1</v>
      </c>
      <c r="I1357">
        <v>300.60000000000002</v>
      </c>
      <c r="J1357">
        <v>4</v>
      </c>
      <c r="K1357">
        <v>161.718551613714</v>
      </c>
      <c r="L1357">
        <v>1202.4000000000001</v>
      </c>
      <c r="M1357">
        <v>646.87420645485599</v>
      </c>
      <c r="N1357">
        <v>555.52579354514296</v>
      </c>
      <c r="O1357" t="s">
        <v>26</v>
      </c>
      <c r="P1357">
        <f t="shared" si="42"/>
        <v>1336</v>
      </c>
      <c r="Q1357">
        <f t="shared" si="43"/>
        <v>-555.5257935451441</v>
      </c>
    </row>
    <row r="1358" spans="1:17" x14ac:dyDescent="0.4">
      <c r="A1358" t="s">
        <v>2689</v>
      </c>
      <c r="B1358" s="1">
        <v>45723.708333333336</v>
      </c>
      <c r="C1358" t="s">
        <v>16</v>
      </c>
      <c r="D1358" t="s">
        <v>2690</v>
      </c>
      <c r="E1358" t="s">
        <v>94</v>
      </c>
      <c r="F1358" t="s">
        <v>61</v>
      </c>
      <c r="G1358">
        <v>179</v>
      </c>
      <c r="H1358">
        <v>0</v>
      </c>
      <c r="I1358">
        <v>179</v>
      </c>
      <c r="J1358">
        <v>4</v>
      </c>
      <c r="K1358">
        <v>112.743677559514</v>
      </c>
      <c r="L1358">
        <v>716</v>
      </c>
      <c r="M1358">
        <v>450.97471023805599</v>
      </c>
      <c r="N1358">
        <v>265.02528976194299</v>
      </c>
      <c r="O1358" t="s">
        <v>20</v>
      </c>
      <c r="P1358">
        <f t="shared" si="42"/>
        <v>716</v>
      </c>
      <c r="Q1358">
        <f t="shared" si="43"/>
        <v>-265.02528976194401</v>
      </c>
    </row>
    <row r="1359" spans="1:17" x14ac:dyDescent="0.4">
      <c r="A1359" t="s">
        <v>2691</v>
      </c>
      <c r="B1359" s="1">
        <v>45974.041666666664</v>
      </c>
      <c r="C1359" t="s">
        <v>28</v>
      </c>
      <c r="D1359" t="s">
        <v>2692</v>
      </c>
      <c r="E1359" t="s">
        <v>97</v>
      </c>
      <c r="F1359" t="s">
        <v>61</v>
      </c>
      <c r="G1359">
        <v>244</v>
      </c>
      <c r="H1359">
        <v>0</v>
      </c>
      <c r="I1359">
        <v>244</v>
      </c>
      <c r="J1359">
        <v>7</v>
      </c>
      <c r="K1359">
        <v>118.381567650056</v>
      </c>
      <c r="L1359">
        <v>1708</v>
      </c>
      <c r="M1359">
        <v>828.67097355039505</v>
      </c>
      <c r="N1359">
        <v>879.32902644960404</v>
      </c>
      <c r="O1359" t="s">
        <v>32</v>
      </c>
      <c r="P1359">
        <f t="shared" si="42"/>
        <v>1708</v>
      </c>
      <c r="Q1359">
        <f t="shared" si="43"/>
        <v>-879.32902644960495</v>
      </c>
    </row>
    <row r="1360" spans="1:17" x14ac:dyDescent="0.4">
      <c r="A1360" t="s">
        <v>2693</v>
      </c>
      <c r="B1360" s="1">
        <v>45418.708333333336</v>
      </c>
      <c r="C1360" t="s">
        <v>46</v>
      </c>
      <c r="D1360" t="s">
        <v>2694</v>
      </c>
      <c r="E1360" t="s">
        <v>85</v>
      </c>
      <c r="F1360" t="s">
        <v>70</v>
      </c>
      <c r="G1360">
        <v>185</v>
      </c>
      <c r="H1360">
        <v>0</v>
      </c>
      <c r="I1360">
        <v>185</v>
      </c>
      <c r="J1360">
        <v>2</v>
      </c>
      <c r="K1360">
        <v>108.52474301789501</v>
      </c>
      <c r="L1360">
        <v>370</v>
      </c>
      <c r="M1360">
        <v>217.04948603579001</v>
      </c>
      <c r="N1360">
        <v>152.95051396420899</v>
      </c>
      <c r="O1360" t="s">
        <v>26</v>
      </c>
      <c r="P1360">
        <f t="shared" si="42"/>
        <v>370</v>
      </c>
      <c r="Q1360">
        <f t="shared" si="43"/>
        <v>-152.95051396420999</v>
      </c>
    </row>
    <row r="1361" spans="1:17" x14ac:dyDescent="0.4">
      <c r="A1361" t="s">
        <v>2695</v>
      </c>
      <c r="B1361" s="1">
        <v>45296.375</v>
      </c>
      <c r="C1361" t="s">
        <v>28</v>
      </c>
      <c r="D1361" t="s">
        <v>2696</v>
      </c>
      <c r="E1361" t="s">
        <v>18</v>
      </c>
      <c r="F1361" t="s">
        <v>19</v>
      </c>
      <c r="G1361">
        <v>97</v>
      </c>
      <c r="H1361">
        <v>0.05</v>
      </c>
      <c r="I1361">
        <v>92.149999999999906</v>
      </c>
      <c r="J1361">
        <v>2</v>
      </c>
      <c r="K1361">
        <v>58.954505072219199</v>
      </c>
      <c r="L1361">
        <v>184.29999999999899</v>
      </c>
      <c r="M1361">
        <v>117.909010144438</v>
      </c>
      <c r="N1361">
        <v>66.3909898555615</v>
      </c>
      <c r="O1361" t="s">
        <v>26</v>
      </c>
      <c r="P1361">
        <f t="shared" si="42"/>
        <v>194</v>
      </c>
      <c r="Q1361">
        <f t="shared" si="43"/>
        <v>-66.390989855560989</v>
      </c>
    </row>
    <row r="1362" spans="1:17" x14ac:dyDescent="0.4">
      <c r="A1362" t="s">
        <v>2697</v>
      </c>
      <c r="B1362" s="1">
        <v>45670.25</v>
      </c>
      <c r="C1362" t="s">
        <v>22</v>
      </c>
      <c r="D1362" t="s">
        <v>2698</v>
      </c>
      <c r="E1362" t="s">
        <v>69</v>
      </c>
      <c r="F1362" t="s">
        <v>70</v>
      </c>
      <c r="G1362">
        <v>163</v>
      </c>
      <c r="H1362">
        <v>0</v>
      </c>
      <c r="I1362">
        <v>163</v>
      </c>
      <c r="J1362">
        <v>6</v>
      </c>
      <c r="K1362">
        <v>83.127478744496699</v>
      </c>
      <c r="L1362">
        <v>978</v>
      </c>
      <c r="M1362">
        <v>498.76487246698002</v>
      </c>
      <c r="N1362">
        <v>479.23512753301901</v>
      </c>
      <c r="O1362" t="s">
        <v>51</v>
      </c>
      <c r="P1362">
        <f t="shared" si="42"/>
        <v>978</v>
      </c>
      <c r="Q1362">
        <f t="shared" si="43"/>
        <v>-479.23512753301998</v>
      </c>
    </row>
    <row r="1363" spans="1:17" x14ac:dyDescent="0.4">
      <c r="A1363" t="s">
        <v>2699</v>
      </c>
      <c r="B1363" s="1">
        <v>45545.75</v>
      </c>
      <c r="C1363" t="s">
        <v>28</v>
      </c>
      <c r="D1363" t="s">
        <v>2700</v>
      </c>
      <c r="E1363" t="s">
        <v>146</v>
      </c>
      <c r="F1363" t="s">
        <v>70</v>
      </c>
      <c r="G1363">
        <v>103</v>
      </c>
      <c r="H1363">
        <v>0.1</v>
      </c>
      <c r="I1363">
        <v>92.7</v>
      </c>
      <c r="J1363">
        <v>4</v>
      </c>
      <c r="K1363">
        <v>69.784494695510105</v>
      </c>
      <c r="L1363">
        <v>370.8</v>
      </c>
      <c r="M1363">
        <v>279.13797878204002</v>
      </c>
      <c r="N1363">
        <v>91.662021217959406</v>
      </c>
      <c r="O1363" t="s">
        <v>26</v>
      </c>
      <c r="P1363">
        <f t="shared" si="42"/>
        <v>412</v>
      </c>
      <c r="Q1363">
        <f t="shared" si="43"/>
        <v>-91.662021217959989</v>
      </c>
    </row>
    <row r="1364" spans="1:17" x14ac:dyDescent="0.4">
      <c r="A1364" t="s">
        <v>2701</v>
      </c>
      <c r="B1364" s="1">
        <v>45545.416666666664</v>
      </c>
      <c r="C1364" t="s">
        <v>22</v>
      </c>
      <c r="D1364" t="s">
        <v>2702</v>
      </c>
      <c r="E1364" t="s">
        <v>48</v>
      </c>
      <c r="F1364" t="s">
        <v>19</v>
      </c>
      <c r="G1364">
        <v>111</v>
      </c>
      <c r="H1364">
        <v>0</v>
      </c>
      <c r="I1364">
        <v>111</v>
      </c>
      <c r="J1364">
        <v>3</v>
      </c>
      <c r="K1364">
        <v>47.557693223068398</v>
      </c>
      <c r="L1364">
        <v>333</v>
      </c>
      <c r="M1364">
        <v>142.67307966920501</v>
      </c>
      <c r="N1364">
        <v>190.326920330794</v>
      </c>
      <c r="O1364" t="s">
        <v>20</v>
      </c>
      <c r="P1364">
        <f t="shared" si="42"/>
        <v>333</v>
      </c>
      <c r="Q1364">
        <f t="shared" si="43"/>
        <v>-190.32692033079499</v>
      </c>
    </row>
    <row r="1365" spans="1:17" x14ac:dyDescent="0.4">
      <c r="A1365" t="s">
        <v>2703</v>
      </c>
      <c r="B1365" s="1">
        <v>46001.083333333336</v>
      </c>
      <c r="C1365" t="s">
        <v>43</v>
      </c>
      <c r="D1365" t="s">
        <v>2704</v>
      </c>
      <c r="E1365" t="s">
        <v>213</v>
      </c>
      <c r="F1365" t="s">
        <v>31</v>
      </c>
      <c r="G1365">
        <v>137</v>
      </c>
      <c r="H1365">
        <v>0.15</v>
      </c>
      <c r="I1365">
        <v>116.45</v>
      </c>
      <c r="J1365">
        <v>1</v>
      </c>
      <c r="K1365">
        <v>66.359082589434905</v>
      </c>
      <c r="L1365">
        <v>116.45</v>
      </c>
      <c r="M1365">
        <v>66.359082589434905</v>
      </c>
      <c r="N1365">
        <v>50.090917410565098</v>
      </c>
      <c r="O1365" t="s">
        <v>51</v>
      </c>
      <c r="P1365">
        <f t="shared" si="42"/>
        <v>137</v>
      </c>
      <c r="Q1365">
        <f t="shared" si="43"/>
        <v>-50.090917410565098</v>
      </c>
    </row>
    <row r="1366" spans="1:17" x14ac:dyDescent="0.4">
      <c r="A1366" t="s">
        <v>2705</v>
      </c>
      <c r="B1366" s="1">
        <v>45372.208333333336</v>
      </c>
      <c r="C1366" t="s">
        <v>22</v>
      </c>
      <c r="D1366" t="s">
        <v>2706</v>
      </c>
      <c r="E1366" t="s">
        <v>18</v>
      </c>
      <c r="F1366" t="s">
        <v>19</v>
      </c>
      <c r="G1366">
        <v>288</v>
      </c>
      <c r="H1366">
        <v>0</v>
      </c>
      <c r="I1366">
        <v>288</v>
      </c>
      <c r="J1366">
        <v>1</v>
      </c>
      <c r="K1366">
        <v>137.04201368550301</v>
      </c>
      <c r="L1366">
        <v>288</v>
      </c>
      <c r="M1366">
        <v>137.04201368550301</v>
      </c>
      <c r="N1366">
        <v>150.957986314496</v>
      </c>
      <c r="O1366" t="s">
        <v>32</v>
      </c>
      <c r="P1366">
        <f t="shared" si="42"/>
        <v>288</v>
      </c>
      <c r="Q1366">
        <f t="shared" si="43"/>
        <v>-150.95798631449699</v>
      </c>
    </row>
    <row r="1367" spans="1:17" x14ac:dyDescent="0.4">
      <c r="A1367" t="s">
        <v>2707</v>
      </c>
      <c r="B1367" s="1">
        <v>45580.208333333336</v>
      </c>
      <c r="C1367" t="s">
        <v>46</v>
      </c>
      <c r="D1367" t="s">
        <v>2708</v>
      </c>
      <c r="E1367" t="s">
        <v>115</v>
      </c>
      <c r="F1367" t="s">
        <v>38</v>
      </c>
      <c r="G1367">
        <v>240</v>
      </c>
      <c r="H1367">
        <v>0</v>
      </c>
      <c r="I1367">
        <v>240</v>
      </c>
      <c r="J1367">
        <v>4</v>
      </c>
      <c r="K1367">
        <v>133.12498515152799</v>
      </c>
      <c r="L1367">
        <v>960</v>
      </c>
      <c r="M1367">
        <v>532.49994060611402</v>
      </c>
      <c r="N1367">
        <v>427.50005939388501</v>
      </c>
      <c r="O1367" t="s">
        <v>26</v>
      </c>
      <c r="P1367">
        <f t="shared" si="42"/>
        <v>960</v>
      </c>
      <c r="Q1367">
        <f t="shared" si="43"/>
        <v>-427.50005939388598</v>
      </c>
    </row>
    <row r="1368" spans="1:17" x14ac:dyDescent="0.4">
      <c r="A1368" t="s">
        <v>2709</v>
      </c>
      <c r="B1368" s="1">
        <v>45315</v>
      </c>
      <c r="C1368" t="s">
        <v>16</v>
      </c>
      <c r="D1368" t="s">
        <v>1288</v>
      </c>
      <c r="E1368" t="s">
        <v>69</v>
      </c>
      <c r="F1368" t="s">
        <v>70</v>
      </c>
      <c r="G1368">
        <v>271</v>
      </c>
      <c r="H1368">
        <v>0</v>
      </c>
      <c r="I1368">
        <v>271</v>
      </c>
      <c r="J1368">
        <v>1</v>
      </c>
      <c r="K1368">
        <v>140.36111012727099</v>
      </c>
      <c r="L1368">
        <v>271</v>
      </c>
      <c r="M1368">
        <v>140.36111012727099</v>
      </c>
      <c r="N1368">
        <v>130.63888987272799</v>
      </c>
      <c r="O1368" t="s">
        <v>32</v>
      </c>
      <c r="P1368">
        <f t="shared" si="42"/>
        <v>271</v>
      </c>
      <c r="Q1368">
        <f t="shared" si="43"/>
        <v>-130.63888987272901</v>
      </c>
    </row>
    <row r="1369" spans="1:17" x14ac:dyDescent="0.4">
      <c r="A1369" t="s">
        <v>2710</v>
      </c>
      <c r="B1369" s="1">
        <v>45454.958333333336</v>
      </c>
      <c r="C1369" t="s">
        <v>22</v>
      </c>
      <c r="D1369" t="s">
        <v>2711</v>
      </c>
      <c r="E1369" t="s">
        <v>213</v>
      </c>
      <c r="F1369" t="s">
        <v>31</v>
      </c>
      <c r="G1369">
        <v>342</v>
      </c>
      <c r="H1369">
        <v>0</v>
      </c>
      <c r="I1369">
        <v>342</v>
      </c>
      <c r="J1369">
        <v>3</v>
      </c>
      <c r="K1369">
        <v>253.49224225171901</v>
      </c>
      <c r="L1369">
        <v>1026</v>
      </c>
      <c r="M1369">
        <v>760.47672675515901</v>
      </c>
      <c r="N1369">
        <v>265.52327324484003</v>
      </c>
      <c r="O1369" t="s">
        <v>32</v>
      </c>
      <c r="P1369">
        <f t="shared" si="42"/>
        <v>1026</v>
      </c>
      <c r="Q1369">
        <f t="shared" si="43"/>
        <v>-265.52327324484099</v>
      </c>
    </row>
    <row r="1370" spans="1:17" x14ac:dyDescent="0.4">
      <c r="A1370" t="s">
        <v>2712</v>
      </c>
      <c r="B1370" s="1">
        <v>45433.208333333336</v>
      </c>
      <c r="C1370" t="s">
        <v>28</v>
      </c>
      <c r="D1370" t="s">
        <v>2713</v>
      </c>
      <c r="E1370" t="s">
        <v>110</v>
      </c>
      <c r="F1370" t="s">
        <v>19</v>
      </c>
      <c r="G1370">
        <v>155</v>
      </c>
      <c r="H1370">
        <v>0.15</v>
      </c>
      <c r="I1370">
        <v>131.75</v>
      </c>
      <c r="J1370">
        <v>7</v>
      </c>
      <c r="K1370">
        <v>85.321139628273002</v>
      </c>
      <c r="L1370">
        <v>922.25</v>
      </c>
      <c r="M1370">
        <v>597.24797739791097</v>
      </c>
      <c r="N1370">
        <v>325.002022602088</v>
      </c>
      <c r="O1370" t="s">
        <v>51</v>
      </c>
      <c r="P1370">
        <f t="shared" si="42"/>
        <v>1085</v>
      </c>
      <c r="Q1370">
        <f t="shared" si="43"/>
        <v>-325.00202260208903</v>
      </c>
    </row>
    <row r="1371" spans="1:17" x14ac:dyDescent="0.4">
      <c r="A1371" t="s">
        <v>2714</v>
      </c>
      <c r="B1371" s="1">
        <v>45859.875</v>
      </c>
      <c r="C1371" t="s">
        <v>43</v>
      </c>
      <c r="D1371" t="s">
        <v>2715</v>
      </c>
      <c r="E1371" t="s">
        <v>94</v>
      </c>
      <c r="F1371" t="s">
        <v>61</v>
      </c>
      <c r="G1371">
        <v>308</v>
      </c>
      <c r="H1371">
        <v>0</v>
      </c>
      <c r="I1371">
        <v>308</v>
      </c>
      <c r="J1371">
        <v>2</v>
      </c>
      <c r="K1371">
        <v>137.24939770276799</v>
      </c>
      <c r="L1371">
        <v>616</v>
      </c>
      <c r="M1371">
        <v>274.49879540553701</v>
      </c>
      <c r="N1371">
        <v>341.50120459446202</v>
      </c>
      <c r="O1371" t="s">
        <v>105</v>
      </c>
      <c r="P1371">
        <f t="shared" si="42"/>
        <v>616</v>
      </c>
      <c r="Q1371">
        <f t="shared" si="43"/>
        <v>-341.50120459446299</v>
      </c>
    </row>
    <row r="1372" spans="1:17" x14ac:dyDescent="0.4">
      <c r="A1372" t="s">
        <v>2716</v>
      </c>
      <c r="B1372" s="1">
        <v>45393.25</v>
      </c>
      <c r="C1372" t="s">
        <v>28</v>
      </c>
      <c r="D1372" t="s">
        <v>979</v>
      </c>
      <c r="E1372" t="s">
        <v>18</v>
      </c>
      <c r="F1372" t="s">
        <v>19</v>
      </c>
      <c r="G1372">
        <v>333</v>
      </c>
      <c r="H1372">
        <v>0.2</v>
      </c>
      <c r="I1372">
        <v>266.39999999999998</v>
      </c>
      <c r="J1372">
        <v>7</v>
      </c>
      <c r="K1372">
        <v>170.27580702768901</v>
      </c>
      <c r="L1372">
        <v>1864.8</v>
      </c>
      <c r="M1372">
        <v>1191.93064919382</v>
      </c>
      <c r="N1372">
        <v>672.869350806174</v>
      </c>
      <c r="O1372" t="s">
        <v>32</v>
      </c>
      <c r="P1372">
        <f t="shared" si="42"/>
        <v>2331</v>
      </c>
      <c r="Q1372">
        <f t="shared" si="43"/>
        <v>-672.86935080617991</v>
      </c>
    </row>
    <row r="1373" spans="1:17" x14ac:dyDescent="0.4">
      <c r="A1373" t="s">
        <v>2717</v>
      </c>
      <c r="B1373" s="1">
        <v>45311.083333333336</v>
      </c>
      <c r="C1373" t="s">
        <v>65</v>
      </c>
      <c r="D1373" t="s">
        <v>2718</v>
      </c>
      <c r="E1373" t="s">
        <v>18</v>
      </c>
      <c r="F1373" t="s">
        <v>19</v>
      </c>
      <c r="G1373">
        <v>254</v>
      </c>
      <c r="H1373">
        <v>0.1</v>
      </c>
      <c r="I1373">
        <v>228.6</v>
      </c>
      <c r="J1373">
        <v>2</v>
      </c>
      <c r="K1373">
        <v>162.926890097457</v>
      </c>
      <c r="L1373">
        <v>457.2</v>
      </c>
      <c r="M1373">
        <v>325.85378019491401</v>
      </c>
      <c r="N1373">
        <v>131.34621980508501</v>
      </c>
      <c r="O1373" t="s">
        <v>32</v>
      </c>
      <c r="P1373">
        <f t="shared" si="42"/>
        <v>508</v>
      </c>
      <c r="Q1373">
        <f t="shared" si="43"/>
        <v>-131.34621980508598</v>
      </c>
    </row>
    <row r="1374" spans="1:17" x14ac:dyDescent="0.4">
      <c r="A1374" t="s">
        <v>2719</v>
      </c>
      <c r="B1374" s="1">
        <v>45850.125</v>
      </c>
      <c r="C1374" t="s">
        <v>46</v>
      </c>
      <c r="D1374" t="s">
        <v>2720</v>
      </c>
      <c r="E1374" t="s">
        <v>48</v>
      </c>
      <c r="F1374" t="s">
        <v>19</v>
      </c>
      <c r="G1374">
        <v>205</v>
      </c>
      <c r="H1374">
        <v>0.05</v>
      </c>
      <c r="I1374">
        <v>194.75</v>
      </c>
      <c r="J1374">
        <v>5</v>
      </c>
      <c r="K1374">
        <v>138.841953414751</v>
      </c>
      <c r="L1374">
        <v>973.75</v>
      </c>
      <c r="M1374">
        <v>694.20976707375905</v>
      </c>
      <c r="N1374">
        <v>279.54023292623998</v>
      </c>
      <c r="O1374" t="s">
        <v>32</v>
      </c>
      <c r="P1374">
        <f t="shared" si="42"/>
        <v>1025</v>
      </c>
      <c r="Q1374">
        <f t="shared" si="43"/>
        <v>-279.54023292624095</v>
      </c>
    </row>
    <row r="1375" spans="1:17" x14ac:dyDescent="0.4">
      <c r="A1375" t="s">
        <v>2721</v>
      </c>
      <c r="B1375" s="1">
        <v>45300.625</v>
      </c>
      <c r="C1375" t="s">
        <v>65</v>
      </c>
      <c r="D1375" t="s">
        <v>2722</v>
      </c>
      <c r="E1375" t="s">
        <v>24</v>
      </c>
      <c r="F1375" t="s">
        <v>25</v>
      </c>
      <c r="G1375">
        <v>204</v>
      </c>
      <c r="H1375">
        <v>0.25</v>
      </c>
      <c r="I1375">
        <v>153</v>
      </c>
      <c r="J1375">
        <v>4</v>
      </c>
      <c r="K1375">
        <v>108.02214377369501</v>
      </c>
      <c r="L1375">
        <v>612</v>
      </c>
      <c r="M1375">
        <v>432.08857509478298</v>
      </c>
      <c r="N1375">
        <v>179.91142490521599</v>
      </c>
      <c r="O1375" t="s">
        <v>32</v>
      </c>
      <c r="P1375">
        <f t="shared" si="42"/>
        <v>816</v>
      </c>
      <c r="Q1375">
        <f t="shared" si="43"/>
        <v>-179.91142490521702</v>
      </c>
    </row>
    <row r="1376" spans="1:17" x14ac:dyDescent="0.4">
      <c r="A1376" t="s">
        <v>2723</v>
      </c>
      <c r="B1376" s="1">
        <v>45329.458333333336</v>
      </c>
      <c r="C1376" t="s">
        <v>46</v>
      </c>
      <c r="D1376" t="s">
        <v>2724</v>
      </c>
      <c r="E1376" t="s">
        <v>146</v>
      </c>
      <c r="F1376" t="s">
        <v>70</v>
      </c>
      <c r="G1376">
        <v>172</v>
      </c>
      <c r="H1376">
        <v>0</v>
      </c>
      <c r="I1376">
        <v>172</v>
      </c>
      <c r="J1376">
        <v>6</v>
      </c>
      <c r="K1376">
        <v>110.600224517515</v>
      </c>
      <c r="L1376">
        <v>1032</v>
      </c>
      <c r="M1376">
        <v>663.60134710509101</v>
      </c>
      <c r="N1376">
        <v>368.39865289490803</v>
      </c>
      <c r="O1376" t="s">
        <v>51</v>
      </c>
      <c r="P1376">
        <f t="shared" si="42"/>
        <v>1032</v>
      </c>
      <c r="Q1376">
        <f t="shared" si="43"/>
        <v>-368.39865289490899</v>
      </c>
    </row>
    <row r="1377" spans="1:17" x14ac:dyDescent="0.4">
      <c r="A1377" t="s">
        <v>2725</v>
      </c>
      <c r="B1377" s="1">
        <v>45777.541666666664</v>
      </c>
      <c r="C1377" t="s">
        <v>65</v>
      </c>
      <c r="D1377" t="s">
        <v>2726</v>
      </c>
      <c r="E1377" t="s">
        <v>60</v>
      </c>
      <c r="F1377" t="s">
        <v>61</v>
      </c>
      <c r="G1377">
        <v>145</v>
      </c>
      <c r="H1377">
        <v>0</v>
      </c>
      <c r="I1377">
        <v>145</v>
      </c>
      <c r="J1377">
        <v>5</v>
      </c>
      <c r="K1377">
        <v>100.99324094290699</v>
      </c>
      <c r="L1377">
        <v>725</v>
      </c>
      <c r="M1377">
        <v>504.96620471453798</v>
      </c>
      <c r="N1377">
        <v>220.033795285461</v>
      </c>
      <c r="O1377" t="s">
        <v>51</v>
      </c>
      <c r="P1377">
        <f t="shared" si="42"/>
        <v>725</v>
      </c>
      <c r="Q1377">
        <f t="shared" si="43"/>
        <v>-220.03379528546202</v>
      </c>
    </row>
    <row r="1378" spans="1:17" x14ac:dyDescent="0.4">
      <c r="A1378" t="s">
        <v>2727</v>
      </c>
      <c r="B1378" s="1">
        <v>45975.541666666664</v>
      </c>
      <c r="C1378" t="s">
        <v>65</v>
      </c>
      <c r="D1378" t="s">
        <v>2728</v>
      </c>
      <c r="E1378" t="s">
        <v>94</v>
      </c>
      <c r="F1378" t="s">
        <v>61</v>
      </c>
      <c r="G1378">
        <v>187</v>
      </c>
      <c r="H1378">
        <v>0</v>
      </c>
      <c r="I1378">
        <v>187</v>
      </c>
      <c r="J1378">
        <v>1</v>
      </c>
      <c r="K1378">
        <v>103.847543897146</v>
      </c>
      <c r="L1378">
        <v>187</v>
      </c>
      <c r="M1378">
        <v>103.847543897146</v>
      </c>
      <c r="N1378">
        <v>83.152456102853705</v>
      </c>
      <c r="O1378" t="s">
        <v>26</v>
      </c>
      <c r="P1378">
        <f t="shared" si="42"/>
        <v>187</v>
      </c>
      <c r="Q1378">
        <f t="shared" si="43"/>
        <v>-83.152456102854003</v>
      </c>
    </row>
    <row r="1379" spans="1:17" x14ac:dyDescent="0.4">
      <c r="A1379" t="s">
        <v>2729</v>
      </c>
      <c r="B1379" s="1">
        <v>45650.375</v>
      </c>
      <c r="C1379" t="s">
        <v>16</v>
      </c>
      <c r="D1379" t="s">
        <v>2730</v>
      </c>
      <c r="E1379" t="s">
        <v>115</v>
      </c>
      <c r="F1379" t="s">
        <v>38</v>
      </c>
      <c r="G1379">
        <v>224</v>
      </c>
      <c r="H1379">
        <v>0.25</v>
      </c>
      <c r="I1379">
        <v>168</v>
      </c>
      <c r="J1379">
        <v>6</v>
      </c>
      <c r="K1379">
        <v>91.820629631686899</v>
      </c>
      <c r="L1379">
        <v>1008</v>
      </c>
      <c r="M1379">
        <v>550.92377779012099</v>
      </c>
      <c r="N1379">
        <v>457.07622220987798</v>
      </c>
      <c r="O1379" t="s">
        <v>51</v>
      </c>
      <c r="P1379">
        <f t="shared" si="42"/>
        <v>1344</v>
      </c>
      <c r="Q1379">
        <f t="shared" si="43"/>
        <v>-457.07622220987901</v>
      </c>
    </row>
    <row r="1380" spans="1:17" x14ac:dyDescent="0.4">
      <c r="A1380" t="s">
        <v>2731</v>
      </c>
      <c r="B1380" s="1">
        <v>45329.25</v>
      </c>
      <c r="C1380" t="s">
        <v>28</v>
      </c>
      <c r="D1380" t="s">
        <v>2732</v>
      </c>
      <c r="E1380" t="s">
        <v>110</v>
      </c>
      <c r="F1380" t="s">
        <v>19</v>
      </c>
      <c r="G1380">
        <v>343</v>
      </c>
      <c r="H1380">
        <v>0.1</v>
      </c>
      <c r="I1380">
        <v>308.7</v>
      </c>
      <c r="J1380">
        <v>5</v>
      </c>
      <c r="K1380">
        <v>207.942074936512</v>
      </c>
      <c r="L1380">
        <v>1543.5</v>
      </c>
      <c r="M1380">
        <v>1039.7103746825601</v>
      </c>
      <c r="N1380">
        <v>503.78962531743798</v>
      </c>
      <c r="O1380" t="s">
        <v>32</v>
      </c>
      <c r="P1380">
        <f t="shared" si="42"/>
        <v>1715</v>
      </c>
      <c r="Q1380">
        <f t="shared" si="43"/>
        <v>-503.78962531743991</v>
      </c>
    </row>
    <row r="1381" spans="1:17" x14ac:dyDescent="0.4">
      <c r="A1381" t="s">
        <v>2733</v>
      </c>
      <c r="B1381" s="1">
        <v>45313.416666666664</v>
      </c>
      <c r="C1381" t="s">
        <v>22</v>
      </c>
      <c r="D1381" t="s">
        <v>2734</v>
      </c>
      <c r="E1381" t="s">
        <v>110</v>
      </c>
      <c r="F1381" t="s">
        <v>19</v>
      </c>
      <c r="G1381">
        <v>212</v>
      </c>
      <c r="H1381">
        <v>0.15</v>
      </c>
      <c r="I1381">
        <v>180.2</v>
      </c>
      <c r="J1381">
        <v>7</v>
      </c>
      <c r="K1381">
        <v>156.03293916815099</v>
      </c>
      <c r="L1381">
        <v>1261.3999999999901</v>
      </c>
      <c r="M1381">
        <v>1092.2305741770599</v>
      </c>
      <c r="N1381">
        <v>169.169425822937</v>
      </c>
      <c r="O1381" t="s">
        <v>105</v>
      </c>
      <c r="P1381">
        <f t="shared" si="42"/>
        <v>1484</v>
      </c>
      <c r="Q1381">
        <f t="shared" si="43"/>
        <v>-169.16942582293018</v>
      </c>
    </row>
    <row r="1382" spans="1:17" x14ac:dyDescent="0.4">
      <c r="A1382" t="s">
        <v>2735</v>
      </c>
      <c r="B1382" s="1">
        <v>45463.208333333336</v>
      </c>
      <c r="C1382" t="s">
        <v>28</v>
      </c>
      <c r="D1382" t="s">
        <v>2736</v>
      </c>
      <c r="E1382" t="s">
        <v>85</v>
      </c>
      <c r="F1382" t="s">
        <v>70</v>
      </c>
      <c r="G1382">
        <v>310</v>
      </c>
      <c r="H1382">
        <v>0.1</v>
      </c>
      <c r="I1382">
        <v>279</v>
      </c>
      <c r="J1382">
        <v>6</v>
      </c>
      <c r="K1382">
        <v>158.38856381696101</v>
      </c>
      <c r="L1382">
        <v>1674</v>
      </c>
      <c r="M1382">
        <v>950.33138290176601</v>
      </c>
      <c r="N1382">
        <v>723.66861709823297</v>
      </c>
      <c r="O1382" t="s">
        <v>32</v>
      </c>
      <c r="P1382">
        <f t="shared" si="42"/>
        <v>1860</v>
      </c>
      <c r="Q1382">
        <f t="shared" si="43"/>
        <v>-723.66861709823399</v>
      </c>
    </row>
    <row r="1383" spans="1:17" x14ac:dyDescent="0.4">
      <c r="A1383" t="s">
        <v>2737</v>
      </c>
      <c r="B1383" s="1">
        <v>45844.416666666664</v>
      </c>
      <c r="C1383" t="s">
        <v>46</v>
      </c>
      <c r="D1383" t="s">
        <v>2738</v>
      </c>
      <c r="E1383" t="s">
        <v>97</v>
      </c>
      <c r="F1383" t="s">
        <v>61</v>
      </c>
      <c r="G1383">
        <v>274</v>
      </c>
      <c r="H1383">
        <v>0</v>
      </c>
      <c r="I1383">
        <v>274</v>
      </c>
      <c r="J1383">
        <v>1</v>
      </c>
      <c r="K1383">
        <v>150.717260059935</v>
      </c>
      <c r="L1383">
        <v>274</v>
      </c>
      <c r="M1383">
        <v>150.717260059935</v>
      </c>
      <c r="N1383">
        <v>123.282739940064</v>
      </c>
      <c r="O1383" t="s">
        <v>32</v>
      </c>
      <c r="P1383">
        <f t="shared" si="42"/>
        <v>274</v>
      </c>
      <c r="Q1383">
        <f t="shared" si="43"/>
        <v>-123.282739940065</v>
      </c>
    </row>
    <row r="1384" spans="1:17" x14ac:dyDescent="0.4">
      <c r="A1384" t="s">
        <v>2739</v>
      </c>
      <c r="B1384" s="1">
        <v>45930.041666666664</v>
      </c>
      <c r="C1384" t="s">
        <v>46</v>
      </c>
      <c r="D1384" t="s">
        <v>2740</v>
      </c>
      <c r="E1384" t="s">
        <v>73</v>
      </c>
      <c r="F1384" t="s">
        <v>38</v>
      </c>
      <c r="G1384">
        <v>250</v>
      </c>
      <c r="H1384">
        <v>0</v>
      </c>
      <c r="I1384">
        <v>250</v>
      </c>
      <c r="J1384">
        <v>6</v>
      </c>
      <c r="K1384">
        <v>177.51832116147</v>
      </c>
      <c r="L1384">
        <v>1500</v>
      </c>
      <c r="M1384">
        <v>1065.10992696882</v>
      </c>
      <c r="N1384">
        <v>434.89007303117802</v>
      </c>
      <c r="O1384" t="s">
        <v>32</v>
      </c>
      <c r="P1384">
        <f t="shared" si="42"/>
        <v>1500</v>
      </c>
      <c r="Q1384">
        <f t="shared" si="43"/>
        <v>-434.89007303118001</v>
      </c>
    </row>
    <row r="1385" spans="1:17" x14ac:dyDescent="0.4">
      <c r="A1385" t="s">
        <v>2741</v>
      </c>
      <c r="B1385" s="1">
        <v>45931.541666666664</v>
      </c>
      <c r="C1385" t="s">
        <v>46</v>
      </c>
      <c r="D1385" t="s">
        <v>2742</v>
      </c>
      <c r="E1385" t="s">
        <v>115</v>
      </c>
      <c r="F1385" t="s">
        <v>38</v>
      </c>
      <c r="G1385">
        <v>186</v>
      </c>
      <c r="H1385">
        <v>0</v>
      </c>
      <c r="I1385">
        <v>186</v>
      </c>
      <c r="J1385">
        <v>2</v>
      </c>
      <c r="K1385">
        <v>79.010037060213193</v>
      </c>
      <c r="L1385">
        <v>372</v>
      </c>
      <c r="M1385">
        <v>158.02007412042599</v>
      </c>
      <c r="N1385">
        <v>213.97992587957299</v>
      </c>
      <c r="O1385" t="s">
        <v>51</v>
      </c>
      <c r="P1385">
        <f t="shared" si="42"/>
        <v>372</v>
      </c>
      <c r="Q1385">
        <f t="shared" si="43"/>
        <v>-213.97992587957401</v>
      </c>
    </row>
    <row r="1386" spans="1:17" x14ac:dyDescent="0.4">
      <c r="A1386" t="s">
        <v>2743</v>
      </c>
      <c r="B1386" s="1">
        <v>45591.125</v>
      </c>
      <c r="C1386" t="s">
        <v>43</v>
      </c>
      <c r="D1386" t="s">
        <v>2744</v>
      </c>
      <c r="E1386" t="s">
        <v>24</v>
      </c>
      <c r="F1386" t="s">
        <v>25</v>
      </c>
      <c r="G1386">
        <v>93</v>
      </c>
      <c r="H1386">
        <v>0.15</v>
      </c>
      <c r="I1386">
        <v>79.05</v>
      </c>
      <c r="J1386">
        <v>7</v>
      </c>
      <c r="K1386">
        <v>51.778863274687197</v>
      </c>
      <c r="L1386">
        <v>553.35</v>
      </c>
      <c r="M1386">
        <v>362.45204292280999</v>
      </c>
      <c r="N1386">
        <v>190.89795707718901</v>
      </c>
      <c r="O1386" t="s">
        <v>26</v>
      </c>
      <c r="P1386">
        <f t="shared" si="42"/>
        <v>651</v>
      </c>
      <c r="Q1386">
        <f t="shared" si="43"/>
        <v>-190.89795707719003</v>
      </c>
    </row>
    <row r="1387" spans="1:17" x14ac:dyDescent="0.4">
      <c r="A1387" t="s">
        <v>2745</v>
      </c>
      <c r="B1387" s="1">
        <v>45722.25</v>
      </c>
      <c r="C1387" t="s">
        <v>16</v>
      </c>
      <c r="D1387" t="s">
        <v>2746</v>
      </c>
      <c r="E1387" t="s">
        <v>146</v>
      </c>
      <c r="F1387" t="s">
        <v>70</v>
      </c>
      <c r="G1387">
        <v>94</v>
      </c>
      <c r="H1387">
        <v>0</v>
      </c>
      <c r="I1387">
        <v>94</v>
      </c>
      <c r="J1387">
        <v>6</v>
      </c>
      <c r="K1387">
        <v>55.482594791966598</v>
      </c>
      <c r="L1387">
        <v>564</v>
      </c>
      <c r="M1387">
        <v>332.89556875179898</v>
      </c>
      <c r="N1387">
        <v>231.1044312482</v>
      </c>
      <c r="O1387" t="s">
        <v>51</v>
      </c>
      <c r="P1387">
        <f t="shared" si="42"/>
        <v>564</v>
      </c>
      <c r="Q1387">
        <f t="shared" si="43"/>
        <v>-231.10443124820102</v>
      </c>
    </row>
    <row r="1388" spans="1:17" x14ac:dyDescent="0.4">
      <c r="A1388" t="s">
        <v>2747</v>
      </c>
      <c r="B1388" s="1">
        <v>45783.125</v>
      </c>
      <c r="C1388" t="s">
        <v>43</v>
      </c>
      <c r="D1388" t="s">
        <v>2748</v>
      </c>
      <c r="E1388" t="s">
        <v>18</v>
      </c>
      <c r="F1388" t="s">
        <v>19</v>
      </c>
      <c r="G1388">
        <v>214</v>
      </c>
      <c r="H1388">
        <v>0.15</v>
      </c>
      <c r="I1388">
        <v>181.9</v>
      </c>
      <c r="J1388">
        <v>5</v>
      </c>
      <c r="K1388">
        <v>119.910393456712</v>
      </c>
      <c r="L1388">
        <v>909.5</v>
      </c>
      <c r="M1388">
        <v>599.551967283561</v>
      </c>
      <c r="N1388">
        <v>309.948032716439</v>
      </c>
      <c r="O1388" t="s">
        <v>20</v>
      </c>
      <c r="P1388">
        <f t="shared" si="42"/>
        <v>1070</v>
      </c>
      <c r="Q1388">
        <f t="shared" si="43"/>
        <v>-309.948032716439</v>
      </c>
    </row>
    <row r="1389" spans="1:17" x14ac:dyDescent="0.4">
      <c r="A1389" t="s">
        <v>2749</v>
      </c>
      <c r="B1389" s="1">
        <v>45357</v>
      </c>
      <c r="C1389" t="s">
        <v>46</v>
      </c>
      <c r="D1389" t="s">
        <v>2750</v>
      </c>
      <c r="E1389" t="s">
        <v>30</v>
      </c>
      <c r="F1389" t="s">
        <v>31</v>
      </c>
      <c r="G1389">
        <v>338</v>
      </c>
      <c r="H1389">
        <v>0.2</v>
      </c>
      <c r="I1389">
        <v>270.39999999999998</v>
      </c>
      <c r="J1389">
        <v>5</v>
      </c>
      <c r="K1389">
        <v>147.99842685430801</v>
      </c>
      <c r="L1389">
        <v>1352</v>
      </c>
      <c r="M1389">
        <v>739.992134271542</v>
      </c>
      <c r="N1389">
        <v>612.00786572845698</v>
      </c>
      <c r="O1389" t="s">
        <v>26</v>
      </c>
      <c r="P1389">
        <f t="shared" si="42"/>
        <v>1690</v>
      </c>
      <c r="Q1389">
        <f t="shared" si="43"/>
        <v>-612.007865728458</v>
      </c>
    </row>
    <row r="1390" spans="1:17" x14ac:dyDescent="0.4">
      <c r="A1390" t="s">
        <v>2751</v>
      </c>
      <c r="B1390" s="1">
        <v>45859.166666666664</v>
      </c>
      <c r="C1390" t="s">
        <v>46</v>
      </c>
      <c r="D1390" t="s">
        <v>2752</v>
      </c>
      <c r="E1390" t="s">
        <v>30</v>
      </c>
      <c r="F1390" t="s">
        <v>31</v>
      </c>
      <c r="G1390">
        <v>245</v>
      </c>
      <c r="H1390">
        <v>0.1</v>
      </c>
      <c r="I1390">
        <v>220.5</v>
      </c>
      <c r="J1390">
        <v>6</v>
      </c>
      <c r="K1390">
        <v>165.999205606907</v>
      </c>
      <c r="L1390">
        <v>1323</v>
      </c>
      <c r="M1390">
        <v>995.99523364144704</v>
      </c>
      <c r="N1390">
        <v>327.00476635855199</v>
      </c>
      <c r="O1390" t="s">
        <v>32</v>
      </c>
      <c r="P1390">
        <f t="shared" si="42"/>
        <v>1470</v>
      </c>
      <c r="Q1390">
        <f t="shared" si="43"/>
        <v>-327.00476635855296</v>
      </c>
    </row>
    <row r="1391" spans="1:17" x14ac:dyDescent="0.4">
      <c r="A1391" t="s">
        <v>2753</v>
      </c>
      <c r="B1391" s="1">
        <v>45491.166666666664</v>
      </c>
      <c r="C1391" t="s">
        <v>65</v>
      </c>
      <c r="D1391" t="s">
        <v>2754</v>
      </c>
      <c r="E1391" t="s">
        <v>18</v>
      </c>
      <c r="F1391" t="s">
        <v>19</v>
      </c>
      <c r="G1391">
        <v>250</v>
      </c>
      <c r="H1391">
        <v>0.05</v>
      </c>
      <c r="I1391">
        <v>237.5</v>
      </c>
      <c r="J1391">
        <v>2</v>
      </c>
      <c r="K1391">
        <v>149.13340239265</v>
      </c>
      <c r="L1391">
        <v>475</v>
      </c>
      <c r="M1391">
        <v>298.2668047853</v>
      </c>
      <c r="N1391">
        <v>176.73319521469901</v>
      </c>
      <c r="O1391" t="s">
        <v>32</v>
      </c>
      <c r="P1391">
        <f t="shared" si="42"/>
        <v>500</v>
      </c>
      <c r="Q1391">
        <f t="shared" si="43"/>
        <v>-176.7331952147</v>
      </c>
    </row>
    <row r="1392" spans="1:17" x14ac:dyDescent="0.4">
      <c r="A1392" t="s">
        <v>2755</v>
      </c>
      <c r="B1392" s="1">
        <v>45787.583333333336</v>
      </c>
      <c r="C1392" t="s">
        <v>16</v>
      </c>
      <c r="D1392" t="s">
        <v>2756</v>
      </c>
      <c r="E1392" t="s">
        <v>24</v>
      </c>
      <c r="F1392" t="s">
        <v>25</v>
      </c>
      <c r="G1392">
        <v>246</v>
      </c>
      <c r="H1392">
        <v>0</v>
      </c>
      <c r="I1392">
        <v>246</v>
      </c>
      <c r="J1392">
        <v>3</v>
      </c>
      <c r="K1392">
        <v>177.65266508285501</v>
      </c>
      <c r="L1392">
        <v>738</v>
      </c>
      <c r="M1392">
        <v>532.95799524856704</v>
      </c>
      <c r="N1392">
        <v>205.04200475143199</v>
      </c>
      <c r="O1392" t="s">
        <v>26</v>
      </c>
      <c r="P1392">
        <f t="shared" si="42"/>
        <v>738</v>
      </c>
      <c r="Q1392">
        <f t="shared" si="43"/>
        <v>-205.04200475143296</v>
      </c>
    </row>
    <row r="1393" spans="1:17" x14ac:dyDescent="0.4">
      <c r="A1393" t="s">
        <v>2757</v>
      </c>
      <c r="B1393" s="1">
        <v>45390.166666666664</v>
      </c>
      <c r="C1393" t="s">
        <v>28</v>
      </c>
      <c r="D1393" t="s">
        <v>2758</v>
      </c>
      <c r="E1393" t="s">
        <v>146</v>
      </c>
      <c r="F1393" t="s">
        <v>70</v>
      </c>
      <c r="G1393">
        <v>119</v>
      </c>
      <c r="H1393">
        <v>0</v>
      </c>
      <c r="I1393">
        <v>119</v>
      </c>
      <c r="J1393">
        <v>1</v>
      </c>
      <c r="K1393">
        <v>73.655806151515193</v>
      </c>
      <c r="L1393">
        <v>119</v>
      </c>
      <c r="M1393">
        <v>73.655806151515193</v>
      </c>
      <c r="N1393">
        <v>45.3441938484848</v>
      </c>
      <c r="O1393" t="s">
        <v>32</v>
      </c>
      <c r="P1393">
        <f t="shared" si="42"/>
        <v>119</v>
      </c>
      <c r="Q1393">
        <f t="shared" si="43"/>
        <v>-45.344193848484807</v>
      </c>
    </row>
    <row r="1394" spans="1:17" x14ac:dyDescent="0.4">
      <c r="A1394" t="s">
        <v>2759</v>
      </c>
      <c r="B1394" s="1">
        <v>45491.583333333336</v>
      </c>
      <c r="C1394" t="s">
        <v>65</v>
      </c>
      <c r="D1394" t="s">
        <v>2760</v>
      </c>
      <c r="E1394" t="s">
        <v>73</v>
      </c>
      <c r="F1394" t="s">
        <v>38</v>
      </c>
      <c r="G1394">
        <v>228</v>
      </c>
      <c r="H1394">
        <v>0.1</v>
      </c>
      <c r="I1394">
        <v>205.2</v>
      </c>
      <c r="J1394">
        <v>5</v>
      </c>
      <c r="K1394">
        <v>135.03025145595501</v>
      </c>
      <c r="L1394">
        <v>1026</v>
      </c>
      <c r="M1394">
        <v>675.15125727977897</v>
      </c>
      <c r="N1394">
        <v>350.84874272022</v>
      </c>
      <c r="O1394" t="s">
        <v>20</v>
      </c>
      <c r="P1394">
        <f t="shared" si="42"/>
        <v>1140</v>
      </c>
      <c r="Q1394">
        <f t="shared" si="43"/>
        <v>-350.84874272022103</v>
      </c>
    </row>
    <row r="1395" spans="1:17" x14ac:dyDescent="0.4">
      <c r="A1395" t="s">
        <v>2761</v>
      </c>
      <c r="B1395" s="1">
        <v>45987.416666666664</v>
      </c>
      <c r="C1395" t="s">
        <v>46</v>
      </c>
      <c r="D1395" t="s">
        <v>2762</v>
      </c>
      <c r="E1395" t="s">
        <v>110</v>
      </c>
      <c r="F1395" t="s">
        <v>19</v>
      </c>
      <c r="G1395">
        <v>276</v>
      </c>
      <c r="H1395">
        <v>0</v>
      </c>
      <c r="I1395">
        <v>276</v>
      </c>
      <c r="J1395">
        <v>2</v>
      </c>
      <c r="K1395">
        <v>197.33530561736001</v>
      </c>
      <c r="L1395">
        <v>552</v>
      </c>
      <c r="M1395">
        <v>394.67061123472098</v>
      </c>
      <c r="N1395">
        <v>157.329388765278</v>
      </c>
      <c r="O1395" t="s">
        <v>32</v>
      </c>
      <c r="P1395">
        <f t="shared" si="42"/>
        <v>552</v>
      </c>
      <c r="Q1395">
        <f t="shared" si="43"/>
        <v>-157.32938876527902</v>
      </c>
    </row>
    <row r="1396" spans="1:17" x14ac:dyDescent="0.4">
      <c r="A1396" t="s">
        <v>2763</v>
      </c>
      <c r="B1396" s="1">
        <v>45716.208333333336</v>
      </c>
      <c r="C1396" t="s">
        <v>16</v>
      </c>
      <c r="D1396" t="s">
        <v>2764</v>
      </c>
      <c r="E1396" t="s">
        <v>85</v>
      </c>
      <c r="F1396" t="s">
        <v>70</v>
      </c>
      <c r="G1396">
        <v>336</v>
      </c>
      <c r="H1396">
        <v>0</v>
      </c>
      <c r="I1396">
        <v>336</v>
      </c>
      <c r="J1396">
        <v>2</v>
      </c>
      <c r="K1396">
        <v>169.889236640826</v>
      </c>
      <c r="L1396">
        <v>672</v>
      </c>
      <c r="M1396">
        <v>339.778473281652</v>
      </c>
      <c r="N1396">
        <v>332.22152671834698</v>
      </c>
      <c r="O1396" t="s">
        <v>20</v>
      </c>
      <c r="P1396">
        <f t="shared" si="42"/>
        <v>672</v>
      </c>
      <c r="Q1396">
        <f t="shared" si="43"/>
        <v>-332.221526718348</v>
      </c>
    </row>
    <row r="1397" spans="1:17" x14ac:dyDescent="0.4">
      <c r="A1397" t="s">
        <v>2765</v>
      </c>
      <c r="B1397" s="1">
        <v>45586.041666666664</v>
      </c>
      <c r="C1397" t="s">
        <v>28</v>
      </c>
      <c r="D1397" t="s">
        <v>2766</v>
      </c>
      <c r="E1397" t="s">
        <v>110</v>
      </c>
      <c r="F1397" t="s">
        <v>19</v>
      </c>
      <c r="G1397">
        <v>336</v>
      </c>
      <c r="H1397">
        <v>0</v>
      </c>
      <c r="I1397">
        <v>336</v>
      </c>
      <c r="J1397">
        <v>6</v>
      </c>
      <c r="K1397">
        <v>219.39681506194799</v>
      </c>
      <c r="L1397">
        <v>2016</v>
      </c>
      <c r="M1397">
        <v>1316.3808903716899</v>
      </c>
      <c r="N1397">
        <v>699.61910962830905</v>
      </c>
      <c r="O1397" t="s">
        <v>51</v>
      </c>
      <c r="P1397">
        <f t="shared" si="42"/>
        <v>2016</v>
      </c>
      <c r="Q1397">
        <f t="shared" si="43"/>
        <v>-699.61910962831007</v>
      </c>
    </row>
    <row r="1398" spans="1:17" x14ac:dyDescent="0.4">
      <c r="A1398" t="s">
        <v>2767</v>
      </c>
      <c r="B1398" s="1">
        <v>45962.083333333336</v>
      </c>
      <c r="C1398" t="s">
        <v>43</v>
      </c>
      <c r="D1398" t="s">
        <v>2768</v>
      </c>
      <c r="E1398" t="s">
        <v>146</v>
      </c>
      <c r="F1398" t="s">
        <v>70</v>
      </c>
      <c r="G1398">
        <v>199</v>
      </c>
      <c r="H1398">
        <v>0.2</v>
      </c>
      <c r="I1398">
        <v>159.19999999999999</v>
      </c>
      <c r="J1398">
        <v>2</v>
      </c>
      <c r="K1398">
        <v>134.55042994409601</v>
      </c>
      <c r="L1398">
        <v>318.39999999999998</v>
      </c>
      <c r="M1398">
        <v>269.10085988819299</v>
      </c>
      <c r="N1398">
        <v>49.299140111806103</v>
      </c>
      <c r="O1398" t="s">
        <v>32</v>
      </c>
      <c r="P1398">
        <f t="shared" si="42"/>
        <v>398</v>
      </c>
      <c r="Q1398">
        <f t="shared" si="43"/>
        <v>-49.299140111806992</v>
      </c>
    </row>
    <row r="1399" spans="1:17" x14ac:dyDescent="0.4">
      <c r="A1399" t="s">
        <v>2769</v>
      </c>
      <c r="B1399" s="1">
        <v>45319.541666666664</v>
      </c>
      <c r="C1399" t="s">
        <v>43</v>
      </c>
      <c r="D1399" t="s">
        <v>2770</v>
      </c>
      <c r="E1399" t="s">
        <v>82</v>
      </c>
      <c r="F1399" t="s">
        <v>25</v>
      </c>
      <c r="G1399">
        <v>269</v>
      </c>
      <c r="H1399">
        <v>0</v>
      </c>
      <c r="I1399">
        <v>269</v>
      </c>
      <c r="J1399">
        <v>7</v>
      </c>
      <c r="K1399">
        <v>138.43857555885899</v>
      </c>
      <c r="L1399">
        <v>1883</v>
      </c>
      <c r="M1399">
        <v>969.07002891201296</v>
      </c>
      <c r="N1399">
        <v>913.92997108798602</v>
      </c>
      <c r="O1399" t="s">
        <v>26</v>
      </c>
      <c r="P1399">
        <f t="shared" si="42"/>
        <v>1883</v>
      </c>
      <c r="Q1399">
        <f t="shared" si="43"/>
        <v>-913.92997108798704</v>
      </c>
    </row>
    <row r="1400" spans="1:17" x14ac:dyDescent="0.4">
      <c r="A1400" t="s">
        <v>2771</v>
      </c>
      <c r="B1400" s="1">
        <v>45485.5</v>
      </c>
      <c r="C1400" t="s">
        <v>65</v>
      </c>
      <c r="D1400" t="s">
        <v>987</v>
      </c>
      <c r="E1400" t="s">
        <v>73</v>
      </c>
      <c r="F1400" t="s">
        <v>38</v>
      </c>
      <c r="G1400">
        <v>231</v>
      </c>
      <c r="H1400">
        <v>0.1</v>
      </c>
      <c r="I1400">
        <v>207.9</v>
      </c>
      <c r="J1400">
        <v>2</v>
      </c>
      <c r="K1400">
        <v>143.46845696891901</v>
      </c>
      <c r="L1400">
        <v>415.8</v>
      </c>
      <c r="M1400">
        <v>286.93691393783899</v>
      </c>
      <c r="N1400">
        <v>128.86308606215999</v>
      </c>
      <c r="O1400" t="s">
        <v>32</v>
      </c>
      <c r="P1400">
        <f t="shared" si="42"/>
        <v>462</v>
      </c>
      <c r="Q1400">
        <f t="shared" si="43"/>
        <v>-128.86308606216102</v>
      </c>
    </row>
    <row r="1401" spans="1:17" x14ac:dyDescent="0.4">
      <c r="A1401" t="s">
        <v>2772</v>
      </c>
      <c r="B1401" s="1">
        <v>45946.625</v>
      </c>
      <c r="C1401" t="s">
        <v>22</v>
      </c>
      <c r="D1401" t="s">
        <v>2773</v>
      </c>
      <c r="E1401" t="s">
        <v>110</v>
      </c>
      <c r="F1401" t="s">
        <v>19</v>
      </c>
      <c r="G1401">
        <v>117</v>
      </c>
      <c r="H1401">
        <v>0.05</v>
      </c>
      <c r="I1401">
        <v>111.149999999999</v>
      </c>
      <c r="J1401">
        <v>6</v>
      </c>
      <c r="K1401">
        <v>48.258034025851003</v>
      </c>
      <c r="L1401">
        <v>666.9</v>
      </c>
      <c r="M1401">
        <v>289.54820415510602</v>
      </c>
      <c r="N1401">
        <v>377.35179584489299</v>
      </c>
      <c r="O1401" t="s">
        <v>26</v>
      </c>
      <c r="P1401">
        <f t="shared" si="42"/>
        <v>702</v>
      </c>
      <c r="Q1401">
        <f t="shared" si="43"/>
        <v>-377.35179584489396</v>
      </c>
    </row>
    <row r="1402" spans="1:17" x14ac:dyDescent="0.4">
      <c r="A1402" t="s">
        <v>2774</v>
      </c>
      <c r="B1402" s="1">
        <v>45413.666666666664</v>
      </c>
      <c r="C1402" t="s">
        <v>43</v>
      </c>
      <c r="D1402" t="s">
        <v>2775</v>
      </c>
      <c r="E1402" t="s">
        <v>73</v>
      </c>
      <c r="F1402" t="s">
        <v>38</v>
      </c>
      <c r="G1402">
        <v>219</v>
      </c>
      <c r="H1402">
        <v>0.15</v>
      </c>
      <c r="I1402">
        <v>186.15</v>
      </c>
      <c r="J1402">
        <v>5</v>
      </c>
      <c r="K1402">
        <v>103.62635315146601</v>
      </c>
      <c r="L1402">
        <v>930.75</v>
      </c>
      <c r="M1402">
        <v>518.13176575733303</v>
      </c>
      <c r="N1402">
        <v>412.61823424266601</v>
      </c>
      <c r="O1402" t="s">
        <v>32</v>
      </c>
      <c r="P1402">
        <f t="shared" si="42"/>
        <v>1095</v>
      </c>
      <c r="Q1402">
        <f t="shared" si="43"/>
        <v>-412.61823424266697</v>
      </c>
    </row>
    <row r="1403" spans="1:17" x14ac:dyDescent="0.4">
      <c r="A1403" t="s">
        <v>2776</v>
      </c>
      <c r="B1403" s="1">
        <v>45958.75</v>
      </c>
      <c r="C1403" t="s">
        <v>28</v>
      </c>
      <c r="D1403" t="s">
        <v>2777</v>
      </c>
      <c r="E1403" t="s">
        <v>48</v>
      </c>
      <c r="F1403" t="s">
        <v>19</v>
      </c>
      <c r="G1403">
        <v>239</v>
      </c>
      <c r="H1403">
        <v>0.15</v>
      </c>
      <c r="I1403">
        <v>203.15</v>
      </c>
      <c r="J1403">
        <v>5</v>
      </c>
      <c r="K1403">
        <v>172.832574073568</v>
      </c>
      <c r="L1403">
        <v>1015.75</v>
      </c>
      <c r="M1403">
        <v>864.16287036784001</v>
      </c>
      <c r="N1403">
        <v>151.58712963215899</v>
      </c>
      <c r="O1403" t="s">
        <v>32</v>
      </c>
      <c r="P1403">
        <f t="shared" si="42"/>
        <v>1195</v>
      </c>
      <c r="Q1403">
        <f t="shared" si="43"/>
        <v>-151.58712963215999</v>
      </c>
    </row>
    <row r="1404" spans="1:17" x14ac:dyDescent="0.4">
      <c r="A1404" t="s">
        <v>2778</v>
      </c>
      <c r="B1404" s="1">
        <v>45876.375</v>
      </c>
      <c r="C1404" t="s">
        <v>46</v>
      </c>
      <c r="D1404" t="s">
        <v>2779</v>
      </c>
      <c r="E1404" t="s">
        <v>69</v>
      </c>
      <c r="F1404" t="s">
        <v>70</v>
      </c>
      <c r="G1404">
        <v>126</v>
      </c>
      <c r="H1404">
        <v>0.05</v>
      </c>
      <c r="I1404">
        <v>119.69999999999899</v>
      </c>
      <c r="J1404">
        <v>2</v>
      </c>
      <c r="K1404">
        <v>76.142592232061503</v>
      </c>
      <c r="L1404">
        <v>239.39999999999901</v>
      </c>
      <c r="M1404">
        <v>152.28518446412301</v>
      </c>
      <c r="N1404">
        <v>87.1148155358769</v>
      </c>
      <c r="O1404" t="s">
        <v>51</v>
      </c>
      <c r="P1404">
        <f t="shared" si="42"/>
        <v>252</v>
      </c>
      <c r="Q1404">
        <f t="shared" si="43"/>
        <v>-87.114815535876005</v>
      </c>
    </row>
    <row r="1405" spans="1:17" x14ac:dyDescent="0.4">
      <c r="A1405" t="s">
        <v>2780</v>
      </c>
      <c r="B1405" s="1">
        <v>45664.75</v>
      </c>
      <c r="C1405" t="s">
        <v>28</v>
      </c>
      <c r="D1405" t="s">
        <v>2781</v>
      </c>
      <c r="E1405" t="s">
        <v>30</v>
      </c>
      <c r="F1405" t="s">
        <v>31</v>
      </c>
      <c r="G1405">
        <v>287</v>
      </c>
      <c r="H1405">
        <v>0</v>
      </c>
      <c r="I1405">
        <v>287</v>
      </c>
      <c r="J1405">
        <v>4</v>
      </c>
      <c r="K1405">
        <v>170.38903269541601</v>
      </c>
      <c r="L1405">
        <v>1148</v>
      </c>
      <c r="M1405">
        <v>681.55613078166596</v>
      </c>
      <c r="N1405">
        <v>466.44386921833302</v>
      </c>
      <c r="O1405" t="s">
        <v>32</v>
      </c>
      <c r="P1405">
        <f t="shared" si="42"/>
        <v>1148</v>
      </c>
      <c r="Q1405">
        <f t="shared" si="43"/>
        <v>-466.44386921833404</v>
      </c>
    </row>
    <row r="1406" spans="1:17" x14ac:dyDescent="0.4">
      <c r="A1406" t="s">
        <v>2782</v>
      </c>
      <c r="B1406" s="1">
        <v>45822.5</v>
      </c>
      <c r="C1406" t="s">
        <v>43</v>
      </c>
      <c r="D1406" t="s">
        <v>2783</v>
      </c>
      <c r="E1406" t="s">
        <v>69</v>
      </c>
      <c r="F1406" t="s">
        <v>70</v>
      </c>
      <c r="G1406">
        <v>127</v>
      </c>
      <c r="H1406">
        <v>0.2</v>
      </c>
      <c r="I1406">
        <v>101.6</v>
      </c>
      <c r="J1406">
        <v>3</v>
      </c>
      <c r="K1406">
        <v>81.076570723767702</v>
      </c>
      <c r="L1406">
        <v>304.8</v>
      </c>
      <c r="M1406">
        <v>243.22971217130299</v>
      </c>
      <c r="N1406">
        <v>61.570287828696699</v>
      </c>
      <c r="O1406" t="s">
        <v>26</v>
      </c>
      <c r="P1406">
        <f t="shared" si="42"/>
        <v>381</v>
      </c>
      <c r="Q1406">
        <f t="shared" si="43"/>
        <v>-61.570287828697019</v>
      </c>
    </row>
    <row r="1407" spans="1:17" x14ac:dyDescent="0.4">
      <c r="A1407" t="s">
        <v>2784</v>
      </c>
      <c r="B1407" s="1">
        <v>45551.833333333336</v>
      </c>
      <c r="C1407" t="s">
        <v>22</v>
      </c>
      <c r="D1407" t="s">
        <v>2785</v>
      </c>
      <c r="E1407" t="s">
        <v>48</v>
      </c>
      <c r="F1407" t="s">
        <v>19</v>
      </c>
      <c r="G1407">
        <v>164</v>
      </c>
      <c r="H1407">
        <v>0.25</v>
      </c>
      <c r="I1407">
        <v>123</v>
      </c>
      <c r="J1407">
        <v>3</v>
      </c>
      <c r="K1407">
        <v>100.260838761404</v>
      </c>
      <c r="L1407">
        <v>369</v>
      </c>
      <c r="M1407">
        <v>300.78251628421401</v>
      </c>
      <c r="N1407">
        <v>68.217483715784994</v>
      </c>
      <c r="O1407" t="s">
        <v>51</v>
      </c>
      <c r="P1407">
        <f t="shared" si="42"/>
        <v>492</v>
      </c>
      <c r="Q1407">
        <f t="shared" si="43"/>
        <v>-68.217483715785988</v>
      </c>
    </row>
    <row r="1408" spans="1:17" x14ac:dyDescent="0.4">
      <c r="A1408" t="s">
        <v>2786</v>
      </c>
      <c r="B1408" s="1">
        <v>45971.541666666664</v>
      </c>
      <c r="C1408" t="s">
        <v>65</v>
      </c>
      <c r="D1408" t="s">
        <v>107</v>
      </c>
      <c r="E1408" t="s">
        <v>48</v>
      </c>
      <c r="F1408" t="s">
        <v>19</v>
      </c>
      <c r="G1408">
        <v>112</v>
      </c>
      <c r="H1408">
        <v>0.2</v>
      </c>
      <c r="I1408">
        <v>89.6</v>
      </c>
      <c r="J1408">
        <v>1</v>
      </c>
      <c r="K1408">
        <v>61.804348566529001</v>
      </c>
      <c r="L1408">
        <v>89.6</v>
      </c>
      <c r="M1408">
        <v>61.804348566529001</v>
      </c>
      <c r="N1408">
        <v>27.795651433470901</v>
      </c>
      <c r="O1408" t="s">
        <v>32</v>
      </c>
      <c r="P1408">
        <f t="shared" si="42"/>
        <v>112</v>
      </c>
      <c r="Q1408">
        <f t="shared" si="43"/>
        <v>-27.795651433470994</v>
      </c>
    </row>
    <row r="1409" spans="1:17" x14ac:dyDescent="0.4">
      <c r="A1409" t="s">
        <v>2787</v>
      </c>
      <c r="B1409" s="1">
        <v>45855.25</v>
      </c>
      <c r="C1409" t="s">
        <v>22</v>
      </c>
      <c r="D1409" t="s">
        <v>2788</v>
      </c>
      <c r="E1409" t="s">
        <v>82</v>
      </c>
      <c r="F1409" t="s">
        <v>25</v>
      </c>
      <c r="G1409">
        <v>156</v>
      </c>
      <c r="H1409">
        <v>0.05</v>
      </c>
      <c r="I1409">
        <v>148.19999999999999</v>
      </c>
      <c r="J1409">
        <v>6</v>
      </c>
      <c r="K1409">
        <v>112.259879383373</v>
      </c>
      <c r="L1409">
        <v>889.19999999999902</v>
      </c>
      <c r="M1409">
        <v>673.55927630023803</v>
      </c>
      <c r="N1409">
        <v>215.640723699761</v>
      </c>
      <c r="O1409" t="s">
        <v>51</v>
      </c>
      <c r="P1409">
        <f t="shared" si="42"/>
        <v>936</v>
      </c>
      <c r="Q1409">
        <f t="shared" si="43"/>
        <v>-215.640723699761</v>
      </c>
    </row>
    <row r="1410" spans="1:17" x14ac:dyDescent="0.4">
      <c r="A1410" t="s">
        <v>2789</v>
      </c>
      <c r="B1410" s="1">
        <v>45306.666666666664</v>
      </c>
      <c r="C1410" t="s">
        <v>65</v>
      </c>
      <c r="D1410" t="s">
        <v>2790</v>
      </c>
      <c r="E1410" t="s">
        <v>146</v>
      </c>
      <c r="F1410" t="s">
        <v>70</v>
      </c>
      <c r="G1410">
        <v>316</v>
      </c>
      <c r="H1410">
        <v>0</v>
      </c>
      <c r="I1410">
        <v>316</v>
      </c>
      <c r="J1410">
        <v>4</v>
      </c>
      <c r="K1410">
        <v>234.28347485780401</v>
      </c>
      <c r="L1410">
        <v>1264</v>
      </c>
      <c r="M1410">
        <v>937.13389943121899</v>
      </c>
      <c r="N1410">
        <v>326.86610056877998</v>
      </c>
      <c r="O1410" t="s">
        <v>51</v>
      </c>
      <c r="P1410">
        <f t="shared" si="42"/>
        <v>1264</v>
      </c>
      <c r="Q1410">
        <f t="shared" si="43"/>
        <v>-326.86610056878101</v>
      </c>
    </row>
    <row r="1411" spans="1:17" x14ac:dyDescent="0.4">
      <c r="A1411" t="s">
        <v>2791</v>
      </c>
      <c r="B1411" s="1">
        <v>45583.875</v>
      </c>
      <c r="C1411" t="s">
        <v>28</v>
      </c>
      <c r="D1411" t="s">
        <v>2792</v>
      </c>
      <c r="E1411" t="s">
        <v>37</v>
      </c>
      <c r="F1411" t="s">
        <v>38</v>
      </c>
      <c r="G1411">
        <v>142</v>
      </c>
      <c r="H1411">
        <v>0.05</v>
      </c>
      <c r="I1411">
        <v>134.9</v>
      </c>
      <c r="J1411">
        <v>4</v>
      </c>
      <c r="K1411">
        <v>92.498159758442796</v>
      </c>
      <c r="L1411">
        <v>539.6</v>
      </c>
      <c r="M1411">
        <v>369.99263903377101</v>
      </c>
      <c r="N1411">
        <v>169.60736096622799</v>
      </c>
      <c r="O1411" t="s">
        <v>26</v>
      </c>
      <c r="P1411">
        <f t="shared" ref="P1411:P1474" si="44">G1411 * J1411</f>
        <v>568</v>
      </c>
      <c r="Q1411">
        <f t="shared" ref="Q1411:Q1474" si="45" xml:space="preserve"> M1411 - L1411</f>
        <v>-169.60736096622901</v>
      </c>
    </row>
    <row r="1412" spans="1:17" x14ac:dyDescent="0.4">
      <c r="A1412" t="s">
        <v>2793</v>
      </c>
      <c r="B1412" s="1">
        <v>45876.833333333336</v>
      </c>
      <c r="C1412" t="s">
        <v>46</v>
      </c>
      <c r="D1412" t="s">
        <v>2794</v>
      </c>
      <c r="E1412" t="s">
        <v>146</v>
      </c>
      <c r="F1412" t="s">
        <v>70</v>
      </c>
      <c r="G1412">
        <v>89</v>
      </c>
      <c r="H1412">
        <v>0.1</v>
      </c>
      <c r="I1412">
        <v>80.099999999999994</v>
      </c>
      <c r="J1412">
        <v>2</v>
      </c>
      <c r="K1412">
        <v>35.754892917791103</v>
      </c>
      <c r="L1412">
        <v>160.19999999999999</v>
      </c>
      <c r="M1412">
        <v>71.509785835582306</v>
      </c>
      <c r="N1412">
        <v>88.690214164417597</v>
      </c>
      <c r="O1412" t="s">
        <v>26</v>
      </c>
      <c r="P1412">
        <f t="shared" si="44"/>
        <v>178</v>
      </c>
      <c r="Q1412">
        <f t="shared" si="45"/>
        <v>-88.690214164417682</v>
      </c>
    </row>
    <row r="1413" spans="1:17" x14ac:dyDescent="0.4">
      <c r="A1413" t="s">
        <v>2795</v>
      </c>
      <c r="B1413" s="1">
        <v>45981.25</v>
      </c>
      <c r="C1413" t="s">
        <v>43</v>
      </c>
      <c r="D1413" t="s">
        <v>1588</v>
      </c>
      <c r="E1413" t="s">
        <v>104</v>
      </c>
      <c r="F1413" t="s">
        <v>25</v>
      </c>
      <c r="G1413">
        <v>158</v>
      </c>
      <c r="H1413">
        <v>0</v>
      </c>
      <c r="I1413">
        <v>158</v>
      </c>
      <c r="J1413">
        <v>2</v>
      </c>
      <c r="K1413">
        <v>68.745841928083394</v>
      </c>
      <c r="L1413">
        <v>316</v>
      </c>
      <c r="M1413">
        <v>137.49168385616599</v>
      </c>
      <c r="N1413">
        <v>178.50831614383301</v>
      </c>
      <c r="O1413" t="s">
        <v>32</v>
      </c>
      <c r="P1413">
        <f t="shared" si="44"/>
        <v>316</v>
      </c>
      <c r="Q1413">
        <f t="shared" si="45"/>
        <v>-178.50831614383401</v>
      </c>
    </row>
    <row r="1414" spans="1:17" x14ac:dyDescent="0.4">
      <c r="A1414" t="s">
        <v>2796</v>
      </c>
      <c r="B1414" s="1">
        <v>45331.833333333336</v>
      </c>
      <c r="C1414" t="s">
        <v>65</v>
      </c>
      <c r="D1414" t="s">
        <v>2797</v>
      </c>
      <c r="E1414" t="s">
        <v>146</v>
      </c>
      <c r="F1414" t="s">
        <v>70</v>
      </c>
      <c r="G1414">
        <v>288</v>
      </c>
      <c r="H1414">
        <v>0.25</v>
      </c>
      <c r="I1414">
        <v>216</v>
      </c>
      <c r="J1414">
        <v>1</v>
      </c>
      <c r="K1414">
        <v>177.185365134048</v>
      </c>
      <c r="L1414">
        <v>216</v>
      </c>
      <c r="M1414">
        <v>177.185365134048</v>
      </c>
      <c r="N1414">
        <v>38.814634865951497</v>
      </c>
      <c r="O1414" t="s">
        <v>32</v>
      </c>
      <c r="P1414">
        <f t="shared" si="44"/>
        <v>288</v>
      </c>
      <c r="Q1414">
        <f t="shared" si="45"/>
        <v>-38.814634865952002</v>
      </c>
    </row>
    <row r="1415" spans="1:17" x14ac:dyDescent="0.4">
      <c r="A1415" t="s">
        <v>2798</v>
      </c>
      <c r="B1415" s="1">
        <v>45378.291666666664</v>
      </c>
      <c r="C1415" t="s">
        <v>22</v>
      </c>
      <c r="D1415" t="s">
        <v>2799</v>
      </c>
      <c r="E1415" t="s">
        <v>82</v>
      </c>
      <c r="F1415" t="s">
        <v>25</v>
      </c>
      <c r="G1415">
        <v>218</v>
      </c>
      <c r="H1415">
        <v>0</v>
      </c>
      <c r="I1415">
        <v>218</v>
      </c>
      <c r="J1415">
        <v>6</v>
      </c>
      <c r="K1415">
        <v>134.440926480553</v>
      </c>
      <c r="L1415">
        <v>1308</v>
      </c>
      <c r="M1415">
        <v>806.64555888331904</v>
      </c>
      <c r="N1415">
        <v>501.35444111667999</v>
      </c>
      <c r="O1415" t="s">
        <v>20</v>
      </c>
      <c r="P1415">
        <f t="shared" si="44"/>
        <v>1308</v>
      </c>
      <c r="Q1415">
        <f t="shared" si="45"/>
        <v>-501.35444111668096</v>
      </c>
    </row>
    <row r="1416" spans="1:17" x14ac:dyDescent="0.4">
      <c r="A1416" t="s">
        <v>2800</v>
      </c>
      <c r="B1416" s="1">
        <v>45650.125</v>
      </c>
      <c r="C1416" t="s">
        <v>65</v>
      </c>
      <c r="D1416" t="s">
        <v>2801</v>
      </c>
      <c r="E1416" t="s">
        <v>41</v>
      </c>
      <c r="F1416" t="s">
        <v>31</v>
      </c>
      <c r="G1416">
        <v>342</v>
      </c>
      <c r="H1416">
        <v>0</v>
      </c>
      <c r="I1416">
        <v>342</v>
      </c>
      <c r="J1416">
        <v>6</v>
      </c>
      <c r="K1416">
        <v>217.480552428913</v>
      </c>
      <c r="L1416">
        <v>2052</v>
      </c>
      <c r="M1416">
        <v>1304.88331457347</v>
      </c>
      <c r="N1416">
        <v>747.11668542652001</v>
      </c>
      <c r="O1416" t="s">
        <v>51</v>
      </c>
      <c r="P1416">
        <f t="shared" si="44"/>
        <v>2052</v>
      </c>
      <c r="Q1416">
        <f t="shared" si="45"/>
        <v>-747.11668542653001</v>
      </c>
    </row>
    <row r="1417" spans="1:17" x14ac:dyDescent="0.4">
      <c r="A1417" t="s">
        <v>2802</v>
      </c>
      <c r="B1417" s="1">
        <v>45922.833333333336</v>
      </c>
      <c r="C1417" t="s">
        <v>65</v>
      </c>
      <c r="D1417" t="s">
        <v>2803</v>
      </c>
      <c r="E1417" t="s">
        <v>85</v>
      </c>
      <c r="F1417" t="s">
        <v>70</v>
      </c>
      <c r="G1417">
        <v>208</v>
      </c>
      <c r="H1417">
        <v>0</v>
      </c>
      <c r="I1417">
        <v>208</v>
      </c>
      <c r="J1417">
        <v>1</v>
      </c>
      <c r="K1417">
        <v>83.863203914624194</v>
      </c>
      <c r="L1417">
        <v>208</v>
      </c>
      <c r="M1417">
        <v>83.863203914624194</v>
      </c>
      <c r="N1417">
        <v>124.136796085375</v>
      </c>
      <c r="O1417" t="s">
        <v>20</v>
      </c>
      <c r="P1417">
        <f t="shared" si="44"/>
        <v>208</v>
      </c>
      <c r="Q1417">
        <f t="shared" si="45"/>
        <v>-124.13679608537581</v>
      </c>
    </row>
    <row r="1418" spans="1:17" x14ac:dyDescent="0.4">
      <c r="A1418" t="s">
        <v>2804</v>
      </c>
      <c r="B1418" s="1">
        <v>45825.458333333336</v>
      </c>
      <c r="C1418" t="s">
        <v>28</v>
      </c>
      <c r="D1418" t="s">
        <v>2805</v>
      </c>
      <c r="E1418" t="s">
        <v>48</v>
      </c>
      <c r="F1418" t="s">
        <v>19</v>
      </c>
      <c r="G1418">
        <v>237</v>
      </c>
      <c r="H1418">
        <v>0.2</v>
      </c>
      <c r="I1418">
        <v>189.6</v>
      </c>
      <c r="J1418">
        <v>6</v>
      </c>
      <c r="K1418">
        <v>120.891598796198</v>
      </c>
      <c r="L1418">
        <v>1137.5999999999999</v>
      </c>
      <c r="M1418">
        <v>725.34959277719099</v>
      </c>
      <c r="N1418">
        <v>412.25040722280897</v>
      </c>
      <c r="O1418" t="s">
        <v>26</v>
      </c>
      <c r="P1418">
        <f t="shared" si="44"/>
        <v>1422</v>
      </c>
      <c r="Q1418">
        <f t="shared" si="45"/>
        <v>-412.25040722280892</v>
      </c>
    </row>
    <row r="1419" spans="1:17" x14ac:dyDescent="0.4">
      <c r="A1419" t="s">
        <v>2806</v>
      </c>
      <c r="B1419" s="1">
        <v>45435.875</v>
      </c>
      <c r="C1419" t="s">
        <v>16</v>
      </c>
      <c r="D1419" t="s">
        <v>2807</v>
      </c>
      <c r="E1419" t="s">
        <v>73</v>
      </c>
      <c r="F1419" t="s">
        <v>38</v>
      </c>
      <c r="G1419">
        <v>153</v>
      </c>
      <c r="H1419">
        <v>0.1</v>
      </c>
      <c r="I1419">
        <v>137.69999999999999</v>
      </c>
      <c r="J1419">
        <v>4</v>
      </c>
      <c r="K1419">
        <v>102.799319833955</v>
      </c>
      <c r="L1419">
        <v>550.79999999999995</v>
      </c>
      <c r="M1419">
        <v>411.197279335823</v>
      </c>
      <c r="N1419">
        <v>139.60272066417599</v>
      </c>
      <c r="O1419" t="s">
        <v>32</v>
      </c>
      <c r="P1419">
        <f t="shared" si="44"/>
        <v>612</v>
      </c>
      <c r="Q1419">
        <f t="shared" si="45"/>
        <v>-139.60272066417696</v>
      </c>
    </row>
    <row r="1420" spans="1:17" x14ac:dyDescent="0.4">
      <c r="A1420" t="s">
        <v>2808</v>
      </c>
      <c r="B1420" s="1">
        <v>45570.125</v>
      </c>
      <c r="C1420" t="s">
        <v>16</v>
      </c>
      <c r="D1420" t="s">
        <v>2809</v>
      </c>
      <c r="E1420" t="s">
        <v>69</v>
      </c>
      <c r="F1420" t="s">
        <v>70</v>
      </c>
      <c r="G1420">
        <v>165</v>
      </c>
      <c r="H1420">
        <v>0</v>
      </c>
      <c r="I1420">
        <v>165</v>
      </c>
      <c r="J1420">
        <v>1</v>
      </c>
      <c r="K1420">
        <v>119.707888070365</v>
      </c>
      <c r="L1420">
        <v>165</v>
      </c>
      <c r="M1420">
        <v>119.707888070365</v>
      </c>
      <c r="N1420">
        <v>45.292111929634601</v>
      </c>
      <c r="O1420" t="s">
        <v>32</v>
      </c>
      <c r="P1420">
        <f t="shared" si="44"/>
        <v>165</v>
      </c>
      <c r="Q1420">
        <f t="shared" si="45"/>
        <v>-45.292111929634999</v>
      </c>
    </row>
    <row r="1421" spans="1:17" x14ac:dyDescent="0.4">
      <c r="A1421" t="s">
        <v>2810</v>
      </c>
      <c r="B1421" s="1">
        <v>45331.791666666664</v>
      </c>
      <c r="C1421" t="s">
        <v>46</v>
      </c>
      <c r="D1421" t="s">
        <v>2811</v>
      </c>
      <c r="E1421" t="s">
        <v>110</v>
      </c>
      <c r="F1421" t="s">
        <v>19</v>
      </c>
      <c r="G1421">
        <v>231</v>
      </c>
      <c r="H1421">
        <v>0.15</v>
      </c>
      <c r="I1421">
        <v>196.35</v>
      </c>
      <c r="J1421">
        <v>7</v>
      </c>
      <c r="K1421">
        <v>144.66391223065301</v>
      </c>
      <c r="L1421">
        <v>1374.45</v>
      </c>
      <c r="M1421">
        <v>1012.64738561457</v>
      </c>
      <c r="N1421">
        <v>361.80261438542499</v>
      </c>
      <c r="O1421" t="s">
        <v>20</v>
      </c>
      <c r="P1421">
        <f t="shared" si="44"/>
        <v>1617</v>
      </c>
      <c r="Q1421">
        <f t="shared" si="45"/>
        <v>-361.80261438543005</v>
      </c>
    </row>
    <row r="1422" spans="1:17" x14ac:dyDescent="0.4">
      <c r="A1422" t="s">
        <v>2812</v>
      </c>
      <c r="B1422" s="1">
        <v>45554.291666666664</v>
      </c>
      <c r="C1422" t="s">
        <v>28</v>
      </c>
      <c r="D1422" t="s">
        <v>2813</v>
      </c>
      <c r="E1422" t="s">
        <v>41</v>
      </c>
      <c r="F1422" t="s">
        <v>31</v>
      </c>
      <c r="G1422">
        <v>246</v>
      </c>
      <c r="H1422">
        <v>0</v>
      </c>
      <c r="I1422">
        <v>246</v>
      </c>
      <c r="J1422">
        <v>2</v>
      </c>
      <c r="K1422">
        <v>165.57242366358301</v>
      </c>
      <c r="L1422">
        <v>492</v>
      </c>
      <c r="M1422">
        <v>331.14484732716602</v>
      </c>
      <c r="N1422">
        <v>160.85515267283299</v>
      </c>
      <c r="O1422" t="s">
        <v>32</v>
      </c>
      <c r="P1422">
        <f t="shared" si="44"/>
        <v>492</v>
      </c>
      <c r="Q1422">
        <f t="shared" si="45"/>
        <v>-160.85515267283398</v>
      </c>
    </row>
    <row r="1423" spans="1:17" x14ac:dyDescent="0.4">
      <c r="A1423" t="s">
        <v>2814</v>
      </c>
      <c r="B1423" s="1">
        <v>45955.375</v>
      </c>
      <c r="C1423" t="s">
        <v>46</v>
      </c>
      <c r="D1423" t="s">
        <v>2171</v>
      </c>
      <c r="E1423" t="s">
        <v>110</v>
      </c>
      <c r="F1423" t="s">
        <v>19</v>
      </c>
      <c r="G1423">
        <v>281</v>
      </c>
      <c r="H1423">
        <v>0.1</v>
      </c>
      <c r="I1423">
        <v>252.9</v>
      </c>
      <c r="J1423">
        <v>5</v>
      </c>
      <c r="K1423">
        <v>199.85657082576299</v>
      </c>
      <c r="L1423">
        <v>1264.5</v>
      </c>
      <c r="M1423">
        <v>999.28285412881598</v>
      </c>
      <c r="N1423">
        <v>265.21714587118299</v>
      </c>
      <c r="O1423" t="s">
        <v>105</v>
      </c>
      <c r="P1423">
        <f t="shared" si="44"/>
        <v>1405</v>
      </c>
      <c r="Q1423">
        <f t="shared" si="45"/>
        <v>-265.21714587118402</v>
      </c>
    </row>
    <row r="1424" spans="1:17" x14ac:dyDescent="0.4">
      <c r="A1424" t="s">
        <v>2815</v>
      </c>
      <c r="B1424" s="1">
        <v>45928.75</v>
      </c>
      <c r="C1424" t="s">
        <v>28</v>
      </c>
      <c r="D1424" t="s">
        <v>2816</v>
      </c>
      <c r="E1424" t="s">
        <v>110</v>
      </c>
      <c r="F1424" t="s">
        <v>19</v>
      </c>
      <c r="G1424">
        <v>226</v>
      </c>
      <c r="H1424">
        <v>0</v>
      </c>
      <c r="I1424">
        <v>226</v>
      </c>
      <c r="J1424">
        <v>5</v>
      </c>
      <c r="K1424">
        <v>165.08809265087601</v>
      </c>
      <c r="L1424">
        <v>1130</v>
      </c>
      <c r="M1424">
        <v>825.44046325438205</v>
      </c>
      <c r="N1424">
        <v>304.55953674561698</v>
      </c>
      <c r="O1424" t="s">
        <v>32</v>
      </c>
      <c r="P1424">
        <f t="shared" si="44"/>
        <v>1130</v>
      </c>
      <c r="Q1424">
        <f t="shared" si="45"/>
        <v>-304.55953674561795</v>
      </c>
    </row>
    <row r="1425" spans="1:17" x14ac:dyDescent="0.4">
      <c r="A1425" t="s">
        <v>2817</v>
      </c>
      <c r="B1425" s="1">
        <v>45487.958333333336</v>
      </c>
      <c r="C1425" t="s">
        <v>46</v>
      </c>
      <c r="D1425" t="s">
        <v>2818</v>
      </c>
      <c r="E1425" t="s">
        <v>24</v>
      </c>
      <c r="F1425" t="s">
        <v>25</v>
      </c>
      <c r="G1425">
        <v>163</v>
      </c>
      <c r="H1425">
        <v>0.05</v>
      </c>
      <c r="I1425">
        <v>154.85</v>
      </c>
      <c r="J1425">
        <v>4</v>
      </c>
      <c r="K1425">
        <v>103.393876581317</v>
      </c>
      <c r="L1425">
        <v>619.4</v>
      </c>
      <c r="M1425">
        <v>413.57550632526898</v>
      </c>
      <c r="N1425">
        <v>205.82449367473001</v>
      </c>
      <c r="O1425" t="s">
        <v>51</v>
      </c>
      <c r="P1425">
        <f t="shared" si="44"/>
        <v>652</v>
      </c>
      <c r="Q1425">
        <f t="shared" si="45"/>
        <v>-205.824493674731</v>
      </c>
    </row>
    <row r="1426" spans="1:17" x14ac:dyDescent="0.4">
      <c r="A1426" t="s">
        <v>2819</v>
      </c>
      <c r="B1426" s="1">
        <v>45565.458333333336</v>
      </c>
      <c r="C1426" t="s">
        <v>22</v>
      </c>
      <c r="D1426" t="s">
        <v>2820</v>
      </c>
      <c r="E1426" t="s">
        <v>18</v>
      </c>
      <c r="F1426" t="s">
        <v>19</v>
      </c>
      <c r="G1426">
        <v>109</v>
      </c>
      <c r="H1426">
        <v>0.05</v>
      </c>
      <c r="I1426">
        <v>103.55</v>
      </c>
      <c r="J1426">
        <v>7</v>
      </c>
      <c r="K1426">
        <v>44.072614480628197</v>
      </c>
      <c r="L1426">
        <v>724.85</v>
      </c>
      <c r="M1426">
        <v>308.50830136439799</v>
      </c>
      <c r="N1426">
        <v>416.34169863560197</v>
      </c>
      <c r="O1426" t="s">
        <v>32</v>
      </c>
      <c r="P1426">
        <f t="shared" si="44"/>
        <v>763</v>
      </c>
      <c r="Q1426">
        <f t="shared" si="45"/>
        <v>-416.34169863560203</v>
      </c>
    </row>
    <row r="1427" spans="1:17" x14ac:dyDescent="0.4">
      <c r="A1427" t="s">
        <v>2821</v>
      </c>
      <c r="B1427" s="1">
        <v>45792.125</v>
      </c>
      <c r="C1427" t="s">
        <v>16</v>
      </c>
      <c r="D1427" t="s">
        <v>2822</v>
      </c>
      <c r="E1427" t="s">
        <v>146</v>
      </c>
      <c r="F1427" t="s">
        <v>70</v>
      </c>
      <c r="G1427">
        <v>343</v>
      </c>
      <c r="H1427">
        <v>0</v>
      </c>
      <c r="I1427">
        <v>343</v>
      </c>
      <c r="J1427">
        <v>2</v>
      </c>
      <c r="K1427">
        <v>138.184495166788</v>
      </c>
      <c r="L1427">
        <v>686</v>
      </c>
      <c r="M1427">
        <v>276.36899033357702</v>
      </c>
      <c r="N1427">
        <v>409.63100966642202</v>
      </c>
      <c r="O1427" t="s">
        <v>20</v>
      </c>
      <c r="P1427">
        <f t="shared" si="44"/>
        <v>686</v>
      </c>
      <c r="Q1427">
        <f t="shared" si="45"/>
        <v>-409.63100966642298</v>
      </c>
    </row>
    <row r="1428" spans="1:17" x14ac:dyDescent="0.4">
      <c r="A1428" t="s">
        <v>2823</v>
      </c>
      <c r="B1428" s="1">
        <v>45742.708333333336</v>
      </c>
      <c r="C1428" t="s">
        <v>46</v>
      </c>
      <c r="D1428" t="s">
        <v>2242</v>
      </c>
      <c r="E1428" t="s">
        <v>18</v>
      </c>
      <c r="F1428" t="s">
        <v>19</v>
      </c>
      <c r="G1428">
        <v>333</v>
      </c>
      <c r="H1428">
        <v>0</v>
      </c>
      <c r="I1428">
        <v>333</v>
      </c>
      <c r="J1428">
        <v>7</v>
      </c>
      <c r="K1428">
        <v>145.275030998331</v>
      </c>
      <c r="L1428">
        <v>2331</v>
      </c>
      <c r="M1428">
        <v>1016.92521698831</v>
      </c>
      <c r="N1428">
        <v>1314.07478301168</v>
      </c>
      <c r="O1428" t="s">
        <v>105</v>
      </c>
      <c r="P1428">
        <f t="shared" si="44"/>
        <v>2331</v>
      </c>
      <c r="Q1428">
        <f t="shared" si="45"/>
        <v>-1314.07478301169</v>
      </c>
    </row>
    <row r="1429" spans="1:17" x14ac:dyDescent="0.4">
      <c r="A1429" t="s">
        <v>2824</v>
      </c>
      <c r="B1429" s="1">
        <v>45757.458333333336</v>
      </c>
      <c r="C1429" t="s">
        <v>43</v>
      </c>
      <c r="D1429" t="s">
        <v>2825</v>
      </c>
      <c r="E1429" t="s">
        <v>110</v>
      </c>
      <c r="F1429" t="s">
        <v>19</v>
      </c>
      <c r="G1429">
        <v>80</v>
      </c>
      <c r="H1429">
        <v>0</v>
      </c>
      <c r="I1429">
        <v>80</v>
      </c>
      <c r="J1429">
        <v>7</v>
      </c>
      <c r="K1429">
        <v>51.397882179993601</v>
      </c>
      <c r="L1429">
        <v>560</v>
      </c>
      <c r="M1429">
        <v>359.785175259955</v>
      </c>
      <c r="N1429">
        <v>200.21482474004401</v>
      </c>
      <c r="O1429" t="s">
        <v>105</v>
      </c>
      <c r="P1429">
        <f t="shared" si="44"/>
        <v>560</v>
      </c>
      <c r="Q1429">
        <f t="shared" si="45"/>
        <v>-200.214824740045</v>
      </c>
    </row>
    <row r="1430" spans="1:17" x14ac:dyDescent="0.4">
      <c r="A1430" t="s">
        <v>2826</v>
      </c>
      <c r="B1430" s="1">
        <v>45816.25</v>
      </c>
      <c r="C1430" t="s">
        <v>65</v>
      </c>
      <c r="D1430" t="s">
        <v>2827</v>
      </c>
      <c r="E1430" t="s">
        <v>146</v>
      </c>
      <c r="F1430" t="s">
        <v>70</v>
      </c>
      <c r="G1430">
        <v>290</v>
      </c>
      <c r="H1430">
        <v>0</v>
      </c>
      <c r="I1430">
        <v>290</v>
      </c>
      <c r="J1430">
        <v>7</v>
      </c>
      <c r="K1430">
        <v>163.400441082621</v>
      </c>
      <c r="L1430">
        <v>2030</v>
      </c>
      <c r="M1430">
        <v>1143.80308757835</v>
      </c>
      <c r="N1430">
        <v>886.19691242164697</v>
      </c>
      <c r="O1430" t="s">
        <v>32</v>
      </c>
      <c r="P1430">
        <f t="shared" si="44"/>
        <v>2030</v>
      </c>
      <c r="Q1430">
        <f t="shared" si="45"/>
        <v>-886.19691242165004</v>
      </c>
    </row>
    <row r="1431" spans="1:17" x14ac:dyDescent="0.4">
      <c r="A1431" t="s">
        <v>2828</v>
      </c>
      <c r="B1431" s="1">
        <v>45800.375</v>
      </c>
      <c r="C1431" t="s">
        <v>43</v>
      </c>
      <c r="D1431" t="s">
        <v>2829</v>
      </c>
      <c r="E1431" t="s">
        <v>97</v>
      </c>
      <c r="F1431" t="s">
        <v>61</v>
      </c>
      <c r="G1431">
        <v>91</v>
      </c>
      <c r="H1431">
        <v>0</v>
      </c>
      <c r="I1431">
        <v>91</v>
      </c>
      <c r="J1431">
        <v>7</v>
      </c>
      <c r="K1431">
        <v>65.334562929193496</v>
      </c>
      <c r="L1431">
        <v>637</v>
      </c>
      <c r="M1431">
        <v>457.341940504354</v>
      </c>
      <c r="N1431">
        <v>179.65805949564501</v>
      </c>
      <c r="O1431" t="s">
        <v>26</v>
      </c>
      <c r="P1431">
        <f t="shared" si="44"/>
        <v>637</v>
      </c>
      <c r="Q1431">
        <f t="shared" si="45"/>
        <v>-179.658059495646</v>
      </c>
    </row>
    <row r="1432" spans="1:17" x14ac:dyDescent="0.4">
      <c r="A1432" t="s">
        <v>2830</v>
      </c>
      <c r="B1432" s="1">
        <v>45811.708333333336</v>
      </c>
      <c r="C1432" t="s">
        <v>46</v>
      </c>
      <c r="D1432" t="s">
        <v>2831</v>
      </c>
      <c r="E1432" t="s">
        <v>69</v>
      </c>
      <c r="F1432" t="s">
        <v>70</v>
      </c>
      <c r="G1432">
        <v>110</v>
      </c>
      <c r="H1432">
        <v>0</v>
      </c>
      <c r="I1432">
        <v>110</v>
      </c>
      <c r="J1432">
        <v>3</v>
      </c>
      <c r="K1432">
        <v>62.605074720718001</v>
      </c>
      <c r="L1432">
        <v>330</v>
      </c>
      <c r="M1432">
        <v>187.81522416215401</v>
      </c>
      <c r="N1432">
        <v>142.184775837845</v>
      </c>
      <c r="O1432" t="s">
        <v>32</v>
      </c>
      <c r="P1432">
        <f t="shared" si="44"/>
        <v>330</v>
      </c>
      <c r="Q1432">
        <f t="shared" si="45"/>
        <v>-142.18477583784599</v>
      </c>
    </row>
    <row r="1433" spans="1:17" x14ac:dyDescent="0.4">
      <c r="A1433" t="s">
        <v>2832</v>
      </c>
      <c r="B1433" s="1">
        <v>45686.208333333336</v>
      </c>
      <c r="C1433" t="s">
        <v>65</v>
      </c>
      <c r="D1433" t="s">
        <v>2833</v>
      </c>
      <c r="E1433" t="s">
        <v>115</v>
      </c>
      <c r="F1433" t="s">
        <v>38</v>
      </c>
      <c r="G1433">
        <v>344</v>
      </c>
      <c r="H1433">
        <v>0.15</v>
      </c>
      <c r="I1433">
        <v>292.39999999999998</v>
      </c>
      <c r="J1433">
        <v>7</v>
      </c>
      <c r="K1433">
        <v>155.43255535663801</v>
      </c>
      <c r="L1433">
        <v>2046.79999999999</v>
      </c>
      <c r="M1433">
        <v>1088.0278874964599</v>
      </c>
      <c r="N1433">
        <v>958.77211250353105</v>
      </c>
      <c r="O1433" t="s">
        <v>32</v>
      </c>
      <c r="P1433">
        <f t="shared" si="44"/>
        <v>2408</v>
      </c>
      <c r="Q1433">
        <f t="shared" si="45"/>
        <v>-958.77211250353002</v>
      </c>
    </row>
    <row r="1434" spans="1:17" x14ac:dyDescent="0.4">
      <c r="A1434" t="s">
        <v>2834</v>
      </c>
      <c r="B1434" s="1">
        <v>45941.833333333336</v>
      </c>
      <c r="C1434" t="s">
        <v>65</v>
      </c>
      <c r="D1434" t="s">
        <v>2835</v>
      </c>
      <c r="E1434" t="s">
        <v>69</v>
      </c>
      <c r="F1434" t="s">
        <v>70</v>
      </c>
      <c r="G1434">
        <v>340</v>
      </c>
      <c r="H1434">
        <v>0.05</v>
      </c>
      <c r="I1434">
        <v>323</v>
      </c>
      <c r="J1434">
        <v>5</v>
      </c>
      <c r="K1434">
        <v>203.58444669761599</v>
      </c>
      <c r="L1434">
        <v>1615</v>
      </c>
      <c r="M1434">
        <v>1017.92223348808</v>
      </c>
      <c r="N1434">
        <v>597.077766511915</v>
      </c>
      <c r="O1434" t="s">
        <v>32</v>
      </c>
      <c r="P1434">
        <f t="shared" si="44"/>
        <v>1700</v>
      </c>
      <c r="Q1434">
        <f t="shared" si="45"/>
        <v>-597.07776651192</v>
      </c>
    </row>
    <row r="1435" spans="1:17" x14ac:dyDescent="0.4">
      <c r="A1435" t="s">
        <v>2836</v>
      </c>
      <c r="B1435" s="1">
        <v>45314.041666666664</v>
      </c>
      <c r="C1435" t="s">
        <v>28</v>
      </c>
      <c r="D1435" t="s">
        <v>2837</v>
      </c>
      <c r="E1435" t="s">
        <v>37</v>
      </c>
      <c r="F1435" t="s">
        <v>38</v>
      </c>
      <c r="G1435">
        <v>118</v>
      </c>
      <c r="H1435">
        <v>0.15</v>
      </c>
      <c r="I1435">
        <v>100.3</v>
      </c>
      <c r="J1435">
        <v>1</v>
      </c>
      <c r="K1435">
        <v>67.881192846802705</v>
      </c>
      <c r="L1435">
        <v>100.3</v>
      </c>
      <c r="M1435">
        <v>67.881192846802705</v>
      </c>
      <c r="N1435">
        <v>32.4188071531972</v>
      </c>
      <c r="O1435" t="s">
        <v>32</v>
      </c>
      <c r="P1435">
        <f t="shared" si="44"/>
        <v>118</v>
      </c>
      <c r="Q1435">
        <f t="shared" si="45"/>
        <v>-32.418807153197292</v>
      </c>
    </row>
    <row r="1436" spans="1:17" x14ac:dyDescent="0.4">
      <c r="A1436" t="s">
        <v>2838</v>
      </c>
      <c r="B1436" s="1">
        <v>45823.875</v>
      </c>
      <c r="C1436" t="s">
        <v>43</v>
      </c>
      <c r="D1436" t="s">
        <v>2839</v>
      </c>
      <c r="E1436" t="s">
        <v>48</v>
      </c>
      <c r="F1436" t="s">
        <v>19</v>
      </c>
      <c r="G1436">
        <v>107</v>
      </c>
      <c r="H1436">
        <v>0.25</v>
      </c>
      <c r="I1436">
        <v>80.25</v>
      </c>
      <c r="J1436">
        <v>1</v>
      </c>
      <c r="K1436">
        <v>68.368756794032606</v>
      </c>
      <c r="L1436">
        <v>80.25</v>
      </c>
      <c r="M1436">
        <v>68.368756794032606</v>
      </c>
      <c r="N1436">
        <v>11.8812432059673</v>
      </c>
      <c r="O1436" t="s">
        <v>26</v>
      </c>
      <c r="P1436">
        <f t="shared" si="44"/>
        <v>107</v>
      </c>
      <c r="Q1436">
        <f t="shared" si="45"/>
        <v>-11.881243205967394</v>
      </c>
    </row>
    <row r="1437" spans="1:17" x14ac:dyDescent="0.4">
      <c r="A1437" t="s">
        <v>2840</v>
      </c>
      <c r="B1437" s="1">
        <v>45871.583333333336</v>
      </c>
      <c r="C1437" t="s">
        <v>22</v>
      </c>
      <c r="D1437" t="s">
        <v>2841</v>
      </c>
      <c r="E1437" t="s">
        <v>115</v>
      </c>
      <c r="F1437" t="s">
        <v>38</v>
      </c>
      <c r="G1437">
        <v>271</v>
      </c>
      <c r="H1437">
        <v>0.05</v>
      </c>
      <c r="I1437">
        <v>257.45</v>
      </c>
      <c r="J1437">
        <v>7</v>
      </c>
      <c r="K1437">
        <v>178.312767444337</v>
      </c>
      <c r="L1437">
        <v>1802.1499999999901</v>
      </c>
      <c r="M1437">
        <v>1248.18937211036</v>
      </c>
      <c r="N1437">
        <v>553.96062788963502</v>
      </c>
      <c r="O1437" t="s">
        <v>32</v>
      </c>
      <c r="P1437">
        <f t="shared" si="44"/>
        <v>1897</v>
      </c>
      <c r="Q1437">
        <f t="shared" si="45"/>
        <v>-553.96062788963013</v>
      </c>
    </row>
    <row r="1438" spans="1:17" x14ac:dyDescent="0.4">
      <c r="A1438" t="s">
        <v>2842</v>
      </c>
      <c r="B1438" s="1">
        <v>45773.708333333336</v>
      </c>
      <c r="C1438" t="s">
        <v>16</v>
      </c>
      <c r="D1438" t="s">
        <v>2843</v>
      </c>
      <c r="E1438" t="s">
        <v>110</v>
      </c>
      <c r="F1438" t="s">
        <v>19</v>
      </c>
      <c r="G1438">
        <v>198</v>
      </c>
      <c r="H1438">
        <v>0.1</v>
      </c>
      <c r="I1438">
        <v>178.2</v>
      </c>
      <c r="J1438">
        <v>2</v>
      </c>
      <c r="K1438">
        <v>116.658677100463</v>
      </c>
      <c r="L1438">
        <v>356.4</v>
      </c>
      <c r="M1438">
        <v>233.31735420092599</v>
      </c>
      <c r="N1438">
        <v>123.08264579907301</v>
      </c>
      <c r="O1438" t="s">
        <v>26</v>
      </c>
      <c r="P1438">
        <f t="shared" si="44"/>
        <v>396</v>
      </c>
      <c r="Q1438">
        <f t="shared" si="45"/>
        <v>-123.08264579907399</v>
      </c>
    </row>
    <row r="1439" spans="1:17" x14ac:dyDescent="0.4">
      <c r="A1439" t="s">
        <v>2844</v>
      </c>
      <c r="B1439" s="1">
        <v>45672.458333333336</v>
      </c>
      <c r="C1439" t="s">
        <v>16</v>
      </c>
      <c r="D1439" t="s">
        <v>2845</v>
      </c>
      <c r="E1439" t="s">
        <v>115</v>
      </c>
      <c r="F1439" t="s">
        <v>38</v>
      </c>
      <c r="G1439">
        <v>118</v>
      </c>
      <c r="H1439">
        <v>0</v>
      </c>
      <c r="I1439">
        <v>118</v>
      </c>
      <c r="J1439">
        <v>4</v>
      </c>
      <c r="K1439">
        <v>70.5470011573166</v>
      </c>
      <c r="L1439">
        <v>472</v>
      </c>
      <c r="M1439">
        <v>282.188004629266</v>
      </c>
      <c r="N1439">
        <v>189.811995370733</v>
      </c>
      <c r="O1439" t="s">
        <v>32</v>
      </c>
      <c r="P1439">
        <f t="shared" si="44"/>
        <v>472</v>
      </c>
      <c r="Q1439">
        <f t="shared" si="45"/>
        <v>-189.811995370734</v>
      </c>
    </row>
    <row r="1440" spans="1:17" x14ac:dyDescent="0.4">
      <c r="A1440" t="s">
        <v>2846</v>
      </c>
      <c r="B1440" s="1">
        <v>45313.875</v>
      </c>
      <c r="C1440" t="s">
        <v>22</v>
      </c>
      <c r="D1440" t="s">
        <v>2847</v>
      </c>
      <c r="E1440" t="s">
        <v>146</v>
      </c>
      <c r="F1440" t="s">
        <v>70</v>
      </c>
      <c r="G1440">
        <v>113</v>
      </c>
      <c r="H1440">
        <v>0.1</v>
      </c>
      <c r="I1440">
        <v>101.7</v>
      </c>
      <c r="J1440">
        <v>1</v>
      </c>
      <c r="K1440">
        <v>72.510799973470597</v>
      </c>
      <c r="L1440">
        <v>101.7</v>
      </c>
      <c r="M1440">
        <v>72.510799973470597</v>
      </c>
      <c r="N1440">
        <v>29.189200026529299</v>
      </c>
      <c r="O1440" t="s">
        <v>20</v>
      </c>
      <c r="P1440">
        <f t="shared" si="44"/>
        <v>113</v>
      </c>
      <c r="Q1440">
        <f t="shared" si="45"/>
        <v>-29.189200026529406</v>
      </c>
    </row>
    <row r="1441" spans="1:17" x14ac:dyDescent="0.4">
      <c r="A1441" t="s">
        <v>2848</v>
      </c>
      <c r="B1441" s="1">
        <v>45974.708333333336</v>
      </c>
      <c r="C1441" t="s">
        <v>46</v>
      </c>
      <c r="D1441" t="s">
        <v>2849</v>
      </c>
      <c r="E1441" t="s">
        <v>97</v>
      </c>
      <c r="F1441" t="s">
        <v>61</v>
      </c>
      <c r="G1441">
        <v>103</v>
      </c>
      <c r="H1441">
        <v>0.1</v>
      </c>
      <c r="I1441">
        <v>92.7</v>
      </c>
      <c r="J1441">
        <v>3</v>
      </c>
      <c r="K1441">
        <v>61.768689865259297</v>
      </c>
      <c r="L1441">
        <v>278.10000000000002</v>
      </c>
      <c r="M1441">
        <v>185.30606959577801</v>
      </c>
      <c r="N1441">
        <v>92.793930404221896</v>
      </c>
      <c r="O1441" t="s">
        <v>26</v>
      </c>
      <c r="P1441">
        <f t="shared" si="44"/>
        <v>309</v>
      </c>
      <c r="Q1441">
        <f t="shared" si="45"/>
        <v>-92.79393040422201</v>
      </c>
    </row>
    <row r="1442" spans="1:17" x14ac:dyDescent="0.4">
      <c r="A1442" t="s">
        <v>2850</v>
      </c>
      <c r="B1442" s="1">
        <v>45307.583333333336</v>
      </c>
      <c r="C1442" t="s">
        <v>16</v>
      </c>
      <c r="D1442" t="s">
        <v>2851</v>
      </c>
      <c r="E1442" t="s">
        <v>18</v>
      </c>
      <c r="F1442" t="s">
        <v>19</v>
      </c>
      <c r="G1442">
        <v>205</v>
      </c>
      <c r="H1442">
        <v>0.15</v>
      </c>
      <c r="I1442">
        <v>174.25</v>
      </c>
      <c r="J1442">
        <v>7</v>
      </c>
      <c r="K1442">
        <v>85.519593833174198</v>
      </c>
      <c r="L1442">
        <v>1219.75</v>
      </c>
      <c r="M1442">
        <v>598.63715683221903</v>
      </c>
      <c r="N1442">
        <v>621.11284316778006</v>
      </c>
      <c r="O1442" t="s">
        <v>26</v>
      </c>
      <c r="P1442">
        <f t="shared" si="44"/>
        <v>1435</v>
      </c>
      <c r="Q1442">
        <f t="shared" si="45"/>
        <v>-621.11284316778097</v>
      </c>
    </row>
    <row r="1443" spans="1:17" x14ac:dyDescent="0.4">
      <c r="A1443" t="s">
        <v>2852</v>
      </c>
      <c r="B1443" s="1">
        <v>45800.208333333336</v>
      </c>
      <c r="C1443" t="s">
        <v>46</v>
      </c>
      <c r="D1443" t="s">
        <v>2234</v>
      </c>
      <c r="E1443" t="s">
        <v>213</v>
      </c>
      <c r="F1443" t="s">
        <v>31</v>
      </c>
      <c r="G1443">
        <v>311</v>
      </c>
      <c r="H1443">
        <v>0</v>
      </c>
      <c r="I1443">
        <v>311</v>
      </c>
      <c r="J1443">
        <v>6</v>
      </c>
      <c r="K1443">
        <v>151.00862308643701</v>
      </c>
      <c r="L1443">
        <v>1866</v>
      </c>
      <c r="M1443">
        <v>906.05173851862605</v>
      </c>
      <c r="N1443">
        <v>959.94826148137395</v>
      </c>
      <c r="O1443" t="s">
        <v>26</v>
      </c>
      <c r="P1443">
        <f t="shared" si="44"/>
        <v>1866</v>
      </c>
      <c r="Q1443">
        <f t="shared" si="45"/>
        <v>-959.94826148137395</v>
      </c>
    </row>
    <row r="1444" spans="1:17" x14ac:dyDescent="0.4">
      <c r="A1444" t="s">
        <v>2853</v>
      </c>
      <c r="B1444" s="1">
        <v>45485.666666666664</v>
      </c>
      <c r="C1444" t="s">
        <v>16</v>
      </c>
      <c r="D1444" t="s">
        <v>2854</v>
      </c>
      <c r="E1444" t="s">
        <v>110</v>
      </c>
      <c r="F1444" t="s">
        <v>19</v>
      </c>
      <c r="G1444">
        <v>95</v>
      </c>
      <c r="H1444">
        <v>0</v>
      </c>
      <c r="I1444">
        <v>95</v>
      </c>
      <c r="J1444">
        <v>4</v>
      </c>
      <c r="K1444">
        <v>54.886412750731701</v>
      </c>
      <c r="L1444">
        <v>380</v>
      </c>
      <c r="M1444">
        <v>219.545651002927</v>
      </c>
      <c r="N1444">
        <v>160.454348997072</v>
      </c>
      <c r="O1444" t="s">
        <v>26</v>
      </c>
      <c r="P1444">
        <f t="shared" si="44"/>
        <v>380</v>
      </c>
      <c r="Q1444">
        <f t="shared" si="45"/>
        <v>-160.454348997073</v>
      </c>
    </row>
    <row r="1445" spans="1:17" x14ac:dyDescent="0.4">
      <c r="A1445" t="s">
        <v>2855</v>
      </c>
      <c r="B1445" s="1">
        <v>45390.541666666664</v>
      </c>
      <c r="C1445" t="s">
        <v>46</v>
      </c>
      <c r="D1445" t="s">
        <v>2856</v>
      </c>
      <c r="E1445" t="s">
        <v>85</v>
      </c>
      <c r="F1445" t="s">
        <v>70</v>
      </c>
      <c r="G1445">
        <v>115</v>
      </c>
      <c r="H1445">
        <v>0.2</v>
      </c>
      <c r="I1445">
        <v>92</v>
      </c>
      <c r="J1445">
        <v>6</v>
      </c>
      <c r="K1445">
        <v>68.8433154048668</v>
      </c>
      <c r="L1445">
        <v>552</v>
      </c>
      <c r="M1445">
        <v>413.059892429201</v>
      </c>
      <c r="N1445">
        <v>138.94010757079801</v>
      </c>
      <c r="O1445" t="s">
        <v>26</v>
      </c>
      <c r="P1445">
        <f t="shared" si="44"/>
        <v>690</v>
      </c>
      <c r="Q1445">
        <f t="shared" si="45"/>
        <v>-138.940107570799</v>
      </c>
    </row>
    <row r="1446" spans="1:17" x14ac:dyDescent="0.4">
      <c r="A1446" t="s">
        <v>2857</v>
      </c>
      <c r="B1446" s="1">
        <v>45360.583333333336</v>
      </c>
      <c r="C1446" t="s">
        <v>22</v>
      </c>
      <c r="D1446" t="s">
        <v>2858</v>
      </c>
      <c r="E1446" t="s">
        <v>41</v>
      </c>
      <c r="F1446" t="s">
        <v>31</v>
      </c>
      <c r="G1446">
        <v>176</v>
      </c>
      <c r="H1446">
        <v>0.1</v>
      </c>
      <c r="I1446">
        <v>158.4</v>
      </c>
      <c r="J1446">
        <v>2</v>
      </c>
      <c r="K1446">
        <v>124.06211004998799</v>
      </c>
      <c r="L1446">
        <v>316.8</v>
      </c>
      <c r="M1446">
        <v>248.12422009997701</v>
      </c>
      <c r="N1446">
        <v>68.675779900022405</v>
      </c>
      <c r="O1446" t="s">
        <v>20</v>
      </c>
      <c r="P1446">
        <f t="shared" si="44"/>
        <v>352</v>
      </c>
      <c r="Q1446">
        <f t="shared" si="45"/>
        <v>-68.675779900023002</v>
      </c>
    </row>
    <row r="1447" spans="1:17" x14ac:dyDescent="0.4">
      <c r="A1447" t="s">
        <v>2859</v>
      </c>
      <c r="B1447" s="1">
        <v>45292.541666666664</v>
      </c>
      <c r="C1447" t="s">
        <v>43</v>
      </c>
      <c r="D1447" t="s">
        <v>2860</v>
      </c>
      <c r="E1447" t="s">
        <v>69</v>
      </c>
      <c r="F1447" t="s">
        <v>70</v>
      </c>
      <c r="G1447">
        <v>197</v>
      </c>
      <c r="H1447">
        <v>0.1</v>
      </c>
      <c r="I1447">
        <v>177.3</v>
      </c>
      <c r="J1447">
        <v>2</v>
      </c>
      <c r="K1447">
        <v>93.808062154746395</v>
      </c>
      <c r="L1447">
        <v>354.6</v>
      </c>
      <c r="M1447">
        <v>187.61612430949199</v>
      </c>
      <c r="N1447">
        <v>166.98387569050701</v>
      </c>
      <c r="O1447" t="s">
        <v>26</v>
      </c>
      <c r="P1447">
        <f t="shared" si="44"/>
        <v>394</v>
      </c>
      <c r="Q1447">
        <f t="shared" si="45"/>
        <v>-166.98387569050803</v>
      </c>
    </row>
    <row r="1448" spans="1:17" x14ac:dyDescent="0.4">
      <c r="A1448" t="s">
        <v>2861</v>
      </c>
      <c r="B1448" s="1">
        <v>45483.625</v>
      </c>
      <c r="C1448" t="s">
        <v>46</v>
      </c>
      <c r="D1448" t="s">
        <v>2862</v>
      </c>
      <c r="E1448" t="s">
        <v>213</v>
      </c>
      <c r="F1448" t="s">
        <v>31</v>
      </c>
      <c r="G1448">
        <v>232</v>
      </c>
      <c r="H1448">
        <v>0</v>
      </c>
      <c r="I1448">
        <v>232</v>
      </c>
      <c r="J1448">
        <v>5</v>
      </c>
      <c r="K1448">
        <v>116.53746487621</v>
      </c>
      <c r="L1448">
        <v>1160</v>
      </c>
      <c r="M1448">
        <v>582.68732438105303</v>
      </c>
      <c r="N1448">
        <v>577.31267561894595</v>
      </c>
      <c r="O1448" t="s">
        <v>26</v>
      </c>
      <c r="P1448">
        <f t="shared" si="44"/>
        <v>1160</v>
      </c>
      <c r="Q1448">
        <f t="shared" si="45"/>
        <v>-577.31267561894697</v>
      </c>
    </row>
    <row r="1449" spans="1:17" x14ac:dyDescent="0.4">
      <c r="A1449" t="s">
        <v>2863</v>
      </c>
      <c r="B1449" s="1">
        <v>45386.916666666664</v>
      </c>
      <c r="C1449" t="s">
        <v>28</v>
      </c>
      <c r="D1449" t="s">
        <v>2864</v>
      </c>
      <c r="E1449" t="s">
        <v>30</v>
      </c>
      <c r="F1449" t="s">
        <v>31</v>
      </c>
      <c r="G1449">
        <v>202</v>
      </c>
      <c r="H1449">
        <v>0.05</v>
      </c>
      <c r="I1449">
        <v>191.89999999999901</v>
      </c>
      <c r="J1449">
        <v>7</v>
      </c>
      <c r="K1449">
        <v>137.03866218098099</v>
      </c>
      <c r="L1449">
        <v>1343.29999999999</v>
      </c>
      <c r="M1449">
        <v>959.270635266868</v>
      </c>
      <c r="N1449">
        <v>384.02936473313099</v>
      </c>
      <c r="O1449" t="s">
        <v>32</v>
      </c>
      <c r="P1449">
        <f t="shared" si="44"/>
        <v>1414</v>
      </c>
      <c r="Q1449">
        <f t="shared" si="45"/>
        <v>-384.02936473312195</v>
      </c>
    </row>
    <row r="1450" spans="1:17" x14ac:dyDescent="0.4">
      <c r="A1450" t="s">
        <v>2865</v>
      </c>
      <c r="B1450" s="1">
        <v>45887.666666666664</v>
      </c>
      <c r="C1450" t="s">
        <v>22</v>
      </c>
      <c r="D1450" t="s">
        <v>2866</v>
      </c>
      <c r="E1450" t="s">
        <v>213</v>
      </c>
      <c r="F1450" t="s">
        <v>31</v>
      </c>
      <c r="G1450">
        <v>134</v>
      </c>
      <c r="H1450">
        <v>0.1</v>
      </c>
      <c r="I1450">
        <v>120.6</v>
      </c>
      <c r="J1450">
        <v>2</v>
      </c>
      <c r="K1450">
        <v>64.2120435251706</v>
      </c>
      <c r="L1450">
        <v>241.2</v>
      </c>
      <c r="M1450">
        <v>128.424087050341</v>
      </c>
      <c r="N1450">
        <v>112.77591294965799</v>
      </c>
      <c r="O1450" t="s">
        <v>51</v>
      </c>
      <c r="P1450">
        <f t="shared" si="44"/>
        <v>268</v>
      </c>
      <c r="Q1450">
        <f t="shared" si="45"/>
        <v>-112.77591294965899</v>
      </c>
    </row>
    <row r="1451" spans="1:17" x14ac:dyDescent="0.4">
      <c r="A1451" t="s">
        <v>2867</v>
      </c>
      <c r="B1451" s="1">
        <v>45423.458333333336</v>
      </c>
      <c r="C1451" t="s">
        <v>65</v>
      </c>
      <c r="D1451" t="s">
        <v>2868</v>
      </c>
      <c r="E1451" t="s">
        <v>41</v>
      </c>
      <c r="F1451" t="s">
        <v>31</v>
      </c>
      <c r="G1451">
        <v>305</v>
      </c>
      <c r="H1451">
        <v>0</v>
      </c>
      <c r="I1451">
        <v>305</v>
      </c>
      <c r="J1451">
        <v>7</v>
      </c>
      <c r="K1451">
        <v>219.84985560114899</v>
      </c>
      <c r="L1451">
        <v>2135</v>
      </c>
      <c r="M1451">
        <v>1538.9489892080401</v>
      </c>
      <c r="N1451">
        <v>596.05101079195504</v>
      </c>
      <c r="O1451" t="s">
        <v>26</v>
      </c>
      <c r="P1451">
        <f t="shared" si="44"/>
        <v>2135</v>
      </c>
      <c r="Q1451">
        <f t="shared" si="45"/>
        <v>-596.05101079195992</v>
      </c>
    </row>
    <row r="1452" spans="1:17" x14ac:dyDescent="0.4">
      <c r="A1452" t="s">
        <v>2869</v>
      </c>
      <c r="B1452" s="1">
        <v>45638.708333333336</v>
      </c>
      <c r="C1452" t="s">
        <v>43</v>
      </c>
      <c r="D1452" t="s">
        <v>2870</v>
      </c>
      <c r="E1452" t="s">
        <v>48</v>
      </c>
      <c r="F1452" t="s">
        <v>19</v>
      </c>
      <c r="G1452">
        <v>337</v>
      </c>
      <c r="H1452">
        <v>0.05</v>
      </c>
      <c r="I1452">
        <v>320.14999999999998</v>
      </c>
      <c r="J1452">
        <v>7</v>
      </c>
      <c r="K1452">
        <v>161.319709887985</v>
      </c>
      <c r="L1452">
        <v>2241.0499999999902</v>
      </c>
      <c r="M1452">
        <v>1129.23796921589</v>
      </c>
      <c r="N1452">
        <v>1111.8120307841</v>
      </c>
      <c r="O1452" t="s">
        <v>32</v>
      </c>
      <c r="P1452">
        <f t="shared" si="44"/>
        <v>2359</v>
      </c>
      <c r="Q1452">
        <f t="shared" si="45"/>
        <v>-1111.8120307841002</v>
      </c>
    </row>
    <row r="1453" spans="1:17" x14ac:dyDescent="0.4">
      <c r="A1453" t="s">
        <v>2871</v>
      </c>
      <c r="B1453" s="1">
        <v>45450.916666666664</v>
      </c>
      <c r="C1453" t="s">
        <v>43</v>
      </c>
      <c r="D1453" t="s">
        <v>2872</v>
      </c>
      <c r="E1453" t="s">
        <v>37</v>
      </c>
      <c r="F1453" t="s">
        <v>38</v>
      </c>
      <c r="G1453">
        <v>237</v>
      </c>
      <c r="H1453">
        <v>0.05</v>
      </c>
      <c r="I1453">
        <v>225.14999999999901</v>
      </c>
      <c r="J1453">
        <v>3</v>
      </c>
      <c r="K1453">
        <v>137.630387972639</v>
      </c>
      <c r="L1453">
        <v>675.44999999999902</v>
      </c>
      <c r="M1453">
        <v>412.89116391791703</v>
      </c>
      <c r="N1453">
        <v>262.558836082082</v>
      </c>
      <c r="O1453" t="s">
        <v>20</v>
      </c>
      <c r="P1453">
        <f t="shared" si="44"/>
        <v>711</v>
      </c>
      <c r="Q1453">
        <f t="shared" si="45"/>
        <v>-262.558836082082</v>
      </c>
    </row>
    <row r="1454" spans="1:17" x14ac:dyDescent="0.4">
      <c r="A1454" t="s">
        <v>2873</v>
      </c>
      <c r="B1454" s="1">
        <v>45838.875</v>
      </c>
      <c r="C1454" t="s">
        <v>28</v>
      </c>
      <c r="D1454" t="s">
        <v>2874</v>
      </c>
      <c r="E1454" t="s">
        <v>146</v>
      </c>
      <c r="F1454" t="s">
        <v>70</v>
      </c>
      <c r="G1454">
        <v>262</v>
      </c>
      <c r="H1454">
        <v>0.15</v>
      </c>
      <c r="I1454">
        <v>222.7</v>
      </c>
      <c r="J1454">
        <v>1</v>
      </c>
      <c r="K1454">
        <v>109.801286883911</v>
      </c>
      <c r="L1454">
        <v>222.7</v>
      </c>
      <c r="M1454">
        <v>109.801286883911</v>
      </c>
      <c r="N1454">
        <v>112.898713116088</v>
      </c>
      <c r="O1454" t="s">
        <v>51</v>
      </c>
      <c r="P1454">
        <f t="shared" si="44"/>
        <v>262</v>
      </c>
      <c r="Q1454">
        <f t="shared" si="45"/>
        <v>-112.89871311608898</v>
      </c>
    </row>
    <row r="1455" spans="1:17" x14ac:dyDescent="0.4">
      <c r="A1455" t="s">
        <v>2875</v>
      </c>
      <c r="B1455" s="1">
        <v>45426</v>
      </c>
      <c r="C1455" t="s">
        <v>28</v>
      </c>
      <c r="D1455" t="s">
        <v>2876</v>
      </c>
      <c r="E1455" t="s">
        <v>213</v>
      </c>
      <c r="F1455" t="s">
        <v>31</v>
      </c>
      <c r="G1455">
        <v>251</v>
      </c>
      <c r="H1455">
        <v>0</v>
      </c>
      <c r="I1455">
        <v>251</v>
      </c>
      <c r="J1455">
        <v>6</v>
      </c>
      <c r="K1455">
        <v>128.886029019387</v>
      </c>
      <c r="L1455">
        <v>1506</v>
      </c>
      <c r="M1455">
        <v>773.31617411632499</v>
      </c>
      <c r="N1455">
        <v>732.68382588367399</v>
      </c>
      <c r="O1455" t="s">
        <v>32</v>
      </c>
      <c r="P1455">
        <f t="shared" si="44"/>
        <v>1506</v>
      </c>
      <c r="Q1455">
        <f t="shared" si="45"/>
        <v>-732.68382588367501</v>
      </c>
    </row>
    <row r="1456" spans="1:17" x14ac:dyDescent="0.4">
      <c r="A1456" t="s">
        <v>2877</v>
      </c>
      <c r="B1456" s="1">
        <v>45380.041666666664</v>
      </c>
      <c r="C1456" t="s">
        <v>22</v>
      </c>
      <c r="D1456" t="s">
        <v>2878</v>
      </c>
      <c r="E1456" t="s">
        <v>97</v>
      </c>
      <c r="F1456" t="s">
        <v>61</v>
      </c>
      <c r="G1456">
        <v>252</v>
      </c>
      <c r="H1456">
        <v>0</v>
      </c>
      <c r="I1456">
        <v>252</v>
      </c>
      <c r="J1456">
        <v>6</v>
      </c>
      <c r="K1456">
        <v>113.979893768926</v>
      </c>
      <c r="L1456">
        <v>1512</v>
      </c>
      <c r="M1456">
        <v>683.87936261355605</v>
      </c>
      <c r="N1456">
        <v>828.12063738644304</v>
      </c>
      <c r="O1456" t="s">
        <v>26</v>
      </c>
      <c r="P1456">
        <f t="shared" si="44"/>
        <v>1512</v>
      </c>
      <c r="Q1456">
        <f t="shared" si="45"/>
        <v>-828.12063738644395</v>
      </c>
    </row>
    <row r="1457" spans="1:17" x14ac:dyDescent="0.4">
      <c r="A1457" t="s">
        <v>2879</v>
      </c>
      <c r="B1457" s="1">
        <v>45718.583333333336</v>
      </c>
      <c r="C1457" t="s">
        <v>28</v>
      </c>
      <c r="D1457" t="s">
        <v>2880</v>
      </c>
      <c r="E1457" t="s">
        <v>30</v>
      </c>
      <c r="F1457" t="s">
        <v>31</v>
      </c>
      <c r="G1457">
        <v>262</v>
      </c>
      <c r="H1457">
        <v>0.15</v>
      </c>
      <c r="I1457">
        <v>222.7</v>
      </c>
      <c r="J1457">
        <v>6</v>
      </c>
      <c r="K1457">
        <v>191.53393231104999</v>
      </c>
      <c r="L1457">
        <v>1336.19999999999</v>
      </c>
      <c r="M1457">
        <v>1149.2035938663</v>
      </c>
      <c r="N1457">
        <v>186.99640613369399</v>
      </c>
      <c r="O1457" t="s">
        <v>32</v>
      </c>
      <c r="P1457">
        <f t="shared" si="44"/>
        <v>1572</v>
      </c>
      <c r="Q1457">
        <f t="shared" si="45"/>
        <v>-186.99640613369002</v>
      </c>
    </row>
    <row r="1458" spans="1:17" x14ac:dyDescent="0.4">
      <c r="A1458" t="s">
        <v>2881</v>
      </c>
      <c r="B1458" s="1">
        <v>45865.333333333336</v>
      </c>
      <c r="C1458" t="s">
        <v>16</v>
      </c>
      <c r="D1458" t="s">
        <v>2882</v>
      </c>
      <c r="E1458" t="s">
        <v>97</v>
      </c>
      <c r="F1458" t="s">
        <v>61</v>
      </c>
      <c r="G1458">
        <v>220</v>
      </c>
      <c r="H1458">
        <v>0.15</v>
      </c>
      <c r="I1458">
        <v>187</v>
      </c>
      <c r="J1458">
        <v>4</v>
      </c>
      <c r="K1458">
        <v>144.48399317603401</v>
      </c>
      <c r="L1458">
        <v>748</v>
      </c>
      <c r="M1458">
        <v>577.93597270413602</v>
      </c>
      <c r="N1458">
        <v>170.06402729586301</v>
      </c>
      <c r="O1458" t="s">
        <v>26</v>
      </c>
      <c r="P1458">
        <f t="shared" si="44"/>
        <v>880</v>
      </c>
      <c r="Q1458">
        <f t="shared" si="45"/>
        <v>-170.06402729586398</v>
      </c>
    </row>
    <row r="1459" spans="1:17" x14ac:dyDescent="0.4">
      <c r="A1459" t="s">
        <v>2883</v>
      </c>
      <c r="B1459" s="1">
        <v>45816.5</v>
      </c>
      <c r="C1459" t="s">
        <v>22</v>
      </c>
      <c r="D1459" t="s">
        <v>2884</v>
      </c>
      <c r="E1459" t="s">
        <v>213</v>
      </c>
      <c r="F1459" t="s">
        <v>31</v>
      </c>
      <c r="G1459">
        <v>105</v>
      </c>
      <c r="H1459">
        <v>0.1</v>
      </c>
      <c r="I1459">
        <v>94.5</v>
      </c>
      <c r="J1459">
        <v>3</v>
      </c>
      <c r="K1459">
        <v>63.360435673401597</v>
      </c>
      <c r="L1459">
        <v>283.5</v>
      </c>
      <c r="M1459">
        <v>190.08130702020401</v>
      </c>
      <c r="N1459">
        <v>93.418692979795196</v>
      </c>
      <c r="O1459" t="s">
        <v>32</v>
      </c>
      <c r="P1459">
        <f t="shared" si="44"/>
        <v>315</v>
      </c>
      <c r="Q1459">
        <f t="shared" si="45"/>
        <v>-93.418692979795992</v>
      </c>
    </row>
    <row r="1460" spans="1:17" x14ac:dyDescent="0.4">
      <c r="A1460" t="s">
        <v>2885</v>
      </c>
      <c r="B1460" s="1">
        <v>45432.583333333336</v>
      </c>
      <c r="C1460" t="s">
        <v>43</v>
      </c>
      <c r="D1460" t="s">
        <v>2886</v>
      </c>
      <c r="E1460" t="s">
        <v>37</v>
      </c>
      <c r="F1460" t="s">
        <v>38</v>
      </c>
      <c r="G1460">
        <v>117</v>
      </c>
      <c r="H1460">
        <v>0</v>
      </c>
      <c r="I1460">
        <v>117</v>
      </c>
      <c r="J1460">
        <v>5</v>
      </c>
      <c r="K1460">
        <v>74.347577959633199</v>
      </c>
      <c r="L1460">
        <v>585</v>
      </c>
      <c r="M1460">
        <v>371.73788979816601</v>
      </c>
      <c r="N1460">
        <v>213.262110201833</v>
      </c>
      <c r="O1460" t="s">
        <v>26</v>
      </c>
      <c r="P1460">
        <f t="shared" si="44"/>
        <v>585</v>
      </c>
      <c r="Q1460">
        <f t="shared" si="45"/>
        <v>-213.26211020183399</v>
      </c>
    </row>
    <row r="1461" spans="1:17" x14ac:dyDescent="0.4">
      <c r="A1461" t="s">
        <v>2887</v>
      </c>
      <c r="B1461" s="1">
        <v>45559.916666666664</v>
      </c>
      <c r="C1461" t="s">
        <v>65</v>
      </c>
      <c r="D1461" t="s">
        <v>2888</v>
      </c>
      <c r="E1461" t="s">
        <v>82</v>
      </c>
      <c r="F1461" t="s">
        <v>25</v>
      </c>
      <c r="G1461">
        <v>222</v>
      </c>
      <c r="H1461">
        <v>0</v>
      </c>
      <c r="I1461">
        <v>222</v>
      </c>
      <c r="J1461">
        <v>6</v>
      </c>
      <c r="K1461">
        <v>163.960699682316</v>
      </c>
      <c r="L1461">
        <v>1332</v>
      </c>
      <c r="M1461">
        <v>983.76419809390097</v>
      </c>
      <c r="N1461">
        <v>348.235801906098</v>
      </c>
      <c r="O1461" t="s">
        <v>32</v>
      </c>
      <c r="P1461">
        <f t="shared" si="44"/>
        <v>1332</v>
      </c>
      <c r="Q1461">
        <f t="shared" si="45"/>
        <v>-348.23580190609903</v>
      </c>
    </row>
    <row r="1462" spans="1:17" x14ac:dyDescent="0.4">
      <c r="A1462" t="s">
        <v>2889</v>
      </c>
      <c r="B1462" s="1">
        <v>45790.75</v>
      </c>
      <c r="C1462" t="s">
        <v>43</v>
      </c>
      <c r="D1462" t="s">
        <v>2890</v>
      </c>
      <c r="E1462" t="s">
        <v>115</v>
      </c>
      <c r="F1462" t="s">
        <v>38</v>
      </c>
      <c r="G1462">
        <v>236</v>
      </c>
      <c r="H1462">
        <v>0.05</v>
      </c>
      <c r="I1462">
        <v>224.2</v>
      </c>
      <c r="J1462">
        <v>5</v>
      </c>
      <c r="K1462">
        <v>102.551043784168</v>
      </c>
      <c r="L1462">
        <v>1121</v>
      </c>
      <c r="M1462">
        <v>512.755218920841</v>
      </c>
      <c r="N1462">
        <v>608.24478107915797</v>
      </c>
      <c r="O1462" t="s">
        <v>32</v>
      </c>
      <c r="P1462">
        <f t="shared" si="44"/>
        <v>1180</v>
      </c>
      <c r="Q1462">
        <f t="shared" si="45"/>
        <v>-608.244781079159</v>
      </c>
    </row>
    <row r="1463" spans="1:17" x14ac:dyDescent="0.4">
      <c r="A1463" t="s">
        <v>2891</v>
      </c>
      <c r="B1463" s="1">
        <v>45318.208333333336</v>
      </c>
      <c r="C1463" t="s">
        <v>43</v>
      </c>
      <c r="D1463" t="s">
        <v>2892</v>
      </c>
      <c r="E1463" t="s">
        <v>97</v>
      </c>
      <c r="F1463" t="s">
        <v>61</v>
      </c>
      <c r="G1463">
        <v>334</v>
      </c>
      <c r="H1463">
        <v>0.2</v>
      </c>
      <c r="I1463">
        <v>267.2</v>
      </c>
      <c r="J1463">
        <v>4</v>
      </c>
      <c r="K1463">
        <v>239.616188181994</v>
      </c>
      <c r="L1463">
        <v>1068.8</v>
      </c>
      <c r="M1463">
        <v>958.46475272797704</v>
      </c>
      <c r="N1463">
        <v>110.335247272022</v>
      </c>
      <c r="O1463" t="s">
        <v>26</v>
      </c>
      <c r="P1463">
        <f t="shared" si="44"/>
        <v>1336</v>
      </c>
      <c r="Q1463">
        <f t="shared" si="45"/>
        <v>-110.33524727202291</v>
      </c>
    </row>
    <row r="1464" spans="1:17" x14ac:dyDescent="0.4">
      <c r="A1464" t="s">
        <v>2893</v>
      </c>
      <c r="B1464" s="1">
        <v>45985.875</v>
      </c>
      <c r="C1464" t="s">
        <v>22</v>
      </c>
      <c r="D1464" t="s">
        <v>1969</v>
      </c>
      <c r="E1464" t="s">
        <v>69</v>
      </c>
      <c r="F1464" t="s">
        <v>70</v>
      </c>
      <c r="G1464">
        <v>348</v>
      </c>
      <c r="H1464">
        <v>0.15</v>
      </c>
      <c r="I1464">
        <v>295.8</v>
      </c>
      <c r="J1464">
        <v>3</v>
      </c>
      <c r="K1464">
        <v>216.99354975676999</v>
      </c>
      <c r="L1464">
        <v>887.4</v>
      </c>
      <c r="M1464">
        <v>650.98064927031101</v>
      </c>
      <c r="N1464">
        <v>236.41935072968801</v>
      </c>
      <c r="O1464" t="s">
        <v>32</v>
      </c>
      <c r="P1464">
        <f t="shared" si="44"/>
        <v>1044</v>
      </c>
      <c r="Q1464">
        <f t="shared" si="45"/>
        <v>-236.41935072968897</v>
      </c>
    </row>
    <row r="1465" spans="1:17" x14ac:dyDescent="0.4">
      <c r="A1465" t="s">
        <v>2894</v>
      </c>
      <c r="B1465" s="1">
        <v>45743.291666666664</v>
      </c>
      <c r="C1465" t="s">
        <v>65</v>
      </c>
      <c r="D1465" t="s">
        <v>2895</v>
      </c>
      <c r="E1465" t="s">
        <v>146</v>
      </c>
      <c r="F1465" t="s">
        <v>70</v>
      </c>
      <c r="G1465">
        <v>86</v>
      </c>
      <c r="H1465">
        <v>0.15</v>
      </c>
      <c r="I1465">
        <v>73.099999999999994</v>
      </c>
      <c r="J1465">
        <v>7</v>
      </c>
      <c r="K1465">
        <v>58.529898660522697</v>
      </c>
      <c r="L1465">
        <v>511.69999999999902</v>
      </c>
      <c r="M1465">
        <v>409.709290623659</v>
      </c>
      <c r="N1465">
        <v>101.99070937634001</v>
      </c>
      <c r="O1465" t="s">
        <v>32</v>
      </c>
      <c r="P1465">
        <f t="shared" si="44"/>
        <v>602</v>
      </c>
      <c r="Q1465">
        <f t="shared" si="45"/>
        <v>-101.99070937634002</v>
      </c>
    </row>
    <row r="1466" spans="1:17" x14ac:dyDescent="0.4">
      <c r="A1466" t="s">
        <v>2896</v>
      </c>
      <c r="B1466" s="1">
        <v>45530.5</v>
      </c>
      <c r="C1466" t="s">
        <v>43</v>
      </c>
      <c r="D1466" t="s">
        <v>2897</v>
      </c>
      <c r="E1466" t="s">
        <v>37</v>
      </c>
      <c r="F1466" t="s">
        <v>38</v>
      </c>
      <c r="G1466">
        <v>83</v>
      </c>
      <c r="H1466">
        <v>0.05</v>
      </c>
      <c r="I1466">
        <v>78.849999999999994</v>
      </c>
      <c r="J1466">
        <v>2</v>
      </c>
      <c r="K1466">
        <v>44.402278354065899</v>
      </c>
      <c r="L1466">
        <v>157.69999999999999</v>
      </c>
      <c r="M1466">
        <v>88.804556708131898</v>
      </c>
      <c r="N1466">
        <v>68.895443291868006</v>
      </c>
      <c r="O1466" t="s">
        <v>26</v>
      </c>
      <c r="P1466">
        <f t="shared" si="44"/>
        <v>166</v>
      </c>
      <c r="Q1466">
        <f t="shared" si="45"/>
        <v>-68.895443291868091</v>
      </c>
    </row>
    <row r="1467" spans="1:17" x14ac:dyDescent="0.4">
      <c r="A1467" t="s">
        <v>2898</v>
      </c>
      <c r="B1467" s="1">
        <v>45753.791666666664</v>
      </c>
      <c r="C1467" t="s">
        <v>65</v>
      </c>
      <c r="D1467" t="s">
        <v>2899</v>
      </c>
      <c r="E1467" t="s">
        <v>41</v>
      </c>
      <c r="F1467" t="s">
        <v>31</v>
      </c>
      <c r="G1467">
        <v>106</v>
      </c>
      <c r="H1467">
        <v>0.05</v>
      </c>
      <c r="I1467">
        <v>100.69999999999899</v>
      </c>
      <c r="J1467">
        <v>6</v>
      </c>
      <c r="K1467">
        <v>52.085578276116699</v>
      </c>
      <c r="L1467">
        <v>604.19999999999902</v>
      </c>
      <c r="M1467">
        <v>312.51346965670001</v>
      </c>
      <c r="N1467">
        <v>291.68653034329901</v>
      </c>
      <c r="O1467" t="s">
        <v>51</v>
      </c>
      <c r="P1467">
        <f t="shared" si="44"/>
        <v>636</v>
      </c>
      <c r="Q1467">
        <f t="shared" si="45"/>
        <v>-291.68653034329901</v>
      </c>
    </row>
    <row r="1468" spans="1:17" x14ac:dyDescent="0.4">
      <c r="A1468" t="s">
        <v>2900</v>
      </c>
      <c r="B1468" s="1">
        <v>45839.875</v>
      </c>
      <c r="C1468" t="s">
        <v>28</v>
      </c>
      <c r="D1468" t="s">
        <v>2901</v>
      </c>
      <c r="E1468" t="s">
        <v>85</v>
      </c>
      <c r="F1468" t="s">
        <v>70</v>
      </c>
      <c r="G1468">
        <v>100</v>
      </c>
      <c r="H1468">
        <v>0</v>
      </c>
      <c r="I1468">
        <v>100</v>
      </c>
      <c r="J1468">
        <v>1</v>
      </c>
      <c r="K1468">
        <v>65.235736375596304</v>
      </c>
      <c r="L1468">
        <v>100</v>
      </c>
      <c r="M1468">
        <v>65.235736375596304</v>
      </c>
      <c r="N1468">
        <v>34.764263624403597</v>
      </c>
      <c r="O1468" t="s">
        <v>51</v>
      </c>
      <c r="P1468">
        <f t="shared" si="44"/>
        <v>100</v>
      </c>
      <c r="Q1468">
        <f t="shared" si="45"/>
        <v>-34.764263624403696</v>
      </c>
    </row>
    <row r="1469" spans="1:17" x14ac:dyDescent="0.4">
      <c r="A1469" t="s">
        <v>2902</v>
      </c>
      <c r="B1469" s="1">
        <v>45686.666666666664</v>
      </c>
      <c r="C1469" t="s">
        <v>22</v>
      </c>
      <c r="D1469" t="s">
        <v>2430</v>
      </c>
      <c r="E1469" t="s">
        <v>37</v>
      </c>
      <c r="F1469" t="s">
        <v>38</v>
      </c>
      <c r="G1469">
        <v>115</v>
      </c>
      <c r="H1469">
        <v>0</v>
      </c>
      <c r="I1469">
        <v>115</v>
      </c>
      <c r="J1469">
        <v>1</v>
      </c>
      <c r="K1469">
        <v>65.280705197269199</v>
      </c>
      <c r="L1469">
        <v>115</v>
      </c>
      <c r="M1469">
        <v>65.280705197269199</v>
      </c>
      <c r="N1469">
        <v>49.719294802730701</v>
      </c>
      <c r="O1469" t="s">
        <v>20</v>
      </c>
      <c r="P1469">
        <f t="shared" si="44"/>
        <v>115</v>
      </c>
      <c r="Q1469">
        <f t="shared" si="45"/>
        <v>-49.719294802730801</v>
      </c>
    </row>
    <row r="1470" spans="1:17" x14ac:dyDescent="0.4">
      <c r="A1470" t="s">
        <v>2903</v>
      </c>
      <c r="B1470" s="1">
        <v>45553.5</v>
      </c>
      <c r="C1470" t="s">
        <v>22</v>
      </c>
      <c r="D1470" t="s">
        <v>2904</v>
      </c>
      <c r="E1470" t="s">
        <v>85</v>
      </c>
      <c r="F1470" t="s">
        <v>70</v>
      </c>
      <c r="G1470">
        <v>175</v>
      </c>
      <c r="H1470">
        <v>0</v>
      </c>
      <c r="I1470">
        <v>175</v>
      </c>
      <c r="J1470">
        <v>4</v>
      </c>
      <c r="K1470">
        <v>75.858476722805406</v>
      </c>
      <c r="L1470">
        <v>700</v>
      </c>
      <c r="M1470">
        <v>303.433906891221</v>
      </c>
      <c r="N1470">
        <v>396.56609310877798</v>
      </c>
      <c r="O1470" t="s">
        <v>32</v>
      </c>
      <c r="P1470">
        <f t="shared" si="44"/>
        <v>700</v>
      </c>
      <c r="Q1470">
        <f t="shared" si="45"/>
        <v>-396.566093108779</v>
      </c>
    </row>
    <row r="1471" spans="1:17" x14ac:dyDescent="0.4">
      <c r="A1471" t="s">
        <v>2905</v>
      </c>
      <c r="B1471" s="1">
        <v>45943.458333333336</v>
      </c>
      <c r="C1471" t="s">
        <v>46</v>
      </c>
      <c r="D1471" t="s">
        <v>2906</v>
      </c>
      <c r="E1471" t="s">
        <v>73</v>
      </c>
      <c r="F1471" t="s">
        <v>38</v>
      </c>
      <c r="G1471">
        <v>295</v>
      </c>
      <c r="H1471">
        <v>0.1</v>
      </c>
      <c r="I1471">
        <v>265.5</v>
      </c>
      <c r="J1471">
        <v>1</v>
      </c>
      <c r="K1471">
        <v>176.62935055953301</v>
      </c>
      <c r="L1471">
        <v>265.5</v>
      </c>
      <c r="M1471">
        <v>176.62935055953301</v>
      </c>
      <c r="N1471">
        <v>88.870649440466593</v>
      </c>
      <c r="O1471" t="s">
        <v>32</v>
      </c>
      <c r="P1471">
        <f t="shared" si="44"/>
        <v>295</v>
      </c>
      <c r="Q1471">
        <f t="shared" si="45"/>
        <v>-88.870649440466991</v>
      </c>
    </row>
    <row r="1472" spans="1:17" x14ac:dyDescent="0.4">
      <c r="A1472" t="s">
        <v>2907</v>
      </c>
      <c r="B1472" s="1">
        <v>45537.625</v>
      </c>
      <c r="C1472" t="s">
        <v>65</v>
      </c>
      <c r="D1472" t="s">
        <v>2908</v>
      </c>
      <c r="E1472" t="s">
        <v>48</v>
      </c>
      <c r="F1472" t="s">
        <v>19</v>
      </c>
      <c r="G1472">
        <v>239</v>
      </c>
      <c r="H1472">
        <v>0</v>
      </c>
      <c r="I1472">
        <v>239</v>
      </c>
      <c r="J1472">
        <v>7</v>
      </c>
      <c r="K1472">
        <v>119.44857312338701</v>
      </c>
      <c r="L1472">
        <v>1673</v>
      </c>
      <c r="M1472">
        <v>836.14001186371195</v>
      </c>
      <c r="N1472">
        <v>836.85998813628703</v>
      </c>
      <c r="O1472" t="s">
        <v>32</v>
      </c>
      <c r="P1472">
        <f t="shared" si="44"/>
        <v>1673</v>
      </c>
      <c r="Q1472">
        <f t="shared" si="45"/>
        <v>-836.85998813628805</v>
      </c>
    </row>
    <row r="1473" spans="1:17" x14ac:dyDescent="0.4">
      <c r="A1473" t="s">
        <v>2909</v>
      </c>
      <c r="B1473" s="1">
        <v>45875.083333333336</v>
      </c>
      <c r="C1473" t="s">
        <v>46</v>
      </c>
      <c r="D1473" t="s">
        <v>2910</v>
      </c>
      <c r="E1473" t="s">
        <v>115</v>
      </c>
      <c r="F1473" t="s">
        <v>38</v>
      </c>
      <c r="G1473">
        <v>168</v>
      </c>
      <c r="H1473">
        <v>0</v>
      </c>
      <c r="I1473">
        <v>168</v>
      </c>
      <c r="J1473">
        <v>2</v>
      </c>
      <c r="K1473">
        <v>81.743866663228602</v>
      </c>
      <c r="L1473">
        <v>336</v>
      </c>
      <c r="M1473">
        <v>163.487733326457</v>
      </c>
      <c r="N1473">
        <v>172.512266673542</v>
      </c>
      <c r="O1473" t="s">
        <v>20</v>
      </c>
      <c r="P1473">
        <f t="shared" si="44"/>
        <v>336</v>
      </c>
      <c r="Q1473">
        <f t="shared" si="45"/>
        <v>-172.512266673543</v>
      </c>
    </row>
    <row r="1474" spans="1:17" x14ac:dyDescent="0.4">
      <c r="A1474" t="s">
        <v>2911</v>
      </c>
      <c r="B1474" s="1">
        <v>45731.666666666664</v>
      </c>
      <c r="C1474" t="s">
        <v>22</v>
      </c>
      <c r="D1474" t="s">
        <v>2912</v>
      </c>
      <c r="E1474" t="s">
        <v>48</v>
      </c>
      <c r="F1474" t="s">
        <v>19</v>
      </c>
      <c r="G1474">
        <v>303</v>
      </c>
      <c r="H1474">
        <v>0.1</v>
      </c>
      <c r="I1474">
        <v>272.7</v>
      </c>
      <c r="J1474">
        <v>6</v>
      </c>
      <c r="K1474">
        <v>157.95459561422601</v>
      </c>
      <c r="L1474">
        <v>1636.19999999999</v>
      </c>
      <c r="M1474">
        <v>947.72757368535804</v>
      </c>
      <c r="N1474">
        <v>688.47242631464098</v>
      </c>
      <c r="O1474" t="s">
        <v>20</v>
      </c>
      <c r="P1474">
        <f t="shared" si="44"/>
        <v>1818</v>
      </c>
      <c r="Q1474">
        <f t="shared" si="45"/>
        <v>-688.472426314632</v>
      </c>
    </row>
    <row r="1475" spans="1:17" x14ac:dyDescent="0.4">
      <c r="A1475" t="s">
        <v>2913</v>
      </c>
      <c r="B1475" s="1">
        <v>45998.625</v>
      </c>
      <c r="C1475" t="s">
        <v>22</v>
      </c>
      <c r="D1475" t="s">
        <v>2914</v>
      </c>
      <c r="E1475" t="s">
        <v>146</v>
      </c>
      <c r="F1475" t="s">
        <v>70</v>
      </c>
      <c r="G1475">
        <v>110</v>
      </c>
      <c r="H1475">
        <v>0</v>
      </c>
      <c r="I1475">
        <v>110</v>
      </c>
      <c r="J1475">
        <v>7</v>
      </c>
      <c r="K1475">
        <v>66.440470405893606</v>
      </c>
      <c r="L1475">
        <v>770</v>
      </c>
      <c r="M1475">
        <v>465.083292841255</v>
      </c>
      <c r="N1475">
        <v>304.91670715874398</v>
      </c>
      <c r="O1475" t="s">
        <v>32</v>
      </c>
      <c r="P1475">
        <f t="shared" ref="P1475:P1538" si="46">G1475 * J1475</f>
        <v>770</v>
      </c>
      <c r="Q1475">
        <f t="shared" ref="Q1475:Q1538" si="47" xml:space="preserve"> M1475 - L1475</f>
        <v>-304.916707158745</v>
      </c>
    </row>
    <row r="1476" spans="1:17" x14ac:dyDescent="0.4">
      <c r="A1476" t="s">
        <v>2915</v>
      </c>
      <c r="B1476" s="1">
        <v>45546.125</v>
      </c>
      <c r="C1476" t="s">
        <v>28</v>
      </c>
      <c r="D1476" t="s">
        <v>2916</v>
      </c>
      <c r="E1476" t="s">
        <v>37</v>
      </c>
      <c r="F1476" t="s">
        <v>38</v>
      </c>
      <c r="G1476">
        <v>327</v>
      </c>
      <c r="H1476">
        <v>0.2</v>
      </c>
      <c r="I1476">
        <v>261.60000000000002</v>
      </c>
      <c r="J1476">
        <v>5</v>
      </c>
      <c r="K1476">
        <v>149.91774672631101</v>
      </c>
      <c r="L1476">
        <v>1308</v>
      </c>
      <c r="M1476">
        <v>749.58873363155499</v>
      </c>
      <c r="N1476">
        <v>558.41126636844399</v>
      </c>
      <c r="O1476" t="s">
        <v>32</v>
      </c>
      <c r="P1476">
        <f t="shared" si="46"/>
        <v>1635</v>
      </c>
      <c r="Q1476">
        <f t="shared" si="47"/>
        <v>-558.41126636844501</v>
      </c>
    </row>
    <row r="1477" spans="1:17" x14ac:dyDescent="0.4">
      <c r="A1477" t="s">
        <v>2917</v>
      </c>
      <c r="B1477" s="1">
        <v>45687.791666666664</v>
      </c>
      <c r="C1477" t="s">
        <v>43</v>
      </c>
      <c r="D1477" t="s">
        <v>2918</v>
      </c>
      <c r="E1477" t="s">
        <v>110</v>
      </c>
      <c r="F1477" t="s">
        <v>19</v>
      </c>
      <c r="G1477">
        <v>213</v>
      </c>
      <c r="H1477">
        <v>0.1</v>
      </c>
      <c r="I1477">
        <v>191.7</v>
      </c>
      <c r="J1477">
        <v>4</v>
      </c>
      <c r="K1477">
        <v>148.274251616622</v>
      </c>
      <c r="L1477">
        <v>766.8</v>
      </c>
      <c r="M1477">
        <v>593.09700646649003</v>
      </c>
      <c r="N1477">
        <v>173.70299353350899</v>
      </c>
      <c r="O1477" t="s">
        <v>20</v>
      </c>
      <c r="P1477">
        <f t="shared" si="46"/>
        <v>852</v>
      </c>
      <c r="Q1477">
        <f t="shared" si="47"/>
        <v>-173.70299353350993</v>
      </c>
    </row>
    <row r="1478" spans="1:17" x14ac:dyDescent="0.4">
      <c r="A1478" t="s">
        <v>2919</v>
      </c>
      <c r="B1478" s="1">
        <v>45424.416666666664</v>
      </c>
      <c r="C1478" t="s">
        <v>46</v>
      </c>
      <c r="D1478" t="s">
        <v>2920</v>
      </c>
      <c r="E1478" t="s">
        <v>37</v>
      </c>
      <c r="F1478" t="s">
        <v>38</v>
      </c>
      <c r="G1478">
        <v>299</v>
      </c>
      <c r="H1478">
        <v>0</v>
      </c>
      <c r="I1478">
        <v>299</v>
      </c>
      <c r="J1478">
        <v>4</v>
      </c>
      <c r="K1478">
        <v>204.783422939096</v>
      </c>
      <c r="L1478">
        <v>1196</v>
      </c>
      <c r="M1478">
        <v>819.13369175638695</v>
      </c>
      <c r="N1478">
        <v>376.86630824361202</v>
      </c>
      <c r="O1478" t="s">
        <v>26</v>
      </c>
      <c r="P1478">
        <f t="shared" si="46"/>
        <v>1196</v>
      </c>
      <c r="Q1478">
        <f t="shared" si="47"/>
        <v>-376.86630824361305</v>
      </c>
    </row>
    <row r="1479" spans="1:17" x14ac:dyDescent="0.4">
      <c r="A1479" t="s">
        <v>2921</v>
      </c>
      <c r="B1479" s="1">
        <v>45546.833333333336</v>
      </c>
      <c r="C1479" t="s">
        <v>46</v>
      </c>
      <c r="D1479" t="s">
        <v>2922</v>
      </c>
      <c r="E1479" t="s">
        <v>41</v>
      </c>
      <c r="F1479" t="s">
        <v>31</v>
      </c>
      <c r="G1479">
        <v>299</v>
      </c>
      <c r="H1479">
        <v>0</v>
      </c>
      <c r="I1479">
        <v>299</v>
      </c>
      <c r="J1479">
        <v>1</v>
      </c>
      <c r="K1479">
        <v>130.976394718086</v>
      </c>
      <c r="L1479">
        <v>299</v>
      </c>
      <c r="M1479">
        <v>130.976394718086</v>
      </c>
      <c r="N1479">
        <v>168.02360528191301</v>
      </c>
      <c r="O1479" t="s">
        <v>32</v>
      </c>
      <c r="P1479">
        <f t="shared" si="46"/>
        <v>299</v>
      </c>
      <c r="Q1479">
        <f t="shared" si="47"/>
        <v>-168.023605281914</v>
      </c>
    </row>
    <row r="1480" spans="1:17" x14ac:dyDescent="0.4">
      <c r="A1480" t="s">
        <v>2923</v>
      </c>
      <c r="B1480" s="1">
        <v>45940.458333333336</v>
      </c>
      <c r="C1480" t="s">
        <v>28</v>
      </c>
      <c r="D1480" t="s">
        <v>2924</v>
      </c>
      <c r="E1480" t="s">
        <v>69</v>
      </c>
      <c r="F1480" t="s">
        <v>70</v>
      </c>
      <c r="G1480">
        <v>122</v>
      </c>
      <c r="H1480">
        <v>0</v>
      </c>
      <c r="I1480">
        <v>122</v>
      </c>
      <c r="J1480">
        <v>3</v>
      </c>
      <c r="K1480">
        <v>68.313061356115796</v>
      </c>
      <c r="L1480">
        <v>366</v>
      </c>
      <c r="M1480">
        <v>204.939184068347</v>
      </c>
      <c r="N1480">
        <v>161.060815931652</v>
      </c>
      <c r="O1480" t="s">
        <v>32</v>
      </c>
      <c r="P1480">
        <f t="shared" si="46"/>
        <v>366</v>
      </c>
      <c r="Q1480">
        <f t="shared" si="47"/>
        <v>-161.060815931653</v>
      </c>
    </row>
    <row r="1481" spans="1:17" x14ac:dyDescent="0.4">
      <c r="A1481" t="s">
        <v>2925</v>
      </c>
      <c r="B1481" s="1">
        <v>45440.666666666664</v>
      </c>
      <c r="C1481" t="s">
        <v>43</v>
      </c>
      <c r="D1481" t="s">
        <v>50</v>
      </c>
      <c r="E1481" t="s">
        <v>18</v>
      </c>
      <c r="F1481" t="s">
        <v>19</v>
      </c>
      <c r="G1481">
        <v>286</v>
      </c>
      <c r="H1481">
        <v>0.1</v>
      </c>
      <c r="I1481">
        <v>257.39999999999998</v>
      </c>
      <c r="J1481">
        <v>2</v>
      </c>
      <c r="K1481">
        <v>206.08664209828501</v>
      </c>
      <c r="L1481">
        <v>514.79999999999995</v>
      </c>
      <c r="M1481">
        <v>412.17328419657099</v>
      </c>
      <c r="N1481">
        <v>102.626715803428</v>
      </c>
      <c r="O1481" t="s">
        <v>32</v>
      </c>
      <c r="P1481">
        <f t="shared" si="46"/>
        <v>572</v>
      </c>
      <c r="Q1481">
        <f t="shared" si="47"/>
        <v>-102.62671580342897</v>
      </c>
    </row>
    <row r="1482" spans="1:17" x14ac:dyDescent="0.4">
      <c r="A1482" t="s">
        <v>2926</v>
      </c>
      <c r="B1482" s="1">
        <v>45702.291666666664</v>
      </c>
      <c r="C1482" t="s">
        <v>65</v>
      </c>
      <c r="D1482" t="s">
        <v>2927</v>
      </c>
      <c r="E1482" t="s">
        <v>73</v>
      </c>
      <c r="F1482" t="s">
        <v>38</v>
      </c>
      <c r="G1482">
        <v>120</v>
      </c>
      <c r="H1482">
        <v>0</v>
      </c>
      <c r="I1482">
        <v>120</v>
      </c>
      <c r="J1482">
        <v>4</v>
      </c>
      <c r="K1482">
        <v>86.098931605565497</v>
      </c>
      <c r="L1482">
        <v>480</v>
      </c>
      <c r="M1482">
        <v>344.39572642226199</v>
      </c>
      <c r="N1482">
        <v>135.60427357773699</v>
      </c>
      <c r="O1482" t="s">
        <v>51</v>
      </c>
      <c r="P1482">
        <f t="shared" si="46"/>
        <v>480</v>
      </c>
      <c r="Q1482">
        <f t="shared" si="47"/>
        <v>-135.60427357773801</v>
      </c>
    </row>
    <row r="1483" spans="1:17" x14ac:dyDescent="0.4">
      <c r="A1483" t="s">
        <v>2928</v>
      </c>
      <c r="B1483" s="1">
        <v>45880.958333333336</v>
      </c>
      <c r="C1483" t="s">
        <v>43</v>
      </c>
      <c r="D1483" t="s">
        <v>2929</v>
      </c>
      <c r="E1483" t="s">
        <v>37</v>
      </c>
      <c r="F1483" t="s">
        <v>38</v>
      </c>
      <c r="G1483">
        <v>257</v>
      </c>
      <c r="H1483">
        <v>0</v>
      </c>
      <c r="I1483">
        <v>257</v>
      </c>
      <c r="J1483">
        <v>2</v>
      </c>
      <c r="K1483">
        <v>130.33002487954499</v>
      </c>
      <c r="L1483">
        <v>514</v>
      </c>
      <c r="M1483">
        <v>260.66004975908999</v>
      </c>
      <c r="N1483">
        <v>253.33995024090899</v>
      </c>
      <c r="O1483" t="s">
        <v>32</v>
      </c>
      <c r="P1483">
        <f t="shared" si="46"/>
        <v>514</v>
      </c>
      <c r="Q1483">
        <f t="shared" si="47"/>
        <v>-253.33995024091001</v>
      </c>
    </row>
    <row r="1484" spans="1:17" x14ac:dyDescent="0.4">
      <c r="A1484" t="s">
        <v>2930</v>
      </c>
      <c r="B1484" s="1">
        <v>45364.583333333336</v>
      </c>
      <c r="C1484" t="s">
        <v>22</v>
      </c>
      <c r="D1484" t="s">
        <v>2931</v>
      </c>
      <c r="E1484" t="s">
        <v>18</v>
      </c>
      <c r="F1484" t="s">
        <v>19</v>
      </c>
      <c r="G1484">
        <v>184</v>
      </c>
      <c r="H1484">
        <v>0.05</v>
      </c>
      <c r="I1484">
        <v>174.79999999999899</v>
      </c>
      <c r="J1484">
        <v>4</v>
      </c>
      <c r="K1484">
        <v>110.316177178982</v>
      </c>
      <c r="L1484">
        <v>699.19999999999902</v>
      </c>
      <c r="M1484">
        <v>441.26470871592801</v>
      </c>
      <c r="N1484">
        <v>257.93529128407101</v>
      </c>
      <c r="O1484" t="s">
        <v>20</v>
      </c>
      <c r="P1484">
        <f t="shared" si="46"/>
        <v>736</v>
      </c>
      <c r="Q1484">
        <f t="shared" si="47"/>
        <v>-257.93529128407101</v>
      </c>
    </row>
    <row r="1485" spans="1:17" x14ac:dyDescent="0.4">
      <c r="A1485" t="s">
        <v>2932</v>
      </c>
      <c r="B1485" s="1">
        <v>45317.791666666664</v>
      </c>
      <c r="C1485" t="s">
        <v>65</v>
      </c>
      <c r="D1485" t="s">
        <v>2933</v>
      </c>
      <c r="E1485" t="s">
        <v>69</v>
      </c>
      <c r="F1485" t="s">
        <v>70</v>
      </c>
      <c r="G1485">
        <v>85</v>
      </c>
      <c r="H1485">
        <v>0.1</v>
      </c>
      <c r="I1485">
        <v>76.5</v>
      </c>
      <c r="J1485">
        <v>1</v>
      </c>
      <c r="K1485">
        <v>39.550274824131101</v>
      </c>
      <c r="L1485">
        <v>76.5</v>
      </c>
      <c r="M1485">
        <v>39.550274824131101</v>
      </c>
      <c r="N1485">
        <v>36.949725175868799</v>
      </c>
      <c r="O1485" t="s">
        <v>32</v>
      </c>
      <c r="P1485">
        <f t="shared" si="46"/>
        <v>85</v>
      </c>
      <c r="Q1485">
        <f t="shared" si="47"/>
        <v>-36.949725175868899</v>
      </c>
    </row>
    <row r="1486" spans="1:17" x14ac:dyDescent="0.4">
      <c r="A1486" t="s">
        <v>2934</v>
      </c>
      <c r="B1486" s="1">
        <v>46014.5</v>
      </c>
      <c r="C1486" t="s">
        <v>22</v>
      </c>
      <c r="D1486" t="s">
        <v>2935</v>
      </c>
      <c r="E1486" t="s">
        <v>85</v>
      </c>
      <c r="F1486" t="s">
        <v>70</v>
      </c>
      <c r="G1486">
        <v>174</v>
      </c>
      <c r="H1486">
        <v>0.2</v>
      </c>
      <c r="I1486">
        <v>139.19999999999999</v>
      </c>
      <c r="J1486">
        <v>1</v>
      </c>
      <c r="K1486">
        <v>80.148101113278599</v>
      </c>
      <c r="L1486">
        <v>139.19999999999999</v>
      </c>
      <c r="M1486">
        <v>80.148101113278599</v>
      </c>
      <c r="N1486">
        <v>59.051898886721297</v>
      </c>
      <c r="O1486" t="s">
        <v>51</v>
      </c>
      <c r="P1486">
        <f t="shared" si="46"/>
        <v>174</v>
      </c>
      <c r="Q1486">
        <f t="shared" si="47"/>
        <v>-59.051898886721389</v>
      </c>
    </row>
    <row r="1487" spans="1:17" x14ac:dyDescent="0.4">
      <c r="A1487" t="s">
        <v>2936</v>
      </c>
      <c r="B1487" s="1">
        <v>45372.791666666664</v>
      </c>
      <c r="C1487" t="s">
        <v>22</v>
      </c>
      <c r="D1487" t="s">
        <v>2937</v>
      </c>
      <c r="E1487" t="s">
        <v>41</v>
      </c>
      <c r="F1487" t="s">
        <v>31</v>
      </c>
      <c r="G1487">
        <v>201</v>
      </c>
      <c r="H1487">
        <v>0.15</v>
      </c>
      <c r="I1487">
        <v>170.85</v>
      </c>
      <c r="J1487">
        <v>2</v>
      </c>
      <c r="K1487">
        <v>103.291216297533</v>
      </c>
      <c r="L1487">
        <v>341.7</v>
      </c>
      <c r="M1487">
        <v>206.582432595066</v>
      </c>
      <c r="N1487">
        <v>135.117567404933</v>
      </c>
      <c r="O1487" t="s">
        <v>32</v>
      </c>
      <c r="P1487">
        <f t="shared" si="46"/>
        <v>402</v>
      </c>
      <c r="Q1487">
        <f t="shared" si="47"/>
        <v>-135.11756740493399</v>
      </c>
    </row>
    <row r="1488" spans="1:17" x14ac:dyDescent="0.4">
      <c r="A1488" t="s">
        <v>2938</v>
      </c>
      <c r="B1488" s="1">
        <v>45958.708333333336</v>
      </c>
      <c r="C1488" t="s">
        <v>46</v>
      </c>
      <c r="D1488" t="s">
        <v>2939</v>
      </c>
      <c r="E1488" t="s">
        <v>94</v>
      </c>
      <c r="F1488" t="s">
        <v>61</v>
      </c>
      <c r="G1488">
        <v>91</v>
      </c>
      <c r="H1488">
        <v>0.05</v>
      </c>
      <c r="I1488">
        <v>86.45</v>
      </c>
      <c r="J1488">
        <v>7</v>
      </c>
      <c r="K1488">
        <v>45.925198261041601</v>
      </c>
      <c r="L1488">
        <v>605.15</v>
      </c>
      <c r="M1488">
        <v>321.47638782729098</v>
      </c>
      <c r="N1488">
        <v>283.67361217270798</v>
      </c>
      <c r="O1488" t="s">
        <v>26</v>
      </c>
      <c r="P1488">
        <f t="shared" si="46"/>
        <v>637</v>
      </c>
      <c r="Q1488">
        <f t="shared" si="47"/>
        <v>-283.673612172709</v>
      </c>
    </row>
    <row r="1489" spans="1:17" x14ac:dyDescent="0.4">
      <c r="A1489" t="s">
        <v>2940</v>
      </c>
      <c r="B1489" s="1">
        <v>45332.333333333336</v>
      </c>
      <c r="C1489" t="s">
        <v>46</v>
      </c>
      <c r="D1489" t="s">
        <v>2941</v>
      </c>
      <c r="E1489" t="s">
        <v>73</v>
      </c>
      <c r="F1489" t="s">
        <v>38</v>
      </c>
      <c r="G1489">
        <v>101</v>
      </c>
      <c r="H1489">
        <v>0.05</v>
      </c>
      <c r="I1489">
        <v>95.949999999999903</v>
      </c>
      <c r="J1489">
        <v>3</v>
      </c>
      <c r="K1489">
        <v>47.244941587190503</v>
      </c>
      <c r="L1489">
        <v>287.849999999999</v>
      </c>
      <c r="M1489">
        <v>141.73482476157099</v>
      </c>
      <c r="N1489">
        <v>146.11517523842801</v>
      </c>
      <c r="O1489" t="s">
        <v>20</v>
      </c>
      <c r="P1489">
        <f t="shared" si="46"/>
        <v>303</v>
      </c>
      <c r="Q1489">
        <f t="shared" si="47"/>
        <v>-146.11517523842801</v>
      </c>
    </row>
    <row r="1490" spans="1:17" x14ac:dyDescent="0.4">
      <c r="A1490" t="s">
        <v>2942</v>
      </c>
      <c r="B1490" s="1">
        <v>45910.583333333336</v>
      </c>
      <c r="C1490" t="s">
        <v>16</v>
      </c>
      <c r="D1490" t="s">
        <v>2943</v>
      </c>
      <c r="E1490" t="s">
        <v>110</v>
      </c>
      <c r="F1490" t="s">
        <v>19</v>
      </c>
      <c r="G1490">
        <v>292</v>
      </c>
      <c r="H1490">
        <v>0</v>
      </c>
      <c r="I1490">
        <v>292</v>
      </c>
      <c r="J1490">
        <v>6</v>
      </c>
      <c r="K1490">
        <v>208.50228909225001</v>
      </c>
      <c r="L1490">
        <v>1752</v>
      </c>
      <c r="M1490">
        <v>1251.0137345534999</v>
      </c>
      <c r="N1490">
        <v>500.98626544649801</v>
      </c>
      <c r="O1490" t="s">
        <v>32</v>
      </c>
      <c r="P1490">
        <f t="shared" si="46"/>
        <v>1752</v>
      </c>
      <c r="Q1490">
        <f t="shared" si="47"/>
        <v>-500.98626544650006</v>
      </c>
    </row>
    <row r="1491" spans="1:17" x14ac:dyDescent="0.4">
      <c r="A1491" t="s">
        <v>2944</v>
      </c>
      <c r="B1491" s="1">
        <v>45303.708333333336</v>
      </c>
      <c r="C1491" t="s">
        <v>46</v>
      </c>
      <c r="D1491" t="s">
        <v>2945</v>
      </c>
      <c r="E1491" t="s">
        <v>97</v>
      </c>
      <c r="F1491" t="s">
        <v>61</v>
      </c>
      <c r="G1491">
        <v>96</v>
      </c>
      <c r="H1491">
        <v>0</v>
      </c>
      <c r="I1491">
        <v>96</v>
      </c>
      <c r="J1491">
        <v>6</v>
      </c>
      <c r="K1491">
        <v>52.851973993218401</v>
      </c>
      <c r="L1491">
        <v>576</v>
      </c>
      <c r="M1491">
        <v>317.11184395931002</v>
      </c>
      <c r="N1491">
        <v>258.88815604068901</v>
      </c>
      <c r="O1491" t="s">
        <v>26</v>
      </c>
      <c r="P1491">
        <f t="shared" si="46"/>
        <v>576</v>
      </c>
      <c r="Q1491">
        <f t="shared" si="47"/>
        <v>-258.88815604068998</v>
      </c>
    </row>
    <row r="1492" spans="1:17" x14ac:dyDescent="0.4">
      <c r="A1492" t="s">
        <v>2946</v>
      </c>
      <c r="B1492" s="1">
        <v>45932</v>
      </c>
      <c r="C1492" t="s">
        <v>43</v>
      </c>
      <c r="D1492" t="s">
        <v>2947</v>
      </c>
      <c r="E1492" t="s">
        <v>18</v>
      </c>
      <c r="F1492" t="s">
        <v>19</v>
      </c>
      <c r="G1492">
        <v>196</v>
      </c>
      <c r="H1492">
        <v>0.15</v>
      </c>
      <c r="I1492">
        <v>166.6</v>
      </c>
      <c r="J1492">
        <v>7</v>
      </c>
      <c r="K1492">
        <v>106.776030182394</v>
      </c>
      <c r="L1492">
        <v>1166.2</v>
      </c>
      <c r="M1492">
        <v>747.43221127675997</v>
      </c>
      <c r="N1492">
        <v>418.76778872323899</v>
      </c>
      <c r="O1492" t="s">
        <v>51</v>
      </c>
      <c r="P1492">
        <f t="shared" si="46"/>
        <v>1372</v>
      </c>
      <c r="Q1492">
        <f t="shared" si="47"/>
        <v>-418.76778872324007</v>
      </c>
    </row>
    <row r="1493" spans="1:17" x14ac:dyDescent="0.4">
      <c r="A1493" t="s">
        <v>2948</v>
      </c>
      <c r="B1493" s="1">
        <v>45552.916666666664</v>
      </c>
      <c r="C1493" t="s">
        <v>46</v>
      </c>
      <c r="D1493" t="s">
        <v>1663</v>
      </c>
      <c r="E1493" t="s">
        <v>110</v>
      </c>
      <c r="F1493" t="s">
        <v>19</v>
      </c>
      <c r="G1493">
        <v>176</v>
      </c>
      <c r="H1493">
        <v>0</v>
      </c>
      <c r="I1493">
        <v>176</v>
      </c>
      <c r="J1493">
        <v>5</v>
      </c>
      <c r="K1493">
        <v>116.244055045053</v>
      </c>
      <c r="L1493">
        <v>880</v>
      </c>
      <c r="M1493">
        <v>581.22027522526605</v>
      </c>
      <c r="N1493">
        <v>298.77972477473298</v>
      </c>
      <c r="O1493" t="s">
        <v>32</v>
      </c>
      <c r="P1493">
        <f t="shared" si="46"/>
        <v>880</v>
      </c>
      <c r="Q1493">
        <f t="shared" si="47"/>
        <v>-298.77972477473395</v>
      </c>
    </row>
    <row r="1494" spans="1:17" x14ac:dyDescent="0.4">
      <c r="A1494" t="s">
        <v>2949</v>
      </c>
      <c r="B1494" s="1">
        <v>45336.083333333336</v>
      </c>
      <c r="C1494" t="s">
        <v>22</v>
      </c>
      <c r="D1494" t="s">
        <v>2950</v>
      </c>
      <c r="E1494" t="s">
        <v>146</v>
      </c>
      <c r="F1494" t="s">
        <v>70</v>
      </c>
      <c r="G1494">
        <v>181</v>
      </c>
      <c r="H1494">
        <v>0</v>
      </c>
      <c r="I1494">
        <v>181</v>
      </c>
      <c r="J1494">
        <v>3</v>
      </c>
      <c r="K1494">
        <v>110.198595154172</v>
      </c>
      <c r="L1494">
        <v>543</v>
      </c>
      <c r="M1494">
        <v>330.59578546251799</v>
      </c>
      <c r="N1494">
        <v>212.40421453748101</v>
      </c>
      <c r="O1494" t="s">
        <v>32</v>
      </c>
      <c r="P1494">
        <f t="shared" si="46"/>
        <v>543</v>
      </c>
      <c r="Q1494">
        <f t="shared" si="47"/>
        <v>-212.40421453748201</v>
      </c>
    </row>
    <row r="1495" spans="1:17" x14ac:dyDescent="0.4">
      <c r="A1495" t="s">
        <v>2951</v>
      </c>
      <c r="B1495" s="1">
        <v>45738.833333333336</v>
      </c>
      <c r="C1495" t="s">
        <v>28</v>
      </c>
      <c r="D1495" t="s">
        <v>2952</v>
      </c>
      <c r="E1495" t="s">
        <v>30</v>
      </c>
      <c r="F1495" t="s">
        <v>31</v>
      </c>
      <c r="G1495">
        <v>268</v>
      </c>
      <c r="H1495">
        <v>0</v>
      </c>
      <c r="I1495">
        <v>268</v>
      </c>
      <c r="J1495">
        <v>4</v>
      </c>
      <c r="K1495">
        <v>123.95342189455801</v>
      </c>
      <c r="L1495">
        <v>1072</v>
      </c>
      <c r="M1495">
        <v>495.81368757823401</v>
      </c>
      <c r="N1495">
        <v>576.18631242176502</v>
      </c>
      <c r="O1495" t="s">
        <v>32</v>
      </c>
      <c r="P1495">
        <f t="shared" si="46"/>
        <v>1072</v>
      </c>
      <c r="Q1495">
        <f t="shared" si="47"/>
        <v>-576.18631242176593</v>
      </c>
    </row>
    <row r="1496" spans="1:17" x14ac:dyDescent="0.4">
      <c r="A1496" t="s">
        <v>2953</v>
      </c>
      <c r="B1496" s="1">
        <v>45507.75</v>
      </c>
      <c r="C1496" t="s">
        <v>16</v>
      </c>
      <c r="D1496" t="s">
        <v>2954</v>
      </c>
      <c r="E1496" t="s">
        <v>24</v>
      </c>
      <c r="F1496" t="s">
        <v>25</v>
      </c>
      <c r="G1496">
        <v>303</v>
      </c>
      <c r="H1496">
        <v>0.1</v>
      </c>
      <c r="I1496">
        <v>272.7</v>
      </c>
      <c r="J1496">
        <v>1</v>
      </c>
      <c r="K1496">
        <v>152.10711478419</v>
      </c>
      <c r="L1496">
        <v>272.7</v>
      </c>
      <c r="M1496">
        <v>152.10711478419</v>
      </c>
      <c r="N1496">
        <v>120.59288521580901</v>
      </c>
      <c r="O1496" t="s">
        <v>105</v>
      </c>
      <c r="P1496">
        <f t="shared" si="46"/>
        <v>303</v>
      </c>
      <c r="Q1496">
        <f t="shared" si="47"/>
        <v>-120.59288521580999</v>
      </c>
    </row>
    <row r="1497" spans="1:17" x14ac:dyDescent="0.4">
      <c r="A1497" t="s">
        <v>2955</v>
      </c>
      <c r="B1497" s="1">
        <v>45582.833333333336</v>
      </c>
      <c r="C1497" t="s">
        <v>16</v>
      </c>
      <c r="D1497" t="s">
        <v>2956</v>
      </c>
      <c r="E1497" t="s">
        <v>104</v>
      </c>
      <c r="F1497" t="s">
        <v>25</v>
      </c>
      <c r="G1497">
        <v>131</v>
      </c>
      <c r="H1497">
        <v>0.05</v>
      </c>
      <c r="I1497">
        <v>124.44999999999899</v>
      </c>
      <c r="J1497">
        <v>7</v>
      </c>
      <c r="K1497">
        <v>57.003392423771302</v>
      </c>
      <c r="L1497">
        <v>871.14999999999895</v>
      </c>
      <c r="M1497">
        <v>399.02374696639902</v>
      </c>
      <c r="N1497">
        <v>472.12625303359999</v>
      </c>
      <c r="O1497" t="s">
        <v>32</v>
      </c>
      <c r="P1497">
        <f t="shared" si="46"/>
        <v>917</v>
      </c>
      <c r="Q1497">
        <f t="shared" si="47"/>
        <v>-472.12625303359994</v>
      </c>
    </row>
    <row r="1498" spans="1:17" x14ac:dyDescent="0.4">
      <c r="A1498" t="s">
        <v>2957</v>
      </c>
      <c r="B1498" s="1">
        <v>45675.333333333336</v>
      </c>
      <c r="C1498" t="s">
        <v>22</v>
      </c>
      <c r="D1498" t="s">
        <v>2958</v>
      </c>
      <c r="E1498" t="s">
        <v>213</v>
      </c>
      <c r="F1498" t="s">
        <v>31</v>
      </c>
      <c r="G1498">
        <v>235</v>
      </c>
      <c r="H1498">
        <v>0</v>
      </c>
      <c r="I1498">
        <v>235</v>
      </c>
      <c r="J1498">
        <v>2</v>
      </c>
      <c r="K1498">
        <v>172.936944431217</v>
      </c>
      <c r="L1498">
        <v>470</v>
      </c>
      <c r="M1498">
        <v>345.873888862434</v>
      </c>
      <c r="N1498">
        <v>124.126111137565</v>
      </c>
      <c r="O1498" t="s">
        <v>26</v>
      </c>
      <c r="P1498">
        <f t="shared" si="46"/>
        <v>470</v>
      </c>
      <c r="Q1498">
        <f t="shared" si="47"/>
        <v>-124.126111137566</v>
      </c>
    </row>
    <row r="1499" spans="1:17" x14ac:dyDescent="0.4">
      <c r="A1499" t="s">
        <v>2959</v>
      </c>
      <c r="B1499" s="1">
        <v>45343.208333333336</v>
      </c>
      <c r="C1499" t="s">
        <v>65</v>
      </c>
      <c r="D1499" t="s">
        <v>2960</v>
      </c>
      <c r="E1499" t="s">
        <v>110</v>
      </c>
      <c r="F1499" t="s">
        <v>19</v>
      </c>
      <c r="G1499">
        <v>152</v>
      </c>
      <c r="H1499">
        <v>0</v>
      </c>
      <c r="I1499">
        <v>152</v>
      </c>
      <c r="J1499">
        <v>3</v>
      </c>
      <c r="K1499">
        <v>84.725492802825201</v>
      </c>
      <c r="L1499">
        <v>456</v>
      </c>
      <c r="M1499">
        <v>254.17647840847499</v>
      </c>
      <c r="N1499">
        <v>201.82352159152401</v>
      </c>
      <c r="O1499" t="s">
        <v>51</v>
      </c>
      <c r="P1499">
        <f t="shared" si="46"/>
        <v>456</v>
      </c>
      <c r="Q1499">
        <f t="shared" si="47"/>
        <v>-201.82352159152501</v>
      </c>
    </row>
    <row r="1500" spans="1:17" x14ac:dyDescent="0.4">
      <c r="A1500" t="s">
        <v>2961</v>
      </c>
      <c r="B1500" s="1">
        <v>45644.791666666664</v>
      </c>
      <c r="C1500" t="s">
        <v>16</v>
      </c>
      <c r="D1500" t="s">
        <v>2962</v>
      </c>
      <c r="E1500" t="s">
        <v>94</v>
      </c>
      <c r="F1500" t="s">
        <v>61</v>
      </c>
      <c r="G1500">
        <v>347</v>
      </c>
      <c r="H1500">
        <v>0.1</v>
      </c>
      <c r="I1500">
        <v>312.3</v>
      </c>
      <c r="J1500">
        <v>1</v>
      </c>
      <c r="K1500">
        <v>236.25370097785299</v>
      </c>
      <c r="L1500">
        <v>312.3</v>
      </c>
      <c r="M1500">
        <v>236.25370097785299</v>
      </c>
      <c r="N1500">
        <v>76.046299022146499</v>
      </c>
      <c r="O1500" t="s">
        <v>26</v>
      </c>
      <c r="P1500">
        <f t="shared" si="46"/>
        <v>347</v>
      </c>
      <c r="Q1500">
        <f t="shared" si="47"/>
        <v>-76.046299022147025</v>
      </c>
    </row>
    <row r="1501" spans="1:17" x14ac:dyDescent="0.4">
      <c r="A1501" t="s">
        <v>2963</v>
      </c>
      <c r="B1501" s="1">
        <v>45387.375</v>
      </c>
      <c r="C1501" t="s">
        <v>46</v>
      </c>
      <c r="D1501" t="s">
        <v>2964</v>
      </c>
      <c r="E1501" t="s">
        <v>24</v>
      </c>
      <c r="F1501" t="s">
        <v>25</v>
      </c>
      <c r="G1501">
        <v>278</v>
      </c>
      <c r="H1501">
        <v>0.15</v>
      </c>
      <c r="I1501">
        <v>236.29999999999899</v>
      </c>
      <c r="J1501">
        <v>3</v>
      </c>
      <c r="K1501">
        <v>174.80332336843901</v>
      </c>
      <c r="L1501">
        <v>708.9</v>
      </c>
      <c r="M1501">
        <v>524.40997010531703</v>
      </c>
      <c r="N1501">
        <v>184.49002989468201</v>
      </c>
      <c r="O1501" t="s">
        <v>105</v>
      </c>
      <c r="P1501">
        <f t="shared" si="46"/>
        <v>834</v>
      </c>
      <c r="Q1501">
        <f t="shared" si="47"/>
        <v>-184.49002989468295</v>
      </c>
    </row>
    <row r="1502" spans="1:17" x14ac:dyDescent="0.4">
      <c r="A1502" t="s">
        <v>2965</v>
      </c>
      <c r="B1502" s="1">
        <v>45343.625</v>
      </c>
      <c r="C1502" t="s">
        <v>22</v>
      </c>
      <c r="D1502" t="s">
        <v>2966</v>
      </c>
      <c r="E1502" t="s">
        <v>60</v>
      </c>
      <c r="F1502" t="s">
        <v>61</v>
      </c>
      <c r="G1502">
        <v>194</v>
      </c>
      <c r="H1502">
        <v>0</v>
      </c>
      <c r="I1502">
        <v>194</v>
      </c>
      <c r="J1502">
        <v>4</v>
      </c>
      <c r="K1502">
        <v>104.757288982669</v>
      </c>
      <c r="L1502">
        <v>776</v>
      </c>
      <c r="M1502">
        <v>419.029155930679</v>
      </c>
      <c r="N1502">
        <v>356.97084406931998</v>
      </c>
      <c r="O1502" t="s">
        <v>26</v>
      </c>
      <c r="P1502">
        <f t="shared" si="46"/>
        <v>776</v>
      </c>
      <c r="Q1502">
        <f t="shared" si="47"/>
        <v>-356.970844069321</v>
      </c>
    </row>
    <row r="1503" spans="1:17" x14ac:dyDescent="0.4">
      <c r="A1503" t="s">
        <v>2967</v>
      </c>
      <c r="B1503" s="1">
        <v>45515.75</v>
      </c>
      <c r="C1503" t="s">
        <v>16</v>
      </c>
      <c r="D1503" t="s">
        <v>2968</v>
      </c>
      <c r="E1503" t="s">
        <v>110</v>
      </c>
      <c r="F1503" t="s">
        <v>19</v>
      </c>
      <c r="G1503">
        <v>106</v>
      </c>
      <c r="H1503">
        <v>0.25</v>
      </c>
      <c r="I1503">
        <v>79.5</v>
      </c>
      <c r="J1503">
        <v>1</v>
      </c>
      <c r="K1503">
        <v>48.754879578170602</v>
      </c>
      <c r="L1503">
        <v>79.5</v>
      </c>
      <c r="M1503">
        <v>48.754879578170602</v>
      </c>
      <c r="N1503">
        <v>30.745120421829299</v>
      </c>
      <c r="O1503" t="s">
        <v>26</v>
      </c>
      <c r="P1503">
        <f t="shared" si="46"/>
        <v>106</v>
      </c>
      <c r="Q1503">
        <f t="shared" si="47"/>
        <v>-30.745120421829398</v>
      </c>
    </row>
    <row r="1504" spans="1:17" x14ac:dyDescent="0.4">
      <c r="A1504" t="s">
        <v>2969</v>
      </c>
      <c r="B1504" s="1">
        <v>45965.75</v>
      </c>
      <c r="C1504" t="s">
        <v>16</v>
      </c>
      <c r="D1504" t="s">
        <v>2970</v>
      </c>
      <c r="E1504" t="s">
        <v>97</v>
      </c>
      <c r="F1504" t="s">
        <v>61</v>
      </c>
      <c r="G1504">
        <v>291</v>
      </c>
      <c r="H1504">
        <v>0.15</v>
      </c>
      <c r="I1504">
        <v>247.35</v>
      </c>
      <c r="J1504">
        <v>7</v>
      </c>
      <c r="K1504">
        <v>147.23298706677099</v>
      </c>
      <c r="L1504">
        <v>1731.45</v>
      </c>
      <c r="M1504">
        <v>1030.6309094674</v>
      </c>
      <c r="N1504">
        <v>700.81909053259801</v>
      </c>
      <c r="O1504" t="s">
        <v>51</v>
      </c>
      <c r="P1504">
        <f t="shared" si="46"/>
        <v>2037</v>
      </c>
      <c r="Q1504">
        <f t="shared" si="47"/>
        <v>-700.81909053260006</v>
      </c>
    </row>
    <row r="1505" spans="1:17" x14ac:dyDescent="0.4">
      <c r="A1505" t="s">
        <v>2971</v>
      </c>
      <c r="B1505" s="1">
        <v>45297.208333333336</v>
      </c>
      <c r="C1505" t="s">
        <v>46</v>
      </c>
      <c r="D1505" t="s">
        <v>2972</v>
      </c>
      <c r="E1505" t="s">
        <v>115</v>
      </c>
      <c r="F1505" t="s">
        <v>38</v>
      </c>
      <c r="G1505">
        <v>107</v>
      </c>
      <c r="H1505">
        <v>0</v>
      </c>
      <c r="I1505">
        <v>107</v>
      </c>
      <c r="J1505">
        <v>1</v>
      </c>
      <c r="K1505">
        <v>45.943989723166901</v>
      </c>
      <c r="L1505">
        <v>107</v>
      </c>
      <c r="M1505">
        <v>45.943989723166901</v>
      </c>
      <c r="N1505">
        <v>61.056010276833</v>
      </c>
      <c r="O1505" t="s">
        <v>32</v>
      </c>
      <c r="P1505">
        <f t="shared" si="46"/>
        <v>107</v>
      </c>
      <c r="Q1505">
        <f t="shared" si="47"/>
        <v>-61.056010276833099</v>
      </c>
    </row>
    <row r="1506" spans="1:17" x14ac:dyDescent="0.4">
      <c r="A1506" t="s">
        <v>2973</v>
      </c>
      <c r="B1506" s="1">
        <v>45813</v>
      </c>
      <c r="C1506" t="s">
        <v>16</v>
      </c>
      <c r="D1506" t="s">
        <v>2974</v>
      </c>
      <c r="E1506" t="s">
        <v>85</v>
      </c>
      <c r="F1506" t="s">
        <v>70</v>
      </c>
      <c r="G1506">
        <v>98</v>
      </c>
      <c r="H1506">
        <v>0</v>
      </c>
      <c r="I1506">
        <v>98</v>
      </c>
      <c r="J1506">
        <v>1</v>
      </c>
      <c r="K1506">
        <v>56.955329453303797</v>
      </c>
      <c r="L1506">
        <v>98</v>
      </c>
      <c r="M1506">
        <v>56.955329453303797</v>
      </c>
      <c r="N1506">
        <v>41.044670546696103</v>
      </c>
      <c r="O1506" t="s">
        <v>32</v>
      </c>
      <c r="P1506">
        <f t="shared" si="46"/>
        <v>98</v>
      </c>
      <c r="Q1506">
        <f t="shared" si="47"/>
        <v>-41.044670546696203</v>
      </c>
    </row>
    <row r="1507" spans="1:17" x14ac:dyDescent="0.4">
      <c r="A1507" t="s">
        <v>2975</v>
      </c>
      <c r="B1507" s="1">
        <v>45933.583333333336</v>
      </c>
      <c r="C1507" t="s">
        <v>22</v>
      </c>
      <c r="D1507" t="s">
        <v>2976</v>
      </c>
      <c r="E1507" t="s">
        <v>85</v>
      </c>
      <c r="F1507" t="s">
        <v>70</v>
      </c>
      <c r="G1507">
        <v>144</v>
      </c>
      <c r="H1507">
        <v>0.25</v>
      </c>
      <c r="I1507">
        <v>108</v>
      </c>
      <c r="J1507">
        <v>7</v>
      </c>
      <c r="K1507">
        <v>74.4032152395895</v>
      </c>
      <c r="L1507">
        <v>756</v>
      </c>
      <c r="M1507">
        <v>520.82250667712594</v>
      </c>
      <c r="N1507">
        <v>235.177493322873</v>
      </c>
      <c r="O1507" t="s">
        <v>32</v>
      </c>
      <c r="P1507">
        <f t="shared" si="46"/>
        <v>1008</v>
      </c>
      <c r="Q1507">
        <f t="shared" si="47"/>
        <v>-235.17749332287406</v>
      </c>
    </row>
    <row r="1508" spans="1:17" x14ac:dyDescent="0.4">
      <c r="A1508" t="s">
        <v>2977</v>
      </c>
      <c r="B1508" s="1">
        <v>45568.583333333336</v>
      </c>
      <c r="C1508" t="s">
        <v>28</v>
      </c>
      <c r="D1508" t="s">
        <v>2978</v>
      </c>
      <c r="E1508" t="s">
        <v>146</v>
      </c>
      <c r="F1508" t="s">
        <v>70</v>
      </c>
      <c r="G1508">
        <v>104</v>
      </c>
      <c r="H1508">
        <v>0.1</v>
      </c>
      <c r="I1508">
        <v>93.6</v>
      </c>
      <c r="J1508">
        <v>1</v>
      </c>
      <c r="K1508">
        <v>62.784345762592999</v>
      </c>
      <c r="L1508">
        <v>93.6</v>
      </c>
      <c r="M1508">
        <v>62.784345762592999</v>
      </c>
      <c r="N1508">
        <v>30.8156542374069</v>
      </c>
      <c r="O1508" t="s">
        <v>26</v>
      </c>
      <c r="P1508">
        <f t="shared" si="46"/>
        <v>104</v>
      </c>
      <c r="Q1508">
        <f t="shared" si="47"/>
        <v>-30.815654237406996</v>
      </c>
    </row>
    <row r="1509" spans="1:17" x14ac:dyDescent="0.4">
      <c r="A1509" t="s">
        <v>2979</v>
      </c>
      <c r="B1509" s="1">
        <v>45565.75</v>
      </c>
      <c r="C1509" t="s">
        <v>16</v>
      </c>
      <c r="D1509" t="s">
        <v>2980</v>
      </c>
      <c r="E1509" t="s">
        <v>37</v>
      </c>
      <c r="F1509" t="s">
        <v>38</v>
      </c>
      <c r="G1509">
        <v>89</v>
      </c>
      <c r="H1509">
        <v>0.2</v>
      </c>
      <c r="I1509">
        <v>71.2</v>
      </c>
      <c r="J1509">
        <v>2</v>
      </c>
      <c r="K1509">
        <v>51.169463328868503</v>
      </c>
      <c r="L1509">
        <v>142.4</v>
      </c>
      <c r="M1509">
        <v>102.33892665773701</v>
      </c>
      <c r="N1509">
        <v>40.061073342262901</v>
      </c>
      <c r="O1509" t="s">
        <v>26</v>
      </c>
      <c r="P1509">
        <f t="shared" si="46"/>
        <v>178</v>
      </c>
      <c r="Q1509">
        <f t="shared" si="47"/>
        <v>-40.061073342263001</v>
      </c>
    </row>
    <row r="1510" spans="1:17" x14ac:dyDescent="0.4">
      <c r="A1510" t="s">
        <v>2981</v>
      </c>
      <c r="B1510" s="1">
        <v>45427.375</v>
      </c>
      <c r="C1510" t="s">
        <v>22</v>
      </c>
      <c r="D1510" t="s">
        <v>2492</v>
      </c>
      <c r="E1510" t="s">
        <v>24</v>
      </c>
      <c r="F1510" t="s">
        <v>25</v>
      </c>
      <c r="G1510">
        <v>300</v>
      </c>
      <c r="H1510">
        <v>0.25</v>
      </c>
      <c r="I1510">
        <v>225</v>
      </c>
      <c r="J1510">
        <v>6</v>
      </c>
      <c r="K1510">
        <v>194.718811398528</v>
      </c>
      <c r="L1510">
        <v>1350</v>
      </c>
      <c r="M1510">
        <v>1168.31286839116</v>
      </c>
      <c r="N1510">
        <v>181.68713160883101</v>
      </c>
      <c r="O1510" t="s">
        <v>32</v>
      </c>
      <c r="P1510">
        <f t="shared" si="46"/>
        <v>1800</v>
      </c>
      <c r="Q1510">
        <f t="shared" si="47"/>
        <v>-181.68713160883999</v>
      </c>
    </row>
    <row r="1511" spans="1:17" x14ac:dyDescent="0.4">
      <c r="A1511" t="s">
        <v>2982</v>
      </c>
      <c r="B1511" s="1">
        <v>45671.583333333336</v>
      </c>
      <c r="C1511" t="s">
        <v>65</v>
      </c>
      <c r="D1511" t="s">
        <v>2983</v>
      </c>
      <c r="E1511" t="s">
        <v>41</v>
      </c>
      <c r="F1511" t="s">
        <v>31</v>
      </c>
      <c r="G1511">
        <v>226</v>
      </c>
      <c r="H1511">
        <v>0</v>
      </c>
      <c r="I1511">
        <v>226</v>
      </c>
      <c r="J1511">
        <v>7</v>
      </c>
      <c r="K1511">
        <v>140.39051532079901</v>
      </c>
      <c r="L1511">
        <v>1582</v>
      </c>
      <c r="M1511">
        <v>982.73360724559404</v>
      </c>
      <c r="N1511">
        <v>599.26639275440505</v>
      </c>
      <c r="O1511" t="s">
        <v>51</v>
      </c>
      <c r="P1511">
        <f t="shared" si="46"/>
        <v>1582</v>
      </c>
      <c r="Q1511">
        <f t="shared" si="47"/>
        <v>-599.26639275440596</v>
      </c>
    </row>
    <row r="1512" spans="1:17" x14ac:dyDescent="0.4">
      <c r="A1512" t="s">
        <v>2984</v>
      </c>
      <c r="B1512" s="1">
        <v>45608.458333333336</v>
      </c>
      <c r="C1512" t="s">
        <v>43</v>
      </c>
      <c r="D1512" t="s">
        <v>2985</v>
      </c>
      <c r="E1512" t="s">
        <v>110</v>
      </c>
      <c r="F1512" t="s">
        <v>19</v>
      </c>
      <c r="G1512">
        <v>235</v>
      </c>
      <c r="H1512">
        <v>0.05</v>
      </c>
      <c r="I1512">
        <v>223.25</v>
      </c>
      <c r="J1512">
        <v>4</v>
      </c>
      <c r="K1512">
        <v>153.03265545265199</v>
      </c>
      <c r="L1512">
        <v>893</v>
      </c>
      <c r="M1512">
        <v>612.13062181060798</v>
      </c>
      <c r="N1512">
        <v>280.869378189391</v>
      </c>
      <c r="O1512" t="s">
        <v>32</v>
      </c>
      <c r="P1512">
        <f t="shared" si="46"/>
        <v>940</v>
      </c>
      <c r="Q1512">
        <f t="shared" si="47"/>
        <v>-280.86937818939202</v>
      </c>
    </row>
    <row r="1513" spans="1:17" x14ac:dyDescent="0.4">
      <c r="A1513" t="s">
        <v>2986</v>
      </c>
      <c r="B1513" s="1">
        <v>45858.875</v>
      </c>
      <c r="C1513" t="s">
        <v>28</v>
      </c>
      <c r="D1513" t="s">
        <v>2987</v>
      </c>
      <c r="E1513" t="s">
        <v>146</v>
      </c>
      <c r="F1513" t="s">
        <v>70</v>
      </c>
      <c r="G1513">
        <v>299</v>
      </c>
      <c r="H1513">
        <v>0.15</v>
      </c>
      <c r="I1513">
        <v>254.15</v>
      </c>
      <c r="J1513">
        <v>4</v>
      </c>
      <c r="K1513">
        <v>121.52018744414499</v>
      </c>
      <c r="L1513">
        <v>1016.6</v>
      </c>
      <c r="M1513">
        <v>486.08074977658202</v>
      </c>
      <c r="N1513">
        <v>530.51925022341698</v>
      </c>
      <c r="O1513" t="s">
        <v>32</v>
      </c>
      <c r="P1513">
        <f t="shared" si="46"/>
        <v>1196</v>
      </c>
      <c r="Q1513">
        <f t="shared" si="47"/>
        <v>-530.519250223418</v>
      </c>
    </row>
    <row r="1514" spans="1:17" x14ac:dyDescent="0.4">
      <c r="A1514" t="s">
        <v>2988</v>
      </c>
      <c r="B1514" s="1">
        <v>45796.791666666664</v>
      </c>
      <c r="C1514" t="s">
        <v>22</v>
      </c>
      <c r="D1514" t="s">
        <v>1787</v>
      </c>
      <c r="E1514" t="s">
        <v>115</v>
      </c>
      <c r="F1514" t="s">
        <v>38</v>
      </c>
      <c r="G1514">
        <v>113</v>
      </c>
      <c r="H1514">
        <v>0</v>
      </c>
      <c r="I1514">
        <v>113</v>
      </c>
      <c r="J1514">
        <v>5</v>
      </c>
      <c r="K1514">
        <v>52.6861373094941</v>
      </c>
      <c r="L1514">
        <v>565</v>
      </c>
      <c r="M1514">
        <v>263.43068654746997</v>
      </c>
      <c r="N1514">
        <v>301.569313452529</v>
      </c>
      <c r="O1514" t="s">
        <v>32</v>
      </c>
      <c r="P1514">
        <f t="shared" si="46"/>
        <v>565</v>
      </c>
      <c r="Q1514">
        <f t="shared" si="47"/>
        <v>-301.56931345253003</v>
      </c>
    </row>
    <row r="1515" spans="1:17" x14ac:dyDescent="0.4">
      <c r="A1515" t="s">
        <v>2989</v>
      </c>
      <c r="B1515" s="1">
        <v>45554.25</v>
      </c>
      <c r="C1515" t="s">
        <v>46</v>
      </c>
      <c r="D1515" t="s">
        <v>2990</v>
      </c>
      <c r="E1515" t="s">
        <v>97</v>
      </c>
      <c r="F1515" t="s">
        <v>61</v>
      </c>
      <c r="G1515">
        <v>330</v>
      </c>
      <c r="H1515">
        <v>0</v>
      </c>
      <c r="I1515">
        <v>330</v>
      </c>
      <c r="J1515">
        <v>7</v>
      </c>
      <c r="K1515">
        <v>244.41161585853001</v>
      </c>
      <c r="L1515">
        <v>2310</v>
      </c>
      <c r="M1515">
        <v>1710.8813110097101</v>
      </c>
      <c r="N1515">
        <v>599.11868899028696</v>
      </c>
      <c r="O1515" t="s">
        <v>32</v>
      </c>
      <c r="P1515">
        <f t="shared" si="46"/>
        <v>2310</v>
      </c>
      <c r="Q1515">
        <f t="shared" si="47"/>
        <v>-599.11868899028991</v>
      </c>
    </row>
    <row r="1516" spans="1:17" x14ac:dyDescent="0.4">
      <c r="A1516" t="s">
        <v>2991</v>
      </c>
      <c r="B1516" s="1">
        <v>45531.875</v>
      </c>
      <c r="C1516" t="s">
        <v>28</v>
      </c>
      <c r="D1516" t="s">
        <v>2992</v>
      </c>
      <c r="E1516" t="s">
        <v>115</v>
      </c>
      <c r="F1516" t="s">
        <v>38</v>
      </c>
      <c r="G1516">
        <v>191</v>
      </c>
      <c r="H1516">
        <v>0</v>
      </c>
      <c r="I1516">
        <v>191</v>
      </c>
      <c r="J1516">
        <v>5</v>
      </c>
      <c r="K1516">
        <v>89.734080614789505</v>
      </c>
      <c r="L1516">
        <v>955</v>
      </c>
      <c r="M1516">
        <v>448.670403073947</v>
      </c>
      <c r="N1516">
        <v>506.32959692605198</v>
      </c>
      <c r="O1516" t="s">
        <v>32</v>
      </c>
      <c r="P1516">
        <f t="shared" si="46"/>
        <v>955</v>
      </c>
      <c r="Q1516">
        <f t="shared" si="47"/>
        <v>-506.329596926053</v>
      </c>
    </row>
    <row r="1517" spans="1:17" x14ac:dyDescent="0.4">
      <c r="A1517" t="s">
        <v>2993</v>
      </c>
      <c r="B1517" s="1">
        <v>45816.791666666664</v>
      </c>
      <c r="C1517" t="s">
        <v>28</v>
      </c>
      <c r="D1517" t="s">
        <v>2994</v>
      </c>
      <c r="E1517" t="s">
        <v>37</v>
      </c>
      <c r="F1517" t="s">
        <v>38</v>
      </c>
      <c r="G1517">
        <v>190</v>
      </c>
      <c r="H1517">
        <v>0</v>
      </c>
      <c r="I1517">
        <v>190</v>
      </c>
      <c r="J1517">
        <v>1</v>
      </c>
      <c r="K1517">
        <v>137.59323800900401</v>
      </c>
      <c r="L1517">
        <v>190</v>
      </c>
      <c r="M1517">
        <v>137.59323800900401</v>
      </c>
      <c r="N1517">
        <v>52.406761990995101</v>
      </c>
      <c r="O1517" t="s">
        <v>32</v>
      </c>
      <c r="P1517">
        <f t="shared" si="46"/>
        <v>190</v>
      </c>
      <c r="Q1517">
        <f t="shared" si="47"/>
        <v>-52.406761990995989</v>
      </c>
    </row>
    <row r="1518" spans="1:17" x14ac:dyDescent="0.4">
      <c r="A1518" t="s">
        <v>2995</v>
      </c>
      <c r="B1518" s="1">
        <v>45374.041666666664</v>
      </c>
      <c r="C1518" t="s">
        <v>28</v>
      </c>
      <c r="D1518" t="s">
        <v>2996</v>
      </c>
      <c r="E1518" t="s">
        <v>104</v>
      </c>
      <c r="F1518" t="s">
        <v>25</v>
      </c>
      <c r="G1518">
        <v>144</v>
      </c>
      <c r="H1518">
        <v>0.15</v>
      </c>
      <c r="I1518">
        <v>122.399999999999</v>
      </c>
      <c r="J1518">
        <v>4</v>
      </c>
      <c r="K1518">
        <v>66.087760630105507</v>
      </c>
      <c r="L1518">
        <v>489.599999999999</v>
      </c>
      <c r="M1518">
        <v>264.35104252042203</v>
      </c>
      <c r="N1518">
        <v>225.248957479577</v>
      </c>
      <c r="O1518" t="s">
        <v>32</v>
      </c>
      <c r="P1518">
        <f t="shared" si="46"/>
        <v>576</v>
      </c>
      <c r="Q1518">
        <f t="shared" si="47"/>
        <v>-225.24895747957697</v>
      </c>
    </row>
    <row r="1519" spans="1:17" x14ac:dyDescent="0.4">
      <c r="A1519" t="s">
        <v>2997</v>
      </c>
      <c r="B1519" s="1">
        <v>45749.708333333336</v>
      </c>
      <c r="C1519" t="s">
        <v>16</v>
      </c>
      <c r="D1519" t="s">
        <v>2998</v>
      </c>
      <c r="E1519" t="s">
        <v>213</v>
      </c>
      <c r="F1519" t="s">
        <v>31</v>
      </c>
      <c r="G1519">
        <v>330</v>
      </c>
      <c r="H1519">
        <v>0</v>
      </c>
      <c r="I1519">
        <v>330</v>
      </c>
      <c r="J1519">
        <v>1</v>
      </c>
      <c r="K1519">
        <v>140.85566011733701</v>
      </c>
      <c r="L1519">
        <v>330</v>
      </c>
      <c r="M1519">
        <v>140.85566011733701</v>
      </c>
      <c r="N1519">
        <v>189.144339882662</v>
      </c>
      <c r="O1519" t="s">
        <v>32</v>
      </c>
      <c r="P1519">
        <f t="shared" si="46"/>
        <v>330</v>
      </c>
      <c r="Q1519">
        <f t="shared" si="47"/>
        <v>-189.14433988266299</v>
      </c>
    </row>
    <row r="1520" spans="1:17" x14ac:dyDescent="0.4">
      <c r="A1520" t="s">
        <v>2999</v>
      </c>
      <c r="B1520" s="1">
        <v>46011.791666666664</v>
      </c>
      <c r="C1520" t="s">
        <v>43</v>
      </c>
      <c r="D1520" t="s">
        <v>3000</v>
      </c>
      <c r="E1520" t="s">
        <v>213</v>
      </c>
      <c r="F1520" t="s">
        <v>31</v>
      </c>
      <c r="G1520">
        <v>281</v>
      </c>
      <c r="H1520">
        <v>0.1</v>
      </c>
      <c r="I1520">
        <v>252.9</v>
      </c>
      <c r="J1520">
        <v>6</v>
      </c>
      <c r="K1520">
        <v>119.770743648897</v>
      </c>
      <c r="L1520">
        <v>1517.4</v>
      </c>
      <c r="M1520">
        <v>718.624461893383</v>
      </c>
      <c r="N1520">
        <v>798.77553810661698</v>
      </c>
      <c r="O1520" t="s">
        <v>32</v>
      </c>
      <c r="P1520">
        <f t="shared" si="46"/>
        <v>1686</v>
      </c>
      <c r="Q1520">
        <f t="shared" si="47"/>
        <v>-798.77553810661709</v>
      </c>
    </row>
    <row r="1521" spans="1:17" x14ac:dyDescent="0.4">
      <c r="A1521" t="s">
        <v>3001</v>
      </c>
      <c r="B1521" s="1">
        <v>45478.25</v>
      </c>
      <c r="C1521" t="s">
        <v>65</v>
      </c>
      <c r="D1521" t="s">
        <v>3002</v>
      </c>
      <c r="E1521" t="s">
        <v>69</v>
      </c>
      <c r="F1521" t="s">
        <v>70</v>
      </c>
      <c r="G1521">
        <v>231</v>
      </c>
      <c r="H1521">
        <v>0</v>
      </c>
      <c r="I1521">
        <v>231</v>
      </c>
      <c r="J1521">
        <v>4</v>
      </c>
      <c r="K1521">
        <v>122.02801985658699</v>
      </c>
      <c r="L1521">
        <v>924</v>
      </c>
      <c r="M1521">
        <v>488.112079426349</v>
      </c>
      <c r="N1521">
        <v>435.88792057364998</v>
      </c>
      <c r="O1521" t="s">
        <v>26</v>
      </c>
      <c r="P1521">
        <f t="shared" si="46"/>
        <v>924</v>
      </c>
      <c r="Q1521">
        <f t="shared" si="47"/>
        <v>-435.887920573651</v>
      </c>
    </row>
    <row r="1522" spans="1:17" x14ac:dyDescent="0.4">
      <c r="A1522" t="s">
        <v>3003</v>
      </c>
      <c r="B1522" s="1">
        <v>45718.041666666664</v>
      </c>
      <c r="C1522" t="s">
        <v>43</v>
      </c>
      <c r="D1522" t="s">
        <v>3004</v>
      </c>
      <c r="E1522" t="s">
        <v>37</v>
      </c>
      <c r="F1522" t="s">
        <v>38</v>
      </c>
      <c r="G1522">
        <v>329</v>
      </c>
      <c r="H1522">
        <v>0</v>
      </c>
      <c r="I1522">
        <v>329</v>
      </c>
      <c r="J1522">
        <v>6</v>
      </c>
      <c r="K1522">
        <v>244.50921600921001</v>
      </c>
      <c r="L1522">
        <v>1974</v>
      </c>
      <c r="M1522">
        <v>1467.05529605526</v>
      </c>
      <c r="N1522">
        <v>506.944703944737</v>
      </c>
      <c r="O1522" t="s">
        <v>32</v>
      </c>
      <c r="P1522">
        <f t="shared" si="46"/>
        <v>1974</v>
      </c>
      <c r="Q1522">
        <f t="shared" si="47"/>
        <v>-506.94470394474001</v>
      </c>
    </row>
    <row r="1523" spans="1:17" x14ac:dyDescent="0.4">
      <c r="A1523" t="s">
        <v>3005</v>
      </c>
      <c r="B1523" s="1">
        <v>45690.166666666664</v>
      </c>
      <c r="C1523" t="s">
        <v>22</v>
      </c>
      <c r="D1523" t="s">
        <v>3006</v>
      </c>
      <c r="E1523" t="s">
        <v>146</v>
      </c>
      <c r="F1523" t="s">
        <v>70</v>
      </c>
      <c r="G1523">
        <v>222</v>
      </c>
      <c r="H1523">
        <v>0</v>
      </c>
      <c r="I1523">
        <v>222</v>
      </c>
      <c r="J1523">
        <v>3</v>
      </c>
      <c r="K1523">
        <v>146.252771891837</v>
      </c>
      <c r="L1523">
        <v>666</v>
      </c>
      <c r="M1523">
        <v>438.75831567551302</v>
      </c>
      <c r="N1523">
        <v>227.24168432448599</v>
      </c>
      <c r="O1523" t="s">
        <v>105</v>
      </c>
      <c r="P1523">
        <f t="shared" si="46"/>
        <v>666</v>
      </c>
      <c r="Q1523">
        <f t="shared" si="47"/>
        <v>-227.24168432448698</v>
      </c>
    </row>
    <row r="1524" spans="1:17" x14ac:dyDescent="0.4">
      <c r="A1524" t="s">
        <v>3007</v>
      </c>
      <c r="B1524" s="1">
        <v>45675.583333333336</v>
      </c>
      <c r="C1524" t="s">
        <v>22</v>
      </c>
      <c r="D1524" t="s">
        <v>693</v>
      </c>
      <c r="E1524" t="s">
        <v>37</v>
      </c>
      <c r="F1524" t="s">
        <v>38</v>
      </c>
      <c r="G1524">
        <v>310</v>
      </c>
      <c r="H1524">
        <v>0.1</v>
      </c>
      <c r="I1524">
        <v>279</v>
      </c>
      <c r="J1524">
        <v>7</v>
      </c>
      <c r="K1524">
        <v>150.74702119845401</v>
      </c>
      <c r="L1524">
        <v>1953</v>
      </c>
      <c r="M1524">
        <v>1055.2291483891699</v>
      </c>
      <c r="N1524">
        <v>897.77085161082096</v>
      </c>
      <c r="O1524" t="s">
        <v>51</v>
      </c>
      <c r="P1524">
        <f t="shared" si="46"/>
        <v>2170</v>
      </c>
      <c r="Q1524">
        <f t="shared" si="47"/>
        <v>-897.77085161083005</v>
      </c>
    </row>
    <row r="1525" spans="1:17" x14ac:dyDescent="0.4">
      <c r="A1525" t="s">
        <v>3008</v>
      </c>
      <c r="B1525" s="1">
        <v>45708.291666666664</v>
      </c>
      <c r="C1525" t="s">
        <v>46</v>
      </c>
      <c r="D1525" t="s">
        <v>3009</v>
      </c>
      <c r="E1525" t="s">
        <v>18</v>
      </c>
      <c r="F1525" t="s">
        <v>19</v>
      </c>
      <c r="G1525">
        <v>289</v>
      </c>
      <c r="H1525">
        <v>0</v>
      </c>
      <c r="I1525">
        <v>289</v>
      </c>
      <c r="J1525">
        <v>3</v>
      </c>
      <c r="K1525">
        <v>119.64798666075001</v>
      </c>
      <c r="L1525">
        <v>867</v>
      </c>
      <c r="M1525">
        <v>358.94395998225099</v>
      </c>
      <c r="N1525">
        <v>508.05604001774799</v>
      </c>
      <c r="O1525" t="s">
        <v>32</v>
      </c>
      <c r="P1525">
        <f t="shared" si="46"/>
        <v>867</v>
      </c>
      <c r="Q1525">
        <f t="shared" si="47"/>
        <v>-508.05604001774901</v>
      </c>
    </row>
    <row r="1526" spans="1:17" x14ac:dyDescent="0.4">
      <c r="A1526" t="s">
        <v>3010</v>
      </c>
      <c r="B1526" s="1">
        <v>45605.291666666664</v>
      </c>
      <c r="C1526" t="s">
        <v>65</v>
      </c>
      <c r="D1526" t="s">
        <v>3011</v>
      </c>
      <c r="E1526" t="s">
        <v>97</v>
      </c>
      <c r="F1526" t="s">
        <v>61</v>
      </c>
      <c r="G1526">
        <v>335</v>
      </c>
      <c r="H1526">
        <v>0.1</v>
      </c>
      <c r="I1526">
        <v>301.5</v>
      </c>
      <c r="J1526">
        <v>1</v>
      </c>
      <c r="K1526">
        <v>171.90051342522301</v>
      </c>
      <c r="L1526">
        <v>301.5</v>
      </c>
      <c r="M1526">
        <v>171.90051342522301</v>
      </c>
      <c r="N1526">
        <v>129.59948657477599</v>
      </c>
      <c r="O1526" t="s">
        <v>26</v>
      </c>
      <c r="P1526">
        <f t="shared" si="46"/>
        <v>335</v>
      </c>
      <c r="Q1526">
        <f t="shared" si="47"/>
        <v>-129.59948657477699</v>
      </c>
    </row>
    <row r="1527" spans="1:17" x14ac:dyDescent="0.4">
      <c r="A1527" t="s">
        <v>3012</v>
      </c>
      <c r="B1527" s="1">
        <v>45861.541666666664</v>
      </c>
      <c r="C1527" t="s">
        <v>28</v>
      </c>
      <c r="D1527" t="s">
        <v>3013</v>
      </c>
      <c r="E1527" t="s">
        <v>41</v>
      </c>
      <c r="F1527" t="s">
        <v>31</v>
      </c>
      <c r="G1527">
        <v>112</v>
      </c>
      <c r="H1527">
        <v>0.1</v>
      </c>
      <c r="I1527">
        <v>100.8</v>
      </c>
      <c r="J1527">
        <v>3</v>
      </c>
      <c r="K1527">
        <v>69.931883030037596</v>
      </c>
      <c r="L1527">
        <v>302.39999999999998</v>
      </c>
      <c r="M1527">
        <v>209.79564909011199</v>
      </c>
      <c r="N1527">
        <v>92.604350909887103</v>
      </c>
      <c r="O1527" t="s">
        <v>32</v>
      </c>
      <c r="P1527">
        <f t="shared" si="46"/>
        <v>336</v>
      </c>
      <c r="Q1527">
        <f t="shared" si="47"/>
        <v>-92.604350909887984</v>
      </c>
    </row>
    <row r="1528" spans="1:17" x14ac:dyDescent="0.4">
      <c r="A1528" t="s">
        <v>3014</v>
      </c>
      <c r="B1528" s="1">
        <v>45484.166666666664</v>
      </c>
      <c r="C1528" t="s">
        <v>22</v>
      </c>
      <c r="D1528" t="s">
        <v>3015</v>
      </c>
      <c r="E1528" t="s">
        <v>110</v>
      </c>
      <c r="F1528" t="s">
        <v>19</v>
      </c>
      <c r="G1528">
        <v>168</v>
      </c>
      <c r="H1528">
        <v>0.1</v>
      </c>
      <c r="I1528">
        <v>151.19999999999999</v>
      </c>
      <c r="J1528">
        <v>2</v>
      </c>
      <c r="K1528">
        <v>105.932990852571</v>
      </c>
      <c r="L1528">
        <v>302.39999999999998</v>
      </c>
      <c r="M1528">
        <v>211.86598170514199</v>
      </c>
      <c r="N1528">
        <v>90.534018294857006</v>
      </c>
      <c r="O1528" t="s">
        <v>51</v>
      </c>
      <c r="P1528">
        <f t="shared" si="46"/>
        <v>336</v>
      </c>
      <c r="Q1528">
        <f t="shared" si="47"/>
        <v>-90.534018294857987</v>
      </c>
    </row>
    <row r="1529" spans="1:17" x14ac:dyDescent="0.4">
      <c r="A1529" t="s">
        <v>3016</v>
      </c>
      <c r="B1529" s="1">
        <v>45807.541666666664</v>
      </c>
      <c r="C1529" t="s">
        <v>16</v>
      </c>
      <c r="D1529" t="s">
        <v>949</v>
      </c>
      <c r="E1529" t="s">
        <v>69</v>
      </c>
      <c r="F1529" t="s">
        <v>70</v>
      </c>
      <c r="G1529">
        <v>146</v>
      </c>
      <c r="H1529">
        <v>0.1</v>
      </c>
      <c r="I1529">
        <v>131.4</v>
      </c>
      <c r="J1529">
        <v>2</v>
      </c>
      <c r="K1529">
        <v>77.367923267060206</v>
      </c>
      <c r="L1529">
        <v>262.8</v>
      </c>
      <c r="M1529">
        <v>154.73584653411999</v>
      </c>
      <c r="N1529">
        <v>108.064153465879</v>
      </c>
      <c r="O1529" t="s">
        <v>32</v>
      </c>
      <c r="P1529">
        <f t="shared" si="46"/>
        <v>292</v>
      </c>
      <c r="Q1529">
        <f t="shared" si="47"/>
        <v>-108.06415346588003</v>
      </c>
    </row>
    <row r="1530" spans="1:17" x14ac:dyDescent="0.4">
      <c r="A1530" t="s">
        <v>3017</v>
      </c>
      <c r="B1530" s="1">
        <v>45940</v>
      </c>
      <c r="C1530" t="s">
        <v>46</v>
      </c>
      <c r="D1530" t="s">
        <v>3018</v>
      </c>
      <c r="E1530" t="s">
        <v>30</v>
      </c>
      <c r="F1530" t="s">
        <v>31</v>
      </c>
      <c r="G1530">
        <v>270</v>
      </c>
      <c r="H1530">
        <v>0</v>
      </c>
      <c r="I1530">
        <v>270</v>
      </c>
      <c r="J1530">
        <v>1</v>
      </c>
      <c r="K1530">
        <v>142.17548347284901</v>
      </c>
      <c r="L1530">
        <v>270</v>
      </c>
      <c r="M1530">
        <v>142.17548347284901</v>
      </c>
      <c r="N1530">
        <v>127.82451652715</v>
      </c>
      <c r="O1530" t="s">
        <v>26</v>
      </c>
      <c r="P1530">
        <f t="shared" si="46"/>
        <v>270</v>
      </c>
      <c r="Q1530">
        <f t="shared" si="47"/>
        <v>-127.82451652715099</v>
      </c>
    </row>
    <row r="1531" spans="1:17" x14ac:dyDescent="0.4">
      <c r="A1531" t="s">
        <v>3019</v>
      </c>
      <c r="B1531" s="1">
        <v>45902.25</v>
      </c>
      <c r="C1531" t="s">
        <v>22</v>
      </c>
      <c r="D1531" t="s">
        <v>3020</v>
      </c>
      <c r="E1531" t="s">
        <v>146</v>
      </c>
      <c r="F1531" t="s">
        <v>70</v>
      </c>
      <c r="G1531">
        <v>320</v>
      </c>
      <c r="H1531">
        <v>0</v>
      </c>
      <c r="I1531">
        <v>320</v>
      </c>
      <c r="J1531">
        <v>4</v>
      </c>
      <c r="K1531">
        <v>139.26237888978099</v>
      </c>
      <c r="L1531">
        <v>1280</v>
      </c>
      <c r="M1531">
        <v>557.04951555912601</v>
      </c>
      <c r="N1531">
        <v>722.95048444087297</v>
      </c>
      <c r="O1531" t="s">
        <v>105</v>
      </c>
      <c r="P1531">
        <f t="shared" si="46"/>
        <v>1280</v>
      </c>
      <c r="Q1531">
        <f t="shared" si="47"/>
        <v>-722.95048444087399</v>
      </c>
    </row>
    <row r="1532" spans="1:17" x14ac:dyDescent="0.4">
      <c r="A1532" t="s">
        <v>3021</v>
      </c>
      <c r="B1532" s="1">
        <v>45510.25</v>
      </c>
      <c r="C1532" t="s">
        <v>46</v>
      </c>
      <c r="D1532" t="s">
        <v>3022</v>
      </c>
      <c r="E1532" t="s">
        <v>85</v>
      </c>
      <c r="F1532" t="s">
        <v>70</v>
      </c>
      <c r="G1532">
        <v>274</v>
      </c>
      <c r="H1532">
        <v>0.2</v>
      </c>
      <c r="I1532">
        <v>219.2</v>
      </c>
      <c r="J1532">
        <v>4</v>
      </c>
      <c r="K1532">
        <v>143.775460399487</v>
      </c>
      <c r="L1532">
        <v>876.8</v>
      </c>
      <c r="M1532">
        <v>575.10184159795006</v>
      </c>
      <c r="N1532">
        <v>301.69815840204899</v>
      </c>
      <c r="O1532" t="s">
        <v>51</v>
      </c>
      <c r="P1532">
        <f t="shared" si="46"/>
        <v>1096</v>
      </c>
      <c r="Q1532">
        <f t="shared" si="47"/>
        <v>-301.6981584020499</v>
      </c>
    </row>
    <row r="1533" spans="1:17" x14ac:dyDescent="0.4">
      <c r="A1533" t="s">
        <v>3023</v>
      </c>
      <c r="B1533" s="1">
        <v>45941.041666666664</v>
      </c>
      <c r="C1533" t="s">
        <v>16</v>
      </c>
      <c r="D1533" t="s">
        <v>3024</v>
      </c>
      <c r="E1533" t="s">
        <v>37</v>
      </c>
      <c r="F1533" t="s">
        <v>38</v>
      </c>
      <c r="G1533">
        <v>172</v>
      </c>
      <c r="H1533">
        <v>0.2</v>
      </c>
      <c r="I1533">
        <v>137.6</v>
      </c>
      <c r="J1533">
        <v>6</v>
      </c>
      <c r="K1533">
        <v>92.959791725261695</v>
      </c>
      <c r="L1533">
        <v>825.599999999999</v>
      </c>
      <c r="M1533">
        <v>557.75875035157003</v>
      </c>
      <c r="N1533">
        <v>267.84124964842903</v>
      </c>
      <c r="O1533" t="s">
        <v>32</v>
      </c>
      <c r="P1533">
        <f t="shared" si="46"/>
        <v>1032</v>
      </c>
      <c r="Q1533">
        <f t="shared" si="47"/>
        <v>-267.84124964842897</v>
      </c>
    </row>
    <row r="1534" spans="1:17" x14ac:dyDescent="0.4">
      <c r="A1534" t="s">
        <v>3025</v>
      </c>
      <c r="B1534" s="1">
        <v>45938</v>
      </c>
      <c r="C1534" t="s">
        <v>22</v>
      </c>
      <c r="D1534" t="s">
        <v>3026</v>
      </c>
      <c r="E1534" t="s">
        <v>73</v>
      </c>
      <c r="F1534" t="s">
        <v>38</v>
      </c>
      <c r="G1534">
        <v>268</v>
      </c>
      <c r="H1534">
        <v>0</v>
      </c>
      <c r="I1534">
        <v>268</v>
      </c>
      <c r="J1534">
        <v>1</v>
      </c>
      <c r="K1534">
        <v>127.323872748868</v>
      </c>
      <c r="L1534">
        <v>268</v>
      </c>
      <c r="M1534">
        <v>127.323872748868</v>
      </c>
      <c r="N1534">
        <v>140.67612725113099</v>
      </c>
      <c r="O1534" t="s">
        <v>32</v>
      </c>
      <c r="P1534">
        <f t="shared" si="46"/>
        <v>268</v>
      </c>
      <c r="Q1534">
        <f t="shared" si="47"/>
        <v>-140.67612725113202</v>
      </c>
    </row>
    <row r="1535" spans="1:17" x14ac:dyDescent="0.4">
      <c r="A1535" t="s">
        <v>3027</v>
      </c>
      <c r="B1535" s="1">
        <v>45446.958333333336</v>
      </c>
      <c r="C1535" t="s">
        <v>28</v>
      </c>
      <c r="D1535" t="s">
        <v>3028</v>
      </c>
      <c r="E1535" t="s">
        <v>85</v>
      </c>
      <c r="F1535" t="s">
        <v>70</v>
      </c>
      <c r="G1535">
        <v>286</v>
      </c>
      <c r="H1535">
        <v>0.05</v>
      </c>
      <c r="I1535">
        <v>271.7</v>
      </c>
      <c r="J1535">
        <v>5</v>
      </c>
      <c r="K1535">
        <v>177.95864672767399</v>
      </c>
      <c r="L1535">
        <v>1358.5</v>
      </c>
      <c r="M1535">
        <v>889.79323363837102</v>
      </c>
      <c r="N1535">
        <v>468.70676636162801</v>
      </c>
      <c r="O1535" t="s">
        <v>51</v>
      </c>
      <c r="P1535">
        <f t="shared" si="46"/>
        <v>1430</v>
      </c>
      <c r="Q1535">
        <f t="shared" si="47"/>
        <v>-468.70676636162898</v>
      </c>
    </row>
    <row r="1536" spans="1:17" x14ac:dyDescent="0.4">
      <c r="A1536" t="s">
        <v>3029</v>
      </c>
      <c r="B1536" s="1">
        <v>45304.583333333336</v>
      </c>
      <c r="C1536" t="s">
        <v>65</v>
      </c>
      <c r="D1536" t="s">
        <v>154</v>
      </c>
      <c r="E1536" t="s">
        <v>48</v>
      </c>
      <c r="F1536" t="s">
        <v>19</v>
      </c>
      <c r="G1536">
        <v>93</v>
      </c>
      <c r="H1536">
        <v>0.1</v>
      </c>
      <c r="I1536">
        <v>83.7</v>
      </c>
      <c r="J1536">
        <v>3</v>
      </c>
      <c r="K1536">
        <v>40.056899300637802</v>
      </c>
      <c r="L1536">
        <v>251.1</v>
      </c>
      <c r="M1536">
        <v>120.170697901913</v>
      </c>
      <c r="N1536">
        <v>130.929302098086</v>
      </c>
      <c r="O1536" t="s">
        <v>20</v>
      </c>
      <c r="P1536">
        <f t="shared" si="46"/>
        <v>279</v>
      </c>
      <c r="Q1536">
        <f t="shared" si="47"/>
        <v>-130.92930209808699</v>
      </c>
    </row>
    <row r="1537" spans="1:17" x14ac:dyDescent="0.4">
      <c r="A1537" t="s">
        <v>3030</v>
      </c>
      <c r="B1537" s="1">
        <v>45798</v>
      </c>
      <c r="C1537" t="s">
        <v>46</v>
      </c>
      <c r="D1537" t="s">
        <v>3031</v>
      </c>
      <c r="E1537" t="s">
        <v>30</v>
      </c>
      <c r="F1537" t="s">
        <v>31</v>
      </c>
      <c r="G1537">
        <v>221</v>
      </c>
      <c r="H1537">
        <v>0.1</v>
      </c>
      <c r="I1537">
        <v>198.9</v>
      </c>
      <c r="J1537">
        <v>7</v>
      </c>
      <c r="K1537">
        <v>104.335446221937</v>
      </c>
      <c r="L1537">
        <v>1392.3</v>
      </c>
      <c r="M1537">
        <v>730.34812355356496</v>
      </c>
      <c r="N1537">
        <v>661.95187644643397</v>
      </c>
      <c r="O1537" t="s">
        <v>32</v>
      </c>
      <c r="P1537">
        <f t="shared" si="46"/>
        <v>1547</v>
      </c>
      <c r="Q1537">
        <f t="shared" si="47"/>
        <v>-661.95187644643499</v>
      </c>
    </row>
    <row r="1538" spans="1:17" x14ac:dyDescent="0.4">
      <c r="A1538" t="s">
        <v>3032</v>
      </c>
      <c r="B1538" s="1">
        <v>46015.75</v>
      </c>
      <c r="C1538" t="s">
        <v>16</v>
      </c>
      <c r="D1538" t="s">
        <v>844</v>
      </c>
      <c r="E1538" t="s">
        <v>115</v>
      </c>
      <c r="F1538" t="s">
        <v>38</v>
      </c>
      <c r="G1538">
        <v>310</v>
      </c>
      <c r="H1538">
        <v>0</v>
      </c>
      <c r="I1538">
        <v>310</v>
      </c>
      <c r="J1538">
        <v>7</v>
      </c>
      <c r="K1538">
        <v>185.28613505345299</v>
      </c>
      <c r="L1538">
        <v>2170</v>
      </c>
      <c r="M1538">
        <v>1297.0029453741699</v>
      </c>
      <c r="N1538">
        <v>872.99705462582301</v>
      </c>
      <c r="O1538" t="s">
        <v>51</v>
      </c>
      <c r="P1538">
        <f t="shared" si="46"/>
        <v>2170</v>
      </c>
      <c r="Q1538">
        <f t="shared" si="47"/>
        <v>-872.99705462583006</v>
      </c>
    </row>
    <row r="1539" spans="1:17" x14ac:dyDescent="0.4">
      <c r="A1539" t="s">
        <v>3033</v>
      </c>
      <c r="B1539" s="1">
        <v>45710.958333333336</v>
      </c>
      <c r="C1539" t="s">
        <v>16</v>
      </c>
      <c r="D1539" t="s">
        <v>3034</v>
      </c>
      <c r="E1539" t="s">
        <v>85</v>
      </c>
      <c r="F1539" t="s">
        <v>70</v>
      </c>
      <c r="G1539">
        <v>241</v>
      </c>
      <c r="H1539">
        <v>0.1</v>
      </c>
      <c r="I1539">
        <v>216.9</v>
      </c>
      <c r="J1539">
        <v>7</v>
      </c>
      <c r="K1539">
        <v>156.31151477681601</v>
      </c>
      <c r="L1539">
        <v>1518.3</v>
      </c>
      <c r="M1539">
        <v>1094.18060343771</v>
      </c>
      <c r="N1539">
        <v>424.119396562286</v>
      </c>
      <c r="O1539" t="s">
        <v>32</v>
      </c>
      <c r="P1539">
        <f t="shared" ref="P1539:P1602" si="48">G1539 * J1539</f>
        <v>1687</v>
      </c>
      <c r="Q1539">
        <f t="shared" ref="Q1539:Q1602" si="49" xml:space="preserve"> M1539 - L1539</f>
        <v>-424.11939656228992</v>
      </c>
    </row>
    <row r="1540" spans="1:17" x14ac:dyDescent="0.4">
      <c r="A1540" t="s">
        <v>3035</v>
      </c>
      <c r="B1540" s="1">
        <v>45477</v>
      </c>
      <c r="C1540" t="s">
        <v>28</v>
      </c>
      <c r="D1540" t="s">
        <v>3036</v>
      </c>
      <c r="E1540" t="s">
        <v>115</v>
      </c>
      <c r="F1540" t="s">
        <v>38</v>
      </c>
      <c r="G1540">
        <v>188</v>
      </c>
      <c r="H1540">
        <v>0.1</v>
      </c>
      <c r="I1540">
        <v>169.2</v>
      </c>
      <c r="J1540">
        <v>5</v>
      </c>
      <c r="K1540">
        <v>93.744129684759201</v>
      </c>
      <c r="L1540">
        <v>846</v>
      </c>
      <c r="M1540">
        <v>468.72064842379598</v>
      </c>
      <c r="N1540">
        <v>377.279351576203</v>
      </c>
      <c r="O1540" t="s">
        <v>32</v>
      </c>
      <c r="P1540">
        <f t="shared" si="48"/>
        <v>940</v>
      </c>
      <c r="Q1540">
        <f t="shared" si="49"/>
        <v>-377.27935157620402</v>
      </c>
    </row>
    <row r="1541" spans="1:17" x14ac:dyDescent="0.4">
      <c r="A1541" t="s">
        <v>3037</v>
      </c>
      <c r="B1541" s="1">
        <v>45420</v>
      </c>
      <c r="C1541" t="s">
        <v>16</v>
      </c>
      <c r="D1541" t="s">
        <v>3038</v>
      </c>
      <c r="E1541" t="s">
        <v>85</v>
      </c>
      <c r="F1541" t="s">
        <v>70</v>
      </c>
      <c r="G1541">
        <v>166</v>
      </c>
      <c r="H1541">
        <v>0.15</v>
      </c>
      <c r="I1541">
        <v>141.1</v>
      </c>
      <c r="J1541">
        <v>7</v>
      </c>
      <c r="K1541">
        <v>113.83656185066501</v>
      </c>
      <c r="L1541">
        <v>987.69999999999902</v>
      </c>
      <c r="M1541">
        <v>796.85593295466094</v>
      </c>
      <c r="N1541">
        <v>190.84406704533899</v>
      </c>
      <c r="O1541" t="s">
        <v>32</v>
      </c>
      <c r="P1541">
        <f t="shared" si="48"/>
        <v>1162</v>
      </c>
      <c r="Q1541">
        <f t="shared" si="49"/>
        <v>-190.84406704533808</v>
      </c>
    </row>
    <row r="1542" spans="1:17" x14ac:dyDescent="0.4">
      <c r="A1542" t="s">
        <v>3039</v>
      </c>
      <c r="B1542" s="1">
        <v>45858.583333333336</v>
      </c>
      <c r="C1542" t="s">
        <v>16</v>
      </c>
      <c r="D1542" t="s">
        <v>3040</v>
      </c>
      <c r="E1542" t="s">
        <v>104</v>
      </c>
      <c r="F1542" t="s">
        <v>25</v>
      </c>
      <c r="G1542">
        <v>298</v>
      </c>
      <c r="H1542">
        <v>0</v>
      </c>
      <c r="I1542">
        <v>298</v>
      </c>
      <c r="J1542">
        <v>6</v>
      </c>
      <c r="K1542">
        <v>214.62181509839101</v>
      </c>
      <c r="L1542">
        <v>1788</v>
      </c>
      <c r="M1542">
        <v>1287.7308905903501</v>
      </c>
      <c r="N1542">
        <v>500.26910940964899</v>
      </c>
      <c r="O1542" t="s">
        <v>26</v>
      </c>
      <c r="P1542">
        <f t="shared" si="48"/>
        <v>1788</v>
      </c>
      <c r="Q1542">
        <f t="shared" si="49"/>
        <v>-500.2691094096499</v>
      </c>
    </row>
    <row r="1543" spans="1:17" x14ac:dyDescent="0.4">
      <c r="A1543" t="s">
        <v>3041</v>
      </c>
      <c r="B1543" s="1">
        <v>45887.291666666664</v>
      </c>
      <c r="C1543" t="s">
        <v>46</v>
      </c>
      <c r="D1543" t="s">
        <v>3042</v>
      </c>
      <c r="E1543" t="s">
        <v>69</v>
      </c>
      <c r="F1543" t="s">
        <v>70</v>
      </c>
      <c r="G1543">
        <v>130</v>
      </c>
      <c r="H1543">
        <v>0</v>
      </c>
      <c r="I1543">
        <v>130</v>
      </c>
      <c r="J1543">
        <v>5</v>
      </c>
      <c r="K1543">
        <v>88.5947897570788</v>
      </c>
      <c r="L1543">
        <v>650</v>
      </c>
      <c r="M1543">
        <v>442.97394878539399</v>
      </c>
      <c r="N1543">
        <v>207.02605121460499</v>
      </c>
      <c r="O1543" t="s">
        <v>32</v>
      </c>
      <c r="P1543">
        <f t="shared" si="48"/>
        <v>650</v>
      </c>
      <c r="Q1543">
        <f t="shared" si="49"/>
        <v>-207.02605121460601</v>
      </c>
    </row>
    <row r="1544" spans="1:17" x14ac:dyDescent="0.4">
      <c r="A1544" t="s">
        <v>3043</v>
      </c>
      <c r="B1544" s="1">
        <v>45873.875</v>
      </c>
      <c r="C1544" t="s">
        <v>65</v>
      </c>
      <c r="D1544" t="s">
        <v>3044</v>
      </c>
      <c r="E1544" t="s">
        <v>85</v>
      </c>
      <c r="F1544" t="s">
        <v>70</v>
      </c>
      <c r="G1544">
        <v>198</v>
      </c>
      <c r="H1544">
        <v>0.1</v>
      </c>
      <c r="I1544">
        <v>178.2</v>
      </c>
      <c r="J1544">
        <v>3</v>
      </c>
      <c r="K1544">
        <v>129.50161874464999</v>
      </c>
      <c r="L1544">
        <v>534.6</v>
      </c>
      <c r="M1544">
        <v>388.50485623395201</v>
      </c>
      <c r="N1544">
        <v>146.09514376604699</v>
      </c>
      <c r="O1544" t="s">
        <v>32</v>
      </c>
      <c r="P1544">
        <f t="shared" si="48"/>
        <v>594</v>
      </c>
      <c r="Q1544">
        <f t="shared" si="49"/>
        <v>-146.09514376604801</v>
      </c>
    </row>
    <row r="1545" spans="1:17" x14ac:dyDescent="0.4">
      <c r="A1545" t="s">
        <v>3045</v>
      </c>
      <c r="B1545" s="1">
        <v>45688.625</v>
      </c>
      <c r="C1545" t="s">
        <v>28</v>
      </c>
      <c r="D1545" t="s">
        <v>3046</v>
      </c>
      <c r="E1545" t="s">
        <v>82</v>
      </c>
      <c r="F1545" t="s">
        <v>25</v>
      </c>
      <c r="G1545">
        <v>242</v>
      </c>
      <c r="H1545">
        <v>0.1</v>
      </c>
      <c r="I1545">
        <v>217.8</v>
      </c>
      <c r="J1545">
        <v>5</v>
      </c>
      <c r="K1545">
        <v>178.20549821000401</v>
      </c>
      <c r="L1545">
        <v>1089</v>
      </c>
      <c r="M1545">
        <v>891.02749105002204</v>
      </c>
      <c r="N1545">
        <v>197.972508949977</v>
      </c>
      <c r="O1545" t="s">
        <v>32</v>
      </c>
      <c r="P1545">
        <f t="shared" si="48"/>
        <v>1210</v>
      </c>
      <c r="Q1545">
        <f t="shared" si="49"/>
        <v>-197.97250894997796</v>
      </c>
    </row>
    <row r="1546" spans="1:17" x14ac:dyDescent="0.4">
      <c r="A1546" t="s">
        <v>3047</v>
      </c>
      <c r="B1546" s="1">
        <v>45849.5</v>
      </c>
      <c r="C1546" t="s">
        <v>28</v>
      </c>
      <c r="D1546" t="s">
        <v>3048</v>
      </c>
      <c r="E1546" t="s">
        <v>73</v>
      </c>
      <c r="F1546" t="s">
        <v>38</v>
      </c>
      <c r="G1546">
        <v>233</v>
      </c>
      <c r="H1546">
        <v>0</v>
      </c>
      <c r="I1546">
        <v>233</v>
      </c>
      <c r="J1546">
        <v>5</v>
      </c>
      <c r="K1546">
        <v>162.44709267893899</v>
      </c>
      <c r="L1546">
        <v>1165</v>
      </c>
      <c r="M1546">
        <v>812.23546339469704</v>
      </c>
      <c r="N1546">
        <v>352.764536605302</v>
      </c>
      <c r="O1546" t="s">
        <v>51</v>
      </c>
      <c r="P1546">
        <f t="shared" si="48"/>
        <v>1165</v>
      </c>
      <c r="Q1546">
        <f t="shared" si="49"/>
        <v>-352.76453660530296</v>
      </c>
    </row>
    <row r="1547" spans="1:17" x14ac:dyDescent="0.4">
      <c r="A1547" t="s">
        <v>3049</v>
      </c>
      <c r="B1547" s="1">
        <v>45786.375</v>
      </c>
      <c r="C1547" t="s">
        <v>16</v>
      </c>
      <c r="D1547" t="s">
        <v>3050</v>
      </c>
      <c r="E1547" t="s">
        <v>104</v>
      </c>
      <c r="F1547" t="s">
        <v>25</v>
      </c>
      <c r="G1547">
        <v>314</v>
      </c>
      <c r="H1547">
        <v>0.05</v>
      </c>
      <c r="I1547">
        <v>298.3</v>
      </c>
      <c r="J1547">
        <v>6</v>
      </c>
      <c r="K1547">
        <v>133.587961819188</v>
      </c>
      <c r="L1547">
        <v>1789.8</v>
      </c>
      <c r="M1547">
        <v>801.52777091512905</v>
      </c>
      <c r="N1547">
        <v>988.27222908486999</v>
      </c>
      <c r="O1547" t="s">
        <v>26</v>
      </c>
      <c r="P1547">
        <f t="shared" si="48"/>
        <v>1884</v>
      </c>
      <c r="Q1547">
        <f t="shared" si="49"/>
        <v>-988.2722290848709</v>
      </c>
    </row>
    <row r="1548" spans="1:17" x14ac:dyDescent="0.4">
      <c r="A1548" t="s">
        <v>3051</v>
      </c>
      <c r="B1548" s="1">
        <v>45630.541666666664</v>
      </c>
      <c r="C1548" t="s">
        <v>22</v>
      </c>
      <c r="D1548" t="s">
        <v>3052</v>
      </c>
      <c r="E1548" t="s">
        <v>115</v>
      </c>
      <c r="F1548" t="s">
        <v>38</v>
      </c>
      <c r="G1548">
        <v>305</v>
      </c>
      <c r="H1548">
        <v>0</v>
      </c>
      <c r="I1548">
        <v>305</v>
      </c>
      <c r="J1548">
        <v>3</v>
      </c>
      <c r="K1548">
        <v>141.84500770863099</v>
      </c>
      <c r="L1548">
        <v>915</v>
      </c>
      <c r="M1548">
        <v>425.53502312589399</v>
      </c>
      <c r="N1548">
        <v>489.46497687410499</v>
      </c>
      <c r="O1548" t="s">
        <v>32</v>
      </c>
      <c r="P1548">
        <f t="shared" si="48"/>
        <v>915</v>
      </c>
      <c r="Q1548">
        <f t="shared" si="49"/>
        <v>-489.46497687410601</v>
      </c>
    </row>
    <row r="1549" spans="1:17" x14ac:dyDescent="0.4">
      <c r="A1549" t="s">
        <v>3053</v>
      </c>
      <c r="B1549" s="1">
        <v>45429.125</v>
      </c>
      <c r="C1549" t="s">
        <v>28</v>
      </c>
      <c r="D1549" t="s">
        <v>3054</v>
      </c>
      <c r="E1549" t="s">
        <v>110</v>
      </c>
      <c r="F1549" t="s">
        <v>19</v>
      </c>
      <c r="G1549">
        <v>297</v>
      </c>
      <c r="H1549">
        <v>0</v>
      </c>
      <c r="I1549">
        <v>297</v>
      </c>
      <c r="J1549">
        <v>3</v>
      </c>
      <c r="K1549">
        <v>184.0892773896</v>
      </c>
      <c r="L1549">
        <v>891</v>
      </c>
      <c r="M1549">
        <v>552.26783216880199</v>
      </c>
      <c r="N1549">
        <v>338.73216783119699</v>
      </c>
      <c r="O1549" t="s">
        <v>32</v>
      </c>
      <c r="P1549">
        <f t="shared" si="48"/>
        <v>891</v>
      </c>
      <c r="Q1549">
        <f t="shared" si="49"/>
        <v>-338.73216783119801</v>
      </c>
    </row>
    <row r="1550" spans="1:17" x14ac:dyDescent="0.4">
      <c r="A1550" t="s">
        <v>3055</v>
      </c>
      <c r="B1550" s="1">
        <v>45460.041666666664</v>
      </c>
      <c r="C1550" t="s">
        <v>46</v>
      </c>
      <c r="D1550" t="s">
        <v>3056</v>
      </c>
      <c r="E1550" t="s">
        <v>41</v>
      </c>
      <c r="F1550" t="s">
        <v>31</v>
      </c>
      <c r="G1550">
        <v>106</v>
      </c>
      <c r="H1550">
        <v>0</v>
      </c>
      <c r="I1550">
        <v>106</v>
      </c>
      <c r="J1550">
        <v>1</v>
      </c>
      <c r="K1550">
        <v>65.830634309896595</v>
      </c>
      <c r="L1550">
        <v>106</v>
      </c>
      <c r="M1550">
        <v>65.830634309896595</v>
      </c>
      <c r="N1550">
        <v>40.169365690103298</v>
      </c>
      <c r="O1550" t="s">
        <v>32</v>
      </c>
      <c r="P1550">
        <f t="shared" si="48"/>
        <v>106</v>
      </c>
      <c r="Q1550">
        <f t="shared" si="49"/>
        <v>-40.169365690103405</v>
      </c>
    </row>
    <row r="1551" spans="1:17" x14ac:dyDescent="0.4">
      <c r="A1551" t="s">
        <v>3057</v>
      </c>
      <c r="B1551" s="1">
        <v>45504.708333333336</v>
      </c>
      <c r="C1551" t="s">
        <v>22</v>
      </c>
      <c r="D1551" t="s">
        <v>3058</v>
      </c>
      <c r="E1551" t="s">
        <v>30</v>
      </c>
      <c r="F1551" t="s">
        <v>31</v>
      </c>
      <c r="G1551">
        <v>85</v>
      </c>
      <c r="H1551">
        <v>0.2</v>
      </c>
      <c r="I1551">
        <v>68</v>
      </c>
      <c r="J1551">
        <v>1</v>
      </c>
      <c r="K1551">
        <v>54.712860157343201</v>
      </c>
      <c r="L1551">
        <v>68</v>
      </c>
      <c r="M1551">
        <v>54.712860157343201</v>
      </c>
      <c r="N1551">
        <v>13.2871398426567</v>
      </c>
      <c r="O1551" t="s">
        <v>32</v>
      </c>
      <c r="P1551">
        <f t="shared" si="48"/>
        <v>85</v>
      </c>
      <c r="Q1551">
        <f t="shared" si="49"/>
        <v>-13.287139842656799</v>
      </c>
    </row>
    <row r="1552" spans="1:17" x14ac:dyDescent="0.4">
      <c r="A1552" t="s">
        <v>3059</v>
      </c>
      <c r="B1552" s="1">
        <v>46003.958333333336</v>
      </c>
      <c r="C1552" t="s">
        <v>43</v>
      </c>
      <c r="D1552" t="s">
        <v>3060</v>
      </c>
      <c r="E1552" t="s">
        <v>85</v>
      </c>
      <c r="F1552" t="s">
        <v>70</v>
      </c>
      <c r="G1552">
        <v>280</v>
      </c>
      <c r="H1552">
        <v>0.1</v>
      </c>
      <c r="I1552">
        <v>252</v>
      </c>
      <c r="J1552">
        <v>3</v>
      </c>
      <c r="K1552">
        <v>139.20602529020999</v>
      </c>
      <c r="L1552">
        <v>756</v>
      </c>
      <c r="M1552">
        <v>417.61807587063203</v>
      </c>
      <c r="N1552">
        <v>338.38192412936701</v>
      </c>
      <c r="O1552" t="s">
        <v>32</v>
      </c>
      <c r="P1552">
        <f t="shared" si="48"/>
        <v>840</v>
      </c>
      <c r="Q1552">
        <f t="shared" si="49"/>
        <v>-338.38192412936797</v>
      </c>
    </row>
    <row r="1553" spans="1:17" x14ac:dyDescent="0.4">
      <c r="A1553" t="s">
        <v>3061</v>
      </c>
      <c r="B1553" s="1">
        <v>45630.875</v>
      </c>
      <c r="C1553" t="s">
        <v>65</v>
      </c>
      <c r="D1553" t="s">
        <v>3062</v>
      </c>
      <c r="E1553" t="s">
        <v>18</v>
      </c>
      <c r="F1553" t="s">
        <v>19</v>
      </c>
      <c r="G1553">
        <v>109</v>
      </c>
      <c r="H1553">
        <v>0</v>
      </c>
      <c r="I1553">
        <v>109</v>
      </c>
      <c r="J1553">
        <v>2</v>
      </c>
      <c r="K1553">
        <v>60.1191380837911</v>
      </c>
      <c r="L1553">
        <v>218</v>
      </c>
      <c r="M1553">
        <v>120.238276167582</v>
      </c>
      <c r="N1553">
        <v>97.761723832417701</v>
      </c>
      <c r="O1553" t="s">
        <v>26</v>
      </c>
      <c r="P1553">
        <f t="shared" si="48"/>
        <v>218</v>
      </c>
      <c r="Q1553">
        <f t="shared" si="49"/>
        <v>-97.761723832417999</v>
      </c>
    </row>
    <row r="1554" spans="1:17" x14ac:dyDescent="0.4">
      <c r="A1554" t="s">
        <v>3063</v>
      </c>
      <c r="B1554" s="1">
        <v>45998.583333333336</v>
      </c>
      <c r="C1554" t="s">
        <v>28</v>
      </c>
      <c r="D1554" t="s">
        <v>3064</v>
      </c>
      <c r="E1554" t="s">
        <v>69</v>
      </c>
      <c r="F1554" t="s">
        <v>70</v>
      </c>
      <c r="G1554">
        <v>256</v>
      </c>
      <c r="H1554">
        <v>0</v>
      </c>
      <c r="I1554">
        <v>256</v>
      </c>
      <c r="J1554">
        <v>3</v>
      </c>
      <c r="K1554">
        <v>103.293399051473</v>
      </c>
      <c r="L1554">
        <v>768</v>
      </c>
      <c r="M1554">
        <v>309.88019715441999</v>
      </c>
      <c r="N1554">
        <v>458.11980284557899</v>
      </c>
      <c r="O1554" t="s">
        <v>32</v>
      </c>
      <c r="P1554">
        <f t="shared" si="48"/>
        <v>768</v>
      </c>
      <c r="Q1554">
        <f t="shared" si="49"/>
        <v>-458.11980284558001</v>
      </c>
    </row>
    <row r="1555" spans="1:17" x14ac:dyDescent="0.4">
      <c r="A1555" t="s">
        <v>3065</v>
      </c>
      <c r="B1555" s="1">
        <v>45529.666666666664</v>
      </c>
      <c r="C1555" t="s">
        <v>16</v>
      </c>
      <c r="D1555" t="s">
        <v>3066</v>
      </c>
      <c r="E1555" t="s">
        <v>94</v>
      </c>
      <c r="F1555" t="s">
        <v>61</v>
      </c>
      <c r="G1555">
        <v>310</v>
      </c>
      <c r="H1555">
        <v>0.05</v>
      </c>
      <c r="I1555">
        <v>294.5</v>
      </c>
      <c r="J1555">
        <v>1</v>
      </c>
      <c r="K1555">
        <v>153.58041021212401</v>
      </c>
      <c r="L1555">
        <v>294.5</v>
      </c>
      <c r="M1555">
        <v>153.58041021212401</v>
      </c>
      <c r="N1555">
        <v>140.919589787875</v>
      </c>
      <c r="O1555" t="s">
        <v>32</v>
      </c>
      <c r="P1555">
        <f t="shared" si="48"/>
        <v>310</v>
      </c>
      <c r="Q1555">
        <f t="shared" si="49"/>
        <v>-140.91958978787599</v>
      </c>
    </row>
    <row r="1556" spans="1:17" x14ac:dyDescent="0.4">
      <c r="A1556" t="s">
        <v>3067</v>
      </c>
      <c r="B1556" s="1">
        <v>45619</v>
      </c>
      <c r="C1556" t="s">
        <v>16</v>
      </c>
      <c r="D1556" t="s">
        <v>2901</v>
      </c>
      <c r="E1556" t="s">
        <v>85</v>
      </c>
      <c r="F1556" t="s">
        <v>70</v>
      </c>
      <c r="G1556">
        <v>155</v>
      </c>
      <c r="H1556">
        <v>0.2</v>
      </c>
      <c r="I1556">
        <v>124</v>
      </c>
      <c r="J1556">
        <v>7</v>
      </c>
      <c r="K1556">
        <v>80.816992842892205</v>
      </c>
      <c r="L1556">
        <v>868</v>
      </c>
      <c r="M1556">
        <v>565.71894990024498</v>
      </c>
      <c r="N1556">
        <v>302.281050099754</v>
      </c>
      <c r="O1556" t="s">
        <v>20</v>
      </c>
      <c r="P1556">
        <f t="shared" si="48"/>
        <v>1085</v>
      </c>
      <c r="Q1556">
        <f t="shared" si="49"/>
        <v>-302.28105009975502</v>
      </c>
    </row>
    <row r="1557" spans="1:17" x14ac:dyDescent="0.4">
      <c r="A1557" t="s">
        <v>3068</v>
      </c>
      <c r="B1557" s="1">
        <v>45832.625</v>
      </c>
      <c r="C1557" t="s">
        <v>43</v>
      </c>
      <c r="D1557" t="s">
        <v>3069</v>
      </c>
      <c r="E1557" t="s">
        <v>115</v>
      </c>
      <c r="F1557" t="s">
        <v>38</v>
      </c>
      <c r="G1557">
        <v>279</v>
      </c>
      <c r="H1557">
        <v>0</v>
      </c>
      <c r="I1557">
        <v>279</v>
      </c>
      <c r="J1557">
        <v>4</v>
      </c>
      <c r="K1557">
        <v>168.35274871779001</v>
      </c>
      <c r="L1557">
        <v>1116</v>
      </c>
      <c r="M1557">
        <v>673.41099487116298</v>
      </c>
      <c r="N1557">
        <v>442.58900512883599</v>
      </c>
      <c r="O1557" t="s">
        <v>32</v>
      </c>
      <c r="P1557">
        <f t="shared" si="48"/>
        <v>1116</v>
      </c>
      <c r="Q1557">
        <f t="shared" si="49"/>
        <v>-442.58900512883702</v>
      </c>
    </row>
    <row r="1558" spans="1:17" x14ac:dyDescent="0.4">
      <c r="A1558" t="s">
        <v>3070</v>
      </c>
      <c r="B1558" s="1">
        <v>45580.5</v>
      </c>
      <c r="C1558" t="s">
        <v>46</v>
      </c>
      <c r="D1558" t="s">
        <v>3071</v>
      </c>
      <c r="E1558" t="s">
        <v>146</v>
      </c>
      <c r="F1558" t="s">
        <v>70</v>
      </c>
      <c r="G1558">
        <v>167</v>
      </c>
      <c r="H1558">
        <v>0.1</v>
      </c>
      <c r="I1558">
        <v>150.30000000000001</v>
      </c>
      <c r="J1558">
        <v>3</v>
      </c>
      <c r="K1558">
        <v>85.332961819270693</v>
      </c>
      <c r="L1558">
        <v>450.9</v>
      </c>
      <c r="M1558">
        <v>255.99888545781201</v>
      </c>
      <c r="N1558">
        <v>194.901114542187</v>
      </c>
      <c r="O1558" t="s">
        <v>26</v>
      </c>
      <c r="P1558">
        <f t="shared" si="48"/>
        <v>501</v>
      </c>
      <c r="Q1558">
        <f t="shared" si="49"/>
        <v>-194.90111454218797</v>
      </c>
    </row>
    <row r="1559" spans="1:17" x14ac:dyDescent="0.4">
      <c r="A1559" t="s">
        <v>3072</v>
      </c>
      <c r="B1559" s="1">
        <v>45312.333333333336</v>
      </c>
      <c r="C1559" t="s">
        <v>22</v>
      </c>
      <c r="D1559" t="s">
        <v>3073</v>
      </c>
      <c r="E1559" t="s">
        <v>24</v>
      </c>
      <c r="F1559" t="s">
        <v>25</v>
      </c>
      <c r="G1559">
        <v>200</v>
      </c>
      <c r="H1559">
        <v>0.15</v>
      </c>
      <c r="I1559">
        <v>170</v>
      </c>
      <c r="J1559">
        <v>5</v>
      </c>
      <c r="K1559">
        <v>135.311607115166</v>
      </c>
      <c r="L1559">
        <v>850</v>
      </c>
      <c r="M1559">
        <v>676.55803557583204</v>
      </c>
      <c r="N1559">
        <v>173.441964424167</v>
      </c>
      <c r="O1559" t="s">
        <v>20</v>
      </c>
      <c r="P1559">
        <f t="shared" si="48"/>
        <v>1000</v>
      </c>
      <c r="Q1559">
        <f t="shared" si="49"/>
        <v>-173.44196442416796</v>
      </c>
    </row>
    <row r="1560" spans="1:17" x14ac:dyDescent="0.4">
      <c r="A1560" t="s">
        <v>3074</v>
      </c>
      <c r="B1560" s="1">
        <v>45588.416666666664</v>
      </c>
      <c r="C1560" t="s">
        <v>43</v>
      </c>
      <c r="D1560" t="s">
        <v>3075</v>
      </c>
      <c r="E1560" t="s">
        <v>69</v>
      </c>
      <c r="F1560" t="s">
        <v>70</v>
      </c>
      <c r="G1560">
        <v>322</v>
      </c>
      <c r="H1560">
        <v>0.15</v>
      </c>
      <c r="I1560">
        <v>273.7</v>
      </c>
      <c r="J1560">
        <v>2</v>
      </c>
      <c r="K1560">
        <v>188.81442582155901</v>
      </c>
      <c r="L1560">
        <v>547.4</v>
      </c>
      <c r="M1560">
        <v>377.62885164311899</v>
      </c>
      <c r="N1560">
        <v>169.77114835687999</v>
      </c>
      <c r="O1560" t="s">
        <v>26</v>
      </c>
      <c r="P1560">
        <f t="shared" si="48"/>
        <v>644</v>
      </c>
      <c r="Q1560">
        <f t="shared" si="49"/>
        <v>-169.77114835688099</v>
      </c>
    </row>
    <row r="1561" spans="1:17" x14ac:dyDescent="0.4">
      <c r="A1561" t="s">
        <v>3076</v>
      </c>
      <c r="B1561" s="1">
        <v>45947.833333333336</v>
      </c>
      <c r="C1561" t="s">
        <v>65</v>
      </c>
      <c r="D1561" t="s">
        <v>3077</v>
      </c>
      <c r="E1561" t="s">
        <v>73</v>
      </c>
      <c r="F1561" t="s">
        <v>38</v>
      </c>
      <c r="G1561">
        <v>199</v>
      </c>
      <c r="H1561">
        <v>0.05</v>
      </c>
      <c r="I1561">
        <v>189.04999999999899</v>
      </c>
      <c r="J1561">
        <v>5</v>
      </c>
      <c r="K1561">
        <v>119.307694256269</v>
      </c>
      <c r="L1561">
        <v>945.24999999999898</v>
      </c>
      <c r="M1561">
        <v>596.53847128134805</v>
      </c>
      <c r="N1561">
        <v>348.71152871865098</v>
      </c>
      <c r="O1561" t="s">
        <v>26</v>
      </c>
      <c r="P1561">
        <f t="shared" si="48"/>
        <v>995</v>
      </c>
      <c r="Q1561">
        <f t="shared" si="49"/>
        <v>-348.71152871865092</v>
      </c>
    </row>
    <row r="1562" spans="1:17" x14ac:dyDescent="0.4">
      <c r="A1562" t="s">
        <v>3078</v>
      </c>
      <c r="B1562" s="1">
        <v>45424.208333333336</v>
      </c>
      <c r="C1562" t="s">
        <v>28</v>
      </c>
      <c r="D1562" t="s">
        <v>3079</v>
      </c>
      <c r="E1562" t="s">
        <v>48</v>
      </c>
      <c r="F1562" t="s">
        <v>19</v>
      </c>
      <c r="G1562">
        <v>191</v>
      </c>
      <c r="H1562">
        <v>0.15</v>
      </c>
      <c r="I1562">
        <v>162.35</v>
      </c>
      <c r="J1562">
        <v>6</v>
      </c>
      <c r="K1562">
        <v>123.465140402822</v>
      </c>
      <c r="L1562">
        <v>974.099999999999</v>
      </c>
      <c r="M1562">
        <v>740.79084241693602</v>
      </c>
      <c r="N1562">
        <v>233.30915758306301</v>
      </c>
      <c r="O1562" t="s">
        <v>51</v>
      </c>
      <c r="P1562">
        <f t="shared" si="48"/>
        <v>1146</v>
      </c>
      <c r="Q1562">
        <f t="shared" si="49"/>
        <v>-233.30915758306298</v>
      </c>
    </row>
    <row r="1563" spans="1:17" x14ac:dyDescent="0.4">
      <c r="A1563" t="s">
        <v>3080</v>
      </c>
      <c r="B1563" s="1">
        <v>45361.458333333336</v>
      </c>
      <c r="C1563" t="s">
        <v>16</v>
      </c>
      <c r="D1563" t="s">
        <v>3081</v>
      </c>
      <c r="E1563" t="s">
        <v>30</v>
      </c>
      <c r="F1563" t="s">
        <v>31</v>
      </c>
      <c r="G1563">
        <v>332</v>
      </c>
      <c r="H1563">
        <v>0.15</v>
      </c>
      <c r="I1563">
        <v>282.2</v>
      </c>
      <c r="J1563">
        <v>5</v>
      </c>
      <c r="K1563">
        <v>154.47802939713</v>
      </c>
      <c r="L1563">
        <v>1411</v>
      </c>
      <c r="M1563">
        <v>772.390146985652</v>
      </c>
      <c r="N1563">
        <v>638.60985301434698</v>
      </c>
      <c r="O1563" t="s">
        <v>26</v>
      </c>
      <c r="P1563">
        <f t="shared" si="48"/>
        <v>1660</v>
      </c>
      <c r="Q1563">
        <f t="shared" si="49"/>
        <v>-638.609853014348</v>
      </c>
    </row>
    <row r="1564" spans="1:17" x14ac:dyDescent="0.4">
      <c r="A1564" t="s">
        <v>3082</v>
      </c>
      <c r="B1564" s="1">
        <v>45463.416666666664</v>
      </c>
      <c r="C1564" t="s">
        <v>65</v>
      </c>
      <c r="D1564" t="s">
        <v>3083</v>
      </c>
      <c r="E1564" t="s">
        <v>69</v>
      </c>
      <c r="F1564" t="s">
        <v>70</v>
      </c>
      <c r="G1564">
        <v>216</v>
      </c>
      <c r="H1564">
        <v>0.1</v>
      </c>
      <c r="I1564">
        <v>194.4</v>
      </c>
      <c r="J1564">
        <v>5</v>
      </c>
      <c r="K1564">
        <v>141.746628138565</v>
      </c>
      <c r="L1564">
        <v>972</v>
      </c>
      <c r="M1564">
        <v>708.73314069282696</v>
      </c>
      <c r="N1564">
        <v>263.26685930717201</v>
      </c>
      <c r="O1564" t="s">
        <v>32</v>
      </c>
      <c r="P1564">
        <f t="shared" si="48"/>
        <v>1080</v>
      </c>
      <c r="Q1564">
        <f t="shared" si="49"/>
        <v>-263.26685930717304</v>
      </c>
    </row>
    <row r="1565" spans="1:17" x14ac:dyDescent="0.4">
      <c r="A1565" t="s">
        <v>3084</v>
      </c>
      <c r="B1565" s="1">
        <v>45440.041666666664</v>
      </c>
      <c r="C1565" t="s">
        <v>65</v>
      </c>
      <c r="D1565" t="s">
        <v>3085</v>
      </c>
      <c r="E1565" t="s">
        <v>37</v>
      </c>
      <c r="F1565" t="s">
        <v>38</v>
      </c>
      <c r="G1565">
        <v>307</v>
      </c>
      <c r="H1565">
        <v>0.05</v>
      </c>
      <c r="I1565">
        <v>291.64999999999998</v>
      </c>
      <c r="J1565">
        <v>6</v>
      </c>
      <c r="K1565">
        <v>175.805108234876</v>
      </c>
      <c r="L1565">
        <v>1749.8999999999901</v>
      </c>
      <c r="M1565">
        <v>1054.8306494092501</v>
      </c>
      <c r="N1565">
        <v>695.06935059074203</v>
      </c>
      <c r="O1565" t="s">
        <v>32</v>
      </c>
      <c r="P1565">
        <f t="shared" si="48"/>
        <v>1842</v>
      </c>
      <c r="Q1565">
        <f t="shared" si="49"/>
        <v>-695.06935059073999</v>
      </c>
    </row>
    <row r="1566" spans="1:17" x14ac:dyDescent="0.4">
      <c r="A1566" t="s">
        <v>3086</v>
      </c>
      <c r="B1566" s="1">
        <v>45615.375</v>
      </c>
      <c r="C1566" t="s">
        <v>22</v>
      </c>
      <c r="D1566" t="s">
        <v>3087</v>
      </c>
      <c r="E1566" t="s">
        <v>24</v>
      </c>
      <c r="F1566" t="s">
        <v>25</v>
      </c>
      <c r="G1566">
        <v>278</v>
      </c>
      <c r="H1566">
        <v>0.15</v>
      </c>
      <c r="I1566">
        <v>236.29999999999899</v>
      </c>
      <c r="J1566">
        <v>2</v>
      </c>
      <c r="K1566">
        <v>195.17252205495799</v>
      </c>
      <c r="L1566">
        <v>472.599999999999</v>
      </c>
      <c r="M1566">
        <v>390.34504410991599</v>
      </c>
      <c r="N1566">
        <v>82.254955890083096</v>
      </c>
      <c r="O1566" t="s">
        <v>20</v>
      </c>
      <c r="P1566">
        <f t="shared" si="48"/>
        <v>556</v>
      </c>
      <c r="Q1566">
        <f t="shared" si="49"/>
        <v>-82.254955890083011</v>
      </c>
    </row>
    <row r="1567" spans="1:17" x14ac:dyDescent="0.4">
      <c r="A1567" t="s">
        <v>3088</v>
      </c>
      <c r="B1567" s="1">
        <v>45333.666666666664</v>
      </c>
      <c r="C1567" t="s">
        <v>28</v>
      </c>
      <c r="D1567" t="s">
        <v>3089</v>
      </c>
      <c r="E1567" t="s">
        <v>146</v>
      </c>
      <c r="F1567" t="s">
        <v>70</v>
      </c>
      <c r="G1567">
        <v>249</v>
      </c>
      <c r="H1567">
        <v>0.05</v>
      </c>
      <c r="I1567">
        <v>236.54999999999899</v>
      </c>
      <c r="J1567">
        <v>2</v>
      </c>
      <c r="K1567">
        <v>172.183383721051</v>
      </c>
      <c r="L1567">
        <v>473.099999999999</v>
      </c>
      <c r="M1567">
        <v>344.36676744210303</v>
      </c>
      <c r="N1567">
        <v>128.733232557896</v>
      </c>
      <c r="O1567" t="s">
        <v>32</v>
      </c>
      <c r="P1567">
        <f t="shared" si="48"/>
        <v>498</v>
      </c>
      <c r="Q1567">
        <f t="shared" si="49"/>
        <v>-128.73323255789597</v>
      </c>
    </row>
    <row r="1568" spans="1:17" x14ac:dyDescent="0.4">
      <c r="A1568" t="s">
        <v>3090</v>
      </c>
      <c r="B1568" s="1">
        <v>45943.583333333336</v>
      </c>
      <c r="C1568" t="s">
        <v>16</v>
      </c>
      <c r="D1568" t="s">
        <v>3091</v>
      </c>
      <c r="E1568" t="s">
        <v>85</v>
      </c>
      <c r="F1568" t="s">
        <v>70</v>
      </c>
      <c r="G1568">
        <v>274</v>
      </c>
      <c r="H1568">
        <v>0.1</v>
      </c>
      <c r="I1568">
        <v>246.6</v>
      </c>
      <c r="J1568">
        <v>2</v>
      </c>
      <c r="K1568">
        <v>128.54836178093501</v>
      </c>
      <c r="L1568">
        <v>493.2</v>
      </c>
      <c r="M1568">
        <v>257.09672356187099</v>
      </c>
      <c r="N1568">
        <v>236.10327643812801</v>
      </c>
      <c r="O1568" t="s">
        <v>26</v>
      </c>
      <c r="P1568">
        <f t="shared" si="48"/>
        <v>548</v>
      </c>
      <c r="Q1568">
        <f t="shared" si="49"/>
        <v>-236.103276438129</v>
      </c>
    </row>
    <row r="1569" spans="1:17" x14ac:dyDescent="0.4">
      <c r="A1569" t="s">
        <v>3092</v>
      </c>
      <c r="B1569" s="1">
        <v>45519.083333333336</v>
      </c>
      <c r="C1569" t="s">
        <v>65</v>
      </c>
      <c r="D1569" t="s">
        <v>3093</v>
      </c>
      <c r="E1569" t="s">
        <v>146</v>
      </c>
      <c r="F1569" t="s">
        <v>70</v>
      </c>
      <c r="G1569">
        <v>138</v>
      </c>
      <c r="H1569">
        <v>0.25</v>
      </c>
      <c r="I1569">
        <v>103.5</v>
      </c>
      <c r="J1569">
        <v>1</v>
      </c>
      <c r="K1569">
        <v>56.1824621405651</v>
      </c>
      <c r="L1569">
        <v>103.5</v>
      </c>
      <c r="M1569">
        <v>56.1824621405651</v>
      </c>
      <c r="N1569">
        <v>47.3175378594348</v>
      </c>
      <c r="O1569" t="s">
        <v>32</v>
      </c>
      <c r="P1569">
        <f t="shared" si="48"/>
        <v>138</v>
      </c>
      <c r="Q1569">
        <f t="shared" si="49"/>
        <v>-47.3175378594349</v>
      </c>
    </row>
    <row r="1570" spans="1:17" x14ac:dyDescent="0.4">
      <c r="A1570" t="s">
        <v>3094</v>
      </c>
      <c r="B1570" s="1">
        <v>45446.666666666664</v>
      </c>
      <c r="C1570" t="s">
        <v>22</v>
      </c>
      <c r="D1570" t="s">
        <v>3095</v>
      </c>
      <c r="E1570" t="s">
        <v>18</v>
      </c>
      <c r="F1570" t="s">
        <v>19</v>
      </c>
      <c r="G1570">
        <v>135</v>
      </c>
      <c r="H1570">
        <v>0.1</v>
      </c>
      <c r="I1570">
        <v>121.5</v>
      </c>
      <c r="J1570">
        <v>2</v>
      </c>
      <c r="K1570">
        <v>66.162680626794298</v>
      </c>
      <c r="L1570">
        <v>243</v>
      </c>
      <c r="M1570">
        <v>132.325361253588</v>
      </c>
      <c r="N1570">
        <v>110.67463874641101</v>
      </c>
      <c r="O1570" t="s">
        <v>32</v>
      </c>
      <c r="P1570">
        <f t="shared" si="48"/>
        <v>270</v>
      </c>
      <c r="Q1570">
        <f t="shared" si="49"/>
        <v>-110.674638746412</v>
      </c>
    </row>
    <row r="1571" spans="1:17" x14ac:dyDescent="0.4">
      <c r="A1571" t="s">
        <v>3096</v>
      </c>
      <c r="B1571" s="1">
        <v>45348.958333333336</v>
      </c>
      <c r="C1571" t="s">
        <v>22</v>
      </c>
      <c r="D1571" t="s">
        <v>575</v>
      </c>
      <c r="E1571" t="s">
        <v>146</v>
      </c>
      <c r="F1571" t="s">
        <v>70</v>
      </c>
      <c r="G1571">
        <v>103</v>
      </c>
      <c r="H1571">
        <v>0</v>
      </c>
      <c r="I1571">
        <v>103</v>
      </c>
      <c r="J1571">
        <v>6</v>
      </c>
      <c r="K1571">
        <v>41.293999055304397</v>
      </c>
      <c r="L1571">
        <v>618</v>
      </c>
      <c r="M1571">
        <v>247.76399433182601</v>
      </c>
      <c r="N1571">
        <v>370.23600566817299</v>
      </c>
      <c r="O1571" t="s">
        <v>51</v>
      </c>
      <c r="P1571">
        <f t="shared" si="48"/>
        <v>618</v>
      </c>
      <c r="Q1571">
        <f t="shared" si="49"/>
        <v>-370.23600566817402</v>
      </c>
    </row>
    <row r="1572" spans="1:17" x14ac:dyDescent="0.4">
      <c r="A1572" t="s">
        <v>3097</v>
      </c>
      <c r="B1572" s="1">
        <v>45633.208333333336</v>
      </c>
      <c r="C1572" t="s">
        <v>46</v>
      </c>
      <c r="D1572" t="s">
        <v>3098</v>
      </c>
      <c r="E1572" t="s">
        <v>41</v>
      </c>
      <c r="F1572" t="s">
        <v>31</v>
      </c>
      <c r="G1572">
        <v>256</v>
      </c>
      <c r="H1572">
        <v>0.1</v>
      </c>
      <c r="I1572">
        <v>230.4</v>
      </c>
      <c r="J1572">
        <v>7</v>
      </c>
      <c r="K1572">
        <v>174.61603997186401</v>
      </c>
      <c r="L1572">
        <v>1612.8</v>
      </c>
      <c r="M1572">
        <v>1222.3122798030499</v>
      </c>
      <c r="N1572">
        <v>390.487720196949</v>
      </c>
      <c r="O1572" t="s">
        <v>26</v>
      </c>
      <c r="P1572">
        <f t="shared" si="48"/>
        <v>1792</v>
      </c>
      <c r="Q1572">
        <f t="shared" si="49"/>
        <v>-390.48772019695002</v>
      </c>
    </row>
    <row r="1573" spans="1:17" x14ac:dyDescent="0.4">
      <c r="A1573" t="s">
        <v>3099</v>
      </c>
      <c r="B1573" s="1">
        <v>45667.541666666664</v>
      </c>
      <c r="C1573" t="s">
        <v>43</v>
      </c>
      <c r="D1573" t="s">
        <v>3100</v>
      </c>
      <c r="E1573" t="s">
        <v>97</v>
      </c>
      <c r="F1573" t="s">
        <v>61</v>
      </c>
      <c r="G1573">
        <v>143</v>
      </c>
      <c r="H1573">
        <v>0.1</v>
      </c>
      <c r="I1573">
        <v>128.69999999999999</v>
      </c>
      <c r="J1573">
        <v>2</v>
      </c>
      <c r="K1573">
        <v>61.177556876017398</v>
      </c>
      <c r="L1573">
        <v>257.39999999999998</v>
      </c>
      <c r="M1573">
        <v>122.355113752034</v>
      </c>
      <c r="N1573">
        <v>135.044886247965</v>
      </c>
      <c r="O1573" t="s">
        <v>32</v>
      </c>
      <c r="P1573">
        <f t="shared" si="48"/>
        <v>286</v>
      </c>
      <c r="Q1573">
        <f t="shared" si="49"/>
        <v>-135.04488624796596</v>
      </c>
    </row>
    <row r="1574" spans="1:17" x14ac:dyDescent="0.4">
      <c r="A1574" t="s">
        <v>3101</v>
      </c>
      <c r="B1574" s="1">
        <v>45993.583333333336</v>
      </c>
      <c r="C1574" t="s">
        <v>28</v>
      </c>
      <c r="D1574" t="s">
        <v>3102</v>
      </c>
      <c r="E1574" t="s">
        <v>41</v>
      </c>
      <c r="F1574" t="s">
        <v>31</v>
      </c>
      <c r="G1574">
        <v>324</v>
      </c>
      <c r="H1574">
        <v>0.15</v>
      </c>
      <c r="I1574">
        <v>275.39999999999998</v>
      </c>
      <c r="J1574">
        <v>7</v>
      </c>
      <c r="K1574">
        <v>167.06256189847301</v>
      </c>
      <c r="L1574">
        <v>1927.79999999999</v>
      </c>
      <c r="M1574">
        <v>1169.43793328931</v>
      </c>
      <c r="N1574">
        <v>758.36206671068499</v>
      </c>
      <c r="O1574" t="s">
        <v>51</v>
      </c>
      <c r="P1574">
        <f t="shared" si="48"/>
        <v>2268</v>
      </c>
      <c r="Q1574">
        <f t="shared" si="49"/>
        <v>-758.36206671067998</v>
      </c>
    </row>
    <row r="1575" spans="1:17" x14ac:dyDescent="0.4">
      <c r="A1575" t="s">
        <v>3103</v>
      </c>
      <c r="B1575" s="1">
        <v>45447.25</v>
      </c>
      <c r="C1575" t="s">
        <v>16</v>
      </c>
      <c r="D1575" t="s">
        <v>1541</v>
      </c>
      <c r="E1575" t="s">
        <v>73</v>
      </c>
      <c r="F1575" t="s">
        <v>38</v>
      </c>
      <c r="G1575">
        <v>129</v>
      </c>
      <c r="H1575">
        <v>0.05</v>
      </c>
      <c r="I1575">
        <v>122.55</v>
      </c>
      <c r="J1575">
        <v>1</v>
      </c>
      <c r="K1575">
        <v>51.927447124883699</v>
      </c>
      <c r="L1575">
        <v>122.55</v>
      </c>
      <c r="M1575">
        <v>51.927447124883699</v>
      </c>
      <c r="N1575">
        <v>70.622552875116199</v>
      </c>
      <c r="O1575" t="s">
        <v>26</v>
      </c>
      <c r="P1575">
        <f t="shared" si="48"/>
        <v>129</v>
      </c>
      <c r="Q1575">
        <f t="shared" si="49"/>
        <v>-70.622552875116298</v>
      </c>
    </row>
    <row r="1576" spans="1:17" x14ac:dyDescent="0.4">
      <c r="A1576" t="s">
        <v>3104</v>
      </c>
      <c r="B1576" s="1">
        <v>45492.25</v>
      </c>
      <c r="C1576" t="s">
        <v>43</v>
      </c>
      <c r="D1576" t="s">
        <v>3105</v>
      </c>
      <c r="E1576" t="s">
        <v>18</v>
      </c>
      <c r="F1576" t="s">
        <v>19</v>
      </c>
      <c r="G1576">
        <v>177</v>
      </c>
      <c r="H1576">
        <v>0.15</v>
      </c>
      <c r="I1576">
        <v>150.44999999999999</v>
      </c>
      <c r="J1576">
        <v>7</v>
      </c>
      <c r="K1576">
        <v>126.280653129196</v>
      </c>
      <c r="L1576">
        <v>1053.1499999999901</v>
      </c>
      <c r="M1576">
        <v>883.96457190437502</v>
      </c>
      <c r="N1576">
        <v>169.185428095623</v>
      </c>
      <c r="O1576" t="s">
        <v>105</v>
      </c>
      <c r="P1576">
        <f t="shared" si="48"/>
        <v>1239</v>
      </c>
      <c r="Q1576">
        <f t="shared" si="49"/>
        <v>-169.18542809561507</v>
      </c>
    </row>
    <row r="1577" spans="1:17" x14ac:dyDescent="0.4">
      <c r="A1577" t="s">
        <v>3106</v>
      </c>
      <c r="B1577" s="1">
        <v>45383.25</v>
      </c>
      <c r="C1577" t="s">
        <v>65</v>
      </c>
      <c r="D1577" t="s">
        <v>3107</v>
      </c>
      <c r="E1577" t="s">
        <v>30</v>
      </c>
      <c r="F1577" t="s">
        <v>31</v>
      </c>
      <c r="G1577">
        <v>176</v>
      </c>
      <c r="H1577">
        <v>0</v>
      </c>
      <c r="I1577">
        <v>176</v>
      </c>
      <c r="J1577">
        <v>6</v>
      </c>
      <c r="K1577">
        <v>74.800604393343804</v>
      </c>
      <c r="L1577">
        <v>1056</v>
      </c>
      <c r="M1577">
        <v>448.80362636006299</v>
      </c>
      <c r="N1577">
        <v>607.19637363993695</v>
      </c>
      <c r="O1577" t="s">
        <v>26</v>
      </c>
      <c r="P1577">
        <f t="shared" si="48"/>
        <v>1056</v>
      </c>
      <c r="Q1577">
        <f t="shared" si="49"/>
        <v>-607.19637363993706</v>
      </c>
    </row>
    <row r="1578" spans="1:17" x14ac:dyDescent="0.4">
      <c r="A1578" t="s">
        <v>3108</v>
      </c>
      <c r="B1578" s="1">
        <v>45671.5</v>
      </c>
      <c r="C1578" t="s">
        <v>22</v>
      </c>
      <c r="D1578" t="s">
        <v>1018</v>
      </c>
      <c r="E1578" t="s">
        <v>60</v>
      </c>
      <c r="F1578" t="s">
        <v>61</v>
      </c>
      <c r="G1578">
        <v>248</v>
      </c>
      <c r="H1578">
        <v>0.2</v>
      </c>
      <c r="I1578">
        <v>198.4</v>
      </c>
      <c r="J1578">
        <v>7</v>
      </c>
      <c r="K1578">
        <v>123.93955452373</v>
      </c>
      <c r="L1578">
        <v>1388.8</v>
      </c>
      <c r="M1578">
        <v>867.57688166611297</v>
      </c>
      <c r="N1578">
        <v>521.22311833388596</v>
      </c>
      <c r="O1578" t="s">
        <v>32</v>
      </c>
      <c r="P1578">
        <f t="shared" si="48"/>
        <v>1736</v>
      </c>
      <c r="Q1578">
        <f t="shared" si="49"/>
        <v>-521.22311833388699</v>
      </c>
    </row>
    <row r="1579" spans="1:17" x14ac:dyDescent="0.4">
      <c r="A1579" t="s">
        <v>3109</v>
      </c>
      <c r="B1579" s="1">
        <v>45799.416666666664</v>
      </c>
      <c r="C1579" t="s">
        <v>28</v>
      </c>
      <c r="D1579" t="s">
        <v>3110</v>
      </c>
      <c r="E1579" t="s">
        <v>146</v>
      </c>
      <c r="F1579" t="s">
        <v>70</v>
      </c>
      <c r="G1579">
        <v>345</v>
      </c>
      <c r="H1579">
        <v>0.05</v>
      </c>
      <c r="I1579">
        <v>327.75</v>
      </c>
      <c r="J1579">
        <v>2</v>
      </c>
      <c r="K1579">
        <v>162.75132814192401</v>
      </c>
      <c r="L1579">
        <v>655.5</v>
      </c>
      <c r="M1579">
        <v>325.50265628384898</v>
      </c>
      <c r="N1579">
        <v>329.99734371615</v>
      </c>
      <c r="O1579" t="s">
        <v>26</v>
      </c>
      <c r="P1579">
        <f t="shared" si="48"/>
        <v>690</v>
      </c>
      <c r="Q1579">
        <f t="shared" si="49"/>
        <v>-329.99734371615102</v>
      </c>
    </row>
    <row r="1580" spans="1:17" x14ac:dyDescent="0.4">
      <c r="A1580" t="s">
        <v>3111</v>
      </c>
      <c r="B1580" s="1">
        <v>45411.791666666664</v>
      </c>
      <c r="C1580" t="s">
        <v>65</v>
      </c>
      <c r="D1580" t="s">
        <v>3112</v>
      </c>
      <c r="E1580" t="s">
        <v>146</v>
      </c>
      <c r="F1580" t="s">
        <v>70</v>
      </c>
      <c r="G1580">
        <v>156</v>
      </c>
      <c r="H1580">
        <v>0.05</v>
      </c>
      <c r="I1580">
        <v>148.19999999999999</v>
      </c>
      <c r="J1580">
        <v>5</v>
      </c>
      <c r="K1580">
        <v>83.766772871054101</v>
      </c>
      <c r="L1580">
        <v>741</v>
      </c>
      <c r="M1580">
        <v>418.83386435527001</v>
      </c>
      <c r="N1580">
        <v>322.16613564472902</v>
      </c>
      <c r="O1580" t="s">
        <v>32</v>
      </c>
      <c r="P1580">
        <f t="shared" si="48"/>
        <v>780</v>
      </c>
      <c r="Q1580">
        <f t="shared" si="49"/>
        <v>-322.16613564472999</v>
      </c>
    </row>
    <row r="1581" spans="1:17" x14ac:dyDescent="0.4">
      <c r="A1581" t="s">
        <v>3113</v>
      </c>
      <c r="B1581" s="1">
        <v>45525</v>
      </c>
      <c r="C1581" t="s">
        <v>22</v>
      </c>
      <c r="D1581" t="s">
        <v>3114</v>
      </c>
      <c r="E1581" t="s">
        <v>85</v>
      </c>
      <c r="F1581" t="s">
        <v>70</v>
      </c>
      <c r="G1581">
        <v>269</v>
      </c>
      <c r="H1581">
        <v>0.1</v>
      </c>
      <c r="I1581">
        <v>242.1</v>
      </c>
      <c r="J1581">
        <v>3</v>
      </c>
      <c r="K1581">
        <v>176.283366496117</v>
      </c>
      <c r="L1581">
        <v>726.3</v>
      </c>
      <c r="M1581">
        <v>528.85009948835295</v>
      </c>
      <c r="N1581">
        <v>197.44990051164601</v>
      </c>
      <c r="O1581" t="s">
        <v>32</v>
      </c>
      <c r="P1581">
        <f t="shared" si="48"/>
        <v>807</v>
      </c>
      <c r="Q1581">
        <f t="shared" si="49"/>
        <v>-197.449900511647</v>
      </c>
    </row>
    <row r="1582" spans="1:17" x14ac:dyDescent="0.4">
      <c r="A1582" t="s">
        <v>3115</v>
      </c>
      <c r="B1582" s="1">
        <v>45816.666666666664</v>
      </c>
      <c r="C1582" t="s">
        <v>16</v>
      </c>
      <c r="D1582" t="s">
        <v>3116</v>
      </c>
      <c r="E1582" t="s">
        <v>69</v>
      </c>
      <c r="F1582" t="s">
        <v>70</v>
      </c>
      <c r="G1582">
        <v>225</v>
      </c>
      <c r="H1582">
        <v>0.1</v>
      </c>
      <c r="I1582">
        <v>202.5</v>
      </c>
      <c r="J1582">
        <v>2</v>
      </c>
      <c r="K1582">
        <v>152.97957569238599</v>
      </c>
      <c r="L1582">
        <v>405</v>
      </c>
      <c r="M1582">
        <v>305.95915138477199</v>
      </c>
      <c r="N1582">
        <v>99.040848615227802</v>
      </c>
      <c r="O1582" t="s">
        <v>32</v>
      </c>
      <c r="P1582">
        <f t="shared" si="48"/>
        <v>450</v>
      </c>
      <c r="Q1582">
        <f t="shared" si="49"/>
        <v>-99.040848615228015</v>
      </c>
    </row>
    <row r="1583" spans="1:17" x14ac:dyDescent="0.4">
      <c r="A1583" t="s">
        <v>3117</v>
      </c>
      <c r="B1583" s="1">
        <v>45663.958333333336</v>
      </c>
      <c r="C1583" t="s">
        <v>43</v>
      </c>
      <c r="D1583" t="s">
        <v>3118</v>
      </c>
      <c r="E1583" t="s">
        <v>110</v>
      </c>
      <c r="F1583" t="s">
        <v>19</v>
      </c>
      <c r="G1583">
        <v>239</v>
      </c>
      <c r="H1583">
        <v>0.15</v>
      </c>
      <c r="I1583">
        <v>203.15</v>
      </c>
      <c r="J1583">
        <v>2</v>
      </c>
      <c r="K1583">
        <v>165.26732471830999</v>
      </c>
      <c r="L1583">
        <v>406.3</v>
      </c>
      <c r="M1583">
        <v>330.53464943662101</v>
      </c>
      <c r="N1583">
        <v>75.765350563377993</v>
      </c>
      <c r="O1583" t="s">
        <v>26</v>
      </c>
      <c r="P1583">
        <f t="shared" si="48"/>
        <v>478</v>
      </c>
      <c r="Q1583">
        <f t="shared" si="49"/>
        <v>-75.765350563379002</v>
      </c>
    </row>
    <row r="1584" spans="1:17" x14ac:dyDescent="0.4">
      <c r="A1584" t="s">
        <v>3119</v>
      </c>
      <c r="B1584" s="1">
        <v>45893.541666666664</v>
      </c>
      <c r="C1584" t="s">
        <v>22</v>
      </c>
      <c r="D1584" t="s">
        <v>3120</v>
      </c>
      <c r="E1584" t="s">
        <v>110</v>
      </c>
      <c r="F1584" t="s">
        <v>19</v>
      </c>
      <c r="G1584">
        <v>114</v>
      </c>
      <c r="H1584">
        <v>0</v>
      </c>
      <c r="I1584">
        <v>114</v>
      </c>
      <c r="J1584">
        <v>3</v>
      </c>
      <c r="K1584">
        <v>74.881416479792307</v>
      </c>
      <c r="L1584">
        <v>342</v>
      </c>
      <c r="M1584">
        <v>224.64424943937701</v>
      </c>
      <c r="N1584">
        <v>117.355750560622</v>
      </c>
      <c r="O1584" t="s">
        <v>32</v>
      </c>
      <c r="P1584">
        <f t="shared" si="48"/>
        <v>342</v>
      </c>
      <c r="Q1584">
        <f t="shared" si="49"/>
        <v>-117.35575056062299</v>
      </c>
    </row>
    <row r="1585" spans="1:17" x14ac:dyDescent="0.4">
      <c r="A1585" t="s">
        <v>3121</v>
      </c>
      <c r="B1585" s="1">
        <v>45772.416666666664</v>
      </c>
      <c r="C1585" t="s">
        <v>28</v>
      </c>
      <c r="D1585" t="s">
        <v>1993</v>
      </c>
      <c r="E1585" t="s">
        <v>85</v>
      </c>
      <c r="F1585" t="s">
        <v>70</v>
      </c>
      <c r="G1585">
        <v>219</v>
      </c>
      <c r="H1585">
        <v>0.2</v>
      </c>
      <c r="I1585">
        <v>175.2</v>
      </c>
      <c r="J1585">
        <v>1</v>
      </c>
      <c r="K1585">
        <v>110.622841086725</v>
      </c>
      <c r="L1585">
        <v>175.2</v>
      </c>
      <c r="M1585">
        <v>110.622841086725</v>
      </c>
      <c r="N1585">
        <v>64.577158913274104</v>
      </c>
      <c r="O1585" t="s">
        <v>26</v>
      </c>
      <c r="P1585">
        <f t="shared" si="48"/>
        <v>219</v>
      </c>
      <c r="Q1585">
        <f t="shared" si="49"/>
        <v>-64.577158913274985</v>
      </c>
    </row>
    <row r="1586" spans="1:17" x14ac:dyDescent="0.4">
      <c r="A1586" t="s">
        <v>3122</v>
      </c>
      <c r="B1586" s="1">
        <v>45584.083333333336</v>
      </c>
      <c r="C1586" t="s">
        <v>16</v>
      </c>
      <c r="D1586" t="s">
        <v>3123</v>
      </c>
      <c r="E1586" t="s">
        <v>115</v>
      </c>
      <c r="F1586" t="s">
        <v>38</v>
      </c>
      <c r="G1586">
        <v>281</v>
      </c>
      <c r="H1586">
        <v>0.1</v>
      </c>
      <c r="I1586">
        <v>252.9</v>
      </c>
      <c r="J1586">
        <v>5</v>
      </c>
      <c r="K1586">
        <v>131.11631089517499</v>
      </c>
      <c r="L1586">
        <v>1264.5</v>
      </c>
      <c r="M1586">
        <v>655.58155447587706</v>
      </c>
      <c r="N1586">
        <v>608.91844552412203</v>
      </c>
      <c r="O1586" t="s">
        <v>26</v>
      </c>
      <c r="P1586">
        <f t="shared" si="48"/>
        <v>1405</v>
      </c>
      <c r="Q1586">
        <f t="shared" si="49"/>
        <v>-608.91844552412294</v>
      </c>
    </row>
    <row r="1587" spans="1:17" x14ac:dyDescent="0.4">
      <c r="A1587" t="s">
        <v>3124</v>
      </c>
      <c r="B1587" s="1">
        <v>45758.958333333336</v>
      </c>
      <c r="C1587" t="s">
        <v>28</v>
      </c>
      <c r="D1587" t="s">
        <v>3125</v>
      </c>
      <c r="E1587" t="s">
        <v>69</v>
      </c>
      <c r="F1587" t="s">
        <v>70</v>
      </c>
      <c r="G1587">
        <v>317</v>
      </c>
      <c r="H1587">
        <v>0.15</v>
      </c>
      <c r="I1587">
        <v>269.45</v>
      </c>
      <c r="J1587">
        <v>3</v>
      </c>
      <c r="K1587">
        <v>195.22423309861301</v>
      </c>
      <c r="L1587">
        <v>808.349999999999</v>
      </c>
      <c r="M1587">
        <v>585.67269929583995</v>
      </c>
      <c r="N1587">
        <v>222.67730070415899</v>
      </c>
      <c r="O1587" t="s">
        <v>20</v>
      </c>
      <c r="P1587">
        <f t="shared" si="48"/>
        <v>951</v>
      </c>
      <c r="Q1587">
        <f t="shared" si="49"/>
        <v>-222.67730070415905</v>
      </c>
    </row>
    <row r="1588" spans="1:17" x14ac:dyDescent="0.4">
      <c r="A1588" t="s">
        <v>3126</v>
      </c>
      <c r="B1588" s="1">
        <v>45416.541666666664</v>
      </c>
      <c r="C1588" t="s">
        <v>46</v>
      </c>
      <c r="D1588" t="s">
        <v>3127</v>
      </c>
      <c r="E1588" t="s">
        <v>37</v>
      </c>
      <c r="F1588" t="s">
        <v>38</v>
      </c>
      <c r="G1588">
        <v>271</v>
      </c>
      <c r="H1588">
        <v>0.1</v>
      </c>
      <c r="I1588">
        <v>243.9</v>
      </c>
      <c r="J1588">
        <v>7</v>
      </c>
      <c r="K1588">
        <v>150.52976966522601</v>
      </c>
      <c r="L1588">
        <v>1707.3</v>
      </c>
      <c r="M1588">
        <v>1053.70838765658</v>
      </c>
      <c r="N1588">
        <v>653.59161234341195</v>
      </c>
      <c r="O1588" t="s">
        <v>26</v>
      </c>
      <c r="P1588">
        <f t="shared" si="48"/>
        <v>1897</v>
      </c>
      <c r="Q1588">
        <f t="shared" si="49"/>
        <v>-653.59161234341991</v>
      </c>
    </row>
    <row r="1589" spans="1:17" x14ac:dyDescent="0.4">
      <c r="A1589" t="s">
        <v>3128</v>
      </c>
      <c r="B1589" s="1">
        <v>45793.666666666664</v>
      </c>
      <c r="C1589" t="s">
        <v>22</v>
      </c>
      <c r="D1589" t="s">
        <v>644</v>
      </c>
      <c r="E1589" t="s">
        <v>48</v>
      </c>
      <c r="F1589" t="s">
        <v>19</v>
      </c>
      <c r="G1589">
        <v>339</v>
      </c>
      <c r="H1589">
        <v>0.05</v>
      </c>
      <c r="I1589">
        <v>322.05</v>
      </c>
      <c r="J1589">
        <v>4</v>
      </c>
      <c r="K1589">
        <v>228.70882128631499</v>
      </c>
      <c r="L1589">
        <v>1288.2</v>
      </c>
      <c r="M1589">
        <v>914.83528514526199</v>
      </c>
      <c r="N1589">
        <v>373.36471485473697</v>
      </c>
      <c r="O1589" t="s">
        <v>20</v>
      </c>
      <c r="P1589">
        <f t="shared" si="48"/>
        <v>1356</v>
      </c>
      <c r="Q1589">
        <f t="shared" si="49"/>
        <v>-373.36471485473805</v>
      </c>
    </row>
    <row r="1590" spans="1:17" x14ac:dyDescent="0.4">
      <c r="A1590" t="s">
        <v>3129</v>
      </c>
      <c r="B1590" s="1">
        <v>45676.083333333336</v>
      </c>
      <c r="C1590" t="s">
        <v>28</v>
      </c>
      <c r="D1590" t="s">
        <v>1060</v>
      </c>
      <c r="E1590" t="s">
        <v>69</v>
      </c>
      <c r="F1590" t="s">
        <v>70</v>
      </c>
      <c r="G1590">
        <v>239</v>
      </c>
      <c r="H1590">
        <v>0</v>
      </c>
      <c r="I1590">
        <v>239</v>
      </c>
      <c r="J1590">
        <v>5</v>
      </c>
      <c r="K1590">
        <v>151.380854885682</v>
      </c>
      <c r="L1590">
        <v>1195</v>
      </c>
      <c r="M1590">
        <v>756.90427442840996</v>
      </c>
      <c r="N1590">
        <v>438.09572557158901</v>
      </c>
      <c r="O1590" t="s">
        <v>26</v>
      </c>
      <c r="P1590">
        <f t="shared" si="48"/>
        <v>1195</v>
      </c>
      <c r="Q1590">
        <f t="shared" si="49"/>
        <v>-438.09572557159004</v>
      </c>
    </row>
    <row r="1591" spans="1:17" x14ac:dyDescent="0.4">
      <c r="A1591" t="s">
        <v>3130</v>
      </c>
      <c r="B1591" s="1">
        <v>45561.625</v>
      </c>
      <c r="C1591" t="s">
        <v>22</v>
      </c>
      <c r="D1591" t="s">
        <v>3131</v>
      </c>
      <c r="E1591" t="s">
        <v>18</v>
      </c>
      <c r="F1591" t="s">
        <v>19</v>
      </c>
      <c r="G1591">
        <v>289</v>
      </c>
      <c r="H1591">
        <v>0.25</v>
      </c>
      <c r="I1591">
        <v>216.75</v>
      </c>
      <c r="J1591">
        <v>3</v>
      </c>
      <c r="K1591">
        <v>191.21717443687299</v>
      </c>
      <c r="L1591">
        <v>650.25</v>
      </c>
      <c r="M1591">
        <v>573.65152331061904</v>
      </c>
      <c r="N1591">
        <v>76.598476689380206</v>
      </c>
      <c r="O1591" t="s">
        <v>26</v>
      </c>
      <c r="P1591">
        <f t="shared" si="48"/>
        <v>867</v>
      </c>
      <c r="Q1591">
        <f t="shared" si="49"/>
        <v>-76.598476689380959</v>
      </c>
    </row>
    <row r="1592" spans="1:17" x14ac:dyDescent="0.4">
      <c r="A1592" t="s">
        <v>3132</v>
      </c>
      <c r="B1592" s="1">
        <v>45411.291666666664</v>
      </c>
      <c r="C1592" t="s">
        <v>43</v>
      </c>
      <c r="D1592" t="s">
        <v>585</v>
      </c>
      <c r="E1592" t="s">
        <v>69</v>
      </c>
      <c r="F1592" t="s">
        <v>70</v>
      </c>
      <c r="G1592">
        <v>105</v>
      </c>
      <c r="H1592">
        <v>0</v>
      </c>
      <c r="I1592">
        <v>105</v>
      </c>
      <c r="J1592">
        <v>4</v>
      </c>
      <c r="K1592">
        <v>57.1169746463951</v>
      </c>
      <c r="L1592">
        <v>420</v>
      </c>
      <c r="M1592">
        <v>228.46789858558</v>
      </c>
      <c r="N1592">
        <v>191.532101414419</v>
      </c>
      <c r="O1592" t="s">
        <v>32</v>
      </c>
      <c r="P1592">
        <f t="shared" si="48"/>
        <v>420</v>
      </c>
      <c r="Q1592">
        <f t="shared" si="49"/>
        <v>-191.53210141442</v>
      </c>
    </row>
    <row r="1593" spans="1:17" x14ac:dyDescent="0.4">
      <c r="A1593" t="s">
        <v>3133</v>
      </c>
      <c r="B1593" s="1">
        <v>45737.541666666664</v>
      </c>
      <c r="C1593" t="s">
        <v>16</v>
      </c>
      <c r="D1593" t="s">
        <v>3134</v>
      </c>
      <c r="E1593" t="s">
        <v>115</v>
      </c>
      <c r="F1593" t="s">
        <v>38</v>
      </c>
      <c r="G1593">
        <v>179</v>
      </c>
      <c r="H1593">
        <v>0</v>
      </c>
      <c r="I1593">
        <v>179</v>
      </c>
      <c r="J1593">
        <v>4</v>
      </c>
      <c r="K1593">
        <v>89.269953527572895</v>
      </c>
      <c r="L1593">
        <v>716</v>
      </c>
      <c r="M1593">
        <v>357.07981411029101</v>
      </c>
      <c r="N1593">
        <v>358.92018588970802</v>
      </c>
      <c r="O1593" t="s">
        <v>32</v>
      </c>
      <c r="P1593">
        <f t="shared" si="48"/>
        <v>716</v>
      </c>
      <c r="Q1593">
        <f t="shared" si="49"/>
        <v>-358.92018588970899</v>
      </c>
    </row>
    <row r="1594" spans="1:17" x14ac:dyDescent="0.4">
      <c r="A1594" t="s">
        <v>3135</v>
      </c>
      <c r="B1594" s="1">
        <v>45341.041666666664</v>
      </c>
      <c r="C1594" t="s">
        <v>22</v>
      </c>
      <c r="D1594" t="s">
        <v>3136</v>
      </c>
      <c r="E1594" t="s">
        <v>73</v>
      </c>
      <c r="F1594" t="s">
        <v>38</v>
      </c>
      <c r="G1594">
        <v>171</v>
      </c>
      <c r="H1594">
        <v>0</v>
      </c>
      <c r="I1594">
        <v>171</v>
      </c>
      <c r="J1594">
        <v>5</v>
      </c>
      <c r="K1594">
        <v>95.970725120935597</v>
      </c>
      <c r="L1594">
        <v>855</v>
      </c>
      <c r="M1594">
        <v>479.85362560467797</v>
      </c>
      <c r="N1594">
        <v>375.146374395321</v>
      </c>
      <c r="O1594" t="s">
        <v>32</v>
      </c>
      <c r="P1594">
        <f t="shared" si="48"/>
        <v>855</v>
      </c>
      <c r="Q1594">
        <f t="shared" si="49"/>
        <v>-375.14637439532203</v>
      </c>
    </row>
    <row r="1595" spans="1:17" x14ac:dyDescent="0.4">
      <c r="A1595" t="s">
        <v>3137</v>
      </c>
      <c r="B1595" s="1">
        <v>45490.333333333336</v>
      </c>
      <c r="C1595" t="s">
        <v>46</v>
      </c>
      <c r="D1595" t="s">
        <v>3138</v>
      </c>
      <c r="E1595" t="s">
        <v>60</v>
      </c>
      <c r="F1595" t="s">
        <v>61</v>
      </c>
      <c r="G1595">
        <v>310</v>
      </c>
      <c r="H1595">
        <v>0.05</v>
      </c>
      <c r="I1595">
        <v>294.5</v>
      </c>
      <c r="J1595">
        <v>1</v>
      </c>
      <c r="K1595">
        <v>153.07897472984601</v>
      </c>
      <c r="L1595">
        <v>294.5</v>
      </c>
      <c r="M1595">
        <v>153.07897472984601</v>
      </c>
      <c r="N1595">
        <v>141.421025270153</v>
      </c>
      <c r="O1595" t="s">
        <v>51</v>
      </c>
      <c r="P1595">
        <f t="shared" si="48"/>
        <v>310</v>
      </c>
      <c r="Q1595">
        <f t="shared" si="49"/>
        <v>-141.42102527015399</v>
      </c>
    </row>
    <row r="1596" spans="1:17" x14ac:dyDescent="0.4">
      <c r="A1596" t="s">
        <v>3139</v>
      </c>
      <c r="B1596" s="1">
        <v>45292.458333333336</v>
      </c>
      <c r="C1596" t="s">
        <v>46</v>
      </c>
      <c r="D1596" t="s">
        <v>3140</v>
      </c>
      <c r="E1596" t="s">
        <v>30</v>
      </c>
      <c r="F1596" t="s">
        <v>31</v>
      </c>
      <c r="G1596">
        <v>127</v>
      </c>
      <c r="H1596">
        <v>0.1</v>
      </c>
      <c r="I1596">
        <v>114.3</v>
      </c>
      <c r="J1596">
        <v>3</v>
      </c>
      <c r="K1596">
        <v>90.800246233976495</v>
      </c>
      <c r="L1596">
        <v>342.9</v>
      </c>
      <c r="M1596">
        <v>272.40073870192901</v>
      </c>
      <c r="N1596">
        <v>70.499261298070493</v>
      </c>
      <c r="O1596" t="s">
        <v>32</v>
      </c>
      <c r="P1596">
        <f t="shared" si="48"/>
        <v>381</v>
      </c>
      <c r="Q1596">
        <f t="shared" si="49"/>
        <v>-70.499261298070962</v>
      </c>
    </row>
    <row r="1597" spans="1:17" x14ac:dyDescent="0.4">
      <c r="A1597" t="s">
        <v>3141</v>
      </c>
      <c r="B1597" s="1">
        <v>45973.375</v>
      </c>
      <c r="C1597" t="s">
        <v>16</v>
      </c>
      <c r="D1597" t="s">
        <v>3142</v>
      </c>
      <c r="E1597" t="s">
        <v>146</v>
      </c>
      <c r="F1597" t="s">
        <v>70</v>
      </c>
      <c r="G1597">
        <v>158</v>
      </c>
      <c r="H1597">
        <v>0.25</v>
      </c>
      <c r="I1597">
        <v>118.5</v>
      </c>
      <c r="J1597">
        <v>3</v>
      </c>
      <c r="K1597">
        <v>85.300008081914598</v>
      </c>
      <c r="L1597">
        <v>355.5</v>
      </c>
      <c r="M1597">
        <v>255.900024245743</v>
      </c>
      <c r="N1597">
        <v>99.599975754255993</v>
      </c>
      <c r="O1597" t="s">
        <v>26</v>
      </c>
      <c r="P1597">
        <f t="shared" si="48"/>
        <v>474</v>
      </c>
      <c r="Q1597">
        <f t="shared" si="49"/>
        <v>-99.599975754257002</v>
      </c>
    </row>
    <row r="1598" spans="1:17" x14ac:dyDescent="0.4">
      <c r="A1598" t="s">
        <v>3143</v>
      </c>
      <c r="B1598" s="1">
        <v>45773.5</v>
      </c>
      <c r="C1598" t="s">
        <v>65</v>
      </c>
      <c r="D1598" t="s">
        <v>3144</v>
      </c>
      <c r="E1598" t="s">
        <v>85</v>
      </c>
      <c r="F1598" t="s">
        <v>70</v>
      </c>
      <c r="G1598">
        <v>196</v>
      </c>
      <c r="H1598">
        <v>0.1</v>
      </c>
      <c r="I1598">
        <v>176.4</v>
      </c>
      <c r="J1598">
        <v>3</v>
      </c>
      <c r="K1598">
        <v>134.244164240603</v>
      </c>
      <c r="L1598">
        <v>529.20000000000005</v>
      </c>
      <c r="M1598">
        <v>402.73249272181101</v>
      </c>
      <c r="N1598">
        <v>126.46750727818799</v>
      </c>
      <c r="O1598" t="s">
        <v>32</v>
      </c>
      <c r="P1598">
        <f t="shared" si="48"/>
        <v>588</v>
      </c>
      <c r="Q1598">
        <f t="shared" si="49"/>
        <v>-126.46750727818903</v>
      </c>
    </row>
    <row r="1599" spans="1:17" x14ac:dyDescent="0.4">
      <c r="A1599" t="s">
        <v>3145</v>
      </c>
      <c r="B1599" s="1">
        <v>45773.791666666664</v>
      </c>
      <c r="C1599" t="s">
        <v>43</v>
      </c>
      <c r="D1599" t="s">
        <v>1416</v>
      </c>
      <c r="E1599" t="s">
        <v>41</v>
      </c>
      <c r="F1599" t="s">
        <v>31</v>
      </c>
      <c r="G1599">
        <v>154</v>
      </c>
      <c r="H1599">
        <v>0.05</v>
      </c>
      <c r="I1599">
        <v>146.29999999999899</v>
      </c>
      <c r="J1599">
        <v>3</v>
      </c>
      <c r="K1599">
        <v>94.601095828540295</v>
      </c>
      <c r="L1599">
        <v>438.9</v>
      </c>
      <c r="M1599">
        <v>283.80328748561999</v>
      </c>
      <c r="N1599">
        <v>155.09671251437899</v>
      </c>
      <c r="O1599" t="s">
        <v>26</v>
      </c>
      <c r="P1599">
        <f t="shared" si="48"/>
        <v>462</v>
      </c>
      <c r="Q1599">
        <f t="shared" si="49"/>
        <v>-155.09671251437999</v>
      </c>
    </row>
    <row r="1600" spans="1:17" x14ac:dyDescent="0.4">
      <c r="A1600" t="s">
        <v>3146</v>
      </c>
      <c r="B1600" s="1">
        <v>45877.458333333336</v>
      </c>
      <c r="C1600" t="s">
        <v>28</v>
      </c>
      <c r="D1600" t="s">
        <v>3147</v>
      </c>
      <c r="E1600" t="s">
        <v>69</v>
      </c>
      <c r="F1600" t="s">
        <v>70</v>
      </c>
      <c r="G1600">
        <v>209</v>
      </c>
      <c r="H1600">
        <v>0</v>
      </c>
      <c r="I1600">
        <v>209</v>
      </c>
      <c r="J1600">
        <v>4</v>
      </c>
      <c r="K1600">
        <v>94.846449090491703</v>
      </c>
      <c r="L1600">
        <v>836</v>
      </c>
      <c r="M1600">
        <v>379.38579636196698</v>
      </c>
      <c r="N1600">
        <v>456.614203638032</v>
      </c>
      <c r="O1600" t="s">
        <v>20</v>
      </c>
      <c r="P1600">
        <f t="shared" si="48"/>
        <v>836</v>
      </c>
      <c r="Q1600">
        <f t="shared" si="49"/>
        <v>-456.61420363803302</v>
      </c>
    </row>
    <row r="1601" spans="1:17" x14ac:dyDescent="0.4">
      <c r="A1601" t="s">
        <v>3148</v>
      </c>
      <c r="B1601" s="1">
        <v>45751.25</v>
      </c>
      <c r="C1601" t="s">
        <v>16</v>
      </c>
      <c r="D1601" t="s">
        <v>3149</v>
      </c>
      <c r="E1601" t="s">
        <v>85</v>
      </c>
      <c r="F1601" t="s">
        <v>70</v>
      </c>
      <c r="G1601">
        <v>248</v>
      </c>
      <c r="H1601">
        <v>0</v>
      </c>
      <c r="I1601">
        <v>248</v>
      </c>
      <c r="J1601">
        <v>3</v>
      </c>
      <c r="K1601">
        <v>119.78302308687201</v>
      </c>
      <c r="L1601">
        <v>744</v>
      </c>
      <c r="M1601">
        <v>359.349069260617</v>
      </c>
      <c r="N1601">
        <v>384.65093073938198</v>
      </c>
      <c r="O1601" t="s">
        <v>32</v>
      </c>
      <c r="P1601">
        <f t="shared" si="48"/>
        <v>744</v>
      </c>
      <c r="Q1601">
        <f t="shared" si="49"/>
        <v>-384.650930739383</v>
      </c>
    </row>
    <row r="1602" spans="1:17" x14ac:dyDescent="0.4">
      <c r="A1602" t="s">
        <v>3150</v>
      </c>
      <c r="B1602" s="1">
        <v>45635.083333333336</v>
      </c>
      <c r="C1602" t="s">
        <v>16</v>
      </c>
      <c r="D1602" t="s">
        <v>3151</v>
      </c>
      <c r="E1602" t="s">
        <v>48</v>
      </c>
      <c r="F1602" t="s">
        <v>19</v>
      </c>
      <c r="G1602">
        <v>248</v>
      </c>
      <c r="H1602">
        <v>0</v>
      </c>
      <c r="I1602">
        <v>248</v>
      </c>
      <c r="J1602">
        <v>6</v>
      </c>
      <c r="K1602">
        <v>147.374788706017</v>
      </c>
      <c r="L1602">
        <v>1488</v>
      </c>
      <c r="M1602">
        <v>884.248732236102</v>
      </c>
      <c r="N1602">
        <v>603.75126776389698</v>
      </c>
      <c r="O1602" t="s">
        <v>32</v>
      </c>
      <c r="P1602">
        <f t="shared" si="48"/>
        <v>1488</v>
      </c>
      <c r="Q1602">
        <f t="shared" si="49"/>
        <v>-603.751267763898</v>
      </c>
    </row>
    <row r="1603" spans="1:17" x14ac:dyDescent="0.4">
      <c r="A1603" t="s">
        <v>3152</v>
      </c>
      <c r="B1603" s="1">
        <v>45965.875</v>
      </c>
      <c r="C1603" t="s">
        <v>43</v>
      </c>
      <c r="D1603" t="s">
        <v>1642</v>
      </c>
      <c r="E1603" t="s">
        <v>73</v>
      </c>
      <c r="F1603" t="s">
        <v>38</v>
      </c>
      <c r="G1603">
        <v>208</v>
      </c>
      <c r="H1603">
        <v>0</v>
      </c>
      <c r="I1603">
        <v>208</v>
      </c>
      <c r="J1603">
        <v>1</v>
      </c>
      <c r="K1603">
        <v>149.36862648568601</v>
      </c>
      <c r="L1603">
        <v>208</v>
      </c>
      <c r="M1603">
        <v>149.36862648568601</v>
      </c>
      <c r="N1603">
        <v>58.631373514313502</v>
      </c>
      <c r="O1603" t="s">
        <v>20</v>
      </c>
      <c r="P1603">
        <f t="shared" ref="P1603:P1666" si="50">G1603 * J1603</f>
        <v>208</v>
      </c>
      <c r="Q1603">
        <f t="shared" ref="Q1603:Q1666" si="51" xml:space="preserve"> M1603 - L1603</f>
        <v>-58.631373514313992</v>
      </c>
    </row>
    <row r="1604" spans="1:17" x14ac:dyDescent="0.4">
      <c r="A1604" t="s">
        <v>3153</v>
      </c>
      <c r="B1604" s="1">
        <v>45841.083333333336</v>
      </c>
      <c r="C1604" t="s">
        <v>46</v>
      </c>
      <c r="D1604" t="s">
        <v>3154</v>
      </c>
      <c r="E1604" t="s">
        <v>94</v>
      </c>
      <c r="F1604" t="s">
        <v>61</v>
      </c>
      <c r="G1604">
        <v>248</v>
      </c>
      <c r="H1604">
        <v>0.25</v>
      </c>
      <c r="I1604">
        <v>186</v>
      </c>
      <c r="J1604">
        <v>5</v>
      </c>
      <c r="K1604">
        <v>163.96933395194199</v>
      </c>
      <c r="L1604">
        <v>930</v>
      </c>
      <c r="M1604">
        <v>819.84666975971004</v>
      </c>
      <c r="N1604">
        <v>110.15333024028899</v>
      </c>
      <c r="O1604" t="s">
        <v>32</v>
      </c>
      <c r="P1604">
        <f t="shared" si="50"/>
        <v>1240</v>
      </c>
      <c r="Q1604">
        <f t="shared" si="51"/>
        <v>-110.15333024028996</v>
      </c>
    </row>
    <row r="1605" spans="1:17" x14ac:dyDescent="0.4">
      <c r="A1605" t="s">
        <v>3155</v>
      </c>
      <c r="B1605" s="1">
        <v>45565.75</v>
      </c>
      <c r="C1605" t="s">
        <v>65</v>
      </c>
      <c r="D1605" t="s">
        <v>648</v>
      </c>
      <c r="E1605" t="s">
        <v>48</v>
      </c>
      <c r="F1605" t="s">
        <v>19</v>
      </c>
      <c r="G1605">
        <v>100</v>
      </c>
      <c r="H1605">
        <v>0</v>
      </c>
      <c r="I1605">
        <v>100</v>
      </c>
      <c r="J1605">
        <v>6</v>
      </c>
      <c r="K1605">
        <v>43.998167454476402</v>
      </c>
      <c r="L1605">
        <v>600</v>
      </c>
      <c r="M1605">
        <v>263.98900472685801</v>
      </c>
      <c r="N1605">
        <v>336.01099527314102</v>
      </c>
      <c r="O1605" t="s">
        <v>51</v>
      </c>
      <c r="P1605">
        <f t="shared" si="50"/>
        <v>600</v>
      </c>
      <c r="Q1605">
        <f t="shared" si="51"/>
        <v>-336.01099527314199</v>
      </c>
    </row>
    <row r="1606" spans="1:17" x14ac:dyDescent="0.4">
      <c r="A1606" t="s">
        <v>3156</v>
      </c>
      <c r="B1606" s="1">
        <v>45308.916666666664</v>
      </c>
      <c r="C1606" t="s">
        <v>16</v>
      </c>
      <c r="D1606" t="s">
        <v>3157</v>
      </c>
      <c r="E1606" t="s">
        <v>41</v>
      </c>
      <c r="F1606" t="s">
        <v>31</v>
      </c>
      <c r="G1606">
        <v>214</v>
      </c>
      <c r="H1606">
        <v>0.1</v>
      </c>
      <c r="I1606">
        <v>192.6</v>
      </c>
      <c r="J1606">
        <v>2</v>
      </c>
      <c r="K1606">
        <v>131.23748317382299</v>
      </c>
      <c r="L1606">
        <v>385.2</v>
      </c>
      <c r="M1606">
        <v>262.47496634764701</v>
      </c>
      <c r="N1606">
        <v>122.725033652352</v>
      </c>
      <c r="O1606" t="s">
        <v>32</v>
      </c>
      <c r="P1606">
        <f t="shared" si="50"/>
        <v>428</v>
      </c>
      <c r="Q1606">
        <f t="shared" si="51"/>
        <v>-122.72503365235298</v>
      </c>
    </row>
    <row r="1607" spans="1:17" x14ac:dyDescent="0.4">
      <c r="A1607" t="s">
        <v>3158</v>
      </c>
      <c r="B1607" s="1">
        <v>45675.583333333336</v>
      </c>
      <c r="C1607" t="s">
        <v>16</v>
      </c>
      <c r="D1607" t="s">
        <v>2652</v>
      </c>
      <c r="E1607" t="s">
        <v>37</v>
      </c>
      <c r="F1607" t="s">
        <v>38</v>
      </c>
      <c r="G1607">
        <v>100</v>
      </c>
      <c r="H1607">
        <v>0</v>
      </c>
      <c r="I1607">
        <v>100</v>
      </c>
      <c r="J1607">
        <v>7</v>
      </c>
      <c r="K1607">
        <v>63.150429345777098</v>
      </c>
      <c r="L1607">
        <v>700</v>
      </c>
      <c r="M1607">
        <v>442.05300542043898</v>
      </c>
      <c r="N1607">
        <v>257.94699457956</v>
      </c>
      <c r="O1607" t="s">
        <v>20</v>
      </c>
      <c r="P1607">
        <f t="shared" si="50"/>
        <v>700</v>
      </c>
      <c r="Q1607">
        <f t="shared" si="51"/>
        <v>-257.94699457956102</v>
      </c>
    </row>
    <row r="1608" spans="1:17" x14ac:dyDescent="0.4">
      <c r="A1608" t="s">
        <v>3159</v>
      </c>
      <c r="B1608" s="1">
        <v>45476.625</v>
      </c>
      <c r="C1608" t="s">
        <v>43</v>
      </c>
      <c r="D1608" t="s">
        <v>1159</v>
      </c>
      <c r="E1608" t="s">
        <v>94</v>
      </c>
      <c r="F1608" t="s">
        <v>61</v>
      </c>
      <c r="G1608">
        <v>236</v>
      </c>
      <c r="H1608">
        <v>0</v>
      </c>
      <c r="I1608">
        <v>236</v>
      </c>
      <c r="J1608">
        <v>6</v>
      </c>
      <c r="K1608">
        <v>147.68504901008299</v>
      </c>
      <c r="L1608">
        <v>1416</v>
      </c>
      <c r="M1608">
        <v>886.11029406049897</v>
      </c>
      <c r="N1608">
        <v>529.88970593950103</v>
      </c>
      <c r="O1608" t="s">
        <v>26</v>
      </c>
      <c r="P1608">
        <f t="shared" si="50"/>
        <v>1416</v>
      </c>
      <c r="Q1608">
        <f t="shared" si="51"/>
        <v>-529.88970593950103</v>
      </c>
    </row>
    <row r="1609" spans="1:17" x14ac:dyDescent="0.4">
      <c r="A1609" t="s">
        <v>3160</v>
      </c>
      <c r="B1609" s="1">
        <v>45564.583333333336</v>
      </c>
      <c r="C1609" t="s">
        <v>22</v>
      </c>
      <c r="D1609" t="s">
        <v>585</v>
      </c>
      <c r="E1609" t="s">
        <v>69</v>
      </c>
      <c r="F1609" t="s">
        <v>70</v>
      </c>
      <c r="G1609">
        <v>128</v>
      </c>
      <c r="H1609">
        <v>0.15</v>
      </c>
      <c r="I1609">
        <v>108.8</v>
      </c>
      <c r="J1609">
        <v>4</v>
      </c>
      <c r="K1609">
        <v>57.658514055809903</v>
      </c>
      <c r="L1609">
        <v>435.2</v>
      </c>
      <c r="M1609">
        <v>230.63405622323901</v>
      </c>
      <c r="N1609">
        <v>204.56594377676001</v>
      </c>
      <c r="O1609" t="s">
        <v>32</v>
      </c>
      <c r="P1609">
        <f t="shared" si="50"/>
        <v>512</v>
      </c>
      <c r="Q1609">
        <f t="shared" si="51"/>
        <v>-204.56594377676097</v>
      </c>
    </row>
    <row r="1610" spans="1:17" x14ac:dyDescent="0.4">
      <c r="A1610" t="s">
        <v>3161</v>
      </c>
      <c r="B1610" s="1">
        <v>45663.083333333336</v>
      </c>
      <c r="C1610" t="s">
        <v>43</v>
      </c>
      <c r="D1610" t="s">
        <v>3162</v>
      </c>
      <c r="E1610" t="s">
        <v>73</v>
      </c>
      <c r="F1610" t="s">
        <v>38</v>
      </c>
      <c r="G1610">
        <v>236</v>
      </c>
      <c r="H1610">
        <v>0.05</v>
      </c>
      <c r="I1610">
        <v>224.2</v>
      </c>
      <c r="J1610">
        <v>7</v>
      </c>
      <c r="K1610">
        <v>100.22613278660199</v>
      </c>
      <c r="L1610">
        <v>1569.3999999999901</v>
      </c>
      <c r="M1610">
        <v>701.58292950621899</v>
      </c>
      <c r="N1610">
        <v>867.81707049377997</v>
      </c>
      <c r="O1610" t="s">
        <v>32</v>
      </c>
      <c r="P1610">
        <f t="shared" si="50"/>
        <v>1652</v>
      </c>
      <c r="Q1610">
        <f t="shared" si="51"/>
        <v>-867.8170704937711</v>
      </c>
    </row>
    <row r="1611" spans="1:17" x14ac:dyDescent="0.4">
      <c r="A1611" t="s">
        <v>3163</v>
      </c>
      <c r="B1611" s="1">
        <v>45464.75</v>
      </c>
      <c r="C1611" t="s">
        <v>46</v>
      </c>
      <c r="D1611" t="s">
        <v>3164</v>
      </c>
      <c r="E1611" t="s">
        <v>41</v>
      </c>
      <c r="F1611" t="s">
        <v>31</v>
      </c>
      <c r="G1611">
        <v>313</v>
      </c>
      <c r="H1611">
        <v>0.1</v>
      </c>
      <c r="I1611">
        <v>281.7</v>
      </c>
      <c r="J1611">
        <v>3</v>
      </c>
      <c r="K1611">
        <v>184.19364703869601</v>
      </c>
      <c r="L1611">
        <v>845.099999999999</v>
      </c>
      <c r="M1611">
        <v>552.58094111608796</v>
      </c>
      <c r="N1611">
        <v>292.51905888391099</v>
      </c>
      <c r="O1611" t="s">
        <v>32</v>
      </c>
      <c r="P1611">
        <f t="shared" si="50"/>
        <v>939</v>
      </c>
      <c r="Q1611">
        <f t="shared" si="51"/>
        <v>-292.51905888391104</v>
      </c>
    </row>
    <row r="1612" spans="1:17" x14ac:dyDescent="0.4">
      <c r="A1612" t="s">
        <v>3165</v>
      </c>
      <c r="B1612" s="1">
        <v>45793.916666666664</v>
      </c>
      <c r="C1612" t="s">
        <v>46</v>
      </c>
      <c r="D1612" t="s">
        <v>3166</v>
      </c>
      <c r="E1612" t="s">
        <v>97</v>
      </c>
      <c r="F1612" t="s">
        <v>61</v>
      </c>
      <c r="G1612">
        <v>278</v>
      </c>
      <c r="H1612">
        <v>0</v>
      </c>
      <c r="I1612">
        <v>278</v>
      </c>
      <c r="J1612">
        <v>3</v>
      </c>
      <c r="K1612">
        <v>201.305838877566</v>
      </c>
      <c r="L1612">
        <v>834</v>
      </c>
      <c r="M1612">
        <v>603.91751663269895</v>
      </c>
      <c r="N1612">
        <v>230.0824833673</v>
      </c>
      <c r="O1612" t="s">
        <v>26</v>
      </c>
      <c r="P1612">
        <f t="shared" si="50"/>
        <v>834</v>
      </c>
      <c r="Q1612">
        <f t="shared" si="51"/>
        <v>-230.08248336730105</v>
      </c>
    </row>
    <row r="1613" spans="1:17" x14ac:dyDescent="0.4">
      <c r="A1613" t="s">
        <v>3167</v>
      </c>
      <c r="B1613" s="1">
        <v>45817.458333333336</v>
      </c>
      <c r="C1613" t="s">
        <v>43</v>
      </c>
      <c r="D1613" t="s">
        <v>3168</v>
      </c>
      <c r="E1613" t="s">
        <v>115</v>
      </c>
      <c r="F1613" t="s">
        <v>38</v>
      </c>
      <c r="G1613">
        <v>233</v>
      </c>
      <c r="H1613">
        <v>0.1</v>
      </c>
      <c r="I1613">
        <v>209.7</v>
      </c>
      <c r="J1613">
        <v>1</v>
      </c>
      <c r="K1613">
        <v>162.478165678012</v>
      </c>
      <c r="L1613">
        <v>209.7</v>
      </c>
      <c r="M1613">
        <v>162.478165678012</v>
      </c>
      <c r="N1613">
        <v>47.221834321987103</v>
      </c>
      <c r="O1613" t="s">
        <v>26</v>
      </c>
      <c r="P1613">
        <f t="shared" si="50"/>
        <v>233</v>
      </c>
      <c r="Q1613">
        <f t="shared" si="51"/>
        <v>-47.221834321987984</v>
      </c>
    </row>
    <row r="1614" spans="1:17" x14ac:dyDescent="0.4">
      <c r="A1614" t="s">
        <v>3169</v>
      </c>
      <c r="B1614" s="1">
        <v>45836.833333333336</v>
      </c>
      <c r="C1614" t="s">
        <v>46</v>
      </c>
      <c r="D1614" t="s">
        <v>3170</v>
      </c>
      <c r="E1614" t="s">
        <v>60</v>
      </c>
      <c r="F1614" t="s">
        <v>61</v>
      </c>
      <c r="G1614">
        <v>102</v>
      </c>
      <c r="H1614">
        <v>0.05</v>
      </c>
      <c r="I1614">
        <v>96.899999999999906</v>
      </c>
      <c r="J1614">
        <v>5</v>
      </c>
      <c r="K1614">
        <v>57.459793477410102</v>
      </c>
      <c r="L1614">
        <v>484.49999999999898</v>
      </c>
      <c r="M1614">
        <v>287.29896738705099</v>
      </c>
      <c r="N1614">
        <v>197.20103261294801</v>
      </c>
      <c r="O1614" t="s">
        <v>32</v>
      </c>
      <c r="P1614">
        <f t="shared" si="50"/>
        <v>510</v>
      </c>
      <c r="Q1614">
        <f t="shared" si="51"/>
        <v>-197.20103261294798</v>
      </c>
    </row>
    <row r="1615" spans="1:17" x14ac:dyDescent="0.4">
      <c r="A1615" t="s">
        <v>3171</v>
      </c>
      <c r="B1615" s="1">
        <v>45980.5</v>
      </c>
      <c r="C1615" t="s">
        <v>28</v>
      </c>
      <c r="D1615" t="s">
        <v>158</v>
      </c>
      <c r="E1615" t="s">
        <v>18</v>
      </c>
      <c r="F1615" t="s">
        <v>19</v>
      </c>
      <c r="G1615">
        <v>126</v>
      </c>
      <c r="H1615">
        <v>0</v>
      </c>
      <c r="I1615">
        <v>126</v>
      </c>
      <c r="J1615">
        <v>2</v>
      </c>
      <c r="K1615">
        <v>71.242242500765499</v>
      </c>
      <c r="L1615">
        <v>252</v>
      </c>
      <c r="M1615">
        <v>142.484485001531</v>
      </c>
      <c r="N1615">
        <v>109.51551499846801</v>
      </c>
      <c r="O1615" t="s">
        <v>32</v>
      </c>
      <c r="P1615">
        <f t="shared" si="50"/>
        <v>252</v>
      </c>
      <c r="Q1615">
        <f t="shared" si="51"/>
        <v>-109.515514998469</v>
      </c>
    </row>
    <row r="1616" spans="1:17" x14ac:dyDescent="0.4">
      <c r="A1616" t="s">
        <v>3172</v>
      </c>
      <c r="B1616" s="1">
        <v>45495.416666666664</v>
      </c>
      <c r="C1616" t="s">
        <v>43</v>
      </c>
      <c r="D1616" t="s">
        <v>3173</v>
      </c>
      <c r="E1616" t="s">
        <v>94</v>
      </c>
      <c r="F1616" t="s">
        <v>61</v>
      </c>
      <c r="G1616">
        <v>222</v>
      </c>
      <c r="H1616">
        <v>0</v>
      </c>
      <c r="I1616">
        <v>222</v>
      </c>
      <c r="J1616">
        <v>5</v>
      </c>
      <c r="K1616">
        <v>156.02364358773099</v>
      </c>
      <c r="L1616">
        <v>1110</v>
      </c>
      <c r="M1616">
        <v>780.11821793865499</v>
      </c>
      <c r="N1616">
        <v>329.88178206134398</v>
      </c>
      <c r="O1616" t="s">
        <v>26</v>
      </c>
      <c r="P1616">
        <f t="shared" si="50"/>
        <v>1110</v>
      </c>
      <c r="Q1616">
        <f t="shared" si="51"/>
        <v>-329.88178206134501</v>
      </c>
    </row>
    <row r="1617" spans="1:17" x14ac:dyDescent="0.4">
      <c r="A1617" t="s">
        <v>3174</v>
      </c>
      <c r="B1617" s="1">
        <v>45880.041666666664</v>
      </c>
      <c r="C1617" t="s">
        <v>28</v>
      </c>
      <c r="D1617" t="s">
        <v>3175</v>
      </c>
      <c r="E1617" t="s">
        <v>69</v>
      </c>
      <c r="F1617" t="s">
        <v>70</v>
      </c>
      <c r="G1617">
        <v>209</v>
      </c>
      <c r="H1617">
        <v>0.1</v>
      </c>
      <c r="I1617">
        <v>188.1</v>
      </c>
      <c r="J1617">
        <v>7</v>
      </c>
      <c r="K1617">
        <v>155.23030672057101</v>
      </c>
      <c r="L1617">
        <v>1316.7</v>
      </c>
      <c r="M1617">
        <v>1086.61214704399</v>
      </c>
      <c r="N1617">
        <v>230.087852956002</v>
      </c>
      <c r="O1617" t="s">
        <v>32</v>
      </c>
      <c r="P1617">
        <f t="shared" si="50"/>
        <v>1463</v>
      </c>
      <c r="Q1617">
        <f t="shared" si="51"/>
        <v>-230.08785295601001</v>
      </c>
    </row>
    <row r="1618" spans="1:17" x14ac:dyDescent="0.4">
      <c r="A1618" t="s">
        <v>3176</v>
      </c>
      <c r="B1618" s="1">
        <v>45860.541666666664</v>
      </c>
      <c r="C1618" t="s">
        <v>43</v>
      </c>
      <c r="D1618" t="s">
        <v>3177</v>
      </c>
      <c r="E1618" t="s">
        <v>41</v>
      </c>
      <c r="F1618" t="s">
        <v>31</v>
      </c>
      <c r="G1618">
        <v>188</v>
      </c>
      <c r="H1618">
        <v>0.05</v>
      </c>
      <c r="I1618">
        <v>178.6</v>
      </c>
      <c r="J1618">
        <v>3</v>
      </c>
      <c r="K1618">
        <v>89.118050067570096</v>
      </c>
      <c r="L1618">
        <v>535.79999999999995</v>
      </c>
      <c r="M1618">
        <v>267.35415020271</v>
      </c>
      <c r="N1618">
        <v>268.44584979728899</v>
      </c>
      <c r="O1618" t="s">
        <v>51</v>
      </c>
      <c r="P1618">
        <f t="shared" si="50"/>
        <v>564</v>
      </c>
      <c r="Q1618">
        <f t="shared" si="51"/>
        <v>-268.44584979728995</v>
      </c>
    </row>
    <row r="1619" spans="1:17" x14ac:dyDescent="0.4">
      <c r="A1619" t="s">
        <v>3178</v>
      </c>
      <c r="B1619" s="1">
        <v>45542.5</v>
      </c>
      <c r="C1619" t="s">
        <v>16</v>
      </c>
      <c r="D1619" t="s">
        <v>3179</v>
      </c>
      <c r="E1619" t="s">
        <v>85</v>
      </c>
      <c r="F1619" t="s">
        <v>70</v>
      </c>
      <c r="G1619">
        <v>256</v>
      </c>
      <c r="H1619">
        <v>0.15</v>
      </c>
      <c r="I1619">
        <v>217.6</v>
      </c>
      <c r="J1619">
        <v>5</v>
      </c>
      <c r="K1619">
        <v>122.105239504327</v>
      </c>
      <c r="L1619">
        <v>1088</v>
      </c>
      <c r="M1619">
        <v>610.52619752163901</v>
      </c>
      <c r="N1619">
        <v>477.47380247836003</v>
      </c>
      <c r="O1619" t="s">
        <v>105</v>
      </c>
      <c r="P1619">
        <f t="shared" si="50"/>
        <v>1280</v>
      </c>
      <c r="Q1619">
        <f t="shared" si="51"/>
        <v>-477.47380247836099</v>
      </c>
    </row>
    <row r="1620" spans="1:17" x14ac:dyDescent="0.4">
      <c r="A1620" t="s">
        <v>3180</v>
      </c>
      <c r="B1620" s="1">
        <v>46014.791666666664</v>
      </c>
      <c r="C1620" t="s">
        <v>22</v>
      </c>
      <c r="D1620" t="s">
        <v>3181</v>
      </c>
      <c r="E1620" t="s">
        <v>60</v>
      </c>
      <c r="F1620" t="s">
        <v>61</v>
      </c>
      <c r="G1620">
        <v>205</v>
      </c>
      <c r="H1620">
        <v>0.15</v>
      </c>
      <c r="I1620">
        <v>174.25</v>
      </c>
      <c r="J1620">
        <v>1</v>
      </c>
      <c r="K1620">
        <v>106.41116107923099</v>
      </c>
      <c r="L1620">
        <v>174.25</v>
      </c>
      <c r="M1620">
        <v>106.41116107923099</v>
      </c>
      <c r="N1620">
        <v>67.838838920768296</v>
      </c>
      <c r="O1620" t="s">
        <v>105</v>
      </c>
      <c r="P1620">
        <f t="shared" si="50"/>
        <v>205</v>
      </c>
      <c r="Q1620">
        <f t="shared" si="51"/>
        <v>-67.838838920769007</v>
      </c>
    </row>
    <row r="1621" spans="1:17" x14ac:dyDescent="0.4">
      <c r="A1621" t="s">
        <v>3182</v>
      </c>
      <c r="B1621" s="1">
        <v>45589.958333333336</v>
      </c>
      <c r="C1621" t="s">
        <v>28</v>
      </c>
      <c r="D1621" t="s">
        <v>3183</v>
      </c>
      <c r="E1621" t="s">
        <v>73</v>
      </c>
      <c r="F1621" t="s">
        <v>38</v>
      </c>
      <c r="G1621">
        <v>249</v>
      </c>
      <c r="H1621">
        <v>0</v>
      </c>
      <c r="I1621">
        <v>249</v>
      </c>
      <c r="J1621">
        <v>4</v>
      </c>
      <c r="K1621">
        <v>111.41239929086601</v>
      </c>
      <c r="L1621">
        <v>996</v>
      </c>
      <c r="M1621">
        <v>445.64959716346499</v>
      </c>
      <c r="N1621">
        <v>550.35040283653404</v>
      </c>
      <c r="O1621" t="s">
        <v>51</v>
      </c>
      <c r="P1621">
        <f t="shared" si="50"/>
        <v>996</v>
      </c>
      <c r="Q1621">
        <f t="shared" si="51"/>
        <v>-550.35040283653507</v>
      </c>
    </row>
    <row r="1622" spans="1:17" x14ac:dyDescent="0.4">
      <c r="A1622" t="s">
        <v>3184</v>
      </c>
      <c r="B1622" s="1">
        <v>45442.416666666664</v>
      </c>
      <c r="C1622" t="s">
        <v>16</v>
      </c>
      <c r="D1622" t="s">
        <v>2299</v>
      </c>
      <c r="E1622" t="s">
        <v>69</v>
      </c>
      <c r="F1622" t="s">
        <v>70</v>
      </c>
      <c r="G1622">
        <v>348</v>
      </c>
      <c r="H1622">
        <v>0.15</v>
      </c>
      <c r="I1622">
        <v>295.8</v>
      </c>
      <c r="J1622">
        <v>7</v>
      </c>
      <c r="K1622">
        <v>178.036150328475</v>
      </c>
      <c r="L1622">
        <v>2070.6</v>
      </c>
      <c r="M1622">
        <v>1246.25305229933</v>
      </c>
      <c r="N1622">
        <v>824.34694770066903</v>
      </c>
      <c r="O1622" t="s">
        <v>26</v>
      </c>
      <c r="P1622">
        <f t="shared" si="50"/>
        <v>2436</v>
      </c>
      <c r="Q1622">
        <f t="shared" si="51"/>
        <v>-824.34694770066994</v>
      </c>
    </row>
    <row r="1623" spans="1:17" x14ac:dyDescent="0.4">
      <c r="A1623" t="s">
        <v>3185</v>
      </c>
      <c r="B1623" s="1">
        <v>45703.833333333336</v>
      </c>
      <c r="C1623" t="s">
        <v>43</v>
      </c>
      <c r="D1623" t="s">
        <v>3186</v>
      </c>
      <c r="E1623" t="s">
        <v>69</v>
      </c>
      <c r="F1623" t="s">
        <v>70</v>
      </c>
      <c r="G1623">
        <v>177</v>
      </c>
      <c r="H1623">
        <v>0.05</v>
      </c>
      <c r="I1623">
        <v>168.15</v>
      </c>
      <c r="J1623">
        <v>3</v>
      </c>
      <c r="K1623">
        <v>118.098767722994</v>
      </c>
      <c r="L1623">
        <v>504.45</v>
      </c>
      <c r="M1623">
        <v>354.29630316898198</v>
      </c>
      <c r="N1623">
        <v>150.15369683101699</v>
      </c>
      <c r="O1623" t="s">
        <v>32</v>
      </c>
      <c r="P1623">
        <f t="shared" si="50"/>
        <v>531</v>
      </c>
      <c r="Q1623">
        <f t="shared" si="51"/>
        <v>-150.15369683101801</v>
      </c>
    </row>
    <row r="1624" spans="1:17" x14ac:dyDescent="0.4">
      <c r="A1624" t="s">
        <v>3187</v>
      </c>
      <c r="B1624" s="1">
        <v>45579.25</v>
      </c>
      <c r="C1624" t="s">
        <v>22</v>
      </c>
      <c r="D1624" t="s">
        <v>3188</v>
      </c>
      <c r="E1624" t="s">
        <v>85</v>
      </c>
      <c r="F1624" t="s">
        <v>70</v>
      </c>
      <c r="G1624">
        <v>267</v>
      </c>
      <c r="H1624">
        <v>0.2</v>
      </c>
      <c r="I1624">
        <v>213.6</v>
      </c>
      <c r="J1624">
        <v>2</v>
      </c>
      <c r="K1624">
        <v>150.21939977266501</v>
      </c>
      <c r="L1624">
        <v>427.2</v>
      </c>
      <c r="M1624">
        <v>300.43879954533003</v>
      </c>
      <c r="N1624">
        <v>126.76120045466899</v>
      </c>
      <c r="O1624" t="s">
        <v>32</v>
      </c>
      <c r="P1624">
        <f t="shared" si="50"/>
        <v>534</v>
      </c>
      <c r="Q1624">
        <f t="shared" si="51"/>
        <v>-126.76120045466996</v>
      </c>
    </row>
    <row r="1625" spans="1:17" x14ac:dyDescent="0.4">
      <c r="A1625" t="s">
        <v>3189</v>
      </c>
      <c r="B1625" s="1">
        <v>45853.125</v>
      </c>
      <c r="C1625" t="s">
        <v>22</v>
      </c>
      <c r="D1625" t="s">
        <v>3190</v>
      </c>
      <c r="E1625" t="s">
        <v>37</v>
      </c>
      <c r="F1625" t="s">
        <v>38</v>
      </c>
      <c r="G1625">
        <v>224</v>
      </c>
      <c r="H1625">
        <v>0.05</v>
      </c>
      <c r="I1625">
        <v>212.79999999999899</v>
      </c>
      <c r="J1625">
        <v>2</v>
      </c>
      <c r="K1625">
        <v>128.02473976829799</v>
      </c>
      <c r="L1625">
        <v>425.599999999999</v>
      </c>
      <c r="M1625">
        <v>256.04947953659598</v>
      </c>
      <c r="N1625">
        <v>169.55052046340299</v>
      </c>
      <c r="O1625" t="s">
        <v>26</v>
      </c>
      <c r="P1625">
        <f t="shared" si="50"/>
        <v>448</v>
      </c>
      <c r="Q1625">
        <f t="shared" si="51"/>
        <v>-169.55052046340302</v>
      </c>
    </row>
    <row r="1626" spans="1:17" x14ac:dyDescent="0.4">
      <c r="A1626" t="s">
        <v>3191</v>
      </c>
      <c r="B1626" s="1">
        <v>45979.041666666664</v>
      </c>
      <c r="C1626" t="s">
        <v>16</v>
      </c>
      <c r="D1626" t="s">
        <v>3192</v>
      </c>
      <c r="E1626" t="s">
        <v>94</v>
      </c>
      <c r="F1626" t="s">
        <v>61</v>
      </c>
      <c r="G1626">
        <v>92</v>
      </c>
      <c r="H1626">
        <v>0.1</v>
      </c>
      <c r="I1626">
        <v>82.8</v>
      </c>
      <c r="J1626">
        <v>2</v>
      </c>
      <c r="K1626">
        <v>61.537578440211298</v>
      </c>
      <c r="L1626">
        <v>165.6</v>
      </c>
      <c r="M1626">
        <v>123.075156880422</v>
      </c>
      <c r="N1626">
        <v>42.524843119577199</v>
      </c>
      <c r="O1626" t="s">
        <v>51</v>
      </c>
      <c r="P1626">
        <f t="shared" si="50"/>
        <v>184</v>
      </c>
      <c r="Q1626">
        <f t="shared" si="51"/>
        <v>-42.524843119577994</v>
      </c>
    </row>
    <row r="1627" spans="1:17" x14ac:dyDescent="0.4">
      <c r="A1627" t="s">
        <v>3193</v>
      </c>
      <c r="B1627" s="1">
        <v>45703.375</v>
      </c>
      <c r="C1627" t="s">
        <v>46</v>
      </c>
      <c r="D1627" t="s">
        <v>3194</v>
      </c>
      <c r="E1627" t="s">
        <v>146</v>
      </c>
      <c r="F1627" t="s">
        <v>70</v>
      </c>
      <c r="G1627">
        <v>96</v>
      </c>
      <c r="H1627">
        <v>0</v>
      </c>
      <c r="I1627">
        <v>96</v>
      </c>
      <c r="J1627">
        <v>4</v>
      </c>
      <c r="K1627">
        <v>64.966160075132507</v>
      </c>
      <c r="L1627">
        <v>384</v>
      </c>
      <c r="M1627">
        <v>259.86464030053003</v>
      </c>
      <c r="N1627">
        <v>124.13535969946901</v>
      </c>
      <c r="O1627" t="s">
        <v>105</v>
      </c>
      <c r="P1627">
        <f t="shared" si="50"/>
        <v>384</v>
      </c>
      <c r="Q1627">
        <f t="shared" si="51"/>
        <v>-124.13535969946997</v>
      </c>
    </row>
    <row r="1628" spans="1:17" x14ac:dyDescent="0.4">
      <c r="A1628" t="s">
        <v>3195</v>
      </c>
      <c r="B1628" s="1">
        <v>45804.041666666664</v>
      </c>
      <c r="C1628" t="s">
        <v>65</v>
      </c>
      <c r="D1628" t="s">
        <v>3196</v>
      </c>
      <c r="E1628" t="s">
        <v>85</v>
      </c>
      <c r="F1628" t="s">
        <v>70</v>
      </c>
      <c r="G1628">
        <v>225</v>
      </c>
      <c r="H1628">
        <v>0.05</v>
      </c>
      <c r="I1628">
        <v>213.75</v>
      </c>
      <c r="J1628">
        <v>7</v>
      </c>
      <c r="K1628">
        <v>107.524220371787</v>
      </c>
      <c r="L1628">
        <v>1496.25</v>
      </c>
      <c r="M1628">
        <v>752.66954260250998</v>
      </c>
      <c r="N1628">
        <v>743.580457397489</v>
      </c>
      <c r="O1628" t="s">
        <v>20</v>
      </c>
      <c r="P1628">
        <f t="shared" si="50"/>
        <v>1575</v>
      </c>
      <c r="Q1628">
        <f t="shared" si="51"/>
        <v>-743.58045739749002</v>
      </c>
    </row>
    <row r="1629" spans="1:17" x14ac:dyDescent="0.4">
      <c r="A1629" t="s">
        <v>3197</v>
      </c>
      <c r="B1629" s="1">
        <v>45800.666666666664</v>
      </c>
      <c r="C1629" t="s">
        <v>16</v>
      </c>
      <c r="D1629" t="s">
        <v>3198</v>
      </c>
      <c r="E1629" t="s">
        <v>18</v>
      </c>
      <c r="F1629" t="s">
        <v>19</v>
      </c>
      <c r="G1629">
        <v>302</v>
      </c>
      <c r="H1629">
        <v>0.05</v>
      </c>
      <c r="I1629">
        <v>286.89999999999998</v>
      </c>
      <c r="J1629">
        <v>4</v>
      </c>
      <c r="K1629">
        <v>225.8329476525</v>
      </c>
      <c r="L1629">
        <v>1147.5999999999999</v>
      </c>
      <c r="M1629">
        <v>903.33179060999998</v>
      </c>
      <c r="N1629">
        <v>244.26820938999899</v>
      </c>
      <c r="O1629" t="s">
        <v>105</v>
      </c>
      <c r="P1629">
        <f t="shared" si="50"/>
        <v>1208</v>
      </c>
      <c r="Q1629">
        <f t="shared" si="51"/>
        <v>-244.26820938999992</v>
      </c>
    </row>
    <row r="1630" spans="1:17" x14ac:dyDescent="0.4">
      <c r="A1630" t="s">
        <v>3199</v>
      </c>
      <c r="B1630" s="1">
        <v>45743.166666666664</v>
      </c>
      <c r="C1630" t="s">
        <v>65</v>
      </c>
      <c r="D1630" t="s">
        <v>3200</v>
      </c>
      <c r="E1630" t="s">
        <v>41</v>
      </c>
      <c r="F1630" t="s">
        <v>31</v>
      </c>
      <c r="G1630">
        <v>221</v>
      </c>
      <c r="H1630">
        <v>0</v>
      </c>
      <c r="I1630">
        <v>221</v>
      </c>
      <c r="J1630">
        <v>2</v>
      </c>
      <c r="K1630">
        <v>157.602540740688</v>
      </c>
      <c r="L1630">
        <v>442</v>
      </c>
      <c r="M1630">
        <v>315.20508148137702</v>
      </c>
      <c r="N1630">
        <v>126.794918518622</v>
      </c>
      <c r="O1630" t="s">
        <v>105</v>
      </c>
      <c r="P1630">
        <f t="shared" si="50"/>
        <v>442</v>
      </c>
      <c r="Q1630">
        <f t="shared" si="51"/>
        <v>-126.79491851862298</v>
      </c>
    </row>
    <row r="1631" spans="1:17" x14ac:dyDescent="0.4">
      <c r="A1631" t="s">
        <v>3201</v>
      </c>
      <c r="B1631" s="1">
        <v>45381.041666666664</v>
      </c>
      <c r="C1631" t="s">
        <v>43</v>
      </c>
      <c r="D1631" t="s">
        <v>3202</v>
      </c>
      <c r="E1631" t="s">
        <v>37</v>
      </c>
      <c r="F1631" t="s">
        <v>38</v>
      </c>
      <c r="G1631">
        <v>132</v>
      </c>
      <c r="H1631">
        <v>0.1</v>
      </c>
      <c r="I1631">
        <v>118.8</v>
      </c>
      <c r="J1631">
        <v>6</v>
      </c>
      <c r="K1631">
        <v>58.494409641730698</v>
      </c>
      <c r="L1631">
        <v>712.8</v>
      </c>
      <c r="M1631">
        <v>350.96645785038402</v>
      </c>
      <c r="N1631">
        <v>361.83354214961503</v>
      </c>
      <c r="O1631" t="s">
        <v>32</v>
      </c>
      <c r="P1631">
        <f t="shared" si="50"/>
        <v>792</v>
      </c>
      <c r="Q1631">
        <f t="shared" si="51"/>
        <v>-361.83354214961594</v>
      </c>
    </row>
    <row r="1632" spans="1:17" x14ac:dyDescent="0.4">
      <c r="A1632" t="s">
        <v>3203</v>
      </c>
      <c r="B1632" s="1">
        <v>45345.583333333336</v>
      </c>
      <c r="C1632" t="s">
        <v>46</v>
      </c>
      <c r="D1632" t="s">
        <v>3204</v>
      </c>
      <c r="E1632" t="s">
        <v>115</v>
      </c>
      <c r="F1632" t="s">
        <v>38</v>
      </c>
      <c r="G1632">
        <v>265</v>
      </c>
      <c r="H1632">
        <v>0.05</v>
      </c>
      <c r="I1632">
        <v>251.75</v>
      </c>
      <c r="J1632">
        <v>2</v>
      </c>
      <c r="K1632">
        <v>122.953636469594</v>
      </c>
      <c r="L1632">
        <v>503.5</v>
      </c>
      <c r="M1632">
        <v>245.907272939188</v>
      </c>
      <c r="N1632">
        <v>257.592727060811</v>
      </c>
      <c r="O1632" t="s">
        <v>51</v>
      </c>
      <c r="P1632">
        <f t="shared" si="50"/>
        <v>530</v>
      </c>
      <c r="Q1632">
        <f t="shared" si="51"/>
        <v>-257.59272706081197</v>
      </c>
    </row>
    <row r="1633" spans="1:17" x14ac:dyDescent="0.4">
      <c r="A1633" t="s">
        <v>3205</v>
      </c>
      <c r="B1633" s="1">
        <v>45946.583333333336</v>
      </c>
      <c r="C1633" t="s">
        <v>46</v>
      </c>
      <c r="D1633" t="s">
        <v>3206</v>
      </c>
      <c r="E1633" t="s">
        <v>30</v>
      </c>
      <c r="F1633" t="s">
        <v>31</v>
      </c>
      <c r="G1633">
        <v>108</v>
      </c>
      <c r="H1633">
        <v>0</v>
      </c>
      <c r="I1633">
        <v>108</v>
      </c>
      <c r="J1633">
        <v>5</v>
      </c>
      <c r="K1633">
        <v>65.841825425852804</v>
      </c>
      <c r="L1633">
        <v>540</v>
      </c>
      <c r="M1633">
        <v>329.209127129264</v>
      </c>
      <c r="N1633">
        <v>210.790872870736</v>
      </c>
      <c r="O1633" t="s">
        <v>32</v>
      </c>
      <c r="P1633">
        <f t="shared" si="50"/>
        <v>540</v>
      </c>
      <c r="Q1633">
        <f t="shared" si="51"/>
        <v>-210.790872870736</v>
      </c>
    </row>
    <row r="1634" spans="1:17" x14ac:dyDescent="0.4">
      <c r="A1634" t="s">
        <v>3207</v>
      </c>
      <c r="B1634" s="1">
        <v>45765.791666666664</v>
      </c>
      <c r="C1634" t="s">
        <v>65</v>
      </c>
      <c r="D1634" t="s">
        <v>3208</v>
      </c>
      <c r="E1634" t="s">
        <v>37</v>
      </c>
      <c r="F1634" t="s">
        <v>38</v>
      </c>
      <c r="G1634">
        <v>333</v>
      </c>
      <c r="H1634">
        <v>0.2</v>
      </c>
      <c r="I1634">
        <v>266.39999999999998</v>
      </c>
      <c r="J1634">
        <v>7</v>
      </c>
      <c r="K1634">
        <v>213.339946540711</v>
      </c>
      <c r="L1634">
        <v>1864.8</v>
      </c>
      <c r="M1634">
        <v>1493.3796257849799</v>
      </c>
      <c r="N1634">
        <v>371.42037421501902</v>
      </c>
      <c r="O1634" t="s">
        <v>32</v>
      </c>
      <c r="P1634">
        <f t="shared" si="50"/>
        <v>2331</v>
      </c>
      <c r="Q1634">
        <f t="shared" si="51"/>
        <v>-371.42037421502005</v>
      </c>
    </row>
    <row r="1635" spans="1:17" x14ac:dyDescent="0.4">
      <c r="A1635" t="s">
        <v>3209</v>
      </c>
      <c r="B1635" s="1">
        <v>45956.375</v>
      </c>
      <c r="C1635" t="s">
        <v>65</v>
      </c>
      <c r="D1635" t="s">
        <v>2434</v>
      </c>
      <c r="E1635" t="s">
        <v>110</v>
      </c>
      <c r="F1635" t="s">
        <v>19</v>
      </c>
      <c r="G1635">
        <v>167</v>
      </c>
      <c r="H1635">
        <v>0.15</v>
      </c>
      <c r="I1635">
        <v>141.94999999999999</v>
      </c>
      <c r="J1635">
        <v>4</v>
      </c>
      <c r="K1635">
        <v>124.058431817833</v>
      </c>
      <c r="L1635">
        <v>567.79999999999995</v>
      </c>
      <c r="M1635">
        <v>496.23372727133199</v>
      </c>
      <c r="N1635">
        <v>71.566272728667499</v>
      </c>
      <c r="O1635" t="s">
        <v>32</v>
      </c>
      <c r="P1635">
        <f t="shared" si="50"/>
        <v>668</v>
      </c>
      <c r="Q1635">
        <f t="shared" si="51"/>
        <v>-71.566272728667968</v>
      </c>
    </row>
    <row r="1636" spans="1:17" x14ac:dyDescent="0.4">
      <c r="A1636" t="s">
        <v>3210</v>
      </c>
      <c r="B1636" s="1">
        <v>45585.833333333336</v>
      </c>
      <c r="C1636" t="s">
        <v>43</v>
      </c>
      <c r="D1636" t="s">
        <v>3211</v>
      </c>
      <c r="E1636" t="s">
        <v>115</v>
      </c>
      <c r="F1636" t="s">
        <v>38</v>
      </c>
      <c r="G1636">
        <v>276</v>
      </c>
      <c r="H1636">
        <v>0.15</v>
      </c>
      <c r="I1636">
        <v>234.6</v>
      </c>
      <c r="J1636">
        <v>5</v>
      </c>
      <c r="K1636">
        <v>123.485302200232</v>
      </c>
      <c r="L1636">
        <v>1173</v>
      </c>
      <c r="M1636">
        <v>617.42651100116097</v>
      </c>
      <c r="N1636">
        <v>555.573488998838</v>
      </c>
      <c r="O1636" t="s">
        <v>51</v>
      </c>
      <c r="P1636">
        <f t="shared" si="50"/>
        <v>1380</v>
      </c>
      <c r="Q1636">
        <f t="shared" si="51"/>
        <v>-555.57348899883903</v>
      </c>
    </row>
    <row r="1637" spans="1:17" x14ac:dyDescent="0.4">
      <c r="A1637" t="s">
        <v>3212</v>
      </c>
      <c r="B1637" s="1">
        <v>45444.25</v>
      </c>
      <c r="C1637" t="s">
        <v>16</v>
      </c>
      <c r="D1637" t="s">
        <v>3213</v>
      </c>
      <c r="E1637" t="s">
        <v>94</v>
      </c>
      <c r="F1637" t="s">
        <v>61</v>
      </c>
      <c r="G1637">
        <v>200</v>
      </c>
      <c r="H1637">
        <v>0</v>
      </c>
      <c r="I1637">
        <v>200</v>
      </c>
      <c r="J1637">
        <v>3</v>
      </c>
      <c r="K1637">
        <v>91.220543167458004</v>
      </c>
      <c r="L1637">
        <v>600</v>
      </c>
      <c r="M1637">
        <v>273.66162950237401</v>
      </c>
      <c r="N1637">
        <v>326.33837049762502</v>
      </c>
      <c r="O1637" t="s">
        <v>32</v>
      </c>
      <c r="P1637">
        <f t="shared" si="50"/>
        <v>600</v>
      </c>
      <c r="Q1637">
        <f t="shared" si="51"/>
        <v>-326.33837049762599</v>
      </c>
    </row>
    <row r="1638" spans="1:17" x14ac:dyDescent="0.4">
      <c r="A1638" t="s">
        <v>3214</v>
      </c>
      <c r="B1638" s="1">
        <v>45942</v>
      </c>
      <c r="C1638" t="s">
        <v>22</v>
      </c>
      <c r="D1638" t="s">
        <v>3215</v>
      </c>
      <c r="E1638" t="s">
        <v>85</v>
      </c>
      <c r="F1638" t="s">
        <v>70</v>
      </c>
      <c r="G1638">
        <v>276</v>
      </c>
      <c r="H1638">
        <v>0.05</v>
      </c>
      <c r="I1638">
        <v>262.2</v>
      </c>
      <c r="J1638">
        <v>2</v>
      </c>
      <c r="K1638">
        <v>195.871977620754</v>
      </c>
      <c r="L1638">
        <v>524.4</v>
      </c>
      <c r="M1638">
        <v>391.74395524150901</v>
      </c>
      <c r="N1638">
        <v>132.65604475849</v>
      </c>
      <c r="O1638" t="s">
        <v>20</v>
      </c>
      <c r="P1638">
        <f t="shared" si="50"/>
        <v>552</v>
      </c>
      <c r="Q1638">
        <f t="shared" si="51"/>
        <v>-132.65604475849096</v>
      </c>
    </row>
    <row r="1639" spans="1:17" x14ac:dyDescent="0.4">
      <c r="A1639" t="s">
        <v>3216</v>
      </c>
      <c r="B1639" s="1">
        <v>45651.833333333336</v>
      </c>
      <c r="C1639" t="s">
        <v>22</v>
      </c>
      <c r="D1639" t="s">
        <v>3217</v>
      </c>
      <c r="E1639" t="s">
        <v>24</v>
      </c>
      <c r="F1639" t="s">
        <v>25</v>
      </c>
      <c r="G1639">
        <v>284</v>
      </c>
      <c r="H1639">
        <v>0.15</v>
      </c>
      <c r="I1639">
        <v>241.4</v>
      </c>
      <c r="J1639">
        <v>6</v>
      </c>
      <c r="K1639">
        <v>166.03550542424401</v>
      </c>
      <c r="L1639">
        <v>1448.4</v>
      </c>
      <c r="M1639">
        <v>996.21303254546604</v>
      </c>
      <c r="N1639">
        <v>452.18696745453298</v>
      </c>
      <c r="O1639" t="s">
        <v>32</v>
      </c>
      <c r="P1639">
        <f t="shared" si="50"/>
        <v>1704</v>
      </c>
      <c r="Q1639">
        <f t="shared" si="51"/>
        <v>-452.18696745453406</v>
      </c>
    </row>
    <row r="1640" spans="1:17" x14ac:dyDescent="0.4">
      <c r="A1640" t="s">
        <v>3218</v>
      </c>
      <c r="B1640" s="1">
        <v>45560.375</v>
      </c>
      <c r="C1640" t="s">
        <v>22</v>
      </c>
      <c r="D1640" t="s">
        <v>3219</v>
      </c>
      <c r="E1640" t="s">
        <v>85</v>
      </c>
      <c r="F1640" t="s">
        <v>70</v>
      </c>
      <c r="G1640">
        <v>322</v>
      </c>
      <c r="H1640">
        <v>0.1</v>
      </c>
      <c r="I1640">
        <v>289.8</v>
      </c>
      <c r="J1640">
        <v>4</v>
      </c>
      <c r="K1640">
        <v>203.74907954382999</v>
      </c>
      <c r="L1640">
        <v>1159.2</v>
      </c>
      <c r="M1640">
        <v>814.99631817531997</v>
      </c>
      <c r="N1640">
        <v>344.20368182467899</v>
      </c>
      <c r="O1640" t="s">
        <v>51</v>
      </c>
      <c r="P1640">
        <f t="shared" si="50"/>
        <v>1288</v>
      </c>
      <c r="Q1640">
        <f t="shared" si="51"/>
        <v>-344.20368182468007</v>
      </c>
    </row>
    <row r="1641" spans="1:17" x14ac:dyDescent="0.4">
      <c r="A1641" t="s">
        <v>3220</v>
      </c>
      <c r="B1641" s="1">
        <v>45694.791666666664</v>
      </c>
      <c r="C1641" t="s">
        <v>22</v>
      </c>
      <c r="D1641" t="s">
        <v>3221</v>
      </c>
      <c r="E1641" t="s">
        <v>18</v>
      </c>
      <c r="F1641" t="s">
        <v>19</v>
      </c>
      <c r="G1641">
        <v>344</v>
      </c>
      <c r="H1641">
        <v>0</v>
      </c>
      <c r="I1641">
        <v>344</v>
      </c>
      <c r="J1641">
        <v>6</v>
      </c>
      <c r="K1641">
        <v>190.59170236016499</v>
      </c>
      <c r="L1641">
        <v>2064</v>
      </c>
      <c r="M1641">
        <v>1143.55021416099</v>
      </c>
      <c r="N1641">
        <v>920.44978583900604</v>
      </c>
      <c r="O1641" t="s">
        <v>26</v>
      </c>
      <c r="P1641">
        <f t="shared" si="50"/>
        <v>2064</v>
      </c>
      <c r="Q1641">
        <f t="shared" si="51"/>
        <v>-920.44978583901002</v>
      </c>
    </row>
    <row r="1642" spans="1:17" x14ac:dyDescent="0.4">
      <c r="A1642" t="s">
        <v>3222</v>
      </c>
      <c r="B1642" s="1">
        <v>45798.208333333336</v>
      </c>
      <c r="C1642" t="s">
        <v>46</v>
      </c>
      <c r="D1642" t="s">
        <v>3223</v>
      </c>
      <c r="E1642" t="s">
        <v>37</v>
      </c>
      <c r="F1642" t="s">
        <v>38</v>
      </c>
      <c r="G1642">
        <v>287</v>
      </c>
      <c r="H1642">
        <v>0.15</v>
      </c>
      <c r="I1642">
        <v>243.95</v>
      </c>
      <c r="J1642">
        <v>7</v>
      </c>
      <c r="K1642">
        <v>152.12953139043699</v>
      </c>
      <c r="L1642">
        <v>1707.6499999999901</v>
      </c>
      <c r="M1642">
        <v>1064.9067197330601</v>
      </c>
      <c r="N1642">
        <v>642.74328026693502</v>
      </c>
      <c r="O1642" t="s">
        <v>32</v>
      </c>
      <c r="P1642">
        <f t="shared" si="50"/>
        <v>2009</v>
      </c>
      <c r="Q1642">
        <f t="shared" si="51"/>
        <v>-642.74328026693001</v>
      </c>
    </row>
    <row r="1643" spans="1:17" x14ac:dyDescent="0.4">
      <c r="A1643" t="s">
        <v>3224</v>
      </c>
      <c r="B1643" s="1">
        <v>45366.916666666664</v>
      </c>
      <c r="C1643" t="s">
        <v>46</v>
      </c>
      <c r="D1643" t="s">
        <v>3225</v>
      </c>
      <c r="E1643" t="s">
        <v>73</v>
      </c>
      <c r="F1643" t="s">
        <v>38</v>
      </c>
      <c r="G1643">
        <v>266</v>
      </c>
      <c r="H1643">
        <v>0.1</v>
      </c>
      <c r="I1643">
        <v>239.4</v>
      </c>
      <c r="J1643">
        <v>5</v>
      </c>
      <c r="K1643">
        <v>171.74790496986299</v>
      </c>
      <c r="L1643">
        <v>1197</v>
      </c>
      <c r="M1643">
        <v>858.73952484931897</v>
      </c>
      <c r="N1643">
        <v>338.26047515068001</v>
      </c>
      <c r="O1643" t="s">
        <v>26</v>
      </c>
      <c r="P1643">
        <f t="shared" si="50"/>
        <v>1330</v>
      </c>
      <c r="Q1643">
        <f t="shared" si="51"/>
        <v>-338.26047515068103</v>
      </c>
    </row>
    <row r="1644" spans="1:17" x14ac:dyDescent="0.4">
      <c r="A1644" t="s">
        <v>3226</v>
      </c>
      <c r="B1644" s="1">
        <v>45692</v>
      </c>
      <c r="C1644" t="s">
        <v>22</v>
      </c>
      <c r="D1644" t="s">
        <v>3227</v>
      </c>
      <c r="E1644" t="s">
        <v>115</v>
      </c>
      <c r="F1644" t="s">
        <v>38</v>
      </c>
      <c r="G1644">
        <v>337</v>
      </c>
      <c r="H1644">
        <v>0</v>
      </c>
      <c r="I1644">
        <v>337</v>
      </c>
      <c r="J1644">
        <v>6</v>
      </c>
      <c r="K1644">
        <v>203.470596244322</v>
      </c>
      <c r="L1644">
        <v>2022</v>
      </c>
      <c r="M1644">
        <v>1220.8235774659299</v>
      </c>
      <c r="N1644">
        <v>801.176422534067</v>
      </c>
      <c r="O1644" t="s">
        <v>32</v>
      </c>
      <c r="P1644">
        <f t="shared" si="50"/>
        <v>2022</v>
      </c>
      <c r="Q1644">
        <f t="shared" si="51"/>
        <v>-801.17642253407007</v>
      </c>
    </row>
    <row r="1645" spans="1:17" x14ac:dyDescent="0.4">
      <c r="A1645" t="s">
        <v>3228</v>
      </c>
      <c r="B1645" s="1">
        <v>45520.958333333336</v>
      </c>
      <c r="C1645" t="s">
        <v>22</v>
      </c>
      <c r="D1645" t="s">
        <v>3229</v>
      </c>
      <c r="E1645" t="s">
        <v>110</v>
      </c>
      <c r="F1645" t="s">
        <v>19</v>
      </c>
      <c r="G1645">
        <v>148</v>
      </c>
      <c r="H1645">
        <v>0.2</v>
      </c>
      <c r="I1645">
        <v>118.4</v>
      </c>
      <c r="J1645">
        <v>1</v>
      </c>
      <c r="K1645">
        <v>97.350400011529103</v>
      </c>
      <c r="L1645">
        <v>118.4</v>
      </c>
      <c r="M1645">
        <v>97.350400011529103</v>
      </c>
      <c r="N1645">
        <v>21.049599988470799</v>
      </c>
      <c r="O1645" t="s">
        <v>32</v>
      </c>
      <c r="P1645">
        <f t="shared" si="50"/>
        <v>148</v>
      </c>
      <c r="Q1645">
        <f t="shared" si="51"/>
        <v>-21.049599988470902</v>
      </c>
    </row>
    <row r="1646" spans="1:17" x14ac:dyDescent="0.4">
      <c r="A1646" t="s">
        <v>3230</v>
      </c>
      <c r="B1646" s="1">
        <v>45704.5</v>
      </c>
      <c r="C1646" t="s">
        <v>22</v>
      </c>
      <c r="D1646" t="s">
        <v>3231</v>
      </c>
      <c r="E1646" t="s">
        <v>24</v>
      </c>
      <c r="F1646" t="s">
        <v>25</v>
      </c>
      <c r="G1646">
        <v>192</v>
      </c>
      <c r="H1646">
        <v>0.15</v>
      </c>
      <c r="I1646">
        <v>163.19999999999999</v>
      </c>
      <c r="J1646">
        <v>5</v>
      </c>
      <c r="K1646">
        <v>114.294155424397</v>
      </c>
      <c r="L1646">
        <v>816</v>
      </c>
      <c r="M1646">
        <v>571.47077712198495</v>
      </c>
      <c r="N1646">
        <v>244.529222878014</v>
      </c>
      <c r="O1646" t="s">
        <v>20</v>
      </c>
      <c r="P1646">
        <f t="shared" si="50"/>
        <v>960</v>
      </c>
      <c r="Q1646">
        <f t="shared" si="51"/>
        <v>-244.52922287801505</v>
      </c>
    </row>
    <row r="1647" spans="1:17" x14ac:dyDescent="0.4">
      <c r="A1647" t="s">
        <v>3232</v>
      </c>
      <c r="B1647" s="1">
        <v>45861.708333333336</v>
      </c>
      <c r="C1647" t="s">
        <v>28</v>
      </c>
      <c r="D1647" t="s">
        <v>3233</v>
      </c>
      <c r="E1647" t="s">
        <v>104</v>
      </c>
      <c r="F1647" t="s">
        <v>25</v>
      </c>
      <c r="G1647">
        <v>201</v>
      </c>
      <c r="H1647">
        <v>0.15</v>
      </c>
      <c r="I1647">
        <v>170.85</v>
      </c>
      <c r="J1647">
        <v>1</v>
      </c>
      <c r="K1647">
        <v>85.338331612532599</v>
      </c>
      <c r="L1647">
        <v>170.85</v>
      </c>
      <c r="M1647">
        <v>85.338331612532599</v>
      </c>
      <c r="N1647">
        <v>85.511668387467296</v>
      </c>
      <c r="O1647" t="s">
        <v>26</v>
      </c>
      <c r="P1647">
        <f t="shared" si="50"/>
        <v>201</v>
      </c>
      <c r="Q1647">
        <f t="shared" si="51"/>
        <v>-85.511668387467395</v>
      </c>
    </row>
    <row r="1648" spans="1:17" x14ac:dyDescent="0.4">
      <c r="A1648" t="s">
        <v>3234</v>
      </c>
      <c r="B1648" s="1">
        <v>45755.75</v>
      </c>
      <c r="C1648" t="s">
        <v>43</v>
      </c>
      <c r="D1648" t="s">
        <v>3235</v>
      </c>
      <c r="E1648" t="s">
        <v>115</v>
      </c>
      <c r="F1648" t="s">
        <v>38</v>
      </c>
      <c r="G1648">
        <v>168</v>
      </c>
      <c r="H1648">
        <v>0.05</v>
      </c>
      <c r="I1648">
        <v>159.6</v>
      </c>
      <c r="J1648">
        <v>1</v>
      </c>
      <c r="K1648">
        <v>117.863997247238</v>
      </c>
      <c r="L1648">
        <v>159.6</v>
      </c>
      <c r="M1648">
        <v>117.863997247238</v>
      </c>
      <c r="N1648">
        <v>41.736002752761799</v>
      </c>
      <c r="O1648" t="s">
        <v>32</v>
      </c>
      <c r="P1648">
        <f t="shared" si="50"/>
        <v>168</v>
      </c>
      <c r="Q1648">
        <f t="shared" si="51"/>
        <v>-41.736002752761991</v>
      </c>
    </row>
    <row r="1649" spans="1:17" x14ac:dyDescent="0.4">
      <c r="A1649" t="s">
        <v>3236</v>
      </c>
      <c r="B1649" s="1">
        <v>45926.25</v>
      </c>
      <c r="C1649" t="s">
        <v>46</v>
      </c>
      <c r="D1649" t="s">
        <v>3237</v>
      </c>
      <c r="E1649" t="s">
        <v>48</v>
      </c>
      <c r="F1649" t="s">
        <v>19</v>
      </c>
      <c r="G1649">
        <v>276</v>
      </c>
      <c r="H1649">
        <v>0.15</v>
      </c>
      <c r="I1649">
        <v>234.6</v>
      </c>
      <c r="J1649">
        <v>5</v>
      </c>
      <c r="K1649">
        <v>117.945395933361</v>
      </c>
      <c r="L1649">
        <v>1173</v>
      </c>
      <c r="M1649">
        <v>589.72697966680801</v>
      </c>
      <c r="N1649">
        <v>583.27302033319097</v>
      </c>
      <c r="O1649" t="s">
        <v>51</v>
      </c>
      <c r="P1649">
        <f t="shared" si="50"/>
        <v>1380</v>
      </c>
      <c r="Q1649">
        <f t="shared" si="51"/>
        <v>-583.27302033319199</v>
      </c>
    </row>
    <row r="1650" spans="1:17" x14ac:dyDescent="0.4">
      <c r="A1650" t="s">
        <v>3238</v>
      </c>
      <c r="B1650" s="1">
        <v>45346.166666666664</v>
      </c>
      <c r="C1650" t="s">
        <v>65</v>
      </c>
      <c r="D1650" t="s">
        <v>3239</v>
      </c>
      <c r="E1650" t="s">
        <v>115</v>
      </c>
      <c r="F1650" t="s">
        <v>38</v>
      </c>
      <c r="G1650">
        <v>139</v>
      </c>
      <c r="H1650">
        <v>0</v>
      </c>
      <c r="I1650">
        <v>139</v>
      </c>
      <c r="J1650">
        <v>7</v>
      </c>
      <c r="K1650">
        <v>102.459808483259</v>
      </c>
      <c r="L1650">
        <v>973</v>
      </c>
      <c r="M1650">
        <v>717.21865938281599</v>
      </c>
      <c r="N1650">
        <v>255.78134061718399</v>
      </c>
      <c r="O1650" t="s">
        <v>32</v>
      </c>
      <c r="P1650">
        <f t="shared" si="50"/>
        <v>973</v>
      </c>
      <c r="Q1650">
        <f t="shared" si="51"/>
        <v>-255.78134061718401</v>
      </c>
    </row>
    <row r="1651" spans="1:17" x14ac:dyDescent="0.4">
      <c r="A1651" t="s">
        <v>3240</v>
      </c>
      <c r="B1651" s="1">
        <v>45685.125</v>
      </c>
      <c r="C1651" t="s">
        <v>16</v>
      </c>
      <c r="D1651" t="s">
        <v>3241</v>
      </c>
      <c r="E1651" t="s">
        <v>97</v>
      </c>
      <c r="F1651" t="s">
        <v>61</v>
      </c>
      <c r="G1651">
        <v>164</v>
      </c>
      <c r="H1651">
        <v>0.05</v>
      </c>
      <c r="I1651">
        <v>155.79999999999899</v>
      </c>
      <c r="J1651">
        <v>7</v>
      </c>
      <c r="K1651">
        <v>86.319644343426205</v>
      </c>
      <c r="L1651">
        <v>1090.5999999999999</v>
      </c>
      <c r="M1651">
        <v>604.23751040398304</v>
      </c>
      <c r="N1651">
        <v>486.36248959601602</v>
      </c>
      <c r="O1651" t="s">
        <v>105</v>
      </c>
      <c r="P1651">
        <f t="shared" si="50"/>
        <v>1148</v>
      </c>
      <c r="Q1651">
        <f t="shared" si="51"/>
        <v>-486.36248959601687</v>
      </c>
    </row>
    <row r="1652" spans="1:17" x14ac:dyDescent="0.4">
      <c r="A1652" t="s">
        <v>3242</v>
      </c>
      <c r="B1652" s="1">
        <v>45484.333333333336</v>
      </c>
      <c r="C1652" t="s">
        <v>22</v>
      </c>
      <c r="D1652" t="s">
        <v>3243</v>
      </c>
      <c r="E1652" t="s">
        <v>30</v>
      </c>
      <c r="F1652" t="s">
        <v>31</v>
      </c>
      <c r="G1652">
        <v>275</v>
      </c>
      <c r="H1652">
        <v>0.15</v>
      </c>
      <c r="I1652">
        <v>233.75</v>
      </c>
      <c r="J1652">
        <v>6</v>
      </c>
      <c r="K1652">
        <v>183.364884096753</v>
      </c>
      <c r="L1652">
        <v>1402.5</v>
      </c>
      <c r="M1652">
        <v>1100.18930458052</v>
      </c>
      <c r="N1652">
        <v>302.31069541947801</v>
      </c>
      <c r="O1652" t="s">
        <v>32</v>
      </c>
      <c r="P1652">
        <f t="shared" si="50"/>
        <v>1650</v>
      </c>
      <c r="Q1652">
        <f t="shared" si="51"/>
        <v>-302.31069541948</v>
      </c>
    </row>
    <row r="1653" spans="1:17" x14ac:dyDescent="0.4">
      <c r="A1653" t="s">
        <v>3244</v>
      </c>
      <c r="B1653" s="1">
        <v>45975.041666666664</v>
      </c>
      <c r="C1653" t="s">
        <v>65</v>
      </c>
      <c r="D1653" t="s">
        <v>3245</v>
      </c>
      <c r="E1653" t="s">
        <v>104</v>
      </c>
      <c r="F1653" t="s">
        <v>25</v>
      </c>
      <c r="G1653">
        <v>225</v>
      </c>
      <c r="H1653">
        <v>0.2</v>
      </c>
      <c r="I1653">
        <v>180</v>
      </c>
      <c r="J1653">
        <v>2</v>
      </c>
      <c r="K1653">
        <v>121.095738697613</v>
      </c>
      <c r="L1653">
        <v>360</v>
      </c>
      <c r="M1653">
        <v>242.191477395226</v>
      </c>
      <c r="N1653">
        <v>117.808522604774</v>
      </c>
      <c r="O1653" t="s">
        <v>32</v>
      </c>
      <c r="P1653">
        <f t="shared" si="50"/>
        <v>450</v>
      </c>
      <c r="Q1653">
        <f t="shared" si="51"/>
        <v>-117.808522604774</v>
      </c>
    </row>
    <row r="1654" spans="1:17" x14ac:dyDescent="0.4">
      <c r="A1654" t="s">
        <v>3246</v>
      </c>
      <c r="B1654" s="1">
        <v>45734.375</v>
      </c>
      <c r="C1654" t="s">
        <v>43</v>
      </c>
      <c r="D1654" t="s">
        <v>3247</v>
      </c>
      <c r="E1654" t="s">
        <v>73</v>
      </c>
      <c r="F1654" t="s">
        <v>38</v>
      </c>
      <c r="G1654">
        <v>279</v>
      </c>
      <c r="H1654">
        <v>0.05</v>
      </c>
      <c r="I1654">
        <v>265.05</v>
      </c>
      <c r="J1654">
        <v>2</v>
      </c>
      <c r="K1654">
        <v>179.071767484529</v>
      </c>
      <c r="L1654">
        <v>530.1</v>
      </c>
      <c r="M1654">
        <v>358.14353496905801</v>
      </c>
      <c r="N1654">
        <v>171.95646503094099</v>
      </c>
      <c r="O1654" t="s">
        <v>32</v>
      </c>
      <c r="P1654">
        <f t="shared" si="50"/>
        <v>558</v>
      </c>
      <c r="Q1654">
        <f t="shared" si="51"/>
        <v>-171.95646503094201</v>
      </c>
    </row>
    <row r="1655" spans="1:17" x14ac:dyDescent="0.4">
      <c r="A1655" t="s">
        <v>3248</v>
      </c>
      <c r="B1655" s="1">
        <v>45531.666666666664</v>
      </c>
      <c r="C1655" t="s">
        <v>16</v>
      </c>
      <c r="D1655" t="s">
        <v>3249</v>
      </c>
      <c r="E1655" t="s">
        <v>48</v>
      </c>
      <c r="F1655" t="s">
        <v>19</v>
      </c>
      <c r="G1655">
        <v>156</v>
      </c>
      <c r="H1655">
        <v>0</v>
      </c>
      <c r="I1655">
        <v>156</v>
      </c>
      <c r="J1655">
        <v>4</v>
      </c>
      <c r="K1655">
        <v>73.397690821725007</v>
      </c>
      <c r="L1655">
        <v>624</v>
      </c>
      <c r="M1655">
        <v>293.59076328690003</v>
      </c>
      <c r="N1655">
        <v>330.40923671309901</v>
      </c>
      <c r="O1655" t="s">
        <v>51</v>
      </c>
      <c r="P1655">
        <f t="shared" si="50"/>
        <v>624</v>
      </c>
      <c r="Q1655">
        <f t="shared" si="51"/>
        <v>-330.40923671309997</v>
      </c>
    </row>
    <row r="1656" spans="1:17" x14ac:dyDescent="0.4">
      <c r="A1656" t="s">
        <v>3250</v>
      </c>
      <c r="B1656" s="1">
        <v>45702.5</v>
      </c>
      <c r="C1656" t="s">
        <v>28</v>
      </c>
      <c r="D1656" t="s">
        <v>3251</v>
      </c>
      <c r="E1656" t="s">
        <v>30</v>
      </c>
      <c r="F1656" t="s">
        <v>31</v>
      </c>
      <c r="G1656">
        <v>321</v>
      </c>
      <c r="H1656">
        <v>0.1</v>
      </c>
      <c r="I1656">
        <v>288.89999999999998</v>
      </c>
      <c r="J1656">
        <v>2</v>
      </c>
      <c r="K1656">
        <v>160.64479890395799</v>
      </c>
      <c r="L1656">
        <v>577.79999999999995</v>
      </c>
      <c r="M1656">
        <v>321.28959780791598</v>
      </c>
      <c r="N1656">
        <v>256.51040219208301</v>
      </c>
      <c r="O1656" t="s">
        <v>32</v>
      </c>
      <c r="P1656">
        <f t="shared" si="50"/>
        <v>642</v>
      </c>
      <c r="Q1656">
        <f t="shared" si="51"/>
        <v>-256.51040219208397</v>
      </c>
    </row>
    <row r="1657" spans="1:17" x14ac:dyDescent="0.4">
      <c r="A1657" t="s">
        <v>3252</v>
      </c>
      <c r="B1657" s="1">
        <v>45554.291666666664</v>
      </c>
      <c r="C1657" t="s">
        <v>22</v>
      </c>
      <c r="D1657" t="s">
        <v>3253</v>
      </c>
      <c r="E1657" t="s">
        <v>69</v>
      </c>
      <c r="F1657" t="s">
        <v>70</v>
      </c>
      <c r="G1657">
        <v>176</v>
      </c>
      <c r="H1657">
        <v>0</v>
      </c>
      <c r="I1657">
        <v>176</v>
      </c>
      <c r="J1657">
        <v>6</v>
      </c>
      <c r="K1657">
        <v>129.01418919517701</v>
      </c>
      <c r="L1657">
        <v>1056</v>
      </c>
      <c r="M1657">
        <v>774.08513517106405</v>
      </c>
      <c r="N1657">
        <v>281.91486482893498</v>
      </c>
      <c r="O1657" t="s">
        <v>20</v>
      </c>
      <c r="P1657">
        <f t="shared" si="50"/>
        <v>1056</v>
      </c>
      <c r="Q1657">
        <f t="shared" si="51"/>
        <v>-281.91486482893595</v>
      </c>
    </row>
    <row r="1658" spans="1:17" x14ac:dyDescent="0.4">
      <c r="A1658" t="s">
        <v>3254</v>
      </c>
      <c r="B1658" s="1">
        <v>46019.333333333336</v>
      </c>
      <c r="C1658" t="s">
        <v>46</v>
      </c>
      <c r="D1658" t="s">
        <v>1161</v>
      </c>
      <c r="E1658" t="s">
        <v>146</v>
      </c>
      <c r="F1658" t="s">
        <v>70</v>
      </c>
      <c r="G1658">
        <v>190</v>
      </c>
      <c r="H1658">
        <v>0.15</v>
      </c>
      <c r="I1658">
        <v>161.5</v>
      </c>
      <c r="J1658">
        <v>5</v>
      </c>
      <c r="K1658">
        <v>127.373007140312</v>
      </c>
      <c r="L1658">
        <v>807.5</v>
      </c>
      <c r="M1658">
        <v>636.86503570156196</v>
      </c>
      <c r="N1658">
        <v>170.63496429843701</v>
      </c>
      <c r="O1658" t="s">
        <v>26</v>
      </c>
      <c r="P1658">
        <f t="shared" si="50"/>
        <v>950</v>
      </c>
      <c r="Q1658">
        <f t="shared" si="51"/>
        <v>-170.63496429843804</v>
      </c>
    </row>
    <row r="1659" spans="1:17" x14ac:dyDescent="0.4">
      <c r="A1659" t="s">
        <v>3255</v>
      </c>
      <c r="B1659" s="1">
        <v>45426.375</v>
      </c>
      <c r="C1659" t="s">
        <v>22</v>
      </c>
      <c r="D1659" t="s">
        <v>1424</v>
      </c>
      <c r="E1659" t="s">
        <v>110</v>
      </c>
      <c r="F1659" t="s">
        <v>19</v>
      </c>
      <c r="G1659">
        <v>295</v>
      </c>
      <c r="H1659">
        <v>0.1</v>
      </c>
      <c r="I1659">
        <v>265.5</v>
      </c>
      <c r="J1659">
        <v>2</v>
      </c>
      <c r="K1659">
        <v>202.60698194515399</v>
      </c>
      <c r="L1659">
        <v>531</v>
      </c>
      <c r="M1659">
        <v>405.213963890309</v>
      </c>
      <c r="N1659">
        <v>125.78603610969</v>
      </c>
      <c r="O1659" t="s">
        <v>32</v>
      </c>
      <c r="P1659">
        <f t="shared" si="50"/>
        <v>590</v>
      </c>
      <c r="Q1659">
        <f t="shared" si="51"/>
        <v>-125.786036109691</v>
      </c>
    </row>
    <row r="1660" spans="1:17" x14ac:dyDescent="0.4">
      <c r="A1660" t="s">
        <v>3256</v>
      </c>
      <c r="B1660" s="1">
        <v>45346.833333333336</v>
      </c>
      <c r="C1660" t="s">
        <v>43</v>
      </c>
      <c r="D1660" t="s">
        <v>3257</v>
      </c>
      <c r="E1660" t="s">
        <v>37</v>
      </c>
      <c r="F1660" t="s">
        <v>38</v>
      </c>
      <c r="G1660">
        <v>140</v>
      </c>
      <c r="H1660">
        <v>0.1</v>
      </c>
      <c r="I1660">
        <v>126</v>
      </c>
      <c r="J1660">
        <v>6</v>
      </c>
      <c r="K1660">
        <v>56.7667185791612</v>
      </c>
      <c r="L1660">
        <v>756</v>
      </c>
      <c r="M1660">
        <v>340.60031147496699</v>
      </c>
      <c r="N1660">
        <v>415.39968852503199</v>
      </c>
      <c r="O1660" t="s">
        <v>32</v>
      </c>
      <c r="P1660">
        <f t="shared" si="50"/>
        <v>840</v>
      </c>
      <c r="Q1660">
        <f t="shared" si="51"/>
        <v>-415.39968852503301</v>
      </c>
    </row>
    <row r="1661" spans="1:17" x14ac:dyDescent="0.4">
      <c r="A1661" t="s">
        <v>3258</v>
      </c>
      <c r="B1661" s="1">
        <v>45806.041666666664</v>
      </c>
      <c r="C1661" t="s">
        <v>28</v>
      </c>
      <c r="D1661" t="s">
        <v>3259</v>
      </c>
      <c r="E1661" t="s">
        <v>97</v>
      </c>
      <c r="F1661" t="s">
        <v>61</v>
      </c>
      <c r="G1661">
        <v>249</v>
      </c>
      <c r="H1661">
        <v>0</v>
      </c>
      <c r="I1661">
        <v>249</v>
      </c>
      <c r="J1661">
        <v>1</v>
      </c>
      <c r="K1661">
        <v>149.65632146742999</v>
      </c>
      <c r="L1661">
        <v>249</v>
      </c>
      <c r="M1661">
        <v>149.65632146742999</v>
      </c>
      <c r="N1661">
        <v>99.343678532569896</v>
      </c>
      <c r="O1661" t="s">
        <v>32</v>
      </c>
      <c r="P1661">
        <f t="shared" si="50"/>
        <v>249</v>
      </c>
      <c r="Q1661">
        <f t="shared" si="51"/>
        <v>-99.34367853257001</v>
      </c>
    </row>
    <row r="1662" spans="1:17" x14ac:dyDescent="0.4">
      <c r="A1662" t="s">
        <v>3260</v>
      </c>
      <c r="B1662" s="1">
        <v>45575.625</v>
      </c>
      <c r="C1662" t="s">
        <v>28</v>
      </c>
      <c r="D1662" t="s">
        <v>3261</v>
      </c>
      <c r="E1662" t="s">
        <v>146</v>
      </c>
      <c r="F1662" t="s">
        <v>70</v>
      </c>
      <c r="G1662">
        <v>176</v>
      </c>
      <c r="H1662">
        <v>0</v>
      </c>
      <c r="I1662">
        <v>176</v>
      </c>
      <c r="J1662">
        <v>5</v>
      </c>
      <c r="K1662">
        <v>104.397115059302</v>
      </c>
      <c r="L1662">
        <v>880</v>
      </c>
      <c r="M1662">
        <v>521.98557529651305</v>
      </c>
      <c r="N1662">
        <v>358.01442470348599</v>
      </c>
      <c r="O1662" t="s">
        <v>51</v>
      </c>
      <c r="P1662">
        <f t="shared" si="50"/>
        <v>880</v>
      </c>
      <c r="Q1662">
        <f t="shared" si="51"/>
        <v>-358.01442470348695</v>
      </c>
    </row>
    <row r="1663" spans="1:17" x14ac:dyDescent="0.4">
      <c r="A1663" t="s">
        <v>3262</v>
      </c>
      <c r="B1663" s="1">
        <v>45445.458333333336</v>
      </c>
      <c r="C1663" t="s">
        <v>22</v>
      </c>
      <c r="D1663" t="s">
        <v>3263</v>
      </c>
      <c r="E1663" t="s">
        <v>115</v>
      </c>
      <c r="F1663" t="s">
        <v>38</v>
      </c>
      <c r="G1663">
        <v>83</v>
      </c>
      <c r="H1663">
        <v>0</v>
      </c>
      <c r="I1663">
        <v>83</v>
      </c>
      <c r="J1663">
        <v>4</v>
      </c>
      <c r="K1663">
        <v>51.634273272919501</v>
      </c>
      <c r="L1663">
        <v>332</v>
      </c>
      <c r="M1663">
        <v>206.537093091678</v>
      </c>
      <c r="N1663">
        <v>125.462906908321</v>
      </c>
      <c r="O1663" t="s">
        <v>26</v>
      </c>
      <c r="P1663">
        <f t="shared" si="50"/>
        <v>332</v>
      </c>
      <c r="Q1663">
        <f t="shared" si="51"/>
        <v>-125.462906908322</v>
      </c>
    </row>
    <row r="1664" spans="1:17" x14ac:dyDescent="0.4">
      <c r="A1664" t="s">
        <v>3264</v>
      </c>
      <c r="B1664" s="1">
        <v>45593.125</v>
      </c>
      <c r="C1664" t="s">
        <v>28</v>
      </c>
      <c r="D1664" t="s">
        <v>3265</v>
      </c>
      <c r="E1664" t="s">
        <v>73</v>
      </c>
      <c r="F1664" t="s">
        <v>38</v>
      </c>
      <c r="G1664">
        <v>327</v>
      </c>
      <c r="H1664">
        <v>0.15</v>
      </c>
      <c r="I1664">
        <v>277.95</v>
      </c>
      <c r="J1664">
        <v>1</v>
      </c>
      <c r="K1664">
        <v>153.642788894321</v>
      </c>
      <c r="L1664">
        <v>277.95</v>
      </c>
      <c r="M1664">
        <v>153.642788894321</v>
      </c>
      <c r="N1664">
        <v>124.30721110567799</v>
      </c>
      <c r="O1664" t="s">
        <v>26</v>
      </c>
      <c r="P1664">
        <f t="shared" si="50"/>
        <v>327</v>
      </c>
      <c r="Q1664">
        <f t="shared" si="51"/>
        <v>-124.30721110567899</v>
      </c>
    </row>
    <row r="1665" spans="1:17" x14ac:dyDescent="0.4">
      <c r="A1665" t="s">
        <v>3266</v>
      </c>
      <c r="B1665" s="1">
        <v>45428.375</v>
      </c>
      <c r="C1665" t="s">
        <v>46</v>
      </c>
      <c r="D1665" t="s">
        <v>3267</v>
      </c>
      <c r="E1665" t="s">
        <v>60</v>
      </c>
      <c r="F1665" t="s">
        <v>61</v>
      </c>
      <c r="G1665">
        <v>96</v>
      </c>
      <c r="H1665">
        <v>0</v>
      </c>
      <c r="I1665">
        <v>96</v>
      </c>
      <c r="J1665">
        <v>7</v>
      </c>
      <c r="K1665">
        <v>64.288442445643497</v>
      </c>
      <c r="L1665">
        <v>672</v>
      </c>
      <c r="M1665">
        <v>450.01909711950401</v>
      </c>
      <c r="N1665">
        <v>221.98090288049499</v>
      </c>
      <c r="O1665" t="s">
        <v>26</v>
      </c>
      <c r="P1665">
        <f t="shared" si="50"/>
        <v>672</v>
      </c>
      <c r="Q1665">
        <f t="shared" si="51"/>
        <v>-221.98090288049599</v>
      </c>
    </row>
    <row r="1666" spans="1:17" x14ac:dyDescent="0.4">
      <c r="A1666" t="s">
        <v>3268</v>
      </c>
      <c r="B1666" s="1">
        <v>45298.041666666664</v>
      </c>
      <c r="C1666" t="s">
        <v>65</v>
      </c>
      <c r="D1666" t="s">
        <v>3269</v>
      </c>
      <c r="E1666" t="s">
        <v>213</v>
      </c>
      <c r="F1666" t="s">
        <v>31</v>
      </c>
      <c r="G1666">
        <v>252</v>
      </c>
      <c r="H1666">
        <v>0.25</v>
      </c>
      <c r="I1666">
        <v>189</v>
      </c>
      <c r="J1666">
        <v>3</v>
      </c>
      <c r="K1666">
        <v>129.425478112066</v>
      </c>
      <c r="L1666">
        <v>567</v>
      </c>
      <c r="M1666">
        <v>388.27643433619897</v>
      </c>
      <c r="N1666">
        <v>178.7235656638</v>
      </c>
      <c r="O1666" t="s">
        <v>26</v>
      </c>
      <c r="P1666">
        <f t="shared" si="50"/>
        <v>756</v>
      </c>
      <c r="Q1666">
        <f t="shared" si="51"/>
        <v>-178.72356566380103</v>
      </c>
    </row>
    <row r="1667" spans="1:17" x14ac:dyDescent="0.4">
      <c r="A1667" t="s">
        <v>3270</v>
      </c>
      <c r="B1667" s="1">
        <v>45500.75</v>
      </c>
      <c r="C1667" t="s">
        <v>16</v>
      </c>
      <c r="D1667" t="s">
        <v>3271</v>
      </c>
      <c r="E1667" t="s">
        <v>94</v>
      </c>
      <c r="F1667" t="s">
        <v>61</v>
      </c>
      <c r="G1667">
        <v>209</v>
      </c>
      <c r="H1667">
        <v>0.15</v>
      </c>
      <c r="I1667">
        <v>177.65</v>
      </c>
      <c r="J1667">
        <v>2</v>
      </c>
      <c r="K1667">
        <v>142.52040369182899</v>
      </c>
      <c r="L1667">
        <v>355.3</v>
      </c>
      <c r="M1667">
        <v>285.04080738365798</v>
      </c>
      <c r="N1667">
        <v>70.259192616341593</v>
      </c>
      <c r="O1667" t="s">
        <v>32</v>
      </c>
      <c r="P1667">
        <f t="shared" ref="P1667:P1730" si="52">G1667 * J1667</f>
        <v>418</v>
      </c>
      <c r="Q1667">
        <f t="shared" ref="Q1667:Q1730" si="53" xml:space="preserve"> M1667 - L1667</f>
        <v>-70.259192616342034</v>
      </c>
    </row>
    <row r="1668" spans="1:17" x14ac:dyDescent="0.4">
      <c r="A1668" t="s">
        <v>3272</v>
      </c>
      <c r="B1668" s="1">
        <v>45960.125</v>
      </c>
      <c r="C1668" t="s">
        <v>43</v>
      </c>
      <c r="D1668" t="s">
        <v>3273</v>
      </c>
      <c r="E1668" t="s">
        <v>213</v>
      </c>
      <c r="F1668" t="s">
        <v>31</v>
      </c>
      <c r="G1668">
        <v>225</v>
      </c>
      <c r="H1668">
        <v>0.1</v>
      </c>
      <c r="I1668">
        <v>202.5</v>
      </c>
      <c r="J1668">
        <v>1</v>
      </c>
      <c r="K1668">
        <v>153.049112942509</v>
      </c>
      <c r="L1668">
        <v>202.5</v>
      </c>
      <c r="M1668">
        <v>153.049112942509</v>
      </c>
      <c r="N1668">
        <v>49.450887057490803</v>
      </c>
      <c r="O1668" t="s">
        <v>20</v>
      </c>
      <c r="P1668">
        <f t="shared" si="52"/>
        <v>225</v>
      </c>
      <c r="Q1668">
        <f t="shared" si="53"/>
        <v>-49.450887057491002</v>
      </c>
    </row>
    <row r="1669" spans="1:17" x14ac:dyDescent="0.4">
      <c r="A1669" t="s">
        <v>3274</v>
      </c>
      <c r="B1669" s="1">
        <v>45418.666666666664</v>
      </c>
      <c r="C1669" t="s">
        <v>22</v>
      </c>
      <c r="D1669" t="s">
        <v>3275</v>
      </c>
      <c r="E1669" t="s">
        <v>82</v>
      </c>
      <c r="F1669" t="s">
        <v>25</v>
      </c>
      <c r="G1669">
        <v>156</v>
      </c>
      <c r="H1669">
        <v>0.05</v>
      </c>
      <c r="I1669">
        <v>148.19999999999999</v>
      </c>
      <c r="J1669">
        <v>1</v>
      </c>
      <c r="K1669">
        <v>72.129524902631601</v>
      </c>
      <c r="L1669">
        <v>148.19999999999999</v>
      </c>
      <c r="M1669">
        <v>72.129524902631601</v>
      </c>
      <c r="N1669">
        <v>76.070475097368302</v>
      </c>
      <c r="O1669" t="s">
        <v>51</v>
      </c>
      <c r="P1669">
        <f t="shared" si="52"/>
        <v>156</v>
      </c>
      <c r="Q1669">
        <f t="shared" si="53"/>
        <v>-76.070475097368387</v>
      </c>
    </row>
    <row r="1670" spans="1:17" x14ac:dyDescent="0.4">
      <c r="A1670" t="s">
        <v>3276</v>
      </c>
      <c r="B1670" s="1">
        <v>45694.25</v>
      </c>
      <c r="C1670" t="s">
        <v>43</v>
      </c>
      <c r="D1670" t="s">
        <v>1981</v>
      </c>
      <c r="E1670" t="s">
        <v>18</v>
      </c>
      <c r="F1670" t="s">
        <v>19</v>
      </c>
      <c r="G1670">
        <v>182</v>
      </c>
      <c r="H1670">
        <v>0</v>
      </c>
      <c r="I1670">
        <v>182</v>
      </c>
      <c r="J1670">
        <v>4</v>
      </c>
      <c r="K1670">
        <v>103.63372229867601</v>
      </c>
      <c r="L1670">
        <v>728</v>
      </c>
      <c r="M1670">
        <v>414.53488919470402</v>
      </c>
      <c r="N1670">
        <v>313.46511080529501</v>
      </c>
      <c r="O1670" t="s">
        <v>20</v>
      </c>
      <c r="P1670">
        <f t="shared" si="52"/>
        <v>728</v>
      </c>
      <c r="Q1670">
        <f t="shared" si="53"/>
        <v>-313.46511080529598</v>
      </c>
    </row>
    <row r="1671" spans="1:17" x14ac:dyDescent="0.4">
      <c r="A1671" t="s">
        <v>3277</v>
      </c>
      <c r="B1671" s="1">
        <v>45994.75</v>
      </c>
      <c r="C1671" t="s">
        <v>46</v>
      </c>
      <c r="D1671" t="s">
        <v>3278</v>
      </c>
      <c r="E1671" t="s">
        <v>146</v>
      </c>
      <c r="F1671" t="s">
        <v>70</v>
      </c>
      <c r="G1671">
        <v>344</v>
      </c>
      <c r="H1671">
        <v>0.25</v>
      </c>
      <c r="I1671">
        <v>258</v>
      </c>
      <c r="J1671">
        <v>6</v>
      </c>
      <c r="K1671">
        <v>182.13957255265001</v>
      </c>
      <c r="L1671">
        <v>1548</v>
      </c>
      <c r="M1671">
        <v>1092.8374353158999</v>
      </c>
      <c r="N1671">
        <v>455.162564684095</v>
      </c>
      <c r="O1671" t="s">
        <v>32</v>
      </c>
      <c r="P1671">
        <f t="shared" si="52"/>
        <v>2064</v>
      </c>
      <c r="Q1671">
        <f t="shared" si="53"/>
        <v>-455.16256468410006</v>
      </c>
    </row>
    <row r="1672" spans="1:17" x14ac:dyDescent="0.4">
      <c r="A1672" t="s">
        <v>3279</v>
      </c>
      <c r="B1672" s="1">
        <v>46000.916666666664</v>
      </c>
      <c r="C1672" t="s">
        <v>28</v>
      </c>
      <c r="D1672" t="s">
        <v>534</v>
      </c>
      <c r="E1672" t="s">
        <v>37</v>
      </c>
      <c r="F1672" t="s">
        <v>38</v>
      </c>
      <c r="G1672">
        <v>340</v>
      </c>
      <c r="H1672">
        <v>0.05</v>
      </c>
      <c r="I1672">
        <v>323</v>
      </c>
      <c r="J1672">
        <v>2</v>
      </c>
      <c r="K1672">
        <v>233.221022316279</v>
      </c>
      <c r="L1672">
        <v>646</v>
      </c>
      <c r="M1672">
        <v>466.44204463255801</v>
      </c>
      <c r="N1672">
        <v>179.557955367441</v>
      </c>
      <c r="O1672" t="s">
        <v>51</v>
      </c>
      <c r="P1672">
        <f t="shared" si="52"/>
        <v>680</v>
      </c>
      <c r="Q1672">
        <f t="shared" si="53"/>
        <v>-179.55795536744199</v>
      </c>
    </row>
    <row r="1673" spans="1:17" x14ac:dyDescent="0.4">
      <c r="A1673" t="s">
        <v>3280</v>
      </c>
      <c r="B1673" s="1">
        <v>45916.833333333336</v>
      </c>
      <c r="C1673" t="s">
        <v>46</v>
      </c>
      <c r="D1673" t="s">
        <v>3281</v>
      </c>
      <c r="E1673" t="s">
        <v>60</v>
      </c>
      <c r="F1673" t="s">
        <v>61</v>
      </c>
      <c r="G1673">
        <v>245</v>
      </c>
      <c r="H1673">
        <v>0.05</v>
      </c>
      <c r="I1673">
        <v>232.75</v>
      </c>
      <c r="J1673">
        <v>3</v>
      </c>
      <c r="K1673">
        <v>162.29044136325601</v>
      </c>
      <c r="L1673">
        <v>698.25</v>
      </c>
      <c r="M1673">
        <v>486.87132408976902</v>
      </c>
      <c r="N1673">
        <v>211.37867591022999</v>
      </c>
      <c r="O1673" t="s">
        <v>32</v>
      </c>
      <c r="P1673">
        <f t="shared" si="52"/>
        <v>735</v>
      </c>
      <c r="Q1673">
        <f t="shared" si="53"/>
        <v>-211.37867591023098</v>
      </c>
    </row>
    <row r="1674" spans="1:17" x14ac:dyDescent="0.4">
      <c r="A1674" t="s">
        <v>3282</v>
      </c>
      <c r="B1674" s="1">
        <v>45972.666666666664</v>
      </c>
      <c r="C1674" t="s">
        <v>16</v>
      </c>
      <c r="D1674" t="s">
        <v>3283</v>
      </c>
      <c r="E1674" t="s">
        <v>104</v>
      </c>
      <c r="F1674" t="s">
        <v>25</v>
      </c>
      <c r="G1674">
        <v>112</v>
      </c>
      <c r="H1674">
        <v>0.15</v>
      </c>
      <c r="I1674">
        <v>95.2</v>
      </c>
      <c r="J1674">
        <v>3</v>
      </c>
      <c r="K1674">
        <v>70.1236034051106</v>
      </c>
      <c r="L1674">
        <v>285.60000000000002</v>
      </c>
      <c r="M1674">
        <v>210.37081021533101</v>
      </c>
      <c r="N1674">
        <v>75.229189784668193</v>
      </c>
      <c r="O1674" t="s">
        <v>105</v>
      </c>
      <c r="P1674">
        <f t="shared" si="52"/>
        <v>336</v>
      </c>
      <c r="Q1674">
        <f t="shared" si="53"/>
        <v>-75.229189784669018</v>
      </c>
    </row>
    <row r="1675" spans="1:17" x14ac:dyDescent="0.4">
      <c r="A1675" t="s">
        <v>3284</v>
      </c>
      <c r="B1675" s="1">
        <v>45660.875</v>
      </c>
      <c r="C1675" t="s">
        <v>28</v>
      </c>
      <c r="D1675" t="s">
        <v>3285</v>
      </c>
      <c r="E1675" t="s">
        <v>18</v>
      </c>
      <c r="F1675" t="s">
        <v>19</v>
      </c>
      <c r="G1675">
        <v>168</v>
      </c>
      <c r="H1675">
        <v>0</v>
      </c>
      <c r="I1675">
        <v>168</v>
      </c>
      <c r="J1675">
        <v>5</v>
      </c>
      <c r="K1675">
        <v>96.242651552433202</v>
      </c>
      <c r="L1675">
        <v>840</v>
      </c>
      <c r="M1675">
        <v>481.21325776216599</v>
      </c>
      <c r="N1675">
        <v>358.78674223783298</v>
      </c>
      <c r="O1675" t="s">
        <v>26</v>
      </c>
      <c r="P1675">
        <f t="shared" si="52"/>
        <v>840</v>
      </c>
      <c r="Q1675">
        <f t="shared" si="53"/>
        <v>-358.78674223783401</v>
      </c>
    </row>
    <row r="1676" spans="1:17" x14ac:dyDescent="0.4">
      <c r="A1676" t="s">
        <v>3286</v>
      </c>
      <c r="B1676" s="1">
        <v>45779.291666666664</v>
      </c>
      <c r="C1676" t="s">
        <v>43</v>
      </c>
      <c r="D1676" t="s">
        <v>3287</v>
      </c>
      <c r="E1676" t="s">
        <v>18</v>
      </c>
      <c r="F1676" t="s">
        <v>19</v>
      </c>
      <c r="G1676">
        <v>173</v>
      </c>
      <c r="H1676">
        <v>0</v>
      </c>
      <c r="I1676">
        <v>173</v>
      </c>
      <c r="J1676">
        <v>6</v>
      </c>
      <c r="K1676">
        <v>78.444969726963805</v>
      </c>
      <c r="L1676">
        <v>1038</v>
      </c>
      <c r="M1676">
        <v>470.66981836178297</v>
      </c>
      <c r="N1676">
        <v>567.330181638216</v>
      </c>
      <c r="O1676" t="s">
        <v>20</v>
      </c>
      <c r="P1676">
        <f t="shared" si="52"/>
        <v>1038</v>
      </c>
      <c r="Q1676">
        <f t="shared" si="53"/>
        <v>-567.33018163821703</v>
      </c>
    </row>
    <row r="1677" spans="1:17" x14ac:dyDescent="0.4">
      <c r="A1677" t="s">
        <v>3288</v>
      </c>
      <c r="B1677" s="1">
        <v>45410.833333333336</v>
      </c>
      <c r="C1677" t="s">
        <v>43</v>
      </c>
      <c r="D1677" t="s">
        <v>3289</v>
      </c>
      <c r="E1677" t="s">
        <v>104</v>
      </c>
      <c r="F1677" t="s">
        <v>25</v>
      </c>
      <c r="G1677">
        <v>180</v>
      </c>
      <c r="H1677">
        <v>0.1</v>
      </c>
      <c r="I1677">
        <v>162</v>
      </c>
      <c r="J1677">
        <v>3</v>
      </c>
      <c r="K1677">
        <v>104.812492006197</v>
      </c>
      <c r="L1677">
        <v>486</v>
      </c>
      <c r="M1677">
        <v>314.43747601859098</v>
      </c>
      <c r="N1677">
        <v>171.56252398140799</v>
      </c>
      <c r="O1677" t="s">
        <v>32</v>
      </c>
      <c r="P1677">
        <f t="shared" si="52"/>
        <v>540</v>
      </c>
      <c r="Q1677">
        <f t="shared" si="53"/>
        <v>-171.56252398140902</v>
      </c>
    </row>
    <row r="1678" spans="1:17" x14ac:dyDescent="0.4">
      <c r="A1678" t="s">
        <v>3290</v>
      </c>
      <c r="B1678" s="1">
        <v>45959.25</v>
      </c>
      <c r="C1678" t="s">
        <v>16</v>
      </c>
      <c r="D1678" t="s">
        <v>3291</v>
      </c>
      <c r="E1678" t="s">
        <v>146</v>
      </c>
      <c r="F1678" t="s">
        <v>70</v>
      </c>
      <c r="G1678">
        <v>290</v>
      </c>
      <c r="H1678">
        <v>0.25</v>
      </c>
      <c r="I1678">
        <v>217.5</v>
      </c>
      <c r="J1678">
        <v>2</v>
      </c>
      <c r="K1678">
        <v>133.20629627343999</v>
      </c>
      <c r="L1678">
        <v>435</v>
      </c>
      <c r="M1678">
        <v>266.41259254687998</v>
      </c>
      <c r="N1678">
        <v>168.587407453119</v>
      </c>
      <c r="O1678" t="s">
        <v>51</v>
      </c>
      <c r="P1678">
        <f t="shared" si="52"/>
        <v>580</v>
      </c>
      <c r="Q1678">
        <f t="shared" si="53"/>
        <v>-168.58740745312002</v>
      </c>
    </row>
    <row r="1679" spans="1:17" x14ac:dyDescent="0.4">
      <c r="A1679" t="s">
        <v>3292</v>
      </c>
      <c r="B1679" s="1">
        <v>45333.125</v>
      </c>
      <c r="C1679" t="s">
        <v>22</v>
      </c>
      <c r="D1679" t="s">
        <v>881</v>
      </c>
      <c r="E1679" t="s">
        <v>115</v>
      </c>
      <c r="F1679" t="s">
        <v>38</v>
      </c>
      <c r="G1679">
        <v>313</v>
      </c>
      <c r="H1679">
        <v>0.15</v>
      </c>
      <c r="I1679">
        <v>266.05</v>
      </c>
      <c r="J1679">
        <v>1</v>
      </c>
      <c r="K1679">
        <v>136.94768208385099</v>
      </c>
      <c r="L1679">
        <v>266.05</v>
      </c>
      <c r="M1679">
        <v>136.94768208385099</v>
      </c>
      <c r="N1679">
        <v>129.102317916148</v>
      </c>
      <c r="O1679" t="s">
        <v>26</v>
      </c>
      <c r="P1679">
        <f t="shared" si="52"/>
        <v>313</v>
      </c>
      <c r="Q1679">
        <f t="shared" si="53"/>
        <v>-129.10231791614902</v>
      </c>
    </row>
    <row r="1680" spans="1:17" x14ac:dyDescent="0.4">
      <c r="A1680" t="s">
        <v>3293</v>
      </c>
      <c r="B1680" s="1">
        <v>45609.583333333336</v>
      </c>
      <c r="C1680" t="s">
        <v>22</v>
      </c>
      <c r="D1680" t="s">
        <v>3294</v>
      </c>
      <c r="E1680" t="s">
        <v>146</v>
      </c>
      <c r="F1680" t="s">
        <v>70</v>
      </c>
      <c r="G1680">
        <v>122</v>
      </c>
      <c r="H1680">
        <v>0</v>
      </c>
      <c r="I1680">
        <v>122</v>
      </c>
      <c r="J1680">
        <v>5</v>
      </c>
      <c r="K1680">
        <v>56.077497720275801</v>
      </c>
      <c r="L1680">
        <v>610</v>
      </c>
      <c r="M1680">
        <v>280.387488601379</v>
      </c>
      <c r="N1680">
        <v>329.61251139861997</v>
      </c>
      <c r="O1680" t="s">
        <v>20</v>
      </c>
      <c r="P1680">
        <f t="shared" si="52"/>
        <v>610</v>
      </c>
      <c r="Q1680">
        <f t="shared" si="53"/>
        <v>-329.612511398621</v>
      </c>
    </row>
    <row r="1681" spans="1:17" x14ac:dyDescent="0.4">
      <c r="A1681" t="s">
        <v>3295</v>
      </c>
      <c r="B1681" s="1">
        <v>45673.666666666664</v>
      </c>
      <c r="C1681" t="s">
        <v>22</v>
      </c>
      <c r="D1681" t="s">
        <v>3296</v>
      </c>
      <c r="E1681" t="s">
        <v>213</v>
      </c>
      <c r="F1681" t="s">
        <v>31</v>
      </c>
      <c r="G1681">
        <v>134</v>
      </c>
      <c r="H1681">
        <v>0.2</v>
      </c>
      <c r="I1681">
        <v>107.2</v>
      </c>
      <c r="J1681">
        <v>1</v>
      </c>
      <c r="K1681">
        <v>97.323361641510004</v>
      </c>
      <c r="L1681">
        <v>107.2</v>
      </c>
      <c r="M1681">
        <v>97.323361641510004</v>
      </c>
      <c r="N1681">
        <v>9.8766383584899504</v>
      </c>
      <c r="O1681" t="s">
        <v>51</v>
      </c>
      <c r="P1681">
        <f t="shared" si="52"/>
        <v>134</v>
      </c>
      <c r="Q1681">
        <f t="shared" si="53"/>
        <v>-9.8766383584899984</v>
      </c>
    </row>
    <row r="1682" spans="1:17" x14ac:dyDescent="0.4">
      <c r="A1682" t="s">
        <v>3297</v>
      </c>
      <c r="B1682" s="1">
        <v>46020.5</v>
      </c>
      <c r="C1682" t="s">
        <v>65</v>
      </c>
      <c r="D1682" t="s">
        <v>3298</v>
      </c>
      <c r="E1682" t="s">
        <v>48</v>
      </c>
      <c r="F1682" t="s">
        <v>19</v>
      </c>
      <c r="G1682">
        <v>134</v>
      </c>
      <c r="H1682">
        <v>0</v>
      </c>
      <c r="I1682">
        <v>134</v>
      </c>
      <c r="J1682">
        <v>3</v>
      </c>
      <c r="K1682">
        <v>99.512370991306597</v>
      </c>
      <c r="L1682">
        <v>402</v>
      </c>
      <c r="M1682">
        <v>298.53711297391902</v>
      </c>
      <c r="N1682">
        <v>103.46288702608</v>
      </c>
      <c r="O1682" t="s">
        <v>32</v>
      </c>
      <c r="P1682">
        <f t="shared" si="52"/>
        <v>402</v>
      </c>
      <c r="Q1682">
        <f t="shared" si="53"/>
        <v>-103.46288702608098</v>
      </c>
    </row>
    <row r="1683" spans="1:17" x14ac:dyDescent="0.4">
      <c r="A1683" t="s">
        <v>3299</v>
      </c>
      <c r="B1683" s="1">
        <v>45569.166666666664</v>
      </c>
      <c r="C1683" t="s">
        <v>16</v>
      </c>
      <c r="D1683" t="s">
        <v>3300</v>
      </c>
      <c r="E1683" t="s">
        <v>110</v>
      </c>
      <c r="F1683" t="s">
        <v>19</v>
      </c>
      <c r="G1683">
        <v>243</v>
      </c>
      <c r="H1683">
        <v>0.1</v>
      </c>
      <c r="I1683">
        <v>218.7</v>
      </c>
      <c r="J1683">
        <v>7</v>
      </c>
      <c r="K1683">
        <v>176.27958239047101</v>
      </c>
      <c r="L1683">
        <v>1530.9</v>
      </c>
      <c r="M1683">
        <v>1233.9570767333</v>
      </c>
      <c r="N1683">
        <v>296.94292326669699</v>
      </c>
      <c r="O1683" t="s">
        <v>32</v>
      </c>
      <c r="P1683">
        <f t="shared" si="52"/>
        <v>1701</v>
      </c>
      <c r="Q1683">
        <f t="shared" si="53"/>
        <v>-296.94292326670006</v>
      </c>
    </row>
    <row r="1684" spans="1:17" x14ac:dyDescent="0.4">
      <c r="A1684" t="s">
        <v>3301</v>
      </c>
      <c r="B1684" s="1">
        <v>45601.208333333336</v>
      </c>
      <c r="C1684" t="s">
        <v>43</v>
      </c>
      <c r="D1684" t="s">
        <v>540</v>
      </c>
      <c r="E1684" t="s">
        <v>48</v>
      </c>
      <c r="F1684" t="s">
        <v>19</v>
      </c>
      <c r="G1684">
        <v>169</v>
      </c>
      <c r="H1684">
        <v>0.1</v>
      </c>
      <c r="I1684">
        <v>152.1</v>
      </c>
      <c r="J1684">
        <v>3</v>
      </c>
      <c r="K1684">
        <v>109.50131907530999</v>
      </c>
      <c r="L1684">
        <v>456.29999999999899</v>
      </c>
      <c r="M1684">
        <v>328.503957225931</v>
      </c>
      <c r="N1684">
        <v>127.796042774068</v>
      </c>
      <c r="O1684" t="s">
        <v>26</v>
      </c>
      <c r="P1684">
        <f t="shared" si="52"/>
        <v>507</v>
      </c>
      <c r="Q1684">
        <f t="shared" si="53"/>
        <v>-127.79604277406798</v>
      </c>
    </row>
    <row r="1685" spans="1:17" x14ac:dyDescent="0.4">
      <c r="A1685" t="s">
        <v>3302</v>
      </c>
      <c r="B1685" s="1">
        <v>45324.041666666664</v>
      </c>
      <c r="C1685" t="s">
        <v>65</v>
      </c>
      <c r="D1685" t="s">
        <v>3303</v>
      </c>
      <c r="E1685" t="s">
        <v>41</v>
      </c>
      <c r="F1685" t="s">
        <v>31</v>
      </c>
      <c r="G1685">
        <v>176</v>
      </c>
      <c r="H1685">
        <v>0.15</v>
      </c>
      <c r="I1685">
        <v>149.6</v>
      </c>
      <c r="J1685">
        <v>5</v>
      </c>
      <c r="K1685">
        <v>84.0879639509524</v>
      </c>
      <c r="L1685">
        <v>748</v>
      </c>
      <c r="M1685">
        <v>420.43981975476203</v>
      </c>
      <c r="N1685">
        <v>327.56018024523701</v>
      </c>
      <c r="O1685" t="s">
        <v>20</v>
      </c>
      <c r="P1685">
        <f t="shared" si="52"/>
        <v>880</v>
      </c>
      <c r="Q1685">
        <f t="shared" si="53"/>
        <v>-327.56018024523797</v>
      </c>
    </row>
    <row r="1686" spans="1:17" x14ac:dyDescent="0.4">
      <c r="A1686" t="s">
        <v>3304</v>
      </c>
      <c r="B1686" s="1">
        <v>45880.083333333336</v>
      </c>
      <c r="C1686" t="s">
        <v>22</v>
      </c>
      <c r="D1686" t="s">
        <v>3305</v>
      </c>
      <c r="E1686" t="s">
        <v>110</v>
      </c>
      <c r="F1686" t="s">
        <v>19</v>
      </c>
      <c r="G1686">
        <v>219</v>
      </c>
      <c r="H1686">
        <v>0.05</v>
      </c>
      <c r="I1686">
        <v>208.04999999999899</v>
      </c>
      <c r="J1686">
        <v>3</v>
      </c>
      <c r="K1686">
        <v>153.87754973569</v>
      </c>
      <c r="L1686">
        <v>624.15</v>
      </c>
      <c r="M1686">
        <v>461.63264920707002</v>
      </c>
      <c r="N1686">
        <v>162.51735079292899</v>
      </c>
      <c r="O1686" t="s">
        <v>32</v>
      </c>
      <c r="P1686">
        <f t="shared" si="52"/>
        <v>657</v>
      </c>
      <c r="Q1686">
        <f t="shared" si="53"/>
        <v>-162.51735079292996</v>
      </c>
    </row>
    <row r="1687" spans="1:17" x14ac:dyDescent="0.4">
      <c r="A1687" t="s">
        <v>3306</v>
      </c>
      <c r="B1687" s="1">
        <v>45473.583333333336</v>
      </c>
      <c r="C1687" t="s">
        <v>28</v>
      </c>
      <c r="D1687" t="s">
        <v>3307</v>
      </c>
      <c r="E1687" t="s">
        <v>18</v>
      </c>
      <c r="F1687" t="s">
        <v>19</v>
      </c>
      <c r="G1687">
        <v>312</v>
      </c>
      <c r="H1687">
        <v>0.25</v>
      </c>
      <c r="I1687">
        <v>234</v>
      </c>
      <c r="J1687">
        <v>6</v>
      </c>
      <c r="K1687">
        <v>182.074219284994</v>
      </c>
      <c r="L1687">
        <v>1404</v>
      </c>
      <c r="M1687">
        <v>1092.4453157099599</v>
      </c>
      <c r="N1687">
        <v>311.55468429003298</v>
      </c>
      <c r="O1687" t="s">
        <v>26</v>
      </c>
      <c r="P1687">
        <f t="shared" si="52"/>
        <v>1872</v>
      </c>
      <c r="Q1687">
        <f t="shared" si="53"/>
        <v>-311.55468429004009</v>
      </c>
    </row>
    <row r="1688" spans="1:17" x14ac:dyDescent="0.4">
      <c r="A1688" t="s">
        <v>3308</v>
      </c>
      <c r="B1688" s="1">
        <v>45772.958333333336</v>
      </c>
      <c r="C1688" t="s">
        <v>43</v>
      </c>
      <c r="D1688" t="s">
        <v>3309</v>
      </c>
      <c r="E1688" t="s">
        <v>30</v>
      </c>
      <c r="F1688" t="s">
        <v>31</v>
      </c>
      <c r="G1688">
        <v>263</v>
      </c>
      <c r="H1688">
        <v>0.15</v>
      </c>
      <c r="I1688">
        <v>223.54999999999899</v>
      </c>
      <c r="J1688">
        <v>4</v>
      </c>
      <c r="K1688">
        <v>182.364704394271</v>
      </c>
      <c r="L1688">
        <v>894.19999999999902</v>
      </c>
      <c r="M1688">
        <v>729.45881757708401</v>
      </c>
      <c r="N1688">
        <v>164.74118242291499</v>
      </c>
      <c r="O1688" t="s">
        <v>51</v>
      </c>
      <c r="P1688">
        <f t="shared" si="52"/>
        <v>1052</v>
      </c>
      <c r="Q1688">
        <f t="shared" si="53"/>
        <v>-164.74118242291502</v>
      </c>
    </row>
    <row r="1689" spans="1:17" x14ac:dyDescent="0.4">
      <c r="A1689" t="s">
        <v>3310</v>
      </c>
      <c r="B1689" s="1">
        <v>45529.458333333336</v>
      </c>
      <c r="C1689" t="s">
        <v>43</v>
      </c>
      <c r="D1689" t="s">
        <v>3311</v>
      </c>
      <c r="E1689" t="s">
        <v>115</v>
      </c>
      <c r="F1689" t="s">
        <v>38</v>
      </c>
      <c r="G1689">
        <v>113</v>
      </c>
      <c r="H1689">
        <v>0</v>
      </c>
      <c r="I1689">
        <v>113</v>
      </c>
      <c r="J1689">
        <v>1</v>
      </c>
      <c r="K1689">
        <v>73.0743253295324</v>
      </c>
      <c r="L1689">
        <v>113</v>
      </c>
      <c r="M1689">
        <v>73.0743253295324</v>
      </c>
      <c r="N1689">
        <v>39.925674670467501</v>
      </c>
      <c r="O1689" t="s">
        <v>32</v>
      </c>
      <c r="P1689">
        <f t="shared" si="52"/>
        <v>113</v>
      </c>
      <c r="Q1689">
        <f t="shared" si="53"/>
        <v>-39.9256746704676</v>
      </c>
    </row>
    <row r="1690" spans="1:17" x14ac:dyDescent="0.4">
      <c r="A1690" t="s">
        <v>3312</v>
      </c>
      <c r="B1690" s="1">
        <v>45338.875</v>
      </c>
      <c r="C1690" t="s">
        <v>46</v>
      </c>
      <c r="D1690" t="s">
        <v>3313</v>
      </c>
      <c r="E1690" t="s">
        <v>85</v>
      </c>
      <c r="F1690" t="s">
        <v>70</v>
      </c>
      <c r="G1690">
        <v>318</v>
      </c>
      <c r="H1690">
        <v>0.2</v>
      </c>
      <c r="I1690">
        <v>254.4</v>
      </c>
      <c r="J1690">
        <v>2</v>
      </c>
      <c r="K1690">
        <v>231.719749233925</v>
      </c>
      <c r="L1690">
        <v>508.8</v>
      </c>
      <c r="M1690">
        <v>463.43949846785</v>
      </c>
      <c r="N1690">
        <v>45.3605015321493</v>
      </c>
      <c r="O1690" t="s">
        <v>26</v>
      </c>
      <c r="P1690">
        <f t="shared" si="52"/>
        <v>636</v>
      </c>
      <c r="Q1690">
        <f t="shared" si="53"/>
        <v>-45.36050153215001</v>
      </c>
    </row>
    <row r="1691" spans="1:17" x14ac:dyDescent="0.4">
      <c r="A1691" t="s">
        <v>3314</v>
      </c>
      <c r="B1691" s="1">
        <v>45741.708333333336</v>
      </c>
      <c r="C1691" t="s">
        <v>43</v>
      </c>
      <c r="D1691" t="s">
        <v>3315</v>
      </c>
      <c r="E1691" t="s">
        <v>110</v>
      </c>
      <c r="F1691" t="s">
        <v>19</v>
      </c>
      <c r="G1691">
        <v>339</v>
      </c>
      <c r="H1691">
        <v>0.25</v>
      </c>
      <c r="I1691">
        <v>254.25</v>
      </c>
      <c r="J1691">
        <v>6</v>
      </c>
      <c r="K1691">
        <v>187.01898846287901</v>
      </c>
      <c r="L1691">
        <v>1525.5</v>
      </c>
      <c r="M1691">
        <v>1122.1139307772701</v>
      </c>
      <c r="N1691">
        <v>403.38606922272299</v>
      </c>
      <c r="O1691" t="s">
        <v>32</v>
      </c>
      <c r="P1691">
        <f t="shared" si="52"/>
        <v>2034</v>
      </c>
      <c r="Q1691">
        <f t="shared" si="53"/>
        <v>-403.38606922272993</v>
      </c>
    </row>
    <row r="1692" spans="1:17" x14ac:dyDescent="0.4">
      <c r="A1692" t="s">
        <v>3316</v>
      </c>
      <c r="B1692" s="1">
        <v>45573.833333333336</v>
      </c>
      <c r="C1692" t="s">
        <v>16</v>
      </c>
      <c r="D1692" t="s">
        <v>3317</v>
      </c>
      <c r="E1692" t="s">
        <v>37</v>
      </c>
      <c r="F1692" t="s">
        <v>38</v>
      </c>
      <c r="G1692">
        <v>329</v>
      </c>
      <c r="H1692">
        <v>0.25</v>
      </c>
      <c r="I1692">
        <v>246.75</v>
      </c>
      <c r="J1692">
        <v>2</v>
      </c>
      <c r="K1692">
        <v>186.87004999566301</v>
      </c>
      <c r="L1692">
        <v>493.5</v>
      </c>
      <c r="M1692">
        <v>373.74009999132602</v>
      </c>
      <c r="N1692">
        <v>119.759900008673</v>
      </c>
      <c r="O1692" t="s">
        <v>32</v>
      </c>
      <c r="P1692">
        <f t="shared" si="52"/>
        <v>658</v>
      </c>
      <c r="Q1692">
        <f t="shared" si="53"/>
        <v>-119.75990000867398</v>
      </c>
    </row>
    <row r="1693" spans="1:17" x14ac:dyDescent="0.4">
      <c r="A1693" t="s">
        <v>3318</v>
      </c>
      <c r="B1693" s="1">
        <v>45805.458333333336</v>
      </c>
      <c r="C1693" t="s">
        <v>43</v>
      </c>
      <c r="D1693" t="s">
        <v>3319</v>
      </c>
      <c r="E1693" t="s">
        <v>41</v>
      </c>
      <c r="F1693" t="s">
        <v>31</v>
      </c>
      <c r="G1693">
        <v>331</v>
      </c>
      <c r="H1693">
        <v>0.05</v>
      </c>
      <c r="I1693">
        <v>314.45</v>
      </c>
      <c r="J1693">
        <v>5</v>
      </c>
      <c r="K1693">
        <v>143.46780034454599</v>
      </c>
      <c r="L1693">
        <v>1572.25</v>
      </c>
      <c r="M1693">
        <v>717.33900172273195</v>
      </c>
      <c r="N1693">
        <v>854.91099827726703</v>
      </c>
      <c r="O1693" t="s">
        <v>51</v>
      </c>
      <c r="P1693">
        <f t="shared" si="52"/>
        <v>1655</v>
      </c>
      <c r="Q1693">
        <f t="shared" si="53"/>
        <v>-854.91099827726805</v>
      </c>
    </row>
    <row r="1694" spans="1:17" x14ac:dyDescent="0.4">
      <c r="A1694" t="s">
        <v>3320</v>
      </c>
      <c r="B1694" s="1">
        <v>45834.958333333336</v>
      </c>
      <c r="C1694" t="s">
        <v>65</v>
      </c>
      <c r="D1694" t="s">
        <v>3321</v>
      </c>
      <c r="E1694" t="s">
        <v>115</v>
      </c>
      <c r="F1694" t="s">
        <v>38</v>
      </c>
      <c r="G1694">
        <v>330</v>
      </c>
      <c r="H1694">
        <v>0</v>
      </c>
      <c r="I1694">
        <v>330</v>
      </c>
      <c r="J1694">
        <v>3</v>
      </c>
      <c r="K1694">
        <v>173.42100351118501</v>
      </c>
      <c r="L1694">
        <v>990</v>
      </c>
      <c r="M1694">
        <v>520.26301053355496</v>
      </c>
      <c r="N1694">
        <v>469.73698946644402</v>
      </c>
      <c r="O1694" t="s">
        <v>32</v>
      </c>
      <c r="P1694">
        <f t="shared" si="52"/>
        <v>990</v>
      </c>
      <c r="Q1694">
        <f t="shared" si="53"/>
        <v>-469.73698946644504</v>
      </c>
    </row>
    <row r="1695" spans="1:17" x14ac:dyDescent="0.4">
      <c r="A1695" t="s">
        <v>3322</v>
      </c>
      <c r="B1695" s="1">
        <v>45877.5</v>
      </c>
      <c r="C1695" t="s">
        <v>28</v>
      </c>
      <c r="D1695" t="s">
        <v>3323</v>
      </c>
      <c r="E1695" t="s">
        <v>82</v>
      </c>
      <c r="F1695" t="s">
        <v>25</v>
      </c>
      <c r="G1695">
        <v>347</v>
      </c>
      <c r="H1695">
        <v>0.05</v>
      </c>
      <c r="I1695">
        <v>329.65</v>
      </c>
      <c r="J1695">
        <v>1</v>
      </c>
      <c r="K1695">
        <v>222.865228638887</v>
      </c>
      <c r="L1695">
        <v>329.65</v>
      </c>
      <c r="M1695">
        <v>222.865228638887</v>
      </c>
      <c r="N1695">
        <v>106.78477136111201</v>
      </c>
      <c r="O1695" t="s">
        <v>26</v>
      </c>
      <c r="P1695">
        <f t="shared" si="52"/>
        <v>347</v>
      </c>
      <c r="Q1695">
        <f t="shared" si="53"/>
        <v>-106.78477136111297</v>
      </c>
    </row>
    <row r="1696" spans="1:17" x14ac:dyDescent="0.4">
      <c r="A1696" t="s">
        <v>3324</v>
      </c>
      <c r="B1696" s="1">
        <v>45818.666666666664</v>
      </c>
      <c r="C1696" t="s">
        <v>46</v>
      </c>
      <c r="D1696" t="s">
        <v>3325</v>
      </c>
      <c r="E1696" t="s">
        <v>85</v>
      </c>
      <c r="F1696" t="s">
        <v>70</v>
      </c>
      <c r="G1696">
        <v>194</v>
      </c>
      <c r="H1696">
        <v>0</v>
      </c>
      <c r="I1696">
        <v>194</v>
      </c>
      <c r="J1696">
        <v>1</v>
      </c>
      <c r="K1696">
        <v>122.930530898463</v>
      </c>
      <c r="L1696">
        <v>194</v>
      </c>
      <c r="M1696">
        <v>122.930530898463</v>
      </c>
      <c r="N1696">
        <v>71.069469101536399</v>
      </c>
      <c r="O1696" t="s">
        <v>26</v>
      </c>
      <c r="P1696">
        <f t="shared" si="52"/>
        <v>194</v>
      </c>
      <c r="Q1696">
        <f t="shared" si="53"/>
        <v>-71.069469101536995</v>
      </c>
    </row>
    <row r="1697" spans="1:17" x14ac:dyDescent="0.4">
      <c r="A1697" t="s">
        <v>3326</v>
      </c>
      <c r="B1697" s="1">
        <v>45618.791666666664</v>
      </c>
      <c r="C1697" t="s">
        <v>28</v>
      </c>
      <c r="D1697" t="s">
        <v>910</v>
      </c>
      <c r="E1697" t="s">
        <v>48</v>
      </c>
      <c r="F1697" t="s">
        <v>19</v>
      </c>
      <c r="G1697">
        <v>150</v>
      </c>
      <c r="H1697">
        <v>0.15</v>
      </c>
      <c r="I1697">
        <v>127.5</v>
      </c>
      <c r="J1697">
        <v>7</v>
      </c>
      <c r="K1697">
        <v>100.321703848339</v>
      </c>
      <c r="L1697">
        <v>892.5</v>
      </c>
      <c r="M1697">
        <v>702.25192693837505</v>
      </c>
      <c r="N1697">
        <v>190.24807306162401</v>
      </c>
      <c r="O1697" t="s">
        <v>32</v>
      </c>
      <c r="P1697">
        <f t="shared" si="52"/>
        <v>1050</v>
      </c>
      <c r="Q1697">
        <f t="shared" si="53"/>
        <v>-190.24807306162495</v>
      </c>
    </row>
    <row r="1698" spans="1:17" x14ac:dyDescent="0.4">
      <c r="A1698" t="s">
        <v>3327</v>
      </c>
      <c r="B1698" s="1">
        <v>45884.083333333336</v>
      </c>
      <c r="C1698" t="s">
        <v>43</v>
      </c>
      <c r="D1698" t="s">
        <v>3328</v>
      </c>
      <c r="E1698" t="s">
        <v>18</v>
      </c>
      <c r="F1698" t="s">
        <v>19</v>
      </c>
      <c r="G1698">
        <v>303</v>
      </c>
      <c r="H1698">
        <v>0.2</v>
      </c>
      <c r="I1698">
        <v>242.4</v>
      </c>
      <c r="J1698">
        <v>2</v>
      </c>
      <c r="K1698">
        <v>177.79205869268799</v>
      </c>
      <c r="L1698">
        <v>484.8</v>
      </c>
      <c r="M1698">
        <v>355.58411738537598</v>
      </c>
      <c r="N1698">
        <v>129.21588261462301</v>
      </c>
      <c r="O1698" t="s">
        <v>20</v>
      </c>
      <c r="P1698">
        <f t="shared" si="52"/>
        <v>606</v>
      </c>
      <c r="Q1698">
        <f t="shared" si="53"/>
        <v>-129.21588261462404</v>
      </c>
    </row>
    <row r="1699" spans="1:17" x14ac:dyDescent="0.4">
      <c r="A1699" t="s">
        <v>3329</v>
      </c>
      <c r="B1699" s="1">
        <v>45977.666666666664</v>
      </c>
      <c r="C1699" t="s">
        <v>46</v>
      </c>
      <c r="D1699" t="s">
        <v>3330</v>
      </c>
      <c r="E1699" t="s">
        <v>94</v>
      </c>
      <c r="F1699" t="s">
        <v>61</v>
      </c>
      <c r="G1699">
        <v>194</v>
      </c>
      <c r="H1699">
        <v>0.15</v>
      </c>
      <c r="I1699">
        <v>164.9</v>
      </c>
      <c r="J1699">
        <v>6</v>
      </c>
      <c r="K1699">
        <v>106.87850623959299</v>
      </c>
      <c r="L1699">
        <v>989.4</v>
      </c>
      <c r="M1699">
        <v>641.27103743755902</v>
      </c>
      <c r="N1699">
        <v>348.12896256243999</v>
      </c>
      <c r="O1699" t="s">
        <v>32</v>
      </c>
      <c r="P1699">
        <f t="shared" si="52"/>
        <v>1164</v>
      </c>
      <c r="Q1699">
        <f t="shared" si="53"/>
        <v>-348.12896256244096</v>
      </c>
    </row>
    <row r="1700" spans="1:17" x14ac:dyDescent="0.4">
      <c r="A1700" t="s">
        <v>3331</v>
      </c>
      <c r="B1700" s="1">
        <v>45713.083333333336</v>
      </c>
      <c r="C1700" t="s">
        <v>22</v>
      </c>
      <c r="D1700" t="s">
        <v>3332</v>
      </c>
      <c r="E1700" t="s">
        <v>69</v>
      </c>
      <c r="F1700" t="s">
        <v>70</v>
      </c>
      <c r="G1700">
        <v>281</v>
      </c>
      <c r="H1700">
        <v>0.25</v>
      </c>
      <c r="I1700">
        <v>210.75</v>
      </c>
      <c r="J1700">
        <v>7</v>
      </c>
      <c r="K1700">
        <v>134.68157100255999</v>
      </c>
      <c r="L1700">
        <v>1475.25</v>
      </c>
      <c r="M1700">
        <v>942.77099701792497</v>
      </c>
      <c r="N1700">
        <v>532.47900298207401</v>
      </c>
      <c r="O1700" t="s">
        <v>26</v>
      </c>
      <c r="P1700">
        <f t="shared" si="52"/>
        <v>1967</v>
      </c>
      <c r="Q1700">
        <f t="shared" si="53"/>
        <v>-532.47900298207503</v>
      </c>
    </row>
    <row r="1701" spans="1:17" x14ac:dyDescent="0.4">
      <c r="A1701" t="s">
        <v>3333</v>
      </c>
      <c r="B1701" s="1">
        <v>45508.208333333336</v>
      </c>
      <c r="C1701" t="s">
        <v>46</v>
      </c>
      <c r="D1701" t="s">
        <v>3334</v>
      </c>
      <c r="E1701" t="s">
        <v>69</v>
      </c>
      <c r="F1701" t="s">
        <v>70</v>
      </c>
      <c r="G1701">
        <v>346</v>
      </c>
      <c r="H1701">
        <v>0.15</v>
      </c>
      <c r="I1701">
        <v>294.099999999999</v>
      </c>
      <c r="J1701">
        <v>3</v>
      </c>
      <c r="K1701">
        <v>144.31472058414201</v>
      </c>
      <c r="L1701">
        <v>882.3</v>
      </c>
      <c r="M1701">
        <v>432.944161752426</v>
      </c>
      <c r="N1701">
        <v>449.35583824757299</v>
      </c>
      <c r="O1701" t="s">
        <v>32</v>
      </c>
      <c r="P1701">
        <f t="shared" si="52"/>
        <v>1038</v>
      </c>
      <c r="Q1701">
        <f t="shared" si="53"/>
        <v>-449.35583824757396</v>
      </c>
    </row>
    <row r="1702" spans="1:17" x14ac:dyDescent="0.4">
      <c r="A1702" t="s">
        <v>3335</v>
      </c>
      <c r="B1702" s="1">
        <v>45395</v>
      </c>
      <c r="C1702" t="s">
        <v>28</v>
      </c>
      <c r="D1702" t="s">
        <v>3336</v>
      </c>
      <c r="E1702" t="s">
        <v>41</v>
      </c>
      <c r="F1702" t="s">
        <v>31</v>
      </c>
      <c r="G1702">
        <v>260</v>
      </c>
      <c r="H1702">
        <v>0.15</v>
      </c>
      <c r="I1702">
        <v>221</v>
      </c>
      <c r="J1702">
        <v>4</v>
      </c>
      <c r="K1702">
        <v>180.548659084798</v>
      </c>
      <c r="L1702">
        <v>884</v>
      </c>
      <c r="M1702">
        <v>722.19463633919395</v>
      </c>
      <c r="N1702">
        <v>161.805363660805</v>
      </c>
      <c r="O1702" t="s">
        <v>32</v>
      </c>
      <c r="P1702">
        <f t="shared" si="52"/>
        <v>1040</v>
      </c>
      <c r="Q1702">
        <f t="shared" si="53"/>
        <v>-161.80536366080605</v>
      </c>
    </row>
    <row r="1703" spans="1:17" x14ac:dyDescent="0.4">
      <c r="A1703" t="s">
        <v>3337</v>
      </c>
      <c r="B1703" s="1">
        <v>46004.125</v>
      </c>
      <c r="C1703" t="s">
        <v>43</v>
      </c>
      <c r="D1703" t="s">
        <v>286</v>
      </c>
      <c r="E1703" t="s">
        <v>85</v>
      </c>
      <c r="F1703" t="s">
        <v>70</v>
      </c>
      <c r="G1703">
        <v>164</v>
      </c>
      <c r="H1703">
        <v>0.15</v>
      </c>
      <c r="I1703">
        <v>139.4</v>
      </c>
      <c r="J1703">
        <v>7</v>
      </c>
      <c r="K1703">
        <v>79.405391234077797</v>
      </c>
      <c r="L1703">
        <v>975.8</v>
      </c>
      <c r="M1703">
        <v>555.83773863854401</v>
      </c>
      <c r="N1703">
        <v>419.96226136145498</v>
      </c>
      <c r="O1703" t="s">
        <v>20</v>
      </c>
      <c r="P1703">
        <f t="shared" si="52"/>
        <v>1148</v>
      </c>
      <c r="Q1703">
        <f t="shared" si="53"/>
        <v>-419.96226136145594</v>
      </c>
    </row>
    <row r="1704" spans="1:17" x14ac:dyDescent="0.4">
      <c r="A1704" t="s">
        <v>3338</v>
      </c>
      <c r="B1704" s="1">
        <v>45571.333333333336</v>
      </c>
      <c r="C1704" t="s">
        <v>16</v>
      </c>
      <c r="D1704" t="s">
        <v>3339</v>
      </c>
      <c r="E1704" t="s">
        <v>82</v>
      </c>
      <c r="F1704" t="s">
        <v>25</v>
      </c>
      <c r="G1704">
        <v>195</v>
      </c>
      <c r="H1704">
        <v>0.05</v>
      </c>
      <c r="I1704">
        <v>185.25</v>
      </c>
      <c r="J1704">
        <v>2</v>
      </c>
      <c r="K1704">
        <v>139.31890770534</v>
      </c>
      <c r="L1704">
        <v>370.5</v>
      </c>
      <c r="M1704">
        <v>278.63781541067999</v>
      </c>
      <c r="N1704">
        <v>91.862184589319</v>
      </c>
      <c r="O1704" t="s">
        <v>32</v>
      </c>
      <c r="P1704">
        <f t="shared" si="52"/>
        <v>390</v>
      </c>
      <c r="Q1704">
        <f t="shared" si="53"/>
        <v>-91.862184589320009</v>
      </c>
    </row>
    <row r="1705" spans="1:17" x14ac:dyDescent="0.4">
      <c r="A1705" t="s">
        <v>3340</v>
      </c>
      <c r="B1705" s="1">
        <v>45446.708333333336</v>
      </c>
      <c r="C1705" t="s">
        <v>16</v>
      </c>
      <c r="D1705" t="s">
        <v>3341</v>
      </c>
      <c r="E1705" t="s">
        <v>73</v>
      </c>
      <c r="F1705" t="s">
        <v>38</v>
      </c>
      <c r="G1705">
        <v>307</v>
      </c>
      <c r="H1705">
        <v>0</v>
      </c>
      <c r="I1705">
        <v>307</v>
      </c>
      <c r="J1705">
        <v>4</v>
      </c>
      <c r="K1705">
        <v>200.23602623311899</v>
      </c>
      <c r="L1705">
        <v>1228</v>
      </c>
      <c r="M1705">
        <v>800.94410493247699</v>
      </c>
      <c r="N1705">
        <v>427.05589506752301</v>
      </c>
      <c r="O1705" t="s">
        <v>51</v>
      </c>
      <c r="P1705">
        <f t="shared" si="52"/>
        <v>1228</v>
      </c>
      <c r="Q1705">
        <f t="shared" si="53"/>
        <v>-427.05589506752301</v>
      </c>
    </row>
    <row r="1706" spans="1:17" x14ac:dyDescent="0.4">
      <c r="A1706" t="s">
        <v>3342</v>
      </c>
      <c r="B1706" s="1">
        <v>45502.458333333336</v>
      </c>
      <c r="C1706" t="s">
        <v>65</v>
      </c>
      <c r="D1706" t="s">
        <v>985</v>
      </c>
      <c r="E1706" t="s">
        <v>69</v>
      </c>
      <c r="F1706" t="s">
        <v>70</v>
      </c>
      <c r="G1706">
        <v>254</v>
      </c>
      <c r="H1706">
        <v>0.05</v>
      </c>
      <c r="I1706">
        <v>241.29999999999899</v>
      </c>
      <c r="J1706">
        <v>3</v>
      </c>
      <c r="K1706">
        <v>106.54646469193899</v>
      </c>
      <c r="L1706">
        <v>723.9</v>
      </c>
      <c r="M1706">
        <v>319.63939407581898</v>
      </c>
      <c r="N1706">
        <v>404.26060592418003</v>
      </c>
      <c r="O1706" t="s">
        <v>105</v>
      </c>
      <c r="P1706">
        <f t="shared" si="52"/>
        <v>762</v>
      </c>
      <c r="Q1706">
        <f t="shared" si="53"/>
        <v>-404.26060592418099</v>
      </c>
    </row>
    <row r="1707" spans="1:17" x14ac:dyDescent="0.4">
      <c r="A1707" t="s">
        <v>3343</v>
      </c>
      <c r="B1707" s="1">
        <v>45740.166666666664</v>
      </c>
      <c r="C1707" t="s">
        <v>16</v>
      </c>
      <c r="D1707" t="s">
        <v>3344</v>
      </c>
      <c r="E1707" t="s">
        <v>94</v>
      </c>
      <c r="F1707" t="s">
        <v>61</v>
      </c>
      <c r="G1707">
        <v>137</v>
      </c>
      <c r="H1707">
        <v>0</v>
      </c>
      <c r="I1707">
        <v>137</v>
      </c>
      <c r="J1707">
        <v>1</v>
      </c>
      <c r="K1707">
        <v>92.685751113207104</v>
      </c>
      <c r="L1707">
        <v>137</v>
      </c>
      <c r="M1707">
        <v>92.685751113207104</v>
      </c>
      <c r="N1707">
        <v>44.314248886792797</v>
      </c>
      <c r="O1707" t="s">
        <v>32</v>
      </c>
      <c r="P1707">
        <f t="shared" si="52"/>
        <v>137</v>
      </c>
      <c r="Q1707">
        <f t="shared" si="53"/>
        <v>-44.314248886792896</v>
      </c>
    </row>
    <row r="1708" spans="1:17" x14ac:dyDescent="0.4">
      <c r="A1708" t="s">
        <v>3345</v>
      </c>
      <c r="B1708" s="1">
        <v>45395.125</v>
      </c>
      <c r="C1708" t="s">
        <v>28</v>
      </c>
      <c r="D1708" t="s">
        <v>3346</v>
      </c>
      <c r="E1708" t="s">
        <v>115</v>
      </c>
      <c r="F1708" t="s">
        <v>38</v>
      </c>
      <c r="G1708">
        <v>334</v>
      </c>
      <c r="H1708">
        <v>0.2</v>
      </c>
      <c r="I1708">
        <v>267.2</v>
      </c>
      <c r="J1708">
        <v>4</v>
      </c>
      <c r="K1708">
        <v>180.932482263738</v>
      </c>
      <c r="L1708">
        <v>1068.8</v>
      </c>
      <c r="M1708">
        <v>723.729929054953</v>
      </c>
      <c r="N1708">
        <v>345.07007094504598</v>
      </c>
      <c r="O1708" t="s">
        <v>32</v>
      </c>
      <c r="P1708">
        <f t="shared" si="52"/>
        <v>1336</v>
      </c>
      <c r="Q1708">
        <f t="shared" si="53"/>
        <v>-345.07007094504695</v>
      </c>
    </row>
    <row r="1709" spans="1:17" x14ac:dyDescent="0.4">
      <c r="A1709" t="s">
        <v>3347</v>
      </c>
      <c r="B1709" s="1">
        <v>45442.416666666664</v>
      </c>
      <c r="C1709" t="s">
        <v>43</v>
      </c>
      <c r="D1709" t="s">
        <v>3348</v>
      </c>
      <c r="E1709" t="s">
        <v>94</v>
      </c>
      <c r="F1709" t="s">
        <v>61</v>
      </c>
      <c r="G1709">
        <v>245</v>
      </c>
      <c r="H1709">
        <v>0</v>
      </c>
      <c r="I1709">
        <v>245</v>
      </c>
      <c r="J1709">
        <v>5</v>
      </c>
      <c r="K1709">
        <v>170.363135805827</v>
      </c>
      <c r="L1709">
        <v>1225</v>
      </c>
      <c r="M1709">
        <v>851.81567902913901</v>
      </c>
      <c r="N1709">
        <v>373.18432097085997</v>
      </c>
      <c r="O1709" t="s">
        <v>32</v>
      </c>
      <c r="P1709">
        <f t="shared" si="52"/>
        <v>1225</v>
      </c>
      <c r="Q1709">
        <f t="shared" si="53"/>
        <v>-373.18432097086099</v>
      </c>
    </row>
    <row r="1710" spans="1:17" x14ac:dyDescent="0.4">
      <c r="A1710" t="s">
        <v>3349</v>
      </c>
      <c r="B1710" s="1">
        <v>45469.291666666664</v>
      </c>
      <c r="C1710" t="s">
        <v>46</v>
      </c>
      <c r="D1710" t="s">
        <v>3350</v>
      </c>
      <c r="E1710" t="s">
        <v>37</v>
      </c>
      <c r="F1710" t="s">
        <v>38</v>
      </c>
      <c r="G1710">
        <v>128</v>
      </c>
      <c r="H1710">
        <v>0.15</v>
      </c>
      <c r="I1710">
        <v>108.8</v>
      </c>
      <c r="J1710">
        <v>7</v>
      </c>
      <c r="K1710">
        <v>60.458947612950602</v>
      </c>
      <c r="L1710">
        <v>761.6</v>
      </c>
      <c r="M1710">
        <v>423.21263329065403</v>
      </c>
      <c r="N1710">
        <v>338.38736670934497</v>
      </c>
      <c r="O1710" t="s">
        <v>26</v>
      </c>
      <c r="P1710">
        <f t="shared" si="52"/>
        <v>896</v>
      </c>
      <c r="Q1710">
        <f t="shared" si="53"/>
        <v>-338.387366709346</v>
      </c>
    </row>
    <row r="1711" spans="1:17" x14ac:dyDescent="0.4">
      <c r="A1711" t="s">
        <v>3351</v>
      </c>
      <c r="B1711" s="1">
        <v>45895.5</v>
      </c>
      <c r="C1711" t="s">
        <v>43</v>
      </c>
      <c r="D1711" t="s">
        <v>3352</v>
      </c>
      <c r="E1711" t="s">
        <v>110</v>
      </c>
      <c r="F1711" t="s">
        <v>19</v>
      </c>
      <c r="G1711">
        <v>280</v>
      </c>
      <c r="H1711">
        <v>0.15</v>
      </c>
      <c r="I1711">
        <v>238</v>
      </c>
      <c r="J1711">
        <v>1</v>
      </c>
      <c r="K1711">
        <v>184.09085582046799</v>
      </c>
      <c r="L1711">
        <v>238</v>
      </c>
      <c r="M1711">
        <v>184.09085582046799</v>
      </c>
      <c r="N1711">
        <v>53.909144179531197</v>
      </c>
      <c r="O1711" t="s">
        <v>26</v>
      </c>
      <c r="P1711">
        <f t="shared" si="52"/>
        <v>280</v>
      </c>
      <c r="Q1711">
        <f t="shared" si="53"/>
        <v>-53.909144179532007</v>
      </c>
    </row>
    <row r="1712" spans="1:17" x14ac:dyDescent="0.4">
      <c r="A1712" t="s">
        <v>3353</v>
      </c>
      <c r="B1712" s="1">
        <v>45364.291666666664</v>
      </c>
      <c r="C1712" t="s">
        <v>16</v>
      </c>
      <c r="D1712" t="s">
        <v>3354</v>
      </c>
      <c r="E1712" t="s">
        <v>48</v>
      </c>
      <c r="F1712" t="s">
        <v>19</v>
      </c>
      <c r="G1712">
        <v>188</v>
      </c>
      <c r="H1712">
        <v>0.1</v>
      </c>
      <c r="I1712">
        <v>169.2</v>
      </c>
      <c r="J1712">
        <v>5</v>
      </c>
      <c r="K1712">
        <v>139.915650283464</v>
      </c>
      <c r="L1712">
        <v>846</v>
      </c>
      <c r="M1712">
        <v>699.57825141732405</v>
      </c>
      <c r="N1712">
        <v>146.42174858267501</v>
      </c>
      <c r="O1712" t="s">
        <v>32</v>
      </c>
      <c r="P1712">
        <f t="shared" si="52"/>
        <v>940</v>
      </c>
      <c r="Q1712">
        <f t="shared" si="53"/>
        <v>-146.42174858267595</v>
      </c>
    </row>
    <row r="1713" spans="1:17" x14ac:dyDescent="0.4">
      <c r="A1713" t="s">
        <v>3355</v>
      </c>
      <c r="B1713" s="1">
        <v>45636.083333333336</v>
      </c>
      <c r="C1713" t="s">
        <v>43</v>
      </c>
      <c r="D1713" t="s">
        <v>3356</v>
      </c>
      <c r="E1713" t="s">
        <v>18</v>
      </c>
      <c r="F1713" t="s">
        <v>19</v>
      </c>
      <c r="G1713">
        <v>337</v>
      </c>
      <c r="H1713">
        <v>0.2</v>
      </c>
      <c r="I1713">
        <v>269.60000000000002</v>
      </c>
      <c r="J1713">
        <v>2</v>
      </c>
      <c r="K1713">
        <v>165.718357400038</v>
      </c>
      <c r="L1713">
        <v>539.20000000000005</v>
      </c>
      <c r="M1713">
        <v>331.436714800076</v>
      </c>
      <c r="N1713">
        <v>207.76328519992299</v>
      </c>
      <c r="O1713" t="s">
        <v>32</v>
      </c>
      <c r="P1713">
        <f t="shared" si="52"/>
        <v>674</v>
      </c>
      <c r="Q1713">
        <f t="shared" si="53"/>
        <v>-207.76328519992404</v>
      </c>
    </row>
    <row r="1714" spans="1:17" x14ac:dyDescent="0.4">
      <c r="A1714" t="s">
        <v>3357</v>
      </c>
      <c r="B1714" s="1">
        <v>45624.458333333336</v>
      </c>
      <c r="C1714" t="s">
        <v>22</v>
      </c>
      <c r="D1714" t="s">
        <v>1690</v>
      </c>
      <c r="E1714" t="s">
        <v>18</v>
      </c>
      <c r="F1714" t="s">
        <v>19</v>
      </c>
      <c r="G1714">
        <v>142</v>
      </c>
      <c r="H1714">
        <v>0.1</v>
      </c>
      <c r="I1714">
        <v>127.8</v>
      </c>
      <c r="J1714">
        <v>4</v>
      </c>
      <c r="K1714">
        <v>62.2698925617497</v>
      </c>
      <c r="L1714">
        <v>511.2</v>
      </c>
      <c r="M1714">
        <v>249.079570246999</v>
      </c>
      <c r="N1714">
        <v>262.120429753</v>
      </c>
      <c r="O1714" t="s">
        <v>32</v>
      </c>
      <c r="P1714">
        <f t="shared" si="52"/>
        <v>568</v>
      </c>
      <c r="Q1714">
        <f t="shared" si="53"/>
        <v>-262.12042975300096</v>
      </c>
    </row>
    <row r="1715" spans="1:17" x14ac:dyDescent="0.4">
      <c r="A1715" t="s">
        <v>3358</v>
      </c>
      <c r="B1715" s="1">
        <v>45393.166666666664</v>
      </c>
      <c r="C1715" t="s">
        <v>43</v>
      </c>
      <c r="D1715" t="s">
        <v>3359</v>
      </c>
      <c r="E1715" t="s">
        <v>94</v>
      </c>
      <c r="F1715" t="s">
        <v>61</v>
      </c>
      <c r="G1715">
        <v>191</v>
      </c>
      <c r="H1715">
        <v>0.15</v>
      </c>
      <c r="I1715">
        <v>162.35</v>
      </c>
      <c r="J1715">
        <v>2</v>
      </c>
      <c r="K1715">
        <v>131.733065139828</v>
      </c>
      <c r="L1715">
        <v>324.7</v>
      </c>
      <c r="M1715">
        <v>263.46613027965702</v>
      </c>
      <c r="N1715">
        <v>61.233869720342199</v>
      </c>
      <c r="O1715" t="s">
        <v>26</v>
      </c>
      <c r="P1715">
        <f t="shared" si="52"/>
        <v>382</v>
      </c>
      <c r="Q1715">
        <f t="shared" si="53"/>
        <v>-61.233869720342966</v>
      </c>
    </row>
    <row r="1716" spans="1:17" x14ac:dyDescent="0.4">
      <c r="A1716" t="s">
        <v>3360</v>
      </c>
      <c r="B1716" s="1">
        <v>45806.375</v>
      </c>
      <c r="C1716" t="s">
        <v>22</v>
      </c>
      <c r="D1716" t="s">
        <v>3361</v>
      </c>
      <c r="E1716" t="s">
        <v>37</v>
      </c>
      <c r="F1716" t="s">
        <v>38</v>
      </c>
      <c r="G1716">
        <v>94</v>
      </c>
      <c r="H1716">
        <v>0.15</v>
      </c>
      <c r="I1716">
        <v>79.899999999999906</v>
      </c>
      <c r="J1716">
        <v>6</v>
      </c>
      <c r="K1716">
        <v>58.435027598745698</v>
      </c>
      <c r="L1716">
        <v>479.4</v>
      </c>
      <c r="M1716">
        <v>350.610165592474</v>
      </c>
      <c r="N1716">
        <v>128.78983440752501</v>
      </c>
      <c r="O1716" t="s">
        <v>20</v>
      </c>
      <c r="P1716">
        <f t="shared" si="52"/>
        <v>564</v>
      </c>
      <c r="Q1716">
        <f t="shared" si="53"/>
        <v>-128.78983440752597</v>
      </c>
    </row>
    <row r="1717" spans="1:17" x14ac:dyDescent="0.4">
      <c r="A1717" t="s">
        <v>3362</v>
      </c>
      <c r="B1717" s="1">
        <v>45601.416666666664</v>
      </c>
      <c r="C1717" t="s">
        <v>16</v>
      </c>
      <c r="D1717" t="s">
        <v>701</v>
      </c>
      <c r="E1717" t="s">
        <v>37</v>
      </c>
      <c r="F1717" t="s">
        <v>38</v>
      </c>
      <c r="G1717">
        <v>91</v>
      </c>
      <c r="H1717">
        <v>0</v>
      </c>
      <c r="I1717">
        <v>91</v>
      </c>
      <c r="J1717">
        <v>2</v>
      </c>
      <c r="K1717">
        <v>64.978896344785397</v>
      </c>
      <c r="L1717">
        <v>182</v>
      </c>
      <c r="M1717">
        <v>129.95779268957</v>
      </c>
      <c r="N1717">
        <v>52.042207310429099</v>
      </c>
      <c r="O1717" t="s">
        <v>51</v>
      </c>
      <c r="P1717">
        <f t="shared" si="52"/>
        <v>182</v>
      </c>
      <c r="Q1717">
        <f t="shared" si="53"/>
        <v>-52.042207310430001</v>
      </c>
    </row>
    <row r="1718" spans="1:17" x14ac:dyDescent="0.4">
      <c r="A1718" t="s">
        <v>3363</v>
      </c>
      <c r="B1718" s="1">
        <v>45647.541666666664</v>
      </c>
      <c r="C1718" t="s">
        <v>43</v>
      </c>
      <c r="D1718" t="s">
        <v>3364</v>
      </c>
      <c r="E1718" t="s">
        <v>37</v>
      </c>
      <c r="F1718" t="s">
        <v>38</v>
      </c>
      <c r="G1718">
        <v>314</v>
      </c>
      <c r="H1718">
        <v>0.15</v>
      </c>
      <c r="I1718">
        <v>266.89999999999998</v>
      </c>
      <c r="J1718">
        <v>7</v>
      </c>
      <c r="K1718">
        <v>164.75700903914901</v>
      </c>
      <c r="L1718">
        <v>1868.29999999999</v>
      </c>
      <c r="M1718">
        <v>1153.29906327404</v>
      </c>
      <c r="N1718">
        <v>715.00093672595597</v>
      </c>
      <c r="O1718" t="s">
        <v>51</v>
      </c>
      <c r="P1718">
        <f t="shared" si="52"/>
        <v>2198</v>
      </c>
      <c r="Q1718">
        <f t="shared" si="53"/>
        <v>-715.00093672594994</v>
      </c>
    </row>
    <row r="1719" spans="1:17" x14ac:dyDescent="0.4">
      <c r="A1719" t="s">
        <v>3365</v>
      </c>
      <c r="B1719" s="1">
        <v>45510.708333333336</v>
      </c>
      <c r="C1719" t="s">
        <v>46</v>
      </c>
      <c r="D1719" t="s">
        <v>3225</v>
      </c>
      <c r="E1719" t="s">
        <v>73</v>
      </c>
      <c r="F1719" t="s">
        <v>38</v>
      </c>
      <c r="G1719">
        <v>249</v>
      </c>
      <c r="H1719">
        <v>0.05</v>
      </c>
      <c r="I1719">
        <v>236.54999999999899</v>
      </c>
      <c r="J1719">
        <v>5</v>
      </c>
      <c r="K1719">
        <v>185.48249658805699</v>
      </c>
      <c r="L1719">
        <v>1182.75</v>
      </c>
      <c r="M1719">
        <v>927.41248294028799</v>
      </c>
      <c r="N1719">
        <v>255.33751705971099</v>
      </c>
      <c r="O1719" t="s">
        <v>105</v>
      </c>
      <c r="P1719">
        <f t="shared" si="52"/>
        <v>1245</v>
      </c>
      <c r="Q1719">
        <f t="shared" si="53"/>
        <v>-255.33751705971201</v>
      </c>
    </row>
    <row r="1720" spans="1:17" x14ac:dyDescent="0.4">
      <c r="A1720" t="s">
        <v>3366</v>
      </c>
      <c r="B1720" s="1">
        <v>45695.583333333336</v>
      </c>
      <c r="C1720" t="s">
        <v>16</v>
      </c>
      <c r="D1720" t="s">
        <v>3367</v>
      </c>
      <c r="E1720" t="s">
        <v>37</v>
      </c>
      <c r="F1720" t="s">
        <v>38</v>
      </c>
      <c r="G1720">
        <v>111</v>
      </c>
      <c r="H1720">
        <v>0.1</v>
      </c>
      <c r="I1720">
        <v>99.9</v>
      </c>
      <c r="J1720">
        <v>1</v>
      </c>
      <c r="K1720">
        <v>62.784403912318297</v>
      </c>
      <c r="L1720">
        <v>99.9</v>
      </c>
      <c r="M1720">
        <v>62.784403912318297</v>
      </c>
      <c r="N1720">
        <v>37.115596087681602</v>
      </c>
      <c r="O1720" t="s">
        <v>32</v>
      </c>
      <c r="P1720">
        <f t="shared" si="52"/>
        <v>111</v>
      </c>
      <c r="Q1720">
        <f t="shared" si="53"/>
        <v>-37.115596087681709</v>
      </c>
    </row>
    <row r="1721" spans="1:17" x14ac:dyDescent="0.4">
      <c r="A1721" t="s">
        <v>3368</v>
      </c>
      <c r="B1721" s="1">
        <v>45879.875</v>
      </c>
      <c r="C1721" t="s">
        <v>65</v>
      </c>
      <c r="D1721" t="s">
        <v>3369</v>
      </c>
      <c r="E1721" t="s">
        <v>97</v>
      </c>
      <c r="F1721" t="s">
        <v>61</v>
      </c>
      <c r="G1721">
        <v>161</v>
      </c>
      <c r="H1721">
        <v>0.2</v>
      </c>
      <c r="I1721">
        <v>128.80000000000001</v>
      </c>
      <c r="J1721">
        <v>6</v>
      </c>
      <c r="K1721">
        <v>84.906868152932105</v>
      </c>
      <c r="L1721">
        <v>772.8</v>
      </c>
      <c r="M1721">
        <v>509.44120891759297</v>
      </c>
      <c r="N1721">
        <v>263.35879108240601</v>
      </c>
      <c r="O1721" t="s">
        <v>51</v>
      </c>
      <c r="P1721">
        <f t="shared" si="52"/>
        <v>966</v>
      </c>
      <c r="Q1721">
        <f t="shared" si="53"/>
        <v>-263.35879108240698</v>
      </c>
    </row>
    <row r="1722" spans="1:17" x14ac:dyDescent="0.4">
      <c r="A1722" t="s">
        <v>3370</v>
      </c>
      <c r="B1722" s="1">
        <v>45319.541666666664</v>
      </c>
      <c r="C1722" t="s">
        <v>43</v>
      </c>
      <c r="D1722" t="s">
        <v>2099</v>
      </c>
      <c r="E1722" t="s">
        <v>69</v>
      </c>
      <c r="F1722" t="s">
        <v>70</v>
      </c>
      <c r="G1722">
        <v>292</v>
      </c>
      <c r="H1722">
        <v>0.25</v>
      </c>
      <c r="I1722">
        <v>219</v>
      </c>
      <c r="J1722">
        <v>5</v>
      </c>
      <c r="K1722">
        <v>209.38862243638599</v>
      </c>
      <c r="L1722">
        <v>1095</v>
      </c>
      <c r="M1722">
        <v>1046.94311218193</v>
      </c>
      <c r="N1722">
        <v>48.056887818065398</v>
      </c>
      <c r="O1722" t="s">
        <v>32</v>
      </c>
      <c r="P1722">
        <f t="shared" si="52"/>
        <v>1460</v>
      </c>
      <c r="Q1722">
        <f t="shared" si="53"/>
        <v>-48.056887818069981</v>
      </c>
    </row>
    <row r="1723" spans="1:17" x14ac:dyDescent="0.4">
      <c r="A1723" t="s">
        <v>3371</v>
      </c>
      <c r="B1723" s="1">
        <v>45795.125</v>
      </c>
      <c r="C1723" t="s">
        <v>46</v>
      </c>
      <c r="D1723" t="s">
        <v>3372</v>
      </c>
      <c r="E1723" t="s">
        <v>115</v>
      </c>
      <c r="F1723" t="s">
        <v>38</v>
      </c>
      <c r="G1723">
        <v>313</v>
      </c>
      <c r="H1723">
        <v>0.1</v>
      </c>
      <c r="I1723">
        <v>281.7</v>
      </c>
      <c r="J1723">
        <v>4</v>
      </c>
      <c r="K1723">
        <v>167.980994681325</v>
      </c>
      <c r="L1723">
        <v>1126.8</v>
      </c>
      <c r="M1723">
        <v>671.92397872530103</v>
      </c>
      <c r="N1723">
        <v>454.87602127469802</v>
      </c>
      <c r="O1723" t="s">
        <v>51</v>
      </c>
      <c r="P1723">
        <f t="shared" si="52"/>
        <v>1252</v>
      </c>
      <c r="Q1723">
        <f t="shared" si="53"/>
        <v>-454.87602127469893</v>
      </c>
    </row>
    <row r="1724" spans="1:17" x14ac:dyDescent="0.4">
      <c r="A1724" t="s">
        <v>3373</v>
      </c>
      <c r="B1724" s="1">
        <v>45908.166666666664</v>
      </c>
      <c r="C1724" t="s">
        <v>46</v>
      </c>
      <c r="D1724" t="s">
        <v>3374</v>
      </c>
      <c r="E1724" t="s">
        <v>94</v>
      </c>
      <c r="F1724" t="s">
        <v>61</v>
      </c>
      <c r="G1724">
        <v>267</v>
      </c>
      <c r="H1724">
        <v>0</v>
      </c>
      <c r="I1724">
        <v>267</v>
      </c>
      <c r="J1724">
        <v>1</v>
      </c>
      <c r="K1724">
        <v>159.30000933127599</v>
      </c>
      <c r="L1724">
        <v>267</v>
      </c>
      <c r="M1724">
        <v>159.30000933127599</v>
      </c>
      <c r="N1724">
        <v>107.699990668723</v>
      </c>
      <c r="O1724" t="s">
        <v>32</v>
      </c>
      <c r="P1724">
        <f t="shared" si="52"/>
        <v>267</v>
      </c>
      <c r="Q1724">
        <f t="shared" si="53"/>
        <v>-107.69999066872401</v>
      </c>
    </row>
    <row r="1725" spans="1:17" x14ac:dyDescent="0.4">
      <c r="A1725" t="s">
        <v>3375</v>
      </c>
      <c r="B1725" s="1">
        <v>45711.166666666664</v>
      </c>
      <c r="C1725" t="s">
        <v>28</v>
      </c>
      <c r="D1725" t="s">
        <v>3376</v>
      </c>
      <c r="E1725" t="s">
        <v>73</v>
      </c>
      <c r="F1725" t="s">
        <v>38</v>
      </c>
      <c r="G1725">
        <v>186</v>
      </c>
      <c r="H1725">
        <v>0</v>
      </c>
      <c r="I1725">
        <v>186</v>
      </c>
      <c r="J1725">
        <v>1</v>
      </c>
      <c r="K1725">
        <v>128.77264366563</v>
      </c>
      <c r="L1725">
        <v>186</v>
      </c>
      <c r="M1725">
        <v>128.77264366563</v>
      </c>
      <c r="N1725">
        <v>57.227356334369098</v>
      </c>
      <c r="O1725" t="s">
        <v>32</v>
      </c>
      <c r="P1725">
        <f t="shared" si="52"/>
        <v>186</v>
      </c>
      <c r="Q1725">
        <f t="shared" si="53"/>
        <v>-57.22735633437</v>
      </c>
    </row>
    <row r="1726" spans="1:17" x14ac:dyDescent="0.4">
      <c r="A1726" t="s">
        <v>3377</v>
      </c>
      <c r="B1726" s="1">
        <v>45951.833333333336</v>
      </c>
      <c r="C1726" t="s">
        <v>46</v>
      </c>
      <c r="D1726" t="s">
        <v>3378</v>
      </c>
      <c r="E1726" t="s">
        <v>104</v>
      </c>
      <c r="F1726" t="s">
        <v>25</v>
      </c>
      <c r="G1726">
        <v>98</v>
      </c>
      <c r="H1726">
        <v>0.15</v>
      </c>
      <c r="I1726">
        <v>83.3</v>
      </c>
      <c r="J1726">
        <v>5</v>
      </c>
      <c r="K1726">
        <v>52.6010974886021</v>
      </c>
      <c r="L1726">
        <v>416.5</v>
      </c>
      <c r="M1726">
        <v>263.00548744301</v>
      </c>
      <c r="N1726">
        <v>153.49451255698901</v>
      </c>
      <c r="O1726" t="s">
        <v>32</v>
      </c>
      <c r="P1726">
        <f t="shared" si="52"/>
        <v>490</v>
      </c>
      <c r="Q1726">
        <f t="shared" si="53"/>
        <v>-153.49451255699</v>
      </c>
    </row>
    <row r="1727" spans="1:17" x14ac:dyDescent="0.4">
      <c r="A1727" t="s">
        <v>3379</v>
      </c>
      <c r="B1727" s="1">
        <v>45730.583333333336</v>
      </c>
      <c r="C1727" t="s">
        <v>65</v>
      </c>
      <c r="D1727" t="s">
        <v>2851</v>
      </c>
      <c r="E1727" t="s">
        <v>18</v>
      </c>
      <c r="F1727" t="s">
        <v>19</v>
      </c>
      <c r="G1727">
        <v>263</v>
      </c>
      <c r="H1727">
        <v>0</v>
      </c>
      <c r="I1727">
        <v>263</v>
      </c>
      <c r="J1727">
        <v>1</v>
      </c>
      <c r="K1727">
        <v>153.44446736994101</v>
      </c>
      <c r="L1727">
        <v>263</v>
      </c>
      <c r="M1727">
        <v>153.44446736994101</v>
      </c>
      <c r="N1727">
        <v>109.555532630058</v>
      </c>
      <c r="O1727" t="s">
        <v>32</v>
      </c>
      <c r="P1727">
        <f t="shared" si="52"/>
        <v>263</v>
      </c>
      <c r="Q1727">
        <f t="shared" si="53"/>
        <v>-109.55553263005899</v>
      </c>
    </row>
    <row r="1728" spans="1:17" x14ac:dyDescent="0.4">
      <c r="A1728" t="s">
        <v>3380</v>
      </c>
      <c r="B1728" s="1">
        <v>45432.583333333336</v>
      </c>
      <c r="C1728" t="s">
        <v>65</v>
      </c>
      <c r="D1728" t="s">
        <v>3381</v>
      </c>
      <c r="E1728" t="s">
        <v>110</v>
      </c>
      <c r="F1728" t="s">
        <v>19</v>
      </c>
      <c r="G1728">
        <v>215</v>
      </c>
      <c r="H1728">
        <v>0</v>
      </c>
      <c r="I1728">
        <v>215</v>
      </c>
      <c r="J1728">
        <v>3</v>
      </c>
      <c r="K1728">
        <v>110.26791568134099</v>
      </c>
      <c r="L1728">
        <v>645</v>
      </c>
      <c r="M1728">
        <v>330.803747044023</v>
      </c>
      <c r="N1728">
        <v>314.19625295597598</v>
      </c>
      <c r="O1728" t="s">
        <v>32</v>
      </c>
      <c r="P1728">
        <f t="shared" si="52"/>
        <v>645</v>
      </c>
      <c r="Q1728">
        <f t="shared" si="53"/>
        <v>-314.196252955977</v>
      </c>
    </row>
    <row r="1729" spans="1:17" x14ac:dyDescent="0.4">
      <c r="A1729" t="s">
        <v>3382</v>
      </c>
      <c r="B1729" s="1">
        <v>45300.625</v>
      </c>
      <c r="C1729" t="s">
        <v>22</v>
      </c>
      <c r="D1729" t="s">
        <v>3383</v>
      </c>
      <c r="E1729" t="s">
        <v>85</v>
      </c>
      <c r="F1729" t="s">
        <v>70</v>
      </c>
      <c r="G1729">
        <v>275</v>
      </c>
      <c r="H1729">
        <v>0</v>
      </c>
      <c r="I1729">
        <v>275</v>
      </c>
      <c r="J1729">
        <v>1</v>
      </c>
      <c r="K1729">
        <v>124.818392603614</v>
      </c>
      <c r="L1729">
        <v>275</v>
      </c>
      <c r="M1729">
        <v>124.818392603614</v>
      </c>
      <c r="N1729">
        <v>150.181607396385</v>
      </c>
      <c r="O1729" t="s">
        <v>32</v>
      </c>
      <c r="P1729">
        <f t="shared" si="52"/>
        <v>275</v>
      </c>
      <c r="Q1729">
        <f t="shared" si="53"/>
        <v>-150.181607396386</v>
      </c>
    </row>
    <row r="1730" spans="1:17" x14ac:dyDescent="0.4">
      <c r="A1730" t="s">
        <v>3384</v>
      </c>
      <c r="B1730" s="1">
        <v>45403.041666666664</v>
      </c>
      <c r="C1730" t="s">
        <v>22</v>
      </c>
      <c r="D1730" t="s">
        <v>3385</v>
      </c>
      <c r="E1730" t="s">
        <v>104</v>
      </c>
      <c r="F1730" t="s">
        <v>25</v>
      </c>
      <c r="G1730">
        <v>244</v>
      </c>
      <c r="H1730">
        <v>0.05</v>
      </c>
      <c r="I1730">
        <v>231.79999999999899</v>
      </c>
      <c r="J1730">
        <v>4</v>
      </c>
      <c r="K1730">
        <v>115.42021513328901</v>
      </c>
      <c r="L1730">
        <v>927.19999999999902</v>
      </c>
      <c r="M1730">
        <v>461.68086053315898</v>
      </c>
      <c r="N1730">
        <v>465.51913946683999</v>
      </c>
      <c r="O1730" t="s">
        <v>32</v>
      </c>
      <c r="P1730">
        <f t="shared" si="52"/>
        <v>976</v>
      </c>
      <c r="Q1730">
        <f t="shared" si="53"/>
        <v>-465.51913946684004</v>
      </c>
    </row>
    <row r="1731" spans="1:17" x14ac:dyDescent="0.4">
      <c r="A1731" t="s">
        <v>3386</v>
      </c>
      <c r="B1731" s="1">
        <v>45318.333333333336</v>
      </c>
      <c r="C1731" t="s">
        <v>22</v>
      </c>
      <c r="D1731" t="s">
        <v>3387</v>
      </c>
      <c r="E1731" t="s">
        <v>73</v>
      </c>
      <c r="F1731" t="s">
        <v>38</v>
      </c>
      <c r="G1731">
        <v>171</v>
      </c>
      <c r="H1731">
        <v>0.2</v>
      </c>
      <c r="I1731">
        <v>136.80000000000001</v>
      </c>
      <c r="J1731">
        <v>3</v>
      </c>
      <c r="K1731">
        <v>111.408309521102</v>
      </c>
      <c r="L1731">
        <v>410.4</v>
      </c>
      <c r="M1731">
        <v>334.22492856330598</v>
      </c>
      <c r="N1731">
        <v>76.175071436693401</v>
      </c>
      <c r="O1731" t="s">
        <v>32</v>
      </c>
      <c r="P1731">
        <f t="shared" ref="P1731:P1794" si="54">G1731 * J1731</f>
        <v>513</v>
      </c>
      <c r="Q1731">
        <f t="shared" ref="Q1731:Q1794" si="55" xml:space="preserve"> M1731 - L1731</f>
        <v>-76.175071436693997</v>
      </c>
    </row>
    <row r="1732" spans="1:17" x14ac:dyDescent="0.4">
      <c r="A1732" t="s">
        <v>3388</v>
      </c>
      <c r="B1732" s="1">
        <v>45420.458333333336</v>
      </c>
      <c r="C1732" t="s">
        <v>22</v>
      </c>
      <c r="D1732" t="s">
        <v>3389</v>
      </c>
      <c r="E1732" t="s">
        <v>110</v>
      </c>
      <c r="F1732" t="s">
        <v>19</v>
      </c>
      <c r="G1732">
        <v>284</v>
      </c>
      <c r="H1732">
        <v>0.1</v>
      </c>
      <c r="I1732">
        <v>255.6</v>
      </c>
      <c r="J1732">
        <v>1</v>
      </c>
      <c r="K1732">
        <v>137.402799085726</v>
      </c>
      <c r="L1732">
        <v>255.6</v>
      </c>
      <c r="M1732">
        <v>137.402799085726</v>
      </c>
      <c r="N1732">
        <v>118.197200914273</v>
      </c>
      <c r="O1732" t="s">
        <v>32</v>
      </c>
      <c r="P1732">
        <f t="shared" si="54"/>
        <v>284</v>
      </c>
      <c r="Q1732">
        <f t="shared" si="55"/>
        <v>-118.19720091427399</v>
      </c>
    </row>
    <row r="1733" spans="1:17" x14ac:dyDescent="0.4">
      <c r="A1733" t="s">
        <v>3390</v>
      </c>
      <c r="B1733" s="1">
        <v>45863.291666666664</v>
      </c>
      <c r="C1733" t="s">
        <v>43</v>
      </c>
      <c r="D1733" t="s">
        <v>3391</v>
      </c>
      <c r="E1733" t="s">
        <v>94</v>
      </c>
      <c r="F1733" t="s">
        <v>61</v>
      </c>
      <c r="G1733">
        <v>214</v>
      </c>
      <c r="H1733">
        <v>0</v>
      </c>
      <c r="I1733">
        <v>214</v>
      </c>
      <c r="J1733">
        <v>7</v>
      </c>
      <c r="K1733">
        <v>116.80572557394299</v>
      </c>
      <c r="L1733">
        <v>1498</v>
      </c>
      <c r="M1733">
        <v>817.64007901760704</v>
      </c>
      <c r="N1733">
        <v>680.35992098239205</v>
      </c>
      <c r="O1733" t="s">
        <v>26</v>
      </c>
      <c r="P1733">
        <f t="shared" si="54"/>
        <v>1498</v>
      </c>
      <c r="Q1733">
        <f t="shared" si="55"/>
        <v>-680.35992098239296</v>
      </c>
    </row>
    <row r="1734" spans="1:17" x14ac:dyDescent="0.4">
      <c r="A1734" t="s">
        <v>3392</v>
      </c>
      <c r="B1734" s="1">
        <v>45713.791666666664</v>
      </c>
      <c r="C1734" t="s">
        <v>16</v>
      </c>
      <c r="D1734" t="s">
        <v>3393</v>
      </c>
      <c r="E1734" t="s">
        <v>24</v>
      </c>
      <c r="F1734" t="s">
        <v>25</v>
      </c>
      <c r="G1734">
        <v>83</v>
      </c>
      <c r="H1734">
        <v>0</v>
      </c>
      <c r="I1734">
        <v>83</v>
      </c>
      <c r="J1734">
        <v>2</v>
      </c>
      <c r="K1734">
        <v>55.301459078572698</v>
      </c>
      <c r="L1734">
        <v>166</v>
      </c>
      <c r="M1734">
        <v>110.602918157145</v>
      </c>
      <c r="N1734">
        <v>55.397081842854398</v>
      </c>
      <c r="O1734" t="s">
        <v>26</v>
      </c>
      <c r="P1734">
        <f t="shared" si="54"/>
        <v>166</v>
      </c>
      <c r="Q1734">
        <f t="shared" si="55"/>
        <v>-55.397081842855002</v>
      </c>
    </row>
    <row r="1735" spans="1:17" x14ac:dyDescent="0.4">
      <c r="A1735" t="s">
        <v>3394</v>
      </c>
      <c r="B1735" s="1">
        <v>45588.791666666664</v>
      </c>
      <c r="C1735" t="s">
        <v>46</v>
      </c>
      <c r="D1735" t="s">
        <v>3395</v>
      </c>
      <c r="E1735" t="s">
        <v>104</v>
      </c>
      <c r="F1735" t="s">
        <v>25</v>
      </c>
      <c r="G1735">
        <v>341</v>
      </c>
      <c r="H1735">
        <v>0.1</v>
      </c>
      <c r="I1735">
        <v>306.89999999999998</v>
      </c>
      <c r="J1735">
        <v>5</v>
      </c>
      <c r="K1735">
        <v>237.683727777348</v>
      </c>
      <c r="L1735">
        <v>1534.5</v>
      </c>
      <c r="M1735">
        <v>1188.4186388867399</v>
      </c>
      <c r="N1735">
        <v>346.08136111325598</v>
      </c>
      <c r="O1735" t="s">
        <v>32</v>
      </c>
      <c r="P1735">
        <f t="shared" si="54"/>
        <v>1705</v>
      </c>
      <c r="Q1735">
        <f t="shared" si="55"/>
        <v>-346.08136111326007</v>
      </c>
    </row>
    <row r="1736" spans="1:17" x14ac:dyDescent="0.4">
      <c r="A1736" t="s">
        <v>3396</v>
      </c>
      <c r="B1736" s="1">
        <v>45740.083333333336</v>
      </c>
      <c r="C1736" t="s">
        <v>65</v>
      </c>
      <c r="D1736" t="s">
        <v>3397</v>
      </c>
      <c r="E1736" t="s">
        <v>85</v>
      </c>
      <c r="F1736" t="s">
        <v>70</v>
      </c>
      <c r="G1736">
        <v>289</v>
      </c>
      <c r="H1736">
        <v>0</v>
      </c>
      <c r="I1736">
        <v>289</v>
      </c>
      <c r="J1736">
        <v>7</v>
      </c>
      <c r="K1736">
        <v>142.206273377451</v>
      </c>
      <c r="L1736">
        <v>2023</v>
      </c>
      <c r="M1736">
        <v>995.44391364215699</v>
      </c>
      <c r="N1736">
        <v>1027.5560863578401</v>
      </c>
      <c r="O1736" t="s">
        <v>32</v>
      </c>
      <c r="P1736">
        <f t="shared" si="54"/>
        <v>2023</v>
      </c>
      <c r="Q1736">
        <f t="shared" si="55"/>
        <v>-1027.556086357843</v>
      </c>
    </row>
    <row r="1737" spans="1:17" x14ac:dyDescent="0.4">
      <c r="A1737" t="s">
        <v>3398</v>
      </c>
      <c r="B1737" s="1">
        <v>45361.958333333336</v>
      </c>
      <c r="C1737" t="s">
        <v>65</v>
      </c>
      <c r="D1737" t="s">
        <v>3399</v>
      </c>
      <c r="E1737" t="s">
        <v>30</v>
      </c>
      <c r="F1737" t="s">
        <v>31</v>
      </c>
      <c r="G1737">
        <v>318</v>
      </c>
      <c r="H1737">
        <v>0.05</v>
      </c>
      <c r="I1737">
        <v>302.099999999999</v>
      </c>
      <c r="J1737">
        <v>6</v>
      </c>
      <c r="K1737">
        <v>143.154872146179</v>
      </c>
      <c r="L1737">
        <v>1812.6</v>
      </c>
      <c r="M1737">
        <v>858.92923287707504</v>
      </c>
      <c r="N1737">
        <v>953.67076712292396</v>
      </c>
      <c r="O1737" t="s">
        <v>32</v>
      </c>
      <c r="P1737">
        <f t="shared" si="54"/>
        <v>1908</v>
      </c>
      <c r="Q1737">
        <f t="shared" si="55"/>
        <v>-953.67076712292487</v>
      </c>
    </row>
    <row r="1738" spans="1:17" x14ac:dyDescent="0.4">
      <c r="A1738" t="s">
        <v>3400</v>
      </c>
      <c r="B1738" s="1">
        <v>45954.541666666664</v>
      </c>
      <c r="C1738" t="s">
        <v>65</v>
      </c>
      <c r="D1738" t="s">
        <v>3401</v>
      </c>
      <c r="E1738" t="s">
        <v>146</v>
      </c>
      <c r="F1738" t="s">
        <v>70</v>
      </c>
      <c r="G1738">
        <v>218</v>
      </c>
      <c r="H1738">
        <v>0.15</v>
      </c>
      <c r="I1738">
        <v>185.29999999999899</v>
      </c>
      <c r="J1738">
        <v>5</v>
      </c>
      <c r="K1738">
        <v>146.663357043876</v>
      </c>
      <c r="L1738">
        <v>926.49999999999898</v>
      </c>
      <c r="M1738">
        <v>733.31678521938397</v>
      </c>
      <c r="N1738">
        <v>193.183214780615</v>
      </c>
      <c r="O1738" t="s">
        <v>105</v>
      </c>
      <c r="P1738">
        <f t="shared" si="54"/>
        <v>1090</v>
      </c>
      <c r="Q1738">
        <f t="shared" si="55"/>
        <v>-193.183214780615</v>
      </c>
    </row>
    <row r="1739" spans="1:17" x14ac:dyDescent="0.4">
      <c r="A1739" t="s">
        <v>3402</v>
      </c>
      <c r="B1739" s="1">
        <v>45301.833333333336</v>
      </c>
      <c r="C1739" t="s">
        <v>46</v>
      </c>
      <c r="D1739" t="s">
        <v>3403</v>
      </c>
      <c r="E1739" t="s">
        <v>73</v>
      </c>
      <c r="F1739" t="s">
        <v>38</v>
      </c>
      <c r="G1739">
        <v>213</v>
      </c>
      <c r="H1739">
        <v>0</v>
      </c>
      <c r="I1739">
        <v>213</v>
      </c>
      <c r="J1739">
        <v>4</v>
      </c>
      <c r="K1739">
        <v>129.385832550815</v>
      </c>
      <c r="L1739">
        <v>852</v>
      </c>
      <c r="M1739">
        <v>517.54333020326101</v>
      </c>
      <c r="N1739">
        <v>334.45666979673803</v>
      </c>
      <c r="O1739" t="s">
        <v>26</v>
      </c>
      <c r="P1739">
        <f t="shared" si="54"/>
        <v>852</v>
      </c>
      <c r="Q1739">
        <f t="shared" si="55"/>
        <v>-334.45666979673899</v>
      </c>
    </row>
    <row r="1740" spans="1:17" x14ac:dyDescent="0.4">
      <c r="A1740" t="s">
        <v>3404</v>
      </c>
      <c r="B1740" s="1">
        <v>45602.25</v>
      </c>
      <c r="C1740" t="s">
        <v>22</v>
      </c>
      <c r="D1740" t="s">
        <v>3405</v>
      </c>
      <c r="E1740" t="s">
        <v>115</v>
      </c>
      <c r="F1740" t="s">
        <v>38</v>
      </c>
      <c r="G1740">
        <v>87</v>
      </c>
      <c r="H1740">
        <v>0</v>
      </c>
      <c r="I1740">
        <v>87</v>
      </c>
      <c r="J1740">
        <v>3</v>
      </c>
      <c r="K1740">
        <v>64.921338710551893</v>
      </c>
      <c r="L1740">
        <v>261</v>
      </c>
      <c r="M1740">
        <v>194.76401613165501</v>
      </c>
      <c r="N1740">
        <v>66.235983868344107</v>
      </c>
      <c r="O1740" t="s">
        <v>105</v>
      </c>
      <c r="P1740">
        <f t="shared" si="54"/>
        <v>261</v>
      </c>
      <c r="Q1740">
        <f t="shared" si="55"/>
        <v>-66.235983868344988</v>
      </c>
    </row>
    <row r="1741" spans="1:17" x14ac:dyDescent="0.4">
      <c r="A1741" t="s">
        <v>3406</v>
      </c>
      <c r="B1741" s="1">
        <v>45477.125</v>
      </c>
      <c r="C1741" t="s">
        <v>28</v>
      </c>
      <c r="D1741" t="s">
        <v>3407</v>
      </c>
      <c r="E1741" t="s">
        <v>73</v>
      </c>
      <c r="F1741" t="s">
        <v>38</v>
      </c>
      <c r="G1741">
        <v>287</v>
      </c>
      <c r="H1741">
        <v>0</v>
      </c>
      <c r="I1741">
        <v>287</v>
      </c>
      <c r="J1741">
        <v>1</v>
      </c>
      <c r="K1741">
        <v>191.939327060029</v>
      </c>
      <c r="L1741">
        <v>287</v>
      </c>
      <c r="M1741">
        <v>191.939327060029</v>
      </c>
      <c r="N1741">
        <v>95.060672939970701</v>
      </c>
      <c r="O1741" t="s">
        <v>26</v>
      </c>
      <c r="P1741">
        <f t="shared" si="54"/>
        <v>287</v>
      </c>
      <c r="Q1741">
        <f t="shared" si="55"/>
        <v>-95.060672939970999</v>
      </c>
    </row>
    <row r="1742" spans="1:17" x14ac:dyDescent="0.4">
      <c r="A1742" t="s">
        <v>3408</v>
      </c>
      <c r="B1742" s="1">
        <v>45936.291666666664</v>
      </c>
      <c r="C1742" t="s">
        <v>22</v>
      </c>
      <c r="D1742" t="s">
        <v>3196</v>
      </c>
      <c r="E1742" t="s">
        <v>85</v>
      </c>
      <c r="F1742" t="s">
        <v>70</v>
      </c>
      <c r="G1742">
        <v>177</v>
      </c>
      <c r="H1742">
        <v>0.2</v>
      </c>
      <c r="I1742">
        <v>141.6</v>
      </c>
      <c r="J1742">
        <v>4</v>
      </c>
      <c r="K1742">
        <v>104.00123477434499</v>
      </c>
      <c r="L1742">
        <v>566.4</v>
      </c>
      <c r="M1742">
        <v>416.00493909738299</v>
      </c>
      <c r="N1742">
        <v>150.395060902616</v>
      </c>
      <c r="O1742" t="s">
        <v>105</v>
      </c>
      <c r="P1742">
        <f t="shared" si="54"/>
        <v>708</v>
      </c>
      <c r="Q1742">
        <f t="shared" si="55"/>
        <v>-150.39506090261699</v>
      </c>
    </row>
    <row r="1743" spans="1:17" x14ac:dyDescent="0.4">
      <c r="A1743" t="s">
        <v>3409</v>
      </c>
      <c r="B1743" s="1">
        <v>45648.458333333336</v>
      </c>
      <c r="C1743" t="s">
        <v>22</v>
      </c>
      <c r="D1743" t="s">
        <v>3410</v>
      </c>
      <c r="E1743" t="s">
        <v>85</v>
      </c>
      <c r="F1743" t="s">
        <v>70</v>
      </c>
      <c r="G1743">
        <v>204</v>
      </c>
      <c r="H1743">
        <v>0.25</v>
      </c>
      <c r="I1743">
        <v>153</v>
      </c>
      <c r="J1743">
        <v>4</v>
      </c>
      <c r="K1743">
        <v>130.10312955357199</v>
      </c>
      <c r="L1743">
        <v>612</v>
      </c>
      <c r="M1743">
        <v>520.41251821429</v>
      </c>
      <c r="N1743">
        <v>91.5874817857094</v>
      </c>
      <c r="O1743" t="s">
        <v>32</v>
      </c>
      <c r="P1743">
        <f t="shared" si="54"/>
        <v>816</v>
      </c>
      <c r="Q1743">
        <f t="shared" si="55"/>
        <v>-91.587481785709997</v>
      </c>
    </row>
    <row r="1744" spans="1:17" x14ac:dyDescent="0.4">
      <c r="A1744" t="s">
        <v>3411</v>
      </c>
      <c r="B1744" s="1">
        <v>45986.541666666664</v>
      </c>
      <c r="C1744" t="s">
        <v>65</v>
      </c>
      <c r="D1744" t="s">
        <v>3412</v>
      </c>
      <c r="E1744" t="s">
        <v>146</v>
      </c>
      <c r="F1744" t="s">
        <v>70</v>
      </c>
      <c r="G1744">
        <v>269</v>
      </c>
      <c r="H1744">
        <v>0.2</v>
      </c>
      <c r="I1744">
        <v>215.2</v>
      </c>
      <c r="J1744">
        <v>3</v>
      </c>
      <c r="K1744">
        <v>169.35757112543399</v>
      </c>
      <c r="L1744">
        <v>645.6</v>
      </c>
      <c r="M1744">
        <v>508.072713376303</v>
      </c>
      <c r="N1744">
        <v>137.527286623696</v>
      </c>
      <c r="O1744" t="s">
        <v>32</v>
      </c>
      <c r="P1744">
        <f t="shared" si="54"/>
        <v>807</v>
      </c>
      <c r="Q1744">
        <f t="shared" si="55"/>
        <v>-137.52728662369702</v>
      </c>
    </row>
    <row r="1745" spans="1:17" x14ac:dyDescent="0.4">
      <c r="A1745" t="s">
        <v>3413</v>
      </c>
      <c r="B1745" s="1">
        <v>45298.166666666664</v>
      </c>
      <c r="C1745" t="s">
        <v>46</v>
      </c>
      <c r="D1745" t="s">
        <v>3414</v>
      </c>
      <c r="E1745" t="s">
        <v>48</v>
      </c>
      <c r="F1745" t="s">
        <v>19</v>
      </c>
      <c r="G1745">
        <v>164</v>
      </c>
      <c r="H1745">
        <v>0.15</v>
      </c>
      <c r="I1745">
        <v>139.4</v>
      </c>
      <c r="J1745">
        <v>5</v>
      </c>
      <c r="K1745">
        <v>81.281881247283295</v>
      </c>
      <c r="L1745">
        <v>697</v>
      </c>
      <c r="M1745">
        <v>406.40940623641598</v>
      </c>
      <c r="N1745">
        <v>290.590593763583</v>
      </c>
      <c r="O1745" t="s">
        <v>26</v>
      </c>
      <c r="P1745">
        <f t="shared" si="54"/>
        <v>820</v>
      </c>
      <c r="Q1745">
        <f t="shared" si="55"/>
        <v>-290.59059376358402</v>
      </c>
    </row>
    <row r="1746" spans="1:17" x14ac:dyDescent="0.4">
      <c r="A1746" t="s">
        <v>3415</v>
      </c>
      <c r="B1746" s="1">
        <v>45850.125</v>
      </c>
      <c r="C1746" t="s">
        <v>22</v>
      </c>
      <c r="D1746" t="s">
        <v>3416</v>
      </c>
      <c r="E1746" t="s">
        <v>48</v>
      </c>
      <c r="F1746" t="s">
        <v>19</v>
      </c>
      <c r="G1746">
        <v>270</v>
      </c>
      <c r="H1746">
        <v>0.2</v>
      </c>
      <c r="I1746">
        <v>216</v>
      </c>
      <c r="J1746">
        <v>6</v>
      </c>
      <c r="K1746">
        <v>182.37056287986599</v>
      </c>
      <c r="L1746">
        <v>1296</v>
      </c>
      <c r="M1746">
        <v>1094.2233772791899</v>
      </c>
      <c r="N1746">
        <v>201.776622720803</v>
      </c>
      <c r="O1746" t="s">
        <v>32</v>
      </c>
      <c r="P1746">
        <f t="shared" si="54"/>
        <v>1620</v>
      </c>
      <c r="Q1746">
        <f t="shared" si="55"/>
        <v>-201.77662272081011</v>
      </c>
    </row>
    <row r="1747" spans="1:17" x14ac:dyDescent="0.4">
      <c r="A1747" t="s">
        <v>3417</v>
      </c>
      <c r="B1747" s="1">
        <v>45495.958333333336</v>
      </c>
      <c r="C1747" t="s">
        <v>22</v>
      </c>
      <c r="D1747" t="s">
        <v>887</v>
      </c>
      <c r="E1747" t="s">
        <v>94</v>
      </c>
      <c r="F1747" t="s">
        <v>61</v>
      </c>
      <c r="G1747">
        <v>280</v>
      </c>
      <c r="H1747">
        <v>0.05</v>
      </c>
      <c r="I1747">
        <v>266</v>
      </c>
      <c r="J1747">
        <v>7</v>
      </c>
      <c r="K1747">
        <v>200.110718076138</v>
      </c>
      <c r="L1747">
        <v>1862</v>
      </c>
      <c r="M1747">
        <v>1400.7750265329601</v>
      </c>
      <c r="N1747">
        <v>461.22497346703301</v>
      </c>
      <c r="O1747" t="s">
        <v>32</v>
      </c>
      <c r="P1747">
        <f t="shared" si="54"/>
        <v>1960</v>
      </c>
      <c r="Q1747">
        <f t="shared" si="55"/>
        <v>-461.22497346703994</v>
      </c>
    </row>
    <row r="1748" spans="1:17" x14ac:dyDescent="0.4">
      <c r="A1748" t="s">
        <v>3418</v>
      </c>
      <c r="B1748" s="1">
        <v>46016.833333333336</v>
      </c>
      <c r="C1748" t="s">
        <v>43</v>
      </c>
      <c r="D1748" t="s">
        <v>3419</v>
      </c>
      <c r="E1748" t="s">
        <v>213</v>
      </c>
      <c r="F1748" t="s">
        <v>31</v>
      </c>
      <c r="G1748">
        <v>94</v>
      </c>
      <c r="H1748">
        <v>0</v>
      </c>
      <c r="I1748">
        <v>94</v>
      </c>
      <c r="J1748">
        <v>2</v>
      </c>
      <c r="K1748">
        <v>47.547109764503404</v>
      </c>
      <c r="L1748">
        <v>188</v>
      </c>
      <c r="M1748">
        <v>95.094219529006807</v>
      </c>
      <c r="N1748">
        <v>92.905780470993193</v>
      </c>
      <c r="O1748" t="s">
        <v>32</v>
      </c>
      <c r="P1748">
        <f t="shared" si="54"/>
        <v>188</v>
      </c>
      <c r="Q1748">
        <f t="shared" si="55"/>
        <v>-92.905780470993193</v>
      </c>
    </row>
    <row r="1749" spans="1:17" x14ac:dyDescent="0.4">
      <c r="A1749" t="s">
        <v>3420</v>
      </c>
      <c r="B1749" s="1">
        <v>45751.291666666664</v>
      </c>
      <c r="C1749" t="s">
        <v>16</v>
      </c>
      <c r="D1749" t="s">
        <v>3421</v>
      </c>
      <c r="E1749" t="s">
        <v>18</v>
      </c>
      <c r="F1749" t="s">
        <v>19</v>
      </c>
      <c r="G1749">
        <v>313</v>
      </c>
      <c r="H1749">
        <v>0.1</v>
      </c>
      <c r="I1749">
        <v>281.7</v>
      </c>
      <c r="J1749">
        <v>3</v>
      </c>
      <c r="K1749">
        <v>147.396891635174</v>
      </c>
      <c r="L1749">
        <v>845.099999999999</v>
      </c>
      <c r="M1749">
        <v>442.19067490552197</v>
      </c>
      <c r="N1749">
        <v>402.90932509447703</v>
      </c>
      <c r="O1749" t="s">
        <v>51</v>
      </c>
      <c r="P1749">
        <f t="shared" si="54"/>
        <v>939</v>
      </c>
      <c r="Q1749">
        <f t="shared" si="55"/>
        <v>-402.90932509447703</v>
      </c>
    </row>
    <row r="1750" spans="1:17" x14ac:dyDescent="0.4">
      <c r="A1750" t="s">
        <v>3422</v>
      </c>
      <c r="B1750" s="1">
        <v>45737.791666666664</v>
      </c>
      <c r="C1750" t="s">
        <v>46</v>
      </c>
      <c r="D1750" t="s">
        <v>3423</v>
      </c>
      <c r="E1750" t="s">
        <v>85</v>
      </c>
      <c r="F1750" t="s">
        <v>70</v>
      </c>
      <c r="G1750">
        <v>313</v>
      </c>
      <c r="H1750">
        <v>0.25</v>
      </c>
      <c r="I1750">
        <v>234.75</v>
      </c>
      <c r="J1750">
        <v>4</v>
      </c>
      <c r="K1750">
        <v>193.83814954746001</v>
      </c>
      <c r="L1750">
        <v>939</v>
      </c>
      <c r="M1750">
        <v>775.35259818984002</v>
      </c>
      <c r="N1750">
        <v>163.64740181015901</v>
      </c>
      <c r="O1750" t="s">
        <v>32</v>
      </c>
      <c r="P1750">
        <f t="shared" si="54"/>
        <v>1252</v>
      </c>
      <c r="Q1750">
        <f t="shared" si="55"/>
        <v>-163.64740181015998</v>
      </c>
    </row>
    <row r="1751" spans="1:17" x14ac:dyDescent="0.4">
      <c r="A1751" t="s">
        <v>3424</v>
      </c>
      <c r="B1751" s="1">
        <v>45696.791666666664</v>
      </c>
      <c r="C1751" t="s">
        <v>43</v>
      </c>
      <c r="D1751" t="s">
        <v>3425</v>
      </c>
      <c r="E1751" t="s">
        <v>146</v>
      </c>
      <c r="F1751" t="s">
        <v>70</v>
      </c>
      <c r="G1751">
        <v>294</v>
      </c>
      <c r="H1751">
        <v>0.1</v>
      </c>
      <c r="I1751">
        <v>264.60000000000002</v>
      </c>
      <c r="J1751">
        <v>2</v>
      </c>
      <c r="K1751">
        <v>187.855240208281</v>
      </c>
      <c r="L1751">
        <v>529.20000000000005</v>
      </c>
      <c r="M1751">
        <v>375.71048041656297</v>
      </c>
      <c r="N1751">
        <v>153.48951958343599</v>
      </c>
      <c r="O1751" t="s">
        <v>26</v>
      </c>
      <c r="P1751">
        <f t="shared" si="54"/>
        <v>588</v>
      </c>
      <c r="Q1751">
        <f t="shared" si="55"/>
        <v>-153.48951958343707</v>
      </c>
    </row>
    <row r="1752" spans="1:17" x14ac:dyDescent="0.4">
      <c r="A1752" t="s">
        <v>3426</v>
      </c>
      <c r="B1752" s="1">
        <v>45965.458333333336</v>
      </c>
      <c r="C1752" t="s">
        <v>46</v>
      </c>
      <c r="D1752" t="s">
        <v>3427</v>
      </c>
      <c r="E1752" t="s">
        <v>110</v>
      </c>
      <c r="F1752" t="s">
        <v>19</v>
      </c>
      <c r="G1752">
        <v>250</v>
      </c>
      <c r="H1752">
        <v>0</v>
      </c>
      <c r="I1752">
        <v>250</v>
      </c>
      <c r="J1752">
        <v>4</v>
      </c>
      <c r="K1752">
        <v>183.49524377918601</v>
      </c>
      <c r="L1752">
        <v>1000</v>
      </c>
      <c r="M1752">
        <v>733.980975116747</v>
      </c>
      <c r="N1752">
        <v>266.01902488325197</v>
      </c>
      <c r="O1752" t="s">
        <v>32</v>
      </c>
      <c r="P1752">
        <f t="shared" si="54"/>
        <v>1000</v>
      </c>
      <c r="Q1752">
        <f t="shared" si="55"/>
        <v>-266.019024883253</v>
      </c>
    </row>
    <row r="1753" spans="1:17" x14ac:dyDescent="0.4">
      <c r="A1753" t="s">
        <v>3428</v>
      </c>
      <c r="B1753" s="1">
        <v>45532.916666666664</v>
      </c>
      <c r="C1753" t="s">
        <v>46</v>
      </c>
      <c r="D1753" t="s">
        <v>1310</v>
      </c>
      <c r="E1753" t="s">
        <v>110</v>
      </c>
      <c r="F1753" t="s">
        <v>19</v>
      </c>
      <c r="G1753">
        <v>212</v>
      </c>
      <c r="H1753">
        <v>0.05</v>
      </c>
      <c r="I1753">
        <v>201.39999999999901</v>
      </c>
      <c r="J1753">
        <v>5</v>
      </c>
      <c r="K1753">
        <v>105.875418566287</v>
      </c>
      <c r="L1753">
        <v>1006.99999999999</v>
      </c>
      <c r="M1753">
        <v>529.37709283143795</v>
      </c>
      <c r="N1753">
        <v>477.62290716856103</v>
      </c>
      <c r="O1753" t="s">
        <v>26</v>
      </c>
      <c r="P1753">
        <f t="shared" si="54"/>
        <v>1060</v>
      </c>
      <c r="Q1753">
        <f t="shared" si="55"/>
        <v>-477.62290716855205</v>
      </c>
    </row>
    <row r="1754" spans="1:17" x14ac:dyDescent="0.4">
      <c r="A1754" t="s">
        <v>3429</v>
      </c>
      <c r="B1754" s="1">
        <v>45988.833333333336</v>
      </c>
      <c r="C1754" t="s">
        <v>16</v>
      </c>
      <c r="D1754" t="s">
        <v>3430</v>
      </c>
      <c r="E1754" t="s">
        <v>37</v>
      </c>
      <c r="F1754" t="s">
        <v>38</v>
      </c>
      <c r="G1754">
        <v>173</v>
      </c>
      <c r="H1754">
        <v>0</v>
      </c>
      <c r="I1754">
        <v>173</v>
      </c>
      <c r="J1754">
        <v>1</v>
      </c>
      <c r="K1754">
        <v>92.711430454783994</v>
      </c>
      <c r="L1754">
        <v>173</v>
      </c>
      <c r="M1754">
        <v>92.711430454783994</v>
      </c>
      <c r="N1754">
        <v>80.288569545215907</v>
      </c>
      <c r="O1754" t="s">
        <v>32</v>
      </c>
      <c r="P1754">
        <f t="shared" si="54"/>
        <v>173</v>
      </c>
      <c r="Q1754">
        <f t="shared" si="55"/>
        <v>-80.288569545216006</v>
      </c>
    </row>
    <row r="1755" spans="1:17" x14ac:dyDescent="0.4">
      <c r="A1755" t="s">
        <v>3431</v>
      </c>
      <c r="B1755" s="1">
        <v>45409.375</v>
      </c>
      <c r="C1755" t="s">
        <v>22</v>
      </c>
      <c r="D1755" t="s">
        <v>3432</v>
      </c>
      <c r="E1755" t="s">
        <v>37</v>
      </c>
      <c r="F1755" t="s">
        <v>38</v>
      </c>
      <c r="G1755">
        <v>141</v>
      </c>
      <c r="H1755">
        <v>0.15</v>
      </c>
      <c r="I1755">
        <v>119.85</v>
      </c>
      <c r="J1755">
        <v>5</v>
      </c>
      <c r="K1755">
        <v>83.566803368142999</v>
      </c>
      <c r="L1755">
        <v>599.25</v>
      </c>
      <c r="M1755">
        <v>417.83401684071498</v>
      </c>
      <c r="N1755">
        <v>181.415983159284</v>
      </c>
      <c r="O1755" t="s">
        <v>26</v>
      </c>
      <c r="P1755">
        <f t="shared" si="54"/>
        <v>705</v>
      </c>
      <c r="Q1755">
        <f t="shared" si="55"/>
        <v>-181.41598315928502</v>
      </c>
    </row>
    <row r="1756" spans="1:17" x14ac:dyDescent="0.4">
      <c r="A1756" t="s">
        <v>3433</v>
      </c>
      <c r="B1756" s="1">
        <v>45921</v>
      </c>
      <c r="C1756" t="s">
        <v>46</v>
      </c>
      <c r="D1756" t="s">
        <v>3434</v>
      </c>
      <c r="E1756" t="s">
        <v>110</v>
      </c>
      <c r="F1756" t="s">
        <v>19</v>
      </c>
      <c r="G1756">
        <v>177</v>
      </c>
      <c r="H1756">
        <v>0.2</v>
      </c>
      <c r="I1756">
        <v>141.6</v>
      </c>
      <c r="J1756">
        <v>5</v>
      </c>
      <c r="K1756">
        <v>108.80587721623</v>
      </c>
      <c r="L1756">
        <v>708</v>
      </c>
      <c r="M1756">
        <v>544.02938608115005</v>
      </c>
      <c r="N1756">
        <v>163.97061391884901</v>
      </c>
      <c r="O1756" t="s">
        <v>32</v>
      </c>
      <c r="P1756">
        <f t="shared" si="54"/>
        <v>885</v>
      </c>
      <c r="Q1756">
        <f t="shared" si="55"/>
        <v>-163.97061391884995</v>
      </c>
    </row>
    <row r="1757" spans="1:17" x14ac:dyDescent="0.4">
      <c r="A1757" t="s">
        <v>3435</v>
      </c>
      <c r="B1757" s="1">
        <v>45512.791666666664</v>
      </c>
      <c r="C1757" t="s">
        <v>43</v>
      </c>
      <c r="D1757" t="s">
        <v>3436</v>
      </c>
      <c r="E1757" t="s">
        <v>97</v>
      </c>
      <c r="F1757" t="s">
        <v>61</v>
      </c>
      <c r="G1757">
        <v>259</v>
      </c>
      <c r="H1757">
        <v>0.1</v>
      </c>
      <c r="I1757">
        <v>233.1</v>
      </c>
      <c r="J1757">
        <v>2</v>
      </c>
      <c r="K1757">
        <v>113.392495199816</v>
      </c>
      <c r="L1757">
        <v>466.2</v>
      </c>
      <c r="M1757">
        <v>226.78499039963299</v>
      </c>
      <c r="N1757">
        <v>239.41500960036601</v>
      </c>
      <c r="O1757" t="s">
        <v>26</v>
      </c>
      <c r="P1757">
        <f t="shared" si="54"/>
        <v>518</v>
      </c>
      <c r="Q1757">
        <f t="shared" si="55"/>
        <v>-239.415009600367</v>
      </c>
    </row>
    <row r="1758" spans="1:17" x14ac:dyDescent="0.4">
      <c r="A1758" t="s">
        <v>3437</v>
      </c>
      <c r="B1758" s="1">
        <v>45705.208333333336</v>
      </c>
      <c r="C1758" t="s">
        <v>22</v>
      </c>
      <c r="D1758" t="s">
        <v>156</v>
      </c>
      <c r="E1758" t="s">
        <v>146</v>
      </c>
      <c r="F1758" t="s">
        <v>70</v>
      </c>
      <c r="G1758">
        <v>88</v>
      </c>
      <c r="H1758">
        <v>0.15</v>
      </c>
      <c r="I1758">
        <v>74.8</v>
      </c>
      <c r="J1758">
        <v>7</v>
      </c>
      <c r="K1758">
        <v>44.792429749434802</v>
      </c>
      <c r="L1758">
        <v>523.6</v>
      </c>
      <c r="M1758">
        <v>313.54700824604299</v>
      </c>
      <c r="N1758">
        <v>210.05299175395601</v>
      </c>
      <c r="O1758" t="s">
        <v>26</v>
      </c>
      <c r="P1758">
        <f t="shared" si="54"/>
        <v>616</v>
      </c>
      <c r="Q1758">
        <f t="shared" si="55"/>
        <v>-210.05299175395703</v>
      </c>
    </row>
    <row r="1759" spans="1:17" x14ac:dyDescent="0.4">
      <c r="A1759" t="s">
        <v>3438</v>
      </c>
      <c r="B1759" s="1">
        <v>45428.125</v>
      </c>
      <c r="C1759" t="s">
        <v>16</v>
      </c>
      <c r="D1759" t="s">
        <v>3439</v>
      </c>
      <c r="E1759" t="s">
        <v>104</v>
      </c>
      <c r="F1759" t="s">
        <v>25</v>
      </c>
      <c r="G1759">
        <v>256</v>
      </c>
      <c r="H1759">
        <v>0.05</v>
      </c>
      <c r="I1759">
        <v>243.2</v>
      </c>
      <c r="J1759">
        <v>5</v>
      </c>
      <c r="K1759">
        <v>185.302130030824</v>
      </c>
      <c r="L1759">
        <v>1216</v>
      </c>
      <c r="M1759">
        <v>926.510650154122</v>
      </c>
      <c r="N1759">
        <v>289.489349845878</v>
      </c>
      <c r="O1759" t="s">
        <v>51</v>
      </c>
      <c r="P1759">
        <f t="shared" si="54"/>
        <v>1280</v>
      </c>
      <c r="Q1759">
        <f t="shared" si="55"/>
        <v>-289.489349845878</v>
      </c>
    </row>
    <row r="1760" spans="1:17" x14ac:dyDescent="0.4">
      <c r="A1760" t="s">
        <v>3440</v>
      </c>
      <c r="B1760" s="1">
        <v>45475.583333333336</v>
      </c>
      <c r="C1760" t="s">
        <v>65</v>
      </c>
      <c r="D1760" t="s">
        <v>3441</v>
      </c>
      <c r="E1760" t="s">
        <v>60</v>
      </c>
      <c r="F1760" t="s">
        <v>61</v>
      </c>
      <c r="G1760">
        <v>143</v>
      </c>
      <c r="H1760">
        <v>0</v>
      </c>
      <c r="I1760">
        <v>143</v>
      </c>
      <c r="J1760">
        <v>3</v>
      </c>
      <c r="K1760">
        <v>77.7127972404476</v>
      </c>
      <c r="L1760">
        <v>429</v>
      </c>
      <c r="M1760">
        <v>233.138391721342</v>
      </c>
      <c r="N1760">
        <v>195.861608278657</v>
      </c>
      <c r="O1760" t="s">
        <v>26</v>
      </c>
      <c r="P1760">
        <f t="shared" si="54"/>
        <v>429</v>
      </c>
      <c r="Q1760">
        <f t="shared" si="55"/>
        <v>-195.861608278658</v>
      </c>
    </row>
    <row r="1761" spans="1:17" x14ac:dyDescent="0.4">
      <c r="A1761" t="s">
        <v>3442</v>
      </c>
      <c r="B1761" s="1">
        <v>45724.583333333336</v>
      </c>
      <c r="C1761" t="s">
        <v>22</v>
      </c>
      <c r="D1761" t="s">
        <v>3443</v>
      </c>
      <c r="E1761" t="s">
        <v>41</v>
      </c>
      <c r="F1761" t="s">
        <v>31</v>
      </c>
      <c r="G1761">
        <v>207</v>
      </c>
      <c r="H1761">
        <v>0.1</v>
      </c>
      <c r="I1761">
        <v>186.3</v>
      </c>
      <c r="J1761">
        <v>2</v>
      </c>
      <c r="K1761">
        <v>135.235425622794</v>
      </c>
      <c r="L1761">
        <v>372.6</v>
      </c>
      <c r="M1761">
        <v>270.47085124558799</v>
      </c>
      <c r="N1761">
        <v>102.12914875441101</v>
      </c>
      <c r="O1761" t="s">
        <v>26</v>
      </c>
      <c r="P1761">
        <f t="shared" si="54"/>
        <v>414</v>
      </c>
      <c r="Q1761">
        <f t="shared" si="55"/>
        <v>-102.12914875441203</v>
      </c>
    </row>
    <row r="1762" spans="1:17" x14ac:dyDescent="0.4">
      <c r="A1762" t="s">
        <v>3444</v>
      </c>
      <c r="B1762" s="1">
        <v>45476.875</v>
      </c>
      <c r="C1762" t="s">
        <v>22</v>
      </c>
      <c r="D1762" t="s">
        <v>3445</v>
      </c>
      <c r="E1762" t="s">
        <v>24</v>
      </c>
      <c r="F1762" t="s">
        <v>25</v>
      </c>
      <c r="G1762">
        <v>162</v>
      </c>
      <c r="H1762">
        <v>0.05</v>
      </c>
      <c r="I1762">
        <v>153.9</v>
      </c>
      <c r="J1762">
        <v>5</v>
      </c>
      <c r="K1762">
        <v>96.113581563930097</v>
      </c>
      <c r="L1762">
        <v>769.5</v>
      </c>
      <c r="M1762">
        <v>480.56790781964997</v>
      </c>
      <c r="N1762">
        <v>288.932092180349</v>
      </c>
      <c r="O1762" t="s">
        <v>32</v>
      </c>
      <c r="P1762">
        <f t="shared" si="54"/>
        <v>810</v>
      </c>
      <c r="Q1762">
        <f t="shared" si="55"/>
        <v>-288.93209218035003</v>
      </c>
    </row>
    <row r="1763" spans="1:17" x14ac:dyDescent="0.4">
      <c r="A1763" t="s">
        <v>3446</v>
      </c>
      <c r="B1763" s="1">
        <v>45518.458333333336</v>
      </c>
      <c r="C1763" t="s">
        <v>28</v>
      </c>
      <c r="D1763" t="s">
        <v>3447</v>
      </c>
      <c r="E1763" t="s">
        <v>48</v>
      </c>
      <c r="F1763" t="s">
        <v>19</v>
      </c>
      <c r="G1763">
        <v>221</v>
      </c>
      <c r="H1763">
        <v>0</v>
      </c>
      <c r="I1763">
        <v>221</v>
      </c>
      <c r="J1763">
        <v>7</v>
      </c>
      <c r="K1763">
        <v>128.17392494581799</v>
      </c>
      <c r="L1763">
        <v>1547</v>
      </c>
      <c r="M1763">
        <v>897.21747462072597</v>
      </c>
      <c r="N1763">
        <v>649.78252537927301</v>
      </c>
      <c r="O1763" t="s">
        <v>20</v>
      </c>
      <c r="P1763">
        <f t="shared" si="54"/>
        <v>1547</v>
      </c>
      <c r="Q1763">
        <f t="shared" si="55"/>
        <v>-649.78252537927403</v>
      </c>
    </row>
    <row r="1764" spans="1:17" x14ac:dyDescent="0.4">
      <c r="A1764" t="s">
        <v>3448</v>
      </c>
      <c r="B1764" s="1">
        <v>45463.125</v>
      </c>
      <c r="C1764" t="s">
        <v>43</v>
      </c>
      <c r="D1764" t="s">
        <v>3449</v>
      </c>
      <c r="E1764" t="s">
        <v>69</v>
      </c>
      <c r="F1764" t="s">
        <v>70</v>
      </c>
      <c r="G1764">
        <v>96</v>
      </c>
      <c r="H1764">
        <v>0.1</v>
      </c>
      <c r="I1764">
        <v>86.4</v>
      </c>
      <c r="J1764">
        <v>4</v>
      </c>
      <c r="K1764">
        <v>70.647670707851901</v>
      </c>
      <c r="L1764">
        <v>345.6</v>
      </c>
      <c r="M1764">
        <v>282.59068283140698</v>
      </c>
      <c r="N1764">
        <v>63.009317168591998</v>
      </c>
      <c r="O1764" t="s">
        <v>26</v>
      </c>
      <c r="P1764">
        <f t="shared" si="54"/>
        <v>384</v>
      </c>
      <c r="Q1764">
        <f t="shared" si="55"/>
        <v>-63.009317168593043</v>
      </c>
    </row>
    <row r="1765" spans="1:17" x14ac:dyDescent="0.4">
      <c r="A1765" t="s">
        <v>3450</v>
      </c>
      <c r="B1765" s="1">
        <v>45315.333333333336</v>
      </c>
      <c r="C1765" t="s">
        <v>65</v>
      </c>
      <c r="D1765" t="s">
        <v>3451</v>
      </c>
      <c r="E1765" t="s">
        <v>115</v>
      </c>
      <c r="F1765" t="s">
        <v>38</v>
      </c>
      <c r="G1765">
        <v>81</v>
      </c>
      <c r="H1765">
        <v>0.2</v>
      </c>
      <c r="I1765">
        <v>64.8</v>
      </c>
      <c r="J1765">
        <v>6</v>
      </c>
      <c r="K1765">
        <v>57.625747234794197</v>
      </c>
      <c r="L1765">
        <v>388.79999999999899</v>
      </c>
      <c r="M1765">
        <v>345.754483408765</v>
      </c>
      <c r="N1765">
        <v>43.045516591234403</v>
      </c>
      <c r="O1765" t="s">
        <v>26</v>
      </c>
      <c r="P1765">
        <f t="shared" si="54"/>
        <v>486</v>
      </c>
      <c r="Q1765">
        <f t="shared" si="55"/>
        <v>-43.045516591233991</v>
      </c>
    </row>
    <row r="1766" spans="1:17" x14ac:dyDescent="0.4">
      <c r="A1766" t="s">
        <v>3452</v>
      </c>
      <c r="B1766" s="1">
        <v>45805.708333333336</v>
      </c>
      <c r="C1766" t="s">
        <v>28</v>
      </c>
      <c r="D1766" t="s">
        <v>3453</v>
      </c>
      <c r="E1766" t="s">
        <v>115</v>
      </c>
      <c r="F1766" t="s">
        <v>38</v>
      </c>
      <c r="G1766">
        <v>344</v>
      </c>
      <c r="H1766">
        <v>0.05</v>
      </c>
      <c r="I1766">
        <v>326.8</v>
      </c>
      <c r="J1766">
        <v>7</v>
      </c>
      <c r="K1766">
        <v>186.05265936799401</v>
      </c>
      <c r="L1766">
        <v>2287.6</v>
      </c>
      <c r="M1766">
        <v>1302.3686155759499</v>
      </c>
      <c r="N1766">
        <v>985.23138442404104</v>
      </c>
      <c r="O1766" t="s">
        <v>26</v>
      </c>
      <c r="P1766">
        <f t="shared" si="54"/>
        <v>2408</v>
      </c>
      <c r="Q1766">
        <f t="shared" si="55"/>
        <v>-985.23138442405002</v>
      </c>
    </row>
    <row r="1767" spans="1:17" x14ac:dyDescent="0.4">
      <c r="A1767" t="s">
        <v>3454</v>
      </c>
      <c r="B1767" s="1">
        <v>45368.083333333336</v>
      </c>
      <c r="C1767" t="s">
        <v>65</v>
      </c>
      <c r="D1767" t="s">
        <v>3455</v>
      </c>
      <c r="E1767" t="s">
        <v>94</v>
      </c>
      <c r="F1767" t="s">
        <v>61</v>
      </c>
      <c r="G1767">
        <v>280</v>
      </c>
      <c r="H1767">
        <v>0</v>
      </c>
      <c r="I1767">
        <v>280</v>
      </c>
      <c r="J1767">
        <v>7</v>
      </c>
      <c r="K1767">
        <v>201.14716721769301</v>
      </c>
      <c r="L1767">
        <v>1960</v>
      </c>
      <c r="M1767">
        <v>1408.0301705238501</v>
      </c>
      <c r="N1767">
        <v>551.96982947614595</v>
      </c>
      <c r="O1767" t="s">
        <v>51</v>
      </c>
      <c r="P1767">
        <f t="shared" si="54"/>
        <v>1960</v>
      </c>
      <c r="Q1767">
        <f t="shared" si="55"/>
        <v>-551.96982947614993</v>
      </c>
    </row>
    <row r="1768" spans="1:17" x14ac:dyDescent="0.4">
      <c r="A1768" t="s">
        <v>3456</v>
      </c>
      <c r="B1768" s="1">
        <v>45767.875</v>
      </c>
      <c r="C1768" t="s">
        <v>22</v>
      </c>
      <c r="D1768" t="s">
        <v>853</v>
      </c>
      <c r="E1768" t="s">
        <v>110</v>
      </c>
      <c r="F1768" t="s">
        <v>19</v>
      </c>
      <c r="G1768">
        <v>225</v>
      </c>
      <c r="H1768">
        <v>0</v>
      </c>
      <c r="I1768">
        <v>225</v>
      </c>
      <c r="J1768">
        <v>1</v>
      </c>
      <c r="K1768">
        <v>112.860926789717</v>
      </c>
      <c r="L1768">
        <v>225</v>
      </c>
      <c r="M1768">
        <v>112.860926789717</v>
      </c>
      <c r="N1768">
        <v>112.13907321028201</v>
      </c>
      <c r="O1768" t="s">
        <v>32</v>
      </c>
      <c r="P1768">
        <f t="shared" si="54"/>
        <v>225</v>
      </c>
      <c r="Q1768">
        <f t="shared" si="55"/>
        <v>-112.139073210283</v>
      </c>
    </row>
    <row r="1769" spans="1:17" x14ac:dyDescent="0.4">
      <c r="A1769" t="s">
        <v>3457</v>
      </c>
      <c r="B1769" s="1">
        <v>45803.041666666664</v>
      </c>
      <c r="C1769" t="s">
        <v>22</v>
      </c>
      <c r="D1769" t="s">
        <v>3458</v>
      </c>
      <c r="E1769" t="s">
        <v>85</v>
      </c>
      <c r="F1769" t="s">
        <v>70</v>
      </c>
      <c r="G1769">
        <v>349</v>
      </c>
      <c r="H1769">
        <v>0</v>
      </c>
      <c r="I1769">
        <v>349</v>
      </c>
      <c r="J1769">
        <v>7</v>
      </c>
      <c r="K1769">
        <v>168.815445491828</v>
      </c>
      <c r="L1769">
        <v>2443</v>
      </c>
      <c r="M1769">
        <v>1181.70811844279</v>
      </c>
      <c r="N1769">
        <v>1261.2918815572</v>
      </c>
      <c r="O1769" t="s">
        <v>51</v>
      </c>
      <c r="P1769">
        <f t="shared" si="54"/>
        <v>2443</v>
      </c>
      <c r="Q1769">
        <f t="shared" si="55"/>
        <v>-1261.29188155721</v>
      </c>
    </row>
    <row r="1770" spans="1:17" x14ac:dyDescent="0.4">
      <c r="A1770" t="s">
        <v>3459</v>
      </c>
      <c r="B1770" s="1">
        <v>45609.875</v>
      </c>
      <c r="C1770" t="s">
        <v>22</v>
      </c>
      <c r="D1770" t="s">
        <v>3460</v>
      </c>
      <c r="E1770" t="s">
        <v>85</v>
      </c>
      <c r="F1770" t="s">
        <v>70</v>
      </c>
      <c r="G1770">
        <v>235</v>
      </c>
      <c r="H1770">
        <v>0.1</v>
      </c>
      <c r="I1770">
        <v>211.5</v>
      </c>
      <c r="J1770">
        <v>1</v>
      </c>
      <c r="K1770">
        <v>94.108559223961095</v>
      </c>
      <c r="L1770">
        <v>211.5</v>
      </c>
      <c r="M1770">
        <v>94.108559223961095</v>
      </c>
      <c r="N1770">
        <v>117.391440776038</v>
      </c>
      <c r="O1770" t="s">
        <v>32</v>
      </c>
      <c r="P1770">
        <f t="shared" si="54"/>
        <v>235</v>
      </c>
      <c r="Q1770">
        <f t="shared" si="55"/>
        <v>-117.39144077603891</v>
      </c>
    </row>
    <row r="1771" spans="1:17" x14ac:dyDescent="0.4">
      <c r="A1771" t="s">
        <v>3461</v>
      </c>
      <c r="B1771" s="1">
        <v>45638.875</v>
      </c>
      <c r="C1771" t="s">
        <v>46</v>
      </c>
      <c r="D1771" t="s">
        <v>3462</v>
      </c>
      <c r="E1771" t="s">
        <v>41</v>
      </c>
      <c r="F1771" t="s">
        <v>31</v>
      </c>
      <c r="G1771">
        <v>229</v>
      </c>
      <c r="H1771">
        <v>0.15</v>
      </c>
      <c r="I1771">
        <v>194.65</v>
      </c>
      <c r="J1771">
        <v>5</v>
      </c>
      <c r="K1771">
        <v>166.259395855132</v>
      </c>
      <c r="L1771">
        <v>973.25</v>
      </c>
      <c r="M1771">
        <v>831.29697927566099</v>
      </c>
      <c r="N1771">
        <v>141.95302072433901</v>
      </c>
      <c r="O1771" t="s">
        <v>26</v>
      </c>
      <c r="P1771">
        <f t="shared" si="54"/>
        <v>1145</v>
      </c>
      <c r="Q1771">
        <f t="shared" si="55"/>
        <v>-141.95302072433901</v>
      </c>
    </row>
    <row r="1772" spans="1:17" x14ac:dyDescent="0.4">
      <c r="A1772" t="s">
        <v>3463</v>
      </c>
      <c r="B1772" s="1">
        <v>45612.541666666664</v>
      </c>
      <c r="C1772" t="s">
        <v>43</v>
      </c>
      <c r="D1772" t="s">
        <v>1663</v>
      </c>
      <c r="E1772" t="s">
        <v>110</v>
      </c>
      <c r="F1772" t="s">
        <v>19</v>
      </c>
      <c r="G1772">
        <v>154</v>
      </c>
      <c r="H1772">
        <v>0</v>
      </c>
      <c r="I1772">
        <v>154</v>
      </c>
      <c r="J1772">
        <v>3</v>
      </c>
      <c r="K1772">
        <v>71.0237097436287</v>
      </c>
      <c r="L1772">
        <v>462</v>
      </c>
      <c r="M1772">
        <v>213.07112923088599</v>
      </c>
      <c r="N1772">
        <v>248.92887076911299</v>
      </c>
      <c r="O1772" t="s">
        <v>26</v>
      </c>
      <c r="P1772">
        <f t="shared" si="54"/>
        <v>462</v>
      </c>
      <c r="Q1772">
        <f t="shared" si="55"/>
        <v>-248.92887076911401</v>
      </c>
    </row>
    <row r="1773" spans="1:17" x14ac:dyDescent="0.4">
      <c r="A1773" t="s">
        <v>3464</v>
      </c>
      <c r="B1773" s="1">
        <v>45636.333333333336</v>
      </c>
      <c r="C1773" t="s">
        <v>22</v>
      </c>
      <c r="D1773" t="s">
        <v>3465</v>
      </c>
      <c r="E1773" t="s">
        <v>213</v>
      </c>
      <c r="F1773" t="s">
        <v>31</v>
      </c>
      <c r="G1773">
        <v>212</v>
      </c>
      <c r="H1773">
        <v>0.2</v>
      </c>
      <c r="I1773">
        <v>169.6</v>
      </c>
      <c r="J1773">
        <v>6</v>
      </c>
      <c r="K1773">
        <v>150.97094499204999</v>
      </c>
      <c r="L1773">
        <v>1017.6</v>
      </c>
      <c r="M1773">
        <v>905.82566995230104</v>
      </c>
      <c r="N1773">
        <v>111.774330047698</v>
      </c>
      <c r="O1773" t="s">
        <v>26</v>
      </c>
      <c r="P1773">
        <f t="shared" si="54"/>
        <v>1272</v>
      </c>
      <c r="Q1773">
        <f t="shared" si="55"/>
        <v>-111.77433004769898</v>
      </c>
    </row>
    <row r="1774" spans="1:17" x14ac:dyDescent="0.4">
      <c r="A1774" t="s">
        <v>3466</v>
      </c>
      <c r="B1774" s="1">
        <v>45820.583333333336</v>
      </c>
      <c r="C1774" t="s">
        <v>22</v>
      </c>
      <c r="D1774" t="s">
        <v>3467</v>
      </c>
      <c r="E1774" t="s">
        <v>115</v>
      </c>
      <c r="F1774" t="s">
        <v>38</v>
      </c>
      <c r="G1774">
        <v>129</v>
      </c>
      <c r="H1774">
        <v>0.05</v>
      </c>
      <c r="I1774">
        <v>122.55</v>
      </c>
      <c r="J1774">
        <v>6</v>
      </c>
      <c r="K1774">
        <v>74.273478540491595</v>
      </c>
      <c r="L1774">
        <v>735.3</v>
      </c>
      <c r="M1774">
        <v>445.640871242949</v>
      </c>
      <c r="N1774">
        <v>289.65912875704998</v>
      </c>
      <c r="O1774" t="s">
        <v>32</v>
      </c>
      <c r="P1774">
        <f t="shared" si="54"/>
        <v>774</v>
      </c>
      <c r="Q1774">
        <f t="shared" si="55"/>
        <v>-289.65912875705095</v>
      </c>
    </row>
    <row r="1775" spans="1:17" x14ac:dyDescent="0.4">
      <c r="A1775" t="s">
        <v>3468</v>
      </c>
      <c r="B1775" s="1">
        <v>45863.5</v>
      </c>
      <c r="C1775" t="s">
        <v>22</v>
      </c>
      <c r="D1775" t="s">
        <v>3469</v>
      </c>
      <c r="E1775" t="s">
        <v>48</v>
      </c>
      <c r="F1775" t="s">
        <v>19</v>
      </c>
      <c r="G1775">
        <v>288</v>
      </c>
      <c r="H1775">
        <v>0.05</v>
      </c>
      <c r="I1775">
        <v>273.599999999999</v>
      </c>
      <c r="J1775">
        <v>6</v>
      </c>
      <c r="K1775">
        <v>147.262115678355</v>
      </c>
      <c r="L1775">
        <v>1641.6</v>
      </c>
      <c r="M1775">
        <v>883.57269407013302</v>
      </c>
      <c r="N1775">
        <v>758.02730592986597</v>
      </c>
      <c r="O1775" t="s">
        <v>32</v>
      </c>
      <c r="P1775">
        <f t="shared" si="54"/>
        <v>1728</v>
      </c>
      <c r="Q1775">
        <f t="shared" si="55"/>
        <v>-758.02730592986688</v>
      </c>
    </row>
    <row r="1776" spans="1:17" x14ac:dyDescent="0.4">
      <c r="A1776" t="s">
        <v>3470</v>
      </c>
      <c r="B1776" s="1">
        <v>45572.041666666664</v>
      </c>
      <c r="C1776" t="s">
        <v>65</v>
      </c>
      <c r="D1776" t="s">
        <v>3471</v>
      </c>
      <c r="E1776" t="s">
        <v>37</v>
      </c>
      <c r="F1776" t="s">
        <v>38</v>
      </c>
      <c r="G1776">
        <v>150</v>
      </c>
      <c r="H1776">
        <v>0.05</v>
      </c>
      <c r="I1776">
        <v>142.5</v>
      </c>
      <c r="J1776">
        <v>7</v>
      </c>
      <c r="K1776">
        <v>82.045146254169495</v>
      </c>
      <c r="L1776">
        <v>997.5</v>
      </c>
      <c r="M1776">
        <v>574.31602377918603</v>
      </c>
      <c r="N1776">
        <v>423.18397622081301</v>
      </c>
      <c r="O1776" t="s">
        <v>32</v>
      </c>
      <c r="P1776">
        <f t="shared" si="54"/>
        <v>1050</v>
      </c>
      <c r="Q1776">
        <f t="shared" si="55"/>
        <v>-423.18397622081397</v>
      </c>
    </row>
    <row r="1777" spans="1:17" x14ac:dyDescent="0.4">
      <c r="A1777" t="s">
        <v>3472</v>
      </c>
      <c r="B1777" s="1">
        <v>45599.208333333336</v>
      </c>
      <c r="C1777" t="s">
        <v>28</v>
      </c>
      <c r="D1777" t="s">
        <v>3473</v>
      </c>
      <c r="E1777" t="s">
        <v>48</v>
      </c>
      <c r="F1777" t="s">
        <v>19</v>
      </c>
      <c r="G1777">
        <v>290</v>
      </c>
      <c r="H1777">
        <v>0.2</v>
      </c>
      <c r="I1777">
        <v>232</v>
      </c>
      <c r="J1777">
        <v>4</v>
      </c>
      <c r="K1777">
        <v>210.498761325705</v>
      </c>
      <c r="L1777">
        <v>928</v>
      </c>
      <c r="M1777">
        <v>841.99504530282297</v>
      </c>
      <c r="N1777">
        <v>86.004954697176402</v>
      </c>
      <c r="O1777" t="s">
        <v>32</v>
      </c>
      <c r="P1777">
        <f t="shared" si="54"/>
        <v>1160</v>
      </c>
      <c r="Q1777">
        <f t="shared" si="55"/>
        <v>-86.004954697177027</v>
      </c>
    </row>
    <row r="1778" spans="1:17" x14ac:dyDescent="0.4">
      <c r="A1778" t="s">
        <v>3474</v>
      </c>
      <c r="B1778" s="1">
        <v>45538.125</v>
      </c>
      <c r="C1778" t="s">
        <v>46</v>
      </c>
      <c r="D1778" t="s">
        <v>3475</v>
      </c>
      <c r="E1778" t="s">
        <v>146</v>
      </c>
      <c r="F1778" t="s">
        <v>70</v>
      </c>
      <c r="G1778">
        <v>232</v>
      </c>
      <c r="H1778">
        <v>0.05</v>
      </c>
      <c r="I1778">
        <v>220.39999999999901</v>
      </c>
      <c r="J1778">
        <v>4</v>
      </c>
      <c r="K1778">
        <v>130.69071083995499</v>
      </c>
      <c r="L1778">
        <v>881.599999999999</v>
      </c>
      <c r="M1778">
        <v>522.76284335981995</v>
      </c>
      <c r="N1778">
        <v>358.83715664017899</v>
      </c>
      <c r="O1778" t="s">
        <v>32</v>
      </c>
      <c r="P1778">
        <f t="shared" si="54"/>
        <v>928</v>
      </c>
      <c r="Q1778">
        <f t="shared" si="55"/>
        <v>-358.83715664017905</v>
      </c>
    </row>
    <row r="1779" spans="1:17" x14ac:dyDescent="0.4">
      <c r="A1779" t="s">
        <v>3476</v>
      </c>
      <c r="B1779" s="1">
        <v>45963.958333333336</v>
      </c>
      <c r="C1779" t="s">
        <v>16</v>
      </c>
      <c r="D1779" t="s">
        <v>3477</v>
      </c>
      <c r="E1779" t="s">
        <v>110</v>
      </c>
      <c r="F1779" t="s">
        <v>19</v>
      </c>
      <c r="G1779">
        <v>259</v>
      </c>
      <c r="H1779">
        <v>0</v>
      </c>
      <c r="I1779">
        <v>259</v>
      </c>
      <c r="J1779">
        <v>1</v>
      </c>
      <c r="K1779">
        <v>154.778402722734</v>
      </c>
      <c r="L1779">
        <v>259</v>
      </c>
      <c r="M1779">
        <v>154.778402722734</v>
      </c>
      <c r="N1779">
        <v>104.221597277265</v>
      </c>
      <c r="O1779" t="s">
        <v>32</v>
      </c>
      <c r="P1779">
        <f t="shared" si="54"/>
        <v>259</v>
      </c>
      <c r="Q1779">
        <f t="shared" si="55"/>
        <v>-104.221597277266</v>
      </c>
    </row>
    <row r="1780" spans="1:17" x14ac:dyDescent="0.4">
      <c r="A1780" t="s">
        <v>3478</v>
      </c>
      <c r="B1780" s="1">
        <v>45527.666666666664</v>
      </c>
      <c r="C1780" t="s">
        <v>22</v>
      </c>
      <c r="D1780" t="s">
        <v>3479</v>
      </c>
      <c r="E1780" t="s">
        <v>85</v>
      </c>
      <c r="F1780" t="s">
        <v>70</v>
      </c>
      <c r="G1780">
        <v>172</v>
      </c>
      <c r="H1780">
        <v>0</v>
      </c>
      <c r="I1780">
        <v>172</v>
      </c>
      <c r="J1780">
        <v>4</v>
      </c>
      <c r="K1780">
        <v>77.060477342925907</v>
      </c>
      <c r="L1780">
        <v>688</v>
      </c>
      <c r="M1780">
        <v>308.241909371703</v>
      </c>
      <c r="N1780">
        <v>379.75809062829597</v>
      </c>
      <c r="O1780" t="s">
        <v>32</v>
      </c>
      <c r="P1780">
        <f t="shared" si="54"/>
        <v>688</v>
      </c>
      <c r="Q1780">
        <f t="shared" si="55"/>
        <v>-379.758090628297</v>
      </c>
    </row>
    <row r="1781" spans="1:17" x14ac:dyDescent="0.4">
      <c r="A1781" t="s">
        <v>3480</v>
      </c>
      <c r="B1781" s="1">
        <v>45666.333333333336</v>
      </c>
      <c r="C1781" t="s">
        <v>22</v>
      </c>
      <c r="D1781" t="s">
        <v>3481</v>
      </c>
      <c r="E1781" t="s">
        <v>18</v>
      </c>
      <c r="F1781" t="s">
        <v>19</v>
      </c>
      <c r="G1781">
        <v>113</v>
      </c>
      <c r="H1781">
        <v>0.1</v>
      </c>
      <c r="I1781">
        <v>101.7</v>
      </c>
      <c r="J1781">
        <v>4</v>
      </c>
      <c r="K1781">
        <v>56.168567849259802</v>
      </c>
      <c r="L1781">
        <v>406.8</v>
      </c>
      <c r="M1781">
        <v>224.67427139703901</v>
      </c>
      <c r="N1781">
        <v>182.12572860296001</v>
      </c>
      <c r="O1781" t="s">
        <v>32</v>
      </c>
      <c r="P1781">
        <f t="shared" si="54"/>
        <v>452</v>
      </c>
      <c r="Q1781">
        <f t="shared" si="55"/>
        <v>-182.125728602961</v>
      </c>
    </row>
    <row r="1782" spans="1:17" x14ac:dyDescent="0.4">
      <c r="A1782" t="s">
        <v>3482</v>
      </c>
      <c r="B1782" s="1">
        <v>45637.25</v>
      </c>
      <c r="C1782" t="s">
        <v>65</v>
      </c>
      <c r="D1782" t="s">
        <v>3483</v>
      </c>
      <c r="E1782" t="s">
        <v>110</v>
      </c>
      <c r="F1782" t="s">
        <v>19</v>
      </c>
      <c r="G1782">
        <v>193</v>
      </c>
      <c r="H1782">
        <v>0.15</v>
      </c>
      <c r="I1782">
        <v>164.04999999999899</v>
      </c>
      <c r="J1782">
        <v>2</v>
      </c>
      <c r="K1782">
        <v>130.013304913735</v>
      </c>
      <c r="L1782">
        <v>328.099999999999</v>
      </c>
      <c r="M1782">
        <v>260.02660982747</v>
      </c>
      <c r="N1782">
        <v>68.073390172529301</v>
      </c>
      <c r="O1782" t="s">
        <v>26</v>
      </c>
      <c r="P1782">
        <f t="shared" si="54"/>
        <v>386</v>
      </c>
      <c r="Q1782">
        <f t="shared" si="55"/>
        <v>-68.073390172529002</v>
      </c>
    </row>
    <row r="1783" spans="1:17" x14ac:dyDescent="0.4">
      <c r="A1783" t="s">
        <v>3484</v>
      </c>
      <c r="B1783" s="1">
        <v>45537.875</v>
      </c>
      <c r="C1783" t="s">
        <v>22</v>
      </c>
      <c r="D1783" t="s">
        <v>3485</v>
      </c>
      <c r="E1783" t="s">
        <v>30</v>
      </c>
      <c r="F1783" t="s">
        <v>31</v>
      </c>
      <c r="G1783">
        <v>264</v>
      </c>
      <c r="H1783">
        <v>0.1</v>
      </c>
      <c r="I1783">
        <v>237.6</v>
      </c>
      <c r="J1783">
        <v>6</v>
      </c>
      <c r="K1783">
        <v>189.43355547821699</v>
      </c>
      <c r="L1783">
        <v>1425.6</v>
      </c>
      <c r="M1783">
        <v>1136.6013328693</v>
      </c>
      <c r="N1783">
        <v>288.99866713069298</v>
      </c>
      <c r="O1783" t="s">
        <v>26</v>
      </c>
      <c r="P1783">
        <f t="shared" si="54"/>
        <v>1584</v>
      </c>
      <c r="Q1783">
        <f t="shared" si="55"/>
        <v>-288.99866713069991</v>
      </c>
    </row>
    <row r="1784" spans="1:17" x14ac:dyDescent="0.4">
      <c r="A1784" t="s">
        <v>3486</v>
      </c>
      <c r="B1784" s="1">
        <v>45496.875</v>
      </c>
      <c r="C1784" t="s">
        <v>43</v>
      </c>
      <c r="D1784" t="s">
        <v>3487</v>
      </c>
      <c r="E1784" t="s">
        <v>30</v>
      </c>
      <c r="F1784" t="s">
        <v>31</v>
      </c>
      <c r="G1784">
        <v>281</v>
      </c>
      <c r="H1784">
        <v>0.1</v>
      </c>
      <c r="I1784">
        <v>252.9</v>
      </c>
      <c r="J1784">
        <v>6</v>
      </c>
      <c r="K1784">
        <v>136.97334843431801</v>
      </c>
      <c r="L1784">
        <v>1517.4</v>
      </c>
      <c r="M1784">
        <v>821.84009060590802</v>
      </c>
      <c r="N1784">
        <v>695.55990939409105</v>
      </c>
      <c r="O1784" t="s">
        <v>26</v>
      </c>
      <c r="P1784">
        <f t="shared" si="54"/>
        <v>1686</v>
      </c>
      <c r="Q1784">
        <f t="shared" si="55"/>
        <v>-695.55990939409207</v>
      </c>
    </row>
    <row r="1785" spans="1:17" x14ac:dyDescent="0.4">
      <c r="A1785" t="s">
        <v>3488</v>
      </c>
      <c r="B1785" s="1">
        <v>45643.208333333336</v>
      </c>
      <c r="C1785" t="s">
        <v>22</v>
      </c>
      <c r="D1785" t="s">
        <v>3489</v>
      </c>
      <c r="E1785" t="s">
        <v>85</v>
      </c>
      <c r="F1785" t="s">
        <v>70</v>
      </c>
      <c r="G1785">
        <v>274</v>
      </c>
      <c r="H1785">
        <v>0</v>
      </c>
      <c r="I1785">
        <v>274</v>
      </c>
      <c r="J1785">
        <v>6</v>
      </c>
      <c r="K1785">
        <v>189.529974551116</v>
      </c>
      <c r="L1785">
        <v>1644</v>
      </c>
      <c r="M1785">
        <v>1137.1798473066999</v>
      </c>
      <c r="N1785">
        <v>506.82015269329997</v>
      </c>
      <c r="O1785" t="s">
        <v>32</v>
      </c>
      <c r="P1785">
        <f t="shared" si="54"/>
        <v>1644</v>
      </c>
      <c r="Q1785">
        <f t="shared" si="55"/>
        <v>-506.82015269330009</v>
      </c>
    </row>
    <row r="1786" spans="1:17" x14ac:dyDescent="0.4">
      <c r="A1786" t="s">
        <v>3490</v>
      </c>
      <c r="B1786" s="1">
        <v>45905.166666666664</v>
      </c>
      <c r="C1786" t="s">
        <v>16</v>
      </c>
      <c r="D1786" t="s">
        <v>2418</v>
      </c>
      <c r="E1786" t="s">
        <v>213</v>
      </c>
      <c r="F1786" t="s">
        <v>31</v>
      </c>
      <c r="G1786">
        <v>143</v>
      </c>
      <c r="H1786">
        <v>0</v>
      </c>
      <c r="I1786">
        <v>143</v>
      </c>
      <c r="J1786">
        <v>7</v>
      </c>
      <c r="K1786">
        <v>93.4778102448916</v>
      </c>
      <c r="L1786">
        <v>1001</v>
      </c>
      <c r="M1786">
        <v>654.34467171424103</v>
      </c>
      <c r="N1786">
        <v>346.655328285758</v>
      </c>
      <c r="O1786" t="s">
        <v>51</v>
      </c>
      <c r="P1786">
        <f t="shared" si="54"/>
        <v>1001</v>
      </c>
      <c r="Q1786">
        <f t="shared" si="55"/>
        <v>-346.65532828575897</v>
      </c>
    </row>
    <row r="1787" spans="1:17" x14ac:dyDescent="0.4">
      <c r="A1787" t="s">
        <v>3491</v>
      </c>
      <c r="B1787" s="1">
        <v>45950.125</v>
      </c>
      <c r="C1787" t="s">
        <v>28</v>
      </c>
      <c r="D1787" t="s">
        <v>3492</v>
      </c>
      <c r="E1787" t="s">
        <v>60</v>
      </c>
      <c r="F1787" t="s">
        <v>61</v>
      </c>
      <c r="G1787">
        <v>148</v>
      </c>
      <c r="H1787">
        <v>0.1</v>
      </c>
      <c r="I1787">
        <v>133.19999999999999</v>
      </c>
      <c r="J1787">
        <v>5</v>
      </c>
      <c r="K1787">
        <v>80.877821589976605</v>
      </c>
      <c r="L1787">
        <v>666</v>
      </c>
      <c r="M1787">
        <v>404.389107949883</v>
      </c>
      <c r="N1787">
        <v>261.610892050117</v>
      </c>
      <c r="O1787" t="s">
        <v>32</v>
      </c>
      <c r="P1787">
        <f t="shared" si="54"/>
        <v>740</v>
      </c>
      <c r="Q1787">
        <f t="shared" si="55"/>
        <v>-261.610892050117</v>
      </c>
    </row>
    <row r="1788" spans="1:17" x14ac:dyDescent="0.4">
      <c r="A1788" t="s">
        <v>3493</v>
      </c>
      <c r="B1788" s="1">
        <v>45756.083333333336</v>
      </c>
      <c r="C1788" t="s">
        <v>43</v>
      </c>
      <c r="D1788" t="s">
        <v>3494</v>
      </c>
      <c r="E1788" t="s">
        <v>94</v>
      </c>
      <c r="F1788" t="s">
        <v>61</v>
      </c>
      <c r="G1788">
        <v>164</v>
      </c>
      <c r="H1788">
        <v>0.25</v>
      </c>
      <c r="I1788">
        <v>123</v>
      </c>
      <c r="J1788">
        <v>7</v>
      </c>
      <c r="K1788">
        <v>116.631017555415</v>
      </c>
      <c r="L1788">
        <v>861</v>
      </c>
      <c r="M1788">
        <v>816.417122887907</v>
      </c>
      <c r="N1788">
        <v>44.582877112093001</v>
      </c>
      <c r="O1788" t="s">
        <v>26</v>
      </c>
      <c r="P1788">
        <f t="shared" si="54"/>
        <v>1148</v>
      </c>
      <c r="Q1788">
        <f t="shared" si="55"/>
        <v>-44.582877112093001</v>
      </c>
    </row>
    <row r="1789" spans="1:17" x14ac:dyDescent="0.4">
      <c r="A1789" t="s">
        <v>3495</v>
      </c>
      <c r="B1789" s="1">
        <v>45397.416666666664</v>
      </c>
      <c r="C1789" t="s">
        <v>22</v>
      </c>
      <c r="D1789" t="s">
        <v>3496</v>
      </c>
      <c r="E1789" t="s">
        <v>69</v>
      </c>
      <c r="F1789" t="s">
        <v>70</v>
      </c>
      <c r="G1789">
        <v>248</v>
      </c>
      <c r="H1789">
        <v>0</v>
      </c>
      <c r="I1789">
        <v>248</v>
      </c>
      <c r="J1789">
        <v>6</v>
      </c>
      <c r="K1789">
        <v>136.667372993155</v>
      </c>
      <c r="L1789">
        <v>1488</v>
      </c>
      <c r="M1789">
        <v>820.00423795893403</v>
      </c>
      <c r="N1789">
        <v>667.99576204106495</v>
      </c>
      <c r="O1789" t="s">
        <v>32</v>
      </c>
      <c r="P1789">
        <f t="shared" si="54"/>
        <v>1488</v>
      </c>
      <c r="Q1789">
        <f t="shared" si="55"/>
        <v>-667.99576204106597</v>
      </c>
    </row>
    <row r="1790" spans="1:17" x14ac:dyDescent="0.4">
      <c r="A1790" t="s">
        <v>3497</v>
      </c>
      <c r="B1790" s="1">
        <v>46018.333333333336</v>
      </c>
      <c r="C1790" t="s">
        <v>28</v>
      </c>
      <c r="D1790" t="s">
        <v>3498</v>
      </c>
      <c r="E1790" t="s">
        <v>97</v>
      </c>
      <c r="F1790" t="s">
        <v>61</v>
      </c>
      <c r="G1790">
        <v>310</v>
      </c>
      <c r="H1790">
        <v>0.1</v>
      </c>
      <c r="I1790">
        <v>279</v>
      </c>
      <c r="J1790">
        <v>5</v>
      </c>
      <c r="K1790">
        <v>203.08714246503101</v>
      </c>
      <c r="L1790">
        <v>1395</v>
      </c>
      <c r="M1790">
        <v>1015.43571232515</v>
      </c>
      <c r="N1790">
        <v>379.56428767484198</v>
      </c>
      <c r="O1790" t="s">
        <v>51</v>
      </c>
      <c r="P1790">
        <f t="shared" si="54"/>
        <v>1550</v>
      </c>
      <c r="Q1790">
        <f t="shared" si="55"/>
        <v>-379.56428767484999</v>
      </c>
    </row>
    <row r="1791" spans="1:17" x14ac:dyDescent="0.4">
      <c r="A1791" t="s">
        <v>3499</v>
      </c>
      <c r="B1791" s="1">
        <v>45532.5</v>
      </c>
      <c r="C1791" t="s">
        <v>28</v>
      </c>
      <c r="D1791" t="s">
        <v>3500</v>
      </c>
      <c r="E1791" t="s">
        <v>97</v>
      </c>
      <c r="F1791" t="s">
        <v>61</v>
      </c>
      <c r="G1791">
        <v>232</v>
      </c>
      <c r="H1791">
        <v>0.15</v>
      </c>
      <c r="I1791">
        <v>197.2</v>
      </c>
      <c r="J1791">
        <v>7</v>
      </c>
      <c r="K1791">
        <v>129.767465006864</v>
      </c>
      <c r="L1791">
        <v>1380.3999999999901</v>
      </c>
      <c r="M1791">
        <v>908.37225504805303</v>
      </c>
      <c r="N1791">
        <v>472.02774495194598</v>
      </c>
      <c r="O1791" t="s">
        <v>26</v>
      </c>
      <c r="P1791">
        <f t="shared" si="54"/>
        <v>1624</v>
      </c>
      <c r="Q1791">
        <f t="shared" si="55"/>
        <v>-472.02774495193705</v>
      </c>
    </row>
    <row r="1792" spans="1:17" x14ac:dyDescent="0.4">
      <c r="A1792" t="s">
        <v>3501</v>
      </c>
      <c r="B1792" s="1">
        <v>45936.833333333336</v>
      </c>
      <c r="C1792" t="s">
        <v>65</v>
      </c>
      <c r="D1792" t="s">
        <v>3502</v>
      </c>
      <c r="E1792" t="s">
        <v>30</v>
      </c>
      <c r="F1792" t="s">
        <v>31</v>
      </c>
      <c r="G1792">
        <v>155</v>
      </c>
      <c r="H1792">
        <v>0</v>
      </c>
      <c r="I1792">
        <v>155</v>
      </c>
      <c r="J1792">
        <v>3</v>
      </c>
      <c r="K1792">
        <v>103.71951070395799</v>
      </c>
      <c r="L1792">
        <v>465</v>
      </c>
      <c r="M1792">
        <v>311.15853211187499</v>
      </c>
      <c r="N1792">
        <v>153.84146788812399</v>
      </c>
      <c r="O1792" t="s">
        <v>51</v>
      </c>
      <c r="P1792">
        <f t="shared" si="54"/>
        <v>465</v>
      </c>
      <c r="Q1792">
        <f t="shared" si="55"/>
        <v>-153.84146788812501</v>
      </c>
    </row>
    <row r="1793" spans="1:17" x14ac:dyDescent="0.4">
      <c r="A1793" t="s">
        <v>3503</v>
      </c>
      <c r="B1793" s="1">
        <v>45948.291666666664</v>
      </c>
      <c r="C1793" t="s">
        <v>28</v>
      </c>
      <c r="D1793" t="s">
        <v>1038</v>
      </c>
      <c r="E1793" t="s">
        <v>69</v>
      </c>
      <c r="F1793" t="s">
        <v>70</v>
      </c>
      <c r="G1793">
        <v>176</v>
      </c>
      <c r="H1793">
        <v>0.05</v>
      </c>
      <c r="I1793">
        <v>167.2</v>
      </c>
      <c r="J1793">
        <v>6</v>
      </c>
      <c r="K1793">
        <v>131.82586467932401</v>
      </c>
      <c r="L1793">
        <v>1003.19999999999</v>
      </c>
      <c r="M1793">
        <v>790.95518807594794</v>
      </c>
      <c r="N1793">
        <v>212.24481192405099</v>
      </c>
      <c r="O1793" t="s">
        <v>32</v>
      </c>
      <c r="P1793">
        <f t="shared" si="54"/>
        <v>1056</v>
      </c>
      <c r="Q1793">
        <f t="shared" si="55"/>
        <v>-212.2448119240421</v>
      </c>
    </row>
    <row r="1794" spans="1:17" x14ac:dyDescent="0.4">
      <c r="A1794" t="s">
        <v>3504</v>
      </c>
      <c r="B1794" s="1">
        <v>45415.5</v>
      </c>
      <c r="C1794" t="s">
        <v>28</v>
      </c>
      <c r="D1794" t="s">
        <v>3505</v>
      </c>
      <c r="E1794" t="s">
        <v>104</v>
      </c>
      <c r="F1794" t="s">
        <v>25</v>
      </c>
      <c r="G1794">
        <v>95</v>
      </c>
      <c r="H1794">
        <v>0.1</v>
      </c>
      <c r="I1794">
        <v>85.5</v>
      </c>
      <c r="J1794">
        <v>4</v>
      </c>
      <c r="K1794">
        <v>52.689733307216599</v>
      </c>
      <c r="L1794">
        <v>342</v>
      </c>
      <c r="M1794">
        <v>210.758933228866</v>
      </c>
      <c r="N1794">
        <v>131.24106677113301</v>
      </c>
      <c r="O1794" t="s">
        <v>32</v>
      </c>
      <c r="P1794">
        <f t="shared" si="54"/>
        <v>380</v>
      </c>
      <c r="Q1794">
        <f t="shared" si="55"/>
        <v>-131.241066771134</v>
      </c>
    </row>
    <row r="1795" spans="1:17" x14ac:dyDescent="0.4">
      <c r="A1795" t="s">
        <v>3506</v>
      </c>
      <c r="B1795" s="1">
        <v>45589.375</v>
      </c>
      <c r="C1795" t="s">
        <v>16</v>
      </c>
      <c r="D1795" t="s">
        <v>3507</v>
      </c>
      <c r="E1795" t="s">
        <v>82</v>
      </c>
      <c r="F1795" t="s">
        <v>25</v>
      </c>
      <c r="G1795">
        <v>112</v>
      </c>
      <c r="H1795">
        <v>0.15</v>
      </c>
      <c r="I1795">
        <v>95.2</v>
      </c>
      <c r="J1795">
        <v>4</v>
      </c>
      <c r="K1795">
        <v>83.387747454649201</v>
      </c>
      <c r="L1795">
        <v>380.8</v>
      </c>
      <c r="M1795">
        <v>333.55098981859697</v>
      </c>
      <c r="N1795">
        <v>47.249010181402902</v>
      </c>
      <c r="O1795" t="s">
        <v>51</v>
      </c>
      <c r="P1795">
        <f t="shared" ref="P1795:P1858" si="56">G1795 * J1795</f>
        <v>448</v>
      </c>
      <c r="Q1795">
        <f t="shared" ref="Q1795:Q1858" si="57" xml:space="preserve"> M1795 - L1795</f>
        <v>-47.249010181403037</v>
      </c>
    </row>
    <row r="1796" spans="1:17" x14ac:dyDescent="0.4">
      <c r="A1796" t="s">
        <v>3508</v>
      </c>
      <c r="B1796" s="1">
        <v>46014.791666666664</v>
      </c>
      <c r="C1796" t="s">
        <v>22</v>
      </c>
      <c r="D1796" t="s">
        <v>3509</v>
      </c>
      <c r="E1796" t="s">
        <v>110</v>
      </c>
      <c r="F1796" t="s">
        <v>19</v>
      </c>
      <c r="G1796">
        <v>154</v>
      </c>
      <c r="H1796">
        <v>0.15</v>
      </c>
      <c r="I1796">
        <v>130.9</v>
      </c>
      <c r="J1796">
        <v>1</v>
      </c>
      <c r="K1796">
        <v>98.704582395560294</v>
      </c>
      <c r="L1796">
        <v>130.9</v>
      </c>
      <c r="M1796">
        <v>98.704582395560294</v>
      </c>
      <c r="N1796">
        <v>32.195417604439598</v>
      </c>
      <c r="O1796" t="s">
        <v>32</v>
      </c>
      <c r="P1796">
        <f t="shared" si="56"/>
        <v>154</v>
      </c>
      <c r="Q1796">
        <f t="shared" si="57"/>
        <v>-32.195417604439712</v>
      </c>
    </row>
    <row r="1797" spans="1:17" x14ac:dyDescent="0.4">
      <c r="A1797" t="s">
        <v>3510</v>
      </c>
      <c r="B1797" s="1">
        <v>45997</v>
      </c>
      <c r="C1797" t="s">
        <v>28</v>
      </c>
      <c r="D1797" t="s">
        <v>3511</v>
      </c>
      <c r="E1797" t="s">
        <v>85</v>
      </c>
      <c r="F1797" t="s">
        <v>70</v>
      </c>
      <c r="G1797">
        <v>341</v>
      </c>
      <c r="H1797">
        <v>0.1</v>
      </c>
      <c r="I1797">
        <v>306.89999999999998</v>
      </c>
      <c r="J1797">
        <v>1</v>
      </c>
      <c r="K1797">
        <v>172.706809239412</v>
      </c>
      <c r="L1797">
        <v>306.89999999999998</v>
      </c>
      <c r="M1797">
        <v>172.706809239412</v>
      </c>
      <c r="N1797">
        <v>134.19319076058699</v>
      </c>
      <c r="O1797" t="s">
        <v>32</v>
      </c>
      <c r="P1797">
        <f t="shared" si="56"/>
        <v>341</v>
      </c>
      <c r="Q1797">
        <f t="shared" si="57"/>
        <v>-134.19319076058798</v>
      </c>
    </row>
    <row r="1798" spans="1:17" x14ac:dyDescent="0.4">
      <c r="A1798" t="s">
        <v>3512</v>
      </c>
      <c r="B1798" s="1">
        <v>45870.791666666664</v>
      </c>
      <c r="C1798" t="s">
        <v>46</v>
      </c>
      <c r="D1798" t="s">
        <v>1082</v>
      </c>
      <c r="E1798" t="s">
        <v>97</v>
      </c>
      <c r="F1798" t="s">
        <v>61</v>
      </c>
      <c r="G1798">
        <v>148</v>
      </c>
      <c r="H1798">
        <v>0</v>
      </c>
      <c r="I1798">
        <v>148</v>
      </c>
      <c r="J1798">
        <v>3</v>
      </c>
      <c r="K1798">
        <v>96.897746157620603</v>
      </c>
      <c r="L1798">
        <v>444</v>
      </c>
      <c r="M1798">
        <v>290.69323847286199</v>
      </c>
      <c r="N1798">
        <v>153.30676152713701</v>
      </c>
      <c r="O1798" t="s">
        <v>51</v>
      </c>
      <c r="P1798">
        <f t="shared" si="56"/>
        <v>444</v>
      </c>
      <c r="Q1798">
        <f t="shared" si="57"/>
        <v>-153.30676152713801</v>
      </c>
    </row>
    <row r="1799" spans="1:17" x14ac:dyDescent="0.4">
      <c r="A1799" t="s">
        <v>3513</v>
      </c>
      <c r="B1799" s="1">
        <v>45597.833333333336</v>
      </c>
      <c r="C1799" t="s">
        <v>43</v>
      </c>
      <c r="D1799" t="s">
        <v>3514</v>
      </c>
      <c r="E1799" t="s">
        <v>82</v>
      </c>
      <c r="F1799" t="s">
        <v>25</v>
      </c>
      <c r="G1799">
        <v>240</v>
      </c>
      <c r="H1799">
        <v>0.25</v>
      </c>
      <c r="I1799">
        <v>180</v>
      </c>
      <c r="J1799">
        <v>3</v>
      </c>
      <c r="K1799">
        <v>140.91140360692299</v>
      </c>
      <c r="L1799">
        <v>540</v>
      </c>
      <c r="M1799">
        <v>422.73421082076902</v>
      </c>
      <c r="N1799">
        <v>117.26578917923</v>
      </c>
      <c r="O1799" t="s">
        <v>32</v>
      </c>
      <c r="P1799">
        <f t="shared" si="56"/>
        <v>720</v>
      </c>
      <c r="Q1799">
        <f t="shared" si="57"/>
        <v>-117.26578917923098</v>
      </c>
    </row>
    <row r="1800" spans="1:17" x14ac:dyDescent="0.4">
      <c r="A1800" t="s">
        <v>3515</v>
      </c>
      <c r="B1800" s="1">
        <v>45623.958333333336</v>
      </c>
      <c r="C1800" t="s">
        <v>43</v>
      </c>
      <c r="D1800" t="s">
        <v>3516</v>
      </c>
      <c r="E1800" t="s">
        <v>37</v>
      </c>
      <c r="F1800" t="s">
        <v>38</v>
      </c>
      <c r="G1800">
        <v>296</v>
      </c>
      <c r="H1800">
        <v>0</v>
      </c>
      <c r="I1800">
        <v>296</v>
      </c>
      <c r="J1800">
        <v>1</v>
      </c>
      <c r="K1800">
        <v>187.04362618914101</v>
      </c>
      <c r="L1800">
        <v>296</v>
      </c>
      <c r="M1800">
        <v>187.04362618914101</v>
      </c>
      <c r="N1800">
        <v>108.956373810858</v>
      </c>
      <c r="O1800" t="s">
        <v>32</v>
      </c>
      <c r="P1800">
        <f t="shared" si="56"/>
        <v>296</v>
      </c>
      <c r="Q1800">
        <f t="shared" si="57"/>
        <v>-108.95637381085899</v>
      </c>
    </row>
    <row r="1801" spans="1:17" x14ac:dyDescent="0.4">
      <c r="A1801" t="s">
        <v>3517</v>
      </c>
      <c r="B1801" s="1">
        <v>45809.291666666664</v>
      </c>
      <c r="C1801" t="s">
        <v>46</v>
      </c>
      <c r="D1801" t="s">
        <v>3518</v>
      </c>
      <c r="E1801" t="s">
        <v>213</v>
      </c>
      <c r="F1801" t="s">
        <v>31</v>
      </c>
      <c r="G1801">
        <v>331</v>
      </c>
      <c r="H1801">
        <v>0</v>
      </c>
      <c r="I1801">
        <v>331</v>
      </c>
      <c r="J1801">
        <v>6</v>
      </c>
      <c r="K1801">
        <v>218.45392301905301</v>
      </c>
      <c r="L1801">
        <v>1986</v>
      </c>
      <c r="M1801">
        <v>1310.72353811431</v>
      </c>
      <c r="N1801">
        <v>675.27646188567996</v>
      </c>
      <c r="O1801" t="s">
        <v>32</v>
      </c>
      <c r="P1801">
        <f t="shared" si="56"/>
        <v>1986</v>
      </c>
      <c r="Q1801">
        <f t="shared" si="57"/>
        <v>-675.27646188568997</v>
      </c>
    </row>
    <row r="1802" spans="1:17" x14ac:dyDescent="0.4">
      <c r="A1802" t="s">
        <v>3519</v>
      </c>
      <c r="B1802" s="1">
        <v>45786.625</v>
      </c>
      <c r="C1802" t="s">
        <v>43</v>
      </c>
      <c r="D1802" t="s">
        <v>3520</v>
      </c>
      <c r="E1802" t="s">
        <v>115</v>
      </c>
      <c r="F1802" t="s">
        <v>38</v>
      </c>
      <c r="G1802">
        <v>271</v>
      </c>
      <c r="H1802">
        <v>0</v>
      </c>
      <c r="I1802">
        <v>271</v>
      </c>
      <c r="J1802">
        <v>2</v>
      </c>
      <c r="K1802">
        <v>109.999443227287</v>
      </c>
      <c r="L1802">
        <v>542</v>
      </c>
      <c r="M1802">
        <v>219.998886454575</v>
      </c>
      <c r="N1802">
        <v>322.001113545424</v>
      </c>
      <c r="O1802" t="s">
        <v>26</v>
      </c>
      <c r="P1802">
        <f t="shared" si="56"/>
        <v>542</v>
      </c>
      <c r="Q1802">
        <f t="shared" si="57"/>
        <v>-322.00111354542503</v>
      </c>
    </row>
    <row r="1803" spans="1:17" x14ac:dyDescent="0.4">
      <c r="A1803" t="s">
        <v>3521</v>
      </c>
      <c r="B1803" s="1">
        <v>45788.5</v>
      </c>
      <c r="C1803" t="s">
        <v>65</v>
      </c>
      <c r="D1803" t="s">
        <v>3522</v>
      </c>
      <c r="E1803" t="s">
        <v>85</v>
      </c>
      <c r="F1803" t="s">
        <v>70</v>
      </c>
      <c r="G1803">
        <v>239</v>
      </c>
      <c r="H1803">
        <v>0</v>
      </c>
      <c r="I1803">
        <v>239</v>
      </c>
      <c r="J1803">
        <v>2</v>
      </c>
      <c r="K1803">
        <v>136.376849465595</v>
      </c>
      <c r="L1803">
        <v>478</v>
      </c>
      <c r="M1803">
        <v>272.75369893119</v>
      </c>
      <c r="N1803">
        <v>205.246301068809</v>
      </c>
      <c r="O1803" t="s">
        <v>32</v>
      </c>
      <c r="P1803">
        <f t="shared" si="56"/>
        <v>478</v>
      </c>
      <c r="Q1803">
        <f t="shared" si="57"/>
        <v>-205.24630106881</v>
      </c>
    </row>
    <row r="1804" spans="1:17" x14ac:dyDescent="0.4">
      <c r="A1804" t="s">
        <v>3523</v>
      </c>
      <c r="B1804" s="1">
        <v>45655.916666666664</v>
      </c>
      <c r="C1804" t="s">
        <v>28</v>
      </c>
      <c r="D1804" t="s">
        <v>1659</v>
      </c>
      <c r="E1804" t="s">
        <v>48</v>
      </c>
      <c r="F1804" t="s">
        <v>19</v>
      </c>
      <c r="G1804">
        <v>303</v>
      </c>
      <c r="H1804">
        <v>0.15</v>
      </c>
      <c r="I1804">
        <v>257.55</v>
      </c>
      <c r="J1804">
        <v>6</v>
      </c>
      <c r="K1804">
        <v>220.01617499057701</v>
      </c>
      <c r="L1804">
        <v>1545.3</v>
      </c>
      <c r="M1804">
        <v>1320.09704994346</v>
      </c>
      <c r="N1804">
        <v>225.20295005653799</v>
      </c>
      <c r="O1804" t="s">
        <v>32</v>
      </c>
      <c r="P1804">
        <f t="shared" si="56"/>
        <v>1818</v>
      </c>
      <c r="Q1804">
        <f t="shared" si="57"/>
        <v>-225.20295005653998</v>
      </c>
    </row>
    <row r="1805" spans="1:17" x14ac:dyDescent="0.4">
      <c r="A1805" t="s">
        <v>3524</v>
      </c>
      <c r="B1805" s="1">
        <v>45327.208333333336</v>
      </c>
      <c r="C1805" t="s">
        <v>28</v>
      </c>
      <c r="D1805" t="s">
        <v>3525</v>
      </c>
      <c r="E1805" t="s">
        <v>85</v>
      </c>
      <c r="F1805" t="s">
        <v>70</v>
      </c>
      <c r="G1805">
        <v>95</v>
      </c>
      <c r="H1805">
        <v>0</v>
      </c>
      <c r="I1805">
        <v>95</v>
      </c>
      <c r="J1805">
        <v>1</v>
      </c>
      <c r="K1805">
        <v>60.275050876863901</v>
      </c>
      <c r="L1805">
        <v>95</v>
      </c>
      <c r="M1805">
        <v>60.275050876863901</v>
      </c>
      <c r="N1805">
        <v>34.724949123136</v>
      </c>
      <c r="O1805" t="s">
        <v>32</v>
      </c>
      <c r="P1805">
        <f t="shared" si="56"/>
        <v>95</v>
      </c>
      <c r="Q1805">
        <f t="shared" si="57"/>
        <v>-34.724949123136099</v>
      </c>
    </row>
    <row r="1806" spans="1:17" x14ac:dyDescent="0.4">
      <c r="A1806" t="s">
        <v>3526</v>
      </c>
      <c r="B1806" s="1">
        <v>45395.916666666664</v>
      </c>
      <c r="C1806" t="s">
        <v>46</v>
      </c>
      <c r="D1806" t="s">
        <v>3527</v>
      </c>
      <c r="E1806" t="s">
        <v>41</v>
      </c>
      <c r="F1806" t="s">
        <v>31</v>
      </c>
      <c r="G1806">
        <v>255</v>
      </c>
      <c r="H1806">
        <v>0</v>
      </c>
      <c r="I1806">
        <v>255</v>
      </c>
      <c r="J1806">
        <v>3</v>
      </c>
      <c r="K1806">
        <v>155.137072964488</v>
      </c>
      <c r="L1806">
        <v>765</v>
      </c>
      <c r="M1806">
        <v>465.41121889346601</v>
      </c>
      <c r="N1806">
        <v>299.58878110653302</v>
      </c>
      <c r="O1806" t="s">
        <v>32</v>
      </c>
      <c r="P1806">
        <f t="shared" si="56"/>
        <v>765</v>
      </c>
      <c r="Q1806">
        <f t="shared" si="57"/>
        <v>-299.58878110653399</v>
      </c>
    </row>
    <row r="1807" spans="1:17" x14ac:dyDescent="0.4">
      <c r="A1807" t="s">
        <v>3528</v>
      </c>
      <c r="B1807" s="1">
        <v>45820.208333333336</v>
      </c>
      <c r="C1807" t="s">
        <v>16</v>
      </c>
      <c r="D1807" t="s">
        <v>3529</v>
      </c>
      <c r="E1807" t="s">
        <v>104</v>
      </c>
      <c r="F1807" t="s">
        <v>25</v>
      </c>
      <c r="G1807">
        <v>333</v>
      </c>
      <c r="H1807">
        <v>0.1</v>
      </c>
      <c r="I1807">
        <v>299.7</v>
      </c>
      <c r="J1807">
        <v>7</v>
      </c>
      <c r="K1807">
        <v>242.27634423428</v>
      </c>
      <c r="L1807">
        <v>2097.9</v>
      </c>
      <c r="M1807">
        <v>1695.93440963996</v>
      </c>
      <c r="N1807">
        <v>401.96559036003299</v>
      </c>
      <c r="O1807" t="s">
        <v>26</v>
      </c>
      <c r="P1807">
        <f t="shared" si="56"/>
        <v>2331</v>
      </c>
      <c r="Q1807">
        <f t="shared" si="57"/>
        <v>-401.9655903600401</v>
      </c>
    </row>
    <row r="1808" spans="1:17" x14ac:dyDescent="0.4">
      <c r="A1808" t="s">
        <v>3530</v>
      </c>
      <c r="B1808" s="1">
        <v>45805.75</v>
      </c>
      <c r="C1808" t="s">
        <v>22</v>
      </c>
      <c r="D1808" t="s">
        <v>3531</v>
      </c>
      <c r="E1808" t="s">
        <v>24</v>
      </c>
      <c r="F1808" t="s">
        <v>25</v>
      </c>
      <c r="G1808">
        <v>310</v>
      </c>
      <c r="H1808">
        <v>0.1</v>
      </c>
      <c r="I1808">
        <v>279</v>
      </c>
      <c r="J1808">
        <v>3</v>
      </c>
      <c r="K1808">
        <v>184.81519764746</v>
      </c>
      <c r="L1808">
        <v>837</v>
      </c>
      <c r="M1808">
        <v>554.44559294238002</v>
      </c>
      <c r="N1808">
        <v>282.55440705761902</v>
      </c>
      <c r="O1808" t="s">
        <v>51</v>
      </c>
      <c r="P1808">
        <f t="shared" si="56"/>
        <v>930</v>
      </c>
      <c r="Q1808">
        <f t="shared" si="57"/>
        <v>-282.55440705761998</v>
      </c>
    </row>
    <row r="1809" spans="1:17" x14ac:dyDescent="0.4">
      <c r="A1809" t="s">
        <v>3532</v>
      </c>
      <c r="B1809" s="1">
        <v>45507.791666666664</v>
      </c>
      <c r="C1809" t="s">
        <v>65</v>
      </c>
      <c r="D1809" t="s">
        <v>3533</v>
      </c>
      <c r="E1809" t="s">
        <v>69</v>
      </c>
      <c r="F1809" t="s">
        <v>70</v>
      </c>
      <c r="G1809">
        <v>192</v>
      </c>
      <c r="H1809">
        <v>0</v>
      </c>
      <c r="I1809">
        <v>192</v>
      </c>
      <c r="J1809">
        <v>6</v>
      </c>
      <c r="K1809">
        <v>81.469514623378203</v>
      </c>
      <c r="L1809">
        <v>1152</v>
      </c>
      <c r="M1809">
        <v>488.81708774026902</v>
      </c>
      <c r="N1809">
        <v>663.18291225972996</v>
      </c>
      <c r="O1809" t="s">
        <v>32</v>
      </c>
      <c r="P1809">
        <f t="shared" si="56"/>
        <v>1152</v>
      </c>
      <c r="Q1809">
        <f t="shared" si="57"/>
        <v>-663.18291225973098</v>
      </c>
    </row>
    <row r="1810" spans="1:17" x14ac:dyDescent="0.4">
      <c r="A1810" t="s">
        <v>3534</v>
      </c>
      <c r="B1810" s="1">
        <v>45567.416666666664</v>
      </c>
      <c r="C1810" t="s">
        <v>22</v>
      </c>
      <c r="D1810" t="s">
        <v>2901</v>
      </c>
      <c r="E1810" t="s">
        <v>85</v>
      </c>
      <c r="F1810" t="s">
        <v>70</v>
      </c>
      <c r="G1810">
        <v>139</v>
      </c>
      <c r="H1810">
        <v>0.1</v>
      </c>
      <c r="I1810">
        <v>125.1</v>
      </c>
      <c r="J1810">
        <v>5</v>
      </c>
      <c r="K1810">
        <v>99.112066382431493</v>
      </c>
      <c r="L1810">
        <v>625.5</v>
      </c>
      <c r="M1810">
        <v>495.56033191215698</v>
      </c>
      <c r="N1810">
        <v>129.93966808784199</v>
      </c>
      <c r="O1810" t="s">
        <v>26</v>
      </c>
      <c r="P1810">
        <f t="shared" si="56"/>
        <v>695</v>
      </c>
      <c r="Q1810">
        <f t="shared" si="57"/>
        <v>-129.93966808784302</v>
      </c>
    </row>
    <row r="1811" spans="1:17" x14ac:dyDescent="0.4">
      <c r="A1811" t="s">
        <v>3535</v>
      </c>
      <c r="B1811" s="1">
        <v>45559.916666666664</v>
      </c>
      <c r="C1811" t="s">
        <v>65</v>
      </c>
      <c r="D1811" t="s">
        <v>3536</v>
      </c>
      <c r="E1811" t="s">
        <v>24</v>
      </c>
      <c r="F1811" t="s">
        <v>25</v>
      </c>
      <c r="G1811">
        <v>275</v>
      </c>
      <c r="H1811">
        <v>0.1</v>
      </c>
      <c r="I1811">
        <v>247.5</v>
      </c>
      <c r="J1811">
        <v>6</v>
      </c>
      <c r="K1811">
        <v>128.41196801695199</v>
      </c>
      <c r="L1811">
        <v>1485</v>
      </c>
      <c r="M1811">
        <v>770.47180810171596</v>
      </c>
      <c r="N1811">
        <v>714.52819189828301</v>
      </c>
      <c r="O1811" t="s">
        <v>26</v>
      </c>
      <c r="P1811">
        <f t="shared" si="56"/>
        <v>1650</v>
      </c>
      <c r="Q1811">
        <f t="shared" si="57"/>
        <v>-714.52819189828404</v>
      </c>
    </row>
    <row r="1812" spans="1:17" x14ac:dyDescent="0.4">
      <c r="A1812" t="s">
        <v>3537</v>
      </c>
      <c r="B1812" s="1">
        <v>45590.083333333336</v>
      </c>
      <c r="C1812" t="s">
        <v>28</v>
      </c>
      <c r="D1812" t="s">
        <v>3538</v>
      </c>
      <c r="E1812" t="s">
        <v>115</v>
      </c>
      <c r="F1812" t="s">
        <v>38</v>
      </c>
      <c r="G1812">
        <v>182</v>
      </c>
      <c r="H1812">
        <v>0.15</v>
      </c>
      <c r="I1812">
        <v>154.69999999999999</v>
      </c>
      <c r="J1812">
        <v>7</v>
      </c>
      <c r="K1812">
        <v>104.530276896327</v>
      </c>
      <c r="L1812">
        <v>1082.8999999999901</v>
      </c>
      <c r="M1812">
        <v>731.71193827429204</v>
      </c>
      <c r="N1812">
        <v>351.18806172570697</v>
      </c>
      <c r="O1812" t="s">
        <v>105</v>
      </c>
      <c r="P1812">
        <f t="shared" si="56"/>
        <v>1274</v>
      </c>
      <c r="Q1812">
        <f t="shared" si="57"/>
        <v>-351.18806172569805</v>
      </c>
    </row>
    <row r="1813" spans="1:17" x14ac:dyDescent="0.4">
      <c r="A1813" t="s">
        <v>3539</v>
      </c>
      <c r="B1813" s="1">
        <v>45868.166666666664</v>
      </c>
      <c r="C1813" t="s">
        <v>43</v>
      </c>
      <c r="D1813" t="s">
        <v>3540</v>
      </c>
      <c r="E1813" t="s">
        <v>37</v>
      </c>
      <c r="F1813" t="s">
        <v>38</v>
      </c>
      <c r="G1813">
        <v>150</v>
      </c>
      <c r="H1813">
        <v>0</v>
      </c>
      <c r="I1813">
        <v>150</v>
      </c>
      <c r="J1813">
        <v>5</v>
      </c>
      <c r="K1813">
        <v>81.190865128256405</v>
      </c>
      <c r="L1813">
        <v>750</v>
      </c>
      <c r="M1813">
        <v>405.95432564128203</v>
      </c>
      <c r="N1813">
        <v>344.04567435871701</v>
      </c>
      <c r="O1813" t="s">
        <v>51</v>
      </c>
      <c r="P1813">
        <f t="shared" si="56"/>
        <v>750</v>
      </c>
      <c r="Q1813">
        <f t="shared" si="57"/>
        <v>-344.04567435871797</v>
      </c>
    </row>
    <row r="1814" spans="1:17" x14ac:dyDescent="0.4">
      <c r="A1814" t="s">
        <v>3541</v>
      </c>
      <c r="B1814" s="1">
        <v>45714.708333333336</v>
      </c>
      <c r="C1814" t="s">
        <v>43</v>
      </c>
      <c r="D1814" t="s">
        <v>3542</v>
      </c>
      <c r="E1814" t="s">
        <v>85</v>
      </c>
      <c r="F1814" t="s">
        <v>70</v>
      </c>
      <c r="G1814">
        <v>268</v>
      </c>
      <c r="H1814">
        <v>0</v>
      </c>
      <c r="I1814">
        <v>268</v>
      </c>
      <c r="J1814">
        <v>1</v>
      </c>
      <c r="K1814">
        <v>193.734511718395</v>
      </c>
      <c r="L1814">
        <v>268</v>
      </c>
      <c r="M1814">
        <v>193.734511718395</v>
      </c>
      <c r="N1814">
        <v>74.265488281604803</v>
      </c>
      <c r="O1814" t="s">
        <v>105</v>
      </c>
      <c r="P1814">
        <f t="shared" si="56"/>
        <v>268</v>
      </c>
      <c r="Q1814">
        <f t="shared" si="57"/>
        <v>-74.265488281605002</v>
      </c>
    </row>
    <row r="1815" spans="1:17" x14ac:dyDescent="0.4">
      <c r="A1815" t="s">
        <v>3543</v>
      </c>
      <c r="B1815" s="1">
        <v>45562.333333333336</v>
      </c>
      <c r="C1815" t="s">
        <v>46</v>
      </c>
      <c r="D1815" t="s">
        <v>1760</v>
      </c>
      <c r="E1815" t="s">
        <v>60</v>
      </c>
      <c r="F1815" t="s">
        <v>61</v>
      </c>
      <c r="G1815">
        <v>225</v>
      </c>
      <c r="H1815">
        <v>0.05</v>
      </c>
      <c r="I1815">
        <v>213.75</v>
      </c>
      <c r="J1815">
        <v>5</v>
      </c>
      <c r="K1815">
        <v>145.50176310900801</v>
      </c>
      <c r="L1815">
        <v>1068.75</v>
      </c>
      <c r="M1815">
        <v>727.50881554504201</v>
      </c>
      <c r="N1815">
        <v>341.24118445495702</v>
      </c>
      <c r="O1815" t="s">
        <v>32</v>
      </c>
      <c r="P1815">
        <f t="shared" si="56"/>
        <v>1125</v>
      </c>
      <c r="Q1815">
        <f t="shared" si="57"/>
        <v>-341.24118445495799</v>
      </c>
    </row>
    <row r="1816" spans="1:17" x14ac:dyDescent="0.4">
      <c r="A1816" t="s">
        <v>3544</v>
      </c>
      <c r="B1816" s="1">
        <v>45452.416666666664</v>
      </c>
      <c r="C1816" t="s">
        <v>22</v>
      </c>
      <c r="D1816" t="s">
        <v>3545</v>
      </c>
      <c r="E1816" t="s">
        <v>115</v>
      </c>
      <c r="F1816" t="s">
        <v>38</v>
      </c>
      <c r="G1816">
        <v>221</v>
      </c>
      <c r="H1816">
        <v>0</v>
      </c>
      <c r="I1816">
        <v>221</v>
      </c>
      <c r="J1816">
        <v>1</v>
      </c>
      <c r="K1816">
        <v>121.746086796177</v>
      </c>
      <c r="L1816">
        <v>221</v>
      </c>
      <c r="M1816">
        <v>121.746086796177</v>
      </c>
      <c r="N1816">
        <v>99.253913203822606</v>
      </c>
      <c r="O1816" t="s">
        <v>26</v>
      </c>
      <c r="P1816">
        <f t="shared" si="56"/>
        <v>221</v>
      </c>
      <c r="Q1816">
        <f t="shared" si="57"/>
        <v>-99.253913203823004</v>
      </c>
    </row>
    <row r="1817" spans="1:17" x14ac:dyDescent="0.4">
      <c r="A1817" t="s">
        <v>3546</v>
      </c>
      <c r="B1817" s="1">
        <v>46003.375</v>
      </c>
      <c r="C1817" t="s">
        <v>22</v>
      </c>
      <c r="D1817" t="s">
        <v>3547</v>
      </c>
      <c r="E1817" t="s">
        <v>85</v>
      </c>
      <c r="F1817" t="s">
        <v>70</v>
      </c>
      <c r="G1817">
        <v>156</v>
      </c>
      <c r="H1817">
        <v>0.05</v>
      </c>
      <c r="I1817">
        <v>148.19999999999999</v>
      </c>
      <c r="J1817">
        <v>5</v>
      </c>
      <c r="K1817">
        <v>78.702946093340699</v>
      </c>
      <c r="L1817">
        <v>741</v>
      </c>
      <c r="M1817">
        <v>393.51473046670299</v>
      </c>
      <c r="N1817">
        <v>347.48526953329599</v>
      </c>
      <c r="O1817" t="s">
        <v>32</v>
      </c>
      <c r="P1817">
        <f t="shared" si="56"/>
        <v>780</v>
      </c>
      <c r="Q1817">
        <f t="shared" si="57"/>
        <v>-347.48526953329701</v>
      </c>
    </row>
    <row r="1818" spans="1:17" x14ac:dyDescent="0.4">
      <c r="A1818" t="s">
        <v>3548</v>
      </c>
      <c r="B1818" s="1">
        <v>45857.166666666664</v>
      </c>
      <c r="C1818" t="s">
        <v>16</v>
      </c>
      <c r="D1818" t="s">
        <v>3549</v>
      </c>
      <c r="E1818" t="s">
        <v>213</v>
      </c>
      <c r="F1818" t="s">
        <v>31</v>
      </c>
      <c r="G1818">
        <v>129</v>
      </c>
      <c r="H1818">
        <v>0.05</v>
      </c>
      <c r="I1818">
        <v>122.55</v>
      </c>
      <c r="J1818">
        <v>3</v>
      </c>
      <c r="K1818">
        <v>59.241529024546601</v>
      </c>
      <c r="L1818">
        <v>367.65</v>
      </c>
      <c r="M1818">
        <v>177.72458707364001</v>
      </c>
      <c r="N1818">
        <v>189.925412926359</v>
      </c>
      <c r="O1818" t="s">
        <v>20</v>
      </c>
      <c r="P1818">
        <f t="shared" si="56"/>
        <v>387</v>
      </c>
      <c r="Q1818">
        <f t="shared" si="57"/>
        <v>-189.92541292635997</v>
      </c>
    </row>
    <row r="1819" spans="1:17" x14ac:dyDescent="0.4">
      <c r="A1819" t="s">
        <v>3550</v>
      </c>
      <c r="B1819" s="1">
        <v>45503.583333333336</v>
      </c>
      <c r="C1819" t="s">
        <v>16</v>
      </c>
      <c r="D1819" t="s">
        <v>3551</v>
      </c>
      <c r="E1819" t="s">
        <v>18</v>
      </c>
      <c r="F1819" t="s">
        <v>19</v>
      </c>
      <c r="G1819">
        <v>326</v>
      </c>
      <c r="H1819">
        <v>0</v>
      </c>
      <c r="I1819">
        <v>326</v>
      </c>
      <c r="J1819">
        <v>3</v>
      </c>
      <c r="K1819">
        <v>163.436827523261</v>
      </c>
      <c r="L1819">
        <v>978</v>
      </c>
      <c r="M1819">
        <v>490.31048256978499</v>
      </c>
      <c r="N1819">
        <v>487.68951743021398</v>
      </c>
      <c r="O1819" t="s">
        <v>32</v>
      </c>
      <c r="P1819">
        <f t="shared" si="56"/>
        <v>978</v>
      </c>
      <c r="Q1819">
        <f t="shared" si="57"/>
        <v>-487.68951743021501</v>
      </c>
    </row>
    <row r="1820" spans="1:17" x14ac:dyDescent="0.4">
      <c r="A1820" t="s">
        <v>3552</v>
      </c>
      <c r="B1820" s="1">
        <v>45799</v>
      </c>
      <c r="C1820" t="s">
        <v>46</v>
      </c>
      <c r="D1820" t="s">
        <v>3553</v>
      </c>
      <c r="E1820" t="s">
        <v>115</v>
      </c>
      <c r="F1820" t="s">
        <v>38</v>
      </c>
      <c r="G1820">
        <v>312</v>
      </c>
      <c r="H1820">
        <v>0</v>
      </c>
      <c r="I1820">
        <v>312</v>
      </c>
      <c r="J1820">
        <v>7</v>
      </c>
      <c r="K1820">
        <v>141.80528050202901</v>
      </c>
      <c r="L1820">
        <v>2184</v>
      </c>
      <c r="M1820">
        <v>992.63696351420504</v>
      </c>
      <c r="N1820">
        <v>1191.36303648579</v>
      </c>
      <c r="O1820" t="s">
        <v>20</v>
      </c>
      <c r="P1820">
        <f t="shared" si="56"/>
        <v>2184</v>
      </c>
      <c r="Q1820">
        <f t="shared" si="57"/>
        <v>-1191.363036485795</v>
      </c>
    </row>
    <row r="1821" spans="1:17" x14ac:dyDescent="0.4">
      <c r="A1821" t="s">
        <v>3554</v>
      </c>
      <c r="B1821" s="1">
        <v>45519</v>
      </c>
      <c r="C1821" t="s">
        <v>65</v>
      </c>
      <c r="D1821" t="s">
        <v>3555</v>
      </c>
      <c r="E1821" t="s">
        <v>115</v>
      </c>
      <c r="F1821" t="s">
        <v>38</v>
      </c>
      <c r="G1821">
        <v>203</v>
      </c>
      <c r="H1821">
        <v>0.05</v>
      </c>
      <c r="I1821">
        <v>192.85</v>
      </c>
      <c r="J1821">
        <v>6</v>
      </c>
      <c r="K1821">
        <v>139.69188427038</v>
      </c>
      <c r="L1821">
        <v>1157.0999999999999</v>
      </c>
      <c r="M1821">
        <v>838.15130562228296</v>
      </c>
      <c r="N1821">
        <v>318.94869437771598</v>
      </c>
      <c r="O1821" t="s">
        <v>51</v>
      </c>
      <c r="P1821">
        <f t="shared" si="56"/>
        <v>1218</v>
      </c>
      <c r="Q1821">
        <f t="shared" si="57"/>
        <v>-318.94869437771695</v>
      </c>
    </row>
    <row r="1822" spans="1:17" x14ac:dyDescent="0.4">
      <c r="A1822" t="s">
        <v>3556</v>
      </c>
      <c r="B1822" s="1">
        <v>45670.083333333336</v>
      </c>
      <c r="C1822" t="s">
        <v>43</v>
      </c>
      <c r="D1822" t="s">
        <v>3557</v>
      </c>
      <c r="E1822" t="s">
        <v>146</v>
      </c>
      <c r="F1822" t="s">
        <v>70</v>
      </c>
      <c r="G1822">
        <v>115</v>
      </c>
      <c r="H1822">
        <v>0.15</v>
      </c>
      <c r="I1822">
        <v>97.75</v>
      </c>
      <c r="J1822">
        <v>6</v>
      </c>
      <c r="K1822">
        <v>67.003555843144696</v>
      </c>
      <c r="L1822">
        <v>586.5</v>
      </c>
      <c r="M1822">
        <v>402.02133505886798</v>
      </c>
      <c r="N1822">
        <v>184.478664941131</v>
      </c>
      <c r="O1822" t="s">
        <v>32</v>
      </c>
      <c r="P1822">
        <f t="shared" si="56"/>
        <v>690</v>
      </c>
      <c r="Q1822">
        <f t="shared" si="57"/>
        <v>-184.47866494113202</v>
      </c>
    </row>
    <row r="1823" spans="1:17" x14ac:dyDescent="0.4">
      <c r="A1823" t="s">
        <v>3558</v>
      </c>
      <c r="B1823" s="1">
        <v>45558.916666666664</v>
      </c>
      <c r="C1823" t="s">
        <v>65</v>
      </c>
      <c r="D1823" t="s">
        <v>3559</v>
      </c>
      <c r="E1823" t="s">
        <v>30</v>
      </c>
      <c r="F1823" t="s">
        <v>31</v>
      </c>
      <c r="G1823">
        <v>152</v>
      </c>
      <c r="H1823">
        <v>0</v>
      </c>
      <c r="I1823">
        <v>152</v>
      </c>
      <c r="J1823">
        <v>3</v>
      </c>
      <c r="K1823">
        <v>67.9287298401416</v>
      </c>
      <c r="L1823">
        <v>456</v>
      </c>
      <c r="M1823">
        <v>203.78618952042501</v>
      </c>
      <c r="N1823">
        <v>252.21381047957399</v>
      </c>
      <c r="O1823" t="s">
        <v>51</v>
      </c>
      <c r="P1823">
        <f t="shared" si="56"/>
        <v>456</v>
      </c>
      <c r="Q1823">
        <f t="shared" si="57"/>
        <v>-252.21381047957499</v>
      </c>
    </row>
    <row r="1824" spans="1:17" x14ac:dyDescent="0.4">
      <c r="A1824" t="s">
        <v>3560</v>
      </c>
      <c r="B1824" s="1">
        <v>45658.666666666664</v>
      </c>
      <c r="C1824" t="s">
        <v>46</v>
      </c>
      <c r="D1824" t="s">
        <v>3561</v>
      </c>
      <c r="E1824" t="s">
        <v>213</v>
      </c>
      <c r="F1824" t="s">
        <v>31</v>
      </c>
      <c r="G1824">
        <v>320</v>
      </c>
      <c r="H1824">
        <v>0</v>
      </c>
      <c r="I1824">
        <v>320</v>
      </c>
      <c r="J1824">
        <v>5</v>
      </c>
      <c r="K1824">
        <v>218.27787778091201</v>
      </c>
      <c r="L1824">
        <v>1600</v>
      </c>
      <c r="M1824">
        <v>1091.3893889045601</v>
      </c>
      <c r="N1824">
        <v>508.61061109543698</v>
      </c>
      <c r="O1824" t="s">
        <v>32</v>
      </c>
      <c r="P1824">
        <f t="shared" si="56"/>
        <v>1600</v>
      </c>
      <c r="Q1824">
        <f t="shared" si="57"/>
        <v>-508.61061109543994</v>
      </c>
    </row>
    <row r="1825" spans="1:17" x14ac:dyDescent="0.4">
      <c r="A1825" t="s">
        <v>3562</v>
      </c>
      <c r="B1825" s="1">
        <v>45878.791666666664</v>
      </c>
      <c r="C1825" t="s">
        <v>46</v>
      </c>
      <c r="D1825" t="s">
        <v>3563</v>
      </c>
      <c r="E1825" t="s">
        <v>30</v>
      </c>
      <c r="F1825" t="s">
        <v>31</v>
      </c>
      <c r="G1825">
        <v>123</v>
      </c>
      <c r="H1825">
        <v>0</v>
      </c>
      <c r="I1825">
        <v>123</v>
      </c>
      <c r="J1825">
        <v>7</v>
      </c>
      <c r="K1825">
        <v>91.023980215886795</v>
      </c>
      <c r="L1825">
        <v>861</v>
      </c>
      <c r="M1825">
        <v>637.16786151120698</v>
      </c>
      <c r="N1825">
        <v>223.832138488792</v>
      </c>
      <c r="O1825" t="s">
        <v>105</v>
      </c>
      <c r="P1825">
        <f t="shared" si="56"/>
        <v>861</v>
      </c>
      <c r="Q1825">
        <f t="shared" si="57"/>
        <v>-223.83213848879302</v>
      </c>
    </row>
    <row r="1826" spans="1:17" x14ac:dyDescent="0.4">
      <c r="A1826" t="s">
        <v>3564</v>
      </c>
      <c r="B1826" s="1">
        <v>45360.25</v>
      </c>
      <c r="C1826" t="s">
        <v>43</v>
      </c>
      <c r="D1826" t="s">
        <v>3565</v>
      </c>
      <c r="E1826" t="s">
        <v>41</v>
      </c>
      <c r="F1826" t="s">
        <v>31</v>
      </c>
      <c r="G1826">
        <v>293</v>
      </c>
      <c r="H1826">
        <v>0</v>
      </c>
      <c r="I1826">
        <v>293</v>
      </c>
      <c r="J1826">
        <v>3</v>
      </c>
      <c r="K1826">
        <v>160.58402303464601</v>
      </c>
      <c r="L1826">
        <v>879</v>
      </c>
      <c r="M1826">
        <v>481.75206910393803</v>
      </c>
      <c r="N1826">
        <v>397.24793089606101</v>
      </c>
      <c r="O1826" t="s">
        <v>26</v>
      </c>
      <c r="P1826">
        <f t="shared" si="56"/>
        <v>879</v>
      </c>
      <c r="Q1826">
        <f t="shared" si="57"/>
        <v>-397.24793089606197</v>
      </c>
    </row>
    <row r="1827" spans="1:17" x14ac:dyDescent="0.4">
      <c r="A1827" t="s">
        <v>3566</v>
      </c>
      <c r="B1827" s="1">
        <v>45722.833333333336</v>
      </c>
      <c r="C1827" t="s">
        <v>22</v>
      </c>
      <c r="D1827" t="s">
        <v>3567</v>
      </c>
      <c r="E1827" t="s">
        <v>213</v>
      </c>
      <c r="F1827" t="s">
        <v>31</v>
      </c>
      <c r="G1827">
        <v>311</v>
      </c>
      <c r="H1827">
        <v>0</v>
      </c>
      <c r="I1827">
        <v>311</v>
      </c>
      <c r="J1827">
        <v>2</v>
      </c>
      <c r="K1827">
        <v>229.085984254295</v>
      </c>
      <c r="L1827">
        <v>622</v>
      </c>
      <c r="M1827">
        <v>458.17196850859</v>
      </c>
      <c r="N1827">
        <v>163.82803149140901</v>
      </c>
      <c r="O1827" t="s">
        <v>20</v>
      </c>
      <c r="P1827">
        <f t="shared" si="56"/>
        <v>622</v>
      </c>
      <c r="Q1827">
        <f t="shared" si="57"/>
        <v>-163.82803149141</v>
      </c>
    </row>
    <row r="1828" spans="1:17" x14ac:dyDescent="0.4">
      <c r="A1828" t="s">
        <v>3568</v>
      </c>
      <c r="B1828" s="1">
        <v>45349.583333333336</v>
      </c>
      <c r="C1828" t="s">
        <v>28</v>
      </c>
      <c r="D1828" t="s">
        <v>2692</v>
      </c>
      <c r="E1828" t="s">
        <v>97</v>
      </c>
      <c r="F1828" t="s">
        <v>61</v>
      </c>
      <c r="G1828">
        <v>252</v>
      </c>
      <c r="H1828">
        <v>0.1</v>
      </c>
      <c r="I1828">
        <v>226.8</v>
      </c>
      <c r="J1828">
        <v>6</v>
      </c>
      <c r="K1828">
        <v>142.57423263374201</v>
      </c>
      <c r="L1828">
        <v>1360.8</v>
      </c>
      <c r="M1828">
        <v>855.44539580245498</v>
      </c>
      <c r="N1828">
        <v>505.35460419754401</v>
      </c>
      <c r="O1828" t="s">
        <v>32</v>
      </c>
      <c r="P1828">
        <f t="shared" si="56"/>
        <v>1512</v>
      </c>
      <c r="Q1828">
        <f t="shared" si="57"/>
        <v>-505.35460419754497</v>
      </c>
    </row>
    <row r="1829" spans="1:17" x14ac:dyDescent="0.4">
      <c r="A1829" t="s">
        <v>3569</v>
      </c>
      <c r="B1829" s="1">
        <v>45350.458333333336</v>
      </c>
      <c r="C1829" t="s">
        <v>43</v>
      </c>
      <c r="D1829" t="s">
        <v>3570</v>
      </c>
      <c r="E1829" t="s">
        <v>30</v>
      </c>
      <c r="F1829" t="s">
        <v>31</v>
      </c>
      <c r="G1829">
        <v>319</v>
      </c>
      <c r="H1829">
        <v>0.2</v>
      </c>
      <c r="I1829">
        <v>255.2</v>
      </c>
      <c r="J1829">
        <v>7</v>
      </c>
      <c r="K1829">
        <v>144.56031059291499</v>
      </c>
      <c r="L1829">
        <v>1786.4</v>
      </c>
      <c r="M1829">
        <v>1011.9221741504</v>
      </c>
      <c r="N1829">
        <v>774.47782584959396</v>
      </c>
      <c r="O1829" t="s">
        <v>32</v>
      </c>
      <c r="P1829">
        <f t="shared" si="56"/>
        <v>2233</v>
      </c>
      <c r="Q1829">
        <f t="shared" si="57"/>
        <v>-774.47782584960009</v>
      </c>
    </row>
    <row r="1830" spans="1:17" x14ac:dyDescent="0.4">
      <c r="A1830" t="s">
        <v>3571</v>
      </c>
      <c r="B1830" s="1">
        <v>45667.458333333336</v>
      </c>
      <c r="C1830" t="s">
        <v>43</v>
      </c>
      <c r="D1830" t="s">
        <v>3572</v>
      </c>
      <c r="E1830" t="s">
        <v>48</v>
      </c>
      <c r="F1830" t="s">
        <v>19</v>
      </c>
      <c r="G1830">
        <v>260</v>
      </c>
      <c r="H1830">
        <v>0</v>
      </c>
      <c r="I1830">
        <v>260</v>
      </c>
      <c r="J1830">
        <v>2</v>
      </c>
      <c r="K1830">
        <v>175.251940511181</v>
      </c>
      <c r="L1830">
        <v>520</v>
      </c>
      <c r="M1830">
        <v>350.50388102236298</v>
      </c>
      <c r="N1830">
        <v>169.496118977636</v>
      </c>
      <c r="O1830" t="s">
        <v>51</v>
      </c>
      <c r="P1830">
        <f t="shared" si="56"/>
        <v>520</v>
      </c>
      <c r="Q1830">
        <f t="shared" si="57"/>
        <v>-169.49611897763702</v>
      </c>
    </row>
    <row r="1831" spans="1:17" x14ac:dyDescent="0.4">
      <c r="A1831" t="s">
        <v>3573</v>
      </c>
      <c r="B1831" s="1">
        <v>45429.166666666664</v>
      </c>
      <c r="C1831" t="s">
        <v>65</v>
      </c>
      <c r="D1831" t="s">
        <v>3574</v>
      </c>
      <c r="E1831" t="s">
        <v>115</v>
      </c>
      <c r="F1831" t="s">
        <v>38</v>
      </c>
      <c r="G1831">
        <v>84</v>
      </c>
      <c r="H1831">
        <v>0.2</v>
      </c>
      <c r="I1831">
        <v>67.2</v>
      </c>
      <c r="J1831">
        <v>4</v>
      </c>
      <c r="K1831">
        <v>58.244678355012098</v>
      </c>
      <c r="L1831">
        <v>268.8</v>
      </c>
      <c r="M1831">
        <v>232.978713420048</v>
      </c>
      <c r="N1831">
        <v>35.821286579951497</v>
      </c>
      <c r="O1831" t="s">
        <v>32</v>
      </c>
      <c r="P1831">
        <f t="shared" si="56"/>
        <v>336</v>
      </c>
      <c r="Q1831">
        <f t="shared" si="57"/>
        <v>-35.821286579952016</v>
      </c>
    </row>
    <row r="1832" spans="1:17" x14ac:dyDescent="0.4">
      <c r="A1832" t="s">
        <v>3575</v>
      </c>
      <c r="B1832" s="1">
        <v>45667.458333333336</v>
      </c>
      <c r="C1832" t="s">
        <v>43</v>
      </c>
      <c r="D1832" t="s">
        <v>3576</v>
      </c>
      <c r="E1832" t="s">
        <v>24</v>
      </c>
      <c r="F1832" t="s">
        <v>25</v>
      </c>
      <c r="G1832">
        <v>235</v>
      </c>
      <c r="H1832">
        <v>0.2</v>
      </c>
      <c r="I1832">
        <v>188</v>
      </c>
      <c r="J1832">
        <v>6</v>
      </c>
      <c r="K1832">
        <v>94.045581682137097</v>
      </c>
      <c r="L1832">
        <v>1128</v>
      </c>
      <c r="M1832">
        <v>564.27349009282204</v>
      </c>
      <c r="N1832">
        <v>563.72650990717705</v>
      </c>
      <c r="O1832" t="s">
        <v>32</v>
      </c>
      <c r="P1832">
        <f t="shared" si="56"/>
        <v>1410</v>
      </c>
      <c r="Q1832">
        <f t="shared" si="57"/>
        <v>-563.72650990717796</v>
      </c>
    </row>
    <row r="1833" spans="1:17" x14ac:dyDescent="0.4">
      <c r="A1833" t="s">
        <v>3577</v>
      </c>
      <c r="B1833" s="1">
        <v>45309.458333333336</v>
      </c>
      <c r="C1833" t="s">
        <v>16</v>
      </c>
      <c r="D1833" t="s">
        <v>3578</v>
      </c>
      <c r="E1833" t="s">
        <v>104</v>
      </c>
      <c r="F1833" t="s">
        <v>25</v>
      </c>
      <c r="G1833">
        <v>231</v>
      </c>
      <c r="H1833">
        <v>0.1</v>
      </c>
      <c r="I1833">
        <v>207.9</v>
      </c>
      <c r="J1833">
        <v>4</v>
      </c>
      <c r="K1833">
        <v>104.868908457822</v>
      </c>
      <c r="L1833">
        <v>831.6</v>
      </c>
      <c r="M1833">
        <v>419.47563383129102</v>
      </c>
      <c r="N1833">
        <v>412.12436616870798</v>
      </c>
      <c r="O1833" t="s">
        <v>105</v>
      </c>
      <c r="P1833">
        <f t="shared" si="56"/>
        <v>924</v>
      </c>
      <c r="Q1833">
        <f t="shared" si="57"/>
        <v>-412.124366168709</v>
      </c>
    </row>
    <row r="1834" spans="1:17" x14ac:dyDescent="0.4">
      <c r="A1834" t="s">
        <v>3579</v>
      </c>
      <c r="B1834" s="1">
        <v>45809.125</v>
      </c>
      <c r="C1834" t="s">
        <v>22</v>
      </c>
      <c r="D1834" t="s">
        <v>3580</v>
      </c>
      <c r="E1834" t="s">
        <v>69</v>
      </c>
      <c r="F1834" t="s">
        <v>70</v>
      </c>
      <c r="G1834">
        <v>186</v>
      </c>
      <c r="H1834">
        <v>0.05</v>
      </c>
      <c r="I1834">
        <v>176.7</v>
      </c>
      <c r="J1834">
        <v>1</v>
      </c>
      <c r="K1834">
        <v>109.32161883099501</v>
      </c>
      <c r="L1834">
        <v>176.7</v>
      </c>
      <c r="M1834">
        <v>109.32161883099501</v>
      </c>
      <c r="N1834">
        <v>67.378381169004001</v>
      </c>
      <c r="O1834" t="s">
        <v>26</v>
      </c>
      <c r="P1834">
        <f t="shared" si="56"/>
        <v>186</v>
      </c>
      <c r="Q1834">
        <f t="shared" si="57"/>
        <v>-67.378381169004982</v>
      </c>
    </row>
    <row r="1835" spans="1:17" x14ac:dyDescent="0.4">
      <c r="A1835" t="s">
        <v>3581</v>
      </c>
      <c r="B1835" s="1">
        <v>45480.208333333336</v>
      </c>
      <c r="C1835" t="s">
        <v>43</v>
      </c>
      <c r="D1835" t="s">
        <v>3582</v>
      </c>
      <c r="E1835" t="s">
        <v>48</v>
      </c>
      <c r="F1835" t="s">
        <v>19</v>
      </c>
      <c r="G1835">
        <v>336</v>
      </c>
      <c r="H1835">
        <v>0.15</v>
      </c>
      <c r="I1835">
        <v>285.599999999999</v>
      </c>
      <c r="J1835">
        <v>6</v>
      </c>
      <c r="K1835">
        <v>216.44185516512101</v>
      </c>
      <c r="L1835">
        <v>1713.6</v>
      </c>
      <c r="M1835">
        <v>1298.65113099072</v>
      </c>
      <c r="N1835">
        <v>414.94886900927202</v>
      </c>
      <c r="O1835" t="s">
        <v>32</v>
      </c>
      <c r="P1835">
        <f t="shared" si="56"/>
        <v>2016</v>
      </c>
      <c r="Q1835">
        <f t="shared" si="57"/>
        <v>-414.94886900927986</v>
      </c>
    </row>
    <row r="1836" spans="1:17" x14ac:dyDescent="0.4">
      <c r="A1836" t="s">
        <v>3583</v>
      </c>
      <c r="B1836" s="1">
        <v>45934.583333333336</v>
      </c>
      <c r="C1836" t="s">
        <v>43</v>
      </c>
      <c r="D1836" t="s">
        <v>3584</v>
      </c>
      <c r="E1836" t="s">
        <v>30</v>
      </c>
      <c r="F1836" t="s">
        <v>31</v>
      </c>
      <c r="G1836">
        <v>259</v>
      </c>
      <c r="H1836">
        <v>0</v>
      </c>
      <c r="I1836">
        <v>259</v>
      </c>
      <c r="J1836">
        <v>5</v>
      </c>
      <c r="K1836">
        <v>135.23595329148301</v>
      </c>
      <c r="L1836">
        <v>1295</v>
      </c>
      <c r="M1836">
        <v>676.17976645741601</v>
      </c>
      <c r="N1836">
        <v>618.82023354258297</v>
      </c>
      <c r="O1836" t="s">
        <v>32</v>
      </c>
      <c r="P1836">
        <f t="shared" si="56"/>
        <v>1295</v>
      </c>
      <c r="Q1836">
        <f t="shared" si="57"/>
        <v>-618.82023354258399</v>
      </c>
    </row>
    <row r="1837" spans="1:17" x14ac:dyDescent="0.4">
      <c r="A1837" t="s">
        <v>3585</v>
      </c>
      <c r="B1837" s="1">
        <v>45696.166666666664</v>
      </c>
      <c r="C1837" t="s">
        <v>22</v>
      </c>
      <c r="D1837" t="s">
        <v>3586</v>
      </c>
      <c r="E1837" t="s">
        <v>30</v>
      </c>
      <c r="F1837" t="s">
        <v>31</v>
      </c>
      <c r="G1837">
        <v>319</v>
      </c>
      <c r="H1837">
        <v>0</v>
      </c>
      <c r="I1837">
        <v>319</v>
      </c>
      <c r="J1837">
        <v>2</v>
      </c>
      <c r="K1837">
        <v>135.15575036786299</v>
      </c>
      <c r="L1837">
        <v>638</v>
      </c>
      <c r="M1837">
        <v>270.31150073572701</v>
      </c>
      <c r="N1837">
        <v>367.68849926427202</v>
      </c>
      <c r="O1837" t="s">
        <v>26</v>
      </c>
      <c r="P1837">
        <f t="shared" si="56"/>
        <v>638</v>
      </c>
      <c r="Q1837">
        <f t="shared" si="57"/>
        <v>-367.68849926427299</v>
      </c>
    </row>
    <row r="1838" spans="1:17" x14ac:dyDescent="0.4">
      <c r="A1838" t="s">
        <v>3587</v>
      </c>
      <c r="B1838" s="1">
        <v>45529.208333333336</v>
      </c>
      <c r="C1838" t="s">
        <v>65</v>
      </c>
      <c r="D1838" t="s">
        <v>3588</v>
      </c>
      <c r="E1838" t="s">
        <v>48</v>
      </c>
      <c r="F1838" t="s">
        <v>19</v>
      </c>
      <c r="G1838">
        <v>168</v>
      </c>
      <c r="H1838">
        <v>0</v>
      </c>
      <c r="I1838">
        <v>168</v>
      </c>
      <c r="J1838">
        <v>3</v>
      </c>
      <c r="K1838">
        <v>101.66329951081001</v>
      </c>
      <c r="L1838">
        <v>504</v>
      </c>
      <c r="M1838">
        <v>304.98989853243103</v>
      </c>
      <c r="N1838">
        <v>199.01010146756801</v>
      </c>
      <c r="O1838" t="s">
        <v>32</v>
      </c>
      <c r="P1838">
        <f t="shared" si="56"/>
        <v>504</v>
      </c>
      <c r="Q1838">
        <f t="shared" si="57"/>
        <v>-199.01010146756897</v>
      </c>
    </row>
    <row r="1839" spans="1:17" x14ac:dyDescent="0.4">
      <c r="A1839" t="s">
        <v>3589</v>
      </c>
      <c r="B1839" s="1">
        <v>45323.958333333336</v>
      </c>
      <c r="C1839" t="s">
        <v>28</v>
      </c>
      <c r="D1839" t="s">
        <v>3590</v>
      </c>
      <c r="E1839" t="s">
        <v>213</v>
      </c>
      <c r="F1839" t="s">
        <v>31</v>
      </c>
      <c r="G1839">
        <v>290</v>
      </c>
      <c r="H1839">
        <v>0</v>
      </c>
      <c r="I1839">
        <v>290</v>
      </c>
      <c r="J1839">
        <v>6</v>
      </c>
      <c r="K1839">
        <v>118.031491357052</v>
      </c>
      <c r="L1839">
        <v>1740</v>
      </c>
      <c r="M1839">
        <v>708.18894814231601</v>
      </c>
      <c r="N1839">
        <v>1031.81105185768</v>
      </c>
      <c r="O1839" t="s">
        <v>105</v>
      </c>
      <c r="P1839">
        <f t="shared" si="56"/>
        <v>1740</v>
      </c>
      <c r="Q1839">
        <f t="shared" si="57"/>
        <v>-1031.8110518576841</v>
      </c>
    </row>
    <row r="1840" spans="1:17" x14ac:dyDescent="0.4">
      <c r="A1840" t="s">
        <v>3591</v>
      </c>
      <c r="B1840" s="1">
        <v>45909.416666666664</v>
      </c>
      <c r="C1840" t="s">
        <v>28</v>
      </c>
      <c r="D1840" t="s">
        <v>3592</v>
      </c>
      <c r="E1840" t="s">
        <v>146</v>
      </c>
      <c r="F1840" t="s">
        <v>70</v>
      </c>
      <c r="G1840">
        <v>112</v>
      </c>
      <c r="H1840">
        <v>0</v>
      </c>
      <c r="I1840">
        <v>112</v>
      </c>
      <c r="J1840">
        <v>6</v>
      </c>
      <c r="K1840">
        <v>65.3868909654215</v>
      </c>
      <c r="L1840">
        <v>672</v>
      </c>
      <c r="M1840">
        <v>392.32134579252897</v>
      </c>
      <c r="N1840">
        <v>279.67865420747</v>
      </c>
      <c r="O1840" t="s">
        <v>32</v>
      </c>
      <c r="P1840">
        <f t="shared" si="56"/>
        <v>672</v>
      </c>
      <c r="Q1840">
        <f t="shared" si="57"/>
        <v>-279.67865420747103</v>
      </c>
    </row>
    <row r="1841" spans="1:17" x14ac:dyDescent="0.4">
      <c r="A1841" t="s">
        <v>3593</v>
      </c>
      <c r="B1841" s="1">
        <v>45356.541666666664</v>
      </c>
      <c r="C1841" t="s">
        <v>16</v>
      </c>
      <c r="D1841" t="s">
        <v>3594</v>
      </c>
      <c r="E1841" t="s">
        <v>115</v>
      </c>
      <c r="F1841" t="s">
        <v>38</v>
      </c>
      <c r="G1841">
        <v>262</v>
      </c>
      <c r="H1841">
        <v>0.15</v>
      </c>
      <c r="I1841">
        <v>222.7</v>
      </c>
      <c r="J1841">
        <v>6</v>
      </c>
      <c r="K1841">
        <v>107.66758533942399</v>
      </c>
      <c r="L1841">
        <v>1336.19999999999</v>
      </c>
      <c r="M1841">
        <v>646.00551203654595</v>
      </c>
      <c r="N1841">
        <v>690.19448796345296</v>
      </c>
      <c r="O1841" t="s">
        <v>20</v>
      </c>
      <c r="P1841">
        <f t="shared" si="56"/>
        <v>1572</v>
      </c>
      <c r="Q1841">
        <f t="shared" si="57"/>
        <v>-690.19448796344409</v>
      </c>
    </row>
    <row r="1842" spans="1:17" x14ac:dyDescent="0.4">
      <c r="A1842" t="s">
        <v>3595</v>
      </c>
      <c r="B1842" s="1">
        <v>45706.833333333336</v>
      </c>
      <c r="C1842" t="s">
        <v>46</v>
      </c>
      <c r="D1842" t="s">
        <v>3596</v>
      </c>
      <c r="E1842" t="s">
        <v>69</v>
      </c>
      <c r="F1842" t="s">
        <v>70</v>
      </c>
      <c r="G1842">
        <v>182</v>
      </c>
      <c r="H1842">
        <v>0</v>
      </c>
      <c r="I1842">
        <v>182</v>
      </c>
      <c r="J1842">
        <v>2</v>
      </c>
      <c r="K1842">
        <v>87.303638071715397</v>
      </c>
      <c r="L1842">
        <v>364</v>
      </c>
      <c r="M1842">
        <v>174.60727614343</v>
      </c>
      <c r="N1842">
        <v>189.39272385656901</v>
      </c>
      <c r="O1842" t="s">
        <v>32</v>
      </c>
      <c r="P1842">
        <f t="shared" si="56"/>
        <v>364</v>
      </c>
      <c r="Q1842">
        <f t="shared" si="57"/>
        <v>-189.39272385657</v>
      </c>
    </row>
    <row r="1843" spans="1:17" x14ac:dyDescent="0.4">
      <c r="A1843" t="s">
        <v>3597</v>
      </c>
      <c r="B1843" s="1">
        <v>45547.833333333336</v>
      </c>
      <c r="C1843" t="s">
        <v>65</v>
      </c>
      <c r="D1843" t="s">
        <v>3598</v>
      </c>
      <c r="E1843" t="s">
        <v>82</v>
      </c>
      <c r="F1843" t="s">
        <v>25</v>
      </c>
      <c r="G1843">
        <v>185</v>
      </c>
      <c r="H1843">
        <v>0</v>
      </c>
      <c r="I1843">
        <v>185</v>
      </c>
      <c r="J1843">
        <v>6</v>
      </c>
      <c r="K1843">
        <v>123.546065643021</v>
      </c>
      <c r="L1843">
        <v>1110</v>
      </c>
      <c r="M1843">
        <v>741.27639385812995</v>
      </c>
      <c r="N1843">
        <v>368.72360614186903</v>
      </c>
      <c r="O1843" t="s">
        <v>51</v>
      </c>
      <c r="P1843">
        <f t="shared" si="56"/>
        <v>1110</v>
      </c>
      <c r="Q1843">
        <f t="shared" si="57"/>
        <v>-368.72360614187005</v>
      </c>
    </row>
    <row r="1844" spans="1:17" x14ac:dyDescent="0.4">
      <c r="A1844" t="s">
        <v>3599</v>
      </c>
      <c r="B1844" s="1">
        <v>45743.541666666664</v>
      </c>
      <c r="C1844" t="s">
        <v>28</v>
      </c>
      <c r="D1844" t="s">
        <v>3600</v>
      </c>
      <c r="E1844" t="s">
        <v>37</v>
      </c>
      <c r="F1844" t="s">
        <v>38</v>
      </c>
      <c r="G1844">
        <v>331</v>
      </c>
      <c r="H1844">
        <v>0.1</v>
      </c>
      <c r="I1844">
        <v>297.89999999999998</v>
      </c>
      <c r="J1844">
        <v>4</v>
      </c>
      <c r="K1844">
        <v>148.20024777136601</v>
      </c>
      <c r="L1844">
        <v>1191.5999999999999</v>
      </c>
      <c r="M1844">
        <v>592.80099108546494</v>
      </c>
      <c r="N1844">
        <v>598.79900891453406</v>
      </c>
      <c r="O1844" t="s">
        <v>51</v>
      </c>
      <c r="P1844">
        <f t="shared" si="56"/>
        <v>1324</v>
      </c>
      <c r="Q1844">
        <f t="shared" si="57"/>
        <v>-598.79900891453497</v>
      </c>
    </row>
    <row r="1845" spans="1:17" x14ac:dyDescent="0.4">
      <c r="A1845" t="s">
        <v>3601</v>
      </c>
      <c r="B1845" s="1">
        <v>45446.833333333336</v>
      </c>
      <c r="C1845" t="s">
        <v>28</v>
      </c>
      <c r="D1845" t="s">
        <v>3602</v>
      </c>
      <c r="E1845" t="s">
        <v>18</v>
      </c>
      <c r="F1845" t="s">
        <v>19</v>
      </c>
      <c r="G1845">
        <v>317</v>
      </c>
      <c r="H1845">
        <v>0.2</v>
      </c>
      <c r="I1845">
        <v>253.6</v>
      </c>
      <c r="J1845">
        <v>5</v>
      </c>
      <c r="K1845">
        <v>179.34079783206599</v>
      </c>
      <c r="L1845">
        <v>1268</v>
      </c>
      <c r="M1845">
        <v>896.70398916033002</v>
      </c>
      <c r="N1845">
        <v>371.29601083966901</v>
      </c>
      <c r="O1845" t="s">
        <v>51</v>
      </c>
      <c r="P1845">
        <f t="shared" si="56"/>
        <v>1585</v>
      </c>
      <c r="Q1845">
        <f t="shared" si="57"/>
        <v>-371.29601083966998</v>
      </c>
    </row>
    <row r="1846" spans="1:17" x14ac:dyDescent="0.4">
      <c r="A1846" t="s">
        <v>3603</v>
      </c>
      <c r="B1846" s="1">
        <v>45478.708333333336</v>
      </c>
      <c r="C1846" t="s">
        <v>16</v>
      </c>
      <c r="D1846" t="s">
        <v>3604</v>
      </c>
      <c r="E1846" t="s">
        <v>73</v>
      </c>
      <c r="F1846" t="s">
        <v>38</v>
      </c>
      <c r="G1846">
        <v>217</v>
      </c>
      <c r="H1846">
        <v>0.1</v>
      </c>
      <c r="I1846">
        <v>195.3</v>
      </c>
      <c r="J1846">
        <v>2</v>
      </c>
      <c r="K1846">
        <v>149.835303944656</v>
      </c>
      <c r="L1846">
        <v>390.6</v>
      </c>
      <c r="M1846">
        <v>299.67060788931201</v>
      </c>
      <c r="N1846">
        <v>90.929392110687104</v>
      </c>
      <c r="O1846" t="s">
        <v>51</v>
      </c>
      <c r="P1846">
        <f t="shared" si="56"/>
        <v>434</v>
      </c>
      <c r="Q1846">
        <f t="shared" si="57"/>
        <v>-90.929392110688013</v>
      </c>
    </row>
    <row r="1847" spans="1:17" x14ac:dyDescent="0.4">
      <c r="A1847" t="s">
        <v>3605</v>
      </c>
      <c r="B1847" s="1">
        <v>45564.833333333336</v>
      </c>
      <c r="C1847" t="s">
        <v>22</v>
      </c>
      <c r="D1847" t="s">
        <v>3606</v>
      </c>
      <c r="E1847" t="s">
        <v>115</v>
      </c>
      <c r="F1847" t="s">
        <v>38</v>
      </c>
      <c r="G1847">
        <v>88</v>
      </c>
      <c r="H1847">
        <v>0</v>
      </c>
      <c r="I1847">
        <v>88</v>
      </c>
      <c r="J1847">
        <v>3</v>
      </c>
      <c r="K1847">
        <v>60.737266513170603</v>
      </c>
      <c r="L1847">
        <v>264</v>
      </c>
      <c r="M1847">
        <v>182.21179953951199</v>
      </c>
      <c r="N1847">
        <v>81.788200460488</v>
      </c>
      <c r="O1847" t="s">
        <v>32</v>
      </c>
      <c r="P1847">
        <f t="shared" si="56"/>
        <v>264</v>
      </c>
      <c r="Q1847">
        <f t="shared" si="57"/>
        <v>-81.788200460488014</v>
      </c>
    </row>
    <row r="1848" spans="1:17" x14ac:dyDescent="0.4">
      <c r="A1848" t="s">
        <v>3607</v>
      </c>
      <c r="B1848" s="1">
        <v>45493.541666666664</v>
      </c>
      <c r="C1848" t="s">
        <v>46</v>
      </c>
      <c r="D1848" t="s">
        <v>3608</v>
      </c>
      <c r="E1848" t="s">
        <v>97</v>
      </c>
      <c r="F1848" t="s">
        <v>61</v>
      </c>
      <c r="G1848">
        <v>112</v>
      </c>
      <c r="H1848">
        <v>0.1</v>
      </c>
      <c r="I1848">
        <v>100.8</v>
      </c>
      <c r="J1848">
        <v>5</v>
      </c>
      <c r="K1848">
        <v>56.219070101241897</v>
      </c>
      <c r="L1848">
        <v>504</v>
      </c>
      <c r="M1848">
        <v>281.095350506209</v>
      </c>
      <c r="N1848">
        <v>222.90464949379</v>
      </c>
      <c r="O1848" t="s">
        <v>51</v>
      </c>
      <c r="P1848">
        <f t="shared" si="56"/>
        <v>560</v>
      </c>
      <c r="Q1848">
        <f t="shared" si="57"/>
        <v>-222.904649493791</v>
      </c>
    </row>
    <row r="1849" spans="1:17" x14ac:dyDescent="0.4">
      <c r="A1849" t="s">
        <v>3609</v>
      </c>
      <c r="B1849" s="1">
        <v>45615.25</v>
      </c>
      <c r="C1849" t="s">
        <v>28</v>
      </c>
      <c r="D1849" t="s">
        <v>3610</v>
      </c>
      <c r="E1849" t="s">
        <v>73</v>
      </c>
      <c r="F1849" t="s">
        <v>38</v>
      </c>
      <c r="G1849">
        <v>234</v>
      </c>
      <c r="H1849">
        <v>0.15</v>
      </c>
      <c r="I1849">
        <v>198.9</v>
      </c>
      <c r="J1849">
        <v>1</v>
      </c>
      <c r="K1849">
        <v>134.46705690315599</v>
      </c>
      <c r="L1849">
        <v>198.9</v>
      </c>
      <c r="M1849">
        <v>134.46705690315599</v>
      </c>
      <c r="N1849">
        <v>64.4329430968439</v>
      </c>
      <c r="O1849" t="s">
        <v>26</v>
      </c>
      <c r="P1849">
        <f t="shared" si="56"/>
        <v>234</v>
      </c>
      <c r="Q1849">
        <f t="shared" si="57"/>
        <v>-64.432943096844014</v>
      </c>
    </row>
    <row r="1850" spans="1:17" x14ac:dyDescent="0.4">
      <c r="A1850" t="s">
        <v>3611</v>
      </c>
      <c r="B1850" s="1">
        <v>45746.166666666664</v>
      </c>
      <c r="C1850" t="s">
        <v>65</v>
      </c>
      <c r="D1850" t="s">
        <v>330</v>
      </c>
      <c r="E1850" t="s">
        <v>18</v>
      </c>
      <c r="F1850" t="s">
        <v>19</v>
      </c>
      <c r="G1850">
        <v>222</v>
      </c>
      <c r="H1850">
        <v>0.05</v>
      </c>
      <c r="I1850">
        <v>210.89999999999901</v>
      </c>
      <c r="J1850">
        <v>6</v>
      </c>
      <c r="K1850">
        <v>112.887143961185</v>
      </c>
      <c r="L1850">
        <v>1265.3999999999901</v>
      </c>
      <c r="M1850">
        <v>677.32286376710999</v>
      </c>
      <c r="N1850">
        <v>588.07713623288896</v>
      </c>
      <c r="O1850" t="s">
        <v>51</v>
      </c>
      <c r="P1850">
        <f t="shared" si="56"/>
        <v>1332</v>
      </c>
      <c r="Q1850">
        <f t="shared" si="57"/>
        <v>-588.07713623288009</v>
      </c>
    </row>
    <row r="1851" spans="1:17" x14ac:dyDescent="0.4">
      <c r="A1851" t="s">
        <v>3612</v>
      </c>
      <c r="B1851" s="1">
        <v>45625.041666666664</v>
      </c>
      <c r="C1851" t="s">
        <v>46</v>
      </c>
      <c r="D1851" t="s">
        <v>3613</v>
      </c>
      <c r="E1851" t="s">
        <v>69</v>
      </c>
      <c r="F1851" t="s">
        <v>70</v>
      </c>
      <c r="G1851">
        <v>338</v>
      </c>
      <c r="H1851">
        <v>0</v>
      </c>
      <c r="I1851">
        <v>338</v>
      </c>
      <c r="J1851">
        <v>4</v>
      </c>
      <c r="K1851">
        <v>182.57267028925801</v>
      </c>
      <c r="L1851">
        <v>1352</v>
      </c>
      <c r="M1851">
        <v>730.29068115703205</v>
      </c>
      <c r="N1851">
        <v>621.70931884296795</v>
      </c>
      <c r="O1851" t="s">
        <v>32</v>
      </c>
      <c r="P1851">
        <f t="shared" si="56"/>
        <v>1352</v>
      </c>
      <c r="Q1851">
        <f t="shared" si="57"/>
        <v>-621.70931884296795</v>
      </c>
    </row>
    <row r="1852" spans="1:17" x14ac:dyDescent="0.4">
      <c r="A1852" t="s">
        <v>3614</v>
      </c>
      <c r="B1852" s="1">
        <v>45522.916666666664</v>
      </c>
      <c r="C1852" t="s">
        <v>43</v>
      </c>
      <c r="D1852" t="s">
        <v>3615</v>
      </c>
      <c r="E1852" t="s">
        <v>24</v>
      </c>
      <c r="F1852" t="s">
        <v>25</v>
      </c>
      <c r="G1852">
        <v>109</v>
      </c>
      <c r="H1852">
        <v>0.15</v>
      </c>
      <c r="I1852">
        <v>92.649999999999906</v>
      </c>
      <c r="J1852">
        <v>4</v>
      </c>
      <c r="K1852">
        <v>67.220559502857</v>
      </c>
      <c r="L1852">
        <v>370.599999999999</v>
      </c>
      <c r="M1852">
        <v>268.882238011428</v>
      </c>
      <c r="N1852">
        <v>101.717761988571</v>
      </c>
      <c r="O1852" t="s">
        <v>32</v>
      </c>
      <c r="P1852">
        <f t="shared" si="56"/>
        <v>436</v>
      </c>
      <c r="Q1852">
        <f t="shared" si="57"/>
        <v>-101.717761988571</v>
      </c>
    </row>
    <row r="1853" spans="1:17" x14ac:dyDescent="0.4">
      <c r="A1853" t="s">
        <v>3616</v>
      </c>
      <c r="B1853" s="1">
        <v>45909.833333333336</v>
      </c>
      <c r="C1853" t="s">
        <v>65</v>
      </c>
      <c r="D1853" t="s">
        <v>3617</v>
      </c>
      <c r="E1853" t="s">
        <v>41</v>
      </c>
      <c r="F1853" t="s">
        <v>31</v>
      </c>
      <c r="G1853">
        <v>160</v>
      </c>
      <c r="H1853">
        <v>0</v>
      </c>
      <c r="I1853">
        <v>160</v>
      </c>
      <c r="J1853">
        <v>6</v>
      </c>
      <c r="K1853">
        <v>97.348145632077205</v>
      </c>
      <c r="L1853">
        <v>960</v>
      </c>
      <c r="M1853">
        <v>584.088873792463</v>
      </c>
      <c r="N1853">
        <v>375.91112620753597</v>
      </c>
      <c r="O1853" t="s">
        <v>32</v>
      </c>
      <c r="P1853">
        <f t="shared" si="56"/>
        <v>960</v>
      </c>
      <c r="Q1853">
        <f t="shared" si="57"/>
        <v>-375.911126207537</v>
      </c>
    </row>
    <row r="1854" spans="1:17" x14ac:dyDescent="0.4">
      <c r="A1854" t="s">
        <v>3618</v>
      </c>
      <c r="B1854" s="1">
        <v>45960.833333333336</v>
      </c>
      <c r="C1854" t="s">
        <v>28</v>
      </c>
      <c r="D1854" t="s">
        <v>3619</v>
      </c>
      <c r="E1854" t="s">
        <v>110</v>
      </c>
      <c r="F1854" t="s">
        <v>19</v>
      </c>
      <c r="G1854">
        <v>258</v>
      </c>
      <c r="H1854">
        <v>0.15</v>
      </c>
      <c r="I1854">
        <v>219.29999999999899</v>
      </c>
      <c r="J1854">
        <v>1</v>
      </c>
      <c r="K1854">
        <v>145.67080697392001</v>
      </c>
      <c r="L1854">
        <v>219.29999999999899</v>
      </c>
      <c r="M1854">
        <v>145.67080697392001</v>
      </c>
      <c r="N1854">
        <v>73.629193026079506</v>
      </c>
      <c r="O1854" t="s">
        <v>26</v>
      </c>
      <c r="P1854">
        <f t="shared" si="56"/>
        <v>258</v>
      </c>
      <c r="Q1854">
        <f t="shared" si="57"/>
        <v>-73.62919302607898</v>
      </c>
    </row>
    <row r="1855" spans="1:17" x14ac:dyDescent="0.4">
      <c r="A1855" t="s">
        <v>3620</v>
      </c>
      <c r="B1855" s="1">
        <v>45391.375</v>
      </c>
      <c r="C1855" t="s">
        <v>22</v>
      </c>
      <c r="D1855" t="s">
        <v>3621</v>
      </c>
      <c r="E1855" t="s">
        <v>82</v>
      </c>
      <c r="F1855" t="s">
        <v>25</v>
      </c>
      <c r="G1855">
        <v>127</v>
      </c>
      <c r="H1855">
        <v>0</v>
      </c>
      <c r="I1855">
        <v>127</v>
      </c>
      <c r="J1855">
        <v>2</v>
      </c>
      <c r="K1855">
        <v>71.594345465244203</v>
      </c>
      <c r="L1855">
        <v>254</v>
      </c>
      <c r="M1855">
        <v>143.18869093048801</v>
      </c>
      <c r="N1855">
        <v>110.811309069511</v>
      </c>
      <c r="O1855" t="s">
        <v>32</v>
      </c>
      <c r="P1855">
        <f t="shared" si="56"/>
        <v>254</v>
      </c>
      <c r="Q1855">
        <f t="shared" si="57"/>
        <v>-110.81130906951199</v>
      </c>
    </row>
    <row r="1856" spans="1:17" x14ac:dyDescent="0.4">
      <c r="A1856" t="s">
        <v>3622</v>
      </c>
      <c r="B1856" s="1">
        <v>45888.166666666664</v>
      </c>
      <c r="C1856" t="s">
        <v>65</v>
      </c>
      <c r="D1856" t="s">
        <v>3623</v>
      </c>
      <c r="E1856" t="s">
        <v>69</v>
      </c>
      <c r="F1856" t="s">
        <v>70</v>
      </c>
      <c r="G1856">
        <v>239</v>
      </c>
      <c r="H1856">
        <v>0</v>
      </c>
      <c r="I1856">
        <v>239</v>
      </c>
      <c r="J1856">
        <v>1</v>
      </c>
      <c r="K1856">
        <v>143.52024123182699</v>
      </c>
      <c r="L1856">
        <v>239</v>
      </c>
      <c r="M1856">
        <v>143.52024123182699</v>
      </c>
      <c r="N1856">
        <v>95.479758768172701</v>
      </c>
      <c r="O1856" t="s">
        <v>51</v>
      </c>
      <c r="P1856">
        <f t="shared" si="56"/>
        <v>239</v>
      </c>
      <c r="Q1856">
        <f t="shared" si="57"/>
        <v>-95.479758768173014</v>
      </c>
    </row>
    <row r="1857" spans="1:17" x14ac:dyDescent="0.4">
      <c r="A1857" t="s">
        <v>3624</v>
      </c>
      <c r="B1857" s="1">
        <v>45319.958333333336</v>
      </c>
      <c r="C1857" t="s">
        <v>65</v>
      </c>
      <c r="D1857" t="s">
        <v>3625</v>
      </c>
      <c r="E1857" t="s">
        <v>146</v>
      </c>
      <c r="F1857" t="s">
        <v>70</v>
      </c>
      <c r="G1857">
        <v>302</v>
      </c>
      <c r="H1857">
        <v>0.15</v>
      </c>
      <c r="I1857">
        <v>256.7</v>
      </c>
      <c r="J1857">
        <v>4</v>
      </c>
      <c r="K1857">
        <v>195.09089694859199</v>
      </c>
      <c r="L1857">
        <v>1026.8</v>
      </c>
      <c r="M1857">
        <v>780.36358779437103</v>
      </c>
      <c r="N1857">
        <v>246.43641220562799</v>
      </c>
      <c r="O1857" t="s">
        <v>32</v>
      </c>
      <c r="P1857">
        <f t="shared" si="56"/>
        <v>1208</v>
      </c>
      <c r="Q1857">
        <f t="shared" si="57"/>
        <v>-246.43641220562893</v>
      </c>
    </row>
    <row r="1858" spans="1:17" x14ac:dyDescent="0.4">
      <c r="A1858" t="s">
        <v>3626</v>
      </c>
      <c r="B1858" s="1">
        <v>45298.791666666664</v>
      </c>
      <c r="C1858" t="s">
        <v>65</v>
      </c>
      <c r="D1858" t="s">
        <v>2189</v>
      </c>
      <c r="E1858" t="s">
        <v>48</v>
      </c>
      <c r="F1858" t="s">
        <v>19</v>
      </c>
      <c r="G1858">
        <v>92</v>
      </c>
      <c r="H1858">
        <v>0.15</v>
      </c>
      <c r="I1858">
        <v>78.2</v>
      </c>
      <c r="J1858">
        <v>7</v>
      </c>
      <c r="K1858">
        <v>48.591537951545803</v>
      </c>
      <c r="L1858">
        <v>547.4</v>
      </c>
      <c r="M1858">
        <v>340.14076566082002</v>
      </c>
      <c r="N1858">
        <v>207.25923433917899</v>
      </c>
      <c r="O1858" t="s">
        <v>51</v>
      </c>
      <c r="P1858">
        <f t="shared" si="56"/>
        <v>644</v>
      </c>
      <c r="Q1858">
        <f t="shared" si="57"/>
        <v>-207.25923433917995</v>
      </c>
    </row>
    <row r="1859" spans="1:17" x14ac:dyDescent="0.4">
      <c r="A1859" t="s">
        <v>3627</v>
      </c>
      <c r="B1859" s="1">
        <v>45652.666666666664</v>
      </c>
      <c r="C1859" t="s">
        <v>28</v>
      </c>
      <c r="D1859" t="s">
        <v>3628</v>
      </c>
      <c r="E1859" t="s">
        <v>97</v>
      </c>
      <c r="F1859" t="s">
        <v>61</v>
      </c>
      <c r="G1859">
        <v>345</v>
      </c>
      <c r="H1859">
        <v>0</v>
      </c>
      <c r="I1859">
        <v>345</v>
      </c>
      <c r="J1859">
        <v>4</v>
      </c>
      <c r="K1859">
        <v>146.393066429209</v>
      </c>
      <c r="L1859">
        <v>1380</v>
      </c>
      <c r="M1859">
        <v>585.57226571683805</v>
      </c>
      <c r="N1859">
        <v>794.42773428316104</v>
      </c>
      <c r="O1859" t="s">
        <v>32</v>
      </c>
      <c r="P1859">
        <f t="shared" ref="P1859:P1922" si="58">G1859 * J1859</f>
        <v>1380</v>
      </c>
      <c r="Q1859">
        <f t="shared" ref="Q1859:Q1922" si="59" xml:space="preserve"> M1859 - L1859</f>
        <v>-794.42773428316195</v>
      </c>
    </row>
    <row r="1860" spans="1:17" x14ac:dyDescent="0.4">
      <c r="A1860" t="s">
        <v>3629</v>
      </c>
      <c r="B1860" s="1">
        <v>45760.083333333336</v>
      </c>
      <c r="C1860" t="s">
        <v>46</v>
      </c>
      <c r="D1860" t="s">
        <v>3630</v>
      </c>
      <c r="E1860" t="s">
        <v>41</v>
      </c>
      <c r="F1860" t="s">
        <v>31</v>
      </c>
      <c r="G1860">
        <v>92</v>
      </c>
      <c r="H1860">
        <v>0</v>
      </c>
      <c r="I1860">
        <v>92</v>
      </c>
      <c r="J1860">
        <v>2</v>
      </c>
      <c r="K1860">
        <v>39.674850656188603</v>
      </c>
      <c r="L1860">
        <v>184</v>
      </c>
      <c r="M1860">
        <v>79.349701312377206</v>
      </c>
      <c r="N1860">
        <v>104.650298687622</v>
      </c>
      <c r="O1860" t="s">
        <v>32</v>
      </c>
      <c r="P1860">
        <f t="shared" si="58"/>
        <v>184</v>
      </c>
      <c r="Q1860">
        <f t="shared" si="59"/>
        <v>-104.65029868762279</v>
      </c>
    </row>
    <row r="1861" spans="1:17" x14ac:dyDescent="0.4">
      <c r="A1861" t="s">
        <v>3631</v>
      </c>
      <c r="B1861" s="1">
        <v>45491.791666666664</v>
      </c>
      <c r="C1861" t="s">
        <v>46</v>
      </c>
      <c r="D1861" t="s">
        <v>3632</v>
      </c>
      <c r="E1861" t="s">
        <v>104</v>
      </c>
      <c r="F1861" t="s">
        <v>25</v>
      </c>
      <c r="G1861">
        <v>343</v>
      </c>
      <c r="H1861">
        <v>0.2</v>
      </c>
      <c r="I1861">
        <v>274.39999999999998</v>
      </c>
      <c r="J1861">
        <v>1</v>
      </c>
      <c r="K1861">
        <v>176.870204847503</v>
      </c>
      <c r="L1861">
        <v>274.39999999999998</v>
      </c>
      <c r="M1861">
        <v>176.870204847503</v>
      </c>
      <c r="N1861">
        <v>97.529795152496803</v>
      </c>
      <c r="O1861" t="s">
        <v>51</v>
      </c>
      <c r="P1861">
        <f t="shared" si="58"/>
        <v>343</v>
      </c>
      <c r="Q1861">
        <f t="shared" si="59"/>
        <v>-97.529795152496973</v>
      </c>
    </row>
    <row r="1862" spans="1:17" x14ac:dyDescent="0.4">
      <c r="A1862" t="s">
        <v>3633</v>
      </c>
      <c r="B1862" s="1">
        <v>45735.083333333336</v>
      </c>
      <c r="C1862" t="s">
        <v>28</v>
      </c>
      <c r="D1862" t="s">
        <v>3634</v>
      </c>
      <c r="E1862" t="s">
        <v>73</v>
      </c>
      <c r="F1862" t="s">
        <v>38</v>
      </c>
      <c r="G1862">
        <v>348</v>
      </c>
      <c r="H1862">
        <v>0</v>
      </c>
      <c r="I1862">
        <v>348</v>
      </c>
      <c r="J1862">
        <v>1</v>
      </c>
      <c r="K1862">
        <v>230.74863065649299</v>
      </c>
      <c r="L1862">
        <v>348</v>
      </c>
      <c r="M1862">
        <v>230.74863065649299</v>
      </c>
      <c r="N1862">
        <v>117.251369343506</v>
      </c>
      <c r="O1862" t="s">
        <v>32</v>
      </c>
      <c r="P1862">
        <f t="shared" si="58"/>
        <v>348</v>
      </c>
      <c r="Q1862">
        <f t="shared" si="59"/>
        <v>-117.25136934350701</v>
      </c>
    </row>
    <row r="1863" spans="1:17" x14ac:dyDescent="0.4">
      <c r="A1863" t="s">
        <v>3635</v>
      </c>
      <c r="B1863" s="1">
        <v>45491.916666666664</v>
      </c>
      <c r="C1863" t="s">
        <v>43</v>
      </c>
      <c r="D1863" t="s">
        <v>3636</v>
      </c>
      <c r="E1863" t="s">
        <v>97</v>
      </c>
      <c r="F1863" t="s">
        <v>61</v>
      </c>
      <c r="G1863">
        <v>174</v>
      </c>
      <c r="H1863">
        <v>0</v>
      </c>
      <c r="I1863">
        <v>174</v>
      </c>
      <c r="J1863">
        <v>1</v>
      </c>
      <c r="K1863">
        <v>74.050124522224195</v>
      </c>
      <c r="L1863">
        <v>174</v>
      </c>
      <c r="M1863">
        <v>74.050124522224195</v>
      </c>
      <c r="N1863">
        <v>99.949875477775706</v>
      </c>
      <c r="O1863" t="s">
        <v>51</v>
      </c>
      <c r="P1863">
        <f t="shared" si="58"/>
        <v>174</v>
      </c>
      <c r="Q1863">
        <f t="shared" si="59"/>
        <v>-99.949875477775805</v>
      </c>
    </row>
    <row r="1864" spans="1:17" x14ac:dyDescent="0.4">
      <c r="A1864" t="s">
        <v>3637</v>
      </c>
      <c r="B1864" s="1">
        <v>45739.875</v>
      </c>
      <c r="C1864" t="s">
        <v>43</v>
      </c>
      <c r="D1864" t="s">
        <v>3638</v>
      </c>
      <c r="E1864" t="s">
        <v>48</v>
      </c>
      <c r="F1864" t="s">
        <v>19</v>
      </c>
      <c r="G1864">
        <v>311</v>
      </c>
      <c r="H1864">
        <v>0.2</v>
      </c>
      <c r="I1864">
        <v>248.8</v>
      </c>
      <c r="J1864">
        <v>1</v>
      </c>
      <c r="K1864">
        <v>185.18966867407201</v>
      </c>
      <c r="L1864">
        <v>248.8</v>
      </c>
      <c r="M1864">
        <v>185.18966867407201</v>
      </c>
      <c r="N1864">
        <v>63.610331325927802</v>
      </c>
      <c r="O1864" t="s">
        <v>51</v>
      </c>
      <c r="P1864">
        <f t="shared" si="58"/>
        <v>311</v>
      </c>
      <c r="Q1864">
        <f t="shared" si="59"/>
        <v>-63.610331325928001</v>
      </c>
    </row>
    <row r="1865" spans="1:17" x14ac:dyDescent="0.4">
      <c r="A1865" t="s">
        <v>3639</v>
      </c>
      <c r="B1865" s="1">
        <v>45534.791666666664</v>
      </c>
      <c r="C1865" t="s">
        <v>65</v>
      </c>
      <c r="D1865" t="s">
        <v>3640</v>
      </c>
      <c r="E1865" t="s">
        <v>146</v>
      </c>
      <c r="F1865" t="s">
        <v>70</v>
      </c>
      <c r="G1865">
        <v>134</v>
      </c>
      <c r="H1865">
        <v>0.25</v>
      </c>
      <c r="I1865">
        <v>100.5</v>
      </c>
      <c r="J1865">
        <v>1</v>
      </c>
      <c r="K1865">
        <v>55.228502513592296</v>
      </c>
      <c r="L1865">
        <v>100.5</v>
      </c>
      <c r="M1865">
        <v>55.228502513592296</v>
      </c>
      <c r="N1865">
        <v>45.271497486407704</v>
      </c>
      <c r="O1865" t="s">
        <v>26</v>
      </c>
      <c r="P1865">
        <f t="shared" si="58"/>
        <v>134</v>
      </c>
      <c r="Q1865">
        <f t="shared" si="59"/>
        <v>-45.271497486407704</v>
      </c>
    </row>
    <row r="1866" spans="1:17" x14ac:dyDescent="0.4">
      <c r="A1866" t="s">
        <v>3641</v>
      </c>
      <c r="B1866" s="1">
        <v>45488.625</v>
      </c>
      <c r="C1866" t="s">
        <v>43</v>
      </c>
      <c r="D1866" t="s">
        <v>3642</v>
      </c>
      <c r="E1866" t="s">
        <v>115</v>
      </c>
      <c r="F1866" t="s">
        <v>38</v>
      </c>
      <c r="G1866">
        <v>129</v>
      </c>
      <c r="H1866">
        <v>0</v>
      </c>
      <c r="I1866">
        <v>129</v>
      </c>
      <c r="J1866">
        <v>1</v>
      </c>
      <c r="K1866">
        <v>96.2859885045537</v>
      </c>
      <c r="L1866">
        <v>129</v>
      </c>
      <c r="M1866">
        <v>96.2859885045537</v>
      </c>
      <c r="N1866">
        <v>32.714011495446201</v>
      </c>
      <c r="O1866" t="s">
        <v>51</v>
      </c>
      <c r="P1866">
        <f t="shared" si="58"/>
        <v>129</v>
      </c>
      <c r="Q1866">
        <f t="shared" si="59"/>
        <v>-32.7140114954463</v>
      </c>
    </row>
    <row r="1867" spans="1:17" x14ac:dyDescent="0.4">
      <c r="A1867" t="s">
        <v>3643</v>
      </c>
      <c r="B1867" s="1">
        <v>45316.708333333336</v>
      </c>
      <c r="C1867" t="s">
        <v>43</v>
      </c>
      <c r="D1867" t="s">
        <v>3644</v>
      </c>
      <c r="E1867" t="s">
        <v>73</v>
      </c>
      <c r="F1867" t="s">
        <v>38</v>
      </c>
      <c r="G1867">
        <v>307</v>
      </c>
      <c r="H1867">
        <v>0</v>
      </c>
      <c r="I1867">
        <v>307</v>
      </c>
      <c r="J1867">
        <v>2</v>
      </c>
      <c r="K1867">
        <v>199.07091920014</v>
      </c>
      <c r="L1867">
        <v>614</v>
      </c>
      <c r="M1867">
        <v>398.14183840028102</v>
      </c>
      <c r="N1867">
        <v>215.85816159971799</v>
      </c>
      <c r="O1867" t="s">
        <v>26</v>
      </c>
      <c r="P1867">
        <f t="shared" si="58"/>
        <v>614</v>
      </c>
      <c r="Q1867">
        <f t="shared" si="59"/>
        <v>-215.85816159971898</v>
      </c>
    </row>
    <row r="1868" spans="1:17" x14ac:dyDescent="0.4">
      <c r="A1868" t="s">
        <v>3645</v>
      </c>
      <c r="B1868" s="1">
        <v>45600.083333333336</v>
      </c>
      <c r="C1868" t="s">
        <v>22</v>
      </c>
      <c r="D1868" t="s">
        <v>3646</v>
      </c>
      <c r="E1868" t="s">
        <v>48</v>
      </c>
      <c r="F1868" t="s">
        <v>19</v>
      </c>
      <c r="G1868">
        <v>116</v>
      </c>
      <c r="H1868">
        <v>0</v>
      </c>
      <c r="I1868">
        <v>116</v>
      </c>
      <c r="J1868">
        <v>6</v>
      </c>
      <c r="K1868">
        <v>52.558323643686997</v>
      </c>
      <c r="L1868">
        <v>696</v>
      </c>
      <c r="M1868">
        <v>315.34994186212202</v>
      </c>
      <c r="N1868">
        <v>380.65005813787701</v>
      </c>
      <c r="O1868" t="s">
        <v>51</v>
      </c>
      <c r="P1868">
        <f t="shared" si="58"/>
        <v>696</v>
      </c>
      <c r="Q1868">
        <f t="shared" si="59"/>
        <v>-380.65005813787798</v>
      </c>
    </row>
    <row r="1869" spans="1:17" x14ac:dyDescent="0.4">
      <c r="A1869" t="s">
        <v>3647</v>
      </c>
      <c r="B1869" s="1">
        <v>45877.666666666664</v>
      </c>
      <c r="C1869" t="s">
        <v>16</v>
      </c>
      <c r="D1869" t="s">
        <v>3648</v>
      </c>
      <c r="E1869" t="s">
        <v>85</v>
      </c>
      <c r="F1869" t="s">
        <v>70</v>
      </c>
      <c r="G1869">
        <v>281</v>
      </c>
      <c r="H1869">
        <v>0.1</v>
      </c>
      <c r="I1869">
        <v>252.9</v>
      </c>
      <c r="J1869">
        <v>5</v>
      </c>
      <c r="K1869">
        <v>171.12458983528001</v>
      </c>
      <c r="L1869">
        <v>1264.5</v>
      </c>
      <c r="M1869">
        <v>855.62294917640304</v>
      </c>
      <c r="N1869">
        <v>408.87705082359599</v>
      </c>
      <c r="O1869" t="s">
        <v>26</v>
      </c>
      <c r="P1869">
        <f t="shared" si="58"/>
        <v>1405</v>
      </c>
      <c r="Q1869">
        <f t="shared" si="59"/>
        <v>-408.87705082359696</v>
      </c>
    </row>
    <row r="1870" spans="1:17" x14ac:dyDescent="0.4">
      <c r="A1870" t="s">
        <v>3649</v>
      </c>
      <c r="B1870" s="1">
        <v>45735.166666666664</v>
      </c>
      <c r="C1870" t="s">
        <v>46</v>
      </c>
      <c r="D1870" t="s">
        <v>3650</v>
      </c>
      <c r="E1870" t="s">
        <v>48</v>
      </c>
      <c r="F1870" t="s">
        <v>19</v>
      </c>
      <c r="G1870">
        <v>344</v>
      </c>
      <c r="H1870">
        <v>0.15</v>
      </c>
      <c r="I1870">
        <v>292.39999999999998</v>
      </c>
      <c r="J1870">
        <v>7</v>
      </c>
      <c r="K1870">
        <v>140.290330025461</v>
      </c>
      <c r="L1870">
        <v>2046.79999999999</v>
      </c>
      <c r="M1870">
        <v>982.03231017822998</v>
      </c>
      <c r="N1870">
        <v>1064.7676898217601</v>
      </c>
      <c r="O1870" t="s">
        <v>32</v>
      </c>
      <c r="P1870">
        <f t="shared" si="58"/>
        <v>2408</v>
      </c>
      <c r="Q1870">
        <f t="shared" si="59"/>
        <v>-1064.7676898217601</v>
      </c>
    </row>
    <row r="1871" spans="1:17" x14ac:dyDescent="0.4">
      <c r="A1871" t="s">
        <v>3651</v>
      </c>
      <c r="B1871" s="1">
        <v>45292.666666666664</v>
      </c>
      <c r="C1871" t="s">
        <v>65</v>
      </c>
      <c r="D1871" t="s">
        <v>1614</v>
      </c>
      <c r="E1871" t="s">
        <v>110</v>
      </c>
      <c r="F1871" t="s">
        <v>19</v>
      </c>
      <c r="G1871">
        <v>281</v>
      </c>
      <c r="H1871">
        <v>0.05</v>
      </c>
      <c r="I1871">
        <v>266.95</v>
      </c>
      <c r="J1871">
        <v>4</v>
      </c>
      <c r="K1871">
        <v>158.66458937455999</v>
      </c>
      <c r="L1871">
        <v>1067.8</v>
      </c>
      <c r="M1871">
        <v>634.65835749824203</v>
      </c>
      <c r="N1871">
        <v>433.14164250175702</v>
      </c>
      <c r="O1871" t="s">
        <v>20</v>
      </c>
      <c r="P1871">
        <f t="shared" si="58"/>
        <v>1124</v>
      </c>
      <c r="Q1871">
        <f t="shared" si="59"/>
        <v>-433.14164250175793</v>
      </c>
    </row>
    <row r="1872" spans="1:17" x14ac:dyDescent="0.4">
      <c r="A1872" t="s">
        <v>3652</v>
      </c>
      <c r="B1872" s="1">
        <v>45424.958333333336</v>
      </c>
      <c r="C1872" t="s">
        <v>65</v>
      </c>
      <c r="D1872" t="s">
        <v>3653</v>
      </c>
      <c r="E1872" t="s">
        <v>48</v>
      </c>
      <c r="F1872" t="s">
        <v>19</v>
      </c>
      <c r="G1872">
        <v>267</v>
      </c>
      <c r="H1872">
        <v>0</v>
      </c>
      <c r="I1872">
        <v>267</v>
      </c>
      <c r="J1872">
        <v>5</v>
      </c>
      <c r="K1872">
        <v>124.230464991714</v>
      </c>
      <c r="L1872">
        <v>1335</v>
      </c>
      <c r="M1872">
        <v>621.15232495857299</v>
      </c>
      <c r="N1872">
        <v>713.84767504142599</v>
      </c>
      <c r="O1872" t="s">
        <v>26</v>
      </c>
      <c r="P1872">
        <f t="shared" si="58"/>
        <v>1335</v>
      </c>
      <c r="Q1872">
        <f t="shared" si="59"/>
        <v>-713.84767504142701</v>
      </c>
    </row>
    <row r="1873" spans="1:17" x14ac:dyDescent="0.4">
      <c r="A1873" t="s">
        <v>3654</v>
      </c>
      <c r="B1873" s="1">
        <v>45308.333333333336</v>
      </c>
      <c r="C1873" t="s">
        <v>22</v>
      </c>
      <c r="D1873" t="s">
        <v>3655</v>
      </c>
      <c r="E1873" t="s">
        <v>213</v>
      </c>
      <c r="F1873" t="s">
        <v>31</v>
      </c>
      <c r="G1873">
        <v>140</v>
      </c>
      <c r="H1873">
        <v>0.15</v>
      </c>
      <c r="I1873">
        <v>119</v>
      </c>
      <c r="J1873">
        <v>7</v>
      </c>
      <c r="K1873">
        <v>83.957089892548595</v>
      </c>
      <c r="L1873">
        <v>833</v>
      </c>
      <c r="M1873">
        <v>587.69962924783999</v>
      </c>
      <c r="N1873">
        <v>245.30037075215901</v>
      </c>
      <c r="O1873" t="s">
        <v>32</v>
      </c>
      <c r="P1873">
        <f t="shared" si="58"/>
        <v>980</v>
      </c>
      <c r="Q1873">
        <f t="shared" si="59"/>
        <v>-245.30037075216001</v>
      </c>
    </row>
    <row r="1874" spans="1:17" x14ac:dyDescent="0.4">
      <c r="A1874" t="s">
        <v>3656</v>
      </c>
      <c r="B1874" s="1">
        <v>45553.333333333336</v>
      </c>
      <c r="C1874" t="s">
        <v>43</v>
      </c>
      <c r="D1874" t="s">
        <v>3657</v>
      </c>
      <c r="E1874" t="s">
        <v>146</v>
      </c>
      <c r="F1874" t="s">
        <v>70</v>
      </c>
      <c r="G1874">
        <v>343</v>
      </c>
      <c r="H1874">
        <v>0.1</v>
      </c>
      <c r="I1874">
        <v>308.7</v>
      </c>
      <c r="J1874">
        <v>4</v>
      </c>
      <c r="K1874">
        <v>232.59494626276501</v>
      </c>
      <c r="L1874">
        <v>1234.8</v>
      </c>
      <c r="M1874">
        <v>930.37978505106003</v>
      </c>
      <c r="N1874">
        <v>304.42021494893902</v>
      </c>
      <c r="O1874" t="s">
        <v>51</v>
      </c>
      <c r="P1874">
        <f t="shared" si="58"/>
        <v>1372</v>
      </c>
      <c r="Q1874">
        <f t="shared" si="59"/>
        <v>-304.42021494893993</v>
      </c>
    </row>
    <row r="1875" spans="1:17" x14ac:dyDescent="0.4">
      <c r="A1875" t="s">
        <v>3658</v>
      </c>
      <c r="B1875" s="1">
        <v>45998.458333333336</v>
      </c>
      <c r="C1875" t="s">
        <v>16</v>
      </c>
      <c r="D1875" t="s">
        <v>3659</v>
      </c>
      <c r="E1875" t="s">
        <v>82</v>
      </c>
      <c r="F1875" t="s">
        <v>25</v>
      </c>
      <c r="G1875">
        <v>308</v>
      </c>
      <c r="H1875">
        <v>0.15</v>
      </c>
      <c r="I1875">
        <v>261.8</v>
      </c>
      <c r="J1875">
        <v>5</v>
      </c>
      <c r="K1875">
        <v>135.138108356609</v>
      </c>
      <c r="L1875">
        <v>1309</v>
      </c>
      <c r="M1875">
        <v>675.69054178304896</v>
      </c>
      <c r="N1875">
        <v>633.30945821695002</v>
      </c>
      <c r="O1875" t="s">
        <v>32</v>
      </c>
      <c r="P1875">
        <f t="shared" si="58"/>
        <v>1540</v>
      </c>
      <c r="Q1875">
        <f t="shared" si="59"/>
        <v>-633.30945821695104</v>
      </c>
    </row>
    <row r="1876" spans="1:17" x14ac:dyDescent="0.4">
      <c r="A1876" t="s">
        <v>3660</v>
      </c>
      <c r="B1876" s="1">
        <v>45443.291666666664</v>
      </c>
      <c r="C1876" t="s">
        <v>28</v>
      </c>
      <c r="D1876" t="s">
        <v>2165</v>
      </c>
      <c r="E1876" t="s">
        <v>146</v>
      </c>
      <c r="F1876" t="s">
        <v>70</v>
      </c>
      <c r="G1876">
        <v>89</v>
      </c>
      <c r="H1876">
        <v>0</v>
      </c>
      <c r="I1876">
        <v>89</v>
      </c>
      <c r="J1876">
        <v>3</v>
      </c>
      <c r="K1876">
        <v>37.639214569399101</v>
      </c>
      <c r="L1876">
        <v>267</v>
      </c>
      <c r="M1876">
        <v>112.91764370819701</v>
      </c>
      <c r="N1876">
        <v>154.082356291802</v>
      </c>
      <c r="O1876" t="s">
        <v>32</v>
      </c>
      <c r="P1876">
        <f t="shared" si="58"/>
        <v>267</v>
      </c>
      <c r="Q1876">
        <f t="shared" si="59"/>
        <v>-154.08235629180299</v>
      </c>
    </row>
    <row r="1877" spans="1:17" x14ac:dyDescent="0.4">
      <c r="A1877" t="s">
        <v>3661</v>
      </c>
      <c r="B1877" s="1">
        <v>45549.166666666664</v>
      </c>
      <c r="C1877" t="s">
        <v>46</v>
      </c>
      <c r="D1877" t="s">
        <v>3662</v>
      </c>
      <c r="E1877" t="s">
        <v>37</v>
      </c>
      <c r="F1877" t="s">
        <v>38</v>
      </c>
      <c r="G1877">
        <v>98</v>
      </c>
      <c r="H1877">
        <v>0.05</v>
      </c>
      <c r="I1877">
        <v>93.1</v>
      </c>
      <c r="J1877">
        <v>4</v>
      </c>
      <c r="K1877">
        <v>49.365408914640199</v>
      </c>
      <c r="L1877">
        <v>372.4</v>
      </c>
      <c r="M1877">
        <v>197.46163565856</v>
      </c>
      <c r="N1877">
        <v>174.93836434143901</v>
      </c>
      <c r="O1877" t="s">
        <v>32</v>
      </c>
      <c r="P1877">
        <f t="shared" si="58"/>
        <v>392</v>
      </c>
      <c r="Q1877">
        <f t="shared" si="59"/>
        <v>-174.93836434143998</v>
      </c>
    </row>
    <row r="1878" spans="1:17" x14ac:dyDescent="0.4">
      <c r="A1878" t="s">
        <v>3663</v>
      </c>
      <c r="B1878" s="1">
        <v>45680</v>
      </c>
      <c r="C1878" t="s">
        <v>46</v>
      </c>
      <c r="D1878" t="s">
        <v>3664</v>
      </c>
      <c r="E1878" t="s">
        <v>37</v>
      </c>
      <c r="F1878" t="s">
        <v>38</v>
      </c>
      <c r="G1878">
        <v>220</v>
      </c>
      <c r="H1878">
        <v>0</v>
      </c>
      <c r="I1878">
        <v>220</v>
      </c>
      <c r="J1878">
        <v>2</v>
      </c>
      <c r="K1878">
        <v>104.174074853806</v>
      </c>
      <c r="L1878">
        <v>440</v>
      </c>
      <c r="M1878">
        <v>208.348149707613</v>
      </c>
      <c r="N1878">
        <v>231.651850292387</v>
      </c>
      <c r="O1878" t="s">
        <v>26</v>
      </c>
      <c r="P1878">
        <f t="shared" si="58"/>
        <v>440</v>
      </c>
      <c r="Q1878">
        <f t="shared" si="59"/>
        <v>-231.651850292387</v>
      </c>
    </row>
    <row r="1879" spans="1:17" x14ac:dyDescent="0.4">
      <c r="A1879" t="s">
        <v>3665</v>
      </c>
      <c r="B1879" s="1">
        <v>45663.083333333336</v>
      </c>
      <c r="C1879" t="s">
        <v>46</v>
      </c>
      <c r="D1879" t="s">
        <v>3666</v>
      </c>
      <c r="E1879" t="s">
        <v>48</v>
      </c>
      <c r="F1879" t="s">
        <v>19</v>
      </c>
      <c r="G1879">
        <v>136</v>
      </c>
      <c r="H1879">
        <v>0.05</v>
      </c>
      <c r="I1879">
        <v>129.19999999999999</v>
      </c>
      <c r="J1879">
        <v>1</v>
      </c>
      <c r="K1879">
        <v>101.874630241765</v>
      </c>
      <c r="L1879">
        <v>129.19999999999999</v>
      </c>
      <c r="M1879">
        <v>101.874630241765</v>
      </c>
      <c r="N1879">
        <v>27.325369758234</v>
      </c>
      <c r="O1879" t="s">
        <v>26</v>
      </c>
      <c r="P1879">
        <f t="shared" si="58"/>
        <v>136</v>
      </c>
      <c r="Q1879">
        <f t="shared" si="59"/>
        <v>-27.325369758234984</v>
      </c>
    </row>
    <row r="1880" spans="1:17" x14ac:dyDescent="0.4">
      <c r="A1880" t="s">
        <v>3667</v>
      </c>
      <c r="B1880" s="1">
        <v>46006.958333333336</v>
      </c>
      <c r="C1880" t="s">
        <v>16</v>
      </c>
      <c r="D1880" t="s">
        <v>3668</v>
      </c>
      <c r="E1880" t="s">
        <v>94</v>
      </c>
      <c r="F1880" t="s">
        <v>61</v>
      </c>
      <c r="G1880">
        <v>281</v>
      </c>
      <c r="H1880">
        <v>0.1</v>
      </c>
      <c r="I1880">
        <v>252.9</v>
      </c>
      <c r="J1880">
        <v>1</v>
      </c>
      <c r="K1880">
        <v>154.502934416063</v>
      </c>
      <c r="L1880">
        <v>252.9</v>
      </c>
      <c r="M1880">
        <v>154.502934416063</v>
      </c>
      <c r="N1880">
        <v>98.397065583936694</v>
      </c>
      <c r="O1880" t="s">
        <v>51</v>
      </c>
      <c r="P1880">
        <f t="shared" si="58"/>
        <v>281</v>
      </c>
      <c r="Q1880">
        <f t="shared" si="59"/>
        <v>-98.397065583937007</v>
      </c>
    </row>
    <row r="1881" spans="1:17" x14ac:dyDescent="0.4">
      <c r="A1881" t="s">
        <v>3669</v>
      </c>
      <c r="B1881" s="1">
        <v>45977.916666666664</v>
      </c>
      <c r="C1881" t="s">
        <v>22</v>
      </c>
      <c r="D1881" t="s">
        <v>3670</v>
      </c>
      <c r="E1881" t="s">
        <v>30</v>
      </c>
      <c r="F1881" t="s">
        <v>31</v>
      </c>
      <c r="G1881">
        <v>282</v>
      </c>
      <c r="H1881">
        <v>0.05</v>
      </c>
      <c r="I1881">
        <v>267.89999999999998</v>
      </c>
      <c r="J1881">
        <v>3</v>
      </c>
      <c r="K1881">
        <v>200.02883512518699</v>
      </c>
      <c r="L1881">
        <v>803.69999999999902</v>
      </c>
      <c r="M1881">
        <v>600.08650537556196</v>
      </c>
      <c r="N1881">
        <v>203.61349462443701</v>
      </c>
      <c r="O1881" t="s">
        <v>51</v>
      </c>
      <c r="P1881">
        <f t="shared" si="58"/>
        <v>846</v>
      </c>
      <c r="Q1881">
        <f t="shared" si="59"/>
        <v>-203.61349462443707</v>
      </c>
    </row>
    <row r="1882" spans="1:17" x14ac:dyDescent="0.4">
      <c r="A1882" t="s">
        <v>3671</v>
      </c>
      <c r="B1882" s="1">
        <v>45628.666666666664</v>
      </c>
      <c r="C1882" t="s">
        <v>16</v>
      </c>
      <c r="D1882" t="s">
        <v>3672</v>
      </c>
      <c r="E1882" t="s">
        <v>82</v>
      </c>
      <c r="F1882" t="s">
        <v>25</v>
      </c>
      <c r="G1882">
        <v>290</v>
      </c>
      <c r="H1882">
        <v>0.15</v>
      </c>
      <c r="I1882">
        <v>246.5</v>
      </c>
      <c r="J1882">
        <v>6</v>
      </c>
      <c r="K1882">
        <v>203.39709175858499</v>
      </c>
      <c r="L1882">
        <v>1479</v>
      </c>
      <c r="M1882">
        <v>1220.3825505515099</v>
      </c>
      <c r="N1882">
        <v>258.61744944848601</v>
      </c>
      <c r="O1882" t="s">
        <v>26</v>
      </c>
      <c r="P1882">
        <f t="shared" si="58"/>
        <v>1740</v>
      </c>
      <c r="Q1882">
        <f t="shared" si="59"/>
        <v>-258.61744944849011</v>
      </c>
    </row>
    <row r="1883" spans="1:17" x14ac:dyDescent="0.4">
      <c r="A1883" t="s">
        <v>3673</v>
      </c>
      <c r="B1883" s="1">
        <v>45587.791666666664</v>
      </c>
      <c r="C1883" t="s">
        <v>65</v>
      </c>
      <c r="D1883" t="s">
        <v>3674</v>
      </c>
      <c r="E1883" t="s">
        <v>37</v>
      </c>
      <c r="F1883" t="s">
        <v>38</v>
      </c>
      <c r="G1883">
        <v>80</v>
      </c>
      <c r="H1883">
        <v>0.2</v>
      </c>
      <c r="I1883">
        <v>64</v>
      </c>
      <c r="J1883">
        <v>4</v>
      </c>
      <c r="K1883">
        <v>44.017901827167499</v>
      </c>
      <c r="L1883">
        <v>256</v>
      </c>
      <c r="M1883">
        <v>176.07160730867</v>
      </c>
      <c r="N1883">
        <v>79.928392691329606</v>
      </c>
      <c r="O1883" t="s">
        <v>32</v>
      </c>
      <c r="P1883">
        <f t="shared" si="58"/>
        <v>320</v>
      </c>
      <c r="Q1883">
        <f t="shared" si="59"/>
        <v>-79.928392691330004</v>
      </c>
    </row>
    <row r="1884" spans="1:17" x14ac:dyDescent="0.4">
      <c r="A1884" t="s">
        <v>3675</v>
      </c>
      <c r="B1884" s="1">
        <v>45913.5</v>
      </c>
      <c r="C1884" t="s">
        <v>22</v>
      </c>
      <c r="D1884" t="s">
        <v>3676</v>
      </c>
      <c r="E1884" t="s">
        <v>110</v>
      </c>
      <c r="F1884" t="s">
        <v>19</v>
      </c>
      <c r="G1884">
        <v>194</v>
      </c>
      <c r="H1884">
        <v>0.2</v>
      </c>
      <c r="I1884">
        <v>155.19999999999999</v>
      </c>
      <c r="J1884">
        <v>2</v>
      </c>
      <c r="K1884">
        <v>121.06492310504299</v>
      </c>
      <c r="L1884">
        <v>310.39999999999998</v>
      </c>
      <c r="M1884">
        <v>242.12984621008701</v>
      </c>
      <c r="N1884">
        <v>68.270153789912698</v>
      </c>
      <c r="O1884" t="s">
        <v>32</v>
      </c>
      <c r="P1884">
        <f t="shared" si="58"/>
        <v>388</v>
      </c>
      <c r="Q1884">
        <f t="shared" si="59"/>
        <v>-68.270153789912968</v>
      </c>
    </row>
    <row r="1885" spans="1:17" x14ac:dyDescent="0.4">
      <c r="A1885" t="s">
        <v>3677</v>
      </c>
      <c r="B1885" s="1">
        <v>45587.125</v>
      </c>
      <c r="C1885" t="s">
        <v>43</v>
      </c>
      <c r="D1885" t="s">
        <v>3678</v>
      </c>
      <c r="E1885" t="s">
        <v>97</v>
      </c>
      <c r="F1885" t="s">
        <v>61</v>
      </c>
      <c r="G1885">
        <v>343</v>
      </c>
      <c r="H1885">
        <v>0.2</v>
      </c>
      <c r="I1885">
        <v>274.39999999999998</v>
      </c>
      <c r="J1885">
        <v>3</v>
      </c>
      <c r="K1885">
        <v>224.72884919556401</v>
      </c>
      <c r="L1885">
        <v>823.2</v>
      </c>
      <c r="M1885">
        <v>674.18654758669402</v>
      </c>
      <c r="N1885">
        <v>149.013452413305</v>
      </c>
      <c r="O1885" t="s">
        <v>32</v>
      </c>
      <c r="P1885">
        <f t="shared" si="58"/>
        <v>1029</v>
      </c>
      <c r="Q1885">
        <f t="shared" si="59"/>
        <v>-149.01345241330603</v>
      </c>
    </row>
    <row r="1886" spans="1:17" x14ac:dyDescent="0.4">
      <c r="A1886" t="s">
        <v>3679</v>
      </c>
      <c r="B1886" s="1">
        <v>45676.291666666664</v>
      </c>
      <c r="C1886" t="s">
        <v>46</v>
      </c>
      <c r="D1886" t="s">
        <v>3680</v>
      </c>
      <c r="E1886" t="s">
        <v>30</v>
      </c>
      <c r="F1886" t="s">
        <v>31</v>
      </c>
      <c r="G1886">
        <v>252</v>
      </c>
      <c r="H1886">
        <v>0.05</v>
      </c>
      <c r="I1886">
        <v>239.39999999999901</v>
      </c>
      <c r="J1886">
        <v>6</v>
      </c>
      <c r="K1886">
        <v>144.008663335938</v>
      </c>
      <c r="L1886">
        <v>1436.3999999999901</v>
      </c>
      <c r="M1886">
        <v>864.05198001563201</v>
      </c>
      <c r="N1886">
        <v>572.34801998436706</v>
      </c>
      <c r="O1886" t="s">
        <v>26</v>
      </c>
      <c r="P1886">
        <f t="shared" si="58"/>
        <v>1512</v>
      </c>
      <c r="Q1886">
        <f t="shared" si="59"/>
        <v>-572.34801998435807</v>
      </c>
    </row>
    <row r="1887" spans="1:17" x14ac:dyDescent="0.4">
      <c r="A1887" t="s">
        <v>3681</v>
      </c>
      <c r="B1887" s="1">
        <v>45497.833333333336</v>
      </c>
      <c r="C1887" t="s">
        <v>46</v>
      </c>
      <c r="D1887" t="s">
        <v>3682</v>
      </c>
      <c r="E1887" t="s">
        <v>213</v>
      </c>
      <c r="F1887" t="s">
        <v>31</v>
      </c>
      <c r="G1887">
        <v>159</v>
      </c>
      <c r="H1887">
        <v>0</v>
      </c>
      <c r="I1887">
        <v>159</v>
      </c>
      <c r="J1887">
        <v>2</v>
      </c>
      <c r="K1887">
        <v>89.323153252769202</v>
      </c>
      <c r="L1887">
        <v>318</v>
      </c>
      <c r="M1887">
        <v>178.64630650553801</v>
      </c>
      <c r="N1887">
        <v>139.353693494461</v>
      </c>
      <c r="O1887" t="s">
        <v>32</v>
      </c>
      <c r="P1887">
        <f t="shared" si="58"/>
        <v>318</v>
      </c>
      <c r="Q1887">
        <f t="shared" si="59"/>
        <v>-139.35369349446199</v>
      </c>
    </row>
    <row r="1888" spans="1:17" x14ac:dyDescent="0.4">
      <c r="A1888" t="s">
        <v>3683</v>
      </c>
      <c r="B1888" s="1">
        <v>45436</v>
      </c>
      <c r="C1888" t="s">
        <v>65</v>
      </c>
      <c r="D1888" t="s">
        <v>3684</v>
      </c>
      <c r="E1888" t="s">
        <v>37</v>
      </c>
      <c r="F1888" t="s">
        <v>38</v>
      </c>
      <c r="G1888">
        <v>88</v>
      </c>
      <c r="H1888">
        <v>0.05</v>
      </c>
      <c r="I1888">
        <v>83.6</v>
      </c>
      <c r="J1888">
        <v>7</v>
      </c>
      <c r="K1888">
        <v>44.597363058532103</v>
      </c>
      <c r="L1888">
        <v>585.19999999999902</v>
      </c>
      <c r="M1888">
        <v>312.18154140972399</v>
      </c>
      <c r="N1888">
        <v>273.01845859027497</v>
      </c>
      <c r="O1888" t="s">
        <v>51</v>
      </c>
      <c r="P1888">
        <f t="shared" si="58"/>
        <v>616</v>
      </c>
      <c r="Q1888">
        <f t="shared" si="59"/>
        <v>-273.01845859027503</v>
      </c>
    </row>
    <row r="1889" spans="1:17" x14ac:dyDescent="0.4">
      <c r="A1889" t="s">
        <v>3685</v>
      </c>
      <c r="B1889" s="1">
        <v>45616.5</v>
      </c>
      <c r="C1889" t="s">
        <v>43</v>
      </c>
      <c r="D1889" t="s">
        <v>3686</v>
      </c>
      <c r="E1889" t="s">
        <v>94</v>
      </c>
      <c r="F1889" t="s">
        <v>61</v>
      </c>
      <c r="G1889">
        <v>213</v>
      </c>
      <c r="H1889">
        <v>0</v>
      </c>
      <c r="I1889">
        <v>213</v>
      </c>
      <c r="J1889">
        <v>7</v>
      </c>
      <c r="K1889">
        <v>144.01824935438799</v>
      </c>
      <c r="L1889">
        <v>1491</v>
      </c>
      <c r="M1889">
        <v>1008.12774548071</v>
      </c>
      <c r="N1889">
        <v>482.87225451927998</v>
      </c>
      <c r="O1889" t="s">
        <v>32</v>
      </c>
      <c r="P1889">
        <f t="shared" si="58"/>
        <v>1491</v>
      </c>
      <c r="Q1889">
        <f t="shared" si="59"/>
        <v>-482.87225451928998</v>
      </c>
    </row>
    <row r="1890" spans="1:17" x14ac:dyDescent="0.4">
      <c r="A1890" t="s">
        <v>3687</v>
      </c>
      <c r="B1890" s="1">
        <v>45404.958333333336</v>
      </c>
      <c r="C1890" t="s">
        <v>43</v>
      </c>
      <c r="D1890" t="s">
        <v>3688</v>
      </c>
      <c r="E1890" t="s">
        <v>115</v>
      </c>
      <c r="F1890" t="s">
        <v>38</v>
      </c>
      <c r="G1890">
        <v>155</v>
      </c>
      <c r="H1890">
        <v>0.15</v>
      </c>
      <c r="I1890">
        <v>131.75</v>
      </c>
      <c r="J1890">
        <v>2</v>
      </c>
      <c r="K1890">
        <v>77.475553660328103</v>
      </c>
      <c r="L1890">
        <v>263.5</v>
      </c>
      <c r="M1890">
        <v>154.95110732065601</v>
      </c>
      <c r="N1890">
        <v>108.548892679343</v>
      </c>
      <c r="O1890" t="s">
        <v>51</v>
      </c>
      <c r="P1890">
        <f t="shared" si="58"/>
        <v>310</v>
      </c>
      <c r="Q1890">
        <f t="shared" si="59"/>
        <v>-108.54889267934399</v>
      </c>
    </row>
    <row r="1891" spans="1:17" x14ac:dyDescent="0.4">
      <c r="A1891" t="s">
        <v>3689</v>
      </c>
      <c r="B1891" s="1">
        <v>45762</v>
      </c>
      <c r="C1891" t="s">
        <v>65</v>
      </c>
      <c r="D1891" t="s">
        <v>3690</v>
      </c>
      <c r="E1891" t="s">
        <v>24</v>
      </c>
      <c r="F1891" t="s">
        <v>25</v>
      </c>
      <c r="G1891">
        <v>312</v>
      </c>
      <c r="H1891">
        <v>0.1</v>
      </c>
      <c r="I1891">
        <v>280.8</v>
      </c>
      <c r="J1891">
        <v>3</v>
      </c>
      <c r="K1891">
        <v>137.82154431606301</v>
      </c>
      <c r="L1891">
        <v>842.4</v>
      </c>
      <c r="M1891">
        <v>413.46463294819</v>
      </c>
      <c r="N1891">
        <v>428.93536705180998</v>
      </c>
      <c r="O1891" t="s">
        <v>32</v>
      </c>
      <c r="P1891">
        <f t="shared" si="58"/>
        <v>936</v>
      </c>
      <c r="Q1891">
        <f t="shared" si="59"/>
        <v>-428.93536705180998</v>
      </c>
    </row>
    <row r="1892" spans="1:17" x14ac:dyDescent="0.4">
      <c r="A1892" t="s">
        <v>3691</v>
      </c>
      <c r="B1892" s="1">
        <v>45980.791666666664</v>
      </c>
      <c r="C1892" t="s">
        <v>43</v>
      </c>
      <c r="D1892" t="s">
        <v>3692</v>
      </c>
      <c r="E1892" t="s">
        <v>104</v>
      </c>
      <c r="F1892" t="s">
        <v>25</v>
      </c>
      <c r="G1892">
        <v>338</v>
      </c>
      <c r="H1892">
        <v>0</v>
      </c>
      <c r="I1892">
        <v>338</v>
      </c>
      <c r="J1892">
        <v>6</v>
      </c>
      <c r="K1892">
        <v>140.44014948694399</v>
      </c>
      <c r="L1892">
        <v>2028</v>
      </c>
      <c r="M1892">
        <v>842.64089692166499</v>
      </c>
      <c r="N1892">
        <v>1185.35910307833</v>
      </c>
      <c r="O1892" t="s">
        <v>26</v>
      </c>
      <c r="P1892">
        <f t="shared" si="58"/>
        <v>2028</v>
      </c>
      <c r="Q1892">
        <f t="shared" si="59"/>
        <v>-1185.359103078335</v>
      </c>
    </row>
    <row r="1893" spans="1:17" x14ac:dyDescent="0.4">
      <c r="A1893" t="s">
        <v>3693</v>
      </c>
      <c r="B1893" s="1">
        <v>45795.708333333336</v>
      </c>
      <c r="C1893" t="s">
        <v>16</v>
      </c>
      <c r="D1893" t="s">
        <v>3694</v>
      </c>
      <c r="E1893" t="s">
        <v>97</v>
      </c>
      <c r="F1893" t="s">
        <v>61</v>
      </c>
      <c r="G1893">
        <v>164</v>
      </c>
      <c r="H1893">
        <v>0.2</v>
      </c>
      <c r="I1893">
        <v>131.19999999999999</v>
      </c>
      <c r="J1893">
        <v>4</v>
      </c>
      <c r="K1893">
        <v>65.617778611921295</v>
      </c>
      <c r="L1893">
        <v>524.79999999999995</v>
      </c>
      <c r="M1893">
        <v>262.47111444768501</v>
      </c>
      <c r="N1893">
        <v>262.32888555231398</v>
      </c>
      <c r="O1893" t="s">
        <v>26</v>
      </c>
      <c r="P1893">
        <f t="shared" si="58"/>
        <v>656</v>
      </c>
      <c r="Q1893">
        <f t="shared" si="59"/>
        <v>-262.32888555231494</v>
      </c>
    </row>
    <row r="1894" spans="1:17" x14ac:dyDescent="0.4">
      <c r="A1894" t="s">
        <v>3695</v>
      </c>
      <c r="B1894" s="1">
        <v>45714.583333333336</v>
      </c>
      <c r="C1894" t="s">
        <v>65</v>
      </c>
      <c r="D1894" t="s">
        <v>3696</v>
      </c>
      <c r="E1894" t="s">
        <v>41</v>
      </c>
      <c r="F1894" t="s">
        <v>31</v>
      </c>
      <c r="G1894">
        <v>241</v>
      </c>
      <c r="H1894">
        <v>0.15</v>
      </c>
      <c r="I1894">
        <v>204.85</v>
      </c>
      <c r="J1894">
        <v>6</v>
      </c>
      <c r="K1894">
        <v>102.38108324869</v>
      </c>
      <c r="L1894">
        <v>1229.0999999999999</v>
      </c>
      <c r="M1894">
        <v>614.28649949214503</v>
      </c>
      <c r="N1894">
        <v>614.81350050785397</v>
      </c>
      <c r="O1894" t="s">
        <v>32</v>
      </c>
      <c r="P1894">
        <f t="shared" si="58"/>
        <v>1446</v>
      </c>
      <c r="Q1894">
        <f t="shared" si="59"/>
        <v>-614.81350050785488</v>
      </c>
    </row>
    <row r="1895" spans="1:17" x14ac:dyDescent="0.4">
      <c r="A1895" t="s">
        <v>3697</v>
      </c>
      <c r="B1895" s="1">
        <v>45989.875</v>
      </c>
      <c r="C1895" t="s">
        <v>16</v>
      </c>
      <c r="D1895" t="s">
        <v>3698</v>
      </c>
      <c r="E1895" t="s">
        <v>115</v>
      </c>
      <c r="F1895" t="s">
        <v>38</v>
      </c>
      <c r="G1895">
        <v>163</v>
      </c>
      <c r="H1895">
        <v>0.15</v>
      </c>
      <c r="I1895">
        <v>138.54999999999899</v>
      </c>
      <c r="J1895">
        <v>7</v>
      </c>
      <c r="K1895">
        <v>67.962321396493607</v>
      </c>
      <c r="L1895">
        <v>969.849999999999</v>
      </c>
      <c r="M1895">
        <v>475.73624977545501</v>
      </c>
      <c r="N1895">
        <v>494.11375022454399</v>
      </c>
      <c r="O1895" t="s">
        <v>32</v>
      </c>
      <c r="P1895">
        <f t="shared" si="58"/>
        <v>1141</v>
      </c>
      <c r="Q1895">
        <f t="shared" si="59"/>
        <v>-494.11375022454399</v>
      </c>
    </row>
    <row r="1896" spans="1:17" x14ac:dyDescent="0.4">
      <c r="A1896" t="s">
        <v>3699</v>
      </c>
      <c r="B1896" s="1">
        <v>45941.458333333336</v>
      </c>
      <c r="C1896" t="s">
        <v>46</v>
      </c>
      <c r="D1896" t="s">
        <v>3700</v>
      </c>
      <c r="E1896" t="s">
        <v>69</v>
      </c>
      <c r="F1896" t="s">
        <v>70</v>
      </c>
      <c r="G1896">
        <v>264</v>
      </c>
      <c r="H1896">
        <v>0.15</v>
      </c>
      <c r="I1896">
        <v>224.4</v>
      </c>
      <c r="J1896">
        <v>5</v>
      </c>
      <c r="K1896">
        <v>129.35436033906601</v>
      </c>
      <c r="L1896">
        <v>1122</v>
      </c>
      <c r="M1896">
        <v>646.77180169533199</v>
      </c>
      <c r="N1896">
        <v>475.22819830466699</v>
      </c>
      <c r="O1896" t="s">
        <v>32</v>
      </c>
      <c r="P1896">
        <f t="shared" si="58"/>
        <v>1320</v>
      </c>
      <c r="Q1896">
        <f t="shared" si="59"/>
        <v>-475.22819830466801</v>
      </c>
    </row>
    <row r="1897" spans="1:17" x14ac:dyDescent="0.4">
      <c r="A1897" t="s">
        <v>3701</v>
      </c>
      <c r="B1897" s="1">
        <v>45703.083333333336</v>
      </c>
      <c r="C1897" t="s">
        <v>22</v>
      </c>
      <c r="D1897" t="s">
        <v>3702</v>
      </c>
      <c r="E1897" t="s">
        <v>213</v>
      </c>
      <c r="F1897" t="s">
        <v>31</v>
      </c>
      <c r="G1897">
        <v>183</v>
      </c>
      <c r="H1897">
        <v>0.15</v>
      </c>
      <c r="I1897">
        <v>155.54999999999899</v>
      </c>
      <c r="J1897">
        <v>7</v>
      </c>
      <c r="K1897">
        <v>123.108087599025</v>
      </c>
      <c r="L1897">
        <v>1088.8499999999999</v>
      </c>
      <c r="M1897">
        <v>861.75661319317805</v>
      </c>
      <c r="N1897">
        <v>227.093386806821</v>
      </c>
      <c r="O1897" t="s">
        <v>32</v>
      </c>
      <c r="P1897">
        <f t="shared" si="58"/>
        <v>1281</v>
      </c>
      <c r="Q1897">
        <f t="shared" si="59"/>
        <v>-227.09338680682185</v>
      </c>
    </row>
    <row r="1898" spans="1:17" x14ac:dyDescent="0.4">
      <c r="A1898" t="s">
        <v>3703</v>
      </c>
      <c r="B1898" s="1">
        <v>45480.791666666664</v>
      </c>
      <c r="C1898" t="s">
        <v>43</v>
      </c>
      <c r="D1898" t="s">
        <v>733</v>
      </c>
      <c r="E1898" t="s">
        <v>146</v>
      </c>
      <c r="F1898" t="s">
        <v>70</v>
      </c>
      <c r="G1898">
        <v>136</v>
      </c>
      <c r="H1898">
        <v>0.1</v>
      </c>
      <c r="I1898">
        <v>122.4</v>
      </c>
      <c r="J1898">
        <v>3</v>
      </c>
      <c r="K1898">
        <v>69.302758861124303</v>
      </c>
      <c r="L1898">
        <v>367.2</v>
      </c>
      <c r="M1898">
        <v>207.90827658337301</v>
      </c>
      <c r="N1898">
        <v>159.29172341662601</v>
      </c>
      <c r="O1898" t="s">
        <v>51</v>
      </c>
      <c r="P1898">
        <f t="shared" si="58"/>
        <v>408</v>
      </c>
      <c r="Q1898">
        <f t="shared" si="59"/>
        <v>-159.29172341662698</v>
      </c>
    </row>
    <row r="1899" spans="1:17" x14ac:dyDescent="0.4">
      <c r="A1899" t="s">
        <v>3704</v>
      </c>
      <c r="B1899" s="1">
        <v>45820.583333333336</v>
      </c>
      <c r="C1899" t="s">
        <v>28</v>
      </c>
      <c r="D1899" t="s">
        <v>3705</v>
      </c>
      <c r="E1899" t="s">
        <v>73</v>
      </c>
      <c r="F1899" t="s">
        <v>38</v>
      </c>
      <c r="G1899">
        <v>267</v>
      </c>
      <c r="H1899">
        <v>0.05</v>
      </c>
      <c r="I1899">
        <v>253.64999999999901</v>
      </c>
      <c r="J1899">
        <v>3</v>
      </c>
      <c r="K1899">
        <v>189.80175040551001</v>
      </c>
      <c r="L1899">
        <v>760.94999999999902</v>
      </c>
      <c r="M1899">
        <v>569.40525121653104</v>
      </c>
      <c r="N1899">
        <v>191.54474878346801</v>
      </c>
      <c r="O1899" t="s">
        <v>32</v>
      </c>
      <c r="P1899">
        <f t="shared" si="58"/>
        <v>801</v>
      </c>
      <c r="Q1899">
        <f t="shared" si="59"/>
        <v>-191.54474878346798</v>
      </c>
    </row>
    <row r="1900" spans="1:17" x14ac:dyDescent="0.4">
      <c r="A1900" t="s">
        <v>3706</v>
      </c>
      <c r="B1900" s="1">
        <v>45514.083333333336</v>
      </c>
      <c r="C1900" t="s">
        <v>28</v>
      </c>
      <c r="D1900" t="s">
        <v>3707</v>
      </c>
      <c r="E1900" t="s">
        <v>146</v>
      </c>
      <c r="F1900" t="s">
        <v>70</v>
      </c>
      <c r="G1900">
        <v>293</v>
      </c>
      <c r="H1900">
        <v>0.25</v>
      </c>
      <c r="I1900">
        <v>219.75</v>
      </c>
      <c r="J1900">
        <v>6</v>
      </c>
      <c r="K1900">
        <v>182.00976363543799</v>
      </c>
      <c r="L1900">
        <v>1318.5</v>
      </c>
      <c r="M1900">
        <v>1092.0585818126201</v>
      </c>
      <c r="N1900">
        <v>226.441418187371</v>
      </c>
      <c r="O1900" t="s">
        <v>26</v>
      </c>
      <c r="P1900">
        <f t="shared" si="58"/>
        <v>1758</v>
      </c>
      <c r="Q1900">
        <f t="shared" si="59"/>
        <v>-226.4414181873799</v>
      </c>
    </row>
    <row r="1901" spans="1:17" x14ac:dyDescent="0.4">
      <c r="A1901" t="s">
        <v>3708</v>
      </c>
      <c r="B1901" s="1">
        <v>45521.583333333336</v>
      </c>
      <c r="C1901" t="s">
        <v>65</v>
      </c>
      <c r="D1901" t="s">
        <v>3709</v>
      </c>
      <c r="E1901" t="s">
        <v>41</v>
      </c>
      <c r="F1901" t="s">
        <v>31</v>
      </c>
      <c r="G1901">
        <v>158</v>
      </c>
      <c r="H1901">
        <v>0</v>
      </c>
      <c r="I1901">
        <v>158</v>
      </c>
      <c r="J1901">
        <v>1</v>
      </c>
      <c r="K1901">
        <v>112.84309902393299</v>
      </c>
      <c r="L1901">
        <v>158</v>
      </c>
      <c r="M1901">
        <v>112.84309902393299</v>
      </c>
      <c r="N1901">
        <v>45.156900976066296</v>
      </c>
      <c r="O1901" t="s">
        <v>51</v>
      </c>
      <c r="P1901">
        <f t="shared" si="58"/>
        <v>158</v>
      </c>
      <c r="Q1901">
        <f t="shared" si="59"/>
        <v>-45.156900976067007</v>
      </c>
    </row>
    <row r="1902" spans="1:17" x14ac:dyDescent="0.4">
      <c r="A1902" t="s">
        <v>3710</v>
      </c>
      <c r="B1902" s="1">
        <v>45665.5</v>
      </c>
      <c r="C1902" t="s">
        <v>46</v>
      </c>
      <c r="D1902" t="s">
        <v>3711</v>
      </c>
      <c r="E1902" t="s">
        <v>18</v>
      </c>
      <c r="F1902" t="s">
        <v>19</v>
      </c>
      <c r="G1902">
        <v>93</v>
      </c>
      <c r="H1902">
        <v>0</v>
      </c>
      <c r="I1902">
        <v>93</v>
      </c>
      <c r="J1902">
        <v>2</v>
      </c>
      <c r="K1902">
        <v>40.869598730802402</v>
      </c>
      <c r="L1902">
        <v>186</v>
      </c>
      <c r="M1902">
        <v>81.739197461604903</v>
      </c>
      <c r="N1902">
        <v>104.260802538395</v>
      </c>
      <c r="O1902" t="s">
        <v>32</v>
      </c>
      <c r="P1902">
        <f t="shared" si="58"/>
        <v>186</v>
      </c>
      <c r="Q1902">
        <f t="shared" si="59"/>
        <v>-104.2608025383951</v>
      </c>
    </row>
    <row r="1903" spans="1:17" x14ac:dyDescent="0.4">
      <c r="A1903" t="s">
        <v>3712</v>
      </c>
      <c r="B1903" s="1">
        <v>45562.541666666664</v>
      </c>
      <c r="C1903" t="s">
        <v>65</v>
      </c>
      <c r="D1903" t="s">
        <v>1282</v>
      </c>
      <c r="E1903" t="s">
        <v>115</v>
      </c>
      <c r="F1903" t="s">
        <v>38</v>
      </c>
      <c r="G1903">
        <v>233</v>
      </c>
      <c r="H1903">
        <v>0.05</v>
      </c>
      <c r="I1903">
        <v>221.35</v>
      </c>
      <c r="J1903">
        <v>7</v>
      </c>
      <c r="K1903">
        <v>158.32689144855701</v>
      </c>
      <c r="L1903">
        <v>1549.45</v>
      </c>
      <c r="M1903">
        <v>1108.2882401398999</v>
      </c>
      <c r="N1903">
        <v>441.16175986009802</v>
      </c>
      <c r="O1903" t="s">
        <v>51</v>
      </c>
      <c r="P1903">
        <f t="shared" si="58"/>
        <v>1631</v>
      </c>
      <c r="Q1903">
        <f t="shared" si="59"/>
        <v>-441.16175986010012</v>
      </c>
    </row>
    <row r="1904" spans="1:17" x14ac:dyDescent="0.4">
      <c r="A1904" t="s">
        <v>3713</v>
      </c>
      <c r="B1904" s="1">
        <v>45740.291666666664</v>
      </c>
      <c r="C1904" t="s">
        <v>43</v>
      </c>
      <c r="D1904" t="s">
        <v>72</v>
      </c>
      <c r="E1904" t="s">
        <v>73</v>
      </c>
      <c r="F1904" t="s">
        <v>38</v>
      </c>
      <c r="G1904">
        <v>82</v>
      </c>
      <c r="H1904">
        <v>0.15</v>
      </c>
      <c r="I1904">
        <v>69.7</v>
      </c>
      <c r="J1904">
        <v>2</v>
      </c>
      <c r="K1904">
        <v>58.065993220952102</v>
      </c>
      <c r="L1904">
        <v>139.4</v>
      </c>
      <c r="M1904">
        <v>116.131986441904</v>
      </c>
      <c r="N1904">
        <v>23.268013558095699</v>
      </c>
      <c r="O1904" t="s">
        <v>32</v>
      </c>
      <c r="P1904">
        <f t="shared" si="58"/>
        <v>164</v>
      </c>
      <c r="Q1904">
        <f t="shared" si="59"/>
        <v>-23.268013558096001</v>
      </c>
    </row>
    <row r="1905" spans="1:17" x14ac:dyDescent="0.4">
      <c r="A1905" t="s">
        <v>3714</v>
      </c>
      <c r="B1905" s="1">
        <v>45518.625</v>
      </c>
      <c r="C1905" t="s">
        <v>16</v>
      </c>
      <c r="D1905" t="s">
        <v>3715</v>
      </c>
      <c r="E1905" t="s">
        <v>18</v>
      </c>
      <c r="F1905" t="s">
        <v>19</v>
      </c>
      <c r="G1905">
        <v>341</v>
      </c>
      <c r="H1905">
        <v>0.1</v>
      </c>
      <c r="I1905">
        <v>306.89999999999998</v>
      </c>
      <c r="J1905">
        <v>2</v>
      </c>
      <c r="K1905">
        <v>139.666692106157</v>
      </c>
      <c r="L1905">
        <v>613.79999999999995</v>
      </c>
      <c r="M1905">
        <v>279.333384212314</v>
      </c>
      <c r="N1905">
        <v>334.46661578768499</v>
      </c>
      <c r="O1905" t="s">
        <v>51</v>
      </c>
      <c r="P1905">
        <f t="shared" si="58"/>
        <v>682</v>
      </c>
      <c r="Q1905">
        <f t="shared" si="59"/>
        <v>-334.46661578768595</v>
      </c>
    </row>
    <row r="1906" spans="1:17" x14ac:dyDescent="0.4">
      <c r="A1906" t="s">
        <v>3716</v>
      </c>
      <c r="B1906" s="1">
        <v>45895.041666666664</v>
      </c>
      <c r="C1906" t="s">
        <v>16</v>
      </c>
      <c r="D1906" t="s">
        <v>3717</v>
      </c>
      <c r="E1906" t="s">
        <v>37</v>
      </c>
      <c r="F1906" t="s">
        <v>38</v>
      </c>
      <c r="G1906">
        <v>170</v>
      </c>
      <c r="H1906">
        <v>0.1</v>
      </c>
      <c r="I1906">
        <v>153</v>
      </c>
      <c r="J1906">
        <v>5</v>
      </c>
      <c r="K1906">
        <v>71.178291980103396</v>
      </c>
      <c r="L1906">
        <v>765</v>
      </c>
      <c r="M1906">
        <v>355.891459900516</v>
      </c>
      <c r="N1906">
        <v>409.10854009948298</v>
      </c>
      <c r="O1906" t="s">
        <v>32</v>
      </c>
      <c r="P1906">
        <f t="shared" si="58"/>
        <v>850</v>
      </c>
      <c r="Q1906">
        <f t="shared" si="59"/>
        <v>-409.108540099484</v>
      </c>
    </row>
    <row r="1907" spans="1:17" x14ac:dyDescent="0.4">
      <c r="A1907" t="s">
        <v>3718</v>
      </c>
      <c r="B1907" s="1">
        <v>45698.875</v>
      </c>
      <c r="C1907" t="s">
        <v>43</v>
      </c>
      <c r="D1907" t="s">
        <v>3719</v>
      </c>
      <c r="E1907" t="s">
        <v>24</v>
      </c>
      <c r="F1907" t="s">
        <v>25</v>
      </c>
      <c r="G1907">
        <v>97</v>
      </c>
      <c r="H1907">
        <v>0.05</v>
      </c>
      <c r="I1907">
        <v>92.149999999999906</v>
      </c>
      <c r="J1907">
        <v>1</v>
      </c>
      <c r="K1907">
        <v>41.002460004501799</v>
      </c>
      <c r="L1907">
        <v>92.149999999999906</v>
      </c>
      <c r="M1907">
        <v>41.002460004501799</v>
      </c>
      <c r="N1907">
        <v>51.1475399954981</v>
      </c>
      <c r="O1907" t="s">
        <v>32</v>
      </c>
      <c r="P1907">
        <f t="shared" si="58"/>
        <v>97</v>
      </c>
      <c r="Q1907">
        <f t="shared" si="59"/>
        <v>-51.147539995498107</v>
      </c>
    </row>
    <row r="1908" spans="1:17" x14ac:dyDescent="0.4">
      <c r="A1908" t="s">
        <v>3720</v>
      </c>
      <c r="B1908" s="1">
        <v>45845.291666666664</v>
      </c>
      <c r="C1908" t="s">
        <v>28</v>
      </c>
      <c r="D1908" t="s">
        <v>2685</v>
      </c>
      <c r="E1908" t="s">
        <v>85</v>
      </c>
      <c r="F1908" t="s">
        <v>70</v>
      </c>
      <c r="G1908">
        <v>133</v>
      </c>
      <c r="H1908">
        <v>0</v>
      </c>
      <c r="I1908">
        <v>133</v>
      </c>
      <c r="J1908">
        <v>4</v>
      </c>
      <c r="K1908">
        <v>65.922690295330597</v>
      </c>
      <c r="L1908">
        <v>532</v>
      </c>
      <c r="M1908">
        <v>263.69076118132199</v>
      </c>
      <c r="N1908">
        <v>268.30923881867699</v>
      </c>
      <c r="O1908" t="s">
        <v>26</v>
      </c>
      <c r="P1908">
        <f t="shared" si="58"/>
        <v>532</v>
      </c>
      <c r="Q1908">
        <f t="shared" si="59"/>
        <v>-268.30923881867801</v>
      </c>
    </row>
    <row r="1909" spans="1:17" x14ac:dyDescent="0.4">
      <c r="A1909" t="s">
        <v>3721</v>
      </c>
      <c r="B1909" s="1">
        <v>45563.291666666664</v>
      </c>
      <c r="C1909" t="s">
        <v>22</v>
      </c>
      <c r="D1909" t="s">
        <v>3722</v>
      </c>
      <c r="E1909" t="s">
        <v>18</v>
      </c>
      <c r="F1909" t="s">
        <v>19</v>
      </c>
      <c r="G1909">
        <v>307</v>
      </c>
      <c r="H1909">
        <v>0.15</v>
      </c>
      <c r="I1909">
        <v>260.95</v>
      </c>
      <c r="J1909">
        <v>2</v>
      </c>
      <c r="K1909">
        <v>176.326049580854</v>
      </c>
      <c r="L1909">
        <v>521.9</v>
      </c>
      <c r="M1909">
        <v>352.65209916170801</v>
      </c>
      <c r="N1909">
        <v>169.247900838291</v>
      </c>
      <c r="O1909" t="s">
        <v>26</v>
      </c>
      <c r="P1909">
        <f t="shared" si="58"/>
        <v>614</v>
      </c>
      <c r="Q1909">
        <f t="shared" si="59"/>
        <v>-169.24790083829197</v>
      </c>
    </row>
    <row r="1910" spans="1:17" x14ac:dyDescent="0.4">
      <c r="A1910" t="s">
        <v>3723</v>
      </c>
      <c r="B1910" s="1">
        <v>45770.458333333336</v>
      </c>
      <c r="C1910" t="s">
        <v>43</v>
      </c>
      <c r="D1910" t="s">
        <v>3724</v>
      </c>
      <c r="E1910" t="s">
        <v>115</v>
      </c>
      <c r="F1910" t="s">
        <v>38</v>
      </c>
      <c r="G1910">
        <v>298</v>
      </c>
      <c r="H1910">
        <v>0.05</v>
      </c>
      <c r="I1910">
        <v>283.099999999999</v>
      </c>
      <c r="J1910">
        <v>7</v>
      </c>
      <c r="K1910">
        <v>217.390697570604</v>
      </c>
      <c r="L1910">
        <v>1981.69999999999</v>
      </c>
      <c r="M1910">
        <v>1521.73488299423</v>
      </c>
      <c r="N1910">
        <v>459.96511700576502</v>
      </c>
      <c r="O1910" t="s">
        <v>26</v>
      </c>
      <c r="P1910">
        <f t="shared" si="58"/>
        <v>2086</v>
      </c>
      <c r="Q1910">
        <f t="shared" si="59"/>
        <v>-459.96511700576002</v>
      </c>
    </row>
    <row r="1911" spans="1:17" x14ac:dyDescent="0.4">
      <c r="A1911" t="s">
        <v>3725</v>
      </c>
      <c r="B1911" s="1">
        <v>45391</v>
      </c>
      <c r="C1911" t="s">
        <v>43</v>
      </c>
      <c r="D1911" t="s">
        <v>3726</v>
      </c>
      <c r="E1911" t="s">
        <v>97</v>
      </c>
      <c r="F1911" t="s">
        <v>61</v>
      </c>
      <c r="G1911">
        <v>204</v>
      </c>
      <c r="H1911">
        <v>0</v>
      </c>
      <c r="I1911">
        <v>204</v>
      </c>
      <c r="J1911">
        <v>3</v>
      </c>
      <c r="K1911">
        <v>84.554831572960097</v>
      </c>
      <c r="L1911">
        <v>612</v>
      </c>
      <c r="M1911">
        <v>253.66449471888001</v>
      </c>
      <c r="N1911">
        <v>358.33550528111903</v>
      </c>
      <c r="O1911" t="s">
        <v>32</v>
      </c>
      <c r="P1911">
        <f t="shared" si="58"/>
        <v>612</v>
      </c>
      <c r="Q1911">
        <f t="shared" si="59"/>
        <v>-358.33550528111999</v>
      </c>
    </row>
    <row r="1912" spans="1:17" x14ac:dyDescent="0.4">
      <c r="A1912" t="s">
        <v>3727</v>
      </c>
      <c r="B1912" s="1">
        <v>45784.666666666664</v>
      </c>
      <c r="C1912" t="s">
        <v>43</v>
      </c>
      <c r="D1912" t="s">
        <v>3728</v>
      </c>
      <c r="E1912" t="s">
        <v>18</v>
      </c>
      <c r="F1912" t="s">
        <v>19</v>
      </c>
      <c r="G1912">
        <v>273</v>
      </c>
      <c r="H1912">
        <v>0</v>
      </c>
      <c r="I1912">
        <v>273</v>
      </c>
      <c r="J1912">
        <v>7</v>
      </c>
      <c r="K1912">
        <v>131.23714039294799</v>
      </c>
      <c r="L1912">
        <v>1911</v>
      </c>
      <c r="M1912">
        <v>918.659982750636</v>
      </c>
      <c r="N1912">
        <v>992.34001724936297</v>
      </c>
      <c r="O1912" t="s">
        <v>51</v>
      </c>
      <c r="P1912">
        <f t="shared" si="58"/>
        <v>1911</v>
      </c>
      <c r="Q1912">
        <f t="shared" si="59"/>
        <v>-992.340017249364</v>
      </c>
    </row>
    <row r="1913" spans="1:17" x14ac:dyDescent="0.4">
      <c r="A1913" t="s">
        <v>3729</v>
      </c>
      <c r="B1913" s="1">
        <v>45582.791666666664</v>
      </c>
      <c r="C1913" t="s">
        <v>28</v>
      </c>
      <c r="D1913" t="s">
        <v>3730</v>
      </c>
      <c r="E1913" t="s">
        <v>146</v>
      </c>
      <c r="F1913" t="s">
        <v>70</v>
      </c>
      <c r="G1913">
        <v>162</v>
      </c>
      <c r="H1913">
        <v>0</v>
      </c>
      <c r="I1913">
        <v>162</v>
      </c>
      <c r="J1913">
        <v>3</v>
      </c>
      <c r="K1913">
        <v>120.66904554957</v>
      </c>
      <c r="L1913">
        <v>486</v>
      </c>
      <c r="M1913">
        <v>362.00713664871103</v>
      </c>
      <c r="N1913">
        <v>123.99286335128799</v>
      </c>
      <c r="O1913" t="s">
        <v>32</v>
      </c>
      <c r="P1913">
        <f t="shared" si="58"/>
        <v>486</v>
      </c>
      <c r="Q1913">
        <f t="shared" si="59"/>
        <v>-123.99286335128897</v>
      </c>
    </row>
    <row r="1914" spans="1:17" x14ac:dyDescent="0.4">
      <c r="A1914" t="s">
        <v>3731</v>
      </c>
      <c r="B1914" s="1">
        <v>45701.666666666664</v>
      </c>
      <c r="C1914" t="s">
        <v>28</v>
      </c>
      <c r="D1914" t="s">
        <v>3732</v>
      </c>
      <c r="E1914" t="s">
        <v>41</v>
      </c>
      <c r="F1914" t="s">
        <v>31</v>
      </c>
      <c r="G1914">
        <v>187</v>
      </c>
      <c r="H1914">
        <v>0.2</v>
      </c>
      <c r="I1914">
        <v>149.6</v>
      </c>
      <c r="J1914">
        <v>7</v>
      </c>
      <c r="K1914">
        <v>77.700068700554795</v>
      </c>
      <c r="L1914">
        <v>1047.2</v>
      </c>
      <c r="M1914">
        <v>543.90048090388302</v>
      </c>
      <c r="N1914">
        <v>503.299519096116</v>
      </c>
      <c r="O1914" t="s">
        <v>32</v>
      </c>
      <c r="P1914">
        <f t="shared" si="58"/>
        <v>1309</v>
      </c>
      <c r="Q1914">
        <f t="shared" si="59"/>
        <v>-503.29951909611702</v>
      </c>
    </row>
    <row r="1915" spans="1:17" x14ac:dyDescent="0.4">
      <c r="A1915" t="s">
        <v>3733</v>
      </c>
      <c r="B1915" s="1">
        <v>45813</v>
      </c>
      <c r="C1915" t="s">
        <v>65</v>
      </c>
      <c r="D1915" t="s">
        <v>3734</v>
      </c>
      <c r="E1915" t="s">
        <v>104</v>
      </c>
      <c r="F1915" t="s">
        <v>25</v>
      </c>
      <c r="G1915">
        <v>91</v>
      </c>
      <c r="H1915">
        <v>0</v>
      </c>
      <c r="I1915">
        <v>91</v>
      </c>
      <c r="J1915">
        <v>4</v>
      </c>
      <c r="K1915">
        <v>36.707870594082301</v>
      </c>
      <c r="L1915">
        <v>364</v>
      </c>
      <c r="M1915">
        <v>146.83148237632901</v>
      </c>
      <c r="N1915">
        <v>217.16851762367</v>
      </c>
      <c r="O1915" t="s">
        <v>32</v>
      </c>
      <c r="P1915">
        <f t="shared" si="58"/>
        <v>364</v>
      </c>
      <c r="Q1915">
        <f t="shared" si="59"/>
        <v>-217.16851762367099</v>
      </c>
    </row>
    <row r="1916" spans="1:17" x14ac:dyDescent="0.4">
      <c r="A1916" t="s">
        <v>3735</v>
      </c>
      <c r="B1916" s="1">
        <v>45579.916666666664</v>
      </c>
      <c r="C1916" t="s">
        <v>22</v>
      </c>
      <c r="D1916" t="s">
        <v>3147</v>
      </c>
      <c r="E1916" t="s">
        <v>110</v>
      </c>
      <c r="F1916" t="s">
        <v>19</v>
      </c>
      <c r="G1916">
        <v>202</v>
      </c>
      <c r="H1916">
        <v>0.05</v>
      </c>
      <c r="I1916">
        <v>191.89999999999901</v>
      </c>
      <c r="J1916">
        <v>6</v>
      </c>
      <c r="K1916">
        <v>95.254708764639801</v>
      </c>
      <c r="L1916">
        <v>1151.3999999999901</v>
      </c>
      <c r="M1916">
        <v>571.52825258783901</v>
      </c>
      <c r="N1916">
        <v>579.87174741215995</v>
      </c>
      <c r="O1916" t="s">
        <v>32</v>
      </c>
      <c r="P1916">
        <f t="shared" si="58"/>
        <v>1212</v>
      </c>
      <c r="Q1916">
        <f t="shared" si="59"/>
        <v>-579.87174741215108</v>
      </c>
    </row>
    <row r="1917" spans="1:17" x14ac:dyDescent="0.4">
      <c r="A1917" t="s">
        <v>3736</v>
      </c>
      <c r="B1917" s="1">
        <v>45879.041666666664</v>
      </c>
      <c r="C1917" t="s">
        <v>22</v>
      </c>
      <c r="D1917" t="s">
        <v>3737</v>
      </c>
      <c r="E1917" t="s">
        <v>48</v>
      </c>
      <c r="F1917" t="s">
        <v>19</v>
      </c>
      <c r="G1917">
        <v>116</v>
      </c>
      <c r="H1917">
        <v>0</v>
      </c>
      <c r="I1917">
        <v>116</v>
      </c>
      <c r="J1917">
        <v>6</v>
      </c>
      <c r="K1917">
        <v>70.462156375419795</v>
      </c>
      <c r="L1917">
        <v>696</v>
      </c>
      <c r="M1917">
        <v>422.772938252519</v>
      </c>
      <c r="N1917">
        <v>273.22706174747998</v>
      </c>
      <c r="O1917" t="s">
        <v>32</v>
      </c>
      <c r="P1917">
        <f t="shared" si="58"/>
        <v>696</v>
      </c>
      <c r="Q1917">
        <f t="shared" si="59"/>
        <v>-273.227061747481</v>
      </c>
    </row>
    <row r="1918" spans="1:17" x14ac:dyDescent="0.4">
      <c r="A1918" t="s">
        <v>3738</v>
      </c>
      <c r="B1918" s="1">
        <v>45383.5</v>
      </c>
      <c r="C1918" t="s">
        <v>46</v>
      </c>
      <c r="D1918" t="s">
        <v>3739</v>
      </c>
      <c r="E1918" t="s">
        <v>85</v>
      </c>
      <c r="F1918" t="s">
        <v>70</v>
      </c>
      <c r="G1918">
        <v>174</v>
      </c>
      <c r="H1918">
        <v>0.25</v>
      </c>
      <c r="I1918">
        <v>130.5</v>
      </c>
      <c r="J1918">
        <v>1</v>
      </c>
      <c r="K1918">
        <v>77.999510076609496</v>
      </c>
      <c r="L1918">
        <v>130.5</v>
      </c>
      <c r="M1918">
        <v>77.999510076609496</v>
      </c>
      <c r="N1918">
        <v>52.500489923390397</v>
      </c>
      <c r="O1918" t="s">
        <v>32</v>
      </c>
      <c r="P1918">
        <f t="shared" si="58"/>
        <v>174</v>
      </c>
      <c r="Q1918">
        <f t="shared" si="59"/>
        <v>-52.500489923390504</v>
      </c>
    </row>
    <row r="1919" spans="1:17" x14ac:dyDescent="0.4">
      <c r="A1919" t="s">
        <v>3740</v>
      </c>
      <c r="B1919" s="1">
        <v>45541.083333333336</v>
      </c>
      <c r="C1919" t="s">
        <v>65</v>
      </c>
      <c r="D1919" t="s">
        <v>3741</v>
      </c>
      <c r="E1919" t="s">
        <v>85</v>
      </c>
      <c r="F1919" t="s">
        <v>70</v>
      </c>
      <c r="G1919">
        <v>332</v>
      </c>
      <c r="H1919">
        <v>0</v>
      </c>
      <c r="I1919">
        <v>332</v>
      </c>
      <c r="J1919">
        <v>1</v>
      </c>
      <c r="K1919">
        <v>205.514406032523</v>
      </c>
      <c r="L1919">
        <v>332</v>
      </c>
      <c r="M1919">
        <v>205.514406032523</v>
      </c>
      <c r="N1919">
        <v>126.48559396747601</v>
      </c>
      <c r="O1919" t="s">
        <v>105</v>
      </c>
      <c r="P1919">
        <f t="shared" si="58"/>
        <v>332</v>
      </c>
      <c r="Q1919">
        <f t="shared" si="59"/>
        <v>-126.485593967477</v>
      </c>
    </row>
    <row r="1920" spans="1:17" x14ac:dyDescent="0.4">
      <c r="A1920" t="s">
        <v>3742</v>
      </c>
      <c r="B1920" s="1">
        <v>46006.708333333336</v>
      </c>
      <c r="C1920" t="s">
        <v>28</v>
      </c>
      <c r="D1920" t="s">
        <v>3743</v>
      </c>
      <c r="E1920" t="s">
        <v>48</v>
      </c>
      <c r="F1920" t="s">
        <v>19</v>
      </c>
      <c r="G1920">
        <v>243</v>
      </c>
      <c r="H1920">
        <v>0</v>
      </c>
      <c r="I1920">
        <v>243</v>
      </c>
      <c r="J1920">
        <v>6</v>
      </c>
      <c r="K1920">
        <v>125.144658944881</v>
      </c>
      <c r="L1920">
        <v>1458</v>
      </c>
      <c r="M1920">
        <v>750.86795366928595</v>
      </c>
      <c r="N1920">
        <v>707.13204633071302</v>
      </c>
      <c r="O1920" t="s">
        <v>32</v>
      </c>
      <c r="P1920">
        <f t="shared" si="58"/>
        <v>1458</v>
      </c>
      <c r="Q1920">
        <f t="shared" si="59"/>
        <v>-707.13204633071405</v>
      </c>
    </row>
    <row r="1921" spans="1:17" x14ac:dyDescent="0.4">
      <c r="A1921" t="s">
        <v>3744</v>
      </c>
      <c r="B1921" s="1">
        <v>45324.5</v>
      </c>
      <c r="C1921" t="s">
        <v>28</v>
      </c>
      <c r="D1921" t="s">
        <v>3745</v>
      </c>
      <c r="E1921" t="s">
        <v>146</v>
      </c>
      <c r="F1921" t="s">
        <v>70</v>
      </c>
      <c r="G1921">
        <v>213</v>
      </c>
      <c r="H1921">
        <v>0.25</v>
      </c>
      <c r="I1921">
        <v>159.75</v>
      </c>
      <c r="J1921">
        <v>5</v>
      </c>
      <c r="K1921">
        <v>106.869169802233</v>
      </c>
      <c r="L1921">
        <v>798.75</v>
      </c>
      <c r="M1921">
        <v>534.34584901116705</v>
      </c>
      <c r="N1921">
        <v>264.40415098883199</v>
      </c>
      <c r="O1921" t="s">
        <v>32</v>
      </c>
      <c r="P1921">
        <f t="shared" si="58"/>
        <v>1065</v>
      </c>
      <c r="Q1921">
        <f t="shared" si="59"/>
        <v>-264.40415098883295</v>
      </c>
    </row>
    <row r="1922" spans="1:17" x14ac:dyDescent="0.4">
      <c r="A1922" t="s">
        <v>3746</v>
      </c>
      <c r="B1922" s="1">
        <v>45704.833333333336</v>
      </c>
      <c r="C1922" t="s">
        <v>16</v>
      </c>
      <c r="D1922" t="s">
        <v>3747</v>
      </c>
      <c r="E1922" t="s">
        <v>37</v>
      </c>
      <c r="F1922" t="s">
        <v>38</v>
      </c>
      <c r="G1922">
        <v>134</v>
      </c>
      <c r="H1922">
        <v>0</v>
      </c>
      <c r="I1922">
        <v>134</v>
      </c>
      <c r="J1922">
        <v>5</v>
      </c>
      <c r="K1922">
        <v>55.435302735293</v>
      </c>
      <c r="L1922">
        <v>670</v>
      </c>
      <c r="M1922">
        <v>277.17651367646499</v>
      </c>
      <c r="N1922">
        <v>392.82348632353398</v>
      </c>
      <c r="O1922" t="s">
        <v>51</v>
      </c>
      <c r="P1922">
        <f t="shared" si="58"/>
        <v>670</v>
      </c>
      <c r="Q1922">
        <f t="shared" si="59"/>
        <v>-392.82348632353501</v>
      </c>
    </row>
    <row r="1923" spans="1:17" x14ac:dyDescent="0.4">
      <c r="A1923" t="s">
        <v>3748</v>
      </c>
      <c r="B1923" s="1">
        <v>45554.625</v>
      </c>
      <c r="C1923" t="s">
        <v>65</v>
      </c>
      <c r="D1923" t="s">
        <v>3749</v>
      </c>
      <c r="E1923" t="s">
        <v>73</v>
      </c>
      <c r="F1923" t="s">
        <v>38</v>
      </c>
      <c r="G1923">
        <v>144</v>
      </c>
      <c r="H1923">
        <v>0</v>
      </c>
      <c r="I1923">
        <v>144</v>
      </c>
      <c r="J1923">
        <v>5</v>
      </c>
      <c r="K1923">
        <v>66.301088295326593</v>
      </c>
      <c r="L1923">
        <v>720</v>
      </c>
      <c r="M1923">
        <v>331.505441476633</v>
      </c>
      <c r="N1923">
        <v>388.49455852336598</v>
      </c>
      <c r="O1923" t="s">
        <v>51</v>
      </c>
      <c r="P1923">
        <f t="shared" ref="P1923:P1986" si="60">G1923 * J1923</f>
        <v>720</v>
      </c>
      <c r="Q1923">
        <f t="shared" ref="Q1923:Q1986" si="61" xml:space="preserve"> M1923 - L1923</f>
        <v>-388.494558523367</v>
      </c>
    </row>
    <row r="1924" spans="1:17" x14ac:dyDescent="0.4">
      <c r="A1924" t="s">
        <v>3750</v>
      </c>
      <c r="B1924" s="1">
        <v>45903.916666666664</v>
      </c>
      <c r="C1924" t="s">
        <v>28</v>
      </c>
      <c r="D1924" t="s">
        <v>3751</v>
      </c>
      <c r="E1924" t="s">
        <v>73</v>
      </c>
      <c r="F1924" t="s">
        <v>38</v>
      </c>
      <c r="G1924">
        <v>133</v>
      </c>
      <c r="H1924">
        <v>0.05</v>
      </c>
      <c r="I1924">
        <v>126.35</v>
      </c>
      <c r="J1924">
        <v>6</v>
      </c>
      <c r="K1924">
        <v>59.543708541666703</v>
      </c>
      <c r="L1924">
        <v>758.099999999999</v>
      </c>
      <c r="M1924">
        <v>357.26225125000002</v>
      </c>
      <c r="N1924">
        <v>400.83774874999898</v>
      </c>
      <c r="O1924" t="s">
        <v>51</v>
      </c>
      <c r="P1924">
        <f t="shared" si="60"/>
        <v>798</v>
      </c>
      <c r="Q1924">
        <f t="shared" si="61"/>
        <v>-400.83774874999898</v>
      </c>
    </row>
    <row r="1925" spans="1:17" x14ac:dyDescent="0.4">
      <c r="A1925" t="s">
        <v>3752</v>
      </c>
      <c r="B1925" s="1">
        <v>45457.958333333336</v>
      </c>
      <c r="C1925" t="s">
        <v>46</v>
      </c>
      <c r="D1925" t="s">
        <v>3753</v>
      </c>
      <c r="E1925" t="s">
        <v>94</v>
      </c>
      <c r="F1925" t="s">
        <v>61</v>
      </c>
      <c r="G1925">
        <v>200</v>
      </c>
      <c r="H1925">
        <v>0</v>
      </c>
      <c r="I1925">
        <v>200</v>
      </c>
      <c r="J1925">
        <v>2</v>
      </c>
      <c r="K1925">
        <v>133.191509282715</v>
      </c>
      <c r="L1925">
        <v>400</v>
      </c>
      <c r="M1925">
        <v>266.38301856543001</v>
      </c>
      <c r="N1925">
        <v>133.616981434569</v>
      </c>
      <c r="O1925" t="s">
        <v>26</v>
      </c>
      <c r="P1925">
        <f t="shared" si="60"/>
        <v>400</v>
      </c>
      <c r="Q1925">
        <f t="shared" si="61"/>
        <v>-133.61698143456999</v>
      </c>
    </row>
    <row r="1926" spans="1:17" x14ac:dyDescent="0.4">
      <c r="A1926" t="s">
        <v>3754</v>
      </c>
      <c r="B1926" s="1">
        <v>45687.958333333336</v>
      </c>
      <c r="C1926" t="s">
        <v>22</v>
      </c>
      <c r="D1926" t="s">
        <v>3755</v>
      </c>
      <c r="E1926" t="s">
        <v>37</v>
      </c>
      <c r="F1926" t="s">
        <v>38</v>
      </c>
      <c r="G1926">
        <v>316</v>
      </c>
      <c r="H1926">
        <v>0.2</v>
      </c>
      <c r="I1926">
        <v>252.8</v>
      </c>
      <c r="J1926">
        <v>2</v>
      </c>
      <c r="K1926">
        <v>147.43370178895299</v>
      </c>
      <c r="L1926">
        <v>505.6</v>
      </c>
      <c r="M1926">
        <v>294.867403577907</v>
      </c>
      <c r="N1926">
        <v>210.732596422092</v>
      </c>
      <c r="O1926" t="s">
        <v>32</v>
      </c>
      <c r="P1926">
        <f t="shared" si="60"/>
        <v>632</v>
      </c>
      <c r="Q1926">
        <f t="shared" si="61"/>
        <v>-210.73259642209302</v>
      </c>
    </row>
    <row r="1927" spans="1:17" x14ac:dyDescent="0.4">
      <c r="A1927" t="s">
        <v>3756</v>
      </c>
      <c r="B1927" s="1">
        <v>45996.375</v>
      </c>
      <c r="C1927" t="s">
        <v>16</v>
      </c>
      <c r="D1927" t="s">
        <v>3757</v>
      </c>
      <c r="E1927" t="s">
        <v>48</v>
      </c>
      <c r="F1927" t="s">
        <v>19</v>
      </c>
      <c r="G1927">
        <v>337</v>
      </c>
      <c r="H1927">
        <v>0.05</v>
      </c>
      <c r="I1927">
        <v>320.14999999999998</v>
      </c>
      <c r="J1927">
        <v>3</v>
      </c>
      <c r="K1927">
        <v>162.84017828072001</v>
      </c>
      <c r="L1927">
        <v>960.44999999999902</v>
      </c>
      <c r="M1927">
        <v>488.52053484215998</v>
      </c>
      <c r="N1927">
        <v>471.92946515783899</v>
      </c>
      <c r="O1927" t="s">
        <v>51</v>
      </c>
      <c r="P1927">
        <f t="shared" si="60"/>
        <v>1011</v>
      </c>
      <c r="Q1927">
        <f t="shared" si="61"/>
        <v>-471.92946515783905</v>
      </c>
    </row>
    <row r="1928" spans="1:17" x14ac:dyDescent="0.4">
      <c r="A1928" t="s">
        <v>3758</v>
      </c>
      <c r="B1928" s="1">
        <v>45836.583333333336</v>
      </c>
      <c r="C1928" t="s">
        <v>28</v>
      </c>
      <c r="D1928" t="s">
        <v>3759</v>
      </c>
      <c r="E1928" t="s">
        <v>18</v>
      </c>
      <c r="F1928" t="s">
        <v>19</v>
      </c>
      <c r="G1928">
        <v>116</v>
      </c>
      <c r="H1928">
        <v>0.05</v>
      </c>
      <c r="I1928">
        <v>110.19999999999899</v>
      </c>
      <c r="J1928">
        <v>5</v>
      </c>
      <c r="K1928">
        <v>80.299947378614505</v>
      </c>
      <c r="L1928">
        <v>551</v>
      </c>
      <c r="M1928">
        <v>401.499736893072</v>
      </c>
      <c r="N1928">
        <v>149.50026310692701</v>
      </c>
      <c r="O1928" t="s">
        <v>51</v>
      </c>
      <c r="P1928">
        <f t="shared" si="60"/>
        <v>580</v>
      </c>
      <c r="Q1928">
        <f t="shared" si="61"/>
        <v>-149.500263106928</v>
      </c>
    </row>
    <row r="1929" spans="1:17" x14ac:dyDescent="0.4">
      <c r="A1929" t="s">
        <v>3760</v>
      </c>
      <c r="B1929" s="1">
        <v>45801.666666666664</v>
      </c>
      <c r="C1929" t="s">
        <v>28</v>
      </c>
      <c r="D1929" t="s">
        <v>2290</v>
      </c>
      <c r="E1929" t="s">
        <v>48</v>
      </c>
      <c r="F1929" t="s">
        <v>19</v>
      </c>
      <c r="G1929">
        <v>256</v>
      </c>
      <c r="H1929">
        <v>0</v>
      </c>
      <c r="I1929">
        <v>256</v>
      </c>
      <c r="J1929">
        <v>5</v>
      </c>
      <c r="K1929">
        <v>149.48383502675401</v>
      </c>
      <c r="L1929">
        <v>1280</v>
      </c>
      <c r="M1929">
        <v>747.41917513377405</v>
      </c>
      <c r="N1929">
        <v>532.58082486622504</v>
      </c>
      <c r="O1929" t="s">
        <v>32</v>
      </c>
      <c r="P1929">
        <f t="shared" si="60"/>
        <v>1280</v>
      </c>
      <c r="Q1929">
        <f t="shared" si="61"/>
        <v>-532.58082486622595</v>
      </c>
    </row>
    <row r="1930" spans="1:17" x14ac:dyDescent="0.4">
      <c r="A1930" t="s">
        <v>3761</v>
      </c>
      <c r="B1930" s="1">
        <v>45482.958333333336</v>
      </c>
      <c r="C1930" t="s">
        <v>28</v>
      </c>
      <c r="D1930" t="s">
        <v>3762</v>
      </c>
      <c r="E1930" t="s">
        <v>60</v>
      </c>
      <c r="F1930" t="s">
        <v>61</v>
      </c>
      <c r="G1930">
        <v>338</v>
      </c>
      <c r="H1930">
        <v>0</v>
      </c>
      <c r="I1930">
        <v>338</v>
      </c>
      <c r="J1930">
        <v>5</v>
      </c>
      <c r="K1930">
        <v>249.33857574336599</v>
      </c>
      <c r="L1930">
        <v>1690</v>
      </c>
      <c r="M1930">
        <v>1246.6928787168299</v>
      </c>
      <c r="N1930">
        <v>443.30712128316497</v>
      </c>
      <c r="O1930" t="s">
        <v>32</v>
      </c>
      <c r="P1930">
        <f t="shared" si="60"/>
        <v>1690</v>
      </c>
      <c r="Q1930">
        <f t="shared" si="61"/>
        <v>-443.30712128317009</v>
      </c>
    </row>
    <row r="1931" spans="1:17" x14ac:dyDescent="0.4">
      <c r="A1931" t="s">
        <v>3763</v>
      </c>
      <c r="B1931" s="1">
        <v>45539.75</v>
      </c>
      <c r="C1931" t="s">
        <v>16</v>
      </c>
      <c r="D1931" t="s">
        <v>3764</v>
      </c>
      <c r="E1931" t="s">
        <v>110</v>
      </c>
      <c r="F1931" t="s">
        <v>19</v>
      </c>
      <c r="G1931">
        <v>208</v>
      </c>
      <c r="H1931">
        <v>0.15</v>
      </c>
      <c r="I1931">
        <v>176.79999999999899</v>
      </c>
      <c r="J1931">
        <v>5</v>
      </c>
      <c r="K1931">
        <v>137.890565397458</v>
      </c>
      <c r="L1931">
        <v>883.99999999999898</v>
      </c>
      <c r="M1931">
        <v>689.45282698729295</v>
      </c>
      <c r="N1931">
        <v>194.547173012706</v>
      </c>
      <c r="O1931" t="s">
        <v>105</v>
      </c>
      <c r="P1931">
        <f t="shared" si="60"/>
        <v>1040</v>
      </c>
      <c r="Q1931">
        <f t="shared" si="61"/>
        <v>-194.54717301270603</v>
      </c>
    </row>
    <row r="1932" spans="1:17" x14ac:dyDescent="0.4">
      <c r="A1932" t="s">
        <v>3765</v>
      </c>
      <c r="B1932" s="1">
        <v>45974.375</v>
      </c>
      <c r="C1932" t="s">
        <v>46</v>
      </c>
      <c r="D1932" t="s">
        <v>3766</v>
      </c>
      <c r="E1932" t="s">
        <v>213</v>
      </c>
      <c r="F1932" t="s">
        <v>31</v>
      </c>
      <c r="G1932">
        <v>145</v>
      </c>
      <c r="H1932">
        <v>0</v>
      </c>
      <c r="I1932">
        <v>145</v>
      </c>
      <c r="J1932">
        <v>7</v>
      </c>
      <c r="K1932">
        <v>69.269807607975594</v>
      </c>
      <c r="L1932">
        <v>1015</v>
      </c>
      <c r="M1932">
        <v>484.88865325582901</v>
      </c>
      <c r="N1932">
        <v>530.11134674416996</v>
      </c>
      <c r="O1932" t="s">
        <v>32</v>
      </c>
      <c r="P1932">
        <f t="shared" si="60"/>
        <v>1015</v>
      </c>
      <c r="Q1932">
        <f t="shared" si="61"/>
        <v>-530.11134674417099</v>
      </c>
    </row>
    <row r="1933" spans="1:17" x14ac:dyDescent="0.4">
      <c r="A1933" t="s">
        <v>3767</v>
      </c>
      <c r="B1933" s="1">
        <v>45589</v>
      </c>
      <c r="C1933" t="s">
        <v>22</v>
      </c>
      <c r="D1933" t="s">
        <v>3768</v>
      </c>
      <c r="E1933" t="s">
        <v>104</v>
      </c>
      <c r="F1933" t="s">
        <v>25</v>
      </c>
      <c r="G1933">
        <v>304</v>
      </c>
      <c r="H1933">
        <v>0.15</v>
      </c>
      <c r="I1933">
        <v>258.39999999999998</v>
      </c>
      <c r="J1933">
        <v>1</v>
      </c>
      <c r="K1933">
        <v>163.24879255171101</v>
      </c>
      <c r="L1933">
        <v>258.39999999999998</v>
      </c>
      <c r="M1933">
        <v>163.24879255171101</v>
      </c>
      <c r="N1933">
        <v>95.151207448288105</v>
      </c>
      <c r="O1933" t="s">
        <v>32</v>
      </c>
      <c r="P1933">
        <f t="shared" si="60"/>
        <v>304</v>
      </c>
      <c r="Q1933">
        <f t="shared" si="61"/>
        <v>-95.151207448288972</v>
      </c>
    </row>
    <row r="1934" spans="1:17" x14ac:dyDescent="0.4">
      <c r="A1934" t="s">
        <v>3769</v>
      </c>
      <c r="B1934" s="1">
        <v>45787.375</v>
      </c>
      <c r="C1934" t="s">
        <v>28</v>
      </c>
      <c r="D1934" t="s">
        <v>3770</v>
      </c>
      <c r="E1934" t="s">
        <v>73</v>
      </c>
      <c r="F1934" t="s">
        <v>38</v>
      </c>
      <c r="G1934">
        <v>184</v>
      </c>
      <c r="H1934">
        <v>0.2</v>
      </c>
      <c r="I1934">
        <v>147.19999999999999</v>
      </c>
      <c r="J1934">
        <v>5</v>
      </c>
      <c r="K1934">
        <v>76.010619347977695</v>
      </c>
      <c r="L1934">
        <v>736</v>
      </c>
      <c r="M1934">
        <v>380.05309673988802</v>
      </c>
      <c r="N1934">
        <v>355.94690326011101</v>
      </c>
      <c r="O1934" t="s">
        <v>32</v>
      </c>
      <c r="P1934">
        <f t="shared" si="60"/>
        <v>920</v>
      </c>
      <c r="Q1934">
        <f t="shared" si="61"/>
        <v>-355.94690326011198</v>
      </c>
    </row>
    <row r="1935" spans="1:17" x14ac:dyDescent="0.4">
      <c r="A1935" t="s">
        <v>3771</v>
      </c>
      <c r="B1935" s="1">
        <v>45803.458333333336</v>
      </c>
      <c r="C1935" t="s">
        <v>28</v>
      </c>
      <c r="D1935" t="s">
        <v>3772</v>
      </c>
      <c r="E1935" t="s">
        <v>85</v>
      </c>
      <c r="F1935" t="s">
        <v>70</v>
      </c>
      <c r="G1935">
        <v>296</v>
      </c>
      <c r="H1935">
        <v>0.15</v>
      </c>
      <c r="I1935">
        <v>251.6</v>
      </c>
      <c r="J1935">
        <v>2</v>
      </c>
      <c r="K1935">
        <v>191.19961979986499</v>
      </c>
      <c r="L1935">
        <v>503.2</v>
      </c>
      <c r="M1935">
        <v>382.39923959972998</v>
      </c>
      <c r="N1935">
        <v>120.800760400269</v>
      </c>
      <c r="O1935" t="s">
        <v>32</v>
      </c>
      <c r="P1935">
        <f t="shared" si="60"/>
        <v>592</v>
      </c>
      <c r="Q1935">
        <f t="shared" si="61"/>
        <v>-120.80076040027001</v>
      </c>
    </row>
    <row r="1936" spans="1:17" x14ac:dyDescent="0.4">
      <c r="A1936" t="s">
        <v>3773</v>
      </c>
      <c r="B1936" s="1">
        <v>45394.541666666664</v>
      </c>
      <c r="C1936" t="s">
        <v>65</v>
      </c>
      <c r="D1936" t="s">
        <v>3774</v>
      </c>
      <c r="E1936" t="s">
        <v>60</v>
      </c>
      <c r="F1936" t="s">
        <v>61</v>
      </c>
      <c r="G1936">
        <v>318</v>
      </c>
      <c r="H1936">
        <v>0</v>
      </c>
      <c r="I1936">
        <v>318</v>
      </c>
      <c r="J1936">
        <v>4</v>
      </c>
      <c r="K1936">
        <v>210.70977439166199</v>
      </c>
      <c r="L1936">
        <v>1272</v>
      </c>
      <c r="M1936">
        <v>842.83909756665105</v>
      </c>
      <c r="N1936">
        <v>429.16090243334799</v>
      </c>
      <c r="O1936" t="s">
        <v>32</v>
      </c>
      <c r="P1936">
        <f t="shared" si="60"/>
        <v>1272</v>
      </c>
      <c r="Q1936">
        <f t="shared" si="61"/>
        <v>-429.16090243334895</v>
      </c>
    </row>
    <row r="1937" spans="1:17" x14ac:dyDescent="0.4">
      <c r="A1937" t="s">
        <v>3775</v>
      </c>
      <c r="B1937" s="1">
        <v>45887.458333333336</v>
      </c>
      <c r="C1937" t="s">
        <v>65</v>
      </c>
      <c r="D1937" t="s">
        <v>3776</v>
      </c>
      <c r="E1937" t="s">
        <v>18</v>
      </c>
      <c r="F1937" t="s">
        <v>19</v>
      </c>
      <c r="G1937">
        <v>149</v>
      </c>
      <c r="H1937">
        <v>0.05</v>
      </c>
      <c r="I1937">
        <v>141.54999999999899</v>
      </c>
      <c r="J1937">
        <v>7</v>
      </c>
      <c r="K1937">
        <v>65.315528937976794</v>
      </c>
      <c r="L1937">
        <v>990.849999999999</v>
      </c>
      <c r="M1937">
        <v>457.208702565838</v>
      </c>
      <c r="N1937">
        <v>533.64129743416095</v>
      </c>
      <c r="O1937" t="s">
        <v>32</v>
      </c>
      <c r="P1937">
        <f t="shared" si="60"/>
        <v>1043</v>
      </c>
      <c r="Q1937">
        <f t="shared" si="61"/>
        <v>-533.64129743416106</v>
      </c>
    </row>
    <row r="1938" spans="1:17" x14ac:dyDescent="0.4">
      <c r="A1938" t="s">
        <v>3777</v>
      </c>
      <c r="B1938" s="1">
        <v>45876.833333333336</v>
      </c>
      <c r="C1938" t="s">
        <v>16</v>
      </c>
      <c r="D1938" t="s">
        <v>3778</v>
      </c>
      <c r="E1938" t="s">
        <v>97</v>
      </c>
      <c r="F1938" t="s">
        <v>61</v>
      </c>
      <c r="G1938">
        <v>215</v>
      </c>
      <c r="H1938">
        <v>0.05</v>
      </c>
      <c r="I1938">
        <v>204.25</v>
      </c>
      <c r="J1938">
        <v>3</v>
      </c>
      <c r="K1938">
        <v>97.415922816668299</v>
      </c>
      <c r="L1938">
        <v>612.75</v>
      </c>
      <c r="M1938">
        <v>292.24776845000503</v>
      </c>
      <c r="N1938">
        <v>320.50223154999401</v>
      </c>
      <c r="O1938" t="s">
        <v>105</v>
      </c>
      <c r="P1938">
        <f t="shared" si="60"/>
        <v>645</v>
      </c>
      <c r="Q1938">
        <f t="shared" si="61"/>
        <v>-320.50223154999497</v>
      </c>
    </row>
    <row r="1939" spans="1:17" x14ac:dyDescent="0.4">
      <c r="A1939" t="s">
        <v>3779</v>
      </c>
      <c r="B1939" s="1">
        <v>45768.458333333336</v>
      </c>
      <c r="C1939" t="s">
        <v>22</v>
      </c>
      <c r="D1939" t="s">
        <v>1351</v>
      </c>
      <c r="E1939" t="s">
        <v>82</v>
      </c>
      <c r="F1939" t="s">
        <v>25</v>
      </c>
      <c r="G1939">
        <v>287</v>
      </c>
      <c r="H1939">
        <v>0</v>
      </c>
      <c r="I1939">
        <v>287</v>
      </c>
      <c r="J1939">
        <v>1</v>
      </c>
      <c r="K1939">
        <v>187.62693551573199</v>
      </c>
      <c r="L1939">
        <v>287</v>
      </c>
      <c r="M1939">
        <v>187.62693551573199</v>
      </c>
      <c r="N1939">
        <v>99.373064484267502</v>
      </c>
      <c r="O1939" t="s">
        <v>32</v>
      </c>
      <c r="P1939">
        <f t="shared" si="60"/>
        <v>287</v>
      </c>
      <c r="Q1939">
        <f t="shared" si="61"/>
        <v>-99.373064484268014</v>
      </c>
    </row>
    <row r="1940" spans="1:17" x14ac:dyDescent="0.4">
      <c r="A1940" t="s">
        <v>3780</v>
      </c>
      <c r="B1940" s="1">
        <v>45320.541666666664</v>
      </c>
      <c r="C1940" t="s">
        <v>46</v>
      </c>
      <c r="D1940" t="s">
        <v>1950</v>
      </c>
      <c r="E1940" t="s">
        <v>146</v>
      </c>
      <c r="F1940" t="s">
        <v>70</v>
      </c>
      <c r="G1940">
        <v>111</v>
      </c>
      <c r="H1940">
        <v>0</v>
      </c>
      <c r="I1940">
        <v>111</v>
      </c>
      <c r="J1940">
        <v>2</v>
      </c>
      <c r="K1940">
        <v>81.907326910925093</v>
      </c>
      <c r="L1940">
        <v>222</v>
      </c>
      <c r="M1940">
        <v>163.81465382184999</v>
      </c>
      <c r="N1940">
        <v>58.185346178149601</v>
      </c>
      <c r="O1940" t="s">
        <v>26</v>
      </c>
      <c r="P1940">
        <f t="shared" si="60"/>
        <v>222</v>
      </c>
      <c r="Q1940">
        <f t="shared" si="61"/>
        <v>-58.185346178150013</v>
      </c>
    </row>
    <row r="1941" spans="1:17" x14ac:dyDescent="0.4">
      <c r="A1941" t="s">
        <v>3781</v>
      </c>
      <c r="B1941" s="1">
        <v>45802.75</v>
      </c>
      <c r="C1941" t="s">
        <v>16</v>
      </c>
      <c r="D1941" t="s">
        <v>3782</v>
      </c>
      <c r="E1941" t="s">
        <v>69</v>
      </c>
      <c r="F1941" t="s">
        <v>70</v>
      </c>
      <c r="G1941">
        <v>277</v>
      </c>
      <c r="H1941">
        <v>0.05</v>
      </c>
      <c r="I1941">
        <v>263.14999999999998</v>
      </c>
      <c r="J1941">
        <v>4</v>
      </c>
      <c r="K1941">
        <v>116.924111511048</v>
      </c>
      <c r="L1941">
        <v>1052.5999999999999</v>
      </c>
      <c r="M1941">
        <v>467.696446044195</v>
      </c>
      <c r="N1941">
        <v>584.903553955804</v>
      </c>
      <c r="O1941" t="s">
        <v>26</v>
      </c>
      <c r="P1941">
        <f t="shared" si="60"/>
        <v>1108</v>
      </c>
      <c r="Q1941">
        <f t="shared" si="61"/>
        <v>-584.90355395580491</v>
      </c>
    </row>
    <row r="1942" spans="1:17" x14ac:dyDescent="0.4">
      <c r="A1942" t="s">
        <v>3783</v>
      </c>
      <c r="B1942" s="1">
        <v>45958.25</v>
      </c>
      <c r="C1942" t="s">
        <v>28</v>
      </c>
      <c r="D1942" t="s">
        <v>3784</v>
      </c>
      <c r="E1942" t="s">
        <v>85</v>
      </c>
      <c r="F1942" t="s">
        <v>70</v>
      </c>
      <c r="G1942">
        <v>218</v>
      </c>
      <c r="H1942">
        <v>0.25</v>
      </c>
      <c r="I1942">
        <v>163.5</v>
      </c>
      <c r="J1942">
        <v>3</v>
      </c>
      <c r="K1942">
        <v>129.36860931152401</v>
      </c>
      <c r="L1942">
        <v>490.5</v>
      </c>
      <c r="M1942">
        <v>388.10582793457201</v>
      </c>
      <c r="N1942">
        <v>102.394172065427</v>
      </c>
      <c r="O1942" t="s">
        <v>51</v>
      </c>
      <c r="P1942">
        <f t="shared" si="60"/>
        <v>654</v>
      </c>
      <c r="Q1942">
        <f t="shared" si="61"/>
        <v>-102.39417206542799</v>
      </c>
    </row>
    <row r="1943" spans="1:17" x14ac:dyDescent="0.4">
      <c r="A1943" t="s">
        <v>3785</v>
      </c>
      <c r="B1943" s="1">
        <v>45976.25</v>
      </c>
      <c r="C1943" t="s">
        <v>22</v>
      </c>
      <c r="D1943" t="s">
        <v>3786</v>
      </c>
      <c r="E1943" t="s">
        <v>30</v>
      </c>
      <c r="F1943" t="s">
        <v>31</v>
      </c>
      <c r="G1943">
        <v>89</v>
      </c>
      <c r="H1943">
        <v>0</v>
      </c>
      <c r="I1943">
        <v>89</v>
      </c>
      <c r="J1943">
        <v>5</v>
      </c>
      <c r="K1943">
        <v>66.4610854709629</v>
      </c>
      <c r="L1943">
        <v>445</v>
      </c>
      <c r="M1943">
        <v>332.30542735481401</v>
      </c>
      <c r="N1943">
        <v>112.694572645185</v>
      </c>
      <c r="O1943" t="s">
        <v>26</v>
      </c>
      <c r="P1943">
        <f t="shared" si="60"/>
        <v>445</v>
      </c>
      <c r="Q1943">
        <f t="shared" si="61"/>
        <v>-112.69457264518599</v>
      </c>
    </row>
    <row r="1944" spans="1:17" x14ac:dyDescent="0.4">
      <c r="A1944" t="s">
        <v>3787</v>
      </c>
      <c r="B1944" s="1">
        <v>45739.333333333336</v>
      </c>
      <c r="C1944" t="s">
        <v>28</v>
      </c>
      <c r="D1944" t="s">
        <v>3788</v>
      </c>
      <c r="E1944" t="s">
        <v>82</v>
      </c>
      <c r="F1944" t="s">
        <v>25</v>
      </c>
      <c r="G1944">
        <v>239</v>
      </c>
      <c r="H1944">
        <v>0</v>
      </c>
      <c r="I1944">
        <v>239</v>
      </c>
      <c r="J1944">
        <v>7</v>
      </c>
      <c r="K1944">
        <v>145.39848000473901</v>
      </c>
      <c r="L1944">
        <v>1673</v>
      </c>
      <c r="M1944">
        <v>1017.7893600331701</v>
      </c>
      <c r="N1944">
        <v>655.21063996682597</v>
      </c>
      <c r="O1944" t="s">
        <v>32</v>
      </c>
      <c r="P1944">
        <f t="shared" si="60"/>
        <v>1673</v>
      </c>
      <c r="Q1944">
        <f t="shared" si="61"/>
        <v>-655.21063996682994</v>
      </c>
    </row>
    <row r="1945" spans="1:17" x14ac:dyDescent="0.4">
      <c r="A1945" t="s">
        <v>3789</v>
      </c>
      <c r="B1945" s="1">
        <v>45495.125</v>
      </c>
      <c r="C1945" t="s">
        <v>16</v>
      </c>
      <c r="D1945" t="s">
        <v>3790</v>
      </c>
      <c r="E1945" t="s">
        <v>73</v>
      </c>
      <c r="F1945" t="s">
        <v>38</v>
      </c>
      <c r="G1945">
        <v>266</v>
      </c>
      <c r="H1945">
        <v>0</v>
      </c>
      <c r="I1945">
        <v>266</v>
      </c>
      <c r="J1945">
        <v>3</v>
      </c>
      <c r="K1945">
        <v>185.789791027642</v>
      </c>
      <c r="L1945">
        <v>798</v>
      </c>
      <c r="M1945">
        <v>557.36937308292795</v>
      </c>
      <c r="N1945">
        <v>240.630626917071</v>
      </c>
      <c r="O1945" t="s">
        <v>32</v>
      </c>
      <c r="P1945">
        <f t="shared" si="60"/>
        <v>798</v>
      </c>
      <c r="Q1945">
        <f t="shared" si="61"/>
        <v>-240.63062691707205</v>
      </c>
    </row>
    <row r="1946" spans="1:17" x14ac:dyDescent="0.4">
      <c r="A1946" t="s">
        <v>3791</v>
      </c>
      <c r="B1946" s="1">
        <v>45757.916666666664</v>
      </c>
      <c r="C1946" t="s">
        <v>46</v>
      </c>
      <c r="D1946" t="s">
        <v>3792</v>
      </c>
      <c r="E1946" t="s">
        <v>69</v>
      </c>
      <c r="F1946" t="s">
        <v>70</v>
      </c>
      <c r="G1946">
        <v>108</v>
      </c>
      <c r="H1946">
        <v>0.15</v>
      </c>
      <c r="I1946">
        <v>91.8</v>
      </c>
      <c r="J1946">
        <v>6</v>
      </c>
      <c r="K1946">
        <v>61.041882824035</v>
      </c>
      <c r="L1946">
        <v>550.79999999999995</v>
      </c>
      <c r="M1946">
        <v>366.25129694421003</v>
      </c>
      <c r="N1946">
        <v>184.54870305578899</v>
      </c>
      <c r="O1946" t="s">
        <v>20</v>
      </c>
      <c r="P1946">
        <f t="shared" si="60"/>
        <v>648</v>
      </c>
      <c r="Q1946">
        <f t="shared" si="61"/>
        <v>-184.54870305578993</v>
      </c>
    </row>
    <row r="1947" spans="1:17" x14ac:dyDescent="0.4">
      <c r="A1947" t="s">
        <v>3793</v>
      </c>
      <c r="B1947" s="1">
        <v>45383.5</v>
      </c>
      <c r="C1947" t="s">
        <v>22</v>
      </c>
      <c r="D1947" t="s">
        <v>3794</v>
      </c>
      <c r="E1947" t="s">
        <v>37</v>
      </c>
      <c r="F1947" t="s">
        <v>38</v>
      </c>
      <c r="G1947">
        <v>134</v>
      </c>
      <c r="H1947">
        <v>0</v>
      </c>
      <c r="I1947">
        <v>134</v>
      </c>
      <c r="J1947">
        <v>4</v>
      </c>
      <c r="K1947">
        <v>92.311937122211702</v>
      </c>
      <c r="L1947">
        <v>536</v>
      </c>
      <c r="M1947">
        <v>369.24774848884601</v>
      </c>
      <c r="N1947">
        <v>166.75225151115299</v>
      </c>
      <c r="O1947" t="s">
        <v>51</v>
      </c>
      <c r="P1947">
        <f t="shared" si="60"/>
        <v>536</v>
      </c>
      <c r="Q1947">
        <f t="shared" si="61"/>
        <v>-166.75225151115399</v>
      </c>
    </row>
    <row r="1948" spans="1:17" x14ac:dyDescent="0.4">
      <c r="A1948" t="s">
        <v>3795</v>
      </c>
      <c r="B1948" s="1">
        <v>45590.541666666664</v>
      </c>
      <c r="C1948" t="s">
        <v>28</v>
      </c>
      <c r="D1948" t="s">
        <v>3796</v>
      </c>
      <c r="E1948" t="s">
        <v>97</v>
      </c>
      <c r="F1948" t="s">
        <v>61</v>
      </c>
      <c r="G1948">
        <v>166</v>
      </c>
      <c r="H1948">
        <v>0.05</v>
      </c>
      <c r="I1948">
        <v>157.69999999999999</v>
      </c>
      <c r="J1948">
        <v>4</v>
      </c>
      <c r="K1948">
        <v>113.46993201957601</v>
      </c>
      <c r="L1948">
        <v>630.79999999999995</v>
      </c>
      <c r="M1948">
        <v>453.87972807830403</v>
      </c>
      <c r="N1948">
        <v>176.92027192169499</v>
      </c>
      <c r="O1948" t="s">
        <v>32</v>
      </c>
      <c r="P1948">
        <f t="shared" si="60"/>
        <v>664</v>
      </c>
      <c r="Q1948">
        <f t="shared" si="61"/>
        <v>-176.92027192169593</v>
      </c>
    </row>
    <row r="1949" spans="1:17" x14ac:dyDescent="0.4">
      <c r="A1949" t="s">
        <v>3797</v>
      </c>
      <c r="B1949" s="1">
        <v>45958.541666666664</v>
      </c>
      <c r="C1949" t="s">
        <v>46</v>
      </c>
      <c r="D1949" t="s">
        <v>1506</v>
      </c>
      <c r="E1949" t="s">
        <v>69</v>
      </c>
      <c r="F1949" t="s">
        <v>70</v>
      </c>
      <c r="G1949">
        <v>311</v>
      </c>
      <c r="H1949">
        <v>0.25</v>
      </c>
      <c r="I1949">
        <v>233.25</v>
      </c>
      <c r="J1949">
        <v>6</v>
      </c>
      <c r="K1949">
        <v>202.54573605129701</v>
      </c>
      <c r="L1949">
        <v>1399.5</v>
      </c>
      <c r="M1949">
        <v>1215.27441630778</v>
      </c>
      <c r="N1949">
        <v>184.225583692214</v>
      </c>
      <c r="O1949" t="s">
        <v>32</v>
      </c>
      <c r="P1949">
        <f t="shared" si="60"/>
        <v>1866</v>
      </c>
      <c r="Q1949">
        <f t="shared" si="61"/>
        <v>-184.22558369221997</v>
      </c>
    </row>
    <row r="1950" spans="1:17" x14ac:dyDescent="0.4">
      <c r="A1950" t="s">
        <v>3798</v>
      </c>
      <c r="B1950" s="1">
        <v>45884.291666666664</v>
      </c>
      <c r="C1950" t="s">
        <v>43</v>
      </c>
      <c r="D1950" t="s">
        <v>3799</v>
      </c>
      <c r="E1950" t="s">
        <v>110</v>
      </c>
      <c r="F1950" t="s">
        <v>19</v>
      </c>
      <c r="G1950">
        <v>192</v>
      </c>
      <c r="H1950">
        <v>0</v>
      </c>
      <c r="I1950">
        <v>192</v>
      </c>
      <c r="J1950">
        <v>5</v>
      </c>
      <c r="K1950">
        <v>107.141595585818</v>
      </c>
      <c r="L1950">
        <v>960</v>
      </c>
      <c r="M1950">
        <v>535.70797792909002</v>
      </c>
      <c r="N1950">
        <v>424.29202207090901</v>
      </c>
      <c r="O1950" t="s">
        <v>26</v>
      </c>
      <c r="P1950">
        <f t="shared" si="60"/>
        <v>960</v>
      </c>
      <c r="Q1950">
        <f t="shared" si="61"/>
        <v>-424.29202207090998</v>
      </c>
    </row>
    <row r="1951" spans="1:17" x14ac:dyDescent="0.4">
      <c r="A1951" t="s">
        <v>3800</v>
      </c>
      <c r="B1951" s="1">
        <v>45304.541666666664</v>
      </c>
      <c r="C1951" t="s">
        <v>22</v>
      </c>
      <c r="D1951" t="s">
        <v>3801</v>
      </c>
      <c r="E1951" t="s">
        <v>18</v>
      </c>
      <c r="F1951" t="s">
        <v>19</v>
      </c>
      <c r="G1951">
        <v>304</v>
      </c>
      <c r="H1951">
        <v>0</v>
      </c>
      <c r="I1951">
        <v>304</v>
      </c>
      <c r="J1951">
        <v>5</v>
      </c>
      <c r="K1951">
        <v>165.37621332758999</v>
      </c>
      <c r="L1951">
        <v>1520</v>
      </c>
      <c r="M1951">
        <v>826.88106663795304</v>
      </c>
      <c r="N1951">
        <v>693.11893336204605</v>
      </c>
      <c r="O1951" t="s">
        <v>32</v>
      </c>
      <c r="P1951">
        <f t="shared" si="60"/>
        <v>1520</v>
      </c>
      <c r="Q1951">
        <f t="shared" si="61"/>
        <v>-693.11893336204696</v>
      </c>
    </row>
    <row r="1952" spans="1:17" x14ac:dyDescent="0.4">
      <c r="A1952" t="s">
        <v>3802</v>
      </c>
      <c r="B1952" s="1">
        <v>46001.583333333336</v>
      </c>
      <c r="C1952" t="s">
        <v>43</v>
      </c>
      <c r="D1952" t="s">
        <v>3479</v>
      </c>
      <c r="E1952" t="s">
        <v>85</v>
      </c>
      <c r="F1952" t="s">
        <v>70</v>
      </c>
      <c r="G1952">
        <v>233</v>
      </c>
      <c r="H1952">
        <v>0.2</v>
      </c>
      <c r="I1952">
        <v>186.4</v>
      </c>
      <c r="J1952">
        <v>1</v>
      </c>
      <c r="K1952">
        <v>106.08012815098</v>
      </c>
      <c r="L1952">
        <v>186.4</v>
      </c>
      <c r="M1952">
        <v>106.08012815098</v>
      </c>
      <c r="N1952">
        <v>80.319871849019705</v>
      </c>
      <c r="O1952" t="s">
        <v>105</v>
      </c>
      <c r="P1952">
        <f t="shared" si="60"/>
        <v>233</v>
      </c>
      <c r="Q1952">
        <f t="shared" si="61"/>
        <v>-80.319871849020004</v>
      </c>
    </row>
    <row r="1953" spans="1:17" x14ac:dyDescent="0.4">
      <c r="A1953" t="s">
        <v>3803</v>
      </c>
      <c r="B1953" s="1">
        <v>45899.125</v>
      </c>
      <c r="C1953" t="s">
        <v>43</v>
      </c>
      <c r="D1953" t="s">
        <v>1132</v>
      </c>
      <c r="E1953" t="s">
        <v>69</v>
      </c>
      <c r="F1953" t="s">
        <v>70</v>
      </c>
      <c r="G1953">
        <v>261</v>
      </c>
      <c r="H1953">
        <v>0.1</v>
      </c>
      <c r="I1953">
        <v>234.9</v>
      </c>
      <c r="J1953">
        <v>2</v>
      </c>
      <c r="K1953">
        <v>168.86456650342501</v>
      </c>
      <c r="L1953">
        <v>469.8</v>
      </c>
      <c r="M1953">
        <v>337.72913300685002</v>
      </c>
      <c r="N1953">
        <v>132.070866993149</v>
      </c>
      <c r="O1953" t="s">
        <v>32</v>
      </c>
      <c r="P1953">
        <f t="shared" si="60"/>
        <v>522</v>
      </c>
      <c r="Q1953">
        <f t="shared" si="61"/>
        <v>-132.07086699314999</v>
      </c>
    </row>
    <row r="1954" spans="1:17" x14ac:dyDescent="0.4">
      <c r="A1954" t="s">
        <v>3804</v>
      </c>
      <c r="B1954" s="1">
        <v>45706.625</v>
      </c>
      <c r="C1954" t="s">
        <v>16</v>
      </c>
      <c r="D1954" t="s">
        <v>1092</v>
      </c>
      <c r="E1954" t="s">
        <v>18</v>
      </c>
      <c r="F1954" t="s">
        <v>19</v>
      </c>
      <c r="G1954">
        <v>135</v>
      </c>
      <c r="H1954">
        <v>0.1</v>
      </c>
      <c r="I1954">
        <v>121.5</v>
      </c>
      <c r="J1954">
        <v>4</v>
      </c>
      <c r="K1954">
        <v>82.428908528329799</v>
      </c>
      <c r="L1954">
        <v>486</v>
      </c>
      <c r="M1954">
        <v>329.71563411331903</v>
      </c>
      <c r="N1954">
        <v>156.28436588668001</v>
      </c>
      <c r="O1954" t="s">
        <v>32</v>
      </c>
      <c r="P1954">
        <f t="shared" si="60"/>
        <v>540</v>
      </c>
      <c r="Q1954">
        <f t="shared" si="61"/>
        <v>-156.28436588668097</v>
      </c>
    </row>
    <row r="1955" spans="1:17" x14ac:dyDescent="0.4">
      <c r="A1955" t="s">
        <v>3805</v>
      </c>
      <c r="B1955" s="1">
        <v>45740.875</v>
      </c>
      <c r="C1955" t="s">
        <v>22</v>
      </c>
      <c r="D1955" t="s">
        <v>3806</v>
      </c>
      <c r="E1955" t="s">
        <v>115</v>
      </c>
      <c r="F1955" t="s">
        <v>38</v>
      </c>
      <c r="G1955">
        <v>273</v>
      </c>
      <c r="H1955">
        <v>0</v>
      </c>
      <c r="I1955">
        <v>273</v>
      </c>
      <c r="J1955">
        <v>6</v>
      </c>
      <c r="K1955">
        <v>151.205426327347</v>
      </c>
      <c r="L1955">
        <v>1638</v>
      </c>
      <c r="M1955">
        <v>907.23255796408205</v>
      </c>
      <c r="N1955">
        <v>730.76744203591704</v>
      </c>
      <c r="O1955" t="s">
        <v>26</v>
      </c>
      <c r="P1955">
        <f t="shared" si="60"/>
        <v>1638</v>
      </c>
      <c r="Q1955">
        <f t="shared" si="61"/>
        <v>-730.76744203591795</v>
      </c>
    </row>
    <row r="1956" spans="1:17" x14ac:dyDescent="0.4">
      <c r="A1956" t="s">
        <v>3807</v>
      </c>
      <c r="B1956" s="1">
        <v>45964.5</v>
      </c>
      <c r="C1956" t="s">
        <v>16</v>
      </c>
      <c r="D1956" t="s">
        <v>3808</v>
      </c>
      <c r="E1956" t="s">
        <v>18</v>
      </c>
      <c r="F1956" t="s">
        <v>19</v>
      </c>
      <c r="G1956">
        <v>265</v>
      </c>
      <c r="H1956">
        <v>0.2</v>
      </c>
      <c r="I1956">
        <v>212</v>
      </c>
      <c r="J1956">
        <v>4</v>
      </c>
      <c r="K1956">
        <v>132.172069383966</v>
      </c>
      <c r="L1956">
        <v>848</v>
      </c>
      <c r="M1956">
        <v>528.68827753586504</v>
      </c>
      <c r="N1956">
        <v>319.31172246413399</v>
      </c>
      <c r="O1956" t="s">
        <v>32</v>
      </c>
      <c r="P1956">
        <f t="shared" si="60"/>
        <v>1060</v>
      </c>
      <c r="Q1956">
        <f t="shared" si="61"/>
        <v>-319.31172246413496</v>
      </c>
    </row>
    <row r="1957" spans="1:17" x14ac:dyDescent="0.4">
      <c r="A1957" t="s">
        <v>3809</v>
      </c>
      <c r="B1957" s="1">
        <v>45836.041666666664</v>
      </c>
      <c r="C1957" t="s">
        <v>65</v>
      </c>
      <c r="D1957" t="s">
        <v>3810</v>
      </c>
      <c r="E1957" t="s">
        <v>24</v>
      </c>
      <c r="F1957" t="s">
        <v>25</v>
      </c>
      <c r="G1957">
        <v>259</v>
      </c>
      <c r="H1957">
        <v>0</v>
      </c>
      <c r="I1957">
        <v>259</v>
      </c>
      <c r="J1957">
        <v>6</v>
      </c>
      <c r="K1957">
        <v>129.020966951644</v>
      </c>
      <c r="L1957">
        <v>1554</v>
      </c>
      <c r="M1957">
        <v>774.12580170986803</v>
      </c>
      <c r="N1957">
        <v>779.87419829013095</v>
      </c>
      <c r="O1957" t="s">
        <v>26</v>
      </c>
      <c r="P1957">
        <f t="shared" si="60"/>
        <v>1554</v>
      </c>
      <c r="Q1957">
        <f t="shared" si="61"/>
        <v>-779.87419829013197</v>
      </c>
    </row>
    <row r="1958" spans="1:17" x14ac:dyDescent="0.4">
      <c r="A1958" t="s">
        <v>3811</v>
      </c>
      <c r="B1958" s="1">
        <v>45812.833333333336</v>
      </c>
      <c r="C1958" t="s">
        <v>43</v>
      </c>
      <c r="D1958" t="s">
        <v>3812</v>
      </c>
      <c r="E1958" t="s">
        <v>37</v>
      </c>
      <c r="F1958" t="s">
        <v>38</v>
      </c>
      <c r="G1958">
        <v>343</v>
      </c>
      <c r="H1958">
        <v>0.05</v>
      </c>
      <c r="I1958">
        <v>325.849999999999</v>
      </c>
      <c r="J1958">
        <v>1</v>
      </c>
      <c r="K1958">
        <v>214.714523287167</v>
      </c>
      <c r="L1958">
        <v>325.849999999999</v>
      </c>
      <c r="M1958">
        <v>214.714523287167</v>
      </c>
      <c r="N1958">
        <v>111.135476712832</v>
      </c>
      <c r="O1958" t="s">
        <v>32</v>
      </c>
      <c r="P1958">
        <f t="shared" si="60"/>
        <v>343</v>
      </c>
      <c r="Q1958">
        <f t="shared" si="61"/>
        <v>-111.135476712832</v>
      </c>
    </row>
    <row r="1959" spans="1:17" x14ac:dyDescent="0.4">
      <c r="A1959" t="s">
        <v>3813</v>
      </c>
      <c r="B1959" s="1">
        <v>45955.375</v>
      </c>
      <c r="C1959" t="s">
        <v>22</v>
      </c>
      <c r="D1959" t="s">
        <v>3814</v>
      </c>
      <c r="E1959" t="s">
        <v>94</v>
      </c>
      <c r="F1959" t="s">
        <v>61</v>
      </c>
      <c r="G1959">
        <v>312</v>
      </c>
      <c r="H1959">
        <v>0.15</v>
      </c>
      <c r="I1959">
        <v>265.2</v>
      </c>
      <c r="J1959">
        <v>2</v>
      </c>
      <c r="K1959">
        <v>183.47931940119901</v>
      </c>
      <c r="L1959">
        <v>530.4</v>
      </c>
      <c r="M1959">
        <v>366.95863880239801</v>
      </c>
      <c r="N1959">
        <v>163.441361197601</v>
      </c>
      <c r="O1959" t="s">
        <v>32</v>
      </c>
      <c r="P1959">
        <f t="shared" si="60"/>
        <v>624</v>
      </c>
      <c r="Q1959">
        <f t="shared" si="61"/>
        <v>-163.44136119760196</v>
      </c>
    </row>
    <row r="1960" spans="1:17" x14ac:dyDescent="0.4">
      <c r="A1960" t="s">
        <v>3815</v>
      </c>
      <c r="B1960" s="1">
        <v>45786.583333333336</v>
      </c>
      <c r="C1960" t="s">
        <v>28</v>
      </c>
      <c r="D1960" t="s">
        <v>3816</v>
      </c>
      <c r="E1960" t="s">
        <v>18</v>
      </c>
      <c r="F1960" t="s">
        <v>19</v>
      </c>
      <c r="G1960">
        <v>204</v>
      </c>
      <c r="H1960">
        <v>0.25</v>
      </c>
      <c r="I1960">
        <v>153</v>
      </c>
      <c r="J1960">
        <v>2</v>
      </c>
      <c r="K1960">
        <v>97.756579588767806</v>
      </c>
      <c r="L1960">
        <v>306</v>
      </c>
      <c r="M1960">
        <v>195.51315917753499</v>
      </c>
      <c r="N1960">
        <v>110.486840822464</v>
      </c>
      <c r="O1960" t="s">
        <v>105</v>
      </c>
      <c r="P1960">
        <f t="shared" si="60"/>
        <v>408</v>
      </c>
      <c r="Q1960">
        <f t="shared" si="61"/>
        <v>-110.48684082246501</v>
      </c>
    </row>
    <row r="1961" spans="1:17" x14ac:dyDescent="0.4">
      <c r="A1961" t="s">
        <v>3817</v>
      </c>
      <c r="B1961" s="1">
        <v>45462.083333333336</v>
      </c>
      <c r="C1961" t="s">
        <v>65</v>
      </c>
      <c r="D1961" t="s">
        <v>1948</v>
      </c>
      <c r="E1961" t="s">
        <v>146</v>
      </c>
      <c r="F1961" t="s">
        <v>70</v>
      </c>
      <c r="G1961">
        <v>121</v>
      </c>
      <c r="H1961">
        <v>0.05</v>
      </c>
      <c r="I1961">
        <v>114.94999999999899</v>
      </c>
      <c r="J1961">
        <v>4</v>
      </c>
      <c r="K1961">
        <v>65.305305397279497</v>
      </c>
      <c r="L1961">
        <v>459.79999999999899</v>
      </c>
      <c r="M1961">
        <v>261.22122158911799</v>
      </c>
      <c r="N1961">
        <v>198.578778410881</v>
      </c>
      <c r="O1961" t="s">
        <v>26</v>
      </c>
      <c r="P1961">
        <f t="shared" si="60"/>
        <v>484</v>
      </c>
      <c r="Q1961">
        <f t="shared" si="61"/>
        <v>-198.578778410881</v>
      </c>
    </row>
    <row r="1962" spans="1:17" x14ac:dyDescent="0.4">
      <c r="A1962" t="s">
        <v>3818</v>
      </c>
      <c r="B1962" s="1">
        <v>45863.583333333336</v>
      </c>
      <c r="C1962" t="s">
        <v>16</v>
      </c>
      <c r="D1962" t="s">
        <v>3819</v>
      </c>
      <c r="E1962" t="s">
        <v>24</v>
      </c>
      <c r="F1962" t="s">
        <v>25</v>
      </c>
      <c r="G1962">
        <v>175</v>
      </c>
      <c r="H1962">
        <v>0</v>
      </c>
      <c r="I1962">
        <v>175</v>
      </c>
      <c r="J1962">
        <v>2</v>
      </c>
      <c r="K1962">
        <v>109.538956941409</v>
      </c>
      <c r="L1962">
        <v>350</v>
      </c>
      <c r="M1962">
        <v>219.077913882818</v>
      </c>
      <c r="N1962">
        <v>130.92208611718101</v>
      </c>
      <c r="O1962" t="s">
        <v>20</v>
      </c>
      <c r="P1962">
        <f t="shared" si="60"/>
        <v>350</v>
      </c>
      <c r="Q1962">
        <f t="shared" si="61"/>
        <v>-130.922086117182</v>
      </c>
    </row>
    <row r="1963" spans="1:17" x14ac:dyDescent="0.4">
      <c r="A1963" t="s">
        <v>3820</v>
      </c>
      <c r="B1963" s="1">
        <v>45730.208333333336</v>
      </c>
      <c r="C1963" t="s">
        <v>65</v>
      </c>
      <c r="D1963" t="s">
        <v>3821</v>
      </c>
      <c r="E1963" t="s">
        <v>115</v>
      </c>
      <c r="F1963" t="s">
        <v>38</v>
      </c>
      <c r="G1963">
        <v>84</v>
      </c>
      <c r="H1963">
        <v>0.25</v>
      </c>
      <c r="I1963">
        <v>63</v>
      </c>
      <c r="J1963">
        <v>6</v>
      </c>
      <c r="K1963">
        <v>50.499273611245002</v>
      </c>
      <c r="L1963">
        <v>378</v>
      </c>
      <c r="M1963">
        <v>302.99564166747001</v>
      </c>
      <c r="N1963">
        <v>75.004358332529705</v>
      </c>
      <c r="O1963" t="s">
        <v>32</v>
      </c>
      <c r="P1963">
        <f t="shared" si="60"/>
        <v>504</v>
      </c>
      <c r="Q1963">
        <f t="shared" si="61"/>
        <v>-75.004358332529989</v>
      </c>
    </row>
    <row r="1964" spans="1:17" x14ac:dyDescent="0.4">
      <c r="A1964" t="s">
        <v>3822</v>
      </c>
      <c r="B1964" s="1">
        <v>45448.416666666664</v>
      </c>
      <c r="C1964" t="s">
        <v>46</v>
      </c>
      <c r="D1964" t="s">
        <v>3823</v>
      </c>
      <c r="E1964" t="s">
        <v>18</v>
      </c>
      <c r="F1964" t="s">
        <v>19</v>
      </c>
      <c r="G1964">
        <v>305</v>
      </c>
      <c r="H1964">
        <v>0</v>
      </c>
      <c r="I1964">
        <v>305</v>
      </c>
      <c r="J1964">
        <v>2</v>
      </c>
      <c r="K1964">
        <v>130.92240219853699</v>
      </c>
      <c r="L1964">
        <v>610</v>
      </c>
      <c r="M1964">
        <v>261.84480439707499</v>
      </c>
      <c r="N1964">
        <v>348.15519560292398</v>
      </c>
      <c r="O1964" t="s">
        <v>32</v>
      </c>
      <c r="P1964">
        <f t="shared" si="60"/>
        <v>610</v>
      </c>
      <c r="Q1964">
        <f t="shared" si="61"/>
        <v>-348.15519560292501</v>
      </c>
    </row>
    <row r="1965" spans="1:17" x14ac:dyDescent="0.4">
      <c r="A1965" t="s">
        <v>3824</v>
      </c>
      <c r="B1965" s="1">
        <v>45363.833333333336</v>
      </c>
      <c r="C1965" t="s">
        <v>16</v>
      </c>
      <c r="D1965" t="s">
        <v>3825</v>
      </c>
      <c r="E1965" t="s">
        <v>48</v>
      </c>
      <c r="F1965" t="s">
        <v>19</v>
      </c>
      <c r="G1965">
        <v>117</v>
      </c>
      <c r="H1965">
        <v>0.05</v>
      </c>
      <c r="I1965">
        <v>111.149999999999</v>
      </c>
      <c r="J1965">
        <v>6</v>
      </c>
      <c r="K1965">
        <v>58.735134312739497</v>
      </c>
      <c r="L1965">
        <v>666.9</v>
      </c>
      <c r="M1965">
        <v>352.410805876437</v>
      </c>
      <c r="N1965">
        <v>314.48919412356202</v>
      </c>
      <c r="O1965" t="s">
        <v>20</v>
      </c>
      <c r="P1965">
        <f t="shared" si="60"/>
        <v>702</v>
      </c>
      <c r="Q1965">
        <f t="shared" si="61"/>
        <v>-314.48919412356298</v>
      </c>
    </row>
    <row r="1966" spans="1:17" x14ac:dyDescent="0.4">
      <c r="A1966" t="s">
        <v>3826</v>
      </c>
      <c r="B1966" s="1">
        <v>45349.333333333336</v>
      </c>
      <c r="C1966" t="s">
        <v>22</v>
      </c>
      <c r="D1966" t="s">
        <v>3827</v>
      </c>
      <c r="E1966" t="s">
        <v>41</v>
      </c>
      <c r="F1966" t="s">
        <v>31</v>
      </c>
      <c r="G1966">
        <v>212</v>
      </c>
      <c r="H1966">
        <v>0</v>
      </c>
      <c r="I1966">
        <v>212</v>
      </c>
      <c r="J1966">
        <v>2</v>
      </c>
      <c r="K1966">
        <v>129.643621442121</v>
      </c>
      <c r="L1966">
        <v>424</v>
      </c>
      <c r="M1966">
        <v>259.287242884242</v>
      </c>
      <c r="N1966">
        <v>164.712757115757</v>
      </c>
      <c r="O1966" t="s">
        <v>32</v>
      </c>
      <c r="P1966">
        <f t="shared" si="60"/>
        <v>424</v>
      </c>
      <c r="Q1966">
        <f t="shared" si="61"/>
        <v>-164.712757115758</v>
      </c>
    </row>
    <row r="1967" spans="1:17" x14ac:dyDescent="0.4">
      <c r="A1967" t="s">
        <v>3828</v>
      </c>
      <c r="B1967" s="1">
        <v>45654.75</v>
      </c>
      <c r="C1967" t="s">
        <v>22</v>
      </c>
      <c r="D1967" t="s">
        <v>3829</v>
      </c>
      <c r="E1967" t="s">
        <v>85</v>
      </c>
      <c r="F1967" t="s">
        <v>70</v>
      </c>
      <c r="G1967">
        <v>293</v>
      </c>
      <c r="H1967">
        <v>0.05</v>
      </c>
      <c r="I1967">
        <v>278.349999999999</v>
      </c>
      <c r="J1967">
        <v>7</v>
      </c>
      <c r="K1967">
        <v>186.17176585695299</v>
      </c>
      <c r="L1967">
        <v>1948.44999999999</v>
      </c>
      <c r="M1967">
        <v>1303.20236099867</v>
      </c>
      <c r="N1967">
        <v>645.24763900132405</v>
      </c>
      <c r="O1967" t="s">
        <v>32</v>
      </c>
      <c r="P1967">
        <f t="shared" si="60"/>
        <v>2051</v>
      </c>
      <c r="Q1967">
        <f t="shared" si="61"/>
        <v>-645.24763900132007</v>
      </c>
    </row>
    <row r="1968" spans="1:17" x14ac:dyDescent="0.4">
      <c r="A1968" t="s">
        <v>3830</v>
      </c>
      <c r="B1968" s="1">
        <v>45662.583333333336</v>
      </c>
      <c r="C1968" t="s">
        <v>28</v>
      </c>
      <c r="D1968" t="s">
        <v>3831</v>
      </c>
      <c r="E1968" t="s">
        <v>82</v>
      </c>
      <c r="F1968" t="s">
        <v>25</v>
      </c>
      <c r="G1968">
        <v>249</v>
      </c>
      <c r="H1968">
        <v>0.15</v>
      </c>
      <c r="I1968">
        <v>211.65</v>
      </c>
      <c r="J1968">
        <v>2</v>
      </c>
      <c r="K1968">
        <v>104.10058262796301</v>
      </c>
      <c r="L1968">
        <v>423.3</v>
      </c>
      <c r="M1968">
        <v>208.20116525592601</v>
      </c>
      <c r="N1968">
        <v>215.098834744073</v>
      </c>
      <c r="O1968" t="s">
        <v>32</v>
      </c>
      <c r="P1968">
        <f t="shared" si="60"/>
        <v>498</v>
      </c>
      <c r="Q1968">
        <f t="shared" si="61"/>
        <v>-215.098834744074</v>
      </c>
    </row>
    <row r="1969" spans="1:17" x14ac:dyDescent="0.4">
      <c r="A1969" t="s">
        <v>3832</v>
      </c>
      <c r="B1969" s="1">
        <v>45975.583333333336</v>
      </c>
      <c r="C1969" t="s">
        <v>16</v>
      </c>
      <c r="D1969" t="s">
        <v>3064</v>
      </c>
      <c r="E1969" t="s">
        <v>69</v>
      </c>
      <c r="F1969" t="s">
        <v>70</v>
      </c>
      <c r="G1969">
        <v>290</v>
      </c>
      <c r="H1969">
        <v>0.05</v>
      </c>
      <c r="I1969">
        <v>275.5</v>
      </c>
      <c r="J1969">
        <v>7</v>
      </c>
      <c r="K1969">
        <v>195.85986597005399</v>
      </c>
      <c r="L1969">
        <v>1928.5</v>
      </c>
      <c r="M1969">
        <v>1371.01906179038</v>
      </c>
      <c r="N1969">
        <v>557.48093820961799</v>
      </c>
      <c r="O1969" t="s">
        <v>26</v>
      </c>
      <c r="P1969">
        <f t="shared" si="60"/>
        <v>2030</v>
      </c>
      <c r="Q1969">
        <f t="shared" si="61"/>
        <v>-557.48093820962004</v>
      </c>
    </row>
    <row r="1970" spans="1:17" x14ac:dyDescent="0.4">
      <c r="A1970" t="s">
        <v>3833</v>
      </c>
      <c r="B1970" s="1">
        <v>45538.916666666664</v>
      </c>
      <c r="C1970" t="s">
        <v>46</v>
      </c>
      <c r="D1970" t="s">
        <v>178</v>
      </c>
      <c r="E1970" t="s">
        <v>24</v>
      </c>
      <c r="F1970" t="s">
        <v>25</v>
      </c>
      <c r="G1970">
        <v>109</v>
      </c>
      <c r="H1970">
        <v>0.1</v>
      </c>
      <c r="I1970">
        <v>98.1</v>
      </c>
      <c r="J1970">
        <v>3</v>
      </c>
      <c r="K1970">
        <v>69.618202613759905</v>
      </c>
      <c r="L1970">
        <v>294.3</v>
      </c>
      <c r="M1970">
        <v>208.85460784127901</v>
      </c>
      <c r="N1970">
        <v>85.445392158719997</v>
      </c>
      <c r="O1970" t="s">
        <v>32</v>
      </c>
      <c r="P1970">
        <f t="shared" si="60"/>
        <v>327</v>
      </c>
      <c r="Q1970">
        <f t="shared" si="61"/>
        <v>-85.445392158721006</v>
      </c>
    </row>
    <row r="1971" spans="1:17" x14ac:dyDescent="0.4">
      <c r="A1971" t="s">
        <v>3834</v>
      </c>
      <c r="B1971" s="1">
        <v>45552.458333333336</v>
      </c>
      <c r="C1971" t="s">
        <v>22</v>
      </c>
      <c r="D1971" t="s">
        <v>3835</v>
      </c>
      <c r="E1971" t="s">
        <v>146</v>
      </c>
      <c r="F1971" t="s">
        <v>70</v>
      </c>
      <c r="G1971">
        <v>92</v>
      </c>
      <c r="H1971">
        <v>0.05</v>
      </c>
      <c r="I1971">
        <v>87.399999999999906</v>
      </c>
      <c r="J1971">
        <v>6</v>
      </c>
      <c r="K1971">
        <v>42.326647560775001</v>
      </c>
      <c r="L1971">
        <v>524.4</v>
      </c>
      <c r="M1971">
        <v>253.95988536465001</v>
      </c>
      <c r="N1971">
        <v>270.440114635349</v>
      </c>
      <c r="O1971" t="s">
        <v>51</v>
      </c>
      <c r="P1971">
        <f t="shared" si="60"/>
        <v>552</v>
      </c>
      <c r="Q1971">
        <f t="shared" si="61"/>
        <v>-270.44011463534997</v>
      </c>
    </row>
    <row r="1972" spans="1:17" x14ac:dyDescent="0.4">
      <c r="A1972" t="s">
        <v>3836</v>
      </c>
      <c r="B1972" s="1">
        <v>45687.666666666664</v>
      </c>
      <c r="C1972" t="s">
        <v>46</v>
      </c>
      <c r="D1972" t="s">
        <v>3147</v>
      </c>
      <c r="E1972" t="s">
        <v>69</v>
      </c>
      <c r="F1972" t="s">
        <v>70</v>
      </c>
      <c r="G1972">
        <v>148</v>
      </c>
      <c r="H1972">
        <v>0.1</v>
      </c>
      <c r="I1972">
        <v>133.19999999999999</v>
      </c>
      <c r="J1972">
        <v>5</v>
      </c>
      <c r="K1972">
        <v>100.83194096406</v>
      </c>
      <c r="L1972">
        <v>666</v>
      </c>
      <c r="M1972">
        <v>504.15970482030298</v>
      </c>
      <c r="N1972">
        <v>161.840295179696</v>
      </c>
      <c r="O1972" t="s">
        <v>20</v>
      </c>
      <c r="P1972">
        <f t="shared" si="60"/>
        <v>740</v>
      </c>
      <c r="Q1972">
        <f t="shared" si="61"/>
        <v>-161.84029517969702</v>
      </c>
    </row>
    <row r="1973" spans="1:17" x14ac:dyDescent="0.4">
      <c r="A1973" t="s">
        <v>3837</v>
      </c>
      <c r="B1973" s="1">
        <v>45429.5</v>
      </c>
      <c r="C1973" t="s">
        <v>16</v>
      </c>
      <c r="D1973" t="s">
        <v>3838</v>
      </c>
      <c r="E1973" t="s">
        <v>37</v>
      </c>
      <c r="F1973" t="s">
        <v>38</v>
      </c>
      <c r="G1973">
        <v>113</v>
      </c>
      <c r="H1973">
        <v>0</v>
      </c>
      <c r="I1973">
        <v>113</v>
      </c>
      <c r="J1973">
        <v>5</v>
      </c>
      <c r="K1973">
        <v>75.670593328118798</v>
      </c>
      <c r="L1973">
        <v>565</v>
      </c>
      <c r="M1973">
        <v>378.35296664059399</v>
      </c>
      <c r="N1973">
        <v>186.64703335940601</v>
      </c>
      <c r="O1973" t="s">
        <v>51</v>
      </c>
      <c r="P1973">
        <f t="shared" si="60"/>
        <v>565</v>
      </c>
      <c r="Q1973">
        <f t="shared" si="61"/>
        <v>-186.64703335940601</v>
      </c>
    </row>
    <row r="1974" spans="1:17" x14ac:dyDescent="0.4">
      <c r="A1974" t="s">
        <v>3839</v>
      </c>
      <c r="B1974" s="1">
        <v>45648.375</v>
      </c>
      <c r="C1974" t="s">
        <v>43</v>
      </c>
      <c r="D1974" t="s">
        <v>3840</v>
      </c>
      <c r="E1974" t="s">
        <v>41</v>
      </c>
      <c r="F1974" t="s">
        <v>31</v>
      </c>
      <c r="G1974">
        <v>112</v>
      </c>
      <c r="H1974">
        <v>0</v>
      </c>
      <c r="I1974">
        <v>112</v>
      </c>
      <c r="J1974">
        <v>3</v>
      </c>
      <c r="K1974">
        <v>71.2096069821757</v>
      </c>
      <c r="L1974">
        <v>336</v>
      </c>
      <c r="M1974">
        <v>213.62882094652699</v>
      </c>
      <c r="N1974">
        <v>122.37117905347201</v>
      </c>
      <c r="O1974" t="s">
        <v>26</v>
      </c>
      <c r="P1974">
        <f t="shared" si="60"/>
        <v>336</v>
      </c>
      <c r="Q1974">
        <f t="shared" si="61"/>
        <v>-122.37117905347301</v>
      </c>
    </row>
    <row r="1975" spans="1:17" x14ac:dyDescent="0.4">
      <c r="A1975" t="s">
        <v>3841</v>
      </c>
      <c r="B1975" s="1">
        <v>45447.291666666664</v>
      </c>
      <c r="C1975" t="s">
        <v>28</v>
      </c>
      <c r="D1975" t="s">
        <v>3842</v>
      </c>
      <c r="E1975" t="s">
        <v>213</v>
      </c>
      <c r="F1975" t="s">
        <v>31</v>
      </c>
      <c r="G1975">
        <v>230</v>
      </c>
      <c r="H1975">
        <v>0</v>
      </c>
      <c r="I1975">
        <v>230</v>
      </c>
      <c r="J1975">
        <v>5</v>
      </c>
      <c r="K1975">
        <v>139.58049728294301</v>
      </c>
      <c r="L1975">
        <v>1150</v>
      </c>
      <c r="M1975">
        <v>697.90248641471806</v>
      </c>
      <c r="N1975">
        <v>452.09751358528098</v>
      </c>
      <c r="O1975" t="s">
        <v>32</v>
      </c>
      <c r="P1975">
        <f t="shared" si="60"/>
        <v>1150</v>
      </c>
      <c r="Q1975">
        <f t="shared" si="61"/>
        <v>-452.09751358528194</v>
      </c>
    </row>
    <row r="1976" spans="1:17" x14ac:dyDescent="0.4">
      <c r="A1976" t="s">
        <v>3843</v>
      </c>
      <c r="B1976" s="1">
        <v>45996.083333333336</v>
      </c>
      <c r="C1976" t="s">
        <v>28</v>
      </c>
      <c r="D1976" t="s">
        <v>2130</v>
      </c>
      <c r="E1976" t="s">
        <v>18</v>
      </c>
      <c r="F1976" t="s">
        <v>19</v>
      </c>
      <c r="G1976">
        <v>180</v>
      </c>
      <c r="H1976">
        <v>0.2</v>
      </c>
      <c r="I1976">
        <v>144</v>
      </c>
      <c r="J1976">
        <v>7</v>
      </c>
      <c r="K1976">
        <v>129.61531210912199</v>
      </c>
      <c r="L1976">
        <v>1008</v>
      </c>
      <c r="M1976">
        <v>907.30718476385596</v>
      </c>
      <c r="N1976">
        <v>100.69281523614301</v>
      </c>
      <c r="O1976" t="s">
        <v>32</v>
      </c>
      <c r="P1976">
        <f t="shared" si="60"/>
        <v>1260</v>
      </c>
      <c r="Q1976">
        <f t="shared" si="61"/>
        <v>-100.69281523614404</v>
      </c>
    </row>
    <row r="1977" spans="1:17" x14ac:dyDescent="0.4">
      <c r="A1977" t="s">
        <v>3844</v>
      </c>
      <c r="B1977" s="1">
        <v>45993.333333333336</v>
      </c>
      <c r="C1977" t="s">
        <v>16</v>
      </c>
      <c r="D1977" t="s">
        <v>3845</v>
      </c>
      <c r="E1977" t="s">
        <v>97</v>
      </c>
      <c r="F1977" t="s">
        <v>61</v>
      </c>
      <c r="G1977">
        <v>105</v>
      </c>
      <c r="H1977">
        <v>0.15</v>
      </c>
      <c r="I1977">
        <v>89.25</v>
      </c>
      <c r="J1977">
        <v>2</v>
      </c>
      <c r="K1977">
        <v>42.471073754860498</v>
      </c>
      <c r="L1977">
        <v>178.5</v>
      </c>
      <c r="M1977">
        <v>84.942147509721096</v>
      </c>
      <c r="N1977">
        <v>93.557852490278805</v>
      </c>
      <c r="O1977" t="s">
        <v>20</v>
      </c>
      <c r="P1977">
        <f t="shared" si="60"/>
        <v>210</v>
      </c>
      <c r="Q1977">
        <f t="shared" si="61"/>
        <v>-93.557852490278904</v>
      </c>
    </row>
    <row r="1978" spans="1:17" x14ac:dyDescent="0.4">
      <c r="A1978" t="s">
        <v>3846</v>
      </c>
      <c r="B1978" s="1">
        <v>45542.791666666664</v>
      </c>
      <c r="C1978" t="s">
        <v>43</v>
      </c>
      <c r="D1978" t="s">
        <v>3847</v>
      </c>
      <c r="E1978" t="s">
        <v>30</v>
      </c>
      <c r="F1978" t="s">
        <v>31</v>
      </c>
      <c r="G1978">
        <v>215</v>
      </c>
      <c r="H1978">
        <v>0</v>
      </c>
      <c r="I1978">
        <v>215</v>
      </c>
      <c r="J1978">
        <v>7</v>
      </c>
      <c r="K1978">
        <v>144.9751073969</v>
      </c>
      <c r="L1978">
        <v>1505</v>
      </c>
      <c r="M1978">
        <v>1014.8257517782999</v>
      </c>
      <c r="N1978">
        <v>490.17424822169698</v>
      </c>
      <c r="O1978" t="s">
        <v>20</v>
      </c>
      <c r="P1978">
        <f t="shared" si="60"/>
        <v>1505</v>
      </c>
      <c r="Q1978">
        <f t="shared" si="61"/>
        <v>-490.17424822170005</v>
      </c>
    </row>
    <row r="1979" spans="1:17" x14ac:dyDescent="0.4">
      <c r="A1979" t="s">
        <v>3848</v>
      </c>
      <c r="B1979" s="1">
        <v>45936.291666666664</v>
      </c>
      <c r="C1979" t="s">
        <v>22</v>
      </c>
      <c r="D1979" t="s">
        <v>3849</v>
      </c>
      <c r="E1979" t="s">
        <v>37</v>
      </c>
      <c r="F1979" t="s">
        <v>38</v>
      </c>
      <c r="G1979">
        <v>266</v>
      </c>
      <c r="H1979">
        <v>0.15</v>
      </c>
      <c r="I1979">
        <v>226.1</v>
      </c>
      <c r="J1979">
        <v>1</v>
      </c>
      <c r="K1979">
        <v>192.62680350289401</v>
      </c>
      <c r="L1979">
        <v>226.1</v>
      </c>
      <c r="M1979">
        <v>192.62680350289401</v>
      </c>
      <c r="N1979">
        <v>33.473196497105903</v>
      </c>
      <c r="O1979" t="s">
        <v>26</v>
      </c>
      <c r="P1979">
        <f t="shared" si="60"/>
        <v>266</v>
      </c>
      <c r="Q1979">
        <f t="shared" si="61"/>
        <v>-33.473196497105988</v>
      </c>
    </row>
    <row r="1980" spans="1:17" x14ac:dyDescent="0.4">
      <c r="A1980" t="s">
        <v>3850</v>
      </c>
      <c r="B1980" s="1">
        <v>45710.625</v>
      </c>
      <c r="C1980" t="s">
        <v>16</v>
      </c>
      <c r="D1980" t="s">
        <v>3851</v>
      </c>
      <c r="E1980" t="s">
        <v>41</v>
      </c>
      <c r="F1980" t="s">
        <v>31</v>
      </c>
      <c r="G1980">
        <v>223</v>
      </c>
      <c r="H1980">
        <v>0.2</v>
      </c>
      <c r="I1980">
        <v>178.4</v>
      </c>
      <c r="J1980">
        <v>6</v>
      </c>
      <c r="K1980">
        <v>90.097416745609095</v>
      </c>
      <c r="L1980">
        <v>1070.4000000000001</v>
      </c>
      <c r="M1980">
        <v>540.58450047365397</v>
      </c>
      <c r="N1980">
        <v>529.81549952634498</v>
      </c>
      <c r="O1980" t="s">
        <v>32</v>
      </c>
      <c r="P1980">
        <f t="shared" si="60"/>
        <v>1338</v>
      </c>
      <c r="Q1980">
        <f t="shared" si="61"/>
        <v>-529.81549952634612</v>
      </c>
    </row>
    <row r="1981" spans="1:17" x14ac:dyDescent="0.4">
      <c r="A1981" t="s">
        <v>3852</v>
      </c>
      <c r="B1981" s="1">
        <v>45781.75</v>
      </c>
      <c r="C1981" t="s">
        <v>46</v>
      </c>
      <c r="D1981" t="s">
        <v>3764</v>
      </c>
      <c r="E1981" t="s">
        <v>110</v>
      </c>
      <c r="F1981" t="s">
        <v>19</v>
      </c>
      <c r="G1981">
        <v>131</v>
      </c>
      <c r="H1981">
        <v>0</v>
      </c>
      <c r="I1981">
        <v>131</v>
      </c>
      <c r="J1981">
        <v>2</v>
      </c>
      <c r="K1981">
        <v>58.074426539951901</v>
      </c>
      <c r="L1981">
        <v>262</v>
      </c>
      <c r="M1981">
        <v>116.14885307990301</v>
      </c>
      <c r="N1981">
        <v>145.851146920096</v>
      </c>
      <c r="O1981" t="s">
        <v>20</v>
      </c>
      <c r="P1981">
        <f t="shared" si="60"/>
        <v>262</v>
      </c>
      <c r="Q1981">
        <f t="shared" si="61"/>
        <v>-145.85114692009699</v>
      </c>
    </row>
    <row r="1982" spans="1:17" x14ac:dyDescent="0.4">
      <c r="A1982" t="s">
        <v>3853</v>
      </c>
      <c r="B1982" s="1">
        <v>45397</v>
      </c>
      <c r="C1982" t="s">
        <v>46</v>
      </c>
      <c r="D1982" t="s">
        <v>3854</v>
      </c>
      <c r="E1982" t="s">
        <v>73</v>
      </c>
      <c r="F1982" t="s">
        <v>38</v>
      </c>
      <c r="G1982">
        <v>231</v>
      </c>
      <c r="H1982">
        <v>0.05</v>
      </c>
      <c r="I1982">
        <v>219.45</v>
      </c>
      <c r="J1982">
        <v>6</v>
      </c>
      <c r="K1982">
        <v>97.089103734418401</v>
      </c>
      <c r="L1982">
        <v>1316.69999999999</v>
      </c>
      <c r="M1982">
        <v>582.53462240651095</v>
      </c>
      <c r="N1982">
        <v>734.16537759348796</v>
      </c>
      <c r="O1982" t="s">
        <v>32</v>
      </c>
      <c r="P1982">
        <f t="shared" si="60"/>
        <v>1386</v>
      </c>
      <c r="Q1982">
        <f t="shared" si="61"/>
        <v>-734.16537759347909</v>
      </c>
    </row>
    <row r="1983" spans="1:17" x14ac:dyDescent="0.4">
      <c r="A1983" t="s">
        <v>3855</v>
      </c>
      <c r="B1983" s="1">
        <v>45420.375</v>
      </c>
      <c r="C1983" t="s">
        <v>28</v>
      </c>
      <c r="D1983" t="s">
        <v>3856</v>
      </c>
      <c r="E1983" t="s">
        <v>24</v>
      </c>
      <c r="F1983" t="s">
        <v>25</v>
      </c>
      <c r="G1983">
        <v>192</v>
      </c>
      <c r="H1983">
        <v>0</v>
      </c>
      <c r="I1983">
        <v>192</v>
      </c>
      <c r="J1983">
        <v>1</v>
      </c>
      <c r="K1983">
        <v>101.97668775909899</v>
      </c>
      <c r="L1983">
        <v>192</v>
      </c>
      <c r="M1983">
        <v>101.97668775909899</v>
      </c>
      <c r="N1983">
        <v>90.023312240900793</v>
      </c>
      <c r="O1983" t="s">
        <v>32</v>
      </c>
      <c r="P1983">
        <f t="shared" si="60"/>
        <v>192</v>
      </c>
      <c r="Q1983">
        <f t="shared" si="61"/>
        <v>-90.023312240901006</v>
      </c>
    </row>
    <row r="1984" spans="1:17" x14ac:dyDescent="0.4">
      <c r="A1984" t="s">
        <v>3857</v>
      </c>
      <c r="B1984" s="1">
        <v>45351.5</v>
      </c>
      <c r="C1984" t="s">
        <v>22</v>
      </c>
      <c r="D1984" t="s">
        <v>879</v>
      </c>
      <c r="E1984" t="s">
        <v>110</v>
      </c>
      <c r="F1984" t="s">
        <v>19</v>
      </c>
      <c r="G1984">
        <v>305</v>
      </c>
      <c r="H1984">
        <v>0.05</v>
      </c>
      <c r="I1984">
        <v>289.75</v>
      </c>
      <c r="J1984">
        <v>3</v>
      </c>
      <c r="K1984">
        <v>128.054341011627</v>
      </c>
      <c r="L1984">
        <v>869.25</v>
      </c>
      <c r="M1984">
        <v>384.16302303488197</v>
      </c>
      <c r="N1984">
        <v>485.086976965117</v>
      </c>
      <c r="O1984" t="s">
        <v>20</v>
      </c>
      <c r="P1984">
        <f t="shared" si="60"/>
        <v>915</v>
      </c>
      <c r="Q1984">
        <f t="shared" si="61"/>
        <v>-485.08697696511803</v>
      </c>
    </row>
    <row r="1985" spans="1:17" x14ac:dyDescent="0.4">
      <c r="A1985" t="s">
        <v>3858</v>
      </c>
      <c r="B1985" s="1">
        <v>45457.291666666664</v>
      </c>
      <c r="C1985" t="s">
        <v>22</v>
      </c>
      <c r="D1985" t="s">
        <v>3859</v>
      </c>
      <c r="E1985" t="s">
        <v>18</v>
      </c>
      <c r="F1985" t="s">
        <v>19</v>
      </c>
      <c r="G1985">
        <v>233</v>
      </c>
      <c r="H1985">
        <v>0.05</v>
      </c>
      <c r="I1985">
        <v>221.35</v>
      </c>
      <c r="J1985">
        <v>7</v>
      </c>
      <c r="K1985">
        <v>105.81377097008099</v>
      </c>
      <c r="L1985">
        <v>1549.45</v>
      </c>
      <c r="M1985">
        <v>740.696396790569</v>
      </c>
      <c r="N1985">
        <v>808.75360320943105</v>
      </c>
      <c r="O1985" t="s">
        <v>26</v>
      </c>
      <c r="P1985">
        <f t="shared" si="60"/>
        <v>1631</v>
      </c>
      <c r="Q1985">
        <f t="shared" si="61"/>
        <v>-808.75360320943105</v>
      </c>
    </row>
    <row r="1986" spans="1:17" x14ac:dyDescent="0.4">
      <c r="A1986" t="s">
        <v>3860</v>
      </c>
      <c r="B1986" s="1">
        <v>45560.541666666664</v>
      </c>
      <c r="C1986" t="s">
        <v>46</v>
      </c>
      <c r="D1986" t="s">
        <v>3861</v>
      </c>
      <c r="E1986" t="s">
        <v>85</v>
      </c>
      <c r="F1986" t="s">
        <v>70</v>
      </c>
      <c r="G1986">
        <v>232</v>
      </c>
      <c r="H1986">
        <v>0.1</v>
      </c>
      <c r="I1986">
        <v>208.8</v>
      </c>
      <c r="J1986">
        <v>5</v>
      </c>
      <c r="K1986">
        <v>134.71812755238901</v>
      </c>
      <c r="L1986">
        <v>1044</v>
      </c>
      <c r="M1986">
        <v>673.59063776194603</v>
      </c>
      <c r="N1986">
        <v>370.40936223805301</v>
      </c>
      <c r="O1986" t="s">
        <v>32</v>
      </c>
      <c r="P1986">
        <f t="shared" si="60"/>
        <v>1160</v>
      </c>
      <c r="Q1986">
        <f t="shared" si="61"/>
        <v>-370.40936223805397</v>
      </c>
    </row>
    <row r="1987" spans="1:17" x14ac:dyDescent="0.4">
      <c r="A1987" t="s">
        <v>3862</v>
      </c>
      <c r="B1987" s="1">
        <v>45898.916666666664</v>
      </c>
      <c r="C1987" t="s">
        <v>28</v>
      </c>
      <c r="D1987" t="s">
        <v>3863</v>
      </c>
      <c r="E1987" t="s">
        <v>213</v>
      </c>
      <c r="F1987" t="s">
        <v>31</v>
      </c>
      <c r="G1987">
        <v>281</v>
      </c>
      <c r="H1987">
        <v>0</v>
      </c>
      <c r="I1987">
        <v>281</v>
      </c>
      <c r="J1987">
        <v>7</v>
      </c>
      <c r="K1987">
        <v>125.851800411733</v>
      </c>
      <c r="L1987">
        <v>1967</v>
      </c>
      <c r="M1987">
        <v>880.96260288213205</v>
      </c>
      <c r="N1987">
        <v>1086.0373971178601</v>
      </c>
      <c r="O1987" t="s">
        <v>32</v>
      </c>
      <c r="P1987">
        <f t="shared" ref="P1987:P2001" si="62">G1987 * J1987</f>
        <v>1967</v>
      </c>
      <c r="Q1987">
        <f t="shared" ref="Q1987:Q2001" si="63" xml:space="preserve"> M1987 - L1987</f>
        <v>-1086.0373971178678</v>
      </c>
    </row>
    <row r="1988" spans="1:17" x14ac:dyDescent="0.4">
      <c r="A1988" t="s">
        <v>3864</v>
      </c>
      <c r="B1988" s="1">
        <v>45877.083333333336</v>
      </c>
      <c r="C1988" t="s">
        <v>46</v>
      </c>
      <c r="D1988" t="s">
        <v>3865</v>
      </c>
      <c r="E1988" t="s">
        <v>60</v>
      </c>
      <c r="F1988" t="s">
        <v>61</v>
      </c>
      <c r="G1988">
        <v>263</v>
      </c>
      <c r="H1988">
        <v>0.1</v>
      </c>
      <c r="I1988">
        <v>236.7</v>
      </c>
      <c r="J1988">
        <v>5</v>
      </c>
      <c r="K1988">
        <v>188.836039767702</v>
      </c>
      <c r="L1988">
        <v>1183.5</v>
      </c>
      <c r="M1988">
        <v>944.18019883851196</v>
      </c>
      <c r="N1988">
        <v>239.31980116148699</v>
      </c>
      <c r="O1988" t="s">
        <v>26</v>
      </c>
      <c r="P1988">
        <f t="shared" si="62"/>
        <v>1315</v>
      </c>
      <c r="Q1988">
        <f t="shared" si="63"/>
        <v>-239.31980116148804</v>
      </c>
    </row>
    <row r="1989" spans="1:17" x14ac:dyDescent="0.4">
      <c r="A1989" t="s">
        <v>3866</v>
      </c>
      <c r="B1989" s="1">
        <v>45764.041666666664</v>
      </c>
      <c r="C1989" t="s">
        <v>43</v>
      </c>
      <c r="D1989" t="s">
        <v>3867</v>
      </c>
      <c r="E1989" t="s">
        <v>41</v>
      </c>
      <c r="F1989" t="s">
        <v>31</v>
      </c>
      <c r="G1989">
        <v>323</v>
      </c>
      <c r="H1989">
        <v>0.1</v>
      </c>
      <c r="I1989">
        <v>290.7</v>
      </c>
      <c r="J1989">
        <v>3</v>
      </c>
      <c r="K1989">
        <v>227.33848955881101</v>
      </c>
      <c r="L1989">
        <v>872.099999999999</v>
      </c>
      <c r="M1989">
        <v>682.01546867643401</v>
      </c>
      <c r="N1989">
        <v>190.08453132356499</v>
      </c>
      <c r="O1989" t="s">
        <v>32</v>
      </c>
      <c r="P1989">
        <f t="shared" si="62"/>
        <v>969</v>
      </c>
      <c r="Q1989">
        <f t="shared" si="63"/>
        <v>-190.08453132356499</v>
      </c>
    </row>
    <row r="1990" spans="1:17" x14ac:dyDescent="0.4">
      <c r="A1990" t="s">
        <v>3868</v>
      </c>
      <c r="B1990" s="1">
        <v>45381.958333333336</v>
      </c>
      <c r="C1990" t="s">
        <v>46</v>
      </c>
      <c r="D1990" t="s">
        <v>3869</v>
      </c>
      <c r="E1990" t="s">
        <v>82</v>
      </c>
      <c r="F1990" t="s">
        <v>25</v>
      </c>
      <c r="G1990">
        <v>117</v>
      </c>
      <c r="H1990">
        <v>0</v>
      </c>
      <c r="I1990">
        <v>117</v>
      </c>
      <c r="J1990">
        <v>7</v>
      </c>
      <c r="K1990">
        <v>73.499998498137401</v>
      </c>
      <c r="L1990">
        <v>819</v>
      </c>
      <c r="M1990">
        <v>514.49998948696202</v>
      </c>
      <c r="N1990">
        <v>304.50001051303798</v>
      </c>
      <c r="O1990" t="s">
        <v>32</v>
      </c>
      <c r="P1990">
        <f t="shared" si="62"/>
        <v>819</v>
      </c>
      <c r="Q1990">
        <f t="shared" si="63"/>
        <v>-304.50001051303798</v>
      </c>
    </row>
    <row r="1991" spans="1:17" x14ac:dyDescent="0.4">
      <c r="A1991" t="s">
        <v>3870</v>
      </c>
      <c r="B1991" s="1">
        <v>45505.833333333336</v>
      </c>
      <c r="C1991" t="s">
        <v>65</v>
      </c>
      <c r="D1991" t="s">
        <v>3871</v>
      </c>
      <c r="E1991" t="s">
        <v>146</v>
      </c>
      <c r="F1991" t="s">
        <v>70</v>
      </c>
      <c r="G1991">
        <v>80</v>
      </c>
      <c r="H1991">
        <v>0</v>
      </c>
      <c r="I1991">
        <v>80</v>
      </c>
      <c r="J1991">
        <v>4</v>
      </c>
      <c r="K1991">
        <v>52.399825925731498</v>
      </c>
      <c r="L1991">
        <v>320</v>
      </c>
      <c r="M1991">
        <v>209.59930370292599</v>
      </c>
      <c r="N1991">
        <v>110.400696297073</v>
      </c>
      <c r="O1991" t="s">
        <v>26</v>
      </c>
      <c r="P1991">
        <f t="shared" si="62"/>
        <v>320</v>
      </c>
      <c r="Q1991">
        <f t="shared" si="63"/>
        <v>-110.40069629707401</v>
      </c>
    </row>
    <row r="1992" spans="1:17" x14ac:dyDescent="0.4">
      <c r="A1992" t="s">
        <v>3872</v>
      </c>
      <c r="B1992" s="1">
        <v>45914.208333333336</v>
      </c>
      <c r="C1992" t="s">
        <v>43</v>
      </c>
      <c r="D1992" t="s">
        <v>3873</v>
      </c>
      <c r="E1992" t="s">
        <v>82</v>
      </c>
      <c r="F1992" t="s">
        <v>25</v>
      </c>
      <c r="G1992">
        <v>289</v>
      </c>
      <c r="H1992">
        <v>0</v>
      </c>
      <c r="I1992">
        <v>289</v>
      </c>
      <c r="J1992">
        <v>4</v>
      </c>
      <c r="K1992">
        <v>184.71342914422399</v>
      </c>
      <c r="L1992">
        <v>1156</v>
      </c>
      <c r="M1992">
        <v>738.85371657689905</v>
      </c>
      <c r="N1992">
        <v>417.14628342309999</v>
      </c>
      <c r="O1992" t="s">
        <v>26</v>
      </c>
      <c r="P1992">
        <f t="shared" si="62"/>
        <v>1156</v>
      </c>
      <c r="Q1992">
        <f t="shared" si="63"/>
        <v>-417.14628342310095</v>
      </c>
    </row>
    <row r="1993" spans="1:17" x14ac:dyDescent="0.4">
      <c r="A1993" t="s">
        <v>3874</v>
      </c>
      <c r="B1993" s="1">
        <v>45728.375</v>
      </c>
      <c r="C1993" t="s">
        <v>16</v>
      </c>
      <c r="D1993" t="s">
        <v>3875</v>
      </c>
      <c r="E1993" t="s">
        <v>48</v>
      </c>
      <c r="F1993" t="s">
        <v>19</v>
      </c>
      <c r="G1993">
        <v>88</v>
      </c>
      <c r="H1993">
        <v>0.2</v>
      </c>
      <c r="I1993">
        <v>70.400000000000006</v>
      </c>
      <c r="J1993">
        <v>2</v>
      </c>
      <c r="K1993">
        <v>60.022624477711503</v>
      </c>
      <c r="L1993">
        <v>140.80000000000001</v>
      </c>
      <c r="M1993">
        <v>120.04524895542301</v>
      </c>
      <c r="N1993">
        <v>20.754751044576899</v>
      </c>
      <c r="O1993" t="s">
        <v>32</v>
      </c>
      <c r="P1993">
        <f t="shared" si="62"/>
        <v>176</v>
      </c>
      <c r="Q1993">
        <f t="shared" si="63"/>
        <v>-20.754751044577006</v>
      </c>
    </row>
    <row r="1994" spans="1:17" x14ac:dyDescent="0.4">
      <c r="A1994" t="s">
        <v>3876</v>
      </c>
      <c r="B1994" s="1">
        <v>45742.208333333336</v>
      </c>
      <c r="C1994" t="s">
        <v>16</v>
      </c>
      <c r="D1994" t="s">
        <v>23</v>
      </c>
      <c r="E1994" t="s">
        <v>24</v>
      </c>
      <c r="F1994" t="s">
        <v>25</v>
      </c>
      <c r="G1994">
        <v>139</v>
      </c>
      <c r="H1994">
        <v>0.15</v>
      </c>
      <c r="I1994">
        <v>118.149999999999</v>
      </c>
      <c r="J1994">
        <v>7</v>
      </c>
      <c r="K1994">
        <v>70.693022841659399</v>
      </c>
      <c r="L1994">
        <v>827.05</v>
      </c>
      <c r="M1994">
        <v>494.851159891615</v>
      </c>
      <c r="N1994">
        <v>332.19884010838399</v>
      </c>
      <c r="O1994" t="s">
        <v>51</v>
      </c>
      <c r="P1994">
        <f t="shared" si="62"/>
        <v>973</v>
      </c>
      <c r="Q1994">
        <f t="shared" si="63"/>
        <v>-332.19884010838496</v>
      </c>
    </row>
    <row r="1995" spans="1:17" x14ac:dyDescent="0.4">
      <c r="A1995" t="s">
        <v>3877</v>
      </c>
      <c r="B1995" s="1">
        <v>45420.458333333336</v>
      </c>
      <c r="C1995" t="s">
        <v>43</v>
      </c>
      <c r="D1995" t="s">
        <v>3878</v>
      </c>
      <c r="E1995" t="s">
        <v>97</v>
      </c>
      <c r="F1995" t="s">
        <v>61</v>
      </c>
      <c r="G1995">
        <v>267</v>
      </c>
      <c r="H1995">
        <v>0.1</v>
      </c>
      <c r="I1995">
        <v>240.3</v>
      </c>
      <c r="J1995">
        <v>4</v>
      </c>
      <c r="K1995">
        <v>191.52820072578899</v>
      </c>
      <c r="L1995">
        <v>961.2</v>
      </c>
      <c r="M1995">
        <v>766.11280290315801</v>
      </c>
      <c r="N1995">
        <v>195.08719709684101</v>
      </c>
      <c r="O1995" t="s">
        <v>32</v>
      </c>
      <c r="P1995">
        <f t="shared" si="62"/>
        <v>1068</v>
      </c>
      <c r="Q1995">
        <f t="shared" si="63"/>
        <v>-195.08719709684203</v>
      </c>
    </row>
    <row r="1996" spans="1:17" x14ac:dyDescent="0.4">
      <c r="A1996" t="s">
        <v>3879</v>
      </c>
      <c r="B1996" s="1">
        <v>46017.875</v>
      </c>
      <c r="C1996" t="s">
        <v>46</v>
      </c>
      <c r="D1996" t="s">
        <v>3880</v>
      </c>
      <c r="E1996" t="s">
        <v>110</v>
      </c>
      <c r="F1996" t="s">
        <v>19</v>
      </c>
      <c r="G1996">
        <v>179</v>
      </c>
      <c r="H1996">
        <v>0.15</v>
      </c>
      <c r="I1996">
        <v>152.15</v>
      </c>
      <c r="J1996">
        <v>3</v>
      </c>
      <c r="K1996">
        <v>133.531070407969</v>
      </c>
      <c r="L1996">
        <v>456.45</v>
      </c>
      <c r="M1996">
        <v>400.59321122390702</v>
      </c>
      <c r="N1996">
        <v>55.856788776092998</v>
      </c>
      <c r="O1996" t="s">
        <v>20</v>
      </c>
      <c r="P1996">
        <f t="shared" si="62"/>
        <v>537</v>
      </c>
      <c r="Q1996">
        <f t="shared" si="63"/>
        <v>-55.856788776092969</v>
      </c>
    </row>
    <row r="1997" spans="1:17" x14ac:dyDescent="0.4">
      <c r="A1997" t="s">
        <v>3881</v>
      </c>
      <c r="B1997" s="1">
        <v>45873</v>
      </c>
      <c r="C1997" t="s">
        <v>16</v>
      </c>
      <c r="D1997" t="s">
        <v>3882</v>
      </c>
      <c r="E1997" t="s">
        <v>41</v>
      </c>
      <c r="F1997" t="s">
        <v>31</v>
      </c>
      <c r="G1997">
        <v>130</v>
      </c>
      <c r="H1997">
        <v>0</v>
      </c>
      <c r="I1997">
        <v>130</v>
      </c>
      <c r="J1997">
        <v>3</v>
      </c>
      <c r="K1997">
        <v>78.759007425739597</v>
      </c>
      <c r="L1997">
        <v>390</v>
      </c>
      <c r="M1997">
        <v>236.27702227721801</v>
      </c>
      <c r="N1997">
        <v>153.722977722781</v>
      </c>
      <c r="O1997" t="s">
        <v>32</v>
      </c>
      <c r="P1997">
        <f t="shared" si="62"/>
        <v>390</v>
      </c>
      <c r="Q1997">
        <f t="shared" si="63"/>
        <v>-153.72297772278199</v>
      </c>
    </row>
    <row r="1998" spans="1:17" x14ac:dyDescent="0.4">
      <c r="A1998" t="s">
        <v>3883</v>
      </c>
      <c r="B1998" s="1">
        <v>45608.833333333336</v>
      </c>
      <c r="C1998" t="s">
        <v>28</v>
      </c>
      <c r="D1998" t="s">
        <v>536</v>
      </c>
      <c r="E1998" t="s">
        <v>110</v>
      </c>
      <c r="F1998" t="s">
        <v>19</v>
      </c>
      <c r="G1998">
        <v>279</v>
      </c>
      <c r="H1998">
        <v>0</v>
      </c>
      <c r="I1998">
        <v>279</v>
      </c>
      <c r="J1998">
        <v>3</v>
      </c>
      <c r="K1998">
        <v>191.32615130877701</v>
      </c>
      <c r="L1998">
        <v>837</v>
      </c>
      <c r="M1998">
        <v>573.97845392633099</v>
      </c>
      <c r="N1998">
        <v>263.02154607366799</v>
      </c>
      <c r="O1998" t="s">
        <v>32</v>
      </c>
      <c r="P1998">
        <f t="shared" si="62"/>
        <v>837</v>
      </c>
      <c r="Q1998">
        <f t="shared" si="63"/>
        <v>-263.02154607366901</v>
      </c>
    </row>
    <row r="1999" spans="1:17" x14ac:dyDescent="0.4">
      <c r="A1999" t="s">
        <v>3884</v>
      </c>
      <c r="B1999" s="1">
        <v>45932.791666666664</v>
      </c>
      <c r="C1999" t="s">
        <v>43</v>
      </c>
      <c r="D1999" t="s">
        <v>3328</v>
      </c>
      <c r="E1999" t="s">
        <v>18</v>
      </c>
      <c r="F1999" t="s">
        <v>19</v>
      </c>
      <c r="G1999">
        <v>161</v>
      </c>
      <c r="H1999">
        <v>0.05</v>
      </c>
      <c r="I1999">
        <v>152.94999999999999</v>
      </c>
      <c r="J1999">
        <v>2</v>
      </c>
      <c r="K1999">
        <v>65.322838680062205</v>
      </c>
      <c r="L1999">
        <v>305.89999999999998</v>
      </c>
      <c r="M1999">
        <v>130.64567736012401</v>
      </c>
      <c r="N1999">
        <v>175.254322639875</v>
      </c>
      <c r="O1999" t="s">
        <v>32</v>
      </c>
      <c r="P1999">
        <f t="shared" si="62"/>
        <v>322</v>
      </c>
      <c r="Q1999">
        <f t="shared" si="63"/>
        <v>-175.25432263987597</v>
      </c>
    </row>
    <row r="2000" spans="1:17" x14ac:dyDescent="0.4">
      <c r="A2000" t="s">
        <v>3885</v>
      </c>
      <c r="B2000" s="1">
        <v>45457.958333333336</v>
      </c>
      <c r="C2000" t="s">
        <v>16</v>
      </c>
      <c r="D2000" t="s">
        <v>3886</v>
      </c>
      <c r="E2000" t="s">
        <v>104</v>
      </c>
      <c r="F2000" t="s">
        <v>25</v>
      </c>
      <c r="G2000">
        <v>187</v>
      </c>
      <c r="H2000">
        <v>0.2</v>
      </c>
      <c r="I2000">
        <v>149.6</v>
      </c>
      <c r="J2000">
        <v>3</v>
      </c>
      <c r="K2000">
        <v>94.499567031183702</v>
      </c>
      <c r="L2000">
        <v>448.79999999999899</v>
      </c>
      <c r="M2000">
        <v>283.49870109355101</v>
      </c>
      <c r="N2000">
        <v>165.30129890644801</v>
      </c>
      <c r="O2000" t="s">
        <v>32</v>
      </c>
      <c r="P2000">
        <f t="shared" si="62"/>
        <v>561</v>
      </c>
      <c r="Q2000">
        <f t="shared" si="63"/>
        <v>-165.30129890644798</v>
      </c>
    </row>
    <row r="2001" spans="1:17" x14ac:dyDescent="0.4">
      <c r="A2001" t="s">
        <v>3887</v>
      </c>
      <c r="B2001" s="1">
        <v>45366.083333333336</v>
      </c>
      <c r="C2001" t="s">
        <v>22</v>
      </c>
      <c r="D2001" t="s">
        <v>3888</v>
      </c>
      <c r="E2001" t="s">
        <v>85</v>
      </c>
      <c r="F2001" t="s">
        <v>70</v>
      </c>
      <c r="G2001">
        <v>179</v>
      </c>
      <c r="H2001">
        <v>0.1</v>
      </c>
      <c r="I2001">
        <v>161.1</v>
      </c>
      <c r="J2001">
        <v>4</v>
      </c>
      <c r="K2001">
        <v>90.535924591311797</v>
      </c>
      <c r="L2001">
        <v>644.4</v>
      </c>
      <c r="M2001">
        <v>362.14369836524702</v>
      </c>
      <c r="N2001">
        <v>282.25630163475199</v>
      </c>
      <c r="O2001" t="s">
        <v>32</v>
      </c>
      <c r="P2001">
        <f t="shared" si="62"/>
        <v>716</v>
      </c>
      <c r="Q2001">
        <f t="shared" si="63"/>
        <v>-282.25630163475296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31A9-1D39-4A9B-B10A-69CD0E00F2A8}">
  <dimension ref="A3:K22"/>
  <sheetViews>
    <sheetView workbookViewId="0">
      <selection activeCell="D25" sqref="D25"/>
    </sheetView>
  </sheetViews>
  <sheetFormatPr defaultRowHeight="14.6" x14ac:dyDescent="0.4"/>
  <cols>
    <col min="1" max="1" width="14.61328125" bestFit="1" customWidth="1"/>
    <col min="2" max="2" width="9.84375" bestFit="1" customWidth="1"/>
    <col min="3" max="3" width="24.3828125" bestFit="1" customWidth="1"/>
    <col min="4" max="4" width="21.15234375" bestFit="1" customWidth="1"/>
    <col min="5" max="5" width="12.4609375" bestFit="1" customWidth="1"/>
    <col min="6" max="6" width="10.23046875" bestFit="1" customWidth="1"/>
    <col min="7" max="7" width="11.84375" bestFit="1" customWidth="1"/>
    <col min="8" max="8" width="14.84375" bestFit="1" customWidth="1"/>
    <col min="9" max="9" width="17.53515625" bestFit="1" customWidth="1"/>
    <col min="10" max="10" width="26.69140625" bestFit="1" customWidth="1"/>
    <col min="11" max="11" width="11.84375" bestFit="1" customWidth="1"/>
  </cols>
  <sheetData>
    <row r="3" spans="1:11" x14ac:dyDescent="0.4">
      <c r="A3" s="2" t="s">
        <v>3898</v>
      </c>
      <c r="B3" t="s">
        <v>3902</v>
      </c>
      <c r="C3" t="s">
        <v>3901</v>
      </c>
      <c r="D3" t="s">
        <v>3893</v>
      </c>
      <c r="E3" t="s">
        <v>3903</v>
      </c>
      <c r="F3" t="s">
        <v>3904</v>
      </c>
      <c r="G3" t="s">
        <v>3900</v>
      </c>
      <c r="H3" s="7" t="s">
        <v>3894</v>
      </c>
      <c r="I3" t="s">
        <v>3895</v>
      </c>
      <c r="J3" s="5" t="s">
        <v>3897</v>
      </c>
      <c r="K3" s="6" t="s">
        <v>3896</v>
      </c>
    </row>
    <row r="4" spans="1:11" x14ac:dyDescent="0.4">
      <c r="A4" s="3" t="s">
        <v>48</v>
      </c>
      <c r="B4" s="4">
        <v>124090.34999999995</v>
      </c>
      <c r="C4" s="4">
        <v>135159</v>
      </c>
      <c r="D4" s="4">
        <v>8.4899328859060416E-2</v>
      </c>
      <c r="E4" s="4">
        <v>-46834.14999931604</v>
      </c>
      <c r="F4" s="4">
        <v>626</v>
      </c>
      <c r="G4" s="4">
        <v>46834.149999315901</v>
      </c>
      <c r="H4" s="7">
        <f>IF(B4=0,0, G4 / B4)</f>
        <v>0.37741975906519659</v>
      </c>
      <c r="I4" s="8">
        <f>MAX(0, C4 - B4)</f>
        <v>11068.650000000052</v>
      </c>
      <c r="J4">
        <f>G4 / $G$22</f>
        <v>7.9860719631265245E-2</v>
      </c>
      <c r="K4">
        <f>IF(H4=0,0, B4 / H4)</f>
        <v>328786.04529701959</v>
      </c>
    </row>
    <row r="5" spans="1:11" x14ac:dyDescent="0.4">
      <c r="A5" s="3" t="s">
        <v>69</v>
      </c>
      <c r="B5" s="4">
        <v>128246.34999999999</v>
      </c>
      <c r="C5" s="4">
        <v>141102</v>
      </c>
      <c r="D5" s="4">
        <v>8.8235294117647092E-2</v>
      </c>
      <c r="E5" s="4">
        <v>-44913.257627709449</v>
      </c>
      <c r="F5" s="4">
        <v>661</v>
      </c>
      <c r="G5" s="4">
        <v>44913.257627709296</v>
      </c>
      <c r="H5" s="7">
        <f t="shared" ref="H5:H22" si="0">IF(B5=0,0, G5 / B5)</f>
        <v>0.35021080621561002</v>
      </c>
      <c r="I5" s="8">
        <f t="shared" ref="I5:I22" si="1">MAX(0, C5 - B5)</f>
        <v>12855.650000000009</v>
      </c>
      <c r="J5">
        <f t="shared" ref="J5:J22" si="2">G5 / $G$22</f>
        <v>7.658524976295436E-2</v>
      </c>
      <c r="K5">
        <f t="shared" ref="K5:K22" si="3">IF(H5=0,0, B5 / H5)</f>
        <v>366197.58078237064</v>
      </c>
    </row>
    <row r="6" spans="1:11" x14ac:dyDescent="0.4">
      <c r="A6" s="3" t="s">
        <v>73</v>
      </c>
      <c r="B6" s="4">
        <v>115421.94999999997</v>
      </c>
      <c r="C6" s="4">
        <v>124778</v>
      </c>
      <c r="D6" s="4">
        <v>7.7364864864864893E-2</v>
      </c>
      <c r="E6" s="4">
        <v>-44091.121126750622</v>
      </c>
      <c r="F6" s="4">
        <v>567</v>
      </c>
      <c r="G6" s="4">
        <v>44091.121126750513</v>
      </c>
      <c r="H6" s="7">
        <f t="shared" si="0"/>
        <v>0.38199944747728248</v>
      </c>
      <c r="I6" s="8">
        <f t="shared" si="1"/>
        <v>9356.050000000032</v>
      </c>
      <c r="J6">
        <f t="shared" si="2"/>
        <v>7.5183357925424313E-2</v>
      </c>
      <c r="K6">
        <f t="shared" si="3"/>
        <v>302152.13860188663</v>
      </c>
    </row>
    <row r="7" spans="1:11" x14ac:dyDescent="0.4">
      <c r="A7" s="3" t="s">
        <v>18</v>
      </c>
      <c r="B7" s="4">
        <v>109215.45</v>
      </c>
      <c r="C7" s="4">
        <v>119099</v>
      </c>
      <c r="D7" s="4">
        <v>7.8571428571428542E-2</v>
      </c>
      <c r="E7" s="4">
        <v>-43234.376815754302</v>
      </c>
      <c r="F7" s="4">
        <v>559</v>
      </c>
      <c r="G7" s="4">
        <v>43234.376815754156</v>
      </c>
      <c r="H7" s="7">
        <f t="shared" si="0"/>
        <v>0.39586319349280857</v>
      </c>
      <c r="I7" s="8">
        <f t="shared" si="1"/>
        <v>9883.5500000000029</v>
      </c>
      <c r="J7">
        <f t="shared" si="2"/>
        <v>7.3722453495277493E-2</v>
      </c>
      <c r="K7">
        <f t="shared" si="3"/>
        <v>275891.90355476696</v>
      </c>
    </row>
    <row r="8" spans="1:11" x14ac:dyDescent="0.4">
      <c r="A8" s="3" t="s">
        <v>115</v>
      </c>
      <c r="B8" s="4">
        <v>114315.64999999995</v>
      </c>
      <c r="C8" s="4">
        <v>126979</v>
      </c>
      <c r="D8" s="4">
        <v>9.4642857142857181E-2</v>
      </c>
      <c r="E8" s="4">
        <v>-42669.896472267174</v>
      </c>
      <c r="F8" s="4">
        <v>581</v>
      </c>
      <c r="G8" s="4">
        <v>42669.89647226705</v>
      </c>
      <c r="H8" s="7">
        <f t="shared" si="0"/>
        <v>0.37326382233987271</v>
      </c>
      <c r="I8" s="8">
        <f t="shared" si="1"/>
        <v>12663.350000000049</v>
      </c>
      <c r="J8">
        <f t="shared" si="2"/>
        <v>7.2759912134982868E-2</v>
      </c>
      <c r="K8">
        <f t="shared" si="3"/>
        <v>306259.65646333294</v>
      </c>
    </row>
    <row r="9" spans="1:11" x14ac:dyDescent="0.4">
      <c r="A9" s="3" t="s">
        <v>37</v>
      </c>
      <c r="B9" s="4">
        <v>119911.2</v>
      </c>
      <c r="C9" s="4">
        <v>131882</v>
      </c>
      <c r="D9" s="4">
        <v>8.5161290322580643E-2</v>
      </c>
      <c r="E9" s="4">
        <v>-42356.638770414684</v>
      </c>
      <c r="F9" s="4">
        <v>607</v>
      </c>
      <c r="G9" s="4">
        <v>42356.638770414531</v>
      </c>
      <c r="H9" s="7">
        <f t="shared" si="0"/>
        <v>0.35323338245647223</v>
      </c>
      <c r="I9" s="8">
        <f t="shared" si="1"/>
        <v>11970.800000000003</v>
      </c>
      <c r="J9">
        <f t="shared" si="2"/>
        <v>7.2225750940633354E-2</v>
      </c>
      <c r="K9">
        <f t="shared" si="3"/>
        <v>339467.34922420944</v>
      </c>
    </row>
    <row r="10" spans="1:11" x14ac:dyDescent="0.4">
      <c r="A10" s="3" t="s">
        <v>85</v>
      </c>
      <c r="B10" s="4">
        <v>104955.24999999994</v>
      </c>
      <c r="C10" s="4">
        <v>114794</v>
      </c>
      <c r="D10" s="4">
        <v>8.4671532846715289E-2</v>
      </c>
      <c r="E10" s="4">
        <v>-42351.315326066215</v>
      </c>
      <c r="F10" s="4">
        <v>491</v>
      </c>
      <c r="G10" s="4">
        <v>42351.315326066069</v>
      </c>
      <c r="H10" s="7">
        <f t="shared" si="0"/>
        <v>0.40351783570679972</v>
      </c>
      <c r="I10" s="8">
        <f t="shared" si="1"/>
        <v>9838.7500000000582</v>
      </c>
      <c r="J10">
        <f t="shared" si="2"/>
        <v>7.2216673502554701E-2</v>
      </c>
      <c r="K10">
        <f t="shared" si="3"/>
        <v>260100.64664467899</v>
      </c>
    </row>
    <row r="11" spans="1:11" x14ac:dyDescent="0.4">
      <c r="A11" s="3" t="s">
        <v>146</v>
      </c>
      <c r="B11" s="4">
        <v>110399.64999999997</v>
      </c>
      <c r="C11" s="4">
        <v>121366</v>
      </c>
      <c r="D11" s="4">
        <v>8.6148648648648643E-2</v>
      </c>
      <c r="E11" s="4">
        <v>-40550.041103412528</v>
      </c>
      <c r="F11" s="4">
        <v>600</v>
      </c>
      <c r="G11" s="4">
        <v>40550.041103412426</v>
      </c>
      <c r="H11" s="7">
        <f t="shared" si="0"/>
        <v>0.36730226140583272</v>
      </c>
      <c r="I11" s="8">
        <f t="shared" si="1"/>
        <v>10966.350000000035</v>
      </c>
      <c r="J11">
        <f t="shared" si="2"/>
        <v>6.9145174272260801E-2</v>
      </c>
      <c r="K11">
        <f t="shared" si="3"/>
        <v>300568.93626913789</v>
      </c>
    </row>
    <row r="12" spans="1:11" x14ac:dyDescent="0.4">
      <c r="A12" s="3" t="s">
        <v>110</v>
      </c>
      <c r="B12" s="4">
        <v>103555.09999999992</v>
      </c>
      <c r="C12" s="4">
        <v>113896</v>
      </c>
      <c r="D12" s="4">
        <v>8.5815602836879473E-2</v>
      </c>
      <c r="E12" s="4">
        <v>-36220.361716704152</v>
      </c>
      <c r="F12" s="4">
        <v>535</v>
      </c>
      <c r="G12" s="4">
        <v>36220.361716704036</v>
      </c>
      <c r="H12" s="7">
        <f t="shared" si="0"/>
        <v>0.34976898015360003</v>
      </c>
      <c r="I12" s="8">
        <f t="shared" si="1"/>
        <v>10340.900000000081</v>
      </c>
      <c r="J12">
        <f t="shared" si="2"/>
        <v>6.1762285683480231E-2</v>
      </c>
      <c r="K12">
        <f t="shared" si="3"/>
        <v>296067.13538325782</v>
      </c>
    </row>
    <row r="13" spans="1:11" x14ac:dyDescent="0.4">
      <c r="A13" s="3" t="s">
        <v>97</v>
      </c>
      <c r="B13" s="4">
        <v>76520.149999999965</v>
      </c>
      <c r="C13" s="4">
        <v>83533</v>
      </c>
      <c r="D13" s="4">
        <v>8.3707865168539314E-2</v>
      </c>
      <c r="E13" s="4">
        <v>-28998.318970086701</v>
      </c>
      <c r="F13" s="4">
        <v>381</v>
      </c>
      <c r="G13" s="4">
        <v>28998.31897008661</v>
      </c>
      <c r="H13" s="7">
        <f t="shared" si="0"/>
        <v>0.37896317466819684</v>
      </c>
      <c r="I13" s="8">
        <f t="shared" si="1"/>
        <v>7012.8500000000349</v>
      </c>
      <c r="J13">
        <f t="shared" si="2"/>
        <v>4.9447393004504486E-2</v>
      </c>
      <c r="K13">
        <f t="shared" si="3"/>
        <v>201919.75135050411</v>
      </c>
    </row>
    <row r="14" spans="1:11" x14ac:dyDescent="0.4">
      <c r="A14" s="3" t="s">
        <v>30</v>
      </c>
      <c r="B14" s="4">
        <v>65950.949999999953</v>
      </c>
      <c r="C14" s="4">
        <v>70936</v>
      </c>
      <c r="D14" s="4">
        <v>6.4556962025316453E-2</v>
      </c>
      <c r="E14" s="4">
        <v>-25139.620165222881</v>
      </c>
      <c r="F14" s="4">
        <v>339</v>
      </c>
      <c r="G14" s="4">
        <v>25139.620165222819</v>
      </c>
      <c r="H14" s="7">
        <f t="shared" si="0"/>
        <v>0.38118662680708676</v>
      </c>
      <c r="I14" s="8">
        <f t="shared" si="1"/>
        <v>4985.0500000000466</v>
      </c>
      <c r="J14">
        <f t="shared" si="2"/>
        <v>4.2867611725219468E-2</v>
      </c>
      <c r="K14">
        <f t="shared" si="3"/>
        <v>173014.85771529129</v>
      </c>
    </row>
    <row r="15" spans="1:11" x14ac:dyDescent="0.4">
      <c r="A15" s="3" t="s">
        <v>24</v>
      </c>
      <c r="B15" s="4">
        <v>60707.149999999994</v>
      </c>
      <c r="C15" s="4">
        <v>67533</v>
      </c>
      <c r="D15" s="4">
        <v>9.6710526315789497E-2</v>
      </c>
      <c r="E15" s="4">
        <v>-23691.669597372122</v>
      </c>
      <c r="F15" s="4">
        <v>311</v>
      </c>
      <c r="G15" s="4">
        <v>23691.669597372031</v>
      </c>
      <c r="H15" s="7">
        <f t="shared" si="0"/>
        <v>0.39026160176144048</v>
      </c>
      <c r="I15" s="8">
        <f t="shared" si="1"/>
        <v>6825.8500000000058</v>
      </c>
      <c r="J15">
        <f t="shared" si="2"/>
        <v>4.0398593405451683E-2</v>
      </c>
      <c r="K15">
        <f t="shared" si="3"/>
        <v>155555.01675286292</v>
      </c>
    </row>
    <row r="16" spans="1:11" x14ac:dyDescent="0.4">
      <c r="A16" s="3" t="s">
        <v>213</v>
      </c>
      <c r="B16" s="4">
        <v>59027.399999999987</v>
      </c>
      <c r="C16" s="4">
        <v>63075</v>
      </c>
      <c r="D16" s="4">
        <v>7.4025974025974023E-2</v>
      </c>
      <c r="E16" s="4">
        <v>-22809.364036079696</v>
      </c>
      <c r="F16" s="4">
        <v>296</v>
      </c>
      <c r="G16" s="4">
        <v>22809.364036079594</v>
      </c>
      <c r="H16" s="7">
        <f t="shared" si="0"/>
        <v>0.38641993440469341</v>
      </c>
      <c r="I16" s="8">
        <f t="shared" si="1"/>
        <v>4047.6000000000131</v>
      </c>
      <c r="J16">
        <f t="shared" si="2"/>
        <v>3.8894102407739321E-2</v>
      </c>
      <c r="K16">
        <f t="shared" si="3"/>
        <v>152754.54174209666</v>
      </c>
    </row>
    <row r="17" spans="1:11" x14ac:dyDescent="0.4">
      <c r="A17" s="3" t="s">
        <v>104</v>
      </c>
      <c r="B17" s="4">
        <v>61508.599999999977</v>
      </c>
      <c r="C17" s="4">
        <v>66224</v>
      </c>
      <c r="D17" s="4">
        <v>8.1249999999999989E-2</v>
      </c>
      <c r="E17" s="4">
        <v>-22764.51760340792</v>
      </c>
      <c r="F17" s="4">
        <v>313</v>
      </c>
      <c r="G17" s="4">
        <v>22764.517603407829</v>
      </c>
      <c r="H17" s="7">
        <f t="shared" si="0"/>
        <v>0.37010300353784409</v>
      </c>
      <c r="I17" s="8">
        <f t="shared" si="1"/>
        <v>4715.4000000000233</v>
      </c>
      <c r="J17">
        <f t="shared" si="2"/>
        <v>3.8817631106645684E-2</v>
      </c>
      <c r="K17">
        <f t="shared" si="3"/>
        <v>166193.19327872072</v>
      </c>
    </row>
    <row r="18" spans="1:11" x14ac:dyDescent="0.4">
      <c r="A18" s="3" t="s">
        <v>94</v>
      </c>
      <c r="B18" s="4">
        <v>62228.649999999972</v>
      </c>
      <c r="C18" s="4">
        <v>67921</v>
      </c>
      <c r="D18" s="4">
        <v>8.2530120481927705E-2</v>
      </c>
      <c r="E18" s="4">
        <v>-21707.767823186008</v>
      </c>
      <c r="F18" s="4">
        <v>313</v>
      </c>
      <c r="G18" s="4">
        <v>21707.767823185906</v>
      </c>
      <c r="H18" s="7">
        <f t="shared" si="0"/>
        <v>0.34883880372121068</v>
      </c>
      <c r="I18" s="8">
        <f t="shared" si="1"/>
        <v>5692.3500000000276</v>
      </c>
      <c r="J18">
        <f t="shared" si="2"/>
        <v>3.7015681078302332E-2</v>
      </c>
      <c r="K18">
        <f t="shared" si="3"/>
        <v>178387.98131452323</v>
      </c>
    </row>
    <row r="19" spans="1:11" x14ac:dyDescent="0.4">
      <c r="A19" s="3" t="s">
        <v>41</v>
      </c>
      <c r="B19" s="4">
        <v>56971.249999999949</v>
      </c>
      <c r="C19" s="4">
        <v>62363</v>
      </c>
      <c r="D19" s="4">
        <v>8.223684210526315E-2</v>
      </c>
      <c r="E19" s="4">
        <v>-20443.361713654493</v>
      </c>
      <c r="F19" s="4">
        <v>281</v>
      </c>
      <c r="G19" s="4">
        <v>20443.361713654456</v>
      </c>
      <c r="H19" s="7">
        <f t="shared" si="0"/>
        <v>0.35883646073509839</v>
      </c>
      <c r="I19" s="8">
        <f t="shared" si="1"/>
        <v>5391.7500000000509</v>
      </c>
      <c r="J19">
        <f t="shared" si="2"/>
        <v>3.4859639347752616E-2</v>
      </c>
      <c r="K19">
        <f t="shared" si="3"/>
        <v>158766.61441619077</v>
      </c>
    </row>
    <row r="20" spans="1:11" x14ac:dyDescent="0.4">
      <c r="A20" s="3" t="s">
        <v>60</v>
      </c>
      <c r="B20" s="4">
        <v>52470.149999999994</v>
      </c>
      <c r="C20" s="4">
        <v>55549</v>
      </c>
      <c r="D20" s="4">
        <v>6.4285714285714265E-2</v>
      </c>
      <c r="E20" s="4">
        <v>-20211.459871963092</v>
      </c>
      <c r="F20" s="4">
        <v>260</v>
      </c>
      <c r="G20" s="4">
        <v>20211.45987196303</v>
      </c>
      <c r="H20" s="7">
        <f t="shared" si="0"/>
        <v>0.38519920129755741</v>
      </c>
      <c r="I20" s="8">
        <f t="shared" si="1"/>
        <v>3078.8500000000058</v>
      </c>
      <c r="J20">
        <f t="shared" si="2"/>
        <v>3.4464204649747768E-2</v>
      </c>
      <c r="K20">
        <f t="shared" si="3"/>
        <v>136215.62511877593</v>
      </c>
    </row>
    <row r="21" spans="1:11" x14ac:dyDescent="0.4">
      <c r="A21" s="3" t="s">
        <v>82</v>
      </c>
      <c r="B21" s="4">
        <v>51189.849999999991</v>
      </c>
      <c r="C21" s="4">
        <v>56431</v>
      </c>
      <c r="D21" s="4">
        <v>8.3333333333333343E-2</v>
      </c>
      <c r="E21" s="4">
        <v>-17460.644720232551</v>
      </c>
      <c r="F21" s="4">
        <v>264</v>
      </c>
      <c r="G21" s="4">
        <v>17460.6447202325</v>
      </c>
      <c r="H21" s="7">
        <f t="shared" si="0"/>
        <v>0.34109583677687089</v>
      </c>
      <c r="I21" s="8">
        <f t="shared" si="1"/>
        <v>5241.1500000000087</v>
      </c>
      <c r="J21">
        <f t="shared" si="2"/>
        <v>2.9773565925803873E-2</v>
      </c>
      <c r="K21">
        <f t="shared" si="3"/>
        <v>150074.68424038848</v>
      </c>
    </row>
    <row r="22" spans="1:11" x14ac:dyDescent="0.4">
      <c r="A22" s="3" t="s">
        <v>3891</v>
      </c>
      <c r="B22" s="4">
        <v>1576685.0999999992</v>
      </c>
      <c r="C22" s="4">
        <v>1722620</v>
      </c>
      <c r="D22" s="4">
        <v>8.3124999999999824E-2</v>
      </c>
      <c r="E22" s="4">
        <v>-586447.88345960109</v>
      </c>
      <c r="F22" s="4">
        <v>7985</v>
      </c>
      <c r="G22" s="4">
        <v>586447.88345959841</v>
      </c>
      <c r="H22" s="7">
        <f t="shared" si="0"/>
        <v>0.37194991153249224</v>
      </c>
      <c r="I22" s="8">
        <f t="shared" si="1"/>
        <v>145934.90000000084</v>
      </c>
      <c r="J22">
        <f t="shared" si="2"/>
        <v>1</v>
      </c>
      <c r="K22">
        <f t="shared" si="3"/>
        <v>4238971.5687894858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46FB-9133-4D49-84EB-C55A9F08160A}">
  <dimension ref="A1:C75"/>
  <sheetViews>
    <sheetView tabSelected="1" topLeftCell="A55" workbookViewId="0">
      <selection activeCell="D58" sqref="D58"/>
    </sheetView>
  </sheetViews>
  <sheetFormatPr defaultRowHeight="14.6" x14ac:dyDescent="0.4"/>
  <cols>
    <col min="1" max="1" width="14.61328125" bestFit="1" customWidth="1"/>
    <col min="2" max="2" width="15.61328125" bestFit="1" customWidth="1"/>
    <col min="3" max="3" width="17.53515625" bestFit="1" customWidth="1"/>
  </cols>
  <sheetData>
    <row r="1" spans="1:2" x14ac:dyDescent="0.4">
      <c r="A1" t="s">
        <v>3898</v>
      </c>
      <c r="B1" t="s">
        <v>3899</v>
      </c>
    </row>
    <row r="2" spans="1:2" x14ac:dyDescent="0.4">
      <c r="A2" t="s">
        <v>97</v>
      </c>
      <c r="B2">
        <v>76520.149999999965</v>
      </c>
    </row>
    <row r="3" spans="1:2" x14ac:dyDescent="0.4">
      <c r="A3" t="s">
        <v>48</v>
      </c>
      <c r="B3">
        <v>124090.34999999995</v>
      </c>
    </row>
    <row r="4" spans="1:2" x14ac:dyDescent="0.4">
      <c r="A4" t="s">
        <v>110</v>
      </c>
      <c r="B4">
        <v>103555.09999999992</v>
      </c>
    </row>
    <row r="5" spans="1:2" x14ac:dyDescent="0.4">
      <c r="A5" t="s">
        <v>69</v>
      </c>
      <c r="B5">
        <v>128246.34999999999</v>
      </c>
    </row>
    <row r="6" spans="1:2" x14ac:dyDescent="0.4">
      <c r="A6" t="s">
        <v>104</v>
      </c>
      <c r="B6">
        <v>61508.599999999977</v>
      </c>
    </row>
    <row r="7" spans="1:2" x14ac:dyDescent="0.4">
      <c r="A7" t="s">
        <v>73</v>
      </c>
      <c r="B7">
        <v>115421.94999999997</v>
      </c>
    </row>
    <row r="8" spans="1:2" x14ac:dyDescent="0.4">
      <c r="A8" t="s">
        <v>115</v>
      </c>
      <c r="B8">
        <v>114315.64999999995</v>
      </c>
    </row>
    <row r="9" spans="1:2" x14ac:dyDescent="0.4">
      <c r="A9" t="s">
        <v>30</v>
      </c>
      <c r="B9">
        <v>65950.949999999953</v>
      </c>
    </row>
    <row r="10" spans="1:2" x14ac:dyDescent="0.4">
      <c r="A10" t="s">
        <v>41</v>
      </c>
      <c r="B10">
        <v>56971.249999999949</v>
      </c>
    </row>
    <row r="11" spans="1:2" x14ac:dyDescent="0.4">
      <c r="A11" t="s">
        <v>24</v>
      </c>
      <c r="B11">
        <v>60707.149999999994</v>
      </c>
    </row>
    <row r="19" spans="1:2" x14ac:dyDescent="0.4">
      <c r="A19" t="s">
        <v>3898</v>
      </c>
      <c r="B19" t="s">
        <v>3900</v>
      </c>
    </row>
    <row r="20" spans="1:2" x14ac:dyDescent="0.4">
      <c r="A20" t="s">
        <v>48</v>
      </c>
      <c r="B20">
        <v>46834.149999315901</v>
      </c>
    </row>
    <row r="21" spans="1:2" x14ac:dyDescent="0.4">
      <c r="A21" t="s">
        <v>69</v>
      </c>
      <c r="B21">
        <v>44913.257627709296</v>
      </c>
    </row>
    <row r="22" spans="1:2" x14ac:dyDescent="0.4">
      <c r="A22" t="s">
        <v>73</v>
      </c>
      <c r="B22">
        <v>44091.121126750513</v>
      </c>
    </row>
    <row r="23" spans="1:2" x14ac:dyDescent="0.4">
      <c r="A23" t="s">
        <v>18</v>
      </c>
      <c r="B23">
        <v>43234.376815754156</v>
      </c>
    </row>
    <row r="24" spans="1:2" x14ac:dyDescent="0.4">
      <c r="A24" t="s">
        <v>115</v>
      </c>
      <c r="B24">
        <v>42669.89647226705</v>
      </c>
    </row>
    <row r="25" spans="1:2" x14ac:dyDescent="0.4">
      <c r="A25" t="s">
        <v>37</v>
      </c>
      <c r="B25">
        <v>42356.638770414531</v>
      </c>
    </row>
    <row r="26" spans="1:2" x14ac:dyDescent="0.4">
      <c r="A26" t="s">
        <v>85</v>
      </c>
      <c r="B26">
        <v>42351.315326066069</v>
      </c>
    </row>
    <row r="27" spans="1:2" x14ac:dyDescent="0.4">
      <c r="A27" t="s">
        <v>146</v>
      </c>
      <c r="B27">
        <v>40550.041103412426</v>
      </c>
    </row>
    <row r="28" spans="1:2" x14ac:dyDescent="0.4">
      <c r="A28" t="s">
        <v>110</v>
      </c>
      <c r="B28">
        <v>36220.361716704036</v>
      </c>
    </row>
    <row r="29" spans="1:2" x14ac:dyDescent="0.4">
      <c r="A29" t="s">
        <v>97</v>
      </c>
      <c r="B29">
        <v>28998.31897008661</v>
      </c>
    </row>
    <row r="35" spans="1:3" x14ac:dyDescent="0.4">
      <c r="A35" t="s">
        <v>3898</v>
      </c>
      <c r="B35" t="s">
        <v>3892</v>
      </c>
      <c r="C35" t="s">
        <v>3894</v>
      </c>
    </row>
    <row r="36" spans="1:3" x14ac:dyDescent="0.4">
      <c r="A36" t="s">
        <v>48</v>
      </c>
      <c r="B36">
        <v>626</v>
      </c>
      <c r="C36">
        <v>0.37741975906519659</v>
      </c>
    </row>
    <row r="37" spans="1:3" x14ac:dyDescent="0.4">
      <c r="A37" t="s">
        <v>69</v>
      </c>
      <c r="B37">
        <v>661</v>
      </c>
      <c r="C37">
        <v>0.35021080621561002</v>
      </c>
    </row>
    <row r="38" spans="1:3" x14ac:dyDescent="0.4">
      <c r="A38" t="s">
        <v>73</v>
      </c>
      <c r="B38">
        <v>567</v>
      </c>
      <c r="C38">
        <v>0.38199944747728248</v>
      </c>
    </row>
    <row r="39" spans="1:3" x14ac:dyDescent="0.4">
      <c r="A39" t="s">
        <v>18</v>
      </c>
      <c r="B39">
        <v>559</v>
      </c>
      <c r="C39">
        <v>0.39586319349280857</v>
      </c>
    </row>
    <row r="40" spans="1:3" x14ac:dyDescent="0.4">
      <c r="A40" t="s">
        <v>115</v>
      </c>
      <c r="B40">
        <v>581</v>
      </c>
      <c r="C40">
        <v>0.37326382233987271</v>
      </c>
    </row>
    <row r="41" spans="1:3" x14ac:dyDescent="0.4">
      <c r="A41" t="s">
        <v>37</v>
      </c>
      <c r="B41">
        <v>607</v>
      </c>
      <c r="C41">
        <v>0.35323338245647223</v>
      </c>
    </row>
    <row r="42" spans="1:3" x14ac:dyDescent="0.4">
      <c r="A42" t="s">
        <v>85</v>
      </c>
      <c r="B42">
        <v>491</v>
      </c>
      <c r="C42">
        <v>0.40351783570679972</v>
      </c>
    </row>
    <row r="43" spans="1:3" x14ac:dyDescent="0.4">
      <c r="A43" t="s">
        <v>146</v>
      </c>
      <c r="B43">
        <v>600</v>
      </c>
      <c r="C43">
        <v>0.36730226140583272</v>
      </c>
    </row>
    <row r="44" spans="1:3" x14ac:dyDescent="0.4">
      <c r="A44" t="s">
        <v>110</v>
      </c>
      <c r="B44">
        <v>535</v>
      </c>
      <c r="C44">
        <v>0.34976898015360003</v>
      </c>
    </row>
    <row r="45" spans="1:3" x14ac:dyDescent="0.4">
      <c r="A45" t="s">
        <v>97</v>
      </c>
      <c r="B45">
        <v>381</v>
      </c>
      <c r="C45">
        <v>0.37896317466819684</v>
      </c>
    </row>
    <row r="46" spans="1:3" x14ac:dyDescent="0.4">
      <c r="A46" t="s">
        <v>30</v>
      </c>
      <c r="B46">
        <v>339</v>
      </c>
      <c r="C46">
        <v>0.38118662680708676</v>
      </c>
    </row>
    <row r="47" spans="1:3" x14ac:dyDescent="0.4">
      <c r="A47" t="s">
        <v>24</v>
      </c>
      <c r="B47">
        <v>311</v>
      </c>
      <c r="C47">
        <v>0.39026160176144048</v>
      </c>
    </row>
    <row r="48" spans="1:3" x14ac:dyDescent="0.4">
      <c r="A48" t="s">
        <v>213</v>
      </c>
      <c r="B48">
        <v>296</v>
      </c>
      <c r="C48">
        <v>0.38641993440469341</v>
      </c>
    </row>
    <row r="49" spans="1:3" x14ac:dyDescent="0.4">
      <c r="A49" t="s">
        <v>104</v>
      </c>
      <c r="B49">
        <v>313</v>
      </c>
      <c r="C49">
        <v>0.37010300353784409</v>
      </c>
    </row>
    <row r="50" spans="1:3" x14ac:dyDescent="0.4">
      <c r="A50" t="s">
        <v>94</v>
      </c>
      <c r="B50">
        <v>313</v>
      </c>
      <c r="C50">
        <v>0.34883880372121068</v>
      </c>
    </row>
    <row r="51" spans="1:3" x14ac:dyDescent="0.4">
      <c r="A51" t="s">
        <v>41</v>
      </c>
      <c r="B51">
        <v>281</v>
      </c>
      <c r="C51">
        <v>0.35883646073509839</v>
      </c>
    </row>
    <row r="52" spans="1:3" x14ac:dyDescent="0.4">
      <c r="A52" t="s">
        <v>60</v>
      </c>
      <c r="B52">
        <v>260</v>
      </c>
      <c r="C52">
        <v>0.38519920129755741</v>
      </c>
    </row>
    <row r="53" spans="1:3" x14ac:dyDescent="0.4">
      <c r="A53" t="s">
        <v>82</v>
      </c>
      <c r="B53">
        <v>264</v>
      </c>
      <c r="C53">
        <v>0.34109583677687089</v>
      </c>
    </row>
    <row r="57" spans="1:3" x14ac:dyDescent="0.4">
      <c r="A57" s="5" t="s">
        <v>3893</v>
      </c>
      <c r="B57" s="5" t="s">
        <v>3894</v>
      </c>
      <c r="C57" t="s">
        <v>3895</v>
      </c>
    </row>
    <row r="58" spans="1:3" x14ac:dyDescent="0.4">
      <c r="A58" s="5">
        <v>8.4899328859060416E-2</v>
      </c>
      <c r="B58" s="5">
        <v>0.37741975906519659</v>
      </c>
      <c r="C58">
        <v>11068.650000000052</v>
      </c>
    </row>
    <row r="59" spans="1:3" x14ac:dyDescent="0.4">
      <c r="A59" s="5">
        <v>8.8235294117647092E-2</v>
      </c>
      <c r="B59" s="5">
        <v>0.35021080621561002</v>
      </c>
      <c r="C59">
        <v>12855.650000000009</v>
      </c>
    </row>
    <row r="60" spans="1:3" x14ac:dyDescent="0.4">
      <c r="A60" s="5">
        <v>7.7364864864864893E-2</v>
      </c>
      <c r="B60" s="5">
        <v>0.38199944747728248</v>
      </c>
      <c r="C60">
        <v>9356.050000000032</v>
      </c>
    </row>
    <row r="61" spans="1:3" x14ac:dyDescent="0.4">
      <c r="A61" s="5">
        <v>7.8571428571428542E-2</v>
      </c>
      <c r="B61" s="5">
        <v>0.39586319349280857</v>
      </c>
      <c r="C61">
        <v>9883.5500000000029</v>
      </c>
    </row>
    <row r="62" spans="1:3" x14ac:dyDescent="0.4">
      <c r="A62" s="5">
        <v>9.4642857142857181E-2</v>
      </c>
      <c r="B62" s="5">
        <v>0.37326382233987271</v>
      </c>
      <c r="C62">
        <v>12663.350000000049</v>
      </c>
    </row>
    <row r="63" spans="1:3" x14ac:dyDescent="0.4">
      <c r="A63" s="5">
        <v>8.5161290322580643E-2</v>
      </c>
      <c r="B63" s="5">
        <v>0.35323338245647223</v>
      </c>
      <c r="C63">
        <v>11970.800000000003</v>
      </c>
    </row>
    <row r="64" spans="1:3" x14ac:dyDescent="0.4">
      <c r="A64" s="5">
        <v>8.4671532846715289E-2</v>
      </c>
      <c r="B64" s="5">
        <v>0.40351783570679972</v>
      </c>
      <c r="C64">
        <v>9838.7500000000582</v>
      </c>
    </row>
    <row r="65" spans="1:3" x14ac:dyDescent="0.4">
      <c r="A65" s="5">
        <v>8.6148648648648643E-2</v>
      </c>
      <c r="B65" s="5">
        <v>0.36730226140583272</v>
      </c>
      <c r="C65">
        <v>10966.350000000035</v>
      </c>
    </row>
    <row r="66" spans="1:3" x14ac:dyDescent="0.4">
      <c r="A66" s="5">
        <v>8.5815602836879473E-2</v>
      </c>
      <c r="B66" s="5">
        <v>0.34976898015360003</v>
      </c>
      <c r="C66">
        <v>10340.900000000081</v>
      </c>
    </row>
    <row r="67" spans="1:3" x14ac:dyDescent="0.4">
      <c r="A67" s="5">
        <v>8.3707865168539314E-2</v>
      </c>
      <c r="B67" s="5">
        <v>0.37896317466819684</v>
      </c>
      <c r="C67">
        <v>7012.8500000000349</v>
      </c>
    </row>
    <row r="68" spans="1:3" x14ac:dyDescent="0.4">
      <c r="A68" s="5">
        <v>6.4556962025316453E-2</v>
      </c>
      <c r="B68" s="5">
        <v>0.38118662680708676</v>
      </c>
      <c r="C68">
        <v>4985.0500000000466</v>
      </c>
    </row>
    <row r="69" spans="1:3" x14ac:dyDescent="0.4">
      <c r="A69" s="5">
        <v>9.6710526315789497E-2</v>
      </c>
      <c r="B69" s="5">
        <v>0.39026160176144048</v>
      </c>
      <c r="C69">
        <v>6825.8500000000058</v>
      </c>
    </row>
    <row r="70" spans="1:3" x14ac:dyDescent="0.4">
      <c r="A70" s="5">
        <v>7.4025974025974023E-2</v>
      </c>
      <c r="B70" s="5">
        <v>0.38641993440469341</v>
      </c>
      <c r="C70">
        <v>4047.6000000000131</v>
      </c>
    </row>
    <row r="71" spans="1:3" x14ac:dyDescent="0.4">
      <c r="A71" s="5">
        <v>8.1249999999999989E-2</v>
      </c>
      <c r="B71" s="5">
        <v>0.37010300353784409</v>
      </c>
      <c r="C71">
        <v>4715.4000000000233</v>
      </c>
    </row>
    <row r="72" spans="1:3" x14ac:dyDescent="0.4">
      <c r="A72" s="5">
        <v>8.2530120481927705E-2</v>
      </c>
      <c r="B72" s="5">
        <v>0.34883880372121068</v>
      </c>
      <c r="C72">
        <v>5692.3500000000276</v>
      </c>
    </row>
    <row r="73" spans="1:3" x14ac:dyDescent="0.4">
      <c r="A73" s="5">
        <v>8.223684210526315E-2</v>
      </c>
      <c r="B73" s="5">
        <v>0.35883646073509839</v>
      </c>
      <c r="C73">
        <v>5391.7500000000509</v>
      </c>
    </row>
    <row r="74" spans="1:3" x14ac:dyDescent="0.4">
      <c r="A74" s="5">
        <v>6.4285714285714265E-2</v>
      </c>
      <c r="B74" s="5">
        <v>0.38519920129755741</v>
      </c>
      <c r="C74">
        <v>3078.8500000000058</v>
      </c>
    </row>
    <row r="75" spans="1:3" x14ac:dyDescent="0.4">
      <c r="A75" s="5">
        <v>8.3333333333333343E-2</v>
      </c>
      <c r="B75" s="5">
        <v>0.34109583677687089</v>
      </c>
      <c r="C75">
        <v>5241.1500000000087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tastybites_orders_csv</vt:lpstr>
      <vt:lpstr>Pivot_and_KPI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YADUVANSHI</dc:creator>
  <cp:lastModifiedBy>RAM PAIN RELIEF PHYSIOTHERAPY CLINIC</cp:lastModifiedBy>
  <dcterms:created xsi:type="dcterms:W3CDTF">2025-11-10T16:11:34Z</dcterms:created>
  <dcterms:modified xsi:type="dcterms:W3CDTF">2025-11-10T20:38:47Z</dcterms:modified>
</cp:coreProperties>
</file>