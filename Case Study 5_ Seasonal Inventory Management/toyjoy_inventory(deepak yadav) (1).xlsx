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e242b75272e33c/Documents/"/>
    </mc:Choice>
  </mc:AlternateContent>
  <xr:revisionPtr revIDLastSave="0" documentId="8_{E10AEDBB-58AE-4672-8096-360E8B23315A}" xr6:coauthVersionLast="47" xr6:coauthVersionMax="47" xr10:uidLastSave="{00000000-0000-0000-0000-000000000000}"/>
  <bookViews>
    <workbookView xWindow="-103" yWindow="-103" windowWidth="22149" windowHeight="11949" xr2:uid="{8FFE1798-DC1B-488E-9A50-3A1A65BBFF27}"/>
  </bookViews>
  <sheets>
    <sheet name="toyjoy_inventory" sheetId="1" r:id="rId1"/>
    <sheet name="Category-wise Sales &amp; Profit" sheetId="2" r:id="rId2"/>
    <sheet name="Seasonal Demand" sheetId="3" r:id="rId3"/>
    <sheet name="Product-wise Inventory &amp; Turnov" sheetId="4" r:id="rId4"/>
    <sheet name="Stockout Analysis by Product" sheetId="6" r:id="rId5"/>
    <sheet name="Top 5 Products by Units Sold" sheetId="7" r:id="rId6"/>
  </sheets>
  <calcPr calcId="0"/>
  <pivotCaches>
    <pivotCache cacheId="20" r:id="rId7"/>
  </pivotCaches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</calcChain>
</file>

<file path=xl/sharedStrings.xml><?xml version="1.0" encoding="utf-8"?>
<sst xmlns="http://schemas.openxmlformats.org/spreadsheetml/2006/main" count="5062" uniqueCount="261">
  <si>
    <t>ProductID</t>
  </si>
  <si>
    <t>ProductName</t>
  </si>
  <si>
    <t>Category</t>
  </si>
  <si>
    <t>StoreID</t>
  </si>
  <si>
    <t>Date</t>
  </si>
  <si>
    <t>UnitsSold</t>
  </si>
  <si>
    <t>UnitsInStock</t>
  </si>
  <si>
    <t>UnitCost</t>
  </si>
  <si>
    <t>UnitPrice</t>
  </si>
  <si>
    <t>Season</t>
  </si>
  <si>
    <t>P0103</t>
  </si>
  <si>
    <t>Kids Drum Set</t>
  </si>
  <si>
    <t>Dolls</t>
  </si>
  <si>
    <t>S004</t>
  </si>
  <si>
    <t>Regular</t>
  </si>
  <si>
    <t>P0180</t>
  </si>
  <si>
    <t>Action Robot</t>
  </si>
  <si>
    <t>Puzzles</t>
  </si>
  <si>
    <t>S019</t>
  </si>
  <si>
    <t>Summer</t>
  </si>
  <si>
    <t>P0093</t>
  </si>
  <si>
    <t>Doll House Mini</t>
  </si>
  <si>
    <t>S016</t>
  </si>
  <si>
    <t>Winter</t>
  </si>
  <si>
    <t>P0015</t>
  </si>
  <si>
    <t>Science Experiment Kit</t>
  </si>
  <si>
    <t>S013</t>
  </si>
  <si>
    <t>P0107</t>
  </si>
  <si>
    <t>Drawing Art Pad</t>
  </si>
  <si>
    <t>Action Figures</t>
  </si>
  <si>
    <t>Festival</t>
  </si>
  <si>
    <t>P0072</t>
  </si>
  <si>
    <t>Board Game Master</t>
  </si>
  <si>
    <t>S017</t>
  </si>
  <si>
    <t>Holiday</t>
  </si>
  <si>
    <t>P0189</t>
  </si>
  <si>
    <t>Super Hero Figure</t>
  </si>
  <si>
    <t>S001</t>
  </si>
  <si>
    <t>P0021</t>
  </si>
  <si>
    <t>Racing Car</t>
  </si>
  <si>
    <t>S018</t>
  </si>
  <si>
    <t>S020</t>
  </si>
  <si>
    <t>P0122</t>
  </si>
  <si>
    <t>Puzzle Cube</t>
  </si>
  <si>
    <t>P0075</t>
  </si>
  <si>
    <t>S015</t>
  </si>
  <si>
    <t>P0088</t>
  </si>
  <si>
    <t>S011</t>
  </si>
  <si>
    <t>P0117</t>
  </si>
  <si>
    <t>P0100</t>
  </si>
  <si>
    <t>P0104</t>
  </si>
  <si>
    <t>P0152</t>
  </si>
  <si>
    <t>Board Games</t>
  </si>
  <si>
    <t>S006</t>
  </si>
  <si>
    <t>P0131</t>
  </si>
  <si>
    <t>P0150</t>
  </si>
  <si>
    <t>P0053</t>
  </si>
  <si>
    <t>P0002</t>
  </si>
  <si>
    <t>Magic Clay Kit</t>
  </si>
  <si>
    <t>P0158</t>
  </si>
  <si>
    <t>P0038</t>
  </si>
  <si>
    <t>P0130</t>
  </si>
  <si>
    <t>S014</t>
  </si>
  <si>
    <t>P0192</t>
  </si>
  <si>
    <t>P0188</t>
  </si>
  <si>
    <t>S007</t>
  </si>
  <si>
    <t>S009</t>
  </si>
  <si>
    <t>P0161</t>
  </si>
  <si>
    <t>P0058</t>
  </si>
  <si>
    <t>S005</t>
  </si>
  <si>
    <t>P0022</t>
  </si>
  <si>
    <t>P0089</t>
  </si>
  <si>
    <t>S010</t>
  </si>
  <si>
    <t>P0049</t>
  </si>
  <si>
    <t>P0059</t>
  </si>
  <si>
    <t>S003</t>
  </si>
  <si>
    <t>P0170</t>
  </si>
  <si>
    <t>P0190</t>
  </si>
  <si>
    <t>P0175</t>
  </si>
  <si>
    <t>P0051</t>
  </si>
  <si>
    <t>P0108</t>
  </si>
  <si>
    <t>P0055</t>
  </si>
  <si>
    <t>P0064</t>
  </si>
  <si>
    <t>P0135</t>
  </si>
  <si>
    <t>P0073</t>
  </si>
  <si>
    <t>P0167</t>
  </si>
  <si>
    <t>P0018</t>
  </si>
  <si>
    <t>P0132</t>
  </si>
  <si>
    <t>P0060</t>
  </si>
  <si>
    <t>P0014</t>
  </si>
  <si>
    <t>P0009</t>
  </si>
  <si>
    <t>P0090</t>
  </si>
  <si>
    <t>P0084</t>
  </si>
  <si>
    <t>P0092</t>
  </si>
  <si>
    <t>P0111</t>
  </si>
  <si>
    <t>P0199</t>
  </si>
  <si>
    <t>P0172</t>
  </si>
  <si>
    <t>S012</t>
  </si>
  <si>
    <t>P0008</t>
  </si>
  <si>
    <t>P0035</t>
  </si>
  <si>
    <t>P0081</t>
  </si>
  <si>
    <t>P0164</t>
  </si>
  <si>
    <t>P0050</t>
  </si>
  <si>
    <t>P0134</t>
  </si>
  <si>
    <t>P0054</t>
  </si>
  <si>
    <t>P0106</t>
  </si>
  <si>
    <t>P0004</t>
  </si>
  <si>
    <t>P0191</t>
  </si>
  <si>
    <t>P0146</t>
  </si>
  <si>
    <t>P0044</t>
  </si>
  <si>
    <t>P0162</t>
  </si>
  <si>
    <t>P0095</t>
  </si>
  <si>
    <t>P0048</t>
  </si>
  <si>
    <t>P0200</t>
  </si>
  <si>
    <t>P0040</t>
  </si>
  <si>
    <t>P0082</t>
  </si>
  <si>
    <t>P0024</t>
  </si>
  <si>
    <t>P0154</t>
  </si>
  <si>
    <t>P0124</t>
  </si>
  <si>
    <t>P0041</t>
  </si>
  <si>
    <t>P0157</t>
  </si>
  <si>
    <t>P0045</t>
  </si>
  <si>
    <t>P0065</t>
  </si>
  <si>
    <t>P0071</t>
  </si>
  <si>
    <t>P0129</t>
  </si>
  <si>
    <t>P0136</t>
  </si>
  <si>
    <t>P0063</t>
  </si>
  <si>
    <t>P0139</t>
  </si>
  <si>
    <t>P0163</t>
  </si>
  <si>
    <t>P0033</t>
  </si>
  <si>
    <t>P0123</t>
  </si>
  <si>
    <t>P0005</t>
  </si>
  <si>
    <t>S002</t>
  </si>
  <si>
    <t>P0028</t>
  </si>
  <si>
    <t>P0012</t>
  </si>
  <si>
    <t>P0151</t>
  </si>
  <si>
    <t>P0062</t>
  </si>
  <si>
    <t>P0037</t>
  </si>
  <si>
    <t>P0099</t>
  </si>
  <si>
    <t>P0193</t>
  </si>
  <si>
    <t>P0101</t>
  </si>
  <si>
    <t>P0001</t>
  </si>
  <si>
    <t>P0142</t>
  </si>
  <si>
    <t>P0027</t>
  </si>
  <si>
    <t>P0137</t>
  </si>
  <si>
    <t>S008</t>
  </si>
  <si>
    <t>P0042</t>
  </si>
  <si>
    <t>P0179</t>
  </si>
  <si>
    <t>P0096</t>
  </si>
  <si>
    <t>P0052</t>
  </si>
  <si>
    <t>P0143</t>
  </si>
  <si>
    <t>P0171</t>
  </si>
  <si>
    <t>P0029</t>
  </si>
  <si>
    <t>P0036</t>
  </si>
  <si>
    <t>P0013</t>
  </si>
  <si>
    <t>P0160</t>
  </si>
  <si>
    <t>P0187</t>
  </si>
  <si>
    <t>P0086</t>
  </si>
  <si>
    <t>P0066</t>
  </si>
  <si>
    <t>P0185</t>
  </si>
  <si>
    <t>P0030</t>
  </si>
  <si>
    <t>P0128</t>
  </si>
  <si>
    <t>P0121</t>
  </si>
  <si>
    <t>P0116</t>
  </si>
  <si>
    <t>P0003</t>
  </si>
  <si>
    <t>P0198</t>
  </si>
  <si>
    <t>P0155</t>
  </si>
  <si>
    <t>P0165</t>
  </si>
  <si>
    <t>P0118</t>
  </si>
  <si>
    <t>P0113</t>
  </si>
  <si>
    <t>P0186</t>
  </si>
  <si>
    <t>P0039</t>
  </si>
  <si>
    <t>P0184</t>
  </si>
  <si>
    <t>P0087</t>
  </si>
  <si>
    <t>P0147</t>
  </si>
  <si>
    <t>P0126</t>
  </si>
  <si>
    <t>P0068</t>
  </si>
  <si>
    <t>P0183</t>
  </si>
  <si>
    <t>P0145</t>
  </si>
  <si>
    <t>P0069</t>
  </si>
  <si>
    <t>P0098</t>
  </si>
  <si>
    <t>P0144</t>
  </si>
  <si>
    <t>P0097</t>
  </si>
  <si>
    <t>P0070</t>
  </si>
  <si>
    <t>P0148</t>
  </si>
  <si>
    <t>P0195</t>
  </si>
  <si>
    <t>P0168</t>
  </si>
  <si>
    <t>P0011</t>
  </si>
  <si>
    <t>P0178</t>
  </si>
  <si>
    <t>P0159</t>
  </si>
  <si>
    <t>P0007</t>
  </si>
  <si>
    <t>P0112</t>
  </si>
  <si>
    <t>P0140</t>
  </si>
  <si>
    <t>P0197</t>
  </si>
  <si>
    <t>P0120</t>
  </si>
  <si>
    <t>P0166</t>
  </si>
  <si>
    <t>P0153</t>
  </si>
  <si>
    <t>P0110</t>
  </si>
  <si>
    <t>P0194</t>
  </si>
  <si>
    <t>P0169</t>
  </si>
  <si>
    <t>P0176</t>
  </si>
  <si>
    <t>P0115</t>
  </si>
  <si>
    <t>P0119</t>
  </si>
  <si>
    <t>P0109</t>
  </si>
  <si>
    <t>P0182</t>
  </si>
  <si>
    <t>P0061</t>
  </si>
  <si>
    <t>P0017</t>
  </si>
  <si>
    <t>P0046</t>
  </si>
  <si>
    <t>P0006</t>
  </si>
  <si>
    <t>P0181</t>
  </si>
  <si>
    <t>P0067</t>
  </si>
  <si>
    <t>P0025</t>
  </si>
  <si>
    <t>P0174</t>
  </si>
  <si>
    <t>P0114</t>
  </si>
  <si>
    <t>P0032</t>
  </si>
  <si>
    <t>P0127</t>
  </si>
  <si>
    <t>P0043</t>
  </si>
  <si>
    <t>P0026</t>
  </si>
  <si>
    <t>P0057</t>
  </si>
  <si>
    <t>P0173</t>
  </si>
  <si>
    <t>P0020</t>
  </si>
  <si>
    <t>P0125</t>
  </si>
  <si>
    <t>P0196</t>
  </si>
  <si>
    <t>P0094</t>
  </si>
  <si>
    <t>P0047</t>
  </si>
  <si>
    <t>P0019</t>
  </si>
  <si>
    <t>P0023</t>
  </si>
  <si>
    <t>P0034</t>
  </si>
  <si>
    <t>P0016</t>
  </si>
  <si>
    <t>P0076</t>
  </si>
  <si>
    <t>P0085</t>
  </si>
  <si>
    <t>P0010</t>
  </si>
  <si>
    <t>P0138</t>
  </si>
  <si>
    <t>P0080</t>
  </si>
  <si>
    <t>P0074</t>
  </si>
  <si>
    <t>P0141</t>
  </si>
  <si>
    <t>P0105</t>
  </si>
  <si>
    <t>P0177</t>
  </si>
  <si>
    <t>P0083</t>
  </si>
  <si>
    <t>P0133</t>
  </si>
  <si>
    <t>P0091</t>
  </si>
  <si>
    <t>P0056</t>
  </si>
  <si>
    <t>P0149</t>
  </si>
  <si>
    <t>P0102</t>
  </si>
  <si>
    <t>P0156</t>
  </si>
  <si>
    <t>P0078</t>
  </si>
  <si>
    <t>P0079</t>
  </si>
  <si>
    <t>Revenue</t>
  </si>
  <si>
    <t>Profit</t>
  </si>
  <si>
    <t>InventoryTurnoverRate</t>
  </si>
  <si>
    <t>StockoutFlag</t>
  </si>
  <si>
    <t>Row Labels</t>
  </si>
  <si>
    <t xml:space="preserve"> Profit</t>
  </si>
  <si>
    <t xml:space="preserve"> Revenue</t>
  </si>
  <si>
    <t>Sum of UnitsSold</t>
  </si>
  <si>
    <t xml:space="preserve"> UnitsSold</t>
  </si>
  <si>
    <t xml:space="preserve">Revenue  </t>
  </si>
  <si>
    <t>Sum of UnitsInStock</t>
  </si>
  <si>
    <t>Average of InventoryTurnoverRate</t>
  </si>
  <si>
    <t>Sum of StockoutFlag</t>
  </si>
  <si>
    <t xml:space="preserve">UnitsSold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</si>
</sst>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[toyjoy_inventory(deepak yadav).xlsx]Category-wise Sales &amp; Profit!PivotTable1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Category-wise Revenue &amp; Profit</a:t>
            </a:r>
            <a:endParaRPr lang="en-IN"/>
          </a:p>
        </c:rich>
      </c:tx>
      <c:layout>
        <c:manualLayout>
          <c:xMode val="edge"/>
          <c:yMode val="edge"/>
          <c:x val="0.35083512175659903"/>
          <c:y val="5.0327235561851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 Sales &amp; Profit'!$B$3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'Category-wise Sales &amp; Profit'!$A$4:$A$7</c:f>
              <c:strCache>
                <c:ptCount val="4"/>
                <c:pt idx="0">
                  <c:v>Action Figures</c:v>
                </c:pt>
                <c:pt idx="1">
                  <c:v>Board Games</c:v>
                </c:pt>
                <c:pt idx="2">
                  <c:v>Dolls</c:v>
                </c:pt>
                <c:pt idx="3">
                  <c:v>Puzzles</c:v>
                </c:pt>
              </c:strCache>
            </c:strRef>
          </c:cat>
          <c:val>
            <c:numRef>
              <c:f>'Category-wise Sales &amp; Profit'!$B$4:$B$7</c:f>
              <c:numCache>
                <c:formatCode>General</c:formatCode>
                <c:ptCount val="4"/>
                <c:pt idx="0">
                  <c:v>11926569.679999994</c:v>
                </c:pt>
                <c:pt idx="1">
                  <c:v>11962088.750000004</c:v>
                </c:pt>
                <c:pt idx="2">
                  <c:v>10066219.050000003</c:v>
                </c:pt>
                <c:pt idx="3">
                  <c:v>12982720.789999994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2-4C98-88C4-35BE24099551}"/>
            </c:ext>
          </c:extLst>
        </c:ser>
        <c:ser>
          <c:idx val="1"/>
          <c:order val="1"/>
          <c:tx>
            <c:strRef>
              <c:f>'Category-wise Sales &amp; Profit'!$C$3</c:f>
              <c:strCache>
                <c:ptCount val="1"/>
                <c:pt idx="0">
                  <c:v>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'Category-wise Sales &amp; Profit'!$A$4:$A$7</c:f>
              <c:strCache>
                <c:ptCount val="4"/>
                <c:pt idx="0">
                  <c:v>Action Figures</c:v>
                </c:pt>
                <c:pt idx="1">
                  <c:v>Board Games</c:v>
                </c:pt>
                <c:pt idx="2">
                  <c:v>Dolls</c:v>
                </c:pt>
                <c:pt idx="3">
                  <c:v>Puzzles</c:v>
                </c:pt>
              </c:strCache>
            </c:strRef>
          </c:cat>
          <c:val>
            <c:numRef>
              <c:f>'Category-wise Sales &amp; Profit'!$C$4:$C$7</c:f>
              <c:numCache>
                <c:formatCode>General</c:formatCode>
                <c:ptCount val="4"/>
                <c:pt idx="0">
                  <c:v>4611747.1600000011</c:v>
                </c:pt>
                <c:pt idx="1">
                  <c:v>4451643.8299999963</c:v>
                </c:pt>
                <c:pt idx="2">
                  <c:v>4476717.1000000015</c:v>
                </c:pt>
                <c:pt idx="3">
                  <c:v>5711829.7600000007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2-4C98-88C4-35BE24099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752320"/>
        <c:axId val="34750400"/>
      </c:barChart>
      <c:catAx>
        <c:axId val="3475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0400"/>
        <c:crosses val="autoZero"/>
        <c:auto val="1"/>
        <c:lblAlgn val="ctr"/>
        <c:lblOffset val="100"/>
        <c:noMultiLvlLbl val="0"/>
      </c:catAx>
      <c:valAx>
        <c:axId val="3475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[toyjoy_inventory(deepak yadav).xlsx]Seasonal Demand!PivotTable2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'Seasonal Demand'!$B$3</c:f>
              <c:strCache>
                <c:ptCount val="1"/>
                <c:pt idx="0">
                  <c:v> UnitsSold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'Seasonal Demand'!$A$4:$A$8</c:f>
              <c:strCache>
                <c:ptCount val="5"/>
                <c:pt idx="0">
                  <c:v>Festival</c:v>
                </c:pt>
                <c:pt idx="1">
                  <c:v>Holiday</c:v>
                </c:pt>
                <c:pt idx="2">
                  <c:v>Regular</c:v>
                </c:pt>
                <c:pt idx="3">
                  <c:v>Summer</c:v>
                </c:pt>
                <c:pt idx="4">
                  <c:v>Winter</c:v>
                </c:pt>
              </c:strCache>
            </c:strRef>
          </c:cat>
          <c:val>
            <c:numRef>
              <c:f>'Seasonal Demand'!$B$4:$B$8</c:f>
              <c:numCache>
                <c:formatCode>General</c:formatCode>
                <c:ptCount val="5"/>
                <c:pt idx="0">
                  <c:v>18900</c:v>
                </c:pt>
                <c:pt idx="1">
                  <c:v>24252</c:v>
                </c:pt>
                <c:pt idx="2">
                  <c:v>20148</c:v>
                </c:pt>
                <c:pt idx="3">
                  <c:v>18996</c:v>
                </c:pt>
                <c:pt idx="4">
                  <c:v>20129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C-41C0-884B-D972C4F40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4771520"/>
        <c:axId val="34776320"/>
      </c:barChart>
      <c:lineChart>
        <c:grouping val="standard"/>
        <c:varyColors val="0"/>
        <c:ser>
          <c:idx val="1"/>
          <c:order val="1"/>
          <c:tx>
            <c:strRef>
              <c:f>'Seasonal Demand'!$C$3</c:f>
              <c:strCache>
                <c:ptCount val="1"/>
                <c:pt idx="0">
                  <c:v>Revenue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'Seasonal Demand'!$A$4:$A$8</c:f>
              <c:strCache>
                <c:ptCount val="5"/>
                <c:pt idx="0">
                  <c:v>Festival</c:v>
                </c:pt>
                <c:pt idx="1">
                  <c:v>Holiday</c:v>
                </c:pt>
                <c:pt idx="2">
                  <c:v>Regular</c:v>
                </c:pt>
                <c:pt idx="3">
                  <c:v>Summer</c:v>
                </c:pt>
                <c:pt idx="4">
                  <c:v>Winter</c:v>
                </c:pt>
              </c:strCache>
            </c:strRef>
          </c:cat>
          <c:val>
            <c:numRef>
              <c:f>'Seasonal Demand'!$C$4:$C$8</c:f>
              <c:numCache>
                <c:formatCode>General</c:formatCode>
                <c:ptCount val="5"/>
                <c:pt idx="0">
                  <c:v>8709445.6400000025</c:v>
                </c:pt>
                <c:pt idx="1">
                  <c:v>11369774.899999997</c:v>
                </c:pt>
                <c:pt idx="2">
                  <c:v>8582047.6400000025</c:v>
                </c:pt>
                <c:pt idx="3">
                  <c:v>9050669.3100000005</c:v>
                </c:pt>
                <c:pt idx="4">
                  <c:v>9225660.7799999975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EC-41C0-884B-D972C4F40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72480"/>
        <c:axId val="34774400"/>
      </c:lineChart>
      <c:catAx>
        <c:axId val="3477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74400"/>
        <c:crosses val="autoZero"/>
        <c:auto val="1"/>
        <c:lblAlgn val="ctr"/>
        <c:lblOffset val="100"/>
        <c:noMultiLvlLbl val="0"/>
      </c:catAx>
      <c:valAx>
        <c:axId val="3477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72480"/>
        <c:crosses val="autoZero"/>
        <c:crossBetween val="between"/>
      </c:valAx>
      <c:valAx>
        <c:axId val="347763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71520"/>
        <c:crosses val="max"/>
        <c:crossBetween val="between"/>
      </c:valAx>
      <c:catAx>
        <c:axId val="34771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477632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[toyjoy_inventory(deepak yadav).xlsx]Product-wise Inventory &amp; Turnov!PivotTable3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'Product-wise Inventory &amp; Turnov'!$B$3</c:f>
              <c:strCache>
                <c:ptCount val="1"/>
                <c:pt idx="0">
                  <c:v>Sum of UnitsSold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'Product-wise Inventory &amp; Turnov'!$A$4:$A$13</c:f>
              <c:strCache>
                <c:ptCount val="10"/>
                <c:pt idx="0">
                  <c:v>Action Robot</c:v>
                </c:pt>
                <c:pt idx="1">
                  <c:v>Board Game Master</c:v>
                </c:pt>
                <c:pt idx="2">
                  <c:v>Doll House Mini</c:v>
                </c:pt>
                <c:pt idx="3">
                  <c:v>Drawing Art Pad</c:v>
                </c:pt>
                <c:pt idx="4">
                  <c:v>Kids Drum Set</c:v>
                </c:pt>
                <c:pt idx="5">
                  <c:v>Magic Clay Kit</c:v>
                </c:pt>
                <c:pt idx="6">
                  <c:v>Puzzle Cube</c:v>
                </c:pt>
                <c:pt idx="7">
                  <c:v>Racing Car</c:v>
                </c:pt>
                <c:pt idx="8">
                  <c:v>Science Experiment Kit</c:v>
                </c:pt>
                <c:pt idx="9">
                  <c:v>Super Hero Figure</c:v>
                </c:pt>
              </c:strCache>
            </c:strRef>
          </c:cat>
          <c:val>
            <c:numRef>
              <c:f>'Product-wise Inventory &amp; Turnov'!$B$4:$B$13</c:f>
              <c:numCache>
                <c:formatCode>General</c:formatCode>
                <c:ptCount val="10"/>
                <c:pt idx="0">
                  <c:v>11768</c:v>
                </c:pt>
                <c:pt idx="1">
                  <c:v>9792</c:v>
                </c:pt>
                <c:pt idx="2">
                  <c:v>9508</c:v>
                </c:pt>
                <c:pt idx="3">
                  <c:v>9253</c:v>
                </c:pt>
                <c:pt idx="4">
                  <c:v>11160</c:v>
                </c:pt>
                <c:pt idx="5">
                  <c:v>10204</c:v>
                </c:pt>
                <c:pt idx="6">
                  <c:v>10893</c:v>
                </c:pt>
                <c:pt idx="7">
                  <c:v>9802</c:v>
                </c:pt>
                <c:pt idx="8">
                  <c:v>8690</c:v>
                </c:pt>
                <c:pt idx="9">
                  <c:v>11355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D-4DC8-83B7-763D8E3BA5C1}"/>
            </c:ext>
          </c:extLst>
        </c:ser>
        <c:ser>
          <c:idx val="1"/>
          <c:order val="1"/>
          <c:tx>
            <c:strRef>
              <c:f>'Product-wise Inventory &amp; Turnov'!$C$3</c:f>
              <c:strCache>
                <c:ptCount val="1"/>
                <c:pt idx="0">
                  <c:v>Average of InventoryTurnoverRate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'Product-wise Inventory &amp; Turnov'!$A$4:$A$13</c:f>
              <c:strCache>
                <c:ptCount val="10"/>
                <c:pt idx="0">
                  <c:v>Action Robot</c:v>
                </c:pt>
                <c:pt idx="1">
                  <c:v>Board Game Master</c:v>
                </c:pt>
                <c:pt idx="2">
                  <c:v>Doll House Mini</c:v>
                </c:pt>
                <c:pt idx="3">
                  <c:v>Drawing Art Pad</c:v>
                </c:pt>
                <c:pt idx="4">
                  <c:v>Kids Drum Set</c:v>
                </c:pt>
                <c:pt idx="5">
                  <c:v>Magic Clay Kit</c:v>
                </c:pt>
                <c:pt idx="6">
                  <c:v>Puzzle Cube</c:v>
                </c:pt>
                <c:pt idx="7">
                  <c:v>Racing Car</c:v>
                </c:pt>
                <c:pt idx="8">
                  <c:v>Science Experiment Kit</c:v>
                </c:pt>
                <c:pt idx="9">
                  <c:v>Super Hero Figure</c:v>
                </c:pt>
              </c:strCache>
            </c:strRef>
          </c:cat>
          <c:val>
            <c:numRef>
              <c:f>'Product-wise Inventory &amp; Turnov'!$C$4:$C$13</c:f>
              <c:numCache>
                <c:formatCode>General</c:formatCode>
                <c:ptCount val="10"/>
                <c:pt idx="0">
                  <c:v>3.0905195834699764</c:v>
                </c:pt>
                <c:pt idx="1">
                  <c:v>2.0252997233746117</c:v>
                </c:pt>
                <c:pt idx="2">
                  <c:v>2.3513986646180478</c:v>
                </c:pt>
                <c:pt idx="3">
                  <c:v>1.4259903223625796</c:v>
                </c:pt>
                <c:pt idx="4">
                  <c:v>1.4780794451357644</c:v>
                </c:pt>
                <c:pt idx="5">
                  <c:v>1.4128110621853813</c:v>
                </c:pt>
                <c:pt idx="6">
                  <c:v>1.7244958399119055</c:v>
                </c:pt>
                <c:pt idx="7">
                  <c:v>2.1565530972538869</c:v>
                </c:pt>
                <c:pt idx="8">
                  <c:v>1.7246439722096891</c:v>
                </c:pt>
                <c:pt idx="9">
                  <c:v>3.7546491848663299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1D-4DC8-83B7-763D8E3BA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778720"/>
        <c:axId val="34765760"/>
      </c:barChart>
      <c:lineChart>
        <c:grouping val="standard"/>
        <c:varyColors val="0"/>
        <c:ser>
          <c:idx val="2"/>
          <c:order val="2"/>
          <c:tx>
            <c:strRef>
              <c:f>'Product-wise Inventory &amp; Turnov'!$D$3</c:f>
              <c:strCache>
                <c:ptCount val="1"/>
                <c:pt idx="0">
                  <c:v>Sum of UnitsInStock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'Product-wise Inventory &amp; Turnov'!$A$4:$A$13</c:f>
              <c:strCache>
                <c:ptCount val="10"/>
                <c:pt idx="0">
                  <c:v>Action Robot</c:v>
                </c:pt>
                <c:pt idx="1">
                  <c:v>Board Game Master</c:v>
                </c:pt>
                <c:pt idx="2">
                  <c:v>Doll House Mini</c:v>
                </c:pt>
                <c:pt idx="3">
                  <c:v>Drawing Art Pad</c:v>
                </c:pt>
                <c:pt idx="4">
                  <c:v>Kids Drum Set</c:v>
                </c:pt>
                <c:pt idx="5">
                  <c:v>Magic Clay Kit</c:v>
                </c:pt>
                <c:pt idx="6">
                  <c:v>Puzzle Cube</c:v>
                </c:pt>
                <c:pt idx="7">
                  <c:v>Racing Car</c:v>
                </c:pt>
                <c:pt idx="8">
                  <c:v>Science Experiment Kit</c:v>
                </c:pt>
                <c:pt idx="9">
                  <c:v>Super Hero Figure</c:v>
                </c:pt>
              </c:strCache>
            </c:strRef>
          </c:cat>
          <c:val>
            <c:numRef>
              <c:f>'Product-wise Inventory &amp; Turnov'!$D$4:$D$13</c:f>
              <c:numCache>
                <c:formatCode>General</c:formatCode>
                <c:ptCount val="10"/>
                <c:pt idx="0">
                  <c:v>15572</c:v>
                </c:pt>
                <c:pt idx="1">
                  <c:v>15637</c:v>
                </c:pt>
                <c:pt idx="2">
                  <c:v>13053</c:v>
                </c:pt>
                <c:pt idx="3">
                  <c:v>13789</c:v>
                </c:pt>
                <c:pt idx="4">
                  <c:v>16114</c:v>
                </c:pt>
                <c:pt idx="5">
                  <c:v>14839</c:v>
                </c:pt>
                <c:pt idx="6">
                  <c:v>14113</c:v>
                </c:pt>
                <c:pt idx="7">
                  <c:v>12841</c:v>
                </c:pt>
                <c:pt idx="8">
                  <c:v>13475</c:v>
                </c:pt>
                <c:pt idx="9">
                  <c:v>14253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1D-4DC8-83B7-763D8E3BA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808960"/>
        <c:axId val="34794080"/>
      </c:lineChart>
      <c:catAx>
        <c:axId val="3477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65760"/>
        <c:crosses val="autoZero"/>
        <c:auto val="1"/>
        <c:lblAlgn val="ctr"/>
        <c:lblOffset val="100"/>
        <c:noMultiLvlLbl val="0"/>
      </c:catAx>
      <c:valAx>
        <c:axId val="3476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78720"/>
        <c:crosses val="autoZero"/>
        <c:crossBetween val="between"/>
      </c:valAx>
      <c:valAx>
        <c:axId val="34794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08960"/>
        <c:crosses val="max"/>
        <c:crossBetween val="between"/>
      </c:valAx>
      <c:catAx>
        <c:axId val="34808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479408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[toyjoy_inventory(deepak yadav).xlsx]Stockout Analysis by Product!PivotTable4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Stockout Analysis by Product</a:t>
            </a:r>
            <a:endParaRPr lang="en-IN"/>
          </a:p>
        </c:rich>
      </c:tx>
      <c:layout>
        <c:manualLayout>
          <c:xMode val="edge"/>
          <c:yMode val="edge"/>
          <c:x val="0.3408748906386701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'Stockout Analysis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'Stockout Analysis by Product'!$A$4:$A$13</c:f>
              <c:strCache>
                <c:ptCount val="10"/>
                <c:pt idx="0">
                  <c:v>Action Robot</c:v>
                </c:pt>
                <c:pt idx="1">
                  <c:v>Board Game Master</c:v>
                </c:pt>
                <c:pt idx="2">
                  <c:v>Doll House Mini</c:v>
                </c:pt>
                <c:pt idx="3">
                  <c:v>Drawing Art Pad</c:v>
                </c:pt>
                <c:pt idx="4">
                  <c:v>Kids Drum Set</c:v>
                </c:pt>
                <c:pt idx="5">
                  <c:v>Magic Clay Kit</c:v>
                </c:pt>
                <c:pt idx="6">
                  <c:v>Puzzle Cube</c:v>
                </c:pt>
                <c:pt idx="7">
                  <c:v>Racing Car</c:v>
                </c:pt>
                <c:pt idx="8">
                  <c:v>Science Experiment Kit</c:v>
                </c:pt>
                <c:pt idx="9">
                  <c:v>Super Hero Figure</c:v>
                </c:pt>
              </c:strCache>
            </c:strRef>
          </c:cat>
          <c:val>
            <c:numRef>
              <c:f>'Stockout Analysis by Product'!$B$4:$B$13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2-45F3-B0B1-6D016F6AF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768640"/>
        <c:axId val="34758080"/>
      </c:barChart>
      <c:catAx>
        <c:axId val="34768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8080"/>
        <c:crosses val="autoZero"/>
        <c:auto val="1"/>
        <c:lblAlgn val="ctr"/>
        <c:lblOffset val="100"/>
        <c:noMultiLvlLbl val="0"/>
      </c:catAx>
      <c:valAx>
        <c:axId val="3475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6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[toyjoy_inventory(deepak yadav).xlsx]Top 5 Products by Units Sold!PivotTable5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5 Products by Units Sold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Products by Units Sold'!$B$3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Products by Units Sold'!$A$4:$A$8</c:f>
              <c:strCache>
                <c:ptCount val="5"/>
                <c:pt idx="0">
                  <c:v>Action Robot</c:v>
                </c:pt>
                <c:pt idx="1">
                  <c:v>Kids Drum Set</c:v>
                </c:pt>
                <c:pt idx="2">
                  <c:v>Board Game Master</c:v>
                </c:pt>
                <c:pt idx="3">
                  <c:v>Doll House Mini</c:v>
                </c:pt>
                <c:pt idx="4">
                  <c:v>Drawing Art Pad</c:v>
                </c:pt>
              </c:strCache>
            </c:strRef>
          </c:cat>
          <c:val>
            <c:numRef>
              <c:f>'Top 5 Products by Units Sold'!$B$4:$B$8</c:f>
              <c:numCache>
                <c:formatCode>General</c:formatCode>
                <c:ptCount val="5"/>
                <c:pt idx="0">
                  <c:v>11768</c:v>
                </c:pt>
                <c:pt idx="1">
                  <c:v>11160</c:v>
                </c:pt>
                <c:pt idx="2">
                  <c:v>9792</c:v>
                </c:pt>
                <c:pt idx="3">
                  <c:v>9508</c:v>
                </c:pt>
                <c:pt idx="4">
                  <c:v>9253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3-4748-9B5A-EE0325D31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12800"/>
        <c:axId val="34786880"/>
      </c:barChart>
      <c:catAx>
        <c:axId val="348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86880"/>
        <c:crosses val="autoZero"/>
        <c:auto val="1"/>
        <c:lblAlgn val="ctr"/>
        <c:lblOffset val="100"/>
        <c:noMultiLvlLbl val="0"/>
      </c:catAx>
      <c:valAx>
        <c:axId val="3478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375555</xdr:colOff>
      <xdr:row>2</xdr:row>
      <xdr:rowOff>171450</xdr:rowOff>
    </xdr:from>
    <xdr:to>
      <xdr:col>12</xdr:col>
      <xdr:colOff>353785</xdr:colOff>
      <xdr:row>20</xdr:row>
      <xdr:rowOff>65315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9D0E55-9A8D-4C63-376C-3C6624597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538841</xdr:colOff>
      <xdr:row>2</xdr:row>
      <xdr:rowOff>70757</xdr:rowOff>
    </xdr:from>
    <xdr:to>
      <xdr:col>12</xdr:col>
      <xdr:colOff>620485</xdr:colOff>
      <xdr:row>19</xdr:row>
      <xdr:rowOff>144235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2BB8F3-DCA8-6725-7288-2634E476F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1420586</xdr:colOff>
      <xdr:row>15</xdr:row>
      <xdr:rowOff>87086</xdr:rowOff>
    </xdr:from>
    <xdr:to>
      <xdr:col>9</xdr:col>
      <xdr:colOff>157843</xdr:colOff>
      <xdr:row>32</xdr:row>
      <xdr:rowOff>40822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942FA9-5E69-47CA-8909-4721EFE19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38099</xdr:colOff>
      <xdr:row>1</xdr:row>
      <xdr:rowOff>29935</xdr:rowOff>
    </xdr:from>
    <xdr:to>
      <xdr:col>11</xdr:col>
      <xdr:colOff>38099</xdr:colOff>
      <xdr:row>15</xdr:row>
      <xdr:rowOff>182335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7CB9A-103C-E6F2-D169-0CFC24CBDC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522514</xdr:colOff>
      <xdr:row>2</xdr:row>
      <xdr:rowOff>57151</xdr:rowOff>
    </xdr:from>
    <xdr:to>
      <xdr:col>11</xdr:col>
      <xdr:colOff>522514</xdr:colOff>
      <xdr:row>17</xdr:row>
      <xdr:rowOff>24494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08503C-BF08-F243-5529-DB3D31BC3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 YADUVANSHI" refreshedDate="45973.559273263891" createdVersion="8" refreshedVersion="8" minRefreshableVersion="3" recordCount="1000" xr:uid="{0DC068F2-5E88-4371-B4AE-1A0584C5C042}">
  <cacheSource type="worksheet">
    <worksheetSource ref="A1:N1001" sheet="toyjoy_inventory"/>
  </cacheSource>
  <cacheFields count="14">
    <cacheField name="ProductID" numFmtId="0">
      <sharedItems/>
    </cacheField>
    <cacheField name="ProductName" numFmtId="0">
      <sharedItems count="10">
        <s v="Kids Drum Set"/>
        <s v="Action Robot"/>
        <s v="Doll House Mini"/>
        <s v="Science Experiment Kit"/>
        <s v="Drawing Art Pad"/>
        <s v="Board Game Master"/>
        <s v="Super Hero Figure"/>
        <s v="Racing Car"/>
        <s v="Puzzle Cube"/>
        <s v="Magic Clay Kit"/>
      </sharedItems>
    </cacheField>
    <cacheField name="Category" numFmtId="0">
      <sharedItems count="4">
        <s v="Dolls"/>
        <s v="Puzzles"/>
        <s v="Action Figures"/>
        <s v="Board Games"/>
      </sharedItems>
    </cacheField>
    <cacheField name="StoreID" numFmtId="0">
      <sharedItems/>
    </cacheField>
    <cacheField name="Date" numFmtId="14">
      <sharedItems containsSemiMixedTypes="0" containsNonDate="0" containsDate="1" containsString="0" minDate="2022-01-03T00:00:00" maxDate="2024-12-31T00:00:00"/>
    </cacheField>
    <cacheField name="UnitsSold" numFmtId="0">
      <sharedItems containsSemiMixedTypes="0" containsString="0" containsNumber="1" containsInteger="1" minValue="0" maxValue="199"/>
    </cacheField>
    <cacheField name="UnitsInStock" numFmtId="0">
      <sharedItems containsSemiMixedTypes="0" containsString="0" containsNumber="1" containsInteger="1" minValue="0" maxValue="298"/>
    </cacheField>
    <cacheField name="UnitCost" numFmtId="0">
      <sharedItems containsSemiMixedTypes="0" containsString="0" containsNumber="1" minValue="50.28" maxValue="499.57"/>
    </cacheField>
    <cacheField name="UnitPrice" numFmtId="0">
      <sharedItems containsSemiMixedTypes="0" containsString="0" containsNumber="1" minValue="100.89" maxValue="799.89"/>
    </cacheField>
    <cacheField name="Season" numFmtId="0">
      <sharedItems count="5">
        <s v="Regular"/>
        <s v="Summer"/>
        <s v="Winter"/>
        <s v="Festival"/>
        <s v="Holiday"/>
      </sharedItems>
    </cacheField>
    <cacheField name="Revenue" numFmtId="0">
      <sharedItems containsSemiMixedTypes="0" containsString="0" containsNumber="1" minValue="0" maxValue="154917.75"/>
    </cacheField>
    <cacheField name="Profit" numFmtId="0">
      <sharedItems containsSemiMixedTypes="0" containsString="0" containsNumber="1" minValue="-63987.68" maxValue="131936.51999999999"/>
    </cacheField>
    <cacheField name="InventoryTurnoverRate" numFmtId="0">
      <sharedItems containsSemiMixedTypes="0" containsString="0" containsNumber="1" minValue="0" maxValue="164"/>
    </cacheField>
    <cacheField name="Stockout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0103"/>
    <x v="0"/>
    <x v="0"/>
    <s v="S004"/>
    <d v="2024-12-27T00:00:00"/>
    <n v="16"/>
    <n v="94"/>
    <n v="351.39"/>
    <n v="607.35"/>
    <x v="0"/>
    <n v="9717.6"/>
    <n v="4095.3600000000006"/>
    <n v="0.1702127659574468"/>
    <n v="0"/>
  </r>
  <r>
    <s v="P0180"/>
    <x v="1"/>
    <x v="1"/>
    <s v="S019"/>
    <d v="2024-10-03T00:00:00"/>
    <n v="159"/>
    <n v="253"/>
    <n v="231.07"/>
    <n v="453.75"/>
    <x v="1"/>
    <n v="72146.25"/>
    <n v="35406.120000000003"/>
    <n v="0.62845849802371545"/>
    <n v="0"/>
  </r>
  <r>
    <s v="P0093"/>
    <x v="2"/>
    <x v="0"/>
    <s v="S016"/>
    <d v="2024-05-12T00:00:00"/>
    <n v="84"/>
    <n v="29"/>
    <n v="184.1"/>
    <n v="575.98"/>
    <x v="2"/>
    <n v="48382.32"/>
    <n v="32917.919999999998"/>
    <n v="2.896551724137931"/>
    <n v="0"/>
  </r>
  <r>
    <s v="P0015"/>
    <x v="3"/>
    <x v="1"/>
    <s v="S013"/>
    <d v="2023-05-06T00:00:00"/>
    <n v="167"/>
    <n v="248"/>
    <n v="331.47"/>
    <n v="242.01"/>
    <x v="2"/>
    <n v="40415.67"/>
    <n v="-14939.820000000007"/>
    <n v="0.67338709677419351"/>
    <n v="0"/>
  </r>
  <r>
    <s v="P0107"/>
    <x v="4"/>
    <x v="2"/>
    <s v="S004"/>
    <d v="2024-12-08T00:00:00"/>
    <n v="150"/>
    <n v="32"/>
    <n v="119.69"/>
    <n v="621.94000000000005"/>
    <x v="3"/>
    <n v="93291.000000000015"/>
    <n v="75337.500000000015"/>
    <n v="4.6875"/>
    <n v="0"/>
  </r>
  <r>
    <s v="P0072"/>
    <x v="5"/>
    <x v="0"/>
    <s v="S017"/>
    <d v="2023-07-18T00:00:00"/>
    <n v="55"/>
    <n v="228"/>
    <n v="217.85"/>
    <n v="796.93"/>
    <x v="4"/>
    <n v="43831.149999999994"/>
    <n v="31849.399999999994"/>
    <n v="0.2412280701754386"/>
    <n v="0"/>
  </r>
  <r>
    <s v="P0189"/>
    <x v="6"/>
    <x v="0"/>
    <s v="S001"/>
    <d v="2022-08-04T00:00:00"/>
    <n v="133"/>
    <n v="11"/>
    <n v="144.07"/>
    <n v="565.96"/>
    <x v="0"/>
    <n v="75272.680000000008"/>
    <n v="56111.37"/>
    <n v="12.090909090909092"/>
    <n v="0"/>
  </r>
  <r>
    <s v="P0021"/>
    <x v="7"/>
    <x v="1"/>
    <s v="S018"/>
    <d v="2023-07-13T00:00:00"/>
    <n v="85"/>
    <n v="117"/>
    <n v="363.11"/>
    <n v="445.44"/>
    <x v="3"/>
    <n v="37862.400000000001"/>
    <n v="6998.0499999999984"/>
    <n v="0.72649572649572647"/>
    <n v="0"/>
  </r>
  <r>
    <s v="P0103"/>
    <x v="3"/>
    <x v="0"/>
    <s v="S020"/>
    <d v="2022-06-08T00:00:00"/>
    <n v="177"/>
    <n v="154"/>
    <n v="474.89"/>
    <n v="746.22"/>
    <x v="1"/>
    <n v="132080.94"/>
    <n v="48025.410000000011"/>
    <n v="1.1493506493506493"/>
    <n v="0"/>
  </r>
  <r>
    <s v="P0122"/>
    <x v="8"/>
    <x v="1"/>
    <s v="S017"/>
    <d v="2023-05-04T00:00:00"/>
    <n v="101"/>
    <n v="245"/>
    <n v="497.98"/>
    <n v="111.1"/>
    <x v="1"/>
    <n v="11221.099999999999"/>
    <n v="-39074.879999999997"/>
    <n v="0.41224489795918368"/>
    <n v="0"/>
  </r>
  <r>
    <s v="P0075"/>
    <x v="0"/>
    <x v="1"/>
    <s v="S015"/>
    <d v="2023-11-17T00:00:00"/>
    <n v="164"/>
    <n v="246"/>
    <n v="252.62"/>
    <n v="610.95000000000005"/>
    <x v="1"/>
    <n v="100195.8"/>
    <n v="58766.12000000001"/>
    <n v="0.66666666666666663"/>
    <n v="0"/>
  </r>
  <r>
    <s v="P0088"/>
    <x v="6"/>
    <x v="1"/>
    <s v="S011"/>
    <d v="2024-03-04T00:00:00"/>
    <n v="191"/>
    <n v="28"/>
    <n v="163.63999999999999"/>
    <n v="722.12"/>
    <x v="3"/>
    <n v="137924.92000000001"/>
    <n v="106669.68000000001"/>
    <n v="6.8214285714285712"/>
    <n v="0"/>
  </r>
  <r>
    <s v="P0117"/>
    <x v="5"/>
    <x v="1"/>
    <s v="S013"/>
    <d v="2022-01-05T00:00:00"/>
    <n v="53"/>
    <n v="160"/>
    <n v="249.27"/>
    <n v="143.16999999999999"/>
    <x v="0"/>
    <n v="7588.0099999999993"/>
    <n v="-5623.3000000000011"/>
    <n v="0.33124999999999999"/>
    <n v="0"/>
  </r>
  <r>
    <s v="P0100"/>
    <x v="4"/>
    <x v="2"/>
    <s v="S001"/>
    <d v="2022-12-27T00:00:00"/>
    <n v="199"/>
    <n v="234"/>
    <n v="431.27"/>
    <n v="415.04"/>
    <x v="2"/>
    <n v="82592.960000000006"/>
    <n v="-3229.7699999999923"/>
    <n v="0.8504273504273504"/>
    <n v="0"/>
  </r>
  <r>
    <s v="P0104"/>
    <x v="1"/>
    <x v="1"/>
    <s v="S017"/>
    <d v="2023-04-04T00:00:00"/>
    <n v="176"/>
    <n v="189"/>
    <n v="142.69999999999999"/>
    <n v="243.3"/>
    <x v="4"/>
    <n v="42820.800000000003"/>
    <n v="17705.600000000006"/>
    <n v="0.93121693121693117"/>
    <n v="0"/>
  </r>
  <r>
    <s v="P0152"/>
    <x v="5"/>
    <x v="3"/>
    <s v="S006"/>
    <d v="2022-09-05T00:00:00"/>
    <n v="114"/>
    <n v="116"/>
    <n v="478.44"/>
    <n v="496.56"/>
    <x v="2"/>
    <n v="56607.840000000004"/>
    <n v="2065.6800000000003"/>
    <n v="0.98275862068965514"/>
    <n v="0"/>
  </r>
  <r>
    <s v="P0131"/>
    <x v="6"/>
    <x v="0"/>
    <s v="S004"/>
    <d v="2024-08-03T00:00:00"/>
    <n v="138"/>
    <n v="270"/>
    <n v="203.84"/>
    <n v="554.67999999999995"/>
    <x v="0"/>
    <n v="76545.84"/>
    <n v="48415.919999999991"/>
    <n v="0.51111111111111107"/>
    <n v="0"/>
  </r>
  <r>
    <s v="P0150"/>
    <x v="5"/>
    <x v="3"/>
    <s v="S020"/>
    <d v="2023-02-26T00:00:00"/>
    <n v="87"/>
    <n v="257"/>
    <n v="493.61"/>
    <n v="311.83999999999997"/>
    <x v="2"/>
    <n v="27130.079999999998"/>
    <n v="-15813.990000000003"/>
    <n v="0.33852140077821014"/>
    <n v="0"/>
  </r>
  <r>
    <s v="P0053"/>
    <x v="6"/>
    <x v="2"/>
    <s v="S016"/>
    <d v="2022-01-15T00:00:00"/>
    <n v="48"/>
    <n v="0"/>
    <n v="427.37"/>
    <n v="421.99"/>
    <x v="3"/>
    <n v="20255.52"/>
    <n v="-258.23999999999978"/>
    <n v="0"/>
    <n v="1"/>
  </r>
  <r>
    <s v="P0002"/>
    <x v="6"/>
    <x v="3"/>
    <s v="S015"/>
    <d v="2024-01-06T00:00:00"/>
    <n v="148"/>
    <n v="171"/>
    <n v="413.86"/>
    <n v="295.54000000000002"/>
    <x v="1"/>
    <n v="43739.920000000006"/>
    <n v="-17511.36"/>
    <n v="0.86549707602339176"/>
    <n v="0"/>
  </r>
  <r>
    <s v="P0088"/>
    <x v="9"/>
    <x v="0"/>
    <s v="S015"/>
    <d v="2022-10-04T00:00:00"/>
    <n v="114"/>
    <n v="273"/>
    <n v="193.06"/>
    <n v="358.57"/>
    <x v="0"/>
    <n v="40876.979999999996"/>
    <n v="18868.14"/>
    <n v="0.4175824175824176"/>
    <n v="0"/>
  </r>
  <r>
    <s v="P0158"/>
    <x v="7"/>
    <x v="3"/>
    <s v="S006"/>
    <d v="2023-03-29T00:00:00"/>
    <n v="193"/>
    <n v="258"/>
    <n v="53.95"/>
    <n v="211.68"/>
    <x v="0"/>
    <n v="40854.239999999998"/>
    <n v="30441.890000000003"/>
    <n v="0.74806201550387597"/>
    <n v="0"/>
  </r>
  <r>
    <s v="P0038"/>
    <x v="0"/>
    <x v="2"/>
    <s v="S015"/>
    <d v="2023-08-21T00:00:00"/>
    <n v="62"/>
    <n v="134"/>
    <n v="221.96"/>
    <n v="719.89"/>
    <x v="2"/>
    <n v="44633.18"/>
    <n v="30871.659999999996"/>
    <n v="0.46268656716417911"/>
    <n v="0"/>
  </r>
  <r>
    <s v="P0130"/>
    <x v="9"/>
    <x v="1"/>
    <s v="S014"/>
    <d v="2023-03-22T00:00:00"/>
    <n v="103"/>
    <n v="170"/>
    <n v="185.81"/>
    <n v="107.01"/>
    <x v="3"/>
    <n v="11022.03"/>
    <n v="-8116.4"/>
    <n v="0.60588235294117643"/>
    <n v="0"/>
  </r>
  <r>
    <s v="P0192"/>
    <x v="4"/>
    <x v="3"/>
    <s v="S011"/>
    <d v="2022-07-29T00:00:00"/>
    <n v="82"/>
    <n v="209"/>
    <n v="66.83"/>
    <n v="717.69"/>
    <x v="2"/>
    <n v="58850.58"/>
    <n v="53370.520000000004"/>
    <n v="0.3923444976076555"/>
    <n v="0"/>
  </r>
  <r>
    <s v="P0188"/>
    <x v="9"/>
    <x v="2"/>
    <s v="S007"/>
    <d v="2023-12-15T00:00:00"/>
    <n v="102"/>
    <n v="235"/>
    <n v="277.41000000000003"/>
    <n v="500.18"/>
    <x v="2"/>
    <n v="51018.36"/>
    <n v="22722.539999999997"/>
    <n v="0.43404255319148938"/>
    <n v="0"/>
  </r>
  <r>
    <s v="P0021"/>
    <x v="2"/>
    <x v="2"/>
    <s v="S009"/>
    <d v="2022-10-29T00:00:00"/>
    <n v="155"/>
    <n v="185"/>
    <n v="231.36"/>
    <n v="332.16"/>
    <x v="0"/>
    <n v="51484.800000000003"/>
    <n v="15624.000000000002"/>
    <n v="0.83783783783783783"/>
    <n v="0"/>
  </r>
  <r>
    <s v="P0161"/>
    <x v="2"/>
    <x v="0"/>
    <s v="S016"/>
    <d v="2022-01-03T00:00:00"/>
    <n v="16"/>
    <n v="94"/>
    <n v="335.55"/>
    <n v="606.14"/>
    <x v="2"/>
    <n v="9698.24"/>
    <n v="4329.4399999999996"/>
    <n v="0.1702127659574468"/>
    <n v="0"/>
  </r>
  <r>
    <s v="P0058"/>
    <x v="0"/>
    <x v="0"/>
    <s v="S005"/>
    <d v="2024-09-16T00:00:00"/>
    <n v="5"/>
    <n v="10"/>
    <n v="329.53"/>
    <n v="455.43"/>
    <x v="1"/>
    <n v="2277.15"/>
    <n v="629.50000000000023"/>
    <n v="0.5"/>
    <n v="0"/>
  </r>
  <r>
    <s v="P0022"/>
    <x v="5"/>
    <x v="3"/>
    <s v="S020"/>
    <d v="2023-06-04T00:00:00"/>
    <n v="146"/>
    <n v="67"/>
    <n v="104.34"/>
    <n v="449.38"/>
    <x v="2"/>
    <n v="65609.48"/>
    <n v="50375.839999999997"/>
    <n v="2.1791044776119404"/>
    <n v="0"/>
  </r>
  <r>
    <s v="P0089"/>
    <x v="7"/>
    <x v="1"/>
    <s v="S010"/>
    <d v="2023-05-08T00:00:00"/>
    <n v="183"/>
    <n v="209"/>
    <n v="489.63"/>
    <n v="177.1"/>
    <x v="1"/>
    <n v="32409.3"/>
    <n v="-57192.99"/>
    <n v="0.87559808612440193"/>
    <n v="0"/>
  </r>
  <r>
    <s v="P0049"/>
    <x v="0"/>
    <x v="2"/>
    <s v="S018"/>
    <d v="2023-09-12T00:00:00"/>
    <n v="27"/>
    <n v="195"/>
    <n v="134.12"/>
    <n v="372.66"/>
    <x v="0"/>
    <n v="10061.820000000002"/>
    <n v="6440.5800000000008"/>
    <n v="0.13846153846153847"/>
    <n v="0"/>
  </r>
  <r>
    <s v="P0059"/>
    <x v="6"/>
    <x v="3"/>
    <s v="S003"/>
    <d v="2022-11-27T00:00:00"/>
    <n v="193"/>
    <n v="97"/>
    <n v="250.37"/>
    <n v="268.75"/>
    <x v="3"/>
    <n v="51868.75"/>
    <n v="3547.3399999999992"/>
    <n v="1.9896907216494846"/>
    <n v="0"/>
  </r>
  <r>
    <s v="P0170"/>
    <x v="8"/>
    <x v="2"/>
    <s v="S013"/>
    <d v="2022-11-29T00:00:00"/>
    <n v="37"/>
    <n v="92"/>
    <n v="269.64999999999998"/>
    <n v="110.99"/>
    <x v="1"/>
    <n v="4106.63"/>
    <n v="-5870.4199999999992"/>
    <n v="0.40217391304347827"/>
    <n v="0"/>
  </r>
  <r>
    <s v="P0188"/>
    <x v="7"/>
    <x v="2"/>
    <s v="S011"/>
    <d v="2022-02-19T00:00:00"/>
    <n v="118"/>
    <n v="21"/>
    <n v="415.88"/>
    <n v="352.07"/>
    <x v="3"/>
    <n v="41544.26"/>
    <n v="-7529.58"/>
    <n v="5.6190476190476186"/>
    <n v="0"/>
  </r>
  <r>
    <s v="P0015"/>
    <x v="7"/>
    <x v="1"/>
    <s v="S017"/>
    <d v="2024-05-12T00:00:00"/>
    <n v="36"/>
    <n v="171"/>
    <n v="94.65"/>
    <n v="162.88"/>
    <x v="3"/>
    <n v="5863.68"/>
    <n v="2456.2799999999997"/>
    <n v="0.21052631578947367"/>
    <n v="0"/>
  </r>
  <r>
    <s v="P0190"/>
    <x v="6"/>
    <x v="1"/>
    <s v="S013"/>
    <d v="2022-09-29T00:00:00"/>
    <n v="114"/>
    <n v="133"/>
    <n v="242.89"/>
    <n v="279.77999999999997"/>
    <x v="1"/>
    <n v="31894.92"/>
    <n v="4205.4599999999982"/>
    <n v="0.8571428571428571"/>
    <n v="0"/>
  </r>
  <r>
    <s v="P0190"/>
    <x v="6"/>
    <x v="3"/>
    <s v="S006"/>
    <d v="2023-08-03T00:00:00"/>
    <n v="67"/>
    <n v="24"/>
    <n v="332.83"/>
    <n v="164.76"/>
    <x v="0"/>
    <n v="11038.92"/>
    <n v="-11260.689999999999"/>
    <n v="2.7916666666666665"/>
    <n v="0"/>
  </r>
  <r>
    <s v="P0175"/>
    <x v="1"/>
    <x v="1"/>
    <s v="S017"/>
    <d v="2023-07-14T00:00:00"/>
    <n v="176"/>
    <n v="184"/>
    <n v="146.82"/>
    <n v="170.66"/>
    <x v="4"/>
    <n v="30036.16"/>
    <n v="4195.84"/>
    <n v="0.95652173913043481"/>
    <n v="0"/>
  </r>
  <r>
    <s v="P0190"/>
    <x v="0"/>
    <x v="1"/>
    <s v="S013"/>
    <d v="2023-11-27T00:00:00"/>
    <n v="42"/>
    <n v="84"/>
    <n v="332.36"/>
    <n v="239.31"/>
    <x v="3"/>
    <n v="10051.02"/>
    <n v="-3908.1000000000004"/>
    <n v="0.5"/>
    <n v="0"/>
  </r>
  <r>
    <s v="P0051"/>
    <x v="6"/>
    <x v="3"/>
    <s v="S019"/>
    <d v="2023-03-22T00:00:00"/>
    <n v="163"/>
    <n v="54"/>
    <n v="465.65"/>
    <n v="799.89"/>
    <x v="3"/>
    <n v="130382.06999999999"/>
    <n v="54481.120000000003"/>
    <n v="3.0185185185185186"/>
    <n v="0"/>
  </r>
  <r>
    <s v="P0108"/>
    <x v="2"/>
    <x v="1"/>
    <s v="S019"/>
    <d v="2024-10-13T00:00:00"/>
    <n v="57"/>
    <n v="0"/>
    <n v="498.88"/>
    <n v="101.53"/>
    <x v="0"/>
    <n v="5787.21"/>
    <n v="-22648.95"/>
    <n v="0"/>
    <n v="1"/>
  </r>
  <r>
    <s v="P0055"/>
    <x v="4"/>
    <x v="0"/>
    <s v="S010"/>
    <d v="2022-12-23T00:00:00"/>
    <n v="12"/>
    <n v="143"/>
    <n v="64.599999999999994"/>
    <n v="547.07000000000005"/>
    <x v="0"/>
    <n v="6564.84"/>
    <n v="5789.64"/>
    <n v="8.3916083916083919E-2"/>
    <n v="0"/>
  </r>
  <r>
    <s v="P0064"/>
    <x v="8"/>
    <x v="2"/>
    <s v="S003"/>
    <d v="2022-10-01T00:00:00"/>
    <n v="51"/>
    <n v="166"/>
    <n v="156.01"/>
    <n v="198.87"/>
    <x v="2"/>
    <n v="10142.370000000001"/>
    <n v="2185.8600000000006"/>
    <n v="0.30722891566265059"/>
    <n v="0"/>
  </r>
  <r>
    <s v="P0131"/>
    <x v="0"/>
    <x v="2"/>
    <s v="S014"/>
    <d v="2024-11-08T00:00:00"/>
    <n v="57"/>
    <n v="223"/>
    <n v="189.64"/>
    <n v="744.44"/>
    <x v="0"/>
    <n v="42433.08"/>
    <n v="31623.600000000002"/>
    <n v="0.2556053811659193"/>
    <n v="0"/>
  </r>
  <r>
    <s v="P0051"/>
    <x v="3"/>
    <x v="2"/>
    <s v="S019"/>
    <d v="2022-11-07T00:00:00"/>
    <n v="31"/>
    <n v="219"/>
    <n v="229.61"/>
    <n v="165.54"/>
    <x v="3"/>
    <n v="5131.74"/>
    <n v="-1986.1700000000008"/>
    <n v="0.14155251141552511"/>
    <n v="0"/>
  </r>
  <r>
    <s v="P0135"/>
    <x v="2"/>
    <x v="2"/>
    <s v="S005"/>
    <d v="2024-05-19T00:00:00"/>
    <n v="104"/>
    <n v="178"/>
    <n v="159.02000000000001"/>
    <n v="768.54"/>
    <x v="1"/>
    <n v="79928.160000000003"/>
    <n v="63390.080000000002"/>
    <n v="0.5842696629213483"/>
    <n v="0"/>
  </r>
  <r>
    <s v="P0021"/>
    <x v="5"/>
    <x v="3"/>
    <s v="S005"/>
    <d v="2024-06-04T00:00:00"/>
    <n v="187"/>
    <n v="118"/>
    <n v="141.57"/>
    <n v="527.65"/>
    <x v="4"/>
    <n v="98670.55"/>
    <n v="72196.959999999992"/>
    <n v="1.5847457627118644"/>
    <n v="0"/>
  </r>
  <r>
    <s v="P0073"/>
    <x v="6"/>
    <x v="2"/>
    <s v="S020"/>
    <d v="2022-06-03T00:00:00"/>
    <n v="82"/>
    <n v="264"/>
    <n v="479.55"/>
    <n v="100.89"/>
    <x v="2"/>
    <n v="8272.98"/>
    <n v="-31050.120000000003"/>
    <n v="0.31060606060606061"/>
    <n v="0"/>
  </r>
  <r>
    <s v="P0167"/>
    <x v="3"/>
    <x v="2"/>
    <s v="S017"/>
    <d v="2023-09-12T00:00:00"/>
    <n v="185"/>
    <n v="149"/>
    <n v="463.33"/>
    <n v="725.81"/>
    <x v="1"/>
    <n v="134274.84999999998"/>
    <n v="48558.799999999996"/>
    <n v="1.2416107382550337"/>
    <n v="0"/>
  </r>
  <r>
    <s v="P0018"/>
    <x v="6"/>
    <x v="2"/>
    <s v="S010"/>
    <d v="2024-06-01T00:00:00"/>
    <n v="98"/>
    <n v="214"/>
    <n v="71.150000000000006"/>
    <n v="465.2"/>
    <x v="4"/>
    <n v="45589.599999999999"/>
    <n v="38616.899999999994"/>
    <n v="0.45794392523364486"/>
    <n v="0"/>
  </r>
  <r>
    <s v="P0132"/>
    <x v="7"/>
    <x v="2"/>
    <s v="S005"/>
    <d v="2024-03-07T00:00:00"/>
    <n v="103"/>
    <n v="196"/>
    <n v="202.47"/>
    <n v="283.87"/>
    <x v="4"/>
    <n v="29238.61"/>
    <n v="8384.2000000000007"/>
    <n v="0.52551020408163263"/>
    <n v="0"/>
  </r>
  <r>
    <s v="P0089"/>
    <x v="2"/>
    <x v="0"/>
    <s v="S004"/>
    <d v="2022-05-05T00:00:00"/>
    <n v="183"/>
    <n v="41"/>
    <n v="232.32"/>
    <n v="637.1"/>
    <x v="4"/>
    <n v="116589.3"/>
    <n v="74074.740000000005"/>
    <n v="4.4634146341463419"/>
    <n v="0"/>
  </r>
  <r>
    <s v="P0060"/>
    <x v="7"/>
    <x v="2"/>
    <s v="S006"/>
    <d v="2023-09-11T00:00:00"/>
    <n v="27"/>
    <n v="52"/>
    <n v="157.56"/>
    <n v="748.67"/>
    <x v="1"/>
    <n v="20214.09"/>
    <n v="15959.969999999998"/>
    <n v="0.51923076923076927"/>
    <n v="0"/>
  </r>
  <r>
    <s v="P0014"/>
    <x v="1"/>
    <x v="0"/>
    <s v="S004"/>
    <d v="2022-09-02T00:00:00"/>
    <n v="128"/>
    <n v="250"/>
    <n v="332.99"/>
    <n v="438.58"/>
    <x v="2"/>
    <n v="56138.239999999998"/>
    <n v="13515.519999999997"/>
    <n v="0.51200000000000001"/>
    <n v="0"/>
  </r>
  <r>
    <s v="P0009"/>
    <x v="7"/>
    <x v="3"/>
    <s v="S007"/>
    <d v="2024-04-27T00:00:00"/>
    <n v="169"/>
    <n v="294"/>
    <n v="338.17"/>
    <n v="320.89"/>
    <x v="2"/>
    <n v="54230.409999999996"/>
    <n v="-2920.3200000000052"/>
    <n v="0.57482993197278909"/>
    <n v="0"/>
  </r>
  <r>
    <s v="P0090"/>
    <x v="1"/>
    <x v="1"/>
    <s v="S007"/>
    <d v="2023-03-26T00:00:00"/>
    <n v="47"/>
    <n v="270"/>
    <n v="432.73"/>
    <n v="652.26"/>
    <x v="4"/>
    <n v="30656.22"/>
    <n v="10317.909999999998"/>
    <n v="0.17407407407407408"/>
    <n v="0"/>
  </r>
  <r>
    <s v="P0053"/>
    <x v="1"/>
    <x v="2"/>
    <s v="S018"/>
    <d v="2024-07-18T00:00:00"/>
    <n v="39"/>
    <n v="122"/>
    <n v="383.39"/>
    <n v="577.25"/>
    <x v="1"/>
    <n v="22512.75"/>
    <n v="7560.5400000000009"/>
    <n v="0.31967213114754101"/>
    <n v="0"/>
  </r>
  <r>
    <s v="P0130"/>
    <x v="3"/>
    <x v="1"/>
    <s v="S003"/>
    <d v="2023-06-04T00:00:00"/>
    <n v="96"/>
    <n v="265"/>
    <n v="294.16000000000003"/>
    <n v="722.13"/>
    <x v="4"/>
    <n v="69324.479999999996"/>
    <n v="41085.119999999995"/>
    <n v="0.3622641509433962"/>
    <n v="0"/>
  </r>
  <r>
    <s v="P0084"/>
    <x v="6"/>
    <x v="1"/>
    <s v="S001"/>
    <d v="2022-12-28T00:00:00"/>
    <n v="190"/>
    <n v="28"/>
    <n v="344.11"/>
    <n v="584.76"/>
    <x v="0"/>
    <n v="111104.4"/>
    <n v="45723.499999999993"/>
    <n v="6.7857142857142856"/>
    <n v="0"/>
  </r>
  <r>
    <s v="P0092"/>
    <x v="5"/>
    <x v="3"/>
    <s v="S004"/>
    <d v="2022-01-08T00:00:00"/>
    <n v="199"/>
    <n v="34"/>
    <n v="173.29"/>
    <n v="270.47000000000003"/>
    <x v="2"/>
    <n v="53823.530000000006"/>
    <n v="19338.820000000007"/>
    <n v="5.8529411764705879"/>
    <n v="0"/>
  </r>
  <r>
    <s v="P0111"/>
    <x v="7"/>
    <x v="1"/>
    <s v="S006"/>
    <d v="2023-04-23T00:00:00"/>
    <n v="113"/>
    <n v="5"/>
    <n v="316.88"/>
    <n v="752.16"/>
    <x v="3"/>
    <n v="84994.08"/>
    <n v="49186.64"/>
    <n v="22.6"/>
    <n v="0"/>
  </r>
  <r>
    <s v="P0188"/>
    <x v="2"/>
    <x v="0"/>
    <s v="S009"/>
    <d v="2023-05-10T00:00:00"/>
    <n v="131"/>
    <n v="110"/>
    <n v="270.14999999999998"/>
    <n v="173.39"/>
    <x v="4"/>
    <n v="22714.089999999997"/>
    <n v="-12675.56"/>
    <n v="1.1909090909090909"/>
    <n v="0"/>
  </r>
  <r>
    <s v="P0199"/>
    <x v="1"/>
    <x v="1"/>
    <s v="S014"/>
    <d v="2024-04-12T00:00:00"/>
    <n v="165"/>
    <n v="293"/>
    <n v="110.01"/>
    <n v="287.56"/>
    <x v="0"/>
    <n v="47447.4"/>
    <n v="29295.750000000004"/>
    <n v="0.56313993174061439"/>
    <n v="0"/>
  </r>
  <r>
    <s v="P0172"/>
    <x v="6"/>
    <x v="1"/>
    <s v="S012"/>
    <d v="2024-11-28T00:00:00"/>
    <n v="154"/>
    <n v="76"/>
    <n v="159.13999999999999"/>
    <n v="464.14"/>
    <x v="2"/>
    <n v="71477.56"/>
    <n v="46970"/>
    <n v="2.0263157894736841"/>
    <n v="0"/>
  </r>
  <r>
    <s v="P0008"/>
    <x v="8"/>
    <x v="1"/>
    <s v="S020"/>
    <d v="2023-08-16T00:00:00"/>
    <n v="136"/>
    <n v="146"/>
    <n v="181.26"/>
    <n v="496.02"/>
    <x v="1"/>
    <n v="67458.720000000001"/>
    <n v="42807.360000000001"/>
    <n v="0.93150684931506844"/>
    <n v="0"/>
  </r>
  <r>
    <s v="P0175"/>
    <x v="0"/>
    <x v="2"/>
    <s v="S004"/>
    <d v="2022-07-06T00:00:00"/>
    <n v="110"/>
    <n v="66"/>
    <n v="465.94"/>
    <n v="110.72"/>
    <x v="2"/>
    <n v="12179.2"/>
    <n v="-39074.200000000004"/>
    <n v="1.6666666666666667"/>
    <n v="0"/>
  </r>
  <r>
    <s v="P0035"/>
    <x v="3"/>
    <x v="2"/>
    <s v="S012"/>
    <d v="2024-01-24T00:00:00"/>
    <n v="143"/>
    <n v="7"/>
    <n v="153.66999999999999"/>
    <n v="646.4"/>
    <x v="1"/>
    <n v="92435.199999999997"/>
    <n v="70460.39"/>
    <n v="20.428571428571427"/>
    <n v="0"/>
  </r>
  <r>
    <s v="P0081"/>
    <x v="5"/>
    <x v="0"/>
    <s v="S010"/>
    <d v="2022-04-03T00:00:00"/>
    <n v="183"/>
    <n v="121"/>
    <n v="180.16"/>
    <n v="353.13"/>
    <x v="1"/>
    <n v="64622.79"/>
    <n v="31653.51"/>
    <n v="1.5123966942148761"/>
    <n v="0"/>
  </r>
  <r>
    <s v="P0164"/>
    <x v="9"/>
    <x v="0"/>
    <s v="S007"/>
    <d v="2022-03-27T00:00:00"/>
    <n v="75"/>
    <n v="174"/>
    <n v="216.21"/>
    <n v="384.49"/>
    <x v="4"/>
    <n v="28836.75"/>
    <n v="12621"/>
    <n v="0.43103448275862066"/>
    <n v="0"/>
  </r>
  <r>
    <s v="P0050"/>
    <x v="3"/>
    <x v="2"/>
    <s v="S003"/>
    <d v="2024-12-03T00:00:00"/>
    <n v="30"/>
    <n v="178"/>
    <n v="348.68"/>
    <n v="666.56"/>
    <x v="4"/>
    <n v="19996.8"/>
    <n v="9536.3999999999978"/>
    <n v="0.16853932584269662"/>
    <n v="0"/>
  </r>
  <r>
    <s v="P0104"/>
    <x v="8"/>
    <x v="0"/>
    <s v="S014"/>
    <d v="2022-05-17T00:00:00"/>
    <n v="118"/>
    <n v="84"/>
    <n v="103.21"/>
    <n v="365.5"/>
    <x v="2"/>
    <n v="43129"/>
    <n v="30950.22"/>
    <n v="1.4047619047619047"/>
    <n v="0"/>
  </r>
  <r>
    <s v="P0132"/>
    <x v="0"/>
    <x v="2"/>
    <s v="S010"/>
    <d v="2023-02-25T00:00:00"/>
    <n v="141"/>
    <n v="44"/>
    <n v="479.28"/>
    <n v="133.06"/>
    <x v="0"/>
    <n v="18761.46"/>
    <n v="-48817.02"/>
    <n v="3.2045454545454546"/>
    <n v="0"/>
  </r>
  <r>
    <s v="P0002"/>
    <x v="8"/>
    <x v="3"/>
    <s v="S016"/>
    <d v="2022-03-15T00:00:00"/>
    <n v="24"/>
    <n v="135"/>
    <n v="439.51"/>
    <n v="223.51"/>
    <x v="2"/>
    <n v="5364.24"/>
    <n v="-5184"/>
    <n v="0.17777777777777778"/>
    <n v="0"/>
  </r>
  <r>
    <s v="P0134"/>
    <x v="7"/>
    <x v="1"/>
    <s v="S016"/>
    <d v="2022-06-20T00:00:00"/>
    <n v="33"/>
    <n v="15"/>
    <n v="309.75"/>
    <n v="769.13"/>
    <x v="3"/>
    <n v="25381.29"/>
    <n v="15159.539999999999"/>
    <n v="2.2000000000000002"/>
    <n v="0"/>
  </r>
  <r>
    <s v="P0054"/>
    <x v="1"/>
    <x v="1"/>
    <s v="S010"/>
    <d v="2022-06-19T00:00:00"/>
    <n v="66"/>
    <n v="194"/>
    <n v="353.32"/>
    <n v="149.28"/>
    <x v="1"/>
    <n v="9852.48"/>
    <n v="-13466.64"/>
    <n v="0.34020618556701032"/>
    <n v="0"/>
  </r>
  <r>
    <s v="P0106"/>
    <x v="5"/>
    <x v="0"/>
    <s v="S013"/>
    <d v="2024-05-21T00:00:00"/>
    <n v="151"/>
    <n v="0"/>
    <n v="57.5"/>
    <n v="348.45"/>
    <x v="1"/>
    <n v="52615.95"/>
    <n v="43933.45"/>
    <n v="0"/>
    <n v="1"/>
  </r>
  <r>
    <s v="P0004"/>
    <x v="4"/>
    <x v="2"/>
    <s v="S006"/>
    <d v="2022-11-18T00:00:00"/>
    <n v="117"/>
    <n v="14"/>
    <n v="202.53"/>
    <n v="452.23"/>
    <x v="4"/>
    <n v="52910.91"/>
    <n v="29214.9"/>
    <n v="8.3571428571428577"/>
    <n v="0"/>
  </r>
  <r>
    <s v="P0054"/>
    <x v="1"/>
    <x v="2"/>
    <s v="S012"/>
    <d v="2023-04-01T00:00:00"/>
    <n v="72"/>
    <n v="101"/>
    <n v="408.05"/>
    <n v="445.3"/>
    <x v="0"/>
    <n v="32061.600000000002"/>
    <n v="2682"/>
    <n v="0.71287128712871284"/>
    <n v="0"/>
  </r>
  <r>
    <s v="P0191"/>
    <x v="4"/>
    <x v="0"/>
    <s v="S009"/>
    <d v="2024-08-01T00:00:00"/>
    <n v="25"/>
    <n v="225"/>
    <n v="84.87"/>
    <n v="102.77"/>
    <x v="4"/>
    <n v="2569.25"/>
    <n v="447.49999999999977"/>
    <n v="0.1111111111111111"/>
    <n v="0"/>
  </r>
  <r>
    <s v="P0146"/>
    <x v="0"/>
    <x v="2"/>
    <s v="S013"/>
    <d v="2024-02-29T00:00:00"/>
    <n v="147"/>
    <n v="277"/>
    <n v="177.04"/>
    <n v="450.81"/>
    <x v="3"/>
    <n v="66269.070000000007"/>
    <n v="40244.189999999995"/>
    <n v="0.53068592057761732"/>
    <n v="0"/>
  </r>
  <r>
    <s v="P0044"/>
    <x v="6"/>
    <x v="3"/>
    <s v="S004"/>
    <d v="2023-09-05T00:00:00"/>
    <n v="191"/>
    <n v="112"/>
    <n v="313.38"/>
    <n v="368.64"/>
    <x v="2"/>
    <n v="70410.239999999991"/>
    <n v="10554.659999999998"/>
    <n v="1.7053571428571428"/>
    <n v="0"/>
  </r>
  <r>
    <s v="P0162"/>
    <x v="9"/>
    <x v="1"/>
    <s v="S011"/>
    <d v="2024-06-07T00:00:00"/>
    <n v="103"/>
    <n v="0"/>
    <n v="165.39"/>
    <n v="780.46"/>
    <x v="2"/>
    <n v="80387.38"/>
    <n v="63352.210000000006"/>
    <n v="0"/>
    <n v="1"/>
  </r>
  <r>
    <s v="P0190"/>
    <x v="2"/>
    <x v="0"/>
    <s v="S020"/>
    <d v="2022-12-15T00:00:00"/>
    <n v="9"/>
    <n v="265"/>
    <n v="470.29"/>
    <n v="211.41"/>
    <x v="0"/>
    <n v="1902.69"/>
    <n v="-2329.92"/>
    <n v="3.3962264150943396E-2"/>
    <n v="0"/>
  </r>
  <r>
    <s v="P0014"/>
    <x v="1"/>
    <x v="0"/>
    <s v="S018"/>
    <d v="2022-01-10T00:00:00"/>
    <n v="66"/>
    <n v="207"/>
    <n v="108.98"/>
    <n v="347.91"/>
    <x v="4"/>
    <n v="22962.06"/>
    <n v="15769.380000000001"/>
    <n v="0.3188405797101449"/>
    <n v="0"/>
  </r>
  <r>
    <s v="P0095"/>
    <x v="5"/>
    <x v="2"/>
    <s v="S011"/>
    <d v="2024-01-10T00:00:00"/>
    <n v="151"/>
    <n v="109"/>
    <n v="408.83"/>
    <n v="393.64"/>
    <x v="4"/>
    <n v="59439.64"/>
    <n v="-2293.6899999999996"/>
    <n v="1.3853211009174311"/>
    <n v="0"/>
  </r>
  <r>
    <s v="P0048"/>
    <x v="8"/>
    <x v="0"/>
    <s v="S004"/>
    <d v="2023-10-29T00:00:00"/>
    <n v="4"/>
    <n v="199"/>
    <n v="278.58"/>
    <n v="373.49"/>
    <x v="3"/>
    <n v="1493.96"/>
    <n v="379.6400000000001"/>
    <n v="2.0100502512562814E-2"/>
    <n v="0"/>
  </r>
  <r>
    <s v="P0015"/>
    <x v="5"/>
    <x v="3"/>
    <s v="S018"/>
    <d v="2023-06-30T00:00:00"/>
    <n v="194"/>
    <n v="11"/>
    <n v="387.65"/>
    <n v="566.08000000000004"/>
    <x v="2"/>
    <n v="109819.52"/>
    <n v="34615.420000000013"/>
    <n v="17.636363636363637"/>
    <n v="0"/>
  </r>
  <r>
    <s v="P0200"/>
    <x v="0"/>
    <x v="2"/>
    <s v="S001"/>
    <d v="2022-05-09T00:00:00"/>
    <n v="185"/>
    <n v="187"/>
    <n v="189.82"/>
    <n v="250.86"/>
    <x v="4"/>
    <n v="46409.100000000006"/>
    <n v="11292.400000000003"/>
    <n v="0.98930481283422456"/>
    <n v="0"/>
  </r>
  <r>
    <s v="P0190"/>
    <x v="4"/>
    <x v="2"/>
    <s v="S007"/>
    <d v="2023-08-24T00:00:00"/>
    <n v="26"/>
    <n v="153"/>
    <n v="281.52"/>
    <n v="254.75"/>
    <x v="0"/>
    <n v="6623.5"/>
    <n v="-696.01999999999953"/>
    <n v="0.16993464052287582"/>
    <n v="0"/>
  </r>
  <r>
    <s v="P0040"/>
    <x v="8"/>
    <x v="2"/>
    <s v="S006"/>
    <d v="2023-08-28T00:00:00"/>
    <n v="112"/>
    <n v="278"/>
    <n v="435.58"/>
    <n v="610.45000000000005"/>
    <x v="2"/>
    <n v="68370.400000000009"/>
    <n v="19585.440000000006"/>
    <n v="0.40287769784172661"/>
    <n v="0"/>
  </r>
  <r>
    <s v="P0082"/>
    <x v="2"/>
    <x v="2"/>
    <s v="S015"/>
    <d v="2022-11-23T00:00:00"/>
    <n v="14"/>
    <n v="170"/>
    <n v="260.10000000000002"/>
    <n v="450.2"/>
    <x v="3"/>
    <n v="6302.8"/>
    <n v="2661.3999999999996"/>
    <n v="8.2352941176470587E-2"/>
    <n v="0"/>
  </r>
  <r>
    <s v="P0111"/>
    <x v="2"/>
    <x v="3"/>
    <s v="S018"/>
    <d v="2024-09-06T00:00:00"/>
    <n v="162"/>
    <n v="133"/>
    <n v="211.87"/>
    <n v="390.61"/>
    <x v="0"/>
    <n v="63278.82"/>
    <n v="28955.88"/>
    <n v="1.2180451127819549"/>
    <n v="0"/>
  </r>
  <r>
    <s v="P0053"/>
    <x v="1"/>
    <x v="2"/>
    <s v="S011"/>
    <d v="2023-02-08T00:00:00"/>
    <n v="104"/>
    <n v="24"/>
    <n v="291.27"/>
    <n v="218.44"/>
    <x v="1"/>
    <n v="22717.759999999998"/>
    <n v="-7574.3199999999979"/>
    <n v="4.333333333333333"/>
    <n v="0"/>
  </r>
  <r>
    <s v="P0024"/>
    <x v="0"/>
    <x v="0"/>
    <s v="S020"/>
    <d v="2023-09-21T00:00:00"/>
    <n v="180"/>
    <n v="17"/>
    <n v="372.81"/>
    <n v="231.27"/>
    <x v="3"/>
    <n v="41628.6"/>
    <n v="-25477.199999999997"/>
    <n v="10.588235294117647"/>
    <n v="0"/>
  </r>
  <r>
    <s v="P0154"/>
    <x v="6"/>
    <x v="3"/>
    <s v="S015"/>
    <d v="2023-12-19T00:00:00"/>
    <n v="43"/>
    <n v="189"/>
    <n v="249.6"/>
    <n v="107.39"/>
    <x v="0"/>
    <n v="4617.7700000000004"/>
    <n v="-6115.0299999999988"/>
    <n v="0.2275132275132275"/>
    <n v="0"/>
  </r>
  <r>
    <s v="P0188"/>
    <x v="0"/>
    <x v="1"/>
    <s v="S016"/>
    <d v="2024-11-06T00:00:00"/>
    <n v="25"/>
    <n v="140"/>
    <n v="472.49"/>
    <n v="164"/>
    <x v="4"/>
    <n v="4100"/>
    <n v="-7712.25"/>
    <n v="0.17857142857142858"/>
    <n v="0"/>
  </r>
  <r>
    <s v="P0124"/>
    <x v="4"/>
    <x v="1"/>
    <s v="S007"/>
    <d v="2022-10-01T00:00:00"/>
    <n v="174"/>
    <n v="42"/>
    <n v="182.73"/>
    <n v="489.79"/>
    <x v="1"/>
    <n v="85223.46"/>
    <n v="53428.44000000001"/>
    <n v="4.1428571428571432"/>
    <n v="0"/>
  </r>
  <r>
    <s v="P0041"/>
    <x v="5"/>
    <x v="0"/>
    <s v="S010"/>
    <d v="2023-11-16T00:00:00"/>
    <n v="161"/>
    <n v="283"/>
    <n v="263.95999999999998"/>
    <n v="724.31"/>
    <x v="3"/>
    <n v="116613.90999999999"/>
    <n v="74116.349999999991"/>
    <n v="0.56890459363957602"/>
    <n v="0"/>
  </r>
  <r>
    <s v="P0157"/>
    <x v="2"/>
    <x v="0"/>
    <s v="S012"/>
    <d v="2022-04-26T00:00:00"/>
    <n v="94"/>
    <n v="145"/>
    <n v="390.62"/>
    <n v="301.02"/>
    <x v="4"/>
    <n v="28295.879999999997"/>
    <n v="-8422.4000000000015"/>
    <n v="0.64827586206896548"/>
    <n v="0"/>
  </r>
  <r>
    <s v="P0015"/>
    <x v="5"/>
    <x v="3"/>
    <s v="S014"/>
    <d v="2024-05-10T00:00:00"/>
    <n v="177"/>
    <n v="91"/>
    <n v="360.1"/>
    <n v="329.42"/>
    <x v="1"/>
    <n v="58307.340000000004"/>
    <n v="-5430.3600000000015"/>
    <n v="1.945054945054945"/>
    <n v="0"/>
  </r>
  <r>
    <s v="P0045"/>
    <x v="5"/>
    <x v="1"/>
    <s v="S005"/>
    <d v="2023-11-24T00:00:00"/>
    <n v="83"/>
    <n v="178"/>
    <n v="438.64"/>
    <n v="180.92"/>
    <x v="2"/>
    <n v="15016.359999999999"/>
    <n v="-21390.760000000002"/>
    <n v="0.46629213483146065"/>
    <n v="0"/>
  </r>
  <r>
    <s v="P0065"/>
    <x v="5"/>
    <x v="1"/>
    <s v="S018"/>
    <d v="2022-11-20T00:00:00"/>
    <n v="139"/>
    <n v="55"/>
    <n v="498.56"/>
    <n v="372.04"/>
    <x v="4"/>
    <n v="51713.560000000005"/>
    <n v="-17586.28"/>
    <n v="2.5272727272727273"/>
    <n v="0"/>
  </r>
  <r>
    <s v="P0089"/>
    <x v="2"/>
    <x v="1"/>
    <s v="S005"/>
    <d v="2024-08-18T00:00:00"/>
    <n v="131"/>
    <n v="154"/>
    <n v="242.09"/>
    <n v="126.06"/>
    <x v="0"/>
    <n v="16513.86"/>
    <n v="-15199.93"/>
    <n v="0.85064935064935066"/>
    <n v="0"/>
  </r>
  <r>
    <s v="P0071"/>
    <x v="3"/>
    <x v="1"/>
    <s v="S003"/>
    <d v="2022-04-24T00:00:00"/>
    <n v="86"/>
    <n v="159"/>
    <n v="100.02"/>
    <n v="742.32"/>
    <x v="3"/>
    <n v="63839.520000000004"/>
    <n v="55237.8"/>
    <n v="0.54088050314465408"/>
    <n v="0"/>
  </r>
  <r>
    <s v="P0009"/>
    <x v="7"/>
    <x v="1"/>
    <s v="S005"/>
    <d v="2024-12-17T00:00:00"/>
    <n v="175"/>
    <n v="110"/>
    <n v="63.69"/>
    <n v="571.17999999999995"/>
    <x v="1"/>
    <n v="99956.499999999985"/>
    <n v="88810.749999999985"/>
    <n v="1.5909090909090908"/>
    <n v="0"/>
  </r>
  <r>
    <s v="P0088"/>
    <x v="4"/>
    <x v="2"/>
    <s v="S017"/>
    <d v="2022-06-03T00:00:00"/>
    <n v="182"/>
    <n v="136"/>
    <n v="377.09"/>
    <n v="793.52"/>
    <x v="4"/>
    <n v="144420.63999999998"/>
    <n v="75790.259999999995"/>
    <n v="1.338235294117647"/>
    <n v="0"/>
  </r>
  <r>
    <s v="P0129"/>
    <x v="3"/>
    <x v="0"/>
    <s v="S019"/>
    <d v="2022-11-11T00:00:00"/>
    <n v="111"/>
    <n v="231"/>
    <n v="443.31"/>
    <n v="717.98"/>
    <x v="2"/>
    <n v="79695.78"/>
    <n v="30488.370000000003"/>
    <n v="0.48051948051948051"/>
    <n v="0"/>
  </r>
  <r>
    <s v="P0136"/>
    <x v="4"/>
    <x v="2"/>
    <s v="S019"/>
    <d v="2024-11-30T00:00:00"/>
    <n v="128"/>
    <n v="219"/>
    <n v="149.32"/>
    <n v="431.09"/>
    <x v="3"/>
    <n v="55179.519999999997"/>
    <n v="36066.559999999998"/>
    <n v="0.58447488584474883"/>
    <n v="0"/>
  </r>
  <r>
    <s v="P0063"/>
    <x v="8"/>
    <x v="1"/>
    <s v="S012"/>
    <d v="2022-04-15T00:00:00"/>
    <n v="88"/>
    <n v="67"/>
    <n v="121.3"/>
    <n v="463.78"/>
    <x v="3"/>
    <n v="40812.639999999999"/>
    <n v="30138.239999999998"/>
    <n v="1.3134328358208955"/>
    <n v="0"/>
  </r>
  <r>
    <s v="P0139"/>
    <x v="0"/>
    <x v="3"/>
    <s v="S009"/>
    <d v="2022-12-20T00:00:00"/>
    <n v="65"/>
    <n v="248"/>
    <n v="77.989999999999995"/>
    <n v="233.4"/>
    <x v="4"/>
    <n v="15171"/>
    <n v="10101.650000000001"/>
    <n v="0.26209677419354838"/>
    <n v="0"/>
  </r>
  <r>
    <s v="P0081"/>
    <x v="0"/>
    <x v="3"/>
    <s v="S001"/>
    <d v="2024-10-12T00:00:00"/>
    <n v="157"/>
    <n v="5"/>
    <n v="420.22"/>
    <n v="423.43"/>
    <x v="2"/>
    <n v="66478.509999999995"/>
    <n v="503.96999999999679"/>
    <n v="31.4"/>
    <n v="0"/>
  </r>
  <r>
    <s v="P0136"/>
    <x v="9"/>
    <x v="1"/>
    <s v="S018"/>
    <d v="2024-01-03T00:00:00"/>
    <n v="130"/>
    <n v="279"/>
    <n v="190.12"/>
    <n v="732.12"/>
    <x v="1"/>
    <n v="95175.6"/>
    <n v="70460"/>
    <n v="0.46594982078853048"/>
    <n v="0"/>
  </r>
  <r>
    <s v="P0163"/>
    <x v="0"/>
    <x v="1"/>
    <s v="S004"/>
    <d v="2023-12-10T00:00:00"/>
    <n v="121"/>
    <n v="93"/>
    <n v="230.76"/>
    <n v="135.6"/>
    <x v="4"/>
    <n v="16407.599999999999"/>
    <n v="-11514.359999999999"/>
    <n v="1.3010752688172043"/>
    <n v="0"/>
  </r>
  <r>
    <s v="P0163"/>
    <x v="2"/>
    <x v="3"/>
    <s v="S010"/>
    <d v="2023-10-13T00:00:00"/>
    <n v="148"/>
    <n v="268"/>
    <n v="276.24"/>
    <n v="704.49"/>
    <x v="1"/>
    <n v="104264.52"/>
    <n v="63381"/>
    <n v="0.55223880597014929"/>
    <n v="0"/>
  </r>
  <r>
    <s v="P0033"/>
    <x v="6"/>
    <x v="2"/>
    <s v="S007"/>
    <d v="2024-04-03T00:00:00"/>
    <n v="83"/>
    <n v="196"/>
    <n v="427.75"/>
    <n v="338.66"/>
    <x v="3"/>
    <n v="28108.780000000002"/>
    <n v="-7394.4699999999975"/>
    <n v="0.42346938775510207"/>
    <n v="0"/>
  </r>
  <r>
    <s v="P0123"/>
    <x v="1"/>
    <x v="2"/>
    <s v="S001"/>
    <d v="2024-08-04T00:00:00"/>
    <n v="176"/>
    <n v="24"/>
    <n v="342.87"/>
    <n v="729.66"/>
    <x v="1"/>
    <n v="128420.15999999999"/>
    <n v="68075.039999999994"/>
    <n v="7.333333333333333"/>
    <n v="0"/>
  </r>
  <r>
    <s v="P0005"/>
    <x v="9"/>
    <x v="1"/>
    <s v="S017"/>
    <d v="2023-10-23T00:00:00"/>
    <n v="115"/>
    <n v="147"/>
    <n v="326.77999999999997"/>
    <n v="758.62"/>
    <x v="2"/>
    <n v="87241.3"/>
    <n v="49661.600000000006"/>
    <n v="0.78231292517006801"/>
    <n v="0"/>
  </r>
  <r>
    <s v="P0041"/>
    <x v="1"/>
    <x v="2"/>
    <s v="S002"/>
    <d v="2022-04-09T00:00:00"/>
    <n v="189"/>
    <n v="117"/>
    <n v="129.05000000000001"/>
    <n v="569.61"/>
    <x v="0"/>
    <n v="107656.29000000001"/>
    <n v="83265.84"/>
    <n v="1.6153846153846154"/>
    <n v="0"/>
  </r>
  <r>
    <s v="P0028"/>
    <x v="4"/>
    <x v="3"/>
    <s v="S011"/>
    <d v="2023-08-11T00:00:00"/>
    <n v="115"/>
    <n v="65"/>
    <n v="280.94"/>
    <n v="565.1"/>
    <x v="2"/>
    <n v="64986.5"/>
    <n v="32678.400000000001"/>
    <n v="1.7692307692307692"/>
    <n v="0"/>
  </r>
  <r>
    <s v="P0135"/>
    <x v="1"/>
    <x v="2"/>
    <s v="S009"/>
    <d v="2022-10-09T00:00:00"/>
    <n v="37"/>
    <n v="174"/>
    <n v="371.92"/>
    <n v="416.93"/>
    <x v="1"/>
    <n v="15426.41"/>
    <n v="1665.3699999999997"/>
    <n v="0.21264367816091953"/>
    <n v="0"/>
  </r>
  <r>
    <s v="P0072"/>
    <x v="1"/>
    <x v="1"/>
    <s v="S007"/>
    <d v="2023-02-07T00:00:00"/>
    <n v="142"/>
    <n v="75"/>
    <n v="487.97"/>
    <n v="684.88"/>
    <x v="4"/>
    <n v="97252.96"/>
    <n v="27961.219999999994"/>
    <n v="1.8933333333333333"/>
    <n v="0"/>
  </r>
  <r>
    <s v="P0012"/>
    <x v="9"/>
    <x v="3"/>
    <s v="S017"/>
    <d v="2023-12-01T00:00:00"/>
    <n v="109"/>
    <n v="113"/>
    <n v="140.63"/>
    <n v="773.13"/>
    <x v="3"/>
    <n v="84271.17"/>
    <n v="68942.5"/>
    <n v="0.96460176991150437"/>
    <n v="0"/>
  </r>
  <r>
    <s v="P0162"/>
    <x v="8"/>
    <x v="2"/>
    <s v="S017"/>
    <d v="2022-07-18T00:00:00"/>
    <n v="179"/>
    <n v="110"/>
    <n v="54.29"/>
    <n v="642.55999999999995"/>
    <x v="0"/>
    <n v="115018.23999999999"/>
    <n v="105300.33"/>
    <n v="1.6272727272727272"/>
    <n v="0"/>
  </r>
  <r>
    <s v="P0033"/>
    <x v="5"/>
    <x v="0"/>
    <s v="S002"/>
    <d v="2022-11-23T00:00:00"/>
    <n v="45"/>
    <n v="248"/>
    <n v="83.89"/>
    <n v="535.36"/>
    <x v="4"/>
    <n v="24091.200000000001"/>
    <n v="20316.150000000001"/>
    <n v="0.18145161290322581"/>
    <n v="0"/>
  </r>
  <r>
    <s v="P0048"/>
    <x v="0"/>
    <x v="3"/>
    <s v="S006"/>
    <d v="2022-06-03T00:00:00"/>
    <n v="24"/>
    <n v="202"/>
    <n v="219.13"/>
    <n v="524.76"/>
    <x v="4"/>
    <n v="12594.24"/>
    <n v="7335.12"/>
    <n v="0.11881188118811881"/>
    <n v="0"/>
  </r>
  <r>
    <s v="P0151"/>
    <x v="0"/>
    <x v="3"/>
    <s v="S014"/>
    <d v="2023-07-06T00:00:00"/>
    <n v="20"/>
    <n v="146"/>
    <n v="419.25"/>
    <n v="694.63"/>
    <x v="2"/>
    <n v="13892.6"/>
    <n v="5507.6"/>
    <n v="0.13698630136986301"/>
    <n v="0"/>
  </r>
  <r>
    <s v="P0062"/>
    <x v="2"/>
    <x v="0"/>
    <s v="S006"/>
    <d v="2023-02-09T00:00:00"/>
    <n v="120"/>
    <n v="34"/>
    <n v="53.21"/>
    <n v="478.84"/>
    <x v="1"/>
    <n v="57460.799999999996"/>
    <n v="51075.6"/>
    <n v="3.5294117647058822"/>
    <n v="0"/>
  </r>
  <r>
    <s v="P0037"/>
    <x v="9"/>
    <x v="0"/>
    <s v="S002"/>
    <d v="2023-04-07T00:00:00"/>
    <n v="121"/>
    <n v="25"/>
    <n v="255.53"/>
    <n v="662.7"/>
    <x v="2"/>
    <n v="80186.700000000012"/>
    <n v="49267.570000000007"/>
    <n v="4.84"/>
    <n v="0"/>
  </r>
  <r>
    <s v="P0099"/>
    <x v="2"/>
    <x v="3"/>
    <s v="S001"/>
    <d v="2022-05-12T00:00:00"/>
    <n v="132"/>
    <n v="237"/>
    <n v="198.15"/>
    <n v="456.22"/>
    <x v="1"/>
    <n v="60221.04"/>
    <n v="34065.240000000005"/>
    <n v="0.55696202531645567"/>
    <n v="0"/>
  </r>
  <r>
    <s v="P0172"/>
    <x v="6"/>
    <x v="0"/>
    <s v="S010"/>
    <d v="2024-03-01T00:00:00"/>
    <n v="69"/>
    <n v="13"/>
    <n v="73.62"/>
    <n v="143.71"/>
    <x v="2"/>
    <n v="9915.99"/>
    <n v="4836.21"/>
    <n v="5.3076923076923075"/>
    <n v="0"/>
  </r>
  <r>
    <s v="P0104"/>
    <x v="6"/>
    <x v="1"/>
    <s v="S005"/>
    <d v="2024-05-23T00:00:00"/>
    <n v="112"/>
    <n v="44"/>
    <n v="252.61"/>
    <n v="368.76"/>
    <x v="4"/>
    <n v="41301.119999999995"/>
    <n v="13008.799999999997"/>
    <n v="2.5454545454545454"/>
    <n v="0"/>
  </r>
  <r>
    <s v="P0035"/>
    <x v="2"/>
    <x v="1"/>
    <s v="S002"/>
    <d v="2022-03-25T00:00:00"/>
    <n v="106"/>
    <n v="215"/>
    <n v="164.64"/>
    <n v="411.11"/>
    <x v="3"/>
    <n v="43577.66"/>
    <n v="26125.820000000003"/>
    <n v="0.49302325581395351"/>
    <n v="0"/>
  </r>
  <r>
    <s v="P0193"/>
    <x v="9"/>
    <x v="1"/>
    <s v="S016"/>
    <d v="2024-01-24T00:00:00"/>
    <n v="111"/>
    <n v="232"/>
    <n v="208.35"/>
    <n v="199.13"/>
    <x v="1"/>
    <n v="22103.43"/>
    <n v="-1023.4199999999998"/>
    <n v="0.47844827586206895"/>
    <n v="0"/>
  </r>
  <r>
    <s v="P0101"/>
    <x v="2"/>
    <x v="3"/>
    <s v="S002"/>
    <d v="2023-09-20T00:00:00"/>
    <n v="107"/>
    <n v="192"/>
    <n v="367.53"/>
    <n v="171.75"/>
    <x v="0"/>
    <n v="18377.25"/>
    <n v="-20948.459999999995"/>
    <n v="0.55729166666666663"/>
    <n v="0"/>
  </r>
  <r>
    <s v="P0175"/>
    <x v="0"/>
    <x v="0"/>
    <s v="S010"/>
    <d v="2022-08-09T00:00:00"/>
    <n v="46"/>
    <n v="50"/>
    <n v="284.7"/>
    <n v="474.83"/>
    <x v="0"/>
    <n v="21842.18"/>
    <n v="8745.98"/>
    <n v="0.92"/>
    <n v="0"/>
  </r>
  <r>
    <s v="P0131"/>
    <x v="3"/>
    <x v="0"/>
    <s v="S002"/>
    <d v="2023-07-07T00:00:00"/>
    <n v="195"/>
    <n v="213"/>
    <n v="106.09"/>
    <n v="159.6"/>
    <x v="4"/>
    <n v="31122"/>
    <n v="10434.449999999999"/>
    <n v="0.91549295774647887"/>
    <n v="0"/>
  </r>
  <r>
    <s v="P0001"/>
    <x v="7"/>
    <x v="2"/>
    <s v="S016"/>
    <d v="2022-04-22T00:00:00"/>
    <n v="90"/>
    <n v="150"/>
    <n v="482.64"/>
    <n v="312.06"/>
    <x v="2"/>
    <n v="28085.4"/>
    <n v="-15352.199999999999"/>
    <n v="0.6"/>
    <n v="0"/>
  </r>
  <r>
    <s v="P0005"/>
    <x v="1"/>
    <x v="2"/>
    <s v="S016"/>
    <d v="2023-09-07T00:00:00"/>
    <n v="17"/>
    <n v="274"/>
    <n v="336.16"/>
    <n v="621.22"/>
    <x v="2"/>
    <n v="10560.74"/>
    <n v="4846.0200000000004"/>
    <n v="6.2043795620437957E-2"/>
    <n v="0"/>
  </r>
  <r>
    <s v="P0142"/>
    <x v="7"/>
    <x v="0"/>
    <s v="S019"/>
    <d v="2024-07-12T00:00:00"/>
    <n v="148"/>
    <n v="75"/>
    <n v="394.64"/>
    <n v="775.1"/>
    <x v="4"/>
    <n v="114714.8"/>
    <n v="56308.08"/>
    <n v="1.9733333333333334"/>
    <n v="0"/>
  </r>
  <r>
    <s v="P0103"/>
    <x v="9"/>
    <x v="0"/>
    <s v="S007"/>
    <d v="2023-04-20T00:00:00"/>
    <n v="103"/>
    <n v="219"/>
    <n v="85.65"/>
    <n v="602.51"/>
    <x v="0"/>
    <n v="62058.53"/>
    <n v="53236.58"/>
    <n v="0.47031963470319632"/>
    <n v="0"/>
  </r>
  <r>
    <s v="P0027"/>
    <x v="7"/>
    <x v="0"/>
    <s v="S012"/>
    <d v="2024-04-15T00:00:00"/>
    <n v="150"/>
    <n v="186"/>
    <n v="71.180000000000007"/>
    <n v="794.84"/>
    <x v="0"/>
    <n v="119226"/>
    <n v="108549.00000000001"/>
    <n v="0.80645161290322576"/>
    <n v="0"/>
  </r>
  <r>
    <s v="P0137"/>
    <x v="6"/>
    <x v="3"/>
    <s v="S015"/>
    <d v="2022-09-28T00:00:00"/>
    <n v="191"/>
    <n v="288"/>
    <n v="58.75"/>
    <n v="588.84"/>
    <x v="2"/>
    <n v="112468.44"/>
    <n v="101247.19"/>
    <n v="0.66319444444444442"/>
    <n v="0"/>
  </r>
  <r>
    <s v="P0015"/>
    <x v="4"/>
    <x v="0"/>
    <s v="S008"/>
    <d v="2023-02-25T00:00:00"/>
    <n v="194"/>
    <n v="27"/>
    <n v="134.96"/>
    <n v="305.66000000000003"/>
    <x v="1"/>
    <n v="59298.040000000008"/>
    <n v="33115.800000000003"/>
    <n v="7.1851851851851851"/>
    <n v="0"/>
  </r>
  <r>
    <s v="P0090"/>
    <x v="1"/>
    <x v="2"/>
    <s v="S006"/>
    <d v="2023-12-08T00:00:00"/>
    <n v="39"/>
    <n v="179"/>
    <n v="236.48"/>
    <n v="570.44000000000005"/>
    <x v="3"/>
    <n v="22247.160000000003"/>
    <n v="13024.440000000002"/>
    <n v="0.21787709497206703"/>
    <n v="0"/>
  </r>
  <r>
    <s v="P0042"/>
    <x v="5"/>
    <x v="3"/>
    <s v="S010"/>
    <d v="2022-02-09T00:00:00"/>
    <n v="137"/>
    <n v="252"/>
    <n v="471.12"/>
    <n v="591.51"/>
    <x v="1"/>
    <n v="81036.87"/>
    <n v="16493.429999999997"/>
    <n v="0.54365079365079361"/>
    <n v="0"/>
  </r>
  <r>
    <s v="P0124"/>
    <x v="9"/>
    <x v="0"/>
    <s v="S003"/>
    <d v="2022-07-08T00:00:00"/>
    <n v="88"/>
    <n v="125"/>
    <n v="255.68"/>
    <n v="360.21"/>
    <x v="0"/>
    <n v="31698.48"/>
    <n v="9198.6399999999976"/>
    <n v="0.70399999999999996"/>
    <n v="0"/>
  </r>
  <r>
    <s v="P0179"/>
    <x v="1"/>
    <x v="2"/>
    <s v="S019"/>
    <d v="2024-09-20T00:00:00"/>
    <n v="179"/>
    <n v="176"/>
    <n v="180.61"/>
    <n v="112.4"/>
    <x v="1"/>
    <n v="20119.600000000002"/>
    <n v="-12209.590000000002"/>
    <n v="1.0170454545454546"/>
    <n v="0"/>
  </r>
  <r>
    <s v="P0063"/>
    <x v="7"/>
    <x v="3"/>
    <s v="S017"/>
    <d v="2023-06-20T00:00:00"/>
    <n v="199"/>
    <n v="36"/>
    <n v="302.87"/>
    <n v="592.24"/>
    <x v="3"/>
    <n v="117855.76"/>
    <n v="57584.63"/>
    <n v="5.5277777777777777"/>
    <n v="0"/>
  </r>
  <r>
    <s v="P0096"/>
    <x v="6"/>
    <x v="0"/>
    <s v="S007"/>
    <d v="2024-10-24T00:00:00"/>
    <n v="60"/>
    <n v="98"/>
    <n v="100.37"/>
    <n v="115.19"/>
    <x v="1"/>
    <n v="6911.4"/>
    <n v="889.19999999999959"/>
    <n v="0.61224489795918369"/>
    <n v="0"/>
  </r>
  <r>
    <s v="P0052"/>
    <x v="8"/>
    <x v="0"/>
    <s v="S020"/>
    <d v="2022-10-17T00:00:00"/>
    <n v="191"/>
    <n v="97"/>
    <n v="324.27999999999997"/>
    <n v="541.83000000000004"/>
    <x v="1"/>
    <n v="103489.53000000001"/>
    <n v="41552.05000000001"/>
    <n v="1.9690721649484537"/>
    <n v="0"/>
  </r>
  <r>
    <s v="P0096"/>
    <x v="3"/>
    <x v="0"/>
    <s v="S004"/>
    <d v="2023-03-09T00:00:00"/>
    <n v="4"/>
    <n v="126"/>
    <n v="305.79000000000002"/>
    <n v="214.53"/>
    <x v="1"/>
    <n v="858.12"/>
    <n v="-365.04000000000008"/>
    <n v="3.1746031746031744E-2"/>
    <n v="0"/>
  </r>
  <r>
    <s v="P0132"/>
    <x v="5"/>
    <x v="3"/>
    <s v="S014"/>
    <d v="2023-04-16T00:00:00"/>
    <n v="121"/>
    <n v="167"/>
    <n v="406.4"/>
    <n v="495.92"/>
    <x v="1"/>
    <n v="60006.32"/>
    <n v="10831.920000000006"/>
    <n v="0.72455089820359286"/>
    <n v="0"/>
  </r>
  <r>
    <s v="P0151"/>
    <x v="3"/>
    <x v="2"/>
    <s v="S020"/>
    <d v="2023-09-20T00:00:00"/>
    <n v="180"/>
    <n v="79"/>
    <n v="494.01"/>
    <n v="452.74"/>
    <x v="4"/>
    <n v="81493.2"/>
    <n v="-7428.5999999999967"/>
    <n v="2.278481012658228"/>
    <n v="0"/>
  </r>
  <r>
    <s v="P0143"/>
    <x v="1"/>
    <x v="2"/>
    <s v="S015"/>
    <d v="2022-10-06T00:00:00"/>
    <n v="54"/>
    <n v="293"/>
    <n v="162.88999999999999"/>
    <n v="109.46"/>
    <x v="0"/>
    <n v="5910.8399999999992"/>
    <n v="-2885.22"/>
    <n v="0.18430034129692832"/>
    <n v="0"/>
  </r>
  <r>
    <s v="P0171"/>
    <x v="6"/>
    <x v="1"/>
    <s v="S008"/>
    <d v="2024-05-26T00:00:00"/>
    <n v="36"/>
    <n v="125"/>
    <n v="279.35000000000002"/>
    <n v="354.01"/>
    <x v="3"/>
    <n v="12744.36"/>
    <n v="2687.7599999999989"/>
    <n v="0.28799999999999998"/>
    <n v="0"/>
  </r>
  <r>
    <s v="P0029"/>
    <x v="6"/>
    <x v="0"/>
    <s v="S015"/>
    <d v="2023-08-04T00:00:00"/>
    <n v="55"/>
    <n v="149"/>
    <n v="458.99"/>
    <n v="520.76"/>
    <x v="0"/>
    <n v="28641.8"/>
    <n v="3397.349999999999"/>
    <n v="0.36912751677852351"/>
    <n v="0"/>
  </r>
  <r>
    <s v="P0036"/>
    <x v="7"/>
    <x v="1"/>
    <s v="S020"/>
    <d v="2024-05-12T00:00:00"/>
    <n v="186"/>
    <n v="15"/>
    <n v="403.34"/>
    <n v="694.02"/>
    <x v="4"/>
    <n v="129087.72"/>
    <n v="54066.48"/>
    <n v="12.4"/>
    <n v="0"/>
  </r>
  <r>
    <s v="P0013"/>
    <x v="0"/>
    <x v="1"/>
    <s v="S014"/>
    <d v="2022-09-11T00:00:00"/>
    <n v="101"/>
    <n v="27"/>
    <n v="269.33"/>
    <n v="722.05"/>
    <x v="4"/>
    <n v="72927.049999999988"/>
    <n v="45724.719999999994"/>
    <n v="3.7407407407407409"/>
    <n v="0"/>
  </r>
  <r>
    <s v="P0160"/>
    <x v="7"/>
    <x v="2"/>
    <s v="S009"/>
    <d v="2022-06-30T00:00:00"/>
    <n v="92"/>
    <n v="172"/>
    <n v="475.42"/>
    <n v="438.69"/>
    <x v="4"/>
    <n v="40359.480000000003"/>
    <n v="-3379.1600000000017"/>
    <n v="0.53488372093023251"/>
    <n v="0"/>
  </r>
  <r>
    <s v="P0071"/>
    <x v="0"/>
    <x v="3"/>
    <s v="S008"/>
    <d v="2023-11-12T00:00:00"/>
    <n v="196"/>
    <n v="45"/>
    <n v="75.760000000000005"/>
    <n v="609.9"/>
    <x v="4"/>
    <n v="119540.4"/>
    <n v="104691.44"/>
    <n v="4.3555555555555552"/>
    <n v="0"/>
  </r>
  <r>
    <s v="P0187"/>
    <x v="0"/>
    <x v="3"/>
    <s v="S017"/>
    <d v="2024-04-04T00:00:00"/>
    <n v="72"/>
    <n v="235"/>
    <n v="468.95"/>
    <n v="321.52"/>
    <x v="1"/>
    <n v="23149.439999999999"/>
    <n v="-10614.960000000001"/>
    <n v="0.30638297872340425"/>
    <n v="0"/>
  </r>
  <r>
    <s v="P0086"/>
    <x v="5"/>
    <x v="2"/>
    <s v="S002"/>
    <d v="2023-12-01T00:00:00"/>
    <n v="58"/>
    <n v="213"/>
    <n v="72.73"/>
    <n v="339.53"/>
    <x v="0"/>
    <n v="19692.739999999998"/>
    <n v="15474.399999999998"/>
    <n v="0.27230046948356806"/>
    <n v="0"/>
  </r>
  <r>
    <s v="P0028"/>
    <x v="7"/>
    <x v="3"/>
    <s v="S003"/>
    <d v="2023-07-20T00:00:00"/>
    <n v="1"/>
    <n v="84"/>
    <n v="296.29000000000002"/>
    <n v="236.12"/>
    <x v="2"/>
    <n v="236.12"/>
    <n v="-60.170000000000016"/>
    <n v="1.1904761904761904E-2"/>
    <n v="0"/>
  </r>
  <r>
    <s v="P0066"/>
    <x v="8"/>
    <x v="1"/>
    <s v="S008"/>
    <d v="2023-11-11T00:00:00"/>
    <n v="192"/>
    <n v="281"/>
    <n v="450.7"/>
    <n v="493.36"/>
    <x v="3"/>
    <n v="94725.119999999995"/>
    <n v="8190.7200000000048"/>
    <n v="0.68327402135231319"/>
    <n v="0"/>
  </r>
  <r>
    <s v="P0170"/>
    <x v="2"/>
    <x v="0"/>
    <s v="S012"/>
    <d v="2023-01-26T00:00:00"/>
    <n v="103"/>
    <n v="231"/>
    <n v="168.22"/>
    <n v="320.19"/>
    <x v="4"/>
    <n v="32979.57"/>
    <n v="15652.91"/>
    <n v="0.44588744588744589"/>
    <n v="0"/>
  </r>
  <r>
    <s v="P0045"/>
    <x v="2"/>
    <x v="2"/>
    <s v="S001"/>
    <d v="2022-07-31T00:00:00"/>
    <n v="187"/>
    <n v="84"/>
    <n v="262.51"/>
    <n v="159.06"/>
    <x v="0"/>
    <n v="29744.22"/>
    <n v="-19345.149999999998"/>
    <n v="2.2261904761904763"/>
    <n v="0"/>
  </r>
  <r>
    <s v="P0062"/>
    <x v="7"/>
    <x v="0"/>
    <s v="S010"/>
    <d v="2023-01-19T00:00:00"/>
    <n v="50"/>
    <n v="64"/>
    <n v="195.95"/>
    <n v="579.5"/>
    <x v="4"/>
    <n v="28975"/>
    <n v="19177.5"/>
    <n v="0.78125"/>
    <n v="0"/>
  </r>
  <r>
    <s v="P0185"/>
    <x v="7"/>
    <x v="3"/>
    <s v="S020"/>
    <d v="2022-12-08T00:00:00"/>
    <n v="29"/>
    <n v="133"/>
    <n v="478.46"/>
    <n v="595.42999999999995"/>
    <x v="4"/>
    <n v="17267.469999999998"/>
    <n v="3392.1299999999992"/>
    <n v="0.21804511278195488"/>
    <n v="0"/>
  </r>
  <r>
    <s v="P0134"/>
    <x v="3"/>
    <x v="0"/>
    <s v="S003"/>
    <d v="2024-04-23T00:00:00"/>
    <n v="10"/>
    <n v="150"/>
    <n v="420.64"/>
    <n v="351.99"/>
    <x v="4"/>
    <n v="3519.9"/>
    <n v="-686.49999999999977"/>
    <n v="6.6666666666666666E-2"/>
    <n v="0"/>
  </r>
  <r>
    <s v="P0028"/>
    <x v="5"/>
    <x v="3"/>
    <s v="S006"/>
    <d v="2024-11-27T00:00:00"/>
    <n v="107"/>
    <n v="114"/>
    <n v="369.05"/>
    <n v="153.71"/>
    <x v="4"/>
    <n v="16446.97"/>
    <n v="-23041.38"/>
    <n v="0.93859649122807021"/>
    <n v="0"/>
  </r>
  <r>
    <s v="P0028"/>
    <x v="7"/>
    <x v="3"/>
    <s v="S007"/>
    <d v="2023-02-24T00:00:00"/>
    <n v="75"/>
    <n v="63"/>
    <n v="314.43"/>
    <n v="398.41"/>
    <x v="4"/>
    <n v="29880.750000000004"/>
    <n v="6298.5000000000018"/>
    <n v="1.1904761904761905"/>
    <n v="0"/>
  </r>
  <r>
    <s v="P0108"/>
    <x v="3"/>
    <x v="1"/>
    <s v="S020"/>
    <d v="2024-01-21T00:00:00"/>
    <n v="166"/>
    <n v="157"/>
    <n v="419.27"/>
    <n v="409.63"/>
    <x v="3"/>
    <n v="67998.58"/>
    <n v="-1600.2399999999977"/>
    <n v="1.0573248407643312"/>
    <n v="0"/>
  </r>
  <r>
    <s v="P0044"/>
    <x v="0"/>
    <x v="3"/>
    <s v="S018"/>
    <d v="2022-11-02T00:00:00"/>
    <n v="89"/>
    <n v="76"/>
    <n v="226.52"/>
    <n v="568.07000000000005"/>
    <x v="0"/>
    <n v="50558.23"/>
    <n v="30397.950000000004"/>
    <n v="1.1710526315789473"/>
    <n v="0"/>
  </r>
  <r>
    <s v="P0084"/>
    <x v="6"/>
    <x v="1"/>
    <s v="S011"/>
    <d v="2023-12-03T00:00:00"/>
    <n v="122"/>
    <n v="145"/>
    <n v="251.4"/>
    <n v="320.79000000000002"/>
    <x v="4"/>
    <n v="39136.380000000005"/>
    <n v="8465.5800000000017"/>
    <n v="0.8413793103448276"/>
    <n v="0"/>
  </r>
  <r>
    <s v="P0030"/>
    <x v="6"/>
    <x v="1"/>
    <s v="S019"/>
    <d v="2024-05-18T00:00:00"/>
    <n v="199"/>
    <n v="224"/>
    <n v="378.5"/>
    <n v="577.82000000000005"/>
    <x v="4"/>
    <n v="114986.18000000001"/>
    <n v="39664.680000000008"/>
    <n v="0.8883928571428571"/>
    <n v="0"/>
  </r>
  <r>
    <s v="P0190"/>
    <x v="0"/>
    <x v="1"/>
    <s v="S005"/>
    <d v="2023-06-21T00:00:00"/>
    <n v="190"/>
    <n v="102"/>
    <n v="210.99"/>
    <n v="710.04"/>
    <x v="4"/>
    <n v="134907.6"/>
    <n v="94819.499999999985"/>
    <n v="1.8627450980392157"/>
    <n v="0"/>
  </r>
  <r>
    <s v="P0075"/>
    <x v="9"/>
    <x v="2"/>
    <s v="S019"/>
    <d v="2022-07-25T00:00:00"/>
    <n v="191"/>
    <n v="87"/>
    <n v="78.760000000000005"/>
    <n v="266.24"/>
    <x v="4"/>
    <n v="50851.840000000004"/>
    <n v="35808.68"/>
    <n v="2.1954022988505746"/>
    <n v="0"/>
  </r>
  <r>
    <s v="P0128"/>
    <x v="3"/>
    <x v="2"/>
    <s v="S011"/>
    <d v="2023-05-11T00:00:00"/>
    <n v="188"/>
    <n v="167"/>
    <n v="83.45"/>
    <n v="785.24"/>
    <x v="1"/>
    <n v="147625.12"/>
    <n v="131936.51999999999"/>
    <n v="1.125748502994012"/>
    <n v="0"/>
  </r>
  <r>
    <s v="P0092"/>
    <x v="3"/>
    <x v="3"/>
    <s v="S012"/>
    <d v="2024-12-06T00:00:00"/>
    <n v="124"/>
    <n v="169"/>
    <n v="101.91"/>
    <n v="370.46"/>
    <x v="1"/>
    <n v="45937.04"/>
    <n v="33300.199999999997"/>
    <n v="0.73372781065088755"/>
    <n v="0"/>
  </r>
  <r>
    <s v="P0190"/>
    <x v="0"/>
    <x v="1"/>
    <s v="S010"/>
    <d v="2023-05-19T00:00:00"/>
    <n v="181"/>
    <n v="134"/>
    <n v="441.36"/>
    <n v="287.08"/>
    <x v="2"/>
    <n v="51961.479999999996"/>
    <n v="-27924.680000000004"/>
    <n v="1.3507462686567164"/>
    <n v="0"/>
  </r>
  <r>
    <s v="P0129"/>
    <x v="8"/>
    <x v="2"/>
    <s v="S008"/>
    <d v="2024-11-11T00:00:00"/>
    <n v="121"/>
    <n v="49"/>
    <n v="262.5"/>
    <n v="395.06"/>
    <x v="4"/>
    <n v="47802.26"/>
    <n v="16039.76"/>
    <n v="2.4693877551020407"/>
    <n v="0"/>
  </r>
  <r>
    <s v="P0121"/>
    <x v="4"/>
    <x v="1"/>
    <s v="S009"/>
    <d v="2022-08-01T00:00:00"/>
    <n v="93"/>
    <n v="133"/>
    <n v="370.8"/>
    <n v="166.08"/>
    <x v="2"/>
    <n v="15445.44"/>
    <n v="-19038.96"/>
    <n v="0.6992481203007519"/>
    <n v="0"/>
  </r>
  <r>
    <s v="P0027"/>
    <x v="1"/>
    <x v="0"/>
    <s v="S004"/>
    <d v="2022-11-06T00:00:00"/>
    <n v="102"/>
    <n v="136"/>
    <n v="226.81"/>
    <n v="187.99"/>
    <x v="3"/>
    <n v="19174.98"/>
    <n v="-3959.6399999999994"/>
    <n v="0.75"/>
    <n v="0"/>
  </r>
  <r>
    <s v="P0190"/>
    <x v="0"/>
    <x v="0"/>
    <s v="S005"/>
    <d v="2023-10-23T00:00:00"/>
    <n v="185"/>
    <n v="244"/>
    <n v="166.42"/>
    <n v="390.1"/>
    <x v="2"/>
    <n v="72168.5"/>
    <n v="41380.800000000003"/>
    <n v="0.75819672131147542"/>
    <n v="0"/>
  </r>
  <r>
    <s v="P0121"/>
    <x v="7"/>
    <x v="0"/>
    <s v="S008"/>
    <d v="2024-01-23T00:00:00"/>
    <n v="183"/>
    <n v="108"/>
    <n v="206.24"/>
    <n v="633.71"/>
    <x v="0"/>
    <n v="115968.93000000001"/>
    <n v="78227.010000000009"/>
    <n v="1.6944444444444444"/>
    <n v="0"/>
  </r>
  <r>
    <s v="P0116"/>
    <x v="7"/>
    <x v="3"/>
    <s v="S009"/>
    <d v="2022-09-29T00:00:00"/>
    <n v="161"/>
    <n v="286"/>
    <n v="407.38"/>
    <n v="730.22"/>
    <x v="1"/>
    <n v="117565.42"/>
    <n v="51977.240000000005"/>
    <n v="0.56293706293706292"/>
    <n v="0"/>
  </r>
  <r>
    <s v="P0003"/>
    <x v="5"/>
    <x v="1"/>
    <s v="S015"/>
    <d v="2024-07-26T00:00:00"/>
    <n v="30"/>
    <n v="20"/>
    <n v="331.35"/>
    <n v="565.37"/>
    <x v="1"/>
    <n v="16961.099999999999"/>
    <n v="7020.5999999999995"/>
    <n v="1.5"/>
    <n v="0"/>
  </r>
  <r>
    <s v="P0103"/>
    <x v="0"/>
    <x v="0"/>
    <s v="S015"/>
    <d v="2022-02-01T00:00:00"/>
    <n v="51"/>
    <n v="89"/>
    <n v="471.94"/>
    <n v="173.65"/>
    <x v="4"/>
    <n v="8856.15"/>
    <n v="-15212.789999999997"/>
    <n v="0.5730337078651685"/>
    <n v="0"/>
  </r>
  <r>
    <s v="P0198"/>
    <x v="5"/>
    <x v="2"/>
    <s v="S016"/>
    <d v="2023-03-19T00:00:00"/>
    <n v="88"/>
    <n v="295"/>
    <n v="355.87"/>
    <n v="570.41"/>
    <x v="4"/>
    <n v="50196.079999999994"/>
    <n v="18879.519999999997"/>
    <n v="0.29830508474576273"/>
    <n v="0"/>
  </r>
  <r>
    <s v="P0200"/>
    <x v="0"/>
    <x v="0"/>
    <s v="S014"/>
    <d v="2022-06-11T00:00:00"/>
    <n v="75"/>
    <n v="111"/>
    <n v="306.58"/>
    <n v="544.79999999999995"/>
    <x v="3"/>
    <n v="40860"/>
    <n v="17866.499999999996"/>
    <n v="0.67567567567567566"/>
    <n v="0"/>
  </r>
  <r>
    <s v="P0155"/>
    <x v="3"/>
    <x v="0"/>
    <s v="S008"/>
    <d v="2024-02-06T00:00:00"/>
    <n v="128"/>
    <n v="76"/>
    <n v="324.58999999999997"/>
    <n v="664.03"/>
    <x v="3"/>
    <n v="84995.839999999997"/>
    <n v="43448.32"/>
    <n v="1.6842105263157894"/>
    <n v="0"/>
  </r>
  <r>
    <s v="P0137"/>
    <x v="1"/>
    <x v="0"/>
    <s v="S018"/>
    <d v="2022-09-11T00:00:00"/>
    <n v="182"/>
    <n v="176"/>
    <n v="474.07"/>
    <n v="677.67"/>
    <x v="0"/>
    <n v="123335.93999999999"/>
    <n v="37055.199999999997"/>
    <n v="1.0340909090909092"/>
    <n v="0"/>
  </r>
  <r>
    <s v="P0062"/>
    <x v="3"/>
    <x v="3"/>
    <s v="S010"/>
    <d v="2023-06-05T00:00:00"/>
    <n v="21"/>
    <n v="147"/>
    <n v="404.69"/>
    <n v="707.74"/>
    <x v="4"/>
    <n v="14862.54"/>
    <n v="6364.05"/>
    <n v="0.14285714285714285"/>
    <n v="0"/>
  </r>
  <r>
    <s v="P0165"/>
    <x v="4"/>
    <x v="2"/>
    <s v="S020"/>
    <d v="2024-09-03T00:00:00"/>
    <n v="39"/>
    <n v="100"/>
    <n v="60.82"/>
    <n v="389.89"/>
    <x v="4"/>
    <n v="15205.71"/>
    <n v="12833.73"/>
    <n v="0.39"/>
    <n v="0"/>
  </r>
  <r>
    <s v="P0051"/>
    <x v="6"/>
    <x v="1"/>
    <s v="S006"/>
    <d v="2022-01-10T00:00:00"/>
    <n v="100"/>
    <n v="245"/>
    <n v="290.36"/>
    <n v="588.51"/>
    <x v="3"/>
    <n v="58851"/>
    <n v="29814.999999999996"/>
    <n v="0.40816326530612246"/>
    <n v="0"/>
  </r>
  <r>
    <s v="P0172"/>
    <x v="2"/>
    <x v="2"/>
    <s v="S012"/>
    <d v="2023-12-27T00:00:00"/>
    <n v="110"/>
    <n v="116"/>
    <n v="359.75"/>
    <n v="287.77999999999997"/>
    <x v="3"/>
    <n v="31655.799999999996"/>
    <n v="-7916.7000000000025"/>
    <n v="0.94827586206896552"/>
    <n v="0"/>
  </r>
  <r>
    <s v="P0152"/>
    <x v="0"/>
    <x v="1"/>
    <s v="S002"/>
    <d v="2023-05-20T00:00:00"/>
    <n v="128"/>
    <n v="91"/>
    <n v="386.91"/>
    <n v="799.54"/>
    <x v="3"/>
    <n v="102341.12"/>
    <n v="52816.639999999992"/>
    <n v="1.4065934065934067"/>
    <n v="0"/>
  </r>
  <r>
    <s v="P0059"/>
    <x v="4"/>
    <x v="3"/>
    <s v="S007"/>
    <d v="2024-02-24T00:00:00"/>
    <n v="64"/>
    <n v="27"/>
    <n v="145.91"/>
    <n v="222.73"/>
    <x v="1"/>
    <n v="14254.72"/>
    <n v="4916.4799999999996"/>
    <n v="2.3703703703703702"/>
    <n v="0"/>
  </r>
  <r>
    <s v="P0118"/>
    <x v="6"/>
    <x v="3"/>
    <s v="S016"/>
    <d v="2023-03-12T00:00:00"/>
    <n v="190"/>
    <n v="24"/>
    <n v="440.23"/>
    <n v="107.08"/>
    <x v="2"/>
    <n v="20345.2"/>
    <n v="-63298.500000000007"/>
    <n v="7.916666666666667"/>
    <n v="0"/>
  </r>
  <r>
    <s v="P0160"/>
    <x v="9"/>
    <x v="3"/>
    <s v="S003"/>
    <d v="2022-06-02T00:00:00"/>
    <n v="181"/>
    <n v="57"/>
    <n v="480.13"/>
    <n v="204.17"/>
    <x v="2"/>
    <n v="36954.769999999997"/>
    <n v="-49948.760000000009"/>
    <n v="3.1754385964912282"/>
    <n v="0"/>
  </r>
  <r>
    <s v="P0096"/>
    <x v="1"/>
    <x v="3"/>
    <s v="S013"/>
    <d v="2024-07-05T00:00:00"/>
    <n v="169"/>
    <n v="296"/>
    <n v="156.52000000000001"/>
    <n v="643.11"/>
    <x v="4"/>
    <n v="108685.59"/>
    <n v="82233.710000000006"/>
    <n v="0.57094594594594594"/>
    <n v="0"/>
  </r>
  <r>
    <s v="P0180"/>
    <x v="5"/>
    <x v="1"/>
    <s v="S003"/>
    <d v="2024-05-18T00:00:00"/>
    <n v="148"/>
    <n v="133"/>
    <n v="447.18"/>
    <n v="412.75"/>
    <x v="1"/>
    <n v="61087"/>
    <n v="-5095.6400000000012"/>
    <n v="1.112781954887218"/>
    <n v="0"/>
  </r>
  <r>
    <s v="P0113"/>
    <x v="5"/>
    <x v="0"/>
    <s v="S018"/>
    <d v="2024-01-23T00:00:00"/>
    <n v="78"/>
    <n v="248"/>
    <n v="93.64"/>
    <n v="413.25"/>
    <x v="3"/>
    <n v="32233.5"/>
    <n v="24929.58"/>
    <n v="0.31451612903225806"/>
    <n v="0"/>
  </r>
  <r>
    <s v="P0062"/>
    <x v="3"/>
    <x v="1"/>
    <s v="S011"/>
    <d v="2023-07-17T00:00:00"/>
    <n v="21"/>
    <n v="37"/>
    <n v="75.069999999999993"/>
    <n v="768.52"/>
    <x v="4"/>
    <n v="16138.92"/>
    <n v="14562.45"/>
    <n v="0.56756756756756754"/>
    <n v="0"/>
  </r>
  <r>
    <s v="P0186"/>
    <x v="7"/>
    <x v="2"/>
    <s v="S008"/>
    <d v="2023-05-04T00:00:00"/>
    <n v="165"/>
    <n v="74"/>
    <n v="108.15"/>
    <n v="743.74"/>
    <x v="1"/>
    <n v="122717.1"/>
    <n v="104872.35"/>
    <n v="2.2297297297297298"/>
    <n v="0"/>
  </r>
  <r>
    <s v="P0052"/>
    <x v="6"/>
    <x v="3"/>
    <s v="S006"/>
    <d v="2024-06-13T00:00:00"/>
    <n v="98"/>
    <n v="141"/>
    <n v="75.98"/>
    <n v="317.83999999999997"/>
    <x v="0"/>
    <n v="31148.319999999996"/>
    <n v="23702.279999999995"/>
    <n v="0.69503546099290781"/>
    <n v="0"/>
  </r>
  <r>
    <s v="P0012"/>
    <x v="9"/>
    <x v="3"/>
    <s v="S001"/>
    <d v="2022-04-14T00:00:00"/>
    <n v="7"/>
    <n v="167"/>
    <n v="430.26"/>
    <n v="246.34"/>
    <x v="1"/>
    <n v="1724.38"/>
    <n v="-1287.4399999999998"/>
    <n v="4.1916167664670656E-2"/>
    <n v="0"/>
  </r>
  <r>
    <s v="P0039"/>
    <x v="4"/>
    <x v="2"/>
    <s v="S001"/>
    <d v="2024-10-21T00:00:00"/>
    <n v="189"/>
    <n v="258"/>
    <n v="76.569999999999993"/>
    <n v="693.94"/>
    <x v="4"/>
    <n v="131154.66"/>
    <n v="116682.93000000002"/>
    <n v="0.73255813953488369"/>
    <n v="0"/>
  </r>
  <r>
    <s v="P0130"/>
    <x v="1"/>
    <x v="1"/>
    <s v="S008"/>
    <d v="2024-10-03T00:00:00"/>
    <n v="174"/>
    <n v="224"/>
    <n v="172.25"/>
    <n v="734.21"/>
    <x v="2"/>
    <n v="127752.54000000001"/>
    <n v="97781.040000000008"/>
    <n v="0.7767857142857143"/>
    <n v="0"/>
  </r>
  <r>
    <s v="P0131"/>
    <x v="6"/>
    <x v="0"/>
    <s v="S005"/>
    <d v="2023-02-11T00:00:00"/>
    <n v="16"/>
    <n v="151"/>
    <n v="96.69"/>
    <n v="479.12"/>
    <x v="3"/>
    <n v="7665.92"/>
    <n v="6118.88"/>
    <n v="0.10596026490066225"/>
    <n v="0"/>
  </r>
  <r>
    <s v="P0113"/>
    <x v="9"/>
    <x v="0"/>
    <s v="S016"/>
    <d v="2022-06-16T00:00:00"/>
    <n v="16"/>
    <n v="18"/>
    <n v="182.94"/>
    <n v="540.6"/>
    <x v="0"/>
    <n v="8649.6"/>
    <n v="5722.56"/>
    <n v="0.88888888888888884"/>
    <n v="0"/>
  </r>
  <r>
    <s v="P0101"/>
    <x v="2"/>
    <x v="2"/>
    <s v="S011"/>
    <d v="2023-05-24T00:00:00"/>
    <n v="89"/>
    <n v="145"/>
    <n v="90.75"/>
    <n v="279.83999999999997"/>
    <x v="1"/>
    <n v="24905.759999999998"/>
    <n v="16829.009999999998"/>
    <n v="0.61379310344827587"/>
    <n v="0"/>
  </r>
  <r>
    <s v="P0113"/>
    <x v="0"/>
    <x v="0"/>
    <s v="S005"/>
    <d v="2022-11-09T00:00:00"/>
    <n v="140"/>
    <n v="240"/>
    <n v="350.6"/>
    <n v="660.56"/>
    <x v="4"/>
    <n v="92478.399999999994"/>
    <n v="43394.399999999987"/>
    <n v="0.58333333333333337"/>
    <n v="0"/>
  </r>
  <r>
    <s v="P0184"/>
    <x v="5"/>
    <x v="1"/>
    <s v="S004"/>
    <d v="2024-02-02T00:00:00"/>
    <n v="144"/>
    <n v="236"/>
    <n v="110"/>
    <n v="542.49"/>
    <x v="4"/>
    <n v="78118.559999999998"/>
    <n v="62278.559999999998"/>
    <n v="0.61016949152542377"/>
    <n v="0"/>
  </r>
  <r>
    <s v="P0081"/>
    <x v="4"/>
    <x v="1"/>
    <s v="S006"/>
    <d v="2023-11-12T00:00:00"/>
    <n v="165"/>
    <n v="34"/>
    <n v="433.33"/>
    <n v="452.46"/>
    <x v="3"/>
    <n v="74655.899999999994"/>
    <n v="3156.4499999999994"/>
    <n v="4.8529411764705879"/>
    <n v="0"/>
  </r>
  <r>
    <s v="P0187"/>
    <x v="5"/>
    <x v="2"/>
    <s v="S014"/>
    <d v="2023-04-22T00:00:00"/>
    <n v="80"/>
    <n v="189"/>
    <n v="417.74"/>
    <n v="142.08000000000001"/>
    <x v="4"/>
    <n v="11366.400000000001"/>
    <n v="-22052.799999999996"/>
    <n v="0.42328042328042326"/>
    <n v="0"/>
  </r>
  <r>
    <s v="P0113"/>
    <x v="4"/>
    <x v="1"/>
    <s v="S019"/>
    <d v="2022-03-14T00:00:00"/>
    <n v="77"/>
    <n v="0"/>
    <n v="56.15"/>
    <n v="741.15"/>
    <x v="4"/>
    <n v="57068.549999999996"/>
    <n v="52745"/>
    <n v="0"/>
    <n v="1"/>
  </r>
  <r>
    <s v="P0002"/>
    <x v="3"/>
    <x v="3"/>
    <s v="S009"/>
    <d v="2023-08-05T00:00:00"/>
    <n v="172"/>
    <n v="152"/>
    <n v="453.08"/>
    <n v="530.82000000000005"/>
    <x v="3"/>
    <n v="91301.040000000008"/>
    <n v="13371.280000000012"/>
    <n v="1.131578947368421"/>
    <n v="0"/>
  </r>
  <r>
    <s v="P0130"/>
    <x v="7"/>
    <x v="2"/>
    <s v="S012"/>
    <d v="2022-09-19T00:00:00"/>
    <n v="5"/>
    <n v="125"/>
    <n v="63.02"/>
    <n v="234.88"/>
    <x v="0"/>
    <n v="1174.4000000000001"/>
    <n v="859.3"/>
    <n v="0.04"/>
    <n v="0"/>
  </r>
  <r>
    <s v="P0054"/>
    <x v="4"/>
    <x v="1"/>
    <s v="S011"/>
    <d v="2022-09-02T00:00:00"/>
    <n v="162"/>
    <n v="225"/>
    <n v="157.84"/>
    <n v="524.47"/>
    <x v="2"/>
    <n v="84964.14"/>
    <n v="59394.06"/>
    <n v="0.72"/>
    <n v="0"/>
  </r>
  <r>
    <s v="P0087"/>
    <x v="5"/>
    <x v="2"/>
    <s v="S014"/>
    <d v="2023-07-15T00:00:00"/>
    <n v="109"/>
    <n v="220"/>
    <n v="64.58"/>
    <n v="574.22"/>
    <x v="2"/>
    <n v="62589.98"/>
    <n v="55550.76"/>
    <n v="0.49545454545454548"/>
    <n v="0"/>
  </r>
  <r>
    <s v="P0129"/>
    <x v="3"/>
    <x v="0"/>
    <s v="S016"/>
    <d v="2022-06-24T00:00:00"/>
    <n v="13"/>
    <n v="210"/>
    <n v="201.13"/>
    <n v="468.04"/>
    <x v="1"/>
    <n v="6084.52"/>
    <n v="3469.8300000000004"/>
    <n v="6.1904761904761907E-2"/>
    <n v="0"/>
  </r>
  <r>
    <s v="P0147"/>
    <x v="4"/>
    <x v="1"/>
    <s v="S001"/>
    <d v="2022-04-19T00:00:00"/>
    <n v="71"/>
    <n v="24"/>
    <n v="281.24"/>
    <n v="602.66999999999996"/>
    <x v="0"/>
    <n v="42789.57"/>
    <n v="22821.529999999995"/>
    <n v="2.9583333333333335"/>
    <n v="0"/>
  </r>
  <r>
    <s v="P0126"/>
    <x v="2"/>
    <x v="3"/>
    <s v="S013"/>
    <d v="2022-07-02T00:00:00"/>
    <n v="188"/>
    <n v="15"/>
    <n v="408.49"/>
    <n v="507.02"/>
    <x v="1"/>
    <n v="95319.76"/>
    <n v="18523.639999999996"/>
    <n v="12.533333333333333"/>
    <n v="0"/>
  </r>
  <r>
    <s v="P0130"/>
    <x v="7"/>
    <x v="1"/>
    <s v="S013"/>
    <d v="2022-07-11T00:00:00"/>
    <n v="142"/>
    <n v="181"/>
    <n v="202.09"/>
    <n v="763.44"/>
    <x v="2"/>
    <n v="108408.48000000001"/>
    <n v="79711.7"/>
    <n v="0.78453038674033149"/>
    <n v="0"/>
  </r>
  <r>
    <s v="P0053"/>
    <x v="4"/>
    <x v="2"/>
    <s v="S002"/>
    <d v="2022-03-06T00:00:00"/>
    <n v="53"/>
    <n v="128"/>
    <n v="367.47"/>
    <n v="137.59"/>
    <x v="3"/>
    <n v="7292.27"/>
    <n v="-12183.640000000001"/>
    <n v="0.4140625"/>
    <n v="0"/>
  </r>
  <r>
    <s v="P0172"/>
    <x v="3"/>
    <x v="2"/>
    <s v="S004"/>
    <d v="2024-08-20T00:00:00"/>
    <n v="26"/>
    <n v="41"/>
    <n v="134.38"/>
    <n v="174.37"/>
    <x v="4"/>
    <n v="4533.62"/>
    <n v="1039.7400000000002"/>
    <n v="0.63414634146341464"/>
    <n v="0"/>
  </r>
  <r>
    <s v="P0160"/>
    <x v="6"/>
    <x v="1"/>
    <s v="S006"/>
    <d v="2024-05-13T00:00:00"/>
    <n v="12"/>
    <n v="235"/>
    <n v="387.77"/>
    <n v="221.57"/>
    <x v="2"/>
    <n v="2658.84"/>
    <n v="-1994.3999999999999"/>
    <n v="5.106382978723404E-2"/>
    <n v="0"/>
  </r>
  <r>
    <s v="P0198"/>
    <x v="8"/>
    <x v="3"/>
    <s v="S005"/>
    <d v="2023-01-04T00:00:00"/>
    <n v="158"/>
    <n v="33"/>
    <n v="156.19999999999999"/>
    <n v="583.12"/>
    <x v="0"/>
    <n v="92132.96"/>
    <n v="67453.36"/>
    <n v="4.7878787878787881"/>
    <n v="0"/>
  </r>
  <r>
    <s v="P0160"/>
    <x v="9"/>
    <x v="3"/>
    <s v="S003"/>
    <d v="2024-04-30T00:00:00"/>
    <n v="162"/>
    <n v="44"/>
    <n v="114.6"/>
    <n v="551.91999999999996"/>
    <x v="2"/>
    <n v="89411.04"/>
    <n v="70845.84"/>
    <n v="3.6818181818181817"/>
    <n v="0"/>
  </r>
  <r>
    <s v="P0068"/>
    <x v="8"/>
    <x v="3"/>
    <s v="S001"/>
    <d v="2022-02-12T00:00:00"/>
    <n v="59"/>
    <n v="133"/>
    <n v="133.43"/>
    <n v="724.44"/>
    <x v="0"/>
    <n v="42741.960000000006"/>
    <n v="34869.589999999997"/>
    <n v="0.44360902255639095"/>
    <n v="0"/>
  </r>
  <r>
    <s v="P0183"/>
    <x v="8"/>
    <x v="2"/>
    <s v="S004"/>
    <d v="2023-05-03T00:00:00"/>
    <n v="5"/>
    <n v="20"/>
    <n v="131.93"/>
    <n v="613.01"/>
    <x v="0"/>
    <n v="3065.05"/>
    <n v="2405.4"/>
    <n v="0.25"/>
    <n v="0"/>
  </r>
  <r>
    <s v="P0184"/>
    <x v="1"/>
    <x v="1"/>
    <s v="S020"/>
    <d v="2022-03-19T00:00:00"/>
    <n v="196"/>
    <n v="121"/>
    <n v="280.79000000000002"/>
    <n v="455.85"/>
    <x v="0"/>
    <n v="89346.6"/>
    <n v="34311.760000000002"/>
    <n v="1.6198347107438016"/>
    <n v="0"/>
  </r>
  <r>
    <s v="P0123"/>
    <x v="2"/>
    <x v="0"/>
    <s v="S002"/>
    <d v="2024-04-05T00:00:00"/>
    <n v="57"/>
    <n v="69"/>
    <n v="430.16"/>
    <n v="794.28"/>
    <x v="1"/>
    <n v="45273.96"/>
    <n v="20754.839999999997"/>
    <n v="0.82608695652173914"/>
    <n v="0"/>
  </r>
  <r>
    <s v="P0145"/>
    <x v="6"/>
    <x v="2"/>
    <s v="S005"/>
    <d v="2023-11-05T00:00:00"/>
    <n v="48"/>
    <n v="47"/>
    <n v="85.82"/>
    <n v="286.27999999999997"/>
    <x v="3"/>
    <n v="13741.439999999999"/>
    <n v="9622.0799999999981"/>
    <n v="1.0212765957446808"/>
    <n v="0"/>
  </r>
  <r>
    <s v="P0038"/>
    <x v="0"/>
    <x v="3"/>
    <s v="S003"/>
    <d v="2023-12-02T00:00:00"/>
    <n v="150"/>
    <n v="38"/>
    <n v="368.13"/>
    <n v="683.23"/>
    <x v="2"/>
    <n v="102484.5"/>
    <n v="47265"/>
    <n v="3.9473684210526314"/>
    <n v="0"/>
  </r>
  <r>
    <s v="P0024"/>
    <x v="4"/>
    <x v="1"/>
    <s v="S009"/>
    <d v="2024-01-29T00:00:00"/>
    <n v="161"/>
    <n v="286"/>
    <n v="344.46"/>
    <n v="398.75"/>
    <x v="3"/>
    <n v="64198.75"/>
    <n v="8740.6900000000041"/>
    <n v="0.56293706293706292"/>
    <n v="0"/>
  </r>
  <r>
    <s v="P0069"/>
    <x v="9"/>
    <x v="3"/>
    <s v="S020"/>
    <d v="2023-12-29T00:00:00"/>
    <n v="25"/>
    <n v="9"/>
    <n v="442.63"/>
    <n v="554.11"/>
    <x v="4"/>
    <n v="13852.75"/>
    <n v="2787.0000000000005"/>
    <n v="2.7777777777777777"/>
    <n v="0"/>
  </r>
  <r>
    <s v="P0116"/>
    <x v="7"/>
    <x v="0"/>
    <s v="S006"/>
    <d v="2024-07-13T00:00:00"/>
    <n v="46"/>
    <n v="29"/>
    <n v="159.87"/>
    <n v="609.09"/>
    <x v="2"/>
    <n v="28018.140000000003"/>
    <n v="20664.120000000003"/>
    <n v="1.5862068965517242"/>
    <n v="0"/>
  </r>
  <r>
    <s v="P0098"/>
    <x v="6"/>
    <x v="3"/>
    <s v="S018"/>
    <d v="2024-06-20T00:00:00"/>
    <n v="4"/>
    <n v="243"/>
    <n v="252.55"/>
    <n v="543.63"/>
    <x v="3"/>
    <n v="2174.52"/>
    <n v="1164.32"/>
    <n v="1.646090534979424E-2"/>
    <n v="0"/>
  </r>
  <r>
    <s v="P0198"/>
    <x v="5"/>
    <x v="3"/>
    <s v="S006"/>
    <d v="2024-06-07T00:00:00"/>
    <n v="19"/>
    <n v="273"/>
    <n v="466.62"/>
    <n v="198.36"/>
    <x v="3"/>
    <n v="3768.84"/>
    <n v="-5096.9399999999996"/>
    <n v="6.95970695970696E-2"/>
    <n v="0"/>
  </r>
  <r>
    <s v="P0139"/>
    <x v="0"/>
    <x v="0"/>
    <s v="S019"/>
    <d v="2024-09-19T00:00:00"/>
    <n v="133"/>
    <n v="87"/>
    <n v="347"/>
    <n v="410.07"/>
    <x v="4"/>
    <n v="54539.31"/>
    <n v="8388.31"/>
    <n v="1.5287356321839081"/>
    <n v="0"/>
  </r>
  <r>
    <s v="P0144"/>
    <x v="1"/>
    <x v="1"/>
    <s v="S012"/>
    <d v="2022-12-05T00:00:00"/>
    <n v="197"/>
    <n v="243"/>
    <n v="224.95"/>
    <n v="493.01"/>
    <x v="0"/>
    <n v="97122.97"/>
    <n v="52807.82"/>
    <n v="0.81069958847736623"/>
    <n v="0"/>
  </r>
  <r>
    <s v="P0097"/>
    <x v="1"/>
    <x v="2"/>
    <s v="S011"/>
    <d v="2022-07-12T00:00:00"/>
    <n v="58"/>
    <n v="14"/>
    <n v="109.14"/>
    <n v="694.33"/>
    <x v="2"/>
    <n v="40271.14"/>
    <n v="33941.020000000004"/>
    <n v="4.1428571428571432"/>
    <n v="0"/>
  </r>
  <r>
    <s v="P0124"/>
    <x v="6"/>
    <x v="1"/>
    <s v="S002"/>
    <d v="2022-10-10T00:00:00"/>
    <n v="191"/>
    <n v="3"/>
    <n v="168.12"/>
    <n v="410.55"/>
    <x v="2"/>
    <n v="78415.05"/>
    <n v="46304.130000000005"/>
    <n v="63.666666666666664"/>
    <n v="0"/>
  </r>
  <r>
    <s v="P0187"/>
    <x v="3"/>
    <x v="0"/>
    <s v="S015"/>
    <d v="2023-01-25T00:00:00"/>
    <n v="145"/>
    <n v="190"/>
    <n v="311.55"/>
    <n v="743.12"/>
    <x v="4"/>
    <n v="107752.4"/>
    <n v="62577.65"/>
    <n v="0.76315789473684215"/>
    <n v="0"/>
  </r>
  <r>
    <s v="P0070"/>
    <x v="8"/>
    <x v="3"/>
    <s v="S012"/>
    <d v="2024-09-26T00:00:00"/>
    <n v="131"/>
    <n v="167"/>
    <n v="373.18"/>
    <n v="408.26"/>
    <x v="0"/>
    <n v="53482.06"/>
    <n v="4595.4799999999977"/>
    <n v="0.78443113772455086"/>
    <n v="0"/>
  </r>
  <r>
    <s v="P0093"/>
    <x v="5"/>
    <x v="1"/>
    <s v="S012"/>
    <d v="2023-06-09T00:00:00"/>
    <n v="16"/>
    <n v="8"/>
    <n v="105.99"/>
    <n v="484.15"/>
    <x v="2"/>
    <n v="7746.4"/>
    <n v="6050.5599999999995"/>
    <n v="2"/>
    <n v="0"/>
  </r>
  <r>
    <s v="P0003"/>
    <x v="1"/>
    <x v="2"/>
    <s v="S009"/>
    <d v="2023-10-21T00:00:00"/>
    <n v="13"/>
    <n v="108"/>
    <n v="319.82"/>
    <n v="657.4"/>
    <x v="2"/>
    <n v="8546.1999999999989"/>
    <n v="4388.54"/>
    <n v="0.12037037037037036"/>
    <n v="0"/>
  </r>
  <r>
    <s v="P0148"/>
    <x v="9"/>
    <x v="0"/>
    <s v="S002"/>
    <d v="2023-12-17T00:00:00"/>
    <n v="12"/>
    <n v="136"/>
    <n v="297.66000000000003"/>
    <n v="508.15"/>
    <x v="2"/>
    <n v="6097.7999999999993"/>
    <n v="2525.8799999999992"/>
    <n v="8.8235294117647065E-2"/>
    <n v="0"/>
  </r>
  <r>
    <s v="P0187"/>
    <x v="1"/>
    <x v="1"/>
    <s v="S003"/>
    <d v="2024-06-09T00:00:00"/>
    <n v="134"/>
    <n v="153"/>
    <n v="281.27999999999997"/>
    <n v="772.15"/>
    <x v="0"/>
    <n v="103468.09999999999"/>
    <n v="65776.58"/>
    <n v="0.87581699346405228"/>
    <n v="0"/>
  </r>
  <r>
    <s v="P0164"/>
    <x v="7"/>
    <x v="2"/>
    <s v="S012"/>
    <d v="2023-03-28T00:00:00"/>
    <n v="127"/>
    <n v="208"/>
    <n v="360.56"/>
    <n v="562.24"/>
    <x v="4"/>
    <n v="71404.479999999996"/>
    <n v="25613.360000000001"/>
    <n v="0.61057692307692313"/>
    <n v="0"/>
  </r>
  <r>
    <s v="P0147"/>
    <x v="4"/>
    <x v="0"/>
    <s v="S016"/>
    <d v="2023-03-04T00:00:00"/>
    <n v="43"/>
    <n v="271"/>
    <n v="426.85"/>
    <n v="465.9"/>
    <x v="2"/>
    <n v="20033.7"/>
    <n v="1679.149999999998"/>
    <n v="0.15867158671586715"/>
    <n v="0"/>
  </r>
  <r>
    <s v="P0090"/>
    <x v="1"/>
    <x v="2"/>
    <s v="S001"/>
    <d v="2024-11-11T00:00:00"/>
    <n v="118"/>
    <n v="142"/>
    <n v="195.35"/>
    <n v="116.51"/>
    <x v="3"/>
    <n v="13748.18"/>
    <n v="-9303.119999999999"/>
    <n v="0.83098591549295775"/>
    <n v="0"/>
  </r>
  <r>
    <s v="P0195"/>
    <x v="7"/>
    <x v="0"/>
    <s v="S003"/>
    <d v="2024-06-01T00:00:00"/>
    <n v="142"/>
    <n v="98"/>
    <n v="450.06"/>
    <n v="389.61"/>
    <x v="0"/>
    <n v="55324.62"/>
    <n v="-8583.8999999999978"/>
    <n v="1.4489795918367347"/>
    <n v="0"/>
  </r>
  <r>
    <s v="P0147"/>
    <x v="6"/>
    <x v="3"/>
    <s v="S020"/>
    <d v="2022-11-09T00:00:00"/>
    <n v="18"/>
    <n v="68"/>
    <n v="122.29"/>
    <n v="309.47000000000003"/>
    <x v="1"/>
    <n v="5570.4600000000009"/>
    <n v="3369.2400000000002"/>
    <n v="0.26470588235294118"/>
    <n v="0"/>
  </r>
  <r>
    <s v="P0148"/>
    <x v="6"/>
    <x v="1"/>
    <s v="S002"/>
    <d v="2024-04-19T00:00:00"/>
    <n v="62"/>
    <n v="246"/>
    <n v="127.86"/>
    <n v="623.66999999999996"/>
    <x v="4"/>
    <n v="38667.54"/>
    <n v="30740.219999999998"/>
    <n v="0.25203252032520324"/>
    <n v="0"/>
  </r>
  <r>
    <s v="P0096"/>
    <x v="0"/>
    <x v="2"/>
    <s v="S009"/>
    <d v="2023-06-03T00:00:00"/>
    <n v="162"/>
    <n v="260"/>
    <n v="170.05"/>
    <n v="245.79"/>
    <x v="3"/>
    <n v="39817.979999999996"/>
    <n v="12269.879999999997"/>
    <n v="0.62307692307692308"/>
    <n v="0"/>
  </r>
  <r>
    <s v="P0199"/>
    <x v="1"/>
    <x v="0"/>
    <s v="S019"/>
    <d v="2023-01-10T00:00:00"/>
    <n v="80"/>
    <n v="275"/>
    <n v="103.79"/>
    <n v="243.65"/>
    <x v="2"/>
    <n v="19492"/>
    <n v="11188.800000000001"/>
    <n v="0.29090909090909089"/>
    <n v="0"/>
  </r>
  <r>
    <s v="P0052"/>
    <x v="9"/>
    <x v="2"/>
    <s v="S015"/>
    <d v="2023-03-27T00:00:00"/>
    <n v="162"/>
    <n v="78"/>
    <n v="153.63999999999999"/>
    <n v="232.66"/>
    <x v="1"/>
    <n v="37690.92"/>
    <n v="12801.240000000002"/>
    <n v="2.0769230769230771"/>
    <n v="0"/>
  </r>
  <r>
    <s v="P0161"/>
    <x v="1"/>
    <x v="2"/>
    <s v="S018"/>
    <d v="2024-10-11T00:00:00"/>
    <n v="146"/>
    <n v="145"/>
    <n v="97.89"/>
    <n v="187.93"/>
    <x v="4"/>
    <n v="27437.780000000002"/>
    <n v="13145.84"/>
    <n v="1.0068965517241379"/>
    <n v="0"/>
  </r>
  <r>
    <s v="P0168"/>
    <x v="9"/>
    <x v="1"/>
    <s v="S011"/>
    <d v="2023-08-18T00:00:00"/>
    <n v="147"/>
    <n v="110"/>
    <n v="419.79"/>
    <n v="317.7"/>
    <x v="0"/>
    <n v="46701.9"/>
    <n v="-15007.230000000005"/>
    <n v="1.3363636363636364"/>
    <n v="0"/>
  </r>
  <r>
    <s v="P0128"/>
    <x v="2"/>
    <x v="3"/>
    <s v="S016"/>
    <d v="2023-05-15T00:00:00"/>
    <n v="99"/>
    <n v="257"/>
    <n v="112.54"/>
    <n v="720.15"/>
    <x v="1"/>
    <n v="71294.849999999991"/>
    <n v="60153.39"/>
    <n v="0.38521400778210119"/>
    <n v="0"/>
  </r>
  <r>
    <s v="P0039"/>
    <x v="0"/>
    <x v="2"/>
    <s v="S017"/>
    <d v="2023-04-09T00:00:00"/>
    <n v="162"/>
    <n v="92"/>
    <n v="386.28"/>
    <n v="642.45000000000005"/>
    <x v="1"/>
    <n v="104076.90000000001"/>
    <n v="41499.540000000008"/>
    <n v="1.7608695652173914"/>
    <n v="0"/>
  </r>
  <r>
    <s v="P0082"/>
    <x v="2"/>
    <x v="0"/>
    <s v="S005"/>
    <d v="2022-04-23T00:00:00"/>
    <n v="159"/>
    <n v="12"/>
    <n v="71.56"/>
    <n v="614.67999999999995"/>
    <x v="3"/>
    <n v="97734.12"/>
    <n v="86356.079999999987"/>
    <n v="13.25"/>
    <n v="0"/>
  </r>
  <r>
    <s v="P0104"/>
    <x v="1"/>
    <x v="0"/>
    <s v="S012"/>
    <d v="2024-11-01T00:00:00"/>
    <n v="121"/>
    <n v="259"/>
    <n v="476.83"/>
    <n v="658.14"/>
    <x v="4"/>
    <n v="79634.94"/>
    <n v="21938.510000000002"/>
    <n v="0.46718146718146719"/>
    <n v="0"/>
  </r>
  <r>
    <s v="P0129"/>
    <x v="0"/>
    <x v="3"/>
    <s v="S011"/>
    <d v="2022-11-27T00:00:00"/>
    <n v="175"/>
    <n v="108"/>
    <n v="370.02"/>
    <n v="288.58999999999997"/>
    <x v="3"/>
    <n v="50503.249999999993"/>
    <n v="-14250.250000000002"/>
    <n v="1.6203703703703705"/>
    <n v="0"/>
  </r>
  <r>
    <s v="P0011"/>
    <x v="2"/>
    <x v="0"/>
    <s v="S015"/>
    <d v="2022-05-20T00:00:00"/>
    <n v="43"/>
    <n v="188"/>
    <n v="53.06"/>
    <n v="721.21"/>
    <x v="3"/>
    <n v="31012.030000000002"/>
    <n v="28730.450000000004"/>
    <n v="0.22872340425531915"/>
    <n v="0"/>
  </r>
  <r>
    <s v="P0185"/>
    <x v="8"/>
    <x v="3"/>
    <s v="S003"/>
    <d v="2024-06-20T00:00:00"/>
    <n v="103"/>
    <n v="94"/>
    <n v="393.74"/>
    <n v="196.11"/>
    <x v="2"/>
    <n v="20199.330000000002"/>
    <n v="-20355.89"/>
    <n v="1.0957446808510638"/>
    <n v="0"/>
  </r>
  <r>
    <s v="P0178"/>
    <x v="1"/>
    <x v="0"/>
    <s v="S001"/>
    <d v="2023-06-01T00:00:00"/>
    <n v="151"/>
    <n v="104"/>
    <n v="281.33999999999997"/>
    <n v="335.44"/>
    <x v="0"/>
    <n v="50651.44"/>
    <n v="8169.1000000000031"/>
    <n v="1.4519230769230769"/>
    <n v="0"/>
  </r>
  <r>
    <s v="P0151"/>
    <x v="2"/>
    <x v="1"/>
    <s v="S020"/>
    <d v="2023-07-23T00:00:00"/>
    <n v="60"/>
    <n v="7"/>
    <n v="400.71"/>
    <n v="510.72"/>
    <x v="1"/>
    <n v="30643.200000000001"/>
    <n v="6600.6000000000031"/>
    <n v="8.5714285714285712"/>
    <n v="0"/>
  </r>
  <r>
    <s v="P0159"/>
    <x v="8"/>
    <x v="2"/>
    <s v="S016"/>
    <d v="2024-04-25T00:00:00"/>
    <n v="124"/>
    <n v="66"/>
    <n v="285.12"/>
    <n v="172.03"/>
    <x v="4"/>
    <n v="21331.72"/>
    <n v="-14023.16"/>
    <n v="1.8787878787878789"/>
    <n v="0"/>
  </r>
  <r>
    <s v="P0042"/>
    <x v="8"/>
    <x v="1"/>
    <s v="S002"/>
    <d v="2024-12-28T00:00:00"/>
    <n v="144"/>
    <n v="190"/>
    <n v="338.46"/>
    <n v="611.09"/>
    <x v="0"/>
    <n v="87996.96"/>
    <n v="39258.720000000008"/>
    <n v="0.75789473684210529"/>
    <n v="0"/>
  </r>
  <r>
    <s v="P0099"/>
    <x v="6"/>
    <x v="2"/>
    <s v="S002"/>
    <d v="2022-04-28T00:00:00"/>
    <n v="70"/>
    <n v="255"/>
    <n v="403.85"/>
    <n v="371.07"/>
    <x v="0"/>
    <n v="25974.899999999998"/>
    <n v="-2294.6000000000022"/>
    <n v="0.27450980392156865"/>
    <n v="0"/>
  </r>
  <r>
    <s v="P0007"/>
    <x v="1"/>
    <x v="2"/>
    <s v="S003"/>
    <d v="2024-06-06T00:00:00"/>
    <n v="106"/>
    <n v="8"/>
    <n v="232.3"/>
    <n v="649.08000000000004"/>
    <x v="4"/>
    <n v="68802.48000000001"/>
    <n v="44178.68"/>
    <n v="13.25"/>
    <n v="0"/>
  </r>
  <r>
    <s v="P0144"/>
    <x v="8"/>
    <x v="2"/>
    <s v="S008"/>
    <d v="2024-12-18T00:00:00"/>
    <n v="49"/>
    <n v="116"/>
    <n v="51.22"/>
    <n v="445.03"/>
    <x v="0"/>
    <n v="21806.469999999998"/>
    <n v="19296.689999999999"/>
    <n v="0.42241379310344829"/>
    <n v="0"/>
  </r>
  <r>
    <s v="P0090"/>
    <x v="6"/>
    <x v="1"/>
    <s v="S015"/>
    <d v="2024-11-22T00:00:00"/>
    <n v="64"/>
    <n v="266"/>
    <n v="432.48"/>
    <n v="226.61"/>
    <x v="2"/>
    <n v="14503.04"/>
    <n v="-13175.68"/>
    <n v="0.24060150375939848"/>
    <n v="0"/>
  </r>
  <r>
    <s v="P0112"/>
    <x v="2"/>
    <x v="2"/>
    <s v="S007"/>
    <d v="2022-02-19T00:00:00"/>
    <n v="98"/>
    <n v="98"/>
    <n v="221.4"/>
    <n v="614.33000000000004"/>
    <x v="0"/>
    <n v="60204.340000000004"/>
    <n v="38507.140000000007"/>
    <n v="1"/>
    <n v="0"/>
  </r>
  <r>
    <s v="P0060"/>
    <x v="7"/>
    <x v="1"/>
    <s v="S006"/>
    <d v="2022-01-19T00:00:00"/>
    <n v="31"/>
    <n v="297"/>
    <n v="273.22000000000003"/>
    <n v="276.5"/>
    <x v="2"/>
    <n v="8571.5"/>
    <n v="101.67999999999915"/>
    <n v="0.10437710437710437"/>
    <n v="0"/>
  </r>
  <r>
    <s v="P0113"/>
    <x v="1"/>
    <x v="3"/>
    <s v="S009"/>
    <d v="2023-12-27T00:00:00"/>
    <n v="163"/>
    <n v="163"/>
    <n v="53.49"/>
    <n v="443.57"/>
    <x v="1"/>
    <n v="72301.91"/>
    <n v="63583.040000000001"/>
    <n v="1"/>
    <n v="0"/>
  </r>
  <r>
    <s v="P0002"/>
    <x v="0"/>
    <x v="0"/>
    <s v="S020"/>
    <d v="2022-07-16T00:00:00"/>
    <n v="140"/>
    <n v="140"/>
    <n v="271.44"/>
    <n v="152.87"/>
    <x v="1"/>
    <n v="21401.8"/>
    <n v="-16599.8"/>
    <n v="1"/>
    <n v="0"/>
  </r>
  <r>
    <s v="P0129"/>
    <x v="9"/>
    <x v="0"/>
    <s v="S001"/>
    <d v="2023-07-13T00:00:00"/>
    <n v="197"/>
    <n v="267"/>
    <n v="493.92"/>
    <n v="532.51"/>
    <x v="3"/>
    <n v="104904.47"/>
    <n v="7602.229999999995"/>
    <n v="0.73782771535580527"/>
    <n v="0"/>
  </r>
  <r>
    <s v="P0048"/>
    <x v="9"/>
    <x v="2"/>
    <s v="S008"/>
    <d v="2023-03-28T00:00:00"/>
    <n v="57"/>
    <n v="36"/>
    <n v="175.22"/>
    <n v="566.1"/>
    <x v="2"/>
    <n v="32267.7"/>
    <n v="22280.16"/>
    <n v="1.5833333333333333"/>
    <n v="0"/>
  </r>
  <r>
    <s v="P0140"/>
    <x v="2"/>
    <x v="1"/>
    <s v="S003"/>
    <d v="2022-10-16T00:00:00"/>
    <n v="127"/>
    <n v="73"/>
    <n v="227.94"/>
    <n v="365.07"/>
    <x v="1"/>
    <n v="46363.89"/>
    <n v="17415.509999999998"/>
    <n v="1.7397260273972603"/>
    <n v="0"/>
  </r>
  <r>
    <s v="P0197"/>
    <x v="3"/>
    <x v="0"/>
    <s v="S004"/>
    <d v="2023-01-26T00:00:00"/>
    <n v="141"/>
    <n v="72"/>
    <n v="359.24"/>
    <n v="768.1"/>
    <x v="0"/>
    <n v="108302.1"/>
    <n v="57649.26"/>
    <n v="1.9583333333333333"/>
    <n v="0"/>
  </r>
  <r>
    <s v="P0037"/>
    <x v="3"/>
    <x v="1"/>
    <s v="S015"/>
    <d v="2022-08-03T00:00:00"/>
    <n v="164"/>
    <n v="198"/>
    <n v="416.66"/>
    <n v="711.92"/>
    <x v="4"/>
    <n v="116754.87999999999"/>
    <n v="48422.639999999992"/>
    <n v="0.82828282828282829"/>
    <n v="0"/>
  </r>
  <r>
    <s v="P0160"/>
    <x v="2"/>
    <x v="1"/>
    <s v="S006"/>
    <d v="2022-08-03T00:00:00"/>
    <n v="111"/>
    <n v="129"/>
    <n v="237.83"/>
    <n v="595.55999999999995"/>
    <x v="4"/>
    <n v="66107.159999999989"/>
    <n v="39708.029999999992"/>
    <n v="0.86046511627906974"/>
    <n v="0"/>
  </r>
  <r>
    <s v="P0009"/>
    <x v="8"/>
    <x v="2"/>
    <s v="S015"/>
    <d v="2022-05-08T00:00:00"/>
    <n v="67"/>
    <n v="245"/>
    <n v="189.35"/>
    <n v="599.55999999999995"/>
    <x v="2"/>
    <n v="40170.519999999997"/>
    <n v="27484.069999999996"/>
    <n v="0.27346938775510204"/>
    <n v="0"/>
  </r>
  <r>
    <s v="P0099"/>
    <x v="1"/>
    <x v="0"/>
    <s v="S003"/>
    <d v="2024-01-30T00:00:00"/>
    <n v="39"/>
    <n v="59"/>
    <n v="472.02"/>
    <n v="276.68"/>
    <x v="3"/>
    <n v="10790.52"/>
    <n v="-7618.2599999999993"/>
    <n v="0.66101694915254239"/>
    <n v="0"/>
  </r>
  <r>
    <s v="P0147"/>
    <x v="9"/>
    <x v="2"/>
    <s v="S014"/>
    <d v="2023-02-08T00:00:00"/>
    <n v="186"/>
    <n v="278"/>
    <n v="354.72"/>
    <n v="559.77"/>
    <x v="0"/>
    <n v="104117.22"/>
    <n v="38139.299999999988"/>
    <n v="0.6690647482014388"/>
    <n v="0"/>
  </r>
  <r>
    <s v="P0048"/>
    <x v="9"/>
    <x v="2"/>
    <s v="S020"/>
    <d v="2024-11-18T00:00:00"/>
    <n v="143"/>
    <n v="102"/>
    <n v="103.56"/>
    <n v="238.74"/>
    <x v="2"/>
    <n v="34139.82"/>
    <n v="19330.740000000002"/>
    <n v="1.4019607843137254"/>
    <n v="0"/>
  </r>
  <r>
    <s v="P0131"/>
    <x v="8"/>
    <x v="0"/>
    <s v="S014"/>
    <d v="2022-12-04T00:00:00"/>
    <n v="189"/>
    <n v="295"/>
    <n v="81.02"/>
    <n v="200.8"/>
    <x v="4"/>
    <n v="37951.200000000004"/>
    <n v="22638.420000000002"/>
    <n v="0.64067796610169492"/>
    <n v="0"/>
  </r>
  <r>
    <s v="P0148"/>
    <x v="9"/>
    <x v="0"/>
    <s v="S004"/>
    <d v="2024-04-10T00:00:00"/>
    <n v="131"/>
    <n v="150"/>
    <n v="267.60000000000002"/>
    <n v="799.63"/>
    <x v="2"/>
    <n v="104751.53"/>
    <n v="69695.929999999993"/>
    <n v="0.87333333333333329"/>
    <n v="0"/>
  </r>
  <r>
    <s v="P0152"/>
    <x v="0"/>
    <x v="3"/>
    <s v="S012"/>
    <d v="2023-12-15T00:00:00"/>
    <n v="172"/>
    <n v="156"/>
    <n v="149.04"/>
    <n v="535.66"/>
    <x v="0"/>
    <n v="92133.51999999999"/>
    <n v="66498.64"/>
    <n v="1.1025641025641026"/>
    <n v="0"/>
  </r>
  <r>
    <s v="P0054"/>
    <x v="1"/>
    <x v="3"/>
    <s v="S017"/>
    <d v="2022-12-27T00:00:00"/>
    <n v="89"/>
    <n v="205"/>
    <n v="164.29"/>
    <n v="401.69"/>
    <x v="1"/>
    <n v="35750.409999999996"/>
    <n v="21128.600000000002"/>
    <n v="0.43414634146341463"/>
    <n v="0"/>
  </r>
  <r>
    <s v="P0120"/>
    <x v="4"/>
    <x v="1"/>
    <s v="S007"/>
    <d v="2023-07-23T00:00:00"/>
    <n v="27"/>
    <n v="178"/>
    <n v="444.96"/>
    <n v="301.72000000000003"/>
    <x v="0"/>
    <n v="8146.4400000000005"/>
    <n v="-3867.4799999999987"/>
    <n v="0.15168539325842698"/>
    <n v="0"/>
  </r>
  <r>
    <s v="P0161"/>
    <x v="9"/>
    <x v="0"/>
    <s v="S009"/>
    <d v="2022-08-06T00:00:00"/>
    <n v="95"/>
    <n v="196"/>
    <n v="90.3"/>
    <n v="522.74"/>
    <x v="1"/>
    <n v="49660.3"/>
    <n v="41081.800000000003"/>
    <n v="0.48469387755102039"/>
    <n v="0"/>
  </r>
  <r>
    <s v="P0152"/>
    <x v="2"/>
    <x v="3"/>
    <s v="S003"/>
    <d v="2022-07-21T00:00:00"/>
    <n v="193"/>
    <n v="222"/>
    <n v="371.91"/>
    <n v="134.72"/>
    <x v="1"/>
    <n v="26000.959999999999"/>
    <n v="-45777.670000000006"/>
    <n v="0.86936936936936937"/>
    <n v="0"/>
  </r>
  <r>
    <s v="P0116"/>
    <x v="0"/>
    <x v="1"/>
    <s v="S013"/>
    <d v="2022-01-17T00:00:00"/>
    <n v="30"/>
    <n v="88"/>
    <n v="172.01"/>
    <n v="166.28"/>
    <x v="1"/>
    <n v="4988.3999999999996"/>
    <n v="-171.89999999999969"/>
    <n v="0.34090909090909088"/>
    <n v="0"/>
  </r>
  <r>
    <s v="P0075"/>
    <x v="9"/>
    <x v="1"/>
    <s v="S015"/>
    <d v="2022-11-18T00:00:00"/>
    <n v="2"/>
    <n v="286"/>
    <n v="392.15"/>
    <n v="123"/>
    <x v="2"/>
    <n v="246"/>
    <n v="-538.29999999999995"/>
    <n v="6.993006993006993E-3"/>
    <n v="0"/>
  </r>
  <r>
    <s v="P0113"/>
    <x v="0"/>
    <x v="1"/>
    <s v="S018"/>
    <d v="2023-06-02T00:00:00"/>
    <n v="135"/>
    <n v="275"/>
    <n v="375.09"/>
    <n v="449.42"/>
    <x v="4"/>
    <n v="60671.700000000004"/>
    <n v="10034.550000000005"/>
    <n v="0.49090909090909091"/>
    <n v="0"/>
  </r>
  <r>
    <s v="P0200"/>
    <x v="6"/>
    <x v="3"/>
    <s v="S019"/>
    <d v="2023-11-12T00:00:00"/>
    <n v="23"/>
    <n v="235"/>
    <n v="53.33"/>
    <n v="520.41999999999996"/>
    <x v="2"/>
    <n v="11969.66"/>
    <n v="10743.07"/>
    <n v="9.7872340425531917E-2"/>
    <n v="0"/>
  </r>
  <r>
    <s v="P0164"/>
    <x v="4"/>
    <x v="0"/>
    <s v="S001"/>
    <d v="2023-03-01T00:00:00"/>
    <n v="14"/>
    <n v="182"/>
    <n v="279.11"/>
    <n v="143.74"/>
    <x v="4"/>
    <n v="2012.3600000000001"/>
    <n v="-1895.18"/>
    <n v="7.6923076923076927E-2"/>
    <n v="0"/>
  </r>
  <r>
    <s v="P0166"/>
    <x v="5"/>
    <x v="2"/>
    <s v="S006"/>
    <d v="2024-10-15T00:00:00"/>
    <n v="170"/>
    <n v="208"/>
    <n v="112.69"/>
    <n v="604.86"/>
    <x v="0"/>
    <n v="102826.2"/>
    <n v="83668.900000000009"/>
    <n v="0.81730769230769229"/>
    <n v="0"/>
  </r>
  <r>
    <s v="P0104"/>
    <x v="2"/>
    <x v="1"/>
    <s v="S002"/>
    <d v="2023-01-22T00:00:00"/>
    <n v="158"/>
    <n v="129"/>
    <n v="439.8"/>
    <n v="261.27999999999997"/>
    <x v="3"/>
    <n v="41282.239999999998"/>
    <n v="-28206.160000000007"/>
    <n v="1.2248062015503876"/>
    <n v="0"/>
  </r>
  <r>
    <s v="P0084"/>
    <x v="2"/>
    <x v="3"/>
    <s v="S014"/>
    <d v="2024-02-17T00:00:00"/>
    <n v="44"/>
    <n v="152"/>
    <n v="442.21"/>
    <n v="579.64"/>
    <x v="0"/>
    <n v="25504.16"/>
    <n v="6046.92"/>
    <n v="0.28947368421052633"/>
    <n v="0"/>
  </r>
  <r>
    <s v="P0112"/>
    <x v="1"/>
    <x v="3"/>
    <s v="S006"/>
    <d v="2022-04-08T00:00:00"/>
    <n v="193"/>
    <n v="12"/>
    <n v="238.26"/>
    <n v="787.33"/>
    <x v="2"/>
    <n v="151954.69"/>
    <n v="105970.51000000001"/>
    <n v="16.083333333333332"/>
    <n v="0"/>
  </r>
  <r>
    <s v="P0099"/>
    <x v="0"/>
    <x v="2"/>
    <s v="S014"/>
    <d v="2022-07-27T00:00:00"/>
    <n v="7"/>
    <n v="121"/>
    <n v="249.98"/>
    <n v="583.77"/>
    <x v="2"/>
    <n v="4086.39"/>
    <n v="2336.5299999999997"/>
    <n v="5.7851239669421489E-2"/>
    <n v="0"/>
  </r>
  <r>
    <s v="P0153"/>
    <x v="8"/>
    <x v="2"/>
    <s v="S004"/>
    <d v="2023-08-09T00:00:00"/>
    <n v="70"/>
    <n v="219"/>
    <n v="186.48"/>
    <n v="718.24"/>
    <x v="4"/>
    <n v="50276.800000000003"/>
    <n v="37223.199999999997"/>
    <n v="0.31963470319634701"/>
    <n v="0"/>
  </r>
  <r>
    <s v="P0093"/>
    <x v="2"/>
    <x v="3"/>
    <s v="S008"/>
    <d v="2022-06-15T00:00:00"/>
    <n v="107"/>
    <n v="105"/>
    <n v="372.47"/>
    <n v="763.74"/>
    <x v="2"/>
    <n v="81720.180000000008"/>
    <n v="41865.89"/>
    <n v="1.019047619047619"/>
    <n v="0"/>
  </r>
  <r>
    <s v="P0146"/>
    <x v="0"/>
    <x v="0"/>
    <s v="S003"/>
    <d v="2022-01-22T00:00:00"/>
    <n v="114"/>
    <n v="69"/>
    <n v="211.4"/>
    <n v="440.73"/>
    <x v="1"/>
    <n v="50243.22"/>
    <n v="26143.620000000003"/>
    <n v="1.6521739130434783"/>
    <n v="0"/>
  </r>
  <r>
    <s v="P0128"/>
    <x v="0"/>
    <x v="2"/>
    <s v="S019"/>
    <d v="2022-06-03T00:00:00"/>
    <n v="102"/>
    <n v="194"/>
    <n v="170.51"/>
    <n v="591.63"/>
    <x v="2"/>
    <n v="60346.26"/>
    <n v="42954.239999999998"/>
    <n v="0.52577319587628868"/>
    <n v="0"/>
  </r>
  <r>
    <s v="P0110"/>
    <x v="7"/>
    <x v="3"/>
    <s v="S014"/>
    <d v="2022-08-07T00:00:00"/>
    <n v="124"/>
    <n v="185"/>
    <n v="244.5"/>
    <n v="696.38"/>
    <x v="4"/>
    <n v="86351.12"/>
    <n v="56033.120000000003"/>
    <n v="0.67027027027027031"/>
    <n v="0"/>
  </r>
  <r>
    <s v="P0082"/>
    <x v="7"/>
    <x v="2"/>
    <s v="S020"/>
    <d v="2023-10-31T00:00:00"/>
    <n v="56"/>
    <n v="98"/>
    <n v="91.17"/>
    <n v="349.63"/>
    <x v="4"/>
    <n v="19579.28"/>
    <n v="14473.759999999998"/>
    <n v="0.5714285714285714"/>
    <n v="0"/>
  </r>
  <r>
    <s v="P0194"/>
    <x v="5"/>
    <x v="0"/>
    <s v="S017"/>
    <d v="2022-08-18T00:00:00"/>
    <n v="29"/>
    <n v="81"/>
    <n v="385.97"/>
    <n v="282.98"/>
    <x v="1"/>
    <n v="8206.42"/>
    <n v="-2986.71"/>
    <n v="0.35802469135802467"/>
    <n v="0"/>
  </r>
  <r>
    <s v="P0054"/>
    <x v="6"/>
    <x v="1"/>
    <s v="S008"/>
    <d v="2022-01-20T00:00:00"/>
    <n v="145"/>
    <n v="74"/>
    <n v="55.67"/>
    <n v="762.62"/>
    <x v="4"/>
    <n v="110579.9"/>
    <n v="102507.75"/>
    <n v="1.9594594594594594"/>
    <n v="0"/>
  </r>
  <r>
    <s v="P0163"/>
    <x v="5"/>
    <x v="2"/>
    <s v="S014"/>
    <d v="2023-07-07T00:00:00"/>
    <n v="113"/>
    <n v="191"/>
    <n v="340.02"/>
    <n v="608.41"/>
    <x v="3"/>
    <n v="68750.33"/>
    <n v="30328.07"/>
    <n v="0.59162303664921467"/>
    <n v="0"/>
  </r>
  <r>
    <s v="P0189"/>
    <x v="9"/>
    <x v="0"/>
    <s v="S006"/>
    <d v="2024-08-07T00:00:00"/>
    <n v="196"/>
    <n v="213"/>
    <n v="132.29"/>
    <n v="253.78"/>
    <x v="0"/>
    <n v="49740.88"/>
    <n v="23812.04"/>
    <n v="0.92018779342723001"/>
    <n v="0"/>
  </r>
  <r>
    <s v="P0169"/>
    <x v="8"/>
    <x v="3"/>
    <s v="S016"/>
    <d v="2022-05-28T00:00:00"/>
    <n v="116"/>
    <n v="143"/>
    <n v="154.58000000000001"/>
    <n v="414.36"/>
    <x v="2"/>
    <n v="48065.760000000002"/>
    <n v="30134.479999999996"/>
    <n v="0.81118881118881114"/>
    <n v="0"/>
  </r>
  <r>
    <s v="P0161"/>
    <x v="9"/>
    <x v="2"/>
    <s v="S019"/>
    <d v="2023-02-07T00:00:00"/>
    <n v="166"/>
    <n v="215"/>
    <n v="336.03"/>
    <n v="657.52"/>
    <x v="3"/>
    <n v="109148.31999999999"/>
    <n v="53367.340000000004"/>
    <n v="0.77209302325581397"/>
    <n v="0"/>
  </r>
  <r>
    <s v="P0068"/>
    <x v="3"/>
    <x v="2"/>
    <s v="S014"/>
    <d v="2023-08-19T00:00:00"/>
    <n v="59"/>
    <n v="14"/>
    <n v="496.82"/>
    <n v="482.94"/>
    <x v="2"/>
    <n v="28493.46"/>
    <n v="-818.91999999999973"/>
    <n v="4.2142857142857144"/>
    <n v="0"/>
  </r>
  <r>
    <s v="P0033"/>
    <x v="9"/>
    <x v="3"/>
    <s v="S019"/>
    <d v="2023-01-02T00:00:00"/>
    <n v="97"/>
    <n v="216"/>
    <n v="399.97"/>
    <n v="554.97"/>
    <x v="3"/>
    <n v="53832.090000000004"/>
    <n v="15035"/>
    <n v="0.44907407407407407"/>
    <n v="0"/>
  </r>
  <r>
    <s v="P0142"/>
    <x v="1"/>
    <x v="1"/>
    <s v="S003"/>
    <d v="2024-03-12T00:00:00"/>
    <n v="170"/>
    <n v="34"/>
    <n v="151.63"/>
    <n v="627.64"/>
    <x v="2"/>
    <n v="106698.8"/>
    <n v="80921.7"/>
    <n v="5"/>
    <n v="0"/>
  </r>
  <r>
    <s v="P0021"/>
    <x v="9"/>
    <x v="3"/>
    <s v="S010"/>
    <d v="2024-07-06T00:00:00"/>
    <n v="125"/>
    <n v="182"/>
    <n v="129.21"/>
    <n v="535.41"/>
    <x v="1"/>
    <n v="66926.25"/>
    <n v="50774.999999999993"/>
    <n v="0.68681318681318682"/>
    <n v="0"/>
  </r>
  <r>
    <s v="P0048"/>
    <x v="5"/>
    <x v="2"/>
    <s v="S019"/>
    <d v="2022-03-14T00:00:00"/>
    <n v="172"/>
    <n v="269"/>
    <n v="439.8"/>
    <n v="478.06"/>
    <x v="4"/>
    <n v="82226.320000000007"/>
    <n v="6580.7199999999984"/>
    <n v="0.63940520446096649"/>
    <n v="0"/>
  </r>
  <r>
    <s v="P0148"/>
    <x v="2"/>
    <x v="3"/>
    <s v="S009"/>
    <d v="2023-04-26T00:00:00"/>
    <n v="150"/>
    <n v="99"/>
    <n v="249.88"/>
    <n v="624.73"/>
    <x v="4"/>
    <n v="93709.5"/>
    <n v="56227.5"/>
    <n v="1.5151515151515151"/>
    <n v="0"/>
  </r>
  <r>
    <s v="P0128"/>
    <x v="2"/>
    <x v="0"/>
    <s v="S020"/>
    <d v="2023-07-14T00:00:00"/>
    <n v="196"/>
    <n v="6"/>
    <n v="111.67"/>
    <n v="609.29"/>
    <x v="1"/>
    <n v="119420.84"/>
    <n v="97533.51999999999"/>
    <n v="32.666666666666664"/>
    <n v="0"/>
  </r>
  <r>
    <s v="P0136"/>
    <x v="7"/>
    <x v="3"/>
    <s v="S013"/>
    <d v="2024-01-15T00:00:00"/>
    <n v="93"/>
    <n v="29"/>
    <n v="438"/>
    <n v="540.91"/>
    <x v="3"/>
    <n v="50304.63"/>
    <n v="9570.6299999999974"/>
    <n v="3.2068965517241379"/>
    <n v="0"/>
  </r>
  <r>
    <s v="P0135"/>
    <x v="8"/>
    <x v="2"/>
    <s v="S007"/>
    <d v="2022-04-10T00:00:00"/>
    <n v="133"/>
    <n v="143"/>
    <n v="417.24"/>
    <n v="351.85"/>
    <x v="0"/>
    <n v="46796.05"/>
    <n v="-8696.869999999999"/>
    <n v="0.93006993006993011"/>
    <n v="0"/>
  </r>
  <r>
    <s v="P0195"/>
    <x v="8"/>
    <x v="3"/>
    <s v="S014"/>
    <d v="2024-12-18T00:00:00"/>
    <n v="183"/>
    <n v="110"/>
    <n v="492.76"/>
    <n v="384.07"/>
    <x v="3"/>
    <n v="70284.81"/>
    <n v="-19890.27"/>
    <n v="1.6636363636363636"/>
    <n v="0"/>
  </r>
  <r>
    <s v="P0145"/>
    <x v="1"/>
    <x v="1"/>
    <s v="S009"/>
    <d v="2023-05-23T00:00:00"/>
    <n v="121"/>
    <n v="231"/>
    <n v="459.38"/>
    <n v="779.31"/>
    <x v="4"/>
    <n v="94296.51"/>
    <n v="38711.529999999992"/>
    <n v="0.52380952380952384"/>
    <n v="0"/>
  </r>
  <r>
    <s v="P0128"/>
    <x v="5"/>
    <x v="3"/>
    <s v="S019"/>
    <d v="2022-09-15T00:00:00"/>
    <n v="107"/>
    <n v="178"/>
    <n v="433.31"/>
    <n v="178.67"/>
    <x v="0"/>
    <n v="19117.689999999999"/>
    <n v="-27246.480000000003"/>
    <n v="0.601123595505618"/>
    <n v="0"/>
  </r>
  <r>
    <s v="P0033"/>
    <x v="7"/>
    <x v="1"/>
    <s v="S015"/>
    <d v="2023-02-17T00:00:00"/>
    <n v="3"/>
    <n v="71"/>
    <n v="73.66"/>
    <n v="287.95"/>
    <x v="2"/>
    <n v="863.84999999999991"/>
    <n v="642.87"/>
    <n v="4.2253521126760563E-2"/>
    <n v="0"/>
  </r>
  <r>
    <s v="P0176"/>
    <x v="3"/>
    <x v="0"/>
    <s v="S020"/>
    <d v="2024-12-24T00:00:00"/>
    <n v="92"/>
    <n v="209"/>
    <n v="96.99"/>
    <n v="444.68"/>
    <x v="0"/>
    <n v="40910.559999999998"/>
    <n v="31987.48"/>
    <n v="0.44019138755980863"/>
    <n v="0"/>
  </r>
  <r>
    <s v="P0187"/>
    <x v="8"/>
    <x v="1"/>
    <s v="S014"/>
    <d v="2023-08-18T00:00:00"/>
    <n v="150"/>
    <n v="219"/>
    <n v="306.04000000000002"/>
    <n v="685.71"/>
    <x v="3"/>
    <n v="102856.5"/>
    <n v="56950.5"/>
    <n v="0.68493150684931503"/>
    <n v="0"/>
  </r>
  <r>
    <s v="P0115"/>
    <x v="2"/>
    <x v="3"/>
    <s v="S006"/>
    <d v="2022-09-23T00:00:00"/>
    <n v="5"/>
    <n v="79"/>
    <n v="289.17"/>
    <n v="214.57"/>
    <x v="1"/>
    <n v="1072.8499999999999"/>
    <n v="-373.00000000000011"/>
    <n v="6.3291139240506333E-2"/>
    <n v="0"/>
  </r>
  <r>
    <s v="P0119"/>
    <x v="9"/>
    <x v="2"/>
    <s v="S004"/>
    <d v="2024-03-31T00:00:00"/>
    <n v="31"/>
    <n v="82"/>
    <n v="256.08"/>
    <n v="293.87"/>
    <x v="2"/>
    <n v="9109.9699999999993"/>
    <n v="1171.4900000000007"/>
    <n v="0.37804878048780488"/>
    <n v="0"/>
  </r>
  <r>
    <s v="P0022"/>
    <x v="9"/>
    <x v="1"/>
    <s v="S008"/>
    <d v="2023-10-24T00:00:00"/>
    <n v="105"/>
    <n v="41"/>
    <n v="228.56"/>
    <n v="146.06"/>
    <x v="3"/>
    <n v="15336.300000000001"/>
    <n v="-8662.5"/>
    <n v="2.5609756097560976"/>
    <n v="0"/>
  </r>
  <r>
    <s v="P0158"/>
    <x v="7"/>
    <x v="0"/>
    <s v="S017"/>
    <d v="2024-08-04T00:00:00"/>
    <n v="145"/>
    <n v="272"/>
    <n v="244.04"/>
    <n v="594.19000000000005"/>
    <x v="2"/>
    <n v="86157.55"/>
    <n v="50771.750000000015"/>
    <n v="0.53308823529411764"/>
    <n v="0"/>
  </r>
  <r>
    <s v="P0038"/>
    <x v="5"/>
    <x v="1"/>
    <s v="S009"/>
    <d v="2023-07-14T00:00:00"/>
    <n v="14"/>
    <n v="190"/>
    <n v="306.18"/>
    <n v="266.75"/>
    <x v="0"/>
    <n v="3734.5"/>
    <n v="-552.0200000000001"/>
    <n v="7.3684210526315783E-2"/>
    <n v="0"/>
  </r>
  <r>
    <s v="P0109"/>
    <x v="5"/>
    <x v="1"/>
    <s v="S001"/>
    <d v="2024-07-05T00:00:00"/>
    <n v="167"/>
    <n v="172"/>
    <n v="50.93"/>
    <n v="372.07"/>
    <x v="4"/>
    <n v="62135.69"/>
    <n v="53630.38"/>
    <n v="0.97093023255813948"/>
    <n v="0"/>
  </r>
  <r>
    <s v="P0051"/>
    <x v="6"/>
    <x v="1"/>
    <s v="S020"/>
    <d v="2024-06-09T00:00:00"/>
    <n v="121"/>
    <n v="6"/>
    <n v="167.32"/>
    <n v="410.59"/>
    <x v="3"/>
    <n v="49681.39"/>
    <n v="29435.67"/>
    <n v="20.166666666666668"/>
    <n v="0"/>
  </r>
  <r>
    <s v="P0182"/>
    <x v="4"/>
    <x v="0"/>
    <s v="S014"/>
    <d v="2024-05-17T00:00:00"/>
    <n v="95"/>
    <n v="154"/>
    <n v="283.23"/>
    <n v="723.92"/>
    <x v="1"/>
    <n v="68772.399999999994"/>
    <n v="41865.549999999996"/>
    <n v="0.61688311688311692"/>
    <n v="0"/>
  </r>
  <r>
    <s v="P0008"/>
    <x v="8"/>
    <x v="3"/>
    <s v="S011"/>
    <d v="2023-09-02T00:00:00"/>
    <n v="5"/>
    <n v="9"/>
    <n v="375"/>
    <n v="387.93"/>
    <x v="0"/>
    <n v="1939.65"/>
    <n v="64.650000000000034"/>
    <n v="0.55555555555555558"/>
    <n v="0"/>
  </r>
  <r>
    <s v="P0027"/>
    <x v="5"/>
    <x v="1"/>
    <s v="S003"/>
    <d v="2023-02-18T00:00:00"/>
    <n v="111"/>
    <n v="33"/>
    <n v="128.37"/>
    <n v="201.66"/>
    <x v="3"/>
    <n v="22384.26"/>
    <n v="8135.1899999999987"/>
    <n v="3.3636363636363638"/>
    <n v="0"/>
  </r>
  <r>
    <s v="P0027"/>
    <x v="2"/>
    <x v="1"/>
    <s v="S009"/>
    <d v="2022-01-25T00:00:00"/>
    <n v="119"/>
    <n v="35"/>
    <n v="296.10000000000002"/>
    <n v="467.02"/>
    <x v="1"/>
    <n v="55575.38"/>
    <n v="20339.479999999996"/>
    <n v="3.4"/>
    <n v="0"/>
  </r>
  <r>
    <s v="P0021"/>
    <x v="7"/>
    <x v="2"/>
    <s v="S014"/>
    <d v="2022-10-11T00:00:00"/>
    <n v="122"/>
    <n v="5"/>
    <n v="371.51"/>
    <n v="774.07"/>
    <x v="3"/>
    <n v="94436.540000000008"/>
    <n v="49112.320000000007"/>
    <n v="24.4"/>
    <n v="0"/>
  </r>
  <r>
    <s v="P0030"/>
    <x v="3"/>
    <x v="0"/>
    <s v="S009"/>
    <d v="2024-05-30T00:00:00"/>
    <n v="190"/>
    <n v="214"/>
    <n v="250.08"/>
    <n v="525.38"/>
    <x v="0"/>
    <n v="99822.2"/>
    <n v="52306.999999999993"/>
    <n v="0.88785046728971961"/>
    <n v="0"/>
  </r>
  <r>
    <s v="P0097"/>
    <x v="6"/>
    <x v="1"/>
    <s v="S004"/>
    <d v="2022-10-28T00:00:00"/>
    <n v="66"/>
    <n v="133"/>
    <n v="62.19"/>
    <n v="788.37"/>
    <x v="3"/>
    <n v="52032.42"/>
    <n v="47927.880000000005"/>
    <n v="0.49624060150375937"/>
    <n v="0"/>
  </r>
  <r>
    <s v="P0028"/>
    <x v="0"/>
    <x v="0"/>
    <s v="S004"/>
    <d v="2024-12-27T00:00:00"/>
    <n v="105"/>
    <n v="284"/>
    <n v="252.17"/>
    <n v="688.78"/>
    <x v="2"/>
    <n v="72321.899999999994"/>
    <n v="45844.05"/>
    <n v="0.36971830985915494"/>
    <n v="0"/>
  </r>
  <r>
    <s v="P0111"/>
    <x v="1"/>
    <x v="1"/>
    <s v="S008"/>
    <d v="2024-10-27T00:00:00"/>
    <n v="138"/>
    <n v="125"/>
    <n v="183.4"/>
    <n v="125.18"/>
    <x v="0"/>
    <n v="17274.84"/>
    <n v="-8034.36"/>
    <n v="1.1040000000000001"/>
    <n v="0"/>
  </r>
  <r>
    <s v="P0192"/>
    <x v="3"/>
    <x v="3"/>
    <s v="S002"/>
    <d v="2024-03-27T00:00:00"/>
    <n v="42"/>
    <n v="173"/>
    <n v="468.34"/>
    <n v="560.88"/>
    <x v="3"/>
    <n v="23556.959999999999"/>
    <n v="3886.6800000000007"/>
    <n v="0.24277456647398843"/>
    <n v="0"/>
  </r>
  <r>
    <s v="P0197"/>
    <x v="0"/>
    <x v="3"/>
    <s v="S009"/>
    <d v="2022-03-24T00:00:00"/>
    <n v="144"/>
    <n v="151"/>
    <n v="106.08"/>
    <n v="300.74"/>
    <x v="4"/>
    <n v="43306.559999999998"/>
    <n v="28031.040000000005"/>
    <n v="0.95364238410596025"/>
    <n v="0"/>
  </r>
  <r>
    <s v="P0061"/>
    <x v="9"/>
    <x v="1"/>
    <s v="S014"/>
    <d v="2022-02-15T00:00:00"/>
    <n v="95"/>
    <n v="25"/>
    <n v="343.61"/>
    <n v="491.73"/>
    <x v="3"/>
    <n v="46714.35"/>
    <n v="14071.4"/>
    <n v="3.8"/>
    <n v="0"/>
  </r>
  <r>
    <s v="P0048"/>
    <x v="1"/>
    <x v="3"/>
    <s v="S009"/>
    <d v="2023-09-10T00:00:00"/>
    <n v="131"/>
    <n v="114"/>
    <n v="73.72"/>
    <n v="295.54000000000002"/>
    <x v="2"/>
    <n v="38715.740000000005"/>
    <n v="29058.420000000002"/>
    <n v="1.1491228070175439"/>
    <n v="0"/>
  </r>
  <r>
    <s v="P0147"/>
    <x v="8"/>
    <x v="1"/>
    <s v="S016"/>
    <d v="2024-07-16T00:00:00"/>
    <n v="190"/>
    <n v="283"/>
    <n v="250.78"/>
    <n v="344.21"/>
    <x v="1"/>
    <n v="65399.899999999994"/>
    <n v="17751.699999999997"/>
    <n v="0.67137809187279152"/>
    <n v="0"/>
  </r>
  <r>
    <s v="P0004"/>
    <x v="2"/>
    <x v="3"/>
    <s v="S017"/>
    <d v="2022-09-19T00:00:00"/>
    <n v="195"/>
    <n v="74"/>
    <n v="299.29000000000002"/>
    <n v="746.22"/>
    <x v="1"/>
    <n v="145512.9"/>
    <n v="87151.35"/>
    <n v="2.6351351351351351"/>
    <n v="0"/>
  </r>
  <r>
    <s v="P0035"/>
    <x v="1"/>
    <x v="2"/>
    <s v="S016"/>
    <d v="2022-06-25T00:00:00"/>
    <n v="80"/>
    <n v="165"/>
    <n v="184.08"/>
    <n v="244.65"/>
    <x v="1"/>
    <n v="19572"/>
    <n v="4845.5999999999995"/>
    <n v="0.48484848484848486"/>
    <n v="0"/>
  </r>
  <r>
    <s v="P0192"/>
    <x v="4"/>
    <x v="2"/>
    <s v="S012"/>
    <d v="2023-10-19T00:00:00"/>
    <n v="40"/>
    <n v="188"/>
    <n v="254.78"/>
    <n v="711.88"/>
    <x v="4"/>
    <n v="28475.200000000001"/>
    <n v="18284"/>
    <n v="0.21276595744680851"/>
    <n v="0"/>
  </r>
  <r>
    <s v="P0049"/>
    <x v="0"/>
    <x v="2"/>
    <s v="S003"/>
    <d v="2024-04-21T00:00:00"/>
    <n v="132"/>
    <n v="77"/>
    <n v="123.6"/>
    <n v="121.32"/>
    <x v="2"/>
    <n v="16014.24"/>
    <n v="-300.96000000000015"/>
    <n v="1.7142857142857142"/>
    <n v="0"/>
  </r>
  <r>
    <s v="P0017"/>
    <x v="8"/>
    <x v="0"/>
    <s v="S011"/>
    <d v="2023-01-05T00:00:00"/>
    <n v="159"/>
    <n v="89"/>
    <n v="186.86"/>
    <n v="163.61000000000001"/>
    <x v="0"/>
    <n v="26013.99"/>
    <n v="-3696.75"/>
    <n v="1.7865168539325842"/>
    <n v="0"/>
  </r>
  <r>
    <s v="P0172"/>
    <x v="4"/>
    <x v="0"/>
    <s v="S014"/>
    <d v="2022-02-23T00:00:00"/>
    <n v="197"/>
    <n v="175"/>
    <n v="329.5"/>
    <n v="698.27"/>
    <x v="1"/>
    <n v="137559.19"/>
    <n v="72647.69"/>
    <n v="1.1257142857142857"/>
    <n v="0"/>
  </r>
  <r>
    <s v="P0158"/>
    <x v="9"/>
    <x v="2"/>
    <s v="S018"/>
    <d v="2023-11-21T00:00:00"/>
    <n v="34"/>
    <n v="20"/>
    <n v="185.81"/>
    <n v="541.39"/>
    <x v="2"/>
    <n v="18407.259999999998"/>
    <n v="12089.72"/>
    <n v="1.7"/>
    <n v="0"/>
  </r>
  <r>
    <s v="P0046"/>
    <x v="4"/>
    <x v="0"/>
    <s v="S005"/>
    <d v="2023-01-02T00:00:00"/>
    <n v="21"/>
    <n v="53"/>
    <n v="454.88"/>
    <n v="623.07000000000005"/>
    <x v="3"/>
    <n v="13084.470000000001"/>
    <n v="3531.9900000000011"/>
    <n v="0.39622641509433965"/>
    <n v="0"/>
  </r>
  <r>
    <s v="P0117"/>
    <x v="6"/>
    <x v="3"/>
    <s v="S016"/>
    <d v="2023-10-06T00:00:00"/>
    <n v="192"/>
    <n v="183"/>
    <n v="332.78"/>
    <n v="246.59"/>
    <x v="4"/>
    <n v="47345.279999999999"/>
    <n v="-16548.479999999996"/>
    <n v="1.0491803278688525"/>
    <n v="0"/>
  </r>
  <r>
    <s v="P0006"/>
    <x v="6"/>
    <x v="1"/>
    <s v="S020"/>
    <d v="2023-01-14T00:00:00"/>
    <n v="149"/>
    <n v="221"/>
    <n v="247.39"/>
    <n v="475.96"/>
    <x v="2"/>
    <n v="70918.039999999994"/>
    <n v="34056.93"/>
    <n v="0.67420814479638014"/>
    <n v="0"/>
  </r>
  <r>
    <s v="P0099"/>
    <x v="7"/>
    <x v="1"/>
    <s v="S005"/>
    <d v="2022-03-14T00:00:00"/>
    <n v="111"/>
    <n v="178"/>
    <n v="67.44"/>
    <n v="616.04999999999995"/>
    <x v="2"/>
    <n v="68381.549999999988"/>
    <n v="60895.709999999992"/>
    <n v="0.6235955056179775"/>
    <n v="0"/>
  </r>
  <r>
    <s v="P0124"/>
    <x v="3"/>
    <x v="1"/>
    <s v="S003"/>
    <d v="2024-07-03T00:00:00"/>
    <n v="10"/>
    <n v="275"/>
    <n v="274.8"/>
    <n v="539.12"/>
    <x v="0"/>
    <n v="5391.2"/>
    <n v="2643.2"/>
    <n v="3.6363636363636362E-2"/>
    <n v="0"/>
  </r>
  <r>
    <s v="P0037"/>
    <x v="3"/>
    <x v="2"/>
    <s v="S012"/>
    <d v="2024-05-09T00:00:00"/>
    <n v="2"/>
    <n v="111"/>
    <n v="394.15"/>
    <n v="430.19"/>
    <x v="2"/>
    <n v="860.38"/>
    <n v="72.080000000000041"/>
    <n v="1.8018018018018018E-2"/>
    <n v="0"/>
  </r>
  <r>
    <s v="P0024"/>
    <x v="8"/>
    <x v="0"/>
    <s v="S001"/>
    <d v="2022-02-12T00:00:00"/>
    <n v="136"/>
    <n v="223"/>
    <n v="169.5"/>
    <n v="771.85"/>
    <x v="0"/>
    <n v="104971.6"/>
    <n v="81919.600000000006"/>
    <n v="0.60986547085201792"/>
    <n v="0"/>
  </r>
  <r>
    <s v="P0093"/>
    <x v="9"/>
    <x v="3"/>
    <s v="S009"/>
    <d v="2023-01-12T00:00:00"/>
    <n v="59"/>
    <n v="213"/>
    <n v="413.05"/>
    <n v="573.30999999999995"/>
    <x v="4"/>
    <n v="33825.289999999994"/>
    <n v="9455.3399999999965"/>
    <n v="0.27699530516431925"/>
    <n v="0"/>
  </r>
  <r>
    <s v="P0046"/>
    <x v="5"/>
    <x v="3"/>
    <s v="S009"/>
    <d v="2024-11-30T00:00:00"/>
    <n v="75"/>
    <n v="58"/>
    <n v="163.31"/>
    <n v="735.43"/>
    <x v="4"/>
    <n v="55157.249999999993"/>
    <n v="42908.999999999993"/>
    <n v="1.2931034482758621"/>
    <n v="0"/>
  </r>
  <r>
    <s v="P0181"/>
    <x v="6"/>
    <x v="2"/>
    <s v="S004"/>
    <d v="2022-06-19T00:00:00"/>
    <n v="86"/>
    <n v="108"/>
    <n v="420.69"/>
    <n v="610.84"/>
    <x v="3"/>
    <n v="52532.240000000005"/>
    <n v="16352.900000000003"/>
    <n v="0.79629629629629628"/>
    <n v="0"/>
  </r>
  <r>
    <s v="P0095"/>
    <x v="8"/>
    <x v="3"/>
    <s v="S003"/>
    <d v="2022-07-31T00:00:00"/>
    <n v="13"/>
    <n v="156"/>
    <n v="88.37"/>
    <n v="614.82000000000005"/>
    <x v="0"/>
    <n v="7992.6600000000008"/>
    <n v="6843.85"/>
    <n v="8.3333333333333329E-2"/>
    <n v="0"/>
  </r>
  <r>
    <s v="P0099"/>
    <x v="5"/>
    <x v="3"/>
    <s v="S017"/>
    <d v="2022-02-08T00:00:00"/>
    <n v="17"/>
    <n v="190"/>
    <n v="439.78"/>
    <n v="156.01"/>
    <x v="0"/>
    <n v="2652.17"/>
    <n v="-4824.09"/>
    <n v="8.9473684210526316E-2"/>
    <n v="0"/>
  </r>
  <r>
    <s v="P0188"/>
    <x v="3"/>
    <x v="3"/>
    <s v="S002"/>
    <d v="2023-01-04T00:00:00"/>
    <n v="112"/>
    <n v="199"/>
    <n v="274.63"/>
    <n v="351.63"/>
    <x v="1"/>
    <n v="39382.559999999998"/>
    <n v="8624"/>
    <n v="0.56281407035175879"/>
    <n v="0"/>
  </r>
  <r>
    <s v="P0116"/>
    <x v="7"/>
    <x v="3"/>
    <s v="S001"/>
    <d v="2024-01-27T00:00:00"/>
    <n v="72"/>
    <n v="195"/>
    <n v="183.44"/>
    <n v="700.86"/>
    <x v="1"/>
    <n v="50461.919999999998"/>
    <n v="37254.240000000005"/>
    <n v="0.36923076923076925"/>
    <n v="0"/>
  </r>
  <r>
    <s v="P0191"/>
    <x v="4"/>
    <x v="0"/>
    <s v="S008"/>
    <d v="2022-05-31T00:00:00"/>
    <n v="22"/>
    <n v="34"/>
    <n v="169.3"/>
    <n v="262.82"/>
    <x v="3"/>
    <n v="5782.04"/>
    <n v="2057.4399999999996"/>
    <n v="0.6470588235294118"/>
    <n v="0"/>
  </r>
  <r>
    <s v="P0160"/>
    <x v="6"/>
    <x v="3"/>
    <s v="S013"/>
    <d v="2024-12-06T00:00:00"/>
    <n v="82"/>
    <n v="245"/>
    <n v="244.4"/>
    <n v="180.85"/>
    <x v="4"/>
    <n v="14829.699999999999"/>
    <n v="-5211.1000000000013"/>
    <n v="0.33469387755102042"/>
    <n v="0"/>
  </r>
  <r>
    <s v="P0161"/>
    <x v="8"/>
    <x v="1"/>
    <s v="S015"/>
    <d v="2024-10-20T00:00:00"/>
    <n v="124"/>
    <n v="236"/>
    <n v="499.57"/>
    <n v="328.27"/>
    <x v="1"/>
    <n v="40705.479999999996"/>
    <n v="-21241.200000000001"/>
    <n v="0.52542372881355937"/>
    <n v="0"/>
  </r>
  <r>
    <s v="P0067"/>
    <x v="1"/>
    <x v="2"/>
    <s v="S008"/>
    <d v="2024-01-07T00:00:00"/>
    <n v="174"/>
    <n v="103"/>
    <n v="149.15"/>
    <n v="254.31"/>
    <x v="2"/>
    <n v="44249.94"/>
    <n v="18297.84"/>
    <n v="1.6893203883495145"/>
    <n v="0"/>
  </r>
  <r>
    <s v="P0128"/>
    <x v="5"/>
    <x v="0"/>
    <s v="S012"/>
    <d v="2022-03-10T00:00:00"/>
    <n v="68"/>
    <n v="6"/>
    <n v="96.45"/>
    <n v="747.7"/>
    <x v="4"/>
    <n v="50843.600000000006"/>
    <n v="44285"/>
    <n v="11.333333333333334"/>
    <n v="0"/>
  </r>
  <r>
    <s v="P0018"/>
    <x v="4"/>
    <x v="3"/>
    <s v="S012"/>
    <d v="2022-10-26T00:00:00"/>
    <n v="46"/>
    <n v="282"/>
    <n v="313.27"/>
    <n v="707.58"/>
    <x v="2"/>
    <n v="32548.68"/>
    <n v="18138.260000000002"/>
    <n v="0.16312056737588654"/>
    <n v="0"/>
  </r>
  <r>
    <s v="P0025"/>
    <x v="6"/>
    <x v="0"/>
    <s v="S014"/>
    <d v="2024-08-01T00:00:00"/>
    <n v="115"/>
    <n v="0"/>
    <n v="269.83999999999997"/>
    <n v="449.78"/>
    <x v="0"/>
    <n v="51724.7"/>
    <n v="20693.099999999999"/>
    <n v="0"/>
    <n v="1"/>
  </r>
  <r>
    <s v="P0054"/>
    <x v="3"/>
    <x v="3"/>
    <s v="S015"/>
    <d v="2024-03-12T00:00:00"/>
    <n v="29"/>
    <n v="218"/>
    <n v="285.89"/>
    <n v="142.94"/>
    <x v="4"/>
    <n v="4145.26"/>
    <n v="-4145.5499999999993"/>
    <n v="0.13302752293577982"/>
    <n v="0"/>
  </r>
  <r>
    <s v="P0058"/>
    <x v="9"/>
    <x v="1"/>
    <s v="S015"/>
    <d v="2022-10-23T00:00:00"/>
    <n v="24"/>
    <n v="229"/>
    <n v="350.12"/>
    <n v="600.19000000000005"/>
    <x v="3"/>
    <n v="14404.560000000001"/>
    <n v="6001.6800000000012"/>
    <n v="0.10480349344978165"/>
    <n v="0"/>
  </r>
  <r>
    <s v="P0067"/>
    <x v="5"/>
    <x v="2"/>
    <s v="S009"/>
    <d v="2022-07-22T00:00:00"/>
    <n v="155"/>
    <n v="171"/>
    <n v="170.21"/>
    <n v="536.39"/>
    <x v="0"/>
    <n v="83140.45"/>
    <n v="56757.899999999994"/>
    <n v="0.9064327485380117"/>
    <n v="0"/>
  </r>
  <r>
    <s v="P0104"/>
    <x v="3"/>
    <x v="3"/>
    <s v="S019"/>
    <d v="2022-03-02T00:00:00"/>
    <n v="111"/>
    <n v="86"/>
    <n v="459.8"/>
    <n v="779.39"/>
    <x v="0"/>
    <n v="86512.29"/>
    <n v="35474.49"/>
    <n v="1.2906976744186047"/>
    <n v="0"/>
  </r>
  <r>
    <s v="P0174"/>
    <x v="6"/>
    <x v="3"/>
    <s v="S020"/>
    <d v="2024-08-03T00:00:00"/>
    <n v="24"/>
    <n v="40"/>
    <n v="246.05"/>
    <n v="491.27"/>
    <x v="2"/>
    <n v="11790.48"/>
    <n v="5885.2799999999988"/>
    <n v="0.6"/>
    <n v="0"/>
  </r>
  <r>
    <s v="P0024"/>
    <x v="5"/>
    <x v="3"/>
    <s v="S008"/>
    <d v="2024-08-20T00:00:00"/>
    <n v="73"/>
    <n v="122"/>
    <n v="108.09"/>
    <n v="335.48"/>
    <x v="0"/>
    <n v="24490.04"/>
    <n v="16599.47"/>
    <n v="0.59836065573770492"/>
    <n v="0"/>
  </r>
  <r>
    <s v="P0114"/>
    <x v="4"/>
    <x v="3"/>
    <s v="S019"/>
    <d v="2022-11-27T00:00:00"/>
    <n v="57"/>
    <n v="297"/>
    <n v="384.03"/>
    <n v="463.32"/>
    <x v="1"/>
    <n v="26409.239999999998"/>
    <n v="4519.5300000000016"/>
    <n v="0.19191919191919191"/>
    <n v="0"/>
  </r>
  <r>
    <s v="P0032"/>
    <x v="6"/>
    <x v="2"/>
    <s v="S006"/>
    <d v="2022-12-04T00:00:00"/>
    <n v="93"/>
    <n v="177"/>
    <n v="339.4"/>
    <n v="785.48"/>
    <x v="4"/>
    <n v="73049.64"/>
    <n v="41485.440000000002"/>
    <n v="0.52542372881355937"/>
    <n v="0"/>
  </r>
  <r>
    <s v="P0175"/>
    <x v="0"/>
    <x v="2"/>
    <s v="S020"/>
    <d v="2023-10-01T00:00:00"/>
    <n v="118"/>
    <n v="62"/>
    <n v="192.08"/>
    <n v="587.45000000000005"/>
    <x v="1"/>
    <n v="69319.100000000006"/>
    <n v="46653.66"/>
    <n v="1.903225806451613"/>
    <n v="0"/>
  </r>
  <r>
    <s v="P0086"/>
    <x v="8"/>
    <x v="1"/>
    <s v="S019"/>
    <d v="2022-10-02T00:00:00"/>
    <n v="126"/>
    <n v="164"/>
    <n v="329.68"/>
    <n v="570.38"/>
    <x v="2"/>
    <n v="71867.88"/>
    <n v="30328.199999999997"/>
    <n v="0.76829268292682928"/>
    <n v="0"/>
  </r>
  <r>
    <s v="P0151"/>
    <x v="4"/>
    <x v="2"/>
    <s v="S004"/>
    <d v="2022-11-15T00:00:00"/>
    <n v="168"/>
    <n v="186"/>
    <n v="148.94"/>
    <n v="268.48"/>
    <x v="2"/>
    <n v="45104.639999999999"/>
    <n v="20082.720000000005"/>
    <n v="0.90322580645161288"/>
    <n v="0"/>
  </r>
  <r>
    <s v="P0194"/>
    <x v="5"/>
    <x v="3"/>
    <s v="S007"/>
    <d v="2023-08-12T00:00:00"/>
    <n v="24"/>
    <n v="208"/>
    <n v="250.18"/>
    <n v="620.52"/>
    <x v="4"/>
    <n v="14892.48"/>
    <n v="8888.16"/>
    <n v="0.11538461538461539"/>
    <n v="0"/>
  </r>
  <r>
    <s v="P0127"/>
    <x v="9"/>
    <x v="1"/>
    <s v="S004"/>
    <d v="2023-05-19T00:00:00"/>
    <n v="77"/>
    <n v="226"/>
    <n v="454.74"/>
    <n v="625.19000000000005"/>
    <x v="0"/>
    <n v="48139.630000000005"/>
    <n v="13124.650000000003"/>
    <n v="0.34070796460176989"/>
    <n v="0"/>
  </r>
  <r>
    <s v="P0155"/>
    <x v="3"/>
    <x v="1"/>
    <s v="S012"/>
    <d v="2023-01-22T00:00:00"/>
    <n v="98"/>
    <n v="47"/>
    <n v="110.09"/>
    <n v="322.10000000000002"/>
    <x v="3"/>
    <n v="31565.800000000003"/>
    <n v="20776.980000000003"/>
    <n v="2.0851063829787235"/>
    <n v="0"/>
  </r>
  <r>
    <s v="P0130"/>
    <x v="1"/>
    <x v="1"/>
    <s v="S013"/>
    <d v="2024-05-19T00:00:00"/>
    <n v="115"/>
    <n v="223"/>
    <n v="224.01"/>
    <n v="438.6"/>
    <x v="2"/>
    <n v="50439"/>
    <n v="24677.850000000002"/>
    <n v="0.51569506726457404"/>
    <n v="0"/>
  </r>
  <r>
    <s v="P0017"/>
    <x v="3"/>
    <x v="3"/>
    <s v="S003"/>
    <d v="2024-04-12T00:00:00"/>
    <n v="47"/>
    <n v="2"/>
    <n v="419.51"/>
    <n v="306.22000000000003"/>
    <x v="4"/>
    <n v="14392.340000000002"/>
    <n v="-5324.6299999999983"/>
    <n v="23.5"/>
    <n v="0"/>
  </r>
  <r>
    <s v="P0104"/>
    <x v="5"/>
    <x v="0"/>
    <s v="S012"/>
    <d v="2024-10-11T00:00:00"/>
    <n v="9"/>
    <n v="174"/>
    <n v="486.27"/>
    <n v="281.08999999999997"/>
    <x v="3"/>
    <n v="2529.81"/>
    <n v="-1846.6200000000001"/>
    <n v="5.1724137931034482E-2"/>
    <n v="0"/>
  </r>
  <r>
    <s v="P0161"/>
    <x v="3"/>
    <x v="3"/>
    <s v="S002"/>
    <d v="2023-08-26T00:00:00"/>
    <n v="98"/>
    <n v="98"/>
    <n v="254.27"/>
    <n v="118.13"/>
    <x v="0"/>
    <n v="11576.74"/>
    <n v="-13341.720000000001"/>
    <n v="1"/>
    <n v="0"/>
  </r>
  <r>
    <s v="P0137"/>
    <x v="8"/>
    <x v="2"/>
    <s v="S002"/>
    <d v="2023-11-22T00:00:00"/>
    <n v="10"/>
    <n v="115"/>
    <n v="278.14999999999998"/>
    <n v="299.64999999999998"/>
    <x v="2"/>
    <n v="2996.5"/>
    <n v="215"/>
    <n v="8.6956521739130432E-2"/>
    <n v="0"/>
  </r>
  <r>
    <s v="P0043"/>
    <x v="6"/>
    <x v="2"/>
    <s v="S009"/>
    <d v="2023-05-09T00:00:00"/>
    <n v="84"/>
    <n v="269"/>
    <n v="307.48"/>
    <n v="487.78"/>
    <x v="4"/>
    <n v="40973.519999999997"/>
    <n v="15145.199999999997"/>
    <n v="0.31226765799256506"/>
    <n v="0"/>
  </r>
  <r>
    <s v="P0176"/>
    <x v="1"/>
    <x v="3"/>
    <s v="S001"/>
    <d v="2023-05-05T00:00:00"/>
    <n v="148"/>
    <n v="252"/>
    <n v="469.56"/>
    <n v="101.12"/>
    <x v="4"/>
    <n v="14965.76"/>
    <n v="-54529.120000000003"/>
    <n v="0.58730158730158732"/>
    <n v="0"/>
  </r>
  <r>
    <s v="P0039"/>
    <x v="2"/>
    <x v="3"/>
    <s v="S008"/>
    <d v="2023-12-22T00:00:00"/>
    <n v="172"/>
    <n v="94"/>
    <n v="436.19"/>
    <n v="298.25"/>
    <x v="4"/>
    <n v="51299"/>
    <n v="-23725.68"/>
    <n v="1.8297872340425532"/>
    <n v="0"/>
  </r>
  <r>
    <s v="P0170"/>
    <x v="5"/>
    <x v="1"/>
    <s v="S006"/>
    <d v="2023-05-24T00:00:00"/>
    <n v="134"/>
    <n v="272"/>
    <n v="126.77"/>
    <n v="716.99"/>
    <x v="2"/>
    <n v="96076.66"/>
    <n v="79089.48000000001"/>
    <n v="0.49264705882352944"/>
    <n v="0"/>
  </r>
  <r>
    <s v="P0026"/>
    <x v="7"/>
    <x v="3"/>
    <s v="S006"/>
    <d v="2023-01-25T00:00:00"/>
    <n v="191"/>
    <n v="23"/>
    <n v="246.54"/>
    <n v="515.54999999999995"/>
    <x v="3"/>
    <n v="98470.049999999988"/>
    <n v="51380.909999999996"/>
    <n v="8.304347826086957"/>
    <n v="0"/>
  </r>
  <r>
    <s v="P0099"/>
    <x v="2"/>
    <x v="1"/>
    <s v="S018"/>
    <d v="2022-10-22T00:00:00"/>
    <n v="125"/>
    <n v="115"/>
    <n v="258.8"/>
    <n v="525.5"/>
    <x v="4"/>
    <n v="65687.5"/>
    <n v="33337.5"/>
    <n v="1.0869565217391304"/>
    <n v="0"/>
  </r>
  <r>
    <s v="P0050"/>
    <x v="3"/>
    <x v="2"/>
    <s v="S017"/>
    <d v="2024-03-06T00:00:00"/>
    <n v="63"/>
    <n v="150"/>
    <n v="405.09"/>
    <n v="382.36"/>
    <x v="0"/>
    <n v="24088.68"/>
    <n v="-1431.9899999999975"/>
    <n v="0.42"/>
    <n v="0"/>
  </r>
  <r>
    <s v="P0153"/>
    <x v="5"/>
    <x v="1"/>
    <s v="S012"/>
    <d v="2024-05-14T00:00:00"/>
    <n v="1"/>
    <n v="49"/>
    <n v="321.3"/>
    <n v="573.53"/>
    <x v="4"/>
    <n v="573.53"/>
    <n v="252.22999999999996"/>
    <n v="2.0408163265306121E-2"/>
    <n v="0"/>
  </r>
  <r>
    <s v="P0152"/>
    <x v="0"/>
    <x v="3"/>
    <s v="S006"/>
    <d v="2023-07-03T00:00:00"/>
    <n v="75"/>
    <n v="205"/>
    <n v="344.4"/>
    <n v="232.95"/>
    <x v="3"/>
    <n v="17471.25"/>
    <n v="-8358.75"/>
    <n v="0.36585365853658536"/>
    <n v="0"/>
  </r>
  <r>
    <s v="P0013"/>
    <x v="7"/>
    <x v="2"/>
    <s v="S008"/>
    <d v="2023-10-11T00:00:00"/>
    <n v="120"/>
    <n v="78"/>
    <n v="499.19"/>
    <n v="673.12"/>
    <x v="2"/>
    <n v="80774.399999999994"/>
    <n v="20871.600000000002"/>
    <n v="1.5384615384615385"/>
    <n v="0"/>
  </r>
  <r>
    <s v="P0060"/>
    <x v="1"/>
    <x v="0"/>
    <s v="S019"/>
    <d v="2023-07-22T00:00:00"/>
    <n v="41"/>
    <n v="69"/>
    <n v="83.73"/>
    <n v="181.68"/>
    <x v="4"/>
    <n v="7448.88"/>
    <n v="4015.9500000000003"/>
    <n v="0.59420289855072461"/>
    <n v="0"/>
  </r>
  <r>
    <s v="P0135"/>
    <x v="9"/>
    <x v="1"/>
    <s v="S010"/>
    <d v="2024-05-02T00:00:00"/>
    <n v="53"/>
    <n v="26"/>
    <n v="150.35"/>
    <n v="559.20000000000005"/>
    <x v="4"/>
    <n v="29637.600000000002"/>
    <n v="21669.050000000003"/>
    <n v="2.0384615384615383"/>
    <n v="0"/>
  </r>
  <r>
    <s v="P0057"/>
    <x v="0"/>
    <x v="2"/>
    <s v="S001"/>
    <d v="2024-02-09T00:00:00"/>
    <n v="74"/>
    <n v="270"/>
    <n v="233.55"/>
    <n v="338.8"/>
    <x v="0"/>
    <n v="25071.200000000001"/>
    <n v="7788.5"/>
    <n v="0.27407407407407408"/>
    <n v="0"/>
  </r>
  <r>
    <s v="P0036"/>
    <x v="2"/>
    <x v="1"/>
    <s v="S013"/>
    <d v="2023-03-21T00:00:00"/>
    <n v="15"/>
    <n v="49"/>
    <n v="206.5"/>
    <n v="623.26"/>
    <x v="0"/>
    <n v="9348.9"/>
    <n v="6251.4"/>
    <n v="0.30612244897959184"/>
    <n v="0"/>
  </r>
  <r>
    <s v="P0173"/>
    <x v="6"/>
    <x v="2"/>
    <s v="S017"/>
    <d v="2022-12-29T00:00:00"/>
    <n v="17"/>
    <n v="291"/>
    <n v="59.74"/>
    <n v="484.84"/>
    <x v="4"/>
    <n v="8242.2799999999988"/>
    <n v="7226.7"/>
    <n v="5.8419243986254296E-2"/>
    <n v="0"/>
  </r>
  <r>
    <s v="P0020"/>
    <x v="8"/>
    <x v="2"/>
    <s v="S003"/>
    <d v="2022-05-03T00:00:00"/>
    <n v="186"/>
    <n v="246"/>
    <n v="91.3"/>
    <n v="416.65"/>
    <x v="4"/>
    <n v="77496.899999999994"/>
    <n v="60515.099999999991"/>
    <n v="0.75609756097560976"/>
    <n v="0"/>
  </r>
  <r>
    <s v="P0065"/>
    <x v="9"/>
    <x v="1"/>
    <s v="S008"/>
    <d v="2024-01-12T00:00:00"/>
    <n v="89"/>
    <n v="263"/>
    <n v="356.43"/>
    <n v="218.6"/>
    <x v="0"/>
    <n v="19455.399999999998"/>
    <n v="-12266.87"/>
    <n v="0.33840304182509506"/>
    <n v="0"/>
  </r>
  <r>
    <s v="P0008"/>
    <x v="0"/>
    <x v="0"/>
    <s v="S014"/>
    <d v="2023-11-11T00:00:00"/>
    <n v="143"/>
    <n v="78"/>
    <n v="445.7"/>
    <n v="545.78"/>
    <x v="3"/>
    <n v="78046.539999999994"/>
    <n v="14311.439999999997"/>
    <n v="1.8333333333333333"/>
    <n v="0"/>
  </r>
  <r>
    <s v="P0144"/>
    <x v="6"/>
    <x v="2"/>
    <s v="S003"/>
    <d v="2023-02-24T00:00:00"/>
    <n v="5"/>
    <n v="189"/>
    <n v="281.39999999999998"/>
    <n v="782.34"/>
    <x v="1"/>
    <n v="3911.7000000000003"/>
    <n v="2504.7000000000003"/>
    <n v="2.6455026455026454E-2"/>
    <n v="0"/>
  </r>
  <r>
    <s v="P0142"/>
    <x v="6"/>
    <x v="2"/>
    <s v="S016"/>
    <d v="2022-04-02T00:00:00"/>
    <n v="184"/>
    <n v="46"/>
    <n v="292.64"/>
    <n v="677.92"/>
    <x v="1"/>
    <n v="124737.28"/>
    <n v="70891.51999999999"/>
    <n v="4"/>
    <n v="0"/>
  </r>
  <r>
    <s v="P0115"/>
    <x v="5"/>
    <x v="2"/>
    <s v="S013"/>
    <d v="2022-03-04T00:00:00"/>
    <n v="107"/>
    <n v="188"/>
    <n v="164.79"/>
    <n v="142.01"/>
    <x v="4"/>
    <n v="15195.07"/>
    <n v="-2437.46"/>
    <n v="0.56914893617021278"/>
    <n v="0"/>
  </r>
  <r>
    <s v="P0143"/>
    <x v="0"/>
    <x v="0"/>
    <s v="S020"/>
    <d v="2023-05-27T00:00:00"/>
    <n v="174"/>
    <n v="255"/>
    <n v="395.54"/>
    <n v="363.36"/>
    <x v="0"/>
    <n v="63224.639999999999"/>
    <n v="-5599.3200000000015"/>
    <n v="0.68235294117647061"/>
    <n v="0"/>
  </r>
  <r>
    <s v="P0092"/>
    <x v="1"/>
    <x v="0"/>
    <s v="S017"/>
    <d v="2024-02-11T00:00:00"/>
    <n v="47"/>
    <n v="221"/>
    <n v="388.31"/>
    <n v="747.91"/>
    <x v="2"/>
    <n v="35151.769999999997"/>
    <n v="16901.199999999997"/>
    <n v="0.21266968325791855"/>
    <n v="0"/>
  </r>
  <r>
    <s v="P0098"/>
    <x v="3"/>
    <x v="3"/>
    <s v="S013"/>
    <d v="2022-09-13T00:00:00"/>
    <n v="41"/>
    <n v="240"/>
    <n v="314.76"/>
    <n v="452.13"/>
    <x v="2"/>
    <n v="18537.329999999998"/>
    <n v="5632.17"/>
    <n v="0.17083333333333334"/>
    <n v="0"/>
  </r>
  <r>
    <s v="P0066"/>
    <x v="7"/>
    <x v="1"/>
    <s v="S006"/>
    <d v="2022-05-15T00:00:00"/>
    <n v="75"/>
    <n v="268"/>
    <n v="145.69999999999999"/>
    <n v="563.48"/>
    <x v="1"/>
    <n v="42261"/>
    <n v="31333.500000000004"/>
    <n v="0.27985074626865669"/>
    <n v="0"/>
  </r>
  <r>
    <s v="P0032"/>
    <x v="7"/>
    <x v="0"/>
    <s v="S017"/>
    <d v="2024-05-24T00:00:00"/>
    <n v="187"/>
    <n v="0"/>
    <n v="93.66"/>
    <n v="738.82"/>
    <x v="3"/>
    <n v="138159.34"/>
    <n v="120644.92000000001"/>
    <n v="0"/>
    <n v="1"/>
  </r>
  <r>
    <s v="P0191"/>
    <x v="2"/>
    <x v="1"/>
    <s v="S014"/>
    <d v="2024-04-01T00:00:00"/>
    <n v="76"/>
    <n v="33"/>
    <n v="78.91"/>
    <n v="711.66"/>
    <x v="1"/>
    <n v="54086.159999999996"/>
    <n v="48089"/>
    <n v="2.3030303030303032"/>
    <n v="0"/>
  </r>
  <r>
    <s v="P0086"/>
    <x v="2"/>
    <x v="3"/>
    <s v="S017"/>
    <d v="2022-03-29T00:00:00"/>
    <n v="131"/>
    <n v="78"/>
    <n v="316.70999999999998"/>
    <n v="451.27"/>
    <x v="4"/>
    <n v="59116.369999999995"/>
    <n v="17627.36"/>
    <n v="1.6794871794871795"/>
    <n v="0"/>
  </r>
  <r>
    <s v="P0051"/>
    <x v="7"/>
    <x v="1"/>
    <s v="S008"/>
    <d v="2024-09-14T00:00:00"/>
    <n v="129"/>
    <n v="235"/>
    <n v="421.27"/>
    <n v="406.35"/>
    <x v="3"/>
    <n v="52419.15"/>
    <n v="-1924.6799999999948"/>
    <n v="0.54893617021276597"/>
    <n v="0"/>
  </r>
  <r>
    <s v="P0153"/>
    <x v="1"/>
    <x v="0"/>
    <s v="S011"/>
    <d v="2024-04-02T00:00:00"/>
    <n v="58"/>
    <n v="97"/>
    <n v="436.25"/>
    <n v="337.78"/>
    <x v="2"/>
    <n v="19591.239999999998"/>
    <n v="-5711.260000000002"/>
    <n v="0.59793814432989689"/>
    <n v="0"/>
  </r>
  <r>
    <s v="P0186"/>
    <x v="8"/>
    <x v="1"/>
    <s v="S020"/>
    <d v="2024-10-23T00:00:00"/>
    <n v="154"/>
    <n v="81"/>
    <n v="258.63"/>
    <n v="603.30999999999995"/>
    <x v="0"/>
    <n v="92909.739999999991"/>
    <n v="53080.719999999994"/>
    <n v="1.9012345679012346"/>
    <n v="0"/>
  </r>
  <r>
    <s v="P0063"/>
    <x v="4"/>
    <x v="0"/>
    <s v="S001"/>
    <d v="2024-08-31T00:00:00"/>
    <n v="26"/>
    <n v="191"/>
    <n v="402.92"/>
    <n v="300.89"/>
    <x v="0"/>
    <n v="7823.1399999999994"/>
    <n v="-2652.7800000000007"/>
    <n v="0.13612565445026178"/>
    <n v="0"/>
  </r>
  <r>
    <s v="P0190"/>
    <x v="3"/>
    <x v="1"/>
    <s v="S007"/>
    <d v="2024-07-22T00:00:00"/>
    <n v="78"/>
    <n v="252"/>
    <n v="476.1"/>
    <n v="274.92"/>
    <x v="4"/>
    <n v="21443.760000000002"/>
    <n v="-15692.04"/>
    <n v="0.30952380952380953"/>
    <n v="0"/>
  </r>
  <r>
    <s v="P0125"/>
    <x v="8"/>
    <x v="0"/>
    <s v="S017"/>
    <d v="2022-05-01T00:00:00"/>
    <n v="71"/>
    <n v="37"/>
    <n v="173.83"/>
    <n v="349.37"/>
    <x v="1"/>
    <n v="24805.27"/>
    <n v="12463.34"/>
    <n v="1.9189189189189189"/>
    <n v="0"/>
  </r>
  <r>
    <s v="P0150"/>
    <x v="5"/>
    <x v="0"/>
    <s v="S010"/>
    <d v="2024-11-27T00:00:00"/>
    <n v="6"/>
    <n v="13"/>
    <n v="229.08"/>
    <n v="224.05"/>
    <x v="4"/>
    <n v="1344.3000000000002"/>
    <n v="-30.180000000000007"/>
    <n v="0.46153846153846156"/>
    <n v="0"/>
  </r>
  <r>
    <s v="P0058"/>
    <x v="4"/>
    <x v="1"/>
    <s v="S011"/>
    <d v="2024-10-04T00:00:00"/>
    <n v="190"/>
    <n v="208"/>
    <n v="469.17"/>
    <n v="586.58000000000004"/>
    <x v="0"/>
    <n v="111450.20000000001"/>
    <n v="22307.900000000005"/>
    <n v="0.91346153846153844"/>
    <n v="0"/>
  </r>
  <r>
    <s v="P0058"/>
    <x v="4"/>
    <x v="3"/>
    <s v="S009"/>
    <d v="2024-07-13T00:00:00"/>
    <n v="110"/>
    <n v="88"/>
    <n v="202.2"/>
    <n v="531.37"/>
    <x v="2"/>
    <n v="58450.7"/>
    <n v="36208.700000000004"/>
    <n v="1.25"/>
    <n v="0"/>
  </r>
  <r>
    <s v="P0086"/>
    <x v="0"/>
    <x v="2"/>
    <s v="S009"/>
    <d v="2023-10-07T00:00:00"/>
    <n v="118"/>
    <n v="55"/>
    <n v="461.24"/>
    <n v="438.01"/>
    <x v="0"/>
    <n v="51685.18"/>
    <n v="-2741.1400000000021"/>
    <n v="2.1454545454545455"/>
    <n v="0"/>
  </r>
  <r>
    <s v="P0049"/>
    <x v="1"/>
    <x v="3"/>
    <s v="S005"/>
    <d v="2023-12-15T00:00:00"/>
    <n v="173"/>
    <n v="93"/>
    <n v="491.47"/>
    <n v="373.23"/>
    <x v="3"/>
    <n v="64568.79"/>
    <n v="-20455.52"/>
    <n v="1.8602150537634408"/>
    <n v="0"/>
  </r>
  <r>
    <s v="P0180"/>
    <x v="1"/>
    <x v="1"/>
    <s v="S017"/>
    <d v="2024-05-09T00:00:00"/>
    <n v="62"/>
    <n v="92"/>
    <n v="347.81"/>
    <n v="736.34"/>
    <x v="0"/>
    <n v="45653.08"/>
    <n v="24088.86"/>
    <n v="0.67391304347826086"/>
    <n v="0"/>
  </r>
  <r>
    <s v="P0170"/>
    <x v="4"/>
    <x v="3"/>
    <s v="S009"/>
    <d v="2022-01-21T00:00:00"/>
    <n v="123"/>
    <n v="84"/>
    <n v="417.6"/>
    <n v="120.39"/>
    <x v="0"/>
    <n v="14807.97"/>
    <n v="-36556.83"/>
    <n v="1.4642857142857142"/>
    <n v="0"/>
  </r>
  <r>
    <s v="P0070"/>
    <x v="0"/>
    <x v="0"/>
    <s v="S017"/>
    <d v="2022-08-30T00:00:00"/>
    <n v="11"/>
    <n v="244"/>
    <n v="387.3"/>
    <n v="638.38"/>
    <x v="3"/>
    <n v="7022.18"/>
    <n v="2761.8799999999997"/>
    <n v="4.5081967213114756E-2"/>
    <n v="0"/>
  </r>
  <r>
    <s v="P0015"/>
    <x v="3"/>
    <x v="2"/>
    <s v="S019"/>
    <d v="2023-03-31T00:00:00"/>
    <n v="140"/>
    <n v="21"/>
    <n v="364.79"/>
    <n v="731.34"/>
    <x v="1"/>
    <n v="102387.6"/>
    <n v="51317"/>
    <n v="6.666666666666667"/>
    <n v="0"/>
  </r>
  <r>
    <s v="P0054"/>
    <x v="4"/>
    <x v="1"/>
    <s v="S007"/>
    <d v="2024-08-20T00:00:00"/>
    <n v="42"/>
    <n v="290"/>
    <n v="188.12"/>
    <n v="412.45"/>
    <x v="0"/>
    <n v="17322.899999999998"/>
    <n v="9421.8599999999988"/>
    <n v="0.14482758620689656"/>
    <n v="0"/>
  </r>
  <r>
    <s v="P0188"/>
    <x v="9"/>
    <x v="1"/>
    <s v="S009"/>
    <d v="2023-09-13T00:00:00"/>
    <n v="16"/>
    <n v="271"/>
    <n v="75.69"/>
    <n v="485.48"/>
    <x v="4"/>
    <n v="7767.68"/>
    <n v="6556.64"/>
    <n v="5.9040590405904057E-2"/>
    <n v="0"/>
  </r>
  <r>
    <s v="P0101"/>
    <x v="2"/>
    <x v="1"/>
    <s v="S007"/>
    <d v="2022-10-30T00:00:00"/>
    <n v="62"/>
    <n v="121"/>
    <n v="204.37"/>
    <n v="761.12"/>
    <x v="0"/>
    <n v="47189.440000000002"/>
    <n v="34518.5"/>
    <n v="0.51239669421487599"/>
    <n v="0"/>
  </r>
  <r>
    <s v="P0008"/>
    <x v="2"/>
    <x v="2"/>
    <s v="S013"/>
    <d v="2024-03-13T00:00:00"/>
    <n v="119"/>
    <n v="127"/>
    <n v="350.12"/>
    <n v="248.59"/>
    <x v="4"/>
    <n v="29582.21"/>
    <n v="-12082.07"/>
    <n v="0.93700787401574803"/>
    <n v="0"/>
  </r>
  <r>
    <s v="P0053"/>
    <x v="8"/>
    <x v="0"/>
    <s v="S011"/>
    <d v="2024-08-21T00:00:00"/>
    <n v="35"/>
    <n v="112"/>
    <n v="96.14"/>
    <n v="464.09"/>
    <x v="3"/>
    <n v="16243.15"/>
    <n v="12878.25"/>
    <n v="0.3125"/>
    <n v="0"/>
  </r>
  <r>
    <s v="P0060"/>
    <x v="5"/>
    <x v="1"/>
    <s v="S014"/>
    <d v="2022-03-10T00:00:00"/>
    <n v="7"/>
    <n v="272"/>
    <n v="55.36"/>
    <n v="432.3"/>
    <x v="0"/>
    <n v="3026.1"/>
    <n v="2638.58"/>
    <n v="2.5735294117647058E-2"/>
    <n v="0"/>
  </r>
  <r>
    <s v="P0108"/>
    <x v="2"/>
    <x v="3"/>
    <s v="S019"/>
    <d v="2022-07-15T00:00:00"/>
    <n v="68"/>
    <n v="129"/>
    <n v="112.86"/>
    <n v="280.87"/>
    <x v="3"/>
    <n v="19099.16"/>
    <n v="11424.68"/>
    <n v="0.52713178294573648"/>
    <n v="0"/>
  </r>
  <r>
    <s v="P0005"/>
    <x v="6"/>
    <x v="1"/>
    <s v="S011"/>
    <d v="2022-05-20T00:00:00"/>
    <n v="89"/>
    <n v="131"/>
    <n v="372.08"/>
    <n v="673.02"/>
    <x v="3"/>
    <n v="59898.78"/>
    <n v="26783.66"/>
    <n v="0.67938931297709926"/>
    <n v="0"/>
  </r>
  <r>
    <s v="P0103"/>
    <x v="8"/>
    <x v="1"/>
    <s v="S013"/>
    <d v="2022-10-10T00:00:00"/>
    <n v="35"/>
    <n v="84"/>
    <n v="487.76"/>
    <n v="729.72"/>
    <x v="1"/>
    <n v="25540.2"/>
    <n v="8468.6000000000022"/>
    <n v="0.41666666666666669"/>
    <n v="0"/>
  </r>
  <r>
    <s v="P0196"/>
    <x v="2"/>
    <x v="1"/>
    <s v="S014"/>
    <d v="2022-11-08T00:00:00"/>
    <n v="27"/>
    <n v="80"/>
    <n v="492.38"/>
    <n v="647.35"/>
    <x v="0"/>
    <n v="17478.45"/>
    <n v="4184.1900000000005"/>
    <n v="0.33750000000000002"/>
    <n v="0"/>
  </r>
  <r>
    <s v="P0006"/>
    <x v="5"/>
    <x v="1"/>
    <s v="S013"/>
    <d v="2024-01-16T00:00:00"/>
    <n v="117"/>
    <n v="68"/>
    <n v="272.29000000000002"/>
    <n v="236.75"/>
    <x v="4"/>
    <n v="27699.75"/>
    <n v="-4158.1800000000021"/>
    <n v="1.7205882352941178"/>
    <n v="0"/>
  </r>
  <r>
    <s v="P0109"/>
    <x v="1"/>
    <x v="0"/>
    <s v="S001"/>
    <d v="2022-10-04T00:00:00"/>
    <n v="92"/>
    <n v="147"/>
    <n v="441.21"/>
    <n v="160.72"/>
    <x v="4"/>
    <n v="14786.24"/>
    <n v="-25805.08"/>
    <n v="0.62585034013605445"/>
    <n v="0"/>
  </r>
  <r>
    <s v="P0116"/>
    <x v="1"/>
    <x v="3"/>
    <s v="S008"/>
    <d v="2022-03-02T00:00:00"/>
    <n v="174"/>
    <n v="15"/>
    <n v="381.57"/>
    <n v="523.80999999999995"/>
    <x v="0"/>
    <n v="91142.939999999988"/>
    <n v="24749.759999999991"/>
    <n v="11.6"/>
    <n v="0"/>
  </r>
  <r>
    <s v="P0094"/>
    <x v="3"/>
    <x v="0"/>
    <s v="S012"/>
    <d v="2022-02-21T00:00:00"/>
    <n v="75"/>
    <n v="104"/>
    <n v="275.47000000000003"/>
    <n v="139.97"/>
    <x v="1"/>
    <n v="10497.75"/>
    <n v="-10162.500000000002"/>
    <n v="0.72115384615384615"/>
    <n v="0"/>
  </r>
  <r>
    <s v="P0047"/>
    <x v="4"/>
    <x v="3"/>
    <s v="S019"/>
    <d v="2022-06-02T00:00:00"/>
    <n v="100"/>
    <n v="164"/>
    <n v="307.74"/>
    <n v="570.98"/>
    <x v="1"/>
    <n v="57098"/>
    <n v="26324"/>
    <n v="0.6097560975609756"/>
    <n v="0"/>
  </r>
  <r>
    <s v="P0099"/>
    <x v="9"/>
    <x v="1"/>
    <s v="S012"/>
    <d v="2023-06-28T00:00:00"/>
    <n v="157"/>
    <n v="200"/>
    <n v="111.75"/>
    <n v="471.3"/>
    <x v="1"/>
    <n v="73994.100000000006"/>
    <n v="56449.35"/>
    <n v="0.78500000000000003"/>
    <n v="0"/>
  </r>
  <r>
    <s v="P0055"/>
    <x v="1"/>
    <x v="2"/>
    <s v="S008"/>
    <d v="2023-07-21T00:00:00"/>
    <n v="150"/>
    <n v="196"/>
    <n v="471.95"/>
    <n v="563.95000000000005"/>
    <x v="4"/>
    <n v="84592.5"/>
    <n v="13800.000000000009"/>
    <n v="0.76530612244897955"/>
    <n v="0"/>
  </r>
  <r>
    <s v="P0168"/>
    <x v="0"/>
    <x v="0"/>
    <s v="S008"/>
    <d v="2023-09-14T00:00:00"/>
    <n v="143"/>
    <n v="184"/>
    <n v="208.37"/>
    <n v="513.12"/>
    <x v="3"/>
    <n v="73376.160000000003"/>
    <n v="43579.25"/>
    <n v="0.77717391304347827"/>
    <n v="0"/>
  </r>
  <r>
    <s v="P0052"/>
    <x v="2"/>
    <x v="2"/>
    <s v="S013"/>
    <d v="2022-11-10T00:00:00"/>
    <n v="13"/>
    <n v="264"/>
    <n v="250.77"/>
    <n v="395.89"/>
    <x v="1"/>
    <n v="5146.57"/>
    <n v="1886.5599999999997"/>
    <n v="4.924242424242424E-2"/>
    <n v="0"/>
  </r>
  <r>
    <s v="P0144"/>
    <x v="0"/>
    <x v="0"/>
    <s v="S012"/>
    <d v="2024-03-17T00:00:00"/>
    <n v="70"/>
    <n v="99"/>
    <n v="352.25"/>
    <n v="240.61"/>
    <x v="4"/>
    <n v="16842.7"/>
    <n v="-7814.7999999999993"/>
    <n v="0.70707070707070707"/>
    <n v="0"/>
  </r>
  <r>
    <s v="P0013"/>
    <x v="5"/>
    <x v="1"/>
    <s v="S016"/>
    <d v="2024-04-27T00:00:00"/>
    <n v="179"/>
    <n v="213"/>
    <n v="200.26"/>
    <n v="313.99"/>
    <x v="4"/>
    <n v="56204.21"/>
    <n v="20357.670000000002"/>
    <n v="0.84037558685446012"/>
    <n v="0"/>
  </r>
  <r>
    <s v="P0114"/>
    <x v="1"/>
    <x v="0"/>
    <s v="S001"/>
    <d v="2022-04-07T00:00:00"/>
    <n v="123"/>
    <n v="277"/>
    <n v="164.42"/>
    <n v="467.15"/>
    <x v="3"/>
    <n v="57459.45"/>
    <n v="37235.79"/>
    <n v="0.44404332129963897"/>
    <n v="0"/>
  </r>
  <r>
    <s v="P0124"/>
    <x v="9"/>
    <x v="1"/>
    <s v="S013"/>
    <d v="2024-05-30T00:00:00"/>
    <n v="124"/>
    <n v="161"/>
    <n v="333.97"/>
    <n v="556.30999999999995"/>
    <x v="0"/>
    <n v="68982.439999999988"/>
    <n v="27570.159999999989"/>
    <n v="0.77018633540372672"/>
    <n v="0"/>
  </r>
  <r>
    <s v="P0106"/>
    <x v="5"/>
    <x v="0"/>
    <s v="S007"/>
    <d v="2024-04-08T00:00:00"/>
    <n v="36"/>
    <n v="156"/>
    <n v="61.24"/>
    <n v="645.64"/>
    <x v="0"/>
    <n v="23243.040000000001"/>
    <n v="21038.399999999998"/>
    <n v="0.23076923076923078"/>
    <n v="0"/>
  </r>
  <r>
    <s v="P0158"/>
    <x v="6"/>
    <x v="1"/>
    <s v="S005"/>
    <d v="2022-05-17T00:00:00"/>
    <n v="28"/>
    <n v="250"/>
    <n v="374.33"/>
    <n v="637.02"/>
    <x v="1"/>
    <n v="17836.559999999998"/>
    <n v="7355.32"/>
    <n v="0.112"/>
    <n v="0"/>
  </r>
  <r>
    <s v="P0147"/>
    <x v="6"/>
    <x v="1"/>
    <s v="S008"/>
    <d v="2024-10-26T00:00:00"/>
    <n v="194"/>
    <n v="96"/>
    <n v="281.31"/>
    <n v="780.88"/>
    <x v="1"/>
    <n v="151490.72"/>
    <n v="96916.58"/>
    <n v="2.0208333333333335"/>
    <n v="0"/>
  </r>
  <r>
    <s v="P0145"/>
    <x v="0"/>
    <x v="3"/>
    <s v="S014"/>
    <d v="2024-10-07T00:00:00"/>
    <n v="142"/>
    <n v="17"/>
    <n v="322.58999999999997"/>
    <n v="300.08999999999997"/>
    <x v="3"/>
    <n v="42612.78"/>
    <n v="-3195"/>
    <n v="8.3529411764705888"/>
    <n v="0"/>
  </r>
  <r>
    <s v="P0120"/>
    <x v="4"/>
    <x v="1"/>
    <s v="S013"/>
    <d v="2022-04-19T00:00:00"/>
    <n v="174"/>
    <n v="96"/>
    <n v="334.35"/>
    <n v="149.78"/>
    <x v="1"/>
    <n v="26061.72"/>
    <n v="-32115.180000000004"/>
    <n v="1.8125"/>
    <n v="0"/>
  </r>
  <r>
    <s v="P0063"/>
    <x v="8"/>
    <x v="3"/>
    <s v="S015"/>
    <d v="2023-07-01T00:00:00"/>
    <n v="173"/>
    <n v="0"/>
    <n v="287.17"/>
    <n v="341.96"/>
    <x v="3"/>
    <n v="59159.079999999994"/>
    <n v="9478.6699999999946"/>
    <n v="0"/>
    <n v="1"/>
  </r>
  <r>
    <s v="P0019"/>
    <x v="4"/>
    <x v="1"/>
    <s v="S017"/>
    <d v="2024-11-28T00:00:00"/>
    <n v="179"/>
    <n v="215"/>
    <n v="312.14"/>
    <n v="620.30999999999995"/>
    <x v="4"/>
    <n v="111035.48999999999"/>
    <n v="55162.429999999993"/>
    <n v="0.83255813953488367"/>
    <n v="0"/>
  </r>
  <r>
    <s v="P0092"/>
    <x v="3"/>
    <x v="2"/>
    <s v="S015"/>
    <d v="2023-10-24T00:00:00"/>
    <n v="18"/>
    <n v="131"/>
    <n v="357.7"/>
    <n v="406.68"/>
    <x v="1"/>
    <n v="7320.24"/>
    <n v="881.64000000000033"/>
    <n v="0.13740458015267176"/>
    <n v="0"/>
  </r>
  <r>
    <s v="P0058"/>
    <x v="4"/>
    <x v="1"/>
    <s v="S020"/>
    <d v="2023-03-01T00:00:00"/>
    <n v="105"/>
    <n v="259"/>
    <n v="388.9"/>
    <n v="672.45"/>
    <x v="4"/>
    <n v="70607.25"/>
    <n v="29772.750000000007"/>
    <n v="0.40540540540540543"/>
    <n v="0"/>
  </r>
  <r>
    <s v="P0183"/>
    <x v="3"/>
    <x v="2"/>
    <s v="S018"/>
    <d v="2023-09-22T00:00:00"/>
    <n v="20"/>
    <n v="124"/>
    <n v="377.35"/>
    <n v="484.53"/>
    <x v="2"/>
    <n v="9690.5999999999985"/>
    <n v="2143.599999999999"/>
    <n v="0.16129032258064516"/>
    <n v="0"/>
  </r>
  <r>
    <s v="P0090"/>
    <x v="3"/>
    <x v="2"/>
    <s v="S018"/>
    <d v="2022-09-18T00:00:00"/>
    <n v="63"/>
    <n v="81"/>
    <n v="441.33"/>
    <n v="750.85"/>
    <x v="3"/>
    <n v="47303.55"/>
    <n v="19499.760000000002"/>
    <n v="0.77777777777777779"/>
    <n v="0"/>
  </r>
  <r>
    <s v="P0117"/>
    <x v="9"/>
    <x v="1"/>
    <s v="S002"/>
    <d v="2022-03-28T00:00:00"/>
    <n v="164"/>
    <n v="282"/>
    <n v="135.25"/>
    <n v="763.5"/>
    <x v="2"/>
    <n v="125214"/>
    <n v="103033"/>
    <n v="0.58156028368794321"/>
    <n v="0"/>
  </r>
  <r>
    <s v="P0062"/>
    <x v="1"/>
    <x v="2"/>
    <s v="S004"/>
    <d v="2023-04-10T00:00:00"/>
    <n v="26"/>
    <n v="170"/>
    <n v="230.52"/>
    <n v="148.51"/>
    <x v="1"/>
    <n v="3861.2599999999998"/>
    <n v="-2132.2600000000007"/>
    <n v="0.15294117647058825"/>
    <n v="0"/>
  </r>
  <r>
    <s v="P0023"/>
    <x v="9"/>
    <x v="3"/>
    <s v="S001"/>
    <d v="2022-03-17T00:00:00"/>
    <n v="54"/>
    <n v="58"/>
    <n v="476.51"/>
    <n v="419.49"/>
    <x v="4"/>
    <n v="22652.46"/>
    <n v="-3079.079999999999"/>
    <n v="0.93103448275862066"/>
    <n v="0"/>
  </r>
  <r>
    <s v="P0127"/>
    <x v="3"/>
    <x v="0"/>
    <s v="S004"/>
    <d v="2023-04-16T00:00:00"/>
    <n v="28"/>
    <n v="31"/>
    <n v="228.47"/>
    <n v="526.78"/>
    <x v="1"/>
    <n v="14749.84"/>
    <n v="8352.6799999999985"/>
    <n v="0.90322580645161288"/>
    <n v="0"/>
  </r>
  <r>
    <s v="P0137"/>
    <x v="5"/>
    <x v="1"/>
    <s v="S018"/>
    <d v="2023-02-18T00:00:00"/>
    <n v="147"/>
    <n v="160"/>
    <n v="106.19"/>
    <n v="279.11"/>
    <x v="2"/>
    <n v="41029.170000000006"/>
    <n v="25419.24"/>
    <n v="0.91874999999999996"/>
    <n v="0"/>
  </r>
  <r>
    <s v="P0140"/>
    <x v="6"/>
    <x v="2"/>
    <s v="S005"/>
    <d v="2024-04-04T00:00:00"/>
    <n v="24"/>
    <n v="283"/>
    <n v="286.45"/>
    <n v="384.95"/>
    <x v="1"/>
    <n v="9238.7999999999993"/>
    <n v="2364"/>
    <n v="8.4805653710247356E-2"/>
    <n v="0"/>
  </r>
  <r>
    <s v="P0129"/>
    <x v="3"/>
    <x v="1"/>
    <s v="S019"/>
    <d v="2024-06-13T00:00:00"/>
    <n v="69"/>
    <n v="105"/>
    <n v="99.27"/>
    <n v="574.38"/>
    <x v="0"/>
    <n v="39632.22"/>
    <n v="32782.590000000004"/>
    <n v="0.65714285714285714"/>
    <n v="0"/>
  </r>
  <r>
    <s v="P0058"/>
    <x v="9"/>
    <x v="3"/>
    <s v="S015"/>
    <d v="2023-12-27T00:00:00"/>
    <n v="62"/>
    <n v="104"/>
    <n v="141.28"/>
    <n v="258.70999999999998"/>
    <x v="2"/>
    <n v="16040.019999999999"/>
    <n v="7280.6599999999989"/>
    <n v="0.59615384615384615"/>
    <n v="0"/>
  </r>
  <r>
    <s v="P0122"/>
    <x v="5"/>
    <x v="1"/>
    <s v="S008"/>
    <d v="2023-04-02T00:00:00"/>
    <n v="163"/>
    <n v="227"/>
    <n v="499.24"/>
    <n v="521.39"/>
    <x v="1"/>
    <n v="84986.569999999992"/>
    <n v="3610.4499999999962"/>
    <n v="0.7180616740088106"/>
    <n v="0"/>
  </r>
  <r>
    <s v="P0001"/>
    <x v="9"/>
    <x v="1"/>
    <s v="S020"/>
    <d v="2023-10-15T00:00:00"/>
    <n v="129"/>
    <n v="187"/>
    <n v="293.61"/>
    <n v="588.21"/>
    <x v="4"/>
    <n v="75879.090000000011"/>
    <n v="38003.4"/>
    <n v="0.68983957219251335"/>
    <n v="0"/>
  </r>
  <r>
    <s v="P0034"/>
    <x v="4"/>
    <x v="2"/>
    <s v="S017"/>
    <d v="2023-11-03T00:00:00"/>
    <n v="149"/>
    <n v="69"/>
    <n v="177.83"/>
    <n v="163.35"/>
    <x v="1"/>
    <n v="24339.149999999998"/>
    <n v="-2157.5200000000027"/>
    <n v="2.1594202898550723"/>
    <n v="0"/>
  </r>
  <r>
    <s v="P0096"/>
    <x v="2"/>
    <x v="3"/>
    <s v="S001"/>
    <d v="2023-05-10T00:00:00"/>
    <n v="15"/>
    <n v="289"/>
    <n v="497.65"/>
    <n v="448.27"/>
    <x v="4"/>
    <n v="6724.0499999999993"/>
    <n v="-740.69999999999993"/>
    <n v="5.1903114186851208E-2"/>
    <n v="0"/>
  </r>
  <r>
    <s v="P0126"/>
    <x v="0"/>
    <x v="0"/>
    <s v="S012"/>
    <d v="2024-12-04T00:00:00"/>
    <n v="145"/>
    <n v="86"/>
    <n v="484.95"/>
    <n v="284.16000000000003"/>
    <x v="0"/>
    <n v="41203.200000000004"/>
    <n v="-29114.549999999996"/>
    <n v="1.6860465116279071"/>
    <n v="0"/>
  </r>
  <r>
    <s v="P0118"/>
    <x v="8"/>
    <x v="0"/>
    <s v="S019"/>
    <d v="2023-08-20T00:00:00"/>
    <n v="196"/>
    <n v="55"/>
    <n v="248.33"/>
    <n v="607.07000000000005"/>
    <x v="1"/>
    <n v="118985.72000000002"/>
    <n v="70313.040000000008"/>
    <n v="3.5636363636363635"/>
    <n v="0"/>
  </r>
  <r>
    <s v="P0048"/>
    <x v="9"/>
    <x v="2"/>
    <s v="S015"/>
    <d v="2023-03-26T00:00:00"/>
    <n v="181"/>
    <n v="112"/>
    <n v="167.18"/>
    <n v="232.69"/>
    <x v="0"/>
    <n v="42116.89"/>
    <n v="11857.309999999998"/>
    <n v="1.6160714285714286"/>
    <n v="0"/>
  </r>
  <r>
    <s v="P0089"/>
    <x v="8"/>
    <x v="1"/>
    <s v="S009"/>
    <d v="2023-04-30T00:00:00"/>
    <n v="99"/>
    <n v="12"/>
    <n v="427.28"/>
    <n v="724.57"/>
    <x v="2"/>
    <n v="71732.430000000008"/>
    <n v="29431.710000000006"/>
    <n v="8.25"/>
    <n v="0"/>
  </r>
  <r>
    <s v="P0117"/>
    <x v="7"/>
    <x v="2"/>
    <s v="S007"/>
    <d v="2023-10-08T00:00:00"/>
    <n v="29"/>
    <n v="17"/>
    <n v="372.03"/>
    <n v="401.66"/>
    <x v="4"/>
    <n v="11648.140000000001"/>
    <n v="859.27000000000157"/>
    <n v="1.7058823529411764"/>
    <n v="0"/>
  </r>
  <r>
    <s v="P0129"/>
    <x v="9"/>
    <x v="2"/>
    <s v="S002"/>
    <d v="2023-09-12T00:00:00"/>
    <n v="44"/>
    <n v="181"/>
    <n v="359.12"/>
    <n v="238.6"/>
    <x v="2"/>
    <n v="10498.4"/>
    <n v="-5302.88"/>
    <n v="0.24309392265193369"/>
    <n v="0"/>
  </r>
  <r>
    <s v="P0016"/>
    <x v="2"/>
    <x v="2"/>
    <s v="S009"/>
    <d v="2024-11-07T00:00:00"/>
    <n v="18"/>
    <n v="112"/>
    <n v="451.9"/>
    <n v="406.62"/>
    <x v="4"/>
    <n v="7319.16"/>
    <n v="-815.03999999999951"/>
    <n v="0.16071428571428573"/>
    <n v="0"/>
  </r>
  <r>
    <s v="P0189"/>
    <x v="8"/>
    <x v="1"/>
    <s v="S010"/>
    <d v="2023-10-24T00:00:00"/>
    <n v="33"/>
    <n v="228"/>
    <n v="360.24"/>
    <n v="386.12"/>
    <x v="0"/>
    <n v="12741.960000000001"/>
    <n v="854.03999999999985"/>
    <n v="0.14473684210526316"/>
    <n v="0"/>
  </r>
  <r>
    <s v="P0192"/>
    <x v="3"/>
    <x v="3"/>
    <s v="S002"/>
    <d v="2024-01-28T00:00:00"/>
    <n v="140"/>
    <n v="170"/>
    <n v="177.71"/>
    <n v="400.24"/>
    <x v="3"/>
    <n v="56033.599999999999"/>
    <n v="31154.2"/>
    <n v="0.82352941176470584"/>
    <n v="0"/>
  </r>
  <r>
    <s v="P0191"/>
    <x v="9"/>
    <x v="2"/>
    <s v="S019"/>
    <d v="2022-10-16T00:00:00"/>
    <n v="170"/>
    <n v="294"/>
    <n v="362.24"/>
    <n v="509.89"/>
    <x v="1"/>
    <n v="86681.3"/>
    <n v="25100.499999999996"/>
    <n v="0.57823129251700678"/>
    <n v="0"/>
  </r>
  <r>
    <s v="P0069"/>
    <x v="1"/>
    <x v="1"/>
    <s v="S011"/>
    <d v="2023-12-22T00:00:00"/>
    <n v="61"/>
    <n v="188"/>
    <n v="187.62"/>
    <n v="464.82"/>
    <x v="0"/>
    <n v="28354.02"/>
    <n v="16909.2"/>
    <n v="0.32446808510638298"/>
    <n v="0"/>
  </r>
  <r>
    <s v="P0022"/>
    <x v="0"/>
    <x v="3"/>
    <s v="S013"/>
    <d v="2023-09-30T00:00:00"/>
    <n v="117"/>
    <n v="78"/>
    <n v="391.66"/>
    <n v="204.84"/>
    <x v="4"/>
    <n v="23966.28"/>
    <n v="-21857.940000000002"/>
    <n v="1.5"/>
    <n v="0"/>
  </r>
  <r>
    <s v="P0093"/>
    <x v="2"/>
    <x v="2"/>
    <s v="S010"/>
    <d v="2022-08-23T00:00:00"/>
    <n v="99"/>
    <n v="145"/>
    <n v="328.89"/>
    <n v="145.91"/>
    <x v="4"/>
    <n v="14445.09"/>
    <n v="-18115.02"/>
    <n v="0.6827586206896552"/>
    <n v="0"/>
  </r>
  <r>
    <s v="P0195"/>
    <x v="8"/>
    <x v="0"/>
    <s v="S014"/>
    <d v="2023-02-20T00:00:00"/>
    <n v="21"/>
    <n v="181"/>
    <n v="84.84"/>
    <n v="610.59"/>
    <x v="4"/>
    <n v="12822.390000000001"/>
    <n v="11040.75"/>
    <n v="0.11602209944751381"/>
    <n v="0"/>
  </r>
  <r>
    <s v="P0076"/>
    <x v="2"/>
    <x v="3"/>
    <s v="S018"/>
    <d v="2024-07-26T00:00:00"/>
    <n v="179"/>
    <n v="285"/>
    <n v="280.77999999999997"/>
    <n v="491.8"/>
    <x v="4"/>
    <n v="88032.2"/>
    <n v="37772.580000000009"/>
    <n v="0.62807017543859645"/>
    <n v="0"/>
  </r>
  <r>
    <s v="P0154"/>
    <x v="5"/>
    <x v="2"/>
    <s v="S019"/>
    <d v="2023-05-14T00:00:00"/>
    <n v="179"/>
    <n v="249"/>
    <n v="204.49"/>
    <n v="351.3"/>
    <x v="1"/>
    <n v="62882.700000000004"/>
    <n v="26278.99"/>
    <n v="0.71887550200803207"/>
    <n v="0"/>
  </r>
  <r>
    <s v="P0144"/>
    <x v="0"/>
    <x v="3"/>
    <s v="S009"/>
    <d v="2024-08-31T00:00:00"/>
    <n v="110"/>
    <n v="195"/>
    <n v="197.86"/>
    <n v="665.85"/>
    <x v="2"/>
    <n v="73243.5"/>
    <n v="51478.9"/>
    <n v="0.5641025641025641"/>
    <n v="0"/>
  </r>
  <r>
    <s v="P0179"/>
    <x v="3"/>
    <x v="3"/>
    <s v="S007"/>
    <d v="2023-09-26T00:00:00"/>
    <n v="163"/>
    <n v="70"/>
    <n v="321.02"/>
    <n v="371.64"/>
    <x v="3"/>
    <n v="60577.32"/>
    <n v="8251.0600000000013"/>
    <n v="2.3285714285714287"/>
    <n v="0"/>
  </r>
  <r>
    <s v="P0086"/>
    <x v="9"/>
    <x v="3"/>
    <s v="S003"/>
    <d v="2024-10-16T00:00:00"/>
    <n v="72"/>
    <n v="247"/>
    <n v="195.05"/>
    <n v="657.18"/>
    <x v="1"/>
    <n v="47316.959999999999"/>
    <n v="33273.359999999993"/>
    <n v="0.291497975708502"/>
    <n v="0"/>
  </r>
  <r>
    <s v="P0185"/>
    <x v="9"/>
    <x v="3"/>
    <s v="S020"/>
    <d v="2022-04-25T00:00:00"/>
    <n v="146"/>
    <n v="145"/>
    <n v="399.6"/>
    <n v="314.02999999999997"/>
    <x v="4"/>
    <n v="45848.38"/>
    <n v="-12493.220000000007"/>
    <n v="1.0068965517241379"/>
    <n v="0"/>
  </r>
  <r>
    <s v="P0029"/>
    <x v="9"/>
    <x v="3"/>
    <s v="S006"/>
    <d v="2024-07-20T00:00:00"/>
    <n v="37"/>
    <n v="105"/>
    <n v="81.86"/>
    <n v="150.99"/>
    <x v="1"/>
    <n v="5586.63"/>
    <n v="2557.8100000000004"/>
    <n v="0.35238095238095241"/>
    <n v="0"/>
  </r>
  <r>
    <s v="P0069"/>
    <x v="0"/>
    <x v="3"/>
    <s v="S002"/>
    <d v="2023-11-05T00:00:00"/>
    <n v="69"/>
    <n v="262"/>
    <n v="347.17"/>
    <n v="752.85"/>
    <x v="0"/>
    <n v="51946.65"/>
    <n v="27991.920000000002"/>
    <n v="0.26335877862595419"/>
    <n v="0"/>
  </r>
  <r>
    <s v="P0047"/>
    <x v="1"/>
    <x v="2"/>
    <s v="S006"/>
    <d v="2024-10-31T00:00:00"/>
    <n v="115"/>
    <n v="295"/>
    <n v="414.14"/>
    <n v="376.19"/>
    <x v="4"/>
    <n v="43261.85"/>
    <n v="-4364.2499999999991"/>
    <n v="0.38983050847457629"/>
    <n v="0"/>
  </r>
  <r>
    <s v="P0094"/>
    <x v="7"/>
    <x v="0"/>
    <s v="S003"/>
    <d v="2022-07-25T00:00:00"/>
    <n v="78"/>
    <n v="69"/>
    <n v="352.77"/>
    <n v="654.88"/>
    <x v="3"/>
    <n v="51080.639999999999"/>
    <n v="23564.58"/>
    <n v="1.1304347826086956"/>
    <n v="0"/>
  </r>
  <r>
    <s v="P0190"/>
    <x v="6"/>
    <x v="1"/>
    <s v="S016"/>
    <d v="2022-09-04T00:00:00"/>
    <n v="184"/>
    <n v="192"/>
    <n v="273.75"/>
    <n v="295.39999999999998"/>
    <x v="4"/>
    <n v="54353.599999999999"/>
    <n v="3983.5999999999958"/>
    <n v="0.95833333333333337"/>
    <n v="0"/>
  </r>
  <r>
    <s v="P0197"/>
    <x v="4"/>
    <x v="3"/>
    <s v="S008"/>
    <d v="2024-01-28T00:00:00"/>
    <n v="147"/>
    <n v="67"/>
    <n v="477.64"/>
    <n v="552.46"/>
    <x v="3"/>
    <n v="81211.62000000001"/>
    <n v="10998.540000000008"/>
    <n v="2.1940298507462686"/>
    <n v="0"/>
  </r>
  <r>
    <s v="P0144"/>
    <x v="8"/>
    <x v="1"/>
    <s v="S002"/>
    <d v="2022-05-27T00:00:00"/>
    <n v="8"/>
    <n v="51"/>
    <n v="184.97"/>
    <n v="711.32"/>
    <x v="3"/>
    <n v="5690.56"/>
    <n v="4210.8"/>
    <n v="0.15686274509803921"/>
    <n v="0"/>
  </r>
  <r>
    <s v="P0176"/>
    <x v="1"/>
    <x v="2"/>
    <s v="S017"/>
    <d v="2022-04-28T00:00:00"/>
    <n v="31"/>
    <n v="284"/>
    <n v="58.63"/>
    <n v="129.15"/>
    <x v="2"/>
    <n v="4003.65"/>
    <n v="2186.1200000000003"/>
    <n v="0.10915492957746478"/>
    <n v="0"/>
  </r>
  <r>
    <s v="P0085"/>
    <x v="3"/>
    <x v="3"/>
    <s v="S009"/>
    <d v="2023-02-16T00:00:00"/>
    <n v="131"/>
    <n v="8"/>
    <n v="244.4"/>
    <n v="681.45"/>
    <x v="2"/>
    <n v="89269.950000000012"/>
    <n v="57253.55000000001"/>
    <n v="16.375"/>
    <n v="0"/>
  </r>
  <r>
    <s v="P0039"/>
    <x v="8"/>
    <x v="0"/>
    <s v="S012"/>
    <d v="2022-12-29T00:00:00"/>
    <n v="49"/>
    <n v="250"/>
    <n v="64.86"/>
    <n v="499.93"/>
    <x v="1"/>
    <n v="24496.57"/>
    <n v="21318.43"/>
    <n v="0.19600000000000001"/>
    <n v="0"/>
  </r>
  <r>
    <s v="P0100"/>
    <x v="9"/>
    <x v="1"/>
    <s v="S003"/>
    <d v="2022-05-17T00:00:00"/>
    <n v="81"/>
    <n v="297"/>
    <n v="479.27"/>
    <n v="525.23"/>
    <x v="1"/>
    <n v="42543.630000000005"/>
    <n v="3722.7600000000029"/>
    <n v="0.27272727272727271"/>
    <n v="0"/>
  </r>
  <r>
    <s v="P0033"/>
    <x v="2"/>
    <x v="3"/>
    <s v="S011"/>
    <d v="2024-08-15T00:00:00"/>
    <n v="4"/>
    <n v="183"/>
    <n v="144.46"/>
    <n v="466.21"/>
    <x v="3"/>
    <n v="1864.84"/>
    <n v="1287"/>
    <n v="2.185792349726776E-2"/>
    <n v="0"/>
  </r>
  <r>
    <s v="P0101"/>
    <x v="3"/>
    <x v="2"/>
    <s v="S001"/>
    <d v="2022-01-19T00:00:00"/>
    <n v="147"/>
    <n v="178"/>
    <n v="405.02"/>
    <n v="712.13"/>
    <x v="4"/>
    <n v="104683.11"/>
    <n v="45145.170000000006"/>
    <n v="0.8258426966292135"/>
    <n v="0"/>
  </r>
  <r>
    <s v="P0023"/>
    <x v="8"/>
    <x v="0"/>
    <s v="S013"/>
    <d v="2022-07-14T00:00:00"/>
    <n v="86"/>
    <n v="197"/>
    <n v="398.56"/>
    <n v="130.4"/>
    <x v="0"/>
    <n v="11214.4"/>
    <n v="-23061.759999999998"/>
    <n v="0.43654822335025378"/>
    <n v="0"/>
  </r>
  <r>
    <s v="P0010"/>
    <x v="9"/>
    <x v="1"/>
    <s v="S015"/>
    <d v="2022-11-26T00:00:00"/>
    <n v="125"/>
    <n v="127"/>
    <n v="147.97999999999999"/>
    <n v="282.72000000000003"/>
    <x v="0"/>
    <n v="35340"/>
    <n v="16842.500000000004"/>
    <n v="0.98425196850393704"/>
    <n v="0"/>
  </r>
  <r>
    <s v="P0069"/>
    <x v="8"/>
    <x v="1"/>
    <s v="S005"/>
    <d v="2022-06-24T00:00:00"/>
    <n v="74"/>
    <n v="19"/>
    <n v="329.55"/>
    <n v="713.03"/>
    <x v="4"/>
    <n v="52764.22"/>
    <n v="28377.519999999997"/>
    <n v="3.8947368421052633"/>
    <n v="0"/>
  </r>
  <r>
    <s v="P0100"/>
    <x v="2"/>
    <x v="3"/>
    <s v="S017"/>
    <d v="2024-09-28T00:00:00"/>
    <n v="164"/>
    <n v="64"/>
    <n v="71.64"/>
    <n v="626.64"/>
    <x v="4"/>
    <n v="102768.95999999999"/>
    <n v="91020"/>
    <n v="2.5625"/>
    <n v="0"/>
  </r>
  <r>
    <s v="P0034"/>
    <x v="9"/>
    <x v="0"/>
    <s v="S006"/>
    <d v="2023-03-25T00:00:00"/>
    <n v="21"/>
    <n v="181"/>
    <n v="267.61"/>
    <n v="112.35"/>
    <x v="2"/>
    <n v="2359.35"/>
    <n v="-3260.4600000000005"/>
    <n v="0.11602209944751381"/>
    <n v="0"/>
  </r>
  <r>
    <s v="P0180"/>
    <x v="7"/>
    <x v="0"/>
    <s v="S011"/>
    <d v="2024-08-03T00:00:00"/>
    <n v="185"/>
    <n v="240"/>
    <n v="56.59"/>
    <n v="461.9"/>
    <x v="0"/>
    <n v="85451.5"/>
    <n v="74982.349999999991"/>
    <n v="0.77083333333333337"/>
    <n v="0"/>
  </r>
  <r>
    <s v="P0138"/>
    <x v="1"/>
    <x v="0"/>
    <s v="S018"/>
    <d v="2022-05-21T00:00:00"/>
    <n v="67"/>
    <n v="23"/>
    <n v="464.51"/>
    <n v="470.7"/>
    <x v="3"/>
    <n v="31536.899999999998"/>
    <n v="414.72999999999985"/>
    <n v="2.9130434782608696"/>
    <n v="0"/>
  </r>
  <r>
    <s v="P0147"/>
    <x v="5"/>
    <x v="0"/>
    <s v="S004"/>
    <d v="2024-01-28T00:00:00"/>
    <n v="43"/>
    <n v="82"/>
    <n v="489.24"/>
    <n v="380.62"/>
    <x v="1"/>
    <n v="16366.66"/>
    <n v="-4670.66"/>
    <n v="0.52439024390243905"/>
    <n v="0"/>
  </r>
  <r>
    <s v="P0186"/>
    <x v="4"/>
    <x v="2"/>
    <s v="S003"/>
    <d v="2024-07-18T00:00:00"/>
    <n v="33"/>
    <n v="184"/>
    <n v="150.03"/>
    <n v="308.18"/>
    <x v="2"/>
    <n v="10169.94"/>
    <n v="5218.95"/>
    <n v="0.17934782608695651"/>
    <n v="0"/>
  </r>
  <r>
    <s v="P0096"/>
    <x v="0"/>
    <x v="0"/>
    <s v="S013"/>
    <d v="2022-04-03T00:00:00"/>
    <n v="76"/>
    <n v="98"/>
    <n v="143.65"/>
    <n v="577.21"/>
    <x v="0"/>
    <n v="43867.960000000006"/>
    <n v="32950.560000000005"/>
    <n v="0.77551020408163263"/>
    <n v="0"/>
  </r>
  <r>
    <s v="P0001"/>
    <x v="4"/>
    <x v="1"/>
    <s v="S009"/>
    <d v="2022-08-27T00:00:00"/>
    <n v="41"/>
    <n v="61"/>
    <n v="389.17"/>
    <n v="245.45"/>
    <x v="4"/>
    <n v="10063.449999999999"/>
    <n v="-5892.5200000000013"/>
    <n v="0.67213114754098358"/>
    <n v="0"/>
  </r>
  <r>
    <s v="P0069"/>
    <x v="3"/>
    <x v="1"/>
    <s v="S006"/>
    <d v="2022-07-24T00:00:00"/>
    <n v="136"/>
    <n v="285"/>
    <n v="164.02"/>
    <n v="659.26"/>
    <x v="0"/>
    <n v="89659.36"/>
    <n v="67352.639999999999"/>
    <n v="0.47719298245614034"/>
    <n v="0"/>
  </r>
  <r>
    <s v="P0004"/>
    <x v="4"/>
    <x v="2"/>
    <s v="S012"/>
    <d v="2023-07-14T00:00:00"/>
    <n v="105"/>
    <n v="21"/>
    <n v="452.78"/>
    <n v="662.13"/>
    <x v="3"/>
    <n v="69523.649999999994"/>
    <n v="21981.750000000004"/>
    <n v="5"/>
    <n v="0"/>
  </r>
  <r>
    <s v="P0016"/>
    <x v="9"/>
    <x v="1"/>
    <s v="S002"/>
    <d v="2022-09-02T00:00:00"/>
    <n v="94"/>
    <n v="211"/>
    <n v="308.27"/>
    <n v="390.68"/>
    <x v="2"/>
    <n v="36723.919999999998"/>
    <n v="7746.5400000000027"/>
    <n v="0.44549763033175355"/>
    <n v="0"/>
  </r>
  <r>
    <s v="P0024"/>
    <x v="7"/>
    <x v="1"/>
    <s v="S003"/>
    <d v="2024-04-11T00:00:00"/>
    <n v="134"/>
    <n v="125"/>
    <n v="207.85"/>
    <n v="298.48"/>
    <x v="4"/>
    <n v="39996.32"/>
    <n v="12144.420000000004"/>
    <n v="1.0720000000000001"/>
    <n v="0"/>
  </r>
  <r>
    <s v="P0080"/>
    <x v="5"/>
    <x v="0"/>
    <s v="S003"/>
    <d v="2024-07-13T00:00:00"/>
    <n v="67"/>
    <n v="41"/>
    <n v="424.71"/>
    <n v="298.70999999999998"/>
    <x v="3"/>
    <n v="20013.57"/>
    <n v="-8442"/>
    <n v="1.6341463414634145"/>
    <n v="0"/>
  </r>
  <r>
    <s v="P0002"/>
    <x v="1"/>
    <x v="1"/>
    <s v="S012"/>
    <d v="2022-10-22T00:00:00"/>
    <n v="146"/>
    <n v="97"/>
    <n v="272.02999999999997"/>
    <n v="437.6"/>
    <x v="1"/>
    <n v="63889.600000000006"/>
    <n v="24173.220000000008"/>
    <n v="1.5051546391752577"/>
    <n v="0"/>
  </r>
  <r>
    <s v="P0128"/>
    <x v="1"/>
    <x v="2"/>
    <s v="S015"/>
    <d v="2023-10-02T00:00:00"/>
    <n v="158"/>
    <n v="30"/>
    <n v="460.23"/>
    <n v="603.71"/>
    <x v="2"/>
    <n v="95386.180000000008"/>
    <n v="22669.840000000004"/>
    <n v="5.2666666666666666"/>
    <n v="0"/>
  </r>
  <r>
    <s v="P0160"/>
    <x v="2"/>
    <x v="0"/>
    <s v="S009"/>
    <d v="2024-05-05T00:00:00"/>
    <n v="127"/>
    <n v="157"/>
    <n v="467.61"/>
    <n v="351.21"/>
    <x v="3"/>
    <n v="44603.67"/>
    <n v="-14782.800000000005"/>
    <n v="0.80891719745222934"/>
    <n v="0"/>
  </r>
  <r>
    <s v="P0084"/>
    <x v="0"/>
    <x v="3"/>
    <s v="S008"/>
    <d v="2022-01-17T00:00:00"/>
    <n v="162"/>
    <n v="111"/>
    <n v="124.44"/>
    <n v="527.03"/>
    <x v="3"/>
    <n v="85378.86"/>
    <n v="65219.579999999994"/>
    <n v="1.4594594594594594"/>
    <n v="0"/>
  </r>
  <r>
    <s v="P0152"/>
    <x v="8"/>
    <x v="0"/>
    <s v="S011"/>
    <d v="2022-03-12T00:00:00"/>
    <n v="184"/>
    <n v="246"/>
    <n v="51.05"/>
    <n v="367.74"/>
    <x v="4"/>
    <n v="67664.160000000003"/>
    <n v="58270.96"/>
    <n v="0.74796747967479671"/>
    <n v="0"/>
  </r>
  <r>
    <s v="P0140"/>
    <x v="7"/>
    <x v="2"/>
    <s v="S016"/>
    <d v="2022-11-01T00:00:00"/>
    <n v="84"/>
    <n v="121"/>
    <n v="492.77"/>
    <n v="313.17"/>
    <x v="1"/>
    <n v="26306.280000000002"/>
    <n v="-15086.399999999998"/>
    <n v="0.69421487603305787"/>
    <n v="0"/>
  </r>
  <r>
    <s v="P0178"/>
    <x v="8"/>
    <x v="0"/>
    <s v="S004"/>
    <d v="2024-10-27T00:00:00"/>
    <n v="188"/>
    <n v="272"/>
    <n v="457.76"/>
    <n v="117.4"/>
    <x v="3"/>
    <n v="22071.200000000001"/>
    <n v="-63987.68"/>
    <n v="0.69117647058823528"/>
    <n v="0"/>
  </r>
  <r>
    <s v="P0163"/>
    <x v="5"/>
    <x v="0"/>
    <s v="S001"/>
    <d v="2024-03-27T00:00:00"/>
    <n v="158"/>
    <n v="293"/>
    <n v="74.95"/>
    <n v="102.74"/>
    <x v="2"/>
    <n v="16232.92"/>
    <n v="4390.8199999999988"/>
    <n v="0.53924914675767921"/>
    <n v="0"/>
  </r>
  <r>
    <s v="P0124"/>
    <x v="4"/>
    <x v="2"/>
    <s v="S007"/>
    <d v="2024-03-31T00:00:00"/>
    <n v="82"/>
    <n v="206"/>
    <n v="424.87"/>
    <n v="259.05"/>
    <x v="3"/>
    <n v="21242.100000000002"/>
    <n v="-13597.24"/>
    <n v="0.39805825242718446"/>
    <n v="0"/>
  </r>
  <r>
    <s v="P0033"/>
    <x v="1"/>
    <x v="0"/>
    <s v="S002"/>
    <d v="2022-07-12T00:00:00"/>
    <n v="94"/>
    <n v="109"/>
    <n v="256.01"/>
    <n v="384.48"/>
    <x v="0"/>
    <n v="36141.120000000003"/>
    <n v="12076.180000000002"/>
    <n v="0.86238532110091748"/>
    <n v="0"/>
  </r>
  <r>
    <s v="P0161"/>
    <x v="5"/>
    <x v="2"/>
    <s v="S005"/>
    <d v="2023-06-13T00:00:00"/>
    <n v="180"/>
    <n v="277"/>
    <n v="166.53"/>
    <n v="695.88"/>
    <x v="2"/>
    <n v="125258.4"/>
    <n v="95283"/>
    <n v="0.64981949458483756"/>
    <n v="0"/>
  </r>
  <r>
    <s v="P0189"/>
    <x v="4"/>
    <x v="2"/>
    <s v="S007"/>
    <d v="2022-06-20T00:00:00"/>
    <n v="31"/>
    <n v="55"/>
    <n v="445.44"/>
    <n v="658.94"/>
    <x v="2"/>
    <n v="20427.140000000003"/>
    <n v="6618.5000000000018"/>
    <n v="0.5636363636363636"/>
    <n v="0"/>
  </r>
  <r>
    <s v="P0179"/>
    <x v="1"/>
    <x v="3"/>
    <s v="S004"/>
    <d v="2022-09-08T00:00:00"/>
    <n v="65"/>
    <n v="56"/>
    <n v="138.5"/>
    <n v="287.02"/>
    <x v="3"/>
    <n v="18656.3"/>
    <n v="9653.7999999999993"/>
    <n v="1.1607142857142858"/>
    <n v="0"/>
  </r>
  <r>
    <s v="P0171"/>
    <x v="4"/>
    <x v="1"/>
    <s v="S005"/>
    <d v="2023-06-25T00:00:00"/>
    <n v="186"/>
    <n v="290"/>
    <n v="476.28"/>
    <n v="271.18"/>
    <x v="4"/>
    <n v="50439.48"/>
    <n v="-38148.599999999991"/>
    <n v="0.64137931034482754"/>
    <n v="0"/>
  </r>
  <r>
    <s v="P0101"/>
    <x v="0"/>
    <x v="1"/>
    <s v="S001"/>
    <d v="2023-02-20T00:00:00"/>
    <n v="115"/>
    <n v="113"/>
    <n v="142.53"/>
    <n v="259.13"/>
    <x v="2"/>
    <n v="29799.95"/>
    <n v="13409"/>
    <n v="1.0176991150442478"/>
    <n v="0"/>
  </r>
  <r>
    <s v="P0012"/>
    <x v="7"/>
    <x v="0"/>
    <s v="S001"/>
    <d v="2024-03-04T00:00:00"/>
    <n v="137"/>
    <n v="197"/>
    <n v="326.16000000000003"/>
    <n v="337.47"/>
    <x v="0"/>
    <n v="46233.390000000007"/>
    <n v="1549.4700000000003"/>
    <n v="0.69543147208121825"/>
    <n v="0"/>
  </r>
  <r>
    <s v="P0067"/>
    <x v="3"/>
    <x v="0"/>
    <s v="S015"/>
    <d v="2022-01-25T00:00:00"/>
    <n v="129"/>
    <n v="178"/>
    <n v="150.38999999999999"/>
    <n v="448.74"/>
    <x v="4"/>
    <n v="57887.46"/>
    <n v="38487.15"/>
    <n v="0.7247191011235955"/>
    <n v="0"/>
  </r>
  <r>
    <s v="P0065"/>
    <x v="5"/>
    <x v="3"/>
    <s v="S020"/>
    <d v="2023-10-30T00:00:00"/>
    <n v="193"/>
    <n v="218"/>
    <n v="295.55"/>
    <n v="407.07"/>
    <x v="4"/>
    <n v="78564.509999999995"/>
    <n v="21523.359999999997"/>
    <n v="0.88532110091743121"/>
    <n v="0"/>
  </r>
  <r>
    <s v="P0161"/>
    <x v="5"/>
    <x v="3"/>
    <s v="S019"/>
    <d v="2023-09-24T00:00:00"/>
    <n v="59"/>
    <n v="276"/>
    <n v="357.79"/>
    <n v="252.79"/>
    <x v="4"/>
    <n v="14914.609999999999"/>
    <n v="-6195.0000000000018"/>
    <n v="0.21376811594202899"/>
    <n v="0"/>
  </r>
  <r>
    <s v="P0168"/>
    <x v="6"/>
    <x v="3"/>
    <s v="S010"/>
    <d v="2023-05-20T00:00:00"/>
    <n v="16"/>
    <n v="15"/>
    <n v="135.6"/>
    <n v="191.32"/>
    <x v="2"/>
    <n v="3061.12"/>
    <n v="891.52"/>
    <n v="1.0666666666666667"/>
    <n v="0"/>
  </r>
  <r>
    <s v="P0074"/>
    <x v="9"/>
    <x v="2"/>
    <s v="S018"/>
    <d v="2022-12-02T00:00:00"/>
    <n v="95"/>
    <n v="60"/>
    <n v="284.39999999999998"/>
    <n v="108.8"/>
    <x v="4"/>
    <n v="10336"/>
    <n v="-16681.999999999996"/>
    <n v="1.5833333333333333"/>
    <n v="0"/>
  </r>
  <r>
    <s v="P0043"/>
    <x v="0"/>
    <x v="3"/>
    <s v="S003"/>
    <d v="2023-03-01T00:00:00"/>
    <n v="143"/>
    <n v="53"/>
    <n v="261.08"/>
    <n v="207.77"/>
    <x v="3"/>
    <n v="29711.11"/>
    <n v="-7623.3299999999963"/>
    <n v="2.6981132075471699"/>
    <n v="0"/>
  </r>
  <r>
    <s v="P0044"/>
    <x v="0"/>
    <x v="3"/>
    <s v="S011"/>
    <d v="2023-05-14T00:00:00"/>
    <n v="15"/>
    <n v="167"/>
    <n v="81.97"/>
    <n v="593.75"/>
    <x v="4"/>
    <n v="8906.25"/>
    <n v="7676.7"/>
    <n v="8.9820359281437126E-2"/>
    <n v="0"/>
  </r>
  <r>
    <s v="P0029"/>
    <x v="8"/>
    <x v="0"/>
    <s v="S015"/>
    <d v="2024-08-04T00:00:00"/>
    <n v="45"/>
    <n v="25"/>
    <n v="418.24"/>
    <n v="270.55"/>
    <x v="0"/>
    <n v="12174.75"/>
    <n v="-6646.05"/>
    <n v="1.8"/>
    <n v="0"/>
  </r>
  <r>
    <s v="P0141"/>
    <x v="4"/>
    <x v="3"/>
    <s v="S011"/>
    <d v="2023-09-22T00:00:00"/>
    <n v="166"/>
    <n v="64"/>
    <n v="201.06"/>
    <n v="428.02"/>
    <x v="1"/>
    <n v="71051.319999999992"/>
    <n v="37675.359999999993"/>
    <n v="2.59375"/>
    <n v="0"/>
  </r>
  <r>
    <s v="P0012"/>
    <x v="9"/>
    <x v="2"/>
    <s v="S017"/>
    <d v="2023-12-19T00:00:00"/>
    <n v="158"/>
    <n v="99"/>
    <n v="308.56"/>
    <n v="513.91"/>
    <x v="0"/>
    <n v="81197.78"/>
    <n v="32445.299999999996"/>
    <n v="1.595959595959596"/>
    <n v="0"/>
  </r>
  <r>
    <s v="P0095"/>
    <x v="7"/>
    <x v="2"/>
    <s v="S017"/>
    <d v="2022-12-05T00:00:00"/>
    <n v="106"/>
    <n v="73"/>
    <n v="281.64999999999998"/>
    <n v="720.79"/>
    <x v="2"/>
    <n v="76403.739999999991"/>
    <n v="46548.84"/>
    <n v="1.452054794520548"/>
    <n v="0"/>
  </r>
  <r>
    <s v="P0046"/>
    <x v="7"/>
    <x v="0"/>
    <s v="S006"/>
    <d v="2023-10-21T00:00:00"/>
    <n v="87"/>
    <n v="191"/>
    <n v="280.97000000000003"/>
    <n v="722.2"/>
    <x v="4"/>
    <n v="62831.4"/>
    <n v="38387.01"/>
    <n v="0.45549738219895286"/>
    <n v="0"/>
  </r>
  <r>
    <s v="P0130"/>
    <x v="0"/>
    <x v="3"/>
    <s v="S005"/>
    <d v="2024-08-19T00:00:00"/>
    <n v="128"/>
    <n v="170"/>
    <n v="98.25"/>
    <n v="622.01"/>
    <x v="4"/>
    <n v="79617.279999999999"/>
    <n v="67041.279999999999"/>
    <n v="0.75294117647058822"/>
    <n v="0"/>
  </r>
  <r>
    <s v="P0035"/>
    <x v="7"/>
    <x v="3"/>
    <s v="S008"/>
    <d v="2023-03-05T00:00:00"/>
    <n v="138"/>
    <n v="272"/>
    <n v="240.57"/>
    <n v="124.61"/>
    <x v="3"/>
    <n v="17196.18"/>
    <n v="-16002.48"/>
    <n v="0.50735294117647056"/>
    <n v="0"/>
  </r>
  <r>
    <s v="P0081"/>
    <x v="6"/>
    <x v="2"/>
    <s v="S002"/>
    <d v="2024-06-17T00:00:00"/>
    <n v="118"/>
    <n v="186"/>
    <n v="253.57"/>
    <n v="502.55"/>
    <x v="4"/>
    <n v="59300.9"/>
    <n v="29379.640000000003"/>
    <n v="0.63440860215053763"/>
    <n v="0"/>
  </r>
  <r>
    <s v="P0090"/>
    <x v="5"/>
    <x v="3"/>
    <s v="S016"/>
    <d v="2022-05-19T00:00:00"/>
    <n v="84"/>
    <n v="22"/>
    <n v="380.14"/>
    <n v="650.61"/>
    <x v="0"/>
    <n v="54651.24"/>
    <n v="22719.480000000003"/>
    <n v="3.8181818181818183"/>
    <n v="0"/>
  </r>
  <r>
    <s v="P0008"/>
    <x v="2"/>
    <x v="3"/>
    <s v="S020"/>
    <d v="2024-07-30T00:00:00"/>
    <n v="3"/>
    <n v="180"/>
    <n v="428.01"/>
    <n v="112.1"/>
    <x v="2"/>
    <n v="336.29999999999995"/>
    <n v="-947.7299999999999"/>
    <n v="1.6666666666666666E-2"/>
    <n v="0"/>
  </r>
  <r>
    <s v="P0093"/>
    <x v="3"/>
    <x v="3"/>
    <s v="S012"/>
    <d v="2023-06-26T00:00:00"/>
    <n v="70"/>
    <n v="107"/>
    <n v="295.24"/>
    <n v="484.78"/>
    <x v="1"/>
    <n v="33934.6"/>
    <n v="13267.799999999997"/>
    <n v="0.65420560747663548"/>
    <n v="0"/>
  </r>
  <r>
    <s v="P0154"/>
    <x v="8"/>
    <x v="1"/>
    <s v="S006"/>
    <d v="2022-02-26T00:00:00"/>
    <n v="153"/>
    <n v="161"/>
    <n v="89.05"/>
    <n v="700.43"/>
    <x v="4"/>
    <n v="107165.79"/>
    <n v="93541.14"/>
    <n v="0.9503105590062112"/>
    <n v="0"/>
  </r>
  <r>
    <s v="P0090"/>
    <x v="4"/>
    <x v="0"/>
    <s v="S001"/>
    <d v="2023-10-20T00:00:00"/>
    <n v="110"/>
    <n v="205"/>
    <n v="156.58000000000001"/>
    <n v="431.87"/>
    <x v="1"/>
    <n v="47505.7"/>
    <n v="30281.899999999994"/>
    <n v="0.53658536585365857"/>
    <n v="0"/>
  </r>
  <r>
    <s v="P0162"/>
    <x v="3"/>
    <x v="1"/>
    <s v="S004"/>
    <d v="2023-03-11T00:00:00"/>
    <n v="49"/>
    <n v="77"/>
    <n v="124.22"/>
    <n v="102.87"/>
    <x v="4"/>
    <n v="5040.63"/>
    <n v="-1046.1499999999996"/>
    <n v="0.63636363636363635"/>
    <n v="0"/>
  </r>
  <r>
    <s v="P0115"/>
    <x v="4"/>
    <x v="0"/>
    <s v="S017"/>
    <d v="2023-01-19T00:00:00"/>
    <n v="139"/>
    <n v="15"/>
    <n v="106.08"/>
    <n v="107.71"/>
    <x v="2"/>
    <n v="14971.689999999999"/>
    <n v="226.56999999999937"/>
    <n v="9.2666666666666675"/>
    <n v="0"/>
  </r>
  <r>
    <s v="P0105"/>
    <x v="1"/>
    <x v="2"/>
    <s v="S013"/>
    <d v="2023-07-14T00:00:00"/>
    <n v="94"/>
    <n v="95"/>
    <n v="214.65"/>
    <n v="391.65"/>
    <x v="0"/>
    <n v="36815.1"/>
    <n v="16637.999999999996"/>
    <n v="0.98947368421052628"/>
    <n v="0"/>
  </r>
  <r>
    <s v="P0135"/>
    <x v="3"/>
    <x v="3"/>
    <s v="S018"/>
    <d v="2022-07-13T00:00:00"/>
    <n v="91"/>
    <n v="146"/>
    <n v="153.22999999999999"/>
    <n v="208.51"/>
    <x v="2"/>
    <n v="18974.41"/>
    <n v="5030.4800000000005"/>
    <n v="0.62328767123287676"/>
    <n v="0"/>
  </r>
  <r>
    <s v="P0196"/>
    <x v="2"/>
    <x v="0"/>
    <s v="S005"/>
    <d v="2023-06-18T00:00:00"/>
    <n v="64"/>
    <n v="1"/>
    <n v="148.24"/>
    <n v="565.12"/>
    <x v="1"/>
    <n v="36167.68"/>
    <n v="26680.32"/>
    <n v="64"/>
    <n v="0"/>
  </r>
  <r>
    <s v="P0058"/>
    <x v="0"/>
    <x v="1"/>
    <s v="S003"/>
    <d v="2023-06-02T00:00:00"/>
    <n v="46"/>
    <n v="9"/>
    <n v="74.61"/>
    <n v="596.16"/>
    <x v="4"/>
    <n v="27423.359999999997"/>
    <n v="23991.3"/>
    <n v="5.1111111111111107"/>
    <n v="0"/>
  </r>
  <r>
    <s v="P0114"/>
    <x v="6"/>
    <x v="3"/>
    <s v="S011"/>
    <d v="2023-12-17T00:00:00"/>
    <n v="180"/>
    <n v="124"/>
    <n v="57.95"/>
    <n v="224.52"/>
    <x v="1"/>
    <n v="40413.599999999999"/>
    <n v="29982.6"/>
    <n v="1.4516129032258065"/>
    <n v="0"/>
  </r>
  <r>
    <s v="P0075"/>
    <x v="5"/>
    <x v="2"/>
    <s v="S013"/>
    <d v="2024-01-21T00:00:00"/>
    <n v="105"/>
    <n v="80"/>
    <n v="96.25"/>
    <n v="721.97"/>
    <x v="0"/>
    <n v="75806.850000000006"/>
    <n v="65700.600000000006"/>
    <n v="1.3125"/>
    <n v="0"/>
  </r>
  <r>
    <s v="P0157"/>
    <x v="5"/>
    <x v="0"/>
    <s v="S004"/>
    <d v="2022-07-04T00:00:00"/>
    <n v="198"/>
    <n v="139"/>
    <n v="127.49"/>
    <n v="409.34"/>
    <x v="2"/>
    <n v="81049.319999999992"/>
    <n v="55806.299999999996"/>
    <n v="1.4244604316546763"/>
    <n v="0"/>
  </r>
  <r>
    <s v="P0120"/>
    <x v="6"/>
    <x v="0"/>
    <s v="S014"/>
    <d v="2022-10-19T00:00:00"/>
    <n v="129"/>
    <n v="149"/>
    <n v="243.94"/>
    <n v="199.99"/>
    <x v="1"/>
    <n v="25798.710000000003"/>
    <n v="-5669.5499999999984"/>
    <n v="0.86577181208053688"/>
    <n v="0"/>
  </r>
  <r>
    <s v="P0164"/>
    <x v="9"/>
    <x v="0"/>
    <s v="S011"/>
    <d v="2024-01-02T00:00:00"/>
    <n v="105"/>
    <n v="287"/>
    <n v="279.73"/>
    <n v="634.98"/>
    <x v="1"/>
    <n v="66672.900000000009"/>
    <n v="37301.25"/>
    <n v="0.36585365853658536"/>
    <n v="0"/>
  </r>
  <r>
    <s v="P0021"/>
    <x v="1"/>
    <x v="3"/>
    <s v="S010"/>
    <d v="2022-04-26T00:00:00"/>
    <n v="23"/>
    <n v="128"/>
    <n v="113.27"/>
    <n v="652.98"/>
    <x v="0"/>
    <n v="15018.54"/>
    <n v="12413.330000000002"/>
    <n v="0.1796875"/>
    <n v="0"/>
  </r>
  <r>
    <s v="P0164"/>
    <x v="4"/>
    <x v="1"/>
    <s v="S019"/>
    <d v="2024-04-04T00:00:00"/>
    <n v="3"/>
    <n v="238"/>
    <n v="241.15"/>
    <n v="547.51"/>
    <x v="4"/>
    <n v="1642.53"/>
    <n v="919.08"/>
    <n v="1.2605042016806723E-2"/>
    <n v="0"/>
  </r>
  <r>
    <s v="P0138"/>
    <x v="2"/>
    <x v="1"/>
    <s v="S018"/>
    <d v="2024-12-08T00:00:00"/>
    <n v="107"/>
    <n v="57"/>
    <n v="203.79"/>
    <n v="697.43"/>
    <x v="1"/>
    <n v="74625.009999999995"/>
    <n v="52819.479999999996"/>
    <n v="1.8771929824561404"/>
    <n v="0"/>
  </r>
  <r>
    <s v="P0101"/>
    <x v="7"/>
    <x v="0"/>
    <s v="S006"/>
    <d v="2023-11-16T00:00:00"/>
    <n v="18"/>
    <n v="197"/>
    <n v="132.54"/>
    <n v="616.16"/>
    <x v="0"/>
    <n v="11090.88"/>
    <n v="8705.16"/>
    <n v="9.1370558375634514E-2"/>
    <n v="0"/>
  </r>
  <r>
    <s v="P0152"/>
    <x v="3"/>
    <x v="2"/>
    <s v="S015"/>
    <d v="2022-03-23T00:00:00"/>
    <n v="153"/>
    <n v="210"/>
    <n v="53.08"/>
    <n v="717.54"/>
    <x v="4"/>
    <n v="109783.62"/>
    <n v="101662.37999999999"/>
    <n v="0.72857142857142854"/>
    <n v="0"/>
  </r>
  <r>
    <s v="P0192"/>
    <x v="1"/>
    <x v="2"/>
    <s v="S010"/>
    <d v="2024-04-13T00:00:00"/>
    <n v="39"/>
    <n v="44"/>
    <n v="260.16000000000003"/>
    <n v="403.72"/>
    <x v="4"/>
    <n v="15745.080000000002"/>
    <n v="5598.84"/>
    <n v="0.88636363636363635"/>
    <n v="0"/>
  </r>
  <r>
    <s v="P0177"/>
    <x v="3"/>
    <x v="1"/>
    <s v="S005"/>
    <d v="2022-11-29T00:00:00"/>
    <n v="49"/>
    <n v="96"/>
    <n v="358.54"/>
    <n v="623.32000000000005"/>
    <x v="2"/>
    <n v="30542.680000000004"/>
    <n v="12974.220000000001"/>
    <n v="0.51041666666666663"/>
    <n v="0"/>
  </r>
  <r>
    <s v="P0099"/>
    <x v="2"/>
    <x v="2"/>
    <s v="S005"/>
    <d v="2023-07-11T00:00:00"/>
    <n v="170"/>
    <n v="278"/>
    <n v="151.82"/>
    <n v="799.83"/>
    <x v="0"/>
    <n v="135971.1"/>
    <n v="110161.7"/>
    <n v="0.61151079136690645"/>
    <n v="0"/>
  </r>
  <r>
    <s v="P0036"/>
    <x v="8"/>
    <x v="1"/>
    <s v="S010"/>
    <d v="2022-12-01T00:00:00"/>
    <n v="74"/>
    <n v="22"/>
    <n v="109.31"/>
    <n v="607.45000000000005"/>
    <x v="4"/>
    <n v="44951.3"/>
    <n v="36862.36"/>
    <n v="3.3636363636363638"/>
    <n v="0"/>
  </r>
  <r>
    <s v="P0096"/>
    <x v="8"/>
    <x v="0"/>
    <s v="S005"/>
    <d v="2023-06-16T00:00:00"/>
    <n v="194"/>
    <n v="43"/>
    <n v="449.17"/>
    <n v="179.93"/>
    <x v="2"/>
    <n v="34906.42"/>
    <n v="-52232.560000000005"/>
    <n v="4.5116279069767442"/>
    <n v="0"/>
  </r>
  <r>
    <s v="P0152"/>
    <x v="1"/>
    <x v="1"/>
    <s v="S003"/>
    <d v="2022-08-09T00:00:00"/>
    <n v="11"/>
    <n v="26"/>
    <n v="173.76"/>
    <n v="462.82"/>
    <x v="3"/>
    <n v="5091.0199999999995"/>
    <n v="3179.66"/>
    <n v="0.42307692307692307"/>
    <n v="0"/>
  </r>
  <r>
    <s v="P0151"/>
    <x v="0"/>
    <x v="1"/>
    <s v="S006"/>
    <d v="2023-09-27T00:00:00"/>
    <n v="194"/>
    <n v="281"/>
    <n v="150.63"/>
    <n v="511.14"/>
    <x v="0"/>
    <n v="99161.16"/>
    <n v="69938.94"/>
    <n v="0.69039145907473309"/>
    <n v="0"/>
  </r>
  <r>
    <s v="P0190"/>
    <x v="2"/>
    <x v="0"/>
    <s v="S004"/>
    <d v="2022-11-19T00:00:00"/>
    <n v="26"/>
    <n v="96"/>
    <n v="435.69"/>
    <n v="221.95"/>
    <x v="3"/>
    <n v="5770.7"/>
    <n v="-5557.24"/>
    <n v="0.27083333333333331"/>
    <n v="0"/>
  </r>
  <r>
    <s v="P0037"/>
    <x v="2"/>
    <x v="2"/>
    <s v="S018"/>
    <d v="2022-01-03T00:00:00"/>
    <n v="112"/>
    <n v="35"/>
    <n v="417.7"/>
    <n v="774.02"/>
    <x v="4"/>
    <n v="86690.239999999991"/>
    <n v="39907.839999999997"/>
    <n v="3.2"/>
    <n v="0"/>
  </r>
  <r>
    <s v="P0012"/>
    <x v="6"/>
    <x v="1"/>
    <s v="S009"/>
    <d v="2022-07-25T00:00:00"/>
    <n v="181"/>
    <n v="108"/>
    <n v="251.76"/>
    <n v="222.91"/>
    <x v="0"/>
    <n v="40346.71"/>
    <n v="-5221.8499999999985"/>
    <n v="1.6759259259259258"/>
    <n v="0"/>
  </r>
  <r>
    <s v="P0113"/>
    <x v="0"/>
    <x v="1"/>
    <s v="S017"/>
    <d v="2022-02-09T00:00:00"/>
    <n v="193"/>
    <n v="54"/>
    <n v="270.16000000000003"/>
    <n v="224.29"/>
    <x v="2"/>
    <n v="43287.97"/>
    <n v="-8852.9100000000071"/>
    <n v="3.574074074074074"/>
    <n v="0"/>
  </r>
  <r>
    <s v="P0183"/>
    <x v="4"/>
    <x v="0"/>
    <s v="S013"/>
    <d v="2022-02-28T00:00:00"/>
    <n v="48"/>
    <n v="191"/>
    <n v="147.99"/>
    <n v="740.62"/>
    <x v="4"/>
    <n v="35549.760000000002"/>
    <n v="28446.239999999998"/>
    <n v="0.2513089005235602"/>
    <n v="0"/>
  </r>
  <r>
    <s v="P0013"/>
    <x v="4"/>
    <x v="2"/>
    <s v="S015"/>
    <d v="2024-08-08T00:00:00"/>
    <n v="143"/>
    <n v="218"/>
    <n v="85.24"/>
    <n v="425.64"/>
    <x v="0"/>
    <n v="60866.52"/>
    <n v="48677.2"/>
    <n v="0.65596330275229353"/>
    <n v="0"/>
  </r>
  <r>
    <s v="P0023"/>
    <x v="7"/>
    <x v="1"/>
    <s v="S020"/>
    <d v="2023-07-28T00:00:00"/>
    <n v="129"/>
    <n v="184"/>
    <n v="308.04000000000002"/>
    <n v="144.22999999999999"/>
    <x v="0"/>
    <n v="18605.669999999998"/>
    <n v="-21131.490000000005"/>
    <n v="0.70108695652173914"/>
    <n v="0"/>
  </r>
  <r>
    <s v="P0099"/>
    <x v="5"/>
    <x v="0"/>
    <s v="S017"/>
    <d v="2023-10-06T00:00:00"/>
    <n v="59"/>
    <n v="68"/>
    <n v="94.26"/>
    <n v="518.73"/>
    <x v="3"/>
    <n v="30605.07"/>
    <n v="25043.730000000003"/>
    <n v="0.86764705882352944"/>
    <n v="0"/>
  </r>
  <r>
    <s v="P0105"/>
    <x v="8"/>
    <x v="1"/>
    <s v="S013"/>
    <d v="2024-04-22T00:00:00"/>
    <n v="181"/>
    <n v="129"/>
    <n v="252.17"/>
    <n v="521.28"/>
    <x v="4"/>
    <n v="94351.679999999993"/>
    <n v="48708.91"/>
    <n v="1.4031007751937985"/>
    <n v="0"/>
  </r>
  <r>
    <s v="P0030"/>
    <x v="4"/>
    <x v="3"/>
    <s v="S016"/>
    <d v="2023-09-11T00:00:00"/>
    <n v="29"/>
    <n v="54"/>
    <n v="473.22"/>
    <n v="145.15"/>
    <x v="2"/>
    <n v="4209.3500000000004"/>
    <n v="-9514.0300000000007"/>
    <n v="0.53703703703703709"/>
    <n v="0"/>
  </r>
  <r>
    <s v="P0017"/>
    <x v="0"/>
    <x v="0"/>
    <s v="S004"/>
    <d v="2022-04-06T00:00:00"/>
    <n v="83"/>
    <n v="96"/>
    <n v="478.78"/>
    <n v="780.77"/>
    <x v="2"/>
    <n v="64803.909999999996"/>
    <n v="25065.170000000002"/>
    <n v="0.86458333333333337"/>
    <n v="0"/>
  </r>
  <r>
    <s v="P0113"/>
    <x v="2"/>
    <x v="2"/>
    <s v="S005"/>
    <d v="2024-06-16T00:00:00"/>
    <n v="165"/>
    <n v="86"/>
    <n v="157.69999999999999"/>
    <n v="480.82"/>
    <x v="4"/>
    <n v="79335.3"/>
    <n v="53314.8"/>
    <n v="1.9186046511627908"/>
    <n v="0"/>
  </r>
  <r>
    <s v="P0062"/>
    <x v="4"/>
    <x v="2"/>
    <s v="S005"/>
    <d v="2024-12-21T00:00:00"/>
    <n v="27"/>
    <n v="293"/>
    <n v="330.85"/>
    <n v="491.86"/>
    <x v="4"/>
    <n v="13280.220000000001"/>
    <n v="4347.2699999999995"/>
    <n v="9.2150170648464161E-2"/>
    <n v="0"/>
  </r>
  <r>
    <s v="P0084"/>
    <x v="2"/>
    <x v="2"/>
    <s v="S009"/>
    <d v="2023-07-15T00:00:00"/>
    <n v="24"/>
    <n v="118"/>
    <n v="263.33"/>
    <n v="464.08"/>
    <x v="1"/>
    <n v="11137.92"/>
    <n v="4818"/>
    <n v="0.20338983050847459"/>
    <n v="0"/>
  </r>
  <r>
    <s v="P0112"/>
    <x v="4"/>
    <x v="2"/>
    <s v="S017"/>
    <d v="2024-06-23T00:00:00"/>
    <n v="95"/>
    <n v="207"/>
    <n v="444.06"/>
    <n v="527.51"/>
    <x v="3"/>
    <n v="50113.45"/>
    <n v="7927.7499999999991"/>
    <n v="0.45893719806763283"/>
    <n v="0"/>
  </r>
  <r>
    <s v="P0086"/>
    <x v="8"/>
    <x v="1"/>
    <s v="S013"/>
    <d v="2022-12-14T00:00:00"/>
    <n v="124"/>
    <n v="153"/>
    <n v="172.14"/>
    <n v="285.01"/>
    <x v="4"/>
    <n v="35341.24"/>
    <n v="13995.880000000001"/>
    <n v="0.81045751633986929"/>
    <n v="0"/>
  </r>
  <r>
    <s v="P0141"/>
    <x v="3"/>
    <x v="1"/>
    <s v="S002"/>
    <d v="2023-11-02T00:00:00"/>
    <n v="9"/>
    <n v="34"/>
    <n v="51.67"/>
    <n v="301.07"/>
    <x v="4"/>
    <n v="2709.63"/>
    <n v="2244.6"/>
    <n v="0.26470588235294118"/>
    <n v="0"/>
  </r>
  <r>
    <s v="P0187"/>
    <x v="4"/>
    <x v="2"/>
    <s v="S013"/>
    <d v="2022-11-13T00:00:00"/>
    <n v="187"/>
    <n v="78"/>
    <n v="123.15"/>
    <n v="457.94"/>
    <x v="1"/>
    <n v="85634.78"/>
    <n v="62605.729999999996"/>
    <n v="2.3974358974358974"/>
    <n v="0"/>
  </r>
  <r>
    <s v="P0019"/>
    <x v="0"/>
    <x v="2"/>
    <s v="S019"/>
    <d v="2023-12-20T00:00:00"/>
    <n v="41"/>
    <n v="66"/>
    <n v="207.29"/>
    <n v="664.68"/>
    <x v="1"/>
    <n v="27251.879999999997"/>
    <n v="18752.989999999998"/>
    <n v="0.62121212121212122"/>
    <n v="0"/>
  </r>
  <r>
    <s v="P0177"/>
    <x v="4"/>
    <x v="2"/>
    <s v="S003"/>
    <d v="2024-12-07T00:00:00"/>
    <n v="39"/>
    <n v="33"/>
    <n v="192.07"/>
    <n v="134.91"/>
    <x v="0"/>
    <n v="5261.49"/>
    <n v="-2229.2399999999998"/>
    <n v="1.1818181818181819"/>
    <n v="0"/>
  </r>
  <r>
    <s v="P0100"/>
    <x v="5"/>
    <x v="1"/>
    <s v="S010"/>
    <d v="2022-09-07T00:00:00"/>
    <n v="76"/>
    <n v="96"/>
    <n v="406.11"/>
    <n v="522.38"/>
    <x v="2"/>
    <n v="39700.879999999997"/>
    <n v="8836.5199999999986"/>
    <n v="0.79166666666666663"/>
    <n v="0"/>
  </r>
  <r>
    <s v="P0140"/>
    <x v="8"/>
    <x v="2"/>
    <s v="S002"/>
    <d v="2022-11-10T00:00:00"/>
    <n v="104"/>
    <n v="168"/>
    <n v="356.25"/>
    <n v="664.74"/>
    <x v="3"/>
    <n v="69132.960000000006"/>
    <n v="32082.959999999999"/>
    <n v="0.61904761904761907"/>
    <n v="0"/>
  </r>
  <r>
    <s v="P0189"/>
    <x v="0"/>
    <x v="2"/>
    <s v="S013"/>
    <d v="2024-03-17T00:00:00"/>
    <n v="117"/>
    <n v="168"/>
    <n v="184.8"/>
    <n v="209.84"/>
    <x v="0"/>
    <n v="24551.279999999999"/>
    <n v="2929.6799999999989"/>
    <n v="0.6964285714285714"/>
    <n v="0"/>
  </r>
  <r>
    <s v="P0147"/>
    <x v="6"/>
    <x v="3"/>
    <s v="S019"/>
    <d v="2023-04-30T00:00:00"/>
    <n v="41"/>
    <n v="150"/>
    <n v="255.98"/>
    <n v="110.52"/>
    <x v="4"/>
    <n v="4531.32"/>
    <n v="-5963.8599999999988"/>
    <n v="0.27333333333333332"/>
    <n v="0"/>
  </r>
  <r>
    <s v="P0076"/>
    <x v="0"/>
    <x v="3"/>
    <s v="S017"/>
    <d v="2022-02-13T00:00:00"/>
    <n v="46"/>
    <n v="70"/>
    <n v="93"/>
    <n v="318.89999999999998"/>
    <x v="1"/>
    <n v="14669.4"/>
    <n v="10391.4"/>
    <n v="0.65714285714285714"/>
    <n v="0"/>
  </r>
  <r>
    <s v="P0009"/>
    <x v="5"/>
    <x v="2"/>
    <s v="S014"/>
    <d v="2023-07-25T00:00:00"/>
    <n v="164"/>
    <n v="2"/>
    <n v="454.17"/>
    <n v="511.7"/>
    <x v="2"/>
    <n v="83918.8"/>
    <n v="9434.9199999999946"/>
    <n v="82"/>
    <n v="0"/>
  </r>
  <r>
    <s v="P0199"/>
    <x v="3"/>
    <x v="0"/>
    <s v="S012"/>
    <d v="2023-08-06T00:00:00"/>
    <n v="21"/>
    <n v="31"/>
    <n v="470.94"/>
    <n v="196.8"/>
    <x v="0"/>
    <n v="4132.8"/>
    <n v="-5756.94"/>
    <n v="0.67741935483870963"/>
    <n v="0"/>
  </r>
  <r>
    <s v="P0028"/>
    <x v="8"/>
    <x v="2"/>
    <s v="S012"/>
    <d v="2024-06-13T00:00:00"/>
    <n v="184"/>
    <n v="286"/>
    <n v="490.91"/>
    <n v="398.29"/>
    <x v="2"/>
    <n v="73285.36"/>
    <n v="-17042.080000000002"/>
    <n v="0.64335664335664333"/>
    <n v="0"/>
  </r>
  <r>
    <s v="P0128"/>
    <x v="6"/>
    <x v="3"/>
    <s v="S011"/>
    <d v="2022-08-08T00:00:00"/>
    <n v="106"/>
    <n v="81"/>
    <n v="440.85"/>
    <n v="486.63"/>
    <x v="1"/>
    <n v="51582.78"/>
    <n v="4852.6799999999967"/>
    <n v="1.308641975308642"/>
    <n v="0"/>
  </r>
  <r>
    <s v="P0052"/>
    <x v="5"/>
    <x v="0"/>
    <s v="S007"/>
    <d v="2024-07-13T00:00:00"/>
    <n v="26"/>
    <n v="42"/>
    <n v="128.28"/>
    <n v="519.22"/>
    <x v="0"/>
    <n v="13499.720000000001"/>
    <n v="10164.440000000002"/>
    <n v="0.61904761904761907"/>
    <n v="0"/>
  </r>
  <r>
    <s v="P0083"/>
    <x v="5"/>
    <x v="0"/>
    <s v="S004"/>
    <d v="2023-02-05T00:00:00"/>
    <n v="40"/>
    <n v="104"/>
    <n v="70.790000000000006"/>
    <n v="292.08999999999997"/>
    <x v="0"/>
    <n v="11683.599999999999"/>
    <n v="8851.9999999999982"/>
    <n v="0.38461538461538464"/>
    <n v="0"/>
  </r>
  <r>
    <s v="P0111"/>
    <x v="1"/>
    <x v="2"/>
    <s v="S019"/>
    <d v="2023-12-28T00:00:00"/>
    <n v="79"/>
    <n v="0"/>
    <n v="310.82"/>
    <n v="380.02"/>
    <x v="2"/>
    <n v="30021.579999999998"/>
    <n v="5466.7999999999993"/>
    <n v="0"/>
    <n v="1"/>
  </r>
  <r>
    <s v="P0144"/>
    <x v="8"/>
    <x v="3"/>
    <s v="S001"/>
    <d v="2024-09-17T00:00:00"/>
    <n v="161"/>
    <n v="60"/>
    <n v="460.67"/>
    <n v="644.84"/>
    <x v="1"/>
    <n v="103819.24"/>
    <n v="29651.370000000003"/>
    <n v="2.6833333333333331"/>
    <n v="0"/>
  </r>
  <r>
    <s v="P0117"/>
    <x v="0"/>
    <x v="3"/>
    <s v="S003"/>
    <d v="2024-06-17T00:00:00"/>
    <n v="159"/>
    <n v="269"/>
    <n v="129.81"/>
    <n v="758.85"/>
    <x v="4"/>
    <n v="120657.15000000001"/>
    <n v="100017.36"/>
    <n v="0.59107806691449816"/>
    <n v="0"/>
  </r>
  <r>
    <s v="P0069"/>
    <x v="2"/>
    <x v="0"/>
    <s v="S013"/>
    <d v="2024-05-07T00:00:00"/>
    <n v="88"/>
    <n v="179"/>
    <n v="53.17"/>
    <n v="703.32"/>
    <x v="0"/>
    <n v="61892.160000000003"/>
    <n v="57213.200000000012"/>
    <n v="0.49162011173184356"/>
    <n v="0"/>
  </r>
  <r>
    <s v="P0099"/>
    <x v="3"/>
    <x v="2"/>
    <s v="S015"/>
    <d v="2024-03-14T00:00:00"/>
    <n v="65"/>
    <n v="223"/>
    <n v="412.47"/>
    <n v="495"/>
    <x v="4"/>
    <n v="32175"/>
    <n v="5364.449999999998"/>
    <n v="0.2914798206278027"/>
    <n v="0"/>
  </r>
  <r>
    <s v="P0140"/>
    <x v="2"/>
    <x v="1"/>
    <s v="S002"/>
    <d v="2023-05-05T00:00:00"/>
    <n v="11"/>
    <n v="5"/>
    <n v="84.56"/>
    <n v="387.2"/>
    <x v="1"/>
    <n v="4259.2"/>
    <n v="3329.04"/>
    <n v="2.2000000000000002"/>
    <n v="0"/>
  </r>
  <r>
    <s v="P0025"/>
    <x v="0"/>
    <x v="1"/>
    <s v="S011"/>
    <d v="2024-07-26T00:00:00"/>
    <n v="167"/>
    <n v="102"/>
    <n v="236.17"/>
    <n v="333.07"/>
    <x v="0"/>
    <n v="55622.69"/>
    <n v="16182.300000000001"/>
    <n v="1.6372549019607843"/>
    <n v="0"/>
  </r>
  <r>
    <s v="P0180"/>
    <x v="0"/>
    <x v="3"/>
    <s v="S004"/>
    <d v="2024-04-23T00:00:00"/>
    <n v="72"/>
    <n v="9"/>
    <n v="355.5"/>
    <n v="187.47"/>
    <x v="0"/>
    <n v="13497.84"/>
    <n v="-12098.16"/>
    <n v="8"/>
    <n v="0"/>
  </r>
  <r>
    <s v="P0123"/>
    <x v="8"/>
    <x v="1"/>
    <s v="S019"/>
    <d v="2022-09-24T00:00:00"/>
    <n v="75"/>
    <n v="70"/>
    <n v="156.56"/>
    <n v="174.59"/>
    <x v="4"/>
    <n v="13094.25"/>
    <n v="1352.25"/>
    <n v="1.0714285714285714"/>
    <n v="0"/>
  </r>
  <r>
    <s v="P0053"/>
    <x v="0"/>
    <x v="3"/>
    <s v="S017"/>
    <d v="2022-02-23T00:00:00"/>
    <n v="89"/>
    <n v="89"/>
    <n v="87.78"/>
    <n v="581.85"/>
    <x v="3"/>
    <n v="51784.65"/>
    <n v="43972.23"/>
    <n v="1"/>
    <n v="0"/>
  </r>
  <r>
    <s v="P0151"/>
    <x v="1"/>
    <x v="3"/>
    <s v="S003"/>
    <d v="2023-06-12T00:00:00"/>
    <n v="9"/>
    <n v="225"/>
    <n v="396.51"/>
    <n v="281.86"/>
    <x v="4"/>
    <n v="2536.7400000000002"/>
    <n v="-1031.8499999999999"/>
    <n v="0.04"/>
    <n v="0"/>
  </r>
  <r>
    <s v="P0144"/>
    <x v="6"/>
    <x v="3"/>
    <s v="S018"/>
    <d v="2023-09-08T00:00:00"/>
    <n v="95"/>
    <n v="157"/>
    <n v="333.58"/>
    <n v="278.26"/>
    <x v="4"/>
    <n v="26434.7"/>
    <n v="-5255.4"/>
    <n v="0.60509554140127386"/>
    <n v="0"/>
  </r>
  <r>
    <s v="P0057"/>
    <x v="0"/>
    <x v="1"/>
    <s v="S008"/>
    <d v="2024-12-18T00:00:00"/>
    <n v="175"/>
    <n v="227"/>
    <n v="494.82"/>
    <n v="798.74"/>
    <x v="3"/>
    <n v="139779.5"/>
    <n v="53186"/>
    <n v="0.77092511013215859"/>
    <n v="0"/>
  </r>
  <r>
    <s v="P0039"/>
    <x v="2"/>
    <x v="3"/>
    <s v="S019"/>
    <d v="2024-11-29T00:00:00"/>
    <n v="19"/>
    <n v="125"/>
    <n v="204.94"/>
    <n v="231.55"/>
    <x v="1"/>
    <n v="4399.45"/>
    <n v="505.59000000000026"/>
    <n v="0.152"/>
    <n v="0"/>
  </r>
  <r>
    <s v="P0109"/>
    <x v="0"/>
    <x v="0"/>
    <s v="S005"/>
    <d v="2024-08-12T00:00:00"/>
    <n v="38"/>
    <n v="208"/>
    <n v="77.790000000000006"/>
    <n v="203.64"/>
    <x v="1"/>
    <n v="7738.32"/>
    <n v="4782.2999999999993"/>
    <n v="0.18269230769230768"/>
    <n v="0"/>
  </r>
  <r>
    <s v="P0181"/>
    <x v="1"/>
    <x v="2"/>
    <s v="S007"/>
    <d v="2023-01-21T00:00:00"/>
    <n v="59"/>
    <n v="96"/>
    <n v="380.46"/>
    <n v="169.08"/>
    <x v="0"/>
    <n v="9975.7200000000012"/>
    <n v="-12471.419999999998"/>
    <n v="0.61458333333333337"/>
    <n v="0"/>
  </r>
  <r>
    <s v="P0042"/>
    <x v="4"/>
    <x v="2"/>
    <s v="S008"/>
    <d v="2024-01-04T00:00:00"/>
    <n v="65"/>
    <n v="73"/>
    <n v="284.77999999999997"/>
    <n v="505.86"/>
    <x v="2"/>
    <n v="32880.9"/>
    <n v="14370.200000000003"/>
    <n v="0.8904109589041096"/>
    <n v="0"/>
  </r>
  <r>
    <s v="P0186"/>
    <x v="4"/>
    <x v="3"/>
    <s v="S005"/>
    <d v="2023-12-17T00:00:00"/>
    <n v="64"/>
    <n v="114"/>
    <n v="145.94"/>
    <n v="539.5"/>
    <x v="2"/>
    <n v="34528"/>
    <n v="25187.84"/>
    <n v="0.56140350877192979"/>
    <n v="0"/>
  </r>
  <r>
    <s v="P0167"/>
    <x v="5"/>
    <x v="2"/>
    <s v="S017"/>
    <d v="2023-10-12T00:00:00"/>
    <n v="178"/>
    <n v="190"/>
    <n v="401.78"/>
    <n v="355.66"/>
    <x v="0"/>
    <n v="63307.48"/>
    <n v="-8209.3599999999915"/>
    <n v="0.93684210526315792"/>
    <n v="0"/>
  </r>
  <r>
    <s v="P0142"/>
    <x v="3"/>
    <x v="1"/>
    <s v="S005"/>
    <d v="2022-10-27T00:00:00"/>
    <n v="123"/>
    <n v="169"/>
    <n v="141.69"/>
    <n v="474.79"/>
    <x v="2"/>
    <n v="58399.170000000006"/>
    <n v="40971.300000000003"/>
    <n v="0.72781065088757402"/>
    <n v="0"/>
  </r>
  <r>
    <s v="P0122"/>
    <x v="7"/>
    <x v="1"/>
    <s v="S004"/>
    <d v="2023-01-30T00:00:00"/>
    <n v="163"/>
    <n v="203"/>
    <n v="167.3"/>
    <n v="651.88"/>
    <x v="4"/>
    <n v="106256.44"/>
    <n v="78986.539999999994"/>
    <n v="0.80295566502463056"/>
    <n v="0"/>
  </r>
  <r>
    <s v="P0133"/>
    <x v="6"/>
    <x v="2"/>
    <s v="S019"/>
    <d v="2023-08-16T00:00:00"/>
    <n v="151"/>
    <n v="55"/>
    <n v="91.64"/>
    <n v="672.67"/>
    <x v="4"/>
    <n v="101573.17"/>
    <n v="87735.53"/>
    <n v="2.7454545454545456"/>
    <n v="0"/>
  </r>
  <r>
    <s v="P0163"/>
    <x v="9"/>
    <x v="1"/>
    <s v="S002"/>
    <d v="2023-05-29T00:00:00"/>
    <n v="154"/>
    <n v="207"/>
    <n v="229.74"/>
    <n v="770.54"/>
    <x v="3"/>
    <n v="118663.15999999999"/>
    <n v="83283.199999999997"/>
    <n v="0.7439613526570048"/>
    <n v="0"/>
  </r>
  <r>
    <s v="P0075"/>
    <x v="5"/>
    <x v="2"/>
    <s v="S011"/>
    <d v="2023-01-31T00:00:00"/>
    <n v="129"/>
    <n v="40"/>
    <n v="238.52"/>
    <n v="676.99"/>
    <x v="3"/>
    <n v="87331.71"/>
    <n v="56562.630000000005"/>
    <n v="3.2250000000000001"/>
    <n v="0"/>
  </r>
  <r>
    <s v="P0146"/>
    <x v="3"/>
    <x v="2"/>
    <s v="S013"/>
    <d v="2023-01-06T00:00:00"/>
    <n v="158"/>
    <n v="31"/>
    <n v="281.55"/>
    <n v="495.39"/>
    <x v="0"/>
    <n v="78271.62"/>
    <n v="33786.719999999994"/>
    <n v="5.096774193548387"/>
    <n v="0"/>
  </r>
  <r>
    <s v="P0076"/>
    <x v="4"/>
    <x v="2"/>
    <s v="S015"/>
    <d v="2024-05-07T00:00:00"/>
    <n v="56"/>
    <n v="14"/>
    <n v="369.03"/>
    <n v="225.76"/>
    <x v="0"/>
    <n v="12642.56"/>
    <n v="-8023.119999999999"/>
    <n v="4"/>
    <n v="0"/>
  </r>
  <r>
    <s v="P0009"/>
    <x v="2"/>
    <x v="3"/>
    <s v="S012"/>
    <d v="2024-03-01T00:00:00"/>
    <n v="77"/>
    <n v="61"/>
    <n v="457.75"/>
    <n v="169.83"/>
    <x v="0"/>
    <n v="13076.910000000002"/>
    <n v="-22169.839999999997"/>
    <n v="1.2622950819672132"/>
    <n v="0"/>
  </r>
  <r>
    <s v="P0074"/>
    <x v="9"/>
    <x v="2"/>
    <s v="S011"/>
    <d v="2023-10-20T00:00:00"/>
    <n v="193"/>
    <n v="154"/>
    <n v="111.98"/>
    <n v="138.16"/>
    <x v="4"/>
    <n v="26664.880000000001"/>
    <n v="5052.7399999999989"/>
    <n v="1.2532467532467533"/>
    <n v="0"/>
  </r>
  <r>
    <s v="P0186"/>
    <x v="3"/>
    <x v="3"/>
    <s v="S007"/>
    <d v="2024-01-06T00:00:00"/>
    <n v="28"/>
    <n v="283"/>
    <n v="74.459999999999994"/>
    <n v="566.57000000000005"/>
    <x v="2"/>
    <n v="15863.960000000001"/>
    <n v="13779.080000000002"/>
    <n v="9.8939929328621903E-2"/>
    <n v="0"/>
  </r>
  <r>
    <s v="P0145"/>
    <x v="3"/>
    <x v="2"/>
    <s v="S005"/>
    <d v="2023-01-19T00:00:00"/>
    <n v="14"/>
    <n v="208"/>
    <n v="58.34"/>
    <n v="665.28"/>
    <x v="0"/>
    <n v="9313.92"/>
    <n v="8497.16"/>
    <n v="6.7307692307692304E-2"/>
    <n v="0"/>
  </r>
  <r>
    <s v="P0007"/>
    <x v="5"/>
    <x v="2"/>
    <s v="S017"/>
    <d v="2022-03-03T00:00:00"/>
    <n v="11"/>
    <n v="186"/>
    <n v="114.63"/>
    <n v="456.08"/>
    <x v="0"/>
    <n v="5016.88"/>
    <n v="3755.95"/>
    <n v="5.9139784946236562E-2"/>
    <n v="0"/>
  </r>
  <r>
    <s v="P0174"/>
    <x v="9"/>
    <x v="2"/>
    <s v="S020"/>
    <d v="2023-05-20T00:00:00"/>
    <n v="100"/>
    <n v="129"/>
    <n v="346.08"/>
    <n v="138.30000000000001"/>
    <x v="4"/>
    <n v="13830.000000000002"/>
    <n v="-20777.999999999996"/>
    <n v="0.77519379844961245"/>
    <n v="0"/>
  </r>
  <r>
    <s v="P0141"/>
    <x v="8"/>
    <x v="1"/>
    <s v="S009"/>
    <d v="2022-08-27T00:00:00"/>
    <n v="155"/>
    <n v="126"/>
    <n v="377.36"/>
    <n v="474.83"/>
    <x v="4"/>
    <n v="73598.649999999994"/>
    <n v="15107.849999999995"/>
    <n v="1.2301587301587302"/>
    <n v="0"/>
  </r>
  <r>
    <s v="P0168"/>
    <x v="7"/>
    <x v="3"/>
    <s v="S014"/>
    <d v="2022-07-14T00:00:00"/>
    <n v="83"/>
    <n v="291"/>
    <n v="403.93"/>
    <n v="755.02"/>
    <x v="4"/>
    <n v="62666.659999999996"/>
    <n v="29140.469999999998"/>
    <n v="0.28522336769759449"/>
    <n v="0"/>
  </r>
  <r>
    <s v="P0170"/>
    <x v="8"/>
    <x v="3"/>
    <s v="S012"/>
    <d v="2023-11-09T00:00:00"/>
    <n v="124"/>
    <n v="113"/>
    <n v="159.66999999999999"/>
    <n v="518.33000000000004"/>
    <x v="2"/>
    <n v="64272.920000000006"/>
    <n v="44473.840000000011"/>
    <n v="1.0973451327433628"/>
    <n v="0"/>
  </r>
  <r>
    <s v="P0137"/>
    <x v="9"/>
    <x v="2"/>
    <s v="S006"/>
    <d v="2022-03-02T00:00:00"/>
    <n v="102"/>
    <n v="198"/>
    <n v="187.65"/>
    <n v="666.6"/>
    <x v="0"/>
    <n v="67993.2"/>
    <n v="48852.9"/>
    <n v="0.51515151515151514"/>
    <n v="0"/>
  </r>
  <r>
    <s v="P0178"/>
    <x v="8"/>
    <x v="2"/>
    <s v="S017"/>
    <d v="2024-09-16T00:00:00"/>
    <n v="23"/>
    <n v="12"/>
    <n v="267.41000000000003"/>
    <n v="660.11"/>
    <x v="1"/>
    <n v="15182.53"/>
    <n v="9032.1"/>
    <n v="1.9166666666666667"/>
    <n v="0"/>
  </r>
  <r>
    <s v="P0027"/>
    <x v="1"/>
    <x v="1"/>
    <s v="S019"/>
    <d v="2023-11-16T00:00:00"/>
    <n v="148"/>
    <n v="270"/>
    <n v="78.430000000000007"/>
    <n v="752.49"/>
    <x v="1"/>
    <n v="111368.52"/>
    <n v="99760.87999999999"/>
    <n v="0.54814814814814816"/>
    <n v="0"/>
  </r>
  <r>
    <s v="P0122"/>
    <x v="4"/>
    <x v="1"/>
    <s v="S019"/>
    <d v="2022-06-05T00:00:00"/>
    <n v="137"/>
    <n v="88"/>
    <n v="325.01"/>
    <n v="639.16"/>
    <x v="0"/>
    <n v="87564.92"/>
    <n v="43038.549999999996"/>
    <n v="1.5568181818181819"/>
    <n v="0"/>
  </r>
  <r>
    <s v="P0194"/>
    <x v="1"/>
    <x v="1"/>
    <s v="S016"/>
    <d v="2024-07-11T00:00:00"/>
    <n v="109"/>
    <n v="214"/>
    <n v="492.68"/>
    <n v="623.39"/>
    <x v="0"/>
    <n v="67949.509999999995"/>
    <n v="14247.389999999998"/>
    <n v="0.50934579439252337"/>
    <n v="0"/>
  </r>
  <r>
    <s v="P0005"/>
    <x v="0"/>
    <x v="3"/>
    <s v="S012"/>
    <d v="2024-05-17T00:00:00"/>
    <n v="77"/>
    <n v="277"/>
    <n v="212.36"/>
    <n v="263.87"/>
    <x v="0"/>
    <n v="20317.990000000002"/>
    <n v="3966.2699999999995"/>
    <n v="0.27797833935018051"/>
    <n v="0"/>
  </r>
  <r>
    <s v="P0029"/>
    <x v="8"/>
    <x v="3"/>
    <s v="S012"/>
    <d v="2024-06-21T00:00:00"/>
    <n v="100"/>
    <n v="202"/>
    <n v="388.78"/>
    <n v="141.94999999999999"/>
    <x v="0"/>
    <n v="14194.999999999998"/>
    <n v="-24683"/>
    <n v="0.49504950495049505"/>
    <n v="0"/>
  </r>
  <r>
    <s v="P0165"/>
    <x v="0"/>
    <x v="3"/>
    <s v="S020"/>
    <d v="2024-09-25T00:00:00"/>
    <n v="145"/>
    <n v="73"/>
    <n v="275.02"/>
    <n v="462.32"/>
    <x v="2"/>
    <n v="67036.399999999994"/>
    <n v="27158.5"/>
    <n v="1.9863013698630136"/>
    <n v="0"/>
  </r>
  <r>
    <s v="P0166"/>
    <x v="2"/>
    <x v="2"/>
    <s v="S006"/>
    <d v="2024-09-01T00:00:00"/>
    <n v="141"/>
    <n v="24"/>
    <n v="107.52"/>
    <n v="187.1"/>
    <x v="1"/>
    <n v="26381.1"/>
    <n v="11220.78"/>
    <n v="5.875"/>
    <n v="0"/>
  </r>
  <r>
    <s v="P0083"/>
    <x v="6"/>
    <x v="3"/>
    <s v="S004"/>
    <d v="2023-01-23T00:00:00"/>
    <n v="161"/>
    <n v="100"/>
    <n v="312.01"/>
    <n v="773.54"/>
    <x v="3"/>
    <n v="124539.93999999999"/>
    <n v="74306.33"/>
    <n v="1.61"/>
    <n v="0"/>
  </r>
  <r>
    <s v="P0136"/>
    <x v="2"/>
    <x v="0"/>
    <s v="S006"/>
    <d v="2024-06-05T00:00:00"/>
    <n v="127"/>
    <n v="175"/>
    <n v="184.94"/>
    <n v="302.95"/>
    <x v="1"/>
    <n v="38474.65"/>
    <n v="14987.269999999999"/>
    <n v="0.72571428571428576"/>
    <n v="0"/>
  </r>
  <r>
    <s v="P0109"/>
    <x v="9"/>
    <x v="0"/>
    <s v="S011"/>
    <d v="2024-04-17T00:00:00"/>
    <n v="57"/>
    <n v="116"/>
    <n v="65.48"/>
    <n v="697.06"/>
    <x v="1"/>
    <n v="39732.42"/>
    <n v="36000.06"/>
    <n v="0.49137931034482757"/>
    <n v="0"/>
  </r>
  <r>
    <s v="P0065"/>
    <x v="3"/>
    <x v="1"/>
    <s v="S001"/>
    <d v="2022-12-06T00:00:00"/>
    <n v="75"/>
    <n v="165"/>
    <n v="335.72"/>
    <n v="371.34"/>
    <x v="4"/>
    <n v="27850.499999999996"/>
    <n v="2671.4999999999959"/>
    <n v="0.45454545454545453"/>
    <n v="0"/>
  </r>
  <r>
    <s v="P0086"/>
    <x v="4"/>
    <x v="3"/>
    <s v="S015"/>
    <d v="2022-07-23T00:00:00"/>
    <n v="149"/>
    <n v="40"/>
    <n v="436.52"/>
    <n v="326.24"/>
    <x v="0"/>
    <n v="48609.760000000002"/>
    <n v="-16431.719999999998"/>
    <n v="3.7250000000000001"/>
    <n v="0"/>
  </r>
  <r>
    <s v="P0145"/>
    <x v="8"/>
    <x v="0"/>
    <s v="S011"/>
    <d v="2022-06-10T00:00:00"/>
    <n v="197"/>
    <n v="119"/>
    <n v="205.15"/>
    <n v="754.61"/>
    <x v="0"/>
    <n v="148658.17000000001"/>
    <n v="108243.62000000001"/>
    <n v="1.6554621848739495"/>
    <n v="0"/>
  </r>
  <r>
    <s v="P0071"/>
    <x v="5"/>
    <x v="1"/>
    <s v="S019"/>
    <d v="2023-01-27T00:00:00"/>
    <n v="35"/>
    <n v="96"/>
    <n v="225.63"/>
    <n v="354.33"/>
    <x v="0"/>
    <n v="12401.55"/>
    <n v="4504.5"/>
    <n v="0.36458333333333331"/>
    <n v="0"/>
  </r>
  <r>
    <s v="P0045"/>
    <x v="6"/>
    <x v="3"/>
    <s v="S018"/>
    <d v="2024-02-08T00:00:00"/>
    <n v="172"/>
    <n v="144"/>
    <n v="450.96"/>
    <n v="373.2"/>
    <x v="4"/>
    <n v="64190.400000000001"/>
    <n v="-13374.719999999998"/>
    <n v="1.1944444444444444"/>
    <n v="0"/>
  </r>
  <r>
    <s v="P0132"/>
    <x v="7"/>
    <x v="2"/>
    <s v="S017"/>
    <d v="2023-07-29T00:00:00"/>
    <n v="163"/>
    <n v="215"/>
    <n v="416.12"/>
    <n v="174.26"/>
    <x v="2"/>
    <n v="28404.379999999997"/>
    <n v="-39423.18"/>
    <n v="0.75813953488372088"/>
    <n v="0"/>
  </r>
  <r>
    <s v="P0036"/>
    <x v="7"/>
    <x v="0"/>
    <s v="S019"/>
    <d v="2023-06-18T00:00:00"/>
    <n v="21"/>
    <n v="228"/>
    <n v="371.73"/>
    <n v="569.30999999999995"/>
    <x v="2"/>
    <n v="11955.509999999998"/>
    <n v="4149.1799999999985"/>
    <n v="9.2105263157894732E-2"/>
    <n v="0"/>
  </r>
  <r>
    <s v="P0070"/>
    <x v="7"/>
    <x v="2"/>
    <s v="S014"/>
    <d v="2024-12-29T00:00:00"/>
    <n v="126"/>
    <n v="129"/>
    <n v="161.96"/>
    <n v="302.19"/>
    <x v="3"/>
    <n v="38075.94"/>
    <n v="17668.98"/>
    <n v="0.97674418604651159"/>
    <n v="0"/>
  </r>
  <r>
    <s v="P0159"/>
    <x v="8"/>
    <x v="3"/>
    <s v="S018"/>
    <d v="2024-06-11T00:00:00"/>
    <n v="79"/>
    <n v="136"/>
    <n v="459.6"/>
    <n v="509.92"/>
    <x v="2"/>
    <n v="40283.68"/>
    <n v="3975.2799999999993"/>
    <n v="0.58088235294117652"/>
    <n v="0"/>
  </r>
  <r>
    <s v="P0019"/>
    <x v="7"/>
    <x v="0"/>
    <s v="S019"/>
    <d v="2023-02-09T00:00:00"/>
    <n v="188"/>
    <n v="272"/>
    <n v="119.49"/>
    <n v="513.95000000000005"/>
    <x v="2"/>
    <n v="96622.6"/>
    <n v="74158.48000000001"/>
    <n v="0.69117647058823528"/>
    <n v="0"/>
  </r>
  <r>
    <s v="P0189"/>
    <x v="1"/>
    <x v="3"/>
    <s v="S015"/>
    <d v="2023-08-31T00:00:00"/>
    <n v="99"/>
    <n v="116"/>
    <n v="332.05"/>
    <n v="603.44000000000005"/>
    <x v="0"/>
    <n v="59740.560000000005"/>
    <n v="26867.610000000004"/>
    <n v="0.85344827586206895"/>
    <n v="0"/>
  </r>
  <r>
    <s v="P0108"/>
    <x v="6"/>
    <x v="2"/>
    <s v="S015"/>
    <d v="2024-04-07T00:00:00"/>
    <n v="183"/>
    <n v="93"/>
    <n v="62.96"/>
    <n v="621.66999999999996"/>
    <x v="1"/>
    <n v="113765.60999999999"/>
    <n v="102243.93"/>
    <n v="1.967741935483871"/>
    <n v="0"/>
  </r>
  <r>
    <s v="P0182"/>
    <x v="1"/>
    <x v="0"/>
    <s v="S004"/>
    <d v="2023-11-21T00:00:00"/>
    <n v="95"/>
    <n v="167"/>
    <n v="339.67"/>
    <n v="460.12"/>
    <x v="2"/>
    <n v="43711.4"/>
    <n v="11442.749999999998"/>
    <n v="0.56886227544910184"/>
    <n v="0"/>
  </r>
  <r>
    <s v="P0167"/>
    <x v="3"/>
    <x v="2"/>
    <s v="S007"/>
    <d v="2024-06-20T00:00:00"/>
    <n v="160"/>
    <n v="202"/>
    <n v="174.71"/>
    <n v="331.69"/>
    <x v="2"/>
    <n v="53070.400000000001"/>
    <n v="25116.799999999999"/>
    <n v="0.79207920792079212"/>
    <n v="0"/>
  </r>
  <r>
    <s v="P0091"/>
    <x v="6"/>
    <x v="3"/>
    <s v="S013"/>
    <d v="2022-02-25T00:00:00"/>
    <n v="172"/>
    <n v="148"/>
    <n v="252.35"/>
    <n v="686.22"/>
    <x v="4"/>
    <n v="118029.84000000001"/>
    <n v="74625.64"/>
    <n v="1.1621621621621621"/>
    <n v="0"/>
  </r>
  <r>
    <s v="P0090"/>
    <x v="1"/>
    <x v="3"/>
    <s v="S003"/>
    <d v="2023-01-01T00:00:00"/>
    <n v="163"/>
    <n v="182"/>
    <n v="205.37"/>
    <n v="316.91000000000003"/>
    <x v="3"/>
    <n v="51656.33"/>
    <n v="18181.020000000004"/>
    <n v="0.89560439560439564"/>
    <n v="0"/>
  </r>
  <r>
    <s v="P0019"/>
    <x v="6"/>
    <x v="2"/>
    <s v="S016"/>
    <d v="2023-03-31T00:00:00"/>
    <n v="147"/>
    <n v="151"/>
    <n v="127.74"/>
    <n v="455.26"/>
    <x v="4"/>
    <n v="66923.22"/>
    <n v="48145.439999999995"/>
    <n v="0.97350993377483441"/>
    <n v="0"/>
  </r>
  <r>
    <s v="P0039"/>
    <x v="3"/>
    <x v="0"/>
    <s v="S009"/>
    <d v="2022-04-14T00:00:00"/>
    <n v="17"/>
    <n v="73"/>
    <n v="329.89"/>
    <n v="380.88"/>
    <x v="0"/>
    <n v="6474.96"/>
    <n v="866.83000000000015"/>
    <n v="0.23287671232876711"/>
    <n v="0"/>
  </r>
  <r>
    <s v="P0126"/>
    <x v="0"/>
    <x v="2"/>
    <s v="S008"/>
    <d v="2022-03-18T00:00:00"/>
    <n v="37"/>
    <n v="273"/>
    <n v="446.89"/>
    <n v="698.55"/>
    <x v="1"/>
    <n v="25846.35"/>
    <n v="9311.4199999999983"/>
    <n v="0.13553113553113552"/>
    <n v="0"/>
  </r>
  <r>
    <s v="P0195"/>
    <x v="8"/>
    <x v="3"/>
    <s v="S020"/>
    <d v="2022-08-18T00:00:00"/>
    <n v="194"/>
    <n v="41"/>
    <n v="481.59"/>
    <n v="402.34"/>
    <x v="3"/>
    <n v="78053.959999999992"/>
    <n v="-15374.5"/>
    <n v="4.7317073170731705"/>
    <n v="0"/>
  </r>
  <r>
    <s v="P0173"/>
    <x v="8"/>
    <x v="2"/>
    <s v="S013"/>
    <d v="2022-11-27T00:00:00"/>
    <n v="150"/>
    <n v="211"/>
    <n v="136.56"/>
    <n v="370.27"/>
    <x v="4"/>
    <n v="55540.5"/>
    <n v="35056.5"/>
    <n v="0.7109004739336493"/>
    <n v="0"/>
  </r>
  <r>
    <s v="P0141"/>
    <x v="7"/>
    <x v="3"/>
    <s v="S017"/>
    <d v="2024-06-11T00:00:00"/>
    <n v="108"/>
    <n v="100"/>
    <n v="372.82"/>
    <n v="582.88"/>
    <x v="2"/>
    <n v="62951.040000000001"/>
    <n v="22686.48"/>
    <n v="1.08"/>
    <n v="0"/>
  </r>
  <r>
    <s v="P0126"/>
    <x v="2"/>
    <x v="2"/>
    <s v="S017"/>
    <d v="2023-11-19T00:00:00"/>
    <n v="122"/>
    <n v="44"/>
    <n v="348.95"/>
    <n v="521.71"/>
    <x v="2"/>
    <n v="63648.62"/>
    <n v="21076.720000000005"/>
    <n v="2.7727272727272729"/>
    <n v="0"/>
  </r>
  <r>
    <s v="P0058"/>
    <x v="7"/>
    <x v="0"/>
    <s v="S017"/>
    <d v="2022-01-27T00:00:00"/>
    <n v="143"/>
    <n v="81"/>
    <n v="204.52"/>
    <n v="175.07"/>
    <x v="3"/>
    <n v="25035.01"/>
    <n v="-4211.3500000000022"/>
    <n v="1.7654320987654322"/>
    <n v="0"/>
  </r>
  <r>
    <s v="P0148"/>
    <x v="9"/>
    <x v="0"/>
    <s v="S001"/>
    <d v="2022-10-26T00:00:00"/>
    <n v="186"/>
    <n v="16"/>
    <n v="58.59"/>
    <n v="455.72"/>
    <x v="2"/>
    <n v="84763.92"/>
    <n v="73866.179999999993"/>
    <n v="11.625"/>
    <n v="0"/>
  </r>
  <r>
    <s v="P0200"/>
    <x v="1"/>
    <x v="2"/>
    <s v="S008"/>
    <d v="2024-08-14T00:00:00"/>
    <n v="196"/>
    <n v="72"/>
    <n v="360.41"/>
    <n v="614.83000000000004"/>
    <x v="4"/>
    <n v="120506.68000000001"/>
    <n v="49866.32"/>
    <n v="2.7222222222222223"/>
    <n v="0"/>
  </r>
  <r>
    <s v="P0061"/>
    <x v="6"/>
    <x v="2"/>
    <s v="S019"/>
    <d v="2024-03-09T00:00:00"/>
    <n v="195"/>
    <n v="13"/>
    <n v="475.47"/>
    <n v="794.45"/>
    <x v="4"/>
    <n v="154917.75"/>
    <n v="62201.100000000006"/>
    <n v="15"/>
    <n v="0"/>
  </r>
  <r>
    <s v="P0127"/>
    <x v="2"/>
    <x v="0"/>
    <s v="S006"/>
    <d v="2023-04-25T00:00:00"/>
    <n v="148"/>
    <n v="156"/>
    <n v="334.45"/>
    <n v="540.4"/>
    <x v="2"/>
    <n v="79979.199999999997"/>
    <n v="30480.6"/>
    <n v="0.94871794871794868"/>
    <n v="0"/>
  </r>
  <r>
    <s v="P0105"/>
    <x v="3"/>
    <x v="3"/>
    <s v="S003"/>
    <d v="2023-07-27T00:00:00"/>
    <n v="103"/>
    <n v="222"/>
    <n v="245.88"/>
    <n v="359.21"/>
    <x v="2"/>
    <n v="36998.629999999997"/>
    <n v="11672.989999999998"/>
    <n v="0.46396396396396394"/>
    <n v="0"/>
  </r>
  <r>
    <s v="P0167"/>
    <x v="9"/>
    <x v="0"/>
    <s v="S005"/>
    <d v="2023-04-03T00:00:00"/>
    <n v="197"/>
    <n v="131"/>
    <n v="286.32"/>
    <n v="258.31"/>
    <x v="0"/>
    <n v="50887.07"/>
    <n v="-5517.9699999999984"/>
    <n v="1.5038167938931297"/>
    <n v="0"/>
  </r>
  <r>
    <s v="P0001"/>
    <x v="3"/>
    <x v="3"/>
    <s v="S013"/>
    <d v="2022-12-31T00:00:00"/>
    <n v="139"/>
    <n v="46"/>
    <n v="139.83000000000001"/>
    <n v="710.98"/>
    <x v="1"/>
    <n v="98826.22"/>
    <n v="79389.849999999991"/>
    <n v="3.0217391304347827"/>
    <n v="0"/>
  </r>
  <r>
    <s v="P0131"/>
    <x v="8"/>
    <x v="2"/>
    <s v="S015"/>
    <d v="2024-05-08T00:00:00"/>
    <n v="143"/>
    <n v="106"/>
    <n v="387.74"/>
    <n v="670.2"/>
    <x v="3"/>
    <n v="95838.6"/>
    <n v="40391.780000000006"/>
    <n v="1.3490566037735849"/>
    <n v="0"/>
  </r>
  <r>
    <s v="P0092"/>
    <x v="8"/>
    <x v="2"/>
    <s v="S014"/>
    <d v="2022-12-17T00:00:00"/>
    <n v="80"/>
    <n v="107"/>
    <n v="385.89"/>
    <n v="263.75"/>
    <x v="4"/>
    <n v="21100"/>
    <n v="-9771.1999999999989"/>
    <n v="0.74766355140186913"/>
    <n v="0"/>
  </r>
  <r>
    <s v="P0190"/>
    <x v="7"/>
    <x v="3"/>
    <s v="S016"/>
    <d v="2022-09-10T00:00:00"/>
    <n v="86"/>
    <n v="264"/>
    <n v="115.48"/>
    <n v="240.44"/>
    <x v="3"/>
    <n v="20677.84"/>
    <n v="10746.56"/>
    <n v="0.32575757575757575"/>
    <n v="0"/>
  </r>
  <r>
    <s v="P0191"/>
    <x v="1"/>
    <x v="2"/>
    <s v="S018"/>
    <d v="2024-02-20T00:00:00"/>
    <n v="141"/>
    <n v="204"/>
    <n v="445.09"/>
    <n v="600.6"/>
    <x v="0"/>
    <n v="84684.6"/>
    <n v="21926.910000000007"/>
    <n v="0.69117647058823528"/>
    <n v="0"/>
  </r>
  <r>
    <s v="P0113"/>
    <x v="2"/>
    <x v="3"/>
    <s v="S011"/>
    <d v="2024-03-13T00:00:00"/>
    <n v="60"/>
    <n v="78"/>
    <n v="171.14"/>
    <n v="320.47000000000003"/>
    <x v="4"/>
    <n v="19228.2"/>
    <n v="8959.8000000000029"/>
    <n v="0.76923076923076927"/>
    <n v="0"/>
  </r>
  <r>
    <s v="P0153"/>
    <x v="4"/>
    <x v="1"/>
    <s v="S003"/>
    <d v="2024-10-08T00:00:00"/>
    <n v="198"/>
    <n v="154"/>
    <n v="492.02"/>
    <n v="314.48"/>
    <x v="0"/>
    <n v="62267.040000000001"/>
    <n v="-35152.919999999991"/>
    <n v="1.2857142857142858"/>
    <n v="0"/>
  </r>
  <r>
    <s v="P0056"/>
    <x v="9"/>
    <x v="0"/>
    <s v="S010"/>
    <d v="2023-04-04T00:00:00"/>
    <n v="45"/>
    <n v="270"/>
    <n v="222.31"/>
    <n v="206.6"/>
    <x v="0"/>
    <n v="9297"/>
    <n v="-706.95000000000039"/>
    <n v="0.16666666666666666"/>
    <n v="0"/>
  </r>
  <r>
    <s v="P0161"/>
    <x v="9"/>
    <x v="1"/>
    <s v="S010"/>
    <d v="2024-07-05T00:00:00"/>
    <n v="31"/>
    <n v="246"/>
    <n v="130.05000000000001"/>
    <n v="284.77999999999997"/>
    <x v="2"/>
    <n v="8828.1799999999985"/>
    <n v="4796.6299999999992"/>
    <n v="0.12601626016260162"/>
    <n v="0"/>
  </r>
  <r>
    <s v="P0166"/>
    <x v="7"/>
    <x v="3"/>
    <s v="S016"/>
    <d v="2023-05-14T00:00:00"/>
    <n v="14"/>
    <n v="18"/>
    <n v="208.27"/>
    <n v="399.26"/>
    <x v="3"/>
    <n v="5589.6399999999994"/>
    <n v="2673.8599999999997"/>
    <n v="0.77777777777777779"/>
    <n v="0"/>
  </r>
  <r>
    <s v="P0117"/>
    <x v="8"/>
    <x v="0"/>
    <s v="S012"/>
    <d v="2024-08-07T00:00:00"/>
    <n v="43"/>
    <n v="25"/>
    <n v="248.08"/>
    <n v="612.99"/>
    <x v="3"/>
    <n v="26358.57"/>
    <n v="15691.13"/>
    <n v="1.72"/>
    <n v="0"/>
  </r>
  <r>
    <s v="P0134"/>
    <x v="7"/>
    <x v="3"/>
    <s v="S002"/>
    <d v="2023-05-23T00:00:00"/>
    <n v="144"/>
    <n v="216"/>
    <n v="81.19"/>
    <n v="335.42"/>
    <x v="2"/>
    <n v="48300.480000000003"/>
    <n v="36609.120000000003"/>
    <n v="0.66666666666666663"/>
    <n v="0"/>
  </r>
  <r>
    <s v="P0058"/>
    <x v="6"/>
    <x v="0"/>
    <s v="S009"/>
    <d v="2023-05-16T00:00:00"/>
    <n v="168"/>
    <n v="153"/>
    <n v="310.2"/>
    <n v="330.02"/>
    <x v="3"/>
    <n v="55443.360000000001"/>
    <n v="3329.7599999999989"/>
    <n v="1.0980392156862746"/>
    <n v="0"/>
  </r>
  <r>
    <s v="P0044"/>
    <x v="2"/>
    <x v="0"/>
    <s v="S003"/>
    <d v="2024-03-13T00:00:00"/>
    <n v="53"/>
    <n v="153"/>
    <n v="318.93"/>
    <n v="299.44"/>
    <x v="2"/>
    <n v="15870.32"/>
    <n v="-1032.9700000000005"/>
    <n v="0.34640522875816993"/>
    <n v="0"/>
  </r>
  <r>
    <s v="P0173"/>
    <x v="1"/>
    <x v="0"/>
    <s v="S015"/>
    <d v="2023-08-21T00:00:00"/>
    <n v="43"/>
    <n v="173"/>
    <n v="382.52"/>
    <n v="434.8"/>
    <x v="4"/>
    <n v="18696.400000000001"/>
    <n v="2248.0400000000013"/>
    <n v="0.24855491329479767"/>
    <n v="0"/>
  </r>
  <r>
    <s v="P0160"/>
    <x v="0"/>
    <x v="0"/>
    <s v="S003"/>
    <d v="2022-06-15T00:00:00"/>
    <n v="97"/>
    <n v="91"/>
    <n v="63.13"/>
    <n v="226.45"/>
    <x v="0"/>
    <n v="21965.649999999998"/>
    <n v="15842.039999999999"/>
    <n v="1.0659340659340659"/>
    <n v="0"/>
  </r>
  <r>
    <s v="P0173"/>
    <x v="5"/>
    <x v="3"/>
    <s v="S019"/>
    <d v="2023-04-07T00:00:00"/>
    <n v="4"/>
    <n v="180"/>
    <n v="293.56"/>
    <n v="439.94"/>
    <x v="0"/>
    <n v="1759.76"/>
    <n v="585.52"/>
    <n v="2.2222222222222223E-2"/>
    <n v="0"/>
  </r>
  <r>
    <s v="P0061"/>
    <x v="5"/>
    <x v="0"/>
    <s v="S018"/>
    <d v="2024-07-08T00:00:00"/>
    <n v="108"/>
    <n v="130"/>
    <n v="73.81"/>
    <n v="592.91999999999996"/>
    <x v="3"/>
    <n v="64035.359999999993"/>
    <n v="56063.87999999999"/>
    <n v="0.83076923076923082"/>
    <n v="0"/>
  </r>
  <r>
    <s v="P0047"/>
    <x v="7"/>
    <x v="0"/>
    <s v="S008"/>
    <d v="2022-04-24T00:00:00"/>
    <n v="26"/>
    <n v="297"/>
    <n v="365.51"/>
    <n v="120.85"/>
    <x v="1"/>
    <n v="3142.1"/>
    <n v="-6361.16"/>
    <n v="8.7542087542087546E-2"/>
    <n v="0"/>
  </r>
  <r>
    <s v="P0149"/>
    <x v="6"/>
    <x v="1"/>
    <s v="S017"/>
    <d v="2024-09-18T00:00:00"/>
    <n v="115"/>
    <n v="274"/>
    <n v="75.08"/>
    <n v="106.85"/>
    <x v="0"/>
    <n v="12287.75"/>
    <n v="3653.5499999999997"/>
    <n v="0.41970802919708028"/>
    <n v="0"/>
  </r>
  <r>
    <s v="P0080"/>
    <x v="2"/>
    <x v="2"/>
    <s v="S008"/>
    <d v="2022-07-26T00:00:00"/>
    <n v="86"/>
    <n v="272"/>
    <n v="460.28"/>
    <n v="152.59"/>
    <x v="2"/>
    <n v="13122.74"/>
    <n v="-26461.339999999997"/>
    <n v="0.31617647058823528"/>
    <n v="0"/>
  </r>
  <r>
    <s v="P0118"/>
    <x v="4"/>
    <x v="2"/>
    <s v="S007"/>
    <d v="2023-05-30T00:00:00"/>
    <n v="103"/>
    <n v="75"/>
    <n v="365.94"/>
    <n v="474.96"/>
    <x v="1"/>
    <n v="48920.88"/>
    <n v="11229.059999999998"/>
    <n v="1.3733333333333333"/>
    <n v="0"/>
  </r>
  <r>
    <s v="P0164"/>
    <x v="5"/>
    <x v="1"/>
    <s v="S007"/>
    <d v="2023-12-10T00:00:00"/>
    <n v="122"/>
    <n v="176"/>
    <n v="278.33"/>
    <n v="698.12"/>
    <x v="1"/>
    <n v="85170.64"/>
    <n v="51214.380000000005"/>
    <n v="0.69318181818181823"/>
    <n v="0"/>
  </r>
  <r>
    <s v="P0147"/>
    <x v="2"/>
    <x v="1"/>
    <s v="S003"/>
    <d v="2022-05-18T00:00:00"/>
    <n v="78"/>
    <n v="183"/>
    <n v="248.68"/>
    <n v="103.42"/>
    <x v="0"/>
    <n v="8066.76"/>
    <n v="-11330.279999999999"/>
    <n v="0.42622950819672129"/>
    <n v="0"/>
  </r>
  <r>
    <s v="P0020"/>
    <x v="1"/>
    <x v="3"/>
    <s v="S001"/>
    <d v="2022-12-05T00:00:00"/>
    <n v="42"/>
    <n v="130"/>
    <n v="108.8"/>
    <n v="755.66"/>
    <x v="0"/>
    <n v="31737.719999999998"/>
    <n v="27168.12"/>
    <n v="0.32307692307692309"/>
    <n v="0"/>
  </r>
  <r>
    <s v="P0185"/>
    <x v="3"/>
    <x v="3"/>
    <s v="S004"/>
    <d v="2023-06-21T00:00:00"/>
    <n v="96"/>
    <n v="48"/>
    <n v="180.95"/>
    <n v="174.39"/>
    <x v="0"/>
    <n v="16741.439999999999"/>
    <n v="-629.76000000000022"/>
    <n v="2"/>
    <n v="0"/>
  </r>
  <r>
    <s v="P0146"/>
    <x v="6"/>
    <x v="3"/>
    <s v="S005"/>
    <d v="2022-03-09T00:00:00"/>
    <n v="30"/>
    <n v="54"/>
    <n v="441.03"/>
    <n v="689.39"/>
    <x v="2"/>
    <n v="20681.7"/>
    <n v="7450.8"/>
    <n v="0.55555555555555558"/>
    <n v="0"/>
  </r>
  <r>
    <s v="P0047"/>
    <x v="8"/>
    <x v="1"/>
    <s v="S001"/>
    <d v="2023-01-18T00:00:00"/>
    <n v="98"/>
    <n v="153"/>
    <n v="457"/>
    <n v="438"/>
    <x v="1"/>
    <n v="42924"/>
    <n v="-1862"/>
    <n v="0.64052287581699341"/>
    <n v="0"/>
  </r>
  <r>
    <s v="P0049"/>
    <x v="2"/>
    <x v="1"/>
    <s v="S015"/>
    <d v="2022-01-19T00:00:00"/>
    <n v="16"/>
    <n v="199"/>
    <n v="50.34"/>
    <n v="561.54999999999995"/>
    <x v="3"/>
    <n v="8984.7999999999993"/>
    <n v="8179.3599999999988"/>
    <n v="8.0402010050251257E-2"/>
    <n v="0"/>
  </r>
  <r>
    <s v="P0014"/>
    <x v="1"/>
    <x v="0"/>
    <s v="S005"/>
    <d v="2023-11-14T00:00:00"/>
    <n v="82"/>
    <n v="117"/>
    <n v="317.36"/>
    <n v="457.48"/>
    <x v="2"/>
    <n v="37513.360000000001"/>
    <n v="11489.84"/>
    <n v="0.70085470085470081"/>
    <n v="0"/>
  </r>
  <r>
    <s v="P0143"/>
    <x v="4"/>
    <x v="3"/>
    <s v="S013"/>
    <d v="2022-03-15T00:00:00"/>
    <n v="109"/>
    <n v="262"/>
    <n v="373.69"/>
    <n v="433.93"/>
    <x v="4"/>
    <n v="47298.37"/>
    <n v="6566.1600000000008"/>
    <n v="0.41603053435114506"/>
    <n v="0"/>
  </r>
  <r>
    <s v="P0159"/>
    <x v="0"/>
    <x v="3"/>
    <s v="S008"/>
    <d v="2023-07-27T00:00:00"/>
    <n v="181"/>
    <n v="45"/>
    <n v="328.44"/>
    <n v="684.43"/>
    <x v="0"/>
    <n v="123881.82999999999"/>
    <n v="64434.189999999988"/>
    <n v="4.0222222222222221"/>
    <n v="0"/>
  </r>
  <r>
    <s v="P0001"/>
    <x v="8"/>
    <x v="3"/>
    <s v="S008"/>
    <d v="2024-07-27T00:00:00"/>
    <n v="189"/>
    <n v="188"/>
    <n v="86.76"/>
    <n v="629.12"/>
    <x v="1"/>
    <n v="118903.68000000001"/>
    <n v="102506.04000000001"/>
    <n v="1.0053191489361701"/>
    <n v="0"/>
  </r>
  <r>
    <s v="P0117"/>
    <x v="0"/>
    <x v="2"/>
    <s v="S005"/>
    <d v="2024-12-07T00:00:00"/>
    <n v="31"/>
    <n v="128"/>
    <n v="147.97999999999999"/>
    <n v="438.38"/>
    <x v="2"/>
    <n v="13589.78"/>
    <n v="9002.4"/>
    <n v="0.2421875"/>
    <n v="0"/>
  </r>
  <r>
    <s v="P0054"/>
    <x v="4"/>
    <x v="0"/>
    <s v="S009"/>
    <d v="2022-07-30T00:00:00"/>
    <n v="167"/>
    <n v="48"/>
    <n v="162.65"/>
    <n v="178.15"/>
    <x v="4"/>
    <n v="29751.05"/>
    <n v="2588.5"/>
    <n v="3.4791666666666665"/>
    <n v="0"/>
  </r>
  <r>
    <s v="P0118"/>
    <x v="1"/>
    <x v="3"/>
    <s v="S001"/>
    <d v="2024-05-04T00:00:00"/>
    <n v="140"/>
    <n v="24"/>
    <n v="424.28"/>
    <n v="180.78"/>
    <x v="2"/>
    <n v="25309.200000000001"/>
    <n v="-34089.999999999993"/>
    <n v="5.833333333333333"/>
    <n v="0"/>
  </r>
  <r>
    <s v="P0003"/>
    <x v="5"/>
    <x v="3"/>
    <s v="S004"/>
    <d v="2023-10-13T00:00:00"/>
    <n v="34"/>
    <n v="265"/>
    <n v="258.44"/>
    <n v="661.08"/>
    <x v="2"/>
    <n v="22476.720000000001"/>
    <n v="13689.760000000002"/>
    <n v="0.12830188679245283"/>
    <n v="0"/>
  </r>
  <r>
    <s v="P0144"/>
    <x v="0"/>
    <x v="3"/>
    <s v="S003"/>
    <d v="2024-09-20T00:00:00"/>
    <n v="132"/>
    <n v="117"/>
    <n v="269.07"/>
    <n v="470.57"/>
    <x v="3"/>
    <n v="62115.24"/>
    <n v="26598"/>
    <n v="1.1282051282051282"/>
    <n v="0"/>
  </r>
  <r>
    <s v="P0185"/>
    <x v="8"/>
    <x v="2"/>
    <s v="S002"/>
    <d v="2023-11-26T00:00:00"/>
    <n v="28"/>
    <n v="143"/>
    <n v="470.7"/>
    <n v="437.11"/>
    <x v="3"/>
    <n v="12239.08"/>
    <n v="-940.5199999999993"/>
    <n v="0.19580419580419581"/>
    <n v="0"/>
  </r>
  <r>
    <s v="P0012"/>
    <x v="7"/>
    <x v="2"/>
    <s v="S008"/>
    <d v="2023-06-24T00:00:00"/>
    <n v="69"/>
    <n v="199"/>
    <n v="336.69"/>
    <n v="576.4"/>
    <x v="2"/>
    <n v="39771.599999999999"/>
    <n v="16539.989999999998"/>
    <n v="0.34673366834170855"/>
    <n v="0"/>
  </r>
  <r>
    <s v="P0074"/>
    <x v="9"/>
    <x v="1"/>
    <s v="S009"/>
    <d v="2024-06-19T00:00:00"/>
    <n v="152"/>
    <n v="156"/>
    <n v="454.4"/>
    <n v="701.19"/>
    <x v="4"/>
    <n v="106580.88"/>
    <n v="37512.080000000009"/>
    <n v="0.97435897435897434"/>
    <n v="0"/>
  </r>
  <r>
    <s v="P0016"/>
    <x v="2"/>
    <x v="0"/>
    <s v="S002"/>
    <d v="2024-02-19T00:00:00"/>
    <n v="94"/>
    <n v="133"/>
    <n v="255.43"/>
    <n v="540.21"/>
    <x v="1"/>
    <n v="50779.740000000005"/>
    <n v="26769.320000000003"/>
    <n v="0.70676691729323304"/>
    <n v="0"/>
  </r>
  <r>
    <s v="P0200"/>
    <x v="5"/>
    <x v="1"/>
    <s v="S014"/>
    <d v="2022-06-19T00:00:00"/>
    <n v="21"/>
    <n v="147"/>
    <n v="117.25"/>
    <n v="633.99"/>
    <x v="1"/>
    <n v="13313.79"/>
    <n v="10851.54"/>
    <n v="0.14285714285714285"/>
    <n v="0"/>
  </r>
  <r>
    <s v="P0102"/>
    <x v="0"/>
    <x v="0"/>
    <s v="S014"/>
    <d v="2024-11-03T00:00:00"/>
    <n v="193"/>
    <n v="70"/>
    <n v="468.47"/>
    <n v="635.69000000000005"/>
    <x v="0"/>
    <n v="122688.17000000001"/>
    <n v="32273.460000000006"/>
    <n v="2.7571428571428571"/>
    <n v="0"/>
  </r>
  <r>
    <s v="P0152"/>
    <x v="3"/>
    <x v="2"/>
    <s v="S004"/>
    <d v="2022-10-15T00:00:00"/>
    <n v="172"/>
    <n v="232"/>
    <n v="256.42"/>
    <n v="349.38"/>
    <x v="0"/>
    <n v="60093.36"/>
    <n v="15989.119999999997"/>
    <n v="0.74137931034482762"/>
    <n v="0"/>
  </r>
  <r>
    <s v="P0156"/>
    <x v="2"/>
    <x v="3"/>
    <s v="S006"/>
    <d v="2022-07-08T00:00:00"/>
    <n v="68"/>
    <n v="298"/>
    <n v="131.72999999999999"/>
    <n v="291.86"/>
    <x v="1"/>
    <n v="19846.48"/>
    <n v="10888.840000000002"/>
    <n v="0.22818791946308725"/>
    <n v="0"/>
  </r>
  <r>
    <s v="P0117"/>
    <x v="7"/>
    <x v="1"/>
    <s v="S011"/>
    <d v="2024-07-02T00:00:00"/>
    <n v="88"/>
    <n v="153"/>
    <n v="186.08"/>
    <n v="660.81"/>
    <x v="2"/>
    <n v="58151.28"/>
    <n v="41776.239999999991"/>
    <n v="0.57516339869281041"/>
    <n v="0"/>
  </r>
  <r>
    <s v="P0008"/>
    <x v="4"/>
    <x v="3"/>
    <s v="S003"/>
    <d v="2023-11-25T00:00:00"/>
    <n v="71"/>
    <n v="89"/>
    <n v="72.86"/>
    <n v="364.03"/>
    <x v="2"/>
    <n v="25846.129999999997"/>
    <n v="20673.069999999996"/>
    <n v="0.797752808988764"/>
    <n v="0"/>
  </r>
  <r>
    <s v="P0122"/>
    <x v="9"/>
    <x v="1"/>
    <s v="S008"/>
    <d v="2024-06-06T00:00:00"/>
    <n v="128"/>
    <n v="198"/>
    <n v="260.74"/>
    <n v="732.34"/>
    <x v="3"/>
    <n v="93739.520000000004"/>
    <n v="60364.800000000003"/>
    <n v="0.64646464646464652"/>
    <n v="0"/>
  </r>
  <r>
    <s v="P0092"/>
    <x v="1"/>
    <x v="2"/>
    <s v="S003"/>
    <d v="2023-04-16T00:00:00"/>
    <n v="171"/>
    <n v="160"/>
    <n v="433.91"/>
    <n v="148.78"/>
    <x v="3"/>
    <n v="25441.38"/>
    <n v="-48757.229999999996"/>
    <n v="1.0687500000000001"/>
    <n v="0"/>
  </r>
  <r>
    <s v="P0164"/>
    <x v="7"/>
    <x v="2"/>
    <s v="S014"/>
    <d v="2022-10-04T00:00:00"/>
    <n v="86"/>
    <n v="25"/>
    <n v="470.11"/>
    <n v="140.75"/>
    <x v="0"/>
    <n v="12104.5"/>
    <n v="-28324.960000000003"/>
    <n v="3.44"/>
    <n v="0"/>
  </r>
  <r>
    <s v="P0090"/>
    <x v="7"/>
    <x v="2"/>
    <s v="S013"/>
    <d v="2024-07-28T00:00:00"/>
    <n v="95"/>
    <n v="120"/>
    <n v="469.67"/>
    <n v="748.9"/>
    <x v="1"/>
    <n v="71145.5"/>
    <n v="26526.849999999995"/>
    <n v="0.79166666666666663"/>
    <n v="0"/>
  </r>
  <r>
    <s v="P0136"/>
    <x v="4"/>
    <x v="1"/>
    <s v="S013"/>
    <d v="2023-07-25T00:00:00"/>
    <n v="74"/>
    <n v="211"/>
    <n v="106.35"/>
    <n v="553.91999999999996"/>
    <x v="2"/>
    <n v="40990.079999999994"/>
    <n v="33120.179999999993"/>
    <n v="0.35071090047393366"/>
    <n v="0"/>
  </r>
  <r>
    <s v="P0186"/>
    <x v="6"/>
    <x v="0"/>
    <s v="S002"/>
    <d v="2024-05-06T00:00:00"/>
    <n v="166"/>
    <n v="62"/>
    <n v="221.92"/>
    <n v="365.72"/>
    <x v="1"/>
    <n v="60709.520000000004"/>
    <n v="23870.800000000007"/>
    <n v="2.6774193548387095"/>
    <n v="0"/>
  </r>
  <r>
    <s v="P0060"/>
    <x v="4"/>
    <x v="1"/>
    <s v="S013"/>
    <d v="2024-09-27T00:00:00"/>
    <n v="53"/>
    <n v="67"/>
    <n v="62.7"/>
    <n v="628.54"/>
    <x v="4"/>
    <n v="33312.619999999995"/>
    <n v="29989.519999999997"/>
    <n v="0.79104477611940294"/>
    <n v="0"/>
  </r>
  <r>
    <s v="P0178"/>
    <x v="6"/>
    <x v="0"/>
    <s v="S019"/>
    <d v="2023-04-03T00:00:00"/>
    <n v="87"/>
    <n v="252"/>
    <n v="434.82"/>
    <n v="570.63"/>
    <x v="1"/>
    <n v="49644.81"/>
    <n v="11815.47"/>
    <n v="0.34523809523809523"/>
    <n v="0"/>
  </r>
  <r>
    <s v="P0028"/>
    <x v="6"/>
    <x v="1"/>
    <s v="S006"/>
    <d v="2024-07-06T00:00:00"/>
    <n v="156"/>
    <n v="1"/>
    <n v="211.44"/>
    <n v="471.84"/>
    <x v="4"/>
    <n v="73607.039999999994"/>
    <n v="40622.399999999994"/>
    <n v="156"/>
    <n v="0"/>
  </r>
  <r>
    <s v="P0101"/>
    <x v="5"/>
    <x v="1"/>
    <s v="S016"/>
    <d v="2024-04-12T00:00:00"/>
    <n v="53"/>
    <n v="107"/>
    <n v="334"/>
    <n v="169.21"/>
    <x v="3"/>
    <n v="8968.130000000001"/>
    <n v="-8733.869999999999"/>
    <n v="0.49532710280373832"/>
    <n v="0"/>
  </r>
  <r>
    <s v="P0041"/>
    <x v="5"/>
    <x v="2"/>
    <s v="S002"/>
    <d v="2024-12-23T00:00:00"/>
    <n v="15"/>
    <n v="285"/>
    <n v="371.7"/>
    <n v="668.53"/>
    <x v="3"/>
    <n v="10027.949999999999"/>
    <n v="4452.45"/>
    <n v="5.2631578947368418E-2"/>
    <n v="0"/>
  </r>
  <r>
    <s v="P0192"/>
    <x v="8"/>
    <x v="3"/>
    <s v="S008"/>
    <d v="2024-04-18T00:00:00"/>
    <n v="98"/>
    <n v="48"/>
    <n v="243.43"/>
    <n v="706.22"/>
    <x v="0"/>
    <n v="69209.56"/>
    <n v="45353.420000000006"/>
    <n v="2.0416666666666665"/>
    <n v="0"/>
  </r>
  <r>
    <s v="P0155"/>
    <x v="0"/>
    <x v="3"/>
    <s v="S017"/>
    <d v="2022-07-12T00:00:00"/>
    <n v="19"/>
    <n v="139"/>
    <n v="187.9"/>
    <n v="220.52"/>
    <x v="1"/>
    <n v="4189.88"/>
    <n v="619.78000000000009"/>
    <n v="0.1366906474820144"/>
    <n v="0"/>
  </r>
  <r>
    <s v="P0191"/>
    <x v="0"/>
    <x v="0"/>
    <s v="S002"/>
    <d v="2023-09-08T00:00:00"/>
    <n v="45"/>
    <n v="217"/>
    <n v="483"/>
    <n v="695.36"/>
    <x v="1"/>
    <n v="31291.200000000001"/>
    <n v="9556.2000000000007"/>
    <n v="0.20737327188940091"/>
    <n v="0"/>
  </r>
  <r>
    <s v="P0145"/>
    <x v="1"/>
    <x v="3"/>
    <s v="S010"/>
    <d v="2023-02-10T00:00:00"/>
    <n v="194"/>
    <n v="43"/>
    <n v="484.02"/>
    <n v="714.49"/>
    <x v="4"/>
    <n v="138611.06"/>
    <n v="44711.180000000008"/>
    <n v="4.5116279069767442"/>
    <n v="0"/>
  </r>
  <r>
    <s v="P0161"/>
    <x v="0"/>
    <x v="1"/>
    <s v="S016"/>
    <d v="2024-07-31T00:00:00"/>
    <n v="192"/>
    <n v="268"/>
    <n v="180.25"/>
    <n v="484.6"/>
    <x v="3"/>
    <n v="93043.200000000012"/>
    <n v="58435.200000000004"/>
    <n v="0.71641791044776115"/>
    <n v="0"/>
  </r>
  <r>
    <s v="P0157"/>
    <x v="5"/>
    <x v="1"/>
    <s v="S006"/>
    <d v="2023-12-22T00:00:00"/>
    <n v="126"/>
    <n v="77"/>
    <n v="265.83"/>
    <n v="559.33000000000004"/>
    <x v="4"/>
    <n v="70475.58"/>
    <n v="36981.000000000007"/>
    <n v="1.6363636363636365"/>
    <n v="0"/>
  </r>
  <r>
    <s v="P0141"/>
    <x v="8"/>
    <x v="2"/>
    <s v="S002"/>
    <d v="2022-04-03T00:00:00"/>
    <n v="57"/>
    <n v="215"/>
    <n v="487.78"/>
    <n v="367.57"/>
    <x v="3"/>
    <n v="20951.489999999998"/>
    <n v="-6851.9699999999984"/>
    <n v="0.26511627906976742"/>
    <n v="0"/>
  </r>
  <r>
    <s v="P0046"/>
    <x v="8"/>
    <x v="2"/>
    <s v="S002"/>
    <d v="2023-03-06T00:00:00"/>
    <n v="180"/>
    <n v="97"/>
    <n v="52.19"/>
    <n v="297.25"/>
    <x v="4"/>
    <n v="53505"/>
    <n v="44110.8"/>
    <n v="1.8556701030927836"/>
    <n v="0"/>
  </r>
  <r>
    <s v="P0035"/>
    <x v="6"/>
    <x v="3"/>
    <s v="S013"/>
    <d v="2023-10-16T00:00:00"/>
    <n v="110"/>
    <n v="235"/>
    <n v="235.71"/>
    <n v="605.39"/>
    <x v="3"/>
    <n v="66592.899999999994"/>
    <n v="40664.799999999996"/>
    <n v="0.46808510638297873"/>
    <n v="0"/>
  </r>
  <r>
    <s v="P0134"/>
    <x v="4"/>
    <x v="0"/>
    <s v="S015"/>
    <d v="2023-03-10T00:00:00"/>
    <n v="128"/>
    <n v="281"/>
    <n v="95.21"/>
    <n v="703.31"/>
    <x v="4"/>
    <n v="90023.679999999993"/>
    <n v="77836.799999999988"/>
    <n v="0.45551601423487542"/>
    <n v="0"/>
  </r>
  <r>
    <s v="P0082"/>
    <x v="1"/>
    <x v="3"/>
    <s v="S002"/>
    <d v="2023-01-10T00:00:00"/>
    <n v="80"/>
    <n v="148"/>
    <n v="279.12"/>
    <n v="557.85"/>
    <x v="3"/>
    <n v="44628"/>
    <n v="22298.400000000001"/>
    <n v="0.54054054054054057"/>
    <n v="0"/>
  </r>
  <r>
    <s v="P0115"/>
    <x v="6"/>
    <x v="3"/>
    <s v="S007"/>
    <d v="2024-12-18T00:00:00"/>
    <n v="193"/>
    <n v="65"/>
    <n v="61.1"/>
    <n v="458.11"/>
    <x v="4"/>
    <n v="88415.23"/>
    <n v="76622.929999999993"/>
    <n v="2.9692307692307693"/>
    <n v="0"/>
  </r>
  <r>
    <s v="P0197"/>
    <x v="4"/>
    <x v="3"/>
    <s v="S003"/>
    <d v="2024-12-02T00:00:00"/>
    <n v="156"/>
    <n v="233"/>
    <n v="233.1"/>
    <n v="211.25"/>
    <x v="1"/>
    <n v="32955"/>
    <n v="-3408.599999999999"/>
    <n v="0.66952789699570814"/>
    <n v="0"/>
  </r>
  <r>
    <s v="P0047"/>
    <x v="0"/>
    <x v="3"/>
    <s v="S008"/>
    <d v="2022-07-26T00:00:00"/>
    <n v="83"/>
    <n v="86"/>
    <n v="149.31"/>
    <n v="137.41999999999999"/>
    <x v="0"/>
    <n v="11405.859999999999"/>
    <n v="-986.87000000000126"/>
    <n v="0.96511627906976749"/>
    <n v="0"/>
  </r>
  <r>
    <s v="P0153"/>
    <x v="6"/>
    <x v="1"/>
    <s v="S014"/>
    <d v="2024-02-19T00:00:00"/>
    <n v="69"/>
    <n v="78"/>
    <n v="289.99"/>
    <n v="411.98"/>
    <x v="4"/>
    <n v="28426.620000000003"/>
    <n v="8417.3100000000013"/>
    <n v="0.88461538461538458"/>
    <n v="0"/>
  </r>
  <r>
    <s v="P0194"/>
    <x v="2"/>
    <x v="0"/>
    <s v="S007"/>
    <d v="2023-06-16T00:00:00"/>
    <n v="7"/>
    <n v="204"/>
    <n v="498.2"/>
    <n v="134.54"/>
    <x v="0"/>
    <n v="941.78"/>
    <n v="-2545.62"/>
    <n v="3.4313725490196081E-2"/>
    <n v="0"/>
  </r>
  <r>
    <s v="P0010"/>
    <x v="0"/>
    <x v="1"/>
    <s v="S007"/>
    <d v="2022-06-15T00:00:00"/>
    <n v="28"/>
    <n v="278"/>
    <n v="410.24"/>
    <n v="498.53"/>
    <x v="1"/>
    <n v="13958.84"/>
    <n v="2472.119999999999"/>
    <n v="0.10071942446043165"/>
    <n v="0"/>
  </r>
  <r>
    <s v="P0056"/>
    <x v="4"/>
    <x v="0"/>
    <s v="S001"/>
    <d v="2023-10-05T00:00:00"/>
    <n v="111"/>
    <n v="253"/>
    <n v="430.54"/>
    <n v="367.91"/>
    <x v="1"/>
    <n v="40838.01"/>
    <n v="-6951.9299999999994"/>
    <n v="0.43873517786561267"/>
    <n v="0"/>
  </r>
  <r>
    <s v="P0030"/>
    <x v="1"/>
    <x v="2"/>
    <s v="S017"/>
    <d v="2022-03-31T00:00:00"/>
    <n v="178"/>
    <n v="129"/>
    <n v="335.87"/>
    <n v="630.03"/>
    <x v="3"/>
    <n v="112145.34"/>
    <n v="52360.479999999996"/>
    <n v="1.3798449612403101"/>
    <n v="0"/>
  </r>
  <r>
    <s v="P0109"/>
    <x v="4"/>
    <x v="3"/>
    <s v="S009"/>
    <d v="2022-01-13T00:00:00"/>
    <n v="160"/>
    <n v="83"/>
    <n v="68.7"/>
    <n v="313.95"/>
    <x v="0"/>
    <n v="50232"/>
    <n v="39240"/>
    <n v="1.927710843373494"/>
    <n v="0"/>
  </r>
  <r>
    <s v="P0005"/>
    <x v="6"/>
    <x v="1"/>
    <s v="S013"/>
    <d v="2024-08-30T00:00:00"/>
    <n v="130"/>
    <n v="275"/>
    <n v="143.06"/>
    <n v="515.09"/>
    <x v="2"/>
    <n v="66961.7"/>
    <n v="48363.9"/>
    <n v="0.47272727272727272"/>
    <n v="0"/>
  </r>
  <r>
    <s v="P0119"/>
    <x v="6"/>
    <x v="0"/>
    <s v="S019"/>
    <d v="2024-03-15T00:00:00"/>
    <n v="187"/>
    <n v="186"/>
    <n v="466.28"/>
    <n v="476.38"/>
    <x v="3"/>
    <n v="89083.06"/>
    <n v="1888.7000000000044"/>
    <n v="1.0053763440860215"/>
    <n v="0"/>
  </r>
  <r>
    <s v="P0033"/>
    <x v="7"/>
    <x v="2"/>
    <s v="S019"/>
    <d v="2024-08-02T00:00:00"/>
    <n v="162"/>
    <n v="45"/>
    <n v="214.75"/>
    <n v="103.3"/>
    <x v="0"/>
    <n v="16734.599999999999"/>
    <n v="-18054.900000000001"/>
    <n v="3.6"/>
    <n v="0"/>
  </r>
  <r>
    <s v="P0118"/>
    <x v="1"/>
    <x v="2"/>
    <s v="S017"/>
    <d v="2024-01-12T00:00:00"/>
    <n v="196"/>
    <n v="182"/>
    <n v="96.64"/>
    <n v="150.66999999999999"/>
    <x v="4"/>
    <n v="29531.319999999996"/>
    <n v="10589.879999999997"/>
    <n v="1.0769230769230769"/>
    <n v="0"/>
  </r>
  <r>
    <s v="P0065"/>
    <x v="3"/>
    <x v="3"/>
    <s v="S010"/>
    <d v="2024-05-25T00:00:00"/>
    <n v="107"/>
    <n v="267"/>
    <n v="366.08"/>
    <n v="303.26"/>
    <x v="4"/>
    <n v="32448.82"/>
    <n v="-6721.7399999999989"/>
    <n v="0.40074906367041196"/>
    <n v="0"/>
  </r>
  <r>
    <s v="P0146"/>
    <x v="0"/>
    <x v="0"/>
    <s v="S010"/>
    <d v="2023-10-22T00:00:00"/>
    <n v="108"/>
    <n v="295"/>
    <n v="184.76"/>
    <n v="717.56"/>
    <x v="1"/>
    <n v="77496.479999999996"/>
    <n v="57542.399999999994"/>
    <n v="0.36610169491525424"/>
    <n v="0"/>
  </r>
  <r>
    <s v="P0177"/>
    <x v="8"/>
    <x v="1"/>
    <s v="S004"/>
    <d v="2024-10-28T00:00:00"/>
    <n v="19"/>
    <n v="99"/>
    <n v="170.99"/>
    <n v="202.91"/>
    <x v="2"/>
    <n v="3855.29"/>
    <n v="606.47999999999979"/>
    <n v="0.19191919191919191"/>
    <n v="0"/>
  </r>
  <r>
    <s v="P0011"/>
    <x v="1"/>
    <x v="3"/>
    <s v="S008"/>
    <d v="2024-11-18T00:00:00"/>
    <n v="72"/>
    <n v="77"/>
    <n v="499.09"/>
    <n v="597.63"/>
    <x v="4"/>
    <n v="43029.36"/>
    <n v="7094.880000000001"/>
    <n v="0.93506493506493504"/>
    <n v="0"/>
  </r>
  <r>
    <s v="P0085"/>
    <x v="8"/>
    <x v="1"/>
    <s v="S020"/>
    <d v="2022-10-23T00:00:00"/>
    <n v="166"/>
    <n v="271"/>
    <n v="436.16"/>
    <n v="781.36"/>
    <x v="0"/>
    <n v="129705.76000000001"/>
    <n v="57303.199999999997"/>
    <n v="0.61254612546125464"/>
    <n v="0"/>
  </r>
  <r>
    <s v="P0026"/>
    <x v="1"/>
    <x v="2"/>
    <s v="S020"/>
    <d v="2024-09-12T00:00:00"/>
    <n v="3"/>
    <n v="161"/>
    <n v="233.57"/>
    <n v="653.4"/>
    <x v="0"/>
    <n v="1960.1999999999998"/>
    <n v="1259.49"/>
    <n v="1.8633540372670808E-2"/>
    <n v="0"/>
  </r>
  <r>
    <s v="P0063"/>
    <x v="1"/>
    <x v="1"/>
    <s v="S018"/>
    <d v="2024-07-14T00:00:00"/>
    <n v="18"/>
    <n v="43"/>
    <n v="491.12"/>
    <n v="270.06"/>
    <x v="4"/>
    <n v="4861.08"/>
    <n v="-3979.08"/>
    <n v="0.41860465116279072"/>
    <n v="0"/>
  </r>
  <r>
    <s v="P0086"/>
    <x v="4"/>
    <x v="1"/>
    <s v="S014"/>
    <d v="2023-10-02T00:00:00"/>
    <n v="101"/>
    <n v="237"/>
    <n v="342.55"/>
    <n v="735.86"/>
    <x v="0"/>
    <n v="74321.86"/>
    <n v="39724.31"/>
    <n v="0.42616033755274263"/>
    <n v="0"/>
  </r>
  <r>
    <s v="P0059"/>
    <x v="1"/>
    <x v="3"/>
    <s v="S018"/>
    <d v="2022-12-06T00:00:00"/>
    <n v="172"/>
    <n v="133"/>
    <n v="383.91"/>
    <n v="165.18"/>
    <x v="0"/>
    <n v="28410.960000000003"/>
    <n v="-37621.560000000005"/>
    <n v="1.2932330827067668"/>
    <n v="0"/>
  </r>
  <r>
    <s v="P0027"/>
    <x v="7"/>
    <x v="1"/>
    <s v="S014"/>
    <d v="2023-09-20T00:00:00"/>
    <n v="170"/>
    <n v="191"/>
    <n v="64.180000000000007"/>
    <n v="427.7"/>
    <x v="1"/>
    <n v="72709"/>
    <n v="61798.399999999994"/>
    <n v="0.89005235602094246"/>
    <n v="0"/>
  </r>
  <r>
    <s v="P0177"/>
    <x v="3"/>
    <x v="3"/>
    <s v="S020"/>
    <d v="2023-03-15T00:00:00"/>
    <n v="140"/>
    <n v="277"/>
    <n v="104.72"/>
    <n v="721.28"/>
    <x v="2"/>
    <n v="100979.2"/>
    <n v="86318.399999999994"/>
    <n v="0.50541516245487361"/>
    <n v="0"/>
  </r>
  <r>
    <s v="P0161"/>
    <x v="6"/>
    <x v="2"/>
    <s v="S015"/>
    <d v="2024-07-30T00:00:00"/>
    <n v="140"/>
    <n v="17"/>
    <n v="334.89"/>
    <n v="548.89"/>
    <x v="1"/>
    <n v="76844.599999999991"/>
    <n v="29960"/>
    <n v="8.235294117647058"/>
    <n v="0"/>
  </r>
  <r>
    <s v="P0098"/>
    <x v="9"/>
    <x v="3"/>
    <s v="S004"/>
    <d v="2024-04-09T00:00:00"/>
    <n v="187"/>
    <n v="11"/>
    <n v="454.56"/>
    <n v="389.55"/>
    <x v="2"/>
    <n v="72845.850000000006"/>
    <n v="-12156.869999999999"/>
    <n v="17"/>
    <n v="0"/>
  </r>
  <r>
    <s v="P0105"/>
    <x v="8"/>
    <x v="3"/>
    <s v="S013"/>
    <d v="2023-06-03T00:00:00"/>
    <n v="184"/>
    <n v="179"/>
    <n v="330.68"/>
    <n v="304.97000000000003"/>
    <x v="0"/>
    <n v="56114.48"/>
    <n v="-4730.6399999999958"/>
    <n v="1.0279329608938548"/>
    <n v="0"/>
  </r>
  <r>
    <s v="P0099"/>
    <x v="6"/>
    <x v="0"/>
    <s v="S008"/>
    <d v="2024-09-02T00:00:00"/>
    <n v="85"/>
    <n v="122"/>
    <n v="110.31"/>
    <n v="362.57"/>
    <x v="2"/>
    <n v="30818.45"/>
    <n v="21442.1"/>
    <n v="0.69672131147540983"/>
    <n v="0"/>
  </r>
  <r>
    <s v="P0129"/>
    <x v="9"/>
    <x v="1"/>
    <s v="S018"/>
    <d v="2024-12-04T00:00:00"/>
    <n v="51"/>
    <n v="245"/>
    <n v="102.09"/>
    <n v="456.26"/>
    <x v="0"/>
    <n v="23269.26"/>
    <n v="18062.669999999998"/>
    <n v="0.20816326530612245"/>
    <n v="0"/>
  </r>
  <r>
    <s v="P0149"/>
    <x v="3"/>
    <x v="2"/>
    <s v="S012"/>
    <d v="2024-08-12T00:00:00"/>
    <n v="110"/>
    <n v="221"/>
    <n v="429.88"/>
    <n v="323.33"/>
    <x v="0"/>
    <n v="35566.299999999996"/>
    <n v="-11720.500000000002"/>
    <n v="0.49773755656108598"/>
    <n v="0"/>
  </r>
  <r>
    <s v="P0055"/>
    <x v="3"/>
    <x v="3"/>
    <s v="S014"/>
    <d v="2024-08-09T00:00:00"/>
    <n v="180"/>
    <n v="50"/>
    <n v="112.69"/>
    <n v="778.28"/>
    <x v="1"/>
    <n v="140090.4"/>
    <n v="119806.19999999998"/>
    <n v="3.6"/>
    <n v="0"/>
  </r>
  <r>
    <s v="P0006"/>
    <x v="8"/>
    <x v="2"/>
    <s v="S002"/>
    <d v="2024-08-01T00:00:00"/>
    <n v="108"/>
    <n v="70"/>
    <n v="284.10000000000002"/>
    <n v="753.15"/>
    <x v="1"/>
    <n v="81340.2"/>
    <n v="50657.399999999994"/>
    <n v="1.5428571428571429"/>
    <n v="0"/>
  </r>
  <r>
    <s v="P0197"/>
    <x v="8"/>
    <x v="0"/>
    <s v="S018"/>
    <d v="2022-06-04T00:00:00"/>
    <n v="85"/>
    <n v="47"/>
    <n v="66.7"/>
    <n v="709.47"/>
    <x v="3"/>
    <n v="60304.950000000004"/>
    <n v="54635.45"/>
    <n v="1.8085106382978724"/>
    <n v="0"/>
  </r>
  <r>
    <s v="P0095"/>
    <x v="3"/>
    <x v="1"/>
    <s v="S002"/>
    <d v="2022-03-29T00:00:00"/>
    <n v="42"/>
    <n v="18"/>
    <n v="86.3"/>
    <n v="395.28"/>
    <x v="4"/>
    <n v="16601.759999999998"/>
    <n v="12977.159999999998"/>
    <n v="2.3333333333333335"/>
    <n v="0"/>
  </r>
  <r>
    <s v="P0133"/>
    <x v="9"/>
    <x v="3"/>
    <s v="S011"/>
    <d v="2024-07-19T00:00:00"/>
    <n v="199"/>
    <n v="261"/>
    <n v="352.56"/>
    <n v="583.91"/>
    <x v="3"/>
    <n v="116198.09"/>
    <n v="46038.649999999994"/>
    <n v="0.76245210727969348"/>
    <n v="0"/>
  </r>
  <r>
    <s v="P0102"/>
    <x v="1"/>
    <x v="1"/>
    <s v="S009"/>
    <d v="2022-06-28T00:00:00"/>
    <n v="199"/>
    <n v="83"/>
    <n v="360.13"/>
    <n v="731.98"/>
    <x v="3"/>
    <n v="145664.01999999999"/>
    <n v="73998.150000000009"/>
    <n v="2.3975903614457832"/>
    <n v="0"/>
  </r>
  <r>
    <s v="P0003"/>
    <x v="0"/>
    <x v="0"/>
    <s v="S012"/>
    <d v="2022-07-31T00:00:00"/>
    <n v="41"/>
    <n v="154"/>
    <n v="203.66"/>
    <n v="695.3"/>
    <x v="2"/>
    <n v="28507.3"/>
    <n v="20157.239999999998"/>
    <n v="0.26623376623376621"/>
    <n v="0"/>
  </r>
  <r>
    <s v="P0181"/>
    <x v="2"/>
    <x v="0"/>
    <s v="S017"/>
    <d v="2023-04-10T00:00:00"/>
    <n v="89"/>
    <n v="52"/>
    <n v="147.02000000000001"/>
    <n v="390.03"/>
    <x v="0"/>
    <n v="34712.67"/>
    <n v="21627.889999999996"/>
    <n v="1.7115384615384615"/>
    <n v="0"/>
  </r>
  <r>
    <s v="P0023"/>
    <x v="6"/>
    <x v="2"/>
    <s v="S015"/>
    <d v="2023-09-23T00:00:00"/>
    <n v="114"/>
    <n v="106"/>
    <n v="416.17"/>
    <n v="178.67"/>
    <x v="0"/>
    <n v="20368.379999999997"/>
    <n v="-27075.000000000004"/>
    <n v="1.0754716981132075"/>
    <n v="0"/>
  </r>
  <r>
    <s v="P0053"/>
    <x v="4"/>
    <x v="3"/>
    <s v="S017"/>
    <d v="2024-04-04T00:00:00"/>
    <n v="25"/>
    <n v="134"/>
    <n v="147.69999999999999"/>
    <n v="152.94"/>
    <x v="0"/>
    <n v="3823.5"/>
    <n v="131.00000000000023"/>
    <n v="0.18656716417910449"/>
    <n v="0"/>
  </r>
  <r>
    <s v="P0165"/>
    <x v="6"/>
    <x v="2"/>
    <s v="S018"/>
    <d v="2023-08-30T00:00:00"/>
    <n v="150"/>
    <n v="68"/>
    <n v="293.91000000000003"/>
    <n v="503.94"/>
    <x v="4"/>
    <n v="75591"/>
    <n v="31504.499999999996"/>
    <n v="2.2058823529411766"/>
    <n v="0"/>
  </r>
  <r>
    <s v="P0083"/>
    <x v="4"/>
    <x v="0"/>
    <s v="S006"/>
    <d v="2024-06-03T00:00:00"/>
    <n v="42"/>
    <n v="10"/>
    <n v="485.69"/>
    <n v="549.84"/>
    <x v="2"/>
    <n v="23093.280000000002"/>
    <n v="2694.3000000000015"/>
    <n v="4.2"/>
    <n v="0"/>
  </r>
  <r>
    <s v="P0145"/>
    <x v="9"/>
    <x v="1"/>
    <s v="S017"/>
    <d v="2023-01-01T00:00:00"/>
    <n v="76"/>
    <n v="142"/>
    <n v="116.53"/>
    <n v="694.89"/>
    <x v="2"/>
    <n v="52811.64"/>
    <n v="43955.360000000001"/>
    <n v="0.53521126760563376"/>
    <n v="0"/>
  </r>
  <r>
    <s v="P0085"/>
    <x v="4"/>
    <x v="2"/>
    <s v="S018"/>
    <d v="2022-10-03T00:00:00"/>
    <n v="155"/>
    <n v="191"/>
    <n v="473.39"/>
    <n v="304.76"/>
    <x v="0"/>
    <n v="47237.799999999996"/>
    <n v="-26137.649999999998"/>
    <n v="0.81151832460732987"/>
    <n v="0"/>
  </r>
  <r>
    <s v="P0078"/>
    <x v="8"/>
    <x v="2"/>
    <s v="S008"/>
    <d v="2023-01-15T00:00:00"/>
    <n v="136"/>
    <n v="68"/>
    <n v="132.30000000000001"/>
    <n v="217.23"/>
    <x v="3"/>
    <n v="29543.279999999999"/>
    <n v="11550.479999999998"/>
    <n v="2"/>
    <n v="0"/>
  </r>
  <r>
    <s v="P0110"/>
    <x v="0"/>
    <x v="1"/>
    <s v="S009"/>
    <d v="2024-08-02T00:00:00"/>
    <n v="19"/>
    <n v="22"/>
    <n v="305.35000000000002"/>
    <n v="365.3"/>
    <x v="4"/>
    <n v="6940.7"/>
    <n v="1139.0499999999997"/>
    <n v="0.86363636363636365"/>
    <n v="0"/>
  </r>
  <r>
    <s v="P0001"/>
    <x v="0"/>
    <x v="2"/>
    <s v="S006"/>
    <d v="2024-12-23T00:00:00"/>
    <n v="183"/>
    <n v="180"/>
    <n v="219.65"/>
    <n v="347.5"/>
    <x v="3"/>
    <n v="63592.5"/>
    <n v="23396.55"/>
    <n v="1.0166666666666666"/>
    <n v="0"/>
  </r>
  <r>
    <s v="P0051"/>
    <x v="8"/>
    <x v="1"/>
    <s v="S005"/>
    <d v="2024-03-20T00:00:00"/>
    <n v="38"/>
    <n v="292"/>
    <n v="484.22"/>
    <n v="192.73"/>
    <x v="1"/>
    <n v="7323.74"/>
    <n v="-11076.62"/>
    <n v="0.13013698630136986"/>
    <n v="0"/>
  </r>
  <r>
    <s v="P0173"/>
    <x v="7"/>
    <x v="3"/>
    <s v="S012"/>
    <d v="2024-07-13T00:00:00"/>
    <n v="178"/>
    <n v="8"/>
    <n v="173.09"/>
    <n v="570.6"/>
    <x v="2"/>
    <n v="101566.8"/>
    <n v="70756.78"/>
    <n v="22.25"/>
    <n v="0"/>
  </r>
  <r>
    <s v="P0004"/>
    <x v="9"/>
    <x v="1"/>
    <s v="S011"/>
    <d v="2023-05-09T00:00:00"/>
    <n v="11"/>
    <n v="270"/>
    <n v="229.85"/>
    <n v="456.08"/>
    <x v="2"/>
    <n v="5016.88"/>
    <n v="2488.5299999999997"/>
    <n v="4.0740740740740744E-2"/>
    <n v="0"/>
  </r>
  <r>
    <s v="P0190"/>
    <x v="7"/>
    <x v="3"/>
    <s v="S001"/>
    <d v="2024-12-30T00:00:00"/>
    <n v="182"/>
    <n v="92"/>
    <n v="492.29"/>
    <n v="604.79"/>
    <x v="3"/>
    <n v="110071.78"/>
    <n v="20474.999999999989"/>
    <n v="1.9782608695652173"/>
    <n v="0"/>
  </r>
  <r>
    <s v="P0193"/>
    <x v="7"/>
    <x v="1"/>
    <s v="S011"/>
    <d v="2022-12-30T00:00:00"/>
    <n v="10"/>
    <n v="16"/>
    <n v="291.41000000000003"/>
    <n v="346.88"/>
    <x v="4"/>
    <n v="3468.8"/>
    <n v="554.6999999999997"/>
    <n v="0.625"/>
    <n v="0"/>
  </r>
  <r>
    <s v="P0113"/>
    <x v="6"/>
    <x v="0"/>
    <s v="S019"/>
    <d v="2023-07-24T00:00:00"/>
    <n v="153"/>
    <n v="153"/>
    <n v="276.18"/>
    <n v="327.99"/>
    <x v="2"/>
    <n v="50182.47"/>
    <n v="7926.93"/>
    <n v="1"/>
    <n v="0"/>
  </r>
  <r>
    <s v="P0032"/>
    <x v="3"/>
    <x v="0"/>
    <s v="S009"/>
    <d v="2024-02-02T00:00:00"/>
    <n v="41"/>
    <n v="148"/>
    <n v="166"/>
    <n v="430.8"/>
    <x v="3"/>
    <n v="17662.8"/>
    <n v="10856.800000000001"/>
    <n v="0.27702702702702703"/>
    <n v="0"/>
  </r>
  <r>
    <s v="P0034"/>
    <x v="6"/>
    <x v="3"/>
    <s v="S002"/>
    <d v="2022-10-03T00:00:00"/>
    <n v="154"/>
    <n v="266"/>
    <n v="365.61"/>
    <n v="714.19"/>
    <x v="4"/>
    <n v="109985.26000000001"/>
    <n v="53681.320000000007"/>
    <n v="0.57894736842105265"/>
    <n v="0"/>
  </r>
  <r>
    <s v="P0092"/>
    <x v="3"/>
    <x v="3"/>
    <s v="S012"/>
    <d v="2022-02-19T00:00:00"/>
    <n v="10"/>
    <n v="105"/>
    <n v="56.47"/>
    <n v="128.19999999999999"/>
    <x v="3"/>
    <n v="1282"/>
    <n v="717.3"/>
    <n v="9.5238095238095233E-2"/>
    <n v="0"/>
  </r>
  <r>
    <s v="P0095"/>
    <x v="2"/>
    <x v="0"/>
    <s v="S004"/>
    <d v="2023-12-29T00:00:00"/>
    <n v="37"/>
    <n v="34"/>
    <n v="72.28"/>
    <n v="663.38"/>
    <x v="4"/>
    <n v="24545.06"/>
    <n v="21870.7"/>
    <n v="1.088235294117647"/>
    <n v="0"/>
  </r>
  <r>
    <s v="P0072"/>
    <x v="4"/>
    <x v="3"/>
    <s v="S004"/>
    <d v="2024-06-24T00:00:00"/>
    <n v="97"/>
    <n v="118"/>
    <n v="319.70999999999998"/>
    <n v="358.29"/>
    <x v="0"/>
    <n v="34754.130000000005"/>
    <n v="3742.2600000000039"/>
    <n v="0.82203389830508478"/>
    <n v="0"/>
  </r>
  <r>
    <s v="P0039"/>
    <x v="3"/>
    <x v="1"/>
    <s v="S018"/>
    <d v="2024-07-16T00:00:00"/>
    <n v="170"/>
    <n v="13"/>
    <n v="203.75"/>
    <n v="698.23"/>
    <x v="4"/>
    <n v="118699.1"/>
    <n v="84061.6"/>
    <n v="13.076923076923077"/>
    <n v="0"/>
  </r>
  <r>
    <s v="P0154"/>
    <x v="8"/>
    <x v="1"/>
    <s v="S015"/>
    <d v="2023-07-18T00:00:00"/>
    <n v="18"/>
    <n v="13"/>
    <n v="478.99"/>
    <n v="661.54"/>
    <x v="1"/>
    <n v="11907.72"/>
    <n v="3285.8999999999992"/>
    <n v="1.3846153846153846"/>
    <n v="0"/>
  </r>
  <r>
    <s v="P0162"/>
    <x v="6"/>
    <x v="0"/>
    <s v="S019"/>
    <d v="2024-02-22T00:00:00"/>
    <n v="191"/>
    <n v="265"/>
    <n v="456.44"/>
    <n v="344.13"/>
    <x v="0"/>
    <n v="65728.83"/>
    <n v="-21451.21"/>
    <n v="0.72075471698113203"/>
    <n v="0"/>
  </r>
  <r>
    <s v="P0182"/>
    <x v="9"/>
    <x v="2"/>
    <s v="S013"/>
    <d v="2023-04-30T00:00:00"/>
    <n v="133"/>
    <n v="139"/>
    <n v="371.17"/>
    <n v="585.71"/>
    <x v="3"/>
    <n v="77899.430000000008"/>
    <n v="28533.820000000003"/>
    <n v="0.95683453237410077"/>
    <n v="0"/>
  </r>
  <r>
    <s v="P0118"/>
    <x v="4"/>
    <x v="1"/>
    <s v="S019"/>
    <d v="2023-08-07T00:00:00"/>
    <n v="173"/>
    <n v="293"/>
    <n v="418.17"/>
    <n v="211.74"/>
    <x v="0"/>
    <n v="36631.020000000004"/>
    <n v="-35712.39"/>
    <n v="0.59044368600682595"/>
    <n v="0"/>
  </r>
  <r>
    <s v="P0003"/>
    <x v="2"/>
    <x v="3"/>
    <s v="S017"/>
    <d v="2022-08-24T00:00:00"/>
    <n v="115"/>
    <n v="118"/>
    <n v="350.3"/>
    <n v="727.4"/>
    <x v="0"/>
    <n v="83651"/>
    <n v="43366.499999999993"/>
    <n v="0.97457627118644063"/>
    <n v="0"/>
  </r>
  <r>
    <s v="P0123"/>
    <x v="3"/>
    <x v="2"/>
    <s v="S006"/>
    <d v="2022-02-25T00:00:00"/>
    <n v="112"/>
    <n v="237"/>
    <n v="106.51"/>
    <n v="383.14"/>
    <x v="3"/>
    <n v="42911.68"/>
    <n v="30982.559999999998"/>
    <n v="0.47257383966244726"/>
    <n v="0"/>
  </r>
  <r>
    <s v="P0050"/>
    <x v="2"/>
    <x v="2"/>
    <s v="S016"/>
    <d v="2022-12-26T00:00:00"/>
    <n v="169"/>
    <n v="33"/>
    <n v="394.49"/>
    <n v="418.94"/>
    <x v="3"/>
    <n v="70800.86"/>
    <n v="4132.0499999999984"/>
    <n v="5.1212121212121211"/>
    <n v="0"/>
  </r>
  <r>
    <s v="P0012"/>
    <x v="9"/>
    <x v="1"/>
    <s v="S012"/>
    <d v="2022-04-20T00:00:00"/>
    <n v="64"/>
    <n v="168"/>
    <n v="144.59"/>
    <n v="594.03"/>
    <x v="1"/>
    <n v="38017.919999999998"/>
    <n v="28764.159999999996"/>
    <n v="0.38095238095238093"/>
    <n v="0"/>
  </r>
  <r>
    <s v="P0193"/>
    <x v="7"/>
    <x v="1"/>
    <s v="S019"/>
    <d v="2022-07-11T00:00:00"/>
    <n v="98"/>
    <n v="9"/>
    <n v="195.55"/>
    <n v="674.59"/>
    <x v="3"/>
    <n v="66109.820000000007"/>
    <n v="46945.920000000006"/>
    <n v="10.888888888888889"/>
    <n v="0"/>
  </r>
  <r>
    <s v="P0054"/>
    <x v="0"/>
    <x v="2"/>
    <s v="S005"/>
    <d v="2024-06-22T00:00:00"/>
    <n v="71"/>
    <n v="121"/>
    <n v="418.66"/>
    <n v="265.44"/>
    <x v="2"/>
    <n v="18846.240000000002"/>
    <n v="-10878.620000000003"/>
    <n v="0.58677685950413228"/>
    <n v="0"/>
  </r>
  <r>
    <s v="P0133"/>
    <x v="9"/>
    <x v="2"/>
    <s v="S017"/>
    <d v="2024-05-11T00:00:00"/>
    <n v="186"/>
    <n v="144"/>
    <n v="291.44"/>
    <n v="562.95000000000005"/>
    <x v="2"/>
    <n v="104708.70000000001"/>
    <n v="50500.860000000008"/>
    <n v="1.2916666666666667"/>
    <n v="0"/>
  </r>
  <r>
    <s v="P0057"/>
    <x v="5"/>
    <x v="0"/>
    <s v="S001"/>
    <d v="2023-07-22T00:00:00"/>
    <n v="51"/>
    <n v="222"/>
    <n v="436.97"/>
    <n v="374.4"/>
    <x v="1"/>
    <n v="19094.399999999998"/>
    <n v="-3191.0700000000024"/>
    <n v="0.22972972972972974"/>
    <n v="0"/>
  </r>
  <r>
    <s v="P0145"/>
    <x v="9"/>
    <x v="3"/>
    <s v="S010"/>
    <d v="2024-12-19T00:00:00"/>
    <n v="117"/>
    <n v="256"/>
    <n v="145.87"/>
    <n v="358.09"/>
    <x v="4"/>
    <n v="41896.53"/>
    <n v="24829.739999999998"/>
    <n v="0.45703125"/>
    <n v="0"/>
  </r>
  <r>
    <s v="P0112"/>
    <x v="2"/>
    <x v="0"/>
    <s v="S015"/>
    <d v="2023-10-12T00:00:00"/>
    <n v="174"/>
    <n v="267"/>
    <n v="323.5"/>
    <n v="583.02"/>
    <x v="4"/>
    <n v="101445.48"/>
    <n v="45156.479999999996"/>
    <n v="0.651685393258427"/>
    <n v="0"/>
  </r>
  <r>
    <s v="P0047"/>
    <x v="8"/>
    <x v="1"/>
    <s v="S011"/>
    <d v="2022-02-08T00:00:00"/>
    <n v="119"/>
    <n v="3"/>
    <n v="87.71"/>
    <n v="371.03"/>
    <x v="2"/>
    <n v="44152.57"/>
    <n v="33715.08"/>
    <n v="39.666666666666664"/>
    <n v="0"/>
  </r>
  <r>
    <s v="P0151"/>
    <x v="6"/>
    <x v="0"/>
    <s v="S013"/>
    <d v="2024-12-08T00:00:00"/>
    <n v="6"/>
    <n v="105"/>
    <n v="339.38"/>
    <n v="342.28"/>
    <x v="3"/>
    <n v="2053.6799999999998"/>
    <n v="17.399999999999864"/>
    <n v="5.7142857142857141E-2"/>
    <n v="0"/>
  </r>
  <r>
    <s v="P0085"/>
    <x v="8"/>
    <x v="0"/>
    <s v="S005"/>
    <d v="2023-09-29T00:00:00"/>
    <n v="10"/>
    <n v="84"/>
    <n v="393.14"/>
    <n v="685.12"/>
    <x v="1"/>
    <n v="6851.2"/>
    <n v="2919.8"/>
    <n v="0.11904761904761904"/>
    <n v="0"/>
  </r>
  <r>
    <s v="P0142"/>
    <x v="2"/>
    <x v="0"/>
    <s v="S001"/>
    <d v="2024-11-02T00:00:00"/>
    <n v="102"/>
    <n v="213"/>
    <n v="313.22000000000003"/>
    <n v="170.89"/>
    <x v="4"/>
    <n v="17430.78"/>
    <n v="-14517.660000000003"/>
    <n v="0.47887323943661969"/>
    <n v="0"/>
  </r>
  <r>
    <s v="P0066"/>
    <x v="6"/>
    <x v="0"/>
    <s v="S012"/>
    <d v="2022-02-05T00:00:00"/>
    <n v="60"/>
    <n v="120"/>
    <n v="169.8"/>
    <n v="573.12"/>
    <x v="4"/>
    <n v="34387.199999999997"/>
    <n v="24199.200000000001"/>
    <n v="0.5"/>
    <n v="0"/>
  </r>
  <r>
    <s v="P0075"/>
    <x v="5"/>
    <x v="3"/>
    <s v="S011"/>
    <d v="2022-04-11T00:00:00"/>
    <n v="67"/>
    <n v="131"/>
    <n v="64.099999999999994"/>
    <n v="274.11"/>
    <x v="0"/>
    <n v="18365.370000000003"/>
    <n v="14070.670000000002"/>
    <n v="0.51145038167938928"/>
    <n v="0"/>
  </r>
  <r>
    <s v="P0179"/>
    <x v="0"/>
    <x v="3"/>
    <s v="S017"/>
    <d v="2022-06-15T00:00:00"/>
    <n v="152"/>
    <n v="196"/>
    <n v="103.75"/>
    <n v="110.85"/>
    <x v="2"/>
    <n v="16849.2"/>
    <n v="1079.1999999999991"/>
    <n v="0.77551020408163263"/>
    <n v="0"/>
  </r>
  <r>
    <s v="P0103"/>
    <x v="4"/>
    <x v="2"/>
    <s v="S004"/>
    <d v="2023-01-18T00:00:00"/>
    <n v="139"/>
    <n v="18"/>
    <n v="330.04"/>
    <n v="216.73"/>
    <x v="3"/>
    <n v="30125.469999999998"/>
    <n v="-15750.090000000004"/>
    <n v="7.7222222222222223"/>
    <n v="0"/>
  </r>
  <r>
    <s v="P0166"/>
    <x v="2"/>
    <x v="1"/>
    <s v="S015"/>
    <d v="2024-02-29T00:00:00"/>
    <n v="153"/>
    <n v="129"/>
    <n v="470.49"/>
    <n v="524.66"/>
    <x v="1"/>
    <n v="80272.98"/>
    <n v="8288.0099999999929"/>
    <n v="1.1860465116279071"/>
    <n v="0"/>
  </r>
  <r>
    <s v="P0192"/>
    <x v="3"/>
    <x v="0"/>
    <s v="S009"/>
    <d v="2022-01-31T00:00:00"/>
    <n v="101"/>
    <n v="11"/>
    <n v="142.94"/>
    <n v="596.39"/>
    <x v="4"/>
    <n v="60235.39"/>
    <n v="45798.45"/>
    <n v="9.1818181818181817"/>
    <n v="0"/>
  </r>
  <r>
    <s v="P0038"/>
    <x v="2"/>
    <x v="2"/>
    <s v="S020"/>
    <d v="2022-01-11T00:00:00"/>
    <n v="109"/>
    <n v="80"/>
    <n v="380.76"/>
    <n v="114.74"/>
    <x v="0"/>
    <n v="12506.66"/>
    <n v="-28996.179999999997"/>
    <n v="1.3625"/>
    <n v="0"/>
  </r>
  <r>
    <s v="P0050"/>
    <x v="2"/>
    <x v="2"/>
    <s v="S019"/>
    <d v="2022-04-06T00:00:00"/>
    <n v="139"/>
    <n v="261"/>
    <n v="439.9"/>
    <n v="125.5"/>
    <x v="2"/>
    <n v="17444.5"/>
    <n v="-43701.599999999999"/>
    <n v="0.53256704980842917"/>
    <n v="0"/>
  </r>
  <r>
    <s v="P0098"/>
    <x v="6"/>
    <x v="2"/>
    <s v="S019"/>
    <d v="2023-03-29T00:00:00"/>
    <n v="170"/>
    <n v="124"/>
    <n v="284.39999999999998"/>
    <n v="731.78"/>
    <x v="2"/>
    <n v="124402.59999999999"/>
    <n v="76054.600000000006"/>
    <n v="1.3709677419354838"/>
    <n v="0"/>
  </r>
  <r>
    <s v="P0082"/>
    <x v="1"/>
    <x v="3"/>
    <s v="S012"/>
    <d v="2022-07-11T00:00:00"/>
    <n v="50"/>
    <n v="266"/>
    <n v="351.17"/>
    <n v="151.31"/>
    <x v="1"/>
    <n v="7565.5"/>
    <n v="-9993"/>
    <n v="0.18796992481203006"/>
    <n v="0"/>
  </r>
  <r>
    <s v="P0030"/>
    <x v="9"/>
    <x v="0"/>
    <s v="S005"/>
    <d v="2023-05-01T00:00:00"/>
    <n v="116"/>
    <n v="139"/>
    <n v="416.76"/>
    <n v="725.93"/>
    <x v="4"/>
    <n v="84207.87999999999"/>
    <n v="35863.719999999994"/>
    <n v="0.83453237410071945"/>
    <n v="0"/>
  </r>
  <r>
    <s v="P0079"/>
    <x v="1"/>
    <x v="0"/>
    <s v="S010"/>
    <d v="2022-08-26T00:00:00"/>
    <n v="164"/>
    <n v="1"/>
    <n v="167.3"/>
    <n v="259.72000000000003"/>
    <x v="1"/>
    <n v="42594.080000000002"/>
    <n v="15156.880000000003"/>
    <n v="164"/>
    <n v="0"/>
  </r>
  <r>
    <s v="P0091"/>
    <x v="5"/>
    <x v="1"/>
    <s v="S017"/>
    <d v="2024-12-24T00:00:00"/>
    <n v="45"/>
    <n v="7"/>
    <n v="183.6"/>
    <n v="618.01"/>
    <x v="1"/>
    <n v="27810.45"/>
    <n v="19548.449999999997"/>
    <n v="6.4285714285714288"/>
    <n v="0"/>
  </r>
  <r>
    <s v="P0179"/>
    <x v="3"/>
    <x v="0"/>
    <s v="S005"/>
    <d v="2024-01-05T00:00:00"/>
    <n v="52"/>
    <n v="249"/>
    <n v="50.28"/>
    <n v="316.81"/>
    <x v="0"/>
    <n v="16474.12"/>
    <n v="13859.559999999998"/>
    <n v="0.20883534136546184"/>
    <n v="0"/>
  </r>
  <r>
    <s v="P0191"/>
    <x v="0"/>
    <x v="0"/>
    <s v="S016"/>
    <d v="2024-09-17T00:00:00"/>
    <n v="87"/>
    <n v="138"/>
    <n v="483.39"/>
    <n v="701.13"/>
    <x v="2"/>
    <n v="60998.31"/>
    <n v="18943.38"/>
    <n v="0.63043478260869568"/>
    <n v="0"/>
  </r>
  <r>
    <s v="P0052"/>
    <x v="7"/>
    <x v="2"/>
    <s v="S007"/>
    <d v="2024-04-04T00:00:00"/>
    <n v="120"/>
    <n v="123"/>
    <n v="462.9"/>
    <n v="590.32000000000005"/>
    <x v="3"/>
    <n v="70838.400000000009"/>
    <n v="15290.400000000009"/>
    <n v="0.97560975609756095"/>
    <n v="0"/>
  </r>
  <r>
    <s v="P0166"/>
    <x v="5"/>
    <x v="1"/>
    <s v="S009"/>
    <d v="2022-04-16T00:00:00"/>
    <n v="12"/>
    <n v="227"/>
    <n v="394.06"/>
    <n v="381.27"/>
    <x v="2"/>
    <n v="4575.24"/>
    <n v="-153.48000000000025"/>
    <n v="5.2863436123348019E-2"/>
    <n v="0"/>
  </r>
  <r>
    <s v="P0079"/>
    <x v="7"/>
    <x v="0"/>
    <s v="S003"/>
    <d v="2022-06-30T00:00:00"/>
    <n v="88"/>
    <n v="9"/>
    <n v="85.58"/>
    <n v="153.41"/>
    <x v="2"/>
    <n v="13500.08"/>
    <n v="5969.04"/>
    <n v="9.7777777777777786"/>
    <n v="0"/>
  </r>
  <r>
    <s v="P0030"/>
    <x v="7"/>
    <x v="3"/>
    <s v="S015"/>
    <d v="2022-07-03T00:00:00"/>
    <n v="124"/>
    <n v="211"/>
    <n v="251.38"/>
    <n v="612.89"/>
    <x v="0"/>
    <n v="75998.36"/>
    <n v="44827.24"/>
    <n v="0.58767772511848337"/>
    <n v="0"/>
  </r>
  <r>
    <s v="P0106"/>
    <x v="0"/>
    <x v="0"/>
    <s v="S016"/>
    <d v="2022-08-14T00:00:00"/>
    <n v="117"/>
    <n v="111"/>
    <n v="95.85"/>
    <n v="531.82000000000005"/>
    <x v="3"/>
    <n v="62222.94"/>
    <n v="51008.490000000005"/>
    <n v="1.0540540540540539"/>
    <n v="0"/>
  </r>
  <r>
    <s v="P0051"/>
    <x v="8"/>
    <x v="2"/>
    <s v="S018"/>
    <d v="2024-02-16T00:00:00"/>
    <n v="53"/>
    <n v="7"/>
    <n v="57.16"/>
    <n v="102.04"/>
    <x v="4"/>
    <n v="5408.12"/>
    <n v="2378.6400000000003"/>
    <n v="7.5714285714285712"/>
    <n v="0"/>
  </r>
  <r>
    <s v="P0081"/>
    <x v="1"/>
    <x v="3"/>
    <s v="S014"/>
    <d v="2024-02-29T00:00:00"/>
    <n v="184"/>
    <n v="291"/>
    <n v="327.27999999999997"/>
    <n v="106.59"/>
    <x v="3"/>
    <n v="19612.560000000001"/>
    <n v="-40606.959999999992"/>
    <n v="0.63230240549828176"/>
    <n v="0"/>
  </r>
  <r>
    <s v="P0133"/>
    <x v="2"/>
    <x v="2"/>
    <s v="S003"/>
    <d v="2023-11-19T00:00:00"/>
    <n v="115"/>
    <n v="252"/>
    <n v="482.37"/>
    <n v="666.16"/>
    <x v="4"/>
    <n v="76608.399999999994"/>
    <n v="21135.849999999995"/>
    <n v="0.45634920634920634"/>
    <n v="0"/>
  </r>
  <r>
    <s v="P0029"/>
    <x v="4"/>
    <x v="0"/>
    <s v="S012"/>
    <d v="2023-06-14T00:00:00"/>
    <n v="117"/>
    <n v="13"/>
    <n v="456.29"/>
    <n v="281.58"/>
    <x v="3"/>
    <n v="32944.86"/>
    <n v="-20441.070000000003"/>
    <n v="9"/>
    <n v="0"/>
  </r>
  <r>
    <s v="P0132"/>
    <x v="7"/>
    <x v="3"/>
    <s v="S009"/>
    <d v="2024-08-29T00:00:00"/>
    <n v="3"/>
    <n v="239"/>
    <n v="363.54"/>
    <n v="545.29"/>
    <x v="1"/>
    <n v="1635.87"/>
    <n v="545.24999999999977"/>
    <n v="1.2552301255230125E-2"/>
    <n v="0"/>
  </r>
  <r>
    <s v="P0138"/>
    <x v="3"/>
    <x v="1"/>
    <s v="S007"/>
    <d v="2024-07-24T00:00:00"/>
    <n v="74"/>
    <n v="241"/>
    <n v="93.49"/>
    <n v="417.95"/>
    <x v="3"/>
    <n v="30928.3"/>
    <n v="24010.039999999997"/>
    <n v="0.30705394190871371"/>
    <n v="0"/>
  </r>
  <r>
    <s v="P0184"/>
    <x v="5"/>
    <x v="1"/>
    <s v="S009"/>
    <d v="2022-04-16T00:00:00"/>
    <n v="48"/>
    <n v="148"/>
    <n v="173.37"/>
    <n v="704.4"/>
    <x v="0"/>
    <n v="33811.199999999997"/>
    <n v="25489.439999999999"/>
    <n v="0.32432432432432434"/>
    <n v="0"/>
  </r>
  <r>
    <s v="P0145"/>
    <x v="8"/>
    <x v="3"/>
    <s v="S013"/>
    <d v="2024-04-10T00:00:00"/>
    <n v="6"/>
    <n v="235"/>
    <n v="194.03"/>
    <n v="741.87"/>
    <x v="4"/>
    <n v="4451.22"/>
    <n v="3287.04"/>
    <n v="2.553191489361702E-2"/>
    <n v="0"/>
  </r>
  <r>
    <s v="P0074"/>
    <x v="7"/>
    <x v="3"/>
    <s v="S018"/>
    <d v="2023-11-10T00:00:00"/>
    <n v="109"/>
    <n v="166"/>
    <n v="393.42"/>
    <n v="797.77"/>
    <x v="2"/>
    <n v="86956.93"/>
    <n v="44074.149999999994"/>
    <n v="0.65662650602409633"/>
    <n v="0"/>
  </r>
  <r>
    <s v="P0017"/>
    <x v="8"/>
    <x v="2"/>
    <s v="S005"/>
    <d v="2024-04-28T00:00:00"/>
    <n v="121"/>
    <n v="19"/>
    <n v="411.01"/>
    <n v="207.58"/>
    <x v="0"/>
    <n v="25117.18"/>
    <n v="-24615.03"/>
    <n v="6.3684210526315788"/>
    <n v="0"/>
  </r>
  <r>
    <s v="P0084"/>
    <x v="8"/>
    <x v="3"/>
    <s v="S013"/>
    <d v="2024-11-21T00:00:00"/>
    <n v="10"/>
    <n v="215"/>
    <n v="223.3"/>
    <n v="704.07"/>
    <x v="4"/>
    <n v="7040.7000000000007"/>
    <n v="4807.7000000000007"/>
    <n v="4.6511627906976744E-2"/>
    <n v="0"/>
  </r>
  <r>
    <s v="P0069"/>
    <x v="7"/>
    <x v="2"/>
    <s v="S004"/>
    <d v="2023-01-28T00:00:00"/>
    <n v="91"/>
    <n v="134"/>
    <n v="238.05"/>
    <n v="286.20999999999998"/>
    <x v="4"/>
    <n v="26045.109999999997"/>
    <n v="4382.5599999999968"/>
    <n v="0.67910447761194026"/>
    <n v="0"/>
  </r>
  <r>
    <s v="P0034"/>
    <x v="6"/>
    <x v="0"/>
    <s v="S002"/>
    <d v="2022-02-09T00:00:00"/>
    <n v="181"/>
    <n v="128"/>
    <n v="70.03"/>
    <n v="513.57000000000005"/>
    <x v="2"/>
    <n v="92956.170000000013"/>
    <n v="80280.74000000002"/>
    <n v="1.4140625"/>
    <n v="0"/>
  </r>
  <r>
    <s v="P0006"/>
    <x v="9"/>
    <x v="2"/>
    <s v="S016"/>
    <d v="2023-10-22T00:00:00"/>
    <n v="172"/>
    <n v="293"/>
    <n v="180.11"/>
    <n v="454.04"/>
    <x v="1"/>
    <n v="78094.880000000005"/>
    <n v="47115.96"/>
    <n v="0.58703071672354945"/>
    <n v="0"/>
  </r>
  <r>
    <s v="P0053"/>
    <x v="3"/>
    <x v="3"/>
    <s v="S009"/>
    <d v="2024-09-07T00:00:00"/>
    <n v="22"/>
    <n v="245"/>
    <n v="253.08"/>
    <n v="112.59"/>
    <x v="0"/>
    <n v="2476.98"/>
    <n v="-3090.78"/>
    <n v="8.9795918367346933E-2"/>
    <n v="0"/>
  </r>
  <r>
    <s v="P0194"/>
    <x v="2"/>
    <x v="3"/>
    <s v="S009"/>
    <d v="2024-04-24T00:00:00"/>
    <n v="27"/>
    <n v="188"/>
    <n v="102.64"/>
    <n v="752.94"/>
    <x v="2"/>
    <n v="20329.38"/>
    <n v="17558.100000000002"/>
    <n v="0.14361702127659576"/>
    <n v="0"/>
  </r>
  <r>
    <s v="P0126"/>
    <x v="2"/>
    <x v="0"/>
    <s v="S006"/>
    <d v="2022-07-20T00:00:00"/>
    <n v="110"/>
    <n v="43"/>
    <n v="253.97"/>
    <n v="154.83000000000001"/>
    <x v="2"/>
    <n v="17031.300000000003"/>
    <n v="-10905.399999999998"/>
    <n v="2.558139534883721"/>
    <n v="0"/>
  </r>
  <r>
    <s v="P0043"/>
    <x v="3"/>
    <x v="3"/>
    <s v="S011"/>
    <d v="2023-03-23T00:00:00"/>
    <n v="56"/>
    <n v="85"/>
    <n v="433.93"/>
    <n v="581.75"/>
    <x v="1"/>
    <n v="32578"/>
    <n v="8277.92"/>
    <n v="0.6588235294117647"/>
    <n v="0"/>
  </r>
  <r>
    <s v="P0115"/>
    <x v="6"/>
    <x v="3"/>
    <s v="S001"/>
    <d v="2024-11-27T00:00:00"/>
    <n v="25"/>
    <n v="43"/>
    <n v="311.58999999999997"/>
    <n v="649.5"/>
    <x v="0"/>
    <n v="16237.5"/>
    <n v="8447.75"/>
    <n v="0.58139534883720934"/>
    <n v="0"/>
  </r>
  <r>
    <s v="P0111"/>
    <x v="2"/>
    <x v="1"/>
    <s v="S004"/>
    <d v="2023-03-20T00:00:00"/>
    <n v="152"/>
    <n v="144"/>
    <n v="85.52"/>
    <n v="656.7"/>
    <x v="2"/>
    <n v="99818.400000000009"/>
    <n v="86819.360000000015"/>
    <n v="1.0555555555555556"/>
    <n v="0"/>
  </r>
  <r>
    <s v="P0151"/>
    <x v="8"/>
    <x v="1"/>
    <s v="S013"/>
    <d v="2024-01-31T00:00:00"/>
    <n v="53"/>
    <n v="50"/>
    <n v="136.25"/>
    <n v="194.85"/>
    <x v="1"/>
    <n v="10327.049999999999"/>
    <n v="3105.7999999999997"/>
    <n v="1.06"/>
    <n v="0"/>
  </r>
  <r>
    <s v="P0183"/>
    <x v="0"/>
    <x v="0"/>
    <s v="S013"/>
    <d v="2022-08-15T00:00:00"/>
    <n v="28"/>
    <n v="241"/>
    <n v="263.54000000000002"/>
    <n v="413.3"/>
    <x v="0"/>
    <n v="11572.4"/>
    <n v="4193.28"/>
    <n v="0.11618257261410789"/>
    <n v="0"/>
  </r>
  <r>
    <s v="P0080"/>
    <x v="5"/>
    <x v="2"/>
    <s v="S013"/>
    <d v="2022-02-17T00:00:00"/>
    <n v="96"/>
    <n v="293"/>
    <n v="212.67"/>
    <n v="680.6"/>
    <x v="3"/>
    <n v="65337.600000000006"/>
    <n v="44921.280000000006"/>
    <n v="0.32764505119453924"/>
    <n v="0"/>
  </r>
  <r>
    <s v="P0095"/>
    <x v="1"/>
    <x v="1"/>
    <s v="S002"/>
    <d v="2024-11-07T00:00:00"/>
    <n v="163"/>
    <n v="50"/>
    <n v="211.43"/>
    <n v="311.88"/>
    <x v="4"/>
    <n v="50836.44"/>
    <n v="16373.349999999999"/>
    <n v="3.26"/>
    <n v="0"/>
  </r>
  <r>
    <s v="P0118"/>
    <x v="2"/>
    <x v="2"/>
    <s v="S009"/>
    <d v="2024-06-30T00:00:00"/>
    <n v="13"/>
    <n v="265"/>
    <n v="288.17"/>
    <n v="427.42"/>
    <x v="1"/>
    <n v="5556.46"/>
    <n v="1810.25"/>
    <n v="4.9056603773584909E-2"/>
    <n v="0"/>
  </r>
  <r>
    <s v="P0144"/>
    <x v="3"/>
    <x v="3"/>
    <s v="S008"/>
    <d v="2022-07-06T00:00:00"/>
    <n v="77"/>
    <n v="119"/>
    <n v="312.98"/>
    <n v="290.95999999999998"/>
    <x v="4"/>
    <n v="22403.919999999998"/>
    <n v="-1695.5400000000029"/>
    <n v="0.6470588235294118"/>
    <n v="0"/>
  </r>
  <r>
    <s v="P0008"/>
    <x v="0"/>
    <x v="1"/>
    <s v="S007"/>
    <d v="2022-12-11T00:00:00"/>
    <n v="34"/>
    <n v="199"/>
    <n v="408.59"/>
    <n v="424.49"/>
    <x v="3"/>
    <n v="14432.66"/>
    <n v="540.60000000000116"/>
    <n v="0.17085427135678391"/>
    <n v="0"/>
  </r>
  <r>
    <s v="P0132"/>
    <x v="7"/>
    <x v="0"/>
    <s v="S004"/>
    <d v="2022-08-12T00:00:00"/>
    <n v="29"/>
    <n v="247"/>
    <n v="203.43"/>
    <n v="721.49"/>
    <x v="2"/>
    <n v="20923.21"/>
    <n v="15023.739999999998"/>
    <n v="0.11740890688259109"/>
    <n v="0"/>
  </r>
  <r>
    <s v="P0104"/>
    <x v="9"/>
    <x v="0"/>
    <s v="S018"/>
    <d v="2024-04-09T00:00:00"/>
    <n v="91"/>
    <n v="69"/>
    <n v="412.46"/>
    <n v="418.59"/>
    <x v="2"/>
    <n v="38091.689999999995"/>
    <n v="557.82999999999959"/>
    <n v="1.318840579710145"/>
    <n v="0"/>
  </r>
  <r>
    <s v="P0132"/>
    <x v="3"/>
    <x v="0"/>
    <s v="S003"/>
    <d v="2023-05-03T00:00:00"/>
    <n v="16"/>
    <n v="56"/>
    <n v="202.38"/>
    <n v="489.14"/>
    <x v="0"/>
    <n v="7826.24"/>
    <n v="4588.16"/>
    <n v="0.2857142857142857"/>
    <n v="0"/>
  </r>
  <r>
    <s v="P0184"/>
    <x v="8"/>
    <x v="1"/>
    <s v="S006"/>
    <d v="2024-05-26T00:00:00"/>
    <n v="194"/>
    <n v="38"/>
    <n v="74.94"/>
    <n v="382.78"/>
    <x v="1"/>
    <n v="74259.319999999992"/>
    <n v="59720.959999999992"/>
    <n v="5.1052631578947372"/>
    <n v="0"/>
  </r>
  <r>
    <s v="P0025"/>
    <x v="9"/>
    <x v="2"/>
    <s v="S012"/>
    <d v="2024-04-28T00:00:00"/>
    <n v="157"/>
    <n v="288"/>
    <n v="299.38"/>
    <n v="422.08"/>
    <x v="1"/>
    <n v="66266.559999999998"/>
    <n v="19263.899999999998"/>
    <n v="0.54513888888888884"/>
    <n v="0"/>
  </r>
  <r>
    <s v="P0195"/>
    <x v="5"/>
    <x v="3"/>
    <s v="S012"/>
    <d v="2024-09-05T00:00:00"/>
    <n v="92"/>
    <n v="17"/>
    <n v="314.56"/>
    <n v="110.62"/>
    <x v="0"/>
    <n v="10177.040000000001"/>
    <n v="-18762.48"/>
    <n v="5.4117647058823533"/>
    <n v="0"/>
  </r>
  <r>
    <s v="P0096"/>
    <x v="5"/>
    <x v="2"/>
    <s v="S008"/>
    <d v="2024-10-13T00:00:00"/>
    <n v="172"/>
    <n v="219"/>
    <n v="470.54"/>
    <n v="298.62"/>
    <x v="4"/>
    <n v="51362.64"/>
    <n v="-29570.240000000002"/>
    <n v="0.78538812785388123"/>
    <n v="0"/>
  </r>
  <r>
    <s v="P0195"/>
    <x v="6"/>
    <x v="2"/>
    <s v="S001"/>
    <d v="2022-07-07T00:00:00"/>
    <n v="78"/>
    <n v="243"/>
    <n v="376.73"/>
    <n v="405.61"/>
    <x v="2"/>
    <n v="31637.58"/>
    <n v="2252.6399999999994"/>
    <n v="0.32098765432098764"/>
    <n v="0"/>
  </r>
  <r>
    <s v="P0155"/>
    <x v="4"/>
    <x v="3"/>
    <s v="S004"/>
    <d v="2022-09-27T00:00:00"/>
    <n v="109"/>
    <n v="297"/>
    <n v="463"/>
    <n v="543.66"/>
    <x v="2"/>
    <n v="59258.939999999995"/>
    <n v="8791.9399999999969"/>
    <n v="0.367003367003367"/>
    <n v="0"/>
  </r>
  <r>
    <s v="P0093"/>
    <x v="6"/>
    <x v="3"/>
    <s v="S011"/>
    <d v="2022-11-06T00:00:00"/>
    <n v="178"/>
    <n v="282"/>
    <n v="458.76"/>
    <n v="415.04"/>
    <x v="1"/>
    <n v="73877.12000000001"/>
    <n v="-7782.1599999999944"/>
    <n v="0.63120567375886527"/>
    <n v="0"/>
  </r>
  <r>
    <s v="P0160"/>
    <x v="0"/>
    <x v="1"/>
    <s v="S003"/>
    <d v="2024-04-24T00:00:00"/>
    <n v="101"/>
    <n v="73"/>
    <n v="322.06"/>
    <n v="336.47"/>
    <x v="1"/>
    <n v="33983.47"/>
    <n v="1455.4100000000026"/>
    <n v="1.3835616438356164"/>
    <n v="0"/>
  </r>
  <r>
    <s v="P0178"/>
    <x v="9"/>
    <x v="1"/>
    <s v="S013"/>
    <d v="2023-05-01T00:00:00"/>
    <n v="105"/>
    <n v="109"/>
    <n v="287.49"/>
    <n v="371.67"/>
    <x v="0"/>
    <n v="39025.35"/>
    <n v="8838.9000000000015"/>
    <n v="0.96330275229357798"/>
    <n v="0"/>
  </r>
  <r>
    <s v="P0061"/>
    <x v="4"/>
    <x v="1"/>
    <s v="S017"/>
    <d v="2022-04-30T00:00:00"/>
    <n v="46"/>
    <n v="179"/>
    <n v="300.85000000000002"/>
    <n v="269.61"/>
    <x v="3"/>
    <n v="12402.060000000001"/>
    <n v="-1437.0400000000004"/>
    <n v="0.25698324022346369"/>
    <n v="0"/>
  </r>
  <r>
    <s v="P0122"/>
    <x v="7"/>
    <x v="1"/>
    <s v="S010"/>
    <d v="2022-08-08T00:00:00"/>
    <n v="180"/>
    <n v="31"/>
    <n v="490.25"/>
    <n v="747.15"/>
    <x v="4"/>
    <n v="134487"/>
    <n v="46241.999999999993"/>
    <n v="5.806451612903226"/>
    <n v="0"/>
  </r>
  <r>
    <s v="P0051"/>
    <x v="8"/>
    <x v="1"/>
    <s v="S012"/>
    <d v="2022-02-22T00:00:00"/>
    <n v="63"/>
    <n v="233"/>
    <n v="397.93"/>
    <n v="465.22"/>
    <x v="3"/>
    <n v="29308.86"/>
    <n v="4239.2700000000013"/>
    <n v="0.27038626609442062"/>
    <n v="0"/>
  </r>
  <r>
    <s v="P0147"/>
    <x v="9"/>
    <x v="3"/>
    <s v="S015"/>
    <d v="2024-01-28T00:00:00"/>
    <n v="165"/>
    <n v="281"/>
    <n v="97.82"/>
    <n v="109.39"/>
    <x v="3"/>
    <n v="18049.349999999999"/>
    <n v="1909.0500000000013"/>
    <n v="0.58718861209964412"/>
    <n v="0"/>
  </r>
  <r>
    <s v="P0021"/>
    <x v="6"/>
    <x v="2"/>
    <s v="S010"/>
    <d v="2024-01-08T00:00:00"/>
    <n v="63"/>
    <n v="24"/>
    <n v="400.29"/>
    <n v="113.61"/>
    <x v="1"/>
    <n v="7157.43"/>
    <n v="-18060.84"/>
    <n v="2.625"/>
    <n v="0"/>
  </r>
  <r>
    <s v="P0005"/>
    <x v="1"/>
    <x v="1"/>
    <s v="S014"/>
    <d v="2023-12-21T00:00:00"/>
    <n v="86"/>
    <n v="278"/>
    <n v="126.74"/>
    <n v="781.07"/>
    <x v="1"/>
    <n v="67172.02"/>
    <n v="56272.380000000005"/>
    <n v="0.30935251798561153"/>
    <n v="0"/>
  </r>
  <r>
    <s v="P0092"/>
    <x v="4"/>
    <x v="1"/>
    <s v="S013"/>
    <d v="2023-02-10T00:00:00"/>
    <n v="6"/>
    <n v="225"/>
    <n v="251.31"/>
    <n v="255.02"/>
    <x v="1"/>
    <n v="1530.1200000000001"/>
    <n v="22.260000000000048"/>
    <n v="2.6666666666666668E-2"/>
    <n v="0"/>
  </r>
  <r>
    <s v="P0170"/>
    <x v="4"/>
    <x v="2"/>
    <s v="S005"/>
    <d v="2023-08-31T00:00:00"/>
    <n v="21"/>
    <n v="56"/>
    <n v="144.71"/>
    <n v="663.93"/>
    <x v="3"/>
    <n v="13942.529999999999"/>
    <n v="10903.619999999999"/>
    <n v="0.375"/>
    <n v="0"/>
  </r>
  <r>
    <s v="P0061"/>
    <x v="8"/>
    <x v="1"/>
    <s v="S006"/>
    <d v="2024-10-17T00:00:00"/>
    <n v="80"/>
    <n v="179"/>
    <n v="360.31"/>
    <n v="140.79"/>
    <x v="4"/>
    <n v="11263.199999999999"/>
    <n v="-17561.600000000002"/>
    <n v="0.44692737430167595"/>
    <n v="0"/>
  </r>
  <r>
    <s v="P0022"/>
    <x v="2"/>
    <x v="2"/>
    <s v="S002"/>
    <d v="2023-02-26T00:00:00"/>
    <n v="168"/>
    <n v="231"/>
    <n v="444.79"/>
    <n v="744.81"/>
    <x v="1"/>
    <n v="125128.07999999999"/>
    <n v="50403.359999999986"/>
    <n v="0.72727272727272729"/>
    <n v="0"/>
  </r>
  <r>
    <s v="P0149"/>
    <x v="5"/>
    <x v="2"/>
    <s v="S017"/>
    <d v="2023-12-13T00:00:00"/>
    <n v="73"/>
    <n v="286"/>
    <n v="180.66"/>
    <n v="712.09"/>
    <x v="2"/>
    <n v="51982.57"/>
    <n v="38794.390000000007"/>
    <n v="0.25524475524475526"/>
    <n v="0"/>
  </r>
  <r>
    <s v="P0070"/>
    <x v="5"/>
    <x v="3"/>
    <s v="S004"/>
    <d v="2022-09-04T00:00:00"/>
    <n v="137"/>
    <n v="63"/>
    <n v="86.9"/>
    <n v="499.77"/>
    <x v="4"/>
    <n v="68468.489999999991"/>
    <n v="56563.19"/>
    <n v="2.1746031746031744"/>
    <n v="0"/>
  </r>
  <r>
    <s v="P0001"/>
    <x v="1"/>
    <x v="0"/>
    <s v="S014"/>
    <d v="2022-03-13T00:00:00"/>
    <n v="184"/>
    <n v="231"/>
    <n v="184.32"/>
    <n v="106.3"/>
    <x v="2"/>
    <n v="19559.2"/>
    <n v="-14355.679999999998"/>
    <n v="0.79653679653679654"/>
    <n v="0"/>
  </r>
  <r>
    <s v="P0133"/>
    <x v="0"/>
    <x v="3"/>
    <s v="S010"/>
    <d v="2022-07-04T00:00:00"/>
    <n v="134"/>
    <n v="288"/>
    <n v="352.56"/>
    <n v="280.47000000000003"/>
    <x v="4"/>
    <n v="37582.980000000003"/>
    <n v="-9660.0599999999959"/>
    <n v="0.46527777777777779"/>
    <n v="0"/>
  </r>
  <r>
    <s v="P0012"/>
    <x v="0"/>
    <x v="0"/>
    <s v="S003"/>
    <d v="2022-01-06T00:00:00"/>
    <n v="124"/>
    <n v="212"/>
    <n v="197.94"/>
    <n v="384.78"/>
    <x v="1"/>
    <n v="47712.719999999994"/>
    <n v="23168.159999999996"/>
    <n v="0.58490566037735847"/>
    <n v="0"/>
  </r>
  <r>
    <s v="P0090"/>
    <x v="7"/>
    <x v="0"/>
    <s v="S003"/>
    <d v="2024-06-24T00:00:00"/>
    <n v="49"/>
    <n v="257"/>
    <n v="175.15"/>
    <n v="422.04"/>
    <x v="0"/>
    <n v="20679.960000000003"/>
    <n v="12097.61"/>
    <n v="0.19066147859922178"/>
    <n v="0"/>
  </r>
  <r>
    <s v="P0046"/>
    <x v="9"/>
    <x v="0"/>
    <s v="S015"/>
    <d v="2023-01-22T00:00:00"/>
    <n v="51"/>
    <n v="17"/>
    <n v="133"/>
    <n v="308.38"/>
    <x v="1"/>
    <n v="15727.38"/>
    <n v="8944.3799999999992"/>
    <n v="3"/>
    <n v="0"/>
  </r>
  <r>
    <s v="P0034"/>
    <x v="3"/>
    <x v="1"/>
    <s v="S006"/>
    <d v="2023-11-30T00:00:00"/>
    <n v="160"/>
    <n v="174"/>
    <n v="273.88"/>
    <n v="123.06"/>
    <x v="3"/>
    <n v="19689.599999999999"/>
    <n v="-24131.199999999997"/>
    <n v="0.91954022988505746"/>
    <n v="0"/>
  </r>
  <r>
    <s v="P0177"/>
    <x v="2"/>
    <x v="3"/>
    <s v="S017"/>
    <d v="2024-04-06T00:00:00"/>
    <n v="0"/>
    <n v="228"/>
    <n v="174.18"/>
    <n v="513.09"/>
    <x v="3"/>
    <n v="0"/>
    <n v="0"/>
    <n v="0"/>
    <n v="0"/>
  </r>
  <r>
    <s v="P0078"/>
    <x v="6"/>
    <x v="0"/>
    <s v="S012"/>
    <d v="2022-12-15T00:00:00"/>
    <n v="180"/>
    <n v="225"/>
    <n v="378.95"/>
    <n v="466.91"/>
    <x v="4"/>
    <n v="84043.8"/>
    <n v="15832.800000000007"/>
    <n v="0.8"/>
    <n v="0"/>
  </r>
  <r>
    <s v="P0045"/>
    <x v="3"/>
    <x v="2"/>
    <s v="S020"/>
    <d v="2022-11-04T00:00:00"/>
    <n v="187"/>
    <n v="83"/>
    <n v="84.48"/>
    <n v="298.10000000000002"/>
    <x v="3"/>
    <n v="55744.700000000004"/>
    <n v="39946.94"/>
    <n v="2.2530120481927711"/>
    <n v="0"/>
  </r>
  <r>
    <s v="P0155"/>
    <x v="3"/>
    <x v="1"/>
    <s v="S011"/>
    <d v="2022-10-14T00:00:00"/>
    <n v="161"/>
    <n v="290"/>
    <n v="348.81"/>
    <n v="126.58"/>
    <x v="1"/>
    <n v="20379.38"/>
    <n v="-35779.030000000006"/>
    <n v="0.55517241379310345"/>
    <n v="0"/>
  </r>
  <r>
    <s v="P0073"/>
    <x v="4"/>
    <x v="3"/>
    <s v="S004"/>
    <d v="2024-02-05T00:00:00"/>
    <n v="3"/>
    <n v="245"/>
    <n v="156.9"/>
    <n v="796.22"/>
    <x v="2"/>
    <n v="2388.66"/>
    <n v="1917.96"/>
    <n v="1.2244897959183673E-2"/>
    <n v="0"/>
  </r>
  <r>
    <s v="P0026"/>
    <x v="1"/>
    <x v="0"/>
    <s v="S006"/>
    <d v="2023-12-26T00:00:00"/>
    <n v="144"/>
    <n v="109"/>
    <n v="270.18"/>
    <n v="437.39"/>
    <x v="1"/>
    <n v="62984.159999999996"/>
    <n v="24078.239999999998"/>
    <n v="1.3211009174311927"/>
    <n v="0"/>
  </r>
  <r>
    <s v="P0047"/>
    <x v="5"/>
    <x v="2"/>
    <s v="S001"/>
    <d v="2024-02-01T00:00:00"/>
    <n v="131"/>
    <n v="253"/>
    <n v="178.74"/>
    <n v="629.20000000000005"/>
    <x v="4"/>
    <n v="82425.200000000012"/>
    <n v="59010.26"/>
    <n v="0.51778656126482214"/>
    <n v="0"/>
  </r>
  <r>
    <s v="P0121"/>
    <x v="7"/>
    <x v="3"/>
    <s v="S020"/>
    <d v="2023-01-18T00:00:00"/>
    <n v="170"/>
    <n v="87"/>
    <n v="375.25"/>
    <n v="416.62"/>
    <x v="3"/>
    <n v="70825.399999999994"/>
    <n v="7032.9000000000005"/>
    <n v="1.9540229885057472"/>
    <n v="0"/>
  </r>
  <r>
    <s v="P0056"/>
    <x v="0"/>
    <x v="3"/>
    <s v="S016"/>
    <d v="2023-01-23T00:00:00"/>
    <n v="3"/>
    <n v="71"/>
    <n v="475.39"/>
    <n v="130.22"/>
    <x v="2"/>
    <n v="390.65999999999997"/>
    <n v="-1035.5099999999998"/>
    <n v="4.2253521126760563E-2"/>
    <n v="0"/>
  </r>
  <r>
    <s v="P0094"/>
    <x v="1"/>
    <x v="1"/>
    <s v="S015"/>
    <d v="2023-06-09T00:00:00"/>
    <n v="0"/>
    <n v="29"/>
    <n v="462.68"/>
    <n v="316.72000000000003"/>
    <x v="0"/>
    <n v="0"/>
    <n v="0"/>
    <n v="0"/>
    <n v="0"/>
  </r>
  <r>
    <s v="P0107"/>
    <x v="4"/>
    <x v="3"/>
    <s v="S017"/>
    <d v="2023-10-01T00:00:00"/>
    <n v="70"/>
    <n v="171"/>
    <n v="312.54000000000002"/>
    <n v="324.08"/>
    <x v="2"/>
    <n v="22685.599999999999"/>
    <n v="807.79999999999745"/>
    <n v="0.40935672514619881"/>
    <n v="0"/>
  </r>
  <r>
    <s v="P0063"/>
    <x v="6"/>
    <x v="1"/>
    <s v="S008"/>
    <d v="2024-07-26T00:00:00"/>
    <n v="177"/>
    <n v="176"/>
    <n v="258.17"/>
    <n v="686.85"/>
    <x v="2"/>
    <n v="121572.45"/>
    <n v="75876.36"/>
    <n v="1.0056818181818181"/>
    <n v="0"/>
  </r>
  <r>
    <s v="P0048"/>
    <x v="7"/>
    <x v="0"/>
    <s v="S012"/>
    <d v="2022-10-03T00:00:00"/>
    <n v="188"/>
    <n v="138"/>
    <n v="418.24"/>
    <n v="557.96"/>
    <x v="1"/>
    <n v="104896.48000000001"/>
    <n v="26267.360000000004"/>
    <n v="1.3623188405797102"/>
    <n v="0"/>
  </r>
  <r>
    <s v="P0061"/>
    <x v="4"/>
    <x v="1"/>
    <s v="S010"/>
    <d v="2023-05-15T00:00:00"/>
    <n v="34"/>
    <n v="193"/>
    <n v="357.5"/>
    <n v="292.8"/>
    <x v="0"/>
    <n v="9955.2000000000007"/>
    <n v="-2199.7999999999997"/>
    <n v="0.17616580310880828"/>
    <n v="0"/>
  </r>
  <r>
    <s v="P0081"/>
    <x v="5"/>
    <x v="2"/>
    <s v="S015"/>
    <d v="2023-12-18T00:00:00"/>
    <n v="7"/>
    <n v="185"/>
    <n v="132.6"/>
    <n v="777.42"/>
    <x v="4"/>
    <n v="5441.94"/>
    <n v="4513.74"/>
    <n v="3.783783783783784E-2"/>
    <n v="0"/>
  </r>
  <r>
    <s v="P0026"/>
    <x v="5"/>
    <x v="1"/>
    <s v="S009"/>
    <d v="2022-12-03T00:00:00"/>
    <n v="151"/>
    <n v="217"/>
    <n v="419.41"/>
    <n v="325.08"/>
    <x v="4"/>
    <n v="49087.079999999994"/>
    <n v="-14243.830000000005"/>
    <n v="0.69585253456221197"/>
    <n v="0"/>
  </r>
  <r>
    <s v="P0036"/>
    <x v="5"/>
    <x v="2"/>
    <s v="S002"/>
    <d v="2024-07-20T00:00:00"/>
    <n v="35"/>
    <n v="163"/>
    <n v="243"/>
    <n v="798.76"/>
    <x v="2"/>
    <n v="27956.6"/>
    <n v="19451.599999999999"/>
    <n v="0.21472392638036811"/>
    <n v="0"/>
  </r>
  <r>
    <s v="P0001"/>
    <x v="1"/>
    <x v="1"/>
    <s v="S005"/>
    <d v="2023-04-26T00:00:00"/>
    <n v="177"/>
    <n v="160"/>
    <n v="135.04"/>
    <n v="797.31"/>
    <x v="2"/>
    <n v="141123.87"/>
    <n v="117221.79"/>
    <n v="1.10625"/>
    <n v="0"/>
  </r>
  <r>
    <s v="P0008"/>
    <x v="1"/>
    <x v="3"/>
    <s v="S006"/>
    <d v="2024-06-29T00:00:00"/>
    <n v="122"/>
    <n v="12"/>
    <n v="176.81"/>
    <n v="233.85"/>
    <x v="3"/>
    <n v="28529.7"/>
    <n v="6958.8799999999992"/>
    <n v="10.166666666666666"/>
    <n v="0"/>
  </r>
  <r>
    <s v="P0113"/>
    <x v="0"/>
    <x v="0"/>
    <s v="S007"/>
    <d v="2024-12-17T00:00:00"/>
    <n v="42"/>
    <n v="295"/>
    <n v="170.39"/>
    <n v="318.92"/>
    <x v="0"/>
    <n v="13394.640000000001"/>
    <n v="6238.2600000000011"/>
    <n v="0.14237288135593221"/>
    <n v="0"/>
  </r>
  <r>
    <s v="P0099"/>
    <x v="0"/>
    <x v="2"/>
    <s v="S001"/>
    <d v="2022-04-19T00:00:00"/>
    <n v="26"/>
    <n v="88"/>
    <n v="283.64"/>
    <n v="440.23"/>
    <x v="2"/>
    <n v="11445.98"/>
    <n v="4071.3400000000011"/>
    <n v="0.29545454545454547"/>
    <n v="0"/>
  </r>
  <r>
    <s v="P0180"/>
    <x v="6"/>
    <x v="1"/>
    <s v="S007"/>
    <d v="2022-11-24T00:00:00"/>
    <n v="31"/>
    <n v="41"/>
    <n v="155.47"/>
    <n v="564.87"/>
    <x v="3"/>
    <n v="17510.97"/>
    <n v="12691.4"/>
    <n v="0.75609756097560976"/>
    <n v="0"/>
  </r>
  <r>
    <s v="P0047"/>
    <x v="7"/>
    <x v="1"/>
    <s v="S020"/>
    <d v="2022-11-11T00:00:00"/>
    <n v="77"/>
    <n v="209"/>
    <n v="105.6"/>
    <n v="469.63"/>
    <x v="0"/>
    <n v="36161.51"/>
    <n v="28030.309999999998"/>
    <n v="0.36842105263157893"/>
    <n v="0"/>
  </r>
  <r>
    <s v="P0127"/>
    <x v="8"/>
    <x v="1"/>
    <s v="S012"/>
    <d v="2023-11-30T00:00:00"/>
    <n v="120"/>
    <n v="228"/>
    <n v="105.66"/>
    <n v="778.61"/>
    <x v="4"/>
    <n v="93433.2"/>
    <n v="80754"/>
    <n v="0.52631578947368418"/>
    <n v="0"/>
  </r>
  <r>
    <s v="P0056"/>
    <x v="8"/>
    <x v="3"/>
    <s v="S016"/>
    <d v="2024-02-20T00:00:00"/>
    <n v="145"/>
    <n v="274"/>
    <n v="312.47000000000003"/>
    <n v="606.79"/>
    <x v="3"/>
    <n v="87984.549999999988"/>
    <n v="42676.399999999994"/>
    <n v="0.52919708029197077"/>
    <n v="0"/>
  </r>
  <r>
    <s v="P0014"/>
    <x v="4"/>
    <x v="3"/>
    <s v="S016"/>
    <d v="2022-06-05T00:00:00"/>
    <n v="155"/>
    <n v="278"/>
    <n v="380.64"/>
    <n v="248.43"/>
    <x v="0"/>
    <n v="38506.65"/>
    <n v="-20492.549999999996"/>
    <n v="0.55755395683453235"/>
    <n v="0"/>
  </r>
  <r>
    <s v="P0028"/>
    <x v="5"/>
    <x v="2"/>
    <s v="S011"/>
    <d v="2024-06-05T00:00:00"/>
    <n v="156"/>
    <n v="250"/>
    <n v="194.69"/>
    <n v="173.57"/>
    <x v="3"/>
    <n v="27076.92"/>
    <n v="-3294.7200000000007"/>
    <n v="0.624"/>
    <n v="0"/>
  </r>
  <r>
    <s v="P0078"/>
    <x v="7"/>
    <x v="2"/>
    <s v="S004"/>
    <d v="2024-10-22T00:00:00"/>
    <n v="15"/>
    <n v="207"/>
    <n v="65.59"/>
    <n v="581.88"/>
    <x v="2"/>
    <n v="8728.2000000000007"/>
    <n v="7744.3499999999995"/>
    <n v="7.2463768115942032E-2"/>
    <n v="0"/>
  </r>
  <r>
    <s v="P0130"/>
    <x v="3"/>
    <x v="3"/>
    <s v="S013"/>
    <d v="2024-01-28T00:00:00"/>
    <n v="98"/>
    <n v="139"/>
    <n v="107.25"/>
    <n v="210.92"/>
    <x v="1"/>
    <n v="20670.16"/>
    <n v="10159.659999999998"/>
    <n v="0.70503597122302153"/>
    <n v="0"/>
  </r>
  <r>
    <s v="P0109"/>
    <x v="1"/>
    <x v="2"/>
    <s v="S007"/>
    <d v="2023-12-23T00:00:00"/>
    <n v="46"/>
    <n v="279"/>
    <n v="461.61"/>
    <n v="651.37"/>
    <x v="4"/>
    <n v="29963.02"/>
    <n v="8728.9599999999991"/>
    <n v="0.16487455197132617"/>
    <n v="0"/>
  </r>
  <r>
    <s v="P0154"/>
    <x v="9"/>
    <x v="0"/>
    <s v="S004"/>
    <d v="2024-07-01T00:00:00"/>
    <n v="186"/>
    <n v="33"/>
    <n v="272.08999999999997"/>
    <n v="317.73"/>
    <x v="2"/>
    <n v="59097.780000000006"/>
    <n v="8489.0400000000081"/>
    <n v="5.6363636363636367"/>
    <n v="0"/>
  </r>
  <r>
    <s v="P0014"/>
    <x v="2"/>
    <x v="0"/>
    <s v="S015"/>
    <d v="2024-05-20T00:00:00"/>
    <n v="30"/>
    <n v="17"/>
    <n v="254.11"/>
    <n v="328.83"/>
    <x v="2"/>
    <n v="9864.9"/>
    <n v="2241.599999999999"/>
    <n v="1.7647058823529411"/>
    <n v="0"/>
  </r>
  <r>
    <s v="P0187"/>
    <x v="6"/>
    <x v="3"/>
    <s v="S019"/>
    <d v="2022-01-13T00:00:00"/>
    <n v="3"/>
    <n v="56"/>
    <n v="67.12"/>
    <n v="107.56"/>
    <x v="0"/>
    <n v="322.68"/>
    <n v="121.32"/>
    <n v="5.3571428571428568E-2"/>
    <n v="0"/>
  </r>
  <r>
    <s v="P0056"/>
    <x v="5"/>
    <x v="2"/>
    <s v="S009"/>
    <d v="2023-08-31T00:00:00"/>
    <n v="164"/>
    <n v="111"/>
    <n v="377.89"/>
    <n v="590.71"/>
    <x v="3"/>
    <n v="96876.44"/>
    <n v="34902.48000000001"/>
    <n v="1.4774774774774775"/>
    <n v="0"/>
  </r>
  <r>
    <s v="P0115"/>
    <x v="5"/>
    <x v="1"/>
    <s v="S011"/>
    <d v="2023-05-13T00:00:00"/>
    <n v="16"/>
    <n v="4"/>
    <n v="287.63"/>
    <n v="179.29"/>
    <x v="4"/>
    <n v="2868.64"/>
    <n v="-1733.44"/>
    <n v="4"/>
    <n v="0"/>
  </r>
  <r>
    <s v="P0007"/>
    <x v="5"/>
    <x v="0"/>
    <s v="S008"/>
    <d v="2022-08-26T00:00:00"/>
    <n v="38"/>
    <n v="181"/>
    <n v="140.94"/>
    <n v="641.02"/>
    <x v="2"/>
    <n v="24358.76"/>
    <n v="19003.04"/>
    <n v="0.20994475138121546"/>
    <n v="0"/>
  </r>
  <r>
    <s v="P0003"/>
    <x v="1"/>
    <x v="3"/>
    <s v="S001"/>
    <d v="2024-02-20T00:00:00"/>
    <n v="47"/>
    <n v="12"/>
    <n v="99.53"/>
    <n v="444.31"/>
    <x v="0"/>
    <n v="20882.57"/>
    <n v="16204.659999999998"/>
    <n v="3.9166666666666665"/>
    <n v="0"/>
  </r>
  <r>
    <s v="P0111"/>
    <x v="1"/>
    <x v="2"/>
    <s v="S008"/>
    <d v="2023-08-29T00:00:00"/>
    <n v="173"/>
    <n v="284"/>
    <n v="222.52"/>
    <n v="649"/>
    <x v="4"/>
    <n v="112277"/>
    <n v="73781.040000000008"/>
    <n v="0.60915492957746475"/>
    <n v="0"/>
  </r>
  <r>
    <s v="P0151"/>
    <x v="2"/>
    <x v="3"/>
    <s v="S013"/>
    <d v="2023-10-23T00:00:00"/>
    <n v="175"/>
    <n v="258"/>
    <n v="426.72"/>
    <n v="508.75"/>
    <x v="3"/>
    <n v="89031.25"/>
    <n v="14355.249999999995"/>
    <n v="0.67829457364341084"/>
    <n v="0"/>
  </r>
  <r>
    <s v="P0107"/>
    <x v="3"/>
    <x v="1"/>
    <s v="S004"/>
    <d v="2024-04-28T00:00:00"/>
    <n v="38"/>
    <n v="89"/>
    <n v="439.38"/>
    <n v="157.69999999999999"/>
    <x v="2"/>
    <n v="5992.5999999999995"/>
    <n v="-10703.84"/>
    <n v="0.42696629213483145"/>
    <n v="0"/>
  </r>
  <r>
    <s v="P0018"/>
    <x v="7"/>
    <x v="0"/>
    <s v="S008"/>
    <d v="2024-07-24T00:00:00"/>
    <n v="131"/>
    <n v="103"/>
    <n v="321.27999999999997"/>
    <n v="635.96"/>
    <x v="2"/>
    <n v="83310.760000000009"/>
    <n v="41223.080000000009"/>
    <n v="1.2718446601941749"/>
    <n v="0"/>
  </r>
  <r>
    <s v="P0038"/>
    <x v="5"/>
    <x v="3"/>
    <s v="S003"/>
    <d v="2023-09-20T00:00:00"/>
    <n v="29"/>
    <n v="185"/>
    <n v="377.39"/>
    <n v="148.86000000000001"/>
    <x v="2"/>
    <n v="4316.9400000000005"/>
    <n v="-6627.369999999999"/>
    <n v="0.15675675675675677"/>
    <n v="0"/>
  </r>
  <r>
    <s v="P0115"/>
    <x v="8"/>
    <x v="3"/>
    <s v="S009"/>
    <d v="2022-05-23T00:00:00"/>
    <n v="157"/>
    <n v="249"/>
    <n v="101.82"/>
    <n v="435.09"/>
    <x v="4"/>
    <n v="68309.12999999999"/>
    <n v="52323.39"/>
    <n v="0.63052208835341361"/>
    <n v="0"/>
  </r>
  <r>
    <s v="P0015"/>
    <x v="0"/>
    <x v="3"/>
    <s v="S002"/>
    <d v="2023-12-15T00:00:00"/>
    <n v="21"/>
    <n v="254"/>
    <n v="314.66000000000003"/>
    <n v="220.64"/>
    <x v="4"/>
    <n v="4633.4399999999996"/>
    <n v="-1974.4200000000008"/>
    <n v="8.2677165354330714E-2"/>
    <n v="0"/>
  </r>
  <r>
    <s v="P0192"/>
    <x v="8"/>
    <x v="1"/>
    <s v="S002"/>
    <d v="2023-04-24T00:00:00"/>
    <n v="65"/>
    <n v="75"/>
    <n v="350.13"/>
    <n v="626.63"/>
    <x v="4"/>
    <n v="40730.949999999997"/>
    <n v="17972.5"/>
    <n v="0.8666666666666667"/>
    <n v="0"/>
  </r>
  <r>
    <s v="P0119"/>
    <x v="4"/>
    <x v="3"/>
    <s v="S013"/>
    <d v="2023-07-19T00:00:00"/>
    <n v="107"/>
    <n v="107"/>
    <n v="140.32"/>
    <n v="738.11"/>
    <x v="4"/>
    <n v="78977.77"/>
    <n v="63963.53"/>
    <n v="1"/>
    <n v="0"/>
  </r>
  <r>
    <s v="P0028"/>
    <x v="8"/>
    <x v="1"/>
    <s v="S015"/>
    <d v="2023-04-16T00:00:00"/>
    <n v="11"/>
    <n v="155"/>
    <n v="446.07"/>
    <n v="487.89"/>
    <x v="0"/>
    <n v="5366.79"/>
    <n v="460.01999999999992"/>
    <n v="7.0967741935483872E-2"/>
    <n v="0"/>
  </r>
  <r>
    <s v="P0039"/>
    <x v="4"/>
    <x v="1"/>
    <s v="S012"/>
    <d v="2023-01-19T00:00:00"/>
    <n v="35"/>
    <n v="81"/>
    <n v="137.75"/>
    <n v="469"/>
    <x v="1"/>
    <n v="16415"/>
    <n v="11593.75"/>
    <n v="0.43209876543209874"/>
    <n v="0"/>
  </r>
  <r>
    <s v="P0185"/>
    <x v="9"/>
    <x v="1"/>
    <s v="S004"/>
    <d v="2024-07-14T00:00:00"/>
    <n v="17"/>
    <n v="76"/>
    <n v="191.06"/>
    <n v="634.77"/>
    <x v="0"/>
    <n v="10791.09"/>
    <n v="7543.07"/>
    <n v="0.22368421052631579"/>
    <n v="0"/>
  </r>
  <r>
    <s v="P0017"/>
    <x v="0"/>
    <x v="0"/>
    <s v="S008"/>
    <d v="2023-02-21T00:00:00"/>
    <n v="89"/>
    <n v="257"/>
    <n v="329.25"/>
    <n v="103.56"/>
    <x v="2"/>
    <n v="9216.84"/>
    <n v="-20086.41"/>
    <n v="0.34630350194552528"/>
    <n v="0"/>
  </r>
  <r>
    <s v="P0086"/>
    <x v="8"/>
    <x v="0"/>
    <s v="S009"/>
    <d v="2022-11-04T00:00:00"/>
    <n v="180"/>
    <n v="126"/>
    <n v="337.26"/>
    <n v="742.43"/>
    <x v="0"/>
    <n v="133637.4"/>
    <n v="72930.599999999991"/>
    <n v="1.4285714285714286"/>
    <n v="0"/>
  </r>
  <r>
    <s v="P0126"/>
    <x v="9"/>
    <x v="3"/>
    <s v="S005"/>
    <d v="2023-10-11T00:00:00"/>
    <n v="198"/>
    <n v="281"/>
    <n v="364.72"/>
    <n v="238.21"/>
    <x v="3"/>
    <n v="47165.58"/>
    <n v="-25048.980000000003"/>
    <n v="0.70462633451957291"/>
    <n v="0"/>
  </r>
  <r>
    <s v="P0044"/>
    <x v="6"/>
    <x v="3"/>
    <s v="S020"/>
    <d v="2024-10-21T00:00:00"/>
    <n v="0"/>
    <n v="87"/>
    <n v="100.41"/>
    <n v="788.88"/>
    <x v="4"/>
    <n v="0"/>
    <n v="0"/>
    <n v="0"/>
    <n v="0"/>
  </r>
  <r>
    <s v="P0025"/>
    <x v="7"/>
    <x v="0"/>
    <s v="S018"/>
    <d v="2024-12-03T00:00:00"/>
    <n v="126"/>
    <n v="203"/>
    <n v="432.26"/>
    <n v="615.38"/>
    <x v="3"/>
    <n v="77537.88"/>
    <n v="23073.119999999999"/>
    <n v="0.62068965517241381"/>
    <n v="0"/>
  </r>
  <r>
    <s v="P0145"/>
    <x v="9"/>
    <x v="2"/>
    <s v="S011"/>
    <d v="2024-01-09T00:00:00"/>
    <n v="185"/>
    <n v="15"/>
    <n v="289.77999999999997"/>
    <n v="641.98"/>
    <x v="3"/>
    <n v="118766.3"/>
    <n v="65157.000000000007"/>
    <n v="12.333333333333334"/>
    <n v="0"/>
  </r>
  <r>
    <s v="P0013"/>
    <x v="7"/>
    <x v="0"/>
    <s v="S015"/>
    <d v="2022-05-20T00:00:00"/>
    <n v="89"/>
    <n v="150"/>
    <n v="262.08999999999997"/>
    <n v="559.34"/>
    <x v="2"/>
    <n v="49781.26"/>
    <n v="26455.250000000004"/>
    <n v="0.59333333333333338"/>
    <n v="0"/>
  </r>
  <r>
    <s v="P0025"/>
    <x v="8"/>
    <x v="1"/>
    <s v="S009"/>
    <d v="2024-08-31T00:00:00"/>
    <n v="86"/>
    <n v="253"/>
    <n v="491.49"/>
    <n v="430.16"/>
    <x v="4"/>
    <n v="36993.760000000002"/>
    <n v="-5274.3799999999983"/>
    <n v="0.33992094861660077"/>
    <n v="0"/>
  </r>
  <r>
    <s v="P0068"/>
    <x v="3"/>
    <x v="0"/>
    <s v="S017"/>
    <d v="2024-10-13T00:00:00"/>
    <n v="89"/>
    <n v="187"/>
    <n v="383.17"/>
    <n v="500.14"/>
    <x v="3"/>
    <n v="44512.46"/>
    <n v="10410.329999999998"/>
    <n v="0.47593582887700536"/>
    <n v="0"/>
  </r>
  <r>
    <s v="P0138"/>
    <x v="9"/>
    <x v="1"/>
    <s v="S012"/>
    <d v="2024-08-10T00:00:00"/>
    <n v="133"/>
    <n v="31"/>
    <n v="103.1"/>
    <n v="132.47999999999999"/>
    <x v="2"/>
    <n v="17619.84"/>
    <n v="3907.5399999999995"/>
    <n v="4.290322580645161"/>
    <n v="0"/>
  </r>
  <r>
    <s v="P0067"/>
    <x v="0"/>
    <x v="3"/>
    <s v="S007"/>
    <d v="2024-06-22T00:00:00"/>
    <n v="69"/>
    <n v="270"/>
    <n v="390.44"/>
    <n v="536.77"/>
    <x v="4"/>
    <n v="37037.129999999997"/>
    <n v="10096.769999999999"/>
    <n v="0.25555555555555554"/>
    <n v="0"/>
  </r>
  <r>
    <s v="P0109"/>
    <x v="8"/>
    <x v="2"/>
    <s v="S010"/>
    <d v="2022-03-13T00:00:00"/>
    <n v="43"/>
    <n v="4"/>
    <n v="92.86"/>
    <n v="538.27"/>
    <x v="1"/>
    <n v="23145.61"/>
    <n v="19152.629999999997"/>
    <n v="10.75"/>
    <n v="0"/>
  </r>
  <r>
    <s v="P0146"/>
    <x v="5"/>
    <x v="3"/>
    <s v="S010"/>
    <d v="2022-04-17T00:00:00"/>
    <n v="199"/>
    <n v="168"/>
    <n v="62.36"/>
    <n v="723.84"/>
    <x v="2"/>
    <n v="144044.16"/>
    <n v="131634.51999999999"/>
    <n v="1.1845238095238095"/>
    <n v="0"/>
  </r>
  <r>
    <s v="P0111"/>
    <x v="1"/>
    <x v="1"/>
    <s v="S013"/>
    <d v="2024-12-01T00:00:00"/>
    <n v="151"/>
    <n v="180"/>
    <n v="231.63"/>
    <n v="453.96"/>
    <x v="0"/>
    <n v="68547.959999999992"/>
    <n v="33571.829999999994"/>
    <n v="0.83888888888888891"/>
    <n v="0"/>
  </r>
  <r>
    <s v="P0111"/>
    <x v="9"/>
    <x v="1"/>
    <s v="S019"/>
    <d v="2024-06-01T00:00:00"/>
    <n v="85"/>
    <n v="177"/>
    <n v="497.11"/>
    <n v="154"/>
    <x v="4"/>
    <n v="13090"/>
    <n v="-29164.350000000002"/>
    <n v="0.48022598870056499"/>
    <n v="0"/>
  </r>
  <r>
    <s v="P0034"/>
    <x v="0"/>
    <x v="1"/>
    <s v="S011"/>
    <d v="2022-05-19T00:00:00"/>
    <n v="18"/>
    <n v="142"/>
    <n v="128.69999999999999"/>
    <n v="314.33999999999997"/>
    <x v="3"/>
    <n v="5658.12"/>
    <n v="3341.5199999999995"/>
    <n v="0.12676056338028169"/>
    <n v="0"/>
  </r>
  <r>
    <s v="P0111"/>
    <x v="6"/>
    <x v="2"/>
    <s v="S013"/>
    <d v="2023-09-07T00:00:00"/>
    <n v="100"/>
    <n v="247"/>
    <n v="352.69"/>
    <n v="558.94000000000005"/>
    <x v="3"/>
    <n v="55894.000000000007"/>
    <n v="20625.000000000007"/>
    <n v="0.40485829959514169"/>
    <n v="0"/>
  </r>
  <r>
    <s v="P0008"/>
    <x v="5"/>
    <x v="0"/>
    <s v="S008"/>
    <d v="2024-05-12T00:00:00"/>
    <n v="145"/>
    <n v="126"/>
    <n v="128.03"/>
    <n v="267.48"/>
    <x v="0"/>
    <n v="38784.600000000006"/>
    <n v="20220.250000000004"/>
    <n v="1.150793650793650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60815-8C7B-4220-B124-5EF4993EDB69}" name="PivotTable1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Category">
  <location ref="A3:C7" firstHeaderRow="0" firstDataRow="1" firstDataCol="1"/>
  <pivotFields count="14"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 Revenue" fld="10" baseField="2" baseItem="0"/>
    <dataField name=" Profit" fld="11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42963-DBDB-429F-B1CF-7AE70118F72E}" name="PivotTable2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Season">
  <location ref="A3:C8" firstHeaderRow="0" firstDataRow="1" firstDataCol="1"/>
  <pivotFields count="14">
    <pivotField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 UnitsSold" fld="5" baseField="9" baseItem="0"/>
    <dataField name="Revenue  " fld="10" baseField="9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EF3756-6C04-455C-B7E0-22A2E8B0992E}" name="PivotTable3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3:D13" firstHeaderRow="0" firstDataRow="1" firstDataCol="1"/>
  <pivotFields count="14">
    <pivotField showAll="0"/>
    <pivotField axis="axisRow" showAll="0">
      <items count="11">
        <item x="1"/>
        <item x="5"/>
        <item x="2"/>
        <item x="4"/>
        <item x="0"/>
        <item x="9"/>
        <item x="8"/>
        <item x="7"/>
        <item x="3"/>
        <item x="6"/>
        <item t="default"/>
      </items>
    </pivotField>
    <pivotField showAll="0"/>
    <pivotField showAll="0"/>
    <pivotField numFmtId="14"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Sold" fld="5" baseField="0" baseItem="0"/>
    <dataField name="Average of InventoryTurnoverRate" fld="12" subtotal="average" baseField="1" baseItem="0"/>
    <dataField name="Sum of UnitsInStock" fld="6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EE394-9754-43E5-9401-66CE15A75FE0}" name="PivotTable4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B13" firstHeaderRow="1" firstDataRow="1" firstDataCol="1"/>
  <pivotFields count="14">
    <pivotField showAll="0"/>
    <pivotField axis="axisRow" showAll="0">
      <items count="11">
        <item x="1"/>
        <item x="5"/>
        <item x="2"/>
        <item x="4"/>
        <item x="0"/>
        <item x="9"/>
        <item x="8"/>
        <item x="7"/>
        <item x="3"/>
        <item x="6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um of StockoutFlag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EA6548-46D3-4BDB-89FF-6677B09D96DA}" name="PivotTable5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ProductName">
  <location ref="A3:B8" firstHeaderRow="1" firstDataRow="1" firstDataCol="1"/>
  <pivotFields count="14">
    <pivotField showAll="0"/>
    <pivotField axis="axisRow" showAll="0" sortType="descending">
      <items count="11">
        <item x="1"/>
        <item x="5"/>
        <item x="2"/>
        <item x="4"/>
        <item x="0"/>
        <item h="1" x="9"/>
        <item h="1" x="8"/>
        <item h="1" x="7"/>
        <item h="1"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4"/>
    </i>
    <i>
      <x v="1"/>
    </i>
    <i>
      <x v="2"/>
    </i>
    <i>
      <x v="3"/>
    </i>
  </rowItems>
  <colItems count="1">
    <i/>
  </colItems>
  <dataFields count="1">
    <dataField name="UnitsSold  " fld="5" baseField="1" baseItem="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5D9E-2C78-4E19-B352-DA11C37E8D0E}">
  <dimension ref="A1:N1001"/>
  <sheetViews>
    <sheetView tabSelected="1" workbookViewId="0">
      <selection activeCell="B9" sqref="B9"/>
    </sheetView>
  </sheetViews>
  <sheetFormatPr defaultRowHeight="14.6" x14ac:dyDescent="0.4"/>
  <cols>
    <col min="1" max="1" width="9.07421875" bestFit="1" customWidth="1"/>
    <col min="2" max="2" width="19.765625" bestFit="1" customWidth="1"/>
    <col min="3" max="3" width="12.4609375" bestFit="1" customWidth="1"/>
    <col min="4" max="4" width="7" bestFit="1" customWidth="1"/>
    <col min="5" max="5" width="10.07421875" bestFit="1" customWidth="1"/>
    <col min="6" max="6" width="8.69140625" bestFit="1" customWidth="1"/>
    <col min="7" max="7" width="11.23046875" bestFit="1" customWidth="1"/>
    <col min="8" max="8" width="8" bestFit="1" customWidth="1"/>
    <col min="9" max="9" width="8.3828125" bestFit="1" customWidth="1"/>
    <col min="10" max="10" width="7.765625" bestFit="1" customWidth="1"/>
    <col min="13" max="13" width="20.23046875" bestFit="1" customWidth="1"/>
    <col min="14" max="14" width="11.3828125" bestFit="1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247</v>
      </c>
      <c r="L1" t="s">
        <v>248</v>
      </c>
      <c r="M1" t="s">
        <v>249</v>
      </c>
      <c r="N1" t="s">
        <v>250</v>
      </c>
    </row>
    <row r="2" spans="1:14" x14ac:dyDescent="0.4">
      <c r="A2" t="s">
        <v>10</v>
      </c>
      <c r="B2" t="s">
        <v>11</v>
      </c>
      <c r="C2" t="s">
        <v>12</v>
      </c>
      <c r="D2" t="s">
        <v>13</v>
      </c>
      <c r="E2" s="1">
        <v>45653</v>
      </c>
      <c r="F2">
        <v>16</v>
      </c>
      <c r="G2">
        <v>94</v>
      </c>
      <c r="H2">
        <v>351.39</v>
      </c>
      <c r="I2">
        <v>607.35</v>
      </c>
      <c r="J2" t="s">
        <v>14</v>
      </c>
      <c r="K2">
        <f>F2 * I2</f>
        <v>9717.6</v>
      </c>
      <c r="L2">
        <f>(I2 - H2) * F2</f>
        <v>4095.3600000000006</v>
      </c>
      <c r="M2">
        <f>IF(G2=0, 0, F2/G2)</f>
        <v>0.1702127659574468</v>
      </c>
      <c r="N2">
        <f>IF(G2=0, O71, 0)</f>
        <v>0</v>
      </c>
    </row>
    <row r="3" spans="1:14" x14ac:dyDescent="0.4">
      <c r="A3" t="s">
        <v>15</v>
      </c>
      <c r="B3" t="s">
        <v>16</v>
      </c>
      <c r="C3" t="s">
        <v>17</v>
      </c>
      <c r="D3" t="s">
        <v>18</v>
      </c>
      <c r="E3" s="1">
        <v>45568</v>
      </c>
      <c r="F3">
        <v>159</v>
      </c>
      <c r="G3">
        <v>253</v>
      </c>
      <c r="H3">
        <v>231.07</v>
      </c>
      <c r="I3">
        <v>453.75</v>
      </c>
      <c r="J3" t="s">
        <v>19</v>
      </c>
      <c r="K3">
        <f t="shared" ref="K3:K66" si="0">F3 * I3</f>
        <v>72146.25</v>
      </c>
      <c r="L3">
        <f t="shared" ref="L3:L66" si="1">(I3 - H3) * F3</f>
        <v>35406.120000000003</v>
      </c>
      <c r="M3">
        <f t="shared" ref="M3:M66" si="2">IF(G3=0, 0, F3/G3)</f>
        <v>0.62845849802371545</v>
      </c>
      <c r="N3">
        <f t="shared" ref="N3:N66" si="3">IF(G3=0, 1, 0)</f>
        <v>0</v>
      </c>
    </row>
    <row r="4" spans="1:14" x14ac:dyDescent="0.4">
      <c r="A4" t="s">
        <v>20</v>
      </c>
      <c r="B4" t="s">
        <v>21</v>
      </c>
      <c r="C4" t="s">
        <v>12</v>
      </c>
      <c r="D4" t="s">
        <v>22</v>
      </c>
      <c r="E4" s="1">
        <v>45424</v>
      </c>
      <c r="F4">
        <v>84</v>
      </c>
      <c r="G4">
        <v>29</v>
      </c>
      <c r="H4">
        <v>184.1</v>
      </c>
      <c r="I4">
        <v>575.98</v>
      </c>
      <c r="J4" t="s">
        <v>23</v>
      </c>
      <c r="K4">
        <f t="shared" si="0"/>
        <v>48382.32</v>
      </c>
      <c r="L4">
        <f t="shared" si="1"/>
        <v>32917.919999999998</v>
      </c>
      <c r="M4">
        <f t="shared" si="2"/>
        <v>2.896551724137931</v>
      </c>
      <c r="N4">
        <f t="shared" si="3"/>
        <v>0</v>
      </c>
    </row>
    <row r="5" spans="1:14" x14ac:dyDescent="0.4">
      <c r="A5" t="s">
        <v>24</v>
      </c>
      <c r="B5" t="s">
        <v>25</v>
      </c>
      <c r="C5" t="s">
        <v>17</v>
      </c>
      <c r="D5" t="s">
        <v>26</v>
      </c>
      <c r="E5" s="1">
        <v>45052</v>
      </c>
      <c r="F5">
        <v>167</v>
      </c>
      <c r="G5">
        <v>248</v>
      </c>
      <c r="H5">
        <v>331.47</v>
      </c>
      <c r="I5">
        <v>242.01</v>
      </c>
      <c r="J5" t="s">
        <v>23</v>
      </c>
      <c r="K5">
        <f t="shared" si="0"/>
        <v>40415.67</v>
      </c>
      <c r="L5">
        <f t="shared" si="1"/>
        <v>-14939.820000000007</v>
      </c>
      <c r="M5">
        <f t="shared" si="2"/>
        <v>0.67338709677419351</v>
      </c>
      <c r="N5">
        <f t="shared" si="3"/>
        <v>0</v>
      </c>
    </row>
    <row r="6" spans="1:14" x14ac:dyDescent="0.4">
      <c r="A6" t="s">
        <v>27</v>
      </c>
      <c r="B6" t="s">
        <v>28</v>
      </c>
      <c r="C6" t="s">
        <v>29</v>
      </c>
      <c r="D6" t="s">
        <v>13</v>
      </c>
      <c r="E6" s="1">
        <v>45634</v>
      </c>
      <c r="F6">
        <v>150</v>
      </c>
      <c r="G6">
        <v>32</v>
      </c>
      <c r="H6">
        <v>119.69</v>
      </c>
      <c r="I6">
        <v>621.94000000000005</v>
      </c>
      <c r="J6" t="s">
        <v>30</v>
      </c>
      <c r="K6">
        <f t="shared" si="0"/>
        <v>93291.000000000015</v>
      </c>
      <c r="L6">
        <f t="shared" si="1"/>
        <v>75337.500000000015</v>
      </c>
      <c r="M6">
        <f t="shared" si="2"/>
        <v>4.6875</v>
      </c>
      <c r="N6">
        <f t="shared" si="3"/>
        <v>0</v>
      </c>
    </row>
    <row r="7" spans="1:14" x14ac:dyDescent="0.4">
      <c r="A7" t="s">
        <v>31</v>
      </c>
      <c r="B7" t="s">
        <v>32</v>
      </c>
      <c r="C7" t="s">
        <v>12</v>
      </c>
      <c r="D7" t="s">
        <v>33</v>
      </c>
      <c r="E7" s="1">
        <v>45125</v>
      </c>
      <c r="F7">
        <v>55</v>
      </c>
      <c r="G7">
        <v>228</v>
      </c>
      <c r="H7">
        <v>217.85</v>
      </c>
      <c r="I7">
        <v>796.93</v>
      </c>
      <c r="J7" t="s">
        <v>34</v>
      </c>
      <c r="K7">
        <f t="shared" si="0"/>
        <v>43831.149999999994</v>
      </c>
      <c r="L7">
        <f t="shared" si="1"/>
        <v>31849.399999999994</v>
      </c>
      <c r="M7">
        <f t="shared" si="2"/>
        <v>0.2412280701754386</v>
      </c>
      <c r="N7">
        <f t="shared" si="3"/>
        <v>0</v>
      </c>
    </row>
    <row r="8" spans="1:14" x14ac:dyDescent="0.4">
      <c r="A8" t="s">
        <v>35</v>
      </c>
      <c r="B8" t="s">
        <v>36</v>
      </c>
      <c r="C8" t="s">
        <v>12</v>
      </c>
      <c r="D8" t="s">
        <v>37</v>
      </c>
      <c r="E8" s="1">
        <v>44777</v>
      </c>
      <c r="F8">
        <v>133</v>
      </c>
      <c r="G8">
        <v>11</v>
      </c>
      <c r="H8">
        <v>144.07</v>
      </c>
      <c r="I8">
        <v>565.96</v>
      </c>
      <c r="J8" t="s">
        <v>14</v>
      </c>
      <c r="K8">
        <f t="shared" si="0"/>
        <v>75272.680000000008</v>
      </c>
      <c r="L8">
        <f t="shared" si="1"/>
        <v>56111.37</v>
      </c>
      <c r="M8">
        <f t="shared" si="2"/>
        <v>12.090909090909092</v>
      </c>
      <c r="N8">
        <f t="shared" si="3"/>
        <v>0</v>
      </c>
    </row>
    <row r="9" spans="1:14" x14ac:dyDescent="0.4">
      <c r="A9" t="s">
        <v>38</v>
      </c>
      <c r="B9" t="s">
        <v>39</v>
      </c>
      <c r="C9" t="s">
        <v>17</v>
      </c>
      <c r="D9" t="s">
        <v>40</v>
      </c>
      <c r="E9" s="1">
        <v>45120</v>
      </c>
      <c r="F9">
        <v>85</v>
      </c>
      <c r="G9">
        <v>117</v>
      </c>
      <c r="H9">
        <v>363.11</v>
      </c>
      <c r="I9">
        <v>445.44</v>
      </c>
      <c r="J9" t="s">
        <v>30</v>
      </c>
      <c r="K9">
        <f t="shared" si="0"/>
        <v>37862.400000000001</v>
      </c>
      <c r="L9">
        <f t="shared" si="1"/>
        <v>6998.0499999999984</v>
      </c>
      <c r="M9">
        <f t="shared" si="2"/>
        <v>0.72649572649572647</v>
      </c>
      <c r="N9">
        <f t="shared" si="3"/>
        <v>0</v>
      </c>
    </row>
    <row r="10" spans="1:14" x14ac:dyDescent="0.4">
      <c r="A10" t="s">
        <v>10</v>
      </c>
      <c r="B10" t="s">
        <v>25</v>
      </c>
      <c r="C10" t="s">
        <v>12</v>
      </c>
      <c r="D10" t="s">
        <v>41</v>
      </c>
      <c r="E10" s="1">
        <v>44720</v>
      </c>
      <c r="F10">
        <v>177</v>
      </c>
      <c r="G10">
        <v>154</v>
      </c>
      <c r="H10">
        <v>474.89</v>
      </c>
      <c r="I10">
        <v>746.22</v>
      </c>
      <c r="J10" t="s">
        <v>19</v>
      </c>
      <c r="K10">
        <f t="shared" si="0"/>
        <v>132080.94</v>
      </c>
      <c r="L10">
        <f t="shared" si="1"/>
        <v>48025.410000000011</v>
      </c>
      <c r="M10">
        <f t="shared" si="2"/>
        <v>1.1493506493506493</v>
      </c>
      <c r="N10">
        <f t="shared" si="3"/>
        <v>0</v>
      </c>
    </row>
    <row r="11" spans="1:14" x14ac:dyDescent="0.4">
      <c r="A11" t="s">
        <v>42</v>
      </c>
      <c r="B11" t="s">
        <v>43</v>
      </c>
      <c r="C11" t="s">
        <v>17</v>
      </c>
      <c r="D11" t="s">
        <v>33</v>
      </c>
      <c r="E11" s="1">
        <v>45050</v>
      </c>
      <c r="F11">
        <v>101</v>
      </c>
      <c r="G11">
        <v>245</v>
      </c>
      <c r="H11">
        <v>497.98</v>
      </c>
      <c r="I11">
        <v>111.1</v>
      </c>
      <c r="J11" t="s">
        <v>19</v>
      </c>
      <c r="K11">
        <f t="shared" si="0"/>
        <v>11221.099999999999</v>
      </c>
      <c r="L11">
        <f t="shared" si="1"/>
        <v>-39074.879999999997</v>
      </c>
      <c r="M11">
        <f t="shared" si="2"/>
        <v>0.41224489795918368</v>
      </c>
      <c r="N11">
        <f t="shared" si="3"/>
        <v>0</v>
      </c>
    </row>
    <row r="12" spans="1:14" x14ac:dyDescent="0.4">
      <c r="A12" t="s">
        <v>44</v>
      </c>
      <c r="B12" t="s">
        <v>11</v>
      </c>
      <c r="C12" t="s">
        <v>17</v>
      </c>
      <c r="D12" t="s">
        <v>45</v>
      </c>
      <c r="E12" s="1">
        <v>45247</v>
      </c>
      <c r="F12">
        <v>164</v>
      </c>
      <c r="G12">
        <v>246</v>
      </c>
      <c r="H12">
        <v>252.62</v>
      </c>
      <c r="I12">
        <v>610.95000000000005</v>
      </c>
      <c r="J12" t="s">
        <v>19</v>
      </c>
      <c r="K12">
        <f t="shared" si="0"/>
        <v>100195.8</v>
      </c>
      <c r="L12">
        <f t="shared" si="1"/>
        <v>58766.12000000001</v>
      </c>
      <c r="M12">
        <f t="shared" si="2"/>
        <v>0.66666666666666663</v>
      </c>
      <c r="N12">
        <f t="shared" si="3"/>
        <v>0</v>
      </c>
    </row>
    <row r="13" spans="1:14" x14ac:dyDescent="0.4">
      <c r="A13" t="s">
        <v>46</v>
      </c>
      <c r="B13" t="s">
        <v>36</v>
      </c>
      <c r="C13" t="s">
        <v>17</v>
      </c>
      <c r="D13" t="s">
        <v>47</v>
      </c>
      <c r="E13" s="1">
        <v>45355</v>
      </c>
      <c r="F13">
        <v>191</v>
      </c>
      <c r="G13">
        <v>28</v>
      </c>
      <c r="H13">
        <v>163.63999999999999</v>
      </c>
      <c r="I13">
        <v>722.12</v>
      </c>
      <c r="J13" t="s">
        <v>30</v>
      </c>
      <c r="K13">
        <f t="shared" si="0"/>
        <v>137924.92000000001</v>
      </c>
      <c r="L13">
        <f t="shared" si="1"/>
        <v>106669.68000000001</v>
      </c>
      <c r="M13">
        <f t="shared" si="2"/>
        <v>6.8214285714285712</v>
      </c>
      <c r="N13">
        <f t="shared" si="3"/>
        <v>0</v>
      </c>
    </row>
    <row r="14" spans="1:14" x14ac:dyDescent="0.4">
      <c r="A14" t="s">
        <v>48</v>
      </c>
      <c r="B14" t="s">
        <v>32</v>
      </c>
      <c r="C14" t="s">
        <v>17</v>
      </c>
      <c r="D14" t="s">
        <v>26</v>
      </c>
      <c r="E14" s="1">
        <v>44566</v>
      </c>
      <c r="F14">
        <v>53</v>
      </c>
      <c r="G14">
        <v>160</v>
      </c>
      <c r="H14">
        <v>249.27</v>
      </c>
      <c r="I14">
        <v>143.16999999999999</v>
      </c>
      <c r="J14" t="s">
        <v>14</v>
      </c>
      <c r="K14">
        <f t="shared" si="0"/>
        <v>7588.0099999999993</v>
      </c>
      <c r="L14">
        <f t="shared" si="1"/>
        <v>-5623.3000000000011</v>
      </c>
      <c r="M14">
        <f t="shared" si="2"/>
        <v>0.33124999999999999</v>
      </c>
      <c r="N14">
        <f t="shared" si="3"/>
        <v>0</v>
      </c>
    </row>
    <row r="15" spans="1:14" x14ac:dyDescent="0.4">
      <c r="A15" t="s">
        <v>49</v>
      </c>
      <c r="B15" t="s">
        <v>28</v>
      </c>
      <c r="C15" t="s">
        <v>29</v>
      </c>
      <c r="D15" t="s">
        <v>37</v>
      </c>
      <c r="E15" s="1">
        <v>44922</v>
      </c>
      <c r="F15">
        <v>199</v>
      </c>
      <c r="G15">
        <v>234</v>
      </c>
      <c r="H15">
        <v>431.27</v>
      </c>
      <c r="I15">
        <v>415.04</v>
      </c>
      <c r="J15" t="s">
        <v>23</v>
      </c>
      <c r="K15">
        <f t="shared" si="0"/>
        <v>82592.960000000006</v>
      </c>
      <c r="L15">
        <f t="shared" si="1"/>
        <v>-3229.7699999999923</v>
      </c>
      <c r="M15">
        <f t="shared" si="2"/>
        <v>0.8504273504273504</v>
      </c>
      <c r="N15">
        <f t="shared" si="3"/>
        <v>0</v>
      </c>
    </row>
    <row r="16" spans="1:14" x14ac:dyDescent="0.4">
      <c r="A16" t="s">
        <v>50</v>
      </c>
      <c r="B16" t="s">
        <v>16</v>
      </c>
      <c r="C16" t="s">
        <v>17</v>
      </c>
      <c r="D16" t="s">
        <v>33</v>
      </c>
      <c r="E16" s="1">
        <v>45020</v>
      </c>
      <c r="F16">
        <v>176</v>
      </c>
      <c r="G16">
        <v>189</v>
      </c>
      <c r="H16">
        <v>142.69999999999999</v>
      </c>
      <c r="I16">
        <v>243.3</v>
      </c>
      <c r="J16" t="s">
        <v>34</v>
      </c>
      <c r="K16">
        <f t="shared" si="0"/>
        <v>42820.800000000003</v>
      </c>
      <c r="L16">
        <f t="shared" si="1"/>
        <v>17705.600000000006</v>
      </c>
      <c r="M16">
        <f t="shared" si="2"/>
        <v>0.93121693121693117</v>
      </c>
      <c r="N16">
        <f t="shared" si="3"/>
        <v>0</v>
      </c>
    </row>
    <row r="17" spans="1:14" x14ac:dyDescent="0.4">
      <c r="A17" t="s">
        <v>51</v>
      </c>
      <c r="B17" t="s">
        <v>32</v>
      </c>
      <c r="C17" t="s">
        <v>52</v>
      </c>
      <c r="D17" t="s">
        <v>53</v>
      </c>
      <c r="E17" s="1">
        <v>44809</v>
      </c>
      <c r="F17">
        <v>114</v>
      </c>
      <c r="G17">
        <v>116</v>
      </c>
      <c r="H17">
        <v>478.44</v>
      </c>
      <c r="I17">
        <v>496.56</v>
      </c>
      <c r="J17" t="s">
        <v>23</v>
      </c>
      <c r="K17">
        <f t="shared" si="0"/>
        <v>56607.840000000004</v>
      </c>
      <c r="L17">
        <f t="shared" si="1"/>
        <v>2065.6800000000003</v>
      </c>
      <c r="M17">
        <f t="shared" si="2"/>
        <v>0.98275862068965514</v>
      </c>
      <c r="N17">
        <f t="shared" si="3"/>
        <v>0</v>
      </c>
    </row>
    <row r="18" spans="1:14" x14ac:dyDescent="0.4">
      <c r="A18" t="s">
        <v>54</v>
      </c>
      <c r="B18" t="s">
        <v>36</v>
      </c>
      <c r="C18" t="s">
        <v>12</v>
      </c>
      <c r="D18" t="s">
        <v>13</v>
      </c>
      <c r="E18" s="1">
        <v>45507</v>
      </c>
      <c r="F18">
        <v>138</v>
      </c>
      <c r="G18">
        <v>270</v>
      </c>
      <c r="H18">
        <v>203.84</v>
      </c>
      <c r="I18">
        <v>554.67999999999995</v>
      </c>
      <c r="J18" t="s">
        <v>14</v>
      </c>
      <c r="K18">
        <f t="shared" si="0"/>
        <v>76545.84</v>
      </c>
      <c r="L18">
        <f t="shared" si="1"/>
        <v>48415.919999999991</v>
      </c>
      <c r="M18">
        <f t="shared" si="2"/>
        <v>0.51111111111111107</v>
      </c>
      <c r="N18">
        <f t="shared" si="3"/>
        <v>0</v>
      </c>
    </row>
    <row r="19" spans="1:14" x14ac:dyDescent="0.4">
      <c r="A19" t="s">
        <v>55</v>
      </c>
      <c r="B19" t="s">
        <v>32</v>
      </c>
      <c r="C19" t="s">
        <v>52</v>
      </c>
      <c r="D19" t="s">
        <v>41</v>
      </c>
      <c r="E19" s="1">
        <v>44983</v>
      </c>
      <c r="F19">
        <v>87</v>
      </c>
      <c r="G19">
        <v>257</v>
      </c>
      <c r="H19">
        <v>493.61</v>
      </c>
      <c r="I19">
        <v>311.83999999999997</v>
      </c>
      <c r="J19" t="s">
        <v>23</v>
      </c>
      <c r="K19">
        <f t="shared" si="0"/>
        <v>27130.079999999998</v>
      </c>
      <c r="L19">
        <f t="shared" si="1"/>
        <v>-15813.990000000003</v>
      </c>
      <c r="M19">
        <f t="shared" si="2"/>
        <v>0.33852140077821014</v>
      </c>
      <c r="N19">
        <f t="shared" si="3"/>
        <v>0</v>
      </c>
    </row>
    <row r="20" spans="1:14" x14ac:dyDescent="0.4">
      <c r="A20" t="s">
        <v>56</v>
      </c>
      <c r="B20" t="s">
        <v>36</v>
      </c>
      <c r="C20" t="s">
        <v>29</v>
      </c>
      <c r="D20" t="s">
        <v>22</v>
      </c>
      <c r="E20" s="1">
        <v>44576</v>
      </c>
      <c r="F20">
        <v>48</v>
      </c>
      <c r="G20">
        <v>0</v>
      </c>
      <c r="H20">
        <v>427.37</v>
      </c>
      <c r="I20">
        <v>421.99</v>
      </c>
      <c r="J20" t="s">
        <v>30</v>
      </c>
      <c r="K20">
        <f t="shared" si="0"/>
        <v>20255.52</v>
      </c>
      <c r="L20">
        <f t="shared" si="1"/>
        <v>-258.23999999999978</v>
      </c>
      <c r="M20">
        <f t="shared" si="2"/>
        <v>0</v>
      </c>
      <c r="N20">
        <f t="shared" si="3"/>
        <v>1</v>
      </c>
    </row>
    <row r="21" spans="1:14" x14ac:dyDescent="0.4">
      <c r="A21" t="s">
        <v>57</v>
      </c>
      <c r="B21" t="s">
        <v>36</v>
      </c>
      <c r="C21" t="s">
        <v>52</v>
      </c>
      <c r="D21" t="s">
        <v>45</v>
      </c>
      <c r="E21" s="1">
        <v>45297</v>
      </c>
      <c r="F21">
        <v>148</v>
      </c>
      <c r="G21">
        <v>171</v>
      </c>
      <c r="H21">
        <v>413.86</v>
      </c>
      <c r="I21">
        <v>295.54000000000002</v>
      </c>
      <c r="J21" t="s">
        <v>19</v>
      </c>
      <c r="K21">
        <f t="shared" si="0"/>
        <v>43739.920000000006</v>
      </c>
      <c r="L21">
        <f t="shared" si="1"/>
        <v>-17511.36</v>
      </c>
      <c r="M21">
        <f t="shared" si="2"/>
        <v>0.86549707602339176</v>
      </c>
      <c r="N21">
        <f t="shared" si="3"/>
        <v>0</v>
      </c>
    </row>
    <row r="22" spans="1:14" x14ac:dyDescent="0.4">
      <c r="A22" t="s">
        <v>46</v>
      </c>
      <c r="B22" t="s">
        <v>58</v>
      </c>
      <c r="C22" t="s">
        <v>12</v>
      </c>
      <c r="D22" t="s">
        <v>45</v>
      </c>
      <c r="E22" s="1">
        <v>44838</v>
      </c>
      <c r="F22">
        <v>114</v>
      </c>
      <c r="G22">
        <v>273</v>
      </c>
      <c r="H22">
        <v>193.06</v>
      </c>
      <c r="I22">
        <v>358.57</v>
      </c>
      <c r="J22" t="s">
        <v>14</v>
      </c>
      <c r="K22">
        <f t="shared" si="0"/>
        <v>40876.979999999996</v>
      </c>
      <c r="L22">
        <f t="shared" si="1"/>
        <v>18868.14</v>
      </c>
      <c r="M22">
        <f t="shared" si="2"/>
        <v>0.4175824175824176</v>
      </c>
      <c r="N22">
        <f t="shared" si="3"/>
        <v>0</v>
      </c>
    </row>
    <row r="23" spans="1:14" x14ac:dyDescent="0.4">
      <c r="A23" t="s">
        <v>59</v>
      </c>
      <c r="B23" t="s">
        <v>39</v>
      </c>
      <c r="C23" t="s">
        <v>52</v>
      </c>
      <c r="D23" t="s">
        <v>53</v>
      </c>
      <c r="E23" s="1">
        <v>45014</v>
      </c>
      <c r="F23">
        <v>193</v>
      </c>
      <c r="G23">
        <v>258</v>
      </c>
      <c r="H23">
        <v>53.95</v>
      </c>
      <c r="I23">
        <v>211.68</v>
      </c>
      <c r="J23" t="s">
        <v>14</v>
      </c>
      <c r="K23">
        <f t="shared" si="0"/>
        <v>40854.239999999998</v>
      </c>
      <c r="L23">
        <f t="shared" si="1"/>
        <v>30441.890000000003</v>
      </c>
      <c r="M23">
        <f t="shared" si="2"/>
        <v>0.74806201550387597</v>
      </c>
      <c r="N23">
        <f t="shared" si="3"/>
        <v>0</v>
      </c>
    </row>
    <row r="24" spans="1:14" x14ac:dyDescent="0.4">
      <c r="A24" t="s">
        <v>60</v>
      </c>
      <c r="B24" t="s">
        <v>11</v>
      </c>
      <c r="C24" t="s">
        <v>29</v>
      </c>
      <c r="D24" t="s">
        <v>45</v>
      </c>
      <c r="E24" s="1">
        <v>45159</v>
      </c>
      <c r="F24">
        <v>62</v>
      </c>
      <c r="G24">
        <v>134</v>
      </c>
      <c r="H24">
        <v>221.96</v>
      </c>
      <c r="I24">
        <v>719.89</v>
      </c>
      <c r="J24" t="s">
        <v>23</v>
      </c>
      <c r="K24">
        <f t="shared" si="0"/>
        <v>44633.18</v>
      </c>
      <c r="L24">
        <f t="shared" si="1"/>
        <v>30871.659999999996</v>
      </c>
      <c r="M24">
        <f t="shared" si="2"/>
        <v>0.46268656716417911</v>
      </c>
      <c r="N24">
        <f t="shared" si="3"/>
        <v>0</v>
      </c>
    </row>
    <row r="25" spans="1:14" x14ac:dyDescent="0.4">
      <c r="A25" t="s">
        <v>61</v>
      </c>
      <c r="B25" t="s">
        <v>58</v>
      </c>
      <c r="C25" t="s">
        <v>17</v>
      </c>
      <c r="D25" t="s">
        <v>62</v>
      </c>
      <c r="E25" s="1">
        <v>45007</v>
      </c>
      <c r="F25">
        <v>103</v>
      </c>
      <c r="G25">
        <v>170</v>
      </c>
      <c r="H25">
        <v>185.81</v>
      </c>
      <c r="I25">
        <v>107.01</v>
      </c>
      <c r="J25" t="s">
        <v>30</v>
      </c>
      <c r="K25">
        <f t="shared" si="0"/>
        <v>11022.03</v>
      </c>
      <c r="L25">
        <f t="shared" si="1"/>
        <v>-8116.4</v>
      </c>
      <c r="M25">
        <f t="shared" si="2"/>
        <v>0.60588235294117643</v>
      </c>
      <c r="N25">
        <f t="shared" si="3"/>
        <v>0</v>
      </c>
    </row>
    <row r="26" spans="1:14" x14ac:dyDescent="0.4">
      <c r="A26" t="s">
        <v>63</v>
      </c>
      <c r="B26" t="s">
        <v>28</v>
      </c>
      <c r="C26" t="s">
        <v>52</v>
      </c>
      <c r="D26" t="s">
        <v>47</v>
      </c>
      <c r="E26" s="1">
        <v>44771</v>
      </c>
      <c r="F26">
        <v>82</v>
      </c>
      <c r="G26">
        <v>209</v>
      </c>
      <c r="H26">
        <v>66.83</v>
      </c>
      <c r="I26">
        <v>717.69</v>
      </c>
      <c r="J26" t="s">
        <v>23</v>
      </c>
      <c r="K26">
        <f t="shared" si="0"/>
        <v>58850.58</v>
      </c>
      <c r="L26">
        <f t="shared" si="1"/>
        <v>53370.520000000004</v>
      </c>
      <c r="M26">
        <f t="shared" si="2"/>
        <v>0.3923444976076555</v>
      </c>
      <c r="N26">
        <f t="shared" si="3"/>
        <v>0</v>
      </c>
    </row>
    <row r="27" spans="1:14" x14ac:dyDescent="0.4">
      <c r="A27" t="s">
        <v>64</v>
      </c>
      <c r="B27" t="s">
        <v>58</v>
      </c>
      <c r="C27" t="s">
        <v>29</v>
      </c>
      <c r="D27" t="s">
        <v>65</v>
      </c>
      <c r="E27" s="1">
        <v>45275</v>
      </c>
      <c r="F27">
        <v>102</v>
      </c>
      <c r="G27">
        <v>235</v>
      </c>
      <c r="H27">
        <v>277.41000000000003</v>
      </c>
      <c r="I27">
        <v>500.18</v>
      </c>
      <c r="J27" t="s">
        <v>23</v>
      </c>
      <c r="K27">
        <f t="shared" si="0"/>
        <v>51018.36</v>
      </c>
      <c r="L27">
        <f t="shared" si="1"/>
        <v>22722.539999999997</v>
      </c>
      <c r="M27">
        <f t="shared" si="2"/>
        <v>0.43404255319148938</v>
      </c>
      <c r="N27">
        <f t="shared" si="3"/>
        <v>0</v>
      </c>
    </row>
    <row r="28" spans="1:14" x14ac:dyDescent="0.4">
      <c r="A28" t="s">
        <v>38</v>
      </c>
      <c r="B28" t="s">
        <v>21</v>
      </c>
      <c r="C28" t="s">
        <v>29</v>
      </c>
      <c r="D28" t="s">
        <v>66</v>
      </c>
      <c r="E28" s="1">
        <v>44863</v>
      </c>
      <c r="F28">
        <v>155</v>
      </c>
      <c r="G28">
        <v>185</v>
      </c>
      <c r="H28">
        <v>231.36</v>
      </c>
      <c r="I28">
        <v>332.16</v>
      </c>
      <c r="J28" t="s">
        <v>14</v>
      </c>
      <c r="K28">
        <f t="shared" si="0"/>
        <v>51484.800000000003</v>
      </c>
      <c r="L28">
        <f t="shared" si="1"/>
        <v>15624.000000000002</v>
      </c>
      <c r="M28">
        <f t="shared" si="2"/>
        <v>0.83783783783783783</v>
      </c>
      <c r="N28">
        <f t="shared" si="3"/>
        <v>0</v>
      </c>
    </row>
    <row r="29" spans="1:14" x14ac:dyDescent="0.4">
      <c r="A29" t="s">
        <v>67</v>
      </c>
      <c r="B29" t="s">
        <v>21</v>
      </c>
      <c r="C29" t="s">
        <v>12</v>
      </c>
      <c r="D29" t="s">
        <v>22</v>
      </c>
      <c r="E29" s="1">
        <v>44564</v>
      </c>
      <c r="F29">
        <v>16</v>
      </c>
      <c r="G29">
        <v>94</v>
      </c>
      <c r="H29">
        <v>335.55</v>
      </c>
      <c r="I29">
        <v>606.14</v>
      </c>
      <c r="J29" t="s">
        <v>23</v>
      </c>
      <c r="K29">
        <f t="shared" si="0"/>
        <v>9698.24</v>
      </c>
      <c r="L29">
        <f t="shared" si="1"/>
        <v>4329.4399999999996</v>
      </c>
      <c r="M29">
        <f t="shared" si="2"/>
        <v>0.1702127659574468</v>
      </c>
      <c r="N29">
        <f t="shared" si="3"/>
        <v>0</v>
      </c>
    </row>
    <row r="30" spans="1:14" x14ac:dyDescent="0.4">
      <c r="A30" t="s">
        <v>68</v>
      </c>
      <c r="B30" t="s">
        <v>11</v>
      </c>
      <c r="C30" t="s">
        <v>12</v>
      </c>
      <c r="D30" t="s">
        <v>69</v>
      </c>
      <c r="E30" s="1">
        <v>45551</v>
      </c>
      <c r="F30">
        <v>5</v>
      </c>
      <c r="G30">
        <v>10</v>
      </c>
      <c r="H30">
        <v>329.53</v>
      </c>
      <c r="I30">
        <v>455.43</v>
      </c>
      <c r="J30" t="s">
        <v>19</v>
      </c>
      <c r="K30">
        <f t="shared" si="0"/>
        <v>2277.15</v>
      </c>
      <c r="L30">
        <f t="shared" si="1"/>
        <v>629.50000000000023</v>
      </c>
      <c r="M30">
        <f t="shared" si="2"/>
        <v>0.5</v>
      </c>
      <c r="N30">
        <f t="shared" si="3"/>
        <v>0</v>
      </c>
    </row>
    <row r="31" spans="1:14" x14ac:dyDescent="0.4">
      <c r="A31" t="s">
        <v>70</v>
      </c>
      <c r="B31" t="s">
        <v>32</v>
      </c>
      <c r="C31" t="s">
        <v>52</v>
      </c>
      <c r="D31" t="s">
        <v>41</v>
      </c>
      <c r="E31" s="1">
        <v>45081</v>
      </c>
      <c r="F31">
        <v>146</v>
      </c>
      <c r="G31">
        <v>67</v>
      </c>
      <c r="H31">
        <v>104.34</v>
      </c>
      <c r="I31">
        <v>449.38</v>
      </c>
      <c r="J31" t="s">
        <v>23</v>
      </c>
      <c r="K31">
        <f t="shared" si="0"/>
        <v>65609.48</v>
      </c>
      <c r="L31">
        <f t="shared" si="1"/>
        <v>50375.839999999997</v>
      </c>
      <c r="M31">
        <f t="shared" si="2"/>
        <v>2.1791044776119404</v>
      </c>
      <c r="N31">
        <f t="shared" si="3"/>
        <v>0</v>
      </c>
    </row>
    <row r="32" spans="1:14" x14ac:dyDescent="0.4">
      <c r="A32" t="s">
        <v>71</v>
      </c>
      <c r="B32" t="s">
        <v>39</v>
      </c>
      <c r="C32" t="s">
        <v>17</v>
      </c>
      <c r="D32" t="s">
        <v>72</v>
      </c>
      <c r="E32" s="1">
        <v>45054</v>
      </c>
      <c r="F32">
        <v>183</v>
      </c>
      <c r="G32">
        <v>209</v>
      </c>
      <c r="H32">
        <v>489.63</v>
      </c>
      <c r="I32">
        <v>177.1</v>
      </c>
      <c r="J32" t="s">
        <v>19</v>
      </c>
      <c r="K32">
        <f t="shared" si="0"/>
        <v>32409.3</v>
      </c>
      <c r="L32">
        <f t="shared" si="1"/>
        <v>-57192.99</v>
      </c>
      <c r="M32">
        <f t="shared" si="2"/>
        <v>0.87559808612440193</v>
      </c>
      <c r="N32">
        <f t="shared" si="3"/>
        <v>0</v>
      </c>
    </row>
    <row r="33" spans="1:14" x14ac:dyDescent="0.4">
      <c r="A33" t="s">
        <v>73</v>
      </c>
      <c r="B33" t="s">
        <v>11</v>
      </c>
      <c r="C33" t="s">
        <v>29</v>
      </c>
      <c r="D33" t="s">
        <v>40</v>
      </c>
      <c r="E33" s="1">
        <v>45181</v>
      </c>
      <c r="F33">
        <v>27</v>
      </c>
      <c r="G33">
        <v>195</v>
      </c>
      <c r="H33">
        <v>134.12</v>
      </c>
      <c r="I33">
        <v>372.66</v>
      </c>
      <c r="J33" t="s">
        <v>14</v>
      </c>
      <c r="K33">
        <f t="shared" si="0"/>
        <v>10061.820000000002</v>
      </c>
      <c r="L33">
        <f t="shared" si="1"/>
        <v>6440.5800000000008</v>
      </c>
      <c r="M33">
        <f t="shared" si="2"/>
        <v>0.13846153846153847</v>
      </c>
      <c r="N33">
        <f t="shared" si="3"/>
        <v>0</v>
      </c>
    </row>
    <row r="34" spans="1:14" x14ac:dyDescent="0.4">
      <c r="A34" t="s">
        <v>74</v>
      </c>
      <c r="B34" t="s">
        <v>36</v>
      </c>
      <c r="C34" t="s">
        <v>52</v>
      </c>
      <c r="D34" t="s">
        <v>75</v>
      </c>
      <c r="E34" s="1">
        <v>44892</v>
      </c>
      <c r="F34">
        <v>193</v>
      </c>
      <c r="G34">
        <v>97</v>
      </c>
      <c r="H34">
        <v>250.37</v>
      </c>
      <c r="I34">
        <v>268.75</v>
      </c>
      <c r="J34" t="s">
        <v>30</v>
      </c>
      <c r="K34">
        <f t="shared" si="0"/>
        <v>51868.75</v>
      </c>
      <c r="L34">
        <f t="shared" si="1"/>
        <v>3547.3399999999992</v>
      </c>
      <c r="M34">
        <f t="shared" si="2"/>
        <v>1.9896907216494846</v>
      </c>
      <c r="N34">
        <f t="shared" si="3"/>
        <v>0</v>
      </c>
    </row>
    <row r="35" spans="1:14" x14ac:dyDescent="0.4">
      <c r="A35" t="s">
        <v>76</v>
      </c>
      <c r="B35" t="s">
        <v>43</v>
      </c>
      <c r="C35" t="s">
        <v>29</v>
      </c>
      <c r="D35" t="s">
        <v>26</v>
      </c>
      <c r="E35" s="1">
        <v>44894</v>
      </c>
      <c r="F35">
        <v>37</v>
      </c>
      <c r="G35">
        <v>92</v>
      </c>
      <c r="H35">
        <v>269.64999999999998</v>
      </c>
      <c r="I35">
        <v>110.99</v>
      </c>
      <c r="J35" t="s">
        <v>19</v>
      </c>
      <c r="K35">
        <f t="shared" si="0"/>
        <v>4106.63</v>
      </c>
      <c r="L35">
        <f t="shared" si="1"/>
        <v>-5870.4199999999992</v>
      </c>
      <c r="M35">
        <f t="shared" si="2"/>
        <v>0.40217391304347827</v>
      </c>
      <c r="N35">
        <f t="shared" si="3"/>
        <v>0</v>
      </c>
    </row>
    <row r="36" spans="1:14" x14ac:dyDescent="0.4">
      <c r="A36" t="s">
        <v>64</v>
      </c>
      <c r="B36" t="s">
        <v>39</v>
      </c>
      <c r="C36" t="s">
        <v>29</v>
      </c>
      <c r="D36" t="s">
        <v>47</v>
      </c>
      <c r="E36" s="1">
        <v>44611</v>
      </c>
      <c r="F36">
        <v>118</v>
      </c>
      <c r="G36">
        <v>21</v>
      </c>
      <c r="H36">
        <v>415.88</v>
      </c>
      <c r="I36">
        <v>352.07</v>
      </c>
      <c r="J36" t="s">
        <v>30</v>
      </c>
      <c r="K36">
        <f t="shared" si="0"/>
        <v>41544.26</v>
      </c>
      <c r="L36">
        <f t="shared" si="1"/>
        <v>-7529.58</v>
      </c>
      <c r="M36">
        <f t="shared" si="2"/>
        <v>5.6190476190476186</v>
      </c>
      <c r="N36">
        <f t="shared" si="3"/>
        <v>0</v>
      </c>
    </row>
    <row r="37" spans="1:14" x14ac:dyDescent="0.4">
      <c r="A37" t="s">
        <v>24</v>
      </c>
      <c r="B37" t="s">
        <v>39</v>
      </c>
      <c r="C37" t="s">
        <v>17</v>
      </c>
      <c r="D37" t="s">
        <v>33</v>
      </c>
      <c r="E37" s="1">
        <v>45424</v>
      </c>
      <c r="F37">
        <v>36</v>
      </c>
      <c r="G37">
        <v>171</v>
      </c>
      <c r="H37">
        <v>94.65</v>
      </c>
      <c r="I37">
        <v>162.88</v>
      </c>
      <c r="J37" t="s">
        <v>30</v>
      </c>
      <c r="K37">
        <f t="shared" si="0"/>
        <v>5863.68</v>
      </c>
      <c r="L37">
        <f t="shared" si="1"/>
        <v>2456.2799999999997</v>
      </c>
      <c r="M37">
        <f t="shared" si="2"/>
        <v>0.21052631578947367</v>
      </c>
      <c r="N37">
        <f t="shared" si="3"/>
        <v>0</v>
      </c>
    </row>
    <row r="38" spans="1:14" x14ac:dyDescent="0.4">
      <c r="A38" t="s">
        <v>77</v>
      </c>
      <c r="B38" t="s">
        <v>36</v>
      </c>
      <c r="C38" t="s">
        <v>17</v>
      </c>
      <c r="D38" t="s">
        <v>26</v>
      </c>
      <c r="E38" s="1">
        <v>44833</v>
      </c>
      <c r="F38">
        <v>114</v>
      </c>
      <c r="G38">
        <v>133</v>
      </c>
      <c r="H38">
        <v>242.89</v>
      </c>
      <c r="I38">
        <v>279.77999999999997</v>
      </c>
      <c r="J38" t="s">
        <v>19</v>
      </c>
      <c r="K38">
        <f t="shared" si="0"/>
        <v>31894.92</v>
      </c>
      <c r="L38">
        <f t="shared" si="1"/>
        <v>4205.4599999999982</v>
      </c>
      <c r="M38">
        <f t="shared" si="2"/>
        <v>0.8571428571428571</v>
      </c>
      <c r="N38">
        <f t="shared" si="3"/>
        <v>0</v>
      </c>
    </row>
    <row r="39" spans="1:14" x14ac:dyDescent="0.4">
      <c r="A39" t="s">
        <v>77</v>
      </c>
      <c r="B39" t="s">
        <v>36</v>
      </c>
      <c r="C39" t="s">
        <v>52</v>
      </c>
      <c r="D39" t="s">
        <v>53</v>
      </c>
      <c r="E39" s="1">
        <v>45141</v>
      </c>
      <c r="F39">
        <v>67</v>
      </c>
      <c r="G39">
        <v>24</v>
      </c>
      <c r="H39">
        <v>332.83</v>
      </c>
      <c r="I39">
        <v>164.76</v>
      </c>
      <c r="J39" t="s">
        <v>14</v>
      </c>
      <c r="K39">
        <f t="shared" si="0"/>
        <v>11038.92</v>
      </c>
      <c r="L39">
        <f t="shared" si="1"/>
        <v>-11260.689999999999</v>
      </c>
      <c r="M39">
        <f t="shared" si="2"/>
        <v>2.7916666666666665</v>
      </c>
      <c r="N39">
        <f t="shared" si="3"/>
        <v>0</v>
      </c>
    </row>
    <row r="40" spans="1:14" x14ac:dyDescent="0.4">
      <c r="A40" t="s">
        <v>78</v>
      </c>
      <c r="B40" t="s">
        <v>16</v>
      </c>
      <c r="C40" t="s">
        <v>17</v>
      </c>
      <c r="D40" t="s">
        <v>33</v>
      </c>
      <c r="E40" s="1">
        <v>45121</v>
      </c>
      <c r="F40">
        <v>176</v>
      </c>
      <c r="G40">
        <v>184</v>
      </c>
      <c r="H40">
        <v>146.82</v>
      </c>
      <c r="I40">
        <v>170.66</v>
      </c>
      <c r="J40" t="s">
        <v>34</v>
      </c>
      <c r="K40">
        <f t="shared" si="0"/>
        <v>30036.16</v>
      </c>
      <c r="L40">
        <f t="shared" si="1"/>
        <v>4195.84</v>
      </c>
      <c r="M40">
        <f t="shared" si="2"/>
        <v>0.95652173913043481</v>
      </c>
      <c r="N40">
        <f t="shared" si="3"/>
        <v>0</v>
      </c>
    </row>
    <row r="41" spans="1:14" x14ac:dyDescent="0.4">
      <c r="A41" t="s">
        <v>77</v>
      </c>
      <c r="B41" t="s">
        <v>11</v>
      </c>
      <c r="C41" t="s">
        <v>17</v>
      </c>
      <c r="D41" t="s">
        <v>26</v>
      </c>
      <c r="E41" s="1">
        <v>45257</v>
      </c>
      <c r="F41">
        <v>42</v>
      </c>
      <c r="G41">
        <v>84</v>
      </c>
      <c r="H41">
        <v>332.36</v>
      </c>
      <c r="I41">
        <v>239.31</v>
      </c>
      <c r="J41" t="s">
        <v>30</v>
      </c>
      <c r="K41">
        <f t="shared" si="0"/>
        <v>10051.02</v>
      </c>
      <c r="L41">
        <f t="shared" si="1"/>
        <v>-3908.1000000000004</v>
      </c>
      <c r="M41">
        <f t="shared" si="2"/>
        <v>0.5</v>
      </c>
      <c r="N41">
        <f t="shared" si="3"/>
        <v>0</v>
      </c>
    </row>
    <row r="42" spans="1:14" x14ac:dyDescent="0.4">
      <c r="A42" t="s">
        <v>79</v>
      </c>
      <c r="B42" t="s">
        <v>36</v>
      </c>
      <c r="C42" t="s">
        <v>52</v>
      </c>
      <c r="D42" t="s">
        <v>18</v>
      </c>
      <c r="E42" s="1">
        <v>45007</v>
      </c>
      <c r="F42">
        <v>163</v>
      </c>
      <c r="G42">
        <v>54</v>
      </c>
      <c r="H42">
        <v>465.65</v>
      </c>
      <c r="I42">
        <v>799.89</v>
      </c>
      <c r="J42" t="s">
        <v>30</v>
      </c>
      <c r="K42">
        <f t="shared" si="0"/>
        <v>130382.06999999999</v>
      </c>
      <c r="L42">
        <f t="shared" si="1"/>
        <v>54481.120000000003</v>
      </c>
      <c r="M42">
        <f t="shared" si="2"/>
        <v>3.0185185185185186</v>
      </c>
      <c r="N42">
        <f t="shared" si="3"/>
        <v>0</v>
      </c>
    </row>
    <row r="43" spans="1:14" x14ac:dyDescent="0.4">
      <c r="A43" t="s">
        <v>80</v>
      </c>
      <c r="B43" t="s">
        <v>21</v>
      </c>
      <c r="C43" t="s">
        <v>17</v>
      </c>
      <c r="D43" t="s">
        <v>18</v>
      </c>
      <c r="E43" s="1">
        <v>45578</v>
      </c>
      <c r="F43">
        <v>57</v>
      </c>
      <c r="G43">
        <v>0</v>
      </c>
      <c r="H43">
        <v>498.88</v>
      </c>
      <c r="I43">
        <v>101.53</v>
      </c>
      <c r="J43" t="s">
        <v>14</v>
      </c>
      <c r="K43">
        <f t="shared" si="0"/>
        <v>5787.21</v>
      </c>
      <c r="L43">
        <f t="shared" si="1"/>
        <v>-22648.95</v>
      </c>
      <c r="M43">
        <f t="shared" si="2"/>
        <v>0</v>
      </c>
      <c r="N43">
        <f t="shared" si="3"/>
        <v>1</v>
      </c>
    </row>
    <row r="44" spans="1:14" x14ac:dyDescent="0.4">
      <c r="A44" t="s">
        <v>81</v>
      </c>
      <c r="B44" t="s">
        <v>28</v>
      </c>
      <c r="C44" t="s">
        <v>12</v>
      </c>
      <c r="D44" t="s">
        <v>72</v>
      </c>
      <c r="E44" s="1">
        <v>44918</v>
      </c>
      <c r="F44">
        <v>12</v>
      </c>
      <c r="G44">
        <v>143</v>
      </c>
      <c r="H44">
        <v>64.599999999999994</v>
      </c>
      <c r="I44">
        <v>547.07000000000005</v>
      </c>
      <c r="J44" t="s">
        <v>14</v>
      </c>
      <c r="K44">
        <f t="shared" si="0"/>
        <v>6564.84</v>
      </c>
      <c r="L44">
        <f t="shared" si="1"/>
        <v>5789.64</v>
      </c>
      <c r="M44">
        <f t="shared" si="2"/>
        <v>8.3916083916083919E-2</v>
      </c>
      <c r="N44">
        <f t="shared" si="3"/>
        <v>0</v>
      </c>
    </row>
    <row r="45" spans="1:14" x14ac:dyDescent="0.4">
      <c r="A45" t="s">
        <v>82</v>
      </c>
      <c r="B45" t="s">
        <v>43</v>
      </c>
      <c r="C45" t="s">
        <v>29</v>
      </c>
      <c r="D45" t="s">
        <v>75</v>
      </c>
      <c r="E45" s="1">
        <v>44835</v>
      </c>
      <c r="F45">
        <v>51</v>
      </c>
      <c r="G45">
        <v>166</v>
      </c>
      <c r="H45">
        <v>156.01</v>
      </c>
      <c r="I45">
        <v>198.87</v>
      </c>
      <c r="J45" t="s">
        <v>23</v>
      </c>
      <c r="K45">
        <f t="shared" si="0"/>
        <v>10142.370000000001</v>
      </c>
      <c r="L45">
        <f t="shared" si="1"/>
        <v>2185.8600000000006</v>
      </c>
      <c r="M45">
        <f t="shared" si="2"/>
        <v>0.30722891566265059</v>
      </c>
      <c r="N45">
        <f t="shared" si="3"/>
        <v>0</v>
      </c>
    </row>
    <row r="46" spans="1:14" x14ac:dyDescent="0.4">
      <c r="A46" t="s">
        <v>54</v>
      </c>
      <c r="B46" t="s">
        <v>11</v>
      </c>
      <c r="C46" t="s">
        <v>29</v>
      </c>
      <c r="D46" t="s">
        <v>62</v>
      </c>
      <c r="E46" s="1">
        <v>45604</v>
      </c>
      <c r="F46">
        <v>57</v>
      </c>
      <c r="G46">
        <v>223</v>
      </c>
      <c r="H46">
        <v>189.64</v>
      </c>
      <c r="I46">
        <v>744.44</v>
      </c>
      <c r="J46" t="s">
        <v>14</v>
      </c>
      <c r="K46">
        <f t="shared" si="0"/>
        <v>42433.08</v>
      </c>
      <c r="L46">
        <f t="shared" si="1"/>
        <v>31623.600000000002</v>
      </c>
      <c r="M46">
        <f t="shared" si="2"/>
        <v>0.2556053811659193</v>
      </c>
      <c r="N46">
        <f t="shared" si="3"/>
        <v>0</v>
      </c>
    </row>
    <row r="47" spans="1:14" x14ac:dyDescent="0.4">
      <c r="A47" t="s">
        <v>79</v>
      </c>
      <c r="B47" t="s">
        <v>25</v>
      </c>
      <c r="C47" t="s">
        <v>29</v>
      </c>
      <c r="D47" t="s">
        <v>18</v>
      </c>
      <c r="E47" s="1">
        <v>44872</v>
      </c>
      <c r="F47">
        <v>31</v>
      </c>
      <c r="G47">
        <v>219</v>
      </c>
      <c r="H47">
        <v>229.61</v>
      </c>
      <c r="I47">
        <v>165.54</v>
      </c>
      <c r="J47" t="s">
        <v>30</v>
      </c>
      <c r="K47">
        <f t="shared" si="0"/>
        <v>5131.74</v>
      </c>
      <c r="L47">
        <f t="shared" si="1"/>
        <v>-1986.1700000000008</v>
      </c>
      <c r="M47">
        <f t="shared" si="2"/>
        <v>0.14155251141552511</v>
      </c>
      <c r="N47">
        <f t="shared" si="3"/>
        <v>0</v>
      </c>
    </row>
    <row r="48" spans="1:14" x14ac:dyDescent="0.4">
      <c r="A48" t="s">
        <v>83</v>
      </c>
      <c r="B48" t="s">
        <v>21</v>
      </c>
      <c r="C48" t="s">
        <v>29</v>
      </c>
      <c r="D48" t="s">
        <v>69</v>
      </c>
      <c r="E48" s="1">
        <v>45431</v>
      </c>
      <c r="F48">
        <v>104</v>
      </c>
      <c r="G48">
        <v>178</v>
      </c>
      <c r="H48">
        <v>159.02000000000001</v>
      </c>
      <c r="I48">
        <v>768.54</v>
      </c>
      <c r="J48" t="s">
        <v>19</v>
      </c>
      <c r="K48">
        <f t="shared" si="0"/>
        <v>79928.160000000003</v>
      </c>
      <c r="L48">
        <f t="shared" si="1"/>
        <v>63390.080000000002</v>
      </c>
      <c r="M48">
        <f t="shared" si="2"/>
        <v>0.5842696629213483</v>
      </c>
      <c r="N48">
        <f t="shared" si="3"/>
        <v>0</v>
      </c>
    </row>
    <row r="49" spans="1:14" x14ac:dyDescent="0.4">
      <c r="A49" t="s">
        <v>38</v>
      </c>
      <c r="B49" t="s">
        <v>32</v>
      </c>
      <c r="C49" t="s">
        <v>52</v>
      </c>
      <c r="D49" t="s">
        <v>69</v>
      </c>
      <c r="E49" s="1">
        <v>45447</v>
      </c>
      <c r="F49">
        <v>187</v>
      </c>
      <c r="G49">
        <v>118</v>
      </c>
      <c r="H49">
        <v>141.57</v>
      </c>
      <c r="I49">
        <v>527.65</v>
      </c>
      <c r="J49" t="s">
        <v>34</v>
      </c>
      <c r="K49">
        <f t="shared" si="0"/>
        <v>98670.55</v>
      </c>
      <c r="L49">
        <f t="shared" si="1"/>
        <v>72196.959999999992</v>
      </c>
      <c r="M49">
        <f t="shared" si="2"/>
        <v>1.5847457627118644</v>
      </c>
      <c r="N49">
        <f t="shared" si="3"/>
        <v>0</v>
      </c>
    </row>
    <row r="50" spans="1:14" x14ac:dyDescent="0.4">
      <c r="A50" t="s">
        <v>84</v>
      </c>
      <c r="B50" t="s">
        <v>36</v>
      </c>
      <c r="C50" t="s">
        <v>29</v>
      </c>
      <c r="D50" t="s">
        <v>41</v>
      </c>
      <c r="E50" s="1">
        <v>44715</v>
      </c>
      <c r="F50">
        <v>82</v>
      </c>
      <c r="G50">
        <v>264</v>
      </c>
      <c r="H50">
        <v>479.55</v>
      </c>
      <c r="I50">
        <v>100.89</v>
      </c>
      <c r="J50" t="s">
        <v>23</v>
      </c>
      <c r="K50">
        <f t="shared" si="0"/>
        <v>8272.98</v>
      </c>
      <c r="L50">
        <f t="shared" si="1"/>
        <v>-31050.120000000003</v>
      </c>
      <c r="M50">
        <f t="shared" si="2"/>
        <v>0.31060606060606061</v>
      </c>
      <c r="N50">
        <f t="shared" si="3"/>
        <v>0</v>
      </c>
    </row>
    <row r="51" spans="1:14" x14ac:dyDescent="0.4">
      <c r="A51" t="s">
        <v>85</v>
      </c>
      <c r="B51" t="s">
        <v>25</v>
      </c>
      <c r="C51" t="s">
        <v>29</v>
      </c>
      <c r="D51" t="s">
        <v>33</v>
      </c>
      <c r="E51" s="1">
        <v>45181</v>
      </c>
      <c r="F51">
        <v>185</v>
      </c>
      <c r="G51">
        <v>149</v>
      </c>
      <c r="H51">
        <v>463.33</v>
      </c>
      <c r="I51">
        <v>725.81</v>
      </c>
      <c r="J51" t="s">
        <v>19</v>
      </c>
      <c r="K51">
        <f t="shared" si="0"/>
        <v>134274.84999999998</v>
      </c>
      <c r="L51">
        <f t="shared" si="1"/>
        <v>48558.799999999996</v>
      </c>
      <c r="M51">
        <f t="shared" si="2"/>
        <v>1.2416107382550337</v>
      </c>
      <c r="N51">
        <f t="shared" si="3"/>
        <v>0</v>
      </c>
    </row>
    <row r="52" spans="1:14" x14ac:dyDescent="0.4">
      <c r="A52" t="s">
        <v>86</v>
      </c>
      <c r="B52" t="s">
        <v>36</v>
      </c>
      <c r="C52" t="s">
        <v>29</v>
      </c>
      <c r="D52" t="s">
        <v>72</v>
      </c>
      <c r="E52" s="1">
        <v>45444</v>
      </c>
      <c r="F52">
        <v>98</v>
      </c>
      <c r="G52">
        <v>214</v>
      </c>
      <c r="H52">
        <v>71.150000000000006</v>
      </c>
      <c r="I52">
        <v>465.2</v>
      </c>
      <c r="J52" t="s">
        <v>34</v>
      </c>
      <c r="K52">
        <f t="shared" si="0"/>
        <v>45589.599999999999</v>
      </c>
      <c r="L52">
        <f t="shared" si="1"/>
        <v>38616.899999999994</v>
      </c>
      <c r="M52">
        <f t="shared" si="2"/>
        <v>0.45794392523364486</v>
      </c>
      <c r="N52">
        <f t="shared" si="3"/>
        <v>0</v>
      </c>
    </row>
    <row r="53" spans="1:14" x14ac:dyDescent="0.4">
      <c r="A53" t="s">
        <v>87</v>
      </c>
      <c r="B53" t="s">
        <v>39</v>
      </c>
      <c r="C53" t="s">
        <v>29</v>
      </c>
      <c r="D53" t="s">
        <v>69</v>
      </c>
      <c r="E53" s="1">
        <v>45358</v>
      </c>
      <c r="F53">
        <v>103</v>
      </c>
      <c r="G53">
        <v>196</v>
      </c>
      <c r="H53">
        <v>202.47</v>
      </c>
      <c r="I53">
        <v>283.87</v>
      </c>
      <c r="J53" t="s">
        <v>34</v>
      </c>
      <c r="K53">
        <f t="shared" si="0"/>
        <v>29238.61</v>
      </c>
      <c r="L53">
        <f t="shared" si="1"/>
        <v>8384.2000000000007</v>
      </c>
      <c r="M53">
        <f t="shared" si="2"/>
        <v>0.52551020408163263</v>
      </c>
      <c r="N53">
        <f t="shared" si="3"/>
        <v>0</v>
      </c>
    </row>
    <row r="54" spans="1:14" x14ac:dyDescent="0.4">
      <c r="A54" t="s">
        <v>71</v>
      </c>
      <c r="B54" t="s">
        <v>21</v>
      </c>
      <c r="C54" t="s">
        <v>12</v>
      </c>
      <c r="D54" t="s">
        <v>13</v>
      </c>
      <c r="E54" s="1">
        <v>44686</v>
      </c>
      <c r="F54">
        <v>183</v>
      </c>
      <c r="G54">
        <v>41</v>
      </c>
      <c r="H54">
        <v>232.32</v>
      </c>
      <c r="I54">
        <v>637.1</v>
      </c>
      <c r="J54" t="s">
        <v>34</v>
      </c>
      <c r="K54">
        <f t="shared" si="0"/>
        <v>116589.3</v>
      </c>
      <c r="L54">
        <f t="shared" si="1"/>
        <v>74074.740000000005</v>
      </c>
      <c r="M54">
        <f t="shared" si="2"/>
        <v>4.4634146341463419</v>
      </c>
      <c r="N54">
        <f t="shared" si="3"/>
        <v>0</v>
      </c>
    </row>
    <row r="55" spans="1:14" x14ac:dyDescent="0.4">
      <c r="A55" t="s">
        <v>88</v>
      </c>
      <c r="B55" t="s">
        <v>39</v>
      </c>
      <c r="C55" t="s">
        <v>29</v>
      </c>
      <c r="D55" t="s">
        <v>53</v>
      </c>
      <c r="E55" s="1">
        <v>45180</v>
      </c>
      <c r="F55">
        <v>27</v>
      </c>
      <c r="G55">
        <v>52</v>
      </c>
      <c r="H55">
        <v>157.56</v>
      </c>
      <c r="I55">
        <v>748.67</v>
      </c>
      <c r="J55" t="s">
        <v>19</v>
      </c>
      <c r="K55">
        <f t="shared" si="0"/>
        <v>20214.09</v>
      </c>
      <c r="L55">
        <f t="shared" si="1"/>
        <v>15959.969999999998</v>
      </c>
      <c r="M55">
        <f t="shared" si="2"/>
        <v>0.51923076923076927</v>
      </c>
      <c r="N55">
        <f t="shared" si="3"/>
        <v>0</v>
      </c>
    </row>
    <row r="56" spans="1:14" x14ac:dyDescent="0.4">
      <c r="A56" t="s">
        <v>89</v>
      </c>
      <c r="B56" t="s">
        <v>16</v>
      </c>
      <c r="C56" t="s">
        <v>12</v>
      </c>
      <c r="D56" t="s">
        <v>13</v>
      </c>
      <c r="E56" s="1">
        <v>44806</v>
      </c>
      <c r="F56">
        <v>128</v>
      </c>
      <c r="G56">
        <v>250</v>
      </c>
      <c r="H56">
        <v>332.99</v>
      </c>
      <c r="I56">
        <v>438.58</v>
      </c>
      <c r="J56" t="s">
        <v>23</v>
      </c>
      <c r="K56">
        <f t="shared" si="0"/>
        <v>56138.239999999998</v>
      </c>
      <c r="L56">
        <f t="shared" si="1"/>
        <v>13515.519999999997</v>
      </c>
      <c r="M56">
        <f t="shared" si="2"/>
        <v>0.51200000000000001</v>
      </c>
      <c r="N56">
        <f t="shared" si="3"/>
        <v>0</v>
      </c>
    </row>
    <row r="57" spans="1:14" x14ac:dyDescent="0.4">
      <c r="A57" t="s">
        <v>90</v>
      </c>
      <c r="B57" t="s">
        <v>39</v>
      </c>
      <c r="C57" t="s">
        <v>52</v>
      </c>
      <c r="D57" t="s">
        <v>65</v>
      </c>
      <c r="E57" s="1">
        <v>45409</v>
      </c>
      <c r="F57">
        <v>169</v>
      </c>
      <c r="G57">
        <v>294</v>
      </c>
      <c r="H57">
        <v>338.17</v>
      </c>
      <c r="I57">
        <v>320.89</v>
      </c>
      <c r="J57" t="s">
        <v>23</v>
      </c>
      <c r="K57">
        <f t="shared" si="0"/>
        <v>54230.409999999996</v>
      </c>
      <c r="L57">
        <f t="shared" si="1"/>
        <v>-2920.3200000000052</v>
      </c>
      <c r="M57">
        <f t="shared" si="2"/>
        <v>0.57482993197278909</v>
      </c>
      <c r="N57">
        <f t="shared" si="3"/>
        <v>0</v>
      </c>
    </row>
    <row r="58" spans="1:14" x14ac:dyDescent="0.4">
      <c r="A58" t="s">
        <v>91</v>
      </c>
      <c r="B58" t="s">
        <v>16</v>
      </c>
      <c r="C58" t="s">
        <v>17</v>
      </c>
      <c r="D58" t="s">
        <v>65</v>
      </c>
      <c r="E58" s="1">
        <v>45011</v>
      </c>
      <c r="F58">
        <v>47</v>
      </c>
      <c r="G58">
        <v>270</v>
      </c>
      <c r="H58">
        <v>432.73</v>
      </c>
      <c r="I58">
        <v>652.26</v>
      </c>
      <c r="J58" t="s">
        <v>34</v>
      </c>
      <c r="K58">
        <f t="shared" si="0"/>
        <v>30656.22</v>
      </c>
      <c r="L58">
        <f t="shared" si="1"/>
        <v>10317.909999999998</v>
      </c>
      <c r="M58">
        <f t="shared" si="2"/>
        <v>0.17407407407407408</v>
      </c>
      <c r="N58">
        <f t="shared" si="3"/>
        <v>0</v>
      </c>
    </row>
    <row r="59" spans="1:14" x14ac:dyDescent="0.4">
      <c r="A59" t="s">
        <v>56</v>
      </c>
      <c r="B59" t="s">
        <v>16</v>
      </c>
      <c r="C59" t="s">
        <v>29</v>
      </c>
      <c r="D59" t="s">
        <v>40</v>
      </c>
      <c r="E59" s="1">
        <v>45491</v>
      </c>
      <c r="F59">
        <v>39</v>
      </c>
      <c r="G59">
        <v>122</v>
      </c>
      <c r="H59">
        <v>383.39</v>
      </c>
      <c r="I59">
        <v>577.25</v>
      </c>
      <c r="J59" t="s">
        <v>19</v>
      </c>
      <c r="K59">
        <f t="shared" si="0"/>
        <v>22512.75</v>
      </c>
      <c r="L59">
        <f t="shared" si="1"/>
        <v>7560.5400000000009</v>
      </c>
      <c r="M59">
        <f t="shared" si="2"/>
        <v>0.31967213114754101</v>
      </c>
      <c r="N59">
        <f t="shared" si="3"/>
        <v>0</v>
      </c>
    </row>
    <row r="60" spans="1:14" x14ac:dyDescent="0.4">
      <c r="A60" t="s">
        <v>61</v>
      </c>
      <c r="B60" t="s">
        <v>25</v>
      </c>
      <c r="C60" t="s">
        <v>17</v>
      </c>
      <c r="D60" t="s">
        <v>75</v>
      </c>
      <c r="E60" s="1">
        <v>45081</v>
      </c>
      <c r="F60">
        <v>96</v>
      </c>
      <c r="G60">
        <v>265</v>
      </c>
      <c r="H60">
        <v>294.16000000000003</v>
      </c>
      <c r="I60">
        <v>722.13</v>
      </c>
      <c r="J60" t="s">
        <v>34</v>
      </c>
      <c r="K60">
        <f t="shared" si="0"/>
        <v>69324.479999999996</v>
      </c>
      <c r="L60">
        <f t="shared" si="1"/>
        <v>41085.119999999995</v>
      </c>
      <c r="M60">
        <f t="shared" si="2"/>
        <v>0.3622641509433962</v>
      </c>
      <c r="N60">
        <f t="shared" si="3"/>
        <v>0</v>
      </c>
    </row>
    <row r="61" spans="1:14" x14ac:dyDescent="0.4">
      <c r="A61" t="s">
        <v>92</v>
      </c>
      <c r="B61" t="s">
        <v>36</v>
      </c>
      <c r="C61" t="s">
        <v>17</v>
      </c>
      <c r="D61" t="s">
        <v>37</v>
      </c>
      <c r="E61" s="1">
        <v>44923</v>
      </c>
      <c r="F61">
        <v>190</v>
      </c>
      <c r="G61">
        <v>28</v>
      </c>
      <c r="H61">
        <v>344.11</v>
      </c>
      <c r="I61">
        <v>584.76</v>
      </c>
      <c r="J61" t="s">
        <v>14</v>
      </c>
      <c r="K61">
        <f t="shared" si="0"/>
        <v>111104.4</v>
      </c>
      <c r="L61">
        <f t="shared" si="1"/>
        <v>45723.499999999993</v>
      </c>
      <c r="M61">
        <f t="shared" si="2"/>
        <v>6.7857142857142856</v>
      </c>
      <c r="N61">
        <f t="shared" si="3"/>
        <v>0</v>
      </c>
    </row>
    <row r="62" spans="1:14" x14ac:dyDescent="0.4">
      <c r="A62" t="s">
        <v>93</v>
      </c>
      <c r="B62" t="s">
        <v>32</v>
      </c>
      <c r="C62" t="s">
        <v>52</v>
      </c>
      <c r="D62" t="s">
        <v>13</v>
      </c>
      <c r="E62" s="1">
        <v>44569</v>
      </c>
      <c r="F62">
        <v>199</v>
      </c>
      <c r="G62">
        <v>34</v>
      </c>
      <c r="H62">
        <v>173.29</v>
      </c>
      <c r="I62">
        <v>270.47000000000003</v>
      </c>
      <c r="J62" t="s">
        <v>23</v>
      </c>
      <c r="K62">
        <f t="shared" si="0"/>
        <v>53823.530000000006</v>
      </c>
      <c r="L62">
        <f t="shared" si="1"/>
        <v>19338.820000000007</v>
      </c>
      <c r="M62">
        <f t="shared" si="2"/>
        <v>5.8529411764705879</v>
      </c>
      <c r="N62">
        <f t="shared" si="3"/>
        <v>0</v>
      </c>
    </row>
    <row r="63" spans="1:14" x14ac:dyDescent="0.4">
      <c r="A63" t="s">
        <v>94</v>
      </c>
      <c r="B63" t="s">
        <v>39</v>
      </c>
      <c r="C63" t="s">
        <v>17</v>
      </c>
      <c r="D63" t="s">
        <v>53</v>
      </c>
      <c r="E63" s="1">
        <v>45039</v>
      </c>
      <c r="F63">
        <v>113</v>
      </c>
      <c r="G63">
        <v>5</v>
      </c>
      <c r="H63">
        <v>316.88</v>
      </c>
      <c r="I63">
        <v>752.16</v>
      </c>
      <c r="J63" t="s">
        <v>30</v>
      </c>
      <c r="K63">
        <f t="shared" si="0"/>
        <v>84994.08</v>
      </c>
      <c r="L63">
        <f t="shared" si="1"/>
        <v>49186.64</v>
      </c>
      <c r="M63">
        <f t="shared" si="2"/>
        <v>22.6</v>
      </c>
      <c r="N63">
        <f t="shared" si="3"/>
        <v>0</v>
      </c>
    </row>
    <row r="64" spans="1:14" x14ac:dyDescent="0.4">
      <c r="A64" t="s">
        <v>64</v>
      </c>
      <c r="B64" t="s">
        <v>21</v>
      </c>
      <c r="C64" t="s">
        <v>12</v>
      </c>
      <c r="D64" t="s">
        <v>66</v>
      </c>
      <c r="E64" s="1">
        <v>45056</v>
      </c>
      <c r="F64">
        <v>131</v>
      </c>
      <c r="G64">
        <v>110</v>
      </c>
      <c r="H64">
        <v>270.14999999999998</v>
      </c>
      <c r="I64">
        <v>173.39</v>
      </c>
      <c r="J64" t="s">
        <v>34</v>
      </c>
      <c r="K64">
        <f t="shared" si="0"/>
        <v>22714.089999999997</v>
      </c>
      <c r="L64">
        <f t="shared" si="1"/>
        <v>-12675.56</v>
      </c>
      <c r="M64">
        <f t="shared" si="2"/>
        <v>1.1909090909090909</v>
      </c>
      <c r="N64">
        <f t="shared" si="3"/>
        <v>0</v>
      </c>
    </row>
    <row r="65" spans="1:14" x14ac:dyDescent="0.4">
      <c r="A65" t="s">
        <v>95</v>
      </c>
      <c r="B65" t="s">
        <v>16</v>
      </c>
      <c r="C65" t="s">
        <v>17</v>
      </c>
      <c r="D65" t="s">
        <v>62</v>
      </c>
      <c r="E65" s="1">
        <v>45394</v>
      </c>
      <c r="F65">
        <v>165</v>
      </c>
      <c r="G65">
        <v>293</v>
      </c>
      <c r="H65">
        <v>110.01</v>
      </c>
      <c r="I65">
        <v>287.56</v>
      </c>
      <c r="J65" t="s">
        <v>14</v>
      </c>
      <c r="K65">
        <f t="shared" si="0"/>
        <v>47447.4</v>
      </c>
      <c r="L65">
        <f t="shared" si="1"/>
        <v>29295.750000000004</v>
      </c>
      <c r="M65">
        <f t="shared" si="2"/>
        <v>0.56313993174061439</v>
      </c>
      <c r="N65">
        <f t="shared" si="3"/>
        <v>0</v>
      </c>
    </row>
    <row r="66" spans="1:14" x14ac:dyDescent="0.4">
      <c r="A66" t="s">
        <v>96</v>
      </c>
      <c r="B66" t="s">
        <v>36</v>
      </c>
      <c r="C66" t="s">
        <v>17</v>
      </c>
      <c r="D66" t="s">
        <v>97</v>
      </c>
      <c r="E66" s="1">
        <v>45624</v>
      </c>
      <c r="F66">
        <v>154</v>
      </c>
      <c r="G66">
        <v>76</v>
      </c>
      <c r="H66">
        <v>159.13999999999999</v>
      </c>
      <c r="I66">
        <v>464.14</v>
      </c>
      <c r="J66" t="s">
        <v>23</v>
      </c>
      <c r="K66">
        <f t="shared" si="0"/>
        <v>71477.56</v>
      </c>
      <c r="L66">
        <f t="shared" si="1"/>
        <v>46970</v>
      </c>
      <c r="M66">
        <f t="shared" si="2"/>
        <v>2.0263157894736841</v>
      </c>
      <c r="N66">
        <f t="shared" si="3"/>
        <v>0</v>
      </c>
    </row>
    <row r="67" spans="1:14" x14ac:dyDescent="0.4">
      <c r="A67" t="s">
        <v>98</v>
      </c>
      <c r="B67" t="s">
        <v>43</v>
      </c>
      <c r="C67" t="s">
        <v>17</v>
      </c>
      <c r="D67" t="s">
        <v>41</v>
      </c>
      <c r="E67" s="1">
        <v>45154</v>
      </c>
      <c r="F67">
        <v>136</v>
      </c>
      <c r="G67">
        <v>146</v>
      </c>
      <c r="H67">
        <v>181.26</v>
      </c>
      <c r="I67">
        <v>496.02</v>
      </c>
      <c r="J67" t="s">
        <v>19</v>
      </c>
      <c r="K67">
        <f t="shared" ref="K67:K130" si="4">F67 * I67</f>
        <v>67458.720000000001</v>
      </c>
      <c r="L67">
        <f t="shared" ref="L67:L130" si="5">(I67 - H67) * F67</f>
        <v>42807.360000000001</v>
      </c>
      <c r="M67">
        <f t="shared" ref="M67:M130" si="6">IF(G67=0, 0, F67/G67)</f>
        <v>0.93150684931506844</v>
      </c>
      <c r="N67">
        <f t="shared" ref="N67:N130" si="7">IF(G67=0, 1, 0)</f>
        <v>0</v>
      </c>
    </row>
    <row r="68" spans="1:14" x14ac:dyDescent="0.4">
      <c r="A68" t="s">
        <v>78</v>
      </c>
      <c r="B68" t="s">
        <v>11</v>
      </c>
      <c r="C68" t="s">
        <v>29</v>
      </c>
      <c r="D68" t="s">
        <v>13</v>
      </c>
      <c r="E68" s="1">
        <v>44748</v>
      </c>
      <c r="F68">
        <v>110</v>
      </c>
      <c r="G68">
        <v>66</v>
      </c>
      <c r="H68">
        <v>465.94</v>
      </c>
      <c r="I68">
        <v>110.72</v>
      </c>
      <c r="J68" t="s">
        <v>23</v>
      </c>
      <c r="K68">
        <f t="shared" si="4"/>
        <v>12179.2</v>
      </c>
      <c r="L68">
        <f t="shared" si="5"/>
        <v>-39074.200000000004</v>
      </c>
      <c r="M68">
        <f t="shared" si="6"/>
        <v>1.6666666666666667</v>
      </c>
      <c r="N68">
        <f t="shared" si="7"/>
        <v>0</v>
      </c>
    </row>
    <row r="69" spans="1:14" x14ac:dyDescent="0.4">
      <c r="A69" t="s">
        <v>99</v>
      </c>
      <c r="B69" t="s">
        <v>25</v>
      </c>
      <c r="C69" t="s">
        <v>29</v>
      </c>
      <c r="D69" t="s">
        <v>97</v>
      </c>
      <c r="E69" s="1">
        <v>45315</v>
      </c>
      <c r="F69">
        <v>143</v>
      </c>
      <c r="G69">
        <v>7</v>
      </c>
      <c r="H69">
        <v>153.66999999999999</v>
      </c>
      <c r="I69">
        <v>646.4</v>
      </c>
      <c r="J69" t="s">
        <v>19</v>
      </c>
      <c r="K69">
        <f t="shared" si="4"/>
        <v>92435.199999999997</v>
      </c>
      <c r="L69">
        <f t="shared" si="5"/>
        <v>70460.39</v>
      </c>
      <c r="M69">
        <f t="shared" si="6"/>
        <v>20.428571428571427</v>
      </c>
      <c r="N69">
        <f t="shared" si="7"/>
        <v>0</v>
      </c>
    </row>
    <row r="70" spans="1:14" x14ac:dyDescent="0.4">
      <c r="A70" t="s">
        <v>100</v>
      </c>
      <c r="B70" t="s">
        <v>32</v>
      </c>
      <c r="C70" t="s">
        <v>12</v>
      </c>
      <c r="D70" t="s">
        <v>72</v>
      </c>
      <c r="E70" s="1">
        <v>44654</v>
      </c>
      <c r="F70">
        <v>183</v>
      </c>
      <c r="G70">
        <v>121</v>
      </c>
      <c r="H70">
        <v>180.16</v>
      </c>
      <c r="I70">
        <v>353.13</v>
      </c>
      <c r="J70" t="s">
        <v>19</v>
      </c>
      <c r="K70">
        <f t="shared" si="4"/>
        <v>64622.79</v>
      </c>
      <c r="L70">
        <f t="shared" si="5"/>
        <v>31653.51</v>
      </c>
      <c r="M70">
        <f t="shared" si="6"/>
        <v>1.5123966942148761</v>
      </c>
      <c r="N70">
        <f t="shared" si="7"/>
        <v>0</v>
      </c>
    </row>
    <row r="71" spans="1:14" x14ac:dyDescent="0.4">
      <c r="A71" t="s">
        <v>101</v>
      </c>
      <c r="B71" t="s">
        <v>58</v>
      </c>
      <c r="C71" t="s">
        <v>12</v>
      </c>
      <c r="D71" t="s">
        <v>65</v>
      </c>
      <c r="E71" s="1">
        <v>44647</v>
      </c>
      <c r="F71">
        <v>75</v>
      </c>
      <c r="G71">
        <v>174</v>
      </c>
      <c r="H71">
        <v>216.21</v>
      </c>
      <c r="I71">
        <v>384.49</v>
      </c>
      <c r="J71" t="s">
        <v>34</v>
      </c>
      <c r="K71">
        <f t="shared" si="4"/>
        <v>28836.75</v>
      </c>
      <c r="L71">
        <f t="shared" si="5"/>
        <v>12621</v>
      </c>
      <c r="M71">
        <f t="shared" si="6"/>
        <v>0.43103448275862066</v>
      </c>
      <c r="N71">
        <f t="shared" si="7"/>
        <v>0</v>
      </c>
    </row>
    <row r="72" spans="1:14" x14ac:dyDescent="0.4">
      <c r="A72" t="s">
        <v>102</v>
      </c>
      <c r="B72" t="s">
        <v>25</v>
      </c>
      <c r="C72" t="s">
        <v>29</v>
      </c>
      <c r="D72" t="s">
        <v>75</v>
      </c>
      <c r="E72" s="1">
        <v>45629</v>
      </c>
      <c r="F72">
        <v>30</v>
      </c>
      <c r="G72">
        <v>178</v>
      </c>
      <c r="H72">
        <v>348.68</v>
      </c>
      <c r="I72">
        <v>666.56</v>
      </c>
      <c r="J72" t="s">
        <v>34</v>
      </c>
      <c r="K72">
        <f t="shared" si="4"/>
        <v>19996.8</v>
      </c>
      <c r="L72">
        <f t="shared" si="5"/>
        <v>9536.3999999999978</v>
      </c>
      <c r="M72">
        <f t="shared" si="6"/>
        <v>0.16853932584269662</v>
      </c>
      <c r="N72">
        <f t="shared" si="7"/>
        <v>0</v>
      </c>
    </row>
    <row r="73" spans="1:14" x14ac:dyDescent="0.4">
      <c r="A73" t="s">
        <v>50</v>
      </c>
      <c r="B73" t="s">
        <v>43</v>
      </c>
      <c r="C73" t="s">
        <v>12</v>
      </c>
      <c r="D73" t="s">
        <v>62</v>
      </c>
      <c r="E73" s="1">
        <v>44698</v>
      </c>
      <c r="F73">
        <v>118</v>
      </c>
      <c r="G73">
        <v>84</v>
      </c>
      <c r="H73">
        <v>103.21</v>
      </c>
      <c r="I73">
        <v>365.5</v>
      </c>
      <c r="J73" t="s">
        <v>23</v>
      </c>
      <c r="K73">
        <f t="shared" si="4"/>
        <v>43129</v>
      </c>
      <c r="L73">
        <f t="shared" si="5"/>
        <v>30950.22</v>
      </c>
      <c r="M73">
        <f t="shared" si="6"/>
        <v>1.4047619047619047</v>
      </c>
      <c r="N73">
        <f t="shared" si="7"/>
        <v>0</v>
      </c>
    </row>
    <row r="74" spans="1:14" x14ac:dyDescent="0.4">
      <c r="A74" t="s">
        <v>87</v>
      </c>
      <c r="B74" t="s">
        <v>11</v>
      </c>
      <c r="C74" t="s">
        <v>29</v>
      </c>
      <c r="D74" t="s">
        <v>72</v>
      </c>
      <c r="E74" s="1">
        <v>44982</v>
      </c>
      <c r="F74">
        <v>141</v>
      </c>
      <c r="G74">
        <v>44</v>
      </c>
      <c r="H74">
        <v>479.28</v>
      </c>
      <c r="I74">
        <v>133.06</v>
      </c>
      <c r="J74" t="s">
        <v>14</v>
      </c>
      <c r="K74">
        <f t="shared" si="4"/>
        <v>18761.46</v>
      </c>
      <c r="L74">
        <f t="shared" si="5"/>
        <v>-48817.02</v>
      </c>
      <c r="M74">
        <f t="shared" si="6"/>
        <v>3.2045454545454546</v>
      </c>
      <c r="N74">
        <f t="shared" si="7"/>
        <v>0</v>
      </c>
    </row>
    <row r="75" spans="1:14" x14ac:dyDescent="0.4">
      <c r="A75" t="s">
        <v>57</v>
      </c>
      <c r="B75" t="s">
        <v>43</v>
      </c>
      <c r="C75" t="s">
        <v>52</v>
      </c>
      <c r="D75" t="s">
        <v>22</v>
      </c>
      <c r="E75" s="1">
        <v>44635</v>
      </c>
      <c r="F75">
        <v>24</v>
      </c>
      <c r="G75">
        <v>135</v>
      </c>
      <c r="H75">
        <v>439.51</v>
      </c>
      <c r="I75">
        <v>223.51</v>
      </c>
      <c r="J75" t="s">
        <v>23</v>
      </c>
      <c r="K75">
        <f t="shared" si="4"/>
        <v>5364.24</v>
      </c>
      <c r="L75">
        <f t="shared" si="5"/>
        <v>-5184</v>
      </c>
      <c r="M75">
        <f t="shared" si="6"/>
        <v>0.17777777777777778</v>
      </c>
      <c r="N75">
        <f t="shared" si="7"/>
        <v>0</v>
      </c>
    </row>
    <row r="76" spans="1:14" x14ac:dyDescent="0.4">
      <c r="A76" t="s">
        <v>103</v>
      </c>
      <c r="B76" t="s">
        <v>39</v>
      </c>
      <c r="C76" t="s">
        <v>17</v>
      </c>
      <c r="D76" t="s">
        <v>22</v>
      </c>
      <c r="E76" s="1">
        <v>44732</v>
      </c>
      <c r="F76">
        <v>33</v>
      </c>
      <c r="G76">
        <v>15</v>
      </c>
      <c r="H76">
        <v>309.75</v>
      </c>
      <c r="I76">
        <v>769.13</v>
      </c>
      <c r="J76" t="s">
        <v>30</v>
      </c>
      <c r="K76">
        <f t="shared" si="4"/>
        <v>25381.29</v>
      </c>
      <c r="L76">
        <f t="shared" si="5"/>
        <v>15159.539999999999</v>
      </c>
      <c r="M76">
        <f t="shared" si="6"/>
        <v>2.2000000000000002</v>
      </c>
      <c r="N76">
        <f t="shared" si="7"/>
        <v>0</v>
      </c>
    </row>
    <row r="77" spans="1:14" x14ac:dyDescent="0.4">
      <c r="A77" t="s">
        <v>104</v>
      </c>
      <c r="B77" t="s">
        <v>16</v>
      </c>
      <c r="C77" t="s">
        <v>17</v>
      </c>
      <c r="D77" t="s">
        <v>72</v>
      </c>
      <c r="E77" s="1">
        <v>44731</v>
      </c>
      <c r="F77">
        <v>66</v>
      </c>
      <c r="G77">
        <v>194</v>
      </c>
      <c r="H77">
        <v>353.32</v>
      </c>
      <c r="I77">
        <v>149.28</v>
      </c>
      <c r="J77" t="s">
        <v>19</v>
      </c>
      <c r="K77">
        <f t="shared" si="4"/>
        <v>9852.48</v>
      </c>
      <c r="L77">
        <f t="shared" si="5"/>
        <v>-13466.64</v>
      </c>
      <c r="M77">
        <f t="shared" si="6"/>
        <v>0.34020618556701032</v>
      </c>
      <c r="N77">
        <f t="shared" si="7"/>
        <v>0</v>
      </c>
    </row>
    <row r="78" spans="1:14" x14ac:dyDescent="0.4">
      <c r="A78" t="s">
        <v>105</v>
      </c>
      <c r="B78" t="s">
        <v>32</v>
      </c>
      <c r="C78" t="s">
        <v>12</v>
      </c>
      <c r="D78" t="s">
        <v>26</v>
      </c>
      <c r="E78" s="1">
        <v>45433</v>
      </c>
      <c r="F78">
        <v>151</v>
      </c>
      <c r="G78">
        <v>0</v>
      </c>
      <c r="H78">
        <v>57.5</v>
      </c>
      <c r="I78">
        <v>348.45</v>
      </c>
      <c r="J78" t="s">
        <v>19</v>
      </c>
      <c r="K78">
        <f t="shared" si="4"/>
        <v>52615.95</v>
      </c>
      <c r="L78">
        <f t="shared" si="5"/>
        <v>43933.45</v>
      </c>
      <c r="M78">
        <f t="shared" si="6"/>
        <v>0</v>
      </c>
      <c r="N78">
        <f t="shared" si="7"/>
        <v>1</v>
      </c>
    </row>
    <row r="79" spans="1:14" x14ac:dyDescent="0.4">
      <c r="A79" t="s">
        <v>106</v>
      </c>
      <c r="B79" t="s">
        <v>28</v>
      </c>
      <c r="C79" t="s">
        <v>29</v>
      </c>
      <c r="D79" t="s">
        <v>53</v>
      </c>
      <c r="E79" s="1">
        <v>44883</v>
      </c>
      <c r="F79">
        <v>117</v>
      </c>
      <c r="G79">
        <v>14</v>
      </c>
      <c r="H79">
        <v>202.53</v>
      </c>
      <c r="I79">
        <v>452.23</v>
      </c>
      <c r="J79" t="s">
        <v>34</v>
      </c>
      <c r="K79">
        <f t="shared" si="4"/>
        <v>52910.91</v>
      </c>
      <c r="L79">
        <f t="shared" si="5"/>
        <v>29214.9</v>
      </c>
      <c r="M79">
        <f t="shared" si="6"/>
        <v>8.3571428571428577</v>
      </c>
      <c r="N79">
        <f t="shared" si="7"/>
        <v>0</v>
      </c>
    </row>
    <row r="80" spans="1:14" x14ac:dyDescent="0.4">
      <c r="A80" t="s">
        <v>104</v>
      </c>
      <c r="B80" t="s">
        <v>16</v>
      </c>
      <c r="C80" t="s">
        <v>29</v>
      </c>
      <c r="D80" t="s">
        <v>97</v>
      </c>
      <c r="E80" s="1">
        <v>45017</v>
      </c>
      <c r="F80">
        <v>72</v>
      </c>
      <c r="G80">
        <v>101</v>
      </c>
      <c r="H80">
        <v>408.05</v>
      </c>
      <c r="I80">
        <v>445.3</v>
      </c>
      <c r="J80" t="s">
        <v>14</v>
      </c>
      <c r="K80">
        <f t="shared" si="4"/>
        <v>32061.600000000002</v>
      </c>
      <c r="L80">
        <f t="shared" si="5"/>
        <v>2682</v>
      </c>
      <c r="M80">
        <f t="shared" si="6"/>
        <v>0.71287128712871284</v>
      </c>
      <c r="N80">
        <f t="shared" si="7"/>
        <v>0</v>
      </c>
    </row>
    <row r="81" spans="1:14" x14ac:dyDescent="0.4">
      <c r="A81" t="s">
        <v>107</v>
      </c>
      <c r="B81" t="s">
        <v>28</v>
      </c>
      <c r="C81" t="s">
        <v>12</v>
      </c>
      <c r="D81" t="s">
        <v>66</v>
      </c>
      <c r="E81" s="1">
        <v>45505</v>
      </c>
      <c r="F81">
        <v>25</v>
      </c>
      <c r="G81">
        <v>225</v>
      </c>
      <c r="H81">
        <v>84.87</v>
      </c>
      <c r="I81">
        <v>102.77</v>
      </c>
      <c r="J81" t="s">
        <v>34</v>
      </c>
      <c r="K81">
        <f t="shared" si="4"/>
        <v>2569.25</v>
      </c>
      <c r="L81">
        <f t="shared" si="5"/>
        <v>447.49999999999977</v>
      </c>
      <c r="M81">
        <f t="shared" si="6"/>
        <v>0.1111111111111111</v>
      </c>
      <c r="N81">
        <f t="shared" si="7"/>
        <v>0</v>
      </c>
    </row>
    <row r="82" spans="1:14" x14ac:dyDescent="0.4">
      <c r="A82" t="s">
        <v>108</v>
      </c>
      <c r="B82" t="s">
        <v>11</v>
      </c>
      <c r="C82" t="s">
        <v>29</v>
      </c>
      <c r="D82" t="s">
        <v>26</v>
      </c>
      <c r="E82" s="1">
        <v>45351</v>
      </c>
      <c r="F82">
        <v>147</v>
      </c>
      <c r="G82">
        <v>277</v>
      </c>
      <c r="H82">
        <v>177.04</v>
      </c>
      <c r="I82">
        <v>450.81</v>
      </c>
      <c r="J82" t="s">
        <v>30</v>
      </c>
      <c r="K82">
        <f t="shared" si="4"/>
        <v>66269.070000000007</v>
      </c>
      <c r="L82">
        <f t="shared" si="5"/>
        <v>40244.189999999995</v>
      </c>
      <c r="M82">
        <f t="shared" si="6"/>
        <v>0.53068592057761732</v>
      </c>
      <c r="N82">
        <f t="shared" si="7"/>
        <v>0</v>
      </c>
    </row>
    <row r="83" spans="1:14" x14ac:dyDescent="0.4">
      <c r="A83" t="s">
        <v>109</v>
      </c>
      <c r="B83" t="s">
        <v>36</v>
      </c>
      <c r="C83" t="s">
        <v>52</v>
      </c>
      <c r="D83" t="s">
        <v>13</v>
      </c>
      <c r="E83" s="1">
        <v>45174</v>
      </c>
      <c r="F83">
        <v>191</v>
      </c>
      <c r="G83">
        <v>112</v>
      </c>
      <c r="H83">
        <v>313.38</v>
      </c>
      <c r="I83">
        <v>368.64</v>
      </c>
      <c r="J83" t="s">
        <v>23</v>
      </c>
      <c r="K83">
        <f t="shared" si="4"/>
        <v>70410.239999999991</v>
      </c>
      <c r="L83">
        <f t="shared" si="5"/>
        <v>10554.659999999998</v>
      </c>
      <c r="M83">
        <f t="shared" si="6"/>
        <v>1.7053571428571428</v>
      </c>
      <c r="N83">
        <f t="shared" si="7"/>
        <v>0</v>
      </c>
    </row>
    <row r="84" spans="1:14" x14ac:dyDescent="0.4">
      <c r="A84" t="s">
        <v>110</v>
      </c>
      <c r="B84" t="s">
        <v>58</v>
      </c>
      <c r="C84" t="s">
        <v>17</v>
      </c>
      <c r="D84" t="s">
        <v>47</v>
      </c>
      <c r="E84" s="1">
        <v>45450</v>
      </c>
      <c r="F84">
        <v>103</v>
      </c>
      <c r="G84">
        <v>0</v>
      </c>
      <c r="H84">
        <v>165.39</v>
      </c>
      <c r="I84">
        <v>780.46</v>
      </c>
      <c r="J84" t="s">
        <v>23</v>
      </c>
      <c r="K84">
        <f t="shared" si="4"/>
        <v>80387.38</v>
      </c>
      <c r="L84">
        <f t="shared" si="5"/>
        <v>63352.210000000006</v>
      </c>
      <c r="M84">
        <f t="shared" si="6"/>
        <v>0</v>
      </c>
      <c r="N84">
        <f t="shared" si="7"/>
        <v>1</v>
      </c>
    </row>
    <row r="85" spans="1:14" x14ac:dyDescent="0.4">
      <c r="A85" t="s">
        <v>77</v>
      </c>
      <c r="B85" t="s">
        <v>21</v>
      </c>
      <c r="C85" t="s">
        <v>12</v>
      </c>
      <c r="D85" t="s">
        <v>41</v>
      </c>
      <c r="E85" s="1">
        <v>44910</v>
      </c>
      <c r="F85">
        <v>9</v>
      </c>
      <c r="G85">
        <v>265</v>
      </c>
      <c r="H85">
        <v>470.29</v>
      </c>
      <c r="I85">
        <v>211.41</v>
      </c>
      <c r="J85" t="s">
        <v>14</v>
      </c>
      <c r="K85">
        <f t="shared" si="4"/>
        <v>1902.69</v>
      </c>
      <c r="L85">
        <f t="shared" si="5"/>
        <v>-2329.92</v>
      </c>
      <c r="M85">
        <f t="shared" si="6"/>
        <v>3.3962264150943396E-2</v>
      </c>
      <c r="N85">
        <f t="shared" si="7"/>
        <v>0</v>
      </c>
    </row>
    <row r="86" spans="1:14" x14ac:dyDescent="0.4">
      <c r="A86" t="s">
        <v>89</v>
      </c>
      <c r="B86" t="s">
        <v>16</v>
      </c>
      <c r="C86" t="s">
        <v>12</v>
      </c>
      <c r="D86" t="s">
        <v>40</v>
      </c>
      <c r="E86" s="1">
        <v>44571</v>
      </c>
      <c r="F86">
        <v>66</v>
      </c>
      <c r="G86">
        <v>207</v>
      </c>
      <c r="H86">
        <v>108.98</v>
      </c>
      <c r="I86">
        <v>347.91</v>
      </c>
      <c r="J86" t="s">
        <v>34</v>
      </c>
      <c r="K86">
        <f t="shared" si="4"/>
        <v>22962.06</v>
      </c>
      <c r="L86">
        <f t="shared" si="5"/>
        <v>15769.380000000001</v>
      </c>
      <c r="M86">
        <f t="shared" si="6"/>
        <v>0.3188405797101449</v>
      </c>
      <c r="N86">
        <f t="shared" si="7"/>
        <v>0</v>
      </c>
    </row>
    <row r="87" spans="1:14" x14ac:dyDescent="0.4">
      <c r="A87" t="s">
        <v>111</v>
      </c>
      <c r="B87" t="s">
        <v>32</v>
      </c>
      <c r="C87" t="s">
        <v>29</v>
      </c>
      <c r="D87" t="s">
        <v>47</v>
      </c>
      <c r="E87" s="1">
        <v>45301</v>
      </c>
      <c r="F87">
        <v>151</v>
      </c>
      <c r="G87">
        <v>109</v>
      </c>
      <c r="H87">
        <v>408.83</v>
      </c>
      <c r="I87">
        <v>393.64</v>
      </c>
      <c r="J87" t="s">
        <v>34</v>
      </c>
      <c r="K87">
        <f t="shared" si="4"/>
        <v>59439.64</v>
      </c>
      <c r="L87">
        <f t="shared" si="5"/>
        <v>-2293.6899999999996</v>
      </c>
      <c r="M87">
        <f t="shared" si="6"/>
        <v>1.3853211009174311</v>
      </c>
      <c r="N87">
        <f t="shared" si="7"/>
        <v>0</v>
      </c>
    </row>
    <row r="88" spans="1:14" x14ac:dyDescent="0.4">
      <c r="A88" t="s">
        <v>112</v>
      </c>
      <c r="B88" t="s">
        <v>43</v>
      </c>
      <c r="C88" t="s">
        <v>12</v>
      </c>
      <c r="D88" t="s">
        <v>13</v>
      </c>
      <c r="E88" s="1">
        <v>45228</v>
      </c>
      <c r="F88">
        <v>4</v>
      </c>
      <c r="G88">
        <v>199</v>
      </c>
      <c r="H88">
        <v>278.58</v>
      </c>
      <c r="I88">
        <v>373.49</v>
      </c>
      <c r="J88" t="s">
        <v>30</v>
      </c>
      <c r="K88">
        <f t="shared" si="4"/>
        <v>1493.96</v>
      </c>
      <c r="L88">
        <f t="shared" si="5"/>
        <v>379.6400000000001</v>
      </c>
      <c r="M88">
        <f t="shared" si="6"/>
        <v>2.0100502512562814E-2</v>
      </c>
      <c r="N88">
        <f t="shared" si="7"/>
        <v>0</v>
      </c>
    </row>
    <row r="89" spans="1:14" x14ac:dyDescent="0.4">
      <c r="A89" t="s">
        <v>24</v>
      </c>
      <c r="B89" t="s">
        <v>32</v>
      </c>
      <c r="C89" t="s">
        <v>52</v>
      </c>
      <c r="D89" t="s">
        <v>40</v>
      </c>
      <c r="E89" s="1">
        <v>45107</v>
      </c>
      <c r="F89">
        <v>194</v>
      </c>
      <c r="G89">
        <v>11</v>
      </c>
      <c r="H89">
        <v>387.65</v>
      </c>
      <c r="I89">
        <v>566.08000000000004</v>
      </c>
      <c r="J89" t="s">
        <v>23</v>
      </c>
      <c r="K89">
        <f t="shared" si="4"/>
        <v>109819.52</v>
      </c>
      <c r="L89">
        <f t="shared" si="5"/>
        <v>34615.420000000013</v>
      </c>
      <c r="M89">
        <f t="shared" si="6"/>
        <v>17.636363636363637</v>
      </c>
      <c r="N89">
        <f t="shared" si="7"/>
        <v>0</v>
      </c>
    </row>
    <row r="90" spans="1:14" x14ac:dyDescent="0.4">
      <c r="A90" t="s">
        <v>113</v>
      </c>
      <c r="B90" t="s">
        <v>11</v>
      </c>
      <c r="C90" t="s">
        <v>29</v>
      </c>
      <c r="D90" t="s">
        <v>37</v>
      </c>
      <c r="E90" s="1">
        <v>44690</v>
      </c>
      <c r="F90">
        <v>185</v>
      </c>
      <c r="G90">
        <v>187</v>
      </c>
      <c r="H90">
        <v>189.82</v>
      </c>
      <c r="I90">
        <v>250.86</v>
      </c>
      <c r="J90" t="s">
        <v>34</v>
      </c>
      <c r="K90">
        <f t="shared" si="4"/>
        <v>46409.100000000006</v>
      </c>
      <c r="L90">
        <f t="shared" si="5"/>
        <v>11292.400000000003</v>
      </c>
      <c r="M90">
        <f t="shared" si="6"/>
        <v>0.98930481283422456</v>
      </c>
      <c r="N90">
        <f t="shared" si="7"/>
        <v>0</v>
      </c>
    </row>
    <row r="91" spans="1:14" x14ac:dyDescent="0.4">
      <c r="A91" t="s">
        <v>77</v>
      </c>
      <c r="B91" t="s">
        <v>28</v>
      </c>
      <c r="C91" t="s">
        <v>29</v>
      </c>
      <c r="D91" t="s">
        <v>65</v>
      </c>
      <c r="E91" s="1">
        <v>45162</v>
      </c>
      <c r="F91">
        <v>26</v>
      </c>
      <c r="G91">
        <v>153</v>
      </c>
      <c r="H91">
        <v>281.52</v>
      </c>
      <c r="I91">
        <v>254.75</v>
      </c>
      <c r="J91" t="s">
        <v>14</v>
      </c>
      <c r="K91">
        <f t="shared" si="4"/>
        <v>6623.5</v>
      </c>
      <c r="L91">
        <f t="shared" si="5"/>
        <v>-696.01999999999953</v>
      </c>
      <c r="M91">
        <f t="shared" si="6"/>
        <v>0.16993464052287582</v>
      </c>
      <c r="N91">
        <f t="shared" si="7"/>
        <v>0</v>
      </c>
    </row>
    <row r="92" spans="1:14" x14ac:dyDescent="0.4">
      <c r="A92" t="s">
        <v>114</v>
      </c>
      <c r="B92" t="s">
        <v>43</v>
      </c>
      <c r="C92" t="s">
        <v>29</v>
      </c>
      <c r="D92" t="s">
        <v>53</v>
      </c>
      <c r="E92" s="1">
        <v>45166</v>
      </c>
      <c r="F92">
        <v>112</v>
      </c>
      <c r="G92">
        <v>278</v>
      </c>
      <c r="H92">
        <v>435.58</v>
      </c>
      <c r="I92">
        <v>610.45000000000005</v>
      </c>
      <c r="J92" t="s">
        <v>23</v>
      </c>
      <c r="K92">
        <f t="shared" si="4"/>
        <v>68370.400000000009</v>
      </c>
      <c r="L92">
        <f t="shared" si="5"/>
        <v>19585.440000000006</v>
      </c>
      <c r="M92">
        <f t="shared" si="6"/>
        <v>0.40287769784172661</v>
      </c>
      <c r="N92">
        <f t="shared" si="7"/>
        <v>0</v>
      </c>
    </row>
    <row r="93" spans="1:14" x14ac:dyDescent="0.4">
      <c r="A93" t="s">
        <v>115</v>
      </c>
      <c r="B93" t="s">
        <v>21</v>
      </c>
      <c r="C93" t="s">
        <v>29</v>
      </c>
      <c r="D93" t="s">
        <v>45</v>
      </c>
      <c r="E93" s="1">
        <v>44888</v>
      </c>
      <c r="F93">
        <v>14</v>
      </c>
      <c r="G93">
        <v>170</v>
      </c>
      <c r="H93">
        <v>260.10000000000002</v>
      </c>
      <c r="I93">
        <v>450.2</v>
      </c>
      <c r="J93" t="s">
        <v>30</v>
      </c>
      <c r="K93">
        <f t="shared" si="4"/>
        <v>6302.8</v>
      </c>
      <c r="L93">
        <f t="shared" si="5"/>
        <v>2661.3999999999996</v>
      </c>
      <c r="M93">
        <f t="shared" si="6"/>
        <v>8.2352941176470587E-2</v>
      </c>
      <c r="N93">
        <f t="shared" si="7"/>
        <v>0</v>
      </c>
    </row>
    <row r="94" spans="1:14" x14ac:dyDescent="0.4">
      <c r="A94" t="s">
        <v>94</v>
      </c>
      <c r="B94" t="s">
        <v>21</v>
      </c>
      <c r="C94" t="s">
        <v>52</v>
      </c>
      <c r="D94" t="s">
        <v>40</v>
      </c>
      <c r="E94" s="1">
        <v>45541</v>
      </c>
      <c r="F94">
        <v>162</v>
      </c>
      <c r="G94">
        <v>133</v>
      </c>
      <c r="H94">
        <v>211.87</v>
      </c>
      <c r="I94">
        <v>390.61</v>
      </c>
      <c r="J94" t="s">
        <v>14</v>
      </c>
      <c r="K94">
        <f t="shared" si="4"/>
        <v>63278.82</v>
      </c>
      <c r="L94">
        <f t="shared" si="5"/>
        <v>28955.88</v>
      </c>
      <c r="M94">
        <f t="shared" si="6"/>
        <v>1.2180451127819549</v>
      </c>
      <c r="N94">
        <f t="shared" si="7"/>
        <v>0</v>
      </c>
    </row>
    <row r="95" spans="1:14" x14ac:dyDescent="0.4">
      <c r="A95" t="s">
        <v>56</v>
      </c>
      <c r="B95" t="s">
        <v>16</v>
      </c>
      <c r="C95" t="s">
        <v>29</v>
      </c>
      <c r="D95" t="s">
        <v>47</v>
      </c>
      <c r="E95" s="1">
        <v>44965</v>
      </c>
      <c r="F95">
        <v>104</v>
      </c>
      <c r="G95">
        <v>24</v>
      </c>
      <c r="H95">
        <v>291.27</v>
      </c>
      <c r="I95">
        <v>218.44</v>
      </c>
      <c r="J95" t="s">
        <v>19</v>
      </c>
      <c r="K95">
        <f t="shared" si="4"/>
        <v>22717.759999999998</v>
      </c>
      <c r="L95">
        <f t="shared" si="5"/>
        <v>-7574.3199999999979</v>
      </c>
      <c r="M95">
        <f t="shared" si="6"/>
        <v>4.333333333333333</v>
      </c>
      <c r="N95">
        <f t="shared" si="7"/>
        <v>0</v>
      </c>
    </row>
    <row r="96" spans="1:14" x14ac:dyDescent="0.4">
      <c r="A96" t="s">
        <v>116</v>
      </c>
      <c r="B96" t="s">
        <v>11</v>
      </c>
      <c r="C96" t="s">
        <v>12</v>
      </c>
      <c r="D96" t="s">
        <v>41</v>
      </c>
      <c r="E96" s="1">
        <v>45190</v>
      </c>
      <c r="F96">
        <v>180</v>
      </c>
      <c r="G96">
        <v>17</v>
      </c>
      <c r="H96">
        <v>372.81</v>
      </c>
      <c r="I96">
        <v>231.27</v>
      </c>
      <c r="J96" t="s">
        <v>30</v>
      </c>
      <c r="K96">
        <f t="shared" si="4"/>
        <v>41628.6</v>
      </c>
      <c r="L96">
        <f t="shared" si="5"/>
        <v>-25477.199999999997</v>
      </c>
      <c r="M96">
        <f t="shared" si="6"/>
        <v>10.588235294117647</v>
      </c>
      <c r="N96">
        <f t="shared" si="7"/>
        <v>0</v>
      </c>
    </row>
    <row r="97" spans="1:14" x14ac:dyDescent="0.4">
      <c r="A97" t="s">
        <v>117</v>
      </c>
      <c r="B97" t="s">
        <v>36</v>
      </c>
      <c r="C97" t="s">
        <v>52</v>
      </c>
      <c r="D97" t="s">
        <v>45</v>
      </c>
      <c r="E97" s="1">
        <v>45279</v>
      </c>
      <c r="F97">
        <v>43</v>
      </c>
      <c r="G97">
        <v>189</v>
      </c>
      <c r="H97">
        <v>249.6</v>
      </c>
      <c r="I97">
        <v>107.39</v>
      </c>
      <c r="J97" t="s">
        <v>14</v>
      </c>
      <c r="K97">
        <f t="shared" si="4"/>
        <v>4617.7700000000004</v>
      </c>
      <c r="L97">
        <f t="shared" si="5"/>
        <v>-6115.0299999999988</v>
      </c>
      <c r="M97">
        <f t="shared" si="6"/>
        <v>0.2275132275132275</v>
      </c>
      <c r="N97">
        <f t="shared" si="7"/>
        <v>0</v>
      </c>
    </row>
    <row r="98" spans="1:14" x14ac:dyDescent="0.4">
      <c r="A98" t="s">
        <v>64</v>
      </c>
      <c r="B98" t="s">
        <v>11</v>
      </c>
      <c r="C98" t="s">
        <v>17</v>
      </c>
      <c r="D98" t="s">
        <v>22</v>
      </c>
      <c r="E98" s="1">
        <v>45602</v>
      </c>
      <c r="F98">
        <v>25</v>
      </c>
      <c r="G98">
        <v>140</v>
      </c>
      <c r="H98">
        <v>472.49</v>
      </c>
      <c r="I98">
        <v>164</v>
      </c>
      <c r="J98" t="s">
        <v>34</v>
      </c>
      <c r="K98">
        <f t="shared" si="4"/>
        <v>4100</v>
      </c>
      <c r="L98">
        <f t="shared" si="5"/>
        <v>-7712.25</v>
      </c>
      <c r="M98">
        <f t="shared" si="6"/>
        <v>0.17857142857142858</v>
      </c>
      <c r="N98">
        <f t="shared" si="7"/>
        <v>0</v>
      </c>
    </row>
    <row r="99" spans="1:14" x14ac:dyDescent="0.4">
      <c r="A99" t="s">
        <v>118</v>
      </c>
      <c r="B99" t="s">
        <v>28</v>
      </c>
      <c r="C99" t="s">
        <v>17</v>
      </c>
      <c r="D99" t="s">
        <v>65</v>
      </c>
      <c r="E99" s="1">
        <v>44835</v>
      </c>
      <c r="F99">
        <v>174</v>
      </c>
      <c r="G99">
        <v>42</v>
      </c>
      <c r="H99">
        <v>182.73</v>
      </c>
      <c r="I99">
        <v>489.79</v>
      </c>
      <c r="J99" t="s">
        <v>19</v>
      </c>
      <c r="K99">
        <f t="shared" si="4"/>
        <v>85223.46</v>
      </c>
      <c r="L99">
        <f t="shared" si="5"/>
        <v>53428.44000000001</v>
      </c>
      <c r="M99">
        <f t="shared" si="6"/>
        <v>4.1428571428571432</v>
      </c>
      <c r="N99">
        <f t="shared" si="7"/>
        <v>0</v>
      </c>
    </row>
    <row r="100" spans="1:14" x14ac:dyDescent="0.4">
      <c r="A100" t="s">
        <v>119</v>
      </c>
      <c r="B100" t="s">
        <v>32</v>
      </c>
      <c r="C100" t="s">
        <v>12</v>
      </c>
      <c r="D100" t="s">
        <v>72</v>
      </c>
      <c r="E100" s="1">
        <v>45246</v>
      </c>
      <c r="F100">
        <v>161</v>
      </c>
      <c r="G100">
        <v>283</v>
      </c>
      <c r="H100">
        <v>263.95999999999998</v>
      </c>
      <c r="I100">
        <v>724.31</v>
      </c>
      <c r="J100" t="s">
        <v>30</v>
      </c>
      <c r="K100">
        <f t="shared" si="4"/>
        <v>116613.90999999999</v>
      </c>
      <c r="L100">
        <f t="shared" si="5"/>
        <v>74116.349999999991</v>
      </c>
      <c r="M100">
        <f t="shared" si="6"/>
        <v>0.56890459363957602</v>
      </c>
      <c r="N100">
        <f t="shared" si="7"/>
        <v>0</v>
      </c>
    </row>
    <row r="101" spans="1:14" x14ac:dyDescent="0.4">
      <c r="A101" t="s">
        <v>120</v>
      </c>
      <c r="B101" t="s">
        <v>21</v>
      </c>
      <c r="C101" t="s">
        <v>12</v>
      </c>
      <c r="D101" t="s">
        <v>97</v>
      </c>
      <c r="E101" s="1">
        <v>44677</v>
      </c>
      <c r="F101">
        <v>94</v>
      </c>
      <c r="G101">
        <v>145</v>
      </c>
      <c r="H101">
        <v>390.62</v>
      </c>
      <c r="I101">
        <v>301.02</v>
      </c>
      <c r="J101" t="s">
        <v>34</v>
      </c>
      <c r="K101">
        <f t="shared" si="4"/>
        <v>28295.879999999997</v>
      </c>
      <c r="L101">
        <f t="shared" si="5"/>
        <v>-8422.4000000000015</v>
      </c>
      <c r="M101">
        <f t="shared" si="6"/>
        <v>0.64827586206896548</v>
      </c>
      <c r="N101">
        <f t="shared" si="7"/>
        <v>0</v>
      </c>
    </row>
    <row r="102" spans="1:14" x14ac:dyDescent="0.4">
      <c r="A102" t="s">
        <v>24</v>
      </c>
      <c r="B102" t="s">
        <v>32</v>
      </c>
      <c r="C102" t="s">
        <v>52</v>
      </c>
      <c r="D102" t="s">
        <v>62</v>
      </c>
      <c r="E102" s="1">
        <v>45422</v>
      </c>
      <c r="F102">
        <v>177</v>
      </c>
      <c r="G102">
        <v>91</v>
      </c>
      <c r="H102">
        <v>360.1</v>
      </c>
      <c r="I102">
        <v>329.42</v>
      </c>
      <c r="J102" t="s">
        <v>19</v>
      </c>
      <c r="K102">
        <f t="shared" si="4"/>
        <v>58307.340000000004</v>
      </c>
      <c r="L102">
        <f t="shared" si="5"/>
        <v>-5430.3600000000015</v>
      </c>
      <c r="M102">
        <f t="shared" si="6"/>
        <v>1.945054945054945</v>
      </c>
      <c r="N102">
        <f t="shared" si="7"/>
        <v>0</v>
      </c>
    </row>
    <row r="103" spans="1:14" x14ac:dyDescent="0.4">
      <c r="A103" t="s">
        <v>121</v>
      </c>
      <c r="B103" t="s">
        <v>32</v>
      </c>
      <c r="C103" t="s">
        <v>17</v>
      </c>
      <c r="D103" t="s">
        <v>69</v>
      </c>
      <c r="E103" s="1">
        <v>45254</v>
      </c>
      <c r="F103">
        <v>83</v>
      </c>
      <c r="G103">
        <v>178</v>
      </c>
      <c r="H103">
        <v>438.64</v>
      </c>
      <c r="I103">
        <v>180.92</v>
      </c>
      <c r="J103" t="s">
        <v>23</v>
      </c>
      <c r="K103">
        <f t="shared" si="4"/>
        <v>15016.359999999999</v>
      </c>
      <c r="L103">
        <f t="shared" si="5"/>
        <v>-21390.760000000002</v>
      </c>
      <c r="M103">
        <f t="shared" si="6"/>
        <v>0.46629213483146065</v>
      </c>
      <c r="N103">
        <f t="shared" si="7"/>
        <v>0</v>
      </c>
    </row>
    <row r="104" spans="1:14" x14ac:dyDescent="0.4">
      <c r="A104" t="s">
        <v>122</v>
      </c>
      <c r="B104" t="s">
        <v>32</v>
      </c>
      <c r="C104" t="s">
        <v>17</v>
      </c>
      <c r="D104" t="s">
        <v>40</v>
      </c>
      <c r="E104" s="1">
        <v>44885</v>
      </c>
      <c r="F104">
        <v>139</v>
      </c>
      <c r="G104">
        <v>55</v>
      </c>
      <c r="H104">
        <v>498.56</v>
      </c>
      <c r="I104">
        <v>372.04</v>
      </c>
      <c r="J104" t="s">
        <v>34</v>
      </c>
      <c r="K104">
        <f t="shared" si="4"/>
        <v>51713.560000000005</v>
      </c>
      <c r="L104">
        <f t="shared" si="5"/>
        <v>-17586.28</v>
      </c>
      <c r="M104">
        <f t="shared" si="6"/>
        <v>2.5272727272727273</v>
      </c>
      <c r="N104">
        <f t="shared" si="7"/>
        <v>0</v>
      </c>
    </row>
    <row r="105" spans="1:14" x14ac:dyDescent="0.4">
      <c r="A105" t="s">
        <v>71</v>
      </c>
      <c r="B105" t="s">
        <v>21</v>
      </c>
      <c r="C105" t="s">
        <v>17</v>
      </c>
      <c r="D105" t="s">
        <v>69</v>
      </c>
      <c r="E105" s="1">
        <v>45522</v>
      </c>
      <c r="F105">
        <v>131</v>
      </c>
      <c r="G105">
        <v>154</v>
      </c>
      <c r="H105">
        <v>242.09</v>
      </c>
      <c r="I105">
        <v>126.06</v>
      </c>
      <c r="J105" t="s">
        <v>14</v>
      </c>
      <c r="K105">
        <f t="shared" si="4"/>
        <v>16513.86</v>
      </c>
      <c r="L105">
        <f t="shared" si="5"/>
        <v>-15199.93</v>
      </c>
      <c r="M105">
        <f t="shared" si="6"/>
        <v>0.85064935064935066</v>
      </c>
      <c r="N105">
        <f t="shared" si="7"/>
        <v>0</v>
      </c>
    </row>
    <row r="106" spans="1:14" x14ac:dyDescent="0.4">
      <c r="A106" t="s">
        <v>123</v>
      </c>
      <c r="B106" t="s">
        <v>25</v>
      </c>
      <c r="C106" t="s">
        <v>17</v>
      </c>
      <c r="D106" t="s">
        <v>75</v>
      </c>
      <c r="E106" s="1">
        <v>44675</v>
      </c>
      <c r="F106">
        <v>86</v>
      </c>
      <c r="G106">
        <v>159</v>
      </c>
      <c r="H106">
        <v>100.02</v>
      </c>
      <c r="I106">
        <v>742.32</v>
      </c>
      <c r="J106" t="s">
        <v>30</v>
      </c>
      <c r="K106">
        <f t="shared" si="4"/>
        <v>63839.520000000004</v>
      </c>
      <c r="L106">
        <f t="shared" si="5"/>
        <v>55237.8</v>
      </c>
      <c r="M106">
        <f t="shared" si="6"/>
        <v>0.54088050314465408</v>
      </c>
      <c r="N106">
        <f t="shared" si="7"/>
        <v>0</v>
      </c>
    </row>
    <row r="107" spans="1:14" x14ac:dyDescent="0.4">
      <c r="A107" t="s">
        <v>90</v>
      </c>
      <c r="B107" t="s">
        <v>39</v>
      </c>
      <c r="C107" t="s">
        <v>17</v>
      </c>
      <c r="D107" t="s">
        <v>69</v>
      </c>
      <c r="E107" s="1">
        <v>45643</v>
      </c>
      <c r="F107">
        <v>175</v>
      </c>
      <c r="G107">
        <v>110</v>
      </c>
      <c r="H107">
        <v>63.69</v>
      </c>
      <c r="I107">
        <v>571.17999999999995</v>
      </c>
      <c r="J107" t="s">
        <v>19</v>
      </c>
      <c r="K107">
        <f t="shared" si="4"/>
        <v>99956.499999999985</v>
      </c>
      <c r="L107">
        <f t="shared" si="5"/>
        <v>88810.749999999985</v>
      </c>
      <c r="M107">
        <f t="shared" si="6"/>
        <v>1.5909090909090908</v>
      </c>
      <c r="N107">
        <f t="shared" si="7"/>
        <v>0</v>
      </c>
    </row>
    <row r="108" spans="1:14" x14ac:dyDescent="0.4">
      <c r="A108" t="s">
        <v>46</v>
      </c>
      <c r="B108" t="s">
        <v>28</v>
      </c>
      <c r="C108" t="s">
        <v>29</v>
      </c>
      <c r="D108" t="s">
        <v>33</v>
      </c>
      <c r="E108" s="1">
        <v>44715</v>
      </c>
      <c r="F108">
        <v>182</v>
      </c>
      <c r="G108">
        <v>136</v>
      </c>
      <c r="H108">
        <v>377.09</v>
      </c>
      <c r="I108">
        <v>793.52</v>
      </c>
      <c r="J108" t="s">
        <v>34</v>
      </c>
      <c r="K108">
        <f t="shared" si="4"/>
        <v>144420.63999999998</v>
      </c>
      <c r="L108">
        <f t="shared" si="5"/>
        <v>75790.259999999995</v>
      </c>
      <c r="M108">
        <f t="shared" si="6"/>
        <v>1.338235294117647</v>
      </c>
      <c r="N108">
        <f t="shared" si="7"/>
        <v>0</v>
      </c>
    </row>
    <row r="109" spans="1:14" x14ac:dyDescent="0.4">
      <c r="A109" t="s">
        <v>124</v>
      </c>
      <c r="B109" t="s">
        <v>25</v>
      </c>
      <c r="C109" t="s">
        <v>12</v>
      </c>
      <c r="D109" t="s">
        <v>18</v>
      </c>
      <c r="E109" s="1">
        <v>44876</v>
      </c>
      <c r="F109">
        <v>111</v>
      </c>
      <c r="G109">
        <v>231</v>
      </c>
      <c r="H109">
        <v>443.31</v>
      </c>
      <c r="I109">
        <v>717.98</v>
      </c>
      <c r="J109" t="s">
        <v>23</v>
      </c>
      <c r="K109">
        <f t="shared" si="4"/>
        <v>79695.78</v>
      </c>
      <c r="L109">
        <f t="shared" si="5"/>
        <v>30488.370000000003</v>
      </c>
      <c r="M109">
        <f t="shared" si="6"/>
        <v>0.48051948051948051</v>
      </c>
      <c r="N109">
        <f t="shared" si="7"/>
        <v>0</v>
      </c>
    </row>
    <row r="110" spans="1:14" x14ac:dyDescent="0.4">
      <c r="A110" t="s">
        <v>125</v>
      </c>
      <c r="B110" t="s">
        <v>28</v>
      </c>
      <c r="C110" t="s">
        <v>29</v>
      </c>
      <c r="D110" t="s">
        <v>18</v>
      </c>
      <c r="E110" s="1">
        <v>45626</v>
      </c>
      <c r="F110">
        <v>128</v>
      </c>
      <c r="G110">
        <v>219</v>
      </c>
      <c r="H110">
        <v>149.32</v>
      </c>
      <c r="I110">
        <v>431.09</v>
      </c>
      <c r="J110" t="s">
        <v>30</v>
      </c>
      <c r="K110">
        <f t="shared" si="4"/>
        <v>55179.519999999997</v>
      </c>
      <c r="L110">
        <f t="shared" si="5"/>
        <v>36066.559999999998</v>
      </c>
      <c r="M110">
        <f t="shared" si="6"/>
        <v>0.58447488584474883</v>
      </c>
      <c r="N110">
        <f t="shared" si="7"/>
        <v>0</v>
      </c>
    </row>
    <row r="111" spans="1:14" x14ac:dyDescent="0.4">
      <c r="A111" t="s">
        <v>126</v>
      </c>
      <c r="B111" t="s">
        <v>43</v>
      </c>
      <c r="C111" t="s">
        <v>17</v>
      </c>
      <c r="D111" t="s">
        <v>97</v>
      </c>
      <c r="E111" s="1">
        <v>44666</v>
      </c>
      <c r="F111">
        <v>88</v>
      </c>
      <c r="G111">
        <v>67</v>
      </c>
      <c r="H111">
        <v>121.3</v>
      </c>
      <c r="I111">
        <v>463.78</v>
      </c>
      <c r="J111" t="s">
        <v>30</v>
      </c>
      <c r="K111">
        <f t="shared" si="4"/>
        <v>40812.639999999999</v>
      </c>
      <c r="L111">
        <f t="shared" si="5"/>
        <v>30138.239999999998</v>
      </c>
      <c r="M111">
        <f t="shared" si="6"/>
        <v>1.3134328358208955</v>
      </c>
      <c r="N111">
        <f t="shared" si="7"/>
        <v>0</v>
      </c>
    </row>
    <row r="112" spans="1:14" x14ac:dyDescent="0.4">
      <c r="A112" t="s">
        <v>127</v>
      </c>
      <c r="B112" t="s">
        <v>11</v>
      </c>
      <c r="C112" t="s">
        <v>52</v>
      </c>
      <c r="D112" t="s">
        <v>66</v>
      </c>
      <c r="E112" s="1">
        <v>44915</v>
      </c>
      <c r="F112">
        <v>65</v>
      </c>
      <c r="G112">
        <v>248</v>
      </c>
      <c r="H112">
        <v>77.989999999999995</v>
      </c>
      <c r="I112">
        <v>233.4</v>
      </c>
      <c r="J112" t="s">
        <v>34</v>
      </c>
      <c r="K112">
        <f t="shared" si="4"/>
        <v>15171</v>
      </c>
      <c r="L112">
        <f t="shared" si="5"/>
        <v>10101.650000000001</v>
      </c>
      <c r="M112">
        <f t="shared" si="6"/>
        <v>0.26209677419354838</v>
      </c>
      <c r="N112">
        <f t="shared" si="7"/>
        <v>0</v>
      </c>
    </row>
    <row r="113" spans="1:14" x14ac:dyDescent="0.4">
      <c r="A113" t="s">
        <v>100</v>
      </c>
      <c r="B113" t="s">
        <v>11</v>
      </c>
      <c r="C113" t="s">
        <v>52</v>
      </c>
      <c r="D113" t="s">
        <v>37</v>
      </c>
      <c r="E113" s="1">
        <v>45577</v>
      </c>
      <c r="F113">
        <v>157</v>
      </c>
      <c r="G113">
        <v>5</v>
      </c>
      <c r="H113">
        <v>420.22</v>
      </c>
      <c r="I113">
        <v>423.43</v>
      </c>
      <c r="J113" t="s">
        <v>23</v>
      </c>
      <c r="K113">
        <f t="shared" si="4"/>
        <v>66478.509999999995</v>
      </c>
      <c r="L113">
        <f t="shared" si="5"/>
        <v>503.96999999999679</v>
      </c>
      <c r="M113">
        <f t="shared" si="6"/>
        <v>31.4</v>
      </c>
      <c r="N113">
        <f t="shared" si="7"/>
        <v>0</v>
      </c>
    </row>
    <row r="114" spans="1:14" x14ac:dyDescent="0.4">
      <c r="A114" t="s">
        <v>125</v>
      </c>
      <c r="B114" t="s">
        <v>58</v>
      </c>
      <c r="C114" t="s">
        <v>17</v>
      </c>
      <c r="D114" t="s">
        <v>40</v>
      </c>
      <c r="E114" s="1">
        <v>45294</v>
      </c>
      <c r="F114">
        <v>130</v>
      </c>
      <c r="G114">
        <v>279</v>
      </c>
      <c r="H114">
        <v>190.12</v>
      </c>
      <c r="I114">
        <v>732.12</v>
      </c>
      <c r="J114" t="s">
        <v>19</v>
      </c>
      <c r="K114">
        <f t="shared" si="4"/>
        <v>95175.6</v>
      </c>
      <c r="L114">
        <f t="shared" si="5"/>
        <v>70460</v>
      </c>
      <c r="M114">
        <f t="shared" si="6"/>
        <v>0.46594982078853048</v>
      </c>
      <c r="N114">
        <f t="shared" si="7"/>
        <v>0</v>
      </c>
    </row>
    <row r="115" spans="1:14" x14ac:dyDescent="0.4">
      <c r="A115" t="s">
        <v>128</v>
      </c>
      <c r="B115" t="s">
        <v>11</v>
      </c>
      <c r="C115" t="s">
        <v>17</v>
      </c>
      <c r="D115" t="s">
        <v>13</v>
      </c>
      <c r="E115" s="1">
        <v>45270</v>
      </c>
      <c r="F115">
        <v>121</v>
      </c>
      <c r="G115">
        <v>93</v>
      </c>
      <c r="H115">
        <v>230.76</v>
      </c>
      <c r="I115">
        <v>135.6</v>
      </c>
      <c r="J115" t="s">
        <v>34</v>
      </c>
      <c r="K115">
        <f t="shared" si="4"/>
        <v>16407.599999999999</v>
      </c>
      <c r="L115">
        <f t="shared" si="5"/>
        <v>-11514.359999999999</v>
      </c>
      <c r="M115">
        <f t="shared" si="6"/>
        <v>1.3010752688172043</v>
      </c>
      <c r="N115">
        <f t="shared" si="7"/>
        <v>0</v>
      </c>
    </row>
    <row r="116" spans="1:14" x14ac:dyDescent="0.4">
      <c r="A116" t="s">
        <v>128</v>
      </c>
      <c r="B116" t="s">
        <v>21</v>
      </c>
      <c r="C116" t="s">
        <v>52</v>
      </c>
      <c r="D116" t="s">
        <v>72</v>
      </c>
      <c r="E116" s="1">
        <v>45212</v>
      </c>
      <c r="F116">
        <v>148</v>
      </c>
      <c r="G116">
        <v>268</v>
      </c>
      <c r="H116">
        <v>276.24</v>
      </c>
      <c r="I116">
        <v>704.49</v>
      </c>
      <c r="J116" t="s">
        <v>19</v>
      </c>
      <c r="K116">
        <f t="shared" si="4"/>
        <v>104264.52</v>
      </c>
      <c r="L116">
        <f t="shared" si="5"/>
        <v>63381</v>
      </c>
      <c r="M116">
        <f t="shared" si="6"/>
        <v>0.55223880597014929</v>
      </c>
      <c r="N116">
        <f t="shared" si="7"/>
        <v>0</v>
      </c>
    </row>
    <row r="117" spans="1:14" x14ac:dyDescent="0.4">
      <c r="A117" t="s">
        <v>129</v>
      </c>
      <c r="B117" t="s">
        <v>36</v>
      </c>
      <c r="C117" t="s">
        <v>29</v>
      </c>
      <c r="D117" t="s">
        <v>65</v>
      </c>
      <c r="E117" s="1">
        <v>45385</v>
      </c>
      <c r="F117">
        <v>83</v>
      </c>
      <c r="G117">
        <v>196</v>
      </c>
      <c r="H117">
        <v>427.75</v>
      </c>
      <c r="I117">
        <v>338.66</v>
      </c>
      <c r="J117" t="s">
        <v>30</v>
      </c>
      <c r="K117">
        <f t="shared" si="4"/>
        <v>28108.780000000002</v>
      </c>
      <c r="L117">
        <f t="shared" si="5"/>
        <v>-7394.4699999999975</v>
      </c>
      <c r="M117">
        <f t="shared" si="6"/>
        <v>0.42346938775510207</v>
      </c>
      <c r="N117">
        <f t="shared" si="7"/>
        <v>0</v>
      </c>
    </row>
    <row r="118" spans="1:14" x14ac:dyDescent="0.4">
      <c r="A118" t="s">
        <v>130</v>
      </c>
      <c r="B118" t="s">
        <v>16</v>
      </c>
      <c r="C118" t="s">
        <v>29</v>
      </c>
      <c r="D118" t="s">
        <v>37</v>
      </c>
      <c r="E118" s="1">
        <v>45508</v>
      </c>
      <c r="F118">
        <v>176</v>
      </c>
      <c r="G118">
        <v>24</v>
      </c>
      <c r="H118">
        <v>342.87</v>
      </c>
      <c r="I118">
        <v>729.66</v>
      </c>
      <c r="J118" t="s">
        <v>19</v>
      </c>
      <c r="K118">
        <f t="shared" si="4"/>
        <v>128420.15999999999</v>
      </c>
      <c r="L118">
        <f t="shared" si="5"/>
        <v>68075.039999999994</v>
      </c>
      <c r="M118">
        <f t="shared" si="6"/>
        <v>7.333333333333333</v>
      </c>
      <c r="N118">
        <f t="shared" si="7"/>
        <v>0</v>
      </c>
    </row>
    <row r="119" spans="1:14" x14ac:dyDescent="0.4">
      <c r="A119" t="s">
        <v>131</v>
      </c>
      <c r="B119" t="s">
        <v>58</v>
      </c>
      <c r="C119" t="s">
        <v>17</v>
      </c>
      <c r="D119" t="s">
        <v>33</v>
      </c>
      <c r="E119" s="1">
        <v>45222</v>
      </c>
      <c r="F119">
        <v>115</v>
      </c>
      <c r="G119">
        <v>147</v>
      </c>
      <c r="H119">
        <v>326.77999999999997</v>
      </c>
      <c r="I119">
        <v>758.62</v>
      </c>
      <c r="J119" t="s">
        <v>23</v>
      </c>
      <c r="K119">
        <f t="shared" si="4"/>
        <v>87241.3</v>
      </c>
      <c r="L119">
        <f t="shared" si="5"/>
        <v>49661.600000000006</v>
      </c>
      <c r="M119">
        <f t="shared" si="6"/>
        <v>0.78231292517006801</v>
      </c>
      <c r="N119">
        <f t="shared" si="7"/>
        <v>0</v>
      </c>
    </row>
    <row r="120" spans="1:14" x14ac:dyDescent="0.4">
      <c r="A120" t="s">
        <v>119</v>
      </c>
      <c r="B120" t="s">
        <v>16</v>
      </c>
      <c r="C120" t="s">
        <v>29</v>
      </c>
      <c r="D120" t="s">
        <v>132</v>
      </c>
      <c r="E120" s="1">
        <v>44660</v>
      </c>
      <c r="F120">
        <v>189</v>
      </c>
      <c r="G120">
        <v>117</v>
      </c>
      <c r="H120">
        <v>129.05000000000001</v>
      </c>
      <c r="I120">
        <v>569.61</v>
      </c>
      <c r="J120" t="s">
        <v>14</v>
      </c>
      <c r="K120">
        <f t="shared" si="4"/>
        <v>107656.29000000001</v>
      </c>
      <c r="L120">
        <f t="shared" si="5"/>
        <v>83265.84</v>
      </c>
      <c r="M120">
        <f t="shared" si="6"/>
        <v>1.6153846153846154</v>
      </c>
      <c r="N120">
        <f t="shared" si="7"/>
        <v>0</v>
      </c>
    </row>
    <row r="121" spans="1:14" x14ac:dyDescent="0.4">
      <c r="A121" t="s">
        <v>133</v>
      </c>
      <c r="B121" t="s">
        <v>28</v>
      </c>
      <c r="C121" t="s">
        <v>52</v>
      </c>
      <c r="D121" t="s">
        <v>47</v>
      </c>
      <c r="E121" s="1">
        <v>45149</v>
      </c>
      <c r="F121">
        <v>115</v>
      </c>
      <c r="G121">
        <v>65</v>
      </c>
      <c r="H121">
        <v>280.94</v>
      </c>
      <c r="I121">
        <v>565.1</v>
      </c>
      <c r="J121" t="s">
        <v>23</v>
      </c>
      <c r="K121">
        <f t="shared" si="4"/>
        <v>64986.5</v>
      </c>
      <c r="L121">
        <f t="shared" si="5"/>
        <v>32678.400000000001</v>
      </c>
      <c r="M121">
        <f t="shared" si="6"/>
        <v>1.7692307692307692</v>
      </c>
      <c r="N121">
        <f t="shared" si="7"/>
        <v>0</v>
      </c>
    </row>
    <row r="122" spans="1:14" x14ac:dyDescent="0.4">
      <c r="A122" t="s">
        <v>83</v>
      </c>
      <c r="B122" t="s">
        <v>16</v>
      </c>
      <c r="C122" t="s">
        <v>29</v>
      </c>
      <c r="D122" t="s">
        <v>66</v>
      </c>
      <c r="E122" s="1">
        <v>44843</v>
      </c>
      <c r="F122">
        <v>37</v>
      </c>
      <c r="G122">
        <v>174</v>
      </c>
      <c r="H122">
        <v>371.92</v>
      </c>
      <c r="I122">
        <v>416.93</v>
      </c>
      <c r="J122" t="s">
        <v>19</v>
      </c>
      <c r="K122">
        <f t="shared" si="4"/>
        <v>15426.41</v>
      </c>
      <c r="L122">
        <f t="shared" si="5"/>
        <v>1665.3699999999997</v>
      </c>
      <c r="M122">
        <f t="shared" si="6"/>
        <v>0.21264367816091953</v>
      </c>
      <c r="N122">
        <f t="shared" si="7"/>
        <v>0</v>
      </c>
    </row>
    <row r="123" spans="1:14" x14ac:dyDescent="0.4">
      <c r="A123" t="s">
        <v>31</v>
      </c>
      <c r="B123" t="s">
        <v>16</v>
      </c>
      <c r="C123" t="s">
        <v>17</v>
      </c>
      <c r="D123" t="s">
        <v>65</v>
      </c>
      <c r="E123" s="1">
        <v>44964</v>
      </c>
      <c r="F123">
        <v>142</v>
      </c>
      <c r="G123">
        <v>75</v>
      </c>
      <c r="H123">
        <v>487.97</v>
      </c>
      <c r="I123">
        <v>684.88</v>
      </c>
      <c r="J123" t="s">
        <v>34</v>
      </c>
      <c r="K123">
        <f t="shared" si="4"/>
        <v>97252.96</v>
      </c>
      <c r="L123">
        <f t="shared" si="5"/>
        <v>27961.219999999994</v>
      </c>
      <c r="M123">
        <f t="shared" si="6"/>
        <v>1.8933333333333333</v>
      </c>
      <c r="N123">
        <f t="shared" si="7"/>
        <v>0</v>
      </c>
    </row>
    <row r="124" spans="1:14" x14ac:dyDescent="0.4">
      <c r="A124" t="s">
        <v>134</v>
      </c>
      <c r="B124" t="s">
        <v>58</v>
      </c>
      <c r="C124" t="s">
        <v>52</v>
      </c>
      <c r="D124" t="s">
        <v>33</v>
      </c>
      <c r="E124" s="1">
        <v>45261</v>
      </c>
      <c r="F124">
        <v>109</v>
      </c>
      <c r="G124">
        <v>113</v>
      </c>
      <c r="H124">
        <v>140.63</v>
      </c>
      <c r="I124">
        <v>773.13</v>
      </c>
      <c r="J124" t="s">
        <v>30</v>
      </c>
      <c r="K124">
        <f t="shared" si="4"/>
        <v>84271.17</v>
      </c>
      <c r="L124">
        <f t="shared" si="5"/>
        <v>68942.5</v>
      </c>
      <c r="M124">
        <f t="shared" si="6"/>
        <v>0.96460176991150437</v>
      </c>
      <c r="N124">
        <f t="shared" si="7"/>
        <v>0</v>
      </c>
    </row>
    <row r="125" spans="1:14" x14ac:dyDescent="0.4">
      <c r="A125" t="s">
        <v>110</v>
      </c>
      <c r="B125" t="s">
        <v>43</v>
      </c>
      <c r="C125" t="s">
        <v>29</v>
      </c>
      <c r="D125" t="s">
        <v>33</v>
      </c>
      <c r="E125" s="1">
        <v>44760</v>
      </c>
      <c r="F125">
        <v>179</v>
      </c>
      <c r="G125">
        <v>110</v>
      </c>
      <c r="H125">
        <v>54.29</v>
      </c>
      <c r="I125">
        <v>642.55999999999995</v>
      </c>
      <c r="J125" t="s">
        <v>14</v>
      </c>
      <c r="K125">
        <f t="shared" si="4"/>
        <v>115018.23999999999</v>
      </c>
      <c r="L125">
        <f t="shared" si="5"/>
        <v>105300.33</v>
      </c>
      <c r="M125">
        <f t="shared" si="6"/>
        <v>1.6272727272727272</v>
      </c>
      <c r="N125">
        <f t="shared" si="7"/>
        <v>0</v>
      </c>
    </row>
    <row r="126" spans="1:14" x14ac:dyDescent="0.4">
      <c r="A126" t="s">
        <v>129</v>
      </c>
      <c r="B126" t="s">
        <v>32</v>
      </c>
      <c r="C126" t="s">
        <v>12</v>
      </c>
      <c r="D126" t="s">
        <v>132</v>
      </c>
      <c r="E126" s="1">
        <v>44888</v>
      </c>
      <c r="F126">
        <v>45</v>
      </c>
      <c r="G126">
        <v>248</v>
      </c>
      <c r="H126">
        <v>83.89</v>
      </c>
      <c r="I126">
        <v>535.36</v>
      </c>
      <c r="J126" t="s">
        <v>34</v>
      </c>
      <c r="K126">
        <f t="shared" si="4"/>
        <v>24091.200000000001</v>
      </c>
      <c r="L126">
        <f t="shared" si="5"/>
        <v>20316.150000000001</v>
      </c>
      <c r="M126">
        <f t="shared" si="6"/>
        <v>0.18145161290322581</v>
      </c>
      <c r="N126">
        <f t="shared" si="7"/>
        <v>0</v>
      </c>
    </row>
    <row r="127" spans="1:14" x14ac:dyDescent="0.4">
      <c r="A127" t="s">
        <v>112</v>
      </c>
      <c r="B127" t="s">
        <v>11</v>
      </c>
      <c r="C127" t="s">
        <v>52</v>
      </c>
      <c r="D127" t="s">
        <v>53</v>
      </c>
      <c r="E127" s="1">
        <v>44715</v>
      </c>
      <c r="F127">
        <v>24</v>
      </c>
      <c r="G127">
        <v>202</v>
      </c>
      <c r="H127">
        <v>219.13</v>
      </c>
      <c r="I127">
        <v>524.76</v>
      </c>
      <c r="J127" t="s">
        <v>34</v>
      </c>
      <c r="K127">
        <f t="shared" si="4"/>
        <v>12594.24</v>
      </c>
      <c r="L127">
        <f t="shared" si="5"/>
        <v>7335.12</v>
      </c>
      <c r="M127">
        <f t="shared" si="6"/>
        <v>0.11881188118811881</v>
      </c>
      <c r="N127">
        <f t="shared" si="7"/>
        <v>0</v>
      </c>
    </row>
    <row r="128" spans="1:14" x14ac:dyDescent="0.4">
      <c r="A128" t="s">
        <v>135</v>
      </c>
      <c r="B128" t="s">
        <v>11</v>
      </c>
      <c r="C128" t="s">
        <v>52</v>
      </c>
      <c r="D128" t="s">
        <v>62</v>
      </c>
      <c r="E128" s="1">
        <v>45113</v>
      </c>
      <c r="F128">
        <v>20</v>
      </c>
      <c r="G128">
        <v>146</v>
      </c>
      <c r="H128">
        <v>419.25</v>
      </c>
      <c r="I128">
        <v>694.63</v>
      </c>
      <c r="J128" t="s">
        <v>23</v>
      </c>
      <c r="K128">
        <f t="shared" si="4"/>
        <v>13892.6</v>
      </c>
      <c r="L128">
        <f t="shared" si="5"/>
        <v>5507.6</v>
      </c>
      <c r="M128">
        <f t="shared" si="6"/>
        <v>0.13698630136986301</v>
      </c>
      <c r="N128">
        <f t="shared" si="7"/>
        <v>0</v>
      </c>
    </row>
    <row r="129" spans="1:14" x14ac:dyDescent="0.4">
      <c r="A129" t="s">
        <v>136</v>
      </c>
      <c r="B129" t="s">
        <v>21</v>
      </c>
      <c r="C129" t="s">
        <v>12</v>
      </c>
      <c r="D129" t="s">
        <v>53</v>
      </c>
      <c r="E129" s="1">
        <v>44966</v>
      </c>
      <c r="F129">
        <v>120</v>
      </c>
      <c r="G129">
        <v>34</v>
      </c>
      <c r="H129">
        <v>53.21</v>
      </c>
      <c r="I129">
        <v>478.84</v>
      </c>
      <c r="J129" t="s">
        <v>19</v>
      </c>
      <c r="K129">
        <f t="shared" si="4"/>
        <v>57460.799999999996</v>
      </c>
      <c r="L129">
        <f t="shared" si="5"/>
        <v>51075.6</v>
      </c>
      <c r="M129">
        <f t="shared" si="6"/>
        <v>3.5294117647058822</v>
      </c>
      <c r="N129">
        <f t="shared" si="7"/>
        <v>0</v>
      </c>
    </row>
    <row r="130" spans="1:14" x14ac:dyDescent="0.4">
      <c r="A130" t="s">
        <v>137</v>
      </c>
      <c r="B130" t="s">
        <v>58</v>
      </c>
      <c r="C130" t="s">
        <v>12</v>
      </c>
      <c r="D130" t="s">
        <v>132</v>
      </c>
      <c r="E130" s="1">
        <v>45023</v>
      </c>
      <c r="F130">
        <v>121</v>
      </c>
      <c r="G130">
        <v>25</v>
      </c>
      <c r="H130">
        <v>255.53</v>
      </c>
      <c r="I130">
        <v>662.7</v>
      </c>
      <c r="J130" t="s">
        <v>23</v>
      </c>
      <c r="K130">
        <f t="shared" si="4"/>
        <v>80186.700000000012</v>
      </c>
      <c r="L130">
        <f t="shared" si="5"/>
        <v>49267.570000000007</v>
      </c>
      <c r="M130">
        <f t="shared" si="6"/>
        <v>4.84</v>
      </c>
      <c r="N130">
        <f t="shared" si="7"/>
        <v>0</v>
      </c>
    </row>
    <row r="131" spans="1:14" x14ac:dyDescent="0.4">
      <c r="A131" t="s">
        <v>138</v>
      </c>
      <c r="B131" t="s">
        <v>21</v>
      </c>
      <c r="C131" t="s">
        <v>52</v>
      </c>
      <c r="D131" t="s">
        <v>37</v>
      </c>
      <c r="E131" s="1">
        <v>44693</v>
      </c>
      <c r="F131">
        <v>132</v>
      </c>
      <c r="G131">
        <v>237</v>
      </c>
      <c r="H131">
        <v>198.15</v>
      </c>
      <c r="I131">
        <v>456.22</v>
      </c>
      <c r="J131" t="s">
        <v>19</v>
      </c>
      <c r="K131">
        <f t="shared" ref="K131:K194" si="8">F131 * I131</f>
        <v>60221.04</v>
      </c>
      <c r="L131">
        <f t="shared" ref="L131:L194" si="9">(I131 - H131) * F131</f>
        <v>34065.240000000005</v>
      </c>
      <c r="M131">
        <f t="shared" ref="M131:M194" si="10">IF(G131=0, 0, F131/G131)</f>
        <v>0.55696202531645567</v>
      </c>
      <c r="N131">
        <f t="shared" ref="N131:N194" si="11">IF(G131=0, 1, 0)</f>
        <v>0</v>
      </c>
    </row>
    <row r="132" spans="1:14" x14ac:dyDescent="0.4">
      <c r="A132" t="s">
        <v>96</v>
      </c>
      <c r="B132" t="s">
        <v>36</v>
      </c>
      <c r="C132" t="s">
        <v>12</v>
      </c>
      <c r="D132" t="s">
        <v>72</v>
      </c>
      <c r="E132" s="1">
        <v>45352</v>
      </c>
      <c r="F132">
        <v>69</v>
      </c>
      <c r="G132">
        <v>13</v>
      </c>
      <c r="H132">
        <v>73.62</v>
      </c>
      <c r="I132">
        <v>143.71</v>
      </c>
      <c r="J132" t="s">
        <v>23</v>
      </c>
      <c r="K132">
        <f t="shared" si="8"/>
        <v>9915.99</v>
      </c>
      <c r="L132">
        <f t="shared" si="9"/>
        <v>4836.21</v>
      </c>
      <c r="M132">
        <f t="shared" si="10"/>
        <v>5.3076923076923075</v>
      </c>
      <c r="N132">
        <f t="shared" si="11"/>
        <v>0</v>
      </c>
    </row>
    <row r="133" spans="1:14" x14ac:dyDescent="0.4">
      <c r="A133" t="s">
        <v>50</v>
      </c>
      <c r="B133" t="s">
        <v>36</v>
      </c>
      <c r="C133" t="s">
        <v>17</v>
      </c>
      <c r="D133" t="s">
        <v>69</v>
      </c>
      <c r="E133" s="1">
        <v>45435</v>
      </c>
      <c r="F133">
        <v>112</v>
      </c>
      <c r="G133">
        <v>44</v>
      </c>
      <c r="H133">
        <v>252.61</v>
      </c>
      <c r="I133">
        <v>368.76</v>
      </c>
      <c r="J133" t="s">
        <v>34</v>
      </c>
      <c r="K133">
        <f t="shared" si="8"/>
        <v>41301.119999999995</v>
      </c>
      <c r="L133">
        <f t="shared" si="9"/>
        <v>13008.799999999997</v>
      </c>
      <c r="M133">
        <f t="shared" si="10"/>
        <v>2.5454545454545454</v>
      </c>
      <c r="N133">
        <f t="shared" si="11"/>
        <v>0</v>
      </c>
    </row>
    <row r="134" spans="1:14" x14ac:dyDescent="0.4">
      <c r="A134" t="s">
        <v>99</v>
      </c>
      <c r="B134" t="s">
        <v>21</v>
      </c>
      <c r="C134" t="s">
        <v>17</v>
      </c>
      <c r="D134" t="s">
        <v>132</v>
      </c>
      <c r="E134" s="1">
        <v>44645</v>
      </c>
      <c r="F134">
        <v>106</v>
      </c>
      <c r="G134">
        <v>215</v>
      </c>
      <c r="H134">
        <v>164.64</v>
      </c>
      <c r="I134">
        <v>411.11</v>
      </c>
      <c r="J134" t="s">
        <v>30</v>
      </c>
      <c r="K134">
        <f t="shared" si="8"/>
        <v>43577.66</v>
      </c>
      <c r="L134">
        <f t="shared" si="9"/>
        <v>26125.820000000003</v>
      </c>
      <c r="M134">
        <f t="shared" si="10"/>
        <v>0.49302325581395351</v>
      </c>
      <c r="N134">
        <f t="shared" si="11"/>
        <v>0</v>
      </c>
    </row>
    <row r="135" spans="1:14" x14ac:dyDescent="0.4">
      <c r="A135" t="s">
        <v>139</v>
      </c>
      <c r="B135" t="s">
        <v>58</v>
      </c>
      <c r="C135" t="s">
        <v>17</v>
      </c>
      <c r="D135" t="s">
        <v>22</v>
      </c>
      <c r="E135" s="1">
        <v>45315</v>
      </c>
      <c r="F135">
        <v>111</v>
      </c>
      <c r="G135">
        <v>232</v>
      </c>
      <c r="H135">
        <v>208.35</v>
      </c>
      <c r="I135">
        <v>199.13</v>
      </c>
      <c r="J135" t="s">
        <v>19</v>
      </c>
      <c r="K135">
        <f t="shared" si="8"/>
        <v>22103.43</v>
      </c>
      <c r="L135">
        <f t="shared" si="9"/>
        <v>-1023.4199999999998</v>
      </c>
      <c r="M135">
        <f t="shared" si="10"/>
        <v>0.47844827586206895</v>
      </c>
      <c r="N135">
        <f t="shared" si="11"/>
        <v>0</v>
      </c>
    </row>
    <row r="136" spans="1:14" x14ac:dyDescent="0.4">
      <c r="A136" t="s">
        <v>140</v>
      </c>
      <c r="B136" t="s">
        <v>21</v>
      </c>
      <c r="C136" t="s">
        <v>52</v>
      </c>
      <c r="D136" t="s">
        <v>132</v>
      </c>
      <c r="E136" s="1">
        <v>45189</v>
      </c>
      <c r="F136">
        <v>107</v>
      </c>
      <c r="G136">
        <v>192</v>
      </c>
      <c r="H136">
        <v>367.53</v>
      </c>
      <c r="I136">
        <v>171.75</v>
      </c>
      <c r="J136" t="s">
        <v>14</v>
      </c>
      <c r="K136">
        <f t="shared" si="8"/>
        <v>18377.25</v>
      </c>
      <c r="L136">
        <f t="shared" si="9"/>
        <v>-20948.459999999995</v>
      </c>
      <c r="M136">
        <f t="shared" si="10"/>
        <v>0.55729166666666663</v>
      </c>
      <c r="N136">
        <f t="shared" si="11"/>
        <v>0</v>
      </c>
    </row>
    <row r="137" spans="1:14" x14ac:dyDescent="0.4">
      <c r="A137" t="s">
        <v>78</v>
      </c>
      <c r="B137" t="s">
        <v>11</v>
      </c>
      <c r="C137" t="s">
        <v>12</v>
      </c>
      <c r="D137" t="s">
        <v>72</v>
      </c>
      <c r="E137" s="1">
        <v>44782</v>
      </c>
      <c r="F137">
        <v>46</v>
      </c>
      <c r="G137">
        <v>50</v>
      </c>
      <c r="H137">
        <v>284.7</v>
      </c>
      <c r="I137">
        <v>474.83</v>
      </c>
      <c r="J137" t="s">
        <v>14</v>
      </c>
      <c r="K137">
        <f t="shared" si="8"/>
        <v>21842.18</v>
      </c>
      <c r="L137">
        <f t="shared" si="9"/>
        <v>8745.98</v>
      </c>
      <c r="M137">
        <f t="shared" si="10"/>
        <v>0.92</v>
      </c>
      <c r="N137">
        <f t="shared" si="11"/>
        <v>0</v>
      </c>
    </row>
    <row r="138" spans="1:14" x14ac:dyDescent="0.4">
      <c r="A138" t="s">
        <v>54</v>
      </c>
      <c r="B138" t="s">
        <v>25</v>
      </c>
      <c r="C138" t="s">
        <v>12</v>
      </c>
      <c r="D138" t="s">
        <v>132</v>
      </c>
      <c r="E138" s="1">
        <v>45114</v>
      </c>
      <c r="F138">
        <v>195</v>
      </c>
      <c r="G138">
        <v>213</v>
      </c>
      <c r="H138">
        <v>106.09</v>
      </c>
      <c r="I138">
        <v>159.6</v>
      </c>
      <c r="J138" t="s">
        <v>34</v>
      </c>
      <c r="K138">
        <f t="shared" si="8"/>
        <v>31122</v>
      </c>
      <c r="L138">
        <f t="shared" si="9"/>
        <v>10434.449999999999</v>
      </c>
      <c r="M138">
        <f t="shared" si="10"/>
        <v>0.91549295774647887</v>
      </c>
      <c r="N138">
        <f t="shared" si="11"/>
        <v>0</v>
      </c>
    </row>
    <row r="139" spans="1:14" x14ac:dyDescent="0.4">
      <c r="A139" t="s">
        <v>141</v>
      </c>
      <c r="B139" t="s">
        <v>39</v>
      </c>
      <c r="C139" t="s">
        <v>29</v>
      </c>
      <c r="D139" t="s">
        <v>22</v>
      </c>
      <c r="E139" s="1">
        <v>44673</v>
      </c>
      <c r="F139">
        <v>90</v>
      </c>
      <c r="G139">
        <v>150</v>
      </c>
      <c r="H139">
        <v>482.64</v>
      </c>
      <c r="I139">
        <v>312.06</v>
      </c>
      <c r="J139" t="s">
        <v>23</v>
      </c>
      <c r="K139">
        <f t="shared" si="8"/>
        <v>28085.4</v>
      </c>
      <c r="L139">
        <f t="shared" si="9"/>
        <v>-15352.199999999999</v>
      </c>
      <c r="M139">
        <f t="shared" si="10"/>
        <v>0.6</v>
      </c>
      <c r="N139">
        <f t="shared" si="11"/>
        <v>0</v>
      </c>
    </row>
    <row r="140" spans="1:14" x14ac:dyDescent="0.4">
      <c r="A140" t="s">
        <v>131</v>
      </c>
      <c r="B140" t="s">
        <v>16</v>
      </c>
      <c r="C140" t="s">
        <v>29</v>
      </c>
      <c r="D140" t="s">
        <v>22</v>
      </c>
      <c r="E140" s="1">
        <v>45176</v>
      </c>
      <c r="F140">
        <v>17</v>
      </c>
      <c r="G140">
        <v>274</v>
      </c>
      <c r="H140">
        <v>336.16</v>
      </c>
      <c r="I140">
        <v>621.22</v>
      </c>
      <c r="J140" t="s">
        <v>23</v>
      </c>
      <c r="K140">
        <f t="shared" si="8"/>
        <v>10560.74</v>
      </c>
      <c r="L140">
        <f t="shared" si="9"/>
        <v>4846.0200000000004</v>
      </c>
      <c r="M140">
        <f t="shared" si="10"/>
        <v>6.2043795620437957E-2</v>
      </c>
      <c r="N140">
        <f t="shared" si="11"/>
        <v>0</v>
      </c>
    </row>
    <row r="141" spans="1:14" x14ac:dyDescent="0.4">
      <c r="A141" t="s">
        <v>142</v>
      </c>
      <c r="B141" t="s">
        <v>39</v>
      </c>
      <c r="C141" t="s">
        <v>12</v>
      </c>
      <c r="D141" t="s">
        <v>18</v>
      </c>
      <c r="E141" s="1">
        <v>45485</v>
      </c>
      <c r="F141">
        <v>148</v>
      </c>
      <c r="G141">
        <v>75</v>
      </c>
      <c r="H141">
        <v>394.64</v>
      </c>
      <c r="I141">
        <v>775.1</v>
      </c>
      <c r="J141" t="s">
        <v>34</v>
      </c>
      <c r="K141">
        <f t="shared" si="8"/>
        <v>114714.8</v>
      </c>
      <c r="L141">
        <f t="shared" si="9"/>
        <v>56308.08</v>
      </c>
      <c r="M141">
        <f t="shared" si="10"/>
        <v>1.9733333333333334</v>
      </c>
      <c r="N141">
        <f t="shared" si="11"/>
        <v>0</v>
      </c>
    </row>
    <row r="142" spans="1:14" x14ac:dyDescent="0.4">
      <c r="A142" t="s">
        <v>10</v>
      </c>
      <c r="B142" t="s">
        <v>58</v>
      </c>
      <c r="C142" t="s">
        <v>12</v>
      </c>
      <c r="D142" t="s">
        <v>65</v>
      </c>
      <c r="E142" s="1">
        <v>45036</v>
      </c>
      <c r="F142">
        <v>103</v>
      </c>
      <c r="G142">
        <v>219</v>
      </c>
      <c r="H142">
        <v>85.65</v>
      </c>
      <c r="I142">
        <v>602.51</v>
      </c>
      <c r="J142" t="s">
        <v>14</v>
      </c>
      <c r="K142">
        <f t="shared" si="8"/>
        <v>62058.53</v>
      </c>
      <c r="L142">
        <f t="shared" si="9"/>
        <v>53236.58</v>
      </c>
      <c r="M142">
        <f t="shared" si="10"/>
        <v>0.47031963470319632</v>
      </c>
      <c r="N142">
        <f t="shared" si="11"/>
        <v>0</v>
      </c>
    </row>
    <row r="143" spans="1:14" x14ac:dyDescent="0.4">
      <c r="A143" t="s">
        <v>143</v>
      </c>
      <c r="B143" t="s">
        <v>39</v>
      </c>
      <c r="C143" t="s">
        <v>12</v>
      </c>
      <c r="D143" t="s">
        <v>97</v>
      </c>
      <c r="E143" s="1">
        <v>45397</v>
      </c>
      <c r="F143">
        <v>150</v>
      </c>
      <c r="G143">
        <v>186</v>
      </c>
      <c r="H143">
        <v>71.180000000000007</v>
      </c>
      <c r="I143">
        <v>794.84</v>
      </c>
      <c r="J143" t="s">
        <v>14</v>
      </c>
      <c r="K143">
        <f t="shared" si="8"/>
        <v>119226</v>
      </c>
      <c r="L143">
        <f t="shared" si="9"/>
        <v>108549.00000000001</v>
      </c>
      <c r="M143">
        <f t="shared" si="10"/>
        <v>0.80645161290322576</v>
      </c>
      <c r="N143">
        <f t="shared" si="11"/>
        <v>0</v>
      </c>
    </row>
    <row r="144" spans="1:14" x14ac:dyDescent="0.4">
      <c r="A144" t="s">
        <v>144</v>
      </c>
      <c r="B144" t="s">
        <v>36</v>
      </c>
      <c r="C144" t="s">
        <v>52</v>
      </c>
      <c r="D144" t="s">
        <v>45</v>
      </c>
      <c r="E144" s="1">
        <v>44832</v>
      </c>
      <c r="F144">
        <v>191</v>
      </c>
      <c r="G144">
        <v>288</v>
      </c>
      <c r="H144">
        <v>58.75</v>
      </c>
      <c r="I144">
        <v>588.84</v>
      </c>
      <c r="J144" t="s">
        <v>23</v>
      </c>
      <c r="K144">
        <f t="shared" si="8"/>
        <v>112468.44</v>
      </c>
      <c r="L144">
        <f t="shared" si="9"/>
        <v>101247.19</v>
      </c>
      <c r="M144">
        <f t="shared" si="10"/>
        <v>0.66319444444444442</v>
      </c>
      <c r="N144">
        <f t="shared" si="11"/>
        <v>0</v>
      </c>
    </row>
    <row r="145" spans="1:14" x14ac:dyDescent="0.4">
      <c r="A145" t="s">
        <v>24</v>
      </c>
      <c r="B145" t="s">
        <v>28</v>
      </c>
      <c r="C145" t="s">
        <v>12</v>
      </c>
      <c r="D145" t="s">
        <v>145</v>
      </c>
      <c r="E145" s="1">
        <v>44982</v>
      </c>
      <c r="F145">
        <v>194</v>
      </c>
      <c r="G145">
        <v>27</v>
      </c>
      <c r="H145">
        <v>134.96</v>
      </c>
      <c r="I145">
        <v>305.66000000000003</v>
      </c>
      <c r="J145" t="s">
        <v>19</v>
      </c>
      <c r="K145">
        <f t="shared" si="8"/>
        <v>59298.040000000008</v>
      </c>
      <c r="L145">
        <f t="shared" si="9"/>
        <v>33115.800000000003</v>
      </c>
      <c r="M145">
        <f t="shared" si="10"/>
        <v>7.1851851851851851</v>
      </c>
      <c r="N145">
        <f t="shared" si="11"/>
        <v>0</v>
      </c>
    </row>
    <row r="146" spans="1:14" x14ac:dyDescent="0.4">
      <c r="A146" t="s">
        <v>91</v>
      </c>
      <c r="B146" t="s">
        <v>16</v>
      </c>
      <c r="C146" t="s">
        <v>29</v>
      </c>
      <c r="D146" t="s">
        <v>53</v>
      </c>
      <c r="E146" s="1">
        <v>45268</v>
      </c>
      <c r="F146">
        <v>39</v>
      </c>
      <c r="G146">
        <v>179</v>
      </c>
      <c r="H146">
        <v>236.48</v>
      </c>
      <c r="I146">
        <v>570.44000000000005</v>
      </c>
      <c r="J146" t="s">
        <v>30</v>
      </c>
      <c r="K146">
        <f t="shared" si="8"/>
        <v>22247.160000000003</v>
      </c>
      <c r="L146">
        <f t="shared" si="9"/>
        <v>13024.440000000002</v>
      </c>
      <c r="M146">
        <f t="shared" si="10"/>
        <v>0.21787709497206703</v>
      </c>
      <c r="N146">
        <f t="shared" si="11"/>
        <v>0</v>
      </c>
    </row>
    <row r="147" spans="1:14" x14ac:dyDescent="0.4">
      <c r="A147" t="s">
        <v>146</v>
      </c>
      <c r="B147" t="s">
        <v>32</v>
      </c>
      <c r="C147" t="s">
        <v>52</v>
      </c>
      <c r="D147" t="s">
        <v>72</v>
      </c>
      <c r="E147" s="1">
        <v>44601</v>
      </c>
      <c r="F147">
        <v>137</v>
      </c>
      <c r="G147">
        <v>252</v>
      </c>
      <c r="H147">
        <v>471.12</v>
      </c>
      <c r="I147">
        <v>591.51</v>
      </c>
      <c r="J147" t="s">
        <v>19</v>
      </c>
      <c r="K147">
        <f t="shared" si="8"/>
        <v>81036.87</v>
      </c>
      <c r="L147">
        <f t="shared" si="9"/>
        <v>16493.429999999997</v>
      </c>
      <c r="M147">
        <f t="shared" si="10"/>
        <v>0.54365079365079361</v>
      </c>
      <c r="N147">
        <f t="shared" si="11"/>
        <v>0</v>
      </c>
    </row>
    <row r="148" spans="1:14" x14ac:dyDescent="0.4">
      <c r="A148" t="s">
        <v>118</v>
      </c>
      <c r="B148" t="s">
        <v>58</v>
      </c>
      <c r="C148" t="s">
        <v>12</v>
      </c>
      <c r="D148" t="s">
        <v>75</v>
      </c>
      <c r="E148" s="1">
        <v>44750</v>
      </c>
      <c r="F148">
        <v>88</v>
      </c>
      <c r="G148">
        <v>125</v>
      </c>
      <c r="H148">
        <v>255.68</v>
      </c>
      <c r="I148">
        <v>360.21</v>
      </c>
      <c r="J148" t="s">
        <v>14</v>
      </c>
      <c r="K148">
        <f t="shared" si="8"/>
        <v>31698.48</v>
      </c>
      <c r="L148">
        <f t="shared" si="9"/>
        <v>9198.6399999999976</v>
      </c>
      <c r="M148">
        <f t="shared" si="10"/>
        <v>0.70399999999999996</v>
      </c>
      <c r="N148">
        <f t="shared" si="11"/>
        <v>0</v>
      </c>
    </row>
    <row r="149" spans="1:14" x14ac:dyDescent="0.4">
      <c r="A149" t="s">
        <v>147</v>
      </c>
      <c r="B149" t="s">
        <v>16</v>
      </c>
      <c r="C149" t="s">
        <v>29</v>
      </c>
      <c r="D149" t="s">
        <v>18</v>
      </c>
      <c r="E149" s="1">
        <v>45555</v>
      </c>
      <c r="F149">
        <v>179</v>
      </c>
      <c r="G149">
        <v>176</v>
      </c>
      <c r="H149">
        <v>180.61</v>
      </c>
      <c r="I149">
        <v>112.4</v>
      </c>
      <c r="J149" t="s">
        <v>19</v>
      </c>
      <c r="K149">
        <f t="shared" si="8"/>
        <v>20119.600000000002</v>
      </c>
      <c r="L149">
        <f t="shared" si="9"/>
        <v>-12209.590000000002</v>
      </c>
      <c r="M149">
        <f t="shared" si="10"/>
        <v>1.0170454545454546</v>
      </c>
      <c r="N149">
        <f t="shared" si="11"/>
        <v>0</v>
      </c>
    </row>
    <row r="150" spans="1:14" x14ac:dyDescent="0.4">
      <c r="A150" t="s">
        <v>126</v>
      </c>
      <c r="B150" t="s">
        <v>39</v>
      </c>
      <c r="C150" t="s">
        <v>52</v>
      </c>
      <c r="D150" t="s">
        <v>33</v>
      </c>
      <c r="E150" s="1">
        <v>45097</v>
      </c>
      <c r="F150">
        <v>199</v>
      </c>
      <c r="G150">
        <v>36</v>
      </c>
      <c r="H150">
        <v>302.87</v>
      </c>
      <c r="I150">
        <v>592.24</v>
      </c>
      <c r="J150" t="s">
        <v>30</v>
      </c>
      <c r="K150">
        <f t="shared" si="8"/>
        <v>117855.76</v>
      </c>
      <c r="L150">
        <f t="shared" si="9"/>
        <v>57584.63</v>
      </c>
      <c r="M150">
        <f t="shared" si="10"/>
        <v>5.5277777777777777</v>
      </c>
      <c r="N150">
        <f t="shared" si="11"/>
        <v>0</v>
      </c>
    </row>
    <row r="151" spans="1:14" x14ac:dyDescent="0.4">
      <c r="A151" t="s">
        <v>148</v>
      </c>
      <c r="B151" t="s">
        <v>36</v>
      </c>
      <c r="C151" t="s">
        <v>12</v>
      </c>
      <c r="D151" t="s">
        <v>65</v>
      </c>
      <c r="E151" s="1">
        <v>45589</v>
      </c>
      <c r="F151">
        <v>60</v>
      </c>
      <c r="G151">
        <v>98</v>
      </c>
      <c r="H151">
        <v>100.37</v>
      </c>
      <c r="I151">
        <v>115.19</v>
      </c>
      <c r="J151" t="s">
        <v>19</v>
      </c>
      <c r="K151">
        <f t="shared" si="8"/>
        <v>6911.4</v>
      </c>
      <c r="L151">
        <f t="shared" si="9"/>
        <v>889.19999999999959</v>
      </c>
      <c r="M151">
        <f t="shared" si="10"/>
        <v>0.61224489795918369</v>
      </c>
      <c r="N151">
        <f t="shared" si="11"/>
        <v>0</v>
      </c>
    </row>
    <row r="152" spans="1:14" x14ac:dyDescent="0.4">
      <c r="A152" t="s">
        <v>149</v>
      </c>
      <c r="B152" t="s">
        <v>43</v>
      </c>
      <c r="C152" t="s">
        <v>12</v>
      </c>
      <c r="D152" t="s">
        <v>41</v>
      </c>
      <c r="E152" s="1">
        <v>44851</v>
      </c>
      <c r="F152">
        <v>191</v>
      </c>
      <c r="G152">
        <v>97</v>
      </c>
      <c r="H152">
        <v>324.27999999999997</v>
      </c>
      <c r="I152">
        <v>541.83000000000004</v>
      </c>
      <c r="J152" t="s">
        <v>19</v>
      </c>
      <c r="K152">
        <f t="shared" si="8"/>
        <v>103489.53000000001</v>
      </c>
      <c r="L152">
        <f t="shared" si="9"/>
        <v>41552.05000000001</v>
      </c>
      <c r="M152">
        <f t="shared" si="10"/>
        <v>1.9690721649484537</v>
      </c>
      <c r="N152">
        <f t="shared" si="11"/>
        <v>0</v>
      </c>
    </row>
    <row r="153" spans="1:14" x14ac:dyDescent="0.4">
      <c r="A153" t="s">
        <v>148</v>
      </c>
      <c r="B153" t="s">
        <v>25</v>
      </c>
      <c r="C153" t="s">
        <v>12</v>
      </c>
      <c r="D153" t="s">
        <v>13</v>
      </c>
      <c r="E153" s="1">
        <v>44994</v>
      </c>
      <c r="F153">
        <v>4</v>
      </c>
      <c r="G153">
        <v>126</v>
      </c>
      <c r="H153">
        <v>305.79000000000002</v>
      </c>
      <c r="I153">
        <v>214.53</v>
      </c>
      <c r="J153" t="s">
        <v>19</v>
      </c>
      <c r="K153">
        <f t="shared" si="8"/>
        <v>858.12</v>
      </c>
      <c r="L153">
        <f t="shared" si="9"/>
        <v>-365.04000000000008</v>
      </c>
      <c r="M153">
        <f t="shared" si="10"/>
        <v>3.1746031746031744E-2</v>
      </c>
      <c r="N153">
        <f t="shared" si="11"/>
        <v>0</v>
      </c>
    </row>
    <row r="154" spans="1:14" x14ac:dyDescent="0.4">
      <c r="A154" t="s">
        <v>87</v>
      </c>
      <c r="B154" t="s">
        <v>32</v>
      </c>
      <c r="C154" t="s">
        <v>52</v>
      </c>
      <c r="D154" t="s">
        <v>62</v>
      </c>
      <c r="E154" s="1">
        <v>45032</v>
      </c>
      <c r="F154">
        <v>121</v>
      </c>
      <c r="G154">
        <v>167</v>
      </c>
      <c r="H154">
        <v>406.4</v>
      </c>
      <c r="I154">
        <v>495.92</v>
      </c>
      <c r="J154" t="s">
        <v>19</v>
      </c>
      <c r="K154">
        <f t="shared" si="8"/>
        <v>60006.32</v>
      </c>
      <c r="L154">
        <f t="shared" si="9"/>
        <v>10831.920000000006</v>
      </c>
      <c r="M154">
        <f t="shared" si="10"/>
        <v>0.72455089820359286</v>
      </c>
      <c r="N154">
        <f t="shared" si="11"/>
        <v>0</v>
      </c>
    </row>
    <row r="155" spans="1:14" x14ac:dyDescent="0.4">
      <c r="A155" t="s">
        <v>135</v>
      </c>
      <c r="B155" t="s">
        <v>25</v>
      </c>
      <c r="C155" t="s">
        <v>29</v>
      </c>
      <c r="D155" t="s">
        <v>41</v>
      </c>
      <c r="E155" s="1">
        <v>45189</v>
      </c>
      <c r="F155">
        <v>180</v>
      </c>
      <c r="G155">
        <v>79</v>
      </c>
      <c r="H155">
        <v>494.01</v>
      </c>
      <c r="I155">
        <v>452.74</v>
      </c>
      <c r="J155" t="s">
        <v>34</v>
      </c>
      <c r="K155">
        <f t="shared" si="8"/>
        <v>81493.2</v>
      </c>
      <c r="L155">
        <f t="shared" si="9"/>
        <v>-7428.5999999999967</v>
      </c>
      <c r="M155">
        <f t="shared" si="10"/>
        <v>2.278481012658228</v>
      </c>
      <c r="N155">
        <f t="shared" si="11"/>
        <v>0</v>
      </c>
    </row>
    <row r="156" spans="1:14" x14ac:dyDescent="0.4">
      <c r="A156" t="s">
        <v>150</v>
      </c>
      <c r="B156" t="s">
        <v>16</v>
      </c>
      <c r="C156" t="s">
        <v>29</v>
      </c>
      <c r="D156" t="s">
        <v>45</v>
      </c>
      <c r="E156" s="1">
        <v>44840</v>
      </c>
      <c r="F156">
        <v>54</v>
      </c>
      <c r="G156">
        <v>293</v>
      </c>
      <c r="H156">
        <v>162.88999999999999</v>
      </c>
      <c r="I156">
        <v>109.46</v>
      </c>
      <c r="J156" t="s">
        <v>14</v>
      </c>
      <c r="K156">
        <f t="shared" si="8"/>
        <v>5910.8399999999992</v>
      </c>
      <c r="L156">
        <f t="shared" si="9"/>
        <v>-2885.22</v>
      </c>
      <c r="M156">
        <f t="shared" si="10"/>
        <v>0.18430034129692832</v>
      </c>
      <c r="N156">
        <f t="shared" si="11"/>
        <v>0</v>
      </c>
    </row>
    <row r="157" spans="1:14" x14ac:dyDescent="0.4">
      <c r="A157" t="s">
        <v>151</v>
      </c>
      <c r="B157" t="s">
        <v>36</v>
      </c>
      <c r="C157" t="s">
        <v>17</v>
      </c>
      <c r="D157" t="s">
        <v>145</v>
      </c>
      <c r="E157" s="1">
        <v>45438</v>
      </c>
      <c r="F157">
        <v>36</v>
      </c>
      <c r="G157">
        <v>125</v>
      </c>
      <c r="H157">
        <v>279.35000000000002</v>
      </c>
      <c r="I157">
        <v>354.01</v>
      </c>
      <c r="J157" t="s">
        <v>30</v>
      </c>
      <c r="K157">
        <f t="shared" si="8"/>
        <v>12744.36</v>
      </c>
      <c r="L157">
        <f t="shared" si="9"/>
        <v>2687.7599999999989</v>
      </c>
      <c r="M157">
        <f t="shared" si="10"/>
        <v>0.28799999999999998</v>
      </c>
      <c r="N157">
        <f t="shared" si="11"/>
        <v>0</v>
      </c>
    </row>
    <row r="158" spans="1:14" x14ac:dyDescent="0.4">
      <c r="A158" t="s">
        <v>152</v>
      </c>
      <c r="B158" t="s">
        <v>36</v>
      </c>
      <c r="C158" t="s">
        <v>12</v>
      </c>
      <c r="D158" t="s">
        <v>45</v>
      </c>
      <c r="E158" s="1">
        <v>45142</v>
      </c>
      <c r="F158">
        <v>55</v>
      </c>
      <c r="G158">
        <v>149</v>
      </c>
      <c r="H158">
        <v>458.99</v>
      </c>
      <c r="I158">
        <v>520.76</v>
      </c>
      <c r="J158" t="s">
        <v>14</v>
      </c>
      <c r="K158">
        <f t="shared" si="8"/>
        <v>28641.8</v>
      </c>
      <c r="L158">
        <f t="shared" si="9"/>
        <v>3397.349999999999</v>
      </c>
      <c r="M158">
        <f t="shared" si="10"/>
        <v>0.36912751677852351</v>
      </c>
      <c r="N158">
        <f t="shared" si="11"/>
        <v>0</v>
      </c>
    </row>
    <row r="159" spans="1:14" x14ac:dyDescent="0.4">
      <c r="A159" t="s">
        <v>153</v>
      </c>
      <c r="B159" t="s">
        <v>39</v>
      </c>
      <c r="C159" t="s">
        <v>17</v>
      </c>
      <c r="D159" t="s">
        <v>41</v>
      </c>
      <c r="E159" s="1">
        <v>45424</v>
      </c>
      <c r="F159">
        <v>186</v>
      </c>
      <c r="G159">
        <v>15</v>
      </c>
      <c r="H159">
        <v>403.34</v>
      </c>
      <c r="I159">
        <v>694.02</v>
      </c>
      <c r="J159" t="s">
        <v>34</v>
      </c>
      <c r="K159">
        <f t="shared" si="8"/>
        <v>129087.72</v>
      </c>
      <c r="L159">
        <f t="shared" si="9"/>
        <v>54066.48</v>
      </c>
      <c r="M159">
        <f t="shared" si="10"/>
        <v>12.4</v>
      </c>
      <c r="N159">
        <f t="shared" si="11"/>
        <v>0</v>
      </c>
    </row>
    <row r="160" spans="1:14" x14ac:dyDescent="0.4">
      <c r="A160" t="s">
        <v>154</v>
      </c>
      <c r="B160" t="s">
        <v>11</v>
      </c>
      <c r="C160" t="s">
        <v>17</v>
      </c>
      <c r="D160" t="s">
        <v>62</v>
      </c>
      <c r="E160" s="1">
        <v>44815</v>
      </c>
      <c r="F160">
        <v>101</v>
      </c>
      <c r="G160">
        <v>27</v>
      </c>
      <c r="H160">
        <v>269.33</v>
      </c>
      <c r="I160">
        <v>722.05</v>
      </c>
      <c r="J160" t="s">
        <v>34</v>
      </c>
      <c r="K160">
        <f t="shared" si="8"/>
        <v>72927.049999999988</v>
      </c>
      <c r="L160">
        <f t="shared" si="9"/>
        <v>45724.719999999994</v>
      </c>
      <c r="M160">
        <f t="shared" si="10"/>
        <v>3.7407407407407409</v>
      </c>
      <c r="N160">
        <f t="shared" si="11"/>
        <v>0</v>
      </c>
    </row>
    <row r="161" spans="1:14" x14ac:dyDescent="0.4">
      <c r="A161" t="s">
        <v>155</v>
      </c>
      <c r="B161" t="s">
        <v>39</v>
      </c>
      <c r="C161" t="s">
        <v>29</v>
      </c>
      <c r="D161" t="s">
        <v>66</v>
      </c>
      <c r="E161" s="1">
        <v>44742</v>
      </c>
      <c r="F161">
        <v>92</v>
      </c>
      <c r="G161">
        <v>172</v>
      </c>
      <c r="H161">
        <v>475.42</v>
      </c>
      <c r="I161">
        <v>438.69</v>
      </c>
      <c r="J161" t="s">
        <v>34</v>
      </c>
      <c r="K161">
        <f t="shared" si="8"/>
        <v>40359.480000000003</v>
      </c>
      <c r="L161">
        <f t="shared" si="9"/>
        <v>-3379.1600000000017</v>
      </c>
      <c r="M161">
        <f t="shared" si="10"/>
        <v>0.53488372093023251</v>
      </c>
      <c r="N161">
        <f t="shared" si="11"/>
        <v>0</v>
      </c>
    </row>
    <row r="162" spans="1:14" x14ac:dyDescent="0.4">
      <c r="A162" t="s">
        <v>123</v>
      </c>
      <c r="B162" t="s">
        <v>11</v>
      </c>
      <c r="C162" t="s">
        <v>52</v>
      </c>
      <c r="D162" t="s">
        <v>145</v>
      </c>
      <c r="E162" s="1">
        <v>45242</v>
      </c>
      <c r="F162">
        <v>196</v>
      </c>
      <c r="G162">
        <v>45</v>
      </c>
      <c r="H162">
        <v>75.760000000000005</v>
      </c>
      <c r="I162">
        <v>609.9</v>
      </c>
      <c r="J162" t="s">
        <v>34</v>
      </c>
      <c r="K162">
        <f t="shared" si="8"/>
        <v>119540.4</v>
      </c>
      <c r="L162">
        <f t="shared" si="9"/>
        <v>104691.44</v>
      </c>
      <c r="M162">
        <f t="shared" si="10"/>
        <v>4.3555555555555552</v>
      </c>
      <c r="N162">
        <f t="shared" si="11"/>
        <v>0</v>
      </c>
    </row>
    <row r="163" spans="1:14" x14ac:dyDescent="0.4">
      <c r="A163" t="s">
        <v>156</v>
      </c>
      <c r="B163" t="s">
        <v>11</v>
      </c>
      <c r="C163" t="s">
        <v>52</v>
      </c>
      <c r="D163" t="s">
        <v>33</v>
      </c>
      <c r="E163" s="1">
        <v>45386</v>
      </c>
      <c r="F163">
        <v>72</v>
      </c>
      <c r="G163">
        <v>235</v>
      </c>
      <c r="H163">
        <v>468.95</v>
      </c>
      <c r="I163">
        <v>321.52</v>
      </c>
      <c r="J163" t="s">
        <v>19</v>
      </c>
      <c r="K163">
        <f t="shared" si="8"/>
        <v>23149.439999999999</v>
      </c>
      <c r="L163">
        <f t="shared" si="9"/>
        <v>-10614.960000000001</v>
      </c>
      <c r="M163">
        <f t="shared" si="10"/>
        <v>0.30638297872340425</v>
      </c>
      <c r="N163">
        <f t="shared" si="11"/>
        <v>0</v>
      </c>
    </row>
    <row r="164" spans="1:14" x14ac:dyDescent="0.4">
      <c r="A164" t="s">
        <v>157</v>
      </c>
      <c r="B164" t="s">
        <v>32</v>
      </c>
      <c r="C164" t="s">
        <v>29</v>
      </c>
      <c r="D164" t="s">
        <v>132</v>
      </c>
      <c r="E164" s="1">
        <v>45261</v>
      </c>
      <c r="F164">
        <v>58</v>
      </c>
      <c r="G164">
        <v>213</v>
      </c>
      <c r="H164">
        <v>72.73</v>
      </c>
      <c r="I164">
        <v>339.53</v>
      </c>
      <c r="J164" t="s">
        <v>14</v>
      </c>
      <c r="K164">
        <f t="shared" si="8"/>
        <v>19692.739999999998</v>
      </c>
      <c r="L164">
        <f t="shared" si="9"/>
        <v>15474.399999999998</v>
      </c>
      <c r="M164">
        <f t="shared" si="10"/>
        <v>0.27230046948356806</v>
      </c>
      <c r="N164">
        <f t="shared" si="11"/>
        <v>0</v>
      </c>
    </row>
    <row r="165" spans="1:14" x14ac:dyDescent="0.4">
      <c r="A165" t="s">
        <v>133</v>
      </c>
      <c r="B165" t="s">
        <v>39</v>
      </c>
      <c r="C165" t="s">
        <v>52</v>
      </c>
      <c r="D165" t="s">
        <v>75</v>
      </c>
      <c r="E165" s="1">
        <v>45127</v>
      </c>
      <c r="F165">
        <v>1</v>
      </c>
      <c r="G165">
        <v>84</v>
      </c>
      <c r="H165">
        <v>296.29000000000002</v>
      </c>
      <c r="I165">
        <v>236.12</v>
      </c>
      <c r="J165" t="s">
        <v>23</v>
      </c>
      <c r="K165">
        <f t="shared" si="8"/>
        <v>236.12</v>
      </c>
      <c r="L165">
        <f t="shared" si="9"/>
        <v>-60.170000000000016</v>
      </c>
      <c r="M165">
        <f t="shared" si="10"/>
        <v>1.1904761904761904E-2</v>
      </c>
      <c r="N165">
        <f t="shared" si="11"/>
        <v>0</v>
      </c>
    </row>
    <row r="166" spans="1:14" x14ac:dyDescent="0.4">
      <c r="A166" t="s">
        <v>158</v>
      </c>
      <c r="B166" t="s">
        <v>43</v>
      </c>
      <c r="C166" t="s">
        <v>17</v>
      </c>
      <c r="D166" t="s">
        <v>145</v>
      </c>
      <c r="E166" s="1">
        <v>45241</v>
      </c>
      <c r="F166">
        <v>192</v>
      </c>
      <c r="G166">
        <v>281</v>
      </c>
      <c r="H166">
        <v>450.7</v>
      </c>
      <c r="I166">
        <v>493.36</v>
      </c>
      <c r="J166" t="s">
        <v>30</v>
      </c>
      <c r="K166">
        <f t="shared" si="8"/>
        <v>94725.119999999995</v>
      </c>
      <c r="L166">
        <f t="shared" si="9"/>
        <v>8190.7200000000048</v>
      </c>
      <c r="M166">
        <f t="shared" si="10"/>
        <v>0.68327402135231319</v>
      </c>
      <c r="N166">
        <f t="shared" si="11"/>
        <v>0</v>
      </c>
    </row>
    <row r="167" spans="1:14" x14ac:dyDescent="0.4">
      <c r="A167" t="s">
        <v>76</v>
      </c>
      <c r="B167" t="s">
        <v>21</v>
      </c>
      <c r="C167" t="s">
        <v>12</v>
      </c>
      <c r="D167" t="s">
        <v>97</v>
      </c>
      <c r="E167" s="1">
        <v>44952</v>
      </c>
      <c r="F167">
        <v>103</v>
      </c>
      <c r="G167">
        <v>231</v>
      </c>
      <c r="H167">
        <v>168.22</v>
      </c>
      <c r="I167">
        <v>320.19</v>
      </c>
      <c r="J167" t="s">
        <v>34</v>
      </c>
      <c r="K167">
        <f t="shared" si="8"/>
        <v>32979.57</v>
      </c>
      <c r="L167">
        <f t="shared" si="9"/>
        <v>15652.91</v>
      </c>
      <c r="M167">
        <f t="shared" si="10"/>
        <v>0.44588744588744589</v>
      </c>
      <c r="N167">
        <f t="shared" si="11"/>
        <v>0</v>
      </c>
    </row>
    <row r="168" spans="1:14" x14ac:dyDescent="0.4">
      <c r="A168" t="s">
        <v>121</v>
      </c>
      <c r="B168" t="s">
        <v>21</v>
      </c>
      <c r="C168" t="s">
        <v>29</v>
      </c>
      <c r="D168" t="s">
        <v>37</v>
      </c>
      <c r="E168" s="1">
        <v>44773</v>
      </c>
      <c r="F168">
        <v>187</v>
      </c>
      <c r="G168">
        <v>84</v>
      </c>
      <c r="H168">
        <v>262.51</v>
      </c>
      <c r="I168">
        <v>159.06</v>
      </c>
      <c r="J168" t="s">
        <v>14</v>
      </c>
      <c r="K168">
        <f t="shared" si="8"/>
        <v>29744.22</v>
      </c>
      <c r="L168">
        <f t="shared" si="9"/>
        <v>-19345.149999999998</v>
      </c>
      <c r="M168">
        <f t="shared" si="10"/>
        <v>2.2261904761904763</v>
      </c>
      <c r="N168">
        <f t="shared" si="11"/>
        <v>0</v>
      </c>
    </row>
    <row r="169" spans="1:14" x14ac:dyDescent="0.4">
      <c r="A169" t="s">
        <v>136</v>
      </c>
      <c r="B169" t="s">
        <v>39</v>
      </c>
      <c r="C169" t="s">
        <v>12</v>
      </c>
      <c r="D169" t="s">
        <v>72</v>
      </c>
      <c r="E169" s="1">
        <v>44945</v>
      </c>
      <c r="F169">
        <v>50</v>
      </c>
      <c r="G169">
        <v>64</v>
      </c>
      <c r="H169">
        <v>195.95</v>
      </c>
      <c r="I169">
        <v>579.5</v>
      </c>
      <c r="J169" t="s">
        <v>34</v>
      </c>
      <c r="K169">
        <f t="shared" si="8"/>
        <v>28975</v>
      </c>
      <c r="L169">
        <f t="shared" si="9"/>
        <v>19177.5</v>
      </c>
      <c r="M169">
        <f t="shared" si="10"/>
        <v>0.78125</v>
      </c>
      <c r="N169">
        <f t="shared" si="11"/>
        <v>0</v>
      </c>
    </row>
    <row r="170" spans="1:14" x14ac:dyDescent="0.4">
      <c r="A170" t="s">
        <v>159</v>
      </c>
      <c r="B170" t="s">
        <v>39</v>
      </c>
      <c r="C170" t="s">
        <v>52</v>
      </c>
      <c r="D170" t="s">
        <v>41</v>
      </c>
      <c r="E170" s="1">
        <v>44903</v>
      </c>
      <c r="F170">
        <v>29</v>
      </c>
      <c r="G170">
        <v>133</v>
      </c>
      <c r="H170">
        <v>478.46</v>
      </c>
      <c r="I170">
        <v>595.42999999999995</v>
      </c>
      <c r="J170" t="s">
        <v>34</v>
      </c>
      <c r="K170">
        <f t="shared" si="8"/>
        <v>17267.469999999998</v>
      </c>
      <c r="L170">
        <f t="shared" si="9"/>
        <v>3392.1299999999992</v>
      </c>
      <c r="M170">
        <f t="shared" si="10"/>
        <v>0.21804511278195488</v>
      </c>
      <c r="N170">
        <f t="shared" si="11"/>
        <v>0</v>
      </c>
    </row>
    <row r="171" spans="1:14" x14ac:dyDescent="0.4">
      <c r="A171" t="s">
        <v>103</v>
      </c>
      <c r="B171" t="s">
        <v>25</v>
      </c>
      <c r="C171" t="s">
        <v>12</v>
      </c>
      <c r="D171" t="s">
        <v>75</v>
      </c>
      <c r="E171" s="1">
        <v>45405</v>
      </c>
      <c r="F171">
        <v>10</v>
      </c>
      <c r="G171">
        <v>150</v>
      </c>
      <c r="H171">
        <v>420.64</v>
      </c>
      <c r="I171">
        <v>351.99</v>
      </c>
      <c r="J171" t="s">
        <v>34</v>
      </c>
      <c r="K171">
        <f t="shared" si="8"/>
        <v>3519.9</v>
      </c>
      <c r="L171">
        <f t="shared" si="9"/>
        <v>-686.49999999999977</v>
      </c>
      <c r="M171">
        <f t="shared" si="10"/>
        <v>6.6666666666666666E-2</v>
      </c>
      <c r="N171">
        <f t="shared" si="11"/>
        <v>0</v>
      </c>
    </row>
    <row r="172" spans="1:14" x14ac:dyDescent="0.4">
      <c r="A172" t="s">
        <v>133</v>
      </c>
      <c r="B172" t="s">
        <v>32</v>
      </c>
      <c r="C172" t="s">
        <v>52</v>
      </c>
      <c r="D172" t="s">
        <v>53</v>
      </c>
      <c r="E172" s="1">
        <v>45623</v>
      </c>
      <c r="F172">
        <v>107</v>
      </c>
      <c r="G172">
        <v>114</v>
      </c>
      <c r="H172">
        <v>369.05</v>
      </c>
      <c r="I172">
        <v>153.71</v>
      </c>
      <c r="J172" t="s">
        <v>34</v>
      </c>
      <c r="K172">
        <f t="shared" si="8"/>
        <v>16446.97</v>
      </c>
      <c r="L172">
        <f t="shared" si="9"/>
        <v>-23041.38</v>
      </c>
      <c r="M172">
        <f t="shared" si="10"/>
        <v>0.93859649122807021</v>
      </c>
      <c r="N172">
        <f t="shared" si="11"/>
        <v>0</v>
      </c>
    </row>
    <row r="173" spans="1:14" x14ac:dyDescent="0.4">
      <c r="A173" t="s">
        <v>133</v>
      </c>
      <c r="B173" t="s">
        <v>39</v>
      </c>
      <c r="C173" t="s">
        <v>52</v>
      </c>
      <c r="D173" t="s">
        <v>65</v>
      </c>
      <c r="E173" s="1">
        <v>44981</v>
      </c>
      <c r="F173">
        <v>75</v>
      </c>
      <c r="G173">
        <v>63</v>
      </c>
      <c r="H173">
        <v>314.43</v>
      </c>
      <c r="I173">
        <v>398.41</v>
      </c>
      <c r="J173" t="s">
        <v>34</v>
      </c>
      <c r="K173">
        <f t="shared" si="8"/>
        <v>29880.750000000004</v>
      </c>
      <c r="L173">
        <f t="shared" si="9"/>
        <v>6298.5000000000018</v>
      </c>
      <c r="M173">
        <f t="shared" si="10"/>
        <v>1.1904761904761905</v>
      </c>
      <c r="N173">
        <f t="shared" si="11"/>
        <v>0</v>
      </c>
    </row>
    <row r="174" spans="1:14" x14ac:dyDescent="0.4">
      <c r="A174" t="s">
        <v>80</v>
      </c>
      <c r="B174" t="s">
        <v>25</v>
      </c>
      <c r="C174" t="s">
        <v>17</v>
      </c>
      <c r="D174" t="s">
        <v>41</v>
      </c>
      <c r="E174" s="1">
        <v>45312</v>
      </c>
      <c r="F174">
        <v>166</v>
      </c>
      <c r="G174">
        <v>157</v>
      </c>
      <c r="H174">
        <v>419.27</v>
      </c>
      <c r="I174">
        <v>409.63</v>
      </c>
      <c r="J174" t="s">
        <v>30</v>
      </c>
      <c r="K174">
        <f t="shared" si="8"/>
        <v>67998.58</v>
      </c>
      <c r="L174">
        <f t="shared" si="9"/>
        <v>-1600.2399999999977</v>
      </c>
      <c r="M174">
        <f t="shared" si="10"/>
        <v>1.0573248407643312</v>
      </c>
      <c r="N174">
        <f t="shared" si="11"/>
        <v>0</v>
      </c>
    </row>
    <row r="175" spans="1:14" x14ac:dyDescent="0.4">
      <c r="A175" t="s">
        <v>109</v>
      </c>
      <c r="B175" t="s">
        <v>11</v>
      </c>
      <c r="C175" t="s">
        <v>52</v>
      </c>
      <c r="D175" t="s">
        <v>40</v>
      </c>
      <c r="E175" s="1">
        <v>44867</v>
      </c>
      <c r="F175">
        <v>89</v>
      </c>
      <c r="G175">
        <v>76</v>
      </c>
      <c r="H175">
        <v>226.52</v>
      </c>
      <c r="I175">
        <v>568.07000000000005</v>
      </c>
      <c r="J175" t="s">
        <v>14</v>
      </c>
      <c r="K175">
        <f t="shared" si="8"/>
        <v>50558.23</v>
      </c>
      <c r="L175">
        <f t="shared" si="9"/>
        <v>30397.950000000004</v>
      </c>
      <c r="M175">
        <f t="shared" si="10"/>
        <v>1.1710526315789473</v>
      </c>
      <c r="N175">
        <f t="shared" si="11"/>
        <v>0</v>
      </c>
    </row>
    <row r="176" spans="1:14" x14ac:dyDescent="0.4">
      <c r="A176" t="s">
        <v>92</v>
      </c>
      <c r="B176" t="s">
        <v>36</v>
      </c>
      <c r="C176" t="s">
        <v>17</v>
      </c>
      <c r="D176" t="s">
        <v>47</v>
      </c>
      <c r="E176" s="1">
        <v>45263</v>
      </c>
      <c r="F176">
        <v>122</v>
      </c>
      <c r="G176">
        <v>145</v>
      </c>
      <c r="H176">
        <v>251.4</v>
      </c>
      <c r="I176">
        <v>320.79000000000002</v>
      </c>
      <c r="J176" t="s">
        <v>34</v>
      </c>
      <c r="K176">
        <f t="shared" si="8"/>
        <v>39136.380000000005</v>
      </c>
      <c r="L176">
        <f t="shared" si="9"/>
        <v>8465.5800000000017</v>
      </c>
      <c r="M176">
        <f t="shared" si="10"/>
        <v>0.8413793103448276</v>
      </c>
      <c r="N176">
        <f t="shared" si="11"/>
        <v>0</v>
      </c>
    </row>
    <row r="177" spans="1:14" x14ac:dyDescent="0.4">
      <c r="A177" t="s">
        <v>160</v>
      </c>
      <c r="B177" t="s">
        <v>36</v>
      </c>
      <c r="C177" t="s">
        <v>17</v>
      </c>
      <c r="D177" t="s">
        <v>18</v>
      </c>
      <c r="E177" s="1">
        <v>45430</v>
      </c>
      <c r="F177">
        <v>199</v>
      </c>
      <c r="G177">
        <v>224</v>
      </c>
      <c r="H177">
        <v>378.5</v>
      </c>
      <c r="I177">
        <v>577.82000000000005</v>
      </c>
      <c r="J177" t="s">
        <v>34</v>
      </c>
      <c r="K177">
        <f t="shared" si="8"/>
        <v>114986.18000000001</v>
      </c>
      <c r="L177">
        <f t="shared" si="9"/>
        <v>39664.680000000008</v>
      </c>
      <c r="M177">
        <f t="shared" si="10"/>
        <v>0.8883928571428571</v>
      </c>
      <c r="N177">
        <f t="shared" si="11"/>
        <v>0</v>
      </c>
    </row>
    <row r="178" spans="1:14" x14ac:dyDescent="0.4">
      <c r="A178" t="s">
        <v>77</v>
      </c>
      <c r="B178" t="s">
        <v>11</v>
      </c>
      <c r="C178" t="s">
        <v>17</v>
      </c>
      <c r="D178" t="s">
        <v>69</v>
      </c>
      <c r="E178" s="1">
        <v>45098</v>
      </c>
      <c r="F178">
        <v>190</v>
      </c>
      <c r="G178">
        <v>102</v>
      </c>
      <c r="H178">
        <v>210.99</v>
      </c>
      <c r="I178">
        <v>710.04</v>
      </c>
      <c r="J178" t="s">
        <v>34</v>
      </c>
      <c r="K178">
        <f t="shared" si="8"/>
        <v>134907.6</v>
      </c>
      <c r="L178">
        <f t="shared" si="9"/>
        <v>94819.499999999985</v>
      </c>
      <c r="M178">
        <f t="shared" si="10"/>
        <v>1.8627450980392157</v>
      </c>
      <c r="N178">
        <f t="shared" si="11"/>
        <v>0</v>
      </c>
    </row>
    <row r="179" spans="1:14" x14ac:dyDescent="0.4">
      <c r="A179" t="s">
        <v>44</v>
      </c>
      <c r="B179" t="s">
        <v>58</v>
      </c>
      <c r="C179" t="s">
        <v>29</v>
      </c>
      <c r="D179" t="s">
        <v>18</v>
      </c>
      <c r="E179" s="1">
        <v>44767</v>
      </c>
      <c r="F179">
        <v>191</v>
      </c>
      <c r="G179">
        <v>87</v>
      </c>
      <c r="H179">
        <v>78.760000000000005</v>
      </c>
      <c r="I179">
        <v>266.24</v>
      </c>
      <c r="J179" t="s">
        <v>34</v>
      </c>
      <c r="K179">
        <f t="shared" si="8"/>
        <v>50851.840000000004</v>
      </c>
      <c r="L179">
        <f t="shared" si="9"/>
        <v>35808.68</v>
      </c>
      <c r="M179">
        <f t="shared" si="10"/>
        <v>2.1954022988505746</v>
      </c>
      <c r="N179">
        <f t="shared" si="11"/>
        <v>0</v>
      </c>
    </row>
    <row r="180" spans="1:14" x14ac:dyDescent="0.4">
      <c r="A180" t="s">
        <v>161</v>
      </c>
      <c r="B180" t="s">
        <v>25</v>
      </c>
      <c r="C180" t="s">
        <v>29</v>
      </c>
      <c r="D180" t="s">
        <v>47</v>
      </c>
      <c r="E180" s="1">
        <v>45057</v>
      </c>
      <c r="F180">
        <v>188</v>
      </c>
      <c r="G180">
        <v>167</v>
      </c>
      <c r="H180">
        <v>83.45</v>
      </c>
      <c r="I180">
        <v>785.24</v>
      </c>
      <c r="J180" t="s">
        <v>19</v>
      </c>
      <c r="K180">
        <f t="shared" si="8"/>
        <v>147625.12</v>
      </c>
      <c r="L180">
        <f t="shared" si="9"/>
        <v>131936.51999999999</v>
      </c>
      <c r="M180">
        <f t="shared" si="10"/>
        <v>1.125748502994012</v>
      </c>
      <c r="N180">
        <f t="shared" si="11"/>
        <v>0</v>
      </c>
    </row>
    <row r="181" spans="1:14" x14ac:dyDescent="0.4">
      <c r="A181" t="s">
        <v>93</v>
      </c>
      <c r="B181" t="s">
        <v>25</v>
      </c>
      <c r="C181" t="s">
        <v>52</v>
      </c>
      <c r="D181" t="s">
        <v>97</v>
      </c>
      <c r="E181" s="1">
        <v>45632</v>
      </c>
      <c r="F181">
        <v>124</v>
      </c>
      <c r="G181">
        <v>169</v>
      </c>
      <c r="H181">
        <v>101.91</v>
      </c>
      <c r="I181">
        <v>370.46</v>
      </c>
      <c r="J181" t="s">
        <v>19</v>
      </c>
      <c r="K181">
        <f t="shared" si="8"/>
        <v>45937.04</v>
      </c>
      <c r="L181">
        <f t="shared" si="9"/>
        <v>33300.199999999997</v>
      </c>
      <c r="M181">
        <f t="shared" si="10"/>
        <v>0.73372781065088755</v>
      </c>
      <c r="N181">
        <f t="shared" si="11"/>
        <v>0</v>
      </c>
    </row>
    <row r="182" spans="1:14" x14ac:dyDescent="0.4">
      <c r="A182" t="s">
        <v>77</v>
      </c>
      <c r="B182" t="s">
        <v>11</v>
      </c>
      <c r="C182" t="s">
        <v>17</v>
      </c>
      <c r="D182" t="s">
        <v>72</v>
      </c>
      <c r="E182" s="1">
        <v>45065</v>
      </c>
      <c r="F182">
        <v>181</v>
      </c>
      <c r="G182">
        <v>134</v>
      </c>
      <c r="H182">
        <v>441.36</v>
      </c>
      <c r="I182">
        <v>287.08</v>
      </c>
      <c r="J182" t="s">
        <v>23</v>
      </c>
      <c r="K182">
        <f t="shared" si="8"/>
        <v>51961.479999999996</v>
      </c>
      <c r="L182">
        <f t="shared" si="9"/>
        <v>-27924.680000000004</v>
      </c>
      <c r="M182">
        <f t="shared" si="10"/>
        <v>1.3507462686567164</v>
      </c>
      <c r="N182">
        <f t="shared" si="11"/>
        <v>0</v>
      </c>
    </row>
    <row r="183" spans="1:14" x14ac:dyDescent="0.4">
      <c r="A183" t="s">
        <v>124</v>
      </c>
      <c r="B183" t="s">
        <v>43</v>
      </c>
      <c r="C183" t="s">
        <v>29</v>
      </c>
      <c r="D183" t="s">
        <v>145</v>
      </c>
      <c r="E183" s="1">
        <v>45607</v>
      </c>
      <c r="F183">
        <v>121</v>
      </c>
      <c r="G183">
        <v>49</v>
      </c>
      <c r="H183">
        <v>262.5</v>
      </c>
      <c r="I183">
        <v>395.06</v>
      </c>
      <c r="J183" t="s">
        <v>34</v>
      </c>
      <c r="K183">
        <f t="shared" si="8"/>
        <v>47802.26</v>
      </c>
      <c r="L183">
        <f t="shared" si="9"/>
        <v>16039.76</v>
      </c>
      <c r="M183">
        <f t="shared" si="10"/>
        <v>2.4693877551020407</v>
      </c>
      <c r="N183">
        <f t="shared" si="11"/>
        <v>0</v>
      </c>
    </row>
    <row r="184" spans="1:14" x14ac:dyDescent="0.4">
      <c r="A184" t="s">
        <v>162</v>
      </c>
      <c r="B184" t="s">
        <v>28</v>
      </c>
      <c r="C184" t="s">
        <v>17</v>
      </c>
      <c r="D184" t="s">
        <v>66</v>
      </c>
      <c r="E184" s="1">
        <v>44774</v>
      </c>
      <c r="F184">
        <v>93</v>
      </c>
      <c r="G184">
        <v>133</v>
      </c>
      <c r="H184">
        <v>370.8</v>
      </c>
      <c r="I184">
        <v>166.08</v>
      </c>
      <c r="J184" t="s">
        <v>23</v>
      </c>
      <c r="K184">
        <f t="shared" si="8"/>
        <v>15445.44</v>
      </c>
      <c r="L184">
        <f t="shared" si="9"/>
        <v>-19038.96</v>
      </c>
      <c r="M184">
        <f t="shared" si="10"/>
        <v>0.6992481203007519</v>
      </c>
      <c r="N184">
        <f t="shared" si="11"/>
        <v>0</v>
      </c>
    </row>
    <row r="185" spans="1:14" x14ac:dyDescent="0.4">
      <c r="A185" t="s">
        <v>143</v>
      </c>
      <c r="B185" t="s">
        <v>16</v>
      </c>
      <c r="C185" t="s">
        <v>12</v>
      </c>
      <c r="D185" t="s">
        <v>13</v>
      </c>
      <c r="E185" s="1">
        <v>44871</v>
      </c>
      <c r="F185">
        <v>102</v>
      </c>
      <c r="G185">
        <v>136</v>
      </c>
      <c r="H185">
        <v>226.81</v>
      </c>
      <c r="I185">
        <v>187.99</v>
      </c>
      <c r="J185" t="s">
        <v>30</v>
      </c>
      <c r="K185">
        <f t="shared" si="8"/>
        <v>19174.98</v>
      </c>
      <c r="L185">
        <f t="shared" si="9"/>
        <v>-3959.6399999999994</v>
      </c>
      <c r="M185">
        <f t="shared" si="10"/>
        <v>0.75</v>
      </c>
      <c r="N185">
        <f t="shared" si="11"/>
        <v>0</v>
      </c>
    </row>
    <row r="186" spans="1:14" x14ac:dyDescent="0.4">
      <c r="A186" t="s">
        <v>77</v>
      </c>
      <c r="B186" t="s">
        <v>11</v>
      </c>
      <c r="C186" t="s">
        <v>12</v>
      </c>
      <c r="D186" t="s">
        <v>69</v>
      </c>
      <c r="E186" s="1">
        <v>45222</v>
      </c>
      <c r="F186">
        <v>185</v>
      </c>
      <c r="G186">
        <v>244</v>
      </c>
      <c r="H186">
        <v>166.42</v>
      </c>
      <c r="I186">
        <v>390.1</v>
      </c>
      <c r="J186" t="s">
        <v>23</v>
      </c>
      <c r="K186">
        <f t="shared" si="8"/>
        <v>72168.5</v>
      </c>
      <c r="L186">
        <f t="shared" si="9"/>
        <v>41380.800000000003</v>
      </c>
      <c r="M186">
        <f t="shared" si="10"/>
        <v>0.75819672131147542</v>
      </c>
      <c r="N186">
        <f t="shared" si="11"/>
        <v>0</v>
      </c>
    </row>
    <row r="187" spans="1:14" x14ac:dyDescent="0.4">
      <c r="A187" t="s">
        <v>162</v>
      </c>
      <c r="B187" t="s">
        <v>39</v>
      </c>
      <c r="C187" t="s">
        <v>12</v>
      </c>
      <c r="D187" t="s">
        <v>145</v>
      </c>
      <c r="E187" s="1">
        <v>45314</v>
      </c>
      <c r="F187">
        <v>183</v>
      </c>
      <c r="G187">
        <v>108</v>
      </c>
      <c r="H187">
        <v>206.24</v>
      </c>
      <c r="I187">
        <v>633.71</v>
      </c>
      <c r="J187" t="s">
        <v>14</v>
      </c>
      <c r="K187">
        <f t="shared" si="8"/>
        <v>115968.93000000001</v>
      </c>
      <c r="L187">
        <f t="shared" si="9"/>
        <v>78227.010000000009</v>
      </c>
      <c r="M187">
        <f t="shared" si="10"/>
        <v>1.6944444444444444</v>
      </c>
      <c r="N187">
        <f t="shared" si="11"/>
        <v>0</v>
      </c>
    </row>
    <row r="188" spans="1:14" x14ac:dyDescent="0.4">
      <c r="A188" t="s">
        <v>163</v>
      </c>
      <c r="B188" t="s">
        <v>39</v>
      </c>
      <c r="C188" t="s">
        <v>52</v>
      </c>
      <c r="D188" t="s">
        <v>66</v>
      </c>
      <c r="E188" s="1">
        <v>44833</v>
      </c>
      <c r="F188">
        <v>161</v>
      </c>
      <c r="G188">
        <v>286</v>
      </c>
      <c r="H188">
        <v>407.38</v>
      </c>
      <c r="I188">
        <v>730.22</v>
      </c>
      <c r="J188" t="s">
        <v>19</v>
      </c>
      <c r="K188">
        <f t="shared" si="8"/>
        <v>117565.42</v>
      </c>
      <c r="L188">
        <f t="shared" si="9"/>
        <v>51977.240000000005</v>
      </c>
      <c r="M188">
        <f t="shared" si="10"/>
        <v>0.56293706293706292</v>
      </c>
      <c r="N188">
        <f t="shared" si="11"/>
        <v>0</v>
      </c>
    </row>
    <row r="189" spans="1:14" x14ac:dyDescent="0.4">
      <c r="A189" t="s">
        <v>164</v>
      </c>
      <c r="B189" t="s">
        <v>32</v>
      </c>
      <c r="C189" t="s">
        <v>17</v>
      </c>
      <c r="D189" t="s">
        <v>45</v>
      </c>
      <c r="E189" s="1">
        <v>45499</v>
      </c>
      <c r="F189">
        <v>30</v>
      </c>
      <c r="G189">
        <v>20</v>
      </c>
      <c r="H189">
        <v>331.35</v>
      </c>
      <c r="I189">
        <v>565.37</v>
      </c>
      <c r="J189" t="s">
        <v>19</v>
      </c>
      <c r="K189">
        <f t="shared" si="8"/>
        <v>16961.099999999999</v>
      </c>
      <c r="L189">
        <f t="shared" si="9"/>
        <v>7020.5999999999995</v>
      </c>
      <c r="M189">
        <f t="shared" si="10"/>
        <v>1.5</v>
      </c>
      <c r="N189">
        <f t="shared" si="11"/>
        <v>0</v>
      </c>
    </row>
    <row r="190" spans="1:14" x14ac:dyDescent="0.4">
      <c r="A190" t="s">
        <v>10</v>
      </c>
      <c r="B190" t="s">
        <v>11</v>
      </c>
      <c r="C190" t="s">
        <v>12</v>
      </c>
      <c r="D190" t="s">
        <v>45</v>
      </c>
      <c r="E190" s="1">
        <v>44593</v>
      </c>
      <c r="F190">
        <v>51</v>
      </c>
      <c r="G190">
        <v>89</v>
      </c>
      <c r="H190">
        <v>471.94</v>
      </c>
      <c r="I190">
        <v>173.65</v>
      </c>
      <c r="J190" t="s">
        <v>34</v>
      </c>
      <c r="K190">
        <f t="shared" si="8"/>
        <v>8856.15</v>
      </c>
      <c r="L190">
        <f t="shared" si="9"/>
        <v>-15212.789999999997</v>
      </c>
      <c r="M190">
        <f t="shared" si="10"/>
        <v>0.5730337078651685</v>
      </c>
      <c r="N190">
        <f t="shared" si="11"/>
        <v>0</v>
      </c>
    </row>
    <row r="191" spans="1:14" x14ac:dyDescent="0.4">
      <c r="A191" t="s">
        <v>165</v>
      </c>
      <c r="B191" t="s">
        <v>32</v>
      </c>
      <c r="C191" t="s">
        <v>29</v>
      </c>
      <c r="D191" t="s">
        <v>22</v>
      </c>
      <c r="E191" s="1">
        <v>45004</v>
      </c>
      <c r="F191">
        <v>88</v>
      </c>
      <c r="G191">
        <v>295</v>
      </c>
      <c r="H191">
        <v>355.87</v>
      </c>
      <c r="I191">
        <v>570.41</v>
      </c>
      <c r="J191" t="s">
        <v>34</v>
      </c>
      <c r="K191">
        <f t="shared" si="8"/>
        <v>50196.079999999994</v>
      </c>
      <c r="L191">
        <f t="shared" si="9"/>
        <v>18879.519999999997</v>
      </c>
      <c r="M191">
        <f t="shared" si="10"/>
        <v>0.29830508474576273</v>
      </c>
      <c r="N191">
        <f t="shared" si="11"/>
        <v>0</v>
      </c>
    </row>
    <row r="192" spans="1:14" x14ac:dyDescent="0.4">
      <c r="A192" t="s">
        <v>113</v>
      </c>
      <c r="B192" t="s">
        <v>11</v>
      </c>
      <c r="C192" t="s">
        <v>12</v>
      </c>
      <c r="D192" t="s">
        <v>62</v>
      </c>
      <c r="E192" s="1">
        <v>44723</v>
      </c>
      <c r="F192">
        <v>75</v>
      </c>
      <c r="G192">
        <v>111</v>
      </c>
      <c r="H192">
        <v>306.58</v>
      </c>
      <c r="I192">
        <v>544.79999999999995</v>
      </c>
      <c r="J192" t="s">
        <v>30</v>
      </c>
      <c r="K192">
        <f t="shared" si="8"/>
        <v>40860</v>
      </c>
      <c r="L192">
        <f t="shared" si="9"/>
        <v>17866.499999999996</v>
      </c>
      <c r="M192">
        <f t="shared" si="10"/>
        <v>0.67567567567567566</v>
      </c>
      <c r="N192">
        <f t="shared" si="11"/>
        <v>0</v>
      </c>
    </row>
    <row r="193" spans="1:14" x14ac:dyDescent="0.4">
      <c r="A193" t="s">
        <v>166</v>
      </c>
      <c r="B193" t="s">
        <v>25</v>
      </c>
      <c r="C193" t="s">
        <v>12</v>
      </c>
      <c r="D193" t="s">
        <v>145</v>
      </c>
      <c r="E193" s="1">
        <v>45328</v>
      </c>
      <c r="F193">
        <v>128</v>
      </c>
      <c r="G193">
        <v>76</v>
      </c>
      <c r="H193">
        <v>324.58999999999997</v>
      </c>
      <c r="I193">
        <v>664.03</v>
      </c>
      <c r="J193" t="s">
        <v>30</v>
      </c>
      <c r="K193">
        <f t="shared" si="8"/>
        <v>84995.839999999997</v>
      </c>
      <c r="L193">
        <f t="shared" si="9"/>
        <v>43448.32</v>
      </c>
      <c r="M193">
        <f t="shared" si="10"/>
        <v>1.6842105263157894</v>
      </c>
      <c r="N193">
        <f t="shared" si="11"/>
        <v>0</v>
      </c>
    </row>
    <row r="194" spans="1:14" x14ac:dyDescent="0.4">
      <c r="A194" t="s">
        <v>144</v>
      </c>
      <c r="B194" t="s">
        <v>16</v>
      </c>
      <c r="C194" t="s">
        <v>12</v>
      </c>
      <c r="D194" t="s">
        <v>40</v>
      </c>
      <c r="E194" s="1">
        <v>44815</v>
      </c>
      <c r="F194">
        <v>182</v>
      </c>
      <c r="G194">
        <v>176</v>
      </c>
      <c r="H194">
        <v>474.07</v>
      </c>
      <c r="I194">
        <v>677.67</v>
      </c>
      <c r="J194" t="s">
        <v>14</v>
      </c>
      <c r="K194">
        <f t="shared" si="8"/>
        <v>123335.93999999999</v>
      </c>
      <c r="L194">
        <f t="shared" si="9"/>
        <v>37055.199999999997</v>
      </c>
      <c r="M194">
        <f t="shared" si="10"/>
        <v>1.0340909090909092</v>
      </c>
      <c r="N194">
        <f t="shared" si="11"/>
        <v>0</v>
      </c>
    </row>
    <row r="195" spans="1:14" x14ac:dyDescent="0.4">
      <c r="A195" t="s">
        <v>136</v>
      </c>
      <c r="B195" t="s">
        <v>25</v>
      </c>
      <c r="C195" t="s">
        <v>52</v>
      </c>
      <c r="D195" t="s">
        <v>72</v>
      </c>
      <c r="E195" s="1">
        <v>45082</v>
      </c>
      <c r="F195">
        <v>21</v>
      </c>
      <c r="G195">
        <v>147</v>
      </c>
      <c r="H195">
        <v>404.69</v>
      </c>
      <c r="I195">
        <v>707.74</v>
      </c>
      <c r="J195" t="s">
        <v>34</v>
      </c>
      <c r="K195">
        <f t="shared" ref="K195:K258" si="12">F195 * I195</f>
        <v>14862.54</v>
      </c>
      <c r="L195">
        <f t="shared" ref="L195:L258" si="13">(I195 - H195) * F195</f>
        <v>6364.05</v>
      </c>
      <c r="M195">
        <f t="shared" ref="M195:M258" si="14">IF(G195=0, 0, F195/G195)</f>
        <v>0.14285714285714285</v>
      </c>
      <c r="N195">
        <f t="shared" ref="N195:N258" si="15">IF(G195=0, 1, 0)</f>
        <v>0</v>
      </c>
    </row>
    <row r="196" spans="1:14" x14ac:dyDescent="0.4">
      <c r="A196" t="s">
        <v>167</v>
      </c>
      <c r="B196" t="s">
        <v>28</v>
      </c>
      <c r="C196" t="s">
        <v>29</v>
      </c>
      <c r="D196" t="s">
        <v>41</v>
      </c>
      <c r="E196" s="1">
        <v>45538</v>
      </c>
      <c r="F196">
        <v>39</v>
      </c>
      <c r="G196">
        <v>100</v>
      </c>
      <c r="H196">
        <v>60.82</v>
      </c>
      <c r="I196">
        <v>389.89</v>
      </c>
      <c r="J196" t="s">
        <v>34</v>
      </c>
      <c r="K196">
        <f t="shared" si="12"/>
        <v>15205.71</v>
      </c>
      <c r="L196">
        <f t="shared" si="13"/>
        <v>12833.73</v>
      </c>
      <c r="M196">
        <f t="shared" si="14"/>
        <v>0.39</v>
      </c>
      <c r="N196">
        <f t="shared" si="15"/>
        <v>0</v>
      </c>
    </row>
    <row r="197" spans="1:14" x14ac:dyDescent="0.4">
      <c r="A197" t="s">
        <v>79</v>
      </c>
      <c r="B197" t="s">
        <v>36</v>
      </c>
      <c r="C197" t="s">
        <v>17</v>
      </c>
      <c r="D197" t="s">
        <v>53</v>
      </c>
      <c r="E197" s="1">
        <v>44571</v>
      </c>
      <c r="F197">
        <v>100</v>
      </c>
      <c r="G197">
        <v>245</v>
      </c>
      <c r="H197">
        <v>290.36</v>
      </c>
      <c r="I197">
        <v>588.51</v>
      </c>
      <c r="J197" t="s">
        <v>30</v>
      </c>
      <c r="K197">
        <f t="shared" si="12"/>
        <v>58851</v>
      </c>
      <c r="L197">
        <f t="shared" si="13"/>
        <v>29814.999999999996</v>
      </c>
      <c r="M197">
        <f t="shared" si="14"/>
        <v>0.40816326530612246</v>
      </c>
      <c r="N197">
        <f t="shared" si="15"/>
        <v>0</v>
      </c>
    </row>
    <row r="198" spans="1:14" x14ac:dyDescent="0.4">
      <c r="A198" t="s">
        <v>96</v>
      </c>
      <c r="B198" t="s">
        <v>21</v>
      </c>
      <c r="C198" t="s">
        <v>29</v>
      </c>
      <c r="D198" t="s">
        <v>97</v>
      </c>
      <c r="E198" s="1">
        <v>45287</v>
      </c>
      <c r="F198">
        <v>110</v>
      </c>
      <c r="G198">
        <v>116</v>
      </c>
      <c r="H198">
        <v>359.75</v>
      </c>
      <c r="I198">
        <v>287.77999999999997</v>
      </c>
      <c r="J198" t="s">
        <v>30</v>
      </c>
      <c r="K198">
        <f t="shared" si="12"/>
        <v>31655.799999999996</v>
      </c>
      <c r="L198">
        <f t="shared" si="13"/>
        <v>-7916.7000000000025</v>
      </c>
      <c r="M198">
        <f t="shared" si="14"/>
        <v>0.94827586206896552</v>
      </c>
      <c r="N198">
        <f t="shared" si="15"/>
        <v>0</v>
      </c>
    </row>
    <row r="199" spans="1:14" x14ac:dyDescent="0.4">
      <c r="A199" t="s">
        <v>51</v>
      </c>
      <c r="B199" t="s">
        <v>11</v>
      </c>
      <c r="C199" t="s">
        <v>17</v>
      </c>
      <c r="D199" t="s">
        <v>132</v>
      </c>
      <c r="E199" s="1">
        <v>45066</v>
      </c>
      <c r="F199">
        <v>128</v>
      </c>
      <c r="G199">
        <v>91</v>
      </c>
      <c r="H199">
        <v>386.91</v>
      </c>
      <c r="I199">
        <v>799.54</v>
      </c>
      <c r="J199" t="s">
        <v>30</v>
      </c>
      <c r="K199">
        <f t="shared" si="12"/>
        <v>102341.12</v>
      </c>
      <c r="L199">
        <f t="shared" si="13"/>
        <v>52816.639999999992</v>
      </c>
      <c r="M199">
        <f t="shared" si="14"/>
        <v>1.4065934065934067</v>
      </c>
      <c r="N199">
        <f t="shared" si="15"/>
        <v>0</v>
      </c>
    </row>
    <row r="200" spans="1:14" x14ac:dyDescent="0.4">
      <c r="A200" t="s">
        <v>74</v>
      </c>
      <c r="B200" t="s">
        <v>28</v>
      </c>
      <c r="C200" t="s">
        <v>52</v>
      </c>
      <c r="D200" t="s">
        <v>65</v>
      </c>
      <c r="E200" s="1">
        <v>45346</v>
      </c>
      <c r="F200">
        <v>64</v>
      </c>
      <c r="G200">
        <v>27</v>
      </c>
      <c r="H200">
        <v>145.91</v>
      </c>
      <c r="I200">
        <v>222.73</v>
      </c>
      <c r="J200" t="s">
        <v>19</v>
      </c>
      <c r="K200">
        <f t="shared" si="12"/>
        <v>14254.72</v>
      </c>
      <c r="L200">
        <f t="shared" si="13"/>
        <v>4916.4799999999996</v>
      </c>
      <c r="M200">
        <f t="shared" si="14"/>
        <v>2.3703703703703702</v>
      </c>
      <c r="N200">
        <f t="shared" si="15"/>
        <v>0</v>
      </c>
    </row>
    <row r="201" spans="1:14" x14ac:dyDescent="0.4">
      <c r="A201" t="s">
        <v>168</v>
      </c>
      <c r="B201" t="s">
        <v>36</v>
      </c>
      <c r="C201" t="s">
        <v>52</v>
      </c>
      <c r="D201" t="s">
        <v>22</v>
      </c>
      <c r="E201" s="1">
        <v>44997</v>
      </c>
      <c r="F201">
        <v>190</v>
      </c>
      <c r="G201">
        <v>24</v>
      </c>
      <c r="H201">
        <v>440.23</v>
      </c>
      <c r="I201">
        <v>107.08</v>
      </c>
      <c r="J201" t="s">
        <v>23</v>
      </c>
      <c r="K201">
        <f t="shared" si="12"/>
        <v>20345.2</v>
      </c>
      <c r="L201">
        <f t="shared" si="13"/>
        <v>-63298.500000000007</v>
      </c>
      <c r="M201">
        <f t="shared" si="14"/>
        <v>7.916666666666667</v>
      </c>
      <c r="N201">
        <f t="shared" si="15"/>
        <v>0</v>
      </c>
    </row>
    <row r="202" spans="1:14" x14ac:dyDescent="0.4">
      <c r="A202" t="s">
        <v>155</v>
      </c>
      <c r="B202" t="s">
        <v>58</v>
      </c>
      <c r="C202" t="s">
        <v>52</v>
      </c>
      <c r="D202" t="s">
        <v>75</v>
      </c>
      <c r="E202" s="1">
        <v>44714</v>
      </c>
      <c r="F202">
        <v>181</v>
      </c>
      <c r="G202">
        <v>57</v>
      </c>
      <c r="H202">
        <v>480.13</v>
      </c>
      <c r="I202">
        <v>204.17</v>
      </c>
      <c r="J202" t="s">
        <v>23</v>
      </c>
      <c r="K202">
        <f t="shared" si="12"/>
        <v>36954.769999999997</v>
      </c>
      <c r="L202">
        <f t="shared" si="13"/>
        <v>-49948.760000000009</v>
      </c>
      <c r="M202">
        <f t="shared" si="14"/>
        <v>3.1754385964912282</v>
      </c>
      <c r="N202">
        <f t="shared" si="15"/>
        <v>0</v>
      </c>
    </row>
    <row r="203" spans="1:14" x14ac:dyDescent="0.4">
      <c r="A203" t="s">
        <v>148</v>
      </c>
      <c r="B203" t="s">
        <v>16</v>
      </c>
      <c r="C203" t="s">
        <v>52</v>
      </c>
      <c r="D203" t="s">
        <v>26</v>
      </c>
      <c r="E203" s="1">
        <v>45478</v>
      </c>
      <c r="F203">
        <v>169</v>
      </c>
      <c r="G203">
        <v>296</v>
      </c>
      <c r="H203">
        <v>156.52000000000001</v>
      </c>
      <c r="I203">
        <v>643.11</v>
      </c>
      <c r="J203" t="s">
        <v>34</v>
      </c>
      <c r="K203">
        <f t="shared" si="12"/>
        <v>108685.59</v>
      </c>
      <c r="L203">
        <f t="shared" si="13"/>
        <v>82233.710000000006</v>
      </c>
      <c r="M203">
        <f t="shared" si="14"/>
        <v>0.57094594594594594</v>
      </c>
      <c r="N203">
        <f t="shared" si="15"/>
        <v>0</v>
      </c>
    </row>
    <row r="204" spans="1:14" x14ac:dyDescent="0.4">
      <c r="A204" t="s">
        <v>15</v>
      </c>
      <c r="B204" t="s">
        <v>32</v>
      </c>
      <c r="C204" t="s">
        <v>17</v>
      </c>
      <c r="D204" t="s">
        <v>75</v>
      </c>
      <c r="E204" s="1">
        <v>45430</v>
      </c>
      <c r="F204">
        <v>148</v>
      </c>
      <c r="G204">
        <v>133</v>
      </c>
      <c r="H204">
        <v>447.18</v>
      </c>
      <c r="I204">
        <v>412.75</v>
      </c>
      <c r="J204" t="s">
        <v>19</v>
      </c>
      <c r="K204">
        <f t="shared" si="12"/>
        <v>61087</v>
      </c>
      <c r="L204">
        <f t="shared" si="13"/>
        <v>-5095.6400000000012</v>
      </c>
      <c r="M204">
        <f t="shared" si="14"/>
        <v>1.112781954887218</v>
      </c>
      <c r="N204">
        <f t="shared" si="15"/>
        <v>0</v>
      </c>
    </row>
    <row r="205" spans="1:14" x14ac:dyDescent="0.4">
      <c r="A205" t="s">
        <v>169</v>
      </c>
      <c r="B205" t="s">
        <v>32</v>
      </c>
      <c r="C205" t="s">
        <v>12</v>
      </c>
      <c r="D205" t="s">
        <v>40</v>
      </c>
      <c r="E205" s="1">
        <v>45314</v>
      </c>
      <c r="F205">
        <v>78</v>
      </c>
      <c r="G205">
        <v>248</v>
      </c>
      <c r="H205">
        <v>93.64</v>
      </c>
      <c r="I205">
        <v>413.25</v>
      </c>
      <c r="J205" t="s">
        <v>30</v>
      </c>
      <c r="K205">
        <f t="shared" si="12"/>
        <v>32233.5</v>
      </c>
      <c r="L205">
        <f t="shared" si="13"/>
        <v>24929.58</v>
      </c>
      <c r="M205">
        <f t="shared" si="14"/>
        <v>0.31451612903225806</v>
      </c>
      <c r="N205">
        <f t="shared" si="15"/>
        <v>0</v>
      </c>
    </row>
    <row r="206" spans="1:14" x14ac:dyDescent="0.4">
      <c r="A206" t="s">
        <v>136</v>
      </c>
      <c r="B206" t="s">
        <v>25</v>
      </c>
      <c r="C206" t="s">
        <v>17</v>
      </c>
      <c r="D206" t="s">
        <v>47</v>
      </c>
      <c r="E206" s="1">
        <v>45124</v>
      </c>
      <c r="F206">
        <v>21</v>
      </c>
      <c r="G206">
        <v>37</v>
      </c>
      <c r="H206">
        <v>75.069999999999993</v>
      </c>
      <c r="I206">
        <v>768.52</v>
      </c>
      <c r="J206" t="s">
        <v>34</v>
      </c>
      <c r="K206">
        <f t="shared" si="12"/>
        <v>16138.92</v>
      </c>
      <c r="L206">
        <f t="shared" si="13"/>
        <v>14562.45</v>
      </c>
      <c r="M206">
        <f t="shared" si="14"/>
        <v>0.56756756756756754</v>
      </c>
      <c r="N206">
        <f t="shared" si="15"/>
        <v>0</v>
      </c>
    </row>
    <row r="207" spans="1:14" x14ac:dyDescent="0.4">
      <c r="A207" t="s">
        <v>170</v>
      </c>
      <c r="B207" t="s">
        <v>39</v>
      </c>
      <c r="C207" t="s">
        <v>29</v>
      </c>
      <c r="D207" t="s">
        <v>145</v>
      </c>
      <c r="E207" s="1">
        <v>45050</v>
      </c>
      <c r="F207">
        <v>165</v>
      </c>
      <c r="G207">
        <v>74</v>
      </c>
      <c r="H207">
        <v>108.15</v>
      </c>
      <c r="I207">
        <v>743.74</v>
      </c>
      <c r="J207" t="s">
        <v>19</v>
      </c>
      <c r="K207">
        <f t="shared" si="12"/>
        <v>122717.1</v>
      </c>
      <c r="L207">
        <f t="shared" si="13"/>
        <v>104872.35</v>
      </c>
      <c r="M207">
        <f t="shared" si="14"/>
        <v>2.2297297297297298</v>
      </c>
      <c r="N207">
        <f t="shared" si="15"/>
        <v>0</v>
      </c>
    </row>
    <row r="208" spans="1:14" x14ac:dyDescent="0.4">
      <c r="A208" t="s">
        <v>149</v>
      </c>
      <c r="B208" t="s">
        <v>36</v>
      </c>
      <c r="C208" t="s">
        <v>52</v>
      </c>
      <c r="D208" t="s">
        <v>53</v>
      </c>
      <c r="E208" s="1">
        <v>45456</v>
      </c>
      <c r="F208">
        <v>98</v>
      </c>
      <c r="G208">
        <v>141</v>
      </c>
      <c r="H208">
        <v>75.98</v>
      </c>
      <c r="I208">
        <v>317.83999999999997</v>
      </c>
      <c r="J208" t="s">
        <v>14</v>
      </c>
      <c r="K208">
        <f t="shared" si="12"/>
        <v>31148.319999999996</v>
      </c>
      <c r="L208">
        <f t="shared" si="13"/>
        <v>23702.279999999995</v>
      </c>
      <c r="M208">
        <f t="shared" si="14"/>
        <v>0.69503546099290781</v>
      </c>
      <c r="N208">
        <f t="shared" si="15"/>
        <v>0</v>
      </c>
    </row>
    <row r="209" spans="1:14" x14ac:dyDescent="0.4">
      <c r="A209" t="s">
        <v>134</v>
      </c>
      <c r="B209" t="s">
        <v>58</v>
      </c>
      <c r="C209" t="s">
        <v>52</v>
      </c>
      <c r="D209" t="s">
        <v>37</v>
      </c>
      <c r="E209" s="1">
        <v>44665</v>
      </c>
      <c r="F209">
        <v>7</v>
      </c>
      <c r="G209">
        <v>167</v>
      </c>
      <c r="H209">
        <v>430.26</v>
      </c>
      <c r="I209">
        <v>246.34</v>
      </c>
      <c r="J209" t="s">
        <v>19</v>
      </c>
      <c r="K209">
        <f t="shared" si="12"/>
        <v>1724.38</v>
      </c>
      <c r="L209">
        <f t="shared" si="13"/>
        <v>-1287.4399999999998</v>
      </c>
      <c r="M209">
        <f t="shared" si="14"/>
        <v>4.1916167664670656E-2</v>
      </c>
      <c r="N209">
        <f t="shared" si="15"/>
        <v>0</v>
      </c>
    </row>
    <row r="210" spans="1:14" x14ac:dyDescent="0.4">
      <c r="A210" t="s">
        <v>171</v>
      </c>
      <c r="B210" t="s">
        <v>28</v>
      </c>
      <c r="C210" t="s">
        <v>29</v>
      </c>
      <c r="D210" t="s">
        <v>37</v>
      </c>
      <c r="E210" s="1">
        <v>45586</v>
      </c>
      <c r="F210">
        <v>189</v>
      </c>
      <c r="G210">
        <v>258</v>
      </c>
      <c r="H210">
        <v>76.569999999999993</v>
      </c>
      <c r="I210">
        <v>693.94</v>
      </c>
      <c r="J210" t="s">
        <v>34</v>
      </c>
      <c r="K210">
        <f t="shared" si="12"/>
        <v>131154.66</v>
      </c>
      <c r="L210">
        <f t="shared" si="13"/>
        <v>116682.93000000002</v>
      </c>
      <c r="M210">
        <f t="shared" si="14"/>
        <v>0.73255813953488369</v>
      </c>
      <c r="N210">
        <f t="shared" si="15"/>
        <v>0</v>
      </c>
    </row>
    <row r="211" spans="1:14" x14ac:dyDescent="0.4">
      <c r="A211" t="s">
        <v>61</v>
      </c>
      <c r="B211" t="s">
        <v>16</v>
      </c>
      <c r="C211" t="s">
        <v>17</v>
      </c>
      <c r="D211" t="s">
        <v>145</v>
      </c>
      <c r="E211" s="1">
        <v>45568</v>
      </c>
      <c r="F211">
        <v>174</v>
      </c>
      <c r="G211">
        <v>224</v>
      </c>
      <c r="H211">
        <v>172.25</v>
      </c>
      <c r="I211">
        <v>734.21</v>
      </c>
      <c r="J211" t="s">
        <v>23</v>
      </c>
      <c r="K211">
        <f t="shared" si="12"/>
        <v>127752.54000000001</v>
      </c>
      <c r="L211">
        <f t="shared" si="13"/>
        <v>97781.040000000008</v>
      </c>
      <c r="M211">
        <f t="shared" si="14"/>
        <v>0.7767857142857143</v>
      </c>
      <c r="N211">
        <f t="shared" si="15"/>
        <v>0</v>
      </c>
    </row>
    <row r="212" spans="1:14" x14ac:dyDescent="0.4">
      <c r="A212" t="s">
        <v>54</v>
      </c>
      <c r="B212" t="s">
        <v>36</v>
      </c>
      <c r="C212" t="s">
        <v>12</v>
      </c>
      <c r="D212" t="s">
        <v>69</v>
      </c>
      <c r="E212" s="1">
        <v>44968</v>
      </c>
      <c r="F212">
        <v>16</v>
      </c>
      <c r="G212">
        <v>151</v>
      </c>
      <c r="H212">
        <v>96.69</v>
      </c>
      <c r="I212">
        <v>479.12</v>
      </c>
      <c r="J212" t="s">
        <v>30</v>
      </c>
      <c r="K212">
        <f t="shared" si="12"/>
        <v>7665.92</v>
      </c>
      <c r="L212">
        <f t="shared" si="13"/>
        <v>6118.88</v>
      </c>
      <c r="M212">
        <f t="shared" si="14"/>
        <v>0.10596026490066225</v>
      </c>
      <c r="N212">
        <f t="shared" si="15"/>
        <v>0</v>
      </c>
    </row>
    <row r="213" spans="1:14" x14ac:dyDescent="0.4">
      <c r="A213" t="s">
        <v>169</v>
      </c>
      <c r="B213" t="s">
        <v>58</v>
      </c>
      <c r="C213" t="s">
        <v>12</v>
      </c>
      <c r="D213" t="s">
        <v>22</v>
      </c>
      <c r="E213" s="1">
        <v>44728</v>
      </c>
      <c r="F213">
        <v>16</v>
      </c>
      <c r="G213">
        <v>18</v>
      </c>
      <c r="H213">
        <v>182.94</v>
      </c>
      <c r="I213">
        <v>540.6</v>
      </c>
      <c r="J213" t="s">
        <v>14</v>
      </c>
      <c r="K213">
        <f t="shared" si="12"/>
        <v>8649.6</v>
      </c>
      <c r="L213">
        <f t="shared" si="13"/>
        <v>5722.56</v>
      </c>
      <c r="M213">
        <f t="shared" si="14"/>
        <v>0.88888888888888884</v>
      </c>
      <c r="N213">
        <f t="shared" si="15"/>
        <v>0</v>
      </c>
    </row>
    <row r="214" spans="1:14" x14ac:dyDescent="0.4">
      <c r="A214" t="s">
        <v>140</v>
      </c>
      <c r="B214" t="s">
        <v>21</v>
      </c>
      <c r="C214" t="s">
        <v>29</v>
      </c>
      <c r="D214" t="s">
        <v>47</v>
      </c>
      <c r="E214" s="1">
        <v>45070</v>
      </c>
      <c r="F214">
        <v>89</v>
      </c>
      <c r="G214">
        <v>145</v>
      </c>
      <c r="H214">
        <v>90.75</v>
      </c>
      <c r="I214">
        <v>279.83999999999997</v>
      </c>
      <c r="J214" t="s">
        <v>19</v>
      </c>
      <c r="K214">
        <f t="shared" si="12"/>
        <v>24905.759999999998</v>
      </c>
      <c r="L214">
        <f t="shared" si="13"/>
        <v>16829.009999999998</v>
      </c>
      <c r="M214">
        <f t="shared" si="14"/>
        <v>0.61379310344827587</v>
      </c>
      <c r="N214">
        <f t="shared" si="15"/>
        <v>0</v>
      </c>
    </row>
    <row r="215" spans="1:14" x14ac:dyDescent="0.4">
      <c r="A215" t="s">
        <v>169</v>
      </c>
      <c r="B215" t="s">
        <v>11</v>
      </c>
      <c r="C215" t="s">
        <v>12</v>
      </c>
      <c r="D215" t="s">
        <v>69</v>
      </c>
      <c r="E215" s="1">
        <v>44874</v>
      </c>
      <c r="F215">
        <v>140</v>
      </c>
      <c r="G215">
        <v>240</v>
      </c>
      <c r="H215">
        <v>350.6</v>
      </c>
      <c r="I215">
        <v>660.56</v>
      </c>
      <c r="J215" t="s">
        <v>34</v>
      </c>
      <c r="K215">
        <f t="shared" si="12"/>
        <v>92478.399999999994</v>
      </c>
      <c r="L215">
        <f t="shared" si="13"/>
        <v>43394.399999999987</v>
      </c>
      <c r="M215">
        <f t="shared" si="14"/>
        <v>0.58333333333333337</v>
      </c>
      <c r="N215">
        <f t="shared" si="15"/>
        <v>0</v>
      </c>
    </row>
    <row r="216" spans="1:14" x14ac:dyDescent="0.4">
      <c r="A216" t="s">
        <v>172</v>
      </c>
      <c r="B216" t="s">
        <v>32</v>
      </c>
      <c r="C216" t="s">
        <v>17</v>
      </c>
      <c r="D216" t="s">
        <v>13</v>
      </c>
      <c r="E216" s="1">
        <v>45324</v>
      </c>
      <c r="F216">
        <v>144</v>
      </c>
      <c r="G216">
        <v>236</v>
      </c>
      <c r="H216">
        <v>110</v>
      </c>
      <c r="I216">
        <v>542.49</v>
      </c>
      <c r="J216" t="s">
        <v>34</v>
      </c>
      <c r="K216">
        <f t="shared" si="12"/>
        <v>78118.559999999998</v>
      </c>
      <c r="L216">
        <f t="shared" si="13"/>
        <v>62278.559999999998</v>
      </c>
      <c r="M216">
        <f t="shared" si="14"/>
        <v>0.61016949152542377</v>
      </c>
      <c r="N216">
        <f t="shared" si="15"/>
        <v>0</v>
      </c>
    </row>
    <row r="217" spans="1:14" x14ac:dyDescent="0.4">
      <c r="A217" t="s">
        <v>100</v>
      </c>
      <c r="B217" t="s">
        <v>28</v>
      </c>
      <c r="C217" t="s">
        <v>17</v>
      </c>
      <c r="D217" t="s">
        <v>53</v>
      </c>
      <c r="E217" s="1">
        <v>45242</v>
      </c>
      <c r="F217">
        <v>165</v>
      </c>
      <c r="G217">
        <v>34</v>
      </c>
      <c r="H217">
        <v>433.33</v>
      </c>
      <c r="I217">
        <v>452.46</v>
      </c>
      <c r="J217" t="s">
        <v>30</v>
      </c>
      <c r="K217">
        <f t="shared" si="12"/>
        <v>74655.899999999994</v>
      </c>
      <c r="L217">
        <f t="shared" si="13"/>
        <v>3156.4499999999994</v>
      </c>
      <c r="M217">
        <f t="shared" si="14"/>
        <v>4.8529411764705879</v>
      </c>
      <c r="N217">
        <f t="shared" si="15"/>
        <v>0</v>
      </c>
    </row>
    <row r="218" spans="1:14" x14ac:dyDescent="0.4">
      <c r="A218" t="s">
        <v>156</v>
      </c>
      <c r="B218" t="s">
        <v>32</v>
      </c>
      <c r="C218" t="s">
        <v>29</v>
      </c>
      <c r="D218" t="s">
        <v>62</v>
      </c>
      <c r="E218" s="1">
        <v>45038</v>
      </c>
      <c r="F218">
        <v>80</v>
      </c>
      <c r="G218">
        <v>189</v>
      </c>
      <c r="H218">
        <v>417.74</v>
      </c>
      <c r="I218">
        <v>142.08000000000001</v>
      </c>
      <c r="J218" t="s">
        <v>34</v>
      </c>
      <c r="K218">
        <f t="shared" si="12"/>
        <v>11366.400000000001</v>
      </c>
      <c r="L218">
        <f t="shared" si="13"/>
        <v>-22052.799999999996</v>
      </c>
      <c r="M218">
        <f t="shared" si="14"/>
        <v>0.42328042328042326</v>
      </c>
      <c r="N218">
        <f t="shared" si="15"/>
        <v>0</v>
      </c>
    </row>
    <row r="219" spans="1:14" x14ac:dyDescent="0.4">
      <c r="A219" t="s">
        <v>169</v>
      </c>
      <c r="B219" t="s">
        <v>28</v>
      </c>
      <c r="C219" t="s">
        <v>17</v>
      </c>
      <c r="D219" t="s">
        <v>18</v>
      </c>
      <c r="E219" s="1">
        <v>44634</v>
      </c>
      <c r="F219">
        <v>77</v>
      </c>
      <c r="G219">
        <v>0</v>
      </c>
      <c r="H219">
        <v>56.15</v>
      </c>
      <c r="I219">
        <v>741.15</v>
      </c>
      <c r="J219" t="s">
        <v>34</v>
      </c>
      <c r="K219">
        <f t="shared" si="12"/>
        <v>57068.549999999996</v>
      </c>
      <c r="L219">
        <f t="shared" si="13"/>
        <v>52745</v>
      </c>
      <c r="M219">
        <f t="shared" si="14"/>
        <v>0</v>
      </c>
      <c r="N219">
        <f t="shared" si="15"/>
        <v>1</v>
      </c>
    </row>
    <row r="220" spans="1:14" x14ac:dyDescent="0.4">
      <c r="A220" t="s">
        <v>57</v>
      </c>
      <c r="B220" t="s">
        <v>25</v>
      </c>
      <c r="C220" t="s">
        <v>52</v>
      </c>
      <c r="D220" t="s">
        <v>66</v>
      </c>
      <c r="E220" s="1">
        <v>45143</v>
      </c>
      <c r="F220">
        <v>172</v>
      </c>
      <c r="G220">
        <v>152</v>
      </c>
      <c r="H220">
        <v>453.08</v>
      </c>
      <c r="I220">
        <v>530.82000000000005</v>
      </c>
      <c r="J220" t="s">
        <v>30</v>
      </c>
      <c r="K220">
        <f t="shared" si="12"/>
        <v>91301.040000000008</v>
      </c>
      <c r="L220">
        <f t="shared" si="13"/>
        <v>13371.280000000012</v>
      </c>
      <c r="M220">
        <f t="shared" si="14"/>
        <v>1.131578947368421</v>
      </c>
      <c r="N220">
        <f t="shared" si="15"/>
        <v>0</v>
      </c>
    </row>
    <row r="221" spans="1:14" x14ac:dyDescent="0.4">
      <c r="A221" t="s">
        <v>61</v>
      </c>
      <c r="B221" t="s">
        <v>39</v>
      </c>
      <c r="C221" t="s">
        <v>29</v>
      </c>
      <c r="D221" t="s">
        <v>97</v>
      </c>
      <c r="E221" s="1">
        <v>44823</v>
      </c>
      <c r="F221">
        <v>5</v>
      </c>
      <c r="G221">
        <v>125</v>
      </c>
      <c r="H221">
        <v>63.02</v>
      </c>
      <c r="I221">
        <v>234.88</v>
      </c>
      <c r="J221" t="s">
        <v>14</v>
      </c>
      <c r="K221">
        <f t="shared" si="12"/>
        <v>1174.4000000000001</v>
      </c>
      <c r="L221">
        <f t="shared" si="13"/>
        <v>859.3</v>
      </c>
      <c r="M221">
        <f t="shared" si="14"/>
        <v>0.04</v>
      </c>
      <c r="N221">
        <f t="shared" si="15"/>
        <v>0</v>
      </c>
    </row>
    <row r="222" spans="1:14" x14ac:dyDescent="0.4">
      <c r="A222" t="s">
        <v>104</v>
      </c>
      <c r="B222" t="s">
        <v>28</v>
      </c>
      <c r="C222" t="s">
        <v>17</v>
      </c>
      <c r="D222" t="s">
        <v>47</v>
      </c>
      <c r="E222" s="1">
        <v>44806</v>
      </c>
      <c r="F222">
        <v>162</v>
      </c>
      <c r="G222">
        <v>225</v>
      </c>
      <c r="H222">
        <v>157.84</v>
      </c>
      <c r="I222">
        <v>524.47</v>
      </c>
      <c r="J222" t="s">
        <v>23</v>
      </c>
      <c r="K222">
        <f t="shared" si="12"/>
        <v>84964.14</v>
      </c>
      <c r="L222">
        <f t="shared" si="13"/>
        <v>59394.06</v>
      </c>
      <c r="M222">
        <f t="shared" si="14"/>
        <v>0.72</v>
      </c>
      <c r="N222">
        <f t="shared" si="15"/>
        <v>0</v>
      </c>
    </row>
    <row r="223" spans="1:14" x14ac:dyDescent="0.4">
      <c r="A223" t="s">
        <v>173</v>
      </c>
      <c r="B223" t="s">
        <v>32</v>
      </c>
      <c r="C223" t="s">
        <v>29</v>
      </c>
      <c r="D223" t="s">
        <v>62</v>
      </c>
      <c r="E223" s="1">
        <v>45122</v>
      </c>
      <c r="F223">
        <v>109</v>
      </c>
      <c r="G223">
        <v>220</v>
      </c>
      <c r="H223">
        <v>64.58</v>
      </c>
      <c r="I223">
        <v>574.22</v>
      </c>
      <c r="J223" t="s">
        <v>23</v>
      </c>
      <c r="K223">
        <f t="shared" si="12"/>
        <v>62589.98</v>
      </c>
      <c r="L223">
        <f t="shared" si="13"/>
        <v>55550.76</v>
      </c>
      <c r="M223">
        <f t="shared" si="14"/>
        <v>0.49545454545454548</v>
      </c>
      <c r="N223">
        <f t="shared" si="15"/>
        <v>0</v>
      </c>
    </row>
    <row r="224" spans="1:14" x14ac:dyDescent="0.4">
      <c r="A224" t="s">
        <v>124</v>
      </c>
      <c r="B224" t="s">
        <v>25</v>
      </c>
      <c r="C224" t="s">
        <v>12</v>
      </c>
      <c r="D224" t="s">
        <v>22</v>
      </c>
      <c r="E224" s="1">
        <v>44736</v>
      </c>
      <c r="F224">
        <v>13</v>
      </c>
      <c r="G224">
        <v>210</v>
      </c>
      <c r="H224">
        <v>201.13</v>
      </c>
      <c r="I224">
        <v>468.04</v>
      </c>
      <c r="J224" t="s">
        <v>19</v>
      </c>
      <c r="K224">
        <f t="shared" si="12"/>
        <v>6084.52</v>
      </c>
      <c r="L224">
        <f t="shared" si="13"/>
        <v>3469.8300000000004</v>
      </c>
      <c r="M224">
        <f t="shared" si="14"/>
        <v>6.1904761904761907E-2</v>
      </c>
      <c r="N224">
        <f t="shared" si="15"/>
        <v>0</v>
      </c>
    </row>
    <row r="225" spans="1:14" x14ac:dyDescent="0.4">
      <c r="A225" t="s">
        <v>174</v>
      </c>
      <c r="B225" t="s">
        <v>28</v>
      </c>
      <c r="C225" t="s">
        <v>17</v>
      </c>
      <c r="D225" t="s">
        <v>37</v>
      </c>
      <c r="E225" s="1">
        <v>44670</v>
      </c>
      <c r="F225">
        <v>71</v>
      </c>
      <c r="G225">
        <v>24</v>
      </c>
      <c r="H225">
        <v>281.24</v>
      </c>
      <c r="I225">
        <v>602.66999999999996</v>
      </c>
      <c r="J225" t="s">
        <v>14</v>
      </c>
      <c r="K225">
        <f t="shared" si="12"/>
        <v>42789.57</v>
      </c>
      <c r="L225">
        <f t="shared" si="13"/>
        <v>22821.529999999995</v>
      </c>
      <c r="M225">
        <f t="shared" si="14"/>
        <v>2.9583333333333335</v>
      </c>
      <c r="N225">
        <f t="shared" si="15"/>
        <v>0</v>
      </c>
    </row>
    <row r="226" spans="1:14" x14ac:dyDescent="0.4">
      <c r="A226" t="s">
        <v>175</v>
      </c>
      <c r="B226" t="s">
        <v>21</v>
      </c>
      <c r="C226" t="s">
        <v>52</v>
      </c>
      <c r="D226" t="s">
        <v>26</v>
      </c>
      <c r="E226" s="1">
        <v>44744</v>
      </c>
      <c r="F226">
        <v>188</v>
      </c>
      <c r="G226">
        <v>15</v>
      </c>
      <c r="H226">
        <v>408.49</v>
      </c>
      <c r="I226">
        <v>507.02</v>
      </c>
      <c r="J226" t="s">
        <v>19</v>
      </c>
      <c r="K226">
        <f t="shared" si="12"/>
        <v>95319.76</v>
      </c>
      <c r="L226">
        <f t="shared" si="13"/>
        <v>18523.639999999996</v>
      </c>
      <c r="M226">
        <f t="shared" si="14"/>
        <v>12.533333333333333</v>
      </c>
      <c r="N226">
        <f t="shared" si="15"/>
        <v>0</v>
      </c>
    </row>
    <row r="227" spans="1:14" x14ac:dyDescent="0.4">
      <c r="A227" t="s">
        <v>61</v>
      </c>
      <c r="B227" t="s">
        <v>39</v>
      </c>
      <c r="C227" t="s">
        <v>17</v>
      </c>
      <c r="D227" t="s">
        <v>26</v>
      </c>
      <c r="E227" s="1">
        <v>44753</v>
      </c>
      <c r="F227">
        <v>142</v>
      </c>
      <c r="G227">
        <v>181</v>
      </c>
      <c r="H227">
        <v>202.09</v>
      </c>
      <c r="I227">
        <v>763.44</v>
      </c>
      <c r="J227" t="s">
        <v>23</v>
      </c>
      <c r="K227">
        <f t="shared" si="12"/>
        <v>108408.48000000001</v>
      </c>
      <c r="L227">
        <f t="shared" si="13"/>
        <v>79711.7</v>
      </c>
      <c r="M227">
        <f t="shared" si="14"/>
        <v>0.78453038674033149</v>
      </c>
      <c r="N227">
        <f t="shared" si="15"/>
        <v>0</v>
      </c>
    </row>
    <row r="228" spans="1:14" x14ac:dyDescent="0.4">
      <c r="A228" t="s">
        <v>56</v>
      </c>
      <c r="B228" t="s">
        <v>28</v>
      </c>
      <c r="C228" t="s">
        <v>29</v>
      </c>
      <c r="D228" t="s">
        <v>132</v>
      </c>
      <c r="E228" s="1">
        <v>44626</v>
      </c>
      <c r="F228">
        <v>53</v>
      </c>
      <c r="G228">
        <v>128</v>
      </c>
      <c r="H228">
        <v>367.47</v>
      </c>
      <c r="I228">
        <v>137.59</v>
      </c>
      <c r="J228" t="s">
        <v>30</v>
      </c>
      <c r="K228">
        <f t="shared" si="12"/>
        <v>7292.27</v>
      </c>
      <c r="L228">
        <f t="shared" si="13"/>
        <v>-12183.640000000001</v>
      </c>
      <c r="M228">
        <f t="shared" si="14"/>
        <v>0.4140625</v>
      </c>
      <c r="N228">
        <f t="shared" si="15"/>
        <v>0</v>
      </c>
    </row>
    <row r="229" spans="1:14" x14ac:dyDescent="0.4">
      <c r="A229" t="s">
        <v>96</v>
      </c>
      <c r="B229" t="s">
        <v>25</v>
      </c>
      <c r="C229" t="s">
        <v>29</v>
      </c>
      <c r="D229" t="s">
        <v>13</v>
      </c>
      <c r="E229" s="1">
        <v>45524</v>
      </c>
      <c r="F229">
        <v>26</v>
      </c>
      <c r="G229">
        <v>41</v>
      </c>
      <c r="H229">
        <v>134.38</v>
      </c>
      <c r="I229">
        <v>174.37</v>
      </c>
      <c r="J229" t="s">
        <v>34</v>
      </c>
      <c r="K229">
        <f t="shared" si="12"/>
        <v>4533.62</v>
      </c>
      <c r="L229">
        <f t="shared" si="13"/>
        <v>1039.7400000000002</v>
      </c>
      <c r="M229">
        <f t="shared" si="14"/>
        <v>0.63414634146341464</v>
      </c>
      <c r="N229">
        <f t="shared" si="15"/>
        <v>0</v>
      </c>
    </row>
    <row r="230" spans="1:14" x14ac:dyDescent="0.4">
      <c r="A230" t="s">
        <v>155</v>
      </c>
      <c r="B230" t="s">
        <v>36</v>
      </c>
      <c r="C230" t="s">
        <v>17</v>
      </c>
      <c r="D230" t="s">
        <v>53</v>
      </c>
      <c r="E230" s="1">
        <v>45425</v>
      </c>
      <c r="F230">
        <v>12</v>
      </c>
      <c r="G230">
        <v>235</v>
      </c>
      <c r="H230">
        <v>387.77</v>
      </c>
      <c r="I230">
        <v>221.57</v>
      </c>
      <c r="J230" t="s">
        <v>23</v>
      </c>
      <c r="K230">
        <f t="shared" si="12"/>
        <v>2658.84</v>
      </c>
      <c r="L230">
        <f t="shared" si="13"/>
        <v>-1994.3999999999999</v>
      </c>
      <c r="M230">
        <f t="shared" si="14"/>
        <v>5.106382978723404E-2</v>
      </c>
      <c r="N230">
        <f t="shared" si="15"/>
        <v>0</v>
      </c>
    </row>
    <row r="231" spans="1:14" x14ac:dyDescent="0.4">
      <c r="A231" t="s">
        <v>165</v>
      </c>
      <c r="B231" t="s">
        <v>43</v>
      </c>
      <c r="C231" t="s">
        <v>52</v>
      </c>
      <c r="D231" t="s">
        <v>69</v>
      </c>
      <c r="E231" s="1">
        <v>44930</v>
      </c>
      <c r="F231">
        <v>158</v>
      </c>
      <c r="G231">
        <v>33</v>
      </c>
      <c r="H231">
        <v>156.19999999999999</v>
      </c>
      <c r="I231">
        <v>583.12</v>
      </c>
      <c r="J231" t="s">
        <v>14</v>
      </c>
      <c r="K231">
        <f t="shared" si="12"/>
        <v>92132.96</v>
      </c>
      <c r="L231">
        <f t="shared" si="13"/>
        <v>67453.36</v>
      </c>
      <c r="M231">
        <f t="shared" si="14"/>
        <v>4.7878787878787881</v>
      </c>
      <c r="N231">
        <f t="shared" si="15"/>
        <v>0</v>
      </c>
    </row>
    <row r="232" spans="1:14" x14ac:dyDescent="0.4">
      <c r="A232" t="s">
        <v>155</v>
      </c>
      <c r="B232" t="s">
        <v>58</v>
      </c>
      <c r="C232" t="s">
        <v>52</v>
      </c>
      <c r="D232" t="s">
        <v>75</v>
      </c>
      <c r="E232" s="1">
        <v>45412</v>
      </c>
      <c r="F232">
        <v>162</v>
      </c>
      <c r="G232">
        <v>44</v>
      </c>
      <c r="H232">
        <v>114.6</v>
      </c>
      <c r="I232">
        <v>551.91999999999996</v>
      </c>
      <c r="J232" t="s">
        <v>23</v>
      </c>
      <c r="K232">
        <f t="shared" si="12"/>
        <v>89411.04</v>
      </c>
      <c r="L232">
        <f t="shared" si="13"/>
        <v>70845.84</v>
      </c>
      <c r="M232">
        <f t="shared" si="14"/>
        <v>3.6818181818181817</v>
      </c>
      <c r="N232">
        <f t="shared" si="15"/>
        <v>0</v>
      </c>
    </row>
    <row r="233" spans="1:14" x14ac:dyDescent="0.4">
      <c r="A233" t="s">
        <v>176</v>
      </c>
      <c r="B233" t="s">
        <v>43</v>
      </c>
      <c r="C233" t="s">
        <v>52</v>
      </c>
      <c r="D233" t="s">
        <v>37</v>
      </c>
      <c r="E233" s="1">
        <v>44604</v>
      </c>
      <c r="F233">
        <v>59</v>
      </c>
      <c r="G233">
        <v>133</v>
      </c>
      <c r="H233">
        <v>133.43</v>
      </c>
      <c r="I233">
        <v>724.44</v>
      </c>
      <c r="J233" t="s">
        <v>14</v>
      </c>
      <c r="K233">
        <f t="shared" si="12"/>
        <v>42741.960000000006</v>
      </c>
      <c r="L233">
        <f t="shared" si="13"/>
        <v>34869.589999999997</v>
      </c>
      <c r="M233">
        <f t="shared" si="14"/>
        <v>0.44360902255639095</v>
      </c>
      <c r="N233">
        <f t="shared" si="15"/>
        <v>0</v>
      </c>
    </row>
    <row r="234" spans="1:14" x14ac:dyDescent="0.4">
      <c r="A234" t="s">
        <v>177</v>
      </c>
      <c r="B234" t="s">
        <v>43</v>
      </c>
      <c r="C234" t="s">
        <v>29</v>
      </c>
      <c r="D234" t="s">
        <v>13</v>
      </c>
      <c r="E234" s="1">
        <v>45049</v>
      </c>
      <c r="F234">
        <v>5</v>
      </c>
      <c r="G234">
        <v>20</v>
      </c>
      <c r="H234">
        <v>131.93</v>
      </c>
      <c r="I234">
        <v>613.01</v>
      </c>
      <c r="J234" t="s">
        <v>14</v>
      </c>
      <c r="K234">
        <f t="shared" si="12"/>
        <v>3065.05</v>
      </c>
      <c r="L234">
        <f t="shared" si="13"/>
        <v>2405.4</v>
      </c>
      <c r="M234">
        <f t="shared" si="14"/>
        <v>0.25</v>
      </c>
      <c r="N234">
        <f t="shared" si="15"/>
        <v>0</v>
      </c>
    </row>
    <row r="235" spans="1:14" x14ac:dyDescent="0.4">
      <c r="A235" t="s">
        <v>172</v>
      </c>
      <c r="B235" t="s">
        <v>16</v>
      </c>
      <c r="C235" t="s">
        <v>17</v>
      </c>
      <c r="D235" t="s">
        <v>41</v>
      </c>
      <c r="E235" s="1">
        <v>44639</v>
      </c>
      <c r="F235">
        <v>196</v>
      </c>
      <c r="G235">
        <v>121</v>
      </c>
      <c r="H235">
        <v>280.79000000000002</v>
      </c>
      <c r="I235">
        <v>455.85</v>
      </c>
      <c r="J235" t="s">
        <v>14</v>
      </c>
      <c r="K235">
        <f t="shared" si="12"/>
        <v>89346.6</v>
      </c>
      <c r="L235">
        <f t="shared" si="13"/>
        <v>34311.760000000002</v>
      </c>
      <c r="M235">
        <f t="shared" si="14"/>
        <v>1.6198347107438016</v>
      </c>
      <c r="N235">
        <f t="shared" si="15"/>
        <v>0</v>
      </c>
    </row>
    <row r="236" spans="1:14" x14ac:dyDescent="0.4">
      <c r="A236" t="s">
        <v>130</v>
      </c>
      <c r="B236" t="s">
        <v>21</v>
      </c>
      <c r="C236" t="s">
        <v>12</v>
      </c>
      <c r="D236" t="s">
        <v>132</v>
      </c>
      <c r="E236" s="1">
        <v>45387</v>
      </c>
      <c r="F236">
        <v>57</v>
      </c>
      <c r="G236">
        <v>69</v>
      </c>
      <c r="H236">
        <v>430.16</v>
      </c>
      <c r="I236">
        <v>794.28</v>
      </c>
      <c r="J236" t="s">
        <v>19</v>
      </c>
      <c r="K236">
        <f t="shared" si="12"/>
        <v>45273.96</v>
      </c>
      <c r="L236">
        <f t="shared" si="13"/>
        <v>20754.839999999997</v>
      </c>
      <c r="M236">
        <f t="shared" si="14"/>
        <v>0.82608695652173914</v>
      </c>
      <c r="N236">
        <f t="shared" si="15"/>
        <v>0</v>
      </c>
    </row>
    <row r="237" spans="1:14" x14ac:dyDescent="0.4">
      <c r="A237" t="s">
        <v>178</v>
      </c>
      <c r="B237" t="s">
        <v>36</v>
      </c>
      <c r="C237" t="s">
        <v>29</v>
      </c>
      <c r="D237" t="s">
        <v>69</v>
      </c>
      <c r="E237" s="1">
        <v>45235</v>
      </c>
      <c r="F237">
        <v>48</v>
      </c>
      <c r="G237">
        <v>47</v>
      </c>
      <c r="H237">
        <v>85.82</v>
      </c>
      <c r="I237">
        <v>286.27999999999997</v>
      </c>
      <c r="J237" t="s">
        <v>30</v>
      </c>
      <c r="K237">
        <f t="shared" si="12"/>
        <v>13741.439999999999</v>
      </c>
      <c r="L237">
        <f t="shared" si="13"/>
        <v>9622.0799999999981</v>
      </c>
      <c r="M237">
        <f t="shared" si="14"/>
        <v>1.0212765957446808</v>
      </c>
      <c r="N237">
        <f t="shared" si="15"/>
        <v>0</v>
      </c>
    </row>
    <row r="238" spans="1:14" x14ac:dyDescent="0.4">
      <c r="A238" t="s">
        <v>60</v>
      </c>
      <c r="B238" t="s">
        <v>11</v>
      </c>
      <c r="C238" t="s">
        <v>52</v>
      </c>
      <c r="D238" t="s">
        <v>75</v>
      </c>
      <c r="E238" s="1">
        <v>45262</v>
      </c>
      <c r="F238">
        <v>150</v>
      </c>
      <c r="G238">
        <v>38</v>
      </c>
      <c r="H238">
        <v>368.13</v>
      </c>
      <c r="I238">
        <v>683.23</v>
      </c>
      <c r="J238" t="s">
        <v>23</v>
      </c>
      <c r="K238">
        <f t="shared" si="12"/>
        <v>102484.5</v>
      </c>
      <c r="L238">
        <f t="shared" si="13"/>
        <v>47265</v>
      </c>
      <c r="M238">
        <f t="shared" si="14"/>
        <v>3.9473684210526314</v>
      </c>
      <c r="N238">
        <f t="shared" si="15"/>
        <v>0</v>
      </c>
    </row>
    <row r="239" spans="1:14" x14ac:dyDescent="0.4">
      <c r="A239" t="s">
        <v>116</v>
      </c>
      <c r="B239" t="s">
        <v>28</v>
      </c>
      <c r="C239" t="s">
        <v>17</v>
      </c>
      <c r="D239" t="s">
        <v>66</v>
      </c>
      <c r="E239" s="1">
        <v>45320</v>
      </c>
      <c r="F239">
        <v>161</v>
      </c>
      <c r="G239">
        <v>286</v>
      </c>
      <c r="H239">
        <v>344.46</v>
      </c>
      <c r="I239">
        <v>398.75</v>
      </c>
      <c r="J239" t="s">
        <v>30</v>
      </c>
      <c r="K239">
        <f t="shared" si="12"/>
        <v>64198.75</v>
      </c>
      <c r="L239">
        <f t="shared" si="13"/>
        <v>8740.6900000000041</v>
      </c>
      <c r="M239">
        <f t="shared" si="14"/>
        <v>0.56293706293706292</v>
      </c>
      <c r="N239">
        <f t="shared" si="15"/>
        <v>0</v>
      </c>
    </row>
    <row r="240" spans="1:14" x14ac:dyDescent="0.4">
      <c r="A240" t="s">
        <v>179</v>
      </c>
      <c r="B240" t="s">
        <v>58</v>
      </c>
      <c r="C240" t="s">
        <v>52</v>
      </c>
      <c r="D240" t="s">
        <v>41</v>
      </c>
      <c r="E240" s="1">
        <v>45289</v>
      </c>
      <c r="F240">
        <v>25</v>
      </c>
      <c r="G240">
        <v>9</v>
      </c>
      <c r="H240">
        <v>442.63</v>
      </c>
      <c r="I240">
        <v>554.11</v>
      </c>
      <c r="J240" t="s">
        <v>34</v>
      </c>
      <c r="K240">
        <f t="shared" si="12"/>
        <v>13852.75</v>
      </c>
      <c r="L240">
        <f t="shared" si="13"/>
        <v>2787.0000000000005</v>
      </c>
      <c r="M240">
        <f t="shared" si="14"/>
        <v>2.7777777777777777</v>
      </c>
      <c r="N240">
        <f t="shared" si="15"/>
        <v>0</v>
      </c>
    </row>
    <row r="241" spans="1:14" x14ac:dyDescent="0.4">
      <c r="A241" t="s">
        <v>163</v>
      </c>
      <c r="B241" t="s">
        <v>39</v>
      </c>
      <c r="C241" t="s">
        <v>12</v>
      </c>
      <c r="D241" t="s">
        <v>53</v>
      </c>
      <c r="E241" s="1">
        <v>45486</v>
      </c>
      <c r="F241">
        <v>46</v>
      </c>
      <c r="G241">
        <v>29</v>
      </c>
      <c r="H241">
        <v>159.87</v>
      </c>
      <c r="I241">
        <v>609.09</v>
      </c>
      <c r="J241" t="s">
        <v>23</v>
      </c>
      <c r="K241">
        <f t="shared" si="12"/>
        <v>28018.140000000003</v>
      </c>
      <c r="L241">
        <f t="shared" si="13"/>
        <v>20664.120000000003</v>
      </c>
      <c r="M241">
        <f t="shared" si="14"/>
        <v>1.5862068965517242</v>
      </c>
      <c r="N241">
        <f t="shared" si="15"/>
        <v>0</v>
      </c>
    </row>
    <row r="242" spans="1:14" x14ac:dyDescent="0.4">
      <c r="A242" t="s">
        <v>180</v>
      </c>
      <c r="B242" t="s">
        <v>36</v>
      </c>
      <c r="C242" t="s">
        <v>52</v>
      </c>
      <c r="D242" t="s">
        <v>40</v>
      </c>
      <c r="E242" s="1">
        <v>45463</v>
      </c>
      <c r="F242">
        <v>4</v>
      </c>
      <c r="G242">
        <v>243</v>
      </c>
      <c r="H242">
        <v>252.55</v>
      </c>
      <c r="I242">
        <v>543.63</v>
      </c>
      <c r="J242" t="s">
        <v>30</v>
      </c>
      <c r="K242">
        <f t="shared" si="12"/>
        <v>2174.52</v>
      </c>
      <c r="L242">
        <f t="shared" si="13"/>
        <v>1164.32</v>
      </c>
      <c r="M242">
        <f t="shared" si="14"/>
        <v>1.646090534979424E-2</v>
      </c>
      <c r="N242">
        <f t="shared" si="15"/>
        <v>0</v>
      </c>
    </row>
    <row r="243" spans="1:14" x14ac:dyDescent="0.4">
      <c r="A243" t="s">
        <v>165</v>
      </c>
      <c r="B243" t="s">
        <v>32</v>
      </c>
      <c r="C243" t="s">
        <v>52</v>
      </c>
      <c r="D243" t="s">
        <v>53</v>
      </c>
      <c r="E243" s="1">
        <v>45450</v>
      </c>
      <c r="F243">
        <v>19</v>
      </c>
      <c r="G243">
        <v>273</v>
      </c>
      <c r="H243">
        <v>466.62</v>
      </c>
      <c r="I243">
        <v>198.36</v>
      </c>
      <c r="J243" t="s">
        <v>30</v>
      </c>
      <c r="K243">
        <f t="shared" si="12"/>
        <v>3768.84</v>
      </c>
      <c r="L243">
        <f t="shared" si="13"/>
        <v>-5096.9399999999996</v>
      </c>
      <c r="M243">
        <f t="shared" si="14"/>
        <v>6.95970695970696E-2</v>
      </c>
      <c r="N243">
        <f t="shared" si="15"/>
        <v>0</v>
      </c>
    </row>
    <row r="244" spans="1:14" x14ac:dyDescent="0.4">
      <c r="A244" t="s">
        <v>127</v>
      </c>
      <c r="B244" t="s">
        <v>11</v>
      </c>
      <c r="C244" t="s">
        <v>12</v>
      </c>
      <c r="D244" t="s">
        <v>18</v>
      </c>
      <c r="E244" s="1">
        <v>45554</v>
      </c>
      <c r="F244">
        <v>133</v>
      </c>
      <c r="G244">
        <v>87</v>
      </c>
      <c r="H244">
        <v>347</v>
      </c>
      <c r="I244">
        <v>410.07</v>
      </c>
      <c r="J244" t="s">
        <v>34</v>
      </c>
      <c r="K244">
        <f t="shared" si="12"/>
        <v>54539.31</v>
      </c>
      <c r="L244">
        <f t="shared" si="13"/>
        <v>8388.31</v>
      </c>
      <c r="M244">
        <f t="shared" si="14"/>
        <v>1.5287356321839081</v>
      </c>
      <c r="N244">
        <f t="shared" si="15"/>
        <v>0</v>
      </c>
    </row>
    <row r="245" spans="1:14" x14ac:dyDescent="0.4">
      <c r="A245" t="s">
        <v>181</v>
      </c>
      <c r="B245" t="s">
        <v>16</v>
      </c>
      <c r="C245" t="s">
        <v>17</v>
      </c>
      <c r="D245" t="s">
        <v>97</v>
      </c>
      <c r="E245" s="1">
        <v>44900</v>
      </c>
      <c r="F245">
        <v>197</v>
      </c>
      <c r="G245">
        <v>243</v>
      </c>
      <c r="H245">
        <v>224.95</v>
      </c>
      <c r="I245">
        <v>493.01</v>
      </c>
      <c r="J245" t="s">
        <v>14</v>
      </c>
      <c r="K245">
        <f t="shared" si="12"/>
        <v>97122.97</v>
      </c>
      <c r="L245">
        <f t="shared" si="13"/>
        <v>52807.82</v>
      </c>
      <c r="M245">
        <f t="shared" si="14"/>
        <v>0.81069958847736623</v>
      </c>
      <c r="N245">
        <f t="shared" si="15"/>
        <v>0</v>
      </c>
    </row>
    <row r="246" spans="1:14" x14ac:dyDescent="0.4">
      <c r="A246" t="s">
        <v>182</v>
      </c>
      <c r="B246" t="s">
        <v>16</v>
      </c>
      <c r="C246" t="s">
        <v>29</v>
      </c>
      <c r="D246" t="s">
        <v>47</v>
      </c>
      <c r="E246" s="1">
        <v>44754</v>
      </c>
      <c r="F246">
        <v>58</v>
      </c>
      <c r="G246">
        <v>14</v>
      </c>
      <c r="H246">
        <v>109.14</v>
      </c>
      <c r="I246">
        <v>694.33</v>
      </c>
      <c r="J246" t="s">
        <v>23</v>
      </c>
      <c r="K246">
        <f t="shared" si="12"/>
        <v>40271.14</v>
      </c>
      <c r="L246">
        <f t="shared" si="13"/>
        <v>33941.020000000004</v>
      </c>
      <c r="M246">
        <f t="shared" si="14"/>
        <v>4.1428571428571432</v>
      </c>
      <c r="N246">
        <f t="shared" si="15"/>
        <v>0</v>
      </c>
    </row>
    <row r="247" spans="1:14" x14ac:dyDescent="0.4">
      <c r="A247" t="s">
        <v>118</v>
      </c>
      <c r="B247" t="s">
        <v>36</v>
      </c>
      <c r="C247" t="s">
        <v>17</v>
      </c>
      <c r="D247" t="s">
        <v>132</v>
      </c>
      <c r="E247" s="1">
        <v>44844</v>
      </c>
      <c r="F247">
        <v>191</v>
      </c>
      <c r="G247">
        <v>3</v>
      </c>
      <c r="H247">
        <v>168.12</v>
      </c>
      <c r="I247">
        <v>410.55</v>
      </c>
      <c r="J247" t="s">
        <v>23</v>
      </c>
      <c r="K247">
        <f t="shared" si="12"/>
        <v>78415.05</v>
      </c>
      <c r="L247">
        <f t="shared" si="13"/>
        <v>46304.130000000005</v>
      </c>
      <c r="M247">
        <f t="shared" si="14"/>
        <v>63.666666666666664</v>
      </c>
      <c r="N247">
        <f t="shared" si="15"/>
        <v>0</v>
      </c>
    </row>
    <row r="248" spans="1:14" x14ac:dyDescent="0.4">
      <c r="A248" t="s">
        <v>156</v>
      </c>
      <c r="B248" t="s">
        <v>25</v>
      </c>
      <c r="C248" t="s">
        <v>12</v>
      </c>
      <c r="D248" t="s">
        <v>45</v>
      </c>
      <c r="E248" s="1">
        <v>44951</v>
      </c>
      <c r="F248">
        <v>145</v>
      </c>
      <c r="G248">
        <v>190</v>
      </c>
      <c r="H248">
        <v>311.55</v>
      </c>
      <c r="I248">
        <v>743.12</v>
      </c>
      <c r="J248" t="s">
        <v>34</v>
      </c>
      <c r="K248">
        <f t="shared" si="12"/>
        <v>107752.4</v>
      </c>
      <c r="L248">
        <f t="shared" si="13"/>
        <v>62577.65</v>
      </c>
      <c r="M248">
        <f t="shared" si="14"/>
        <v>0.76315789473684215</v>
      </c>
      <c r="N248">
        <f t="shared" si="15"/>
        <v>0</v>
      </c>
    </row>
    <row r="249" spans="1:14" x14ac:dyDescent="0.4">
      <c r="A249" t="s">
        <v>183</v>
      </c>
      <c r="B249" t="s">
        <v>43</v>
      </c>
      <c r="C249" t="s">
        <v>52</v>
      </c>
      <c r="D249" t="s">
        <v>97</v>
      </c>
      <c r="E249" s="1">
        <v>45561</v>
      </c>
      <c r="F249">
        <v>131</v>
      </c>
      <c r="G249">
        <v>167</v>
      </c>
      <c r="H249">
        <v>373.18</v>
      </c>
      <c r="I249">
        <v>408.26</v>
      </c>
      <c r="J249" t="s">
        <v>14</v>
      </c>
      <c r="K249">
        <f t="shared" si="12"/>
        <v>53482.06</v>
      </c>
      <c r="L249">
        <f t="shared" si="13"/>
        <v>4595.4799999999977</v>
      </c>
      <c r="M249">
        <f t="shared" si="14"/>
        <v>0.78443113772455086</v>
      </c>
      <c r="N249">
        <f t="shared" si="15"/>
        <v>0</v>
      </c>
    </row>
    <row r="250" spans="1:14" x14ac:dyDescent="0.4">
      <c r="A250" t="s">
        <v>20</v>
      </c>
      <c r="B250" t="s">
        <v>32</v>
      </c>
      <c r="C250" t="s">
        <v>17</v>
      </c>
      <c r="D250" t="s">
        <v>97</v>
      </c>
      <c r="E250" s="1">
        <v>45086</v>
      </c>
      <c r="F250">
        <v>16</v>
      </c>
      <c r="G250">
        <v>8</v>
      </c>
      <c r="H250">
        <v>105.99</v>
      </c>
      <c r="I250">
        <v>484.15</v>
      </c>
      <c r="J250" t="s">
        <v>23</v>
      </c>
      <c r="K250">
        <f t="shared" si="12"/>
        <v>7746.4</v>
      </c>
      <c r="L250">
        <f t="shared" si="13"/>
        <v>6050.5599999999995</v>
      </c>
      <c r="M250">
        <f t="shared" si="14"/>
        <v>2</v>
      </c>
      <c r="N250">
        <f t="shared" si="15"/>
        <v>0</v>
      </c>
    </row>
    <row r="251" spans="1:14" x14ac:dyDescent="0.4">
      <c r="A251" t="s">
        <v>164</v>
      </c>
      <c r="B251" t="s">
        <v>16</v>
      </c>
      <c r="C251" t="s">
        <v>29</v>
      </c>
      <c r="D251" t="s">
        <v>66</v>
      </c>
      <c r="E251" s="1">
        <v>45220</v>
      </c>
      <c r="F251">
        <v>13</v>
      </c>
      <c r="G251">
        <v>108</v>
      </c>
      <c r="H251">
        <v>319.82</v>
      </c>
      <c r="I251">
        <v>657.4</v>
      </c>
      <c r="J251" t="s">
        <v>23</v>
      </c>
      <c r="K251">
        <f t="shared" si="12"/>
        <v>8546.1999999999989</v>
      </c>
      <c r="L251">
        <f t="shared" si="13"/>
        <v>4388.54</v>
      </c>
      <c r="M251">
        <f t="shared" si="14"/>
        <v>0.12037037037037036</v>
      </c>
      <c r="N251">
        <f t="shared" si="15"/>
        <v>0</v>
      </c>
    </row>
    <row r="252" spans="1:14" x14ac:dyDescent="0.4">
      <c r="A252" t="s">
        <v>184</v>
      </c>
      <c r="B252" t="s">
        <v>58</v>
      </c>
      <c r="C252" t="s">
        <v>12</v>
      </c>
      <c r="D252" t="s">
        <v>132</v>
      </c>
      <c r="E252" s="1">
        <v>45277</v>
      </c>
      <c r="F252">
        <v>12</v>
      </c>
      <c r="G252">
        <v>136</v>
      </c>
      <c r="H252">
        <v>297.66000000000003</v>
      </c>
      <c r="I252">
        <v>508.15</v>
      </c>
      <c r="J252" t="s">
        <v>23</v>
      </c>
      <c r="K252">
        <f t="shared" si="12"/>
        <v>6097.7999999999993</v>
      </c>
      <c r="L252">
        <f t="shared" si="13"/>
        <v>2525.8799999999992</v>
      </c>
      <c r="M252">
        <f t="shared" si="14"/>
        <v>8.8235294117647065E-2</v>
      </c>
      <c r="N252">
        <f t="shared" si="15"/>
        <v>0</v>
      </c>
    </row>
    <row r="253" spans="1:14" x14ac:dyDescent="0.4">
      <c r="A253" t="s">
        <v>156</v>
      </c>
      <c r="B253" t="s">
        <v>16</v>
      </c>
      <c r="C253" t="s">
        <v>17</v>
      </c>
      <c r="D253" t="s">
        <v>75</v>
      </c>
      <c r="E253" s="1">
        <v>45452</v>
      </c>
      <c r="F253">
        <v>134</v>
      </c>
      <c r="G253">
        <v>153</v>
      </c>
      <c r="H253">
        <v>281.27999999999997</v>
      </c>
      <c r="I253">
        <v>772.15</v>
      </c>
      <c r="J253" t="s">
        <v>14</v>
      </c>
      <c r="K253">
        <f t="shared" si="12"/>
        <v>103468.09999999999</v>
      </c>
      <c r="L253">
        <f t="shared" si="13"/>
        <v>65776.58</v>
      </c>
      <c r="M253">
        <f t="shared" si="14"/>
        <v>0.87581699346405228</v>
      </c>
      <c r="N253">
        <f t="shared" si="15"/>
        <v>0</v>
      </c>
    </row>
    <row r="254" spans="1:14" x14ac:dyDescent="0.4">
      <c r="A254" t="s">
        <v>101</v>
      </c>
      <c r="B254" t="s">
        <v>39</v>
      </c>
      <c r="C254" t="s">
        <v>29</v>
      </c>
      <c r="D254" t="s">
        <v>97</v>
      </c>
      <c r="E254" s="1">
        <v>45013</v>
      </c>
      <c r="F254">
        <v>127</v>
      </c>
      <c r="G254">
        <v>208</v>
      </c>
      <c r="H254">
        <v>360.56</v>
      </c>
      <c r="I254">
        <v>562.24</v>
      </c>
      <c r="J254" t="s">
        <v>34</v>
      </c>
      <c r="K254">
        <f t="shared" si="12"/>
        <v>71404.479999999996</v>
      </c>
      <c r="L254">
        <f t="shared" si="13"/>
        <v>25613.360000000001</v>
      </c>
      <c r="M254">
        <f t="shared" si="14"/>
        <v>0.61057692307692313</v>
      </c>
      <c r="N254">
        <f t="shared" si="15"/>
        <v>0</v>
      </c>
    </row>
    <row r="255" spans="1:14" x14ac:dyDescent="0.4">
      <c r="A255" t="s">
        <v>174</v>
      </c>
      <c r="B255" t="s">
        <v>28</v>
      </c>
      <c r="C255" t="s">
        <v>12</v>
      </c>
      <c r="D255" t="s">
        <v>22</v>
      </c>
      <c r="E255" s="1">
        <v>44989</v>
      </c>
      <c r="F255">
        <v>43</v>
      </c>
      <c r="G255">
        <v>271</v>
      </c>
      <c r="H255">
        <v>426.85</v>
      </c>
      <c r="I255">
        <v>465.9</v>
      </c>
      <c r="J255" t="s">
        <v>23</v>
      </c>
      <c r="K255">
        <f t="shared" si="12"/>
        <v>20033.7</v>
      </c>
      <c r="L255">
        <f t="shared" si="13"/>
        <v>1679.149999999998</v>
      </c>
      <c r="M255">
        <f t="shared" si="14"/>
        <v>0.15867158671586715</v>
      </c>
      <c r="N255">
        <f t="shared" si="15"/>
        <v>0</v>
      </c>
    </row>
    <row r="256" spans="1:14" x14ac:dyDescent="0.4">
      <c r="A256" t="s">
        <v>91</v>
      </c>
      <c r="B256" t="s">
        <v>16</v>
      </c>
      <c r="C256" t="s">
        <v>29</v>
      </c>
      <c r="D256" t="s">
        <v>37</v>
      </c>
      <c r="E256" s="1">
        <v>45607</v>
      </c>
      <c r="F256">
        <v>118</v>
      </c>
      <c r="G256">
        <v>142</v>
      </c>
      <c r="H256">
        <v>195.35</v>
      </c>
      <c r="I256">
        <v>116.51</v>
      </c>
      <c r="J256" t="s">
        <v>30</v>
      </c>
      <c r="K256">
        <f t="shared" si="12"/>
        <v>13748.18</v>
      </c>
      <c r="L256">
        <f t="shared" si="13"/>
        <v>-9303.119999999999</v>
      </c>
      <c r="M256">
        <f t="shared" si="14"/>
        <v>0.83098591549295775</v>
      </c>
      <c r="N256">
        <f t="shared" si="15"/>
        <v>0</v>
      </c>
    </row>
    <row r="257" spans="1:14" x14ac:dyDescent="0.4">
      <c r="A257" t="s">
        <v>185</v>
      </c>
      <c r="B257" t="s">
        <v>39</v>
      </c>
      <c r="C257" t="s">
        <v>12</v>
      </c>
      <c r="D257" t="s">
        <v>75</v>
      </c>
      <c r="E257" s="1">
        <v>45444</v>
      </c>
      <c r="F257">
        <v>142</v>
      </c>
      <c r="G257">
        <v>98</v>
      </c>
      <c r="H257">
        <v>450.06</v>
      </c>
      <c r="I257">
        <v>389.61</v>
      </c>
      <c r="J257" t="s">
        <v>14</v>
      </c>
      <c r="K257">
        <f t="shared" si="12"/>
        <v>55324.62</v>
      </c>
      <c r="L257">
        <f t="shared" si="13"/>
        <v>-8583.8999999999978</v>
      </c>
      <c r="M257">
        <f t="shared" si="14"/>
        <v>1.4489795918367347</v>
      </c>
      <c r="N257">
        <f t="shared" si="15"/>
        <v>0</v>
      </c>
    </row>
    <row r="258" spans="1:14" x14ac:dyDescent="0.4">
      <c r="A258" t="s">
        <v>174</v>
      </c>
      <c r="B258" t="s">
        <v>36</v>
      </c>
      <c r="C258" t="s">
        <v>52</v>
      </c>
      <c r="D258" t="s">
        <v>41</v>
      </c>
      <c r="E258" s="1">
        <v>44874</v>
      </c>
      <c r="F258">
        <v>18</v>
      </c>
      <c r="G258">
        <v>68</v>
      </c>
      <c r="H258">
        <v>122.29</v>
      </c>
      <c r="I258">
        <v>309.47000000000003</v>
      </c>
      <c r="J258" t="s">
        <v>19</v>
      </c>
      <c r="K258">
        <f t="shared" si="12"/>
        <v>5570.4600000000009</v>
      </c>
      <c r="L258">
        <f t="shared" si="13"/>
        <v>3369.2400000000002</v>
      </c>
      <c r="M258">
        <f t="shared" si="14"/>
        <v>0.26470588235294118</v>
      </c>
      <c r="N258">
        <f t="shared" si="15"/>
        <v>0</v>
      </c>
    </row>
    <row r="259" spans="1:14" x14ac:dyDescent="0.4">
      <c r="A259" t="s">
        <v>184</v>
      </c>
      <c r="B259" t="s">
        <v>36</v>
      </c>
      <c r="C259" t="s">
        <v>17</v>
      </c>
      <c r="D259" t="s">
        <v>132</v>
      </c>
      <c r="E259" s="1">
        <v>45401</v>
      </c>
      <c r="F259">
        <v>62</v>
      </c>
      <c r="G259">
        <v>246</v>
      </c>
      <c r="H259">
        <v>127.86</v>
      </c>
      <c r="I259">
        <v>623.66999999999996</v>
      </c>
      <c r="J259" t="s">
        <v>34</v>
      </c>
      <c r="K259">
        <f t="shared" ref="K259:K322" si="16">F259 * I259</f>
        <v>38667.54</v>
      </c>
      <c r="L259">
        <f t="shared" ref="L259:L322" si="17">(I259 - H259) * F259</f>
        <v>30740.219999999998</v>
      </c>
      <c r="M259">
        <f t="shared" ref="M259:M322" si="18">IF(G259=0, 0, F259/G259)</f>
        <v>0.25203252032520324</v>
      </c>
      <c r="N259">
        <f t="shared" ref="N259:N322" si="19">IF(G259=0, 1, 0)</f>
        <v>0</v>
      </c>
    </row>
    <row r="260" spans="1:14" x14ac:dyDescent="0.4">
      <c r="A260" t="s">
        <v>148</v>
      </c>
      <c r="B260" t="s">
        <v>11</v>
      </c>
      <c r="C260" t="s">
        <v>29</v>
      </c>
      <c r="D260" t="s">
        <v>66</v>
      </c>
      <c r="E260" s="1">
        <v>45080</v>
      </c>
      <c r="F260">
        <v>162</v>
      </c>
      <c r="G260">
        <v>260</v>
      </c>
      <c r="H260">
        <v>170.05</v>
      </c>
      <c r="I260">
        <v>245.79</v>
      </c>
      <c r="J260" t="s">
        <v>30</v>
      </c>
      <c r="K260">
        <f t="shared" si="16"/>
        <v>39817.979999999996</v>
      </c>
      <c r="L260">
        <f t="shared" si="17"/>
        <v>12269.879999999997</v>
      </c>
      <c r="M260">
        <f t="shared" si="18"/>
        <v>0.62307692307692308</v>
      </c>
      <c r="N260">
        <f t="shared" si="19"/>
        <v>0</v>
      </c>
    </row>
    <row r="261" spans="1:14" x14ac:dyDescent="0.4">
      <c r="A261" t="s">
        <v>95</v>
      </c>
      <c r="B261" t="s">
        <v>16</v>
      </c>
      <c r="C261" t="s">
        <v>12</v>
      </c>
      <c r="D261" t="s">
        <v>18</v>
      </c>
      <c r="E261" s="1">
        <v>44936</v>
      </c>
      <c r="F261">
        <v>80</v>
      </c>
      <c r="G261">
        <v>275</v>
      </c>
      <c r="H261">
        <v>103.79</v>
      </c>
      <c r="I261">
        <v>243.65</v>
      </c>
      <c r="J261" t="s">
        <v>23</v>
      </c>
      <c r="K261">
        <f t="shared" si="16"/>
        <v>19492</v>
      </c>
      <c r="L261">
        <f t="shared" si="17"/>
        <v>11188.800000000001</v>
      </c>
      <c r="M261">
        <f t="shared" si="18"/>
        <v>0.29090909090909089</v>
      </c>
      <c r="N261">
        <f t="shared" si="19"/>
        <v>0</v>
      </c>
    </row>
    <row r="262" spans="1:14" x14ac:dyDescent="0.4">
      <c r="A262" t="s">
        <v>149</v>
      </c>
      <c r="B262" t="s">
        <v>58</v>
      </c>
      <c r="C262" t="s">
        <v>29</v>
      </c>
      <c r="D262" t="s">
        <v>45</v>
      </c>
      <c r="E262" s="1">
        <v>45012</v>
      </c>
      <c r="F262">
        <v>162</v>
      </c>
      <c r="G262">
        <v>78</v>
      </c>
      <c r="H262">
        <v>153.63999999999999</v>
      </c>
      <c r="I262">
        <v>232.66</v>
      </c>
      <c r="J262" t="s">
        <v>19</v>
      </c>
      <c r="K262">
        <f t="shared" si="16"/>
        <v>37690.92</v>
      </c>
      <c r="L262">
        <f t="shared" si="17"/>
        <v>12801.240000000002</v>
      </c>
      <c r="M262">
        <f t="shared" si="18"/>
        <v>2.0769230769230771</v>
      </c>
      <c r="N262">
        <f t="shared" si="19"/>
        <v>0</v>
      </c>
    </row>
    <row r="263" spans="1:14" x14ac:dyDescent="0.4">
      <c r="A263" t="s">
        <v>67</v>
      </c>
      <c r="B263" t="s">
        <v>16</v>
      </c>
      <c r="C263" t="s">
        <v>29</v>
      </c>
      <c r="D263" t="s">
        <v>40</v>
      </c>
      <c r="E263" s="1">
        <v>45576</v>
      </c>
      <c r="F263">
        <v>146</v>
      </c>
      <c r="G263">
        <v>145</v>
      </c>
      <c r="H263">
        <v>97.89</v>
      </c>
      <c r="I263">
        <v>187.93</v>
      </c>
      <c r="J263" t="s">
        <v>34</v>
      </c>
      <c r="K263">
        <f t="shared" si="16"/>
        <v>27437.780000000002</v>
      </c>
      <c r="L263">
        <f t="shared" si="17"/>
        <v>13145.84</v>
      </c>
      <c r="M263">
        <f t="shared" si="18"/>
        <v>1.0068965517241379</v>
      </c>
      <c r="N263">
        <f t="shared" si="19"/>
        <v>0</v>
      </c>
    </row>
    <row r="264" spans="1:14" x14ac:dyDescent="0.4">
      <c r="A264" t="s">
        <v>186</v>
      </c>
      <c r="B264" t="s">
        <v>58</v>
      </c>
      <c r="C264" t="s">
        <v>17</v>
      </c>
      <c r="D264" t="s">
        <v>47</v>
      </c>
      <c r="E264" s="1">
        <v>45156</v>
      </c>
      <c r="F264">
        <v>147</v>
      </c>
      <c r="G264">
        <v>110</v>
      </c>
      <c r="H264">
        <v>419.79</v>
      </c>
      <c r="I264">
        <v>317.7</v>
      </c>
      <c r="J264" t="s">
        <v>14</v>
      </c>
      <c r="K264">
        <f t="shared" si="16"/>
        <v>46701.9</v>
      </c>
      <c r="L264">
        <f t="shared" si="17"/>
        <v>-15007.230000000005</v>
      </c>
      <c r="M264">
        <f t="shared" si="18"/>
        <v>1.3363636363636364</v>
      </c>
      <c r="N264">
        <f t="shared" si="19"/>
        <v>0</v>
      </c>
    </row>
    <row r="265" spans="1:14" x14ac:dyDescent="0.4">
      <c r="A265" t="s">
        <v>161</v>
      </c>
      <c r="B265" t="s">
        <v>21</v>
      </c>
      <c r="C265" t="s">
        <v>52</v>
      </c>
      <c r="D265" t="s">
        <v>22</v>
      </c>
      <c r="E265" s="1">
        <v>45061</v>
      </c>
      <c r="F265">
        <v>99</v>
      </c>
      <c r="G265">
        <v>257</v>
      </c>
      <c r="H265">
        <v>112.54</v>
      </c>
      <c r="I265">
        <v>720.15</v>
      </c>
      <c r="J265" t="s">
        <v>19</v>
      </c>
      <c r="K265">
        <f t="shared" si="16"/>
        <v>71294.849999999991</v>
      </c>
      <c r="L265">
        <f t="shared" si="17"/>
        <v>60153.39</v>
      </c>
      <c r="M265">
        <f t="shared" si="18"/>
        <v>0.38521400778210119</v>
      </c>
      <c r="N265">
        <f t="shared" si="19"/>
        <v>0</v>
      </c>
    </row>
    <row r="266" spans="1:14" x14ac:dyDescent="0.4">
      <c r="A266" t="s">
        <v>171</v>
      </c>
      <c r="B266" t="s">
        <v>11</v>
      </c>
      <c r="C266" t="s">
        <v>29</v>
      </c>
      <c r="D266" t="s">
        <v>33</v>
      </c>
      <c r="E266" s="1">
        <v>45025</v>
      </c>
      <c r="F266">
        <v>162</v>
      </c>
      <c r="G266">
        <v>92</v>
      </c>
      <c r="H266">
        <v>386.28</v>
      </c>
      <c r="I266">
        <v>642.45000000000005</v>
      </c>
      <c r="J266" t="s">
        <v>19</v>
      </c>
      <c r="K266">
        <f t="shared" si="16"/>
        <v>104076.90000000001</v>
      </c>
      <c r="L266">
        <f t="shared" si="17"/>
        <v>41499.540000000008</v>
      </c>
      <c r="M266">
        <f t="shared" si="18"/>
        <v>1.7608695652173914</v>
      </c>
      <c r="N266">
        <f t="shared" si="19"/>
        <v>0</v>
      </c>
    </row>
    <row r="267" spans="1:14" x14ac:dyDescent="0.4">
      <c r="A267" t="s">
        <v>115</v>
      </c>
      <c r="B267" t="s">
        <v>21</v>
      </c>
      <c r="C267" t="s">
        <v>12</v>
      </c>
      <c r="D267" t="s">
        <v>69</v>
      </c>
      <c r="E267" s="1">
        <v>44674</v>
      </c>
      <c r="F267">
        <v>159</v>
      </c>
      <c r="G267">
        <v>12</v>
      </c>
      <c r="H267">
        <v>71.56</v>
      </c>
      <c r="I267">
        <v>614.67999999999995</v>
      </c>
      <c r="J267" t="s">
        <v>30</v>
      </c>
      <c r="K267">
        <f t="shared" si="16"/>
        <v>97734.12</v>
      </c>
      <c r="L267">
        <f t="shared" si="17"/>
        <v>86356.079999999987</v>
      </c>
      <c r="M267">
        <f t="shared" si="18"/>
        <v>13.25</v>
      </c>
      <c r="N267">
        <f t="shared" si="19"/>
        <v>0</v>
      </c>
    </row>
    <row r="268" spans="1:14" x14ac:dyDescent="0.4">
      <c r="A268" t="s">
        <v>50</v>
      </c>
      <c r="B268" t="s">
        <v>16</v>
      </c>
      <c r="C268" t="s">
        <v>12</v>
      </c>
      <c r="D268" t="s">
        <v>97</v>
      </c>
      <c r="E268" s="1">
        <v>45597</v>
      </c>
      <c r="F268">
        <v>121</v>
      </c>
      <c r="G268">
        <v>259</v>
      </c>
      <c r="H268">
        <v>476.83</v>
      </c>
      <c r="I268">
        <v>658.14</v>
      </c>
      <c r="J268" t="s">
        <v>34</v>
      </c>
      <c r="K268">
        <f t="shared" si="16"/>
        <v>79634.94</v>
      </c>
      <c r="L268">
        <f t="shared" si="17"/>
        <v>21938.510000000002</v>
      </c>
      <c r="M268">
        <f t="shared" si="18"/>
        <v>0.46718146718146719</v>
      </c>
      <c r="N268">
        <f t="shared" si="19"/>
        <v>0</v>
      </c>
    </row>
    <row r="269" spans="1:14" x14ac:dyDescent="0.4">
      <c r="A269" t="s">
        <v>124</v>
      </c>
      <c r="B269" t="s">
        <v>11</v>
      </c>
      <c r="C269" t="s">
        <v>52</v>
      </c>
      <c r="D269" t="s">
        <v>47</v>
      </c>
      <c r="E269" s="1">
        <v>44892</v>
      </c>
      <c r="F269">
        <v>175</v>
      </c>
      <c r="G269">
        <v>108</v>
      </c>
      <c r="H269">
        <v>370.02</v>
      </c>
      <c r="I269">
        <v>288.58999999999997</v>
      </c>
      <c r="J269" t="s">
        <v>30</v>
      </c>
      <c r="K269">
        <f t="shared" si="16"/>
        <v>50503.249999999993</v>
      </c>
      <c r="L269">
        <f t="shared" si="17"/>
        <v>-14250.250000000002</v>
      </c>
      <c r="M269">
        <f t="shared" si="18"/>
        <v>1.6203703703703705</v>
      </c>
      <c r="N269">
        <f t="shared" si="19"/>
        <v>0</v>
      </c>
    </row>
    <row r="270" spans="1:14" x14ac:dyDescent="0.4">
      <c r="A270" t="s">
        <v>187</v>
      </c>
      <c r="B270" t="s">
        <v>21</v>
      </c>
      <c r="C270" t="s">
        <v>12</v>
      </c>
      <c r="D270" t="s">
        <v>45</v>
      </c>
      <c r="E270" s="1">
        <v>44701</v>
      </c>
      <c r="F270">
        <v>43</v>
      </c>
      <c r="G270">
        <v>188</v>
      </c>
      <c r="H270">
        <v>53.06</v>
      </c>
      <c r="I270">
        <v>721.21</v>
      </c>
      <c r="J270" t="s">
        <v>30</v>
      </c>
      <c r="K270">
        <f t="shared" si="16"/>
        <v>31012.030000000002</v>
      </c>
      <c r="L270">
        <f t="shared" si="17"/>
        <v>28730.450000000004</v>
      </c>
      <c r="M270">
        <f t="shared" si="18"/>
        <v>0.22872340425531915</v>
      </c>
      <c r="N270">
        <f t="shared" si="19"/>
        <v>0</v>
      </c>
    </row>
    <row r="271" spans="1:14" x14ac:dyDescent="0.4">
      <c r="A271" t="s">
        <v>159</v>
      </c>
      <c r="B271" t="s">
        <v>43</v>
      </c>
      <c r="C271" t="s">
        <v>52</v>
      </c>
      <c r="D271" t="s">
        <v>75</v>
      </c>
      <c r="E271" s="1">
        <v>45463</v>
      </c>
      <c r="F271">
        <v>103</v>
      </c>
      <c r="G271">
        <v>94</v>
      </c>
      <c r="H271">
        <v>393.74</v>
      </c>
      <c r="I271">
        <v>196.11</v>
      </c>
      <c r="J271" t="s">
        <v>23</v>
      </c>
      <c r="K271">
        <f t="shared" si="16"/>
        <v>20199.330000000002</v>
      </c>
      <c r="L271">
        <f t="shared" si="17"/>
        <v>-20355.89</v>
      </c>
      <c r="M271">
        <f t="shared" si="18"/>
        <v>1.0957446808510638</v>
      </c>
      <c r="N271">
        <f t="shared" si="19"/>
        <v>0</v>
      </c>
    </row>
    <row r="272" spans="1:14" x14ac:dyDescent="0.4">
      <c r="A272" t="s">
        <v>188</v>
      </c>
      <c r="B272" t="s">
        <v>16</v>
      </c>
      <c r="C272" t="s">
        <v>12</v>
      </c>
      <c r="D272" t="s">
        <v>37</v>
      </c>
      <c r="E272" s="1">
        <v>45078</v>
      </c>
      <c r="F272">
        <v>151</v>
      </c>
      <c r="G272">
        <v>104</v>
      </c>
      <c r="H272">
        <v>281.33999999999997</v>
      </c>
      <c r="I272">
        <v>335.44</v>
      </c>
      <c r="J272" t="s">
        <v>14</v>
      </c>
      <c r="K272">
        <f t="shared" si="16"/>
        <v>50651.44</v>
      </c>
      <c r="L272">
        <f t="shared" si="17"/>
        <v>8169.1000000000031</v>
      </c>
      <c r="M272">
        <f t="shared" si="18"/>
        <v>1.4519230769230769</v>
      </c>
      <c r="N272">
        <f t="shared" si="19"/>
        <v>0</v>
      </c>
    </row>
    <row r="273" spans="1:14" x14ac:dyDescent="0.4">
      <c r="A273" t="s">
        <v>135</v>
      </c>
      <c r="B273" t="s">
        <v>21</v>
      </c>
      <c r="C273" t="s">
        <v>17</v>
      </c>
      <c r="D273" t="s">
        <v>41</v>
      </c>
      <c r="E273" s="1">
        <v>45130</v>
      </c>
      <c r="F273">
        <v>60</v>
      </c>
      <c r="G273">
        <v>7</v>
      </c>
      <c r="H273">
        <v>400.71</v>
      </c>
      <c r="I273">
        <v>510.72</v>
      </c>
      <c r="J273" t="s">
        <v>19</v>
      </c>
      <c r="K273">
        <f t="shared" si="16"/>
        <v>30643.200000000001</v>
      </c>
      <c r="L273">
        <f t="shared" si="17"/>
        <v>6600.6000000000031</v>
      </c>
      <c r="M273">
        <f t="shared" si="18"/>
        <v>8.5714285714285712</v>
      </c>
      <c r="N273">
        <f t="shared" si="19"/>
        <v>0</v>
      </c>
    </row>
    <row r="274" spans="1:14" x14ac:dyDescent="0.4">
      <c r="A274" t="s">
        <v>189</v>
      </c>
      <c r="B274" t="s">
        <v>43</v>
      </c>
      <c r="C274" t="s">
        <v>29</v>
      </c>
      <c r="D274" t="s">
        <v>22</v>
      </c>
      <c r="E274" s="1">
        <v>45407</v>
      </c>
      <c r="F274">
        <v>124</v>
      </c>
      <c r="G274">
        <v>66</v>
      </c>
      <c r="H274">
        <v>285.12</v>
      </c>
      <c r="I274">
        <v>172.03</v>
      </c>
      <c r="J274" t="s">
        <v>34</v>
      </c>
      <c r="K274">
        <f t="shared" si="16"/>
        <v>21331.72</v>
      </c>
      <c r="L274">
        <f t="shared" si="17"/>
        <v>-14023.16</v>
      </c>
      <c r="M274">
        <f t="shared" si="18"/>
        <v>1.8787878787878789</v>
      </c>
      <c r="N274">
        <f t="shared" si="19"/>
        <v>0</v>
      </c>
    </row>
    <row r="275" spans="1:14" x14ac:dyDescent="0.4">
      <c r="A275" t="s">
        <v>146</v>
      </c>
      <c r="B275" t="s">
        <v>43</v>
      </c>
      <c r="C275" t="s">
        <v>17</v>
      </c>
      <c r="D275" t="s">
        <v>132</v>
      </c>
      <c r="E275" s="1">
        <v>45654</v>
      </c>
      <c r="F275">
        <v>144</v>
      </c>
      <c r="G275">
        <v>190</v>
      </c>
      <c r="H275">
        <v>338.46</v>
      </c>
      <c r="I275">
        <v>611.09</v>
      </c>
      <c r="J275" t="s">
        <v>14</v>
      </c>
      <c r="K275">
        <f t="shared" si="16"/>
        <v>87996.96</v>
      </c>
      <c r="L275">
        <f t="shared" si="17"/>
        <v>39258.720000000008</v>
      </c>
      <c r="M275">
        <f t="shared" si="18"/>
        <v>0.75789473684210529</v>
      </c>
      <c r="N275">
        <f t="shared" si="19"/>
        <v>0</v>
      </c>
    </row>
    <row r="276" spans="1:14" x14ac:dyDescent="0.4">
      <c r="A276" t="s">
        <v>138</v>
      </c>
      <c r="B276" t="s">
        <v>36</v>
      </c>
      <c r="C276" t="s">
        <v>29</v>
      </c>
      <c r="D276" t="s">
        <v>132</v>
      </c>
      <c r="E276" s="1">
        <v>44679</v>
      </c>
      <c r="F276">
        <v>70</v>
      </c>
      <c r="G276">
        <v>255</v>
      </c>
      <c r="H276">
        <v>403.85</v>
      </c>
      <c r="I276">
        <v>371.07</v>
      </c>
      <c r="J276" t="s">
        <v>14</v>
      </c>
      <c r="K276">
        <f t="shared" si="16"/>
        <v>25974.899999999998</v>
      </c>
      <c r="L276">
        <f t="shared" si="17"/>
        <v>-2294.6000000000022</v>
      </c>
      <c r="M276">
        <f t="shared" si="18"/>
        <v>0.27450980392156865</v>
      </c>
      <c r="N276">
        <f t="shared" si="19"/>
        <v>0</v>
      </c>
    </row>
    <row r="277" spans="1:14" x14ac:dyDescent="0.4">
      <c r="A277" t="s">
        <v>190</v>
      </c>
      <c r="B277" t="s">
        <v>16</v>
      </c>
      <c r="C277" t="s">
        <v>29</v>
      </c>
      <c r="D277" t="s">
        <v>75</v>
      </c>
      <c r="E277" s="1">
        <v>45449</v>
      </c>
      <c r="F277">
        <v>106</v>
      </c>
      <c r="G277">
        <v>8</v>
      </c>
      <c r="H277">
        <v>232.3</v>
      </c>
      <c r="I277">
        <v>649.08000000000004</v>
      </c>
      <c r="J277" t="s">
        <v>34</v>
      </c>
      <c r="K277">
        <f t="shared" si="16"/>
        <v>68802.48000000001</v>
      </c>
      <c r="L277">
        <f t="shared" si="17"/>
        <v>44178.68</v>
      </c>
      <c r="M277">
        <f t="shared" si="18"/>
        <v>13.25</v>
      </c>
      <c r="N277">
        <f t="shared" si="19"/>
        <v>0</v>
      </c>
    </row>
    <row r="278" spans="1:14" x14ac:dyDescent="0.4">
      <c r="A278" t="s">
        <v>181</v>
      </c>
      <c r="B278" t="s">
        <v>43</v>
      </c>
      <c r="C278" t="s">
        <v>29</v>
      </c>
      <c r="D278" t="s">
        <v>145</v>
      </c>
      <c r="E278" s="1">
        <v>45644</v>
      </c>
      <c r="F278">
        <v>49</v>
      </c>
      <c r="G278">
        <v>116</v>
      </c>
      <c r="H278">
        <v>51.22</v>
      </c>
      <c r="I278">
        <v>445.03</v>
      </c>
      <c r="J278" t="s">
        <v>14</v>
      </c>
      <c r="K278">
        <f t="shared" si="16"/>
        <v>21806.469999999998</v>
      </c>
      <c r="L278">
        <f t="shared" si="17"/>
        <v>19296.689999999999</v>
      </c>
      <c r="M278">
        <f t="shared" si="18"/>
        <v>0.42241379310344829</v>
      </c>
      <c r="N278">
        <f t="shared" si="19"/>
        <v>0</v>
      </c>
    </row>
    <row r="279" spans="1:14" x14ac:dyDescent="0.4">
      <c r="A279" t="s">
        <v>91</v>
      </c>
      <c r="B279" t="s">
        <v>36</v>
      </c>
      <c r="C279" t="s">
        <v>17</v>
      </c>
      <c r="D279" t="s">
        <v>45</v>
      </c>
      <c r="E279" s="1">
        <v>45618</v>
      </c>
      <c r="F279">
        <v>64</v>
      </c>
      <c r="G279">
        <v>266</v>
      </c>
      <c r="H279">
        <v>432.48</v>
      </c>
      <c r="I279">
        <v>226.61</v>
      </c>
      <c r="J279" t="s">
        <v>23</v>
      </c>
      <c r="K279">
        <f t="shared" si="16"/>
        <v>14503.04</v>
      </c>
      <c r="L279">
        <f t="shared" si="17"/>
        <v>-13175.68</v>
      </c>
      <c r="M279">
        <f t="shared" si="18"/>
        <v>0.24060150375939848</v>
      </c>
      <c r="N279">
        <f t="shared" si="19"/>
        <v>0</v>
      </c>
    </row>
    <row r="280" spans="1:14" x14ac:dyDescent="0.4">
      <c r="A280" t="s">
        <v>191</v>
      </c>
      <c r="B280" t="s">
        <v>21</v>
      </c>
      <c r="C280" t="s">
        <v>29</v>
      </c>
      <c r="D280" t="s">
        <v>65</v>
      </c>
      <c r="E280" s="1">
        <v>44611</v>
      </c>
      <c r="F280">
        <v>98</v>
      </c>
      <c r="G280">
        <v>98</v>
      </c>
      <c r="H280">
        <v>221.4</v>
      </c>
      <c r="I280">
        <v>614.33000000000004</v>
      </c>
      <c r="J280" t="s">
        <v>14</v>
      </c>
      <c r="K280">
        <f t="shared" si="16"/>
        <v>60204.340000000004</v>
      </c>
      <c r="L280">
        <f t="shared" si="17"/>
        <v>38507.140000000007</v>
      </c>
      <c r="M280">
        <f t="shared" si="18"/>
        <v>1</v>
      </c>
      <c r="N280">
        <f t="shared" si="19"/>
        <v>0</v>
      </c>
    </row>
    <row r="281" spans="1:14" x14ac:dyDescent="0.4">
      <c r="A281" t="s">
        <v>88</v>
      </c>
      <c r="B281" t="s">
        <v>39</v>
      </c>
      <c r="C281" t="s">
        <v>17</v>
      </c>
      <c r="D281" t="s">
        <v>53</v>
      </c>
      <c r="E281" s="1">
        <v>44580</v>
      </c>
      <c r="F281">
        <v>31</v>
      </c>
      <c r="G281">
        <v>297</v>
      </c>
      <c r="H281">
        <v>273.22000000000003</v>
      </c>
      <c r="I281">
        <v>276.5</v>
      </c>
      <c r="J281" t="s">
        <v>23</v>
      </c>
      <c r="K281">
        <f t="shared" si="16"/>
        <v>8571.5</v>
      </c>
      <c r="L281">
        <f t="shared" si="17"/>
        <v>101.67999999999915</v>
      </c>
      <c r="M281">
        <f t="shared" si="18"/>
        <v>0.10437710437710437</v>
      </c>
      <c r="N281">
        <f t="shared" si="19"/>
        <v>0</v>
      </c>
    </row>
    <row r="282" spans="1:14" x14ac:dyDescent="0.4">
      <c r="A282" t="s">
        <v>169</v>
      </c>
      <c r="B282" t="s">
        <v>16</v>
      </c>
      <c r="C282" t="s">
        <v>52</v>
      </c>
      <c r="D282" t="s">
        <v>66</v>
      </c>
      <c r="E282" s="1">
        <v>45287</v>
      </c>
      <c r="F282">
        <v>163</v>
      </c>
      <c r="G282">
        <v>163</v>
      </c>
      <c r="H282">
        <v>53.49</v>
      </c>
      <c r="I282">
        <v>443.57</v>
      </c>
      <c r="J282" t="s">
        <v>19</v>
      </c>
      <c r="K282">
        <f t="shared" si="16"/>
        <v>72301.91</v>
      </c>
      <c r="L282">
        <f t="shared" si="17"/>
        <v>63583.040000000001</v>
      </c>
      <c r="M282">
        <f t="shared" si="18"/>
        <v>1</v>
      </c>
      <c r="N282">
        <f t="shared" si="19"/>
        <v>0</v>
      </c>
    </row>
    <row r="283" spans="1:14" x14ac:dyDescent="0.4">
      <c r="A283" t="s">
        <v>57</v>
      </c>
      <c r="B283" t="s">
        <v>11</v>
      </c>
      <c r="C283" t="s">
        <v>12</v>
      </c>
      <c r="D283" t="s">
        <v>41</v>
      </c>
      <c r="E283" s="1">
        <v>44758</v>
      </c>
      <c r="F283">
        <v>140</v>
      </c>
      <c r="G283">
        <v>140</v>
      </c>
      <c r="H283">
        <v>271.44</v>
      </c>
      <c r="I283">
        <v>152.87</v>
      </c>
      <c r="J283" t="s">
        <v>19</v>
      </c>
      <c r="K283">
        <f t="shared" si="16"/>
        <v>21401.8</v>
      </c>
      <c r="L283">
        <f t="shared" si="17"/>
        <v>-16599.8</v>
      </c>
      <c r="M283">
        <f t="shared" si="18"/>
        <v>1</v>
      </c>
      <c r="N283">
        <f t="shared" si="19"/>
        <v>0</v>
      </c>
    </row>
    <row r="284" spans="1:14" x14ac:dyDescent="0.4">
      <c r="A284" t="s">
        <v>124</v>
      </c>
      <c r="B284" t="s">
        <v>58</v>
      </c>
      <c r="C284" t="s">
        <v>12</v>
      </c>
      <c r="D284" t="s">
        <v>37</v>
      </c>
      <c r="E284" s="1">
        <v>45120</v>
      </c>
      <c r="F284">
        <v>197</v>
      </c>
      <c r="G284">
        <v>267</v>
      </c>
      <c r="H284">
        <v>493.92</v>
      </c>
      <c r="I284">
        <v>532.51</v>
      </c>
      <c r="J284" t="s">
        <v>30</v>
      </c>
      <c r="K284">
        <f t="shared" si="16"/>
        <v>104904.47</v>
      </c>
      <c r="L284">
        <f t="shared" si="17"/>
        <v>7602.229999999995</v>
      </c>
      <c r="M284">
        <f t="shared" si="18"/>
        <v>0.73782771535580527</v>
      </c>
      <c r="N284">
        <f t="shared" si="19"/>
        <v>0</v>
      </c>
    </row>
    <row r="285" spans="1:14" x14ac:dyDescent="0.4">
      <c r="A285" t="s">
        <v>112</v>
      </c>
      <c r="B285" t="s">
        <v>58</v>
      </c>
      <c r="C285" t="s">
        <v>29</v>
      </c>
      <c r="D285" t="s">
        <v>145</v>
      </c>
      <c r="E285" s="1">
        <v>45013</v>
      </c>
      <c r="F285">
        <v>57</v>
      </c>
      <c r="G285">
        <v>36</v>
      </c>
      <c r="H285">
        <v>175.22</v>
      </c>
      <c r="I285">
        <v>566.1</v>
      </c>
      <c r="J285" t="s">
        <v>23</v>
      </c>
      <c r="K285">
        <f t="shared" si="16"/>
        <v>32267.7</v>
      </c>
      <c r="L285">
        <f t="shared" si="17"/>
        <v>22280.16</v>
      </c>
      <c r="M285">
        <f t="shared" si="18"/>
        <v>1.5833333333333333</v>
      </c>
      <c r="N285">
        <f t="shared" si="19"/>
        <v>0</v>
      </c>
    </row>
    <row r="286" spans="1:14" x14ac:dyDescent="0.4">
      <c r="A286" t="s">
        <v>192</v>
      </c>
      <c r="B286" t="s">
        <v>21</v>
      </c>
      <c r="C286" t="s">
        <v>17</v>
      </c>
      <c r="D286" t="s">
        <v>75</v>
      </c>
      <c r="E286" s="1">
        <v>44850</v>
      </c>
      <c r="F286">
        <v>127</v>
      </c>
      <c r="G286">
        <v>73</v>
      </c>
      <c r="H286">
        <v>227.94</v>
      </c>
      <c r="I286">
        <v>365.07</v>
      </c>
      <c r="J286" t="s">
        <v>19</v>
      </c>
      <c r="K286">
        <f t="shared" si="16"/>
        <v>46363.89</v>
      </c>
      <c r="L286">
        <f t="shared" si="17"/>
        <v>17415.509999999998</v>
      </c>
      <c r="M286">
        <f t="shared" si="18"/>
        <v>1.7397260273972603</v>
      </c>
      <c r="N286">
        <f t="shared" si="19"/>
        <v>0</v>
      </c>
    </row>
    <row r="287" spans="1:14" x14ac:dyDescent="0.4">
      <c r="A287" t="s">
        <v>193</v>
      </c>
      <c r="B287" t="s">
        <v>25</v>
      </c>
      <c r="C287" t="s">
        <v>12</v>
      </c>
      <c r="D287" t="s">
        <v>13</v>
      </c>
      <c r="E287" s="1">
        <v>44952</v>
      </c>
      <c r="F287">
        <v>141</v>
      </c>
      <c r="G287">
        <v>72</v>
      </c>
      <c r="H287">
        <v>359.24</v>
      </c>
      <c r="I287">
        <v>768.1</v>
      </c>
      <c r="J287" t="s">
        <v>14</v>
      </c>
      <c r="K287">
        <f t="shared" si="16"/>
        <v>108302.1</v>
      </c>
      <c r="L287">
        <f t="shared" si="17"/>
        <v>57649.26</v>
      </c>
      <c r="M287">
        <f t="shared" si="18"/>
        <v>1.9583333333333333</v>
      </c>
      <c r="N287">
        <f t="shared" si="19"/>
        <v>0</v>
      </c>
    </row>
    <row r="288" spans="1:14" x14ac:dyDescent="0.4">
      <c r="A288" t="s">
        <v>137</v>
      </c>
      <c r="B288" t="s">
        <v>25</v>
      </c>
      <c r="C288" t="s">
        <v>17</v>
      </c>
      <c r="D288" t="s">
        <v>45</v>
      </c>
      <c r="E288" s="1">
        <v>44776</v>
      </c>
      <c r="F288">
        <v>164</v>
      </c>
      <c r="G288">
        <v>198</v>
      </c>
      <c r="H288">
        <v>416.66</v>
      </c>
      <c r="I288">
        <v>711.92</v>
      </c>
      <c r="J288" t="s">
        <v>34</v>
      </c>
      <c r="K288">
        <f t="shared" si="16"/>
        <v>116754.87999999999</v>
      </c>
      <c r="L288">
        <f t="shared" si="17"/>
        <v>48422.639999999992</v>
      </c>
      <c r="M288">
        <f t="shared" si="18"/>
        <v>0.82828282828282829</v>
      </c>
      <c r="N288">
        <f t="shared" si="19"/>
        <v>0</v>
      </c>
    </row>
    <row r="289" spans="1:14" x14ac:dyDescent="0.4">
      <c r="A289" t="s">
        <v>155</v>
      </c>
      <c r="B289" t="s">
        <v>21</v>
      </c>
      <c r="C289" t="s">
        <v>17</v>
      </c>
      <c r="D289" t="s">
        <v>53</v>
      </c>
      <c r="E289" s="1">
        <v>44776</v>
      </c>
      <c r="F289">
        <v>111</v>
      </c>
      <c r="G289">
        <v>129</v>
      </c>
      <c r="H289">
        <v>237.83</v>
      </c>
      <c r="I289">
        <v>595.55999999999995</v>
      </c>
      <c r="J289" t="s">
        <v>34</v>
      </c>
      <c r="K289">
        <f t="shared" si="16"/>
        <v>66107.159999999989</v>
      </c>
      <c r="L289">
        <f t="shared" si="17"/>
        <v>39708.029999999992</v>
      </c>
      <c r="M289">
        <f t="shared" si="18"/>
        <v>0.86046511627906974</v>
      </c>
      <c r="N289">
        <f t="shared" si="19"/>
        <v>0</v>
      </c>
    </row>
    <row r="290" spans="1:14" x14ac:dyDescent="0.4">
      <c r="A290" t="s">
        <v>90</v>
      </c>
      <c r="B290" t="s">
        <v>43</v>
      </c>
      <c r="C290" t="s">
        <v>29</v>
      </c>
      <c r="D290" t="s">
        <v>45</v>
      </c>
      <c r="E290" s="1">
        <v>44689</v>
      </c>
      <c r="F290">
        <v>67</v>
      </c>
      <c r="G290">
        <v>245</v>
      </c>
      <c r="H290">
        <v>189.35</v>
      </c>
      <c r="I290">
        <v>599.55999999999995</v>
      </c>
      <c r="J290" t="s">
        <v>23</v>
      </c>
      <c r="K290">
        <f t="shared" si="16"/>
        <v>40170.519999999997</v>
      </c>
      <c r="L290">
        <f t="shared" si="17"/>
        <v>27484.069999999996</v>
      </c>
      <c r="M290">
        <f t="shared" si="18"/>
        <v>0.27346938775510204</v>
      </c>
      <c r="N290">
        <f t="shared" si="19"/>
        <v>0</v>
      </c>
    </row>
    <row r="291" spans="1:14" x14ac:dyDescent="0.4">
      <c r="A291" t="s">
        <v>138</v>
      </c>
      <c r="B291" t="s">
        <v>16</v>
      </c>
      <c r="C291" t="s">
        <v>12</v>
      </c>
      <c r="D291" t="s">
        <v>75</v>
      </c>
      <c r="E291" s="1">
        <v>45321</v>
      </c>
      <c r="F291">
        <v>39</v>
      </c>
      <c r="G291">
        <v>59</v>
      </c>
      <c r="H291">
        <v>472.02</v>
      </c>
      <c r="I291">
        <v>276.68</v>
      </c>
      <c r="J291" t="s">
        <v>30</v>
      </c>
      <c r="K291">
        <f t="shared" si="16"/>
        <v>10790.52</v>
      </c>
      <c r="L291">
        <f t="shared" si="17"/>
        <v>-7618.2599999999993</v>
      </c>
      <c r="M291">
        <f t="shared" si="18"/>
        <v>0.66101694915254239</v>
      </c>
      <c r="N291">
        <f t="shared" si="19"/>
        <v>0</v>
      </c>
    </row>
    <row r="292" spans="1:14" x14ac:dyDescent="0.4">
      <c r="A292" t="s">
        <v>174</v>
      </c>
      <c r="B292" t="s">
        <v>58</v>
      </c>
      <c r="C292" t="s">
        <v>29</v>
      </c>
      <c r="D292" t="s">
        <v>62</v>
      </c>
      <c r="E292" s="1">
        <v>44965</v>
      </c>
      <c r="F292">
        <v>186</v>
      </c>
      <c r="G292">
        <v>278</v>
      </c>
      <c r="H292">
        <v>354.72</v>
      </c>
      <c r="I292">
        <v>559.77</v>
      </c>
      <c r="J292" t="s">
        <v>14</v>
      </c>
      <c r="K292">
        <f t="shared" si="16"/>
        <v>104117.22</v>
      </c>
      <c r="L292">
        <f t="shared" si="17"/>
        <v>38139.299999999988</v>
      </c>
      <c r="M292">
        <f t="shared" si="18"/>
        <v>0.6690647482014388</v>
      </c>
      <c r="N292">
        <f t="shared" si="19"/>
        <v>0</v>
      </c>
    </row>
    <row r="293" spans="1:14" x14ac:dyDescent="0.4">
      <c r="A293" t="s">
        <v>112</v>
      </c>
      <c r="B293" t="s">
        <v>58</v>
      </c>
      <c r="C293" t="s">
        <v>29</v>
      </c>
      <c r="D293" t="s">
        <v>41</v>
      </c>
      <c r="E293" s="1">
        <v>45614</v>
      </c>
      <c r="F293">
        <v>143</v>
      </c>
      <c r="G293">
        <v>102</v>
      </c>
      <c r="H293">
        <v>103.56</v>
      </c>
      <c r="I293">
        <v>238.74</v>
      </c>
      <c r="J293" t="s">
        <v>23</v>
      </c>
      <c r="K293">
        <f t="shared" si="16"/>
        <v>34139.82</v>
      </c>
      <c r="L293">
        <f t="shared" si="17"/>
        <v>19330.740000000002</v>
      </c>
      <c r="M293">
        <f t="shared" si="18"/>
        <v>1.4019607843137254</v>
      </c>
      <c r="N293">
        <f t="shared" si="19"/>
        <v>0</v>
      </c>
    </row>
    <row r="294" spans="1:14" x14ac:dyDescent="0.4">
      <c r="A294" t="s">
        <v>54</v>
      </c>
      <c r="B294" t="s">
        <v>43</v>
      </c>
      <c r="C294" t="s">
        <v>12</v>
      </c>
      <c r="D294" t="s">
        <v>62</v>
      </c>
      <c r="E294" s="1">
        <v>44899</v>
      </c>
      <c r="F294">
        <v>189</v>
      </c>
      <c r="G294">
        <v>295</v>
      </c>
      <c r="H294">
        <v>81.02</v>
      </c>
      <c r="I294">
        <v>200.8</v>
      </c>
      <c r="J294" t="s">
        <v>34</v>
      </c>
      <c r="K294">
        <f t="shared" si="16"/>
        <v>37951.200000000004</v>
      </c>
      <c r="L294">
        <f t="shared" si="17"/>
        <v>22638.420000000002</v>
      </c>
      <c r="M294">
        <f t="shared" si="18"/>
        <v>0.64067796610169492</v>
      </c>
      <c r="N294">
        <f t="shared" si="19"/>
        <v>0</v>
      </c>
    </row>
    <row r="295" spans="1:14" x14ac:dyDescent="0.4">
      <c r="A295" t="s">
        <v>184</v>
      </c>
      <c r="B295" t="s">
        <v>58</v>
      </c>
      <c r="C295" t="s">
        <v>12</v>
      </c>
      <c r="D295" t="s">
        <v>13</v>
      </c>
      <c r="E295" s="1">
        <v>45392</v>
      </c>
      <c r="F295">
        <v>131</v>
      </c>
      <c r="G295">
        <v>150</v>
      </c>
      <c r="H295">
        <v>267.60000000000002</v>
      </c>
      <c r="I295">
        <v>799.63</v>
      </c>
      <c r="J295" t="s">
        <v>23</v>
      </c>
      <c r="K295">
        <f t="shared" si="16"/>
        <v>104751.53</v>
      </c>
      <c r="L295">
        <f t="shared" si="17"/>
        <v>69695.929999999993</v>
      </c>
      <c r="M295">
        <f t="shared" si="18"/>
        <v>0.87333333333333329</v>
      </c>
      <c r="N295">
        <f t="shared" si="19"/>
        <v>0</v>
      </c>
    </row>
    <row r="296" spans="1:14" x14ac:dyDescent="0.4">
      <c r="A296" t="s">
        <v>51</v>
      </c>
      <c r="B296" t="s">
        <v>11</v>
      </c>
      <c r="C296" t="s">
        <v>52</v>
      </c>
      <c r="D296" t="s">
        <v>97</v>
      </c>
      <c r="E296" s="1">
        <v>45275</v>
      </c>
      <c r="F296">
        <v>172</v>
      </c>
      <c r="G296">
        <v>156</v>
      </c>
      <c r="H296">
        <v>149.04</v>
      </c>
      <c r="I296">
        <v>535.66</v>
      </c>
      <c r="J296" t="s">
        <v>14</v>
      </c>
      <c r="K296">
        <f t="shared" si="16"/>
        <v>92133.51999999999</v>
      </c>
      <c r="L296">
        <f t="shared" si="17"/>
        <v>66498.64</v>
      </c>
      <c r="M296">
        <f t="shared" si="18"/>
        <v>1.1025641025641026</v>
      </c>
      <c r="N296">
        <f t="shared" si="19"/>
        <v>0</v>
      </c>
    </row>
    <row r="297" spans="1:14" x14ac:dyDescent="0.4">
      <c r="A297" t="s">
        <v>104</v>
      </c>
      <c r="B297" t="s">
        <v>16</v>
      </c>
      <c r="C297" t="s">
        <v>52</v>
      </c>
      <c r="D297" t="s">
        <v>33</v>
      </c>
      <c r="E297" s="1">
        <v>44922</v>
      </c>
      <c r="F297">
        <v>89</v>
      </c>
      <c r="G297">
        <v>205</v>
      </c>
      <c r="H297">
        <v>164.29</v>
      </c>
      <c r="I297">
        <v>401.69</v>
      </c>
      <c r="J297" t="s">
        <v>19</v>
      </c>
      <c r="K297">
        <f t="shared" si="16"/>
        <v>35750.409999999996</v>
      </c>
      <c r="L297">
        <f t="shared" si="17"/>
        <v>21128.600000000002</v>
      </c>
      <c r="M297">
        <f t="shared" si="18"/>
        <v>0.43414634146341463</v>
      </c>
      <c r="N297">
        <f t="shared" si="19"/>
        <v>0</v>
      </c>
    </row>
    <row r="298" spans="1:14" x14ac:dyDescent="0.4">
      <c r="A298" t="s">
        <v>194</v>
      </c>
      <c r="B298" t="s">
        <v>28</v>
      </c>
      <c r="C298" t="s">
        <v>17</v>
      </c>
      <c r="D298" t="s">
        <v>65</v>
      </c>
      <c r="E298" s="1">
        <v>45130</v>
      </c>
      <c r="F298">
        <v>27</v>
      </c>
      <c r="G298">
        <v>178</v>
      </c>
      <c r="H298">
        <v>444.96</v>
      </c>
      <c r="I298">
        <v>301.72000000000003</v>
      </c>
      <c r="J298" t="s">
        <v>14</v>
      </c>
      <c r="K298">
        <f t="shared" si="16"/>
        <v>8146.4400000000005</v>
      </c>
      <c r="L298">
        <f t="shared" si="17"/>
        <v>-3867.4799999999987</v>
      </c>
      <c r="M298">
        <f t="shared" si="18"/>
        <v>0.15168539325842698</v>
      </c>
      <c r="N298">
        <f t="shared" si="19"/>
        <v>0</v>
      </c>
    </row>
    <row r="299" spans="1:14" x14ac:dyDescent="0.4">
      <c r="A299" t="s">
        <v>67</v>
      </c>
      <c r="B299" t="s">
        <v>58</v>
      </c>
      <c r="C299" t="s">
        <v>12</v>
      </c>
      <c r="D299" t="s">
        <v>66</v>
      </c>
      <c r="E299" s="1">
        <v>44779</v>
      </c>
      <c r="F299">
        <v>95</v>
      </c>
      <c r="G299">
        <v>196</v>
      </c>
      <c r="H299">
        <v>90.3</v>
      </c>
      <c r="I299">
        <v>522.74</v>
      </c>
      <c r="J299" t="s">
        <v>19</v>
      </c>
      <c r="K299">
        <f t="shared" si="16"/>
        <v>49660.3</v>
      </c>
      <c r="L299">
        <f t="shared" si="17"/>
        <v>41081.800000000003</v>
      </c>
      <c r="M299">
        <f t="shared" si="18"/>
        <v>0.48469387755102039</v>
      </c>
      <c r="N299">
        <f t="shared" si="19"/>
        <v>0</v>
      </c>
    </row>
    <row r="300" spans="1:14" x14ac:dyDescent="0.4">
      <c r="A300" t="s">
        <v>51</v>
      </c>
      <c r="B300" t="s">
        <v>21</v>
      </c>
      <c r="C300" t="s">
        <v>52</v>
      </c>
      <c r="D300" t="s">
        <v>75</v>
      </c>
      <c r="E300" s="1">
        <v>44763</v>
      </c>
      <c r="F300">
        <v>193</v>
      </c>
      <c r="G300">
        <v>222</v>
      </c>
      <c r="H300">
        <v>371.91</v>
      </c>
      <c r="I300">
        <v>134.72</v>
      </c>
      <c r="J300" t="s">
        <v>19</v>
      </c>
      <c r="K300">
        <f t="shared" si="16"/>
        <v>26000.959999999999</v>
      </c>
      <c r="L300">
        <f t="shared" si="17"/>
        <v>-45777.670000000006</v>
      </c>
      <c r="M300">
        <f t="shared" si="18"/>
        <v>0.86936936936936937</v>
      </c>
      <c r="N300">
        <f t="shared" si="19"/>
        <v>0</v>
      </c>
    </row>
    <row r="301" spans="1:14" x14ac:dyDescent="0.4">
      <c r="A301" t="s">
        <v>163</v>
      </c>
      <c r="B301" t="s">
        <v>11</v>
      </c>
      <c r="C301" t="s">
        <v>17</v>
      </c>
      <c r="D301" t="s">
        <v>26</v>
      </c>
      <c r="E301" s="1">
        <v>44578</v>
      </c>
      <c r="F301">
        <v>30</v>
      </c>
      <c r="G301">
        <v>88</v>
      </c>
      <c r="H301">
        <v>172.01</v>
      </c>
      <c r="I301">
        <v>166.28</v>
      </c>
      <c r="J301" t="s">
        <v>19</v>
      </c>
      <c r="K301">
        <f t="shared" si="16"/>
        <v>4988.3999999999996</v>
      </c>
      <c r="L301">
        <f t="shared" si="17"/>
        <v>-171.89999999999969</v>
      </c>
      <c r="M301">
        <f t="shared" si="18"/>
        <v>0.34090909090909088</v>
      </c>
      <c r="N301">
        <f t="shared" si="19"/>
        <v>0</v>
      </c>
    </row>
    <row r="302" spans="1:14" x14ac:dyDescent="0.4">
      <c r="A302" t="s">
        <v>44</v>
      </c>
      <c r="B302" t="s">
        <v>58</v>
      </c>
      <c r="C302" t="s">
        <v>17</v>
      </c>
      <c r="D302" t="s">
        <v>45</v>
      </c>
      <c r="E302" s="1">
        <v>44883</v>
      </c>
      <c r="F302">
        <v>2</v>
      </c>
      <c r="G302">
        <v>286</v>
      </c>
      <c r="H302">
        <v>392.15</v>
      </c>
      <c r="I302">
        <v>123</v>
      </c>
      <c r="J302" t="s">
        <v>23</v>
      </c>
      <c r="K302">
        <f t="shared" si="16"/>
        <v>246</v>
      </c>
      <c r="L302">
        <f t="shared" si="17"/>
        <v>-538.29999999999995</v>
      </c>
      <c r="M302">
        <f t="shared" si="18"/>
        <v>6.993006993006993E-3</v>
      </c>
      <c r="N302">
        <f t="shared" si="19"/>
        <v>0</v>
      </c>
    </row>
    <row r="303" spans="1:14" x14ac:dyDescent="0.4">
      <c r="A303" t="s">
        <v>169</v>
      </c>
      <c r="B303" t="s">
        <v>11</v>
      </c>
      <c r="C303" t="s">
        <v>17</v>
      </c>
      <c r="D303" t="s">
        <v>40</v>
      </c>
      <c r="E303" s="1">
        <v>45079</v>
      </c>
      <c r="F303">
        <v>135</v>
      </c>
      <c r="G303">
        <v>275</v>
      </c>
      <c r="H303">
        <v>375.09</v>
      </c>
      <c r="I303">
        <v>449.42</v>
      </c>
      <c r="J303" t="s">
        <v>34</v>
      </c>
      <c r="K303">
        <f t="shared" si="16"/>
        <v>60671.700000000004</v>
      </c>
      <c r="L303">
        <f t="shared" si="17"/>
        <v>10034.550000000005</v>
      </c>
      <c r="M303">
        <f t="shared" si="18"/>
        <v>0.49090909090909091</v>
      </c>
      <c r="N303">
        <f t="shared" si="19"/>
        <v>0</v>
      </c>
    </row>
    <row r="304" spans="1:14" x14ac:dyDescent="0.4">
      <c r="A304" t="s">
        <v>113</v>
      </c>
      <c r="B304" t="s">
        <v>36</v>
      </c>
      <c r="C304" t="s">
        <v>52</v>
      </c>
      <c r="D304" t="s">
        <v>18</v>
      </c>
      <c r="E304" s="1">
        <v>45242</v>
      </c>
      <c r="F304">
        <v>23</v>
      </c>
      <c r="G304">
        <v>235</v>
      </c>
      <c r="H304">
        <v>53.33</v>
      </c>
      <c r="I304">
        <v>520.41999999999996</v>
      </c>
      <c r="J304" t="s">
        <v>23</v>
      </c>
      <c r="K304">
        <f t="shared" si="16"/>
        <v>11969.66</v>
      </c>
      <c r="L304">
        <f t="shared" si="17"/>
        <v>10743.07</v>
      </c>
      <c r="M304">
        <f t="shared" si="18"/>
        <v>9.7872340425531917E-2</v>
      </c>
      <c r="N304">
        <f t="shared" si="19"/>
        <v>0</v>
      </c>
    </row>
    <row r="305" spans="1:14" x14ac:dyDescent="0.4">
      <c r="A305" t="s">
        <v>101</v>
      </c>
      <c r="B305" t="s">
        <v>28</v>
      </c>
      <c r="C305" t="s">
        <v>12</v>
      </c>
      <c r="D305" t="s">
        <v>37</v>
      </c>
      <c r="E305" s="1">
        <v>44986</v>
      </c>
      <c r="F305">
        <v>14</v>
      </c>
      <c r="G305">
        <v>182</v>
      </c>
      <c r="H305">
        <v>279.11</v>
      </c>
      <c r="I305">
        <v>143.74</v>
      </c>
      <c r="J305" t="s">
        <v>34</v>
      </c>
      <c r="K305">
        <f t="shared" si="16"/>
        <v>2012.3600000000001</v>
      </c>
      <c r="L305">
        <f t="shared" si="17"/>
        <v>-1895.18</v>
      </c>
      <c r="M305">
        <f t="shared" si="18"/>
        <v>7.6923076923076927E-2</v>
      </c>
      <c r="N305">
        <f t="shared" si="19"/>
        <v>0</v>
      </c>
    </row>
    <row r="306" spans="1:14" x14ac:dyDescent="0.4">
      <c r="A306" t="s">
        <v>195</v>
      </c>
      <c r="B306" t="s">
        <v>32</v>
      </c>
      <c r="C306" t="s">
        <v>29</v>
      </c>
      <c r="D306" t="s">
        <v>53</v>
      </c>
      <c r="E306" s="1">
        <v>45580</v>
      </c>
      <c r="F306">
        <v>170</v>
      </c>
      <c r="G306">
        <v>208</v>
      </c>
      <c r="H306">
        <v>112.69</v>
      </c>
      <c r="I306">
        <v>604.86</v>
      </c>
      <c r="J306" t="s">
        <v>14</v>
      </c>
      <c r="K306">
        <f t="shared" si="16"/>
        <v>102826.2</v>
      </c>
      <c r="L306">
        <f t="shared" si="17"/>
        <v>83668.900000000009</v>
      </c>
      <c r="M306">
        <f t="shared" si="18"/>
        <v>0.81730769230769229</v>
      </c>
      <c r="N306">
        <f t="shared" si="19"/>
        <v>0</v>
      </c>
    </row>
    <row r="307" spans="1:14" x14ac:dyDescent="0.4">
      <c r="A307" t="s">
        <v>50</v>
      </c>
      <c r="B307" t="s">
        <v>21</v>
      </c>
      <c r="C307" t="s">
        <v>17</v>
      </c>
      <c r="D307" t="s">
        <v>132</v>
      </c>
      <c r="E307" s="1">
        <v>44948</v>
      </c>
      <c r="F307">
        <v>158</v>
      </c>
      <c r="G307">
        <v>129</v>
      </c>
      <c r="H307">
        <v>439.8</v>
      </c>
      <c r="I307">
        <v>261.27999999999997</v>
      </c>
      <c r="J307" t="s">
        <v>30</v>
      </c>
      <c r="K307">
        <f t="shared" si="16"/>
        <v>41282.239999999998</v>
      </c>
      <c r="L307">
        <f t="shared" si="17"/>
        <v>-28206.160000000007</v>
      </c>
      <c r="M307">
        <f t="shared" si="18"/>
        <v>1.2248062015503876</v>
      </c>
      <c r="N307">
        <f t="shared" si="19"/>
        <v>0</v>
      </c>
    </row>
    <row r="308" spans="1:14" x14ac:dyDescent="0.4">
      <c r="A308" t="s">
        <v>92</v>
      </c>
      <c r="B308" t="s">
        <v>21</v>
      </c>
      <c r="C308" t="s">
        <v>52</v>
      </c>
      <c r="D308" t="s">
        <v>62</v>
      </c>
      <c r="E308" s="1">
        <v>45339</v>
      </c>
      <c r="F308">
        <v>44</v>
      </c>
      <c r="G308">
        <v>152</v>
      </c>
      <c r="H308">
        <v>442.21</v>
      </c>
      <c r="I308">
        <v>579.64</v>
      </c>
      <c r="J308" t="s">
        <v>14</v>
      </c>
      <c r="K308">
        <f t="shared" si="16"/>
        <v>25504.16</v>
      </c>
      <c r="L308">
        <f t="shared" si="17"/>
        <v>6046.92</v>
      </c>
      <c r="M308">
        <f t="shared" si="18"/>
        <v>0.28947368421052633</v>
      </c>
      <c r="N308">
        <f t="shared" si="19"/>
        <v>0</v>
      </c>
    </row>
    <row r="309" spans="1:14" x14ac:dyDescent="0.4">
      <c r="A309" t="s">
        <v>191</v>
      </c>
      <c r="B309" t="s">
        <v>16</v>
      </c>
      <c r="C309" t="s">
        <v>52</v>
      </c>
      <c r="D309" t="s">
        <v>53</v>
      </c>
      <c r="E309" s="1">
        <v>44659</v>
      </c>
      <c r="F309">
        <v>193</v>
      </c>
      <c r="G309">
        <v>12</v>
      </c>
      <c r="H309">
        <v>238.26</v>
      </c>
      <c r="I309">
        <v>787.33</v>
      </c>
      <c r="J309" t="s">
        <v>23</v>
      </c>
      <c r="K309">
        <f t="shared" si="16"/>
        <v>151954.69</v>
      </c>
      <c r="L309">
        <f t="shared" si="17"/>
        <v>105970.51000000001</v>
      </c>
      <c r="M309">
        <f t="shared" si="18"/>
        <v>16.083333333333332</v>
      </c>
      <c r="N309">
        <f t="shared" si="19"/>
        <v>0</v>
      </c>
    </row>
    <row r="310" spans="1:14" x14ac:dyDescent="0.4">
      <c r="A310" t="s">
        <v>138</v>
      </c>
      <c r="B310" t="s">
        <v>11</v>
      </c>
      <c r="C310" t="s">
        <v>29</v>
      </c>
      <c r="D310" t="s">
        <v>62</v>
      </c>
      <c r="E310" s="1">
        <v>44769</v>
      </c>
      <c r="F310">
        <v>7</v>
      </c>
      <c r="G310">
        <v>121</v>
      </c>
      <c r="H310">
        <v>249.98</v>
      </c>
      <c r="I310">
        <v>583.77</v>
      </c>
      <c r="J310" t="s">
        <v>23</v>
      </c>
      <c r="K310">
        <f t="shared" si="16"/>
        <v>4086.39</v>
      </c>
      <c r="L310">
        <f t="shared" si="17"/>
        <v>2336.5299999999997</v>
      </c>
      <c r="M310">
        <f t="shared" si="18"/>
        <v>5.7851239669421489E-2</v>
      </c>
      <c r="N310">
        <f t="shared" si="19"/>
        <v>0</v>
      </c>
    </row>
    <row r="311" spans="1:14" x14ac:dyDescent="0.4">
      <c r="A311" t="s">
        <v>196</v>
      </c>
      <c r="B311" t="s">
        <v>43</v>
      </c>
      <c r="C311" t="s">
        <v>29</v>
      </c>
      <c r="D311" t="s">
        <v>13</v>
      </c>
      <c r="E311" s="1">
        <v>45147</v>
      </c>
      <c r="F311">
        <v>70</v>
      </c>
      <c r="G311">
        <v>219</v>
      </c>
      <c r="H311">
        <v>186.48</v>
      </c>
      <c r="I311">
        <v>718.24</v>
      </c>
      <c r="J311" t="s">
        <v>34</v>
      </c>
      <c r="K311">
        <f t="shared" si="16"/>
        <v>50276.800000000003</v>
      </c>
      <c r="L311">
        <f t="shared" si="17"/>
        <v>37223.199999999997</v>
      </c>
      <c r="M311">
        <f t="shared" si="18"/>
        <v>0.31963470319634701</v>
      </c>
      <c r="N311">
        <f t="shared" si="19"/>
        <v>0</v>
      </c>
    </row>
    <row r="312" spans="1:14" x14ac:dyDescent="0.4">
      <c r="A312" t="s">
        <v>20</v>
      </c>
      <c r="B312" t="s">
        <v>21</v>
      </c>
      <c r="C312" t="s">
        <v>52</v>
      </c>
      <c r="D312" t="s">
        <v>145</v>
      </c>
      <c r="E312" s="1">
        <v>44727</v>
      </c>
      <c r="F312">
        <v>107</v>
      </c>
      <c r="G312">
        <v>105</v>
      </c>
      <c r="H312">
        <v>372.47</v>
      </c>
      <c r="I312">
        <v>763.74</v>
      </c>
      <c r="J312" t="s">
        <v>23</v>
      </c>
      <c r="K312">
        <f t="shared" si="16"/>
        <v>81720.180000000008</v>
      </c>
      <c r="L312">
        <f t="shared" si="17"/>
        <v>41865.89</v>
      </c>
      <c r="M312">
        <f t="shared" si="18"/>
        <v>1.019047619047619</v>
      </c>
      <c r="N312">
        <f t="shared" si="19"/>
        <v>0</v>
      </c>
    </row>
    <row r="313" spans="1:14" x14ac:dyDescent="0.4">
      <c r="A313" t="s">
        <v>108</v>
      </c>
      <c r="B313" t="s">
        <v>11</v>
      </c>
      <c r="C313" t="s">
        <v>12</v>
      </c>
      <c r="D313" t="s">
        <v>75</v>
      </c>
      <c r="E313" s="1">
        <v>44583</v>
      </c>
      <c r="F313">
        <v>114</v>
      </c>
      <c r="G313">
        <v>69</v>
      </c>
      <c r="H313">
        <v>211.4</v>
      </c>
      <c r="I313">
        <v>440.73</v>
      </c>
      <c r="J313" t="s">
        <v>19</v>
      </c>
      <c r="K313">
        <f t="shared" si="16"/>
        <v>50243.22</v>
      </c>
      <c r="L313">
        <f t="shared" si="17"/>
        <v>26143.620000000003</v>
      </c>
      <c r="M313">
        <f t="shared" si="18"/>
        <v>1.6521739130434783</v>
      </c>
      <c r="N313">
        <f t="shared" si="19"/>
        <v>0</v>
      </c>
    </row>
    <row r="314" spans="1:14" x14ac:dyDescent="0.4">
      <c r="A314" t="s">
        <v>161</v>
      </c>
      <c r="B314" t="s">
        <v>11</v>
      </c>
      <c r="C314" t="s">
        <v>29</v>
      </c>
      <c r="D314" t="s">
        <v>18</v>
      </c>
      <c r="E314" s="1">
        <v>44715</v>
      </c>
      <c r="F314">
        <v>102</v>
      </c>
      <c r="G314">
        <v>194</v>
      </c>
      <c r="H314">
        <v>170.51</v>
      </c>
      <c r="I314">
        <v>591.63</v>
      </c>
      <c r="J314" t="s">
        <v>23</v>
      </c>
      <c r="K314">
        <f t="shared" si="16"/>
        <v>60346.26</v>
      </c>
      <c r="L314">
        <f t="shared" si="17"/>
        <v>42954.239999999998</v>
      </c>
      <c r="M314">
        <f t="shared" si="18"/>
        <v>0.52577319587628868</v>
      </c>
      <c r="N314">
        <f t="shared" si="19"/>
        <v>0</v>
      </c>
    </row>
    <row r="315" spans="1:14" x14ac:dyDescent="0.4">
      <c r="A315" t="s">
        <v>197</v>
      </c>
      <c r="B315" t="s">
        <v>39</v>
      </c>
      <c r="C315" t="s">
        <v>52</v>
      </c>
      <c r="D315" t="s">
        <v>62</v>
      </c>
      <c r="E315" s="1">
        <v>44780</v>
      </c>
      <c r="F315">
        <v>124</v>
      </c>
      <c r="G315">
        <v>185</v>
      </c>
      <c r="H315">
        <v>244.5</v>
      </c>
      <c r="I315">
        <v>696.38</v>
      </c>
      <c r="J315" t="s">
        <v>34</v>
      </c>
      <c r="K315">
        <f t="shared" si="16"/>
        <v>86351.12</v>
      </c>
      <c r="L315">
        <f t="shared" si="17"/>
        <v>56033.120000000003</v>
      </c>
      <c r="M315">
        <f t="shared" si="18"/>
        <v>0.67027027027027031</v>
      </c>
      <c r="N315">
        <f t="shared" si="19"/>
        <v>0</v>
      </c>
    </row>
    <row r="316" spans="1:14" x14ac:dyDescent="0.4">
      <c r="A316" t="s">
        <v>115</v>
      </c>
      <c r="B316" t="s">
        <v>39</v>
      </c>
      <c r="C316" t="s">
        <v>29</v>
      </c>
      <c r="D316" t="s">
        <v>41</v>
      </c>
      <c r="E316" s="1">
        <v>45230</v>
      </c>
      <c r="F316">
        <v>56</v>
      </c>
      <c r="G316">
        <v>98</v>
      </c>
      <c r="H316">
        <v>91.17</v>
      </c>
      <c r="I316">
        <v>349.63</v>
      </c>
      <c r="J316" t="s">
        <v>34</v>
      </c>
      <c r="K316">
        <f t="shared" si="16"/>
        <v>19579.28</v>
      </c>
      <c r="L316">
        <f t="shared" si="17"/>
        <v>14473.759999999998</v>
      </c>
      <c r="M316">
        <f t="shared" si="18"/>
        <v>0.5714285714285714</v>
      </c>
      <c r="N316">
        <f t="shared" si="19"/>
        <v>0</v>
      </c>
    </row>
    <row r="317" spans="1:14" x14ac:dyDescent="0.4">
      <c r="A317" t="s">
        <v>198</v>
      </c>
      <c r="B317" t="s">
        <v>32</v>
      </c>
      <c r="C317" t="s">
        <v>12</v>
      </c>
      <c r="D317" t="s">
        <v>33</v>
      </c>
      <c r="E317" s="1">
        <v>44791</v>
      </c>
      <c r="F317">
        <v>29</v>
      </c>
      <c r="G317">
        <v>81</v>
      </c>
      <c r="H317">
        <v>385.97</v>
      </c>
      <c r="I317">
        <v>282.98</v>
      </c>
      <c r="J317" t="s">
        <v>19</v>
      </c>
      <c r="K317">
        <f t="shared" si="16"/>
        <v>8206.42</v>
      </c>
      <c r="L317">
        <f t="shared" si="17"/>
        <v>-2986.71</v>
      </c>
      <c r="M317">
        <f t="shared" si="18"/>
        <v>0.35802469135802467</v>
      </c>
      <c r="N317">
        <f t="shared" si="19"/>
        <v>0</v>
      </c>
    </row>
    <row r="318" spans="1:14" x14ac:dyDescent="0.4">
      <c r="A318" t="s">
        <v>104</v>
      </c>
      <c r="B318" t="s">
        <v>36</v>
      </c>
      <c r="C318" t="s">
        <v>17</v>
      </c>
      <c r="D318" t="s">
        <v>145</v>
      </c>
      <c r="E318" s="1">
        <v>44581</v>
      </c>
      <c r="F318">
        <v>145</v>
      </c>
      <c r="G318">
        <v>74</v>
      </c>
      <c r="H318">
        <v>55.67</v>
      </c>
      <c r="I318">
        <v>762.62</v>
      </c>
      <c r="J318" t="s">
        <v>34</v>
      </c>
      <c r="K318">
        <f t="shared" si="16"/>
        <v>110579.9</v>
      </c>
      <c r="L318">
        <f t="shared" si="17"/>
        <v>102507.75</v>
      </c>
      <c r="M318">
        <f t="shared" si="18"/>
        <v>1.9594594594594594</v>
      </c>
      <c r="N318">
        <f t="shared" si="19"/>
        <v>0</v>
      </c>
    </row>
    <row r="319" spans="1:14" x14ac:dyDescent="0.4">
      <c r="A319" t="s">
        <v>128</v>
      </c>
      <c r="B319" t="s">
        <v>32</v>
      </c>
      <c r="C319" t="s">
        <v>29</v>
      </c>
      <c r="D319" t="s">
        <v>62</v>
      </c>
      <c r="E319" s="1">
        <v>45114</v>
      </c>
      <c r="F319">
        <v>113</v>
      </c>
      <c r="G319">
        <v>191</v>
      </c>
      <c r="H319">
        <v>340.02</v>
      </c>
      <c r="I319">
        <v>608.41</v>
      </c>
      <c r="J319" t="s">
        <v>30</v>
      </c>
      <c r="K319">
        <f t="shared" si="16"/>
        <v>68750.33</v>
      </c>
      <c r="L319">
        <f t="shared" si="17"/>
        <v>30328.07</v>
      </c>
      <c r="M319">
        <f t="shared" si="18"/>
        <v>0.59162303664921467</v>
      </c>
      <c r="N319">
        <f t="shared" si="19"/>
        <v>0</v>
      </c>
    </row>
    <row r="320" spans="1:14" x14ac:dyDescent="0.4">
      <c r="A320" t="s">
        <v>35</v>
      </c>
      <c r="B320" t="s">
        <v>58</v>
      </c>
      <c r="C320" t="s">
        <v>12</v>
      </c>
      <c r="D320" t="s">
        <v>53</v>
      </c>
      <c r="E320" s="1">
        <v>45511</v>
      </c>
      <c r="F320">
        <v>196</v>
      </c>
      <c r="G320">
        <v>213</v>
      </c>
      <c r="H320">
        <v>132.29</v>
      </c>
      <c r="I320">
        <v>253.78</v>
      </c>
      <c r="J320" t="s">
        <v>14</v>
      </c>
      <c r="K320">
        <f t="shared" si="16"/>
        <v>49740.88</v>
      </c>
      <c r="L320">
        <f t="shared" si="17"/>
        <v>23812.04</v>
      </c>
      <c r="M320">
        <f t="shared" si="18"/>
        <v>0.92018779342723001</v>
      </c>
      <c r="N320">
        <f t="shared" si="19"/>
        <v>0</v>
      </c>
    </row>
    <row r="321" spans="1:14" x14ac:dyDescent="0.4">
      <c r="A321" t="s">
        <v>199</v>
      </c>
      <c r="B321" t="s">
        <v>43</v>
      </c>
      <c r="C321" t="s">
        <v>52</v>
      </c>
      <c r="D321" t="s">
        <v>22</v>
      </c>
      <c r="E321" s="1">
        <v>44709</v>
      </c>
      <c r="F321">
        <v>116</v>
      </c>
      <c r="G321">
        <v>143</v>
      </c>
      <c r="H321">
        <v>154.58000000000001</v>
      </c>
      <c r="I321">
        <v>414.36</v>
      </c>
      <c r="J321" t="s">
        <v>23</v>
      </c>
      <c r="K321">
        <f t="shared" si="16"/>
        <v>48065.760000000002</v>
      </c>
      <c r="L321">
        <f t="shared" si="17"/>
        <v>30134.479999999996</v>
      </c>
      <c r="M321">
        <f t="shared" si="18"/>
        <v>0.81118881118881114</v>
      </c>
      <c r="N321">
        <f t="shared" si="19"/>
        <v>0</v>
      </c>
    </row>
    <row r="322" spans="1:14" x14ac:dyDescent="0.4">
      <c r="A322" t="s">
        <v>67</v>
      </c>
      <c r="B322" t="s">
        <v>58</v>
      </c>
      <c r="C322" t="s">
        <v>29</v>
      </c>
      <c r="D322" t="s">
        <v>18</v>
      </c>
      <c r="E322" s="1">
        <v>44964</v>
      </c>
      <c r="F322">
        <v>166</v>
      </c>
      <c r="G322">
        <v>215</v>
      </c>
      <c r="H322">
        <v>336.03</v>
      </c>
      <c r="I322">
        <v>657.52</v>
      </c>
      <c r="J322" t="s">
        <v>30</v>
      </c>
      <c r="K322">
        <f t="shared" si="16"/>
        <v>109148.31999999999</v>
      </c>
      <c r="L322">
        <f t="shared" si="17"/>
        <v>53367.340000000004</v>
      </c>
      <c r="M322">
        <f t="shared" si="18"/>
        <v>0.77209302325581397</v>
      </c>
      <c r="N322">
        <f t="shared" si="19"/>
        <v>0</v>
      </c>
    </row>
    <row r="323" spans="1:14" x14ac:dyDescent="0.4">
      <c r="A323" t="s">
        <v>176</v>
      </c>
      <c r="B323" t="s">
        <v>25</v>
      </c>
      <c r="C323" t="s">
        <v>29</v>
      </c>
      <c r="D323" t="s">
        <v>62</v>
      </c>
      <c r="E323" s="1">
        <v>45157</v>
      </c>
      <c r="F323">
        <v>59</v>
      </c>
      <c r="G323">
        <v>14</v>
      </c>
      <c r="H323">
        <v>496.82</v>
      </c>
      <c r="I323">
        <v>482.94</v>
      </c>
      <c r="J323" t="s">
        <v>23</v>
      </c>
      <c r="K323">
        <f t="shared" ref="K323:K386" si="20">F323 * I323</f>
        <v>28493.46</v>
      </c>
      <c r="L323">
        <f t="shared" ref="L323:L386" si="21">(I323 - H323) * F323</f>
        <v>-818.91999999999973</v>
      </c>
      <c r="M323">
        <f t="shared" ref="M323:M386" si="22">IF(G323=0, 0, F323/G323)</f>
        <v>4.2142857142857144</v>
      </c>
      <c r="N323">
        <f t="shared" ref="N323:N386" si="23">IF(G323=0, 1, 0)</f>
        <v>0</v>
      </c>
    </row>
    <row r="324" spans="1:14" x14ac:dyDescent="0.4">
      <c r="A324" t="s">
        <v>129</v>
      </c>
      <c r="B324" t="s">
        <v>58</v>
      </c>
      <c r="C324" t="s">
        <v>52</v>
      </c>
      <c r="D324" t="s">
        <v>18</v>
      </c>
      <c r="E324" s="1">
        <v>44928</v>
      </c>
      <c r="F324">
        <v>97</v>
      </c>
      <c r="G324">
        <v>216</v>
      </c>
      <c r="H324">
        <v>399.97</v>
      </c>
      <c r="I324">
        <v>554.97</v>
      </c>
      <c r="J324" t="s">
        <v>30</v>
      </c>
      <c r="K324">
        <f t="shared" si="20"/>
        <v>53832.090000000004</v>
      </c>
      <c r="L324">
        <f t="shared" si="21"/>
        <v>15035</v>
      </c>
      <c r="M324">
        <f t="shared" si="22"/>
        <v>0.44907407407407407</v>
      </c>
      <c r="N324">
        <f t="shared" si="23"/>
        <v>0</v>
      </c>
    </row>
    <row r="325" spans="1:14" x14ac:dyDescent="0.4">
      <c r="A325" t="s">
        <v>142</v>
      </c>
      <c r="B325" t="s">
        <v>16</v>
      </c>
      <c r="C325" t="s">
        <v>17</v>
      </c>
      <c r="D325" t="s">
        <v>75</v>
      </c>
      <c r="E325" s="1">
        <v>45363</v>
      </c>
      <c r="F325">
        <v>170</v>
      </c>
      <c r="G325">
        <v>34</v>
      </c>
      <c r="H325">
        <v>151.63</v>
      </c>
      <c r="I325">
        <v>627.64</v>
      </c>
      <c r="J325" t="s">
        <v>23</v>
      </c>
      <c r="K325">
        <f t="shared" si="20"/>
        <v>106698.8</v>
      </c>
      <c r="L325">
        <f t="shared" si="21"/>
        <v>80921.7</v>
      </c>
      <c r="M325">
        <f t="shared" si="22"/>
        <v>5</v>
      </c>
      <c r="N325">
        <f t="shared" si="23"/>
        <v>0</v>
      </c>
    </row>
    <row r="326" spans="1:14" x14ac:dyDescent="0.4">
      <c r="A326" t="s">
        <v>38</v>
      </c>
      <c r="B326" t="s">
        <v>58</v>
      </c>
      <c r="C326" t="s">
        <v>52</v>
      </c>
      <c r="D326" t="s">
        <v>72</v>
      </c>
      <c r="E326" s="1">
        <v>45479</v>
      </c>
      <c r="F326">
        <v>125</v>
      </c>
      <c r="G326">
        <v>182</v>
      </c>
      <c r="H326">
        <v>129.21</v>
      </c>
      <c r="I326">
        <v>535.41</v>
      </c>
      <c r="J326" t="s">
        <v>19</v>
      </c>
      <c r="K326">
        <f t="shared" si="20"/>
        <v>66926.25</v>
      </c>
      <c r="L326">
        <f t="shared" si="21"/>
        <v>50774.999999999993</v>
      </c>
      <c r="M326">
        <f t="shared" si="22"/>
        <v>0.68681318681318682</v>
      </c>
      <c r="N326">
        <f t="shared" si="23"/>
        <v>0</v>
      </c>
    </row>
    <row r="327" spans="1:14" x14ac:dyDescent="0.4">
      <c r="A327" t="s">
        <v>112</v>
      </c>
      <c r="B327" t="s">
        <v>32</v>
      </c>
      <c r="C327" t="s">
        <v>29</v>
      </c>
      <c r="D327" t="s">
        <v>18</v>
      </c>
      <c r="E327" s="1">
        <v>44634</v>
      </c>
      <c r="F327">
        <v>172</v>
      </c>
      <c r="G327">
        <v>269</v>
      </c>
      <c r="H327">
        <v>439.8</v>
      </c>
      <c r="I327">
        <v>478.06</v>
      </c>
      <c r="J327" t="s">
        <v>34</v>
      </c>
      <c r="K327">
        <f t="shared" si="20"/>
        <v>82226.320000000007</v>
      </c>
      <c r="L327">
        <f t="shared" si="21"/>
        <v>6580.7199999999984</v>
      </c>
      <c r="M327">
        <f t="shared" si="22"/>
        <v>0.63940520446096649</v>
      </c>
      <c r="N327">
        <f t="shared" si="23"/>
        <v>0</v>
      </c>
    </row>
    <row r="328" spans="1:14" x14ac:dyDescent="0.4">
      <c r="A328" t="s">
        <v>184</v>
      </c>
      <c r="B328" t="s">
        <v>21</v>
      </c>
      <c r="C328" t="s">
        <v>52</v>
      </c>
      <c r="D328" t="s">
        <v>66</v>
      </c>
      <c r="E328" s="1">
        <v>45042</v>
      </c>
      <c r="F328">
        <v>150</v>
      </c>
      <c r="G328">
        <v>99</v>
      </c>
      <c r="H328">
        <v>249.88</v>
      </c>
      <c r="I328">
        <v>624.73</v>
      </c>
      <c r="J328" t="s">
        <v>34</v>
      </c>
      <c r="K328">
        <f t="shared" si="20"/>
        <v>93709.5</v>
      </c>
      <c r="L328">
        <f t="shared" si="21"/>
        <v>56227.5</v>
      </c>
      <c r="M328">
        <f t="shared" si="22"/>
        <v>1.5151515151515151</v>
      </c>
      <c r="N328">
        <f t="shared" si="23"/>
        <v>0</v>
      </c>
    </row>
    <row r="329" spans="1:14" x14ac:dyDescent="0.4">
      <c r="A329" t="s">
        <v>161</v>
      </c>
      <c r="B329" t="s">
        <v>21</v>
      </c>
      <c r="C329" t="s">
        <v>12</v>
      </c>
      <c r="D329" t="s">
        <v>41</v>
      </c>
      <c r="E329" s="1">
        <v>45121</v>
      </c>
      <c r="F329">
        <v>196</v>
      </c>
      <c r="G329">
        <v>6</v>
      </c>
      <c r="H329">
        <v>111.67</v>
      </c>
      <c r="I329">
        <v>609.29</v>
      </c>
      <c r="J329" t="s">
        <v>19</v>
      </c>
      <c r="K329">
        <f t="shared" si="20"/>
        <v>119420.84</v>
      </c>
      <c r="L329">
        <f t="shared" si="21"/>
        <v>97533.51999999999</v>
      </c>
      <c r="M329">
        <f t="shared" si="22"/>
        <v>32.666666666666664</v>
      </c>
      <c r="N329">
        <f t="shared" si="23"/>
        <v>0</v>
      </c>
    </row>
    <row r="330" spans="1:14" x14ac:dyDescent="0.4">
      <c r="A330" t="s">
        <v>125</v>
      </c>
      <c r="B330" t="s">
        <v>39</v>
      </c>
      <c r="C330" t="s">
        <v>52</v>
      </c>
      <c r="D330" t="s">
        <v>26</v>
      </c>
      <c r="E330" s="1">
        <v>45306</v>
      </c>
      <c r="F330">
        <v>93</v>
      </c>
      <c r="G330">
        <v>29</v>
      </c>
      <c r="H330">
        <v>438</v>
      </c>
      <c r="I330">
        <v>540.91</v>
      </c>
      <c r="J330" t="s">
        <v>30</v>
      </c>
      <c r="K330">
        <f t="shared" si="20"/>
        <v>50304.63</v>
      </c>
      <c r="L330">
        <f t="shared" si="21"/>
        <v>9570.6299999999974</v>
      </c>
      <c r="M330">
        <f t="shared" si="22"/>
        <v>3.2068965517241379</v>
      </c>
      <c r="N330">
        <f t="shared" si="23"/>
        <v>0</v>
      </c>
    </row>
    <row r="331" spans="1:14" x14ac:dyDescent="0.4">
      <c r="A331" t="s">
        <v>83</v>
      </c>
      <c r="B331" t="s">
        <v>43</v>
      </c>
      <c r="C331" t="s">
        <v>29</v>
      </c>
      <c r="D331" t="s">
        <v>65</v>
      </c>
      <c r="E331" s="1">
        <v>44661</v>
      </c>
      <c r="F331">
        <v>133</v>
      </c>
      <c r="G331">
        <v>143</v>
      </c>
      <c r="H331">
        <v>417.24</v>
      </c>
      <c r="I331">
        <v>351.85</v>
      </c>
      <c r="J331" t="s">
        <v>14</v>
      </c>
      <c r="K331">
        <f t="shared" si="20"/>
        <v>46796.05</v>
      </c>
      <c r="L331">
        <f t="shared" si="21"/>
        <v>-8696.869999999999</v>
      </c>
      <c r="M331">
        <f t="shared" si="22"/>
        <v>0.93006993006993011</v>
      </c>
      <c r="N331">
        <f t="shared" si="23"/>
        <v>0</v>
      </c>
    </row>
    <row r="332" spans="1:14" x14ac:dyDescent="0.4">
      <c r="A332" t="s">
        <v>185</v>
      </c>
      <c r="B332" t="s">
        <v>43</v>
      </c>
      <c r="C332" t="s">
        <v>52</v>
      </c>
      <c r="D332" t="s">
        <v>62</v>
      </c>
      <c r="E332" s="1">
        <v>45644</v>
      </c>
      <c r="F332">
        <v>183</v>
      </c>
      <c r="G332">
        <v>110</v>
      </c>
      <c r="H332">
        <v>492.76</v>
      </c>
      <c r="I332">
        <v>384.07</v>
      </c>
      <c r="J332" t="s">
        <v>30</v>
      </c>
      <c r="K332">
        <f t="shared" si="20"/>
        <v>70284.81</v>
      </c>
      <c r="L332">
        <f t="shared" si="21"/>
        <v>-19890.27</v>
      </c>
      <c r="M332">
        <f t="shared" si="22"/>
        <v>1.6636363636363636</v>
      </c>
      <c r="N332">
        <f t="shared" si="23"/>
        <v>0</v>
      </c>
    </row>
    <row r="333" spans="1:14" x14ac:dyDescent="0.4">
      <c r="A333" t="s">
        <v>178</v>
      </c>
      <c r="B333" t="s">
        <v>16</v>
      </c>
      <c r="C333" t="s">
        <v>17</v>
      </c>
      <c r="D333" t="s">
        <v>66</v>
      </c>
      <c r="E333" s="1">
        <v>45069</v>
      </c>
      <c r="F333">
        <v>121</v>
      </c>
      <c r="G333">
        <v>231</v>
      </c>
      <c r="H333">
        <v>459.38</v>
      </c>
      <c r="I333">
        <v>779.31</v>
      </c>
      <c r="J333" t="s">
        <v>34</v>
      </c>
      <c r="K333">
        <f t="shared" si="20"/>
        <v>94296.51</v>
      </c>
      <c r="L333">
        <f t="shared" si="21"/>
        <v>38711.529999999992</v>
      </c>
      <c r="M333">
        <f t="shared" si="22"/>
        <v>0.52380952380952384</v>
      </c>
      <c r="N333">
        <f t="shared" si="23"/>
        <v>0</v>
      </c>
    </row>
    <row r="334" spans="1:14" x14ac:dyDescent="0.4">
      <c r="A334" t="s">
        <v>161</v>
      </c>
      <c r="B334" t="s">
        <v>32</v>
      </c>
      <c r="C334" t="s">
        <v>52</v>
      </c>
      <c r="D334" t="s">
        <v>18</v>
      </c>
      <c r="E334" s="1">
        <v>44819</v>
      </c>
      <c r="F334">
        <v>107</v>
      </c>
      <c r="G334">
        <v>178</v>
      </c>
      <c r="H334">
        <v>433.31</v>
      </c>
      <c r="I334">
        <v>178.67</v>
      </c>
      <c r="J334" t="s">
        <v>14</v>
      </c>
      <c r="K334">
        <f t="shared" si="20"/>
        <v>19117.689999999999</v>
      </c>
      <c r="L334">
        <f t="shared" si="21"/>
        <v>-27246.480000000003</v>
      </c>
      <c r="M334">
        <f t="shared" si="22"/>
        <v>0.601123595505618</v>
      </c>
      <c r="N334">
        <f t="shared" si="23"/>
        <v>0</v>
      </c>
    </row>
    <row r="335" spans="1:14" x14ac:dyDescent="0.4">
      <c r="A335" t="s">
        <v>129</v>
      </c>
      <c r="B335" t="s">
        <v>39</v>
      </c>
      <c r="C335" t="s">
        <v>17</v>
      </c>
      <c r="D335" t="s">
        <v>45</v>
      </c>
      <c r="E335" s="1">
        <v>44974</v>
      </c>
      <c r="F335">
        <v>3</v>
      </c>
      <c r="G335">
        <v>71</v>
      </c>
      <c r="H335">
        <v>73.66</v>
      </c>
      <c r="I335">
        <v>287.95</v>
      </c>
      <c r="J335" t="s">
        <v>23</v>
      </c>
      <c r="K335">
        <f t="shared" si="20"/>
        <v>863.84999999999991</v>
      </c>
      <c r="L335">
        <f t="shared" si="21"/>
        <v>642.87</v>
      </c>
      <c r="M335">
        <f t="shared" si="22"/>
        <v>4.2253521126760563E-2</v>
      </c>
      <c r="N335">
        <f t="shared" si="23"/>
        <v>0</v>
      </c>
    </row>
    <row r="336" spans="1:14" x14ac:dyDescent="0.4">
      <c r="A336" t="s">
        <v>200</v>
      </c>
      <c r="B336" t="s">
        <v>25</v>
      </c>
      <c r="C336" t="s">
        <v>12</v>
      </c>
      <c r="D336" t="s">
        <v>41</v>
      </c>
      <c r="E336" s="1">
        <v>45650</v>
      </c>
      <c r="F336">
        <v>92</v>
      </c>
      <c r="G336">
        <v>209</v>
      </c>
      <c r="H336">
        <v>96.99</v>
      </c>
      <c r="I336">
        <v>444.68</v>
      </c>
      <c r="J336" t="s">
        <v>14</v>
      </c>
      <c r="K336">
        <f t="shared" si="20"/>
        <v>40910.559999999998</v>
      </c>
      <c r="L336">
        <f t="shared" si="21"/>
        <v>31987.48</v>
      </c>
      <c r="M336">
        <f t="shared" si="22"/>
        <v>0.44019138755980863</v>
      </c>
      <c r="N336">
        <f t="shared" si="23"/>
        <v>0</v>
      </c>
    </row>
    <row r="337" spans="1:14" x14ac:dyDescent="0.4">
      <c r="A337" t="s">
        <v>156</v>
      </c>
      <c r="B337" t="s">
        <v>43</v>
      </c>
      <c r="C337" t="s">
        <v>17</v>
      </c>
      <c r="D337" t="s">
        <v>62</v>
      </c>
      <c r="E337" s="1">
        <v>45156</v>
      </c>
      <c r="F337">
        <v>150</v>
      </c>
      <c r="G337">
        <v>219</v>
      </c>
      <c r="H337">
        <v>306.04000000000002</v>
      </c>
      <c r="I337">
        <v>685.71</v>
      </c>
      <c r="J337" t="s">
        <v>30</v>
      </c>
      <c r="K337">
        <f t="shared" si="20"/>
        <v>102856.5</v>
      </c>
      <c r="L337">
        <f t="shared" si="21"/>
        <v>56950.5</v>
      </c>
      <c r="M337">
        <f t="shared" si="22"/>
        <v>0.68493150684931503</v>
      </c>
      <c r="N337">
        <f t="shared" si="23"/>
        <v>0</v>
      </c>
    </row>
    <row r="338" spans="1:14" x14ac:dyDescent="0.4">
      <c r="A338" t="s">
        <v>201</v>
      </c>
      <c r="B338" t="s">
        <v>21</v>
      </c>
      <c r="C338" t="s">
        <v>52</v>
      </c>
      <c r="D338" t="s">
        <v>53</v>
      </c>
      <c r="E338" s="1">
        <v>44827</v>
      </c>
      <c r="F338">
        <v>5</v>
      </c>
      <c r="G338">
        <v>79</v>
      </c>
      <c r="H338">
        <v>289.17</v>
      </c>
      <c r="I338">
        <v>214.57</v>
      </c>
      <c r="J338" t="s">
        <v>19</v>
      </c>
      <c r="K338">
        <f t="shared" si="20"/>
        <v>1072.8499999999999</v>
      </c>
      <c r="L338">
        <f t="shared" si="21"/>
        <v>-373.00000000000011</v>
      </c>
      <c r="M338">
        <f t="shared" si="22"/>
        <v>6.3291139240506333E-2</v>
      </c>
      <c r="N338">
        <f t="shared" si="23"/>
        <v>0</v>
      </c>
    </row>
    <row r="339" spans="1:14" x14ac:dyDescent="0.4">
      <c r="A339" t="s">
        <v>202</v>
      </c>
      <c r="B339" t="s">
        <v>58</v>
      </c>
      <c r="C339" t="s">
        <v>29</v>
      </c>
      <c r="D339" t="s">
        <v>13</v>
      </c>
      <c r="E339" s="1">
        <v>45382</v>
      </c>
      <c r="F339">
        <v>31</v>
      </c>
      <c r="G339">
        <v>82</v>
      </c>
      <c r="H339">
        <v>256.08</v>
      </c>
      <c r="I339">
        <v>293.87</v>
      </c>
      <c r="J339" t="s">
        <v>23</v>
      </c>
      <c r="K339">
        <f t="shared" si="20"/>
        <v>9109.9699999999993</v>
      </c>
      <c r="L339">
        <f t="shared" si="21"/>
        <v>1171.4900000000007</v>
      </c>
      <c r="M339">
        <f t="shared" si="22"/>
        <v>0.37804878048780488</v>
      </c>
      <c r="N339">
        <f t="shared" si="23"/>
        <v>0</v>
      </c>
    </row>
    <row r="340" spans="1:14" x14ac:dyDescent="0.4">
      <c r="A340" t="s">
        <v>70</v>
      </c>
      <c r="B340" t="s">
        <v>58</v>
      </c>
      <c r="C340" t="s">
        <v>17</v>
      </c>
      <c r="D340" t="s">
        <v>145</v>
      </c>
      <c r="E340" s="1">
        <v>45223</v>
      </c>
      <c r="F340">
        <v>105</v>
      </c>
      <c r="G340">
        <v>41</v>
      </c>
      <c r="H340">
        <v>228.56</v>
      </c>
      <c r="I340">
        <v>146.06</v>
      </c>
      <c r="J340" t="s">
        <v>30</v>
      </c>
      <c r="K340">
        <f t="shared" si="20"/>
        <v>15336.300000000001</v>
      </c>
      <c r="L340">
        <f t="shared" si="21"/>
        <v>-8662.5</v>
      </c>
      <c r="M340">
        <f t="shared" si="22"/>
        <v>2.5609756097560976</v>
      </c>
      <c r="N340">
        <f t="shared" si="23"/>
        <v>0</v>
      </c>
    </row>
    <row r="341" spans="1:14" x14ac:dyDescent="0.4">
      <c r="A341" t="s">
        <v>59</v>
      </c>
      <c r="B341" t="s">
        <v>39</v>
      </c>
      <c r="C341" t="s">
        <v>12</v>
      </c>
      <c r="D341" t="s">
        <v>33</v>
      </c>
      <c r="E341" s="1">
        <v>45508</v>
      </c>
      <c r="F341">
        <v>145</v>
      </c>
      <c r="G341">
        <v>272</v>
      </c>
      <c r="H341">
        <v>244.04</v>
      </c>
      <c r="I341">
        <v>594.19000000000005</v>
      </c>
      <c r="J341" t="s">
        <v>23</v>
      </c>
      <c r="K341">
        <f t="shared" si="20"/>
        <v>86157.55</v>
      </c>
      <c r="L341">
        <f t="shared" si="21"/>
        <v>50771.750000000015</v>
      </c>
      <c r="M341">
        <f t="shared" si="22"/>
        <v>0.53308823529411764</v>
      </c>
      <c r="N341">
        <f t="shared" si="23"/>
        <v>0</v>
      </c>
    </row>
    <row r="342" spans="1:14" x14ac:dyDescent="0.4">
      <c r="A342" t="s">
        <v>60</v>
      </c>
      <c r="B342" t="s">
        <v>32</v>
      </c>
      <c r="C342" t="s">
        <v>17</v>
      </c>
      <c r="D342" t="s">
        <v>66</v>
      </c>
      <c r="E342" s="1">
        <v>45121</v>
      </c>
      <c r="F342">
        <v>14</v>
      </c>
      <c r="G342">
        <v>190</v>
      </c>
      <c r="H342">
        <v>306.18</v>
      </c>
      <c r="I342">
        <v>266.75</v>
      </c>
      <c r="J342" t="s">
        <v>14</v>
      </c>
      <c r="K342">
        <f t="shared" si="20"/>
        <v>3734.5</v>
      </c>
      <c r="L342">
        <f t="shared" si="21"/>
        <v>-552.0200000000001</v>
      </c>
      <c r="M342">
        <f t="shared" si="22"/>
        <v>7.3684210526315783E-2</v>
      </c>
      <c r="N342">
        <f t="shared" si="23"/>
        <v>0</v>
      </c>
    </row>
    <row r="343" spans="1:14" x14ac:dyDescent="0.4">
      <c r="A343" t="s">
        <v>203</v>
      </c>
      <c r="B343" t="s">
        <v>32</v>
      </c>
      <c r="C343" t="s">
        <v>17</v>
      </c>
      <c r="D343" t="s">
        <v>37</v>
      </c>
      <c r="E343" s="1">
        <v>45478</v>
      </c>
      <c r="F343">
        <v>167</v>
      </c>
      <c r="G343">
        <v>172</v>
      </c>
      <c r="H343">
        <v>50.93</v>
      </c>
      <c r="I343">
        <v>372.07</v>
      </c>
      <c r="J343" t="s">
        <v>34</v>
      </c>
      <c r="K343">
        <f t="shared" si="20"/>
        <v>62135.69</v>
      </c>
      <c r="L343">
        <f t="shared" si="21"/>
        <v>53630.38</v>
      </c>
      <c r="M343">
        <f t="shared" si="22"/>
        <v>0.97093023255813948</v>
      </c>
      <c r="N343">
        <f t="shared" si="23"/>
        <v>0</v>
      </c>
    </row>
    <row r="344" spans="1:14" x14ac:dyDescent="0.4">
      <c r="A344" t="s">
        <v>79</v>
      </c>
      <c r="B344" t="s">
        <v>36</v>
      </c>
      <c r="C344" t="s">
        <v>17</v>
      </c>
      <c r="D344" t="s">
        <v>41</v>
      </c>
      <c r="E344" s="1">
        <v>45452</v>
      </c>
      <c r="F344">
        <v>121</v>
      </c>
      <c r="G344">
        <v>6</v>
      </c>
      <c r="H344">
        <v>167.32</v>
      </c>
      <c r="I344">
        <v>410.59</v>
      </c>
      <c r="J344" t="s">
        <v>30</v>
      </c>
      <c r="K344">
        <f t="shared" si="20"/>
        <v>49681.39</v>
      </c>
      <c r="L344">
        <f t="shared" si="21"/>
        <v>29435.67</v>
      </c>
      <c r="M344">
        <f t="shared" si="22"/>
        <v>20.166666666666668</v>
      </c>
      <c r="N344">
        <f t="shared" si="23"/>
        <v>0</v>
      </c>
    </row>
    <row r="345" spans="1:14" x14ac:dyDescent="0.4">
      <c r="A345" t="s">
        <v>204</v>
      </c>
      <c r="B345" t="s">
        <v>28</v>
      </c>
      <c r="C345" t="s">
        <v>12</v>
      </c>
      <c r="D345" t="s">
        <v>62</v>
      </c>
      <c r="E345" s="1">
        <v>45429</v>
      </c>
      <c r="F345">
        <v>95</v>
      </c>
      <c r="G345">
        <v>154</v>
      </c>
      <c r="H345">
        <v>283.23</v>
      </c>
      <c r="I345">
        <v>723.92</v>
      </c>
      <c r="J345" t="s">
        <v>19</v>
      </c>
      <c r="K345">
        <f t="shared" si="20"/>
        <v>68772.399999999994</v>
      </c>
      <c r="L345">
        <f t="shared" si="21"/>
        <v>41865.549999999996</v>
      </c>
      <c r="M345">
        <f t="shared" si="22"/>
        <v>0.61688311688311692</v>
      </c>
      <c r="N345">
        <f t="shared" si="23"/>
        <v>0</v>
      </c>
    </row>
    <row r="346" spans="1:14" x14ac:dyDescent="0.4">
      <c r="A346" t="s">
        <v>98</v>
      </c>
      <c r="B346" t="s">
        <v>43</v>
      </c>
      <c r="C346" t="s">
        <v>52</v>
      </c>
      <c r="D346" t="s">
        <v>47</v>
      </c>
      <c r="E346" s="1">
        <v>45171</v>
      </c>
      <c r="F346">
        <v>5</v>
      </c>
      <c r="G346">
        <v>9</v>
      </c>
      <c r="H346">
        <v>375</v>
      </c>
      <c r="I346">
        <v>387.93</v>
      </c>
      <c r="J346" t="s">
        <v>14</v>
      </c>
      <c r="K346">
        <f t="shared" si="20"/>
        <v>1939.65</v>
      </c>
      <c r="L346">
        <f t="shared" si="21"/>
        <v>64.650000000000034</v>
      </c>
      <c r="M346">
        <f t="shared" si="22"/>
        <v>0.55555555555555558</v>
      </c>
      <c r="N346">
        <f t="shared" si="23"/>
        <v>0</v>
      </c>
    </row>
    <row r="347" spans="1:14" x14ac:dyDescent="0.4">
      <c r="A347" t="s">
        <v>143</v>
      </c>
      <c r="B347" t="s">
        <v>32</v>
      </c>
      <c r="C347" t="s">
        <v>17</v>
      </c>
      <c r="D347" t="s">
        <v>75</v>
      </c>
      <c r="E347" s="1">
        <v>44975</v>
      </c>
      <c r="F347">
        <v>111</v>
      </c>
      <c r="G347">
        <v>33</v>
      </c>
      <c r="H347">
        <v>128.37</v>
      </c>
      <c r="I347">
        <v>201.66</v>
      </c>
      <c r="J347" t="s">
        <v>30</v>
      </c>
      <c r="K347">
        <f t="shared" si="20"/>
        <v>22384.26</v>
      </c>
      <c r="L347">
        <f t="shared" si="21"/>
        <v>8135.1899999999987</v>
      </c>
      <c r="M347">
        <f t="shared" si="22"/>
        <v>3.3636363636363638</v>
      </c>
      <c r="N347">
        <f t="shared" si="23"/>
        <v>0</v>
      </c>
    </row>
    <row r="348" spans="1:14" x14ac:dyDescent="0.4">
      <c r="A348" t="s">
        <v>143</v>
      </c>
      <c r="B348" t="s">
        <v>21</v>
      </c>
      <c r="C348" t="s">
        <v>17</v>
      </c>
      <c r="D348" t="s">
        <v>66</v>
      </c>
      <c r="E348" s="1">
        <v>44586</v>
      </c>
      <c r="F348">
        <v>119</v>
      </c>
      <c r="G348">
        <v>35</v>
      </c>
      <c r="H348">
        <v>296.10000000000002</v>
      </c>
      <c r="I348">
        <v>467.02</v>
      </c>
      <c r="J348" t="s">
        <v>19</v>
      </c>
      <c r="K348">
        <f t="shared" si="20"/>
        <v>55575.38</v>
      </c>
      <c r="L348">
        <f t="shared" si="21"/>
        <v>20339.479999999996</v>
      </c>
      <c r="M348">
        <f t="shared" si="22"/>
        <v>3.4</v>
      </c>
      <c r="N348">
        <f t="shared" si="23"/>
        <v>0</v>
      </c>
    </row>
    <row r="349" spans="1:14" x14ac:dyDescent="0.4">
      <c r="A349" t="s">
        <v>38</v>
      </c>
      <c r="B349" t="s">
        <v>39</v>
      </c>
      <c r="C349" t="s">
        <v>29</v>
      </c>
      <c r="D349" t="s">
        <v>62</v>
      </c>
      <c r="E349" s="1">
        <v>44845</v>
      </c>
      <c r="F349">
        <v>122</v>
      </c>
      <c r="G349">
        <v>5</v>
      </c>
      <c r="H349">
        <v>371.51</v>
      </c>
      <c r="I349">
        <v>774.07</v>
      </c>
      <c r="J349" t="s">
        <v>30</v>
      </c>
      <c r="K349">
        <f t="shared" si="20"/>
        <v>94436.540000000008</v>
      </c>
      <c r="L349">
        <f t="shared" si="21"/>
        <v>49112.320000000007</v>
      </c>
      <c r="M349">
        <f t="shared" si="22"/>
        <v>24.4</v>
      </c>
      <c r="N349">
        <f t="shared" si="23"/>
        <v>0</v>
      </c>
    </row>
    <row r="350" spans="1:14" x14ac:dyDescent="0.4">
      <c r="A350" t="s">
        <v>160</v>
      </c>
      <c r="B350" t="s">
        <v>25</v>
      </c>
      <c r="C350" t="s">
        <v>12</v>
      </c>
      <c r="D350" t="s">
        <v>66</v>
      </c>
      <c r="E350" s="1">
        <v>45442</v>
      </c>
      <c r="F350">
        <v>190</v>
      </c>
      <c r="G350">
        <v>214</v>
      </c>
      <c r="H350">
        <v>250.08</v>
      </c>
      <c r="I350">
        <v>525.38</v>
      </c>
      <c r="J350" t="s">
        <v>14</v>
      </c>
      <c r="K350">
        <f t="shared" si="20"/>
        <v>99822.2</v>
      </c>
      <c r="L350">
        <f t="shared" si="21"/>
        <v>52306.999999999993</v>
      </c>
      <c r="M350">
        <f t="shared" si="22"/>
        <v>0.88785046728971961</v>
      </c>
      <c r="N350">
        <f t="shared" si="23"/>
        <v>0</v>
      </c>
    </row>
    <row r="351" spans="1:14" x14ac:dyDescent="0.4">
      <c r="A351" t="s">
        <v>182</v>
      </c>
      <c r="B351" t="s">
        <v>36</v>
      </c>
      <c r="C351" t="s">
        <v>17</v>
      </c>
      <c r="D351" t="s">
        <v>13</v>
      </c>
      <c r="E351" s="1">
        <v>44862</v>
      </c>
      <c r="F351">
        <v>66</v>
      </c>
      <c r="G351">
        <v>133</v>
      </c>
      <c r="H351">
        <v>62.19</v>
      </c>
      <c r="I351">
        <v>788.37</v>
      </c>
      <c r="J351" t="s">
        <v>30</v>
      </c>
      <c r="K351">
        <f t="shared" si="20"/>
        <v>52032.42</v>
      </c>
      <c r="L351">
        <f t="shared" si="21"/>
        <v>47927.880000000005</v>
      </c>
      <c r="M351">
        <f t="shared" si="22"/>
        <v>0.49624060150375937</v>
      </c>
      <c r="N351">
        <f t="shared" si="23"/>
        <v>0</v>
      </c>
    </row>
    <row r="352" spans="1:14" x14ac:dyDescent="0.4">
      <c r="A352" t="s">
        <v>133</v>
      </c>
      <c r="B352" t="s">
        <v>11</v>
      </c>
      <c r="C352" t="s">
        <v>12</v>
      </c>
      <c r="D352" t="s">
        <v>13</v>
      </c>
      <c r="E352" s="1">
        <v>45653</v>
      </c>
      <c r="F352">
        <v>105</v>
      </c>
      <c r="G352">
        <v>284</v>
      </c>
      <c r="H352">
        <v>252.17</v>
      </c>
      <c r="I352">
        <v>688.78</v>
      </c>
      <c r="J352" t="s">
        <v>23</v>
      </c>
      <c r="K352">
        <f t="shared" si="20"/>
        <v>72321.899999999994</v>
      </c>
      <c r="L352">
        <f t="shared" si="21"/>
        <v>45844.05</v>
      </c>
      <c r="M352">
        <f t="shared" si="22"/>
        <v>0.36971830985915494</v>
      </c>
      <c r="N352">
        <f t="shared" si="23"/>
        <v>0</v>
      </c>
    </row>
    <row r="353" spans="1:14" x14ac:dyDescent="0.4">
      <c r="A353" t="s">
        <v>94</v>
      </c>
      <c r="B353" t="s">
        <v>16</v>
      </c>
      <c r="C353" t="s">
        <v>17</v>
      </c>
      <c r="D353" t="s">
        <v>145</v>
      </c>
      <c r="E353" s="1">
        <v>45592</v>
      </c>
      <c r="F353">
        <v>138</v>
      </c>
      <c r="G353">
        <v>125</v>
      </c>
      <c r="H353">
        <v>183.4</v>
      </c>
      <c r="I353">
        <v>125.18</v>
      </c>
      <c r="J353" t="s">
        <v>14</v>
      </c>
      <c r="K353">
        <f t="shared" si="20"/>
        <v>17274.84</v>
      </c>
      <c r="L353">
        <f t="shared" si="21"/>
        <v>-8034.36</v>
      </c>
      <c r="M353">
        <f t="shared" si="22"/>
        <v>1.1040000000000001</v>
      </c>
      <c r="N353">
        <f t="shared" si="23"/>
        <v>0</v>
      </c>
    </row>
    <row r="354" spans="1:14" x14ac:dyDescent="0.4">
      <c r="A354" t="s">
        <v>63</v>
      </c>
      <c r="B354" t="s">
        <v>25</v>
      </c>
      <c r="C354" t="s">
        <v>52</v>
      </c>
      <c r="D354" t="s">
        <v>132</v>
      </c>
      <c r="E354" s="1">
        <v>45378</v>
      </c>
      <c r="F354">
        <v>42</v>
      </c>
      <c r="G354">
        <v>173</v>
      </c>
      <c r="H354">
        <v>468.34</v>
      </c>
      <c r="I354">
        <v>560.88</v>
      </c>
      <c r="J354" t="s">
        <v>30</v>
      </c>
      <c r="K354">
        <f t="shared" si="20"/>
        <v>23556.959999999999</v>
      </c>
      <c r="L354">
        <f t="shared" si="21"/>
        <v>3886.6800000000007</v>
      </c>
      <c r="M354">
        <f t="shared" si="22"/>
        <v>0.24277456647398843</v>
      </c>
      <c r="N354">
        <f t="shared" si="23"/>
        <v>0</v>
      </c>
    </row>
    <row r="355" spans="1:14" x14ac:dyDescent="0.4">
      <c r="A355" t="s">
        <v>193</v>
      </c>
      <c r="B355" t="s">
        <v>11</v>
      </c>
      <c r="C355" t="s">
        <v>52</v>
      </c>
      <c r="D355" t="s">
        <v>66</v>
      </c>
      <c r="E355" s="1">
        <v>44644</v>
      </c>
      <c r="F355">
        <v>144</v>
      </c>
      <c r="G355">
        <v>151</v>
      </c>
      <c r="H355">
        <v>106.08</v>
      </c>
      <c r="I355">
        <v>300.74</v>
      </c>
      <c r="J355" t="s">
        <v>34</v>
      </c>
      <c r="K355">
        <f t="shared" si="20"/>
        <v>43306.559999999998</v>
      </c>
      <c r="L355">
        <f t="shared" si="21"/>
        <v>28031.040000000005</v>
      </c>
      <c r="M355">
        <f t="shared" si="22"/>
        <v>0.95364238410596025</v>
      </c>
      <c r="N355">
        <f t="shared" si="23"/>
        <v>0</v>
      </c>
    </row>
    <row r="356" spans="1:14" x14ac:dyDescent="0.4">
      <c r="A356" t="s">
        <v>205</v>
      </c>
      <c r="B356" t="s">
        <v>58</v>
      </c>
      <c r="C356" t="s">
        <v>17</v>
      </c>
      <c r="D356" t="s">
        <v>62</v>
      </c>
      <c r="E356" s="1">
        <v>44607</v>
      </c>
      <c r="F356">
        <v>95</v>
      </c>
      <c r="G356">
        <v>25</v>
      </c>
      <c r="H356">
        <v>343.61</v>
      </c>
      <c r="I356">
        <v>491.73</v>
      </c>
      <c r="J356" t="s">
        <v>30</v>
      </c>
      <c r="K356">
        <f t="shared" si="20"/>
        <v>46714.35</v>
      </c>
      <c r="L356">
        <f t="shared" si="21"/>
        <v>14071.4</v>
      </c>
      <c r="M356">
        <f t="shared" si="22"/>
        <v>3.8</v>
      </c>
      <c r="N356">
        <f t="shared" si="23"/>
        <v>0</v>
      </c>
    </row>
    <row r="357" spans="1:14" x14ac:dyDescent="0.4">
      <c r="A357" t="s">
        <v>112</v>
      </c>
      <c r="B357" t="s">
        <v>16</v>
      </c>
      <c r="C357" t="s">
        <v>52</v>
      </c>
      <c r="D357" t="s">
        <v>66</v>
      </c>
      <c r="E357" s="1">
        <v>45179</v>
      </c>
      <c r="F357">
        <v>131</v>
      </c>
      <c r="G357">
        <v>114</v>
      </c>
      <c r="H357">
        <v>73.72</v>
      </c>
      <c r="I357">
        <v>295.54000000000002</v>
      </c>
      <c r="J357" t="s">
        <v>23</v>
      </c>
      <c r="K357">
        <f t="shared" si="20"/>
        <v>38715.740000000005</v>
      </c>
      <c r="L357">
        <f t="shared" si="21"/>
        <v>29058.420000000002</v>
      </c>
      <c r="M357">
        <f t="shared" si="22"/>
        <v>1.1491228070175439</v>
      </c>
      <c r="N357">
        <f t="shared" si="23"/>
        <v>0</v>
      </c>
    </row>
    <row r="358" spans="1:14" x14ac:dyDescent="0.4">
      <c r="A358" t="s">
        <v>174</v>
      </c>
      <c r="B358" t="s">
        <v>43</v>
      </c>
      <c r="C358" t="s">
        <v>17</v>
      </c>
      <c r="D358" t="s">
        <v>22</v>
      </c>
      <c r="E358" s="1">
        <v>45489</v>
      </c>
      <c r="F358">
        <v>190</v>
      </c>
      <c r="G358">
        <v>283</v>
      </c>
      <c r="H358">
        <v>250.78</v>
      </c>
      <c r="I358">
        <v>344.21</v>
      </c>
      <c r="J358" t="s">
        <v>19</v>
      </c>
      <c r="K358">
        <f t="shared" si="20"/>
        <v>65399.899999999994</v>
      </c>
      <c r="L358">
        <f t="shared" si="21"/>
        <v>17751.699999999997</v>
      </c>
      <c r="M358">
        <f t="shared" si="22"/>
        <v>0.67137809187279152</v>
      </c>
      <c r="N358">
        <f t="shared" si="23"/>
        <v>0</v>
      </c>
    </row>
    <row r="359" spans="1:14" x14ac:dyDescent="0.4">
      <c r="A359" t="s">
        <v>106</v>
      </c>
      <c r="B359" t="s">
        <v>21</v>
      </c>
      <c r="C359" t="s">
        <v>52</v>
      </c>
      <c r="D359" t="s">
        <v>33</v>
      </c>
      <c r="E359" s="1">
        <v>44823</v>
      </c>
      <c r="F359">
        <v>195</v>
      </c>
      <c r="G359">
        <v>74</v>
      </c>
      <c r="H359">
        <v>299.29000000000002</v>
      </c>
      <c r="I359">
        <v>746.22</v>
      </c>
      <c r="J359" t="s">
        <v>19</v>
      </c>
      <c r="K359">
        <f t="shared" si="20"/>
        <v>145512.9</v>
      </c>
      <c r="L359">
        <f t="shared" si="21"/>
        <v>87151.35</v>
      </c>
      <c r="M359">
        <f t="shared" si="22"/>
        <v>2.6351351351351351</v>
      </c>
      <c r="N359">
        <f t="shared" si="23"/>
        <v>0</v>
      </c>
    </row>
    <row r="360" spans="1:14" x14ac:dyDescent="0.4">
      <c r="A360" t="s">
        <v>99</v>
      </c>
      <c r="B360" t="s">
        <v>16</v>
      </c>
      <c r="C360" t="s">
        <v>29</v>
      </c>
      <c r="D360" t="s">
        <v>22</v>
      </c>
      <c r="E360" s="1">
        <v>44737</v>
      </c>
      <c r="F360">
        <v>80</v>
      </c>
      <c r="G360">
        <v>165</v>
      </c>
      <c r="H360">
        <v>184.08</v>
      </c>
      <c r="I360">
        <v>244.65</v>
      </c>
      <c r="J360" t="s">
        <v>19</v>
      </c>
      <c r="K360">
        <f t="shared" si="20"/>
        <v>19572</v>
      </c>
      <c r="L360">
        <f t="shared" si="21"/>
        <v>4845.5999999999995</v>
      </c>
      <c r="M360">
        <f t="shared" si="22"/>
        <v>0.48484848484848486</v>
      </c>
      <c r="N360">
        <f t="shared" si="23"/>
        <v>0</v>
      </c>
    </row>
    <row r="361" spans="1:14" x14ac:dyDescent="0.4">
      <c r="A361" t="s">
        <v>63</v>
      </c>
      <c r="B361" t="s">
        <v>28</v>
      </c>
      <c r="C361" t="s">
        <v>29</v>
      </c>
      <c r="D361" t="s">
        <v>97</v>
      </c>
      <c r="E361" s="1">
        <v>45218</v>
      </c>
      <c r="F361">
        <v>40</v>
      </c>
      <c r="G361">
        <v>188</v>
      </c>
      <c r="H361">
        <v>254.78</v>
      </c>
      <c r="I361">
        <v>711.88</v>
      </c>
      <c r="J361" t="s">
        <v>34</v>
      </c>
      <c r="K361">
        <f t="shared" si="20"/>
        <v>28475.200000000001</v>
      </c>
      <c r="L361">
        <f t="shared" si="21"/>
        <v>18284</v>
      </c>
      <c r="M361">
        <f t="shared" si="22"/>
        <v>0.21276595744680851</v>
      </c>
      <c r="N361">
        <f t="shared" si="23"/>
        <v>0</v>
      </c>
    </row>
    <row r="362" spans="1:14" x14ac:dyDescent="0.4">
      <c r="A362" t="s">
        <v>73</v>
      </c>
      <c r="B362" t="s">
        <v>11</v>
      </c>
      <c r="C362" t="s">
        <v>29</v>
      </c>
      <c r="D362" t="s">
        <v>75</v>
      </c>
      <c r="E362" s="1">
        <v>45403</v>
      </c>
      <c r="F362">
        <v>132</v>
      </c>
      <c r="G362">
        <v>77</v>
      </c>
      <c r="H362">
        <v>123.6</v>
      </c>
      <c r="I362">
        <v>121.32</v>
      </c>
      <c r="J362" t="s">
        <v>23</v>
      </c>
      <c r="K362">
        <f t="shared" si="20"/>
        <v>16014.24</v>
      </c>
      <c r="L362">
        <f t="shared" si="21"/>
        <v>-300.96000000000015</v>
      </c>
      <c r="M362">
        <f t="shared" si="22"/>
        <v>1.7142857142857142</v>
      </c>
      <c r="N362">
        <f t="shared" si="23"/>
        <v>0</v>
      </c>
    </row>
    <row r="363" spans="1:14" x14ac:dyDescent="0.4">
      <c r="A363" t="s">
        <v>206</v>
      </c>
      <c r="B363" t="s">
        <v>43</v>
      </c>
      <c r="C363" t="s">
        <v>12</v>
      </c>
      <c r="D363" t="s">
        <v>47</v>
      </c>
      <c r="E363" s="1">
        <v>44931</v>
      </c>
      <c r="F363">
        <v>159</v>
      </c>
      <c r="G363">
        <v>89</v>
      </c>
      <c r="H363">
        <v>186.86</v>
      </c>
      <c r="I363">
        <v>163.61000000000001</v>
      </c>
      <c r="J363" t="s">
        <v>14</v>
      </c>
      <c r="K363">
        <f t="shared" si="20"/>
        <v>26013.99</v>
      </c>
      <c r="L363">
        <f t="shared" si="21"/>
        <v>-3696.75</v>
      </c>
      <c r="M363">
        <f t="shared" si="22"/>
        <v>1.7865168539325842</v>
      </c>
      <c r="N363">
        <f t="shared" si="23"/>
        <v>0</v>
      </c>
    </row>
    <row r="364" spans="1:14" x14ac:dyDescent="0.4">
      <c r="A364" t="s">
        <v>96</v>
      </c>
      <c r="B364" t="s">
        <v>28</v>
      </c>
      <c r="C364" t="s">
        <v>12</v>
      </c>
      <c r="D364" t="s">
        <v>62</v>
      </c>
      <c r="E364" s="1">
        <v>44615</v>
      </c>
      <c r="F364">
        <v>197</v>
      </c>
      <c r="G364">
        <v>175</v>
      </c>
      <c r="H364">
        <v>329.5</v>
      </c>
      <c r="I364">
        <v>698.27</v>
      </c>
      <c r="J364" t="s">
        <v>19</v>
      </c>
      <c r="K364">
        <f t="shared" si="20"/>
        <v>137559.19</v>
      </c>
      <c r="L364">
        <f t="shared" si="21"/>
        <v>72647.69</v>
      </c>
      <c r="M364">
        <f t="shared" si="22"/>
        <v>1.1257142857142857</v>
      </c>
      <c r="N364">
        <f t="shared" si="23"/>
        <v>0</v>
      </c>
    </row>
    <row r="365" spans="1:14" x14ac:dyDescent="0.4">
      <c r="A365" t="s">
        <v>59</v>
      </c>
      <c r="B365" t="s">
        <v>58</v>
      </c>
      <c r="C365" t="s">
        <v>29</v>
      </c>
      <c r="D365" t="s">
        <v>40</v>
      </c>
      <c r="E365" s="1">
        <v>45251</v>
      </c>
      <c r="F365">
        <v>34</v>
      </c>
      <c r="G365">
        <v>20</v>
      </c>
      <c r="H365">
        <v>185.81</v>
      </c>
      <c r="I365">
        <v>541.39</v>
      </c>
      <c r="J365" t="s">
        <v>23</v>
      </c>
      <c r="K365">
        <f t="shared" si="20"/>
        <v>18407.259999999998</v>
      </c>
      <c r="L365">
        <f t="shared" si="21"/>
        <v>12089.72</v>
      </c>
      <c r="M365">
        <f t="shared" si="22"/>
        <v>1.7</v>
      </c>
      <c r="N365">
        <f t="shared" si="23"/>
        <v>0</v>
      </c>
    </row>
    <row r="366" spans="1:14" x14ac:dyDescent="0.4">
      <c r="A366" t="s">
        <v>207</v>
      </c>
      <c r="B366" t="s">
        <v>28</v>
      </c>
      <c r="C366" t="s">
        <v>12</v>
      </c>
      <c r="D366" t="s">
        <v>69</v>
      </c>
      <c r="E366" s="1">
        <v>44928</v>
      </c>
      <c r="F366">
        <v>21</v>
      </c>
      <c r="G366">
        <v>53</v>
      </c>
      <c r="H366">
        <v>454.88</v>
      </c>
      <c r="I366">
        <v>623.07000000000005</v>
      </c>
      <c r="J366" t="s">
        <v>30</v>
      </c>
      <c r="K366">
        <f t="shared" si="20"/>
        <v>13084.470000000001</v>
      </c>
      <c r="L366">
        <f t="shared" si="21"/>
        <v>3531.9900000000011</v>
      </c>
      <c r="M366">
        <f t="shared" si="22"/>
        <v>0.39622641509433965</v>
      </c>
      <c r="N366">
        <f t="shared" si="23"/>
        <v>0</v>
      </c>
    </row>
    <row r="367" spans="1:14" x14ac:dyDescent="0.4">
      <c r="A367" t="s">
        <v>48</v>
      </c>
      <c r="B367" t="s">
        <v>36</v>
      </c>
      <c r="C367" t="s">
        <v>52</v>
      </c>
      <c r="D367" t="s">
        <v>22</v>
      </c>
      <c r="E367" s="1">
        <v>45205</v>
      </c>
      <c r="F367">
        <v>192</v>
      </c>
      <c r="G367">
        <v>183</v>
      </c>
      <c r="H367">
        <v>332.78</v>
      </c>
      <c r="I367">
        <v>246.59</v>
      </c>
      <c r="J367" t="s">
        <v>34</v>
      </c>
      <c r="K367">
        <f t="shared" si="20"/>
        <v>47345.279999999999</v>
      </c>
      <c r="L367">
        <f t="shared" si="21"/>
        <v>-16548.479999999996</v>
      </c>
      <c r="M367">
        <f t="shared" si="22"/>
        <v>1.0491803278688525</v>
      </c>
      <c r="N367">
        <f t="shared" si="23"/>
        <v>0</v>
      </c>
    </row>
    <row r="368" spans="1:14" x14ac:dyDescent="0.4">
      <c r="A368" t="s">
        <v>208</v>
      </c>
      <c r="B368" t="s">
        <v>36</v>
      </c>
      <c r="C368" t="s">
        <v>17</v>
      </c>
      <c r="D368" t="s">
        <v>41</v>
      </c>
      <c r="E368" s="1">
        <v>44940</v>
      </c>
      <c r="F368">
        <v>149</v>
      </c>
      <c r="G368">
        <v>221</v>
      </c>
      <c r="H368">
        <v>247.39</v>
      </c>
      <c r="I368">
        <v>475.96</v>
      </c>
      <c r="J368" t="s">
        <v>23</v>
      </c>
      <c r="K368">
        <f t="shared" si="20"/>
        <v>70918.039999999994</v>
      </c>
      <c r="L368">
        <f t="shared" si="21"/>
        <v>34056.93</v>
      </c>
      <c r="M368">
        <f t="shared" si="22"/>
        <v>0.67420814479638014</v>
      </c>
      <c r="N368">
        <f t="shared" si="23"/>
        <v>0</v>
      </c>
    </row>
    <row r="369" spans="1:14" x14ac:dyDescent="0.4">
      <c r="A369" t="s">
        <v>138</v>
      </c>
      <c r="B369" t="s">
        <v>39</v>
      </c>
      <c r="C369" t="s">
        <v>17</v>
      </c>
      <c r="D369" t="s">
        <v>69</v>
      </c>
      <c r="E369" s="1">
        <v>44634</v>
      </c>
      <c r="F369">
        <v>111</v>
      </c>
      <c r="G369">
        <v>178</v>
      </c>
      <c r="H369">
        <v>67.44</v>
      </c>
      <c r="I369">
        <v>616.04999999999995</v>
      </c>
      <c r="J369" t="s">
        <v>23</v>
      </c>
      <c r="K369">
        <f t="shared" si="20"/>
        <v>68381.549999999988</v>
      </c>
      <c r="L369">
        <f t="shared" si="21"/>
        <v>60895.709999999992</v>
      </c>
      <c r="M369">
        <f t="shared" si="22"/>
        <v>0.6235955056179775</v>
      </c>
      <c r="N369">
        <f t="shared" si="23"/>
        <v>0</v>
      </c>
    </row>
    <row r="370" spans="1:14" x14ac:dyDescent="0.4">
      <c r="A370" t="s">
        <v>118</v>
      </c>
      <c r="B370" t="s">
        <v>25</v>
      </c>
      <c r="C370" t="s">
        <v>17</v>
      </c>
      <c r="D370" t="s">
        <v>75</v>
      </c>
      <c r="E370" s="1">
        <v>45476</v>
      </c>
      <c r="F370">
        <v>10</v>
      </c>
      <c r="G370">
        <v>275</v>
      </c>
      <c r="H370">
        <v>274.8</v>
      </c>
      <c r="I370">
        <v>539.12</v>
      </c>
      <c r="J370" t="s">
        <v>14</v>
      </c>
      <c r="K370">
        <f t="shared" si="20"/>
        <v>5391.2</v>
      </c>
      <c r="L370">
        <f t="shared" si="21"/>
        <v>2643.2</v>
      </c>
      <c r="M370">
        <f t="shared" si="22"/>
        <v>3.6363636363636362E-2</v>
      </c>
      <c r="N370">
        <f t="shared" si="23"/>
        <v>0</v>
      </c>
    </row>
    <row r="371" spans="1:14" x14ac:dyDescent="0.4">
      <c r="A371" t="s">
        <v>137</v>
      </c>
      <c r="B371" t="s">
        <v>25</v>
      </c>
      <c r="C371" t="s">
        <v>29</v>
      </c>
      <c r="D371" t="s">
        <v>97</v>
      </c>
      <c r="E371" s="1">
        <v>45421</v>
      </c>
      <c r="F371">
        <v>2</v>
      </c>
      <c r="G371">
        <v>111</v>
      </c>
      <c r="H371">
        <v>394.15</v>
      </c>
      <c r="I371">
        <v>430.19</v>
      </c>
      <c r="J371" t="s">
        <v>23</v>
      </c>
      <c r="K371">
        <f t="shared" si="20"/>
        <v>860.38</v>
      </c>
      <c r="L371">
        <f t="shared" si="21"/>
        <v>72.080000000000041</v>
      </c>
      <c r="M371">
        <f t="shared" si="22"/>
        <v>1.8018018018018018E-2</v>
      </c>
      <c r="N371">
        <f t="shared" si="23"/>
        <v>0</v>
      </c>
    </row>
    <row r="372" spans="1:14" x14ac:dyDescent="0.4">
      <c r="A372" t="s">
        <v>116</v>
      </c>
      <c r="B372" t="s">
        <v>43</v>
      </c>
      <c r="C372" t="s">
        <v>12</v>
      </c>
      <c r="D372" t="s">
        <v>37</v>
      </c>
      <c r="E372" s="1">
        <v>44604</v>
      </c>
      <c r="F372">
        <v>136</v>
      </c>
      <c r="G372">
        <v>223</v>
      </c>
      <c r="H372">
        <v>169.5</v>
      </c>
      <c r="I372">
        <v>771.85</v>
      </c>
      <c r="J372" t="s">
        <v>14</v>
      </c>
      <c r="K372">
        <f t="shared" si="20"/>
        <v>104971.6</v>
      </c>
      <c r="L372">
        <f t="shared" si="21"/>
        <v>81919.600000000006</v>
      </c>
      <c r="M372">
        <f t="shared" si="22"/>
        <v>0.60986547085201792</v>
      </c>
      <c r="N372">
        <f t="shared" si="23"/>
        <v>0</v>
      </c>
    </row>
    <row r="373" spans="1:14" x14ac:dyDescent="0.4">
      <c r="A373" t="s">
        <v>20</v>
      </c>
      <c r="B373" t="s">
        <v>58</v>
      </c>
      <c r="C373" t="s">
        <v>52</v>
      </c>
      <c r="D373" t="s">
        <v>66</v>
      </c>
      <c r="E373" s="1">
        <v>44938</v>
      </c>
      <c r="F373">
        <v>59</v>
      </c>
      <c r="G373">
        <v>213</v>
      </c>
      <c r="H373">
        <v>413.05</v>
      </c>
      <c r="I373">
        <v>573.30999999999995</v>
      </c>
      <c r="J373" t="s">
        <v>34</v>
      </c>
      <c r="K373">
        <f t="shared" si="20"/>
        <v>33825.289999999994</v>
      </c>
      <c r="L373">
        <f t="shared" si="21"/>
        <v>9455.3399999999965</v>
      </c>
      <c r="M373">
        <f t="shared" si="22"/>
        <v>0.27699530516431925</v>
      </c>
      <c r="N373">
        <f t="shared" si="23"/>
        <v>0</v>
      </c>
    </row>
    <row r="374" spans="1:14" x14ac:dyDescent="0.4">
      <c r="A374" t="s">
        <v>207</v>
      </c>
      <c r="B374" t="s">
        <v>32</v>
      </c>
      <c r="C374" t="s">
        <v>52</v>
      </c>
      <c r="D374" t="s">
        <v>66</v>
      </c>
      <c r="E374" s="1">
        <v>45626</v>
      </c>
      <c r="F374">
        <v>75</v>
      </c>
      <c r="G374">
        <v>58</v>
      </c>
      <c r="H374">
        <v>163.31</v>
      </c>
      <c r="I374">
        <v>735.43</v>
      </c>
      <c r="J374" t="s">
        <v>34</v>
      </c>
      <c r="K374">
        <f t="shared" si="20"/>
        <v>55157.249999999993</v>
      </c>
      <c r="L374">
        <f t="shared" si="21"/>
        <v>42908.999999999993</v>
      </c>
      <c r="M374">
        <f t="shared" si="22"/>
        <v>1.2931034482758621</v>
      </c>
      <c r="N374">
        <f t="shared" si="23"/>
        <v>0</v>
      </c>
    </row>
    <row r="375" spans="1:14" x14ac:dyDescent="0.4">
      <c r="A375" t="s">
        <v>209</v>
      </c>
      <c r="B375" t="s">
        <v>36</v>
      </c>
      <c r="C375" t="s">
        <v>29</v>
      </c>
      <c r="D375" t="s">
        <v>13</v>
      </c>
      <c r="E375" s="1">
        <v>44731</v>
      </c>
      <c r="F375">
        <v>86</v>
      </c>
      <c r="G375">
        <v>108</v>
      </c>
      <c r="H375">
        <v>420.69</v>
      </c>
      <c r="I375">
        <v>610.84</v>
      </c>
      <c r="J375" t="s">
        <v>30</v>
      </c>
      <c r="K375">
        <f t="shared" si="20"/>
        <v>52532.240000000005</v>
      </c>
      <c r="L375">
        <f t="shared" si="21"/>
        <v>16352.900000000003</v>
      </c>
      <c r="M375">
        <f t="shared" si="22"/>
        <v>0.79629629629629628</v>
      </c>
      <c r="N375">
        <f t="shared" si="23"/>
        <v>0</v>
      </c>
    </row>
    <row r="376" spans="1:14" x14ac:dyDescent="0.4">
      <c r="A376" t="s">
        <v>111</v>
      </c>
      <c r="B376" t="s">
        <v>43</v>
      </c>
      <c r="C376" t="s">
        <v>52</v>
      </c>
      <c r="D376" t="s">
        <v>75</v>
      </c>
      <c r="E376" s="1">
        <v>44773</v>
      </c>
      <c r="F376">
        <v>13</v>
      </c>
      <c r="G376">
        <v>156</v>
      </c>
      <c r="H376">
        <v>88.37</v>
      </c>
      <c r="I376">
        <v>614.82000000000005</v>
      </c>
      <c r="J376" t="s">
        <v>14</v>
      </c>
      <c r="K376">
        <f t="shared" si="20"/>
        <v>7992.6600000000008</v>
      </c>
      <c r="L376">
        <f t="shared" si="21"/>
        <v>6843.85</v>
      </c>
      <c r="M376">
        <f t="shared" si="22"/>
        <v>8.3333333333333329E-2</v>
      </c>
      <c r="N376">
        <f t="shared" si="23"/>
        <v>0</v>
      </c>
    </row>
    <row r="377" spans="1:14" x14ac:dyDescent="0.4">
      <c r="A377" t="s">
        <v>138</v>
      </c>
      <c r="B377" t="s">
        <v>32</v>
      </c>
      <c r="C377" t="s">
        <v>52</v>
      </c>
      <c r="D377" t="s">
        <v>33</v>
      </c>
      <c r="E377" s="1">
        <v>44600</v>
      </c>
      <c r="F377">
        <v>17</v>
      </c>
      <c r="G377">
        <v>190</v>
      </c>
      <c r="H377">
        <v>439.78</v>
      </c>
      <c r="I377">
        <v>156.01</v>
      </c>
      <c r="J377" t="s">
        <v>14</v>
      </c>
      <c r="K377">
        <f t="shared" si="20"/>
        <v>2652.17</v>
      </c>
      <c r="L377">
        <f t="shared" si="21"/>
        <v>-4824.09</v>
      </c>
      <c r="M377">
        <f t="shared" si="22"/>
        <v>8.9473684210526316E-2</v>
      </c>
      <c r="N377">
        <f t="shared" si="23"/>
        <v>0</v>
      </c>
    </row>
    <row r="378" spans="1:14" x14ac:dyDescent="0.4">
      <c r="A378" t="s">
        <v>64</v>
      </c>
      <c r="B378" t="s">
        <v>25</v>
      </c>
      <c r="C378" t="s">
        <v>52</v>
      </c>
      <c r="D378" t="s">
        <v>132</v>
      </c>
      <c r="E378" s="1">
        <v>44930</v>
      </c>
      <c r="F378">
        <v>112</v>
      </c>
      <c r="G378">
        <v>199</v>
      </c>
      <c r="H378">
        <v>274.63</v>
      </c>
      <c r="I378">
        <v>351.63</v>
      </c>
      <c r="J378" t="s">
        <v>19</v>
      </c>
      <c r="K378">
        <f t="shared" si="20"/>
        <v>39382.559999999998</v>
      </c>
      <c r="L378">
        <f t="shared" si="21"/>
        <v>8624</v>
      </c>
      <c r="M378">
        <f t="shared" si="22"/>
        <v>0.56281407035175879</v>
      </c>
      <c r="N378">
        <f t="shared" si="23"/>
        <v>0</v>
      </c>
    </row>
    <row r="379" spans="1:14" x14ac:dyDescent="0.4">
      <c r="A379" t="s">
        <v>163</v>
      </c>
      <c r="B379" t="s">
        <v>39</v>
      </c>
      <c r="C379" t="s">
        <v>52</v>
      </c>
      <c r="D379" t="s">
        <v>37</v>
      </c>
      <c r="E379" s="1">
        <v>45318</v>
      </c>
      <c r="F379">
        <v>72</v>
      </c>
      <c r="G379">
        <v>195</v>
      </c>
      <c r="H379">
        <v>183.44</v>
      </c>
      <c r="I379">
        <v>700.86</v>
      </c>
      <c r="J379" t="s">
        <v>19</v>
      </c>
      <c r="K379">
        <f t="shared" si="20"/>
        <v>50461.919999999998</v>
      </c>
      <c r="L379">
        <f t="shared" si="21"/>
        <v>37254.240000000005</v>
      </c>
      <c r="M379">
        <f t="shared" si="22"/>
        <v>0.36923076923076925</v>
      </c>
      <c r="N379">
        <f t="shared" si="23"/>
        <v>0</v>
      </c>
    </row>
    <row r="380" spans="1:14" x14ac:dyDescent="0.4">
      <c r="A380" t="s">
        <v>107</v>
      </c>
      <c r="B380" t="s">
        <v>28</v>
      </c>
      <c r="C380" t="s">
        <v>12</v>
      </c>
      <c r="D380" t="s">
        <v>145</v>
      </c>
      <c r="E380" s="1">
        <v>44712</v>
      </c>
      <c r="F380">
        <v>22</v>
      </c>
      <c r="G380">
        <v>34</v>
      </c>
      <c r="H380">
        <v>169.3</v>
      </c>
      <c r="I380">
        <v>262.82</v>
      </c>
      <c r="J380" t="s">
        <v>30</v>
      </c>
      <c r="K380">
        <f t="shared" si="20"/>
        <v>5782.04</v>
      </c>
      <c r="L380">
        <f t="shared" si="21"/>
        <v>2057.4399999999996</v>
      </c>
      <c r="M380">
        <f t="shared" si="22"/>
        <v>0.6470588235294118</v>
      </c>
      <c r="N380">
        <f t="shared" si="23"/>
        <v>0</v>
      </c>
    </row>
    <row r="381" spans="1:14" x14ac:dyDescent="0.4">
      <c r="A381" t="s">
        <v>155</v>
      </c>
      <c r="B381" t="s">
        <v>36</v>
      </c>
      <c r="C381" t="s">
        <v>52</v>
      </c>
      <c r="D381" t="s">
        <v>26</v>
      </c>
      <c r="E381" s="1">
        <v>45632</v>
      </c>
      <c r="F381">
        <v>82</v>
      </c>
      <c r="G381">
        <v>245</v>
      </c>
      <c r="H381">
        <v>244.4</v>
      </c>
      <c r="I381">
        <v>180.85</v>
      </c>
      <c r="J381" t="s">
        <v>34</v>
      </c>
      <c r="K381">
        <f t="shared" si="20"/>
        <v>14829.699999999999</v>
      </c>
      <c r="L381">
        <f t="shared" si="21"/>
        <v>-5211.1000000000013</v>
      </c>
      <c r="M381">
        <f t="shared" si="22"/>
        <v>0.33469387755102042</v>
      </c>
      <c r="N381">
        <f t="shared" si="23"/>
        <v>0</v>
      </c>
    </row>
    <row r="382" spans="1:14" x14ac:dyDescent="0.4">
      <c r="A382" t="s">
        <v>67</v>
      </c>
      <c r="B382" t="s">
        <v>43</v>
      </c>
      <c r="C382" t="s">
        <v>17</v>
      </c>
      <c r="D382" t="s">
        <v>45</v>
      </c>
      <c r="E382" s="1">
        <v>45585</v>
      </c>
      <c r="F382">
        <v>124</v>
      </c>
      <c r="G382">
        <v>236</v>
      </c>
      <c r="H382">
        <v>499.57</v>
      </c>
      <c r="I382">
        <v>328.27</v>
      </c>
      <c r="J382" t="s">
        <v>19</v>
      </c>
      <c r="K382">
        <f t="shared" si="20"/>
        <v>40705.479999999996</v>
      </c>
      <c r="L382">
        <f t="shared" si="21"/>
        <v>-21241.200000000001</v>
      </c>
      <c r="M382">
        <f t="shared" si="22"/>
        <v>0.52542372881355937</v>
      </c>
      <c r="N382">
        <f t="shared" si="23"/>
        <v>0</v>
      </c>
    </row>
    <row r="383" spans="1:14" x14ac:dyDescent="0.4">
      <c r="A383" t="s">
        <v>210</v>
      </c>
      <c r="B383" t="s">
        <v>16</v>
      </c>
      <c r="C383" t="s">
        <v>29</v>
      </c>
      <c r="D383" t="s">
        <v>145</v>
      </c>
      <c r="E383" s="1">
        <v>45298</v>
      </c>
      <c r="F383">
        <v>174</v>
      </c>
      <c r="G383">
        <v>103</v>
      </c>
      <c r="H383">
        <v>149.15</v>
      </c>
      <c r="I383">
        <v>254.31</v>
      </c>
      <c r="J383" t="s">
        <v>23</v>
      </c>
      <c r="K383">
        <f t="shared" si="20"/>
        <v>44249.94</v>
      </c>
      <c r="L383">
        <f t="shared" si="21"/>
        <v>18297.84</v>
      </c>
      <c r="M383">
        <f t="shared" si="22"/>
        <v>1.6893203883495145</v>
      </c>
      <c r="N383">
        <f t="shared" si="23"/>
        <v>0</v>
      </c>
    </row>
    <row r="384" spans="1:14" x14ac:dyDescent="0.4">
      <c r="A384" t="s">
        <v>161</v>
      </c>
      <c r="B384" t="s">
        <v>32</v>
      </c>
      <c r="C384" t="s">
        <v>12</v>
      </c>
      <c r="D384" t="s">
        <v>97</v>
      </c>
      <c r="E384" s="1">
        <v>44630</v>
      </c>
      <c r="F384">
        <v>68</v>
      </c>
      <c r="G384">
        <v>6</v>
      </c>
      <c r="H384">
        <v>96.45</v>
      </c>
      <c r="I384">
        <v>747.7</v>
      </c>
      <c r="J384" t="s">
        <v>34</v>
      </c>
      <c r="K384">
        <f t="shared" si="20"/>
        <v>50843.600000000006</v>
      </c>
      <c r="L384">
        <f t="shared" si="21"/>
        <v>44285</v>
      </c>
      <c r="M384">
        <f t="shared" si="22"/>
        <v>11.333333333333334</v>
      </c>
      <c r="N384">
        <f t="shared" si="23"/>
        <v>0</v>
      </c>
    </row>
    <row r="385" spans="1:14" x14ac:dyDescent="0.4">
      <c r="A385" t="s">
        <v>86</v>
      </c>
      <c r="B385" t="s">
        <v>28</v>
      </c>
      <c r="C385" t="s">
        <v>52</v>
      </c>
      <c r="D385" t="s">
        <v>97</v>
      </c>
      <c r="E385" s="1">
        <v>44860</v>
      </c>
      <c r="F385">
        <v>46</v>
      </c>
      <c r="G385">
        <v>282</v>
      </c>
      <c r="H385">
        <v>313.27</v>
      </c>
      <c r="I385">
        <v>707.58</v>
      </c>
      <c r="J385" t="s">
        <v>23</v>
      </c>
      <c r="K385">
        <f t="shared" si="20"/>
        <v>32548.68</v>
      </c>
      <c r="L385">
        <f t="shared" si="21"/>
        <v>18138.260000000002</v>
      </c>
      <c r="M385">
        <f t="shared" si="22"/>
        <v>0.16312056737588654</v>
      </c>
      <c r="N385">
        <f t="shared" si="23"/>
        <v>0</v>
      </c>
    </row>
    <row r="386" spans="1:14" x14ac:dyDescent="0.4">
      <c r="A386" t="s">
        <v>211</v>
      </c>
      <c r="B386" t="s">
        <v>36</v>
      </c>
      <c r="C386" t="s">
        <v>12</v>
      </c>
      <c r="D386" t="s">
        <v>62</v>
      </c>
      <c r="E386" s="1">
        <v>45505</v>
      </c>
      <c r="F386">
        <v>115</v>
      </c>
      <c r="G386">
        <v>0</v>
      </c>
      <c r="H386">
        <v>269.83999999999997</v>
      </c>
      <c r="I386">
        <v>449.78</v>
      </c>
      <c r="J386" t="s">
        <v>14</v>
      </c>
      <c r="K386">
        <f t="shared" si="20"/>
        <v>51724.7</v>
      </c>
      <c r="L386">
        <f t="shared" si="21"/>
        <v>20693.099999999999</v>
      </c>
      <c r="M386">
        <f t="shared" si="22"/>
        <v>0</v>
      </c>
      <c r="N386">
        <f t="shared" si="23"/>
        <v>1</v>
      </c>
    </row>
    <row r="387" spans="1:14" x14ac:dyDescent="0.4">
      <c r="A387" t="s">
        <v>104</v>
      </c>
      <c r="B387" t="s">
        <v>25</v>
      </c>
      <c r="C387" t="s">
        <v>52</v>
      </c>
      <c r="D387" t="s">
        <v>45</v>
      </c>
      <c r="E387" s="1">
        <v>45363</v>
      </c>
      <c r="F387">
        <v>29</v>
      </c>
      <c r="G387">
        <v>218</v>
      </c>
      <c r="H387">
        <v>285.89</v>
      </c>
      <c r="I387">
        <v>142.94</v>
      </c>
      <c r="J387" t="s">
        <v>34</v>
      </c>
      <c r="K387">
        <f t="shared" ref="K387:K450" si="24">F387 * I387</f>
        <v>4145.26</v>
      </c>
      <c r="L387">
        <f t="shared" ref="L387:L450" si="25">(I387 - H387) * F387</f>
        <v>-4145.5499999999993</v>
      </c>
      <c r="M387">
        <f t="shared" ref="M387:M450" si="26">IF(G387=0, 0, F387/G387)</f>
        <v>0.13302752293577982</v>
      </c>
      <c r="N387">
        <f t="shared" ref="N387:N450" si="27">IF(G387=0, 1, 0)</f>
        <v>0</v>
      </c>
    </row>
    <row r="388" spans="1:14" x14ac:dyDescent="0.4">
      <c r="A388" t="s">
        <v>68</v>
      </c>
      <c r="B388" t="s">
        <v>58</v>
      </c>
      <c r="C388" t="s">
        <v>17</v>
      </c>
      <c r="D388" t="s">
        <v>45</v>
      </c>
      <c r="E388" s="1">
        <v>44857</v>
      </c>
      <c r="F388">
        <v>24</v>
      </c>
      <c r="G388">
        <v>229</v>
      </c>
      <c r="H388">
        <v>350.12</v>
      </c>
      <c r="I388">
        <v>600.19000000000005</v>
      </c>
      <c r="J388" t="s">
        <v>30</v>
      </c>
      <c r="K388">
        <f t="shared" si="24"/>
        <v>14404.560000000001</v>
      </c>
      <c r="L388">
        <f t="shared" si="25"/>
        <v>6001.6800000000012</v>
      </c>
      <c r="M388">
        <f t="shared" si="26"/>
        <v>0.10480349344978165</v>
      </c>
      <c r="N388">
        <f t="shared" si="27"/>
        <v>0</v>
      </c>
    </row>
    <row r="389" spans="1:14" x14ac:dyDescent="0.4">
      <c r="A389" t="s">
        <v>210</v>
      </c>
      <c r="B389" t="s">
        <v>32</v>
      </c>
      <c r="C389" t="s">
        <v>29</v>
      </c>
      <c r="D389" t="s">
        <v>66</v>
      </c>
      <c r="E389" s="1">
        <v>44764</v>
      </c>
      <c r="F389">
        <v>155</v>
      </c>
      <c r="G389">
        <v>171</v>
      </c>
      <c r="H389">
        <v>170.21</v>
      </c>
      <c r="I389">
        <v>536.39</v>
      </c>
      <c r="J389" t="s">
        <v>14</v>
      </c>
      <c r="K389">
        <f t="shared" si="24"/>
        <v>83140.45</v>
      </c>
      <c r="L389">
        <f t="shared" si="25"/>
        <v>56757.899999999994</v>
      </c>
      <c r="M389">
        <f t="shared" si="26"/>
        <v>0.9064327485380117</v>
      </c>
      <c r="N389">
        <f t="shared" si="27"/>
        <v>0</v>
      </c>
    </row>
    <row r="390" spans="1:14" x14ac:dyDescent="0.4">
      <c r="A390" t="s">
        <v>50</v>
      </c>
      <c r="B390" t="s">
        <v>25</v>
      </c>
      <c r="C390" t="s">
        <v>52</v>
      </c>
      <c r="D390" t="s">
        <v>18</v>
      </c>
      <c r="E390" s="1">
        <v>44622</v>
      </c>
      <c r="F390">
        <v>111</v>
      </c>
      <c r="G390">
        <v>86</v>
      </c>
      <c r="H390">
        <v>459.8</v>
      </c>
      <c r="I390">
        <v>779.39</v>
      </c>
      <c r="J390" t="s">
        <v>14</v>
      </c>
      <c r="K390">
        <f t="shared" si="24"/>
        <v>86512.29</v>
      </c>
      <c r="L390">
        <f t="shared" si="25"/>
        <v>35474.49</v>
      </c>
      <c r="M390">
        <f t="shared" si="26"/>
        <v>1.2906976744186047</v>
      </c>
      <c r="N390">
        <f t="shared" si="27"/>
        <v>0</v>
      </c>
    </row>
    <row r="391" spans="1:14" x14ac:dyDescent="0.4">
      <c r="A391" t="s">
        <v>212</v>
      </c>
      <c r="B391" t="s">
        <v>36</v>
      </c>
      <c r="C391" t="s">
        <v>52</v>
      </c>
      <c r="D391" t="s">
        <v>41</v>
      </c>
      <c r="E391" s="1">
        <v>45507</v>
      </c>
      <c r="F391">
        <v>24</v>
      </c>
      <c r="G391">
        <v>40</v>
      </c>
      <c r="H391">
        <v>246.05</v>
      </c>
      <c r="I391">
        <v>491.27</v>
      </c>
      <c r="J391" t="s">
        <v>23</v>
      </c>
      <c r="K391">
        <f t="shared" si="24"/>
        <v>11790.48</v>
      </c>
      <c r="L391">
        <f t="shared" si="25"/>
        <v>5885.2799999999988</v>
      </c>
      <c r="M391">
        <f t="shared" si="26"/>
        <v>0.6</v>
      </c>
      <c r="N391">
        <f t="shared" si="27"/>
        <v>0</v>
      </c>
    </row>
    <row r="392" spans="1:14" x14ac:dyDescent="0.4">
      <c r="A392" t="s">
        <v>116</v>
      </c>
      <c r="B392" t="s">
        <v>32</v>
      </c>
      <c r="C392" t="s">
        <v>52</v>
      </c>
      <c r="D392" t="s">
        <v>145</v>
      </c>
      <c r="E392" s="1">
        <v>45524</v>
      </c>
      <c r="F392">
        <v>73</v>
      </c>
      <c r="G392">
        <v>122</v>
      </c>
      <c r="H392">
        <v>108.09</v>
      </c>
      <c r="I392">
        <v>335.48</v>
      </c>
      <c r="J392" t="s">
        <v>14</v>
      </c>
      <c r="K392">
        <f t="shared" si="24"/>
        <v>24490.04</v>
      </c>
      <c r="L392">
        <f t="shared" si="25"/>
        <v>16599.47</v>
      </c>
      <c r="M392">
        <f t="shared" si="26"/>
        <v>0.59836065573770492</v>
      </c>
      <c r="N392">
        <f t="shared" si="27"/>
        <v>0</v>
      </c>
    </row>
    <row r="393" spans="1:14" x14ac:dyDescent="0.4">
      <c r="A393" t="s">
        <v>213</v>
      </c>
      <c r="B393" t="s">
        <v>28</v>
      </c>
      <c r="C393" t="s">
        <v>52</v>
      </c>
      <c r="D393" t="s">
        <v>18</v>
      </c>
      <c r="E393" s="1">
        <v>44892</v>
      </c>
      <c r="F393">
        <v>57</v>
      </c>
      <c r="G393">
        <v>297</v>
      </c>
      <c r="H393">
        <v>384.03</v>
      </c>
      <c r="I393">
        <v>463.32</v>
      </c>
      <c r="J393" t="s">
        <v>19</v>
      </c>
      <c r="K393">
        <f t="shared" si="24"/>
        <v>26409.239999999998</v>
      </c>
      <c r="L393">
        <f t="shared" si="25"/>
        <v>4519.5300000000016</v>
      </c>
      <c r="M393">
        <f t="shared" si="26"/>
        <v>0.19191919191919191</v>
      </c>
      <c r="N393">
        <f t="shared" si="27"/>
        <v>0</v>
      </c>
    </row>
    <row r="394" spans="1:14" x14ac:dyDescent="0.4">
      <c r="A394" t="s">
        <v>214</v>
      </c>
      <c r="B394" t="s">
        <v>36</v>
      </c>
      <c r="C394" t="s">
        <v>29</v>
      </c>
      <c r="D394" t="s">
        <v>53</v>
      </c>
      <c r="E394" s="1">
        <v>44899</v>
      </c>
      <c r="F394">
        <v>93</v>
      </c>
      <c r="G394">
        <v>177</v>
      </c>
      <c r="H394">
        <v>339.4</v>
      </c>
      <c r="I394">
        <v>785.48</v>
      </c>
      <c r="J394" t="s">
        <v>34</v>
      </c>
      <c r="K394">
        <f t="shared" si="24"/>
        <v>73049.64</v>
      </c>
      <c r="L394">
        <f t="shared" si="25"/>
        <v>41485.440000000002</v>
      </c>
      <c r="M394">
        <f t="shared" si="26"/>
        <v>0.52542372881355937</v>
      </c>
      <c r="N394">
        <f t="shared" si="27"/>
        <v>0</v>
      </c>
    </row>
    <row r="395" spans="1:14" x14ac:dyDescent="0.4">
      <c r="A395" t="s">
        <v>78</v>
      </c>
      <c r="B395" t="s">
        <v>11</v>
      </c>
      <c r="C395" t="s">
        <v>29</v>
      </c>
      <c r="D395" t="s">
        <v>41</v>
      </c>
      <c r="E395" s="1">
        <v>45200</v>
      </c>
      <c r="F395">
        <v>118</v>
      </c>
      <c r="G395">
        <v>62</v>
      </c>
      <c r="H395">
        <v>192.08</v>
      </c>
      <c r="I395">
        <v>587.45000000000005</v>
      </c>
      <c r="J395" t="s">
        <v>19</v>
      </c>
      <c r="K395">
        <f t="shared" si="24"/>
        <v>69319.100000000006</v>
      </c>
      <c r="L395">
        <f t="shared" si="25"/>
        <v>46653.66</v>
      </c>
      <c r="M395">
        <f t="shared" si="26"/>
        <v>1.903225806451613</v>
      </c>
      <c r="N395">
        <f t="shared" si="27"/>
        <v>0</v>
      </c>
    </row>
    <row r="396" spans="1:14" x14ac:dyDescent="0.4">
      <c r="A396" t="s">
        <v>157</v>
      </c>
      <c r="B396" t="s">
        <v>43</v>
      </c>
      <c r="C396" t="s">
        <v>17</v>
      </c>
      <c r="D396" t="s">
        <v>18</v>
      </c>
      <c r="E396" s="1">
        <v>44836</v>
      </c>
      <c r="F396">
        <v>126</v>
      </c>
      <c r="G396">
        <v>164</v>
      </c>
      <c r="H396">
        <v>329.68</v>
      </c>
      <c r="I396">
        <v>570.38</v>
      </c>
      <c r="J396" t="s">
        <v>23</v>
      </c>
      <c r="K396">
        <f t="shared" si="24"/>
        <v>71867.88</v>
      </c>
      <c r="L396">
        <f t="shared" si="25"/>
        <v>30328.199999999997</v>
      </c>
      <c r="M396">
        <f t="shared" si="26"/>
        <v>0.76829268292682928</v>
      </c>
      <c r="N396">
        <f t="shared" si="27"/>
        <v>0</v>
      </c>
    </row>
    <row r="397" spans="1:14" x14ac:dyDescent="0.4">
      <c r="A397" t="s">
        <v>135</v>
      </c>
      <c r="B397" t="s">
        <v>28</v>
      </c>
      <c r="C397" t="s">
        <v>29</v>
      </c>
      <c r="D397" t="s">
        <v>13</v>
      </c>
      <c r="E397" s="1">
        <v>44880</v>
      </c>
      <c r="F397">
        <v>168</v>
      </c>
      <c r="G397">
        <v>186</v>
      </c>
      <c r="H397">
        <v>148.94</v>
      </c>
      <c r="I397">
        <v>268.48</v>
      </c>
      <c r="J397" t="s">
        <v>23</v>
      </c>
      <c r="K397">
        <f t="shared" si="24"/>
        <v>45104.639999999999</v>
      </c>
      <c r="L397">
        <f t="shared" si="25"/>
        <v>20082.720000000005</v>
      </c>
      <c r="M397">
        <f t="shared" si="26"/>
        <v>0.90322580645161288</v>
      </c>
      <c r="N397">
        <f t="shared" si="27"/>
        <v>0</v>
      </c>
    </row>
    <row r="398" spans="1:14" x14ac:dyDescent="0.4">
      <c r="A398" t="s">
        <v>198</v>
      </c>
      <c r="B398" t="s">
        <v>32</v>
      </c>
      <c r="C398" t="s">
        <v>52</v>
      </c>
      <c r="D398" t="s">
        <v>65</v>
      </c>
      <c r="E398" s="1">
        <v>45150</v>
      </c>
      <c r="F398">
        <v>24</v>
      </c>
      <c r="G398">
        <v>208</v>
      </c>
      <c r="H398">
        <v>250.18</v>
      </c>
      <c r="I398">
        <v>620.52</v>
      </c>
      <c r="J398" t="s">
        <v>34</v>
      </c>
      <c r="K398">
        <f t="shared" si="24"/>
        <v>14892.48</v>
      </c>
      <c r="L398">
        <f t="shared" si="25"/>
        <v>8888.16</v>
      </c>
      <c r="M398">
        <f t="shared" si="26"/>
        <v>0.11538461538461539</v>
      </c>
      <c r="N398">
        <f t="shared" si="27"/>
        <v>0</v>
      </c>
    </row>
    <row r="399" spans="1:14" x14ac:dyDescent="0.4">
      <c r="A399" t="s">
        <v>215</v>
      </c>
      <c r="B399" t="s">
        <v>58</v>
      </c>
      <c r="C399" t="s">
        <v>17</v>
      </c>
      <c r="D399" t="s">
        <v>13</v>
      </c>
      <c r="E399" s="1">
        <v>45065</v>
      </c>
      <c r="F399">
        <v>77</v>
      </c>
      <c r="G399">
        <v>226</v>
      </c>
      <c r="H399">
        <v>454.74</v>
      </c>
      <c r="I399">
        <v>625.19000000000005</v>
      </c>
      <c r="J399" t="s">
        <v>14</v>
      </c>
      <c r="K399">
        <f t="shared" si="24"/>
        <v>48139.630000000005</v>
      </c>
      <c r="L399">
        <f t="shared" si="25"/>
        <v>13124.650000000003</v>
      </c>
      <c r="M399">
        <f t="shared" si="26"/>
        <v>0.34070796460176989</v>
      </c>
      <c r="N399">
        <f t="shared" si="27"/>
        <v>0</v>
      </c>
    </row>
    <row r="400" spans="1:14" x14ac:dyDescent="0.4">
      <c r="A400" t="s">
        <v>166</v>
      </c>
      <c r="B400" t="s">
        <v>25</v>
      </c>
      <c r="C400" t="s">
        <v>17</v>
      </c>
      <c r="D400" t="s">
        <v>97</v>
      </c>
      <c r="E400" s="1">
        <v>44948</v>
      </c>
      <c r="F400">
        <v>98</v>
      </c>
      <c r="G400">
        <v>47</v>
      </c>
      <c r="H400">
        <v>110.09</v>
      </c>
      <c r="I400">
        <v>322.10000000000002</v>
      </c>
      <c r="J400" t="s">
        <v>30</v>
      </c>
      <c r="K400">
        <f t="shared" si="24"/>
        <v>31565.800000000003</v>
      </c>
      <c r="L400">
        <f t="shared" si="25"/>
        <v>20776.980000000003</v>
      </c>
      <c r="M400">
        <f t="shared" si="26"/>
        <v>2.0851063829787235</v>
      </c>
      <c r="N400">
        <f t="shared" si="27"/>
        <v>0</v>
      </c>
    </row>
    <row r="401" spans="1:14" x14ac:dyDescent="0.4">
      <c r="A401" t="s">
        <v>61</v>
      </c>
      <c r="B401" t="s">
        <v>16</v>
      </c>
      <c r="C401" t="s">
        <v>17</v>
      </c>
      <c r="D401" t="s">
        <v>26</v>
      </c>
      <c r="E401" s="1">
        <v>45431</v>
      </c>
      <c r="F401">
        <v>115</v>
      </c>
      <c r="G401">
        <v>223</v>
      </c>
      <c r="H401">
        <v>224.01</v>
      </c>
      <c r="I401">
        <v>438.6</v>
      </c>
      <c r="J401" t="s">
        <v>23</v>
      </c>
      <c r="K401">
        <f t="shared" si="24"/>
        <v>50439</v>
      </c>
      <c r="L401">
        <f t="shared" si="25"/>
        <v>24677.850000000002</v>
      </c>
      <c r="M401">
        <f t="shared" si="26"/>
        <v>0.51569506726457404</v>
      </c>
      <c r="N401">
        <f t="shared" si="27"/>
        <v>0</v>
      </c>
    </row>
    <row r="402" spans="1:14" x14ac:dyDescent="0.4">
      <c r="A402" t="s">
        <v>206</v>
      </c>
      <c r="B402" t="s">
        <v>25</v>
      </c>
      <c r="C402" t="s">
        <v>52</v>
      </c>
      <c r="D402" t="s">
        <v>75</v>
      </c>
      <c r="E402" s="1">
        <v>45394</v>
      </c>
      <c r="F402">
        <v>47</v>
      </c>
      <c r="G402">
        <v>2</v>
      </c>
      <c r="H402">
        <v>419.51</v>
      </c>
      <c r="I402">
        <v>306.22000000000003</v>
      </c>
      <c r="J402" t="s">
        <v>34</v>
      </c>
      <c r="K402">
        <f t="shared" si="24"/>
        <v>14392.340000000002</v>
      </c>
      <c r="L402">
        <f t="shared" si="25"/>
        <v>-5324.6299999999983</v>
      </c>
      <c r="M402">
        <f t="shared" si="26"/>
        <v>23.5</v>
      </c>
      <c r="N402">
        <f t="shared" si="27"/>
        <v>0</v>
      </c>
    </row>
    <row r="403" spans="1:14" x14ac:dyDescent="0.4">
      <c r="A403" t="s">
        <v>50</v>
      </c>
      <c r="B403" t="s">
        <v>32</v>
      </c>
      <c r="C403" t="s">
        <v>12</v>
      </c>
      <c r="D403" t="s">
        <v>97</v>
      </c>
      <c r="E403" s="1">
        <v>45576</v>
      </c>
      <c r="F403">
        <v>9</v>
      </c>
      <c r="G403">
        <v>174</v>
      </c>
      <c r="H403">
        <v>486.27</v>
      </c>
      <c r="I403">
        <v>281.08999999999997</v>
      </c>
      <c r="J403" t="s">
        <v>30</v>
      </c>
      <c r="K403">
        <f t="shared" si="24"/>
        <v>2529.81</v>
      </c>
      <c r="L403">
        <f t="shared" si="25"/>
        <v>-1846.6200000000001</v>
      </c>
      <c r="M403">
        <f t="shared" si="26"/>
        <v>5.1724137931034482E-2</v>
      </c>
      <c r="N403">
        <f t="shared" si="27"/>
        <v>0</v>
      </c>
    </row>
    <row r="404" spans="1:14" x14ac:dyDescent="0.4">
      <c r="A404" t="s">
        <v>67</v>
      </c>
      <c r="B404" t="s">
        <v>25</v>
      </c>
      <c r="C404" t="s">
        <v>52</v>
      </c>
      <c r="D404" t="s">
        <v>132</v>
      </c>
      <c r="E404" s="1">
        <v>45164</v>
      </c>
      <c r="F404">
        <v>98</v>
      </c>
      <c r="G404">
        <v>98</v>
      </c>
      <c r="H404">
        <v>254.27</v>
      </c>
      <c r="I404">
        <v>118.13</v>
      </c>
      <c r="J404" t="s">
        <v>14</v>
      </c>
      <c r="K404">
        <f t="shared" si="24"/>
        <v>11576.74</v>
      </c>
      <c r="L404">
        <f t="shared" si="25"/>
        <v>-13341.720000000001</v>
      </c>
      <c r="M404">
        <f t="shared" si="26"/>
        <v>1</v>
      </c>
      <c r="N404">
        <f t="shared" si="27"/>
        <v>0</v>
      </c>
    </row>
    <row r="405" spans="1:14" x14ac:dyDescent="0.4">
      <c r="A405" t="s">
        <v>144</v>
      </c>
      <c r="B405" t="s">
        <v>43</v>
      </c>
      <c r="C405" t="s">
        <v>29</v>
      </c>
      <c r="D405" t="s">
        <v>132</v>
      </c>
      <c r="E405" s="1">
        <v>45252</v>
      </c>
      <c r="F405">
        <v>10</v>
      </c>
      <c r="G405">
        <v>115</v>
      </c>
      <c r="H405">
        <v>278.14999999999998</v>
      </c>
      <c r="I405">
        <v>299.64999999999998</v>
      </c>
      <c r="J405" t="s">
        <v>23</v>
      </c>
      <c r="K405">
        <f t="shared" si="24"/>
        <v>2996.5</v>
      </c>
      <c r="L405">
        <f t="shared" si="25"/>
        <v>215</v>
      </c>
      <c r="M405">
        <f t="shared" si="26"/>
        <v>8.6956521739130432E-2</v>
      </c>
      <c r="N405">
        <f t="shared" si="27"/>
        <v>0</v>
      </c>
    </row>
    <row r="406" spans="1:14" x14ac:dyDescent="0.4">
      <c r="A406" t="s">
        <v>216</v>
      </c>
      <c r="B406" t="s">
        <v>36</v>
      </c>
      <c r="C406" t="s">
        <v>29</v>
      </c>
      <c r="D406" t="s">
        <v>66</v>
      </c>
      <c r="E406" s="1">
        <v>45055</v>
      </c>
      <c r="F406">
        <v>84</v>
      </c>
      <c r="G406">
        <v>269</v>
      </c>
      <c r="H406">
        <v>307.48</v>
      </c>
      <c r="I406">
        <v>487.78</v>
      </c>
      <c r="J406" t="s">
        <v>34</v>
      </c>
      <c r="K406">
        <f t="shared" si="24"/>
        <v>40973.519999999997</v>
      </c>
      <c r="L406">
        <f t="shared" si="25"/>
        <v>15145.199999999997</v>
      </c>
      <c r="M406">
        <f t="shared" si="26"/>
        <v>0.31226765799256506</v>
      </c>
      <c r="N406">
        <f t="shared" si="27"/>
        <v>0</v>
      </c>
    </row>
    <row r="407" spans="1:14" x14ac:dyDescent="0.4">
      <c r="A407" t="s">
        <v>200</v>
      </c>
      <c r="B407" t="s">
        <v>16</v>
      </c>
      <c r="C407" t="s">
        <v>52</v>
      </c>
      <c r="D407" t="s">
        <v>37</v>
      </c>
      <c r="E407" s="1">
        <v>45051</v>
      </c>
      <c r="F407">
        <v>148</v>
      </c>
      <c r="G407">
        <v>252</v>
      </c>
      <c r="H407">
        <v>469.56</v>
      </c>
      <c r="I407">
        <v>101.12</v>
      </c>
      <c r="J407" t="s">
        <v>34</v>
      </c>
      <c r="K407">
        <f t="shared" si="24"/>
        <v>14965.76</v>
      </c>
      <c r="L407">
        <f t="shared" si="25"/>
        <v>-54529.120000000003</v>
      </c>
      <c r="M407">
        <f t="shared" si="26"/>
        <v>0.58730158730158732</v>
      </c>
      <c r="N407">
        <f t="shared" si="27"/>
        <v>0</v>
      </c>
    </row>
    <row r="408" spans="1:14" x14ac:dyDescent="0.4">
      <c r="A408" t="s">
        <v>171</v>
      </c>
      <c r="B408" t="s">
        <v>21</v>
      </c>
      <c r="C408" t="s">
        <v>52</v>
      </c>
      <c r="D408" t="s">
        <v>145</v>
      </c>
      <c r="E408" s="1">
        <v>45282</v>
      </c>
      <c r="F408">
        <v>172</v>
      </c>
      <c r="G408">
        <v>94</v>
      </c>
      <c r="H408">
        <v>436.19</v>
      </c>
      <c r="I408">
        <v>298.25</v>
      </c>
      <c r="J408" t="s">
        <v>34</v>
      </c>
      <c r="K408">
        <f t="shared" si="24"/>
        <v>51299</v>
      </c>
      <c r="L408">
        <f t="shared" si="25"/>
        <v>-23725.68</v>
      </c>
      <c r="M408">
        <f t="shared" si="26"/>
        <v>1.8297872340425532</v>
      </c>
      <c r="N408">
        <f t="shared" si="27"/>
        <v>0</v>
      </c>
    </row>
    <row r="409" spans="1:14" x14ac:dyDescent="0.4">
      <c r="A409" t="s">
        <v>76</v>
      </c>
      <c r="B409" t="s">
        <v>32</v>
      </c>
      <c r="C409" t="s">
        <v>17</v>
      </c>
      <c r="D409" t="s">
        <v>53</v>
      </c>
      <c r="E409" s="1">
        <v>45070</v>
      </c>
      <c r="F409">
        <v>134</v>
      </c>
      <c r="G409">
        <v>272</v>
      </c>
      <c r="H409">
        <v>126.77</v>
      </c>
      <c r="I409">
        <v>716.99</v>
      </c>
      <c r="J409" t="s">
        <v>23</v>
      </c>
      <c r="K409">
        <f t="shared" si="24"/>
        <v>96076.66</v>
      </c>
      <c r="L409">
        <f t="shared" si="25"/>
        <v>79089.48000000001</v>
      </c>
      <c r="M409">
        <f t="shared" si="26"/>
        <v>0.49264705882352944</v>
      </c>
      <c r="N409">
        <f t="shared" si="27"/>
        <v>0</v>
      </c>
    </row>
    <row r="410" spans="1:14" x14ac:dyDescent="0.4">
      <c r="A410" t="s">
        <v>217</v>
      </c>
      <c r="B410" t="s">
        <v>39</v>
      </c>
      <c r="C410" t="s">
        <v>52</v>
      </c>
      <c r="D410" t="s">
        <v>53</v>
      </c>
      <c r="E410" s="1">
        <v>44951</v>
      </c>
      <c r="F410">
        <v>191</v>
      </c>
      <c r="G410">
        <v>23</v>
      </c>
      <c r="H410">
        <v>246.54</v>
      </c>
      <c r="I410">
        <v>515.54999999999995</v>
      </c>
      <c r="J410" t="s">
        <v>30</v>
      </c>
      <c r="K410">
        <f t="shared" si="24"/>
        <v>98470.049999999988</v>
      </c>
      <c r="L410">
        <f t="shared" si="25"/>
        <v>51380.909999999996</v>
      </c>
      <c r="M410">
        <f t="shared" si="26"/>
        <v>8.304347826086957</v>
      </c>
      <c r="N410">
        <f t="shared" si="27"/>
        <v>0</v>
      </c>
    </row>
    <row r="411" spans="1:14" x14ac:dyDescent="0.4">
      <c r="A411" t="s">
        <v>138</v>
      </c>
      <c r="B411" t="s">
        <v>21</v>
      </c>
      <c r="C411" t="s">
        <v>17</v>
      </c>
      <c r="D411" t="s">
        <v>40</v>
      </c>
      <c r="E411" s="1">
        <v>44856</v>
      </c>
      <c r="F411">
        <v>125</v>
      </c>
      <c r="G411">
        <v>115</v>
      </c>
      <c r="H411">
        <v>258.8</v>
      </c>
      <c r="I411">
        <v>525.5</v>
      </c>
      <c r="J411" t="s">
        <v>34</v>
      </c>
      <c r="K411">
        <f t="shared" si="24"/>
        <v>65687.5</v>
      </c>
      <c r="L411">
        <f t="shared" si="25"/>
        <v>33337.5</v>
      </c>
      <c r="M411">
        <f t="shared" si="26"/>
        <v>1.0869565217391304</v>
      </c>
      <c r="N411">
        <f t="shared" si="27"/>
        <v>0</v>
      </c>
    </row>
    <row r="412" spans="1:14" x14ac:dyDescent="0.4">
      <c r="A412" t="s">
        <v>102</v>
      </c>
      <c r="B412" t="s">
        <v>25</v>
      </c>
      <c r="C412" t="s">
        <v>29</v>
      </c>
      <c r="D412" t="s">
        <v>33</v>
      </c>
      <c r="E412" s="1">
        <v>45357</v>
      </c>
      <c r="F412">
        <v>63</v>
      </c>
      <c r="G412">
        <v>150</v>
      </c>
      <c r="H412">
        <v>405.09</v>
      </c>
      <c r="I412">
        <v>382.36</v>
      </c>
      <c r="J412" t="s">
        <v>14</v>
      </c>
      <c r="K412">
        <f t="shared" si="24"/>
        <v>24088.68</v>
      </c>
      <c r="L412">
        <f t="shared" si="25"/>
        <v>-1431.9899999999975</v>
      </c>
      <c r="M412">
        <f t="shared" si="26"/>
        <v>0.42</v>
      </c>
      <c r="N412">
        <f t="shared" si="27"/>
        <v>0</v>
      </c>
    </row>
    <row r="413" spans="1:14" x14ac:dyDescent="0.4">
      <c r="A413" t="s">
        <v>196</v>
      </c>
      <c r="B413" t="s">
        <v>32</v>
      </c>
      <c r="C413" t="s">
        <v>17</v>
      </c>
      <c r="D413" t="s">
        <v>97</v>
      </c>
      <c r="E413" s="1">
        <v>45426</v>
      </c>
      <c r="F413">
        <v>1</v>
      </c>
      <c r="G413">
        <v>49</v>
      </c>
      <c r="H413">
        <v>321.3</v>
      </c>
      <c r="I413">
        <v>573.53</v>
      </c>
      <c r="J413" t="s">
        <v>34</v>
      </c>
      <c r="K413">
        <f t="shared" si="24"/>
        <v>573.53</v>
      </c>
      <c r="L413">
        <f t="shared" si="25"/>
        <v>252.22999999999996</v>
      </c>
      <c r="M413">
        <f t="shared" si="26"/>
        <v>2.0408163265306121E-2</v>
      </c>
      <c r="N413">
        <f t="shared" si="27"/>
        <v>0</v>
      </c>
    </row>
    <row r="414" spans="1:14" x14ac:dyDescent="0.4">
      <c r="A414" t="s">
        <v>51</v>
      </c>
      <c r="B414" t="s">
        <v>11</v>
      </c>
      <c r="C414" t="s">
        <v>52</v>
      </c>
      <c r="D414" t="s">
        <v>53</v>
      </c>
      <c r="E414" s="1">
        <v>45110</v>
      </c>
      <c r="F414">
        <v>75</v>
      </c>
      <c r="G414">
        <v>205</v>
      </c>
      <c r="H414">
        <v>344.4</v>
      </c>
      <c r="I414">
        <v>232.95</v>
      </c>
      <c r="J414" t="s">
        <v>30</v>
      </c>
      <c r="K414">
        <f t="shared" si="24"/>
        <v>17471.25</v>
      </c>
      <c r="L414">
        <f t="shared" si="25"/>
        <v>-8358.75</v>
      </c>
      <c r="M414">
        <f t="shared" si="26"/>
        <v>0.36585365853658536</v>
      </c>
      <c r="N414">
        <f t="shared" si="27"/>
        <v>0</v>
      </c>
    </row>
    <row r="415" spans="1:14" x14ac:dyDescent="0.4">
      <c r="A415" t="s">
        <v>154</v>
      </c>
      <c r="B415" t="s">
        <v>39</v>
      </c>
      <c r="C415" t="s">
        <v>29</v>
      </c>
      <c r="D415" t="s">
        <v>145</v>
      </c>
      <c r="E415" s="1">
        <v>45210</v>
      </c>
      <c r="F415">
        <v>120</v>
      </c>
      <c r="G415">
        <v>78</v>
      </c>
      <c r="H415">
        <v>499.19</v>
      </c>
      <c r="I415">
        <v>673.12</v>
      </c>
      <c r="J415" t="s">
        <v>23</v>
      </c>
      <c r="K415">
        <f t="shared" si="24"/>
        <v>80774.399999999994</v>
      </c>
      <c r="L415">
        <f t="shared" si="25"/>
        <v>20871.600000000002</v>
      </c>
      <c r="M415">
        <f t="shared" si="26"/>
        <v>1.5384615384615385</v>
      </c>
      <c r="N415">
        <f t="shared" si="27"/>
        <v>0</v>
      </c>
    </row>
    <row r="416" spans="1:14" x14ac:dyDescent="0.4">
      <c r="A416" t="s">
        <v>88</v>
      </c>
      <c r="B416" t="s">
        <v>16</v>
      </c>
      <c r="C416" t="s">
        <v>12</v>
      </c>
      <c r="D416" t="s">
        <v>18</v>
      </c>
      <c r="E416" s="1">
        <v>45129</v>
      </c>
      <c r="F416">
        <v>41</v>
      </c>
      <c r="G416">
        <v>69</v>
      </c>
      <c r="H416">
        <v>83.73</v>
      </c>
      <c r="I416">
        <v>181.68</v>
      </c>
      <c r="J416" t="s">
        <v>34</v>
      </c>
      <c r="K416">
        <f t="shared" si="24"/>
        <v>7448.88</v>
      </c>
      <c r="L416">
        <f t="shared" si="25"/>
        <v>4015.9500000000003</v>
      </c>
      <c r="M416">
        <f t="shared" si="26"/>
        <v>0.59420289855072461</v>
      </c>
      <c r="N416">
        <f t="shared" si="27"/>
        <v>0</v>
      </c>
    </row>
    <row r="417" spans="1:14" x14ac:dyDescent="0.4">
      <c r="A417" t="s">
        <v>83</v>
      </c>
      <c r="B417" t="s">
        <v>58</v>
      </c>
      <c r="C417" t="s">
        <v>17</v>
      </c>
      <c r="D417" t="s">
        <v>72</v>
      </c>
      <c r="E417" s="1">
        <v>45414</v>
      </c>
      <c r="F417">
        <v>53</v>
      </c>
      <c r="G417">
        <v>26</v>
      </c>
      <c r="H417">
        <v>150.35</v>
      </c>
      <c r="I417">
        <v>559.20000000000005</v>
      </c>
      <c r="J417" t="s">
        <v>34</v>
      </c>
      <c r="K417">
        <f t="shared" si="24"/>
        <v>29637.600000000002</v>
      </c>
      <c r="L417">
        <f t="shared" si="25"/>
        <v>21669.050000000003</v>
      </c>
      <c r="M417">
        <f t="shared" si="26"/>
        <v>2.0384615384615383</v>
      </c>
      <c r="N417">
        <f t="shared" si="27"/>
        <v>0</v>
      </c>
    </row>
    <row r="418" spans="1:14" x14ac:dyDescent="0.4">
      <c r="A418" t="s">
        <v>218</v>
      </c>
      <c r="B418" t="s">
        <v>11</v>
      </c>
      <c r="C418" t="s">
        <v>29</v>
      </c>
      <c r="D418" t="s">
        <v>37</v>
      </c>
      <c r="E418" s="1">
        <v>45331</v>
      </c>
      <c r="F418">
        <v>74</v>
      </c>
      <c r="G418">
        <v>270</v>
      </c>
      <c r="H418">
        <v>233.55</v>
      </c>
      <c r="I418">
        <v>338.8</v>
      </c>
      <c r="J418" t="s">
        <v>14</v>
      </c>
      <c r="K418">
        <f t="shared" si="24"/>
        <v>25071.200000000001</v>
      </c>
      <c r="L418">
        <f t="shared" si="25"/>
        <v>7788.5</v>
      </c>
      <c r="M418">
        <f t="shared" si="26"/>
        <v>0.27407407407407408</v>
      </c>
      <c r="N418">
        <f t="shared" si="27"/>
        <v>0</v>
      </c>
    </row>
    <row r="419" spans="1:14" x14ac:dyDescent="0.4">
      <c r="A419" t="s">
        <v>153</v>
      </c>
      <c r="B419" t="s">
        <v>21</v>
      </c>
      <c r="C419" t="s">
        <v>17</v>
      </c>
      <c r="D419" t="s">
        <v>26</v>
      </c>
      <c r="E419" s="1">
        <v>45006</v>
      </c>
      <c r="F419">
        <v>15</v>
      </c>
      <c r="G419">
        <v>49</v>
      </c>
      <c r="H419">
        <v>206.5</v>
      </c>
      <c r="I419">
        <v>623.26</v>
      </c>
      <c r="J419" t="s">
        <v>14</v>
      </c>
      <c r="K419">
        <f t="shared" si="24"/>
        <v>9348.9</v>
      </c>
      <c r="L419">
        <f t="shared" si="25"/>
        <v>6251.4</v>
      </c>
      <c r="M419">
        <f t="shared" si="26"/>
        <v>0.30612244897959184</v>
      </c>
      <c r="N419">
        <f t="shared" si="27"/>
        <v>0</v>
      </c>
    </row>
    <row r="420" spans="1:14" x14ac:dyDescent="0.4">
      <c r="A420" t="s">
        <v>219</v>
      </c>
      <c r="B420" t="s">
        <v>36</v>
      </c>
      <c r="C420" t="s">
        <v>29</v>
      </c>
      <c r="D420" t="s">
        <v>33</v>
      </c>
      <c r="E420" s="1">
        <v>44924</v>
      </c>
      <c r="F420">
        <v>17</v>
      </c>
      <c r="G420">
        <v>291</v>
      </c>
      <c r="H420">
        <v>59.74</v>
      </c>
      <c r="I420">
        <v>484.84</v>
      </c>
      <c r="J420" t="s">
        <v>34</v>
      </c>
      <c r="K420">
        <f t="shared" si="24"/>
        <v>8242.2799999999988</v>
      </c>
      <c r="L420">
        <f t="shared" si="25"/>
        <v>7226.7</v>
      </c>
      <c r="M420">
        <f t="shared" si="26"/>
        <v>5.8419243986254296E-2</v>
      </c>
      <c r="N420">
        <f t="shared" si="27"/>
        <v>0</v>
      </c>
    </row>
    <row r="421" spans="1:14" x14ac:dyDescent="0.4">
      <c r="A421" t="s">
        <v>220</v>
      </c>
      <c r="B421" t="s">
        <v>43</v>
      </c>
      <c r="C421" t="s">
        <v>29</v>
      </c>
      <c r="D421" t="s">
        <v>75</v>
      </c>
      <c r="E421" s="1">
        <v>44684</v>
      </c>
      <c r="F421">
        <v>186</v>
      </c>
      <c r="G421">
        <v>246</v>
      </c>
      <c r="H421">
        <v>91.3</v>
      </c>
      <c r="I421">
        <v>416.65</v>
      </c>
      <c r="J421" t="s">
        <v>34</v>
      </c>
      <c r="K421">
        <f t="shared" si="24"/>
        <v>77496.899999999994</v>
      </c>
      <c r="L421">
        <f t="shared" si="25"/>
        <v>60515.099999999991</v>
      </c>
      <c r="M421">
        <f t="shared" si="26"/>
        <v>0.75609756097560976</v>
      </c>
      <c r="N421">
        <f t="shared" si="27"/>
        <v>0</v>
      </c>
    </row>
    <row r="422" spans="1:14" x14ac:dyDescent="0.4">
      <c r="A422" t="s">
        <v>122</v>
      </c>
      <c r="B422" t="s">
        <v>58</v>
      </c>
      <c r="C422" t="s">
        <v>17</v>
      </c>
      <c r="D422" t="s">
        <v>145</v>
      </c>
      <c r="E422" s="1">
        <v>45303</v>
      </c>
      <c r="F422">
        <v>89</v>
      </c>
      <c r="G422">
        <v>263</v>
      </c>
      <c r="H422">
        <v>356.43</v>
      </c>
      <c r="I422">
        <v>218.6</v>
      </c>
      <c r="J422" t="s">
        <v>14</v>
      </c>
      <c r="K422">
        <f t="shared" si="24"/>
        <v>19455.399999999998</v>
      </c>
      <c r="L422">
        <f t="shared" si="25"/>
        <v>-12266.87</v>
      </c>
      <c r="M422">
        <f t="shared" si="26"/>
        <v>0.33840304182509506</v>
      </c>
      <c r="N422">
        <f t="shared" si="27"/>
        <v>0</v>
      </c>
    </row>
    <row r="423" spans="1:14" x14ac:dyDescent="0.4">
      <c r="A423" t="s">
        <v>98</v>
      </c>
      <c r="B423" t="s">
        <v>11</v>
      </c>
      <c r="C423" t="s">
        <v>12</v>
      </c>
      <c r="D423" t="s">
        <v>62</v>
      </c>
      <c r="E423" s="1">
        <v>45241</v>
      </c>
      <c r="F423">
        <v>143</v>
      </c>
      <c r="G423">
        <v>78</v>
      </c>
      <c r="H423">
        <v>445.7</v>
      </c>
      <c r="I423">
        <v>545.78</v>
      </c>
      <c r="J423" t="s">
        <v>30</v>
      </c>
      <c r="K423">
        <f t="shared" si="24"/>
        <v>78046.539999999994</v>
      </c>
      <c r="L423">
        <f t="shared" si="25"/>
        <v>14311.439999999997</v>
      </c>
      <c r="M423">
        <f t="shared" si="26"/>
        <v>1.8333333333333333</v>
      </c>
      <c r="N423">
        <f t="shared" si="27"/>
        <v>0</v>
      </c>
    </row>
    <row r="424" spans="1:14" x14ac:dyDescent="0.4">
      <c r="A424" t="s">
        <v>181</v>
      </c>
      <c r="B424" t="s">
        <v>36</v>
      </c>
      <c r="C424" t="s">
        <v>29</v>
      </c>
      <c r="D424" t="s">
        <v>75</v>
      </c>
      <c r="E424" s="1">
        <v>44981</v>
      </c>
      <c r="F424">
        <v>5</v>
      </c>
      <c r="G424">
        <v>189</v>
      </c>
      <c r="H424">
        <v>281.39999999999998</v>
      </c>
      <c r="I424">
        <v>782.34</v>
      </c>
      <c r="J424" t="s">
        <v>19</v>
      </c>
      <c r="K424">
        <f t="shared" si="24"/>
        <v>3911.7000000000003</v>
      </c>
      <c r="L424">
        <f t="shared" si="25"/>
        <v>2504.7000000000003</v>
      </c>
      <c r="M424">
        <f t="shared" si="26"/>
        <v>2.6455026455026454E-2</v>
      </c>
      <c r="N424">
        <f t="shared" si="27"/>
        <v>0</v>
      </c>
    </row>
    <row r="425" spans="1:14" x14ac:dyDescent="0.4">
      <c r="A425" t="s">
        <v>142</v>
      </c>
      <c r="B425" t="s">
        <v>36</v>
      </c>
      <c r="C425" t="s">
        <v>29</v>
      </c>
      <c r="D425" t="s">
        <v>22</v>
      </c>
      <c r="E425" s="1">
        <v>44653</v>
      </c>
      <c r="F425">
        <v>184</v>
      </c>
      <c r="G425">
        <v>46</v>
      </c>
      <c r="H425">
        <v>292.64</v>
      </c>
      <c r="I425">
        <v>677.92</v>
      </c>
      <c r="J425" t="s">
        <v>19</v>
      </c>
      <c r="K425">
        <f t="shared" si="24"/>
        <v>124737.28</v>
      </c>
      <c r="L425">
        <f t="shared" si="25"/>
        <v>70891.51999999999</v>
      </c>
      <c r="M425">
        <f t="shared" si="26"/>
        <v>4</v>
      </c>
      <c r="N425">
        <f t="shared" si="27"/>
        <v>0</v>
      </c>
    </row>
    <row r="426" spans="1:14" x14ac:dyDescent="0.4">
      <c r="A426" t="s">
        <v>201</v>
      </c>
      <c r="B426" t="s">
        <v>32</v>
      </c>
      <c r="C426" t="s">
        <v>29</v>
      </c>
      <c r="D426" t="s">
        <v>26</v>
      </c>
      <c r="E426" s="1">
        <v>44624</v>
      </c>
      <c r="F426">
        <v>107</v>
      </c>
      <c r="G426">
        <v>188</v>
      </c>
      <c r="H426">
        <v>164.79</v>
      </c>
      <c r="I426">
        <v>142.01</v>
      </c>
      <c r="J426" t="s">
        <v>34</v>
      </c>
      <c r="K426">
        <f t="shared" si="24"/>
        <v>15195.07</v>
      </c>
      <c r="L426">
        <f t="shared" si="25"/>
        <v>-2437.46</v>
      </c>
      <c r="M426">
        <f t="shared" si="26"/>
        <v>0.56914893617021278</v>
      </c>
      <c r="N426">
        <f t="shared" si="27"/>
        <v>0</v>
      </c>
    </row>
    <row r="427" spans="1:14" x14ac:dyDescent="0.4">
      <c r="A427" t="s">
        <v>150</v>
      </c>
      <c r="B427" t="s">
        <v>11</v>
      </c>
      <c r="C427" t="s">
        <v>12</v>
      </c>
      <c r="D427" t="s">
        <v>41</v>
      </c>
      <c r="E427" s="1">
        <v>45073</v>
      </c>
      <c r="F427">
        <v>174</v>
      </c>
      <c r="G427">
        <v>255</v>
      </c>
      <c r="H427">
        <v>395.54</v>
      </c>
      <c r="I427">
        <v>363.36</v>
      </c>
      <c r="J427" t="s">
        <v>14</v>
      </c>
      <c r="K427">
        <f t="shared" si="24"/>
        <v>63224.639999999999</v>
      </c>
      <c r="L427">
        <f t="shared" si="25"/>
        <v>-5599.3200000000015</v>
      </c>
      <c r="M427">
        <f t="shared" si="26"/>
        <v>0.68235294117647061</v>
      </c>
      <c r="N427">
        <f t="shared" si="27"/>
        <v>0</v>
      </c>
    </row>
    <row r="428" spans="1:14" x14ac:dyDescent="0.4">
      <c r="A428" t="s">
        <v>93</v>
      </c>
      <c r="B428" t="s">
        <v>16</v>
      </c>
      <c r="C428" t="s">
        <v>12</v>
      </c>
      <c r="D428" t="s">
        <v>33</v>
      </c>
      <c r="E428" s="1">
        <v>45333</v>
      </c>
      <c r="F428">
        <v>47</v>
      </c>
      <c r="G428">
        <v>221</v>
      </c>
      <c r="H428">
        <v>388.31</v>
      </c>
      <c r="I428">
        <v>747.91</v>
      </c>
      <c r="J428" t="s">
        <v>23</v>
      </c>
      <c r="K428">
        <f t="shared" si="24"/>
        <v>35151.769999999997</v>
      </c>
      <c r="L428">
        <f t="shared" si="25"/>
        <v>16901.199999999997</v>
      </c>
      <c r="M428">
        <f t="shared" si="26"/>
        <v>0.21266968325791855</v>
      </c>
      <c r="N428">
        <f t="shared" si="27"/>
        <v>0</v>
      </c>
    </row>
    <row r="429" spans="1:14" x14ac:dyDescent="0.4">
      <c r="A429" t="s">
        <v>180</v>
      </c>
      <c r="B429" t="s">
        <v>25</v>
      </c>
      <c r="C429" t="s">
        <v>52</v>
      </c>
      <c r="D429" t="s">
        <v>26</v>
      </c>
      <c r="E429" s="1">
        <v>44817</v>
      </c>
      <c r="F429">
        <v>41</v>
      </c>
      <c r="G429">
        <v>240</v>
      </c>
      <c r="H429">
        <v>314.76</v>
      </c>
      <c r="I429">
        <v>452.13</v>
      </c>
      <c r="J429" t="s">
        <v>23</v>
      </c>
      <c r="K429">
        <f t="shared" si="24"/>
        <v>18537.329999999998</v>
      </c>
      <c r="L429">
        <f t="shared" si="25"/>
        <v>5632.17</v>
      </c>
      <c r="M429">
        <f t="shared" si="26"/>
        <v>0.17083333333333334</v>
      </c>
      <c r="N429">
        <f t="shared" si="27"/>
        <v>0</v>
      </c>
    </row>
    <row r="430" spans="1:14" x14ac:dyDescent="0.4">
      <c r="A430" t="s">
        <v>158</v>
      </c>
      <c r="B430" t="s">
        <v>39</v>
      </c>
      <c r="C430" t="s">
        <v>17</v>
      </c>
      <c r="D430" t="s">
        <v>53</v>
      </c>
      <c r="E430" s="1">
        <v>44696</v>
      </c>
      <c r="F430">
        <v>75</v>
      </c>
      <c r="G430">
        <v>268</v>
      </c>
      <c r="H430">
        <v>145.69999999999999</v>
      </c>
      <c r="I430">
        <v>563.48</v>
      </c>
      <c r="J430" t="s">
        <v>19</v>
      </c>
      <c r="K430">
        <f t="shared" si="24"/>
        <v>42261</v>
      </c>
      <c r="L430">
        <f t="shared" si="25"/>
        <v>31333.500000000004</v>
      </c>
      <c r="M430">
        <f t="shared" si="26"/>
        <v>0.27985074626865669</v>
      </c>
      <c r="N430">
        <f t="shared" si="27"/>
        <v>0</v>
      </c>
    </row>
    <row r="431" spans="1:14" x14ac:dyDescent="0.4">
      <c r="A431" t="s">
        <v>214</v>
      </c>
      <c r="B431" t="s">
        <v>39</v>
      </c>
      <c r="C431" t="s">
        <v>12</v>
      </c>
      <c r="D431" t="s">
        <v>33</v>
      </c>
      <c r="E431" s="1">
        <v>45436</v>
      </c>
      <c r="F431">
        <v>187</v>
      </c>
      <c r="G431">
        <v>0</v>
      </c>
      <c r="H431">
        <v>93.66</v>
      </c>
      <c r="I431">
        <v>738.82</v>
      </c>
      <c r="J431" t="s">
        <v>30</v>
      </c>
      <c r="K431">
        <f t="shared" si="24"/>
        <v>138159.34</v>
      </c>
      <c r="L431">
        <f t="shared" si="25"/>
        <v>120644.92000000001</v>
      </c>
      <c r="M431">
        <f t="shared" si="26"/>
        <v>0</v>
      </c>
      <c r="N431">
        <f t="shared" si="27"/>
        <v>1</v>
      </c>
    </row>
    <row r="432" spans="1:14" x14ac:dyDescent="0.4">
      <c r="A432" t="s">
        <v>107</v>
      </c>
      <c r="B432" t="s">
        <v>21</v>
      </c>
      <c r="C432" t="s">
        <v>17</v>
      </c>
      <c r="D432" t="s">
        <v>62</v>
      </c>
      <c r="E432" s="1">
        <v>45383</v>
      </c>
      <c r="F432">
        <v>76</v>
      </c>
      <c r="G432">
        <v>33</v>
      </c>
      <c r="H432">
        <v>78.91</v>
      </c>
      <c r="I432">
        <v>711.66</v>
      </c>
      <c r="J432" t="s">
        <v>19</v>
      </c>
      <c r="K432">
        <f t="shared" si="24"/>
        <v>54086.159999999996</v>
      </c>
      <c r="L432">
        <f t="shared" si="25"/>
        <v>48089</v>
      </c>
      <c r="M432">
        <f t="shared" si="26"/>
        <v>2.3030303030303032</v>
      </c>
      <c r="N432">
        <f t="shared" si="27"/>
        <v>0</v>
      </c>
    </row>
    <row r="433" spans="1:14" x14ac:dyDescent="0.4">
      <c r="A433" t="s">
        <v>157</v>
      </c>
      <c r="B433" t="s">
        <v>21</v>
      </c>
      <c r="C433" t="s">
        <v>52</v>
      </c>
      <c r="D433" t="s">
        <v>33</v>
      </c>
      <c r="E433" s="1">
        <v>44649</v>
      </c>
      <c r="F433">
        <v>131</v>
      </c>
      <c r="G433">
        <v>78</v>
      </c>
      <c r="H433">
        <v>316.70999999999998</v>
      </c>
      <c r="I433">
        <v>451.27</v>
      </c>
      <c r="J433" t="s">
        <v>34</v>
      </c>
      <c r="K433">
        <f t="shared" si="24"/>
        <v>59116.369999999995</v>
      </c>
      <c r="L433">
        <f t="shared" si="25"/>
        <v>17627.36</v>
      </c>
      <c r="M433">
        <f t="shared" si="26"/>
        <v>1.6794871794871795</v>
      </c>
      <c r="N433">
        <f t="shared" si="27"/>
        <v>0</v>
      </c>
    </row>
    <row r="434" spans="1:14" x14ac:dyDescent="0.4">
      <c r="A434" t="s">
        <v>79</v>
      </c>
      <c r="B434" t="s">
        <v>39</v>
      </c>
      <c r="C434" t="s">
        <v>17</v>
      </c>
      <c r="D434" t="s">
        <v>145</v>
      </c>
      <c r="E434" s="1">
        <v>45549</v>
      </c>
      <c r="F434">
        <v>129</v>
      </c>
      <c r="G434">
        <v>235</v>
      </c>
      <c r="H434">
        <v>421.27</v>
      </c>
      <c r="I434">
        <v>406.35</v>
      </c>
      <c r="J434" t="s">
        <v>30</v>
      </c>
      <c r="K434">
        <f t="shared" si="24"/>
        <v>52419.15</v>
      </c>
      <c r="L434">
        <f t="shared" si="25"/>
        <v>-1924.6799999999948</v>
      </c>
      <c r="M434">
        <f t="shared" si="26"/>
        <v>0.54893617021276597</v>
      </c>
      <c r="N434">
        <f t="shared" si="27"/>
        <v>0</v>
      </c>
    </row>
    <row r="435" spans="1:14" x14ac:dyDescent="0.4">
      <c r="A435" t="s">
        <v>196</v>
      </c>
      <c r="B435" t="s">
        <v>16</v>
      </c>
      <c r="C435" t="s">
        <v>12</v>
      </c>
      <c r="D435" t="s">
        <v>47</v>
      </c>
      <c r="E435" s="1">
        <v>45384</v>
      </c>
      <c r="F435">
        <v>58</v>
      </c>
      <c r="G435">
        <v>97</v>
      </c>
      <c r="H435">
        <v>436.25</v>
      </c>
      <c r="I435">
        <v>337.78</v>
      </c>
      <c r="J435" t="s">
        <v>23</v>
      </c>
      <c r="K435">
        <f t="shared" si="24"/>
        <v>19591.239999999998</v>
      </c>
      <c r="L435">
        <f t="shared" si="25"/>
        <v>-5711.260000000002</v>
      </c>
      <c r="M435">
        <f t="shared" si="26"/>
        <v>0.59793814432989689</v>
      </c>
      <c r="N435">
        <f t="shared" si="27"/>
        <v>0</v>
      </c>
    </row>
    <row r="436" spans="1:14" x14ac:dyDescent="0.4">
      <c r="A436" t="s">
        <v>170</v>
      </c>
      <c r="B436" t="s">
        <v>43</v>
      </c>
      <c r="C436" t="s">
        <v>17</v>
      </c>
      <c r="D436" t="s">
        <v>41</v>
      </c>
      <c r="E436" s="1">
        <v>45588</v>
      </c>
      <c r="F436">
        <v>154</v>
      </c>
      <c r="G436">
        <v>81</v>
      </c>
      <c r="H436">
        <v>258.63</v>
      </c>
      <c r="I436">
        <v>603.30999999999995</v>
      </c>
      <c r="J436" t="s">
        <v>14</v>
      </c>
      <c r="K436">
        <f t="shared" si="24"/>
        <v>92909.739999999991</v>
      </c>
      <c r="L436">
        <f t="shared" si="25"/>
        <v>53080.719999999994</v>
      </c>
      <c r="M436">
        <f t="shared" si="26"/>
        <v>1.9012345679012346</v>
      </c>
      <c r="N436">
        <f t="shared" si="27"/>
        <v>0</v>
      </c>
    </row>
    <row r="437" spans="1:14" x14ac:dyDescent="0.4">
      <c r="A437" t="s">
        <v>126</v>
      </c>
      <c r="B437" t="s">
        <v>28</v>
      </c>
      <c r="C437" t="s">
        <v>12</v>
      </c>
      <c r="D437" t="s">
        <v>37</v>
      </c>
      <c r="E437" s="1">
        <v>45535</v>
      </c>
      <c r="F437">
        <v>26</v>
      </c>
      <c r="G437">
        <v>191</v>
      </c>
      <c r="H437">
        <v>402.92</v>
      </c>
      <c r="I437">
        <v>300.89</v>
      </c>
      <c r="J437" t="s">
        <v>14</v>
      </c>
      <c r="K437">
        <f t="shared" si="24"/>
        <v>7823.1399999999994</v>
      </c>
      <c r="L437">
        <f t="shared" si="25"/>
        <v>-2652.7800000000007</v>
      </c>
      <c r="M437">
        <f t="shared" si="26"/>
        <v>0.13612565445026178</v>
      </c>
      <c r="N437">
        <f t="shared" si="27"/>
        <v>0</v>
      </c>
    </row>
    <row r="438" spans="1:14" x14ac:dyDescent="0.4">
      <c r="A438" t="s">
        <v>77</v>
      </c>
      <c r="B438" t="s">
        <v>25</v>
      </c>
      <c r="C438" t="s">
        <v>17</v>
      </c>
      <c r="D438" t="s">
        <v>65</v>
      </c>
      <c r="E438" s="1">
        <v>45495</v>
      </c>
      <c r="F438">
        <v>78</v>
      </c>
      <c r="G438">
        <v>252</v>
      </c>
      <c r="H438">
        <v>476.1</v>
      </c>
      <c r="I438">
        <v>274.92</v>
      </c>
      <c r="J438" t="s">
        <v>34</v>
      </c>
      <c r="K438">
        <f t="shared" si="24"/>
        <v>21443.760000000002</v>
      </c>
      <c r="L438">
        <f t="shared" si="25"/>
        <v>-15692.04</v>
      </c>
      <c r="M438">
        <f t="shared" si="26"/>
        <v>0.30952380952380953</v>
      </c>
      <c r="N438">
        <f t="shared" si="27"/>
        <v>0</v>
      </c>
    </row>
    <row r="439" spans="1:14" x14ac:dyDescent="0.4">
      <c r="A439" t="s">
        <v>221</v>
      </c>
      <c r="B439" t="s">
        <v>43</v>
      </c>
      <c r="C439" t="s">
        <v>12</v>
      </c>
      <c r="D439" t="s">
        <v>33</v>
      </c>
      <c r="E439" s="1">
        <v>44682</v>
      </c>
      <c r="F439">
        <v>71</v>
      </c>
      <c r="G439">
        <v>37</v>
      </c>
      <c r="H439">
        <v>173.83</v>
      </c>
      <c r="I439">
        <v>349.37</v>
      </c>
      <c r="J439" t="s">
        <v>19</v>
      </c>
      <c r="K439">
        <f t="shared" si="24"/>
        <v>24805.27</v>
      </c>
      <c r="L439">
        <f t="shared" si="25"/>
        <v>12463.34</v>
      </c>
      <c r="M439">
        <f t="shared" si="26"/>
        <v>1.9189189189189189</v>
      </c>
      <c r="N439">
        <f t="shared" si="27"/>
        <v>0</v>
      </c>
    </row>
    <row r="440" spans="1:14" x14ac:dyDescent="0.4">
      <c r="A440" t="s">
        <v>55</v>
      </c>
      <c r="B440" t="s">
        <v>32</v>
      </c>
      <c r="C440" t="s">
        <v>12</v>
      </c>
      <c r="D440" t="s">
        <v>72</v>
      </c>
      <c r="E440" s="1">
        <v>45623</v>
      </c>
      <c r="F440">
        <v>6</v>
      </c>
      <c r="G440">
        <v>13</v>
      </c>
      <c r="H440">
        <v>229.08</v>
      </c>
      <c r="I440">
        <v>224.05</v>
      </c>
      <c r="J440" t="s">
        <v>34</v>
      </c>
      <c r="K440">
        <f t="shared" si="24"/>
        <v>1344.3000000000002</v>
      </c>
      <c r="L440">
        <f t="shared" si="25"/>
        <v>-30.180000000000007</v>
      </c>
      <c r="M440">
        <f t="shared" si="26"/>
        <v>0.46153846153846156</v>
      </c>
      <c r="N440">
        <f t="shared" si="27"/>
        <v>0</v>
      </c>
    </row>
    <row r="441" spans="1:14" x14ac:dyDescent="0.4">
      <c r="A441" t="s">
        <v>68</v>
      </c>
      <c r="B441" t="s">
        <v>28</v>
      </c>
      <c r="C441" t="s">
        <v>17</v>
      </c>
      <c r="D441" t="s">
        <v>47</v>
      </c>
      <c r="E441" s="1">
        <v>45569</v>
      </c>
      <c r="F441">
        <v>190</v>
      </c>
      <c r="G441">
        <v>208</v>
      </c>
      <c r="H441">
        <v>469.17</v>
      </c>
      <c r="I441">
        <v>586.58000000000004</v>
      </c>
      <c r="J441" t="s">
        <v>14</v>
      </c>
      <c r="K441">
        <f t="shared" si="24"/>
        <v>111450.20000000001</v>
      </c>
      <c r="L441">
        <f t="shared" si="25"/>
        <v>22307.900000000005</v>
      </c>
      <c r="M441">
        <f t="shared" si="26"/>
        <v>0.91346153846153844</v>
      </c>
      <c r="N441">
        <f t="shared" si="27"/>
        <v>0</v>
      </c>
    </row>
    <row r="442" spans="1:14" x14ac:dyDescent="0.4">
      <c r="A442" t="s">
        <v>68</v>
      </c>
      <c r="B442" t="s">
        <v>28</v>
      </c>
      <c r="C442" t="s">
        <v>52</v>
      </c>
      <c r="D442" t="s">
        <v>66</v>
      </c>
      <c r="E442" s="1">
        <v>45486</v>
      </c>
      <c r="F442">
        <v>110</v>
      </c>
      <c r="G442">
        <v>88</v>
      </c>
      <c r="H442">
        <v>202.2</v>
      </c>
      <c r="I442">
        <v>531.37</v>
      </c>
      <c r="J442" t="s">
        <v>23</v>
      </c>
      <c r="K442">
        <f t="shared" si="24"/>
        <v>58450.7</v>
      </c>
      <c r="L442">
        <f t="shared" si="25"/>
        <v>36208.700000000004</v>
      </c>
      <c r="M442">
        <f t="shared" si="26"/>
        <v>1.25</v>
      </c>
      <c r="N442">
        <f t="shared" si="27"/>
        <v>0</v>
      </c>
    </row>
    <row r="443" spans="1:14" x14ac:dyDescent="0.4">
      <c r="A443" t="s">
        <v>157</v>
      </c>
      <c r="B443" t="s">
        <v>11</v>
      </c>
      <c r="C443" t="s">
        <v>29</v>
      </c>
      <c r="D443" t="s">
        <v>66</v>
      </c>
      <c r="E443" s="1">
        <v>45206</v>
      </c>
      <c r="F443">
        <v>118</v>
      </c>
      <c r="G443">
        <v>55</v>
      </c>
      <c r="H443">
        <v>461.24</v>
      </c>
      <c r="I443">
        <v>438.01</v>
      </c>
      <c r="J443" t="s">
        <v>14</v>
      </c>
      <c r="K443">
        <f t="shared" si="24"/>
        <v>51685.18</v>
      </c>
      <c r="L443">
        <f t="shared" si="25"/>
        <v>-2741.1400000000021</v>
      </c>
      <c r="M443">
        <f t="shared" si="26"/>
        <v>2.1454545454545455</v>
      </c>
      <c r="N443">
        <f t="shared" si="27"/>
        <v>0</v>
      </c>
    </row>
    <row r="444" spans="1:14" x14ac:dyDescent="0.4">
      <c r="A444" t="s">
        <v>73</v>
      </c>
      <c r="B444" t="s">
        <v>16</v>
      </c>
      <c r="C444" t="s">
        <v>52</v>
      </c>
      <c r="D444" t="s">
        <v>69</v>
      </c>
      <c r="E444" s="1">
        <v>45275</v>
      </c>
      <c r="F444">
        <v>173</v>
      </c>
      <c r="G444">
        <v>93</v>
      </c>
      <c r="H444">
        <v>491.47</v>
      </c>
      <c r="I444">
        <v>373.23</v>
      </c>
      <c r="J444" t="s">
        <v>30</v>
      </c>
      <c r="K444">
        <f t="shared" si="24"/>
        <v>64568.79</v>
      </c>
      <c r="L444">
        <f t="shared" si="25"/>
        <v>-20455.52</v>
      </c>
      <c r="M444">
        <f t="shared" si="26"/>
        <v>1.8602150537634408</v>
      </c>
      <c r="N444">
        <f t="shared" si="27"/>
        <v>0</v>
      </c>
    </row>
    <row r="445" spans="1:14" x14ac:dyDescent="0.4">
      <c r="A445" t="s">
        <v>15</v>
      </c>
      <c r="B445" t="s">
        <v>16</v>
      </c>
      <c r="C445" t="s">
        <v>17</v>
      </c>
      <c r="D445" t="s">
        <v>33</v>
      </c>
      <c r="E445" s="1">
        <v>45421</v>
      </c>
      <c r="F445">
        <v>62</v>
      </c>
      <c r="G445">
        <v>92</v>
      </c>
      <c r="H445">
        <v>347.81</v>
      </c>
      <c r="I445">
        <v>736.34</v>
      </c>
      <c r="J445" t="s">
        <v>14</v>
      </c>
      <c r="K445">
        <f t="shared" si="24"/>
        <v>45653.08</v>
      </c>
      <c r="L445">
        <f t="shared" si="25"/>
        <v>24088.86</v>
      </c>
      <c r="M445">
        <f t="shared" si="26"/>
        <v>0.67391304347826086</v>
      </c>
      <c r="N445">
        <f t="shared" si="27"/>
        <v>0</v>
      </c>
    </row>
    <row r="446" spans="1:14" x14ac:dyDescent="0.4">
      <c r="A446" t="s">
        <v>76</v>
      </c>
      <c r="B446" t="s">
        <v>28</v>
      </c>
      <c r="C446" t="s">
        <v>52</v>
      </c>
      <c r="D446" t="s">
        <v>66</v>
      </c>
      <c r="E446" s="1">
        <v>44582</v>
      </c>
      <c r="F446">
        <v>123</v>
      </c>
      <c r="G446">
        <v>84</v>
      </c>
      <c r="H446">
        <v>417.6</v>
      </c>
      <c r="I446">
        <v>120.39</v>
      </c>
      <c r="J446" t="s">
        <v>14</v>
      </c>
      <c r="K446">
        <f t="shared" si="24"/>
        <v>14807.97</v>
      </c>
      <c r="L446">
        <f t="shared" si="25"/>
        <v>-36556.83</v>
      </c>
      <c r="M446">
        <f t="shared" si="26"/>
        <v>1.4642857142857142</v>
      </c>
      <c r="N446">
        <f t="shared" si="27"/>
        <v>0</v>
      </c>
    </row>
    <row r="447" spans="1:14" x14ac:dyDescent="0.4">
      <c r="A447" t="s">
        <v>183</v>
      </c>
      <c r="B447" t="s">
        <v>11</v>
      </c>
      <c r="C447" t="s">
        <v>12</v>
      </c>
      <c r="D447" t="s">
        <v>33</v>
      </c>
      <c r="E447" s="1">
        <v>44803</v>
      </c>
      <c r="F447">
        <v>11</v>
      </c>
      <c r="G447">
        <v>244</v>
      </c>
      <c r="H447">
        <v>387.3</v>
      </c>
      <c r="I447">
        <v>638.38</v>
      </c>
      <c r="J447" t="s">
        <v>30</v>
      </c>
      <c r="K447">
        <f t="shared" si="24"/>
        <v>7022.18</v>
      </c>
      <c r="L447">
        <f t="shared" si="25"/>
        <v>2761.8799999999997</v>
      </c>
      <c r="M447">
        <f t="shared" si="26"/>
        <v>4.5081967213114756E-2</v>
      </c>
      <c r="N447">
        <f t="shared" si="27"/>
        <v>0</v>
      </c>
    </row>
    <row r="448" spans="1:14" x14ac:dyDescent="0.4">
      <c r="A448" t="s">
        <v>24</v>
      </c>
      <c r="B448" t="s">
        <v>25</v>
      </c>
      <c r="C448" t="s">
        <v>29</v>
      </c>
      <c r="D448" t="s">
        <v>18</v>
      </c>
      <c r="E448" s="1">
        <v>45016</v>
      </c>
      <c r="F448">
        <v>140</v>
      </c>
      <c r="G448">
        <v>21</v>
      </c>
      <c r="H448">
        <v>364.79</v>
      </c>
      <c r="I448">
        <v>731.34</v>
      </c>
      <c r="J448" t="s">
        <v>19</v>
      </c>
      <c r="K448">
        <f t="shared" si="24"/>
        <v>102387.6</v>
      </c>
      <c r="L448">
        <f t="shared" si="25"/>
        <v>51317</v>
      </c>
      <c r="M448">
        <f t="shared" si="26"/>
        <v>6.666666666666667</v>
      </c>
      <c r="N448">
        <f t="shared" si="27"/>
        <v>0</v>
      </c>
    </row>
    <row r="449" spans="1:14" x14ac:dyDescent="0.4">
      <c r="A449" t="s">
        <v>104</v>
      </c>
      <c r="B449" t="s">
        <v>28</v>
      </c>
      <c r="C449" t="s">
        <v>17</v>
      </c>
      <c r="D449" t="s">
        <v>65</v>
      </c>
      <c r="E449" s="1">
        <v>45524</v>
      </c>
      <c r="F449">
        <v>42</v>
      </c>
      <c r="G449">
        <v>290</v>
      </c>
      <c r="H449">
        <v>188.12</v>
      </c>
      <c r="I449">
        <v>412.45</v>
      </c>
      <c r="J449" t="s">
        <v>14</v>
      </c>
      <c r="K449">
        <f t="shared" si="24"/>
        <v>17322.899999999998</v>
      </c>
      <c r="L449">
        <f t="shared" si="25"/>
        <v>9421.8599999999988</v>
      </c>
      <c r="M449">
        <f t="shared" si="26"/>
        <v>0.14482758620689656</v>
      </c>
      <c r="N449">
        <f t="shared" si="27"/>
        <v>0</v>
      </c>
    </row>
    <row r="450" spans="1:14" x14ac:dyDescent="0.4">
      <c r="A450" t="s">
        <v>64</v>
      </c>
      <c r="B450" t="s">
        <v>58</v>
      </c>
      <c r="C450" t="s">
        <v>17</v>
      </c>
      <c r="D450" t="s">
        <v>66</v>
      </c>
      <c r="E450" s="1">
        <v>45182</v>
      </c>
      <c r="F450">
        <v>16</v>
      </c>
      <c r="G450">
        <v>271</v>
      </c>
      <c r="H450">
        <v>75.69</v>
      </c>
      <c r="I450">
        <v>485.48</v>
      </c>
      <c r="J450" t="s">
        <v>34</v>
      </c>
      <c r="K450">
        <f t="shared" si="24"/>
        <v>7767.68</v>
      </c>
      <c r="L450">
        <f t="shared" si="25"/>
        <v>6556.64</v>
      </c>
      <c r="M450">
        <f t="shared" si="26"/>
        <v>5.9040590405904057E-2</v>
      </c>
      <c r="N450">
        <f t="shared" si="27"/>
        <v>0</v>
      </c>
    </row>
    <row r="451" spans="1:14" x14ac:dyDescent="0.4">
      <c r="A451" t="s">
        <v>140</v>
      </c>
      <c r="B451" t="s">
        <v>21</v>
      </c>
      <c r="C451" t="s">
        <v>17</v>
      </c>
      <c r="D451" t="s">
        <v>65</v>
      </c>
      <c r="E451" s="1">
        <v>44864</v>
      </c>
      <c r="F451">
        <v>62</v>
      </c>
      <c r="G451">
        <v>121</v>
      </c>
      <c r="H451">
        <v>204.37</v>
      </c>
      <c r="I451">
        <v>761.12</v>
      </c>
      <c r="J451" t="s">
        <v>14</v>
      </c>
      <c r="K451">
        <f t="shared" ref="K451:K514" si="28">F451 * I451</f>
        <v>47189.440000000002</v>
      </c>
      <c r="L451">
        <f t="shared" ref="L451:L514" si="29">(I451 - H451) * F451</f>
        <v>34518.5</v>
      </c>
      <c r="M451">
        <f t="shared" ref="M451:M514" si="30">IF(G451=0, 0, F451/G451)</f>
        <v>0.51239669421487599</v>
      </c>
      <c r="N451">
        <f t="shared" ref="N451:N514" si="31">IF(G451=0, 1, 0)</f>
        <v>0</v>
      </c>
    </row>
    <row r="452" spans="1:14" x14ac:dyDescent="0.4">
      <c r="A452" t="s">
        <v>98</v>
      </c>
      <c r="B452" t="s">
        <v>21</v>
      </c>
      <c r="C452" t="s">
        <v>29</v>
      </c>
      <c r="D452" t="s">
        <v>26</v>
      </c>
      <c r="E452" s="1">
        <v>45364</v>
      </c>
      <c r="F452">
        <v>119</v>
      </c>
      <c r="G452">
        <v>127</v>
      </c>
      <c r="H452">
        <v>350.12</v>
      </c>
      <c r="I452">
        <v>248.59</v>
      </c>
      <c r="J452" t="s">
        <v>34</v>
      </c>
      <c r="K452">
        <f t="shared" si="28"/>
        <v>29582.21</v>
      </c>
      <c r="L452">
        <f t="shared" si="29"/>
        <v>-12082.07</v>
      </c>
      <c r="M452">
        <f t="shared" si="30"/>
        <v>0.93700787401574803</v>
      </c>
      <c r="N452">
        <f t="shared" si="31"/>
        <v>0</v>
      </c>
    </row>
    <row r="453" spans="1:14" x14ac:dyDescent="0.4">
      <c r="A453" t="s">
        <v>56</v>
      </c>
      <c r="B453" t="s">
        <v>43</v>
      </c>
      <c r="C453" t="s">
        <v>12</v>
      </c>
      <c r="D453" t="s">
        <v>47</v>
      </c>
      <c r="E453" s="1">
        <v>45525</v>
      </c>
      <c r="F453">
        <v>35</v>
      </c>
      <c r="G453">
        <v>112</v>
      </c>
      <c r="H453">
        <v>96.14</v>
      </c>
      <c r="I453">
        <v>464.09</v>
      </c>
      <c r="J453" t="s">
        <v>30</v>
      </c>
      <c r="K453">
        <f t="shared" si="28"/>
        <v>16243.15</v>
      </c>
      <c r="L453">
        <f t="shared" si="29"/>
        <v>12878.25</v>
      </c>
      <c r="M453">
        <f t="shared" si="30"/>
        <v>0.3125</v>
      </c>
      <c r="N453">
        <f t="shared" si="31"/>
        <v>0</v>
      </c>
    </row>
    <row r="454" spans="1:14" x14ac:dyDescent="0.4">
      <c r="A454" t="s">
        <v>88</v>
      </c>
      <c r="B454" t="s">
        <v>32</v>
      </c>
      <c r="C454" t="s">
        <v>17</v>
      </c>
      <c r="D454" t="s">
        <v>62</v>
      </c>
      <c r="E454" s="1">
        <v>44630</v>
      </c>
      <c r="F454">
        <v>7</v>
      </c>
      <c r="G454">
        <v>272</v>
      </c>
      <c r="H454">
        <v>55.36</v>
      </c>
      <c r="I454">
        <v>432.3</v>
      </c>
      <c r="J454" t="s">
        <v>14</v>
      </c>
      <c r="K454">
        <f t="shared" si="28"/>
        <v>3026.1</v>
      </c>
      <c r="L454">
        <f t="shared" si="29"/>
        <v>2638.58</v>
      </c>
      <c r="M454">
        <f t="shared" si="30"/>
        <v>2.5735294117647058E-2</v>
      </c>
      <c r="N454">
        <f t="shared" si="31"/>
        <v>0</v>
      </c>
    </row>
    <row r="455" spans="1:14" x14ac:dyDescent="0.4">
      <c r="A455" t="s">
        <v>80</v>
      </c>
      <c r="B455" t="s">
        <v>21</v>
      </c>
      <c r="C455" t="s">
        <v>52</v>
      </c>
      <c r="D455" t="s">
        <v>18</v>
      </c>
      <c r="E455" s="1">
        <v>44757</v>
      </c>
      <c r="F455">
        <v>68</v>
      </c>
      <c r="G455">
        <v>129</v>
      </c>
      <c r="H455">
        <v>112.86</v>
      </c>
      <c r="I455">
        <v>280.87</v>
      </c>
      <c r="J455" t="s">
        <v>30</v>
      </c>
      <c r="K455">
        <f t="shared" si="28"/>
        <v>19099.16</v>
      </c>
      <c r="L455">
        <f t="shared" si="29"/>
        <v>11424.68</v>
      </c>
      <c r="M455">
        <f t="shared" si="30"/>
        <v>0.52713178294573648</v>
      </c>
      <c r="N455">
        <f t="shared" si="31"/>
        <v>0</v>
      </c>
    </row>
    <row r="456" spans="1:14" x14ac:dyDescent="0.4">
      <c r="A456" t="s">
        <v>131</v>
      </c>
      <c r="B456" t="s">
        <v>36</v>
      </c>
      <c r="C456" t="s">
        <v>17</v>
      </c>
      <c r="D456" t="s">
        <v>47</v>
      </c>
      <c r="E456" s="1">
        <v>44701</v>
      </c>
      <c r="F456">
        <v>89</v>
      </c>
      <c r="G456">
        <v>131</v>
      </c>
      <c r="H456">
        <v>372.08</v>
      </c>
      <c r="I456">
        <v>673.02</v>
      </c>
      <c r="J456" t="s">
        <v>30</v>
      </c>
      <c r="K456">
        <f t="shared" si="28"/>
        <v>59898.78</v>
      </c>
      <c r="L456">
        <f t="shared" si="29"/>
        <v>26783.66</v>
      </c>
      <c r="M456">
        <f t="shared" si="30"/>
        <v>0.67938931297709926</v>
      </c>
      <c r="N456">
        <f t="shared" si="31"/>
        <v>0</v>
      </c>
    </row>
    <row r="457" spans="1:14" x14ac:dyDescent="0.4">
      <c r="A457" t="s">
        <v>10</v>
      </c>
      <c r="B457" t="s">
        <v>43</v>
      </c>
      <c r="C457" t="s">
        <v>17</v>
      </c>
      <c r="D457" t="s">
        <v>26</v>
      </c>
      <c r="E457" s="1">
        <v>44844</v>
      </c>
      <c r="F457">
        <v>35</v>
      </c>
      <c r="G457">
        <v>84</v>
      </c>
      <c r="H457">
        <v>487.76</v>
      </c>
      <c r="I457">
        <v>729.72</v>
      </c>
      <c r="J457" t="s">
        <v>19</v>
      </c>
      <c r="K457">
        <f t="shared" si="28"/>
        <v>25540.2</v>
      </c>
      <c r="L457">
        <f t="shared" si="29"/>
        <v>8468.6000000000022</v>
      </c>
      <c r="M457">
        <f t="shared" si="30"/>
        <v>0.41666666666666669</v>
      </c>
      <c r="N457">
        <f t="shared" si="31"/>
        <v>0</v>
      </c>
    </row>
    <row r="458" spans="1:14" x14ac:dyDescent="0.4">
      <c r="A458" t="s">
        <v>222</v>
      </c>
      <c r="B458" t="s">
        <v>21</v>
      </c>
      <c r="C458" t="s">
        <v>17</v>
      </c>
      <c r="D458" t="s">
        <v>62</v>
      </c>
      <c r="E458" s="1">
        <v>44873</v>
      </c>
      <c r="F458">
        <v>27</v>
      </c>
      <c r="G458">
        <v>80</v>
      </c>
      <c r="H458">
        <v>492.38</v>
      </c>
      <c r="I458">
        <v>647.35</v>
      </c>
      <c r="J458" t="s">
        <v>14</v>
      </c>
      <c r="K458">
        <f t="shared" si="28"/>
        <v>17478.45</v>
      </c>
      <c r="L458">
        <f t="shared" si="29"/>
        <v>4184.1900000000005</v>
      </c>
      <c r="M458">
        <f t="shared" si="30"/>
        <v>0.33750000000000002</v>
      </c>
      <c r="N458">
        <f t="shared" si="31"/>
        <v>0</v>
      </c>
    </row>
    <row r="459" spans="1:14" x14ac:dyDescent="0.4">
      <c r="A459" t="s">
        <v>208</v>
      </c>
      <c r="B459" t="s">
        <v>32</v>
      </c>
      <c r="C459" t="s">
        <v>17</v>
      </c>
      <c r="D459" t="s">
        <v>26</v>
      </c>
      <c r="E459" s="1">
        <v>45307</v>
      </c>
      <c r="F459">
        <v>117</v>
      </c>
      <c r="G459">
        <v>68</v>
      </c>
      <c r="H459">
        <v>272.29000000000002</v>
      </c>
      <c r="I459">
        <v>236.75</v>
      </c>
      <c r="J459" t="s">
        <v>34</v>
      </c>
      <c r="K459">
        <f t="shared" si="28"/>
        <v>27699.75</v>
      </c>
      <c r="L459">
        <f t="shared" si="29"/>
        <v>-4158.1800000000021</v>
      </c>
      <c r="M459">
        <f t="shared" si="30"/>
        <v>1.7205882352941178</v>
      </c>
      <c r="N459">
        <f t="shared" si="31"/>
        <v>0</v>
      </c>
    </row>
    <row r="460" spans="1:14" x14ac:dyDescent="0.4">
      <c r="A460" t="s">
        <v>203</v>
      </c>
      <c r="B460" t="s">
        <v>16</v>
      </c>
      <c r="C460" t="s">
        <v>12</v>
      </c>
      <c r="D460" t="s">
        <v>37</v>
      </c>
      <c r="E460" s="1">
        <v>44838</v>
      </c>
      <c r="F460">
        <v>92</v>
      </c>
      <c r="G460">
        <v>147</v>
      </c>
      <c r="H460">
        <v>441.21</v>
      </c>
      <c r="I460">
        <v>160.72</v>
      </c>
      <c r="J460" t="s">
        <v>34</v>
      </c>
      <c r="K460">
        <f t="shared" si="28"/>
        <v>14786.24</v>
      </c>
      <c r="L460">
        <f t="shared" si="29"/>
        <v>-25805.08</v>
      </c>
      <c r="M460">
        <f t="shared" si="30"/>
        <v>0.62585034013605445</v>
      </c>
      <c r="N460">
        <f t="shared" si="31"/>
        <v>0</v>
      </c>
    </row>
    <row r="461" spans="1:14" x14ac:dyDescent="0.4">
      <c r="A461" t="s">
        <v>163</v>
      </c>
      <c r="B461" t="s">
        <v>16</v>
      </c>
      <c r="C461" t="s">
        <v>52</v>
      </c>
      <c r="D461" t="s">
        <v>145</v>
      </c>
      <c r="E461" s="1">
        <v>44622</v>
      </c>
      <c r="F461">
        <v>174</v>
      </c>
      <c r="G461">
        <v>15</v>
      </c>
      <c r="H461">
        <v>381.57</v>
      </c>
      <c r="I461">
        <v>523.80999999999995</v>
      </c>
      <c r="J461" t="s">
        <v>14</v>
      </c>
      <c r="K461">
        <f t="shared" si="28"/>
        <v>91142.939999999988</v>
      </c>
      <c r="L461">
        <f t="shared" si="29"/>
        <v>24749.759999999991</v>
      </c>
      <c r="M461">
        <f t="shared" si="30"/>
        <v>11.6</v>
      </c>
      <c r="N461">
        <f t="shared" si="31"/>
        <v>0</v>
      </c>
    </row>
    <row r="462" spans="1:14" x14ac:dyDescent="0.4">
      <c r="A462" t="s">
        <v>223</v>
      </c>
      <c r="B462" t="s">
        <v>25</v>
      </c>
      <c r="C462" t="s">
        <v>12</v>
      </c>
      <c r="D462" t="s">
        <v>97</v>
      </c>
      <c r="E462" s="1">
        <v>44613</v>
      </c>
      <c r="F462">
        <v>75</v>
      </c>
      <c r="G462">
        <v>104</v>
      </c>
      <c r="H462">
        <v>275.47000000000003</v>
      </c>
      <c r="I462">
        <v>139.97</v>
      </c>
      <c r="J462" t="s">
        <v>19</v>
      </c>
      <c r="K462">
        <f t="shared" si="28"/>
        <v>10497.75</v>
      </c>
      <c r="L462">
        <f t="shared" si="29"/>
        <v>-10162.500000000002</v>
      </c>
      <c r="M462">
        <f t="shared" si="30"/>
        <v>0.72115384615384615</v>
      </c>
      <c r="N462">
        <f t="shared" si="31"/>
        <v>0</v>
      </c>
    </row>
    <row r="463" spans="1:14" x14ac:dyDescent="0.4">
      <c r="A463" t="s">
        <v>224</v>
      </c>
      <c r="B463" t="s">
        <v>28</v>
      </c>
      <c r="C463" t="s">
        <v>52</v>
      </c>
      <c r="D463" t="s">
        <v>18</v>
      </c>
      <c r="E463" s="1">
        <v>44714</v>
      </c>
      <c r="F463">
        <v>100</v>
      </c>
      <c r="G463">
        <v>164</v>
      </c>
      <c r="H463">
        <v>307.74</v>
      </c>
      <c r="I463">
        <v>570.98</v>
      </c>
      <c r="J463" t="s">
        <v>19</v>
      </c>
      <c r="K463">
        <f t="shared" si="28"/>
        <v>57098</v>
      </c>
      <c r="L463">
        <f t="shared" si="29"/>
        <v>26324</v>
      </c>
      <c r="M463">
        <f t="shared" si="30"/>
        <v>0.6097560975609756</v>
      </c>
      <c r="N463">
        <f t="shared" si="31"/>
        <v>0</v>
      </c>
    </row>
    <row r="464" spans="1:14" x14ac:dyDescent="0.4">
      <c r="A464" t="s">
        <v>138</v>
      </c>
      <c r="B464" t="s">
        <v>58</v>
      </c>
      <c r="C464" t="s">
        <v>17</v>
      </c>
      <c r="D464" t="s">
        <v>97</v>
      </c>
      <c r="E464" s="1">
        <v>45105</v>
      </c>
      <c r="F464">
        <v>157</v>
      </c>
      <c r="G464">
        <v>200</v>
      </c>
      <c r="H464">
        <v>111.75</v>
      </c>
      <c r="I464">
        <v>471.3</v>
      </c>
      <c r="J464" t="s">
        <v>19</v>
      </c>
      <c r="K464">
        <f t="shared" si="28"/>
        <v>73994.100000000006</v>
      </c>
      <c r="L464">
        <f t="shared" si="29"/>
        <v>56449.35</v>
      </c>
      <c r="M464">
        <f t="shared" si="30"/>
        <v>0.78500000000000003</v>
      </c>
      <c r="N464">
        <f t="shared" si="31"/>
        <v>0</v>
      </c>
    </row>
    <row r="465" spans="1:14" x14ac:dyDescent="0.4">
      <c r="A465" t="s">
        <v>81</v>
      </c>
      <c r="B465" t="s">
        <v>16</v>
      </c>
      <c r="C465" t="s">
        <v>29</v>
      </c>
      <c r="D465" t="s">
        <v>145</v>
      </c>
      <c r="E465" s="1">
        <v>45128</v>
      </c>
      <c r="F465">
        <v>150</v>
      </c>
      <c r="G465">
        <v>196</v>
      </c>
      <c r="H465">
        <v>471.95</v>
      </c>
      <c r="I465">
        <v>563.95000000000005</v>
      </c>
      <c r="J465" t="s">
        <v>34</v>
      </c>
      <c r="K465">
        <f t="shared" si="28"/>
        <v>84592.5</v>
      </c>
      <c r="L465">
        <f t="shared" si="29"/>
        <v>13800.000000000009</v>
      </c>
      <c r="M465">
        <f t="shared" si="30"/>
        <v>0.76530612244897955</v>
      </c>
      <c r="N465">
        <f t="shared" si="31"/>
        <v>0</v>
      </c>
    </row>
    <row r="466" spans="1:14" x14ac:dyDescent="0.4">
      <c r="A466" t="s">
        <v>186</v>
      </c>
      <c r="B466" t="s">
        <v>11</v>
      </c>
      <c r="C466" t="s">
        <v>12</v>
      </c>
      <c r="D466" t="s">
        <v>145</v>
      </c>
      <c r="E466" s="1">
        <v>45183</v>
      </c>
      <c r="F466">
        <v>143</v>
      </c>
      <c r="G466">
        <v>184</v>
      </c>
      <c r="H466">
        <v>208.37</v>
      </c>
      <c r="I466">
        <v>513.12</v>
      </c>
      <c r="J466" t="s">
        <v>30</v>
      </c>
      <c r="K466">
        <f t="shared" si="28"/>
        <v>73376.160000000003</v>
      </c>
      <c r="L466">
        <f t="shared" si="29"/>
        <v>43579.25</v>
      </c>
      <c r="M466">
        <f t="shared" si="30"/>
        <v>0.77717391304347827</v>
      </c>
      <c r="N466">
        <f t="shared" si="31"/>
        <v>0</v>
      </c>
    </row>
    <row r="467" spans="1:14" x14ac:dyDescent="0.4">
      <c r="A467" t="s">
        <v>149</v>
      </c>
      <c r="B467" t="s">
        <v>21</v>
      </c>
      <c r="C467" t="s">
        <v>29</v>
      </c>
      <c r="D467" t="s">
        <v>26</v>
      </c>
      <c r="E467" s="1">
        <v>44875</v>
      </c>
      <c r="F467">
        <v>13</v>
      </c>
      <c r="G467">
        <v>264</v>
      </c>
      <c r="H467">
        <v>250.77</v>
      </c>
      <c r="I467">
        <v>395.89</v>
      </c>
      <c r="J467" t="s">
        <v>19</v>
      </c>
      <c r="K467">
        <f t="shared" si="28"/>
        <v>5146.57</v>
      </c>
      <c r="L467">
        <f t="shared" si="29"/>
        <v>1886.5599999999997</v>
      </c>
      <c r="M467">
        <f t="shared" si="30"/>
        <v>4.924242424242424E-2</v>
      </c>
      <c r="N467">
        <f t="shared" si="31"/>
        <v>0</v>
      </c>
    </row>
    <row r="468" spans="1:14" x14ac:dyDescent="0.4">
      <c r="A468" t="s">
        <v>181</v>
      </c>
      <c r="B468" t="s">
        <v>11</v>
      </c>
      <c r="C468" t="s">
        <v>12</v>
      </c>
      <c r="D468" t="s">
        <v>97</v>
      </c>
      <c r="E468" s="1">
        <v>45368</v>
      </c>
      <c r="F468">
        <v>70</v>
      </c>
      <c r="G468">
        <v>99</v>
      </c>
      <c r="H468">
        <v>352.25</v>
      </c>
      <c r="I468">
        <v>240.61</v>
      </c>
      <c r="J468" t="s">
        <v>34</v>
      </c>
      <c r="K468">
        <f t="shared" si="28"/>
        <v>16842.7</v>
      </c>
      <c r="L468">
        <f t="shared" si="29"/>
        <v>-7814.7999999999993</v>
      </c>
      <c r="M468">
        <f t="shared" si="30"/>
        <v>0.70707070707070707</v>
      </c>
      <c r="N468">
        <f t="shared" si="31"/>
        <v>0</v>
      </c>
    </row>
    <row r="469" spans="1:14" x14ac:dyDescent="0.4">
      <c r="A469" t="s">
        <v>154</v>
      </c>
      <c r="B469" t="s">
        <v>32</v>
      </c>
      <c r="C469" t="s">
        <v>17</v>
      </c>
      <c r="D469" t="s">
        <v>22</v>
      </c>
      <c r="E469" s="1">
        <v>45409</v>
      </c>
      <c r="F469">
        <v>179</v>
      </c>
      <c r="G469">
        <v>213</v>
      </c>
      <c r="H469">
        <v>200.26</v>
      </c>
      <c r="I469">
        <v>313.99</v>
      </c>
      <c r="J469" t="s">
        <v>34</v>
      </c>
      <c r="K469">
        <f t="shared" si="28"/>
        <v>56204.21</v>
      </c>
      <c r="L469">
        <f t="shared" si="29"/>
        <v>20357.670000000002</v>
      </c>
      <c r="M469">
        <f t="shared" si="30"/>
        <v>0.84037558685446012</v>
      </c>
      <c r="N469">
        <f t="shared" si="31"/>
        <v>0</v>
      </c>
    </row>
    <row r="470" spans="1:14" x14ac:dyDescent="0.4">
      <c r="A470" t="s">
        <v>213</v>
      </c>
      <c r="B470" t="s">
        <v>16</v>
      </c>
      <c r="C470" t="s">
        <v>12</v>
      </c>
      <c r="D470" t="s">
        <v>37</v>
      </c>
      <c r="E470" s="1">
        <v>44658</v>
      </c>
      <c r="F470">
        <v>123</v>
      </c>
      <c r="G470">
        <v>277</v>
      </c>
      <c r="H470">
        <v>164.42</v>
      </c>
      <c r="I470">
        <v>467.15</v>
      </c>
      <c r="J470" t="s">
        <v>30</v>
      </c>
      <c r="K470">
        <f t="shared" si="28"/>
        <v>57459.45</v>
      </c>
      <c r="L470">
        <f t="shared" si="29"/>
        <v>37235.79</v>
      </c>
      <c r="M470">
        <f t="shared" si="30"/>
        <v>0.44404332129963897</v>
      </c>
      <c r="N470">
        <f t="shared" si="31"/>
        <v>0</v>
      </c>
    </row>
    <row r="471" spans="1:14" x14ac:dyDescent="0.4">
      <c r="A471" t="s">
        <v>118</v>
      </c>
      <c r="B471" t="s">
        <v>58</v>
      </c>
      <c r="C471" t="s">
        <v>17</v>
      </c>
      <c r="D471" t="s">
        <v>26</v>
      </c>
      <c r="E471" s="1">
        <v>45442</v>
      </c>
      <c r="F471">
        <v>124</v>
      </c>
      <c r="G471">
        <v>161</v>
      </c>
      <c r="H471">
        <v>333.97</v>
      </c>
      <c r="I471">
        <v>556.30999999999995</v>
      </c>
      <c r="J471" t="s">
        <v>14</v>
      </c>
      <c r="K471">
        <f t="shared" si="28"/>
        <v>68982.439999999988</v>
      </c>
      <c r="L471">
        <f t="shared" si="29"/>
        <v>27570.159999999989</v>
      </c>
      <c r="M471">
        <f t="shared" si="30"/>
        <v>0.77018633540372672</v>
      </c>
      <c r="N471">
        <f t="shared" si="31"/>
        <v>0</v>
      </c>
    </row>
    <row r="472" spans="1:14" x14ac:dyDescent="0.4">
      <c r="A472" t="s">
        <v>105</v>
      </c>
      <c r="B472" t="s">
        <v>32</v>
      </c>
      <c r="C472" t="s">
        <v>12</v>
      </c>
      <c r="D472" t="s">
        <v>65</v>
      </c>
      <c r="E472" s="1">
        <v>45390</v>
      </c>
      <c r="F472">
        <v>36</v>
      </c>
      <c r="G472">
        <v>156</v>
      </c>
      <c r="H472">
        <v>61.24</v>
      </c>
      <c r="I472">
        <v>645.64</v>
      </c>
      <c r="J472" t="s">
        <v>14</v>
      </c>
      <c r="K472">
        <f t="shared" si="28"/>
        <v>23243.040000000001</v>
      </c>
      <c r="L472">
        <f t="shared" si="29"/>
        <v>21038.399999999998</v>
      </c>
      <c r="M472">
        <f t="shared" si="30"/>
        <v>0.23076923076923078</v>
      </c>
      <c r="N472">
        <f t="shared" si="31"/>
        <v>0</v>
      </c>
    </row>
    <row r="473" spans="1:14" x14ac:dyDescent="0.4">
      <c r="A473" t="s">
        <v>59</v>
      </c>
      <c r="B473" t="s">
        <v>36</v>
      </c>
      <c r="C473" t="s">
        <v>17</v>
      </c>
      <c r="D473" t="s">
        <v>69</v>
      </c>
      <c r="E473" s="1">
        <v>44698</v>
      </c>
      <c r="F473">
        <v>28</v>
      </c>
      <c r="G473">
        <v>250</v>
      </c>
      <c r="H473">
        <v>374.33</v>
      </c>
      <c r="I473">
        <v>637.02</v>
      </c>
      <c r="J473" t="s">
        <v>19</v>
      </c>
      <c r="K473">
        <f t="shared" si="28"/>
        <v>17836.559999999998</v>
      </c>
      <c r="L473">
        <f t="shared" si="29"/>
        <v>7355.32</v>
      </c>
      <c r="M473">
        <f t="shared" si="30"/>
        <v>0.112</v>
      </c>
      <c r="N473">
        <f t="shared" si="31"/>
        <v>0</v>
      </c>
    </row>
    <row r="474" spans="1:14" x14ac:dyDescent="0.4">
      <c r="A474" t="s">
        <v>174</v>
      </c>
      <c r="B474" t="s">
        <v>36</v>
      </c>
      <c r="C474" t="s">
        <v>17</v>
      </c>
      <c r="D474" t="s">
        <v>145</v>
      </c>
      <c r="E474" s="1">
        <v>45591</v>
      </c>
      <c r="F474">
        <v>194</v>
      </c>
      <c r="G474">
        <v>96</v>
      </c>
      <c r="H474">
        <v>281.31</v>
      </c>
      <c r="I474">
        <v>780.88</v>
      </c>
      <c r="J474" t="s">
        <v>19</v>
      </c>
      <c r="K474">
        <f t="shared" si="28"/>
        <v>151490.72</v>
      </c>
      <c r="L474">
        <f t="shared" si="29"/>
        <v>96916.58</v>
      </c>
      <c r="M474">
        <f t="shared" si="30"/>
        <v>2.0208333333333335</v>
      </c>
      <c r="N474">
        <f t="shared" si="31"/>
        <v>0</v>
      </c>
    </row>
    <row r="475" spans="1:14" x14ac:dyDescent="0.4">
      <c r="A475" t="s">
        <v>178</v>
      </c>
      <c r="B475" t="s">
        <v>11</v>
      </c>
      <c r="C475" t="s">
        <v>52</v>
      </c>
      <c r="D475" t="s">
        <v>62</v>
      </c>
      <c r="E475" s="1">
        <v>45572</v>
      </c>
      <c r="F475">
        <v>142</v>
      </c>
      <c r="G475">
        <v>17</v>
      </c>
      <c r="H475">
        <v>322.58999999999997</v>
      </c>
      <c r="I475">
        <v>300.08999999999997</v>
      </c>
      <c r="J475" t="s">
        <v>30</v>
      </c>
      <c r="K475">
        <f t="shared" si="28"/>
        <v>42612.78</v>
      </c>
      <c r="L475">
        <f t="shared" si="29"/>
        <v>-3195</v>
      </c>
      <c r="M475">
        <f t="shared" si="30"/>
        <v>8.3529411764705888</v>
      </c>
      <c r="N475">
        <f t="shared" si="31"/>
        <v>0</v>
      </c>
    </row>
    <row r="476" spans="1:14" x14ac:dyDescent="0.4">
      <c r="A476" t="s">
        <v>194</v>
      </c>
      <c r="B476" t="s">
        <v>28</v>
      </c>
      <c r="C476" t="s">
        <v>17</v>
      </c>
      <c r="D476" t="s">
        <v>26</v>
      </c>
      <c r="E476" s="1">
        <v>44670</v>
      </c>
      <c r="F476">
        <v>174</v>
      </c>
      <c r="G476">
        <v>96</v>
      </c>
      <c r="H476">
        <v>334.35</v>
      </c>
      <c r="I476">
        <v>149.78</v>
      </c>
      <c r="J476" t="s">
        <v>19</v>
      </c>
      <c r="K476">
        <f t="shared" si="28"/>
        <v>26061.72</v>
      </c>
      <c r="L476">
        <f t="shared" si="29"/>
        <v>-32115.180000000004</v>
      </c>
      <c r="M476">
        <f t="shared" si="30"/>
        <v>1.8125</v>
      </c>
      <c r="N476">
        <f t="shared" si="31"/>
        <v>0</v>
      </c>
    </row>
    <row r="477" spans="1:14" x14ac:dyDescent="0.4">
      <c r="A477" t="s">
        <v>126</v>
      </c>
      <c r="B477" t="s">
        <v>43</v>
      </c>
      <c r="C477" t="s">
        <v>52</v>
      </c>
      <c r="D477" t="s">
        <v>45</v>
      </c>
      <c r="E477" s="1">
        <v>45108</v>
      </c>
      <c r="F477">
        <v>173</v>
      </c>
      <c r="G477">
        <v>0</v>
      </c>
      <c r="H477">
        <v>287.17</v>
      </c>
      <c r="I477">
        <v>341.96</v>
      </c>
      <c r="J477" t="s">
        <v>30</v>
      </c>
      <c r="K477">
        <f t="shared" si="28"/>
        <v>59159.079999999994</v>
      </c>
      <c r="L477">
        <f t="shared" si="29"/>
        <v>9478.6699999999946</v>
      </c>
      <c r="M477">
        <f t="shared" si="30"/>
        <v>0</v>
      </c>
      <c r="N477">
        <f t="shared" si="31"/>
        <v>1</v>
      </c>
    </row>
    <row r="478" spans="1:14" x14ac:dyDescent="0.4">
      <c r="A478" t="s">
        <v>225</v>
      </c>
      <c r="B478" t="s">
        <v>28</v>
      </c>
      <c r="C478" t="s">
        <v>17</v>
      </c>
      <c r="D478" t="s">
        <v>33</v>
      </c>
      <c r="E478" s="1">
        <v>45624</v>
      </c>
      <c r="F478">
        <v>179</v>
      </c>
      <c r="G478">
        <v>215</v>
      </c>
      <c r="H478">
        <v>312.14</v>
      </c>
      <c r="I478">
        <v>620.30999999999995</v>
      </c>
      <c r="J478" t="s">
        <v>34</v>
      </c>
      <c r="K478">
        <f t="shared" si="28"/>
        <v>111035.48999999999</v>
      </c>
      <c r="L478">
        <f t="shared" si="29"/>
        <v>55162.429999999993</v>
      </c>
      <c r="M478">
        <f t="shared" si="30"/>
        <v>0.83255813953488367</v>
      </c>
      <c r="N478">
        <f t="shared" si="31"/>
        <v>0</v>
      </c>
    </row>
    <row r="479" spans="1:14" x14ac:dyDescent="0.4">
      <c r="A479" t="s">
        <v>93</v>
      </c>
      <c r="B479" t="s">
        <v>25</v>
      </c>
      <c r="C479" t="s">
        <v>29</v>
      </c>
      <c r="D479" t="s">
        <v>45</v>
      </c>
      <c r="E479" s="1">
        <v>45223</v>
      </c>
      <c r="F479">
        <v>18</v>
      </c>
      <c r="G479">
        <v>131</v>
      </c>
      <c r="H479">
        <v>357.7</v>
      </c>
      <c r="I479">
        <v>406.68</v>
      </c>
      <c r="J479" t="s">
        <v>19</v>
      </c>
      <c r="K479">
        <f t="shared" si="28"/>
        <v>7320.24</v>
      </c>
      <c r="L479">
        <f t="shared" si="29"/>
        <v>881.64000000000033</v>
      </c>
      <c r="M479">
        <f t="shared" si="30"/>
        <v>0.13740458015267176</v>
      </c>
      <c r="N479">
        <f t="shared" si="31"/>
        <v>0</v>
      </c>
    </row>
    <row r="480" spans="1:14" x14ac:dyDescent="0.4">
      <c r="A480" t="s">
        <v>68</v>
      </c>
      <c r="B480" t="s">
        <v>28</v>
      </c>
      <c r="C480" t="s">
        <v>17</v>
      </c>
      <c r="D480" t="s">
        <v>41</v>
      </c>
      <c r="E480" s="1">
        <v>44986</v>
      </c>
      <c r="F480">
        <v>105</v>
      </c>
      <c r="G480">
        <v>259</v>
      </c>
      <c r="H480">
        <v>388.9</v>
      </c>
      <c r="I480">
        <v>672.45</v>
      </c>
      <c r="J480" t="s">
        <v>34</v>
      </c>
      <c r="K480">
        <f t="shared" si="28"/>
        <v>70607.25</v>
      </c>
      <c r="L480">
        <f t="shared" si="29"/>
        <v>29772.750000000007</v>
      </c>
      <c r="M480">
        <f t="shared" si="30"/>
        <v>0.40540540540540543</v>
      </c>
      <c r="N480">
        <f t="shared" si="31"/>
        <v>0</v>
      </c>
    </row>
    <row r="481" spans="1:14" x14ac:dyDescent="0.4">
      <c r="A481" t="s">
        <v>177</v>
      </c>
      <c r="B481" t="s">
        <v>25</v>
      </c>
      <c r="C481" t="s">
        <v>29</v>
      </c>
      <c r="D481" t="s">
        <v>40</v>
      </c>
      <c r="E481" s="1">
        <v>45191</v>
      </c>
      <c r="F481">
        <v>20</v>
      </c>
      <c r="G481">
        <v>124</v>
      </c>
      <c r="H481">
        <v>377.35</v>
      </c>
      <c r="I481">
        <v>484.53</v>
      </c>
      <c r="J481" t="s">
        <v>23</v>
      </c>
      <c r="K481">
        <f t="shared" si="28"/>
        <v>9690.5999999999985</v>
      </c>
      <c r="L481">
        <f t="shared" si="29"/>
        <v>2143.599999999999</v>
      </c>
      <c r="M481">
        <f t="shared" si="30"/>
        <v>0.16129032258064516</v>
      </c>
      <c r="N481">
        <f t="shared" si="31"/>
        <v>0</v>
      </c>
    </row>
    <row r="482" spans="1:14" x14ac:dyDescent="0.4">
      <c r="A482" t="s">
        <v>91</v>
      </c>
      <c r="B482" t="s">
        <v>25</v>
      </c>
      <c r="C482" t="s">
        <v>29</v>
      </c>
      <c r="D482" t="s">
        <v>40</v>
      </c>
      <c r="E482" s="1">
        <v>44822</v>
      </c>
      <c r="F482">
        <v>63</v>
      </c>
      <c r="G482">
        <v>81</v>
      </c>
      <c r="H482">
        <v>441.33</v>
      </c>
      <c r="I482">
        <v>750.85</v>
      </c>
      <c r="J482" t="s">
        <v>30</v>
      </c>
      <c r="K482">
        <f t="shared" si="28"/>
        <v>47303.55</v>
      </c>
      <c r="L482">
        <f t="shared" si="29"/>
        <v>19499.760000000002</v>
      </c>
      <c r="M482">
        <f t="shared" si="30"/>
        <v>0.77777777777777779</v>
      </c>
      <c r="N482">
        <f t="shared" si="31"/>
        <v>0</v>
      </c>
    </row>
    <row r="483" spans="1:14" x14ac:dyDescent="0.4">
      <c r="A483" t="s">
        <v>48</v>
      </c>
      <c r="B483" t="s">
        <v>58</v>
      </c>
      <c r="C483" t="s">
        <v>17</v>
      </c>
      <c r="D483" t="s">
        <v>132</v>
      </c>
      <c r="E483" s="1">
        <v>44648</v>
      </c>
      <c r="F483">
        <v>164</v>
      </c>
      <c r="G483">
        <v>282</v>
      </c>
      <c r="H483">
        <v>135.25</v>
      </c>
      <c r="I483">
        <v>763.5</v>
      </c>
      <c r="J483" t="s">
        <v>23</v>
      </c>
      <c r="K483">
        <f t="shared" si="28"/>
        <v>125214</v>
      </c>
      <c r="L483">
        <f t="shared" si="29"/>
        <v>103033</v>
      </c>
      <c r="M483">
        <f t="shared" si="30"/>
        <v>0.58156028368794321</v>
      </c>
      <c r="N483">
        <f t="shared" si="31"/>
        <v>0</v>
      </c>
    </row>
    <row r="484" spans="1:14" x14ac:dyDescent="0.4">
      <c r="A484" t="s">
        <v>136</v>
      </c>
      <c r="B484" t="s">
        <v>16</v>
      </c>
      <c r="C484" t="s">
        <v>29</v>
      </c>
      <c r="D484" t="s">
        <v>13</v>
      </c>
      <c r="E484" s="1">
        <v>45026</v>
      </c>
      <c r="F484">
        <v>26</v>
      </c>
      <c r="G484">
        <v>170</v>
      </c>
      <c r="H484">
        <v>230.52</v>
      </c>
      <c r="I484">
        <v>148.51</v>
      </c>
      <c r="J484" t="s">
        <v>19</v>
      </c>
      <c r="K484">
        <f t="shared" si="28"/>
        <v>3861.2599999999998</v>
      </c>
      <c r="L484">
        <f t="shared" si="29"/>
        <v>-2132.2600000000007</v>
      </c>
      <c r="M484">
        <f t="shared" si="30"/>
        <v>0.15294117647058825</v>
      </c>
      <c r="N484">
        <f t="shared" si="31"/>
        <v>0</v>
      </c>
    </row>
    <row r="485" spans="1:14" x14ac:dyDescent="0.4">
      <c r="A485" t="s">
        <v>226</v>
      </c>
      <c r="B485" t="s">
        <v>58</v>
      </c>
      <c r="C485" t="s">
        <v>52</v>
      </c>
      <c r="D485" t="s">
        <v>37</v>
      </c>
      <c r="E485" s="1">
        <v>44637</v>
      </c>
      <c r="F485">
        <v>54</v>
      </c>
      <c r="G485">
        <v>58</v>
      </c>
      <c r="H485">
        <v>476.51</v>
      </c>
      <c r="I485">
        <v>419.49</v>
      </c>
      <c r="J485" t="s">
        <v>34</v>
      </c>
      <c r="K485">
        <f t="shared" si="28"/>
        <v>22652.46</v>
      </c>
      <c r="L485">
        <f t="shared" si="29"/>
        <v>-3079.079999999999</v>
      </c>
      <c r="M485">
        <f t="shared" si="30"/>
        <v>0.93103448275862066</v>
      </c>
      <c r="N485">
        <f t="shared" si="31"/>
        <v>0</v>
      </c>
    </row>
    <row r="486" spans="1:14" x14ac:dyDescent="0.4">
      <c r="A486" t="s">
        <v>215</v>
      </c>
      <c r="B486" t="s">
        <v>25</v>
      </c>
      <c r="C486" t="s">
        <v>12</v>
      </c>
      <c r="D486" t="s">
        <v>13</v>
      </c>
      <c r="E486" s="1">
        <v>45032</v>
      </c>
      <c r="F486">
        <v>28</v>
      </c>
      <c r="G486">
        <v>31</v>
      </c>
      <c r="H486">
        <v>228.47</v>
      </c>
      <c r="I486">
        <v>526.78</v>
      </c>
      <c r="J486" t="s">
        <v>19</v>
      </c>
      <c r="K486">
        <f t="shared" si="28"/>
        <v>14749.84</v>
      </c>
      <c r="L486">
        <f t="shared" si="29"/>
        <v>8352.6799999999985</v>
      </c>
      <c r="M486">
        <f t="shared" si="30"/>
        <v>0.90322580645161288</v>
      </c>
      <c r="N486">
        <f t="shared" si="31"/>
        <v>0</v>
      </c>
    </row>
    <row r="487" spans="1:14" x14ac:dyDescent="0.4">
      <c r="A487" t="s">
        <v>144</v>
      </c>
      <c r="B487" t="s">
        <v>32</v>
      </c>
      <c r="C487" t="s">
        <v>17</v>
      </c>
      <c r="D487" t="s">
        <v>40</v>
      </c>
      <c r="E487" s="1">
        <v>44975</v>
      </c>
      <c r="F487">
        <v>147</v>
      </c>
      <c r="G487">
        <v>160</v>
      </c>
      <c r="H487">
        <v>106.19</v>
      </c>
      <c r="I487">
        <v>279.11</v>
      </c>
      <c r="J487" t="s">
        <v>23</v>
      </c>
      <c r="K487">
        <f t="shared" si="28"/>
        <v>41029.170000000006</v>
      </c>
      <c r="L487">
        <f t="shared" si="29"/>
        <v>25419.24</v>
      </c>
      <c r="M487">
        <f t="shared" si="30"/>
        <v>0.91874999999999996</v>
      </c>
      <c r="N487">
        <f t="shared" si="31"/>
        <v>0</v>
      </c>
    </row>
    <row r="488" spans="1:14" x14ac:dyDescent="0.4">
      <c r="A488" t="s">
        <v>192</v>
      </c>
      <c r="B488" t="s">
        <v>36</v>
      </c>
      <c r="C488" t="s">
        <v>29</v>
      </c>
      <c r="D488" t="s">
        <v>69</v>
      </c>
      <c r="E488" s="1">
        <v>45386</v>
      </c>
      <c r="F488">
        <v>24</v>
      </c>
      <c r="G488">
        <v>283</v>
      </c>
      <c r="H488">
        <v>286.45</v>
      </c>
      <c r="I488">
        <v>384.95</v>
      </c>
      <c r="J488" t="s">
        <v>19</v>
      </c>
      <c r="K488">
        <f t="shared" si="28"/>
        <v>9238.7999999999993</v>
      </c>
      <c r="L488">
        <f t="shared" si="29"/>
        <v>2364</v>
      </c>
      <c r="M488">
        <f t="shared" si="30"/>
        <v>8.4805653710247356E-2</v>
      </c>
      <c r="N488">
        <f t="shared" si="31"/>
        <v>0</v>
      </c>
    </row>
    <row r="489" spans="1:14" x14ac:dyDescent="0.4">
      <c r="A489" t="s">
        <v>124</v>
      </c>
      <c r="B489" t="s">
        <v>25</v>
      </c>
      <c r="C489" t="s">
        <v>17</v>
      </c>
      <c r="D489" t="s">
        <v>18</v>
      </c>
      <c r="E489" s="1">
        <v>45456</v>
      </c>
      <c r="F489">
        <v>69</v>
      </c>
      <c r="G489">
        <v>105</v>
      </c>
      <c r="H489">
        <v>99.27</v>
      </c>
      <c r="I489">
        <v>574.38</v>
      </c>
      <c r="J489" t="s">
        <v>14</v>
      </c>
      <c r="K489">
        <f t="shared" si="28"/>
        <v>39632.22</v>
      </c>
      <c r="L489">
        <f t="shared" si="29"/>
        <v>32782.590000000004</v>
      </c>
      <c r="M489">
        <f t="shared" si="30"/>
        <v>0.65714285714285714</v>
      </c>
      <c r="N489">
        <f t="shared" si="31"/>
        <v>0</v>
      </c>
    </row>
    <row r="490" spans="1:14" x14ac:dyDescent="0.4">
      <c r="A490" t="s">
        <v>68</v>
      </c>
      <c r="B490" t="s">
        <v>58</v>
      </c>
      <c r="C490" t="s">
        <v>52</v>
      </c>
      <c r="D490" t="s">
        <v>45</v>
      </c>
      <c r="E490" s="1">
        <v>45287</v>
      </c>
      <c r="F490">
        <v>62</v>
      </c>
      <c r="G490">
        <v>104</v>
      </c>
      <c r="H490">
        <v>141.28</v>
      </c>
      <c r="I490">
        <v>258.70999999999998</v>
      </c>
      <c r="J490" t="s">
        <v>23</v>
      </c>
      <c r="K490">
        <f t="shared" si="28"/>
        <v>16040.019999999999</v>
      </c>
      <c r="L490">
        <f t="shared" si="29"/>
        <v>7280.6599999999989</v>
      </c>
      <c r="M490">
        <f t="shared" si="30"/>
        <v>0.59615384615384615</v>
      </c>
      <c r="N490">
        <f t="shared" si="31"/>
        <v>0</v>
      </c>
    </row>
    <row r="491" spans="1:14" x14ac:dyDescent="0.4">
      <c r="A491" t="s">
        <v>42</v>
      </c>
      <c r="B491" t="s">
        <v>32</v>
      </c>
      <c r="C491" t="s">
        <v>17</v>
      </c>
      <c r="D491" t="s">
        <v>145</v>
      </c>
      <c r="E491" s="1">
        <v>45018</v>
      </c>
      <c r="F491">
        <v>163</v>
      </c>
      <c r="G491">
        <v>227</v>
      </c>
      <c r="H491">
        <v>499.24</v>
      </c>
      <c r="I491">
        <v>521.39</v>
      </c>
      <c r="J491" t="s">
        <v>19</v>
      </c>
      <c r="K491">
        <f t="shared" si="28"/>
        <v>84986.569999999992</v>
      </c>
      <c r="L491">
        <f t="shared" si="29"/>
        <v>3610.4499999999962</v>
      </c>
      <c r="M491">
        <f t="shared" si="30"/>
        <v>0.7180616740088106</v>
      </c>
      <c r="N491">
        <f t="shared" si="31"/>
        <v>0</v>
      </c>
    </row>
    <row r="492" spans="1:14" x14ac:dyDescent="0.4">
      <c r="A492" t="s">
        <v>141</v>
      </c>
      <c r="B492" t="s">
        <v>58</v>
      </c>
      <c r="C492" t="s">
        <v>17</v>
      </c>
      <c r="D492" t="s">
        <v>41</v>
      </c>
      <c r="E492" s="1">
        <v>45214</v>
      </c>
      <c r="F492">
        <v>129</v>
      </c>
      <c r="G492">
        <v>187</v>
      </c>
      <c r="H492">
        <v>293.61</v>
      </c>
      <c r="I492">
        <v>588.21</v>
      </c>
      <c r="J492" t="s">
        <v>34</v>
      </c>
      <c r="K492">
        <f t="shared" si="28"/>
        <v>75879.090000000011</v>
      </c>
      <c r="L492">
        <f t="shared" si="29"/>
        <v>38003.4</v>
      </c>
      <c r="M492">
        <f t="shared" si="30"/>
        <v>0.68983957219251335</v>
      </c>
      <c r="N492">
        <f t="shared" si="31"/>
        <v>0</v>
      </c>
    </row>
    <row r="493" spans="1:14" x14ac:dyDescent="0.4">
      <c r="A493" t="s">
        <v>227</v>
      </c>
      <c r="B493" t="s">
        <v>28</v>
      </c>
      <c r="C493" t="s">
        <v>29</v>
      </c>
      <c r="D493" t="s">
        <v>33</v>
      </c>
      <c r="E493" s="1">
        <v>45233</v>
      </c>
      <c r="F493">
        <v>149</v>
      </c>
      <c r="G493">
        <v>69</v>
      </c>
      <c r="H493">
        <v>177.83</v>
      </c>
      <c r="I493">
        <v>163.35</v>
      </c>
      <c r="J493" t="s">
        <v>19</v>
      </c>
      <c r="K493">
        <f t="shared" si="28"/>
        <v>24339.149999999998</v>
      </c>
      <c r="L493">
        <f t="shared" si="29"/>
        <v>-2157.5200000000027</v>
      </c>
      <c r="M493">
        <f t="shared" si="30"/>
        <v>2.1594202898550723</v>
      </c>
      <c r="N493">
        <f t="shared" si="31"/>
        <v>0</v>
      </c>
    </row>
    <row r="494" spans="1:14" x14ac:dyDescent="0.4">
      <c r="A494" t="s">
        <v>148</v>
      </c>
      <c r="B494" t="s">
        <v>21</v>
      </c>
      <c r="C494" t="s">
        <v>52</v>
      </c>
      <c r="D494" t="s">
        <v>37</v>
      </c>
      <c r="E494" s="1">
        <v>45056</v>
      </c>
      <c r="F494">
        <v>15</v>
      </c>
      <c r="G494">
        <v>289</v>
      </c>
      <c r="H494">
        <v>497.65</v>
      </c>
      <c r="I494">
        <v>448.27</v>
      </c>
      <c r="J494" t="s">
        <v>34</v>
      </c>
      <c r="K494">
        <f t="shared" si="28"/>
        <v>6724.0499999999993</v>
      </c>
      <c r="L494">
        <f t="shared" si="29"/>
        <v>-740.69999999999993</v>
      </c>
      <c r="M494">
        <f t="shared" si="30"/>
        <v>5.1903114186851208E-2</v>
      </c>
      <c r="N494">
        <f t="shared" si="31"/>
        <v>0</v>
      </c>
    </row>
    <row r="495" spans="1:14" x14ac:dyDescent="0.4">
      <c r="A495" t="s">
        <v>175</v>
      </c>
      <c r="B495" t="s">
        <v>11</v>
      </c>
      <c r="C495" t="s">
        <v>12</v>
      </c>
      <c r="D495" t="s">
        <v>97</v>
      </c>
      <c r="E495" s="1">
        <v>45630</v>
      </c>
      <c r="F495">
        <v>145</v>
      </c>
      <c r="G495">
        <v>86</v>
      </c>
      <c r="H495">
        <v>484.95</v>
      </c>
      <c r="I495">
        <v>284.16000000000003</v>
      </c>
      <c r="J495" t="s">
        <v>14</v>
      </c>
      <c r="K495">
        <f t="shared" si="28"/>
        <v>41203.200000000004</v>
      </c>
      <c r="L495">
        <f t="shared" si="29"/>
        <v>-29114.549999999996</v>
      </c>
      <c r="M495">
        <f t="shared" si="30"/>
        <v>1.6860465116279071</v>
      </c>
      <c r="N495">
        <f t="shared" si="31"/>
        <v>0</v>
      </c>
    </row>
    <row r="496" spans="1:14" x14ac:dyDescent="0.4">
      <c r="A496" t="s">
        <v>168</v>
      </c>
      <c r="B496" t="s">
        <v>43</v>
      </c>
      <c r="C496" t="s">
        <v>12</v>
      </c>
      <c r="D496" t="s">
        <v>18</v>
      </c>
      <c r="E496" s="1">
        <v>45158</v>
      </c>
      <c r="F496">
        <v>196</v>
      </c>
      <c r="G496">
        <v>55</v>
      </c>
      <c r="H496">
        <v>248.33</v>
      </c>
      <c r="I496">
        <v>607.07000000000005</v>
      </c>
      <c r="J496" t="s">
        <v>19</v>
      </c>
      <c r="K496">
        <f t="shared" si="28"/>
        <v>118985.72000000002</v>
      </c>
      <c r="L496">
        <f t="shared" si="29"/>
        <v>70313.040000000008</v>
      </c>
      <c r="M496">
        <f t="shared" si="30"/>
        <v>3.5636363636363635</v>
      </c>
      <c r="N496">
        <f t="shared" si="31"/>
        <v>0</v>
      </c>
    </row>
    <row r="497" spans="1:14" x14ac:dyDescent="0.4">
      <c r="A497" t="s">
        <v>112</v>
      </c>
      <c r="B497" t="s">
        <v>58</v>
      </c>
      <c r="C497" t="s">
        <v>29</v>
      </c>
      <c r="D497" t="s">
        <v>45</v>
      </c>
      <c r="E497" s="1">
        <v>45011</v>
      </c>
      <c r="F497">
        <v>181</v>
      </c>
      <c r="G497">
        <v>112</v>
      </c>
      <c r="H497">
        <v>167.18</v>
      </c>
      <c r="I497">
        <v>232.69</v>
      </c>
      <c r="J497" t="s">
        <v>14</v>
      </c>
      <c r="K497">
        <f t="shared" si="28"/>
        <v>42116.89</v>
      </c>
      <c r="L497">
        <f t="shared" si="29"/>
        <v>11857.309999999998</v>
      </c>
      <c r="M497">
        <f t="shared" si="30"/>
        <v>1.6160714285714286</v>
      </c>
      <c r="N497">
        <f t="shared" si="31"/>
        <v>0</v>
      </c>
    </row>
    <row r="498" spans="1:14" x14ac:dyDescent="0.4">
      <c r="A498" t="s">
        <v>71</v>
      </c>
      <c r="B498" t="s">
        <v>43</v>
      </c>
      <c r="C498" t="s">
        <v>17</v>
      </c>
      <c r="D498" t="s">
        <v>66</v>
      </c>
      <c r="E498" s="1">
        <v>45046</v>
      </c>
      <c r="F498">
        <v>99</v>
      </c>
      <c r="G498">
        <v>12</v>
      </c>
      <c r="H498">
        <v>427.28</v>
      </c>
      <c r="I498">
        <v>724.57</v>
      </c>
      <c r="J498" t="s">
        <v>23</v>
      </c>
      <c r="K498">
        <f t="shared" si="28"/>
        <v>71732.430000000008</v>
      </c>
      <c r="L498">
        <f t="shared" si="29"/>
        <v>29431.710000000006</v>
      </c>
      <c r="M498">
        <f t="shared" si="30"/>
        <v>8.25</v>
      </c>
      <c r="N498">
        <f t="shared" si="31"/>
        <v>0</v>
      </c>
    </row>
    <row r="499" spans="1:14" x14ac:dyDescent="0.4">
      <c r="A499" t="s">
        <v>48</v>
      </c>
      <c r="B499" t="s">
        <v>39</v>
      </c>
      <c r="C499" t="s">
        <v>29</v>
      </c>
      <c r="D499" t="s">
        <v>65</v>
      </c>
      <c r="E499" s="1">
        <v>45207</v>
      </c>
      <c r="F499">
        <v>29</v>
      </c>
      <c r="G499">
        <v>17</v>
      </c>
      <c r="H499">
        <v>372.03</v>
      </c>
      <c r="I499">
        <v>401.66</v>
      </c>
      <c r="J499" t="s">
        <v>34</v>
      </c>
      <c r="K499">
        <f t="shared" si="28"/>
        <v>11648.140000000001</v>
      </c>
      <c r="L499">
        <f t="shared" si="29"/>
        <v>859.27000000000157</v>
      </c>
      <c r="M499">
        <f t="shared" si="30"/>
        <v>1.7058823529411764</v>
      </c>
      <c r="N499">
        <f t="shared" si="31"/>
        <v>0</v>
      </c>
    </row>
    <row r="500" spans="1:14" x14ac:dyDescent="0.4">
      <c r="A500" t="s">
        <v>124</v>
      </c>
      <c r="B500" t="s">
        <v>58</v>
      </c>
      <c r="C500" t="s">
        <v>29</v>
      </c>
      <c r="D500" t="s">
        <v>132</v>
      </c>
      <c r="E500" s="1">
        <v>45181</v>
      </c>
      <c r="F500">
        <v>44</v>
      </c>
      <c r="G500">
        <v>181</v>
      </c>
      <c r="H500">
        <v>359.12</v>
      </c>
      <c r="I500">
        <v>238.6</v>
      </c>
      <c r="J500" t="s">
        <v>23</v>
      </c>
      <c r="K500">
        <f t="shared" si="28"/>
        <v>10498.4</v>
      </c>
      <c r="L500">
        <f t="shared" si="29"/>
        <v>-5302.88</v>
      </c>
      <c r="M500">
        <f t="shared" si="30"/>
        <v>0.24309392265193369</v>
      </c>
      <c r="N500">
        <f t="shared" si="31"/>
        <v>0</v>
      </c>
    </row>
    <row r="501" spans="1:14" x14ac:dyDescent="0.4">
      <c r="A501" t="s">
        <v>228</v>
      </c>
      <c r="B501" t="s">
        <v>21</v>
      </c>
      <c r="C501" t="s">
        <v>29</v>
      </c>
      <c r="D501" t="s">
        <v>66</v>
      </c>
      <c r="E501" s="1">
        <v>45603</v>
      </c>
      <c r="F501">
        <v>18</v>
      </c>
      <c r="G501">
        <v>112</v>
      </c>
      <c r="H501">
        <v>451.9</v>
      </c>
      <c r="I501">
        <v>406.62</v>
      </c>
      <c r="J501" t="s">
        <v>34</v>
      </c>
      <c r="K501">
        <f t="shared" si="28"/>
        <v>7319.16</v>
      </c>
      <c r="L501">
        <f t="shared" si="29"/>
        <v>-815.03999999999951</v>
      </c>
      <c r="M501">
        <f t="shared" si="30"/>
        <v>0.16071428571428573</v>
      </c>
      <c r="N501">
        <f t="shared" si="31"/>
        <v>0</v>
      </c>
    </row>
    <row r="502" spans="1:14" x14ac:dyDescent="0.4">
      <c r="A502" t="s">
        <v>35</v>
      </c>
      <c r="B502" t="s">
        <v>43</v>
      </c>
      <c r="C502" t="s">
        <v>17</v>
      </c>
      <c r="D502" t="s">
        <v>72</v>
      </c>
      <c r="E502" s="1">
        <v>45223</v>
      </c>
      <c r="F502">
        <v>33</v>
      </c>
      <c r="G502">
        <v>228</v>
      </c>
      <c r="H502">
        <v>360.24</v>
      </c>
      <c r="I502">
        <v>386.12</v>
      </c>
      <c r="J502" t="s">
        <v>14</v>
      </c>
      <c r="K502">
        <f t="shared" si="28"/>
        <v>12741.960000000001</v>
      </c>
      <c r="L502">
        <f t="shared" si="29"/>
        <v>854.03999999999985</v>
      </c>
      <c r="M502">
        <f t="shared" si="30"/>
        <v>0.14473684210526316</v>
      </c>
      <c r="N502">
        <f t="shared" si="31"/>
        <v>0</v>
      </c>
    </row>
    <row r="503" spans="1:14" x14ac:dyDescent="0.4">
      <c r="A503" t="s">
        <v>63</v>
      </c>
      <c r="B503" t="s">
        <v>25</v>
      </c>
      <c r="C503" t="s">
        <v>52</v>
      </c>
      <c r="D503" t="s">
        <v>132</v>
      </c>
      <c r="E503" s="1">
        <v>45319</v>
      </c>
      <c r="F503">
        <v>140</v>
      </c>
      <c r="G503">
        <v>170</v>
      </c>
      <c r="H503">
        <v>177.71</v>
      </c>
      <c r="I503">
        <v>400.24</v>
      </c>
      <c r="J503" t="s">
        <v>30</v>
      </c>
      <c r="K503">
        <f t="shared" si="28"/>
        <v>56033.599999999999</v>
      </c>
      <c r="L503">
        <f t="shared" si="29"/>
        <v>31154.2</v>
      </c>
      <c r="M503">
        <f t="shared" si="30"/>
        <v>0.82352941176470584</v>
      </c>
      <c r="N503">
        <f t="shared" si="31"/>
        <v>0</v>
      </c>
    </row>
    <row r="504" spans="1:14" x14ac:dyDescent="0.4">
      <c r="A504" t="s">
        <v>107</v>
      </c>
      <c r="B504" t="s">
        <v>58</v>
      </c>
      <c r="C504" t="s">
        <v>29</v>
      </c>
      <c r="D504" t="s">
        <v>18</v>
      </c>
      <c r="E504" s="1">
        <v>44850</v>
      </c>
      <c r="F504">
        <v>170</v>
      </c>
      <c r="G504">
        <v>294</v>
      </c>
      <c r="H504">
        <v>362.24</v>
      </c>
      <c r="I504">
        <v>509.89</v>
      </c>
      <c r="J504" t="s">
        <v>19</v>
      </c>
      <c r="K504">
        <f t="shared" si="28"/>
        <v>86681.3</v>
      </c>
      <c r="L504">
        <f t="shared" si="29"/>
        <v>25100.499999999996</v>
      </c>
      <c r="M504">
        <f t="shared" si="30"/>
        <v>0.57823129251700678</v>
      </c>
      <c r="N504">
        <f t="shared" si="31"/>
        <v>0</v>
      </c>
    </row>
    <row r="505" spans="1:14" x14ac:dyDescent="0.4">
      <c r="A505" t="s">
        <v>179</v>
      </c>
      <c r="B505" t="s">
        <v>16</v>
      </c>
      <c r="C505" t="s">
        <v>17</v>
      </c>
      <c r="D505" t="s">
        <v>47</v>
      </c>
      <c r="E505" s="1">
        <v>45282</v>
      </c>
      <c r="F505">
        <v>61</v>
      </c>
      <c r="G505">
        <v>188</v>
      </c>
      <c r="H505">
        <v>187.62</v>
      </c>
      <c r="I505">
        <v>464.82</v>
      </c>
      <c r="J505" t="s">
        <v>14</v>
      </c>
      <c r="K505">
        <f t="shared" si="28"/>
        <v>28354.02</v>
      </c>
      <c r="L505">
        <f t="shared" si="29"/>
        <v>16909.2</v>
      </c>
      <c r="M505">
        <f t="shared" si="30"/>
        <v>0.32446808510638298</v>
      </c>
      <c r="N505">
        <f t="shared" si="31"/>
        <v>0</v>
      </c>
    </row>
    <row r="506" spans="1:14" x14ac:dyDescent="0.4">
      <c r="A506" t="s">
        <v>70</v>
      </c>
      <c r="B506" t="s">
        <v>11</v>
      </c>
      <c r="C506" t="s">
        <v>52</v>
      </c>
      <c r="D506" t="s">
        <v>26</v>
      </c>
      <c r="E506" s="1">
        <v>45199</v>
      </c>
      <c r="F506">
        <v>117</v>
      </c>
      <c r="G506">
        <v>78</v>
      </c>
      <c r="H506">
        <v>391.66</v>
      </c>
      <c r="I506">
        <v>204.84</v>
      </c>
      <c r="J506" t="s">
        <v>34</v>
      </c>
      <c r="K506">
        <f t="shared" si="28"/>
        <v>23966.28</v>
      </c>
      <c r="L506">
        <f t="shared" si="29"/>
        <v>-21857.940000000002</v>
      </c>
      <c r="M506">
        <f t="shared" si="30"/>
        <v>1.5</v>
      </c>
      <c r="N506">
        <f t="shared" si="31"/>
        <v>0</v>
      </c>
    </row>
    <row r="507" spans="1:14" x14ac:dyDescent="0.4">
      <c r="A507" t="s">
        <v>20</v>
      </c>
      <c r="B507" t="s">
        <v>21</v>
      </c>
      <c r="C507" t="s">
        <v>29</v>
      </c>
      <c r="D507" t="s">
        <v>72</v>
      </c>
      <c r="E507" s="1">
        <v>44796</v>
      </c>
      <c r="F507">
        <v>99</v>
      </c>
      <c r="G507">
        <v>145</v>
      </c>
      <c r="H507">
        <v>328.89</v>
      </c>
      <c r="I507">
        <v>145.91</v>
      </c>
      <c r="J507" t="s">
        <v>34</v>
      </c>
      <c r="K507">
        <f t="shared" si="28"/>
        <v>14445.09</v>
      </c>
      <c r="L507">
        <f t="shared" si="29"/>
        <v>-18115.02</v>
      </c>
      <c r="M507">
        <f t="shared" si="30"/>
        <v>0.6827586206896552</v>
      </c>
      <c r="N507">
        <f t="shared" si="31"/>
        <v>0</v>
      </c>
    </row>
    <row r="508" spans="1:14" x14ac:dyDescent="0.4">
      <c r="A508" t="s">
        <v>185</v>
      </c>
      <c r="B508" t="s">
        <v>43</v>
      </c>
      <c r="C508" t="s">
        <v>12</v>
      </c>
      <c r="D508" t="s">
        <v>62</v>
      </c>
      <c r="E508" s="1">
        <v>44977</v>
      </c>
      <c r="F508">
        <v>21</v>
      </c>
      <c r="G508">
        <v>181</v>
      </c>
      <c r="H508">
        <v>84.84</v>
      </c>
      <c r="I508">
        <v>610.59</v>
      </c>
      <c r="J508" t="s">
        <v>34</v>
      </c>
      <c r="K508">
        <f t="shared" si="28"/>
        <v>12822.390000000001</v>
      </c>
      <c r="L508">
        <f t="shared" si="29"/>
        <v>11040.75</v>
      </c>
      <c r="M508">
        <f t="shared" si="30"/>
        <v>0.11602209944751381</v>
      </c>
      <c r="N508">
        <f t="shared" si="31"/>
        <v>0</v>
      </c>
    </row>
    <row r="509" spans="1:14" x14ac:dyDescent="0.4">
      <c r="A509" t="s">
        <v>229</v>
      </c>
      <c r="B509" t="s">
        <v>21</v>
      </c>
      <c r="C509" t="s">
        <v>52</v>
      </c>
      <c r="D509" t="s">
        <v>40</v>
      </c>
      <c r="E509" s="1">
        <v>45499</v>
      </c>
      <c r="F509">
        <v>179</v>
      </c>
      <c r="G509">
        <v>285</v>
      </c>
      <c r="H509">
        <v>280.77999999999997</v>
      </c>
      <c r="I509">
        <v>491.8</v>
      </c>
      <c r="J509" t="s">
        <v>34</v>
      </c>
      <c r="K509">
        <f t="shared" si="28"/>
        <v>88032.2</v>
      </c>
      <c r="L509">
        <f t="shared" si="29"/>
        <v>37772.580000000009</v>
      </c>
      <c r="M509">
        <f t="shared" si="30"/>
        <v>0.62807017543859645</v>
      </c>
      <c r="N509">
        <f t="shared" si="31"/>
        <v>0</v>
      </c>
    </row>
    <row r="510" spans="1:14" x14ac:dyDescent="0.4">
      <c r="A510" t="s">
        <v>117</v>
      </c>
      <c r="B510" t="s">
        <v>32</v>
      </c>
      <c r="C510" t="s">
        <v>29</v>
      </c>
      <c r="D510" t="s">
        <v>18</v>
      </c>
      <c r="E510" s="1">
        <v>45060</v>
      </c>
      <c r="F510">
        <v>179</v>
      </c>
      <c r="G510">
        <v>249</v>
      </c>
      <c r="H510">
        <v>204.49</v>
      </c>
      <c r="I510">
        <v>351.3</v>
      </c>
      <c r="J510" t="s">
        <v>19</v>
      </c>
      <c r="K510">
        <f t="shared" si="28"/>
        <v>62882.700000000004</v>
      </c>
      <c r="L510">
        <f t="shared" si="29"/>
        <v>26278.99</v>
      </c>
      <c r="M510">
        <f t="shared" si="30"/>
        <v>0.71887550200803207</v>
      </c>
      <c r="N510">
        <f t="shared" si="31"/>
        <v>0</v>
      </c>
    </row>
    <row r="511" spans="1:14" x14ac:dyDescent="0.4">
      <c r="A511" t="s">
        <v>181</v>
      </c>
      <c r="B511" t="s">
        <v>11</v>
      </c>
      <c r="C511" t="s">
        <v>52</v>
      </c>
      <c r="D511" t="s">
        <v>66</v>
      </c>
      <c r="E511" s="1">
        <v>45535</v>
      </c>
      <c r="F511">
        <v>110</v>
      </c>
      <c r="G511">
        <v>195</v>
      </c>
      <c r="H511">
        <v>197.86</v>
      </c>
      <c r="I511">
        <v>665.85</v>
      </c>
      <c r="J511" t="s">
        <v>23</v>
      </c>
      <c r="K511">
        <f t="shared" si="28"/>
        <v>73243.5</v>
      </c>
      <c r="L511">
        <f t="shared" si="29"/>
        <v>51478.9</v>
      </c>
      <c r="M511">
        <f t="shared" si="30"/>
        <v>0.5641025641025641</v>
      </c>
      <c r="N511">
        <f t="shared" si="31"/>
        <v>0</v>
      </c>
    </row>
    <row r="512" spans="1:14" x14ac:dyDescent="0.4">
      <c r="A512" t="s">
        <v>147</v>
      </c>
      <c r="B512" t="s">
        <v>25</v>
      </c>
      <c r="C512" t="s">
        <v>52</v>
      </c>
      <c r="D512" t="s">
        <v>65</v>
      </c>
      <c r="E512" s="1">
        <v>45195</v>
      </c>
      <c r="F512">
        <v>163</v>
      </c>
      <c r="G512">
        <v>70</v>
      </c>
      <c r="H512">
        <v>321.02</v>
      </c>
      <c r="I512">
        <v>371.64</v>
      </c>
      <c r="J512" t="s">
        <v>30</v>
      </c>
      <c r="K512">
        <f t="shared" si="28"/>
        <v>60577.32</v>
      </c>
      <c r="L512">
        <f t="shared" si="29"/>
        <v>8251.0600000000013</v>
      </c>
      <c r="M512">
        <f t="shared" si="30"/>
        <v>2.3285714285714287</v>
      </c>
      <c r="N512">
        <f t="shared" si="31"/>
        <v>0</v>
      </c>
    </row>
    <row r="513" spans="1:14" x14ac:dyDescent="0.4">
      <c r="A513" t="s">
        <v>157</v>
      </c>
      <c r="B513" t="s">
        <v>58</v>
      </c>
      <c r="C513" t="s">
        <v>52</v>
      </c>
      <c r="D513" t="s">
        <v>75</v>
      </c>
      <c r="E513" s="1">
        <v>45581</v>
      </c>
      <c r="F513">
        <v>72</v>
      </c>
      <c r="G513">
        <v>247</v>
      </c>
      <c r="H513">
        <v>195.05</v>
      </c>
      <c r="I513">
        <v>657.18</v>
      </c>
      <c r="J513" t="s">
        <v>19</v>
      </c>
      <c r="K513">
        <f t="shared" si="28"/>
        <v>47316.959999999999</v>
      </c>
      <c r="L513">
        <f t="shared" si="29"/>
        <v>33273.359999999993</v>
      </c>
      <c r="M513">
        <f t="shared" si="30"/>
        <v>0.291497975708502</v>
      </c>
      <c r="N513">
        <f t="shared" si="31"/>
        <v>0</v>
      </c>
    </row>
    <row r="514" spans="1:14" x14ac:dyDescent="0.4">
      <c r="A514" t="s">
        <v>159</v>
      </c>
      <c r="B514" t="s">
        <v>58</v>
      </c>
      <c r="C514" t="s">
        <v>52</v>
      </c>
      <c r="D514" t="s">
        <v>41</v>
      </c>
      <c r="E514" s="1">
        <v>44676</v>
      </c>
      <c r="F514">
        <v>146</v>
      </c>
      <c r="G514">
        <v>145</v>
      </c>
      <c r="H514">
        <v>399.6</v>
      </c>
      <c r="I514">
        <v>314.02999999999997</v>
      </c>
      <c r="J514" t="s">
        <v>34</v>
      </c>
      <c r="K514">
        <f t="shared" si="28"/>
        <v>45848.38</v>
      </c>
      <c r="L514">
        <f t="shared" si="29"/>
        <v>-12493.220000000007</v>
      </c>
      <c r="M514">
        <f t="shared" si="30"/>
        <v>1.0068965517241379</v>
      </c>
      <c r="N514">
        <f t="shared" si="31"/>
        <v>0</v>
      </c>
    </row>
    <row r="515" spans="1:14" x14ac:dyDescent="0.4">
      <c r="A515" t="s">
        <v>152</v>
      </c>
      <c r="B515" t="s">
        <v>58</v>
      </c>
      <c r="C515" t="s">
        <v>52</v>
      </c>
      <c r="D515" t="s">
        <v>53</v>
      </c>
      <c r="E515" s="1">
        <v>45493</v>
      </c>
      <c r="F515">
        <v>37</v>
      </c>
      <c r="G515">
        <v>105</v>
      </c>
      <c r="H515">
        <v>81.86</v>
      </c>
      <c r="I515">
        <v>150.99</v>
      </c>
      <c r="J515" t="s">
        <v>19</v>
      </c>
      <c r="K515">
        <f t="shared" ref="K515:K578" si="32">F515 * I515</f>
        <v>5586.63</v>
      </c>
      <c r="L515">
        <f t="shared" ref="L515:L578" si="33">(I515 - H515) * F515</f>
        <v>2557.8100000000004</v>
      </c>
      <c r="M515">
        <f t="shared" ref="M515:M578" si="34">IF(G515=0, 0, F515/G515)</f>
        <v>0.35238095238095241</v>
      </c>
      <c r="N515">
        <f t="shared" ref="N515:N578" si="35">IF(G515=0, 1, 0)</f>
        <v>0</v>
      </c>
    </row>
    <row r="516" spans="1:14" x14ac:dyDescent="0.4">
      <c r="A516" t="s">
        <v>179</v>
      </c>
      <c r="B516" t="s">
        <v>11</v>
      </c>
      <c r="C516" t="s">
        <v>52</v>
      </c>
      <c r="D516" t="s">
        <v>132</v>
      </c>
      <c r="E516" s="1">
        <v>45235</v>
      </c>
      <c r="F516">
        <v>69</v>
      </c>
      <c r="G516">
        <v>262</v>
      </c>
      <c r="H516">
        <v>347.17</v>
      </c>
      <c r="I516">
        <v>752.85</v>
      </c>
      <c r="J516" t="s">
        <v>14</v>
      </c>
      <c r="K516">
        <f t="shared" si="32"/>
        <v>51946.65</v>
      </c>
      <c r="L516">
        <f t="shared" si="33"/>
        <v>27991.920000000002</v>
      </c>
      <c r="M516">
        <f t="shared" si="34"/>
        <v>0.26335877862595419</v>
      </c>
      <c r="N516">
        <f t="shared" si="35"/>
        <v>0</v>
      </c>
    </row>
    <row r="517" spans="1:14" x14ac:dyDescent="0.4">
      <c r="A517" t="s">
        <v>224</v>
      </c>
      <c r="B517" t="s">
        <v>16</v>
      </c>
      <c r="C517" t="s">
        <v>29</v>
      </c>
      <c r="D517" t="s">
        <v>53</v>
      </c>
      <c r="E517" s="1">
        <v>45596</v>
      </c>
      <c r="F517">
        <v>115</v>
      </c>
      <c r="G517">
        <v>295</v>
      </c>
      <c r="H517">
        <v>414.14</v>
      </c>
      <c r="I517">
        <v>376.19</v>
      </c>
      <c r="J517" t="s">
        <v>34</v>
      </c>
      <c r="K517">
        <f t="shared" si="32"/>
        <v>43261.85</v>
      </c>
      <c r="L517">
        <f t="shared" si="33"/>
        <v>-4364.2499999999991</v>
      </c>
      <c r="M517">
        <f t="shared" si="34"/>
        <v>0.38983050847457629</v>
      </c>
      <c r="N517">
        <f t="shared" si="35"/>
        <v>0</v>
      </c>
    </row>
    <row r="518" spans="1:14" x14ac:dyDescent="0.4">
      <c r="A518" t="s">
        <v>223</v>
      </c>
      <c r="B518" t="s">
        <v>39</v>
      </c>
      <c r="C518" t="s">
        <v>12</v>
      </c>
      <c r="D518" t="s">
        <v>75</v>
      </c>
      <c r="E518" s="1">
        <v>44767</v>
      </c>
      <c r="F518">
        <v>78</v>
      </c>
      <c r="G518">
        <v>69</v>
      </c>
      <c r="H518">
        <v>352.77</v>
      </c>
      <c r="I518">
        <v>654.88</v>
      </c>
      <c r="J518" t="s">
        <v>30</v>
      </c>
      <c r="K518">
        <f t="shared" si="32"/>
        <v>51080.639999999999</v>
      </c>
      <c r="L518">
        <f t="shared" si="33"/>
        <v>23564.58</v>
      </c>
      <c r="M518">
        <f t="shared" si="34"/>
        <v>1.1304347826086956</v>
      </c>
      <c r="N518">
        <f t="shared" si="35"/>
        <v>0</v>
      </c>
    </row>
    <row r="519" spans="1:14" x14ac:dyDescent="0.4">
      <c r="A519" t="s">
        <v>77</v>
      </c>
      <c r="B519" t="s">
        <v>36</v>
      </c>
      <c r="C519" t="s">
        <v>17</v>
      </c>
      <c r="D519" t="s">
        <v>22</v>
      </c>
      <c r="E519" s="1">
        <v>44808</v>
      </c>
      <c r="F519">
        <v>184</v>
      </c>
      <c r="G519">
        <v>192</v>
      </c>
      <c r="H519">
        <v>273.75</v>
      </c>
      <c r="I519">
        <v>295.39999999999998</v>
      </c>
      <c r="J519" t="s">
        <v>34</v>
      </c>
      <c r="K519">
        <f t="shared" si="32"/>
        <v>54353.599999999999</v>
      </c>
      <c r="L519">
        <f t="shared" si="33"/>
        <v>3983.5999999999958</v>
      </c>
      <c r="M519">
        <f t="shared" si="34"/>
        <v>0.95833333333333337</v>
      </c>
      <c r="N519">
        <f t="shared" si="35"/>
        <v>0</v>
      </c>
    </row>
    <row r="520" spans="1:14" x14ac:dyDescent="0.4">
      <c r="A520" t="s">
        <v>193</v>
      </c>
      <c r="B520" t="s">
        <v>28</v>
      </c>
      <c r="C520" t="s">
        <v>52</v>
      </c>
      <c r="D520" t="s">
        <v>145</v>
      </c>
      <c r="E520" s="1">
        <v>45319</v>
      </c>
      <c r="F520">
        <v>147</v>
      </c>
      <c r="G520">
        <v>67</v>
      </c>
      <c r="H520">
        <v>477.64</v>
      </c>
      <c r="I520">
        <v>552.46</v>
      </c>
      <c r="J520" t="s">
        <v>30</v>
      </c>
      <c r="K520">
        <f t="shared" si="32"/>
        <v>81211.62000000001</v>
      </c>
      <c r="L520">
        <f t="shared" si="33"/>
        <v>10998.540000000008</v>
      </c>
      <c r="M520">
        <f t="shared" si="34"/>
        <v>2.1940298507462686</v>
      </c>
      <c r="N520">
        <f t="shared" si="35"/>
        <v>0</v>
      </c>
    </row>
    <row r="521" spans="1:14" x14ac:dyDescent="0.4">
      <c r="A521" t="s">
        <v>181</v>
      </c>
      <c r="B521" t="s">
        <v>43</v>
      </c>
      <c r="C521" t="s">
        <v>17</v>
      </c>
      <c r="D521" t="s">
        <v>132</v>
      </c>
      <c r="E521" s="1">
        <v>44708</v>
      </c>
      <c r="F521">
        <v>8</v>
      </c>
      <c r="G521">
        <v>51</v>
      </c>
      <c r="H521">
        <v>184.97</v>
      </c>
      <c r="I521">
        <v>711.32</v>
      </c>
      <c r="J521" t="s">
        <v>30</v>
      </c>
      <c r="K521">
        <f t="shared" si="32"/>
        <v>5690.56</v>
      </c>
      <c r="L521">
        <f t="shared" si="33"/>
        <v>4210.8</v>
      </c>
      <c r="M521">
        <f t="shared" si="34"/>
        <v>0.15686274509803921</v>
      </c>
      <c r="N521">
        <f t="shared" si="35"/>
        <v>0</v>
      </c>
    </row>
    <row r="522" spans="1:14" x14ac:dyDescent="0.4">
      <c r="A522" t="s">
        <v>200</v>
      </c>
      <c r="B522" t="s">
        <v>16</v>
      </c>
      <c r="C522" t="s">
        <v>29</v>
      </c>
      <c r="D522" t="s">
        <v>33</v>
      </c>
      <c r="E522" s="1">
        <v>44679</v>
      </c>
      <c r="F522">
        <v>31</v>
      </c>
      <c r="G522">
        <v>284</v>
      </c>
      <c r="H522">
        <v>58.63</v>
      </c>
      <c r="I522">
        <v>129.15</v>
      </c>
      <c r="J522" t="s">
        <v>23</v>
      </c>
      <c r="K522">
        <f t="shared" si="32"/>
        <v>4003.65</v>
      </c>
      <c r="L522">
        <f t="shared" si="33"/>
        <v>2186.1200000000003</v>
      </c>
      <c r="M522">
        <f t="shared" si="34"/>
        <v>0.10915492957746478</v>
      </c>
      <c r="N522">
        <f t="shared" si="35"/>
        <v>0</v>
      </c>
    </row>
    <row r="523" spans="1:14" x14ac:dyDescent="0.4">
      <c r="A523" t="s">
        <v>230</v>
      </c>
      <c r="B523" t="s">
        <v>25</v>
      </c>
      <c r="C523" t="s">
        <v>52</v>
      </c>
      <c r="D523" t="s">
        <v>66</v>
      </c>
      <c r="E523" s="1">
        <v>44973</v>
      </c>
      <c r="F523">
        <v>131</v>
      </c>
      <c r="G523">
        <v>8</v>
      </c>
      <c r="H523">
        <v>244.4</v>
      </c>
      <c r="I523">
        <v>681.45</v>
      </c>
      <c r="J523" t="s">
        <v>23</v>
      </c>
      <c r="K523">
        <f t="shared" si="32"/>
        <v>89269.950000000012</v>
      </c>
      <c r="L523">
        <f t="shared" si="33"/>
        <v>57253.55000000001</v>
      </c>
      <c r="M523">
        <f t="shared" si="34"/>
        <v>16.375</v>
      </c>
      <c r="N523">
        <f t="shared" si="35"/>
        <v>0</v>
      </c>
    </row>
    <row r="524" spans="1:14" x14ac:dyDescent="0.4">
      <c r="A524" t="s">
        <v>171</v>
      </c>
      <c r="B524" t="s">
        <v>43</v>
      </c>
      <c r="C524" t="s">
        <v>12</v>
      </c>
      <c r="D524" t="s">
        <v>97</v>
      </c>
      <c r="E524" s="1">
        <v>44924</v>
      </c>
      <c r="F524">
        <v>49</v>
      </c>
      <c r="G524">
        <v>250</v>
      </c>
      <c r="H524">
        <v>64.86</v>
      </c>
      <c r="I524">
        <v>499.93</v>
      </c>
      <c r="J524" t="s">
        <v>19</v>
      </c>
      <c r="K524">
        <f t="shared" si="32"/>
        <v>24496.57</v>
      </c>
      <c r="L524">
        <f t="shared" si="33"/>
        <v>21318.43</v>
      </c>
      <c r="M524">
        <f t="shared" si="34"/>
        <v>0.19600000000000001</v>
      </c>
      <c r="N524">
        <f t="shared" si="35"/>
        <v>0</v>
      </c>
    </row>
    <row r="525" spans="1:14" x14ac:dyDescent="0.4">
      <c r="A525" t="s">
        <v>49</v>
      </c>
      <c r="B525" t="s">
        <v>58</v>
      </c>
      <c r="C525" t="s">
        <v>17</v>
      </c>
      <c r="D525" t="s">
        <v>75</v>
      </c>
      <c r="E525" s="1">
        <v>44698</v>
      </c>
      <c r="F525">
        <v>81</v>
      </c>
      <c r="G525">
        <v>297</v>
      </c>
      <c r="H525">
        <v>479.27</v>
      </c>
      <c r="I525">
        <v>525.23</v>
      </c>
      <c r="J525" t="s">
        <v>19</v>
      </c>
      <c r="K525">
        <f t="shared" si="32"/>
        <v>42543.630000000005</v>
      </c>
      <c r="L525">
        <f t="shared" si="33"/>
        <v>3722.7600000000029</v>
      </c>
      <c r="M525">
        <f t="shared" si="34"/>
        <v>0.27272727272727271</v>
      </c>
      <c r="N525">
        <f t="shared" si="35"/>
        <v>0</v>
      </c>
    </row>
    <row r="526" spans="1:14" x14ac:dyDescent="0.4">
      <c r="A526" t="s">
        <v>129</v>
      </c>
      <c r="B526" t="s">
        <v>21</v>
      </c>
      <c r="C526" t="s">
        <v>52</v>
      </c>
      <c r="D526" t="s">
        <v>47</v>
      </c>
      <c r="E526" s="1">
        <v>45519</v>
      </c>
      <c r="F526">
        <v>4</v>
      </c>
      <c r="G526">
        <v>183</v>
      </c>
      <c r="H526">
        <v>144.46</v>
      </c>
      <c r="I526">
        <v>466.21</v>
      </c>
      <c r="J526" t="s">
        <v>30</v>
      </c>
      <c r="K526">
        <f t="shared" si="32"/>
        <v>1864.84</v>
      </c>
      <c r="L526">
        <f t="shared" si="33"/>
        <v>1287</v>
      </c>
      <c r="M526">
        <f t="shared" si="34"/>
        <v>2.185792349726776E-2</v>
      </c>
      <c r="N526">
        <f t="shared" si="35"/>
        <v>0</v>
      </c>
    </row>
    <row r="527" spans="1:14" x14ac:dyDescent="0.4">
      <c r="A527" t="s">
        <v>140</v>
      </c>
      <c r="B527" t="s">
        <v>25</v>
      </c>
      <c r="C527" t="s">
        <v>29</v>
      </c>
      <c r="D527" t="s">
        <v>37</v>
      </c>
      <c r="E527" s="1">
        <v>44580</v>
      </c>
      <c r="F527">
        <v>147</v>
      </c>
      <c r="G527">
        <v>178</v>
      </c>
      <c r="H527">
        <v>405.02</v>
      </c>
      <c r="I527">
        <v>712.13</v>
      </c>
      <c r="J527" t="s">
        <v>34</v>
      </c>
      <c r="K527">
        <f t="shared" si="32"/>
        <v>104683.11</v>
      </c>
      <c r="L527">
        <f t="shared" si="33"/>
        <v>45145.170000000006</v>
      </c>
      <c r="M527">
        <f t="shared" si="34"/>
        <v>0.8258426966292135</v>
      </c>
      <c r="N527">
        <f t="shared" si="35"/>
        <v>0</v>
      </c>
    </row>
    <row r="528" spans="1:14" x14ac:dyDescent="0.4">
      <c r="A528" t="s">
        <v>226</v>
      </c>
      <c r="B528" t="s">
        <v>43</v>
      </c>
      <c r="C528" t="s">
        <v>12</v>
      </c>
      <c r="D528" t="s">
        <v>26</v>
      </c>
      <c r="E528" s="1">
        <v>44756</v>
      </c>
      <c r="F528">
        <v>86</v>
      </c>
      <c r="G528">
        <v>197</v>
      </c>
      <c r="H528">
        <v>398.56</v>
      </c>
      <c r="I528">
        <v>130.4</v>
      </c>
      <c r="J528" t="s">
        <v>14</v>
      </c>
      <c r="K528">
        <f t="shared" si="32"/>
        <v>11214.4</v>
      </c>
      <c r="L528">
        <f t="shared" si="33"/>
        <v>-23061.759999999998</v>
      </c>
      <c r="M528">
        <f t="shared" si="34"/>
        <v>0.43654822335025378</v>
      </c>
      <c r="N528">
        <f t="shared" si="35"/>
        <v>0</v>
      </c>
    </row>
    <row r="529" spans="1:14" x14ac:dyDescent="0.4">
      <c r="A529" t="s">
        <v>231</v>
      </c>
      <c r="B529" t="s">
        <v>58</v>
      </c>
      <c r="C529" t="s">
        <v>17</v>
      </c>
      <c r="D529" t="s">
        <v>45</v>
      </c>
      <c r="E529" s="1">
        <v>44891</v>
      </c>
      <c r="F529">
        <v>125</v>
      </c>
      <c r="G529">
        <v>127</v>
      </c>
      <c r="H529">
        <v>147.97999999999999</v>
      </c>
      <c r="I529">
        <v>282.72000000000003</v>
      </c>
      <c r="J529" t="s">
        <v>14</v>
      </c>
      <c r="K529">
        <f t="shared" si="32"/>
        <v>35340</v>
      </c>
      <c r="L529">
        <f t="shared" si="33"/>
        <v>16842.500000000004</v>
      </c>
      <c r="M529">
        <f t="shared" si="34"/>
        <v>0.98425196850393704</v>
      </c>
      <c r="N529">
        <f t="shared" si="35"/>
        <v>0</v>
      </c>
    </row>
    <row r="530" spans="1:14" x14ac:dyDescent="0.4">
      <c r="A530" t="s">
        <v>179</v>
      </c>
      <c r="B530" t="s">
        <v>43</v>
      </c>
      <c r="C530" t="s">
        <v>17</v>
      </c>
      <c r="D530" t="s">
        <v>69</v>
      </c>
      <c r="E530" s="1">
        <v>44736</v>
      </c>
      <c r="F530">
        <v>74</v>
      </c>
      <c r="G530">
        <v>19</v>
      </c>
      <c r="H530">
        <v>329.55</v>
      </c>
      <c r="I530">
        <v>713.03</v>
      </c>
      <c r="J530" t="s">
        <v>34</v>
      </c>
      <c r="K530">
        <f t="shared" si="32"/>
        <v>52764.22</v>
      </c>
      <c r="L530">
        <f t="shared" si="33"/>
        <v>28377.519999999997</v>
      </c>
      <c r="M530">
        <f t="shared" si="34"/>
        <v>3.8947368421052633</v>
      </c>
      <c r="N530">
        <f t="shared" si="35"/>
        <v>0</v>
      </c>
    </row>
    <row r="531" spans="1:14" x14ac:dyDescent="0.4">
      <c r="A531" t="s">
        <v>49</v>
      </c>
      <c r="B531" t="s">
        <v>21</v>
      </c>
      <c r="C531" t="s">
        <v>52</v>
      </c>
      <c r="D531" t="s">
        <v>33</v>
      </c>
      <c r="E531" s="1">
        <v>45563</v>
      </c>
      <c r="F531">
        <v>164</v>
      </c>
      <c r="G531">
        <v>64</v>
      </c>
      <c r="H531">
        <v>71.64</v>
      </c>
      <c r="I531">
        <v>626.64</v>
      </c>
      <c r="J531" t="s">
        <v>34</v>
      </c>
      <c r="K531">
        <f t="shared" si="32"/>
        <v>102768.95999999999</v>
      </c>
      <c r="L531">
        <f t="shared" si="33"/>
        <v>91020</v>
      </c>
      <c r="M531">
        <f t="shared" si="34"/>
        <v>2.5625</v>
      </c>
      <c r="N531">
        <f t="shared" si="35"/>
        <v>0</v>
      </c>
    </row>
    <row r="532" spans="1:14" x14ac:dyDescent="0.4">
      <c r="A532" t="s">
        <v>227</v>
      </c>
      <c r="B532" t="s">
        <v>58</v>
      </c>
      <c r="C532" t="s">
        <v>12</v>
      </c>
      <c r="D532" t="s">
        <v>53</v>
      </c>
      <c r="E532" s="1">
        <v>45010</v>
      </c>
      <c r="F532">
        <v>21</v>
      </c>
      <c r="G532">
        <v>181</v>
      </c>
      <c r="H532">
        <v>267.61</v>
      </c>
      <c r="I532">
        <v>112.35</v>
      </c>
      <c r="J532" t="s">
        <v>23</v>
      </c>
      <c r="K532">
        <f t="shared" si="32"/>
        <v>2359.35</v>
      </c>
      <c r="L532">
        <f t="shared" si="33"/>
        <v>-3260.4600000000005</v>
      </c>
      <c r="M532">
        <f t="shared" si="34"/>
        <v>0.11602209944751381</v>
      </c>
      <c r="N532">
        <f t="shared" si="35"/>
        <v>0</v>
      </c>
    </row>
    <row r="533" spans="1:14" x14ac:dyDescent="0.4">
      <c r="A533" t="s">
        <v>15</v>
      </c>
      <c r="B533" t="s">
        <v>39</v>
      </c>
      <c r="C533" t="s">
        <v>12</v>
      </c>
      <c r="D533" t="s">
        <v>47</v>
      </c>
      <c r="E533" s="1">
        <v>45507</v>
      </c>
      <c r="F533">
        <v>185</v>
      </c>
      <c r="G533">
        <v>240</v>
      </c>
      <c r="H533">
        <v>56.59</v>
      </c>
      <c r="I533">
        <v>461.9</v>
      </c>
      <c r="J533" t="s">
        <v>14</v>
      </c>
      <c r="K533">
        <f t="shared" si="32"/>
        <v>85451.5</v>
      </c>
      <c r="L533">
        <f t="shared" si="33"/>
        <v>74982.349999999991</v>
      </c>
      <c r="M533">
        <f t="shared" si="34"/>
        <v>0.77083333333333337</v>
      </c>
      <c r="N533">
        <f t="shared" si="35"/>
        <v>0</v>
      </c>
    </row>
    <row r="534" spans="1:14" x14ac:dyDescent="0.4">
      <c r="A534" t="s">
        <v>232</v>
      </c>
      <c r="B534" t="s">
        <v>16</v>
      </c>
      <c r="C534" t="s">
        <v>12</v>
      </c>
      <c r="D534" t="s">
        <v>40</v>
      </c>
      <c r="E534" s="1">
        <v>44702</v>
      </c>
      <c r="F534">
        <v>67</v>
      </c>
      <c r="G534">
        <v>23</v>
      </c>
      <c r="H534">
        <v>464.51</v>
      </c>
      <c r="I534">
        <v>470.7</v>
      </c>
      <c r="J534" t="s">
        <v>30</v>
      </c>
      <c r="K534">
        <f t="shared" si="32"/>
        <v>31536.899999999998</v>
      </c>
      <c r="L534">
        <f t="shared" si="33"/>
        <v>414.72999999999985</v>
      </c>
      <c r="M534">
        <f t="shared" si="34"/>
        <v>2.9130434782608696</v>
      </c>
      <c r="N534">
        <f t="shared" si="35"/>
        <v>0</v>
      </c>
    </row>
    <row r="535" spans="1:14" x14ac:dyDescent="0.4">
      <c r="A535" t="s">
        <v>174</v>
      </c>
      <c r="B535" t="s">
        <v>32</v>
      </c>
      <c r="C535" t="s">
        <v>12</v>
      </c>
      <c r="D535" t="s">
        <v>13</v>
      </c>
      <c r="E535" s="1">
        <v>45319</v>
      </c>
      <c r="F535">
        <v>43</v>
      </c>
      <c r="G535">
        <v>82</v>
      </c>
      <c r="H535">
        <v>489.24</v>
      </c>
      <c r="I535">
        <v>380.62</v>
      </c>
      <c r="J535" t="s">
        <v>19</v>
      </c>
      <c r="K535">
        <f t="shared" si="32"/>
        <v>16366.66</v>
      </c>
      <c r="L535">
        <f t="shared" si="33"/>
        <v>-4670.66</v>
      </c>
      <c r="M535">
        <f t="shared" si="34"/>
        <v>0.52439024390243905</v>
      </c>
      <c r="N535">
        <f t="shared" si="35"/>
        <v>0</v>
      </c>
    </row>
    <row r="536" spans="1:14" x14ac:dyDescent="0.4">
      <c r="A536" t="s">
        <v>170</v>
      </c>
      <c r="B536" t="s">
        <v>28</v>
      </c>
      <c r="C536" t="s">
        <v>29</v>
      </c>
      <c r="D536" t="s">
        <v>75</v>
      </c>
      <c r="E536" s="1">
        <v>45491</v>
      </c>
      <c r="F536">
        <v>33</v>
      </c>
      <c r="G536">
        <v>184</v>
      </c>
      <c r="H536">
        <v>150.03</v>
      </c>
      <c r="I536">
        <v>308.18</v>
      </c>
      <c r="J536" t="s">
        <v>23</v>
      </c>
      <c r="K536">
        <f t="shared" si="32"/>
        <v>10169.94</v>
      </c>
      <c r="L536">
        <f t="shared" si="33"/>
        <v>5218.95</v>
      </c>
      <c r="M536">
        <f t="shared" si="34"/>
        <v>0.17934782608695651</v>
      </c>
      <c r="N536">
        <f t="shared" si="35"/>
        <v>0</v>
      </c>
    </row>
    <row r="537" spans="1:14" x14ac:dyDescent="0.4">
      <c r="A537" t="s">
        <v>148</v>
      </c>
      <c r="B537" t="s">
        <v>11</v>
      </c>
      <c r="C537" t="s">
        <v>12</v>
      </c>
      <c r="D537" t="s">
        <v>26</v>
      </c>
      <c r="E537" s="1">
        <v>44654</v>
      </c>
      <c r="F537">
        <v>76</v>
      </c>
      <c r="G537">
        <v>98</v>
      </c>
      <c r="H537">
        <v>143.65</v>
      </c>
      <c r="I537">
        <v>577.21</v>
      </c>
      <c r="J537" t="s">
        <v>14</v>
      </c>
      <c r="K537">
        <f t="shared" si="32"/>
        <v>43867.960000000006</v>
      </c>
      <c r="L537">
        <f t="shared" si="33"/>
        <v>32950.560000000005</v>
      </c>
      <c r="M537">
        <f t="shared" si="34"/>
        <v>0.77551020408163263</v>
      </c>
      <c r="N537">
        <f t="shared" si="35"/>
        <v>0</v>
      </c>
    </row>
    <row r="538" spans="1:14" x14ac:dyDescent="0.4">
      <c r="A538" t="s">
        <v>141</v>
      </c>
      <c r="B538" t="s">
        <v>28</v>
      </c>
      <c r="C538" t="s">
        <v>17</v>
      </c>
      <c r="D538" t="s">
        <v>66</v>
      </c>
      <c r="E538" s="1">
        <v>44800</v>
      </c>
      <c r="F538">
        <v>41</v>
      </c>
      <c r="G538">
        <v>61</v>
      </c>
      <c r="H538">
        <v>389.17</v>
      </c>
      <c r="I538">
        <v>245.45</v>
      </c>
      <c r="J538" t="s">
        <v>34</v>
      </c>
      <c r="K538">
        <f t="shared" si="32"/>
        <v>10063.449999999999</v>
      </c>
      <c r="L538">
        <f t="shared" si="33"/>
        <v>-5892.5200000000013</v>
      </c>
      <c r="M538">
        <f t="shared" si="34"/>
        <v>0.67213114754098358</v>
      </c>
      <c r="N538">
        <f t="shared" si="35"/>
        <v>0</v>
      </c>
    </row>
    <row r="539" spans="1:14" x14ac:dyDescent="0.4">
      <c r="A539" t="s">
        <v>179</v>
      </c>
      <c r="B539" t="s">
        <v>25</v>
      </c>
      <c r="C539" t="s">
        <v>17</v>
      </c>
      <c r="D539" t="s">
        <v>53</v>
      </c>
      <c r="E539" s="1">
        <v>44766</v>
      </c>
      <c r="F539">
        <v>136</v>
      </c>
      <c r="G539">
        <v>285</v>
      </c>
      <c r="H539">
        <v>164.02</v>
      </c>
      <c r="I539">
        <v>659.26</v>
      </c>
      <c r="J539" t="s">
        <v>14</v>
      </c>
      <c r="K539">
        <f t="shared" si="32"/>
        <v>89659.36</v>
      </c>
      <c r="L539">
        <f t="shared" si="33"/>
        <v>67352.639999999999</v>
      </c>
      <c r="M539">
        <f t="shared" si="34"/>
        <v>0.47719298245614034</v>
      </c>
      <c r="N539">
        <f t="shared" si="35"/>
        <v>0</v>
      </c>
    </row>
    <row r="540" spans="1:14" x14ac:dyDescent="0.4">
      <c r="A540" t="s">
        <v>106</v>
      </c>
      <c r="B540" t="s">
        <v>28</v>
      </c>
      <c r="C540" t="s">
        <v>29</v>
      </c>
      <c r="D540" t="s">
        <v>97</v>
      </c>
      <c r="E540" s="1">
        <v>45121</v>
      </c>
      <c r="F540">
        <v>105</v>
      </c>
      <c r="G540">
        <v>21</v>
      </c>
      <c r="H540">
        <v>452.78</v>
      </c>
      <c r="I540">
        <v>662.13</v>
      </c>
      <c r="J540" t="s">
        <v>30</v>
      </c>
      <c r="K540">
        <f t="shared" si="32"/>
        <v>69523.649999999994</v>
      </c>
      <c r="L540">
        <f t="shared" si="33"/>
        <v>21981.750000000004</v>
      </c>
      <c r="M540">
        <f t="shared" si="34"/>
        <v>5</v>
      </c>
      <c r="N540">
        <f t="shared" si="35"/>
        <v>0</v>
      </c>
    </row>
    <row r="541" spans="1:14" x14ac:dyDescent="0.4">
      <c r="A541" t="s">
        <v>228</v>
      </c>
      <c r="B541" t="s">
        <v>58</v>
      </c>
      <c r="C541" t="s">
        <v>17</v>
      </c>
      <c r="D541" t="s">
        <v>132</v>
      </c>
      <c r="E541" s="1">
        <v>44806</v>
      </c>
      <c r="F541">
        <v>94</v>
      </c>
      <c r="G541">
        <v>211</v>
      </c>
      <c r="H541">
        <v>308.27</v>
      </c>
      <c r="I541">
        <v>390.68</v>
      </c>
      <c r="J541" t="s">
        <v>23</v>
      </c>
      <c r="K541">
        <f t="shared" si="32"/>
        <v>36723.919999999998</v>
      </c>
      <c r="L541">
        <f t="shared" si="33"/>
        <v>7746.5400000000027</v>
      </c>
      <c r="M541">
        <f t="shared" si="34"/>
        <v>0.44549763033175355</v>
      </c>
      <c r="N541">
        <f t="shared" si="35"/>
        <v>0</v>
      </c>
    </row>
    <row r="542" spans="1:14" x14ac:dyDescent="0.4">
      <c r="A542" t="s">
        <v>116</v>
      </c>
      <c r="B542" t="s">
        <v>39</v>
      </c>
      <c r="C542" t="s">
        <v>17</v>
      </c>
      <c r="D542" t="s">
        <v>75</v>
      </c>
      <c r="E542" s="1">
        <v>45393</v>
      </c>
      <c r="F542">
        <v>134</v>
      </c>
      <c r="G542">
        <v>125</v>
      </c>
      <c r="H542">
        <v>207.85</v>
      </c>
      <c r="I542">
        <v>298.48</v>
      </c>
      <c r="J542" t="s">
        <v>34</v>
      </c>
      <c r="K542">
        <f t="shared" si="32"/>
        <v>39996.32</v>
      </c>
      <c r="L542">
        <f t="shared" si="33"/>
        <v>12144.420000000004</v>
      </c>
      <c r="M542">
        <f t="shared" si="34"/>
        <v>1.0720000000000001</v>
      </c>
      <c r="N542">
        <f t="shared" si="35"/>
        <v>0</v>
      </c>
    </row>
    <row r="543" spans="1:14" x14ac:dyDescent="0.4">
      <c r="A543" t="s">
        <v>233</v>
      </c>
      <c r="B543" t="s">
        <v>32</v>
      </c>
      <c r="C543" t="s">
        <v>12</v>
      </c>
      <c r="D543" t="s">
        <v>75</v>
      </c>
      <c r="E543" s="1">
        <v>45486</v>
      </c>
      <c r="F543">
        <v>67</v>
      </c>
      <c r="G543">
        <v>41</v>
      </c>
      <c r="H543">
        <v>424.71</v>
      </c>
      <c r="I543">
        <v>298.70999999999998</v>
      </c>
      <c r="J543" t="s">
        <v>30</v>
      </c>
      <c r="K543">
        <f t="shared" si="32"/>
        <v>20013.57</v>
      </c>
      <c r="L543">
        <f t="shared" si="33"/>
        <v>-8442</v>
      </c>
      <c r="M543">
        <f t="shared" si="34"/>
        <v>1.6341463414634145</v>
      </c>
      <c r="N543">
        <f t="shared" si="35"/>
        <v>0</v>
      </c>
    </row>
    <row r="544" spans="1:14" x14ac:dyDescent="0.4">
      <c r="A544" t="s">
        <v>57</v>
      </c>
      <c r="B544" t="s">
        <v>16</v>
      </c>
      <c r="C544" t="s">
        <v>17</v>
      </c>
      <c r="D544" t="s">
        <v>97</v>
      </c>
      <c r="E544" s="1">
        <v>44856</v>
      </c>
      <c r="F544">
        <v>146</v>
      </c>
      <c r="G544">
        <v>97</v>
      </c>
      <c r="H544">
        <v>272.02999999999997</v>
      </c>
      <c r="I544">
        <v>437.6</v>
      </c>
      <c r="J544" t="s">
        <v>19</v>
      </c>
      <c r="K544">
        <f t="shared" si="32"/>
        <v>63889.600000000006</v>
      </c>
      <c r="L544">
        <f t="shared" si="33"/>
        <v>24173.220000000008</v>
      </c>
      <c r="M544">
        <f t="shared" si="34"/>
        <v>1.5051546391752577</v>
      </c>
      <c r="N544">
        <f t="shared" si="35"/>
        <v>0</v>
      </c>
    </row>
    <row r="545" spans="1:14" x14ac:dyDescent="0.4">
      <c r="A545" t="s">
        <v>161</v>
      </c>
      <c r="B545" t="s">
        <v>16</v>
      </c>
      <c r="C545" t="s">
        <v>29</v>
      </c>
      <c r="D545" t="s">
        <v>45</v>
      </c>
      <c r="E545" s="1">
        <v>45201</v>
      </c>
      <c r="F545">
        <v>158</v>
      </c>
      <c r="G545">
        <v>30</v>
      </c>
      <c r="H545">
        <v>460.23</v>
      </c>
      <c r="I545">
        <v>603.71</v>
      </c>
      <c r="J545" t="s">
        <v>23</v>
      </c>
      <c r="K545">
        <f t="shared" si="32"/>
        <v>95386.180000000008</v>
      </c>
      <c r="L545">
        <f t="shared" si="33"/>
        <v>22669.840000000004</v>
      </c>
      <c r="M545">
        <f t="shared" si="34"/>
        <v>5.2666666666666666</v>
      </c>
      <c r="N545">
        <f t="shared" si="35"/>
        <v>0</v>
      </c>
    </row>
    <row r="546" spans="1:14" x14ac:dyDescent="0.4">
      <c r="A546" t="s">
        <v>155</v>
      </c>
      <c r="B546" t="s">
        <v>21</v>
      </c>
      <c r="C546" t="s">
        <v>12</v>
      </c>
      <c r="D546" t="s">
        <v>66</v>
      </c>
      <c r="E546" s="1">
        <v>45417</v>
      </c>
      <c r="F546">
        <v>127</v>
      </c>
      <c r="G546">
        <v>157</v>
      </c>
      <c r="H546">
        <v>467.61</v>
      </c>
      <c r="I546">
        <v>351.21</v>
      </c>
      <c r="J546" t="s">
        <v>30</v>
      </c>
      <c r="K546">
        <f t="shared" si="32"/>
        <v>44603.67</v>
      </c>
      <c r="L546">
        <f t="shared" si="33"/>
        <v>-14782.800000000005</v>
      </c>
      <c r="M546">
        <f t="shared" si="34"/>
        <v>0.80891719745222934</v>
      </c>
      <c r="N546">
        <f t="shared" si="35"/>
        <v>0</v>
      </c>
    </row>
    <row r="547" spans="1:14" x14ac:dyDescent="0.4">
      <c r="A547" t="s">
        <v>92</v>
      </c>
      <c r="B547" t="s">
        <v>11</v>
      </c>
      <c r="C547" t="s">
        <v>52</v>
      </c>
      <c r="D547" t="s">
        <v>145</v>
      </c>
      <c r="E547" s="1">
        <v>44578</v>
      </c>
      <c r="F547">
        <v>162</v>
      </c>
      <c r="G547">
        <v>111</v>
      </c>
      <c r="H547">
        <v>124.44</v>
      </c>
      <c r="I547">
        <v>527.03</v>
      </c>
      <c r="J547" t="s">
        <v>30</v>
      </c>
      <c r="K547">
        <f t="shared" si="32"/>
        <v>85378.86</v>
      </c>
      <c r="L547">
        <f t="shared" si="33"/>
        <v>65219.579999999994</v>
      </c>
      <c r="M547">
        <f t="shared" si="34"/>
        <v>1.4594594594594594</v>
      </c>
      <c r="N547">
        <f t="shared" si="35"/>
        <v>0</v>
      </c>
    </row>
    <row r="548" spans="1:14" x14ac:dyDescent="0.4">
      <c r="A548" t="s">
        <v>51</v>
      </c>
      <c r="B548" t="s">
        <v>43</v>
      </c>
      <c r="C548" t="s">
        <v>12</v>
      </c>
      <c r="D548" t="s">
        <v>47</v>
      </c>
      <c r="E548" s="1">
        <v>44632</v>
      </c>
      <c r="F548">
        <v>184</v>
      </c>
      <c r="G548">
        <v>246</v>
      </c>
      <c r="H548">
        <v>51.05</v>
      </c>
      <c r="I548">
        <v>367.74</v>
      </c>
      <c r="J548" t="s">
        <v>34</v>
      </c>
      <c r="K548">
        <f t="shared" si="32"/>
        <v>67664.160000000003</v>
      </c>
      <c r="L548">
        <f t="shared" si="33"/>
        <v>58270.96</v>
      </c>
      <c r="M548">
        <f t="shared" si="34"/>
        <v>0.74796747967479671</v>
      </c>
      <c r="N548">
        <f t="shared" si="35"/>
        <v>0</v>
      </c>
    </row>
    <row r="549" spans="1:14" x14ac:dyDescent="0.4">
      <c r="A549" t="s">
        <v>192</v>
      </c>
      <c r="B549" t="s">
        <v>39</v>
      </c>
      <c r="C549" t="s">
        <v>29</v>
      </c>
      <c r="D549" t="s">
        <v>22</v>
      </c>
      <c r="E549" s="1">
        <v>44866</v>
      </c>
      <c r="F549">
        <v>84</v>
      </c>
      <c r="G549">
        <v>121</v>
      </c>
      <c r="H549">
        <v>492.77</v>
      </c>
      <c r="I549">
        <v>313.17</v>
      </c>
      <c r="J549" t="s">
        <v>19</v>
      </c>
      <c r="K549">
        <f t="shared" si="32"/>
        <v>26306.280000000002</v>
      </c>
      <c r="L549">
        <f t="shared" si="33"/>
        <v>-15086.399999999998</v>
      </c>
      <c r="M549">
        <f t="shared" si="34"/>
        <v>0.69421487603305787</v>
      </c>
      <c r="N549">
        <f t="shared" si="35"/>
        <v>0</v>
      </c>
    </row>
    <row r="550" spans="1:14" x14ac:dyDescent="0.4">
      <c r="A550" t="s">
        <v>188</v>
      </c>
      <c r="B550" t="s">
        <v>43</v>
      </c>
      <c r="C550" t="s">
        <v>12</v>
      </c>
      <c r="D550" t="s">
        <v>13</v>
      </c>
      <c r="E550" s="1">
        <v>45592</v>
      </c>
      <c r="F550">
        <v>188</v>
      </c>
      <c r="G550">
        <v>272</v>
      </c>
      <c r="H550">
        <v>457.76</v>
      </c>
      <c r="I550">
        <v>117.4</v>
      </c>
      <c r="J550" t="s">
        <v>30</v>
      </c>
      <c r="K550">
        <f t="shared" si="32"/>
        <v>22071.200000000001</v>
      </c>
      <c r="L550">
        <f t="shared" si="33"/>
        <v>-63987.68</v>
      </c>
      <c r="M550">
        <f t="shared" si="34"/>
        <v>0.69117647058823528</v>
      </c>
      <c r="N550">
        <f t="shared" si="35"/>
        <v>0</v>
      </c>
    </row>
    <row r="551" spans="1:14" x14ac:dyDescent="0.4">
      <c r="A551" t="s">
        <v>128</v>
      </c>
      <c r="B551" t="s">
        <v>32</v>
      </c>
      <c r="C551" t="s">
        <v>12</v>
      </c>
      <c r="D551" t="s">
        <v>37</v>
      </c>
      <c r="E551" s="1">
        <v>45378</v>
      </c>
      <c r="F551">
        <v>158</v>
      </c>
      <c r="G551">
        <v>293</v>
      </c>
      <c r="H551">
        <v>74.95</v>
      </c>
      <c r="I551">
        <v>102.74</v>
      </c>
      <c r="J551" t="s">
        <v>23</v>
      </c>
      <c r="K551">
        <f t="shared" si="32"/>
        <v>16232.92</v>
      </c>
      <c r="L551">
        <f t="shared" si="33"/>
        <v>4390.8199999999988</v>
      </c>
      <c r="M551">
        <f t="shared" si="34"/>
        <v>0.53924914675767921</v>
      </c>
      <c r="N551">
        <f t="shared" si="35"/>
        <v>0</v>
      </c>
    </row>
    <row r="552" spans="1:14" x14ac:dyDescent="0.4">
      <c r="A552" t="s">
        <v>118</v>
      </c>
      <c r="B552" t="s">
        <v>28</v>
      </c>
      <c r="C552" t="s">
        <v>29</v>
      </c>
      <c r="D552" t="s">
        <v>65</v>
      </c>
      <c r="E552" s="1">
        <v>45382</v>
      </c>
      <c r="F552">
        <v>82</v>
      </c>
      <c r="G552">
        <v>206</v>
      </c>
      <c r="H552">
        <v>424.87</v>
      </c>
      <c r="I552">
        <v>259.05</v>
      </c>
      <c r="J552" t="s">
        <v>30</v>
      </c>
      <c r="K552">
        <f t="shared" si="32"/>
        <v>21242.100000000002</v>
      </c>
      <c r="L552">
        <f t="shared" si="33"/>
        <v>-13597.24</v>
      </c>
      <c r="M552">
        <f t="shared" si="34"/>
        <v>0.39805825242718446</v>
      </c>
      <c r="N552">
        <f t="shared" si="35"/>
        <v>0</v>
      </c>
    </row>
    <row r="553" spans="1:14" x14ac:dyDescent="0.4">
      <c r="A553" t="s">
        <v>129</v>
      </c>
      <c r="B553" t="s">
        <v>16</v>
      </c>
      <c r="C553" t="s">
        <v>12</v>
      </c>
      <c r="D553" t="s">
        <v>132</v>
      </c>
      <c r="E553" s="1">
        <v>44754</v>
      </c>
      <c r="F553">
        <v>94</v>
      </c>
      <c r="G553">
        <v>109</v>
      </c>
      <c r="H553">
        <v>256.01</v>
      </c>
      <c r="I553">
        <v>384.48</v>
      </c>
      <c r="J553" t="s">
        <v>14</v>
      </c>
      <c r="K553">
        <f t="shared" si="32"/>
        <v>36141.120000000003</v>
      </c>
      <c r="L553">
        <f t="shared" si="33"/>
        <v>12076.180000000002</v>
      </c>
      <c r="M553">
        <f t="shared" si="34"/>
        <v>0.86238532110091748</v>
      </c>
      <c r="N553">
        <f t="shared" si="35"/>
        <v>0</v>
      </c>
    </row>
    <row r="554" spans="1:14" x14ac:dyDescent="0.4">
      <c r="A554" t="s">
        <v>67</v>
      </c>
      <c r="B554" t="s">
        <v>32</v>
      </c>
      <c r="C554" t="s">
        <v>29</v>
      </c>
      <c r="D554" t="s">
        <v>69</v>
      </c>
      <c r="E554" s="1">
        <v>45090</v>
      </c>
      <c r="F554">
        <v>180</v>
      </c>
      <c r="G554">
        <v>277</v>
      </c>
      <c r="H554">
        <v>166.53</v>
      </c>
      <c r="I554">
        <v>695.88</v>
      </c>
      <c r="J554" t="s">
        <v>23</v>
      </c>
      <c r="K554">
        <f t="shared" si="32"/>
        <v>125258.4</v>
      </c>
      <c r="L554">
        <f t="shared" si="33"/>
        <v>95283</v>
      </c>
      <c r="M554">
        <f t="shared" si="34"/>
        <v>0.64981949458483756</v>
      </c>
      <c r="N554">
        <f t="shared" si="35"/>
        <v>0</v>
      </c>
    </row>
    <row r="555" spans="1:14" x14ac:dyDescent="0.4">
      <c r="A555" t="s">
        <v>35</v>
      </c>
      <c r="B555" t="s">
        <v>28</v>
      </c>
      <c r="C555" t="s">
        <v>29</v>
      </c>
      <c r="D555" t="s">
        <v>65</v>
      </c>
      <c r="E555" s="1">
        <v>44732</v>
      </c>
      <c r="F555">
        <v>31</v>
      </c>
      <c r="G555">
        <v>55</v>
      </c>
      <c r="H555">
        <v>445.44</v>
      </c>
      <c r="I555">
        <v>658.94</v>
      </c>
      <c r="J555" t="s">
        <v>23</v>
      </c>
      <c r="K555">
        <f t="shared" si="32"/>
        <v>20427.140000000003</v>
      </c>
      <c r="L555">
        <f t="shared" si="33"/>
        <v>6618.5000000000018</v>
      </c>
      <c r="M555">
        <f t="shared" si="34"/>
        <v>0.5636363636363636</v>
      </c>
      <c r="N555">
        <f t="shared" si="35"/>
        <v>0</v>
      </c>
    </row>
    <row r="556" spans="1:14" x14ac:dyDescent="0.4">
      <c r="A556" t="s">
        <v>147</v>
      </c>
      <c r="B556" t="s">
        <v>16</v>
      </c>
      <c r="C556" t="s">
        <v>52</v>
      </c>
      <c r="D556" t="s">
        <v>13</v>
      </c>
      <c r="E556" s="1">
        <v>44812</v>
      </c>
      <c r="F556">
        <v>65</v>
      </c>
      <c r="G556">
        <v>56</v>
      </c>
      <c r="H556">
        <v>138.5</v>
      </c>
      <c r="I556">
        <v>287.02</v>
      </c>
      <c r="J556" t="s">
        <v>30</v>
      </c>
      <c r="K556">
        <f t="shared" si="32"/>
        <v>18656.3</v>
      </c>
      <c r="L556">
        <f t="shared" si="33"/>
        <v>9653.7999999999993</v>
      </c>
      <c r="M556">
        <f t="shared" si="34"/>
        <v>1.1607142857142858</v>
      </c>
      <c r="N556">
        <f t="shared" si="35"/>
        <v>0</v>
      </c>
    </row>
    <row r="557" spans="1:14" x14ac:dyDescent="0.4">
      <c r="A557" t="s">
        <v>151</v>
      </c>
      <c r="B557" t="s">
        <v>28</v>
      </c>
      <c r="C557" t="s">
        <v>17</v>
      </c>
      <c r="D557" t="s">
        <v>69</v>
      </c>
      <c r="E557" s="1">
        <v>45102</v>
      </c>
      <c r="F557">
        <v>186</v>
      </c>
      <c r="G557">
        <v>290</v>
      </c>
      <c r="H557">
        <v>476.28</v>
      </c>
      <c r="I557">
        <v>271.18</v>
      </c>
      <c r="J557" t="s">
        <v>34</v>
      </c>
      <c r="K557">
        <f t="shared" si="32"/>
        <v>50439.48</v>
      </c>
      <c r="L557">
        <f t="shared" si="33"/>
        <v>-38148.599999999991</v>
      </c>
      <c r="M557">
        <f t="shared" si="34"/>
        <v>0.64137931034482754</v>
      </c>
      <c r="N557">
        <f t="shared" si="35"/>
        <v>0</v>
      </c>
    </row>
    <row r="558" spans="1:14" x14ac:dyDescent="0.4">
      <c r="A558" t="s">
        <v>140</v>
      </c>
      <c r="B558" t="s">
        <v>11</v>
      </c>
      <c r="C558" t="s">
        <v>17</v>
      </c>
      <c r="D558" t="s">
        <v>37</v>
      </c>
      <c r="E558" s="1">
        <v>44977</v>
      </c>
      <c r="F558">
        <v>115</v>
      </c>
      <c r="G558">
        <v>113</v>
      </c>
      <c r="H558">
        <v>142.53</v>
      </c>
      <c r="I558">
        <v>259.13</v>
      </c>
      <c r="J558" t="s">
        <v>23</v>
      </c>
      <c r="K558">
        <f t="shared" si="32"/>
        <v>29799.95</v>
      </c>
      <c r="L558">
        <f t="shared" si="33"/>
        <v>13409</v>
      </c>
      <c r="M558">
        <f t="shared" si="34"/>
        <v>1.0176991150442478</v>
      </c>
      <c r="N558">
        <f t="shared" si="35"/>
        <v>0</v>
      </c>
    </row>
    <row r="559" spans="1:14" x14ac:dyDescent="0.4">
      <c r="A559" t="s">
        <v>134</v>
      </c>
      <c r="B559" t="s">
        <v>39</v>
      </c>
      <c r="C559" t="s">
        <v>12</v>
      </c>
      <c r="D559" t="s">
        <v>37</v>
      </c>
      <c r="E559" s="1">
        <v>45355</v>
      </c>
      <c r="F559">
        <v>137</v>
      </c>
      <c r="G559">
        <v>197</v>
      </c>
      <c r="H559">
        <v>326.16000000000003</v>
      </c>
      <c r="I559">
        <v>337.47</v>
      </c>
      <c r="J559" t="s">
        <v>14</v>
      </c>
      <c r="K559">
        <f t="shared" si="32"/>
        <v>46233.390000000007</v>
      </c>
      <c r="L559">
        <f t="shared" si="33"/>
        <v>1549.4700000000003</v>
      </c>
      <c r="M559">
        <f t="shared" si="34"/>
        <v>0.69543147208121825</v>
      </c>
      <c r="N559">
        <f t="shared" si="35"/>
        <v>0</v>
      </c>
    </row>
    <row r="560" spans="1:14" x14ac:dyDescent="0.4">
      <c r="A560" t="s">
        <v>210</v>
      </c>
      <c r="B560" t="s">
        <v>25</v>
      </c>
      <c r="C560" t="s">
        <v>12</v>
      </c>
      <c r="D560" t="s">
        <v>45</v>
      </c>
      <c r="E560" s="1">
        <v>44586</v>
      </c>
      <c r="F560">
        <v>129</v>
      </c>
      <c r="G560">
        <v>178</v>
      </c>
      <c r="H560">
        <v>150.38999999999999</v>
      </c>
      <c r="I560">
        <v>448.74</v>
      </c>
      <c r="J560" t="s">
        <v>34</v>
      </c>
      <c r="K560">
        <f t="shared" si="32"/>
        <v>57887.46</v>
      </c>
      <c r="L560">
        <f t="shared" si="33"/>
        <v>38487.15</v>
      </c>
      <c r="M560">
        <f t="shared" si="34"/>
        <v>0.7247191011235955</v>
      </c>
      <c r="N560">
        <f t="shared" si="35"/>
        <v>0</v>
      </c>
    </row>
    <row r="561" spans="1:14" x14ac:dyDescent="0.4">
      <c r="A561" t="s">
        <v>122</v>
      </c>
      <c r="B561" t="s">
        <v>32</v>
      </c>
      <c r="C561" t="s">
        <v>52</v>
      </c>
      <c r="D561" t="s">
        <v>41</v>
      </c>
      <c r="E561" s="1">
        <v>45229</v>
      </c>
      <c r="F561">
        <v>193</v>
      </c>
      <c r="G561">
        <v>218</v>
      </c>
      <c r="H561">
        <v>295.55</v>
      </c>
      <c r="I561">
        <v>407.07</v>
      </c>
      <c r="J561" t="s">
        <v>34</v>
      </c>
      <c r="K561">
        <f t="shared" si="32"/>
        <v>78564.509999999995</v>
      </c>
      <c r="L561">
        <f t="shared" si="33"/>
        <v>21523.359999999997</v>
      </c>
      <c r="M561">
        <f t="shared" si="34"/>
        <v>0.88532110091743121</v>
      </c>
      <c r="N561">
        <f t="shared" si="35"/>
        <v>0</v>
      </c>
    </row>
    <row r="562" spans="1:14" x14ac:dyDescent="0.4">
      <c r="A562" t="s">
        <v>67</v>
      </c>
      <c r="B562" t="s">
        <v>32</v>
      </c>
      <c r="C562" t="s">
        <v>52</v>
      </c>
      <c r="D562" t="s">
        <v>18</v>
      </c>
      <c r="E562" s="1">
        <v>45193</v>
      </c>
      <c r="F562">
        <v>59</v>
      </c>
      <c r="G562">
        <v>276</v>
      </c>
      <c r="H562">
        <v>357.79</v>
      </c>
      <c r="I562">
        <v>252.79</v>
      </c>
      <c r="J562" t="s">
        <v>34</v>
      </c>
      <c r="K562">
        <f t="shared" si="32"/>
        <v>14914.609999999999</v>
      </c>
      <c r="L562">
        <f t="shared" si="33"/>
        <v>-6195.0000000000018</v>
      </c>
      <c r="M562">
        <f t="shared" si="34"/>
        <v>0.21376811594202899</v>
      </c>
      <c r="N562">
        <f t="shared" si="35"/>
        <v>0</v>
      </c>
    </row>
    <row r="563" spans="1:14" x14ac:dyDescent="0.4">
      <c r="A563" t="s">
        <v>186</v>
      </c>
      <c r="B563" t="s">
        <v>36</v>
      </c>
      <c r="C563" t="s">
        <v>52</v>
      </c>
      <c r="D563" t="s">
        <v>72</v>
      </c>
      <c r="E563" s="1">
        <v>45066</v>
      </c>
      <c r="F563">
        <v>16</v>
      </c>
      <c r="G563">
        <v>15</v>
      </c>
      <c r="H563">
        <v>135.6</v>
      </c>
      <c r="I563">
        <v>191.32</v>
      </c>
      <c r="J563" t="s">
        <v>23</v>
      </c>
      <c r="K563">
        <f t="shared" si="32"/>
        <v>3061.12</v>
      </c>
      <c r="L563">
        <f t="shared" si="33"/>
        <v>891.52</v>
      </c>
      <c r="M563">
        <f t="shared" si="34"/>
        <v>1.0666666666666667</v>
      </c>
      <c r="N563">
        <f t="shared" si="35"/>
        <v>0</v>
      </c>
    </row>
    <row r="564" spans="1:14" x14ac:dyDescent="0.4">
      <c r="A564" t="s">
        <v>234</v>
      </c>
      <c r="B564" t="s">
        <v>58</v>
      </c>
      <c r="C564" t="s">
        <v>29</v>
      </c>
      <c r="D564" t="s">
        <v>40</v>
      </c>
      <c r="E564" s="1">
        <v>44897</v>
      </c>
      <c r="F564">
        <v>95</v>
      </c>
      <c r="G564">
        <v>60</v>
      </c>
      <c r="H564">
        <v>284.39999999999998</v>
      </c>
      <c r="I564">
        <v>108.8</v>
      </c>
      <c r="J564" t="s">
        <v>34</v>
      </c>
      <c r="K564">
        <f t="shared" si="32"/>
        <v>10336</v>
      </c>
      <c r="L564">
        <f t="shared" si="33"/>
        <v>-16681.999999999996</v>
      </c>
      <c r="M564">
        <f t="shared" si="34"/>
        <v>1.5833333333333333</v>
      </c>
      <c r="N564">
        <f t="shared" si="35"/>
        <v>0</v>
      </c>
    </row>
    <row r="565" spans="1:14" x14ac:dyDescent="0.4">
      <c r="A565" t="s">
        <v>216</v>
      </c>
      <c r="B565" t="s">
        <v>11</v>
      </c>
      <c r="C565" t="s">
        <v>52</v>
      </c>
      <c r="D565" t="s">
        <v>75</v>
      </c>
      <c r="E565" s="1">
        <v>44986</v>
      </c>
      <c r="F565">
        <v>143</v>
      </c>
      <c r="G565">
        <v>53</v>
      </c>
      <c r="H565">
        <v>261.08</v>
      </c>
      <c r="I565">
        <v>207.77</v>
      </c>
      <c r="J565" t="s">
        <v>30</v>
      </c>
      <c r="K565">
        <f t="shared" si="32"/>
        <v>29711.11</v>
      </c>
      <c r="L565">
        <f t="shared" si="33"/>
        <v>-7623.3299999999963</v>
      </c>
      <c r="M565">
        <f t="shared" si="34"/>
        <v>2.6981132075471699</v>
      </c>
      <c r="N565">
        <f t="shared" si="35"/>
        <v>0</v>
      </c>
    </row>
    <row r="566" spans="1:14" x14ac:dyDescent="0.4">
      <c r="A566" t="s">
        <v>109</v>
      </c>
      <c r="B566" t="s">
        <v>11</v>
      </c>
      <c r="C566" t="s">
        <v>52</v>
      </c>
      <c r="D566" t="s">
        <v>47</v>
      </c>
      <c r="E566" s="1">
        <v>45060</v>
      </c>
      <c r="F566">
        <v>15</v>
      </c>
      <c r="G566">
        <v>167</v>
      </c>
      <c r="H566">
        <v>81.97</v>
      </c>
      <c r="I566">
        <v>593.75</v>
      </c>
      <c r="J566" t="s">
        <v>34</v>
      </c>
      <c r="K566">
        <f t="shared" si="32"/>
        <v>8906.25</v>
      </c>
      <c r="L566">
        <f t="shared" si="33"/>
        <v>7676.7</v>
      </c>
      <c r="M566">
        <f t="shared" si="34"/>
        <v>8.9820359281437126E-2</v>
      </c>
      <c r="N566">
        <f t="shared" si="35"/>
        <v>0</v>
      </c>
    </row>
    <row r="567" spans="1:14" x14ac:dyDescent="0.4">
      <c r="A567" t="s">
        <v>152</v>
      </c>
      <c r="B567" t="s">
        <v>43</v>
      </c>
      <c r="C567" t="s">
        <v>12</v>
      </c>
      <c r="D567" t="s">
        <v>45</v>
      </c>
      <c r="E567" s="1">
        <v>45508</v>
      </c>
      <c r="F567">
        <v>45</v>
      </c>
      <c r="G567">
        <v>25</v>
      </c>
      <c r="H567">
        <v>418.24</v>
      </c>
      <c r="I567">
        <v>270.55</v>
      </c>
      <c r="J567" t="s">
        <v>14</v>
      </c>
      <c r="K567">
        <f t="shared" si="32"/>
        <v>12174.75</v>
      </c>
      <c r="L567">
        <f t="shared" si="33"/>
        <v>-6646.05</v>
      </c>
      <c r="M567">
        <f t="shared" si="34"/>
        <v>1.8</v>
      </c>
      <c r="N567">
        <f t="shared" si="35"/>
        <v>0</v>
      </c>
    </row>
    <row r="568" spans="1:14" x14ac:dyDescent="0.4">
      <c r="A568" t="s">
        <v>235</v>
      </c>
      <c r="B568" t="s">
        <v>28</v>
      </c>
      <c r="C568" t="s">
        <v>52</v>
      </c>
      <c r="D568" t="s">
        <v>47</v>
      </c>
      <c r="E568" s="1">
        <v>45191</v>
      </c>
      <c r="F568">
        <v>166</v>
      </c>
      <c r="G568">
        <v>64</v>
      </c>
      <c r="H568">
        <v>201.06</v>
      </c>
      <c r="I568">
        <v>428.02</v>
      </c>
      <c r="J568" t="s">
        <v>19</v>
      </c>
      <c r="K568">
        <f t="shared" si="32"/>
        <v>71051.319999999992</v>
      </c>
      <c r="L568">
        <f t="shared" si="33"/>
        <v>37675.359999999993</v>
      </c>
      <c r="M568">
        <f t="shared" si="34"/>
        <v>2.59375</v>
      </c>
      <c r="N568">
        <f t="shared" si="35"/>
        <v>0</v>
      </c>
    </row>
    <row r="569" spans="1:14" x14ac:dyDescent="0.4">
      <c r="A569" t="s">
        <v>134</v>
      </c>
      <c r="B569" t="s">
        <v>58</v>
      </c>
      <c r="C569" t="s">
        <v>29</v>
      </c>
      <c r="D569" t="s">
        <v>33</v>
      </c>
      <c r="E569" s="1">
        <v>45279</v>
      </c>
      <c r="F569">
        <v>158</v>
      </c>
      <c r="G569">
        <v>99</v>
      </c>
      <c r="H569">
        <v>308.56</v>
      </c>
      <c r="I569">
        <v>513.91</v>
      </c>
      <c r="J569" t="s">
        <v>14</v>
      </c>
      <c r="K569">
        <f t="shared" si="32"/>
        <v>81197.78</v>
      </c>
      <c r="L569">
        <f t="shared" si="33"/>
        <v>32445.299999999996</v>
      </c>
      <c r="M569">
        <f t="shared" si="34"/>
        <v>1.595959595959596</v>
      </c>
      <c r="N569">
        <f t="shared" si="35"/>
        <v>0</v>
      </c>
    </row>
    <row r="570" spans="1:14" x14ac:dyDescent="0.4">
      <c r="A570" t="s">
        <v>111</v>
      </c>
      <c r="B570" t="s">
        <v>39</v>
      </c>
      <c r="C570" t="s">
        <v>29</v>
      </c>
      <c r="D570" t="s">
        <v>33</v>
      </c>
      <c r="E570" s="1">
        <v>44900</v>
      </c>
      <c r="F570">
        <v>106</v>
      </c>
      <c r="G570">
        <v>73</v>
      </c>
      <c r="H570">
        <v>281.64999999999998</v>
      </c>
      <c r="I570">
        <v>720.79</v>
      </c>
      <c r="J570" t="s">
        <v>23</v>
      </c>
      <c r="K570">
        <f t="shared" si="32"/>
        <v>76403.739999999991</v>
      </c>
      <c r="L570">
        <f t="shared" si="33"/>
        <v>46548.84</v>
      </c>
      <c r="M570">
        <f t="shared" si="34"/>
        <v>1.452054794520548</v>
      </c>
      <c r="N570">
        <f t="shared" si="35"/>
        <v>0</v>
      </c>
    </row>
    <row r="571" spans="1:14" x14ac:dyDescent="0.4">
      <c r="A571" t="s">
        <v>207</v>
      </c>
      <c r="B571" t="s">
        <v>39</v>
      </c>
      <c r="C571" t="s">
        <v>12</v>
      </c>
      <c r="D571" t="s">
        <v>53</v>
      </c>
      <c r="E571" s="1">
        <v>45220</v>
      </c>
      <c r="F571">
        <v>87</v>
      </c>
      <c r="G571">
        <v>191</v>
      </c>
      <c r="H571">
        <v>280.97000000000003</v>
      </c>
      <c r="I571">
        <v>722.2</v>
      </c>
      <c r="J571" t="s">
        <v>34</v>
      </c>
      <c r="K571">
        <f t="shared" si="32"/>
        <v>62831.4</v>
      </c>
      <c r="L571">
        <f t="shared" si="33"/>
        <v>38387.01</v>
      </c>
      <c r="M571">
        <f t="shared" si="34"/>
        <v>0.45549738219895286</v>
      </c>
      <c r="N571">
        <f t="shared" si="35"/>
        <v>0</v>
      </c>
    </row>
    <row r="572" spans="1:14" x14ac:dyDescent="0.4">
      <c r="A572" t="s">
        <v>61</v>
      </c>
      <c r="B572" t="s">
        <v>11</v>
      </c>
      <c r="C572" t="s">
        <v>52</v>
      </c>
      <c r="D572" t="s">
        <v>69</v>
      </c>
      <c r="E572" s="1">
        <v>45523</v>
      </c>
      <c r="F572">
        <v>128</v>
      </c>
      <c r="G572">
        <v>170</v>
      </c>
      <c r="H572">
        <v>98.25</v>
      </c>
      <c r="I572">
        <v>622.01</v>
      </c>
      <c r="J572" t="s">
        <v>34</v>
      </c>
      <c r="K572">
        <f t="shared" si="32"/>
        <v>79617.279999999999</v>
      </c>
      <c r="L572">
        <f t="shared" si="33"/>
        <v>67041.279999999999</v>
      </c>
      <c r="M572">
        <f t="shared" si="34"/>
        <v>0.75294117647058822</v>
      </c>
      <c r="N572">
        <f t="shared" si="35"/>
        <v>0</v>
      </c>
    </row>
    <row r="573" spans="1:14" x14ac:dyDescent="0.4">
      <c r="A573" t="s">
        <v>99</v>
      </c>
      <c r="B573" t="s">
        <v>39</v>
      </c>
      <c r="C573" t="s">
        <v>52</v>
      </c>
      <c r="D573" t="s">
        <v>145</v>
      </c>
      <c r="E573" s="1">
        <v>44990</v>
      </c>
      <c r="F573">
        <v>138</v>
      </c>
      <c r="G573">
        <v>272</v>
      </c>
      <c r="H573">
        <v>240.57</v>
      </c>
      <c r="I573">
        <v>124.61</v>
      </c>
      <c r="J573" t="s">
        <v>30</v>
      </c>
      <c r="K573">
        <f t="shared" si="32"/>
        <v>17196.18</v>
      </c>
      <c r="L573">
        <f t="shared" si="33"/>
        <v>-16002.48</v>
      </c>
      <c r="M573">
        <f t="shared" si="34"/>
        <v>0.50735294117647056</v>
      </c>
      <c r="N573">
        <f t="shared" si="35"/>
        <v>0</v>
      </c>
    </row>
    <row r="574" spans="1:14" x14ac:dyDescent="0.4">
      <c r="A574" t="s">
        <v>100</v>
      </c>
      <c r="B574" t="s">
        <v>36</v>
      </c>
      <c r="C574" t="s">
        <v>29</v>
      </c>
      <c r="D574" t="s">
        <v>132</v>
      </c>
      <c r="E574" s="1">
        <v>45460</v>
      </c>
      <c r="F574">
        <v>118</v>
      </c>
      <c r="G574">
        <v>186</v>
      </c>
      <c r="H574">
        <v>253.57</v>
      </c>
      <c r="I574">
        <v>502.55</v>
      </c>
      <c r="J574" t="s">
        <v>34</v>
      </c>
      <c r="K574">
        <f t="shared" si="32"/>
        <v>59300.9</v>
      </c>
      <c r="L574">
        <f t="shared" si="33"/>
        <v>29379.640000000003</v>
      </c>
      <c r="M574">
        <f t="shared" si="34"/>
        <v>0.63440860215053763</v>
      </c>
      <c r="N574">
        <f t="shared" si="35"/>
        <v>0</v>
      </c>
    </row>
    <row r="575" spans="1:14" x14ac:dyDescent="0.4">
      <c r="A575" t="s">
        <v>91</v>
      </c>
      <c r="B575" t="s">
        <v>32</v>
      </c>
      <c r="C575" t="s">
        <v>52</v>
      </c>
      <c r="D575" t="s">
        <v>22</v>
      </c>
      <c r="E575" s="1">
        <v>44700</v>
      </c>
      <c r="F575">
        <v>84</v>
      </c>
      <c r="G575">
        <v>22</v>
      </c>
      <c r="H575">
        <v>380.14</v>
      </c>
      <c r="I575">
        <v>650.61</v>
      </c>
      <c r="J575" t="s">
        <v>14</v>
      </c>
      <c r="K575">
        <f t="shared" si="32"/>
        <v>54651.24</v>
      </c>
      <c r="L575">
        <f t="shared" si="33"/>
        <v>22719.480000000003</v>
      </c>
      <c r="M575">
        <f t="shared" si="34"/>
        <v>3.8181818181818183</v>
      </c>
      <c r="N575">
        <f t="shared" si="35"/>
        <v>0</v>
      </c>
    </row>
    <row r="576" spans="1:14" x14ac:dyDescent="0.4">
      <c r="A576" t="s">
        <v>98</v>
      </c>
      <c r="B576" t="s">
        <v>21</v>
      </c>
      <c r="C576" t="s">
        <v>52</v>
      </c>
      <c r="D576" t="s">
        <v>41</v>
      </c>
      <c r="E576" s="1">
        <v>45503</v>
      </c>
      <c r="F576">
        <v>3</v>
      </c>
      <c r="G576">
        <v>180</v>
      </c>
      <c r="H576">
        <v>428.01</v>
      </c>
      <c r="I576">
        <v>112.1</v>
      </c>
      <c r="J576" t="s">
        <v>23</v>
      </c>
      <c r="K576">
        <f t="shared" si="32"/>
        <v>336.29999999999995</v>
      </c>
      <c r="L576">
        <f t="shared" si="33"/>
        <v>-947.7299999999999</v>
      </c>
      <c r="M576">
        <f t="shared" si="34"/>
        <v>1.6666666666666666E-2</v>
      </c>
      <c r="N576">
        <f t="shared" si="35"/>
        <v>0</v>
      </c>
    </row>
    <row r="577" spans="1:14" x14ac:dyDescent="0.4">
      <c r="A577" t="s">
        <v>20</v>
      </c>
      <c r="B577" t="s">
        <v>25</v>
      </c>
      <c r="C577" t="s">
        <v>52</v>
      </c>
      <c r="D577" t="s">
        <v>97</v>
      </c>
      <c r="E577" s="1">
        <v>45103</v>
      </c>
      <c r="F577">
        <v>70</v>
      </c>
      <c r="G577">
        <v>107</v>
      </c>
      <c r="H577">
        <v>295.24</v>
      </c>
      <c r="I577">
        <v>484.78</v>
      </c>
      <c r="J577" t="s">
        <v>19</v>
      </c>
      <c r="K577">
        <f t="shared" si="32"/>
        <v>33934.6</v>
      </c>
      <c r="L577">
        <f t="shared" si="33"/>
        <v>13267.799999999997</v>
      </c>
      <c r="M577">
        <f t="shared" si="34"/>
        <v>0.65420560747663548</v>
      </c>
      <c r="N577">
        <f t="shared" si="35"/>
        <v>0</v>
      </c>
    </row>
    <row r="578" spans="1:14" x14ac:dyDescent="0.4">
      <c r="A578" t="s">
        <v>117</v>
      </c>
      <c r="B578" t="s">
        <v>43</v>
      </c>
      <c r="C578" t="s">
        <v>17</v>
      </c>
      <c r="D578" t="s">
        <v>53</v>
      </c>
      <c r="E578" s="1">
        <v>44618</v>
      </c>
      <c r="F578">
        <v>153</v>
      </c>
      <c r="G578">
        <v>161</v>
      </c>
      <c r="H578">
        <v>89.05</v>
      </c>
      <c r="I578">
        <v>700.43</v>
      </c>
      <c r="J578" t="s">
        <v>34</v>
      </c>
      <c r="K578">
        <f t="shared" si="32"/>
        <v>107165.79</v>
      </c>
      <c r="L578">
        <f t="shared" si="33"/>
        <v>93541.14</v>
      </c>
      <c r="M578">
        <f t="shared" si="34"/>
        <v>0.9503105590062112</v>
      </c>
      <c r="N578">
        <f t="shared" si="35"/>
        <v>0</v>
      </c>
    </row>
    <row r="579" spans="1:14" x14ac:dyDescent="0.4">
      <c r="A579" t="s">
        <v>91</v>
      </c>
      <c r="B579" t="s">
        <v>28</v>
      </c>
      <c r="C579" t="s">
        <v>12</v>
      </c>
      <c r="D579" t="s">
        <v>37</v>
      </c>
      <c r="E579" s="1">
        <v>45219</v>
      </c>
      <c r="F579">
        <v>110</v>
      </c>
      <c r="G579">
        <v>205</v>
      </c>
      <c r="H579">
        <v>156.58000000000001</v>
      </c>
      <c r="I579">
        <v>431.87</v>
      </c>
      <c r="J579" t="s">
        <v>19</v>
      </c>
      <c r="K579">
        <f t="shared" ref="K579:K642" si="36">F579 * I579</f>
        <v>47505.7</v>
      </c>
      <c r="L579">
        <f t="shared" ref="L579:L642" si="37">(I579 - H579) * F579</f>
        <v>30281.899999999994</v>
      </c>
      <c r="M579">
        <f t="shared" ref="M579:M642" si="38">IF(G579=0, 0, F579/G579)</f>
        <v>0.53658536585365857</v>
      </c>
      <c r="N579">
        <f t="shared" ref="N579:N642" si="39">IF(G579=0, 1, 0)</f>
        <v>0</v>
      </c>
    </row>
    <row r="580" spans="1:14" x14ac:dyDescent="0.4">
      <c r="A580" t="s">
        <v>110</v>
      </c>
      <c r="B580" t="s">
        <v>25</v>
      </c>
      <c r="C580" t="s">
        <v>17</v>
      </c>
      <c r="D580" t="s">
        <v>13</v>
      </c>
      <c r="E580" s="1">
        <v>44996</v>
      </c>
      <c r="F580">
        <v>49</v>
      </c>
      <c r="G580">
        <v>77</v>
      </c>
      <c r="H580">
        <v>124.22</v>
      </c>
      <c r="I580">
        <v>102.87</v>
      </c>
      <c r="J580" t="s">
        <v>34</v>
      </c>
      <c r="K580">
        <f t="shared" si="36"/>
        <v>5040.63</v>
      </c>
      <c r="L580">
        <f t="shared" si="37"/>
        <v>-1046.1499999999996</v>
      </c>
      <c r="M580">
        <f t="shared" si="38"/>
        <v>0.63636363636363635</v>
      </c>
      <c r="N580">
        <f t="shared" si="39"/>
        <v>0</v>
      </c>
    </row>
    <row r="581" spans="1:14" x14ac:dyDescent="0.4">
      <c r="A581" t="s">
        <v>201</v>
      </c>
      <c r="B581" t="s">
        <v>28</v>
      </c>
      <c r="C581" t="s">
        <v>12</v>
      </c>
      <c r="D581" t="s">
        <v>33</v>
      </c>
      <c r="E581" s="1">
        <v>44945</v>
      </c>
      <c r="F581">
        <v>139</v>
      </c>
      <c r="G581">
        <v>15</v>
      </c>
      <c r="H581">
        <v>106.08</v>
      </c>
      <c r="I581">
        <v>107.71</v>
      </c>
      <c r="J581" t="s">
        <v>23</v>
      </c>
      <c r="K581">
        <f t="shared" si="36"/>
        <v>14971.689999999999</v>
      </c>
      <c r="L581">
        <f t="shared" si="37"/>
        <v>226.56999999999937</v>
      </c>
      <c r="M581">
        <f t="shared" si="38"/>
        <v>9.2666666666666675</v>
      </c>
      <c r="N581">
        <f t="shared" si="39"/>
        <v>0</v>
      </c>
    </row>
    <row r="582" spans="1:14" x14ac:dyDescent="0.4">
      <c r="A582" t="s">
        <v>236</v>
      </c>
      <c r="B582" t="s">
        <v>16</v>
      </c>
      <c r="C582" t="s">
        <v>29</v>
      </c>
      <c r="D582" t="s">
        <v>26</v>
      </c>
      <c r="E582" s="1">
        <v>45121</v>
      </c>
      <c r="F582">
        <v>94</v>
      </c>
      <c r="G582">
        <v>95</v>
      </c>
      <c r="H582">
        <v>214.65</v>
      </c>
      <c r="I582">
        <v>391.65</v>
      </c>
      <c r="J582" t="s">
        <v>14</v>
      </c>
      <c r="K582">
        <f t="shared" si="36"/>
        <v>36815.1</v>
      </c>
      <c r="L582">
        <f t="shared" si="37"/>
        <v>16637.999999999996</v>
      </c>
      <c r="M582">
        <f t="shared" si="38"/>
        <v>0.98947368421052628</v>
      </c>
      <c r="N582">
        <f t="shared" si="39"/>
        <v>0</v>
      </c>
    </row>
    <row r="583" spans="1:14" x14ac:dyDescent="0.4">
      <c r="A583" t="s">
        <v>83</v>
      </c>
      <c r="B583" t="s">
        <v>25</v>
      </c>
      <c r="C583" t="s">
        <v>52</v>
      </c>
      <c r="D583" t="s">
        <v>40</v>
      </c>
      <c r="E583" s="1">
        <v>44755</v>
      </c>
      <c r="F583">
        <v>91</v>
      </c>
      <c r="G583">
        <v>146</v>
      </c>
      <c r="H583">
        <v>153.22999999999999</v>
      </c>
      <c r="I583">
        <v>208.51</v>
      </c>
      <c r="J583" t="s">
        <v>23</v>
      </c>
      <c r="K583">
        <f t="shared" si="36"/>
        <v>18974.41</v>
      </c>
      <c r="L583">
        <f t="shared" si="37"/>
        <v>5030.4800000000005</v>
      </c>
      <c r="M583">
        <f t="shared" si="38"/>
        <v>0.62328767123287676</v>
      </c>
      <c r="N583">
        <f t="shared" si="39"/>
        <v>0</v>
      </c>
    </row>
    <row r="584" spans="1:14" x14ac:dyDescent="0.4">
      <c r="A584" t="s">
        <v>222</v>
      </c>
      <c r="B584" t="s">
        <v>21</v>
      </c>
      <c r="C584" t="s">
        <v>12</v>
      </c>
      <c r="D584" t="s">
        <v>69</v>
      </c>
      <c r="E584" s="1">
        <v>45095</v>
      </c>
      <c r="F584">
        <v>64</v>
      </c>
      <c r="G584">
        <v>1</v>
      </c>
      <c r="H584">
        <v>148.24</v>
      </c>
      <c r="I584">
        <v>565.12</v>
      </c>
      <c r="J584" t="s">
        <v>19</v>
      </c>
      <c r="K584">
        <f t="shared" si="36"/>
        <v>36167.68</v>
      </c>
      <c r="L584">
        <f t="shared" si="37"/>
        <v>26680.32</v>
      </c>
      <c r="M584">
        <f t="shared" si="38"/>
        <v>64</v>
      </c>
      <c r="N584">
        <f t="shared" si="39"/>
        <v>0</v>
      </c>
    </row>
    <row r="585" spans="1:14" x14ac:dyDescent="0.4">
      <c r="A585" t="s">
        <v>68</v>
      </c>
      <c r="B585" t="s">
        <v>11</v>
      </c>
      <c r="C585" t="s">
        <v>17</v>
      </c>
      <c r="D585" t="s">
        <v>75</v>
      </c>
      <c r="E585" s="1">
        <v>45079</v>
      </c>
      <c r="F585">
        <v>46</v>
      </c>
      <c r="G585">
        <v>9</v>
      </c>
      <c r="H585">
        <v>74.61</v>
      </c>
      <c r="I585">
        <v>596.16</v>
      </c>
      <c r="J585" t="s">
        <v>34</v>
      </c>
      <c r="K585">
        <f t="shared" si="36"/>
        <v>27423.359999999997</v>
      </c>
      <c r="L585">
        <f t="shared" si="37"/>
        <v>23991.3</v>
      </c>
      <c r="M585">
        <f t="shared" si="38"/>
        <v>5.1111111111111107</v>
      </c>
      <c r="N585">
        <f t="shared" si="39"/>
        <v>0</v>
      </c>
    </row>
    <row r="586" spans="1:14" x14ac:dyDescent="0.4">
      <c r="A586" t="s">
        <v>213</v>
      </c>
      <c r="B586" t="s">
        <v>36</v>
      </c>
      <c r="C586" t="s">
        <v>52</v>
      </c>
      <c r="D586" t="s">
        <v>47</v>
      </c>
      <c r="E586" s="1">
        <v>45277</v>
      </c>
      <c r="F586">
        <v>180</v>
      </c>
      <c r="G586">
        <v>124</v>
      </c>
      <c r="H586">
        <v>57.95</v>
      </c>
      <c r="I586">
        <v>224.52</v>
      </c>
      <c r="J586" t="s">
        <v>19</v>
      </c>
      <c r="K586">
        <f t="shared" si="36"/>
        <v>40413.599999999999</v>
      </c>
      <c r="L586">
        <f t="shared" si="37"/>
        <v>29982.6</v>
      </c>
      <c r="M586">
        <f t="shared" si="38"/>
        <v>1.4516129032258065</v>
      </c>
      <c r="N586">
        <f t="shared" si="39"/>
        <v>0</v>
      </c>
    </row>
    <row r="587" spans="1:14" x14ac:dyDescent="0.4">
      <c r="A587" t="s">
        <v>44</v>
      </c>
      <c r="B587" t="s">
        <v>32</v>
      </c>
      <c r="C587" t="s">
        <v>29</v>
      </c>
      <c r="D587" t="s">
        <v>26</v>
      </c>
      <c r="E587" s="1">
        <v>45312</v>
      </c>
      <c r="F587">
        <v>105</v>
      </c>
      <c r="G587">
        <v>80</v>
      </c>
      <c r="H587">
        <v>96.25</v>
      </c>
      <c r="I587">
        <v>721.97</v>
      </c>
      <c r="J587" t="s">
        <v>14</v>
      </c>
      <c r="K587">
        <f t="shared" si="36"/>
        <v>75806.850000000006</v>
      </c>
      <c r="L587">
        <f t="shared" si="37"/>
        <v>65700.600000000006</v>
      </c>
      <c r="M587">
        <f t="shared" si="38"/>
        <v>1.3125</v>
      </c>
      <c r="N587">
        <f t="shared" si="39"/>
        <v>0</v>
      </c>
    </row>
    <row r="588" spans="1:14" x14ac:dyDescent="0.4">
      <c r="A588" t="s">
        <v>120</v>
      </c>
      <c r="B588" t="s">
        <v>32</v>
      </c>
      <c r="C588" t="s">
        <v>12</v>
      </c>
      <c r="D588" t="s">
        <v>13</v>
      </c>
      <c r="E588" s="1">
        <v>44746</v>
      </c>
      <c r="F588">
        <v>198</v>
      </c>
      <c r="G588">
        <v>139</v>
      </c>
      <c r="H588">
        <v>127.49</v>
      </c>
      <c r="I588">
        <v>409.34</v>
      </c>
      <c r="J588" t="s">
        <v>23</v>
      </c>
      <c r="K588">
        <f t="shared" si="36"/>
        <v>81049.319999999992</v>
      </c>
      <c r="L588">
        <f t="shared" si="37"/>
        <v>55806.299999999996</v>
      </c>
      <c r="M588">
        <f t="shared" si="38"/>
        <v>1.4244604316546763</v>
      </c>
      <c r="N588">
        <f t="shared" si="39"/>
        <v>0</v>
      </c>
    </row>
    <row r="589" spans="1:14" x14ac:dyDescent="0.4">
      <c r="A589" t="s">
        <v>194</v>
      </c>
      <c r="B589" t="s">
        <v>36</v>
      </c>
      <c r="C589" t="s">
        <v>12</v>
      </c>
      <c r="D589" t="s">
        <v>62</v>
      </c>
      <c r="E589" s="1">
        <v>44853</v>
      </c>
      <c r="F589">
        <v>129</v>
      </c>
      <c r="G589">
        <v>149</v>
      </c>
      <c r="H589">
        <v>243.94</v>
      </c>
      <c r="I589">
        <v>199.99</v>
      </c>
      <c r="J589" t="s">
        <v>19</v>
      </c>
      <c r="K589">
        <f t="shared" si="36"/>
        <v>25798.710000000003</v>
      </c>
      <c r="L589">
        <f t="shared" si="37"/>
        <v>-5669.5499999999984</v>
      </c>
      <c r="M589">
        <f t="shared" si="38"/>
        <v>0.86577181208053688</v>
      </c>
      <c r="N589">
        <f t="shared" si="39"/>
        <v>0</v>
      </c>
    </row>
    <row r="590" spans="1:14" x14ac:dyDescent="0.4">
      <c r="A590" t="s">
        <v>101</v>
      </c>
      <c r="B590" t="s">
        <v>58</v>
      </c>
      <c r="C590" t="s">
        <v>12</v>
      </c>
      <c r="D590" t="s">
        <v>47</v>
      </c>
      <c r="E590" s="1">
        <v>45293</v>
      </c>
      <c r="F590">
        <v>105</v>
      </c>
      <c r="G590">
        <v>287</v>
      </c>
      <c r="H590">
        <v>279.73</v>
      </c>
      <c r="I590">
        <v>634.98</v>
      </c>
      <c r="J590" t="s">
        <v>19</v>
      </c>
      <c r="K590">
        <f t="shared" si="36"/>
        <v>66672.900000000009</v>
      </c>
      <c r="L590">
        <f t="shared" si="37"/>
        <v>37301.25</v>
      </c>
      <c r="M590">
        <f t="shared" si="38"/>
        <v>0.36585365853658536</v>
      </c>
      <c r="N590">
        <f t="shared" si="39"/>
        <v>0</v>
      </c>
    </row>
    <row r="591" spans="1:14" x14ac:dyDescent="0.4">
      <c r="A591" t="s">
        <v>38</v>
      </c>
      <c r="B591" t="s">
        <v>16</v>
      </c>
      <c r="C591" t="s">
        <v>52</v>
      </c>
      <c r="D591" t="s">
        <v>72</v>
      </c>
      <c r="E591" s="1">
        <v>44677</v>
      </c>
      <c r="F591">
        <v>23</v>
      </c>
      <c r="G591">
        <v>128</v>
      </c>
      <c r="H591">
        <v>113.27</v>
      </c>
      <c r="I591">
        <v>652.98</v>
      </c>
      <c r="J591" t="s">
        <v>14</v>
      </c>
      <c r="K591">
        <f t="shared" si="36"/>
        <v>15018.54</v>
      </c>
      <c r="L591">
        <f t="shared" si="37"/>
        <v>12413.330000000002</v>
      </c>
      <c r="M591">
        <f t="shared" si="38"/>
        <v>0.1796875</v>
      </c>
      <c r="N591">
        <f t="shared" si="39"/>
        <v>0</v>
      </c>
    </row>
    <row r="592" spans="1:14" x14ac:dyDescent="0.4">
      <c r="A592" t="s">
        <v>101</v>
      </c>
      <c r="B592" t="s">
        <v>28</v>
      </c>
      <c r="C592" t="s">
        <v>17</v>
      </c>
      <c r="D592" t="s">
        <v>18</v>
      </c>
      <c r="E592" s="1">
        <v>45386</v>
      </c>
      <c r="F592">
        <v>3</v>
      </c>
      <c r="G592">
        <v>238</v>
      </c>
      <c r="H592">
        <v>241.15</v>
      </c>
      <c r="I592">
        <v>547.51</v>
      </c>
      <c r="J592" t="s">
        <v>34</v>
      </c>
      <c r="K592">
        <f t="shared" si="36"/>
        <v>1642.53</v>
      </c>
      <c r="L592">
        <f t="shared" si="37"/>
        <v>919.08</v>
      </c>
      <c r="M592">
        <f t="shared" si="38"/>
        <v>1.2605042016806723E-2</v>
      </c>
      <c r="N592">
        <f t="shared" si="39"/>
        <v>0</v>
      </c>
    </row>
    <row r="593" spans="1:14" x14ac:dyDescent="0.4">
      <c r="A593" t="s">
        <v>232</v>
      </c>
      <c r="B593" t="s">
        <v>21</v>
      </c>
      <c r="C593" t="s">
        <v>17</v>
      </c>
      <c r="D593" t="s">
        <v>40</v>
      </c>
      <c r="E593" s="1">
        <v>45634</v>
      </c>
      <c r="F593">
        <v>107</v>
      </c>
      <c r="G593">
        <v>57</v>
      </c>
      <c r="H593">
        <v>203.79</v>
      </c>
      <c r="I593">
        <v>697.43</v>
      </c>
      <c r="J593" t="s">
        <v>19</v>
      </c>
      <c r="K593">
        <f t="shared" si="36"/>
        <v>74625.009999999995</v>
      </c>
      <c r="L593">
        <f t="shared" si="37"/>
        <v>52819.479999999996</v>
      </c>
      <c r="M593">
        <f t="shared" si="38"/>
        <v>1.8771929824561404</v>
      </c>
      <c r="N593">
        <f t="shared" si="39"/>
        <v>0</v>
      </c>
    </row>
    <row r="594" spans="1:14" x14ac:dyDescent="0.4">
      <c r="A594" t="s">
        <v>140</v>
      </c>
      <c r="B594" t="s">
        <v>39</v>
      </c>
      <c r="C594" t="s">
        <v>12</v>
      </c>
      <c r="D594" t="s">
        <v>53</v>
      </c>
      <c r="E594" s="1">
        <v>45246</v>
      </c>
      <c r="F594">
        <v>18</v>
      </c>
      <c r="G594">
        <v>197</v>
      </c>
      <c r="H594">
        <v>132.54</v>
      </c>
      <c r="I594">
        <v>616.16</v>
      </c>
      <c r="J594" t="s">
        <v>14</v>
      </c>
      <c r="K594">
        <f t="shared" si="36"/>
        <v>11090.88</v>
      </c>
      <c r="L594">
        <f t="shared" si="37"/>
        <v>8705.16</v>
      </c>
      <c r="M594">
        <f t="shared" si="38"/>
        <v>9.1370558375634514E-2</v>
      </c>
      <c r="N594">
        <f t="shared" si="39"/>
        <v>0</v>
      </c>
    </row>
    <row r="595" spans="1:14" x14ac:dyDescent="0.4">
      <c r="A595" t="s">
        <v>51</v>
      </c>
      <c r="B595" t="s">
        <v>25</v>
      </c>
      <c r="C595" t="s">
        <v>29</v>
      </c>
      <c r="D595" t="s">
        <v>45</v>
      </c>
      <c r="E595" s="1">
        <v>44643</v>
      </c>
      <c r="F595">
        <v>153</v>
      </c>
      <c r="G595">
        <v>210</v>
      </c>
      <c r="H595">
        <v>53.08</v>
      </c>
      <c r="I595">
        <v>717.54</v>
      </c>
      <c r="J595" t="s">
        <v>34</v>
      </c>
      <c r="K595">
        <f t="shared" si="36"/>
        <v>109783.62</v>
      </c>
      <c r="L595">
        <f t="shared" si="37"/>
        <v>101662.37999999999</v>
      </c>
      <c r="M595">
        <f t="shared" si="38"/>
        <v>0.72857142857142854</v>
      </c>
      <c r="N595">
        <f t="shared" si="39"/>
        <v>0</v>
      </c>
    </row>
    <row r="596" spans="1:14" x14ac:dyDescent="0.4">
      <c r="A596" t="s">
        <v>63</v>
      </c>
      <c r="B596" t="s">
        <v>16</v>
      </c>
      <c r="C596" t="s">
        <v>29</v>
      </c>
      <c r="D596" t="s">
        <v>72</v>
      </c>
      <c r="E596" s="1">
        <v>45395</v>
      </c>
      <c r="F596">
        <v>39</v>
      </c>
      <c r="G596">
        <v>44</v>
      </c>
      <c r="H596">
        <v>260.16000000000003</v>
      </c>
      <c r="I596">
        <v>403.72</v>
      </c>
      <c r="J596" t="s">
        <v>34</v>
      </c>
      <c r="K596">
        <f t="shared" si="36"/>
        <v>15745.080000000002</v>
      </c>
      <c r="L596">
        <f t="shared" si="37"/>
        <v>5598.84</v>
      </c>
      <c r="M596">
        <f t="shared" si="38"/>
        <v>0.88636363636363635</v>
      </c>
      <c r="N596">
        <f t="shared" si="39"/>
        <v>0</v>
      </c>
    </row>
    <row r="597" spans="1:14" x14ac:dyDescent="0.4">
      <c r="A597" t="s">
        <v>237</v>
      </c>
      <c r="B597" t="s">
        <v>25</v>
      </c>
      <c r="C597" t="s">
        <v>17</v>
      </c>
      <c r="D597" t="s">
        <v>69</v>
      </c>
      <c r="E597" s="1">
        <v>44894</v>
      </c>
      <c r="F597">
        <v>49</v>
      </c>
      <c r="G597">
        <v>96</v>
      </c>
      <c r="H597">
        <v>358.54</v>
      </c>
      <c r="I597">
        <v>623.32000000000005</v>
      </c>
      <c r="J597" t="s">
        <v>23</v>
      </c>
      <c r="K597">
        <f t="shared" si="36"/>
        <v>30542.680000000004</v>
      </c>
      <c r="L597">
        <f t="shared" si="37"/>
        <v>12974.220000000001</v>
      </c>
      <c r="M597">
        <f t="shared" si="38"/>
        <v>0.51041666666666663</v>
      </c>
      <c r="N597">
        <f t="shared" si="39"/>
        <v>0</v>
      </c>
    </row>
    <row r="598" spans="1:14" x14ac:dyDescent="0.4">
      <c r="A598" t="s">
        <v>138</v>
      </c>
      <c r="B598" t="s">
        <v>21</v>
      </c>
      <c r="C598" t="s">
        <v>29</v>
      </c>
      <c r="D598" t="s">
        <v>69</v>
      </c>
      <c r="E598" s="1">
        <v>45118</v>
      </c>
      <c r="F598">
        <v>170</v>
      </c>
      <c r="G598">
        <v>278</v>
      </c>
      <c r="H598">
        <v>151.82</v>
      </c>
      <c r="I598">
        <v>799.83</v>
      </c>
      <c r="J598" t="s">
        <v>14</v>
      </c>
      <c r="K598">
        <f t="shared" si="36"/>
        <v>135971.1</v>
      </c>
      <c r="L598">
        <f t="shared" si="37"/>
        <v>110161.7</v>
      </c>
      <c r="M598">
        <f t="shared" si="38"/>
        <v>0.61151079136690645</v>
      </c>
      <c r="N598">
        <f t="shared" si="39"/>
        <v>0</v>
      </c>
    </row>
    <row r="599" spans="1:14" x14ac:dyDescent="0.4">
      <c r="A599" t="s">
        <v>153</v>
      </c>
      <c r="B599" t="s">
        <v>43</v>
      </c>
      <c r="C599" t="s">
        <v>17</v>
      </c>
      <c r="D599" t="s">
        <v>72</v>
      </c>
      <c r="E599" s="1">
        <v>44896</v>
      </c>
      <c r="F599">
        <v>74</v>
      </c>
      <c r="G599">
        <v>22</v>
      </c>
      <c r="H599">
        <v>109.31</v>
      </c>
      <c r="I599">
        <v>607.45000000000005</v>
      </c>
      <c r="J599" t="s">
        <v>34</v>
      </c>
      <c r="K599">
        <f t="shared" si="36"/>
        <v>44951.3</v>
      </c>
      <c r="L599">
        <f t="shared" si="37"/>
        <v>36862.36</v>
      </c>
      <c r="M599">
        <f t="shared" si="38"/>
        <v>3.3636363636363638</v>
      </c>
      <c r="N599">
        <f t="shared" si="39"/>
        <v>0</v>
      </c>
    </row>
    <row r="600" spans="1:14" x14ac:dyDescent="0.4">
      <c r="A600" t="s">
        <v>148</v>
      </c>
      <c r="B600" t="s">
        <v>43</v>
      </c>
      <c r="C600" t="s">
        <v>12</v>
      </c>
      <c r="D600" t="s">
        <v>69</v>
      </c>
      <c r="E600" s="1">
        <v>45093</v>
      </c>
      <c r="F600">
        <v>194</v>
      </c>
      <c r="G600">
        <v>43</v>
      </c>
      <c r="H600">
        <v>449.17</v>
      </c>
      <c r="I600">
        <v>179.93</v>
      </c>
      <c r="J600" t="s">
        <v>23</v>
      </c>
      <c r="K600">
        <f t="shared" si="36"/>
        <v>34906.42</v>
      </c>
      <c r="L600">
        <f t="shared" si="37"/>
        <v>-52232.560000000005</v>
      </c>
      <c r="M600">
        <f t="shared" si="38"/>
        <v>4.5116279069767442</v>
      </c>
      <c r="N600">
        <f t="shared" si="39"/>
        <v>0</v>
      </c>
    </row>
    <row r="601" spans="1:14" x14ac:dyDescent="0.4">
      <c r="A601" t="s">
        <v>51</v>
      </c>
      <c r="B601" t="s">
        <v>16</v>
      </c>
      <c r="C601" t="s">
        <v>17</v>
      </c>
      <c r="D601" t="s">
        <v>75</v>
      </c>
      <c r="E601" s="1">
        <v>44782</v>
      </c>
      <c r="F601">
        <v>11</v>
      </c>
      <c r="G601">
        <v>26</v>
      </c>
      <c r="H601">
        <v>173.76</v>
      </c>
      <c r="I601">
        <v>462.82</v>
      </c>
      <c r="J601" t="s">
        <v>30</v>
      </c>
      <c r="K601">
        <f t="shared" si="36"/>
        <v>5091.0199999999995</v>
      </c>
      <c r="L601">
        <f t="shared" si="37"/>
        <v>3179.66</v>
      </c>
      <c r="M601">
        <f t="shared" si="38"/>
        <v>0.42307692307692307</v>
      </c>
      <c r="N601">
        <f t="shared" si="39"/>
        <v>0</v>
      </c>
    </row>
    <row r="602" spans="1:14" x14ac:dyDescent="0.4">
      <c r="A602" t="s">
        <v>135</v>
      </c>
      <c r="B602" t="s">
        <v>11</v>
      </c>
      <c r="C602" t="s">
        <v>17</v>
      </c>
      <c r="D602" t="s">
        <v>53</v>
      </c>
      <c r="E602" s="1">
        <v>45196</v>
      </c>
      <c r="F602">
        <v>194</v>
      </c>
      <c r="G602">
        <v>281</v>
      </c>
      <c r="H602">
        <v>150.63</v>
      </c>
      <c r="I602">
        <v>511.14</v>
      </c>
      <c r="J602" t="s">
        <v>14</v>
      </c>
      <c r="K602">
        <f t="shared" si="36"/>
        <v>99161.16</v>
      </c>
      <c r="L602">
        <f t="shared" si="37"/>
        <v>69938.94</v>
      </c>
      <c r="M602">
        <f t="shared" si="38"/>
        <v>0.69039145907473309</v>
      </c>
      <c r="N602">
        <f t="shared" si="39"/>
        <v>0</v>
      </c>
    </row>
    <row r="603" spans="1:14" x14ac:dyDescent="0.4">
      <c r="A603" t="s">
        <v>77</v>
      </c>
      <c r="B603" t="s">
        <v>21</v>
      </c>
      <c r="C603" t="s">
        <v>12</v>
      </c>
      <c r="D603" t="s">
        <v>13</v>
      </c>
      <c r="E603" s="1">
        <v>44884</v>
      </c>
      <c r="F603">
        <v>26</v>
      </c>
      <c r="G603">
        <v>96</v>
      </c>
      <c r="H603">
        <v>435.69</v>
      </c>
      <c r="I603">
        <v>221.95</v>
      </c>
      <c r="J603" t="s">
        <v>30</v>
      </c>
      <c r="K603">
        <f t="shared" si="36"/>
        <v>5770.7</v>
      </c>
      <c r="L603">
        <f t="shared" si="37"/>
        <v>-5557.24</v>
      </c>
      <c r="M603">
        <f t="shared" si="38"/>
        <v>0.27083333333333331</v>
      </c>
      <c r="N603">
        <f t="shared" si="39"/>
        <v>0</v>
      </c>
    </row>
    <row r="604" spans="1:14" x14ac:dyDescent="0.4">
      <c r="A604" t="s">
        <v>137</v>
      </c>
      <c r="B604" t="s">
        <v>21</v>
      </c>
      <c r="C604" t="s">
        <v>29</v>
      </c>
      <c r="D604" t="s">
        <v>40</v>
      </c>
      <c r="E604" s="1">
        <v>44564</v>
      </c>
      <c r="F604">
        <v>112</v>
      </c>
      <c r="G604">
        <v>35</v>
      </c>
      <c r="H604">
        <v>417.7</v>
      </c>
      <c r="I604">
        <v>774.02</v>
      </c>
      <c r="J604" t="s">
        <v>34</v>
      </c>
      <c r="K604">
        <f t="shared" si="36"/>
        <v>86690.239999999991</v>
      </c>
      <c r="L604">
        <f t="shared" si="37"/>
        <v>39907.839999999997</v>
      </c>
      <c r="M604">
        <f t="shared" si="38"/>
        <v>3.2</v>
      </c>
      <c r="N604">
        <f t="shared" si="39"/>
        <v>0</v>
      </c>
    </row>
    <row r="605" spans="1:14" x14ac:dyDescent="0.4">
      <c r="A605" t="s">
        <v>134</v>
      </c>
      <c r="B605" t="s">
        <v>36</v>
      </c>
      <c r="C605" t="s">
        <v>17</v>
      </c>
      <c r="D605" t="s">
        <v>66</v>
      </c>
      <c r="E605" s="1">
        <v>44767</v>
      </c>
      <c r="F605">
        <v>181</v>
      </c>
      <c r="G605">
        <v>108</v>
      </c>
      <c r="H605">
        <v>251.76</v>
      </c>
      <c r="I605">
        <v>222.91</v>
      </c>
      <c r="J605" t="s">
        <v>14</v>
      </c>
      <c r="K605">
        <f t="shared" si="36"/>
        <v>40346.71</v>
      </c>
      <c r="L605">
        <f t="shared" si="37"/>
        <v>-5221.8499999999985</v>
      </c>
      <c r="M605">
        <f t="shared" si="38"/>
        <v>1.6759259259259258</v>
      </c>
      <c r="N605">
        <f t="shared" si="39"/>
        <v>0</v>
      </c>
    </row>
    <row r="606" spans="1:14" x14ac:dyDescent="0.4">
      <c r="A606" t="s">
        <v>169</v>
      </c>
      <c r="B606" t="s">
        <v>11</v>
      </c>
      <c r="C606" t="s">
        <v>17</v>
      </c>
      <c r="D606" t="s">
        <v>33</v>
      </c>
      <c r="E606" s="1">
        <v>44601</v>
      </c>
      <c r="F606">
        <v>193</v>
      </c>
      <c r="G606">
        <v>54</v>
      </c>
      <c r="H606">
        <v>270.16000000000003</v>
      </c>
      <c r="I606">
        <v>224.29</v>
      </c>
      <c r="J606" t="s">
        <v>23</v>
      </c>
      <c r="K606">
        <f t="shared" si="36"/>
        <v>43287.97</v>
      </c>
      <c r="L606">
        <f t="shared" si="37"/>
        <v>-8852.9100000000071</v>
      </c>
      <c r="M606">
        <f t="shared" si="38"/>
        <v>3.574074074074074</v>
      </c>
      <c r="N606">
        <f t="shared" si="39"/>
        <v>0</v>
      </c>
    </row>
    <row r="607" spans="1:14" x14ac:dyDescent="0.4">
      <c r="A607" t="s">
        <v>177</v>
      </c>
      <c r="B607" t="s">
        <v>28</v>
      </c>
      <c r="C607" t="s">
        <v>12</v>
      </c>
      <c r="D607" t="s">
        <v>26</v>
      </c>
      <c r="E607" s="1">
        <v>44620</v>
      </c>
      <c r="F607">
        <v>48</v>
      </c>
      <c r="G607">
        <v>191</v>
      </c>
      <c r="H607">
        <v>147.99</v>
      </c>
      <c r="I607">
        <v>740.62</v>
      </c>
      <c r="J607" t="s">
        <v>34</v>
      </c>
      <c r="K607">
        <f t="shared" si="36"/>
        <v>35549.760000000002</v>
      </c>
      <c r="L607">
        <f t="shared" si="37"/>
        <v>28446.239999999998</v>
      </c>
      <c r="M607">
        <f t="shared" si="38"/>
        <v>0.2513089005235602</v>
      </c>
      <c r="N607">
        <f t="shared" si="39"/>
        <v>0</v>
      </c>
    </row>
    <row r="608" spans="1:14" x14ac:dyDescent="0.4">
      <c r="A608" t="s">
        <v>154</v>
      </c>
      <c r="B608" t="s">
        <v>28</v>
      </c>
      <c r="C608" t="s">
        <v>29</v>
      </c>
      <c r="D608" t="s">
        <v>45</v>
      </c>
      <c r="E608" s="1">
        <v>45512</v>
      </c>
      <c r="F608">
        <v>143</v>
      </c>
      <c r="G608">
        <v>218</v>
      </c>
      <c r="H608">
        <v>85.24</v>
      </c>
      <c r="I608">
        <v>425.64</v>
      </c>
      <c r="J608" t="s">
        <v>14</v>
      </c>
      <c r="K608">
        <f t="shared" si="36"/>
        <v>60866.52</v>
      </c>
      <c r="L608">
        <f t="shared" si="37"/>
        <v>48677.2</v>
      </c>
      <c r="M608">
        <f t="shared" si="38"/>
        <v>0.65596330275229353</v>
      </c>
      <c r="N608">
        <f t="shared" si="39"/>
        <v>0</v>
      </c>
    </row>
    <row r="609" spans="1:14" x14ac:dyDescent="0.4">
      <c r="A609" t="s">
        <v>226</v>
      </c>
      <c r="B609" t="s">
        <v>39</v>
      </c>
      <c r="C609" t="s">
        <v>17</v>
      </c>
      <c r="D609" t="s">
        <v>41</v>
      </c>
      <c r="E609" s="1">
        <v>45135</v>
      </c>
      <c r="F609">
        <v>129</v>
      </c>
      <c r="G609">
        <v>184</v>
      </c>
      <c r="H609">
        <v>308.04000000000002</v>
      </c>
      <c r="I609">
        <v>144.22999999999999</v>
      </c>
      <c r="J609" t="s">
        <v>14</v>
      </c>
      <c r="K609">
        <f t="shared" si="36"/>
        <v>18605.669999999998</v>
      </c>
      <c r="L609">
        <f t="shared" si="37"/>
        <v>-21131.490000000005</v>
      </c>
      <c r="M609">
        <f t="shared" si="38"/>
        <v>0.70108695652173914</v>
      </c>
      <c r="N609">
        <f t="shared" si="39"/>
        <v>0</v>
      </c>
    </row>
    <row r="610" spans="1:14" x14ac:dyDescent="0.4">
      <c r="A610" t="s">
        <v>138</v>
      </c>
      <c r="B610" t="s">
        <v>32</v>
      </c>
      <c r="C610" t="s">
        <v>12</v>
      </c>
      <c r="D610" t="s">
        <v>33</v>
      </c>
      <c r="E610" s="1">
        <v>45205</v>
      </c>
      <c r="F610">
        <v>59</v>
      </c>
      <c r="G610">
        <v>68</v>
      </c>
      <c r="H610">
        <v>94.26</v>
      </c>
      <c r="I610">
        <v>518.73</v>
      </c>
      <c r="J610" t="s">
        <v>30</v>
      </c>
      <c r="K610">
        <f t="shared" si="36"/>
        <v>30605.07</v>
      </c>
      <c r="L610">
        <f t="shared" si="37"/>
        <v>25043.730000000003</v>
      </c>
      <c r="M610">
        <f t="shared" si="38"/>
        <v>0.86764705882352944</v>
      </c>
      <c r="N610">
        <f t="shared" si="39"/>
        <v>0</v>
      </c>
    </row>
    <row r="611" spans="1:14" x14ac:dyDescent="0.4">
      <c r="A611" t="s">
        <v>236</v>
      </c>
      <c r="B611" t="s">
        <v>43</v>
      </c>
      <c r="C611" t="s">
        <v>17</v>
      </c>
      <c r="D611" t="s">
        <v>26</v>
      </c>
      <c r="E611" s="1">
        <v>45404</v>
      </c>
      <c r="F611">
        <v>181</v>
      </c>
      <c r="G611">
        <v>129</v>
      </c>
      <c r="H611">
        <v>252.17</v>
      </c>
      <c r="I611">
        <v>521.28</v>
      </c>
      <c r="J611" t="s">
        <v>34</v>
      </c>
      <c r="K611">
        <f t="shared" si="36"/>
        <v>94351.679999999993</v>
      </c>
      <c r="L611">
        <f t="shared" si="37"/>
        <v>48708.91</v>
      </c>
      <c r="M611">
        <f t="shared" si="38"/>
        <v>1.4031007751937985</v>
      </c>
      <c r="N611">
        <f t="shared" si="39"/>
        <v>0</v>
      </c>
    </row>
    <row r="612" spans="1:14" x14ac:dyDescent="0.4">
      <c r="A612" t="s">
        <v>160</v>
      </c>
      <c r="B612" t="s">
        <v>28</v>
      </c>
      <c r="C612" t="s">
        <v>52</v>
      </c>
      <c r="D612" t="s">
        <v>22</v>
      </c>
      <c r="E612" s="1">
        <v>45180</v>
      </c>
      <c r="F612">
        <v>29</v>
      </c>
      <c r="G612">
        <v>54</v>
      </c>
      <c r="H612">
        <v>473.22</v>
      </c>
      <c r="I612">
        <v>145.15</v>
      </c>
      <c r="J612" t="s">
        <v>23</v>
      </c>
      <c r="K612">
        <f t="shared" si="36"/>
        <v>4209.3500000000004</v>
      </c>
      <c r="L612">
        <f t="shared" si="37"/>
        <v>-9514.0300000000007</v>
      </c>
      <c r="M612">
        <f t="shared" si="38"/>
        <v>0.53703703703703709</v>
      </c>
      <c r="N612">
        <f t="shared" si="39"/>
        <v>0</v>
      </c>
    </row>
    <row r="613" spans="1:14" x14ac:dyDescent="0.4">
      <c r="A613" t="s">
        <v>206</v>
      </c>
      <c r="B613" t="s">
        <v>11</v>
      </c>
      <c r="C613" t="s">
        <v>12</v>
      </c>
      <c r="D613" t="s">
        <v>13</v>
      </c>
      <c r="E613" s="1">
        <v>44657</v>
      </c>
      <c r="F613">
        <v>83</v>
      </c>
      <c r="G613">
        <v>96</v>
      </c>
      <c r="H613">
        <v>478.78</v>
      </c>
      <c r="I613">
        <v>780.77</v>
      </c>
      <c r="J613" t="s">
        <v>23</v>
      </c>
      <c r="K613">
        <f t="shared" si="36"/>
        <v>64803.909999999996</v>
      </c>
      <c r="L613">
        <f t="shared" si="37"/>
        <v>25065.170000000002</v>
      </c>
      <c r="M613">
        <f t="shared" si="38"/>
        <v>0.86458333333333337</v>
      </c>
      <c r="N613">
        <f t="shared" si="39"/>
        <v>0</v>
      </c>
    </row>
    <row r="614" spans="1:14" x14ac:dyDescent="0.4">
      <c r="A614" t="s">
        <v>169</v>
      </c>
      <c r="B614" t="s">
        <v>21</v>
      </c>
      <c r="C614" t="s">
        <v>29</v>
      </c>
      <c r="D614" t="s">
        <v>69</v>
      </c>
      <c r="E614" s="1">
        <v>45459</v>
      </c>
      <c r="F614">
        <v>165</v>
      </c>
      <c r="G614">
        <v>86</v>
      </c>
      <c r="H614">
        <v>157.69999999999999</v>
      </c>
      <c r="I614">
        <v>480.82</v>
      </c>
      <c r="J614" t="s">
        <v>34</v>
      </c>
      <c r="K614">
        <f t="shared" si="36"/>
        <v>79335.3</v>
      </c>
      <c r="L614">
        <f t="shared" si="37"/>
        <v>53314.8</v>
      </c>
      <c r="M614">
        <f t="shared" si="38"/>
        <v>1.9186046511627908</v>
      </c>
      <c r="N614">
        <f t="shared" si="39"/>
        <v>0</v>
      </c>
    </row>
    <row r="615" spans="1:14" x14ac:dyDescent="0.4">
      <c r="A615" t="s">
        <v>136</v>
      </c>
      <c r="B615" t="s">
        <v>28</v>
      </c>
      <c r="C615" t="s">
        <v>29</v>
      </c>
      <c r="D615" t="s">
        <v>69</v>
      </c>
      <c r="E615" s="1">
        <v>45647</v>
      </c>
      <c r="F615">
        <v>27</v>
      </c>
      <c r="G615">
        <v>293</v>
      </c>
      <c r="H615">
        <v>330.85</v>
      </c>
      <c r="I615">
        <v>491.86</v>
      </c>
      <c r="J615" t="s">
        <v>34</v>
      </c>
      <c r="K615">
        <f t="shared" si="36"/>
        <v>13280.220000000001</v>
      </c>
      <c r="L615">
        <f t="shared" si="37"/>
        <v>4347.2699999999995</v>
      </c>
      <c r="M615">
        <f t="shared" si="38"/>
        <v>9.2150170648464161E-2</v>
      </c>
      <c r="N615">
        <f t="shared" si="39"/>
        <v>0</v>
      </c>
    </row>
    <row r="616" spans="1:14" x14ac:dyDescent="0.4">
      <c r="A616" t="s">
        <v>92</v>
      </c>
      <c r="B616" t="s">
        <v>21</v>
      </c>
      <c r="C616" t="s">
        <v>29</v>
      </c>
      <c r="D616" t="s">
        <v>66</v>
      </c>
      <c r="E616" s="1">
        <v>45122</v>
      </c>
      <c r="F616">
        <v>24</v>
      </c>
      <c r="G616">
        <v>118</v>
      </c>
      <c r="H616">
        <v>263.33</v>
      </c>
      <c r="I616">
        <v>464.08</v>
      </c>
      <c r="J616" t="s">
        <v>19</v>
      </c>
      <c r="K616">
        <f t="shared" si="36"/>
        <v>11137.92</v>
      </c>
      <c r="L616">
        <f t="shared" si="37"/>
        <v>4818</v>
      </c>
      <c r="M616">
        <f t="shared" si="38"/>
        <v>0.20338983050847459</v>
      </c>
      <c r="N616">
        <f t="shared" si="39"/>
        <v>0</v>
      </c>
    </row>
    <row r="617" spans="1:14" x14ac:dyDescent="0.4">
      <c r="A617" t="s">
        <v>191</v>
      </c>
      <c r="B617" t="s">
        <v>28</v>
      </c>
      <c r="C617" t="s">
        <v>29</v>
      </c>
      <c r="D617" t="s">
        <v>33</v>
      </c>
      <c r="E617" s="1">
        <v>45466</v>
      </c>
      <c r="F617">
        <v>95</v>
      </c>
      <c r="G617">
        <v>207</v>
      </c>
      <c r="H617">
        <v>444.06</v>
      </c>
      <c r="I617">
        <v>527.51</v>
      </c>
      <c r="J617" t="s">
        <v>30</v>
      </c>
      <c r="K617">
        <f t="shared" si="36"/>
        <v>50113.45</v>
      </c>
      <c r="L617">
        <f t="shared" si="37"/>
        <v>7927.7499999999991</v>
      </c>
      <c r="M617">
        <f t="shared" si="38"/>
        <v>0.45893719806763283</v>
      </c>
      <c r="N617">
        <f t="shared" si="39"/>
        <v>0</v>
      </c>
    </row>
    <row r="618" spans="1:14" x14ac:dyDescent="0.4">
      <c r="A618" t="s">
        <v>157</v>
      </c>
      <c r="B618" t="s">
        <v>43</v>
      </c>
      <c r="C618" t="s">
        <v>17</v>
      </c>
      <c r="D618" t="s">
        <v>26</v>
      </c>
      <c r="E618" s="1">
        <v>44909</v>
      </c>
      <c r="F618">
        <v>124</v>
      </c>
      <c r="G618">
        <v>153</v>
      </c>
      <c r="H618">
        <v>172.14</v>
      </c>
      <c r="I618">
        <v>285.01</v>
      </c>
      <c r="J618" t="s">
        <v>34</v>
      </c>
      <c r="K618">
        <f t="shared" si="36"/>
        <v>35341.24</v>
      </c>
      <c r="L618">
        <f t="shared" si="37"/>
        <v>13995.880000000001</v>
      </c>
      <c r="M618">
        <f t="shared" si="38"/>
        <v>0.81045751633986929</v>
      </c>
      <c r="N618">
        <f t="shared" si="39"/>
        <v>0</v>
      </c>
    </row>
    <row r="619" spans="1:14" x14ac:dyDescent="0.4">
      <c r="A619" t="s">
        <v>235</v>
      </c>
      <c r="B619" t="s">
        <v>25</v>
      </c>
      <c r="C619" t="s">
        <v>17</v>
      </c>
      <c r="D619" t="s">
        <v>132</v>
      </c>
      <c r="E619" s="1">
        <v>45232</v>
      </c>
      <c r="F619">
        <v>9</v>
      </c>
      <c r="G619">
        <v>34</v>
      </c>
      <c r="H619">
        <v>51.67</v>
      </c>
      <c r="I619">
        <v>301.07</v>
      </c>
      <c r="J619" t="s">
        <v>34</v>
      </c>
      <c r="K619">
        <f t="shared" si="36"/>
        <v>2709.63</v>
      </c>
      <c r="L619">
        <f t="shared" si="37"/>
        <v>2244.6</v>
      </c>
      <c r="M619">
        <f t="shared" si="38"/>
        <v>0.26470588235294118</v>
      </c>
      <c r="N619">
        <f t="shared" si="39"/>
        <v>0</v>
      </c>
    </row>
    <row r="620" spans="1:14" x14ac:dyDescent="0.4">
      <c r="A620" t="s">
        <v>156</v>
      </c>
      <c r="B620" t="s">
        <v>28</v>
      </c>
      <c r="C620" t="s">
        <v>29</v>
      </c>
      <c r="D620" t="s">
        <v>26</v>
      </c>
      <c r="E620" s="1">
        <v>44878</v>
      </c>
      <c r="F620">
        <v>187</v>
      </c>
      <c r="G620">
        <v>78</v>
      </c>
      <c r="H620">
        <v>123.15</v>
      </c>
      <c r="I620">
        <v>457.94</v>
      </c>
      <c r="J620" t="s">
        <v>19</v>
      </c>
      <c r="K620">
        <f t="shared" si="36"/>
        <v>85634.78</v>
      </c>
      <c r="L620">
        <f t="shared" si="37"/>
        <v>62605.729999999996</v>
      </c>
      <c r="M620">
        <f t="shared" si="38"/>
        <v>2.3974358974358974</v>
      </c>
      <c r="N620">
        <f t="shared" si="39"/>
        <v>0</v>
      </c>
    </row>
    <row r="621" spans="1:14" x14ac:dyDescent="0.4">
      <c r="A621" t="s">
        <v>225</v>
      </c>
      <c r="B621" t="s">
        <v>11</v>
      </c>
      <c r="C621" t="s">
        <v>29</v>
      </c>
      <c r="D621" t="s">
        <v>18</v>
      </c>
      <c r="E621" s="1">
        <v>45280</v>
      </c>
      <c r="F621">
        <v>41</v>
      </c>
      <c r="G621">
        <v>66</v>
      </c>
      <c r="H621">
        <v>207.29</v>
      </c>
      <c r="I621">
        <v>664.68</v>
      </c>
      <c r="J621" t="s">
        <v>19</v>
      </c>
      <c r="K621">
        <f t="shared" si="36"/>
        <v>27251.879999999997</v>
      </c>
      <c r="L621">
        <f t="shared" si="37"/>
        <v>18752.989999999998</v>
      </c>
      <c r="M621">
        <f t="shared" si="38"/>
        <v>0.62121212121212122</v>
      </c>
      <c r="N621">
        <f t="shared" si="39"/>
        <v>0</v>
      </c>
    </row>
    <row r="622" spans="1:14" x14ac:dyDescent="0.4">
      <c r="A622" t="s">
        <v>237</v>
      </c>
      <c r="B622" t="s">
        <v>28</v>
      </c>
      <c r="C622" t="s">
        <v>29</v>
      </c>
      <c r="D622" t="s">
        <v>75</v>
      </c>
      <c r="E622" s="1">
        <v>45633</v>
      </c>
      <c r="F622">
        <v>39</v>
      </c>
      <c r="G622">
        <v>33</v>
      </c>
      <c r="H622">
        <v>192.07</v>
      </c>
      <c r="I622">
        <v>134.91</v>
      </c>
      <c r="J622" t="s">
        <v>14</v>
      </c>
      <c r="K622">
        <f t="shared" si="36"/>
        <v>5261.49</v>
      </c>
      <c r="L622">
        <f t="shared" si="37"/>
        <v>-2229.2399999999998</v>
      </c>
      <c r="M622">
        <f t="shared" si="38"/>
        <v>1.1818181818181819</v>
      </c>
      <c r="N622">
        <f t="shared" si="39"/>
        <v>0</v>
      </c>
    </row>
    <row r="623" spans="1:14" x14ac:dyDescent="0.4">
      <c r="A623" t="s">
        <v>49</v>
      </c>
      <c r="B623" t="s">
        <v>32</v>
      </c>
      <c r="C623" t="s">
        <v>17</v>
      </c>
      <c r="D623" t="s">
        <v>72</v>
      </c>
      <c r="E623" s="1">
        <v>44811</v>
      </c>
      <c r="F623">
        <v>76</v>
      </c>
      <c r="G623">
        <v>96</v>
      </c>
      <c r="H623">
        <v>406.11</v>
      </c>
      <c r="I623">
        <v>522.38</v>
      </c>
      <c r="J623" t="s">
        <v>23</v>
      </c>
      <c r="K623">
        <f t="shared" si="36"/>
        <v>39700.879999999997</v>
      </c>
      <c r="L623">
        <f t="shared" si="37"/>
        <v>8836.5199999999986</v>
      </c>
      <c r="M623">
        <f t="shared" si="38"/>
        <v>0.79166666666666663</v>
      </c>
      <c r="N623">
        <f t="shared" si="39"/>
        <v>0</v>
      </c>
    </row>
    <row r="624" spans="1:14" x14ac:dyDescent="0.4">
      <c r="A624" t="s">
        <v>192</v>
      </c>
      <c r="B624" t="s">
        <v>43</v>
      </c>
      <c r="C624" t="s">
        <v>29</v>
      </c>
      <c r="D624" t="s">
        <v>132</v>
      </c>
      <c r="E624" s="1">
        <v>44875</v>
      </c>
      <c r="F624">
        <v>104</v>
      </c>
      <c r="G624">
        <v>168</v>
      </c>
      <c r="H624">
        <v>356.25</v>
      </c>
      <c r="I624">
        <v>664.74</v>
      </c>
      <c r="J624" t="s">
        <v>30</v>
      </c>
      <c r="K624">
        <f t="shared" si="36"/>
        <v>69132.960000000006</v>
      </c>
      <c r="L624">
        <f t="shared" si="37"/>
        <v>32082.959999999999</v>
      </c>
      <c r="M624">
        <f t="shared" si="38"/>
        <v>0.61904761904761907</v>
      </c>
      <c r="N624">
        <f t="shared" si="39"/>
        <v>0</v>
      </c>
    </row>
    <row r="625" spans="1:14" x14ac:dyDescent="0.4">
      <c r="A625" t="s">
        <v>35</v>
      </c>
      <c r="B625" t="s">
        <v>11</v>
      </c>
      <c r="C625" t="s">
        <v>29</v>
      </c>
      <c r="D625" t="s">
        <v>26</v>
      </c>
      <c r="E625" s="1">
        <v>45368</v>
      </c>
      <c r="F625">
        <v>117</v>
      </c>
      <c r="G625">
        <v>168</v>
      </c>
      <c r="H625">
        <v>184.8</v>
      </c>
      <c r="I625">
        <v>209.84</v>
      </c>
      <c r="J625" t="s">
        <v>14</v>
      </c>
      <c r="K625">
        <f t="shared" si="36"/>
        <v>24551.279999999999</v>
      </c>
      <c r="L625">
        <f t="shared" si="37"/>
        <v>2929.6799999999989</v>
      </c>
      <c r="M625">
        <f t="shared" si="38"/>
        <v>0.6964285714285714</v>
      </c>
      <c r="N625">
        <f t="shared" si="39"/>
        <v>0</v>
      </c>
    </row>
    <row r="626" spans="1:14" x14ac:dyDescent="0.4">
      <c r="A626" t="s">
        <v>174</v>
      </c>
      <c r="B626" t="s">
        <v>36</v>
      </c>
      <c r="C626" t="s">
        <v>52</v>
      </c>
      <c r="D626" t="s">
        <v>18</v>
      </c>
      <c r="E626" s="1">
        <v>45046</v>
      </c>
      <c r="F626">
        <v>41</v>
      </c>
      <c r="G626">
        <v>150</v>
      </c>
      <c r="H626">
        <v>255.98</v>
      </c>
      <c r="I626">
        <v>110.52</v>
      </c>
      <c r="J626" t="s">
        <v>34</v>
      </c>
      <c r="K626">
        <f t="shared" si="36"/>
        <v>4531.32</v>
      </c>
      <c r="L626">
        <f t="shared" si="37"/>
        <v>-5963.8599999999988</v>
      </c>
      <c r="M626">
        <f t="shared" si="38"/>
        <v>0.27333333333333332</v>
      </c>
      <c r="N626">
        <f t="shared" si="39"/>
        <v>0</v>
      </c>
    </row>
    <row r="627" spans="1:14" x14ac:dyDescent="0.4">
      <c r="A627" t="s">
        <v>229</v>
      </c>
      <c r="B627" t="s">
        <v>11</v>
      </c>
      <c r="C627" t="s">
        <v>52</v>
      </c>
      <c r="D627" t="s">
        <v>33</v>
      </c>
      <c r="E627" s="1">
        <v>44605</v>
      </c>
      <c r="F627">
        <v>46</v>
      </c>
      <c r="G627">
        <v>70</v>
      </c>
      <c r="H627">
        <v>93</v>
      </c>
      <c r="I627">
        <v>318.89999999999998</v>
      </c>
      <c r="J627" t="s">
        <v>19</v>
      </c>
      <c r="K627">
        <f t="shared" si="36"/>
        <v>14669.4</v>
      </c>
      <c r="L627">
        <f t="shared" si="37"/>
        <v>10391.4</v>
      </c>
      <c r="M627">
        <f t="shared" si="38"/>
        <v>0.65714285714285714</v>
      </c>
      <c r="N627">
        <f t="shared" si="39"/>
        <v>0</v>
      </c>
    </row>
    <row r="628" spans="1:14" x14ac:dyDescent="0.4">
      <c r="A628" t="s">
        <v>90</v>
      </c>
      <c r="B628" t="s">
        <v>32</v>
      </c>
      <c r="C628" t="s">
        <v>29</v>
      </c>
      <c r="D628" t="s">
        <v>62</v>
      </c>
      <c r="E628" s="1">
        <v>45132</v>
      </c>
      <c r="F628">
        <v>164</v>
      </c>
      <c r="G628">
        <v>2</v>
      </c>
      <c r="H628">
        <v>454.17</v>
      </c>
      <c r="I628">
        <v>511.7</v>
      </c>
      <c r="J628" t="s">
        <v>23</v>
      </c>
      <c r="K628">
        <f t="shared" si="36"/>
        <v>83918.8</v>
      </c>
      <c r="L628">
        <f t="shared" si="37"/>
        <v>9434.9199999999946</v>
      </c>
      <c r="M628">
        <f t="shared" si="38"/>
        <v>82</v>
      </c>
      <c r="N628">
        <f t="shared" si="39"/>
        <v>0</v>
      </c>
    </row>
    <row r="629" spans="1:14" x14ac:dyDescent="0.4">
      <c r="A629" t="s">
        <v>95</v>
      </c>
      <c r="B629" t="s">
        <v>25</v>
      </c>
      <c r="C629" t="s">
        <v>12</v>
      </c>
      <c r="D629" t="s">
        <v>97</v>
      </c>
      <c r="E629" s="1">
        <v>45144</v>
      </c>
      <c r="F629">
        <v>21</v>
      </c>
      <c r="G629">
        <v>31</v>
      </c>
      <c r="H629">
        <v>470.94</v>
      </c>
      <c r="I629">
        <v>196.8</v>
      </c>
      <c r="J629" t="s">
        <v>14</v>
      </c>
      <c r="K629">
        <f t="shared" si="36"/>
        <v>4132.8</v>
      </c>
      <c r="L629">
        <f t="shared" si="37"/>
        <v>-5756.94</v>
      </c>
      <c r="M629">
        <f t="shared" si="38"/>
        <v>0.67741935483870963</v>
      </c>
      <c r="N629">
        <f t="shared" si="39"/>
        <v>0</v>
      </c>
    </row>
    <row r="630" spans="1:14" x14ac:dyDescent="0.4">
      <c r="A630" t="s">
        <v>133</v>
      </c>
      <c r="B630" t="s">
        <v>43</v>
      </c>
      <c r="C630" t="s">
        <v>29</v>
      </c>
      <c r="D630" t="s">
        <v>97</v>
      </c>
      <c r="E630" s="1">
        <v>45456</v>
      </c>
      <c r="F630">
        <v>184</v>
      </c>
      <c r="G630">
        <v>286</v>
      </c>
      <c r="H630">
        <v>490.91</v>
      </c>
      <c r="I630">
        <v>398.29</v>
      </c>
      <c r="J630" t="s">
        <v>23</v>
      </c>
      <c r="K630">
        <f t="shared" si="36"/>
        <v>73285.36</v>
      </c>
      <c r="L630">
        <f t="shared" si="37"/>
        <v>-17042.080000000002</v>
      </c>
      <c r="M630">
        <f t="shared" si="38"/>
        <v>0.64335664335664333</v>
      </c>
      <c r="N630">
        <f t="shared" si="39"/>
        <v>0</v>
      </c>
    </row>
    <row r="631" spans="1:14" x14ac:dyDescent="0.4">
      <c r="A631" t="s">
        <v>161</v>
      </c>
      <c r="B631" t="s">
        <v>36</v>
      </c>
      <c r="C631" t="s">
        <v>52</v>
      </c>
      <c r="D631" t="s">
        <v>47</v>
      </c>
      <c r="E631" s="1">
        <v>44781</v>
      </c>
      <c r="F631">
        <v>106</v>
      </c>
      <c r="G631">
        <v>81</v>
      </c>
      <c r="H631">
        <v>440.85</v>
      </c>
      <c r="I631">
        <v>486.63</v>
      </c>
      <c r="J631" t="s">
        <v>19</v>
      </c>
      <c r="K631">
        <f t="shared" si="36"/>
        <v>51582.78</v>
      </c>
      <c r="L631">
        <f t="shared" si="37"/>
        <v>4852.6799999999967</v>
      </c>
      <c r="M631">
        <f t="shared" si="38"/>
        <v>1.308641975308642</v>
      </c>
      <c r="N631">
        <f t="shared" si="39"/>
        <v>0</v>
      </c>
    </row>
    <row r="632" spans="1:14" x14ac:dyDescent="0.4">
      <c r="A632" t="s">
        <v>149</v>
      </c>
      <c r="B632" t="s">
        <v>32</v>
      </c>
      <c r="C632" t="s">
        <v>12</v>
      </c>
      <c r="D632" t="s">
        <v>65</v>
      </c>
      <c r="E632" s="1">
        <v>45486</v>
      </c>
      <c r="F632">
        <v>26</v>
      </c>
      <c r="G632">
        <v>42</v>
      </c>
      <c r="H632">
        <v>128.28</v>
      </c>
      <c r="I632">
        <v>519.22</v>
      </c>
      <c r="J632" t="s">
        <v>14</v>
      </c>
      <c r="K632">
        <f t="shared" si="36"/>
        <v>13499.720000000001</v>
      </c>
      <c r="L632">
        <f t="shared" si="37"/>
        <v>10164.440000000002</v>
      </c>
      <c r="M632">
        <f t="shared" si="38"/>
        <v>0.61904761904761907</v>
      </c>
      <c r="N632">
        <f t="shared" si="39"/>
        <v>0</v>
      </c>
    </row>
    <row r="633" spans="1:14" x14ac:dyDescent="0.4">
      <c r="A633" t="s">
        <v>238</v>
      </c>
      <c r="B633" t="s">
        <v>32</v>
      </c>
      <c r="C633" t="s">
        <v>12</v>
      </c>
      <c r="D633" t="s">
        <v>13</v>
      </c>
      <c r="E633" s="1">
        <v>44962</v>
      </c>
      <c r="F633">
        <v>40</v>
      </c>
      <c r="G633">
        <v>104</v>
      </c>
      <c r="H633">
        <v>70.790000000000006</v>
      </c>
      <c r="I633">
        <v>292.08999999999997</v>
      </c>
      <c r="J633" t="s">
        <v>14</v>
      </c>
      <c r="K633">
        <f t="shared" si="36"/>
        <v>11683.599999999999</v>
      </c>
      <c r="L633">
        <f t="shared" si="37"/>
        <v>8851.9999999999982</v>
      </c>
      <c r="M633">
        <f t="shared" si="38"/>
        <v>0.38461538461538464</v>
      </c>
      <c r="N633">
        <f t="shared" si="39"/>
        <v>0</v>
      </c>
    </row>
    <row r="634" spans="1:14" x14ac:dyDescent="0.4">
      <c r="A634" t="s">
        <v>94</v>
      </c>
      <c r="B634" t="s">
        <v>16</v>
      </c>
      <c r="C634" t="s">
        <v>29</v>
      </c>
      <c r="D634" t="s">
        <v>18</v>
      </c>
      <c r="E634" s="1">
        <v>45288</v>
      </c>
      <c r="F634">
        <v>79</v>
      </c>
      <c r="G634">
        <v>0</v>
      </c>
      <c r="H634">
        <v>310.82</v>
      </c>
      <c r="I634">
        <v>380.02</v>
      </c>
      <c r="J634" t="s">
        <v>23</v>
      </c>
      <c r="K634">
        <f t="shared" si="36"/>
        <v>30021.579999999998</v>
      </c>
      <c r="L634">
        <f t="shared" si="37"/>
        <v>5466.7999999999993</v>
      </c>
      <c r="M634">
        <f t="shared" si="38"/>
        <v>0</v>
      </c>
      <c r="N634">
        <f t="shared" si="39"/>
        <v>1</v>
      </c>
    </row>
    <row r="635" spans="1:14" x14ac:dyDescent="0.4">
      <c r="A635" t="s">
        <v>181</v>
      </c>
      <c r="B635" t="s">
        <v>43</v>
      </c>
      <c r="C635" t="s">
        <v>52</v>
      </c>
      <c r="D635" t="s">
        <v>37</v>
      </c>
      <c r="E635" s="1">
        <v>45552</v>
      </c>
      <c r="F635">
        <v>161</v>
      </c>
      <c r="G635">
        <v>60</v>
      </c>
      <c r="H635">
        <v>460.67</v>
      </c>
      <c r="I635">
        <v>644.84</v>
      </c>
      <c r="J635" t="s">
        <v>19</v>
      </c>
      <c r="K635">
        <f t="shared" si="36"/>
        <v>103819.24</v>
      </c>
      <c r="L635">
        <f t="shared" si="37"/>
        <v>29651.370000000003</v>
      </c>
      <c r="M635">
        <f t="shared" si="38"/>
        <v>2.6833333333333331</v>
      </c>
      <c r="N635">
        <f t="shared" si="39"/>
        <v>0</v>
      </c>
    </row>
    <row r="636" spans="1:14" x14ac:dyDescent="0.4">
      <c r="A636" t="s">
        <v>48</v>
      </c>
      <c r="B636" t="s">
        <v>11</v>
      </c>
      <c r="C636" t="s">
        <v>52</v>
      </c>
      <c r="D636" t="s">
        <v>75</v>
      </c>
      <c r="E636" s="1">
        <v>45460</v>
      </c>
      <c r="F636">
        <v>159</v>
      </c>
      <c r="G636">
        <v>269</v>
      </c>
      <c r="H636">
        <v>129.81</v>
      </c>
      <c r="I636">
        <v>758.85</v>
      </c>
      <c r="J636" t="s">
        <v>34</v>
      </c>
      <c r="K636">
        <f t="shared" si="36"/>
        <v>120657.15000000001</v>
      </c>
      <c r="L636">
        <f t="shared" si="37"/>
        <v>100017.36</v>
      </c>
      <c r="M636">
        <f t="shared" si="38"/>
        <v>0.59107806691449816</v>
      </c>
      <c r="N636">
        <f t="shared" si="39"/>
        <v>0</v>
      </c>
    </row>
    <row r="637" spans="1:14" x14ac:dyDescent="0.4">
      <c r="A637" t="s">
        <v>179</v>
      </c>
      <c r="B637" t="s">
        <v>21</v>
      </c>
      <c r="C637" t="s">
        <v>12</v>
      </c>
      <c r="D637" t="s">
        <v>26</v>
      </c>
      <c r="E637" s="1">
        <v>45419</v>
      </c>
      <c r="F637">
        <v>88</v>
      </c>
      <c r="G637">
        <v>179</v>
      </c>
      <c r="H637">
        <v>53.17</v>
      </c>
      <c r="I637">
        <v>703.32</v>
      </c>
      <c r="J637" t="s">
        <v>14</v>
      </c>
      <c r="K637">
        <f t="shared" si="36"/>
        <v>61892.160000000003</v>
      </c>
      <c r="L637">
        <f t="shared" si="37"/>
        <v>57213.200000000012</v>
      </c>
      <c r="M637">
        <f t="shared" si="38"/>
        <v>0.49162011173184356</v>
      </c>
      <c r="N637">
        <f t="shared" si="39"/>
        <v>0</v>
      </c>
    </row>
    <row r="638" spans="1:14" x14ac:dyDescent="0.4">
      <c r="A638" t="s">
        <v>138</v>
      </c>
      <c r="B638" t="s">
        <v>25</v>
      </c>
      <c r="C638" t="s">
        <v>29</v>
      </c>
      <c r="D638" t="s">
        <v>45</v>
      </c>
      <c r="E638" s="1">
        <v>45365</v>
      </c>
      <c r="F638">
        <v>65</v>
      </c>
      <c r="G638">
        <v>223</v>
      </c>
      <c r="H638">
        <v>412.47</v>
      </c>
      <c r="I638">
        <v>495</v>
      </c>
      <c r="J638" t="s">
        <v>34</v>
      </c>
      <c r="K638">
        <f t="shared" si="36"/>
        <v>32175</v>
      </c>
      <c r="L638">
        <f t="shared" si="37"/>
        <v>5364.449999999998</v>
      </c>
      <c r="M638">
        <f t="shared" si="38"/>
        <v>0.2914798206278027</v>
      </c>
      <c r="N638">
        <f t="shared" si="39"/>
        <v>0</v>
      </c>
    </row>
    <row r="639" spans="1:14" x14ac:dyDescent="0.4">
      <c r="A639" t="s">
        <v>192</v>
      </c>
      <c r="B639" t="s">
        <v>21</v>
      </c>
      <c r="C639" t="s">
        <v>17</v>
      </c>
      <c r="D639" t="s">
        <v>132</v>
      </c>
      <c r="E639" s="1">
        <v>45051</v>
      </c>
      <c r="F639">
        <v>11</v>
      </c>
      <c r="G639">
        <v>5</v>
      </c>
      <c r="H639">
        <v>84.56</v>
      </c>
      <c r="I639">
        <v>387.2</v>
      </c>
      <c r="J639" t="s">
        <v>19</v>
      </c>
      <c r="K639">
        <f t="shared" si="36"/>
        <v>4259.2</v>
      </c>
      <c r="L639">
        <f t="shared" si="37"/>
        <v>3329.04</v>
      </c>
      <c r="M639">
        <f t="shared" si="38"/>
        <v>2.2000000000000002</v>
      </c>
      <c r="N639">
        <f t="shared" si="39"/>
        <v>0</v>
      </c>
    </row>
    <row r="640" spans="1:14" x14ac:dyDescent="0.4">
      <c r="A640" t="s">
        <v>211</v>
      </c>
      <c r="B640" t="s">
        <v>11</v>
      </c>
      <c r="C640" t="s">
        <v>17</v>
      </c>
      <c r="D640" t="s">
        <v>47</v>
      </c>
      <c r="E640" s="1">
        <v>45499</v>
      </c>
      <c r="F640">
        <v>167</v>
      </c>
      <c r="G640">
        <v>102</v>
      </c>
      <c r="H640">
        <v>236.17</v>
      </c>
      <c r="I640">
        <v>333.07</v>
      </c>
      <c r="J640" t="s">
        <v>14</v>
      </c>
      <c r="K640">
        <f t="shared" si="36"/>
        <v>55622.69</v>
      </c>
      <c r="L640">
        <f t="shared" si="37"/>
        <v>16182.300000000001</v>
      </c>
      <c r="M640">
        <f t="shared" si="38"/>
        <v>1.6372549019607843</v>
      </c>
      <c r="N640">
        <f t="shared" si="39"/>
        <v>0</v>
      </c>
    </row>
    <row r="641" spans="1:14" x14ac:dyDescent="0.4">
      <c r="A641" t="s">
        <v>15</v>
      </c>
      <c r="B641" t="s">
        <v>11</v>
      </c>
      <c r="C641" t="s">
        <v>52</v>
      </c>
      <c r="D641" t="s">
        <v>13</v>
      </c>
      <c r="E641" s="1">
        <v>45405</v>
      </c>
      <c r="F641">
        <v>72</v>
      </c>
      <c r="G641">
        <v>9</v>
      </c>
      <c r="H641">
        <v>355.5</v>
      </c>
      <c r="I641">
        <v>187.47</v>
      </c>
      <c r="J641" t="s">
        <v>14</v>
      </c>
      <c r="K641">
        <f t="shared" si="36"/>
        <v>13497.84</v>
      </c>
      <c r="L641">
        <f t="shared" si="37"/>
        <v>-12098.16</v>
      </c>
      <c r="M641">
        <f t="shared" si="38"/>
        <v>8</v>
      </c>
      <c r="N641">
        <f t="shared" si="39"/>
        <v>0</v>
      </c>
    </row>
    <row r="642" spans="1:14" x14ac:dyDescent="0.4">
      <c r="A642" t="s">
        <v>130</v>
      </c>
      <c r="B642" t="s">
        <v>43</v>
      </c>
      <c r="C642" t="s">
        <v>17</v>
      </c>
      <c r="D642" t="s">
        <v>18</v>
      </c>
      <c r="E642" s="1">
        <v>44828</v>
      </c>
      <c r="F642">
        <v>75</v>
      </c>
      <c r="G642">
        <v>70</v>
      </c>
      <c r="H642">
        <v>156.56</v>
      </c>
      <c r="I642">
        <v>174.59</v>
      </c>
      <c r="J642" t="s">
        <v>34</v>
      </c>
      <c r="K642">
        <f t="shared" si="36"/>
        <v>13094.25</v>
      </c>
      <c r="L642">
        <f t="shared" si="37"/>
        <v>1352.25</v>
      </c>
      <c r="M642">
        <f t="shared" si="38"/>
        <v>1.0714285714285714</v>
      </c>
      <c r="N642">
        <f t="shared" si="39"/>
        <v>0</v>
      </c>
    </row>
    <row r="643" spans="1:14" x14ac:dyDescent="0.4">
      <c r="A643" t="s">
        <v>56</v>
      </c>
      <c r="B643" t="s">
        <v>11</v>
      </c>
      <c r="C643" t="s">
        <v>52</v>
      </c>
      <c r="D643" t="s">
        <v>33</v>
      </c>
      <c r="E643" s="1">
        <v>44615</v>
      </c>
      <c r="F643">
        <v>89</v>
      </c>
      <c r="G643">
        <v>89</v>
      </c>
      <c r="H643">
        <v>87.78</v>
      </c>
      <c r="I643">
        <v>581.85</v>
      </c>
      <c r="J643" t="s">
        <v>30</v>
      </c>
      <c r="K643">
        <f t="shared" ref="K643:K706" si="40">F643 * I643</f>
        <v>51784.65</v>
      </c>
      <c r="L643">
        <f t="shared" ref="L643:L706" si="41">(I643 - H643) * F643</f>
        <v>43972.23</v>
      </c>
      <c r="M643">
        <f t="shared" ref="M643:M706" si="42">IF(G643=0, 0, F643/G643)</f>
        <v>1</v>
      </c>
      <c r="N643">
        <f t="shared" ref="N643:N706" si="43">IF(G643=0, 1, 0)</f>
        <v>0</v>
      </c>
    </row>
    <row r="644" spans="1:14" x14ac:dyDescent="0.4">
      <c r="A644" t="s">
        <v>135</v>
      </c>
      <c r="B644" t="s">
        <v>16</v>
      </c>
      <c r="C644" t="s">
        <v>52</v>
      </c>
      <c r="D644" t="s">
        <v>75</v>
      </c>
      <c r="E644" s="1">
        <v>45089</v>
      </c>
      <c r="F644">
        <v>9</v>
      </c>
      <c r="G644">
        <v>225</v>
      </c>
      <c r="H644">
        <v>396.51</v>
      </c>
      <c r="I644">
        <v>281.86</v>
      </c>
      <c r="J644" t="s">
        <v>34</v>
      </c>
      <c r="K644">
        <f t="shared" si="40"/>
        <v>2536.7400000000002</v>
      </c>
      <c r="L644">
        <f t="shared" si="41"/>
        <v>-1031.8499999999999</v>
      </c>
      <c r="M644">
        <f t="shared" si="42"/>
        <v>0.04</v>
      </c>
      <c r="N644">
        <f t="shared" si="43"/>
        <v>0</v>
      </c>
    </row>
    <row r="645" spans="1:14" x14ac:dyDescent="0.4">
      <c r="A645" t="s">
        <v>181</v>
      </c>
      <c r="B645" t="s">
        <v>36</v>
      </c>
      <c r="C645" t="s">
        <v>52</v>
      </c>
      <c r="D645" t="s">
        <v>40</v>
      </c>
      <c r="E645" s="1">
        <v>45177</v>
      </c>
      <c r="F645">
        <v>95</v>
      </c>
      <c r="G645">
        <v>157</v>
      </c>
      <c r="H645">
        <v>333.58</v>
      </c>
      <c r="I645">
        <v>278.26</v>
      </c>
      <c r="J645" t="s">
        <v>34</v>
      </c>
      <c r="K645">
        <f t="shared" si="40"/>
        <v>26434.7</v>
      </c>
      <c r="L645">
        <f t="shared" si="41"/>
        <v>-5255.4</v>
      </c>
      <c r="M645">
        <f t="shared" si="42"/>
        <v>0.60509554140127386</v>
      </c>
      <c r="N645">
        <f t="shared" si="43"/>
        <v>0</v>
      </c>
    </row>
    <row r="646" spans="1:14" x14ac:dyDescent="0.4">
      <c r="A646" t="s">
        <v>218</v>
      </c>
      <c r="B646" t="s">
        <v>11</v>
      </c>
      <c r="C646" t="s">
        <v>17</v>
      </c>
      <c r="D646" t="s">
        <v>145</v>
      </c>
      <c r="E646" s="1">
        <v>45644</v>
      </c>
      <c r="F646">
        <v>175</v>
      </c>
      <c r="G646">
        <v>227</v>
      </c>
      <c r="H646">
        <v>494.82</v>
      </c>
      <c r="I646">
        <v>798.74</v>
      </c>
      <c r="J646" t="s">
        <v>30</v>
      </c>
      <c r="K646">
        <f t="shared" si="40"/>
        <v>139779.5</v>
      </c>
      <c r="L646">
        <f t="shared" si="41"/>
        <v>53186</v>
      </c>
      <c r="M646">
        <f t="shared" si="42"/>
        <v>0.77092511013215859</v>
      </c>
      <c r="N646">
        <f t="shared" si="43"/>
        <v>0</v>
      </c>
    </row>
    <row r="647" spans="1:14" x14ac:dyDescent="0.4">
      <c r="A647" t="s">
        <v>171</v>
      </c>
      <c r="B647" t="s">
        <v>21</v>
      </c>
      <c r="C647" t="s">
        <v>52</v>
      </c>
      <c r="D647" t="s">
        <v>18</v>
      </c>
      <c r="E647" s="1">
        <v>45625</v>
      </c>
      <c r="F647">
        <v>19</v>
      </c>
      <c r="G647">
        <v>125</v>
      </c>
      <c r="H647">
        <v>204.94</v>
      </c>
      <c r="I647">
        <v>231.55</v>
      </c>
      <c r="J647" t="s">
        <v>19</v>
      </c>
      <c r="K647">
        <f t="shared" si="40"/>
        <v>4399.45</v>
      </c>
      <c r="L647">
        <f t="shared" si="41"/>
        <v>505.59000000000026</v>
      </c>
      <c r="M647">
        <f t="shared" si="42"/>
        <v>0.152</v>
      </c>
      <c r="N647">
        <f t="shared" si="43"/>
        <v>0</v>
      </c>
    </row>
    <row r="648" spans="1:14" x14ac:dyDescent="0.4">
      <c r="A648" t="s">
        <v>203</v>
      </c>
      <c r="B648" t="s">
        <v>11</v>
      </c>
      <c r="C648" t="s">
        <v>12</v>
      </c>
      <c r="D648" t="s">
        <v>69</v>
      </c>
      <c r="E648" s="1">
        <v>45516</v>
      </c>
      <c r="F648">
        <v>38</v>
      </c>
      <c r="G648">
        <v>208</v>
      </c>
      <c r="H648">
        <v>77.790000000000006</v>
      </c>
      <c r="I648">
        <v>203.64</v>
      </c>
      <c r="J648" t="s">
        <v>19</v>
      </c>
      <c r="K648">
        <f t="shared" si="40"/>
        <v>7738.32</v>
      </c>
      <c r="L648">
        <f t="shared" si="41"/>
        <v>4782.2999999999993</v>
      </c>
      <c r="M648">
        <f t="shared" si="42"/>
        <v>0.18269230769230768</v>
      </c>
      <c r="N648">
        <f t="shared" si="43"/>
        <v>0</v>
      </c>
    </row>
    <row r="649" spans="1:14" x14ac:dyDescent="0.4">
      <c r="A649" t="s">
        <v>209</v>
      </c>
      <c r="B649" t="s">
        <v>16</v>
      </c>
      <c r="C649" t="s">
        <v>29</v>
      </c>
      <c r="D649" t="s">
        <v>65</v>
      </c>
      <c r="E649" s="1">
        <v>44947</v>
      </c>
      <c r="F649">
        <v>59</v>
      </c>
      <c r="G649">
        <v>96</v>
      </c>
      <c r="H649">
        <v>380.46</v>
      </c>
      <c r="I649">
        <v>169.08</v>
      </c>
      <c r="J649" t="s">
        <v>14</v>
      </c>
      <c r="K649">
        <f t="shared" si="40"/>
        <v>9975.7200000000012</v>
      </c>
      <c r="L649">
        <f t="shared" si="41"/>
        <v>-12471.419999999998</v>
      </c>
      <c r="M649">
        <f t="shared" si="42"/>
        <v>0.61458333333333337</v>
      </c>
      <c r="N649">
        <f t="shared" si="43"/>
        <v>0</v>
      </c>
    </row>
    <row r="650" spans="1:14" x14ac:dyDescent="0.4">
      <c r="A650" t="s">
        <v>146</v>
      </c>
      <c r="B650" t="s">
        <v>28</v>
      </c>
      <c r="C650" t="s">
        <v>29</v>
      </c>
      <c r="D650" t="s">
        <v>145</v>
      </c>
      <c r="E650" s="1">
        <v>45295</v>
      </c>
      <c r="F650">
        <v>65</v>
      </c>
      <c r="G650">
        <v>73</v>
      </c>
      <c r="H650">
        <v>284.77999999999997</v>
      </c>
      <c r="I650">
        <v>505.86</v>
      </c>
      <c r="J650" t="s">
        <v>23</v>
      </c>
      <c r="K650">
        <f t="shared" si="40"/>
        <v>32880.9</v>
      </c>
      <c r="L650">
        <f t="shared" si="41"/>
        <v>14370.200000000003</v>
      </c>
      <c r="M650">
        <f t="shared" si="42"/>
        <v>0.8904109589041096</v>
      </c>
      <c r="N650">
        <f t="shared" si="43"/>
        <v>0</v>
      </c>
    </row>
    <row r="651" spans="1:14" x14ac:dyDescent="0.4">
      <c r="A651" t="s">
        <v>170</v>
      </c>
      <c r="B651" t="s">
        <v>28</v>
      </c>
      <c r="C651" t="s">
        <v>52</v>
      </c>
      <c r="D651" t="s">
        <v>69</v>
      </c>
      <c r="E651" s="1">
        <v>45277</v>
      </c>
      <c r="F651">
        <v>64</v>
      </c>
      <c r="G651">
        <v>114</v>
      </c>
      <c r="H651">
        <v>145.94</v>
      </c>
      <c r="I651">
        <v>539.5</v>
      </c>
      <c r="J651" t="s">
        <v>23</v>
      </c>
      <c r="K651">
        <f t="shared" si="40"/>
        <v>34528</v>
      </c>
      <c r="L651">
        <f t="shared" si="41"/>
        <v>25187.84</v>
      </c>
      <c r="M651">
        <f t="shared" si="42"/>
        <v>0.56140350877192979</v>
      </c>
      <c r="N651">
        <f t="shared" si="43"/>
        <v>0</v>
      </c>
    </row>
    <row r="652" spans="1:14" x14ac:dyDescent="0.4">
      <c r="A652" t="s">
        <v>85</v>
      </c>
      <c r="B652" t="s">
        <v>32</v>
      </c>
      <c r="C652" t="s">
        <v>29</v>
      </c>
      <c r="D652" t="s">
        <v>33</v>
      </c>
      <c r="E652" s="1">
        <v>45211</v>
      </c>
      <c r="F652">
        <v>178</v>
      </c>
      <c r="G652">
        <v>190</v>
      </c>
      <c r="H652">
        <v>401.78</v>
      </c>
      <c r="I652">
        <v>355.66</v>
      </c>
      <c r="J652" t="s">
        <v>14</v>
      </c>
      <c r="K652">
        <f t="shared" si="40"/>
        <v>63307.48</v>
      </c>
      <c r="L652">
        <f t="shared" si="41"/>
        <v>-8209.3599999999915</v>
      </c>
      <c r="M652">
        <f t="shared" si="42"/>
        <v>0.93684210526315792</v>
      </c>
      <c r="N652">
        <f t="shared" si="43"/>
        <v>0</v>
      </c>
    </row>
    <row r="653" spans="1:14" x14ac:dyDescent="0.4">
      <c r="A653" t="s">
        <v>142</v>
      </c>
      <c r="B653" t="s">
        <v>25</v>
      </c>
      <c r="C653" t="s">
        <v>17</v>
      </c>
      <c r="D653" t="s">
        <v>69</v>
      </c>
      <c r="E653" s="1">
        <v>44861</v>
      </c>
      <c r="F653">
        <v>123</v>
      </c>
      <c r="G653">
        <v>169</v>
      </c>
      <c r="H653">
        <v>141.69</v>
      </c>
      <c r="I653">
        <v>474.79</v>
      </c>
      <c r="J653" t="s">
        <v>23</v>
      </c>
      <c r="K653">
        <f t="shared" si="40"/>
        <v>58399.170000000006</v>
      </c>
      <c r="L653">
        <f t="shared" si="41"/>
        <v>40971.300000000003</v>
      </c>
      <c r="M653">
        <f t="shared" si="42"/>
        <v>0.72781065088757402</v>
      </c>
      <c r="N653">
        <f t="shared" si="43"/>
        <v>0</v>
      </c>
    </row>
    <row r="654" spans="1:14" x14ac:dyDescent="0.4">
      <c r="A654" t="s">
        <v>42</v>
      </c>
      <c r="B654" t="s">
        <v>39</v>
      </c>
      <c r="C654" t="s">
        <v>17</v>
      </c>
      <c r="D654" t="s">
        <v>13</v>
      </c>
      <c r="E654" s="1">
        <v>44956</v>
      </c>
      <c r="F654">
        <v>163</v>
      </c>
      <c r="G654">
        <v>203</v>
      </c>
      <c r="H654">
        <v>167.3</v>
      </c>
      <c r="I654">
        <v>651.88</v>
      </c>
      <c r="J654" t="s">
        <v>34</v>
      </c>
      <c r="K654">
        <f t="shared" si="40"/>
        <v>106256.44</v>
      </c>
      <c r="L654">
        <f t="shared" si="41"/>
        <v>78986.539999999994</v>
      </c>
      <c r="M654">
        <f t="shared" si="42"/>
        <v>0.80295566502463056</v>
      </c>
      <c r="N654">
        <f t="shared" si="43"/>
        <v>0</v>
      </c>
    </row>
    <row r="655" spans="1:14" x14ac:dyDescent="0.4">
      <c r="A655" t="s">
        <v>239</v>
      </c>
      <c r="B655" t="s">
        <v>36</v>
      </c>
      <c r="C655" t="s">
        <v>29</v>
      </c>
      <c r="D655" t="s">
        <v>18</v>
      </c>
      <c r="E655" s="1">
        <v>45154</v>
      </c>
      <c r="F655">
        <v>151</v>
      </c>
      <c r="G655">
        <v>55</v>
      </c>
      <c r="H655">
        <v>91.64</v>
      </c>
      <c r="I655">
        <v>672.67</v>
      </c>
      <c r="J655" t="s">
        <v>34</v>
      </c>
      <c r="K655">
        <f t="shared" si="40"/>
        <v>101573.17</v>
      </c>
      <c r="L655">
        <f t="shared" si="41"/>
        <v>87735.53</v>
      </c>
      <c r="M655">
        <f t="shared" si="42"/>
        <v>2.7454545454545456</v>
      </c>
      <c r="N655">
        <f t="shared" si="43"/>
        <v>0</v>
      </c>
    </row>
    <row r="656" spans="1:14" x14ac:dyDescent="0.4">
      <c r="A656" t="s">
        <v>128</v>
      </c>
      <c r="B656" t="s">
        <v>58</v>
      </c>
      <c r="C656" t="s">
        <v>17</v>
      </c>
      <c r="D656" t="s">
        <v>132</v>
      </c>
      <c r="E656" s="1">
        <v>45075</v>
      </c>
      <c r="F656">
        <v>154</v>
      </c>
      <c r="G656">
        <v>207</v>
      </c>
      <c r="H656">
        <v>229.74</v>
      </c>
      <c r="I656">
        <v>770.54</v>
      </c>
      <c r="J656" t="s">
        <v>30</v>
      </c>
      <c r="K656">
        <f t="shared" si="40"/>
        <v>118663.15999999999</v>
      </c>
      <c r="L656">
        <f t="shared" si="41"/>
        <v>83283.199999999997</v>
      </c>
      <c r="M656">
        <f t="shared" si="42"/>
        <v>0.7439613526570048</v>
      </c>
      <c r="N656">
        <f t="shared" si="43"/>
        <v>0</v>
      </c>
    </row>
    <row r="657" spans="1:14" x14ac:dyDescent="0.4">
      <c r="A657" t="s">
        <v>44</v>
      </c>
      <c r="B657" t="s">
        <v>32</v>
      </c>
      <c r="C657" t="s">
        <v>29</v>
      </c>
      <c r="D657" t="s">
        <v>47</v>
      </c>
      <c r="E657" s="1">
        <v>44957</v>
      </c>
      <c r="F657">
        <v>129</v>
      </c>
      <c r="G657">
        <v>40</v>
      </c>
      <c r="H657">
        <v>238.52</v>
      </c>
      <c r="I657">
        <v>676.99</v>
      </c>
      <c r="J657" t="s">
        <v>30</v>
      </c>
      <c r="K657">
        <f t="shared" si="40"/>
        <v>87331.71</v>
      </c>
      <c r="L657">
        <f t="shared" si="41"/>
        <v>56562.630000000005</v>
      </c>
      <c r="M657">
        <f t="shared" si="42"/>
        <v>3.2250000000000001</v>
      </c>
      <c r="N657">
        <f t="shared" si="43"/>
        <v>0</v>
      </c>
    </row>
    <row r="658" spans="1:14" x14ac:dyDescent="0.4">
      <c r="A658" t="s">
        <v>108</v>
      </c>
      <c r="B658" t="s">
        <v>25</v>
      </c>
      <c r="C658" t="s">
        <v>29</v>
      </c>
      <c r="D658" t="s">
        <v>26</v>
      </c>
      <c r="E658" s="1">
        <v>44932</v>
      </c>
      <c r="F658">
        <v>158</v>
      </c>
      <c r="G658">
        <v>31</v>
      </c>
      <c r="H658">
        <v>281.55</v>
      </c>
      <c r="I658">
        <v>495.39</v>
      </c>
      <c r="J658" t="s">
        <v>14</v>
      </c>
      <c r="K658">
        <f t="shared" si="40"/>
        <v>78271.62</v>
      </c>
      <c r="L658">
        <f t="shared" si="41"/>
        <v>33786.719999999994</v>
      </c>
      <c r="M658">
        <f t="shared" si="42"/>
        <v>5.096774193548387</v>
      </c>
      <c r="N658">
        <f t="shared" si="43"/>
        <v>0</v>
      </c>
    </row>
    <row r="659" spans="1:14" x14ac:dyDescent="0.4">
      <c r="A659" t="s">
        <v>229</v>
      </c>
      <c r="B659" t="s">
        <v>28</v>
      </c>
      <c r="C659" t="s">
        <v>29</v>
      </c>
      <c r="D659" t="s">
        <v>45</v>
      </c>
      <c r="E659" s="1">
        <v>45419</v>
      </c>
      <c r="F659">
        <v>56</v>
      </c>
      <c r="G659">
        <v>14</v>
      </c>
      <c r="H659">
        <v>369.03</v>
      </c>
      <c r="I659">
        <v>225.76</v>
      </c>
      <c r="J659" t="s">
        <v>14</v>
      </c>
      <c r="K659">
        <f t="shared" si="40"/>
        <v>12642.56</v>
      </c>
      <c r="L659">
        <f t="shared" si="41"/>
        <v>-8023.119999999999</v>
      </c>
      <c r="M659">
        <f t="shared" si="42"/>
        <v>4</v>
      </c>
      <c r="N659">
        <f t="shared" si="43"/>
        <v>0</v>
      </c>
    </row>
    <row r="660" spans="1:14" x14ac:dyDescent="0.4">
      <c r="A660" t="s">
        <v>90</v>
      </c>
      <c r="B660" t="s">
        <v>21</v>
      </c>
      <c r="C660" t="s">
        <v>52</v>
      </c>
      <c r="D660" t="s">
        <v>97</v>
      </c>
      <c r="E660" s="1">
        <v>45352</v>
      </c>
      <c r="F660">
        <v>77</v>
      </c>
      <c r="G660">
        <v>61</v>
      </c>
      <c r="H660">
        <v>457.75</v>
      </c>
      <c r="I660">
        <v>169.83</v>
      </c>
      <c r="J660" t="s">
        <v>14</v>
      </c>
      <c r="K660">
        <f t="shared" si="40"/>
        <v>13076.910000000002</v>
      </c>
      <c r="L660">
        <f t="shared" si="41"/>
        <v>-22169.839999999997</v>
      </c>
      <c r="M660">
        <f t="shared" si="42"/>
        <v>1.2622950819672132</v>
      </c>
      <c r="N660">
        <f t="shared" si="43"/>
        <v>0</v>
      </c>
    </row>
    <row r="661" spans="1:14" x14ac:dyDescent="0.4">
      <c r="A661" t="s">
        <v>234</v>
      </c>
      <c r="B661" t="s">
        <v>58</v>
      </c>
      <c r="C661" t="s">
        <v>29</v>
      </c>
      <c r="D661" t="s">
        <v>47</v>
      </c>
      <c r="E661" s="1">
        <v>45219</v>
      </c>
      <c r="F661">
        <v>193</v>
      </c>
      <c r="G661">
        <v>154</v>
      </c>
      <c r="H661">
        <v>111.98</v>
      </c>
      <c r="I661">
        <v>138.16</v>
      </c>
      <c r="J661" t="s">
        <v>34</v>
      </c>
      <c r="K661">
        <f t="shared" si="40"/>
        <v>26664.880000000001</v>
      </c>
      <c r="L661">
        <f t="shared" si="41"/>
        <v>5052.7399999999989</v>
      </c>
      <c r="M661">
        <f t="shared" si="42"/>
        <v>1.2532467532467533</v>
      </c>
      <c r="N661">
        <f t="shared" si="43"/>
        <v>0</v>
      </c>
    </row>
    <row r="662" spans="1:14" x14ac:dyDescent="0.4">
      <c r="A662" t="s">
        <v>170</v>
      </c>
      <c r="B662" t="s">
        <v>25</v>
      </c>
      <c r="C662" t="s">
        <v>52</v>
      </c>
      <c r="D662" t="s">
        <v>65</v>
      </c>
      <c r="E662" s="1">
        <v>45297</v>
      </c>
      <c r="F662">
        <v>28</v>
      </c>
      <c r="G662">
        <v>283</v>
      </c>
      <c r="H662">
        <v>74.459999999999994</v>
      </c>
      <c r="I662">
        <v>566.57000000000005</v>
      </c>
      <c r="J662" t="s">
        <v>23</v>
      </c>
      <c r="K662">
        <f t="shared" si="40"/>
        <v>15863.960000000001</v>
      </c>
      <c r="L662">
        <f t="shared" si="41"/>
        <v>13779.080000000002</v>
      </c>
      <c r="M662">
        <f t="shared" si="42"/>
        <v>9.8939929328621903E-2</v>
      </c>
      <c r="N662">
        <f t="shared" si="43"/>
        <v>0</v>
      </c>
    </row>
    <row r="663" spans="1:14" x14ac:dyDescent="0.4">
      <c r="A663" t="s">
        <v>178</v>
      </c>
      <c r="B663" t="s">
        <v>25</v>
      </c>
      <c r="C663" t="s">
        <v>29</v>
      </c>
      <c r="D663" t="s">
        <v>69</v>
      </c>
      <c r="E663" s="1">
        <v>44945</v>
      </c>
      <c r="F663">
        <v>14</v>
      </c>
      <c r="G663">
        <v>208</v>
      </c>
      <c r="H663">
        <v>58.34</v>
      </c>
      <c r="I663">
        <v>665.28</v>
      </c>
      <c r="J663" t="s">
        <v>14</v>
      </c>
      <c r="K663">
        <f t="shared" si="40"/>
        <v>9313.92</v>
      </c>
      <c r="L663">
        <f t="shared" si="41"/>
        <v>8497.16</v>
      </c>
      <c r="M663">
        <f t="shared" si="42"/>
        <v>6.7307692307692304E-2</v>
      </c>
      <c r="N663">
        <f t="shared" si="43"/>
        <v>0</v>
      </c>
    </row>
    <row r="664" spans="1:14" x14ac:dyDescent="0.4">
      <c r="A664" t="s">
        <v>190</v>
      </c>
      <c r="B664" t="s">
        <v>32</v>
      </c>
      <c r="C664" t="s">
        <v>29</v>
      </c>
      <c r="D664" t="s">
        <v>33</v>
      </c>
      <c r="E664" s="1">
        <v>44623</v>
      </c>
      <c r="F664">
        <v>11</v>
      </c>
      <c r="G664">
        <v>186</v>
      </c>
      <c r="H664">
        <v>114.63</v>
      </c>
      <c r="I664">
        <v>456.08</v>
      </c>
      <c r="J664" t="s">
        <v>14</v>
      </c>
      <c r="K664">
        <f t="shared" si="40"/>
        <v>5016.88</v>
      </c>
      <c r="L664">
        <f t="shared" si="41"/>
        <v>3755.95</v>
      </c>
      <c r="M664">
        <f t="shared" si="42"/>
        <v>5.9139784946236562E-2</v>
      </c>
      <c r="N664">
        <f t="shared" si="43"/>
        <v>0</v>
      </c>
    </row>
    <row r="665" spans="1:14" x14ac:dyDescent="0.4">
      <c r="A665" t="s">
        <v>212</v>
      </c>
      <c r="B665" t="s">
        <v>58</v>
      </c>
      <c r="C665" t="s">
        <v>29</v>
      </c>
      <c r="D665" t="s">
        <v>41</v>
      </c>
      <c r="E665" s="1">
        <v>45066</v>
      </c>
      <c r="F665">
        <v>100</v>
      </c>
      <c r="G665">
        <v>129</v>
      </c>
      <c r="H665">
        <v>346.08</v>
      </c>
      <c r="I665">
        <v>138.30000000000001</v>
      </c>
      <c r="J665" t="s">
        <v>34</v>
      </c>
      <c r="K665">
        <f t="shared" si="40"/>
        <v>13830.000000000002</v>
      </c>
      <c r="L665">
        <f t="shared" si="41"/>
        <v>-20777.999999999996</v>
      </c>
      <c r="M665">
        <f t="shared" si="42"/>
        <v>0.77519379844961245</v>
      </c>
      <c r="N665">
        <f t="shared" si="43"/>
        <v>0</v>
      </c>
    </row>
    <row r="666" spans="1:14" x14ac:dyDescent="0.4">
      <c r="A666" t="s">
        <v>235</v>
      </c>
      <c r="B666" t="s">
        <v>43</v>
      </c>
      <c r="C666" t="s">
        <v>17</v>
      </c>
      <c r="D666" t="s">
        <v>66</v>
      </c>
      <c r="E666" s="1">
        <v>44800</v>
      </c>
      <c r="F666">
        <v>155</v>
      </c>
      <c r="G666">
        <v>126</v>
      </c>
      <c r="H666">
        <v>377.36</v>
      </c>
      <c r="I666">
        <v>474.83</v>
      </c>
      <c r="J666" t="s">
        <v>34</v>
      </c>
      <c r="K666">
        <f t="shared" si="40"/>
        <v>73598.649999999994</v>
      </c>
      <c r="L666">
        <f t="shared" si="41"/>
        <v>15107.849999999995</v>
      </c>
      <c r="M666">
        <f t="shared" si="42"/>
        <v>1.2301587301587302</v>
      </c>
      <c r="N666">
        <f t="shared" si="43"/>
        <v>0</v>
      </c>
    </row>
    <row r="667" spans="1:14" x14ac:dyDescent="0.4">
      <c r="A667" t="s">
        <v>186</v>
      </c>
      <c r="B667" t="s">
        <v>39</v>
      </c>
      <c r="C667" t="s">
        <v>52</v>
      </c>
      <c r="D667" t="s">
        <v>62</v>
      </c>
      <c r="E667" s="1">
        <v>44756</v>
      </c>
      <c r="F667">
        <v>83</v>
      </c>
      <c r="G667">
        <v>291</v>
      </c>
      <c r="H667">
        <v>403.93</v>
      </c>
      <c r="I667">
        <v>755.02</v>
      </c>
      <c r="J667" t="s">
        <v>34</v>
      </c>
      <c r="K667">
        <f t="shared" si="40"/>
        <v>62666.659999999996</v>
      </c>
      <c r="L667">
        <f t="shared" si="41"/>
        <v>29140.469999999998</v>
      </c>
      <c r="M667">
        <f t="shared" si="42"/>
        <v>0.28522336769759449</v>
      </c>
      <c r="N667">
        <f t="shared" si="43"/>
        <v>0</v>
      </c>
    </row>
    <row r="668" spans="1:14" x14ac:dyDescent="0.4">
      <c r="A668" t="s">
        <v>76</v>
      </c>
      <c r="B668" t="s">
        <v>43</v>
      </c>
      <c r="C668" t="s">
        <v>52</v>
      </c>
      <c r="D668" t="s">
        <v>97</v>
      </c>
      <c r="E668" s="1">
        <v>45239</v>
      </c>
      <c r="F668">
        <v>124</v>
      </c>
      <c r="G668">
        <v>113</v>
      </c>
      <c r="H668">
        <v>159.66999999999999</v>
      </c>
      <c r="I668">
        <v>518.33000000000004</v>
      </c>
      <c r="J668" t="s">
        <v>23</v>
      </c>
      <c r="K668">
        <f t="shared" si="40"/>
        <v>64272.920000000006</v>
      </c>
      <c r="L668">
        <f t="shared" si="41"/>
        <v>44473.840000000011</v>
      </c>
      <c r="M668">
        <f t="shared" si="42"/>
        <v>1.0973451327433628</v>
      </c>
      <c r="N668">
        <f t="shared" si="43"/>
        <v>0</v>
      </c>
    </row>
    <row r="669" spans="1:14" x14ac:dyDescent="0.4">
      <c r="A669" t="s">
        <v>144</v>
      </c>
      <c r="B669" t="s">
        <v>58</v>
      </c>
      <c r="C669" t="s">
        <v>29</v>
      </c>
      <c r="D669" t="s">
        <v>53</v>
      </c>
      <c r="E669" s="1">
        <v>44622</v>
      </c>
      <c r="F669">
        <v>102</v>
      </c>
      <c r="G669">
        <v>198</v>
      </c>
      <c r="H669">
        <v>187.65</v>
      </c>
      <c r="I669">
        <v>666.6</v>
      </c>
      <c r="J669" t="s">
        <v>14</v>
      </c>
      <c r="K669">
        <f t="shared" si="40"/>
        <v>67993.2</v>
      </c>
      <c r="L669">
        <f t="shared" si="41"/>
        <v>48852.9</v>
      </c>
      <c r="M669">
        <f t="shared" si="42"/>
        <v>0.51515151515151514</v>
      </c>
      <c r="N669">
        <f t="shared" si="43"/>
        <v>0</v>
      </c>
    </row>
    <row r="670" spans="1:14" x14ac:dyDescent="0.4">
      <c r="A670" t="s">
        <v>188</v>
      </c>
      <c r="B670" t="s">
        <v>43</v>
      </c>
      <c r="C670" t="s">
        <v>29</v>
      </c>
      <c r="D670" t="s">
        <v>33</v>
      </c>
      <c r="E670" s="1">
        <v>45551</v>
      </c>
      <c r="F670">
        <v>23</v>
      </c>
      <c r="G670">
        <v>12</v>
      </c>
      <c r="H670">
        <v>267.41000000000003</v>
      </c>
      <c r="I670">
        <v>660.11</v>
      </c>
      <c r="J670" t="s">
        <v>19</v>
      </c>
      <c r="K670">
        <f t="shared" si="40"/>
        <v>15182.53</v>
      </c>
      <c r="L670">
        <f t="shared" si="41"/>
        <v>9032.1</v>
      </c>
      <c r="M670">
        <f t="shared" si="42"/>
        <v>1.9166666666666667</v>
      </c>
      <c r="N670">
        <f t="shared" si="43"/>
        <v>0</v>
      </c>
    </row>
    <row r="671" spans="1:14" x14ac:dyDescent="0.4">
      <c r="A671" t="s">
        <v>143</v>
      </c>
      <c r="B671" t="s">
        <v>16</v>
      </c>
      <c r="C671" t="s">
        <v>17</v>
      </c>
      <c r="D671" t="s">
        <v>18</v>
      </c>
      <c r="E671" s="1">
        <v>45246</v>
      </c>
      <c r="F671">
        <v>148</v>
      </c>
      <c r="G671">
        <v>270</v>
      </c>
      <c r="H671">
        <v>78.430000000000007</v>
      </c>
      <c r="I671">
        <v>752.49</v>
      </c>
      <c r="J671" t="s">
        <v>19</v>
      </c>
      <c r="K671">
        <f t="shared" si="40"/>
        <v>111368.52</v>
      </c>
      <c r="L671">
        <f t="shared" si="41"/>
        <v>99760.87999999999</v>
      </c>
      <c r="M671">
        <f t="shared" si="42"/>
        <v>0.54814814814814816</v>
      </c>
      <c r="N671">
        <f t="shared" si="43"/>
        <v>0</v>
      </c>
    </row>
    <row r="672" spans="1:14" x14ac:dyDescent="0.4">
      <c r="A672" t="s">
        <v>42</v>
      </c>
      <c r="B672" t="s">
        <v>28</v>
      </c>
      <c r="C672" t="s">
        <v>17</v>
      </c>
      <c r="D672" t="s">
        <v>18</v>
      </c>
      <c r="E672" s="1">
        <v>44717</v>
      </c>
      <c r="F672">
        <v>137</v>
      </c>
      <c r="G672">
        <v>88</v>
      </c>
      <c r="H672">
        <v>325.01</v>
      </c>
      <c r="I672">
        <v>639.16</v>
      </c>
      <c r="J672" t="s">
        <v>14</v>
      </c>
      <c r="K672">
        <f t="shared" si="40"/>
        <v>87564.92</v>
      </c>
      <c r="L672">
        <f t="shared" si="41"/>
        <v>43038.549999999996</v>
      </c>
      <c r="M672">
        <f t="shared" si="42"/>
        <v>1.5568181818181819</v>
      </c>
      <c r="N672">
        <f t="shared" si="43"/>
        <v>0</v>
      </c>
    </row>
    <row r="673" spans="1:14" x14ac:dyDescent="0.4">
      <c r="A673" t="s">
        <v>198</v>
      </c>
      <c r="B673" t="s">
        <v>16</v>
      </c>
      <c r="C673" t="s">
        <v>17</v>
      </c>
      <c r="D673" t="s">
        <v>22</v>
      </c>
      <c r="E673" s="1">
        <v>45484</v>
      </c>
      <c r="F673">
        <v>109</v>
      </c>
      <c r="G673">
        <v>214</v>
      </c>
      <c r="H673">
        <v>492.68</v>
      </c>
      <c r="I673">
        <v>623.39</v>
      </c>
      <c r="J673" t="s">
        <v>14</v>
      </c>
      <c r="K673">
        <f t="shared" si="40"/>
        <v>67949.509999999995</v>
      </c>
      <c r="L673">
        <f t="shared" si="41"/>
        <v>14247.389999999998</v>
      </c>
      <c r="M673">
        <f t="shared" si="42"/>
        <v>0.50934579439252337</v>
      </c>
      <c r="N673">
        <f t="shared" si="43"/>
        <v>0</v>
      </c>
    </row>
    <row r="674" spans="1:14" x14ac:dyDescent="0.4">
      <c r="A674" t="s">
        <v>131</v>
      </c>
      <c r="B674" t="s">
        <v>11</v>
      </c>
      <c r="C674" t="s">
        <v>52</v>
      </c>
      <c r="D674" t="s">
        <v>97</v>
      </c>
      <c r="E674" s="1">
        <v>45429</v>
      </c>
      <c r="F674">
        <v>77</v>
      </c>
      <c r="G674">
        <v>277</v>
      </c>
      <c r="H674">
        <v>212.36</v>
      </c>
      <c r="I674">
        <v>263.87</v>
      </c>
      <c r="J674" t="s">
        <v>14</v>
      </c>
      <c r="K674">
        <f t="shared" si="40"/>
        <v>20317.990000000002</v>
      </c>
      <c r="L674">
        <f t="shared" si="41"/>
        <v>3966.2699999999995</v>
      </c>
      <c r="M674">
        <f t="shared" si="42"/>
        <v>0.27797833935018051</v>
      </c>
      <c r="N674">
        <f t="shared" si="43"/>
        <v>0</v>
      </c>
    </row>
    <row r="675" spans="1:14" x14ac:dyDescent="0.4">
      <c r="A675" t="s">
        <v>152</v>
      </c>
      <c r="B675" t="s">
        <v>43</v>
      </c>
      <c r="C675" t="s">
        <v>52</v>
      </c>
      <c r="D675" t="s">
        <v>97</v>
      </c>
      <c r="E675" s="1">
        <v>45464</v>
      </c>
      <c r="F675">
        <v>100</v>
      </c>
      <c r="G675">
        <v>202</v>
      </c>
      <c r="H675">
        <v>388.78</v>
      </c>
      <c r="I675">
        <v>141.94999999999999</v>
      </c>
      <c r="J675" t="s">
        <v>14</v>
      </c>
      <c r="K675">
        <f t="shared" si="40"/>
        <v>14194.999999999998</v>
      </c>
      <c r="L675">
        <f t="shared" si="41"/>
        <v>-24683</v>
      </c>
      <c r="M675">
        <f t="shared" si="42"/>
        <v>0.49504950495049505</v>
      </c>
      <c r="N675">
        <f t="shared" si="43"/>
        <v>0</v>
      </c>
    </row>
    <row r="676" spans="1:14" x14ac:dyDescent="0.4">
      <c r="A676" t="s">
        <v>167</v>
      </c>
      <c r="B676" t="s">
        <v>11</v>
      </c>
      <c r="C676" t="s">
        <v>52</v>
      </c>
      <c r="D676" t="s">
        <v>41</v>
      </c>
      <c r="E676" s="1">
        <v>45560</v>
      </c>
      <c r="F676">
        <v>145</v>
      </c>
      <c r="G676">
        <v>73</v>
      </c>
      <c r="H676">
        <v>275.02</v>
      </c>
      <c r="I676">
        <v>462.32</v>
      </c>
      <c r="J676" t="s">
        <v>23</v>
      </c>
      <c r="K676">
        <f t="shared" si="40"/>
        <v>67036.399999999994</v>
      </c>
      <c r="L676">
        <f t="shared" si="41"/>
        <v>27158.5</v>
      </c>
      <c r="M676">
        <f t="shared" si="42"/>
        <v>1.9863013698630136</v>
      </c>
      <c r="N676">
        <f t="shared" si="43"/>
        <v>0</v>
      </c>
    </row>
    <row r="677" spans="1:14" x14ac:dyDescent="0.4">
      <c r="A677" t="s">
        <v>195</v>
      </c>
      <c r="B677" t="s">
        <v>21</v>
      </c>
      <c r="C677" t="s">
        <v>29</v>
      </c>
      <c r="D677" t="s">
        <v>53</v>
      </c>
      <c r="E677" s="1">
        <v>45536</v>
      </c>
      <c r="F677">
        <v>141</v>
      </c>
      <c r="G677">
        <v>24</v>
      </c>
      <c r="H677">
        <v>107.52</v>
      </c>
      <c r="I677">
        <v>187.1</v>
      </c>
      <c r="J677" t="s">
        <v>19</v>
      </c>
      <c r="K677">
        <f t="shared" si="40"/>
        <v>26381.1</v>
      </c>
      <c r="L677">
        <f t="shared" si="41"/>
        <v>11220.78</v>
      </c>
      <c r="M677">
        <f t="shared" si="42"/>
        <v>5.875</v>
      </c>
      <c r="N677">
        <f t="shared" si="43"/>
        <v>0</v>
      </c>
    </row>
    <row r="678" spans="1:14" x14ac:dyDescent="0.4">
      <c r="A678" t="s">
        <v>238</v>
      </c>
      <c r="B678" t="s">
        <v>36</v>
      </c>
      <c r="C678" t="s">
        <v>52</v>
      </c>
      <c r="D678" t="s">
        <v>13</v>
      </c>
      <c r="E678" s="1">
        <v>44949</v>
      </c>
      <c r="F678">
        <v>161</v>
      </c>
      <c r="G678">
        <v>100</v>
      </c>
      <c r="H678">
        <v>312.01</v>
      </c>
      <c r="I678">
        <v>773.54</v>
      </c>
      <c r="J678" t="s">
        <v>30</v>
      </c>
      <c r="K678">
        <f t="shared" si="40"/>
        <v>124539.93999999999</v>
      </c>
      <c r="L678">
        <f t="shared" si="41"/>
        <v>74306.33</v>
      </c>
      <c r="M678">
        <f t="shared" si="42"/>
        <v>1.61</v>
      </c>
      <c r="N678">
        <f t="shared" si="43"/>
        <v>0</v>
      </c>
    </row>
    <row r="679" spans="1:14" x14ac:dyDescent="0.4">
      <c r="A679" t="s">
        <v>125</v>
      </c>
      <c r="B679" t="s">
        <v>21</v>
      </c>
      <c r="C679" t="s">
        <v>12</v>
      </c>
      <c r="D679" t="s">
        <v>53</v>
      </c>
      <c r="E679" s="1">
        <v>45448</v>
      </c>
      <c r="F679">
        <v>127</v>
      </c>
      <c r="G679">
        <v>175</v>
      </c>
      <c r="H679">
        <v>184.94</v>
      </c>
      <c r="I679">
        <v>302.95</v>
      </c>
      <c r="J679" t="s">
        <v>19</v>
      </c>
      <c r="K679">
        <f t="shared" si="40"/>
        <v>38474.65</v>
      </c>
      <c r="L679">
        <f t="shared" si="41"/>
        <v>14987.269999999999</v>
      </c>
      <c r="M679">
        <f t="shared" si="42"/>
        <v>0.72571428571428576</v>
      </c>
      <c r="N679">
        <f t="shared" si="43"/>
        <v>0</v>
      </c>
    </row>
    <row r="680" spans="1:14" x14ac:dyDescent="0.4">
      <c r="A680" t="s">
        <v>203</v>
      </c>
      <c r="B680" t="s">
        <v>58</v>
      </c>
      <c r="C680" t="s">
        <v>12</v>
      </c>
      <c r="D680" t="s">
        <v>47</v>
      </c>
      <c r="E680" s="1">
        <v>45399</v>
      </c>
      <c r="F680">
        <v>57</v>
      </c>
      <c r="G680">
        <v>116</v>
      </c>
      <c r="H680">
        <v>65.48</v>
      </c>
      <c r="I680">
        <v>697.06</v>
      </c>
      <c r="J680" t="s">
        <v>19</v>
      </c>
      <c r="K680">
        <f t="shared" si="40"/>
        <v>39732.42</v>
      </c>
      <c r="L680">
        <f t="shared" si="41"/>
        <v>36000.06</v>
      </c>
      <c r="M680">
        <f t="shared" si="42"/>
        <v>0.49137931034482757</v>
      </c>
      <c r="N680">
        <f t="shared" si="43"/>
        <v>0</v>
      </c>
    </row>
    <row r="681" spans="1:14" x14ac:dyDescent="0.4">
      <c r="A681" t="s">
        <v>122</v>
      </c>
      <c r="B681" t="s">
        <v>25</v>
      </c>
      <c r="C681" t="s">
        <v>17</v>
      </c>
      <c r="D681" t="s">
        <v>37</v>
      </c>
      <c r="E681" s="1">
        <v>44901</v>
      </c>
      <c r="F681">
        <v>75</v>
      </c>
      <c r="G681">
        <v>165</v>
      </c>
      <c r="H681">
        <v>335.72</v>
      </c>
      <c r="I681">
        <v>371.34</v>
      </c>
      <c r="J681" t="s">
        <v>34</v>
      </c>
      <c r="K681">
        <f t="shared" si="40"/>
        <v>27850.499999999996</v>
      </c>
      <c r="L681">
        <f t="shared" si="41"/>
        <v>2671.4999999999959</v>
      </c>
      <c r="M681">
        <f t="shared" si="42"/>
        <v>0.45454545454545453</v>
      </c>
      <c r="N681">
        <f t="shared" si="43"/>
        <v>0</v>
      </c>
    </row>
    <row r="682" spans="1:14" x14ac:dyDescent="0.4">
      <c r="A682" t="s">
        <v>157</v>
      </c>
      <c r="B682" t="s">
        <v>28</v>
      </c>
      <c r="C682" t="s">
        <v>52</v>
      </c>
      <c r="D682" t="s">
        <v>45</v>
      </c>
      <c r="E682" s="1">
        <v>44765</v>
      </c>
      <c r="F682">
        <v>149</v>
      </c>
      <c r="G682">
        <v>40</v>
      </c>
      <c r="H682">
        <v>436.52</v>
      </c>
      <c r="I682">
        <v>326.24</v>
      </c>
      <c r="J682" t="s">
        <v>14</v>
      </c>
      <c r="K682">
        <f t="shared" si="40"/>
        <v>48609.760000000002</v>
      </c>
      <c r="L682">
        <f t="shared" si="41"/>
        <v>-16431.719999999998</v>
      </c>
      <c r="M682">
        <f t="shared" si="42"/>
        <v>3.7250000000000001</v>
      </c>
      <c r="N682">
        <f t="shared" si="43"/>
        <v>0</v>
      </c>
    </row>
    <row r="683" spans="1:14" x14ac:dyDescent="0.4">
      <c r="A683" t="s">
        <v>178</v>
      </c>
      <c r="B683" t="s">
        <v>43</v>
      </c>
      <c r="C683" t="s">
        <v>12</v>
      </c>
      <c r="D683" t="s">
        <v>47</v>
      </c>
      <c r="E683" s="1">
        <v>44722</v>
      </c>
      <c r="F683">
        <v>197</v>
      </c>
      <c r="G683">
        <v>119</v>
      </c>
      <c r="H683">
        <v>205.15</v>
      </c>
      <c r="I683">
        <v>754.61</v>
      </c>
      <c r="J683" t="s">
        <v>14</v>
      </c>
      <c r="K683">
        <f t="shared" si="40"/>
        <v>148658.17000000001</v>
      </c>
      <c r="L683">
        <f t="shared" si="41"/>
        <v>108243.62000000001</v>
      </c>
      <c r="M683">
        <f t="shared" si="42"/>
        <v>1.6554621848739495</v>
      </c>
      <c r="N683">
        <f t="shared" si="43"/>
        <v>0</v>
      </c>
    </row>
    <row r="684" spans="1:14" x14ac:dyDescent="0.4">
      <c r="A684" t="s">
        <v>123</v>
      </c>
      <c r="B684" t="s">
        <v>32</v>
      </c>
      <c r="C684" t="s">
        <v>17</v>
      </c>
      <c r="D684" t="s">
        <v>18</v>
      </c>
      <c r="E684" s="1">
        <v>44953</v>
      </c>
      <c r="F684">
        <v>35</v>
      </c>
      <c r="G684">
        <v>96</v>
      </c>
      <c r="H684">
        <v>225.63</v>
      </c>
      <c r="I684">
        <v>354.33</v>
      </c>
      <c r="J684" t="s">
        <v>14</v>
      </c>
      <c r="K684">
        <f t="shared" si="40"/>
        <v>12401.55</v>
      </c>
      <c r="L684">
        <f t="shared" si="41"/>
        <v>4504.5</v>
      </c>
      <c r="M684">
        <f t="shared" si="42"/>
        <v>0.36458333333333331</v>
      </c>
      <c r="N684">
        <f t="shared" si="43"/>
        <v>0</v>
      </c>
    </row>
    <row r="685" spans="1:14" x14ac:dyDescent="0.4">
      <c r="A685" t="s">
        <v>121</v>
      </c>
      <c r="B685" t="s">
        <v>36</v>
      </c>
      <c r="C685" t="s">
        <v>52</v>
      </c>
      <c r="D685" t="s">
        <v>40</v>
      </c>
      <c r="E685" s="1">
        <v>45330</v>
      </c>
      <c r="F685">
        <v>172</v>
      </c>
      <c r="G685">
        <v>144</v>
      </c>
      <c r="H685">
        <v>450.96</v>
      </c>
      <c r="I685">
        <v>373.2</v>
      </c>
      <c r="J685" t="s">
        <v>34</v>
      </c>
      <c r="K685">
        <f t="shared" si="40"/>
        <v>64190.400000000001</v>
      </c>
      <c r="L685">
        <f t="shared" si="41"/>
        <v>-13374.719999999998</v>
      </c>
      <c r="M685">
        <f t="shared" si="42"/>
        <v>1.1944444444444444</v>
      </c>
      <c r="N685">
        <f t="shared" si="43"/>
        <v>0</v>
      </c>
    </row>
    <row r="686" spans="1:14" x14ac:dyDescent="0.4">
      <c r="A686" t="s">
        <v>87</v>
      </c>
      <c r="B686" t="s">
        <v>39</v>
      </c>
      <c r="C686" t="s">
        <v>29</v>
      </c>
      <c r="D686" t="s">
        <v>33</v>
      </c>
      <c r="E686" s="1">
        <v>45136</v>
      </c>
      <c r="F686">
        <v>163</v>
      </c>
      <c r="G686">
        <v>215</v>
      </c>
      <c r="H686">
        <v>416.12</v>
      </c>
      <c r="I686">
        <v>174.26</v>
      </c>
      <c r="J686" t="s">
        <v>23</v>
      </c>
      <c r="K686">
        <f t="shared" si="40"/>
        <v>28404.379999999997</v>
      </c>
      <c r="L686">
        <f t="shared" si="41"/>
        <v>-39423.18</v>
      </c>
      <c r="M686">
        <f t="shared" si="42"/>
        <v>0.75813953488372088</v>
      </c>
      <c r="N686">
        <f t="shared" si="43"/>
        <v>0</v>
      </c>
    </row>
    <row r="687" spans="1:14" x14ac:dyDescent="0.4">
      <c r="A687" t="s">
        <v>153</v>
      </c>
      <c r="B687" t="s">
        <v>39</v>
      </c>
      <c r="C687" t="s">
        <v>12</v>
      </c>
      <c r="D687" t="s">
        <v>18</v>
      </c>
      <c r="E687" s="1">
        <v>45095</v>
      </c>
      <c r="F687">
        <v>21</v>
      </c>
      <c r="G687">
        <v>228</v>
      </c>
      <c r="H687">
        <v>371.73</v>
      </c>
      <c r="I687">
        <v>569.30999999999995</v>
      </c>
      <c r="J687" t="s">
        <v>23</v>
      </c>
      <c r="K687">
        <f t="shared" si="40"/>
        <v>11955.509999999998</v>
      </c>
      <c r="L687">
        <f t="shared" si="41"/>
        <v>4149.1799999999985</v>
      </c>
      <c r="M687">
        <f t="shared" si="42"/>
        <v>9.2105263157894732E-2</v>
      </c>
      <c r="N687">
        <f t="shared" si="43"/>
        <v>0</v>
      </c>
    </row>
    <row r="688" spans="1:14" x14ac:dyDescent="0.4">
      <c r="A688" t="s">
        <v>183</v>
      </c>
      <c r="B688" t="s">
        <v>39</v>
      </c>
      <c r="C688" t="s">
        <v>29</v>
      </c>
      <c r="D688" t="s">
        <v>62</v>
      </c>
      <c r="E688" s="1">
        <v>45655</v>
      </c>
      <c r="F688">
        <v>126</v>
      </c>
      <c r="G688">
        <v>129</v>
      </c>
      <c r="H688">
        <v>161.96</v>
      </c>
      <c r="I688">
        <v>302.19</v>
      </c>
      <c r="J688" t="s">
        <v>30</v>
      </c>
      <c r="K688">
        <f t="shared" si="40"/>
        <v>38075.94</v>
      </c>
      <c r="L688">
        <f t="shared" si="41"/>
        <v>17668.98</v>
      </c>
      <c r="M688">
        <f t="shared" si="42"/>
        <v>0.97674418604651159</v>
      </c>
      <c r="N688">
        <f t="shared" si="43"/>
        <v>0</v>
      </c>
    </row>
    <row r="689" spans="1:14" x14ac:dyDescent="0.4">
      <c r="A689" t="s">
        <v>189</v>
      </c>
      <c r="B689" t="s">
        <v>43</v>
      </c>
      <c r="C689" t="s">
        <v>52</v>
      </c>
      <c r="D689" t="s">
        <v>40</v>
      </c>
      <c r="E689" s="1">
        <v>45454</v>
      </c>
      <c r="F689">
        <v>79</v>
      </c>
      <c r="G689">
        <v>136</v>
      </c>
      <c r="H689">
        <v>459.6</v>
      </c>
      <c r="I689">
        <v>509.92</v>
      </c>
      <c r="J689" t="s">
        <v>23</v>
      </c>
      <c r="K689">
        <f t="shared" si="40"/>
        <v>40283.68</v>
      </c>
      <c r="L689">
        <f t="shared" si="41"/>
        <v>3975.2799999999993</v>
      </c>
      <c r="M689">
        <f t="shared" si="42"/>
        <v>0.58088235294117652</v>
      </c>
      <c r="N689">
        <f t="shared" si="43"/>
        <v>0</v>
      </c>
    </row>
    <row r="690" spans="1:14" x14ac:dyDescent="0.4">
      <c r="A690" t="s">
        <v>225</v>
      </c>
      <c r="B690" t="s">
        <v>39</v>
      </c>
      <c r="C690" t="s">
        <v>12</v>
      </c>
      <c r="D690" t="s">
        <v>18</v>
      </c>
      <c r="E690" s="1">
        <v>44966</v>
      </c>
      <c r="F690">
        <v>188</v>
      </c>
      <c r="G690">
        <v>272</v>
      </c>
      <c r="H690">
        <v>119.49</v>
      </c>
      <c r="I690">
        <v>513.95000000000005</v>
      </c>
      <c r="J690" t="s">
        <v>23</v>
      </c>
      <c r="K690">
        <f t="shared" si="40"/>
        <v>96622.6</v>
      </c>
      <c r="L690">
        <f t="shared" si="41"/>
        <v>74158.48000000001</v>
      </c>
      <c r="M690">
        <f t="shared" si="42"/>
        <v>0.69117647058823528</v>
      </c>
      <c r="N690">
        <f t="shared" si="43"/>
        <v>0</v>
      </c>
    </row>
    <row r="691" spans="1:14" x14ac:dyDescent="0.4">
      <c r="A691" t="s">
        <v>35</v>
      </c>
      <c r="B691" t="s">
        <v>16</v>
      </c>
      <c r="C691" t="s">
        <v>52</v>
      </c>
      <c r="D691" t="s">
        <v>45</v>
      </c>
      <c r="E691" s="1">
        <v>45169</v>
      </c>
      <c r="F691">
        <v>99</v>
      </c>
      <c r="G691">
        <v>116</v>
      </c>
      <c r="H691">
        <v>332.05</v>
      </c>
      <c r="I691">
        <v>603.44000000000005</v>
      </c>
      <c r="J691" t="s">
        <v>14</v>
      </c>
      <c r="K691">
        <f t="shared" si="40"/>
        <v>59740.560000000005</v>
      </c>
      <c r="L691">
        <f t="shared" si="41"/>
        <v>26867.610000000004</v>
      </c>
      <c r="M691">
        <f t="shared" si="42"/>
        <v>0.85344827586206895</v>
      </c>
      <c r="N691">
        <f t="shared" si="43"/>
        <v>0</v>
      </c>
    </row>
    <row r="692" spans="1:14" x14ac:dyDescent="0.4">
      <c r="A692" t="s">
        <v>80</v>
      </c>
      <c r="B692" t="s">
        <v>36</v>
      </c>
      <c r="C692" t="s">
        <v>29</v>
      </c>
      <c r="D692" t="s">
        <v>45</v>
      </c>
      <c r="E692" s="1">
        <v>45389</v>
      </c>
      <c r="F692">
        <v>183</v>
      </c>
      <c r="G692">
        <v>93</v>
      </c>
      <c r="H692">
        <v>62.96</v>
      </c>
      <c r="I692">
        <v>621.66999999999996</v>
      </c>
      <c r="J692" t="s">
        <v>19</v>
      </c>
      <c r="K692">
        <f t="shared" si="40"/>
        <v>113765.60999999999</v>
      </c>
      <c r="L692">
        <f t="shared" si="41"/>
        <v>102243.93</v>
      </c>
      <c r="M692">
        <f t="shared" si="42"/>
        <v>1.967741935483871</v>
      </c>
      <c r="N692">
        <f t="shared" si="43"/>
        <v>0</v>
      </c>
    </row>
    <row r="693" spans="1:14" x14ac:dyDescent="0.4">
      <c r="A693" t="s">
        <v>204</v>
      </c>
      <c r="B693" t="s">
        <v>16</v>
      </c>
      <c r="C693" t="s">
        <v>12</v>
      </c>
      <c r="D693" t="s">
        <v>13</v>
      </c>
      <c r="E693" s="1">
        <v>45251</v>
      </c>
      <c r="F693">
        <v>95</v>
      </c>
      <c r="G693">
        <v>167</v>
      </c>
      <c r="H693">
        <v>339.67</v>
      </c>
      <c r="I693">
        <v>460.12</v>
      </c>
      <c r="J693" t="s">
        <v>23</v>
      </c>
      <c r="K693">
        <f t="shared" si="40"/>
        <v>43711.4</v>
      </c>
      <c r="L693">
        <f t="shared" si="41"/>
        <v>11442.749999999998</v>
      </c>
      <c r="M693">
        <f t="shared" si="42"/>
        <v>0.56886227544910184</v>
      </c>
      <c r="N693">
        <f t="shared" si="43"/>
        <v>0</v>
      </c>
    </row>
    <row r="694" spans="1:14" x14ac:dyDescent="0.4">
      <c r="A694" t="s">
        <v>85</v>
      </c>
      <c r="B694" t="s">
        <v>25</v>
      </c>
      <c r="C694" t="s">
        <v>29</v>
      </c>
      <c r="D694" t="s">
        <v>65</v>
      </c>
      <c r="E694" s="1">
        <v>45463</v>
      </c>
      <c r="F694">
        <v>160</v>
      </c>
      <c r="G694">
        <v>202</v>
      </c>
      <c r="H694">
        <v>174.71</v>
      </c>
      <c r="I694">
        <v>331.69</v>
      </c>
      <c r="J694" t="s">
        <v>23</v>
      </c>
      <c r="K694">
        <f t="shared" si="40"/>
        <v>53070.400000000001</v>
      </c>
      <c r="L694">
        <f t="shared" si="41"/>
        <v>25116.799999999999</v>
      </c>
      <c r="M694">
        <f t="shared" si="42"/>
        <v>0.79207920792079212</v>
      </c>
      <c r="N694">
        <f t="shared" si="43"/>
        <v>0</v>
      </c>
    </row>
    <row r="695" spans="1:14" x14ac:dyDescent="0.4">
      <c r="A695" t="s">
        <v>240</v>
      </c>
      <c r="B695" t="s">
        <v>36</v>
      </c>
      <c r="C695" t="s">
        <v>52</v>
      </c>
      <c r="D695" t="s">
        <v>26</v>
      </c>
      <c r="E695" s="1">
        <v>44617</v>
      </c>
      <c r="F695">
        <v>172</v>
      </c>
      <c r="G695">
        <v>148</v>
      </c>
      <c r="H695">
        <v>252.35</v>
      </c>
      <c r="I695">
        <v>686.22</v>
      </c>
      <c r="J695" t="s">
        <v>34</v>
      </c>
      <c r="K695">
        <f t="shared" si="40"/>
        <v>118029.84000000001</v>
      </c>
      <c r="L695">
        <f t="shared" si="41"/>
        <v>74625.64</v>
      </c>
      <c r="M695">
        <f t="shared" si="42"/>
        <v>1.1621621621621621</v>
      </c>
      <c r="N695">
        <f t="shared" si="43"/>
        <v>0</v>
      </c>
    </row>
    <row r="696" spans="1:14" x14ac:dyDescent="0.4">
      <c r="A696" t="s">
        <v>91</v>
      </c>
      <c r="B696" t="s">
        <v>16</v>
      </c>
      <c r="C696" t="s">
        <v>52</v>
      </c>
      <c r="D696" t="s">
        <v>75</v>
      </c>
      <c r="E696" s="1">
        <v>44927</v>
      </c>
      <c r="F696">
        <v>163</v>
      </c>
      <c r="G696">
        <v>182</v>
      </c>
      <c r="H696">
        <v>205.37</v>
      </c>
      <c r="I696">
        <v>316.91000000000003</v>
      </c>
      <c r="J696" t="s">
        <v>30</v>
      </c>
      <c r="K696">
        <f t="shared" si="40"/>
        <v>51656.33</v>
      </c>
      <c r="L696">
        <f t="shared" si="41"/>
        <v>18181.020000000004</v>
      </c>
      <c r="M696">
        <f t="shared" si="42"/>
        <v>0.89560439560439564</v>
      </c>
      <c r="N696">
        <f t="shared" si="43"/>
        <v>0</v>
      </c>
    </row>
    <row r="697" spans="1:14" x14ac:dyDescent="0.4">
      <c r="A697" t="s">
        <v>225</v>
      </c>
      <c r="B697" t="s">
        <v>36</v>
      </c>
      <c r="C697" t="s">
        <v>29</v>
      </c>
      <c r="D697" t="s">
        <v>22</v>
      </c>
      <c r="E697" s="1">
        <v>45016</v>
      </c>
      <c r="F697">
        <v>147</v>
      </c>
      <c r="G697">
        <v>151</v>
      </c>
      <c r="H697">
        <v>127.74</v>
      </c>
      <c r="I697">
        <v>455.26</v>
      </c>
      <c r="J697" t="s">
        <v>34</v>
      </c>
      <c r="K697">
        <f t="shared" si="40"/>
        <v>66923.22</v>
      </c>
      <c r="L697">
        <f t="shared" si="41"/>
        <v>48145.439999999995</v>
      </c>
      <c r="M697">
        <f t="shared" si="42"/>
        <v>0.97350993377483441</v>
      </c>
      <c r="N697">
        <f t="shared" si="43"/>
        <v>0</v>
      </c>
    </row>
    <row r="698" spans="1:14" x14ac:dyDescent="0.4">
      <c r="A698" t="s">
        <v>171</v>
      </c>
      <c r="B698" t="s">
        <v>25</v>
      </c>
      <c r="C698" t="s">
        <v>12</v>
      </c>
      <c r="D698" t="s">
        <v>66</v>
      </c>
      <c r="E698" s="1">
        <v>44665</v>
      </c>
      <c r="F698">
        <v>17</v>
      </c>
      <c r="G698">
        <v>73</v>
      </c>
      <c r="H698">
        <v>329.89</v>
      </c>
      <c r="I698">
        <v>380.88</v>
      </c>
      <c r="J698" t="s">
        <v>14</v>
      </c>
      <c r="K698">
        <f t="shared" si="40"/>
        <v>6474.96</v>
      </c>
      <c r="L698">
        <f t="shared" si="41"/>
        <v>866.83000000000015</v>
      </c>
      <c r="M698">
        <f t="shared" si="42"/>
        <v>0.23287671232876711</v>
      </c>
      <c r="N698">
        <f t="shared" si="43"/>
        <v>0</v>
      </c>
    </row>
    <row r="699" spans="1:14" x14ac:dyDescent="0.4">
      <c r="A699" t="s">
        <v>175</v>
      </c>
      <c r="B699" t="s">
        <v>11</v>
      </c>
      <c r="C699" t="s">
        <v>29</v>
      </c>
      <c r="D699" t="s">
        <v>145</v>
      </c>
      <c r="E699" s="1">
        <v>44638</v>
      </c>
      <c r="F699">
        <v>37</v>
      </c>
      <c r="G699">
        <v>273</v>
      </c>
      <c r="H699">
        <v>446.89</v>
      </c>
      <c r="I699">
        <v>698.55</v>
      </c>
      <c r="J699" t="s">
        <v>19</v>
      </c>
      <c r="K699">
        <f t="shared" si="40"/>
        <v>25846.35</v>
      </c>
      <c r="L699">
        <f t="shared" si="41"/>
        <v>9311.4199999999983</v>
      </c>
      <c r="M699">
        <f t="shared" si="42"/>
        <v>0.13553113553113552</v>
      </c>
      <c r="N699">
        <f t="shared" si="43"/>
        <v>0</v>
      </c>
    </row>
    <row r="700" spans="1:14" x14ac:dyDescent="0.4">
      <c r="A700" t="s">
        <v>185</v>
      </c>
      <c r="B700" t="s">
        <v>43</v>
      </c>
      <c r="C700" t="s">
        <v>52</v>
      </c>
      <c r="D700" t="s">
        <v>41</v>
      </c>
      <c r="E700" s="1">
        <v>44791</v>
      </c>
      <c r="F700">
        <v>194</v>
      </c>
      <c r="G700">
        <v>41</v>
      </c>
      <c r="H700">
        <v>481.59</v>
      </c>
      <c r="I700">
        <v>402.34</v>
      </c>
      <c r="J700" t="s">
        <v>30</v>
      </c>
      <c r="K700">
        <f t="shared" si="40"/>
        <v>78053.959999999992</v>
      </c>
      <c r="L700">
        <f t="shared" si="41"/>
        <v>-15374.5</v>
      </c>
      <c r="M700">
        <f t="shared" si="42"/>
        <v>4.7317073170731705</v>
      </c>
      <c r="N700">
        <f t="shared" si="43"/>
        <v>0</v>
      </c>
    </row>
    <row r="701" spans="1:14" x14ac:dyDescent="0.4">
      <c r="A701" t="s">
        <v>219</v>
      </c>
      <c r="B701" t="s">
        <v>43</v>
      </c>
      <c r="C701" t="s">
        <v>29</v>
      </c>
      <c r="D701" t="s">
        <v>26</v>
      </c>
      <c r="E701" s="1">
        <v>44892</v>
      </c>
      <c r="F701">
        <v>150</v>
      </c>
      <c r="G701">
        <v>211</v>
      </c>
      <c r="H701">
        <v>136.56</v>
      </c>
      <c r="I701">
        <v>370.27</v>
      </c>
      <c r="J701" t="s">
        <v>34</v>
      </c>
      <c r="K701">
        <f t="shared" si="40"/>
        <v>55540.5</v>
      </c>
      <c r="L701">
        <f t="shared" si="41"/>
        <v>35056.5</v>
      </c>
      <c r="M701">
        <f t="shared" si="42"/>
        <v>0.7109004739336493</v>
      </c>
      <c r="N701">
        <f t="shared" si="43"/>
        <v>0</v>
      </c>
    </row>
    <row r="702" spans="1:14" x14ac:dyDescent="0.4">
      <c r="A702" t="s">
        <v>235</v>
      </c>
      <c r="B702" t="s">
        <v>39</v>
      </c>
      <c r="C702" t="s">
        <v>52</v>
      </c>
      <c r="D702" t="s">
        <v>33</v>
      </c>
      <c r="E702" s="1">
        <v>45454</v>
      </c>
      <c r="F702">
        <v>108</v>
      </c>
      <c r="G702">
        <v>100</v>
      </c>
      <c r="H702">
        <v>372.82</v>
      </c>
      <c r="I702">
        <v>582.88</v>
      </c>
      <c r="J702" t="s">
        <v>23</v>
      </c>
      <c r="K702">
        <f t="shared" si="40"/>
        <v>62951.040000000001</v>
      </c>
      <c r="L702">
        <f t="shared" si="41"/>
        <v>22686.48</v>
      </c>
      <c r="M702">
        <f t="shared" si="42"/>
        <v>1.08</v>
      </c>
      <c r="N702">
        <f t="shared" si="43"/>
        <v>0</v>
      </c>
    </row>
    <row r="703" spans="1:14" x14ac:dyDescent="0.4">
      <c r="A703" t="s">
        <v>175</v>
      </c>
      <c r="B703" t="s">
        <v>21</v>
      </c>
      <c r="C703" t="s">
        <v>29</v>
      </c>
      <c r="D703" t="s">
        <v>33</v>
      </c>
      <c r="E703" s="1">
        <v>45249</v>
      </c>
      <c r="F703">
        <v>122</v>
      </c>
      <c r="G703">
        <v>44</v>
      </c>
      <c r="H703">
        <v>348.95</v>
      </c>
      <c r="I703">
        <v>521.71</v>
      </c>
      <c r="J703" t="s">
        <v>23</v>
      </c>
      <c r="K703">
        <f t="shared" si="40"/>
        <v>63648.62</v>
      </c>
      <c r="L703">
        <f t="shared" si="41"/>
        <v>21076.720000000005</v>
      </c>
      <c r="M703">
        <f t="shared" si="42"/>
        <v>2.7727272727272729</v>
      </c>
      <c r="N703">
        <f t="shared" si="43"/>
        <v>0</v>
      </c>
    </row>
    <row r="704" spans="1:14" x14ac:dyDescent="0.4">
      <c r="A704" t="s">
        <v>68</v>
      </c>
      <c r="B704" t="s">
        <v>39</v>
      </c>
      <c r="C704" t="s">
        <v>12</v>
      </c>
      <c r="D704" t="s">
        <v>33</v>
      </c>
      <c r="E704" s="1">
        <v>44588</v>
      </c>
      <c r="F704">
        <v>143</v>
      </c>
      <c r="G704">
        <v>81</v>
      </c>
      <c r="H704">
        <v>204.52</v>
      </c>
      <c r="I704">
        <v>175.07</v>
      </c>
      <c r="J704" t="s">
        <v>30</v>
      </c>
      <c r="K704">
        <f t="shared" si="40"/>
        <v>25035.01</v>
      </c>
      <c r="L704">
        <f t="shared" si="41"/>
        <v>-4211.3500000000022</v>
      </c>
      <c r="M704">
        <f t="shared" si="42"/>
        <v>1.7654320987654322</v>
      </c>
      <c r="N704">
        <f t="shared" si="43"/>
        <v>0</v>
      </c>
    </row>
    <row r="705" spans="1:14" x14ac:dyDescent="0.4">
      <c r="A705" t="s">
        <v>184</v>
      </c>
      <c r="B705" t="s">
        <v>58</v>
      </c>
      <c r="C705" t="s">
        <v>12</v>
      </c>
      <c r="D705" t="s">
        <v>37</v>
      </c>
      <c r="E705" s="1">
        <v>44860</v>
      </c>
      <c r="F705">
        <v>186</v>
      </c>
      <c r="G705">
        <v>16</v>
      </c>
      <c r="H705">
        <v>58.59</v>
      </c>
      <c r="I705">
        <v>455.72</v>
      </c>
      <c r="J705" t="s">
        <v>23</v>
      </c>
      <c r="K705">
        <f t="shared" si="40"/>
        <v>84763.92</v>
      </c>
      <c r="L705">
        <f t="shared" si="41"/>
        <v>73866.179999999993</v>
      </c>
      <c r="M705">
        <f t="shared" si="42"/>
        <v>11.625</v>
      </c>
      <c r="N705">
        <f t="shared" si="43"/>
        <v>0</v>
      </c>
    </row>
    <row r="706" spans="1:14" x14ac:dyDescent="0.4">
      <c r="A706" t="s">
        <v>113</v>
      </c>
      <c r="B706" t="s">
        <v>16</v>
      </c>
      <c r="C706" t="s">
        <v>29</v>
      </c>
      <c r="D706" t="s">
        <v>145</v>
      </c>
      <c r="E706" s="1">
        <v>45518</v>
      </c>
      <c r="F706">
        <v>196</v>
      </c>
      <c r="G706">
        <v>72</v>
      </c>
      <c r="H706">
        <v>360.41</v>
      </c>
      <c r="I706">
        <v>614.83000000000004</v>
      </c>
      <c r="J706" t="s">
        <v>34</v>
      </c>
      <c r="K706">
        <f t="shared" si="40"/>
        <v>120506.68000000001</v>
      </c>
      <c r="L706">
        <f t="shared" si="41"/>
        <v>49866.32</v>
      </c>
      <c r="M706">
        <f t="shared" si="42"/>
        <v>2.7222222222222223</v>
      </c>
      <c r="N706">
        <f t="shared" si="43"/>
        <v>0</v>
      </c>
    </row>
    <row r="707" spans="1:14" x14ac:dyDescent="0.4">
      <c r="A707" t="s">
        <v>205</v>
      </c>
      <c r="B707" t="s">
        <v>36</v>
      </c>
      <c r="C707" t="s">
        <v>29</v>
      </c>
      <c r="D707" t="s">
        <v>18</v>
      </c>
      <c r="E707" s="1">
        <v>45360</v>
      </c>
      <c r="F707">
        <v>195</v>
      </c>
      <c r="G707">
        <v>13</v>
      </c>
      <c r="H707">
        <v>475.47</v>
      </c>
      <c r="I707">
        <v>794.45</v>
      </c>
      <c r="J707" t="s">
        <v>34</v>
      </c>
      <c r="K707">
        <f t="shared" ref="K707:K770" si="44">F707 * I707</f>
        <v>154917.75</v>
      </c>
      <c r="L707">
        <f t="shared" ref="L707:L770" si="45">(I707 - H707) * F707</f>
        <v>62201.100000000006</v>
      </c>
      <c r="M707">
        <f t="shared" ref="M707:M770" si="46">IF(G707=0, 0, F707/G707)</f>
        <v>15</v>
      </c>
      <c r="N707">
        <f t="shared" ref="N707:N770" si="47">IF(G707=0, 1, 0)</f>
        <v>0</v>
      </c>
    </row>
    <row r="708" spans="1:14" x14ac:dyDescent="0.4">
      <c r="A708" t="s">
        <v>215</v>
      </c>
      <c r="B708" t="s">
        <v>21</v>
      </c>
      <c r="C708" t="s">
        <v>12</v>
      </c>
      <c r="D708" t="s">
        <v>53</v>
      </c>
      <c r="E708" s="1">
        <v>45041</v>
      </c>
      <c r="F708">
        <v>148</v>
      </c>
      <c r="G708">
        <v>156</v>
      </c>
      <c r="H708">
        <v>334.45</v>
      </c>
      <c r="I708">
        <v>540.4</v>
      </c>
      <c r="J708" t="s">
        <v>23</v>
      </c>
      <c r="K708">
        <f t="shared" si="44"/>
        <v>79979.199999999997</v>
      </c>
      <c r="L708">
        <f t="shared" si="45"/>
        <v>30480.6</v>
      </c>
      <c r="M708">
        <f t="shared" si="46"/>
        <v>0.94871794871794868</v>
      </c>
      <c r="N708">
        <f t="shared" si="47"/>
        <v>0</v>
      </c>
    </row>
    <row r="709" spans="1:14" x14ac:dyDescent="0.4">
      <c r="A709" t="s">
        <v>236</v>
      </c>
      <c r="B709" t="s">
        <v>25</v>
      </c>
      <c r="C709" t="s">
        <v>52</v>
      </c>
      <c r="D709" t="s">
        <v>75</v>
      </c>
      <c r="E709" s="1">
        <v>45134</v>
      </c>
      <c r="F709">
        <v>103</v>
      </c>
      <c r="G709">
        <v>222</v>
      </c>
      <c r="H709">
        <v>245.88</v>
      </c>
      <c r="I709">
        <v>359.21</v>
      </c>
      <c r="J709" t="s">
        <v>23</v>
      </c>
      <c r="K709">
        <f t="shared" si="44"/>
        <v>36998.629999999997</v>
      </c>
      <c r="L709">
        <f t="shared" si="45"/>
        <v>11672.989999999998</v>
      </c>
      <c r="M709">
        <f t="shared" si="46"/>
        <v>0.46396396396396394</v>
      </c>
      <c r="N709">
        <f t="shared" si="47"/>
        <v>0</v>
      </c>
    </row>
    <row r="710" spans="1:14" x14ac:dyDescent="0.4">
      <c r="A710" t="s">
        <v>85</v>
      </c>
      <c r="B710" t="s">
        <v>58</v>
      </c>
      <c r="C710" t="s">
        <v>12</v>
      </c>
      <c r="D710" t="s">
        <v>69</v>
      </c>
      <c r="E710" s="1">
        <v>45019</v>
      </c>
      <c r="F710">
        <v>197</v>
      </c>
      <c r="G710">
        <v>131</v>
      </c>
      <c r="H710">
        <v>286.32</v>
      </c>
      <c r="I710">
        <v>258.31</v>
      </c>
      <c r="J710" t="s">
        <v>14</v>
      </c>
      <c r="K710">
        <f t="shared" si="44"/>
        <v>50887.07</v>
      </c>
      <c r="L710">
        <f t="shared" si="45"/>
        <v>-5517.9699999999984</v>
      </c>
      <c r="M710">
        <f t="shared" si="46"/>
        <v>1.5038167938931297</v>
      </c>
      <c r="N710">
        <f t="shared" si="47"/>
        <v>0</v>
      </c>
    </row>
    <row r="711" spans="1:14" x14ac:dyDescent="0.4">
      <c r="A711" t="s">
        <v>141</v>
      </c>
      <c r="B711" t="s">
        <v>25</v>
      </c>
      <c r="C711" t="s">
        <v>52</v>
      </c>
      <c r="D711" t="s">
        <v>26</v>
      </c>
      <c r="E711" s="1">
        <v>44926</v>
      </c>
      <c r="F711">
        <v>139</v>
      </c>
      <c r="G711">
        <v>46</v>
      </c>
      <c r="H711">
        <v>139.83000000000001</v>
      </c>
      <c r="I711">
        <v>710.98</v>
      </c>
      <c r="J711" t="s">
        <v>19</v>
      </c>
      <c r="K711">
        <f t="shared" si="44"/>
        <v>98826.22</v>
      </c>
      <c r="L711">
        <f t="shared" si="45"/>
        <v>79389.849999999991</v>
      </c>
      <c r="M711">
        <f t="shared" si="46"/>
        <v>3.0217391304347827</v>
      </c>
      <c r="N711">
        <f t="shared" si="47"/>
        <v>0</v>
      </c>
    </row>
    <row r="712" spans="1:14" x14ac:dyDescent="0.4">
      <c r="A712" t="s">
        <v>54</v>
      </c>
      <c r="B712" t="s">
        <v>43</v>
      </c>
      <c r="C712" t="s">
        <v>29</v>
      </c>
      <c r="D712" t="s">
        <v>45</v>
      </c>
      <c r="E712" s="1">
        <v>45420</v>
      </c>
      <c r="F712">
        <v>143</v>
      </c>
      <c r="G712">
        <v>106</v>
      </c>
      <c r="H712">
        <v>387.74</v>
      </c>
      <c r="I712">
        <v>670.2</v>
      </c>
      <c r="J712" t="s">
        <v>30</v>
      </c>
      <c r="K712">
        <f t="shared" si="44"/>
        <v>95838.6</v>
      </c>
      <c r="L712">
        <f t="shared" si="45"/>
        <v>40391.780000000006</v>
      </c>
      <c r="M712">
        <f t="shared" si="46"/>
        <v>1.3490566037735849</v>
      </c>
      <c r="N712">
        <f t="shared" si="47"/>
        <v>0</v>
      </c>
    </row>
    <row r="713" spans="1:14" x14ac:dyDescent="0.4">
      <c r="A713" t="s">
        <v>93</v>
      </c>
      <c r="B713" t="s">
        <v>43</v>
      </c>
      <c r="C713" t="s">
        <v>29</v>
      </c>
      <c r="D713" t="s">
        <v>62</v>
      </c>
      <c r="E713" s="1">
        <v>44912</v>
      </c>
      <c r="F713">
        <v>80</v>
      </c>
      <c r="G713">
        <v>107</v>
      </c>
      <c r="H713">
        <v>385.89</v>
      </c>
      <c r="I713">
        <v>263.75</v>
      </c>
      <c r="J713" t="s">
        <v>34</v>
      </c>
      <c r="K713">
        <f t="shared" si="44"/>
        <v>21100</v>
      </c>
      <c r="L713">
        <f t="shared" si="45"/>
        <v>-9771.1999999999989</v>
      </c>
      <c r="M713">
        <f t="shared" si="46"/>
        <v>0.74766355140186913</v>
      </c>
      <c r="N713">
        <f t="shared" si="47"/>
        <v>0</v>
      </c>
    </row>
    <row r="714" spans="1:14" x14ac:dyDescent="0.4">
      <c r="A714" t="s">
        <v>77</v>
      </c>
      <c r="B714" t="s">
        <v>39</v>
      </c>
      <c r="C714" t="s">
        <v>52</v>
      </c>
      <c r="D714" t="s">
        <v>22</v>
      </c>
      <c r="E714" s="1">
        <v>44814</v>
      </c>
      <c r="F714">
        <v>86</v>
      </c>
      <c r="G714">
        <v>264</v>
      </c>
      <c r="H714">
        <v>115.48</v>
      </c>
      <c r="I714">
        <v>240.44</v>
      </c>
      <c r="J714" t="s">
        <v>30</v>
      </c>
      <c r="K714">
        <f t="shared" si="44"/>
        <v>20677.84</v>
      </c>
      <c r="L714">
        <f t="shared" si="45"/>
        <v>10746.56</v>
      </c>
      <c r="M714">
        <f t="shared" si="46"/>
        <v>0.32575757575757575</v>
      </c>
      <c r="N714">
        <f t="shared" si="47"/>
        <v>0</v>
      </c>
    </row>
    <row r="715" spans="1:14" x14ac:dyDescent="0.4">
      <c r="A715" t="s">
        <v>107</v>
      </c>
      <c r="B715" t="s">
        <v>16</v>
      </c>
      <c r="C715" t="s">
        <v>29</v>
      </c>
      <c r="D715" t="s">
        <v>40</v>
      </c>
      <c r="E715" s="1">
        <v>45342</v>
      </c>
      <c r="F715">
        <v>141</v>
      </c>
      <c r="G715">
        <v>204</v>
      </c>
      <c r="H715">
        <v>445.09</v>
      </c>
      <c r="I715">
        <v>600.6</v>
      </c>
      <c r="J715" t="s">
        <v>14</v>
      </c>
      <c r="K715">
        <f t="shared" si="44"/>
        <v>84684.6</v>
      </c>
      <c r="L715">
        <f t="shared" si="45"/>
        <v>21926.910000000007</v>
      </c>
      <c r="M715">
        <f t="shared" si="46"/>
        <v>0.69117647058823528</v>
      </c>
      <c r="N715">
        <f t="shared" si="47"/>
        <v>0</v>
      </c>
    </row>
    <row r="716" spans="1:14" x14ac:dyDescent="0.4">
      <c r="A716" t="s">
        <v>169</v>
      </c>
      <c r="B716" t="s">
        <v>21</v>
      </c>
      <c r="C716" t="s">
        <v>52</v>
      </c>
      <c r="D716" t="s">
        <v>47</v>
      </c>
      <c r="E716" s="1">
        <v>45364</v>
      </c>
      <c r="F716">
        <v>60</v>
      </c>
      <c r="G716">
        <v>78</v>
      </c>
      <c r="H716">
        <v>171.14</v>
      </c>
      <c r="I716">
        <v>320.47000000000003</v>
      </c>
      <c r="J716" t="s">
        <v>34</v>
      </c>
      <c r="K716">
        <f t="shared" si="44"/>
        <v>19228.2</v>
      </c>
      <c r="L716">
        <f t="shared" si="45"/>
        <v>8959.8000000000029</v>
      </c>
      <c r="M716">
        <f t="shared" si="46"/>
        <v>0.76923076923076927</v>
      </c>
      <c r="N716">
        <f t="shared" si="47"/>
        <v>0</v>
      </c>
    </row>
    <row r="717" spans="1:14" x14ac:dyDescent="0.4">
      <c r="A717" t="s">
        <v>196</v>
      </c>
      <c r="B717" t="s">
        <v>28</v>
      </c>
      <c r="C717" t="s">
        <v>17</v>
      </c>
      <c r="D717" t="s">
        <v>75</v>
      </c>
      <c r="E717" s="1">
        <v>45573</v>
      </c>
      <c r="F717">
        <v>198</v>
      </c>
      <c r="G717">
        <v>154</v>
      </c>
      <c r="H717">
        <v>492.02</v>
      </c>
      <c r="I717">
        <v>314.48</v>
      </c>
      <c r="J717" t="s">
        <v>14</v>
      </c>
      <c r="K717">
        <f t="shared" si="44"/>
        <v>62267.040000000001</v>
      </c>
      <c r="L717">
        <f t="shared" si="45"/>
        <v>-35152.919999999991</v>
      </c>
      <c r="M717">
        <f t="shared" si="46"/>
        <v>1.2857142857142858</v>
      </c>
      <c r="N717">
        <f t="shared" si="47"/>
        <v>0</v>
      </c>
    </row>
    <row r="718" spans="1:14" x14ac:dyDescent="0.4">
      <c r="A718" t="s">
        <v>241</v>
      </c>
      <c r="B718" t="s">
        <v>58</v>
      </c>
      <c r="C718" t="s">
        <v>12</v>
      </c>
      <c r="D718" t="s">
        <v>72</v>
      </c>
      <c r="E718" s="1">
        <v>45020</v>
      </c>
      <c r="F718">
        <v>45</v>
      </c>
      <c r="G718">
        <v>270</v>
      </c>
      <c r="H718">
        <v>222.31</v>
      </c>
      <c r="I718">
        <v>206.6</v>
      </c>
      <c r="J718" t="s">
        <v>14</v>
      </c>
      <c r="K718">
        <f t="shared" si="44"/>
        <v>9297</v>
      </c>
      <c r="L718">
        <f t="shared" si="45"/>
        <v>-706.95000000000039</v>
      </c>
      <c r="M718">
        <f t="shared" si="46"/>
        <v>0.16666666666666666</v>
      </c>
      <c r="N718">
        <f t="shared" si="47"/>
        <v>0</v>
      </c>
    </row>
    <row r="719" spans="1:14" x14ac:dyDescent="0.4">
      <c r="A719" t="s">
        <v>67</v>
      </c>
      <c r="B719" t="s">
        <v>58</v>
      </c>
      <c r="C719" t="s">
        <v>17</v>
      </c>
      <c r="D719" t="s">
        <v>72</v>
      </c>
      <c r="E719" s="1">
        <v>45478</v>
      </c>
      <c r="F719">
        <v>31</v>
      </c>
      <c r="G719">
        <v>246</v>
      </c>
      <c r="H719">
        <v>130.05000000000001</v>
      </c>
      <c r="I719">
        <v>284.77999999999997</v>
      </c>
      <c r="J719" t="s">
        <v>23</v>
      </c>
      <c r="K719">
        <f t="shared" si="44"/>
        <v>8828.1799999999985</v>
      </c>
      <c r="L719">
        <f t="shared" si="45"/>
        <v>4796.6299999999992</v>
      </c>
      <c r="M719">
        <f t="shared" si="46"/>
        <v>0.12601626016260162</v>
      </c>
      <c r="N719">
        <f t="shared" si="47"/>
        <v>0</v>
      </c>
    </row>
    <row r="720" spans="1:14" x14ac:dyDescent="0.4">
      <c r="A720" t="s">
        <v>195</v>
      </c>
      <c r="B720" t="s">
        <v>39</v>
      </c>
      <c r="C720" t="s">
        <v>52</v>
      </c>
      <c r="D720" t="s">
        <v>22</v>
      </c>
      <c r="E720" s="1">
        <v>45060</v>
      </c>
      <c r="F720">
        <v>14</v>
      </c>
      <c r="G720">
        <v>18</v>
      </c>
      <c r="H720">
        <v>208.27</v>
      </c>
      <c r="I720">
        <v>399.26</v>
      </c>
      <c r="J720" t="s">
        <v>30</v>
      </c>
      <c r="K720">
        <f t="shared" si="44"/>
        <v>5589.6399999999994</v>
      </c>
      <c r="L720">
        <f t="shared" si="45"/>
        <v>2673.8599999999997</v>
      </c>
      <c r="M720">
        <f t="shared" si="46"/>
        <v>0.77777777777777779</v>
      </c>
      <c r="N720">
        <f t="shared" si="47"/>
        <v>0</v>
      </c>
    </row>
    <row r="721" spans="1:14" x14ac:dyDescent="0.4">
      <c r="A721" t="s">
        <v>48</v>
      </c>
      <c r="B721" t="s">
        <v>43</v>
      </c>
      <c r="C721" t="s">
        <v>12</v>
      </c>
      <c r="D721" t="s">
        <v>97</v>
      </c>
      <c r="E721" s="1">
        <v>45511</v>
      </c>
      <c r="F721">
        <v>43</v>
      </c>
      <c r="G721">
        <v>25</v>
      </c>
      <c r="H721">
        <v>248.08</v>
      </c>
      <c r="I721">
        <v>612.99</v>
      </c>
      <c r="J721" t="s">
        <v>30</v>
      </c>
      <c r="K721">
        <f t="shared" si="44"/>
        <v>26358.57</v>
      </c>
      <c r="L721">
        <f t="shared" si="45"/>
        <v>15691.13</v>
      </c>
      <c r="M721">
        <f t="shared" si="46"/>
        <v>1.72</v>
      </c>
      <c r="N721">
        <f t="shared" si="47"/>
        <v>0</v>
      </c>
    </row>
    <row r="722" spans="1:14" x14ac:dyDescent="0.4">
      <c r="A722" t="s">
        <v>103</v>
      </c>
      <c r="B722" t="s">
        <v>39</v>
      </c>
      <c r="C722" t="s">
        <v>52</v>
      </c>
      <c r="D722" t="s">
        <v>132</v>
      </c>
      <c r="E722" s="1">
        <v>45069</v>
      </c>
      <c r="F722">
        <v>144</v>
      </c>
      <c r="G722">
        <v>216</v>
      </c>
      <c r="H722">
        <v>81.19</v>
      </c>
      <c r="I722">
        <v>335.42</v>
      </c>
      <c r="J722" t="s">
        <v>23</v>
      </c>
      <c r="K722">
        <f t="shared" si="44"/>
        <v>48300.480000000003</v>
      </c>
      <c r="L722">
        <f t="shared" si="45"/>
        <v>36609.120000000003</v>
      </c>
      <c r="M722">
        <f t="shared" si="46"/>
        <v>0.66666666666666663</v>
      </c>
      <c r="N722">
        <f t="shared" si="47"/>
        <v>0</v>
      </c>
    </row>
    <row r="723" spans="1:14" x14ac:dyDescent="0.4">
      <c r="A723" t="s">
        <v>68</v>
      </c>
      <c r="B723" t="s">
        <v>36</v>
      </c>
      <c r="C723" t="s">
        <v>12</v>
      </c>
      <c r="D723" t="s">
        <v>66</v>
      </c>
      <c r="E723" s="1">
        <v>45062</v>
      </c>
      <c r="F723">
        <v>168</v>
      </c>
      <c r="G723">
        <v>153</v>
      </c>
      <c r="H723">
        <v>310.2</v>
      </c>
      <c r="I723">
        <v>330.02</v>
      </c>
      <c r="J723" t="s">
        <v>30</v>
      </c>
      <c r="K723">
        <f t="shared" si="44"/>
        <v>55443.360000000001</v>
      </c>
      <c r="L723">
        <f t="shared" si="45"/>
        <v>3329.7599999999989</v>
      </c>
      <c r="M723">
        <f t="shared" si="46"/>
        <v>1.0980392156862746</v>
      </c>
      <c r="N723">
        <f t="shared" si="47"/>
        <v>0</v>
      </c>
    </row>
    <row r="724" spans="1:14" x14ac:dyDescent="0.4">
      <c r="A724" t="s">
        <v>109</v>
      </c>
      <c r="B724" t="s">
        <v>21</v>
      </c>
      <c r="C724" t="s">
        <v>12</v>
      </c>
      <c r="D724" t="s">
        <v>75</v>
      </c>
      <c r="E724" s="1">
        <v>45364</v>
      </c>
      <c r="F724">
        <v>53</v>
      </c>
      <c r="G724">
        <v>153</v>
      </c>
      <c r="H724">
        <v>318.93</v>
      </c>
      <c r="I724">
        <v>299.44</v>
      </c>
      <c r="J724" t="s">
        <v>23</v>
      </c>
      <c r="K724">
        <f t="shared" si="44"/>
        <v>15870.32</v>
      </c>
      <c r="L724">
        <f t="shared" si="45"/>
        <v>-1032.9700000000005</v>
      </c>
      <c r="M724">
        <f t="shared" si="46"/>
        <v>0.34640522875816993</v>
      </c>
      <c r="N724">
        <f t="shared" si="47"/>
        <v>0</v>
      </c>
    </row>
    <row r="725" spans="1:14" x14ac:dyDescent="0.4">
      <c r="A725" t="s">
        <v>219</v>
      </c>
      <c r="B725" t="s">
        <v>16</v>
      </c>
      <c r="C725" t="s">
        <v>12</v>
      </c>
      <c r="D725" t="s">
        <v>45</v>
      </c>
      <c r="E725" s="1">
        <v>45159</v>
      </c>
      <c r="F725">
        <v>43</v>
      </c>
      <c r="G725">
        <v>173</v>
      </c>
      <c r="H725">
        <v>382.52</v>
      </c>
      <c r="I725">
        <v>434.8</v>
      </c>
      <c r="J725" t="s">
        <v>34</v>
      </c>
      <c r="K725">
        <f t="shared" si="44"/>
        <v>18696.400000000001</v>
      </c>
      <c r="L725">
        <f t="shared" si="45"/>
        <v>2248.0400000000013</v>
      </c>
      <c r="M725">
        <f t="shared" si="46"/>
        <v>0.24855491329479767</v>
      </c>
      <c r="N725">
        <f t="shared" si="47"/>
        <v>0</v>
      </c>
    </row>
    <row r="726" spans="1:14" x14ac:dyDescent="0.4">
      <c r="A726" t="s">
        <v>155</v>
      </c>
      <c r="B726" t="s">
        <v>11</v>
      </c>
      <c r="C726" t="s">
        <v>12</v>
      </c>
      <c r="D726" t="s">
        <v>75</v>
      </c>
      <c r="E726" s="1">
        <v>44727</v>
      </c>
      <c r="F726">
        <v>97</v>
      </c>
      <c r="G726">
        <v>91</v>
      </c>
      <c r="H726">
        <v>63.13</v>
      </c>
      <c r="I726">
        <v>226.45</v>
      </c>
      <c r="J726" t="s">
        <v>14</v>
      </c>
      <c r="K726">
        <f t="shared" si="44"/>
        <v>21965.649999999998</v>
      </c>
      <c r="L726">
        <f t="shared" si="45"/>
        <v>15842.039999999999</v>
      </c>
      <c r="M726">
        <f t="shared" si="46"/>
        <v>1.0659340659340659</v>
      </c>
      <c r="N726">
        <f t="shared" si="47"/>
        <v>0</v>
      </c>
    </row>
    <row r="727" spans="1:14" x14ac:dyDescent="0.4">
      <c r="A727" t="s">
        <v>219</v>
      </c>
      <c r="B727" t="s">
        <v>32</v>
      </c>
      <c r="C727" t="s">
        <v>52</v>
      </c>
      <c r="D727" t="s">
        <v>18</v>
      </c>
      <c r="E727" s="1">
        <v>45023</v>
      </c>
      <c r="F727">
        <v>4</v>
      </c>
      <c r="G727">
        <v>180</v>
      </c>
      <c r="H727">
        <v>293.56</v>
      </c>
      <c r="I727">
        <v>439.94</v>
      </c>
      <c r="J727" t="s">
        <v>14</v>
      </c>
      <c r="K727">
        <f t="shared" si="44"/>
        <v>1759.76</v>
      </c>
      <c r="L727">
        <f t="shared" si="45"/>
        <v>585.52</v>
      </c>
      <c r="M727">
        <f t="shared" si="46"/>
        <v>2.2222222222222223E-2</v>
      </c>
      <c r="N727">
        <f t="shared" si="47"/>
        <v>0</v>
      </c>
    </row>
    <row r="728" spans="1:14" x14ac:dyDescent="0.4">
      <c r="A728" t="s">
        <v>205</v>
      </c>
      <c r="B728" t="s">
        <v>32</v>
      </c>
      <c r="C728" t="s">
        <v>12</v>
      </c>
      <c r="D728" t="s">
        <v>40</v>
      </c>
      <c r="E728" s="1">
        <v>45481</v>
      </c>
      <c r="F728">
        <v>108</v>
      </c>
      <c r="G728">
        <v>130</v>
      </c>
      <c r="H728">
        <v>73.81</v>
      </c>
      <c r="I728">
        <v>592.91999999999996</v>
      </c>
      <c r="J728" t="s">
        <v>30</v>
      </c>
      <c r="K728">
        <f t="shared" si="44"/>
        <v>64035.359999999993</v>
      </c>
      <c r="L728">
        <f t="shared" si="45"/>
        <v>56063.87999999999</v>
      </c>
      <c r="M728">
        <f t="shared" si="46"/>
        <v>0.83076923076923082</v>
      </c>
      <c r="N728">
        <f t="shared" si="47"/>
        <v>0</v>
      </c>
    </row>
    <row r="729" spans="1:14" x14ac:dyDescent="0.4">
      <c r="A729" t="s">
        <v>224</v>
      </c>
      <c r="B729" t="s">
        <v>39</v>
      </c>
      <c r="C729" t="s">
        <v>12</v>
      </c>
      <c r="D729" t="s">
        <v>145</v>
      </c>
      <c r="E729" s="1">
        <v>44675</v>
      </c>
      <c r="F729">
        <v>26</v>
      </c>
      <c r="G729">
        <v>297</v>
      </c>
      <c r="H729">
        <v>365.51</v>
      </c>
      <c r="I729">
        <v>120.85</v>
      </c>
      <c r="J729" t="s">
        <v>19</v>
      </c>
      <c r="K729">
        <f t="shared" si="44"/>
        <v>3142.1</v>
      </c>
      <c r="L729">
        <f t="shared" si="45"/>
        <v>-6361.16</v>
      </c>
      <c r="M729">
        <f t="shared" si="46"/>
        <v>8.7542087542087546E-2</v>
      </c>
      <c r="N729">
        <f t="shared" si="47"/>
        <v>0</v>
      </c>
    </row>
    <row r="730" spans="1:14" x14ac:dyDescent="0.4">
      <c r="A730" t="s">
        <v>242</v>
      </c>
      <c r="B730" t="s">
        <v>36</v>
      </c>
      <c r="C730" t="s">
        <v>17</v>
      </c>
      <c r="D730" t="s">
        <v>33</v>
      </c>
      <c r="E730" s="1">
        <v>45553</v>
      </c>
      <c r="F730">
        <v>115</v>
      </c>
      <c r="G730">
        <v>274</v>
      </c>
      <c r="H730">
        <v>75.08</v>
      </c>
      <c r="I730">
        <v>106.85</v>
      </c>
      <c r="J730" t="s">
        <v>14</v>
      </c>
      <c r="K730">
        <f t="shared" si="44"/>
        <v>12287.75</v>
      </c>
      <c r="L730">
        <f t="shared" si="45"/>
        <v>3653.5499999999997</v>
      </c>
      <c r="M730">
        <f t="shared" si="46"/>
        <v>0.41970802919708028</v>
      </c>
      <c r="N730">
        <f t="shared" si="47"/>
        <v>0</v>
      </c>
    </row>
    <row r="731" spans="1:14" x14ac:dyDescent="0.4">
      <c r="A731" t="s">
        <v>233</v>
      </c>
      <c r="B731" t="s">
        <v>21</v>
      </c>
      <c r="C731" t="s">
        <v>29</v>
      </c>
      <c r="D731" t="s">
        <v>145</v>
      </c>
      <c r="E731" s="1">
        <v>44768</v>
      </c>
      <c r="F731">
        <v>86</v>
      </c>
      <c r="G731">
        <v>272</v>
      </c>
      <c r="H731">
        <v>460.28</v>
      </c>
      <c r="I731">
        <v>152.59</v>
      </c>
      <c r="J731" t="s">
        <v>23</v>
      </c>
      <c r="K731">
        <f t="shared" si="44"/>
        <v>13122.74</v>
      </c>
      <c r="L731">
        <f t="shared" si="45"/>
        <v>-26461.339999999997</v>
      </c>
      <c r="M731">
        <f t="shared" si="46"/>
        <v>0.31617647058823528</v>
      </c>
      <c r="N731">
        <f t="shared" si="47"/>
        <v>0</v>
      </c>
    </row>
    <row r="732" spans="1:14" x14ac:dyDescent="0.4">
      <c r="A732" t="s">
        <v>168</v>
      </c>
      <c r="B732" t="s">
        <v>28</v>
      </c>
      <c r="C732" t="s">
        <v>29</v>
      </c>
      <c r="D732" t="s">
        <v>65</v>
      </c>
      <c r="E732" s="1">
        <v>45076</v>
      </c>
      <c r="F732">
        <v>103</v>
      </c>
      <c r="G732">
        <v>75</v>
      </c>
      <c r="H732">
        <v>365.94</v>
      </c>
      <c r="I732">
        <v>474.96</v>
      </c>
      <c r="J732" t="s">
        <v>19</v>
      </c>
      <c r="K732">
        <f t="shared" si="44"/>
        <v>48920.88</v>
      </c>
      <c r="L732">
        <f t="shared" si="45"/>
        <v>11229.059999999998</v>
      </c>
      <c r="M732">
        <f t="shared" si="46"/>
        <v>1.3733333333333333</v>
      </c>
      <c r="N732">
        <f t="shared" si="47"/>
        <v>0</v>
      </c>
    </row>
    <row r="733" spans="1:14" x14ac:dyDescent="0.4">
      <c r="A733" t="s">
        <v>101</v>
      </c>
      <c r="B733" t="s">
        <v>32</v>
      </c>
      <c r="C733" t="s">
        <v>17</v>
      </c>
      <c r="D733" t="s">
        <v>65</v>
      </c>
      <c r="E733" s="1">
        <v>45270</v>
      </c>
      <c r="F733">
        <v>122</v>
      </c>
      <c r="G733">
        <v>176</v>
      </c>
      <c r="H733">
        <v>278.33</v>
      </c>
      <c r="I733">
        <v>698.12</v>
      </c>
      <c r="J733" t="s">
        <v>19</v>
      </c>
      <c r="K733">
        <f t="shared" si="44"/>
        <v>85170.64</v>
      </c>
      <c r="L733">
        <f t="shared" si="45"/>
        <v>51214.380000000005</v>
      </c>
      <c r="M733">
        <f t="shared" si="46"/>
        <v>0.69318181818181823</v>
      </c>
      <c r="N733">
        <f t="shared" si="47"/>
        <v>0</v>
      </c>
    </row>
    <row r="734" spans="1:14" x14ac:dyDescent="0.4">
      <c r="A734" t="s">
        <v>174</v>
      </c>
      <c r="B734" t="s">
        <v>21</v>
      </c>
      <c r="C734" t="s">
        <v>17</v>
      </c>
      <c r="D734" t="s">
        <v>75</v>
      </c>
      <c r="E734" s="1">
        <v>44699</v>
      </c>
      <c r="F734">
        <v>78</v>
      </c>
      <c r="G734">
        <v>183</v>
      </c>
      <c r="H734">
        <v>248.68</v>
      </c>
      <c r="I734">
        <v>103.42</v>
      </c>
      <c r="J734" t="s">
        <v>14</v>
      </c>
      <c r="K734">
        <f t="shared" si="44"/>
        <v>8066.76</v>
      </c>
      <c r="L734">
        <f t="shared" si="45"/>
        <v>-11330.279999999999</v>
      </c>
      <c r="M734">
        <f t="shared" si="46"/>
        <v>0.42622950819672129</v>
      </c>
      <c r="N734">
        <f t="shared" si="47"/>
        <v>0</v>
      </c>
    </row>
    <row r="735" spans="1:14" x14ac:dyDescent="0.4">
      <c r="A735" t="s">
        <v>220</v>
      </c>
      <c r="B735" t="s">
        <v>16</v>
      </c>
      <c r="C735" t="s">
        <v>52</v>
      </c>
      <c r="D735" t="s">
        <v>37</v>
      </c>
      <c r="E735" s="1">
        <v>44900</v>
      </c>
      <c r="F735">
        <v>42</v>
      </c>
      <c r="G735">
        <v>130</v>
      </c>
      <c r="H735">
        <v>108.8</v>
      </c>
      <c r="I735">
        <v>755.66</v>
      </c>
      <c r="J735" t="s">
        <v>14</v>
      </c>
      <c r="K735">
        <f t="shared" si="44"/>
        <v>31737.719999999998</v>
      </c>
      <c r="L735">
        <f t="shared" si="45"/>
        <v>27168.12</v>
      </c>
      <c r="M735">
        <f t="shared" si="46"/>
        <v>0.32307692307692309</v>
      </c>
      <c r="N735">
        <f t="shared" si="47"/>
        <v>0</v>
      </c>
    </row>
    <row r="736" spans="1:14" x14ac:dyDescent="0.4">
      <c r="A736" t="s">
        <v>159</v>
      </c>
      <c r="B736" t="s">
        <v>25</v>
      </c>
      <c r="C736" t="s">
        <v>52</v>
      </c>
      <c r="D736" t="s">
        <v>13</v>
      </c>
      <c r="E736" s="1">
        <v>45098</v>
      </c>
      <c r="F736">
        <v>96</v>
      </c>
      <c r="G736">
        <v>48</v>
      </c>
      <c r="H736">
        <v>180.95</v>
      </c>
      <c r="I736">
        <v>174.39</v>
      </c>
      <c r="J736" t="s">
        <v>14</v>
      </c>
      <c r="K736">
        <f t="shared" si="44"/>
        <v>16741.439999999999</v>
      </c>
      <c r="L736">
        <f t="shared" si="45"/>
        <v>-629.76000000000022</v>
      </c>
      <c r="M736">
        <f t="shared" si="46"/>
        <v>2</v>
      </c>
      <c r="N736">
        <f t="shared" si="47"/>
        <v>0</v>
      </c>
    </row>
    <row r="737" spans="1:14" x14ac:dyDescent="0.4">
      <c r="A737" t="s">
        <v>108</v>
      </c>
      <c r="B737" t="s">
        <v>36</v>
      </c>
      <c r="C737" t="s">
        <v>52</v>
      </c>
      <c r="D737" t="s">
        <v>69</v>
      </c>
      <c r="E737" s="1">
        <v>44629</v>
      </c>
      <c r="F737">
        <v>30</v>
      </c>
      <c r="G737">
        <v>54</v>
      </c>
      <c r="H737">
        <v>441.03</v>
      </c>
      <c r="I737">
        <v>689.39</v>
      </c>
      <c r="J737" t="s">
        <v>23</v>
      </c>
      <c r="K737">
        <f t="shared" si="44"/>
        <v>20681.7</v>
      </c>
      <c r="L737">
        <f t="shared" si="45"/>
        <v>7450.8</v>
      </c>
      <c r="M737">
        <f t="shared" si="46"/>
        <v>0.55555555555555558</v>
      </c>
      <c r="N737">
        <f t="shared" si="47"/>
        <v>0</v>
      </c>
    </row>
    <row r="738" spans="1:14" x14ac:dyDescent="0.4">
      <c r="A738" t="s">
        <v>224</v>
      </c>
      <c r="B738" t="s">
        <v>43</v>
      </c>
      <c r="C738" t="s">
        <v>17</v>
      </c>
      <c r="D738" t="s">
        <v>37</v>
      </c>
      <c r="E738" s="1">
        <v>44944</v>
      </c>
      <c r="F738">
        <v>98</v>
      </c>
      <c r="G738">
        <v>153</v>
      </c>
      <c r="H738">
        <v>457</v>
      </c>
      <c r="I738">
        <v>438</v>
      </c>
      <c r="J738" t="s">
        <v>19</v>
      </c>
      <c r="K738">
        <f t="shared" si="44"/>
        <v>42924</v>
      </c>
      <c r="L738">
        <f t="shared" si="45"/>
        <v>-1862</v>
      </c>
      <c r="M738">
        <f t="shared" si="46"/>
        <v>0.64052287581699341</v>
      </c>
      <c r="N738">
        <f t="shared" si="47"/>
        <v>0</v>
      </c>
    </row>
    <row r="739" spans="1:14" x14ac:dyDescent="0.4">
      <c r="A739" t="s">
        <v>73</v>
      </c>
      <c r="B739" t="s">
        <v>21</v>
      </c>
      <c r="C739" t="s">
        <v>17</v>
      </c>
      <c r="D739" t="s">
        <v>45</v>
      </c>
      <c r="E739" s="1">
        <v>44580</v>
      </c>
      <c r="F739">
        <v>16</v>
      </c>
      <c r="G739">
        <v>199</v>
      </c>
      <c r="H739">
        <v>50.34</v>
      </c>
      <c r="I739">
        <v>561.54999999999995</v>
      </c>
      <c r="J739" t="s">
        <v>30</v>
      </c>
      <c r="K739">
        <f t="shared" si="44"/>
        <v>8984.7999999999993</v>
      </c>
      <c r="L739">
        <f t="shared" si="45"/>
        <v>8179.3599999999988</v>
      </c>
      <c r="M739">
        <f t="shared" si="46"/>
        <v>8.0402010050251257E-2</v>
      </c>
      <c r="N739">
        <f t="shared" si="47"/>
        <v>0</v>
      </c>
    </row>
    <row r="740" spans="1:14" x14ac:dyDescent="0.4">
      <c r="A740" t="s">
        <v>89</v>
      </c>
      <c r="B740" t="s">
        <v>16</v>
      </c>
      <c r="C740" t="s">
        <v>12</v>
      </c>
      <c r="D740" t="s">
        <v>69</v>
      </c>
      <c r="E740" s="1">
        <v>45244</v>
      </c>
      <c r="F740">
        <v>82</v>
      </c>
      <c r="G740">
        <v>117</v>
      </c>
      <c r="H740">
        <v>317.36</v>
      </c>
      <c r="I740">
        <v>457.48</v>
      </c>
      <c r="J740" t="s">
        <v>23</v>
      </c>
      <c r="K740">
        <f t="shared" si="44"/>
        <v>37513.360000000001</v>
      </c>
      <c r="L740">
        <f t="shared" si="45"/>
        <v>11489.84</v>
      </c>
      <c r="M740">
        <f t="shared" si="46"/>
        <v>0.70085470085470081</v>
      </c>
      <c r="N740">
        <f t="shared" si="47"/>
        <v>0</v>
      </c>
    </row>
    <row r="741" spans="1:14" x14ac:dyDescent="0.4">
      <c r="A741" t="s">
        <v>150</v>
      </c>
      <c r="B741" t="s">
        <v>28</v>
      </c>
      <c r="C741" t="s">
        <v>52</v>
      </c>
      <c r="D741" t="s">
        <v>26</v>
      </c>
      <c r="E741" s="1">
        <v>44635</v>
      </c>
      <c r="F741">
        <v>109</v>
      </c>
      <c r="G741">
        <v>262</v>
      </c>
      <c r="H741">
        <v>373.69</v>
      </c>
      <c r="I741">
        <v>433.93</v>
      </c>
      <c r="J741" t="s">
        <v>34</v>
      </c>
      <c r="K741">
        <f t="shared" si="44"/>
        <v>47298.37</v>
      </c>
      <c r="L741">
        <f t="shared" si="45"/>
        <v>6566.1600000000008</v>
      </c>
      <c r="M741">
        <f t="shared" si="46"/>
        <v>0.41603053435114506</v>
      </c>
      <c r="N741">
        <f t="shared" si="47"/>
        <v>0</v>
      </c>
    </row>
    <row r="742" spans="1:14" x14ac:dyDescent="0.4">
      <c r="A742" t="s">
        <v>189</v>
      </c>
      <c r="B742" t="s">
        <v>11</v>
      </c>
      <c r="C742" t="s">
        <v>52</v>
      </c>
      <c r="D742" t="s">
        <v>145</v>
      </c>
      <c r="E742" s="1">
        <v>45134</v>
      </c>
      <c r="F742">
        <v>181</v>
      </c>
      <c r="G742">
        <v>45</v>
      </c>
      <c r="H742">
        <v>328.44</v>
      </c>
      <c r="I742">
        <v>684.43</v>
      </c>
      <c r="J742" t="s">
        <v>14</v>
      </c>
      <c r="K742">
        <f t="shared" si="44"/>
        <v>123881.82999999999</v>
      </c>
      <c r="L742">
        <f t="shared" si="45"/>
        <v>64434.189999999988</v>
      </c>
      <c r="M742">
        <f t="shared" si="46"/>
        <v>4.0222222222222221</v>
      </c>
      <c r="N742">
        <f t="shared" si="47"/>
        <v>0</v>
      </c>
    </row>
    <row r="743" spans="1:14" x14ac:dyDescent="0.4">
      <c r="A743" t="s">
        <v>141</v>
      </c>
      <c r="B743" t="s">
        <v>43</v>
      </c>
      <c r="C743" t="s">
        <v>52</v>
      </c>
      <c r="D743" t="s">
        <v>145</v>
      </c>
      <c r="E743" s="1">
        <v>45500</v>
      </c>
      <c r="F743">
        <v>189</v>
      </c>
      <c r="G743">
        <v>188</v>
      </c>
      <c r="H743">
        <v>86.76</v>
      </c>
      <c r="I743">
        <v>629.12</v>
      </c>
      <c r="J743" t="s">
        <v>19</v>
      </c>
      <c r="K743">
        <f t="shared" si="44"/>
        <v>118903.68000000001</v>
      </c>
      <c r="L743">
        <f t="shared" si="45"/>
        <v>102506.04000000001</v>
      </c>
      <c r="M743">
        <f t="shared" si="46"/>
        <v>1.0053191489361701</v>
      </c>
      <c r="N743">
        <f t="shared" si="47"/>
        <v>0</v>
      </c>
    </row>
    <row r="744" spans="1:14" x14ac:dyDescent="0.4">
      <c r="A744" t="s">
        <v>48</v>
      </c>
      <c r="B744" t="s">
        <v>11</v>
      </c>
      <c r="C744" t="s">
        <v>29</v>
      </c>
      <c r="D744" t="s">
        <v>69</v>
      </c>
      <c r="E744" s="1">
        <v>45633</v>
      </c>
      <c r="F744">
        <v>31</v>
      </c>
      <c r="G744">
        <v>128</v>
      </c>
      <c r="H744">
        <v>147.97999999999999</v>
      </c>
      <c r="I744">
        <v>438.38</v>
      </c>
      <c r="J744" t="s">
        <v>23</v>
      </c>
      <c r="K744">
        <f t="shared" si="44"/>
        <v>13589.78</v>
      </c>
      <c r="L744">
        <f t="shared" si="45"/>
        <v>9002.4</v>
      </c>
      <c r="M744">
        <f t="shared" si="46"/>
        <v>0.2421875</v>
      </c>
      <c r="N744">
        <f t="shared" si="47"/>
        <v>0</v>
      </c>
    </row>
    <row r="745" spans="1:14" x14ac:dyDescent="0.4">
      <c r="A745" t="s">
        <v>104</v>
      </c>
      <c r="B745" t="s">
        <v>28</v>
      </c>
      <c r="C745" t="s">
        <v>12</v>
      </c>
      <c r="D745" t="s">
        <v>66</v>
      </c>
      <c r="E745" s="1">
        <v>44772</v>
      </c>
      <c r="F745">
        <v>167</v>
      </c>
      <c r="G745">
        <v>48</v>
      </c>
      <c r="H745">
        <v>162.65</v>
      </c>
      <c r="I745">
        <v>178.15</v>
      </c>
      <c r="J745" t="s">
        <v>34</v>
      </c>
      <c r="K745">
        <f t="shared" si="44"/>
        <v>29751.05</v>
      </c>
      <c r="L745">
        <f t="shared" si="45"/>
        <v>2588.5</v>
      </c>
      <c r="M745">
        <f t="shared" si="46"/>
        <v>3.4791666666666665</v>
      </c>
      <c r="N745">
        <f t="shared" si="47"/>
        <v>0</v>
      </c>
    </row>
    <row r="746" spans="1:14" x14ac:dyDescent="0.4">
      <c r="A746" t="s">
        <v>168</v>
      </c>
      <c r="B746" t="s">
        <v>16</v>
      </c>
      <c r="C746" t="s">
        <v>52</v>
      </c>
      <c r="D746" t="s">
        <v>37</v>
      </c>
      <c r="E746" s="1">
        <v>45416</v>
      </c>
      <c r="F746">
        <v>140</v>
      </c>
      <c r="G746">
        <v>24</v>
      </c>
      <c r="H746">
        <v>424.28</v>
      </c>
      <c r="I746">
        <v>180.78</v>
      </c>
      <c r="J746" t="s">
        <v>23</v>
      </c>
      <c r="K746">
        <f t="shared" si="44"/>
        <v>25309.200000000001</v>
      </c>
      <c r="L746">
        <f t="shared" si="45"/>
        <v>-34089.999999999993</v>
      </c>
      <c r="M746">
        <f t="shared" si="46"/>
        <v>5.833333333333333</v>
      </c>
      <c r="N746">
        <f t="shared" si="47"/>
        <v>0</v>
      </c>
    </row>
    <row r="747" spans="1:14" x14ac:dyDescent="0.4">
      <c r="A747" t="s">
        <v>164</v>
      </c>
      <c r="B747" t="s">
        <v>32</v>
      </c>
      <c r="C747" t="s">
        <v>52</v>
      </c>
      <c r="D747" t="s">
        <v>13</v>
      </c>
      <c r="E747" s="1">
        <v>45212</v>
      </c>
      <c r="F747">
        <v>34</v>
      </c>
      <c r="G747">
        <v>265</v>
      </c>
      <c r="H747">
        <v>258.44</v>
      </c>
      <c r="I747">
        <v>661.08</v>
      </c>
      <c r="J747" t="s">
        <v>23</v>
      </c>
      <c r="K747">
        <f t="shared" si="44"/>
        <v>22476.720000000001</v>
      </c>
      <c r="L747">
        <f t="shared" si="45"/>
        <v>13689.760000000002</v>
      </c>
      <c r="M747">
        <f t="shared" si="46"/>
        <v>0.12830188679245283</v>
      </c>
      <c r="N747">
        <f t="shared" si="47"/>
        <v>0</v>
      </c>
    </row>
    <row r="748" spans="1:14" x14ac:dyDescent="0.4">
      <c r="A748" t="s">
        <v>181</v>
      </c>
      <c r="B748" t="s">
        <v>11</v>
      </c>
      <c r="C748" t="s">
        <v>52</v>
      </c>
      <c r="D748" t="s">
        <v>75</v>
      </c>
      <c r="E748" s="1">
        <v>45555</v>
      </c>
      <c r="F748">
        <v>132</v>
      </c>
      <c r="G748">
        <v>117</v>
      </c>
      <c r="H748">
        <v>269.07</v>
      </c>
      <c r="I748">
        <v>470.57</v>
      </c>
      <c r="J748" t="s">
        <v>30</v>
      </c>
      <c r="K748">
        <f t="shared" si="44"/>
        <v>62115.24</v>
      </c>
      <c r="L748">
        <f t="shared" si="45"/>
        <v>26598</v>
      </c>
      <c r="M748">
        <f t="shared" si="46"/>
        <v>1.1282051282051282</v>
      </c>
      <c r="N748">
        <f t="shared" si="47"/>
        <v>0</v>
      </c>
    </row>
    <row r="749" spans="1:14" x14ac:dyDescent="0.4">
      <c r="A749" t="s">
        <v>159</v>
      </c>
      <c r="B749" t="s">
        <v>43</v>
      </c>
      <c r="C749" t="s">
        <v>29</v>
      </c>
      <c r="D749" t="s">
        <v>132</v>
      </c>
      <c r="E749" s="1">
        <v>45256</v>
      </c>
      <c r="F749">
        <v>28</v>
      </c>
      <c r="G749">
        <v>143</v>
      </c>
      <c r="H749">
        <v>470.7</v>
      </c>
      <c r="I749">
        <v>437.11</v>
      </c>
      <c r="J749" t="s">
        <v>30</v>
      </c>
      <c r="K749">
        <f t="shared" si="44"/>
        <v>12239.08</v>
      </c>
      <c r="L749">
        <f t="shared" si="45"/>
        <v>-940.5199999999993</v>
      </c>
      <c r="M749">
        <f t="shared" si="46"/>
        <v>0.19580419580419581</v>
      </c>
      <c r="N749">
        <f t="shared" si="47"/>
        <v>0</v>
      </c>
    </row>
    <row r="750" spans="1:14" x14ac:dyDescent="0.4">
      <c r="A750" t="s">
        <v>134</v>
      </c>
      <c r="B750" t="s">
        <v>39</v>
      </c>
      <c r="C750" t="s">
        <v>29</v>
      </c>
      <c r="D750" t="s">
        <v>145</v>
      </c>
      <c r="E750" s="1">
        <v>45101</v>
      </c>
      <c r="F750">
        <v>69</v>
      </c>
      <c r="G750">
        <v>199</v>
      </c>
      <c r="H750">
        <v>336.69</v>
      </c>
      <c r="I750">
        <v>576.4</v>
      </c>
      <c r="J750" t="s">
        <v>23</v>
      </c>
      <c r="K750">
        <f t="shared" si="44"/>
        <v>39771.599999999999</v>
      </c>
      <c r="L750">
        <f t="shared" si="45"/>
        <v>16539.989999999998</v>
      </c>
      <c r="M750">
        <f t="shared" si="46"/>
        <v>0.34673366834170855</v>
      </c>
      <c r="N750">
        <f t="shared" si="47"/>
        <v>0</v>
      </c>
    </row>
    <row r="751" spans="1:14" x14ac:dyDescent="0.4">
      <c r="A751" t="s">
        <v>234</v>
      </c>
      <c r="B751" t="s">
        <v>58</v>
      </c>
      <c r="C751" t="s">
        <v>17</v>
      </c>
      <c r="D751" t="s">
        <v>66</v>
      </c>
      <c r="E751" s="1">
        <v>45462</v>
      </c>
      <c r="F751">
        <v>152</v>
      </c>
      <c r="G751">
        <v>156</v>
      </c>
      <c r="H751">
        <v>454.4</v>
      </c>
      <c r="I751">
        <v>701.19</v>
      </c>
      <c r="J751" t="s">
        <v>34</v>
      </c>
      <c r="K751">
        <f t="shared" si="44"/>
        <v>106580.88</v>
      </c>
      <c r="L751">
        <f t="shared" si="45"/>
        <v>37512.080000000009</v>
      </c>
      <c r="M751">
        <f t="shared" si="46"/>
        <v>0.97435897435897434</v>
      </c>
      <c r="N751">
        <f t="shared" si="47"/>
        <v>0</v>
      </c>
    </row>
    <row r="752" spans="1:14" x14ac:dyDescent="0.4">
      <c r="A752" t="s">
        <v>228</v>
      </c>
      <c r="B752" t="s">
        <v>21</v>
      </c>
      <c r="C752" t="s">
        <v>12</v>
      </c>
      <c r="D752" t="s">
        <v>132</v>
      </c>
      <c r="E752" s="1">
        <v>45341</v>
      </c>
      <c r="F752">
        <v>94</v>
      </c>
      <c r="G752">
        <v>133</v>
      </c>
      <c r="H752">
        <v>255.43</v>
      </c>
      <c r="I752">
        <v>540.21</v>
      </c>
      <c r="J752" t="s">
        <v>19</v>
      </c>
      <c r="K752">
        <f t="shared" si="44"/>
        <v>50779.740000000005</v>
      </c>
      <c r="L752">
        <f t="shared" si="45"/>
        <v>26769.320000000003</v>
      </c>
      <c r="M752">
        <f t="shared" si="46"/>
        <v>0.70676691729323304</v>
      </c>
      <c r="N752">
        <f t="shared" si="47"/>
        <v>0</v>
      </c>
    </row>
    <row r="753" spans="1:14" x14ac:dyDescent="0.4">
      <c r="A753" t="s">
        <v>113</v>
      </c>
      <c r="B753" t="s">
        <v>32</v>
      </c>
      <c r="C753" t="s">
        <v>17</v>
      </c>
      <c r="D753" t="s">
        <v>62</v>
      </c>
      <c r="E753" s="1">
        <v>44731</v>
      </c>
      <c r="F753">
        <v>21</v>
      </c>
      <c r="G753">
        <v>147</v>
      </c>
      <c r="H753">
        <v>117.25</v>
      </c>
      <c r="I753">
        <v>633.99</v>
      </c>
      <c r="J753" t="s">
        <v>19</v>
      </c>
      <c r="K753">
        <f t="shared" si="44"/>
        <v>13313.79</v>
      </c>
      <c r="L753">
        <f t="shared" si="45"/>
        <v>10851.54</v>
      </c>
      <c r="M753">
        <f t="shared" si="46"/>
        <v>0.14285714285714285</v>
      </c>
      <c r="N753">
        <f t="shared" si="47"/>
        <v>0</v>
      </c>
    </row>
    <row r="754" spans="1:14" x14ac:dyDescent="0.4">
      <c r="A754" t="s">
        <v>243</v>
      </c>
      <c r="B754" t="s">
        <v>11</v>
      </c>
      <c r="C754" t="s">
        <v>12</v>
      </c>
      <c r="D754" t="s">
        <v>62</v>
      </c>
      <c r="E754" s="1">
        <v>45599</v>
      </c>
      <c r="F754">
        <v>193</v>
      </c>
      <c r="G754">
        <v>70</v>
      </c>
      <c r="H754">
        <v>468.47</v>
      </c>
      <c r="I754">
        <v>635.69000000000005</v>
      </c>
      <c r="J754" t="s">
        <v>14</v>
      </c>
      <c r="K754">
        <f t="shared" si="44"/>
        <v>122688.17000000001</v>
      </c>
      <c r="L754">
        <f t="shared" si="45"/>
        <v>32273.460000000006</v>
      </c>
      <c r="M754">
        <f t="shared" si="46"/>
        <v>2.7571428571428571</v>
      </c>
      <c r="N754">
        <f t="shared" si="47"/>
        <v>0</v>
      </c>
    </row>
    <row r="755" spans="1:14" x14ac:dyDescent="0.4">
      <c r="A755" t="s">
        <v>51</v>
      </c>
      <c r="B755" t="s">
        <v>25</v>
      </c>
      <c r="C755" t="s">
        <v>29</v>
      </c>
      <c r="D755" t="s">
        <v>13</v>
      </c>
      <c r="E755" s="1">
        <v>44849</v>
      </c>
      <c r="F755">
        <v>172</v>
      </c>
      <c r="G755">
        <v>232</v>
      </c>
      <c r="H755">
        <v>256.42</v>
      </c>
      <c r="I755">
        <v>349.38</v>
      </c>
      <c r="J755" t="s">
        <v>14</v>
      </c>
      <c r="K755">
        <f t="shared" si="44"/>
        <v>60093.36</v>
      </c>
      <c r="L755">
        <f t="shared" si="45"/>
        <v>15989.119999999997</v>
      </c>
      <c r="M755">
        <f t="shared" si="46"/>
        <v>0.74137931034482762</v>
      </c>
      <c r="N755">
        <f t="shared" si="47"/>
        <v>0</v>
      </c>
    </row>
    <row r="756" spans="1:14" x14ac:dyDescent="0.4">
      <c r="A756" t="s">
        <v>244</v>
      </c>
      <c r="B756" t="s">
        <v>21</v>
      </c>
      <c r="C756" t="s">
        <v>52</v>
      </c>
      <c r="D756" t="s">
        <v>53</v>
      </c>
      <c r="E756" s="1">
        <v>44750</v>
      </c>
      <c r="F756">
        <v>68</v>
      </c>
      <c r="G756">
        <v>298</v>
      </c>
      <c r="H756">
        <v>131.72999999999999</v>
      </c>
      <c r="I756">
        <v>291.86</v>
      </c>
      <c r="J756" t="s">
        <v>19</v>
      </c>
      <c r="K756">
        <f t="shared" si="44"/>
        <v>19846.48</v>
      </c>
      <c r="L756">
        <f t="shared" si="45"/>
        <v>10888.840000000002</v>
      </c>
      <c r="M756">
        <f t="shared" si="46"/>
        <v>0.22818791946308725</v>
      </c>
      <c r="N756">
        <f t="shared" si="47"/>
        <v>0</v>
      </c>
    </row>
    <row r="757" spans="1:14" x14ac:dyDescent="0.4">
      <c r="A757" t="s">
        <v>48</v>
      </c>
      <c r="B757" t="s">
        <v>39</v>
      </c>
      <c r="C757" t="s">
        <v>17</v>
      </c>
      <c r="D757" t="s">
        <v>47</v>
      </c>
      <c r="E757" s="1">
        <v>45475</v>
      </c>
      <c r="F757">
        <v>88</v>
      </c>
      <c r="G757">
        <v>153</v>
      </c>
      <c r="H757">
        <v>186.08</v>
      </c>
      <c r="I757">
        <v>660.81</v>
      </c>
      <c r="J757" t="s">
        <v>23</v>
      </c>
      <c r="K757">
        <f t="shared" si="44"/>
        <v>58151.28</v>
      </c>
      <c r="L757">
        <f t="shared" si="45"/>
        <v>41776.239999999991</v>
      </c>
      <c r="M757">
        <f t="shared" si="46"/>
        <v>0.57516339869281041</v>
      </c>
      <c r="N757">
        <f t="shared" si="47"/>
        <v>0</v>
      </c>
    </row>
    <row r="758" spans="1:14" x14ac:dyDescent="0.4">
      <c r="A758" t="s">
        <v>98</v>
      </c>
      <c r="B758" t="s">
        <v>28</v>
      </c>
      <c r="C758" t="s">
        <v>52</v>
      </c>
      <c r="D758" t="s">
        <v>75</v>
      </c>
      <c r="E758" s="1">
        <v>45255</v>
      </c>
      <c r="F758">
        <v>71</v>
      </c>
      <c r="G758">
        <v>89</v>
      </c>
      <c r="H758">
        <v>72.86</v>
      </c>
      <c r="I758">
        <v>364.03</v>
      </c>
      <c r="J758" t="s">
        <v>23</v>
      </c>
      <c r="K758">
        <f t="shared" si="44"/>
        <v>25846.129999999997</v>
      </c>
      <c r="L758">
        <f t="shared" si="45"/>
        <v>20673.069999999996</v>
      </c>
      <c r="M758">
        <f t="shared" si="46"/>
        <v>0.797752808988764</v>
      </c>
      <c r="N758">
        <f t="shared" si="47"/>
        <v>0</v>
      </c>
    </row>
    <row r="759" spans="1:14" x14ac:dyDescent="0.4">
      <c r="A759" t="s">
        <v>42</v>
      </c>
      <c r="B759" t="s">
        <v>58</v>
      </c>
      <c r="C759" t="s">
        <v>17</v>
      </c>
      <c r="D759" t="s">
        <v>145</v>
      </c>
      <c r="E759" s="1">
        <v>45449</v>
      </c>
      <c r="F759">
        <v>128</v>
      </c>
      <c r="G759">
        <v>198</v>
      </c>
      <c r="H759">
        <v>260.74</v>
      </c>
      <c r="I759">
        <v>732.34</v>
      </c>
      <c r="J759" t="s">
        <v>30</v>
      </c>
      <c r="K759">
        <f t="shared" si="44"/>
        <v>93739.520000000004</v>
      </c>
      <c r="L759">
        <f t="shared" si="45"/>
        <v>60364.800000000003</v>
      </c>
      <c r="M759">
        <f t="shared" si="46"/>
        <v>0.64646464646464652</v>
      </c>
      <c r="N759">
        <f t="shared" si="47"/>
        <v>0</v>
      </c>
    </row>
    <row r="760" spans="1:14" x14ac:dyDescent="0.4">
      <c r="A760" t="s">
        <v>93</v>
      </c>
      <c r="B760" t="s">
        <v>16</v>
      </c>
      <c r="C760" t="s">
        <v>29</v>
      </c>
      <c r="D760" t="s">
        <v>75</v>
      </c>
      <c r="E760" s="1">
        <v>45032</v>
      </c>
      <c r="F760">
        <v>171</v>
      </c>
      <c r="G760">
        <v>160</v>
      </c>
      <c r="H760">
        <v>433.91</v>
      </c>
      <c r="I760">
        <v>148.78</v>
      </c>
      <c r="J760" t="s">
        <v>30</v>
      </c>
      <c r="K760">
        <f t="shared" si="44"/>
        <v>25441.38</v>
      </c>
      <c r="L760">
        <f t="shared" si="45"/>
        <v>-48757.229999999996</v>
      </c>
      <c r="M760">
        <f t="shared" si="46"/>
        <v>1.0687500000000001</v>
      </c>
      <c r="N760">
        <f t="shared" si="47"/>
        <v>0</v>
      </c>
    </row>
    <row r="761" spans="1:14" x14ac:dyDescent="0.4">
      <c r="A761" t="s">
        <v>101</v>
      </c>
      <c r="B761" t="s">
        <v>39</v>
      </c>
      <c r="C761" t="s">
        <v>29</v>
      </c>
      <c r="D761" t="s">
        <v>62</v>
      </c>
      <c r="E761" s="1">
        <v>44838</v>
      </c>
      <c r="F761">
        <v>86</v>
      </c>
      <c r="G761">
        <v>25</v>
      </c>
      <c r="H761">
        <v>470.11</v>
      </c>
      <c r="I761">
        <v>140.75</v>
      </c>
      <c r="J761" t="s">
        <v>14</v>
      </c>
      <c r="K761">
        <f t="shared" si="44"/>
        <v>12104.5</v>
      </c>
      <c r="L761">
        <f t="shared" si="45"/>
        <v>-28324.960000000003</v>
      </c>
      <c r="M761">
        <f t="shared" si="46"/>
        <v>3.44</v>
      </c>
      <c r="N761">
        <f t="shared" si="47"/>
        <v>0</v>
      </c>
    </row>
    <row r="762" spans="1:14" x14ac:dyDescent="0.4">
      <c r="A762" t="s">
        <v>91</v>
      </c>
      <c r="B762" t="s">
        <v>39</v>
      </c>
      <c r="C762" t="s">
        <v>29</v>
      </c>
      <c r="D762" t="s">
        <v>26</v>
      </c>
      <c r="E762" s="1">
        <v>45501</v>
      </c>
      <c r="F762">
        <v>95</v>
      </c>
      <c r="G762">
        <v>120</v>
      </c>
      <c r="H762">
        <v>469.67</v>
      </c>
      <c r="I762">
        <v>748.9</v>
      </c>
      <c r="J762" t="s">
        <v>19</v>
      </c>
      <c r="K762">
        <f t="shared" si="44"/>
        <v>71145.5</v>
      </c>
      <c r="L762">
        <f t="shared" si="45"/>
        <v>26526.849999999995</v>
      </c>
      <c r="M762">
        <f t="shared" si="46"/>
        <v>0.79166666666666663</v>
      </c>
      <c r="N762">
        <f t="shared" si="47"/>
        <v>0</v>
      </c>
    </row>
    <row r="763" spans="1:14" x14ac:dyDescent="0.4">
      <c r="A763" t="s">
        <v>125</v>
      </c>
      <c r="B763" t="s">
        <v>28</v>
      </c>
      <c r="C763" t="s">
        <v>17</v>
      </c>
      <c r="D763" t="s">
        <v>26</v>
      </c>
      <c r="E763" s="1">
        <v>45132</v>
      </c>
      <c r="F763">
        <v>74</v>
      </c>
      <c r="G763">
        <v>211</v>
      </c>
      <c r="H763">
        <v>106.35</v>
      </c>
      <c r="I763">
        <v>553.91999999999996</v>
      </c>
      <c r="J763" t="s">
        <v>23</v>
      </c>
      <c r="K763">
        <f t="shared" si="44"/>
        <v>40990.079999999994</v>
      </c>
      <c r="L763">
        <f t="shared" si="45"/>
        <v>33120.179999999993</v>
      </c>
      <c r="M763">
        <f t="shared" si="46"/>
        <v>0.35071090047393366</v>
      </c>
      <c r="N763">
        <f t="shared" si="47"/>
        <v>0</v>
      </c>
    </row>
    <row r="764" spans="1:14" x14ac:dyDescent="0.4">
      <c r="A764" t="s">
        <v>170</v>
      </c>
      <c r="B764" t="s">
        <v>36</v>
      </c>
      <c r="C764" t="s">
        <v>12</v>
      </c>
      <c r="D764" t="s">
        <v>132</v>
      </c>
      <c r="E764" s="1">
        <v>45418</v>
      </c>
      <c r="F764">
        <v>166</v>
      </c>
      <c r="G764">
        <v>62</v>
      </c>
      <c r="H764">
        <v>221.92</v>
      </c>
      <c r="I764">
        <v>365.72</v>
      </c>
      <c r="J764" t="s">
        <v>19</v>
      </c>
      <c r="K764">
        <f t="shared" si="44"/>
        <v>60709.520000000004</v>
      </c>
      <c r="L764">
        <f t="shared" si="45"/>
        <v>23870.800000000007</v>
      </c>
      <c r="M764">
        <f t="shared" si="46"/>
        <v>2.6774193548387095</v>
      </c>
      <c r="N764">
        <f t="shared" si="47"/>
        <v>0</v>
      </c>
    </row>
    <row r="765" spans="1:14" x14ac:dyDescent="0.4">
      <c r="A765" t="s">
        <v>88</v>
      </c>
      <c r="B765" t="s">
        <v>28</v>
      </c>
      <c r="C765" t="s">
        <v>17</v>
      </c>
      <c r="D765" t="s">
        <v>26</v>
      </c>
      <c r="E765" s="1">
        <v>45562</v>
      </c>
      <c r="F765">
        <v>53</v>
      </c>
      <c r="G765">
        <v>67</v>
      </c>
      <c r="H765">
        <v>62.7</v>
      </c>
      <c r="I765">
        <v>628.54</v>
      </c>
      <c r="J765" t="s">
        <v>34</v>
      </c>
      <c r="K765">
        <f t="shared" si="44"/>
        <v>33312.619999999995</v>
      </c>
      <c r="L765">
        <f t="shared" si="45"/>
        <v>29989.519999999997</v>
      </c>
      <c r="M765">
        <f t="shared" si="46"/>
        <v>0.79104477611940294</v>
      </c>
      <c r="N765">
        <f t="shared" si="47"/>
        <v>0</v>
      </c>
    </row>
    <row r="766" spans="1:14" x14ac:dyDescent="0.4">
      <c r="A766" t="s">
        <v>188</v>
      </c>
      <c r="B766" t="s">
        <v>36</v>
      </c>
      <c r="C766" t="s">
        <v>12</v>
      </c>
      <c r="D766" t="s">
        <v>18</v>
      </c>
      <c r="E766" s="1">
        <v>45019</v>
      </c>
      <c r="F766">
        <v>87</v>
      </c>
      <c r="G766">
        <v>252</v>
      </c>
      <c r="H766">
        <v>434.82</v>
      </c>
      <c r="I766">
        <v>570.63</v>
      </c>
      <c r="J766" t="s">
        <v>19</v>
      </c>
      <c r="K766">
        <f t="shared" si="44"/>
        <v>49644.81</v>
      </c>
      <c r="L766">
        <f t="shared" si="45"/>
        <v>11815.47</v>
      </c>
      <c r="M766">
        <f t="shared" si="46"/>
        <v>0.34523809523809523</v>
      </c>
      <c r="N766">
        <f t="shared" si="47"/>
        <v>0</v>
      </c>
    </row>
    <row r="767" spans="1:14" x14ac:dyDescent="0.4">
      <c r="A767" t="s">
        <v>133</v>
      </c>
      <c r="B767" t="s">
        <v>36</v>
      </c>
      <c r="C767" t="s">
        <v>17</v>
      </c>
      <c r="D767" t="s">
        <v>53</v>
      </c>
      <c r="E767" s="1">
        <v>45479</v>
      </c>
      <c r="F767">
        <v>156</v>
      </c>
      <c r="G767">
        <v>1</v>
      </c>
      <c r="H767">
        <v>211.44</v>
      </c>
      <c r="I767">
        <v>471.84</v>
      </c>
      <c r="J767" t="s">
        <v>34</v>
      </c>
      <c r="K767">
        <f t="shared" si="44"/>
        <v>73607.039999999994</v>
      </c>
      <c r="L767">
        <f t="shared" si="45"/>
        <v>40622.399999999994</v>
      </c>
      <c r="M767">
        <f t="shared" si="46"/>
        <v>156</v>
      </c>
      <c r="N767">
        <f t="shared" si="47"/>
        <v>0</v>
      </c>
    </row>
    <row r="768" spans="1:14" x14ac:dyDescent="0.4">
      <c r="A768" t="s">
        <v>140</v>
      </c>
      <c r="B768" t="s">
        <v>32</v>
      </c>
      <c r="C768" t="s">
        <v>17</v>
      </c>
      <c r="D768" t="s">
        <v>22</v>
      </c>
      <c r="E768" s="1">
        <v>45394</v>
      </c>
      <c r="F768">
        <v>53</v>
      </c>
      <c r="G768">
        <v>107</v>
      </c>
      <c r="H768">
        <v>334</v>
      </c>
      <c r="I768">
        <v>169.21</v>
      </c>
      <c r="J768" t="s">
        <v>30</v>
      </c>
      <c r="K768">
        <f t="shared" si="44"/>
        <v>8968.130000000001</v>
      </c>
      <c r="L768">
        <f t="shared" si="45"/>
        <v>-8733.869999999999</v>
      </c>
      <c r="M768">
        <f t="shared" si="46"/>
        <v>0.49532710280373832</v>
      </c>
      <c r="N768">
        <f t="shared" si="47"/>
        <v>0</v>
      </c>
    </row>
    <row r="769" spans="1:14" x14ac:dyDescent="0.4">
      <c r="A769" t="s">
        <v>119</v>
      </c>
      <c r="B769" t="s">
        <v>32</v>
      </c>
      <c r="C769" t="s">
        <v>29</v>
      </c>
      <c r="D769" t="s">
        <v>132</v>
      </c>
      <c r="E769" s="1">
        <v>45649</v>
      </c>
      <c r="F769">
        <v>15</v>
      </c>
      <c r="G769">
        <v>285</v>
      </c>
      <c r="H769">
        <v>371.7</v>
      </c>
      <c r="I769">
        <v>668.53</v>
      </c>
      <c r="J769" t="s">
        <v>30</v>
      </c>
      <c r="K769">
        <f t="shared" si="44"/>
        <v>10027.949999999999</v>
      </c>
      <c r="L769">
        <f t="shared" si="45"/>
        <v>4452.45</v>
      </c>
      <c r="M769">
        <f t="shared" si="46"/>
        <v>5.2631578947368418E-2</v>
      </c>
      <c r="N769">
        <f t="shared" si="47"/>
        <v>0</v>
      </c>
    </row>
    <row r="770" spans="1:14" x14ac:dyDescent="0.4">
      <c r="A770" t="s">
        <v>63</v>
      </c>
      <c r="B770" t="s">
        <v>43</v>
      </c>
      <c r="C770" t="s">
        <v>52</v>
      </c>
      <c r="D770" t="s">
        <v>145</v>
      </c>
      <c r="E770" s="1">
        <v>45400</v>
      </c>
      <c r="F770">
        <v>98</v>
      </c>
      <c r="G770">
        <v>48</v>
      </c>
      <c r="H770">
        <v>243.43</v>
      </c>
      <c r="I770">
        <v>706.22</v>
      </c>
      <c r="J770" t="s">
        <v>14</v>
      </c>
      <c r="K770">
        <f t="shared" si="44"/>
        <v>69209.56</v>
      </c>
      <c r="L770">
        <f t="shared" si="45"/>
        <v>45353.420000000006</v>
      </c>
      <c r="M770">
        <f t="shared" si="46"/>
        <v>2.0416666666666665</v>
      </c>
      <c r="N770">
        <f t="shared" si="47"/>
        <v>0</v>
      </c>
    </row>
    <row r="771" spans="1:14" x14ac:dyDescent="0.4">
      <c r="A771" t="s">
        <v>166</v>
      </c>
      <c r="B771" t="s">
        <v>11</v>
      </c>
      <c r="C771" t="s">
        <v>52</v>
      </c>
      <c r="D771" t="s">
        <v>33</v>
      </c>
      <c r="E771" s="1">
        <v>44754</v>
      </c>
      <c r="F771">
        <v>19</v>
      </c>
      <c r="G771">
        <v>139</v>
      </c>
      <c r="H771">
        <v>187.9</v>
      </c>
      <c r="I771">
        <v>220.52</v>
      </c>
      <c r="J771" t="s">
        <v>19</v>
      </c>
      <c r="K771">
        <f t="shared" ref="K771:K834" si="48">F771 * I771</f>
        <v>4189.88</v>
      </c>
      <c r="L771">
        <f t="shared" ref="L771:L834" si="49">(I771 - H771) * F771</f>
        <v>619.78000000000009</v>
      </c>
      <c r="M771">
        <f t="shared" ref="M771:M834" si="50">IF(G771=0, 0, F771/G771)</f>
        <v>0.1366906474820144</v>
      </c>
      <c r="N771">
        <f t="shared" ref="N771:N834" si="51">IF(G771=0, 1, 0)</f>
        <v>0</v>
      </c>
    </row>
    <row r="772" spans="1:14" x14ac:dyDescent="0.4">
      <c r="A772" t="s">
        <v>107</v>
      </c>
      <c r="B772" t="s">
        <v>11</v>
      </c>
      <c r="C772" t="s">
        <v>12</v>
      </c>
      <c r="D772" t="s">
        <v>132</v>
      </c>
      <c r="E772" s="1">
        <v>45177</v>
      </c>
      <c r="F772">
        <v>45</v>
      </c>
      <c r="G772">
        <v>217</v>
      </c>
      <c r="H772">
        <v>483</v>
      </c>
      <c r="I772">
        <v>695.36</v>
      </c>
      <c r="J772" t="s">
        <v>19</v>
      </c>
      <c r="K772">
        <f t="shared" si="48"/>
        <v>31291.200000000001</v>
      </c>
      <c r="L772">
        <f t="shared" si="49"/>
        <v>9556.2000000000007</v>
      </c>
      <c r="M772">
        <f t="shared" si="50"/>
        <v>0.20737327188940091</v>
      </c>
      <c r="N772">
        <f t="shared" si="51"/>
        <v>0</v>
      </c>
    </row>
    <row r="773" spans="1:14" x14ac:dyDescent="0.4">
      <c r="A773" t="s">
        <v>178</v>
      </c>
      <c r="B773" t="s">
        <v>16</v>
      </c>
      <c r="C773" t="s">
        <v>52</v>
      </c>
      <c r="D773" t="s">
        <v>72</v>
      </c>
      <c r="E773" s="1">
        <v>44967</v>
      </c>
      <c r="F773">
        <v>194</v>
      </c>
      <c r="G773">
        <v>43</v>
      </c>
      <c r="H773">
        <v>484.02</v>
      </c>
      <c r="I773">
        <v>714.49</v>
      </c>
      <c r="J773" t="s">
        <v>34</v>
      </c>
      <c r="K773">
        <f t="shared" si="48"/>
        <v>138611.06</v>
      </c>
      <c r="L773">
        <f t="shared" si="49"/>
        <v>44711.180000000008</v>
      </c>
      <c r="M773">
        <f t="shared" si="50"/>
        <v>4.5116279069767442</v>
      </c>
      <c r="N773">
        <f t="shared" si="51"/>
        <v>0</v>
      </c>
    </row>
    <row r="774" spans="1:14" x14ac:dyDescent="0.4">
      <c r="A774" t="s">
        <v>67</v>
      </c>
      <c r="B774" t="s">
        <v>11</v>
      </c>
      <c r="C774" t="s">
        <v>17</v>
      </c>
      <c r="D774" t="s">
        <v>22</v>
      </c>
      <c r="E774" s="1">
        <v>45504</v>
      </c>
      <c r="F774">
        <v>192</v>
      </c>
      <c r="G774">
        <v>268</v>
      </c>
      <c r="H774">
        <v>180.25</v>
      </c>
      <c r="I774">
        <v>484.6</v>
      </c>
      <c r="J774" t="s">
        <v>30</v>
      </c>
      <c r="K774">
        <f t="shared" si="48"/>
        <v>93043.200000000012</v>
      </c>
      <c r="L774">
        <f t="shared" si="49"/>
        <v>58435.200000000004</v>
      </c>
      <c r="M774">
        <f t="shared" si="50"/>
        <v>0.71641791044776115</v>
      </c>
      <c r="N774">
        <f t="shared" si="51"/>
        <v>0</v>
      </c>
    </row>
    <row r="775" spans="1:14" x14ac:dyDescent="0.4">
      <c r="A775" t="s">
        <v>120</v>
      </c>
      <c r="B775" t="s">
        <v>32</v>
      </c>
      <c r="C775" t="s">
        <v>17</v>
      </c>
      <c r="D775" t="s">
        <v>53</v>
      </c>
      <c r="E775" s="1">
        <v>45282</v>
      </c>
      <c r="F775">
        <v>126</v>
      </c>
      <c r="G775">
        <v>77</v>
      </c>
      <c r="H775">
        <v>265.83</v>
      </c>
      <c r="I775">
        <v>559.33000000000004</v>
      </c>
      <c r="J775" t="s">
        <v>34</v>
      </c>
      <c r="K775">
        <f t="shared" si="48"/>
        <v>70475.58</v>
      </c>
      <c r="L775">
        <f t="shared" si="49"/>
        <v>36981.000000000007</v>
      </c>
      <c r="M775">
        <f t="shared" si="50"/>
        <v>1.6363636363636365</v>
      </c>
      <c r="N775">
        <f t="shared" si="51"/>
        <v>0</v>
      </c>
    </row>
    <row r="776" spans="1:14" x14ac:dyDescent="0.4">
      <c r="A776" t="s">
        <v>235</v>
      </c>
      <c r="B776" t="s">
        <v>43</v>
      </c>
      <c r="C776" t="s">
        <v>29</v>
      </c>
      <c r="D776" t="s">
        <v>132</v>
      </c>
      <c r="E776" s="1">
        <v>44654</v>
      </c>
      <c r="F776">
        <v>57</v>
      </c>
      <c r="G776">
        <v>215</v>
      </c>
      <c r="H776">
        <v>487.78</v>
      </c>
      <c r="I776">
        <v>367.57</v>
      </c>
      <c r="J776" t="s">
        <v>30</v>
      </c>
      <c r="K776">
        <f t="shared" si="48"/>
        <v>20951.489999999998</v>
      </c>
      <c r="L776">
        <f t="shared" si="49"/>
        <v>-6851.9699999999984</v>
      </c>
      <c r="M776">
        <f t="shared" si="50"/>
        <v>0.26511627906976742</v>
      </c>
      <c r="N776">
        <f t="shared" si="51"/>
        <v>0</v>
      </c>
    </row>
    <row r="777" spans="1:14" x14ac:dyDescent="0.4">
      <c r="A777" t="s">
        <v>207</v>
      </c>
      <c r="B777" t="s">
        <v>43</v>
      </c>
      <c r="C777" t="s">
        <v>29</v>
      </c>
      <c r="D777" t="s">
        <v>132</v>
      </c>
      <c r="E777" s="1">
        <v>44991</v>
      </c>
      <c r="F777">
        <v>180</v>
      </c>
      <c r="G777">
        <v>97</v>
      </c>
      <c r="H777">
        <v>52.19</v>
      </c>
      <c r="I777">
        <v>297.25</v>
      </c>
      <c r="J777" t="s">
        <v>34</v>
      </c>
      <c r="K777">
        <f t="shared" si="48"/>
        <v>53505</v>
      </c>
      <c r="L777">
        <f t="shared" si="49"/>
        <v>44110.8</v>
      </c>
      <c r="M777">
        <f t="shared" si="50"/>
        <v>1.8556701030927836</v>
      </c>
      <c r="N777">
        <f t="shared" si="51"/>
        <v>0</v>
      </c>
    </row>
    <row r="778" spans="1:14" x14ac:dyDescent="0.4">
      <c r="A778" t="s">
        <v>99</v>
      </c>
      <c r="B778" t="s">
        <v>36</v>
      </c>
      <c r="C778" t="s">
        <v>52</v>
      </c>
      <c r="D778" t="s">
        <v>26</v>
      </c>
      <c r="E778" s="1">
        <v>45215</v>
      </c>
      <c r="F778">
        <v>110</v>
      </c>
      <c r="G778">
        <v>235</v>
      </c>
      <c r="H778">
        <v>235.71</v>
      </c>
      <c r="I778">
        <v>605.39</v>
      </c>
      <c r="J778" t="s">
        <v>30</v>
      </c>
      <c r="K778">
        <f t="shared" si="48"/>
        <v>66592.899999999994</v>
      </c>
      <c r="L778">
        <f t="shared" si="49"/>
        <v>40664.799999999996</v>
      </c>
      <c r="M778">
        <f t="shared" si="50"/>
        <v>0.46808510638297873</v>
      </c>
      <c r="N778">
        <f t="shared" si="51"/>
        <v>0</v>
      </c>
    </row>
    <row r="779" spans="1:14" x14ac:dyDescent="0.4">
      <c r="A779" t="s">
        <v>103</v>
      </c>
      <c r="B779" t="s">
        <v>28</v>
      </c>
      <c r="C779" t="s">
        <v>12</v>
      </c>
      <c r="D779" t="s">
        <v>45</v>
      </c>
      <c r="E779" s="1">
        <v>44995</v>
      </c>
      <c r="F779">
        <v>128</v>
      </c>
      <c r="G779">
        <v>281</v>
      </c>
      <c r="H779">
        <v>95.21</v>
      </c>
      <c r="I779">
        <v>703.31</v>
      </c>
      <c r="J779" t="s">
        <v>34</v>
      </c>
      <c r="K779">
        <f t="shared" si="48"/>
        <v>90023.679999999993</v>
      </c>
      <c r="L779">
        <f t="shared" si="49"/>
        <v>77836.799999999988</v>
      </c>
      <c r="M779">
        <f t="shared" si="50"/>
        <v>0.45551601423487542</v>
      </c>
      <c r="N779">
        <f t="shared" si="51"/>
        <v>0</v>
      </c>
    </row>
    <row r="780" spans="1:14" x14ac:dyDescent="0.4">
      <c r="A780" t="s">
        <v>115</v>
      </c>
      <c r="B780" t="s">
        <v>16</v>
      </c>
      <c r="C780" t="s">
        <v>52</v>
      </c>
      <c r="D780" t="s">
        <v>132</v>
      </c>
      <c r="E780" s="1">
        <v>44936</v>
      </c>
      <c r="F780">
        <v>80</v>
      </c>
      <c r="G780">
        <v>148</v>
      </c>
      <c r="H780">
        <v>279.12</v>
      </c>
      <c r="I780">
        <v>557.85</v>
      </c>
      <c r="J780" t="s">
        <v>30</v>
      </c>
      <c r="K780">
        <f t="shared" si="48"/>
        <v>44628</v>
      </c>
      <c r="L780">
        <f t="shared" si="49"/>
        <v>22298.400000000001</v>
      </c>
      <c r="M780">
        <f t="shared" si="50"/>
        <v>0.54054054054054057</v>
      </c>
      <c r="N780">
        <f t="shared" si="51"/>
        <v>0</v>
      </c>
    </row>
    <row r="781" spans="1:14" x14ac:dyDescent="0.4">
      <c r="A781" t="s">
        <v>201</v>
      </c>
      <c r="B781" t="s">
        <v>36</v>
      </c>
      <c r="C781" t="s">
        <v>52</v>
      </c>
      <c r="D781" t="s">
        <v>65</v>
      </c>
      <c r="E781" s="1">
        <v>45644</v>
      </c>
      <c r="F781">
        <v>193</v>
      </c>
      <c r="G781">
        <v>65</v>
      </c>
      <c r="H781">
        <v>61.1</v>
      </c>
      <c r="I781">
        <v>458.11</v>
      </c>
      <c r="J781" t="s">
        <v>34</v>
      </c>
      <c r="K781">
        <f t="shared" si="48"/>
        <v>88415.23</v>
      </c>
      <c r="L781">
        <f t="shared" si="49"/>
        <v>76622.929999999993</v>
      </c>
      <c r="M781">
        <f t="shared" si="50"/>
        <v>2.9692307692307693</v>
      </c>
      <c r="N781">
        <f t="shared" si="51"/>
        <v>0</v>
      </c>
    </row>
    <row r="782" spans="1:14" x14ac:dyDescent="0.4">
      <c r="A782" t="s">
        <v>193</v>
      </c>
      <c r="B782" t="s">
        <v>28</v>
      </c>
      <c r="C782" t="s">
        <v>52</v>
      </c>
      <c r="D782" t="s">
        <v>75</v>
      </c>
      <c r="E782" s="1">
        <v>45628</v>
      </c>
      <c r="F782">
        <v>156</v>
      </c>
      <c r="G782">
        <v>233</v>
      </c>
      <c r="H782">
        <v>233.1</v>
      </c>
      <c r="I782">
        <v>211.25</v>
      </c>
      <c r="J782" t="s">
        <v>19</v>
      </c>
      <c r="K782">
        <f t="shared" si="48"/>
        <v>32955</v>
      </c>
      <c r="L782">
        <f t="shared" si="49"/>
        <v>-3408.599999999999</v>
      </c>
      <c r="M782">
        <f t="shared" si="50"/>
        <v>0.66952789699570814</v>
      </c>
      <c r="N782">
        <f t="shared" si="51"/>
        <v>0</v>
      </c>
    </row>
    <row r="783" spans="1:14" x14ac:dyDescent="0.4">
      <c r="A783" t="s">
        <v>224</v>
      </c>
      <c r="B783" t="s">
        <v>11</v>
      </c>
      <c r="C783" t="s">
        <v>52</v>
      </c>
      <c r="D783" t="s">
        <v>145</v>
      </c>
      <c r="E783" s="1">
        <v>44768</v>
      </c>
      <c r="F783">
        <v>83</v>
      </c>
      <c r="G783">
        <v>86</v>
      </c>
      <c r="H783">
        <v>149.31</v>
      </c>
      <c r="I783">
        <v>137.41999999999999</v>
      </c>
      <c r="J783" t="s">
        <v>14</v>
      </c>
      <c r="K783">
        <f t="shared" si="48"/>
        <v>11405.859999999999</v>
      </c>
      <c r="L783">
        <f t="shared" si="49"/>
        <v>-986.87000000000126</v>
      </c>
      <c r="M783">
        <f t="shared" si="50"/>
        <v>0.96511627906976749</v>
      </c>
      <c r="N783">
        <f t="shared" si="51"/>
        <v>0</v>
      </c>
    </row>
    <row r="784" spans="1:14" x14ac:dyDescent="0.4">
      <c r="A784" t="s">
        <v>196</v>
      </c>
      <c r="B784" t="s">
        <v>36</v>
      </c>
      <c r="C784" t="s">
        <v>17</v>
      </c>
      <c r="D784" t="s">
        <v>62</v>
      </c>
      <c r="E784" s="1">
        <v>45341</v>
      </c>
      <c r="F784">
        <v>69</v>
      </c>
      <c r="G784">
        <v>78</v>
      </c>
      <c r="H784">
        <v>289.99</v>
      </c>
      <c r="I784">
        <v>411.98</v>
      </c>
      <c r="J784" t="s">
        <v>34</v>
      </c>
      <c r="K784">
        <f t="shared" si="48"/>
        <v>28426.620000000003</v>
      </c>
      <c r="L784">
        <f t="shared" si="49"/>
        <v>8417.3100000000013</v>
      </c>
      <c r="M784">
        <f t="shared" si="50"/>
        <v>0.88461538461538458</v>
      </c>
      <c r="N784">
        <f t="shared" si="51"/>
        <v>0</v>
      </c>
    </row>
    <row r="785" spans="1:14" x14ac:dyDescent="0.4">
      <c r="A785" t="s">
        <v>198</v>
      </c>
      <c r="B785" t="s">
        <v>21</v>
      </c>
      <c r="C785" t="s">
        <v>12</v>
      </c>
      <c r="D785" t="s">
        <v>65</v>
      </c>
      <c r="E785" s="1">
        <v>45093</v>
      </c>
      <c r="F785">
        <v>7</v>
      </c>
      <c r="G785">
        <v>204</v>
      </c>
      <c r="H785">
        <v>498.2</v>
      </c>
      <c r="I785">
        <v>134.54</v>
      </c>
      <c r="J785" t="s">
        <v>14</v>
      </c>
      <c r="K785">
        <f t="shared" si="48"/>
        <v>941.78</v>
      </c>
      <c r="L785">
        <f t="shared" si="49"/>
        <v>-2545.62</v>
      </c>
      <c r="M785">
        <f t="shared" si="50"/>
        <v>3.4313725490196081E-2</v>
      </c>
      <c r="N785">
        <f t="shared" si="51"/>
        <v>0</v>
      </c>
    </row>
    <row r="786" spans="1:14" x14ac:dyDescent="0.4">
      <c r="A786" t="s">
        <v>231</v>
      </c>
      <c r="B786" t="s">
        <v>11</v>
      </c>
      <c r="C786" t="s">
        <v>17</v>
      </c>
      <c r="D786" t="s">
        <v>65</v>
      </c>
      <c r="E786" s="1">
        <v>44727</v>
      </c>
      <c r="F786">
        <v>28</v>
      </c>
      <c r="G786">
        <v>278</v>
      </c>
      <c r="H786">
        <v>410.24</v>
      </c>
      <c r="I786">
        <v>498.53</v>
      </c>
      <c r="J786" t="s">
        <v>19</v>
      </c>
      <c r="K786">
        <f t="shared" si="48"/>
        <v>13958.84</v>
      </c>
      <c r="L786">
        <f t="shared" si="49"/>
        <v>2472.119999999999</v>
      </c>
      <c r="M786">
        <f t="shared" si="50"/>
        <v>0.10071942446043165</v>
      </c>
      <c r="N786">
        <f t="shared" si="51"/>
        <v>0</v>
      </c>
    </row>
    <row r="787" spans="1:14" x14ac:dyDescent="0.4">
      <c r="A787" t="s">
        <v>241</v>
      </c>
      <c r="B787" t="s">
        <v>28</v>
      </c>
      <c r="C787" t="s">
        <v>12</v>
      </c>
      <c r="D787" t="s">
        <v>37</v>
      </c>
      <c r="E787" s="1">
        <v>45204</v>
      </c>
      <c r="F787">
        <v>111</v>
      </c>
      <c r="G787">
        <v>253</v>
      </c>
      <c r="H787">
        <v>430.54</v>
      </c>
      <c r="I787">
        <v>367.91</v>
      </c>
      <c r="J787" t="s">
        <v>19</v>
      </c>
      <c r="K787">
        <f t="shared" si="48"/>
        <v>40838.01</v>
      </c>
      <c r="L787">
        <f t="shared" si="49"/>
        <v>-6951.9299999999994</v>
      </c>
      <c r="M787">
        <f t="shared" si="50"/>
        <v>0.43873517786561267</v>
      </c>
      <c r="N787">
        <f t="shared" si="51"/>
        <v>0</v>
      </c>
    </row>
    <row r="788" spans="1:14" x14ac:dyDescent="0.4">
      <c r="A788" t="s">
        <v>160</v>
      </c>
      <c r="B788" t="s">
        <v>16</v>
      </c>
      <c r="C788" t="s">
        <v>29</v>
      </c>
      <c r="D788" t="s">
        <v>33</v>
      </c>
      <c r="E788" s="1">
        <v>44651</v>
      </c>
      <c r="F788">
        <v>178</v>
      </c>
      <c r="G788">
        <v>129</v>
      </c>
      <c r="H788">
        <v>335.87</v>
      </c>
      <c r="I788">
        <v>630.03</v>
      </c>
      <c r="J788" t="s">
        <v>30</v>
      </c>
      <c r="K788">
        <f t="shared" si="48"/>
        <v>112145.34</v>
      </c>
      <c r="L788">
        <f t="shared" si="49"/>
        <v>52360.479999999996</v>
      </c>
      <c r="M788">
        <f t="shared" si="50"/>
        <v>1.3798449612403101</v>
      </c>
      <c r="N788">
        <f t="shared" si="51"/>
        <v>0</v>
      </c>
    </row>
    <row r="789" spans="1:14" x14ac:dyDescent="0.4">
      <c r="A789" t="s">
        <v>203</v>
      </c>
      <c r="B789" t="s">
        <v>28</v>
      </c>
      <c r="C789" t="s">
        <v>52</v>
      </c>
      <c r="D789" t="s">
        <v>66</v>
      </c>
      <c r="E789" s="1">
        <v>44574</v>
      </c>
      <c r="F789">
        <v>160</v>
      </c>
      <c r="G789">
        <v>83</v>
      </c>
      <c r="H789">
        <v>68.7</v>
      </c>
      <c r="I789">
        <v>313.95</v>
      </c>
      <c r="J789" t="s">
        <v>14</v>
      </c>
      <c r="K789">
        <f t="shared" si="48"/>
        <v>50232</v>
      </c>
      <c r="L789">
        <f t="shared" si="49"/>
        <v>39240</v>
      </c>
      <c r="M789">
        <f t="shared" si="50"/>
        <v>1.927710843373494</v>
      </c>
      <c r="N789">
        <f t="shared" si="51"/>
        <v>0</v>
      </c>
    </row>
    <row r="790" spans="1:14" x14ac:dyDescent="0.4">
      <c r="A790" t="s">
        <v>131</v>
      </c>
      <c r="B790" t="s">
        <v>36</v>
      </c>
      <c r="C790" t="s">
        <v>17</v>
      </c>
      <c r="D790" t="s">
        <v>26</v>
      </c>
      <c r="E790" s="1">
        <v>45534</v>
      </c>
      <c r="F790">
        <v>130</v>
      </c>
      <c r="G790">
        <v>275</v>
      </c>
      <c r="H790">
        <v>143.06</v>
      </c>
      <c r="I790">
        <v>515.09</v>
      </c>
      <c r="J790" t="s">
        <v>23</v>
      </c>
      <c r="K790">
        <f t="shared" si="48"/>
        <v>66961.7</v>
      </c>
      <c r="L790">
        <f t="shared" si="49"/>
        <v>48363.9</v>
      </c>
      <c r="M790">
        <f t="shared" si="50"/>
        <v>0.47272727272727272</v>
      </c>
      <c r="N790">
        <f t="shared" si="51"/>
        <v>0</v>
      </c>
    </row>
    <row r="791" spans="1:14" x14ac:dyDescent="0.4">
      <c r="A791" t="s">
        <v>202</v>
      </c>
      <c r="B791" t="s">
        <v>36</v>
      </c>
      <c r="C791" t="s">
        <v>12</v>
      </c>
      <c r="D791" t="s">
        <v>18</v>
      </c>
      <c r="E791" s="1">
        <v>45366</v>
      </c>
      <c r="F791">
        <v>187</v>
      </c>
      <c r="G791">
        <v>186</v>
      </c>
      <c r="H791">
        <v>466.28</v>
      </c>
      <c r="I791">
        <v>476.38</v>
      </c>
      <c r="J791" t="s">
        <v>30</v>
      </c>
      <c r="K791">
        <f t="shared" si="48"/>
        <v>89083.06</v>
      </c>
      <c r="L791">
        <f t="shared" si="49"/>
        <v>1888.7000000000044</v>
      </c>
      <c r="M791">
        <f t="shared" si="50"/>
        <v>1.0053763440860215</v>
      </c>
      <c r="N791">
        <f t="shared" si="51"/>
        <v>0</v>
      </c>
    </row>
    <row r="792" spans="1:14" x14ac:dyDescent="0.4">
      <c r="A792" t="s">
        <v>129</v>
      </c>
      <c r="B792" t="s">
        <v>39</v>
      </c>
      <c r="C792" t="s">
        <v>29</v>
      </c>
      <c r="D792" t="s">
        <v>18</v>
      </c>
      <c r="E792" s="1">
        <v>45506</v>
      </c>
      <c r="F792">
        <v>162</v>
      </c>
      <c r="G792">
        <v>45</v>
      </c>
      <c r="H792">
        <v>214.75</v>
      </c>
      <c r="I792">
        <v>103.3</v>
      </c>
      <c r="J792" t="s">
        <v>14</v>
      </c>
      <c r="K792">
        <f t="shared" si="48"/>
        <v>16734.599999999999</v>
      </c>
      <c r="L792">
        <f t="shared" si="49"/>
        <v>-18054.900000000001</v>
      </c>
      <c r="M792">
        <f t="shared" si="50"/>
        <v>3.6</v>
      </c>
      <c r="N792">
        <f t="shared" si="51"/>
        <v>0</v>
      </c>
    </row>
    <row r="793" spans="1:14" x14ac:dyDescent="0.4">
      <c r="A793" t="s">
        <v>168</v>
      </c>
      <c r="B793" t="s">
        <v>16</v>
      </c>
      <c r="C793" t="s">
        <v>29</v>
      </c>
      <c r="D793" t="s">
        <v>33</v>
      </c>
      <c r="E793" s="1">
        <v>45303</v>
      </c>
      <c r="F793">
        <v>196</v>
      </c>
      <c r="G793">
        <v>182</v>
      </c>
      <c r="H793">
        <v>96.64</v>
      </c>
      <c r="I793">
        <v>150.66999999999999</v>
      </c>
      <c r="J793" t="s">
        <v>34</v>
      </c>
      <c r="K793">
        <f t="shared" si="48"/>
        <v>29531.319999999996</v>
      </c>
      <c r="L793">
        <f t="shared" si="49"/>
        <v>10589.879999999997</v>
      </c>
      <c r="M793">
        <f t="shared" si="50"/>
        <v>1.0769230769230769</v>
      </c>
      <c r="N793">
        <f t="shared" si="51"/>
        <v>0</v>
      </c>
    </row>
    <row r="794" spans="1:14" x14ac:dyDescent="0.4">
      <c r="A794" t="s">
        <v>122</v>
      </c>
      <c r="B794" t="s">
        <v>25</v>
      </c>
      <c r="C794" t="s">
        <v>52</v>
      </c>
      <c r="D794" t="s">
        <v>72</v>
      </c>
      <c r="E794" s="1">
        <v>45437</v>
      </c>
      <c r="F794">
        <v>107</v>
      </c>
      <c r="G794">
        <v>267</v>
      </c>
      <c r="H794">
        <v>366.08</v>
      </c>
      <c r="I794">
        <v>303.26</v>
      </c>
      <c r="J794" t="s">
        <v>34</v>
      </c>
      <c r="K794">
        <f t="shared" si="48"/>
        <v>32448.82</v>
      </c>
      <c r="L794">
        <f t="shared" si="49"/>
        <v>-6721.7399999999989</v>
      </c>
      <c r="M794">
        <f t="shared" si="50"/>
        <v>0.40074906367041196</v>
      </c>
      <c r="N794">
        <f t="shared" si="51"/>
        <v>0</v>
      </c>
    </row>
    <row r="795" spans="1:14" x14ac:dyDescent="0.4">
      <c r="A795" t="s">
        <v>108</v>
      </c>
      <c r="B795" t="s">
        <v>11</v>
      </c>
      <c r="C795" t="s">
        <v>12</v>
      </c>
      <c r="D795" t="s">
        <v>72</v>
      </c>
      <c r="E795" s="1">
        <v>45221</v>
      </c>
      <c r="F795">
        <v>108</v>
      </c>
      <c r="G795">
        <v>295</v>
      </c>
      <c r="H795">
        <v>184.76</v>
      </c>
      <c r="I795">
        <v>717.56</v>
      </c>
      <c r="J795" t="s">
        <v>19</v>
      </c>
      <c r="K795">
        <f t="shared" si="48"/>
        <v>77496.479999999996</v>
      </c>
      <c r="L795">
        <f t="shared" si="49"/>
        <v>57542.399999999994</v>
      </c>
      <c r="M795">
        <f t="shared" si="50"/>
        <v>0.36610169491525424</v>
      </c>
      <c r="N795">
        <f t="shared" si="51"/>
        <v>0</v>
      </c>
    </row>
    <row r="796" spans="1:14" x14ac:dyDescent="0.4">
      <c r="A796" t="s">
        <v>237</v>
      </c>
      <c r="B796" t="s">
        <v>43</v>
      </c>
      <c r="C796" t="s">
        <v>17</v>
      </c>
      <c r="D796" t="s">
        <v>13</v>
      </c>
      <c r="E796" s="1">
        <v>45593</v>
      </c>
      <c r="F796">
        <v>19</v>
      </c>
      <c r="G796">
        <v>99</v>
      </c>
      <c r="H796">
        <v>170.99</v>
      </c>
      <c r="I796">
        <v>202.91</v>
      </c>
      <c r="J796" t="s">
        <v>23</v>
      </c>
      <c r="K796">
        <f t="shared" si="48"/>
        <v>3855.29</v>
      </c>
      <c r="L796">
        <f t="shared" si="49"/>
        <v>606.47999999999979</v>
      </c>
      <c r="M796">
        <f t="shared" si="50"/>
        <v>0.19191919191919191</v>
      </c>
      <c r="N796">
        <f t="shared" si="51"/>
        <v>0</v>
      </c>
    </row>
    <row r="797" spans="1:14" x14ac:dyDescent="0.4">
      <c r="A797" t="s">
        <v>187</v>
      </c>
      <c r="B797" t="s">
        <v>16</v>
      </c>
      <c r="C797" t="s">
        <v>52</v>
      </c>
      <c r="D797" t="s">
        <v>145</v>
      </c>
      <c r="E797" s="1">
        <v>45614</v>
      </c>
      <c r="F797">
        <v>72</v>
      </c>
      <c r="G797">
        <v>77</v>
      </c>
      <c r="H797">
        <v>499.09</v>
      </c>
      <c r="I797">
        <v>597.63</v>
      </c>
      <c r="J797" t="s">
        <v>34</v>
      </c>
      <c r="K797">
        <f t="shared" si="48"/>
        <v>43029.36</v>
      </c>
      <c r="L797">
        <f t="shared" si="49"/>
        <v>7094.880000000001</v>
      </c>
      <c r="M797">
        <f t="shared" si="50"/>
        <v>0.93506493506493504</v>
      </c>
      <c r="N797">
        <f t="shared" si="51"/>
        <v>0</v>
      </c>
    </row>
    <row r="798" spans="1:14" x14ac:dyDescent="0.4">
      <c r="A798" t="s">
        <v>230</v>
      </c>
      <c r="B798" t="s">
        <v>43</v>
      </c>
      <c r="C798" t="s">
        <v>17</v>
      </c>
      <c r="D798" t="s">
        <v>41</v>
      </c>
      <c r="E798" s="1">
        <v>44857</v>
      </c>
      <c r="F798">
        <v>166</v>
      </c>
      <c r="G798">
        <v>271</v>
      </c>
      <c r="H798">
        <v>436.16</v>
      </c>
      <c r="I798">
        <v>781.36</v>
      </c>
      <c r="J798" t="s">
        <v>14</v>
      </c>
      <c r="K798">
        <f t="shared" si="48"/>
        <v>129705.76000000001</v>
      </c>
      <c r="L798">
        <f t="shared" si="49"/>
        <v>57303.199999999997</v>
      </c>
      <c r="M798">
        <f t="shared" si="50"/>
        <v>0.61254612546125464</v>
      </c>
      <c r="N798">
        <f t="shared" si="51"/>
        <v>0</v>
      </c>
    </row>
    <row r="799" spans="1:14" x14ac:dyDescent="0.4">
      <c r="A799" t="s">
        <v>217</v>
      </c>
      <c r="B799" t="s">
        <v>16</v>
      </c>
      <c r="C799" t="s">
        <v>29</v>
      </c>
      <c r="D799" t="s">
        <v>41</v>
      </c>
      <c r="E799" s="1">
        <v>45547</v>
      </c>
      <c r="F799">
        <v>3</v>
      </c>
      <c r="G799">
        <v>161</v>
      </c>
      <c r="H799">
        <v>233.57</v>
      </c>
      <c r="I799">
        <v>653.4</v>
      </c>
      <c r="J799" t="s">
        <v>14</v>
      </c>
      <c r="K799">
        <f t="shared" si="48"/>
        <v>1960.1999999999998</v>
      </c>
      <c r="L799">
        <f t="shared" si="49"/>
        <v>1259.49</v>
      </c>
      <c r="M799">
        <f t="shared" si="50"/>
        <v>1.8633540372670808E-2</v>
      </c>
      <c r="N799">
        <f t="shared" si="51"/>
        <v>0</v>
      </c>
    </row>
    <row r="800" spans="1:14" x14ac:dyDescent="0.4">
      <c r="A800" t="s">
        <v>126</v>
      </c>
      <c r="B800" t="s">
        <v>16</v>
      </c>
      <c r="C800" t="s">
        <v>17</v>
      </c>
      <c r="D800" t="s">
        <v>40</v>
      </c>
      <c r="E800" s="1">
        <v>45487</v>
      </c>
      <c r="F800">
        <v>18</v>
      </c>
      <c r="G800">
        <v>43</v>
      </c>
      <c r="H800">
        <v>491.12</v>
      </c>
      <c r="I800">
        <v>270.06</v>
      </c>
      <c r="J800" t="s">
        <v>34</v>
      </c>
      <c r="K800">
        <f t="shared" si="48"/>
        <v>4861.08</v>
      </c>
      <c r="L800">
        <f t="shared" si="49"/>
        <v>-3979.08</v>
      </c>
      <c r="M800">
        <f t="shared" si="50"/>
        <v>0.41860465116279072</v>
      </c>
      <c r="N800">
        <f t="shared" si="51"/>
        <v>0</v>
      </c>
    </row>
    <row r="801" spans="1:14" x14ac:dyDescent="0.4">
      <c r="A801" t="s">
        <v>157</v>
      </c>
      <c r="B801" t="s">
        <v>28</v>
      </c>
      <c r="C801" t="s">
        <v>17</v>
      </c>
      <c r="D801" t="s">
        <v>62</v>
      </c>
      <c r="E801" s="1">
        <v>45201</v>
      </c>
      <c r="F801">
        <v>101</v>
      </c>
      <c r="G801">
        <v>237</v>
      </c>
      <c r="H801">
        <v>342.55</v>
      </c>
      <c r="I801">
        <v>735.86</v>
      </c>
      <c r="J801" t="s">
        <v>14</v>
      </c>
      <c r="K801">
        <f t="shared" si="48"/>
        <v>74321.86</v>
      </c>
      <c r="L801">
        <f t="shared" si="49"/>
        <v>39724.31</v>
      </c>
      <c r="M801">
        <f t="shared" si="50"/>
        <v>0.42616033755274263</v>
      </c>
      <c r="N801">
        <f t="shared" si="51"/>
        <v>0</v>
      </c>
    </row>
    <row r="802" spans="1:14" x14ac:dyDescent="0.4">
      <c r="A802" t="s">
        <v>74</v>
      </c>
      <c r="B802" t="s">
        <v>16</v>
      </c>
      <c r="C802" t="s">
        <v>52</v>
      </c>
      <c r="D802" t="s">
        <v>40</v>
      </c>
      <c r="E802" s="1">
        <v>44901</v>
      </c>
      <c r="F802">
        <v>172</v>
      </c>
      <c r="G802">
        <v>133</v>
      </c>
      <c r="H802">
        <v>383.91</v>
      </c>
      <c r="I802">
        <v>165.18</v>
      </c>
      <c r="J802" t="s">
        <v>14</v>
      </c>
      <c r="K802">
        <f t="shared" si="48"/>
        <v>28410.960000000003</v>
      </c>
      <c r="L802">
        <f t="shared" si="49"/>
        <v>-37621.560000000005</v>
      </c>
      <c r="M802">
        <f t="shared" si="50"/>
        <v>1.2932330827067668</v>
      </c>
      <c r="N802">
        <f t="shared" si="51"/>
        <v>0</v>
      </c>
    </row>
    <row r="803" spans="1:14" x14ac:dyDescent="0.4">
      <c r="A803" t="s">
        <v>143</v>
      </c>
      <c r="B803" t="s">
        <v>39</v>
      </c>
      <c r="C803" t="s">
        <v>17</v>
      </c>
      <c r="D803" t="s">
        <v>62</v>
      </c>
      <c r="E803" s="1">
        <v>45189</v>
      </c>
      <c r="F803">
        <v>170</v>
      </c>
      <c r="G803">
        <v>191</v>
      </c>
      <c r="H803">
        <v>64.180000000000007</v>
      </c>
      <c r="I803">
        <v>427.7</v>
      </c>
      <c r="J803" t="s">
        <v>19</v>
      </c>
      <c r="K803">
        <f t="shared" si="48"/>
        <v>72709</v>
      </c>
      <c r="L803">
        <f t="shared" si="49"/>
        <v>61798.399999999994</v>
      </c>
      <c r="M803">
        <f t="shared" si="50"/>
        <v>0.89005235602094246</v>
      </c>
      <c r="N803">
        <f t="shared" si="51"/>
        <v>0</v>
      </c>
    </row>
    <row r="804" spans="1:14" x14ac:dyDescent="0.4">
      <c r="A804" t="s">
        <v>237</v>
      </c>
      <c r="B804" t="s">
        <v>25</v>
      </c>
      <c r="C804" t="s">
        <v>52</v>
      </c>
      <c r="D804" t="s">
        <v>41</v>
      </c>
      <c r="E804" s="1">
        <v>45000</v>
      </c>
      <c r="F804">
        <v>140</v>
      </c>
      <c r="G804">
        <v>277</v>
      </c>
      <c r="H804">
        <v>104.72</v>
      </c>
      <c r="I804">
        <v>721.28</v>
      </c>
      <c r="J804" t="s">
        <v>23</v>
      </c>
      <c r="K804">
        <f t="shared" si="48"/>
        <v>100979.2</v>
      </c>
      <c r="L804">
        <f t="shared" si="49"/>
        <v>86318.399999999994</v>
      </c>
      <c r="M804">
        <f t="shared" si="50"/>
        <v>0.50541516245487361</v>
      </c>
      <c r="N804">
        <f t="shared" si="51"/>
        <v>0</v>
      </c>
    </row>
    <row r="805" spans="1:14" x14ac:dyDescent="0.4">
      <c r="A805" t="s">
        <v>67</v>
      </c>
      <c r="B805" t="s">
        <v>36</v>
      </c>
      <c r="C805" t="s">
        <v>29</v>
      </c>
      <c r="D805" t="s">
        <v>45</v>
      </c>
      <c r="E805" s="1">
        <v>45503</v>
      </c>
      <c r="F805">
        <v>140</v>
      </c>
      <c r="G805">
        <v>17</v>
      </c>
      <c r="H805">
        <v>334.89</v>
      </c>
      <c r="I805">
        <v>548.89</v>
      </c>
      <c r="J805" t="s">
        <v>19</v>
      </c>
      <c r="K805">
        <f t="shared" si="48"/>
        <v>76844.599999999991</v>
      </c>
      <c r="L805">
        <f t="shared" si="49"/>
        <v>29960</v>
      </c>
      <c r="M805">
        <f t="shared" si="50"/>
        <v>8.235294117647058</v>
      </c>
      <c r="N805">
        <f t="shared" si="51"/>
        <v>0</v>
      </c>
    </row>
    <row r="806" spans="1:14" x14ac:dyDescent="0.4">
      <c r="A806" t="s">
        <v>180</v>
      </c>
      <c r="B806" t="s">
        <v>58</v>
      </c>
      <c r="C806" t="s">
        <v>52</v>
      </c>
      <c r="D806" t="s">
        <v>13</v>
      </c>
      <c r="E806" s="1">
        <v>45391</v>
      </c>
      <c r="F806">
        <v>187</v>
      </c>
      <c r="G806">
        <v>11</v>
      </c>
      <c r="H806">
        <v>454.56</v>
      </c>
      <c r="I806">
        <v>389.55</v>
      </c>
      <c r="J806" t="s">
        <v>23</v>
      </c>
      <c r="K806">
        <f t="shared" si="48"/>
        <v>72845.850000000006</v>
      </c>
      <c r="L806">
        <f t="shared" si="49"/>
        <v>-12156.869999999999</v>
      </c>
      <c r="M806">
        <f t="shared" si="50"/>
        <v>17</v>
      </c>
      <c r="N806">
        <f t="shared" si="51"/>
        <v>0</v>
      </c>
    </row>
    <row r="807" spans="1:14" x14ac:dyDescent="0.4">
      <c r="A807" t="s">
        <v>236</v>
      </c>
      <c r="B807" t="s">
        <v>43</v>
      </c>
      <c r="C807" t="s">
        <v>52</v>
      </c>
      <c r="D807" t="s">
        <v>26</v>
      </c>
      <c r="E807" s="1">
        <v>45080</v>
      </c>
      <c r="F807">
        <v>184</v>
      </c>
      <c r="G807">
        <v>179</v>
      </c>
      <c r="H807">
        <v>330.68</v>
      </c>
      <c r="I807">
        <v>304.97000000000003</v>
      </c>
      <c r="J807" t="s">
        <v>14</v>
      </c>
      <c r="K807">
        <f t="shared" si="48"/>
        <v>56114.48</v>
      </c>
      <c r="L807">
        <f t="shared" si="49"/>
        <v>-4730.6399999999958</v>
      </c>
      <c r="M807">
        <f t="shared" si="50"/>
        <v>1.0279329608938548</v>
      </c>
      <c r="N807">
        <f t="shared" si="51"/>
        <v>0</v>
      </c>
    </row>
    <row r="808" spans="1:14" x14ac:dyDescent="0.4">
      <c r="A808" t="s">
        <v>138</v>
      </c>
      <c r="B808" t="s">
        <v>36</v>
      </c>
      <c r="C808" t="s">
        <v>12</v>
      </c>
      <c r="D808" t="s">
        <v>145</v>
      </c>
      <c r="E808" s="1">
        <v>45537</v>
      </c>
      <c r="F808">
        <v>85</v>
      </c>
      <c r="G808">
        <v>122</v>
      </c>
      <c r="H808">
        <v>110.31</v>
      </c>
      <c r="I808">
        <v>362.57</v>
      </c>
      <c r="J808" t="s">
        <v>23</v>
      </c>
      <c r="K808">
        <f t="shared" si="48"/>
        <v>30818.45</v>
      </c>
      <c r="L808">
        <f t="shared" si="49"/>
        <v>21442.1</v>
      </c>
      <c r="M808">
        <f t="shared" si="50"/>
        <v>0.69672131147540983</v>
      </c>
      <c r="N808">
        <f t="shared" si="51"/>
        <v>0</v>
      </c>
    </row>
    <row r="809" spans="1:14" x14ac:dyDescent="0.4">
      <c r="A809" t="s">
        <v>124</v>
      </c>
      <c r="B809" t="s">
        <v>58</v>
      </c>
      <c r="C809" t="s">
        <v>17</v>
      </c>
      <c r="D809" t="s">
        <v>40</v>
      </c>
      <c r="E809" s="1">
        <v>45630</v>
      </c>
      <c r="F809">
        <v>51</v>
      </c>
      <c r="G809">
        <v>245</v>
      </c>
      <c r="H809">
        <v>102.09</v>
      </c>
      <c r="I809">
        <v>456.26</v>
      </c>
      <c r="J809" t="s">
        <v>14</v>
      </c>
      <c r="K809">
        <f t="shared" si="48"/>
        <v>23269.26</v>
      </c>
      <c r="L809">
        <f t="shared" si="49"/>
        <v>18062.669999999998</v>
      </c>
      <c r="M809">
        <f t="shared" si="50"/>
        <v>0.20816326530612245</v>
      </c>
      <c r="N809">
        <f t="shared" si="51"/>
        <v>0</v>
      </c>
    </row>
    <row r="810" spans="1:14" x14ac:dyDescent="0.4">
      <c r="A810" t="s">
        <v>242</v>
      </c>
      <c r="B810" t="s">
        <v>25</v>
      </c>
      <c r="C810" t="s">
        <v>29</v>
      </c>
      <c r="D810" t="s">
        <v>97</v>
      </c>
      <c r="E810" s="1">
        <v>45516</v>
      </c>
      <c r="F810">
        <v>110</v>
      </c>
      <c r="G810">
        <v>221</v>
      </c>
      <c r="H810">
        <v>429.88</v>
      </c>
      <c r="I810">
        <v>323.33</v>
      </c>
      <c r="J810" t="s">
        <v>14</v>
      </c>
      <c r="K810">
        <f t="shared" si="48"/>
        <v>35566.299999999996</v>
      </c>
      <c r="L810">
        <f t="shared" si="49"/>
        <v>-11720.500000000002</v>
      </c>
      <c r="M810">
        <f t="shared" si="50"/>
        <v>0.49773755656108598</v>
      </c>
      <c r="N810">
        <f t="shared" si="51"/>
        <v>0</v>
      </c>
    </row>
    <row r="811" spans="1:14" x14ac:dyDescent="0.4">
      <c r="A811" t="s">
        <v>81</v>
      </c>
      <c r="B811" t="s">
        <v>25</v>
      </c>
      <c r="C811" t="s">
        <v>52</v>
      </c>
      <c r="D811" t="s">
        <v>62</v>
      </c>
      <c r="E811" s="1">
        <v>45513</v>
      </c>
      <c r="F811">
        <v>180</v>
      </c>
      <c r="G811">
        <v>50</v>
      </c>
      <c r="H811">
        <v>112.69</v>
      </c>
      <c r="I811">
        <v>778.28</v>
      </c>
      <c r="J811" t="s">
        <v>19</v>
      </c>
      <c r="K811">
        <f t="shared" si="48"/>
        <v>140090.4</v>
      </c>
      <c r="L811">
        <f t="shared" si="49"/>
        <v>119806.19999999998</v>
      </c>
      <c r="M811">
        <f t="shared" si="50"/>
        <v>3.6</v>
      </c>
      <c r="N811">
        <f t="shared" si="51"/>
        <v>0</v>
      </c>
    </row>
    <row r="812" spans="1:14" x14ac:dyDescent="0.4">
      <c r="A812" t="s">
        <v>208</v>
      </c>
      <c r="B812" t="s">
        <v>43</v>
      </c>
      <c r="C812" t="s">
        <v>29</v>
      </c>
      <c r="D812" t="s">
        <v>132</v>
      </c>
      <c r="E812" s="1">
        <v>45505</v>
      </c>
      <c r="F812">
        <v>108</v>
      </c>
      <c r="G812">
        <v>70</v>
      </c>
      <c r="H812">
        <v>284.10000000000002</v>
      </c>
      <c r="I812">
        <v>753.15</v>
      </c>
      <c r="J812" t="s">
        <v>19</v>
      </c>
      <c r="K812">
        <f t="shared" si="48"/>
        <v>81340.2</v>
      </c>
      <c r="L812">
        <f t="shared" si="49"/>
        <v>50657.399999999994</v>
      </c>
      <c r="M812">
        <f t="shared" si="50"/>
        <v>1.5428571428571429</v>
      </c>
      <c r="N812">
        <f t="shared" si="51"/>
        <v>0</v>
      </c>
    </row>
    <row r="813" spans="1:14" x14ac:dyDescent="0.4">
      <c r="A813" t="s">
        <v>193</v>
      </c>
      <c r="B813" t="s">
        <v>43</v>
      </c>
      <c r="C813" t="s">
        <v>12</v>
      </c>
      <c r="D813" t="s">
        <v>40</v>
      </c>
      <c r="E813" s="1">
        <v>44716</v>
      </c>
      <c r="F813">
        <v>85</v>
      </c>
      <c r="G813">
        <v>47</v>
      </c>
      <c r="H813">
        <v>66.7</v>
      </c>
      <c r="I813">
        <v>709.47</v>
      </c>
      <c r="J813" t="s">
        <v>30</v>
      </c>
      <c r="K813">
        <f t="shared" si="48"/>
        <v>60304.950000000004</v>
      </c>
      <c r="L813">
        <f t="shared" si="49"/>
        <v>54635.45</v>
      </c>
      <c r="M813">
        <f t="shared" si="50"/>
        <v>1.8085106382978724</v>
      </c>
      <c r="N813">
        <f t="shared" si="51"/>
        <v>0</v>
      </c>
    </row>
    <row r="814" spans="1:14" x14ac:dyDescent="0.4">
      <c r="A814" t="s">
        <v>111</v>
      </c>
      <c r="B814" t="s">
        <v>25</v>
      </c>
      <c r="C814" t="s">
        <v>17</v>
      </c>
      <c r="D814" t="s">
        <v>132</v>
      </c>
      <c r="E814" s="1">
        <v>44649</v>
      </c>
      <c r="F814">
        <v>42</v>
      </c>
      <c r="G814">
        <v>18</v>
      </c>
      <c r="H814">
        <v>86.3</v>
      </c>
      <c r="I814">
        <v>395.28</v>
      </c>
      <c r="J814" t="s">
        <v>34</v>
      </c>
      <c r="K814">
        <f t="shared" si="48"/>
        <v>16601.759999999998</v>
      </c>
      <c r="L814">
        <f t="shared" si="49"/>
        <v>12977.159999999998</v>
      </c>
      <c r="M814">
        <f t="shared" si="50"/>
        <v>2.3333333333333335</v>
      </c>
      <c r="N814">
        <f t="shared" si="51"/>
        <v>0</v>
      </c>
    </row>
    <row r="815" spans="1:14" x14ac:dyDescent="0.4">
      <c r="A815" t="s">
        <v>239</v>
      </c>
      <c r="B815" t="s">
        <v>58</v>
      </c>
      <c r="C815" t="s">
        <v>52</v>
      </c>
      <c r="D815" t="s">
        <v>47</v>
      </c>
      <c r="E815" s="1">
        <v>45492</v>
      </c>
      <c r="F815">
        <v>199</v>
      </c>
      <c r="G815">
        <v>261</v>
      </c>
      <c r="H815">
        <v>352.56</v>
      </c>
      <c r="I815">
        <v>583.91</v>
      </c>
      <c r="J815" t="s">
        <v>30</v>
      </c>
      <c r="K815">
        <f t="shared" si="48"/>
        <v>116198.09</v>
      </c>
      <c r="L815">
        <f t="shared" si="49"/>
        <v>46038.649999999994</v>
      </c>
      <c r="M815">
        <f t="shared" si="50"/>
        <v>0.76245210727969348</v>
      </c>
      <c r="N815">
        <f t="shared" si="51"/>
        <v>0</v>
      </c>
    </row>
    <row r="816" spans="1:14" x14ac:dyDescent="0.4">
      <c r="A816" t="s">
        <v>243</v>
      </c>
      <c r="B816" t="s">
        <v>16</v>
      </c>
      <c r="C816" t="s">
        <v>17</v>
      </c>
      <c r="D816" t="s">
        <v>66</v>
      </c>
      <c r="E816" s="1">
        <v>44740</v>
      </c>
      <c r="F816">
        <v>199</v>
      </c>
      <c r="G816">
        <v>83</v>
      </c>
      <c r="H816">
        <v>360.13</v>
      </c>
      <c r="I816">
        <v>731.98</v>
      </c>
      <c r="J816" t="s">
        <v>30</v>
      </c>
      <c r="K816">
        <f t="shared" si="48"/>
        <v>145664.01999999999</v>
      </c>
      <c r="L816">
        <f t="shared" si="49"/>
        <v>73998.150000000009</v>
      </c>
      <c r="M816">
        <f t="shared" si="50"/>
        <v>2.3975903614457832</v>
      </c>
      <c r="N816">
        <f t="shared" si="51"/>
        <v>0</v>
      </c>
    </row>
    <row r="817" spans="1:14" x14ac:dyDescent="0.4">
      <c r="A817" t="s">
        <v>164</v>
      </c>
      <c r="B817" t="s">
        <v>11</v>
      </c>
      <c r="C817" t="s">
        <v>12</v>
      </c>
      <c r="D817" t="s">
        <v>97</v>
      </c>
      <c r="E817" s="1">
        <v>44773</v>
      </c>
      <c r="F817">
        <v>41</v>
      </c>
      <c r="G817">
        <v>154</v>
      </c>
      <c r="H817">
        <v>203.66</v>
      </c>
      <c r="I817">
        <v>695.3</v>
      </c>
      <c r="J817" t="s">
        <v>23</v>
      </c>
      <c r="K817">
        <f t="shared" si="48"/>
        <v>28507.3</v>
      </c>
      <c r="L817">
        <f t="shared" si="49"/>
        <v>20157.239999999998</v>
      </c>
      <c r="M817">
        <f t="shared" si="50"/>
        <v>0.26623376623376621</v>
      </c>
      <c r="N817">
        <f t="shared" si="51"/>
        <v>0</v>
      </c>
    </row>
    <row r="818" spans="1:14" x14ac:dyDescent="0.4">
      <c r="A818" t="s">
        <v>209</v>
      </c>
      <c r="B818" t="s">
        <v>21</v>
      </c>
      <c r="C818" t="s">
        <v>12</v>
      </c>
      <c r="D818" t="s">
        <v>33</v>
      </c>
      <c r="E818" s="1">
        <v>45026</v>
      </c>
      <c r="F818">
        <v>89</v>
      </c>
      <c r="G818">
        <v>52</v>
      </c>
      <c r="H818">
        <v>147.02000000000001</v>
      </c>
      <c r="I818">
        <v>390.03</v>
      </c>
      <c r="J818" t="s">
        <v>14</v>
      </c>
      <c r="K818">
        <f t="shared" si="48"/>
        <v>34712.67</v>
      </c>
      <c r="L818">
        <f t="shared" si="49"/>
        <v>21627.889999999996</v>
      </c>
      <c r="M818">
        <f t="shared" si="50"/>
        <v>1.7115384615384615</v>
      </c>
      <c r="N818">
        <f t="shared" si="51"/>
        <v>0</v>
      </c>
    </row>
    <row r="819" spans="1:14" x14ac:dyDescent="0.4">
      <c r="A819" t="s">
        <v>226</v>
      </c>
      <c r="B819" t="s">
        <v>36</v>
      </c>
      <c r="C819" t="s">
        <v>29</v>
      </c>
      <c r="D819" t="s">
        <v>45</v>
      </c>
      <c r="E819" s="1">
        <v>45192</v>
      </c>
      <c r="F819">
        <v>114</v>
      </c>
      <c r="G819">
        <v>106</v>
      </c>
      <c r="H819">
        <v>416.17</v>
      </c>
      <c r="I819">
        <v>178.67</v>
      </c>
      <c r="J819" t="s">
        <v>14</v>
      </c>
      <c r="K819">
        <f t="shared" si="48"/>
        <v>20368.379999999997</v>
      </c>
      <c r="L819">
        <f t="shared" si="49"/>
        <v>-27075.000000000004</v>
      </c>
      <c r="M819">
        <f t="shared" si="50"/>
        <v>1.0754716981132075</v>
      </c>
      <c r="N819">
        <f t="shared" si="51"/>
        <v>0</v>
      </c>
    </row>
    <row r="820" spans="1:14" x14ac:dyDescent="0.4">
      <c r="A820" t="s">
        <v>56</v>
      </c>
      <c r="B820" t="s">
        <v>28</v>
      </c>
      <c r="C820" t="s">
        <v>52</v>
      </c>
      <c r="D820" t="s">
        <v>33</v>
      </c>
      <c r="E820" s="1">
        <v>45386</v>
      </c>
      <c r="F820">
        <v>25</v>
      </c>
      <c r="G820">
        <v>134</v>
      </c>
      <c r="H820">
        <v>147.69999999999999</v>
      </c>
      <c r="I820">
        <v>152.94</v>
      </c>
      <c r="J820" t="s">
        <v>14</v>
      </c>
      <c r="K820">
        <f t="shared" si="48"/>
        <v>3823.5</v>
      </c>
      <c r="L820">
        <f t="shared" si="49"/>
        <v>131.00000000000023</v>
      </c>
      <c r="M820">
        <f t="shared" si="50"/>
        <v>0.18656716417910449</v>
      </c>
      <c r="N820">
        <f t="shared" si="51"/>
        <v>0</v>
      </c>
    </row>
    <row r="821" spans="1:14" x14ac:dyDescent="0.4">
      <c r="A821" t="s">
        <v>167</v>
      </c>
      <c r="B821" t="s">
        <v>36</v>
      </c>
      <c r="C821" t="s">
        <v>29</v>
      </c>
      <c r="D821" t="s">
        <v>40</v>
      </c>
      <c r="E821" s="1">
        <v>45168</v>
      </c>
      <c r="F821">
        <v>150</v>
      </c>
      <c r="G821">
        <v>68</v>
      </c>
      <c r="H821">
        <v>293.91000000000003</v>
      </c>
      <c r="I821">
        <v>503.94</v>
      </c>
      <c r="J821" t="s">
        <v>34</v>
      </c>
      <c r="K821">
        <f t="shared" si="48"/>
        <v>75591</v>
      </c>
      <c r="L821">
        <f t="shared" si="49"/>
        <v>31504.499999999996</v>
      </c>
      <c r="M821">
        <f t="shared" si="50"/>
        <v>2.2058823529411766</v>
      </c>
      <c r="N821">
        <f t="shared" si="51"/>
        <v>0</v>
      </c>
    </row>
    <row r="822" spans="1:14" x14ac:dyDescent="0.4">
      <c r="A822" t="s">
        <v>238</v>
      </c>
      <c r="B822" t="s">
        <v>28</v>
      </c>
      <c r="C822" t="s">
        <v>12</v>
      </c>
      <c r="D822" t="s">
        <v>53</v>
      </c>
      <c r="E822" s="1">
        <v>45446</v>
      </c>
      <c r="F822">
        <v>42</v>
      </c>
      <c r="G822">
        <v>10</v>
      </c>
      <c r="H822">
        <v>485.69</v>
      </c>
      <c r="I822">
        <v>549.84</v>
      </c>
      <c r="J822" t="s">
        <v>23</v>
      </c>
      <c r="K822">
        <f t="shared" si="48"/>
        <v>23093.280000000002</v>
      </c>
      <c r="L822">
        <f t="shared" si="49"/>
        <v>2694.3000000000015</v>
      </c>
      <c r="M822">
        <f t="shared" si="50"/>
        <v>4.2</v>
      </c>
      <c r="N822">
        <f t="shared" si="51"/>
        <v>0</v>
      </c>
    </row>
    <row r="823" spans="1:14" x14ac:dyDescent="0.4">
      <c r="A823" t="s">
        <v>178</v>
      </c>
      <c r="B823" t="s">
        <v>58</v>
      </c>
      <c r="C823" t="s">
        <v>17</v>
      </c>
      <c r="D823" t="s">
        <v>33</v>
      </c>
      <c r="E823" s="1">
        <v>44927</v>
      </c>
      <c r="F823">
        <v>76</v>
      </c>
      <c r="G823">
        <v>142</v>
      </c>
      <c r="H823">
        <v>116.53</v>
      </c>
      <c r="I823">
        <v>694.89</v>
      </c>
      <c r="J823" t="s">
        <v>23</v>
      </c>
      <c r="K823">
        <f t="shared" si="48"/>
        <v>52811.64</v>
      </c>
      <c r="L823">
        <f t="shared" si="49"/>
        <v>43955.360000000001</v>
      </c>
      <c r="M823">
        <f t="shared" si="50"/>
        <v>0.53521126760563376</v>
      </c>
      <c r="N823">
        <f t="shared" si="51"/>
        <v>0</v>
      </c>
    </row>
    <row r="824" spans="1:14" x14ac:dyDescent="0.4">
      <c r="A824" t="s">
        <v>230</v>
      </c>
      <c r="B824" t="s">
        <v>28</v>
      </c>
      <c r="C824" t="s">
        <v>29</v>
      </c>
      <c r="D824" t="s">
        <v>40</v>
      </c>
      <c r="E824" s="1">
        <v>44837</v>
      </c>
      <c r="F824">
        <v>155</v>
      </c>
      <c r="G824">
        <v>191</v>
      </c>
      <c r="H824">
        <v>473.39</v>
      </c>
      <c r="I824">
        <v>304.76</v>
      </c>
      <c r="J824" t="s">
        <v>14</v>
      </c>
      <c r="K824">
        <f t="shared" si="48"/>
        <v>47237.799999999996</v>
      </c>
      <c r="L824">
        <f t="shared" si="49"/>
        <v>-26137.649999999998</v>
      </c>
      <c r="M824">
        <f t="shared" si="50"/>
        <v>0.81151832460732987</v>
      </c>
      <c r="N824">
        <f t="shared" si="51"/>
        <v>0</v>
      </c>
    </row>
    <row r="825" spans="1:14" x14ac:dyDescent="0.4">
      <c r="A825" t="s">
        <v>245</v>
      </c>
      <c r="B825" t="s">
        <v>43</v>
      </c>
      <c r="C825" t="s">
        <v>29</v>
      </c>
      <c r="D825" t="s">
        <v>145</v>
      </c>
      <c r="E825" s="1">
        <v>44941</v>
      </c>
      <c r="F825">
        <v>136</v>
      </c>
      <c r="G825">
        <v>68</v>
      </c>
      <c r="H825">
        <v>132.30000000000001</v>
      </c>
      <c r="I825">
        <v>217.23</v>
      </c>
      <c r="J825" t="s">
        <v>30</v>
      </c>
      <c r="K825">
        <f t="shared" si="48"/>
        <v>29543.279999999999</v>
      </c>
      <c r="L825">
        <f t="shared" si="49"/>
        <v>11550.479999999998</v>
      </c>
      <c r="M825">
        <f t="shared" si="50"/>
        <v>2</v>
      </c>
      <c r="N825">
        <f t="shared" si="51"/>
        <v>0</v>
      </c>
    </row>
    <row r="826" spans="1:14" x14ac:dyDescent="0.4">
      <c r="A826" t="s">
        <v>197</v>
      </c>
      <c r="B826" t="s">
        <v>11</v>
      </c>
      <c r="C826" t="s">
        <v>17</v>
      </c>
      <c r="D826" t="s">
        <v>66</v>
      </c>
      <c r="E826" s="1">
        <v>45506</v>
      </c>
      <c r="F826">
        <v>19</v>
      </c>
      <c r="G826">
        <v>22</v>
      </c>
      <c r="H826">
        <v>305.35000000000002</v>
      </c>
      <c r="I826">
        <v>365.3</v>
      </c>
      <c r="J826" t="s">
        <v>34</v>
      </c>
      <c r="K826">
        <f t="shared" si="48"/>
        <v>6940.7</v>
      </c>
      <c r="L826">
        <f t="shared" si="49"/>
        <v>1139.0499999999997</v>
      </c>
      <c r="M826">
        <f t="shared" si="50"/>
        <v>0.86363636363636365</v>
      </c>
      <c r="N826">
        <f t="shared" si="51"/>
        <v>0</v>
      </c>
    </row>
    <row r="827" spans="1:14" x14ac:dyDescent="0.4">
      <c r="A827" t="s">
        <v>141</v>
      </c>
      <c r="B827" t="s">
        <v>11</v>
      </c>
      <c r="C827" t="s">
        <v>29</v>
      </c>
      <c r="D827" t="s">
        <v>53</v>
      </c>
      <c r="E827" s="1">
        <v>45649</v>
      </c>
      <c r="F827">
        <v>183</v>
      </c>
      <c r="G827">
        <v>180</v>
      </c>
      <c r="H827">
        <v>219.65</v>
      </c>
      <c r="I827">
        <v>347.5</v>
      </c>
      <c r="J827" t="s">
        <v>30</v>
      </c>
      <c r="K827">
        <f t="shared" si="48"/>
        <v>63592.5</v>
      </c>
      <c r="L827">
        <f t="shared" si="49"/>
        <v>23396.55</v>
      </c>
      <c r="M827">
        <f t="shared" si="50"/>
        <v>1.0166666666666666</v>
      </c>
      <c r="N827">
        <f t="shared" si="51"/>
        <v>0</v>
      </c>
    </row>
    <row r="828" spans="1:14" x14ac:dyDescent="0.4">
      <c r="A828" t="s">
        <v>79</v>
      </c>
      <c r="B828" t="s">
        <v>43</v>
      </c>
      <c r="C828" t="s">
        <v>17</v>
      </c>
      <c r="D828" t="s">
        <v>69</v>
      </c>
      <c r="E828" s="1">
        <v>45371</v>
      </c>
      <c r="F828">
        <v>38</v>
      </c>
      <c r="G828">
        <v>292</v>
      </c>
      <c r="H828">
        <v>484.22</v>
      </c>
      <c r="I828">
        <v>192.73</v>
      </c>
      <c r="J828" t="s">
        <v>19</v>
      </c>
      <c r="K828">
        <f t="shared" si="48"/>
        <v>7323.74</v>
      </c>
      <c r="L828">
        <f t="shared" si="49"/>
        <v>-11076.62</v>
      </c>
      <c r="M828">
        <f t="shared" si="50"/>
        <v>0.13013698630136986</v>
      </c>
      <c r="N828">
        <f t="shared" si="51"/>
        <v>0</v>
      </c>
    </row>
    <row r="829" spans="1:14" x14ac:dyDescent="0.4">
      <c r="A829" t="s">
        <v>219</v>
      </c>
      <c r="B829" t="s">
        <v>39</v>
      </c>
      <c r="C829" t="s">
        <v>52</v>
      </c>
      <c r="D829" t="s">
        <v>97</v>
      </c>
      <c r="E829" s="1">
        <v>45486</v>
      </c>
      <c r="F829">
        <v>178</v>
      </c>
      <c r="G829">
        <v>8</v>
      </c>
      <c r="H829">
        <v>173.09</v>
      </c>
      <c r="I829">
        <v>570.6</v>
      </c>
      <c r="J829" t="s">
        <v>23</v>
      </c>
      <c r="K829">
        <f t="shared" si="48"/>
        <v>101566.8</v>
      </c>
      <c r="L829">
        <f t="shared" si="49"/>
        <v>70756.78</v>
      </c>
      <c r="M829">
        <f t="shared" si="50"/>
        <v>22.25</v>
      </c>
      <c r="N829">
        <f t="shared" si="51"/>
        <v>0</v>
      </c>
    </row>
    <row r="830" spans="1:14" x14ac:dyDescent="0.4">
      <c r="A830" t="s">
        <v>106</v>
      </c>
      <c r="B830" t="s">
        <v>58</v>
      </c>
      <c r="C830" t="s">
        <v>17</v>
      </c>
      <c r="D830" t="s">
        <v>47</v>
      </c>
      <c r="E830" s="1">
        <v>45055</v>
      </c>
      <c r="F830">
        <v>11</v>
      </c>
      <c r="G830">
        <v>270</v>
      </c>
      <c r="H830">
        <v>229.85</v>
      </c>
      <c r="I830">
        <v>456.08</v>
      </c>
      <c r="J830" t="s">
        <v>23</v>
      </c>
      <c r="K830">
        <f t="shared" si="48"/>
        <v>5016.88</v>
      </c>
      <c r="L830">
        <f t="shared" si="49"/>
        <v>2488.5299999999997</v>
      </c>
      <c r="M830">
        <f t="shared" si="50"/>
        <v>4.0740740740740744E-2</v>
      </c>
      <c r="N830">
        <f t="shared" si="51"/>
        <v>0</v>
      </c>
    </row>
    <row r="831" spans="1:14" x14ac:dyDescent="0.4">
      <c r="A831" t="s">
        <v>77</v>
      </c>
      <c r="B831" t="s">
        <v>39</v>
      </c>
      <c r="C831" t="s">
        <v>52</v>
      </c>
      <c r="D831" t="s">
        <v>37</v>
      </c>
      <c r="E831" s="1">
        <v>45656</v>
      </c>
      <c r="F831">
        <v>182</v>
      </c>
      <c r="G831">
        <v>92</v>
      </c>
      <c r="H831">
        <v>492.29</v>
      </c>
      <c r="I831">
        <v>604.79</v>
      </c>
      <c r="J831" t="s">
        <v>30</v>
      </c>
      <c r="K831">
        <f t="shared" si="48"/>
        <v>110071.78</v>
      </c>
      <c r="L831">
        <f t="shared" si="49"/>
        <v>20474.999999999989</v>
      </c>
      <c r="M831">
        <f t="shared" si="50"/>
        <v>1.9782608695652173</v>
      </c>
      <c r="N831">
        <f t="shared" si="51"/>
        <v>0</v>
      </c>
    </row>
    <row r="832" spans="1:14" x14ac:dyDescent="0.4">
      <c r="A832" t="s">
        <v>139</v>
      </c>
      <c r="B832" t="s">
        <v>39</v>
      </c>
      <c r="C832" t="s">
        <v>17</v>
      </c>
      <c r="D832" t="s">
        <v>47</v>
      </c>
      <c r="E832" s="1">
        <v>44925</v>
      </c>
      <c r="F832">
        <v>10</v>
      </c>
      <c r="G832">
        <v>16</v>
      </c>
      <c r="H832">
        <v>291.41000000000003</v>
      </c>
      <c r="I832">
        <v>346.88</v>
      </c>
      <c r="J832" t="s">
        <v>34</v>
      </c>
      <c r="K832">
        <f t="shared" si="48"/>
        <v>3468.8</v>
      </c>
      <c r="L832">
        <f t="shared" si="49"/>
        <v>554.6999999999997</v>
      </c>
      <c r="M832">
        <f t="shared" si="50"/>
        <v>0.625</v>
      </c>
      <c r="N832">
        <f t="shared" si="51"/>
        <v>0</v>
      </c>
    </row>
    <row r="833" spans="1:14" x14ac:dyDescent="0.4">
      <c r="A833" t="s">
        <v>169</v>
      </c>
      <c r="B833" t="s">
        <v>36</v>
      </c>
      <c r="C833" t="s">
        <v>12</v>
      </c>
      <c r="D833" t="s">
        <v>18</v>
      </c>
      <c r="E833" s="1">
        <v>45131</v>
      </c>
      <c r="F833">
        <v>153</v>
      </c>
      <c r="G833">
        <v>153</v>
      </c>
      <c r="H833">
        <v>276.18</v>
      </c>
      <c r="I833">
        <v>327.99</v>
      </c>
      <c r="J833" t="s">
        <v>23</v>
      </c>
      <c r="K833">
        <f t="shared" si="48"/>
        <v>50182.47</v>
      </c>
      <c r="L833">
        <f t="shared" si="49"/>
        <v>7926.93</v>
      </c>
      <c r="M833">
        <f t="shared" si="50"/>
        <v>1</v>
      </c>
      <c r="N833">
        <f t="shared" si="51"/>
        <v>0</v>
      </c>
    </row>
    <row r="834" spans="1:14" x14ac:dyDescent="0.4">
      <c r="A834" t="s">
        <v>214</v>
      </c>
      <c r="B834" t="s">
        <v>25</v>
      </c>
      <c r="C834" t="s">
        <v>12</v>
      </c>
      <c r="D834" t="s">
        <v>66</v>
      </c>
      <c r="E834" s="1">
        <v>45324</v>
      </c>
      <c r="F834">
        <v>41</v>
      </c>
      <c r="G834">
        <v>148</v>
      </c>
      <c r="H834">
        <v>166</v>
      </c>
      <c r="I834">
        <v>430.8</v>
      </c>
      <c r="J834" t="s">
        <v>30</v>
      </c>
      <c r="K834">
        <f t="shared" si="48"/>
        <v>17662.8</v>
      </c>
      <c r="L834">
        <f t="shared" si="49"/>
        <v>10856.800000000001</v>
      </c>
      <c r="M834">
        <f t="shared" si="50"/>
        <v>0.27702702702702703</v>
      </c>
      <c r="N834">
        <f t="shared" si="51"/>
        <v>0</v>
      </c>
    </row>
    <row r="835" spans="1:14" x14ac:dyDescent="0.4">
      <c r="A835" t="s">
        <v>227</v>
      </c>
      <c r="B835" t="s">
        <v>36</v>
      </c>
      <c r="C835" t="s">
        <v>52</v>
      </c>
      <c r="D835" t="s">
        <v>132</v>
      </c>
      <c r="E835" s="1">
        <v>44837</v>
      </c>
      <c r="F835">
        <v>154</v>
      </c>
      <c r="G835">
        <v>266</v>
      </c>
      <c r="H835">
        <v>365.61</v>
      </c>
      <c r="I835">
        <v>714.19</v>
      </c>
      <c r="J835" t="s">
        <v>34</v>
      </c>
      <c r="K835">
        <f t="shared" ref="K835:K898" si="52">F835 * I835</f>
        <v>109985.26000000001</v>
      </c>
      <c r="L835">
        <f t="shared" ref="L835:L898" si="53">(I835 - H835) * F835</f>
        <v>53681.320000000007</v>
      </c>
      <c r="M835">
        <f t="shared" ref="M835:M898" si="54">IF(G835=0, 0, F835/G835)</f>
        <v>0.57894736842105265</v>
      </c>
      <c r="N835">
        <f t="shared" ref="N835:N898" si="55">IF(G835=0, 1, 0)</f>
        <v>0</v>
      </c>
    </row>
    <row r="836" spans="1:14" x14ac:dyDescent="0.4">
      <c r="A836" t="s">
        <v>93</v>
      </c>
      <c r="B836" t="s">
        <v>25</v>
      </c>
      <c r="C836" t="s">
        <v>52</v>
      </c>
      <c r="D836" t="s">
        <v>97</v>
      </c>
      <c r="E836" s="1">
        <v>44611</v>
      </c>
      <c r="F836">
        <v>10</v>
      </c>
      <c r="G836">
        <v>105</v>
      </c>
      <c r="H836">
        <v>56.47</v>
      </c>
      <c r="I836">
        <v>128.19999999999999</v>
      </c>
      <c r="J836" t="s">
        <v>30</v>
      </c>
      <c r="K836">
        <f t="shared" si="52"/>
        <v>1282</v>
      </c>
      <c r="L836">
        <f t="shared" si="53"/>
        <v>717.3</v>
      </c>
      <c r="M836">
        <f t="shared" si="54"/>
        <v>9.5238095238095233E-2</v>
      </c>
      <c r="N836">
        <f t="shared" si="55"/>
        <v>0</v>
      </c>
    </row>
    <row r="837" spans="1:14" x14ac:dyDescent="0.4">
      <c r="A837" t="s">
        <v>111</v>
      </c>
      <c r="B837" t="s">
        <v>21</v>
      </c>
      <c r="C837" t="s">
        <v>12</v>
      </c>
      <c r="D837" t="s">
        <v>13</v>
      </c>
      <c r="E837" s="1">
        <v>45289</v>
      </c>
      <c r="F837">
        <v>37</v>
      </c>
      <c r="G837">
        <v>34</v>
      </c>
      <c r="H837">
        <v>72.28</v>
      </c>
      <c r="I837">
        <v>663.38</v>
      </c>
      <c r="J837" t="s">
        <v>34</v>
      </c>
      <c r="K837">
        <f t="shared" si="52"/>
        <v>24545.06</v>
      </c>
      <c r="L837">
        <f t="shared" si="53"/>
        <v>21870.7</v>
      </c>
      <c r="M837">
        <f t="shared" si="54"/>
        <v>1.088235294117647</v>
      </c>
      <c r="N837">
        <f t="shared" si="55"/>
        <v>0</v>
      </c>
    </row>
    <row r="838" spans="1:14" x14ac:dyDescent="0.4">
      <c r="A838" t="s">
        <v>31</v>
      </c>
      <c r="B838" t="s">
        <v>28</v>
      </c>
      <c r="C838" t="s">
        <v>52</v>
      </c>
      <c r="D838" t="s">
        <v>13</v>
      </c>
      <c r="E838" s="1">
        <v>45467</v>
      </c>
      <c r="F838">
        <v>97</v>
      </c>
      <c r="G838">
        <v>118</v>
      </c>
      <c r="H838">
        <v>319.70999999999998</v>
      </c>
      <c r="I838">
        <v>358.29</v>
      </c>
      <c r="J838" t="s">
        <v>14</v>
      </c>
      <c r="K838">
        <f t="shared" si="52"/>
        <v>34754.130000000005</v>
      </c>
      <c r="L838">
        <f t="shared" si="53"/>
        <v>3742.2600000000039</v>
      </c>
      <c r="M838">
        <f t="shared" si="54"/>
        <v>0.82203389830508478</v>
      </c>
      <c r="N838">
        <f t="shared" si="55"/>
        <v>0</v>
      </c>
    </row>
    <row r="839" spans="1:14" x14ac:dyDescent="0.4">
      <c r="A839" t="s">
        <v>171</v>
      </c>
      <c r="B839" t="s">
        <v>25</v>
      </c>
      <c r="C839" t="s">
        <v>17</v>
      </c>
      <c r="D839" t="s">
        <v>40</v>
      </c>
      <c r="E839" s="1">
        <v>45489</v>
      </c>
      <c r="F839">
        <v>170</v>
      </c>
      <c r="G839">
        <v>13</v>
      </c>
      <c r="H839">
        <v>203.75</v>
      </c>
      <c r="I839">
        <v>698.23</v>
      </c>
      <c r="J839" t="s">
        <v>34</v>
      </c>
      <c r="K839">
        <f t="shared" si="52"/>
        <v>118699.1</v>
      </c>
      <c r="L839">
        <f t="shared" si="53"/>
        <v>84061.6</v>
      </c>
      <c r="M839">
        <f t="shared" si="54"/>
        <v>13.076923076923077</v>
      </c>
      <c r="N839">
        <f t="shared" si="55"/>
        <v>0</v>
      </c>
    </row>
    <row r="840" spans="1:14" x14ac:dyDescent="0.4">
      <c r="A840" t="s">
        <v>117</v>
      </c>
      <c r="B840" t="s">
        <v>43</v>
      </c>
      <c r="C840" t="s">
        <v>17</v>
      </c>
      <c r="D840" t="s">
        <v>45</v>
      </c>
      <c r="E840" s="1">
        <v>45125</v>
      </c>
      <c r="F840">
        <v>18</v>
      </c>
      <c r="G840">
        <v>13</v>
      </c>
      <c r="H840">
        <v>478.99</v>
      </c>
      <c r="I840">
        <v>661.54</v>
      </c>
      <c r="J840" t="s">
        <v>19</v>
      </c>
      <c r="K840">
        <f t="shared" si="52"/>
        <v>11907.72</v>
      </c>
      <c r="L840">
        <f t="shared" si="53"/>
        <v>3285.8999999999992</v>
      </c>
      <c r="M840">
        <f t="shared" si="54"/>
        <v>1.3846153846153846</v>
      </c>
      <c r="N840">
        <f t="shared" si="55"/>
        <v>0</v>
      </c>
    </row>
    <row r="841" spans="1:14" x14ac:dyDescent="0.4">
      <c r="A841" t="s">
        <v>110</v>
      </c>
      <c r="B841" t="s">
        <v>36</v>
      </c>
      <c r="C841" t="s">
        <v>12</v>
      </c>
      <c r="D841" t="s">
        <v>18</v>
      </c>
      <c r="E841" s="1">
        <v>45344</v>
      </c>
      <c r="F841">
        <v>191</v>
      </c>
      <c r="G841">
        <v>265</v>
      </c>
      <c r="H841">
        <v>456.44</v>
      </c>
      <c r="I841">
        <v>344.13</v>
      </c>
      <c r="J841" t="s">
        <v>14</v>
      </c>
      <c r="K841">
        <f t="shared" si="52"/>
        <v>65728.83</v>
      </c>
      <c r="L841">
        <f t="shared" si="53"/>
        <v>-21451.21</v>
      </c>
      <c r="M841">
        <f t="shared" si="54"/>
        <v>0.72075471698113203</v>
      </c>
      <c r="N841">
        <f t="shared" si="55"/>
        <v>0</v>
      </c>
    </row>
    <row r="842" spans="1:14" x14ac:dyDescent="0.4">
      <c r="A842" t="s">
        <v>204</v>
      </c>
      <c r="B842" t="s">
        <v>58</v>
      </c>
      <c r="C842" t="s">
        <v>29</v>
      </c>
      <c r="D842" t="s">
        <v>26</v>
      </c>
      <c r="E842" s="1">
        <v>45046</v>
      </c>
      <c r="F842">
        <v>133</v>
      </c>
      <c r="G842">
        <v>139</v>
      </c>
      <c r="H842">
        <v>371.17</v>
      </c>
      <c r="I842">
        <v>585.71</v>
      </c>
      <c r="J842" t="s">
        <v>30</v>
      </c>
      <c r="K842">
        <f t="shared" si="52"/>
        <v>77899.430000000008</v>
      </c>
      <c r="L842">
        <f t="shared" si="53"/>
        <v>28533.820000000003</v>
      </c>
      <c r="M842">
        <f t="shared" si="54"/>
        <v>0.95683453237410077</v>
      </c>
      <c r="N842">
        <f t="shared" si="55"/>
        <v>0</v>
      </c>
    </row>
    <row r="843" spans="1:14" x14ac:dyDescent="0.4">
      <c r="A843" t="s">
        <v>168</v>
      </c>
      <c r="B843" t="s">
        <v>28</v>
      </c>
      <c r="C843" t="s">
        <v>17</v>
      </c>
      <c r="D843" t="s">
        <v>18</v>
      </c>
      <c r="E843" s="1">
        <v>45145</v>
      </c>
      <c r="F843">
        <v>173</v>
      </c>
      <c r="G843">
        <v>293</v>
      </c>
      <c r="H843">
        <v>418.17</v>
      </c>
      <c r="I843">
        <v>211.74</v>
      </c>
      <c r="J843" t="s">
        <v>14</v>
      </c>
      <c r="K843">
        <f t="shared" si="52"/>
        <v>36631.020000000004</v>
      </c>
      <c r="L843">
        <f t="shared" si="53"/>
        <v>-35712.39</v>
      </c>
      <c r="M843">
        <f t="shared" si="54"/>
        <v>0.59044368600682595</v>
      </c>
      <c r="N843">
        <f t="shared" si="55"/>
        <v>0</v>
      </c>
    </row>
    <row r="844" spans="1:14" x14ac:dyDescent="0.4">
      <c r="A844" t="s">
        <v>164</v>
      </c>
      <c r="B844" t="s">
        <v>21</v>
      </c>
      <c r="C844" t="s">
        <v>52</v>
      </c>
      <c r="D844" t="s">
        <v>33</v>
      </c>
      <c r="E844" s="1">
        <v>44797</v>
      </c>
      <c r="F844">
        <v>115</v>
      </c>
      <c r="G844">
        <v>118</v>
      </c>
      <c r="H844">
        <v>350.3</v>
      </c>
      <c r="I844">
        <v>727.4</v>
      </c>
      <c r="J844" t="s">
        <v>14</v>
      </c>
      <c r="K844">
        <f t="shared" si="52"/>
        <v>83651</v>
      </c>
      <c r="L844">
        <f t="shared" si="53"/>
        <v>43366.499999999993</v>
      </c>
      <c r="M844">
        <f t="shared" si="54"/>
        <v>0.97457627118644063</v>
      </c>
      <c r="N844">
        <f t="shared" si="55"/>
        <v>0</v>
      </c>
    </row>
    <row r="845" spans="1:14" x14ac:dyDescent="0.4">
      <c r="A845" t="s">
        <v>130</v>
      </c>
      <c r="B845" t="s">
        <v>25</v>
      </c>
      <c r="C845" t="s">
        <v>29</v>
      </c>
      <c r="D845" t="s">
        <v>53</v>
      </c>
      <c r="E845" s="1">
        <v>44617</v>
      </c>
      <c r="F845">
        <v>112</v>
      </c>
      <c r="G845">
        <v>237</v>
      </c>
      <c r="H845">
        <v>106.51</v>
      </c>
      <c r="I845">
        <v>383.14</v>
      </c>
      <c r="J845" t="s">
        <v>30</v>
      </c>
      <c r="K845">
        <f t="shared" si="52"/>
        <v>42911.68</v>
      </c>
      <c r="L845">
        <f t="shared" si="53"/>
        <v>30982.559999999998</v>
      </c>
      <c r="M845">
        <f t="shared" si="54"/>
        <v>0.47257383966244726</v>
      </c>
      <c r="N845">
        <f t="shared" si="55"/>
        <v>0</v>
      </c>
    </row>
    <row r="846" spans="1:14" x14ac:dyDescent="0.4">
      <c r="A846" t="s">
        <v>102</v>
      </c>
      <c r="B846" t="s">
        <v>21</v>
      </c>
      <c r="C846" t="s">
        <v>29</v>
      </c>
      <c r="D846" t="s">
        <v>22</v>
      </c>
      <c r="E846" s="1">
        <v>44921</v>
      </c>
      <c r="F846">
        <v>169</v>
      </c>
      <c r="G846">
        <v>33</v>
      </c>
      <c r="H846">
        <v>394.49</v>
      </c>
      <c r="I846">
        <v>418.94</v>
      </c>
      <c r="J846" t="s">
        <v>30</v>
      </c>
      <c r="K846">
        <f t="shared" si="52"/>
        <v>70800.86</v>
      </c>
      <c r="L846">
        <f t="shared" si="53"/>
        <v>4132.0499999999984</v>
      </c>
      <c r="M846">
        <f t="shared" si="54"/>
        <v>5.1212121212121211</v>
      </c>
      <c r="N846">
        <f t="shared" si="55"/>
        <v>0</v>
      </c>
    </row>
    <row r="847" spans="1:14" x14ac:dyDescent="0.4">
      <c r="A847" t="s">
        <v>134</v>
      </c>
      <c r="B847" t="s">
        <v>58</v>
      </c>
      <c r="C847" t="s">
        <v>17</v>
      </c>
      <c r="D847" t="s">
        <v>97</v>
      </c>
      <c r="E847" s="1">
        <v>44671</v>
      </c>
      <c r="F847">
        <v>64</v>
      </c>
      <c r="G847">
        <v>168</v>
      </c>
      <c r="H847">
        <v>144.59</v>
      </c>
      <c r="I847">
        <v>594.03</v>
      </c>
      <c r="J847" t="s">
        <v>19</v>
      </c>
      <c r="K847">
        <f t="shared" si="52"/>
        <v>38017.919999999998</v>
      </c>
      <c r="L847">
        <f t="shared" si="53"/>
        <v>28764.159999999996</v>
      </c>
      <c r="M847">
        <f t="shared" si="54"/>
        <v>0.38095238095238093</v>
      </c>
      <c r="N847">
        <f t="shared" si="55"/>
        <v>0</v>
      </c>
    </row>
    <row r="848" spans="1:14" x14ac:dyDescent="0.4">
      <c r="A848" t="s">
        <v>139</v>
      </c>
      <c r="B848" t="s">
        <v>39</v>
      </c>
      <c r="C848" t="s">
        <v>17</v>
      </c>
      <c r="D848" t="s">
        <v>18</v>
      </c>
      <c r="E848" s="1">
        <v>44753</v>
      </c>
      <c r="F848">
        <v>98</v>
      </c>
      <c r="G848">
        <v>9</v>
      </c>
      <c r="H848">
        <v>195.55</v>
      </c>
      <c r="I848">
        <v>674.59</v>
      </c>
      <c r="J848" t="s">
        <v>30</v>
      </c>
      <c r="K848">
        <f t="shared" si="52"/>
        <v>66109.820000000007</v>
      </c>
      <c r="L848">
        <f t="shared" si="53"/>
        <v>46945.920000000006</v>
      </c>
      <c r="M848">
        <f t="shared" si="54"/>
        <v>10.888888888888889</v>
      </c>
      <c r="N848">
        <f t="shared" si="55"/>
        <v>0</v>
      </c>
    </row>
    <row r="849" spans="1:14" x14ac:dyDescent="0.4">
      <c r="A849" t="s">
        <v>104</v>
      </c>
      <c r="B849" t="s">
        <v>11</v>
      </c>
      <c r="C849" t="s">
        <v>29</v>
      </c>
      <c r="D849" t="s">
        <v>69</v>
      </c>
      <c r="E849" s="1">
        <v>45465</v>
      </c>
      <c r="F849">
        <v>71</v>
      </c>
      <c r="G849">
        <v>121</v>
      </c>
      <c r="H849">
        <v>418.66</v>
      </c>
      <c r="I849">
        <v>265.44</v>
      </c>
      <c r="J849" t="s">
        <v>23</v>
      </c>
      <c r="K849">
        <f t="shared" si="52"/>
        <v>18846.240000000002</v>
      </c>
      <c r="L849">
        <f t="shared" si="53"/>
        <v>-10878.620000000003</v>
      </c>
      <c r="M849">
        <f t="shared" si="54"/>
        <v>0.58677685950413228</v>
      </c>
      <c r="N849">
        <f t="shared" si="55"/>
        <v>0</v>
      </c>
    </row>
    <row r="850" spans="1:14" x14ac:dyDescent="0.4">
      <c r="A850" t="s">
        <v>239</v>
      </c>
      <c r="B850" t="s">
        <v>58</v>
      </c>
      <c r="C850" t="s">
        <v>29</v>
      </c>
      <c r="D850" t="s">
        <v>33</v>
      </c>
      <c r="E850" s="1">
        <v>45423</v>
      </c>
      <c r="F850">
        <v>186</v>
      </c>
      <c r="G850">
        <v>144</v>
      </c>
      <c r="H850">
        <v>291.44</v>
      </c>
      <c r="I850">
        <v>562.95000000000005</v>
      </c>
      <c r="J850" t="s">
        <v>23</v>
      </c>
      <c r="K850">
        <f t="shared" si="52"/>
        <v>104708.70000000001</v>
      </c>
      <c r="L850">
        <f t="shared" si="53"/>
        <v>50500.860000000008</v>
      </c>
      <c r="M850">
        <f t="shared" si="54"/>
        <v>1.2916666666666667</v>
      </c>
      <c r="N850">
        <f t="shared" si="55"/>
        <v>0</v>
      </c>
    </row>
    <row r="851" spans="1:14" x14ac:dyDescent="0.4">
      <c r="A851" t="s">
        <v>218</v>
      </c>
      <c r="B851" t="s">
        <v>32</v>
      </c>
      <c r="C851" t="s">
        <v>12</v>
      </c>
      <c r="D851" t="s">
        <v>37</v>
      </c>
      <c r="E851" s="1">
        <v>45129</v>
      </c>
      <c r="F851">
        <v>51</v>
      </c>
      <c r="G851">
        <v>222</v>
      </c>
      <c r="H851">
        <v>436.97</v>
      </c>
      <c r="I851">
        <v>374.4</v>
      </c>
      <c r="J851" t="s">
        <v>19</v>
      </c>
      <c r="K851">
        <f t="shared" si="52"/>
        <v>19094.399999999998</v>
      </c>
      <c r="L851">
        <f t="shared" si="53"/>
        <v>-3191.0700000000024</v>
      </c>
      <c r="M851">
        <f t="shared" si="54"/>
        <v>0.22972972972972974</v>
      </c>
      <c r="N851">
        <f t="shared" si="55"/>
        <v>0</v>
      </c>
    </row>
    <row r="852" spans="1:14" x14ac:dyDescent="0.4">
      <c r="A852" t="s">
        <v>178</v>
      </c>
      <c r="B852" t="s">
        <v>58</v>
      </c>
      <c r="C852" t="s">
        <v>52</v>
      </c>
      <c r="D852" t="s">
        <v>72</v>
      </c>
      <c r="E852" s="1">
        <v>45645</v>
      </c>
      <c r="F852">
        <v>117</v>
      </c>
      <c r="G852">
        <v>256</v>
      </c>
      <c r="H852">
        <v>145.87</v>
      </c>
      <c r="I852">
        <v>358.09</v>
      </c>
      <c r="J852" t="s">
        <v>34</v>
      </c>
      <c r="K852">
        <f t="shared" si="52"/>
        <v>41896.53</v>
      </c>
      <c r="L852">
        <f t="shared" si="53"/>
        <v>24829.739999999998</v>
      </c>
      <c r="M852">
        <f t="shared" si="54"/>
        <v>0.45703125</v>
      </c>
      <c r="N852">
        <f t="shared" si="55"/>
        <v>0</v>
      </c>
    </row>
    <row r="853" spans="1:14" x14ac:dyDescent="0.4">
      <c r="A853" t="s">
        <v>191</v>
      </c>
      <c r="B853" t="s">
        <v>21</v>
      </c>
      <c r="C853" t="s">
        <v>12</v>
      </c>
      <c r="D853" t="s">
        <v>45</v>
      </c>
      <c r="E853" s="1">
        <v>45211</v>
      </c>
      <c r="F853">
        <v>174</v>
      </c>
      <c r="G853">
        <v>267</v>
      </c>
      <c r="H853">
        <v>323.5</v>
      </c>
      <c r="I853">
        <v>583.02</v>
      </c>
      <c r="J853" t="s">
        <v>34</v>
      </c>
      <c r="K853">
        <f t="shared" si="52"/>
        <v>101445.48</v>
      </c>
      <c r="L853">
        <f t="shared" si="53"/>
        <v>45156.479999999996</v>
      </c>
      <c r="M853">
        <f t="shared" si="54"/>
        <v>0.651685393258427</v>
      </c>
      <c r="N853">
        <f t="shared" si="55"/>
        <v>0</v>
      </c>
    </row>
    <row r="854" spans="1:14" x14ac:dyDescent="0.4">
      <c r="A854" t="s">
        <v>224</v>
      </c>
      <c r="B854" t="s">
        <v>43</v>
      </c>
      <c r="C854" t="s">
        <v>17</v>
      </c>
      <c r="D854" t="s">
        <v>47</v>
      </c>
      <c r="E854" s="1">
        <v>44600</v>
      </c>
      <c r="F854">
        <v>119</v>
      </c>
      <c r="G854">
        <v>3</v>
      </c>
      <c r="H854">
        <v>87.71</v>
      </c>
      <c r="I854">
        <v>371.03</v>
      </c>
      <c r="J854" t="s">
        <v>23</v>
      </c>
      <c r="K854">
        <f t="shared" si="52"/>
        <v>44152.57</v>
      </c>
      <c r="L854">
        <f t="shared" si="53"/>
        <v>33715.08</v>
      </c>
      <c r="M854">
        <f t="shared" si="54"/>
        <v>39.666666666666664</v>
      </c>
      <c r="N854">
        <f t="shared" si="55"/>
        <v>0</v>
      </c>
    </row>
    <row r="855" spans="1:14" x14ac:dyDescent="0.4">
      <c r="A855" t="s">
        <v>135</v>
      </c>
      <c r="B855" t="s">
        <v>36</v>
      </c>
      <c r="C855" t="s">
        <v>12</v>
      </c>
      <c r="D855" t="s">
        <v>26</v>
      </c>
      <c r="E855" s="1">
        <v>45634</v>
      </c>
      <c r="F855">
        <v>6</v>
      </c>
      <c r="G855">
        <v>105</v>
      </c>
      <c r="H855">
        <v>339.38</v>
      </c>
      <c r="I855">
        <v>342.28</v>
      </c>
      <c r="J855" t="s">
        <v>30</v>
      </c>
      <c r="K855">
        <f t="shared" si="52"/>
        <v>2053.6799999999998</v>
      </c>
      <c r="L855">
        <f t="shared" si="53"/>
        <v>17.399999999999864</v>
      </c>
      <c r="M855">
        <f t="shared" si="54"/>
        <v>5.7142857142857141E-2</v>
      </c>
      <c r="N855">
        <f t="shared" si="55"/>
        <v>0</v>
      </c>
    </row>
    <row r="856" spans="1:14" x14ac:dyDescent="0.4">
      <c r="A856" t="s">
        <v>230</v>
      </c>
      <c r="B856" t="s">
        <v>43</v>
      </c>
      <c r="C856" t="s">
        <v>12</v>
      </c>
      <c r="D856" t="s">
        <v>69</v>
      </c>
      <c r="E856" s="1">
        <v>45198</v>
      </c>
      <c r="F856">
        <v>10</v>
      </c>
      <c r="G856">
        <v>84</v>
      </c>
      <c r="H856">
        <v>393.14</v>
      </c>
      <c r="I856">
        <v>685.12</v>
      </c>
      <c r="J856" t="s">
        <v>19</v>
      </c>
      <c r="K856">
        <f t="shared" si="52"/>
        <v>6851.2</v>
      </c>
      <c r="L856">
        <f t="shared" si="53"/>
        <v>2919.8</v>
      </c>
      <c r="M856">
        <f t="shared" si="54"/>
        <v>0.11904761904761904</v>
      </c>
      <c r="N856">
        <f t="shared" si="55"/>
        <v>0</v>
      </c>
    </row>
    <row r="857" spans="1:14" x14ac:dyDescent="0.4">
      <c r="A857" t="s">
        <v>142</v>
      </c>
      <c r="B857" t="s">
        <v>21</v>
      </c>
      <c r="C857" t="s">
        <v>12</v>
      </c>
      <c r="D857" t="s">
        <v>37</v>
      </c>
      <c r="E857" s="1">
        <v>45598</v>
      </c>
      <c r="F857">
        <v>102</v>
      </c>
      <c r="G857">
        <v>213</v>
      </c>
      <c r="H857">
        <v>313.22000000000003</v>
      </c>
      <c r="I857">
        <v>170.89</v>
      </c>
      <c r="J857" t="s">
        <v>34</v>
      </c>
      <c r="K857">
        <f t="shared" si="52"/>
        <v>17430.78</v>
      </c>
      <c r="L857">
        <f t="shared" si="53"/>
        <v>-14517.660000000003</v>
      </c>
      <c r="M857">
        <f t="shared" si="54"/>
        <v>0.47887323943661969</v>
      </c>
      <c r="N857">
        <f t="shared" si="55"/>
        <v>0</v>
      </c>
    </row>
    <row r="858" spans="1:14" x14ac:dyDescent="0.4">
      <c r="A858" t="s">
        <v>158</v>
      </c>
      <c r="B858" t="s">
        <v>36</v>
      </c>
      <c r="C858" t="s">
        <v>12</v>
      </c>
      <c r="D858" t="s">
        <v>97</v>
      </c>
      <c r="E858" s="1">
        <v>44597</v>
      </c>
      <c r="F858">
        <v>60</v>
      </c>
      <c r="G858">
        <v>120</v>
      </c>
      <c r="H858">
        <v>169.8</v>
      </c>
      <c r="I858">
        <v>573.12</v>
      </c>
      <c r="J858" t="s">
        <v>34</v>
      </c>
      <c r="K858">
        <f t="shared" si="52"/>
        <v>34387.199999999997</v>
      </c>
      <c r="L858">
        <f t="shared" si="53"/>
        <v>24199.200000000001</v>
      </c>
      <c r="M858">
        <f t="shared" si="54"/>
        <v>0.5</v>
      </c>
      <c r="N858">
        <f t="shared" si="55"/>
        <v>0</v>
      </c>
    </row>
    <row r="859" spans="1:14" x14ac:dyDescent="0.4">
      <c r="A859" t="s">
        <v>44</v>
      </c>
      <c r="B859" t="s">
        <v>32</v>
      </c>
      <c r="C859" t="s">
        <v>52</v>
      </c>
      <c r="D859" t="s">
        <v>47</v>
      </c>
      <c r="E859" s="1">
        <v>44662</v>
      </c>
      <c r="F859">
        <v>67</v>
      </c>
      <c r="G859">
        <v>131</v>
      </c>
      <c r="H859">
        <v>64.099999999999994</v>
      </c>
      <c r="I859">
        <v>274.11</v>
      </c>
      <c r="J859" t="s">
        <v>14</v>
      </c>
      <c r="K859">
        <f t="shared" si="52"/>
        <v>18365.370000000003</v>
      </c>
      <c r="L859">
        <f t="shared" si="53"/>
        <v>14070.670000000002</v>
      </c>
      <c r="M859">
        <f t="shared" si="54"/>
        <v>0.51145038167938928</v>
      </c>
      <c r="N859">
        <f t="shared" si="55"/>
        <v>0</v>
      </c>
    </row>
    <row r="860" spans="1:14" x14ac:dyDescent="0.4">
      <c r="A860" t="s">
        <v>147</v>
      </c>
      <c r="B860" t="s">
        <v>11</v>
      </c>
      <c r="C860" t="s">
        <v>52</v>
      </c>
      <c r="D860" t="s">
        <v>33</v>
      </c>
      <c r="E860" s="1">
        <v>44727</v>
      </c>
      <c r="F860">
        <v>152</v>
      </c>
      <c r="G860">
        <v>196</v>
      </c>
      <c r="H860">
        <v>103.75</v>
      </c>
      <c r="I860">
        <v>110.85</v>
      </c>
      <c r="J860" t="s">
        <v>23</v>
      </c>
      <c r="K860">
        <f t="shared" si="52"/>
        <v>16849.2</v>
      </c>
      <c r="L860">
        <f t="shared" si="53"/>
        <v>1079.1999999999991</v>
      </c>
      <c r="M860">
        <f t="shared" si="54"/>
        <v>0.77551020408163263</v>
      </c>
      <c r="N860">
        <f t="shared" si="55"/>
        <v>0</v>
      </c>
    </row>
    <row r="861" spans="1:14" x14ac:dyDescent="0.4">
      <c r="A861" t="s">
        <v>10</v>
      </c>
      <c r="B861" t="s">
        <v>28</v>
      </c>
      <c r="C861" t="s">
        <v>29</v>
      </c>
      <c r="D861" t="s">
        <v>13</v>
      </c>
      <c r="E861" s="1">
        <v>44944</v>
      </c>
      <c r="F861">
        <v>139</v>
      </c>
      <c r="G861">
        <v>18</v>
      </c>
      <c r="H861">
        <v>330.04</v>
      </c>
      <c r="I861">
        <v>216.73</v>
      </c>
      <c r="J861" t="s">
        <v>30</v>
      </c>
      <c r="K861">
        <f t="shared" si="52"/>
        <v>30125.469999999998</v>
      </c>
      <c r="L861">
        <f t="shared" si="53"/>
        <v>-15750.090000000004</v>
      </c>
      <c r="M861">
        <f t="shared" si="54"/>
        <v>7.7222222222222223</v>
      </c>
      <c r="N861">
        <f t="shared" si="55"/>
        <v>0</v>
      </c>
    </row>
    <row r="862" spans="1:14" x14ac:dyDescent="0.4">
      <c r="A862" t="s">
        <v>195</v>
      </c>
      <c r="B862" t="s">
        <v>21</v>
      </c>
      <c r="C862" t="s">
        <v>17</v>
      </c>
      <c r="D862" t="s">
        <v>45</v>
      </c>
      <c r="E862" s="1">
        <v>45351</v>
      </c>
      <c r="F862">
        <v>153</v>
      </c>
      <c r="G862">
        <v>129</v>
      </c>
      <c r="H862">
        <v>470.49</v>
      </c>
      <c r="I862">
        <v>524.66</v>
      </c>
      <c r="J862" t="s">
        <v>19</v>
      </c>
      <c r="K862">
        <f t="shared" si="52"/>
        <v>80272.98</v>
      </c>
      <c r="L862">
        <f t="shared" si="53"/>
        <v>8288.0099999999929</v>
      </c>
      <c r="M862">
        <f t="shared" si="54"/>
        <v>1.1860465116279071</v>
      </c>
      <c r="N862">
        <f t="shared" si="55"/>
        <v>0</v>
      </c>
    </row>
    <row r="863" spans="1:14" x14ac:dyDescent="0.4">
      <c r="A863" t="s">
        <v>63</v>
      </c>
      <c r="B863" t="s">
        <v>25</v>
      </c>
      <c r="C863" t="s">
        <v>12</v>
      </c>
      <c r="D863" t="s">
        <v>66</v>
      </c>
      <c r="E863" s="1">
        <v>44592</v>
      </c>
      <c r="F863">
        <v>101</v>
      </c>
      <c r="G863">
        <v>11</v>
      </c>
      <c r="H863">
        <v>142.94</v>
      </c>
      <c r="I863">
        <v>596.39</v>
      </c>
      <c r="J863" t="s">
        <v>34</v>
      </c>
      <c r="K863">
        <f t="shared" si="52"/>
        <v>60235.39</v>
      </c>
      <c r="L863">
        <f t="shared" si="53"/>
        <v>45798.45</v>
      </c>
      <c r="M863">
        <f t="shared" si="54"/>
        <v>9.1818181818181817</v>
      </c>
      <c r="N863">
        <f t="shared" si="55"/>
        <v>0</v>
      </c>
    </row>
    <row r="864" spans="1:14" x14ac:dyDescent="0.4">
      <c r="A864" t="s">
        <v>60</v>
      </c>
      <c r="B864" t="s">
        <v>21</v>
      </c>
      <c r="C864" t="s">
        <v>29</v>
      </c>
      <c r="D864" t="s">
        <v>41</v>
      </c>
      <c r="E864" s="1">
        <v>44572</v>
      </c>
      <c r="F864">
        <v>109</v>
      </c>
      <c r="G864">
        <v>80</v>
      </c>
      <c r="H864">
        <v>380.76</v>
      </c>
      <c r="I864">
        <v>114.74</v>
      </c>
      <c r="J864" t="s">
        <v>14</v>
      </c>
      <c r="K864">
        <f t="shared" si="52"/>
        <v>12506.66</v>
      </c>
      <c r="L864">
        <f t="shared" si="53"/>
        <v>-28996.179999999997</v>
      </c>
      <c r="M864">
        <f t="shared" si="54"/>
        <v>1.3625</v>
      </c>
      <c r="N864">
        <f t="shared" si="55"/>
        <v>0</v>
      </c>
    </row>
    <row r="865" spans="1:14" x14ac:dyDescent="0.4">
      <c r="A865" t="s">
        <v>102</v>
      </c>
      <c r="B865" t="s">
        <v>21</v>
      </c>
      <c r="C865" t="s">
        <v>29</v>
      </c>
      <c r="D865" t="s">
        <v>18</v>
      </c>
      <c r="E865" s="1">
        <v>44657</v>
      </c>
      <c r="F865">
        <v>139</v>
      </c>
      <c r="G865">
        <v>261</v>
      </c>
      <c r="H865">
        <v>439.9</v>
      </c>
      <c r="I865">
        <v>125.5</v>
      </c>
      <c r="J865" t="s">
        <v>23</v>
      </c>
      <c r="K865">
        <f t="shared" si="52"/>
        <v>17444.5</v>
      </c>
      <c r="L865">
        <f t="shared" si="53"/>
        <v>-43701.599999999999</v>
      </c>
      <c r="M865">
        <f t="shared" si="54"/>
        <v>0.53256704980842917</v>
      </c>
      <c r="N865">
        <f t="shared" si="55"/>
        <v>0</v>
      </c>
    </row>
    <row r="866" spans="1:14" x14ac:dyDescent="0.4">
      <c r="A866" t="s">
        <v>180</v>
      </c>
      <c r="B866" t="s">
        <v>36</v>
      </c>
      <c r="C866" t="s">
        <v>29</v>
      </c>
      <c r="D866" t="s">
        <v>18</v>
      </c>
      <c r="E866" s="1">
        <v>45014</v>
      </c>
      <c r="F866">
        <v>170</v>
      </c>
      <c r="G866">
        <v>124</v>
      </c>
      <c r="H866">
        <v>284.39999999999998</v>
      </c>
      <c r="I866">
        <v>731.78</v>
      </c>
      <c r="J866" t="s">
        <v>23</v>
      </c>
      <c r="K866">
        <f t="shared" si="52"/>
        <v>124402.59999999999</v>
      </c>
      <c r="L866">
        <f t="shared" si="53"/>
        <v>76054.600000000006</v>
      </c>
      <c r="M866">
        <f t="shared" si="54"/>
        <v>1.3709677419354838</v>
      </c>
      <c r="N866">
        <f t="shared" si="55"/>
        <v>0</v>
      </c>
    </row>
    <row r="867" spans="1:14" x14ac:dyDescent="0.4">
      <c r="A867" t="s">
        <v>115</v>
      </c>
      <c r="B867" t="s">
        <v>16</v>
      </c>
      <c r="C867" t="s">
        <v>52</v>
      </c>
      <c r="D867" t="s">
        <v>97</v>
      </c>
      <c r="E867" s="1">
        <v>44753</v>
      </c>
      <c r="F867">
        <v>50</v>
      </c>
      <c r="G867">
        <v>266</v>
      </c>
      <c r="H867">
        <v>351.17</v>
      </c>
      <c r="I867">
        <v>151.31</v>
      </c>
      <c r="J867" t="s">
        <v>19</v>
      </c>
      <c r="K867">
        <f t="shared" si="52"/>
        <v>7565.5</v>
      </c>
      <c r="L867">
        <f t="shared" si="53"/>
        <v>-9993</v>
      </c>
      <c r="M867">
        <f t="shared" si="54"/>
        <v>0.18796992481203006</v>
      </c>
      <c r="N867">
        <f t="shared" si="55"/>
        <v>0</v>
      </c>
    </row>
    <row r="868" spans="1:14" x14ac:dyDescent="0.4">
      <c r="A868" t="s">
        <v>160</v>
      </c>
      <c r="B868" t="s">
        <v>58</v>
      </c>
      <c r="C868" t="s">
        <v>12</v>
      </c>
      <c r="D868" t="s">
        <v>69</v>
      </c>
      <c r="E868" s="1">
        <v>45047</v>
      </c>
      <c r="F868">
        <v>116</v>
      </c>
      <c r="G868">
        <v>139</v>
      </c>
      <c r="H868">
        <v>416.76</v>
      </c>
      <c r="I868">
        <v>725.93</v>
      </c>
      <c r="J868" t="s">
        <v>34</v>
      </c>
      <c r="K868">
        <f t="shared" si="52"/>
        <v>84207.87999999999</v>
      </c>
      <c r="L868">
        <f t="shared" si="53"/>
        <v>35863.719999999994</v>
      </c>
      <c r="M868">
        <f t="shared" si="54"/>
        <v>0.83453237410071945</v>
      </c>
      <c r="N868">
        <f t="shared" si="55"/>
        <v>0</v>
      </c>
    </row>
    <row r="869" spans="1:14" x14ac:dyDescent="0.4">
      <c r="A869" t="s">
        <v>246</v>
      </c>
      <c r="B869" t="s">
        <v>16</v>
      </c>
      <c r="C869" t="s">
        <v>12</v>
      </c>
      <c r="D869" t="s">
        <v>72</v>
      </c>
      <c r="E869" s="1">
        <v>44799</v>
      </c>
      <c r="F869">
        <v>164</v>
      </c>
      <c r="G869">
        <v>1</v>
      </c>
      <c r="H869">
        <v>167.3</v>
      </c>
      <c r="I869">
        <v>259.72000000000003</v>
      </c>
      <c r="J869" t="s">
        <v>19</v>
      </c>
      <c r="K869">
        <f t="shared" si="52"/>
        <v>42594.080000000002</v>
      </c>
      <c r="L869">
        <f t="shared" si="53"/>
        <v>15156.880000000003</v>
      </c>
      <c r="M869">
        <f t="shared" si="54"/>
        <v>164</v>
      </c>
      <c r="N869">
        <f t="shared" si="55"/>
        <v>0</v>
      </c>
    </row>
    <row r="870" spans="1:14" x14ac:dyDescent="0.4">
      <c r="A870" t="s">
        <v>240</v>
      </c>
      <c r="B870" t="s">
        <v>32</v>
      </c>
      <c r="C870" t="s">
        <v>17</v>
      </c>
      <c r="D870" t="s">
        <v>33</v>
      </c>
      <c r="E870" s="1">
        <v>45650</v>
      </c>
      <c r="F870">
        <v>45</v>
      </c>
      <c r="G870">
        <v>7</v>
      </c>
      <c r="H870">
        <v>183.6</v>
      </c>
      <c r="I870">
        <v>618.01</v>
      </c>
      <c r="J870" t="s">
        <v>19</v>
      </c>
      <c r="K870">
        <f t="shared" si="52"/>
        <v>27810.45</v>
      </c>
      <c r="L870">
        <f t="shared" si="53"/>
        <v>19548.449999999997</v>
      </c>
      <c r="M870">
        <f t="shared" si="54"/>
        <v>6.4285714285714288</v>
      </c>
      <c r="N870">
        <f t="shared" si="55"/>
        <v>0</v>
      </c>
    </row>
    <row r="871" spans="1:14" x14ac:dyDescent="0.4">
      <c r="A871" t="s">
        <v>147</v>
      </c>
      <c r="B871" t="s">
        <v>25</v>
      </c>
      <c r="C871" t="s">
        <v>12</v>
      </c>
      <c r="D871" t="s">
        <v>69</v>
      </c>
      <c r="E871" s="1">
        <v>45296</v>
      </c>
      <c r="F871">
        <v>52</v>
      </c>
      <c r="G871">
        <v>249</v>
      </c>
      <c r="H871">
        <v>50.28</v>
      </c>
      <c r="I871">
        <v>316.81</v>
      </c>
      <c r="J871" t="s">
        <v>14</v>
      </c>
      <c r="K871">
        <f t="shared" si="52"/>
        <v>16474.12</v>
      </c>
      <c r="L871">
        <f t="shared" si="53"/>
        <v>13859.559999999998</v>
      </c>
      <c r="M871">
        <f t="shared" si="54"/>
        <v>0.20883534136546184</v>
      </c>
      <c r="N871">
        <f t="shared" si="55"/>
        <v>0</v>
      </c>
    </row>
    <row r="872" spans="1:14" x14ac:dyDescent="0.4">
      <c r="A872" t="s">
        <v>107</v>
      </c>
      <c r="B872" t="s">
        <v>11</v>
      </c>
      <c r="C872" t="s">
        <v>12</v>
      </c>
      <c r="D872" t="s">
        <v>22</v>
      </c>
      <c r="E872" s="1">
        <v>45552</v>
      </c>
      <c r="F872">
        <v>87</v>
      </c>
      <c r="G872">
        <v>138</v>
      </c>
      <c r="H872">
        <v>483.39</v>
      </c>
      <c r="I872">
        <v>701.13</v>
      </c>
      <c r="J872" t="s">
        <v>23</v>
      </c>
      <c r="K872">
        <f t="shared" si="52"/>
        <v>60998.31</v>
      </c>
      <c r="L872">
        <f t="shared" si="53"/>
        <v>18943.38</v>
      </c>
      <c r="M872">
        <f t="shared" si="54"/>
        <v>0.63043478260869568</v>
      </c>
      <c r="N872">
        <f t="shared" si="55"/>
        <v>0</v>
      </c>
    </row>
    <row r="873" spans="1:14" x14ac:dyDescent="0.4">
      <c r="A873" t="s">
        <v>149</v>
      </c>
      <c r="B873" t="s">
        <v>39</v>
      </c>
      <c r="C873" t="s">
        <v>29</v>
      </c>
      <c r="D873" t="s">
        <v>65</v>
      </c>
      <c r="E873" s="1">
        <v>45386</v>
      </c>
      <c r="F873">
        <v>120</v>
      </c>
      <c r="G873">
        <v>123</v>
      </c>
      <c r="H873">
        <v>462.9</v>
      </c>
      <c r="I873">
        <v>590.32000000000005</v>
      </c>
      <c r="J873" t="s">
        <v>30</v>
      </c>
      <c r="K873">
        <f t="shared" si="52"/>
        <v>70838.400000000009</v>
      </c>
      <c r="L873">
        <f t="shared" si="53"/>
        <v>15290.400000000009</v>
      </c>
      <c r="M873">
        <f t="shared" si="54"/>
        <v>0.97560975609756095</v>
      </c>
      <c r="N873">
        <f t="shared" si="55"/>
        <v>0</v>
      </c>
    </row>
    <row r="874" spans="1:14" x14ac:dyDescent="0.4">
      <c r="A874" t="s">
        <v>195</v>
      </c>
      <c r="B874" t="s">
        <v>32</v>
      </c>
      <c r="C874" t="s">
        <v>17</v>
      </c>
      <c r="D874" t="s">
        <v>66</v>
      </c>
      <c r="E874" s="1">
        <v>44667</v>
      </c>
      <c r="F874">
        <v>12</v>
      </c>
      <c r="G874">
        <v>227</v>
      </c>
      <c r="H874">
        <v>394.06</v>
      </c>
      <c r="I874">
        <v>381.27</v>
      </c>
      <c r="J874" t="s">
        <v>23</v>
      </c>
      <c r="K874">
        <f t="shared" si="52"/>
        <v>4575.24</v>
      </c>
      <c r="L874">
        <f t="shared" si="53"/>
        <v>-153.48000000000025</v>
      </c>
      <c r="M874">
        <f t="shared" si="54"/>
        <v>5.2863436123348019E-2</v>
      </c>
      <c r="N874">
        <f t="shared" si="55"/>
        <v>0</v>
      </c>
    </row>
    <row r="875" spans="1:14" x14ac:dyDescent="0.4">
      <c r="A875" t="s">
        <v>246</v>
      </c>
      <c r="B875" t="s">
        <v>39</v>
      </c>
      <c r="C875" t="s">
        <v>12</v>
      </c>
      <c r="D875" t="s">
        <v>75</v>
      </c>
      <c r="E875" s="1">
        <v>44742</v>
      </c>
      <c r="F875">
        <v>88</v>
      </c>
      <c r="G875">
        <v>9</v>
      </c>
      <c r="H875">
        <v>85.58</v>
      </c>
      <c r="I875">
        <v>153.41</v>
      </c>
      <c r="J875" t="s">
        <v>23</v>
      </c>
      <c r="K875">
        <f t="shared" si="52"/>
        <v>13500.08</v>
      </c>
      <c r="L875">
        <f t="shared" si="53"/>
        <v>5969.04</v>
      </c>
      <c r="M875">
        <f t="shared" si="54"/>
        <v>9.7777777777777786</v>
      </c>
      <c r="N875">
        <f t="shared" si="55"/>
        <v>0</v>
      </c>
    </row>
    <row r="876" spans="1:14" x14ac:dyDescent="0.4">
      <c r="A876" t="s">
        <v>160</v>
      </c>
      <c r="B876" t="s">
        <v>39</v>
      </c>
      <c r="C876" t="s">
        <v>52</v>
      </c>
      <c r="D876" t="s">
        <v>45</v>
      </c>
      <c r="E876" s="1">
        <v>44745</v>
      </c>
      <c r="F876">
        <v>124</v>
      </c>
      <c r="G876">
        <v>211</v>
      </c>
      <c r="H876">
        <v>251.38</v>
      </c>
      <c r="I876">
        <v>612.89</v>
      </c>
      <c r="J876" t="s">
        <v>14</v>
      </c>
      <c r="K876">
        <f t="shared" si="52"/>
        <v>75998.36</v>
      </c>
      <c r="L876">
        <f t="shared" si="53"/>
        <v>44827.24</v>
      </c>
      <c r="M876">
        <f t="shared" si="54"/>
        <v>0.58767772511848337</v>
      </c>
      <c r="N876">
        <f t="shared" si="55"/>
        <v>0</v>
      </c>
    </row>
    <row r="877" spans="1:14" x14ac:dyDescent="0.4">
      <c r="A877" t="s">
        <v>105</v>
      </c>
      <c r="B877" t="s">
        <v>11</v>
      </c>
      <c r="C877" t="s">
        <v>12</v>
      </c>
      <c r="D877" t="s">
        <v>22</v>
      </c>
      <c r="E877" s="1">
        <v>44787</v>
      </c>
      <c r="F877">
        <v>117</v>
      </c>
      <c r="G877">
        <v>111</v>
      </c>
      <c r="H877">
        <v>95.85</v>
      </c>
      <c r="I877">
        <v>531.82000000000005</v>
      </c>
      <c r="J877" t="s">
        <v>30</v>
      </c>
      <c r="K877">
        <f t="shared" si="52"/>
        <v>62222.94</v>
      </c>
      <c r="L877">
        <f t="shared" si="53"/>
        <v>51008.490000000005</v>
      </c>
      <c r="M877">
        <f t="shared" si="54"/>
        <v>1.0540540540540539</v>
      </c>
      <c r="N877">
        <f t="shared" si="55"/>
        <v>0</v>
      </c>
    </row>
    <row r="878" spans="1:14" x14ac:dyDescent="0.4">
      <c r="A878" t="s">
        <v>79</v>
      </c>
      <c r="B878" t="s">
        <v>43</v>
      </c>
      <c r="C878" t="s">
        <v>29</v>
      </c>
      <c r="D878" t="s">
        <v>40</v>
      </c>
      <c r="E878" s="1">
        <v>45338</v>
      </c>
      <c r="F878">
        <v>53</v>
      </c>
      <c r="G878">
        <v>7</v>
      </c>
      <c r="H878">
        <v>57.16</v>
      </c>
      <c r="I878">
        <v>102.04</v>
      </c>
      <c r="J878" t="s">
        <v>34</v>
      </c>
      <c r="K878">
        <f t="shared" si="52"/>
        <v>5408.12</v>
      </c>
      <c r="L878">
        <f t="shared" si="53"/>
        <v>2378.6400000000003</v>
      </c>
      <c r="M878">
        <f t="shared" si="54"/>
        <v>7.5714285714285712</v>
      </c>
      <c r="N878">
        <f t="shared" si="55"/>
        <v>0</v>
      </c>
    </row>
    <row r="879" spans="1:14" x14ac:dyDescent="0.4">
      <c r="A879" t="s">
        <v>100</v>
      </c>
      <c r="B879" t="s">
        <v>16</v>
      </c>
      <c r="C879" t="s">
        <v>52</v>
      </c>
      <c r="D879" t="s">
        <v>62</v>
      </c>
      <c r="E879" s="1">
        <v>45351</v>
      </c>
      <c r="F879">
        <v>184</v>
      </c>
      <c r="G879">
        <v>291</v>
      </c>
      <c r="H879">
        <v>327.27999999999997</v>
      </c>
      <c r="I879">
        <v>106.59</v>
      </c>
      <c r="J879" t="s">
        <v>30</v>
      </c>
      <c r="K879">
        <f t="shared" si="52"/>
        <v>19612.560000000001</v>
      </c>
      <c r="L879">
        <f t="shared" si="53"/>
        <v>-40606.959999999992</v>
      </c>
      <c r="M879">
        <f t="shared" si="54"/>
        <v>0.63230240549828176</v>
      </c>
      <c r="N879">
        <f t="shared" si="55"/>
        <v>0</v>
      </c>
    </row>
    <row r="880" spans="1:14" x14ac:dyDescent="0.4">
      <c r="A880" t="s">
        <v>239</v>
      </c>
      <c r="B880" t="s">
        <v>21</v>
      </c>
      <c r="C880" t="s">
        <v>29</v>
      </c>
      <c r="D880" t="s">
        <v>75</v>
      </c>
      <c r="E880" s="1">
        <v>45249</v>
      </c>
      <c r="F880">
        <v>115</v>
      </c>
      <c r="G880">
        <v>252</v>
      </c>
      <c r="H880">
        <v>482.37</v>
      </c>
      <c r="I880">
        <v>666.16</v>
      </c>
      <c r="J880" t="s">
        <v>34</v>
      </c>
      <c r="K880">
        <f t="shared" si="52"/>
        <v>76608.399999999994</v>
      </c>
      <c r="L880">
        <f t="shared" si="53"/>
        <v>21135.849999999995</v>
      </c>
      <c r="M880">
        <f t="shared" si="54"/>
        <v>0.45634920634920634</v>
      </c>
      <c r="N880">
        <f t="shared" si="55"/>
        <v>0</v>
      </c>
    </row>
    <row r="881" spans="1:14" x14ac:dyDescent="0.4">
      <c r="A881" t="s">
        <v>152</v>
      </c>
      <c r="B881" t="s">
        <v>28</v>
      </c>
      <c r="C881" t="s">
        <v>12</v>
      </c>
      <c r="D881" t="s">
        <v>97</v>
      </c>
      <c r="E881" s="1">
        <v>45091</v>
      </c>
      <c r="F881">
        <v>117</v>
      </c>
      <c r="G881">
        <v>13</v>
      </c>
      <c r="H881">
        <v>456.29</v>
      </c>
      <c r="I881">
        <v>281.58</v>
      </c>
      <c r="J881" t="s">
        <v>30</v>
      </c>
      <c r="K881">
        <f t="shared" si="52"/>
        <v>32944.86</v>
      </c>
      <c r="L881">
        <f t="shared" si="53"/>
        <v>-20441.070000000003</v>
      </c>
      <c r="M881">
        <f t="shared" si="54"/>
        <v>9</v>
      </c>
      <c r="N881">
        <f t="shared" si="55"/>
        <v>0</v>
      </c>
    </row>
    <row r="882" spans="1:14" x14ac:dyDescent="0.4">
      <c r="A882" t="s">
        <v>87</v>
      </c>
      <c r="B882" t="s">
        <v>39</v>
      </c>
      <c r="C882" t="s">
        <v>52</v>
      </c>
      <c r="D882" t="s">
        <v>66</v>
      </c>
      <c r="E882" s="1">
        <v>45533</v>
      </c>
      <c r="F882">
        <v>3</v>
      </c>
      <c r="G882">
        <v>239</v>
      </c>
      <c r="H882">
        <v>363.54</v>
      </c>
      <c r="I882">
        <v>545.29</v>
      </c>
      <c r="J882" t="s">
        <v>19</v>
      </c>
      <c r="K882">
        <f t="shared" si="52"/>
        <v>1635.87</v>
      </c>
      <c r="L882">
        <f t="shared" si="53"/>
        <v>545.24999999999977</v>
      </c>
      <c r="M882">
        <f t="shared" si="54"/>
        <v>1.2552301255230125E-2</v>
      </c>
      <c r="N882">
        <f t="shared" si="55"/>
        <v>0</v>
      </c>
    </row>
    <row r="883" spans="1:14" x14ac:dyDescent="0.4">
      <c r="A883" t="s">
        <v>232</v>
      </c>
      <c r="B883" t="s">
        <v>25</v>
      </c>
      <c r="C883" t="s">
        <v>17</v>
      </c>
      <c r="D883" t="s">
        <v>65</v>
      </c>
      <c r="E883" s="1">
        <v>45497</v>
      </c>
      <c r="F883">
        <v>74</v>
      </c>
      <c r="G883">
        <v>241</v>
      </c>
      <c r="H883">
        <v>93.49</v>
      </c>
      <c r="I883">
        <v>417.95</v>
      </c>
      <c r="J883" t="s">
        <v>30</v>
      </c>
      <c r="K883">
        <f t="shared" si="52"/>
        <v>30928.3</v>
      </c>
      <c r="L883">
        <f t="shared" si="53"/>
        <v>24010.039999999997</v>
      </c>
      <c r="M883">
        <f t="shared" si="54"/>
        <v>0.30705394190871371</v>
      </c>
      <c r="N883">
        <f t="shared" si="55"/>
        <v>0</v>
      </c>
    </row>
    <row r="884" spans="1:14" x14ac:dyDescent="0.4">
      <c r="A884" t="s">
        <v>172</v>
      </c>
      <c r="B884" t="s">
        <v>32</v>
      </c>
      <c r="C884" t="s">
        <v>17</v>
      </c>
      <c r="D884" t="s">
        <v>66</v>
      </c>
      <c r="E884" s="1">
        <v>44667</v>
      </c>
      <c r="F884">
        <v>48</v>
      </c>
      <c r="G884">
        <v>148</v>
      </c>
      <c r="H884">
        <v>173.37</v>
      </c>
      <c r="I884">
        <v>704.4</v>
      </c>
      <c r="J884" t="s">
        <v>14</v>
      </c>
      <c r="K884">
        <f t="shared" si="52"/>
        <v>33811.199999999997</v>
      </c>
      <c r="L884">
        <f t="shared" si="53"/>
        <v>25489.439999999999</v>
      </c>
      <c r="M884">
        <f t="shared" si="54"/>
        <v>0.32432432432432434</v>
      </c>
      <c r="N884">
        <f t="shared" si="55"/>
        <v>0</v>
      </c>
    </row>
    <row r="885" spans="1:14" x14ac:dyDescent="0.4">
      <c r="A885" t="s">
        <v>178</v>
      </c>
      <c r="B885" t="s">
        <v>43</v>
      </c>
      <c r="C885" t="s">
        <v>52</v>
      </c>
      <c r="D885" t="s">
        <v>26</v>
      </c>
      <c r="E885" s="1">
        <v>45392</v>
      </c>
      <c r="F885">
        <v>6</v>
      </c>
      <c r="G885">
        <v>235</v>
      </c>
      <c r="H885">
        <v>194.03</v>
      </c>
      <c r="I885">
        <v>741.87</v>
      </c>
      <c r="J885" t="s">
        <v>34</v>
      </c>
      <c r="K885">
        <f t="shared" si="52"/>
        <v>4451.22</v>
      </c>
      <c r="L885">
        <f t="shared" si="53"/>
        <v>3287.04</v>
      </c>
      <c r="M885">
        <f t="shared" si="54"/>
        <v>2.553191489361702E-2</v>
      </c>
      <c r="N885">
        <f t="shared" si="55"/>
        <v>0</v>
      </c>
    </row>
    <row r="886" spans="1:14" x14ac:dyDescent="0.4">
      <c r="A886" t="s">
        <v>234</v>
      </c>
      <c r="B886" t="s">
        <v>39</v>
      </c>
      <c r="C886" t="s">
        <v>52</v>
      </c>
      <c r="D886" t="s">
        <v>40</v>
      </c>
      <c r="E886" s="1">
        <v>45240</v>
      </c>
      <c r="F886">
        <v>109</v>
      </c>
      <c r="G886">
        <v>166</v>
      </c>
      <c r="H886">
        <v>393.42</v>
      </c>
      <c r="I886">
        <v>797.77</v>
      </c>
      <c r="J886" t="s">
        <v>23</v>
      </c>
      <c r="K886">
        <f t="shared" si="52"/>
        <v>86956.93</v>
      </c>
      <c r="L886">
        <f t="shared" si="53"/>
        <v>44074.149999999994</v>
      </c>
      <c r="M886">
        <f t="shared" si="54"/>
        <v>0.65662650602409633</v>
      </c>
      <c r="N886">
        <f t="shared" si="55"/>
        <v>0</v>
      </c>
    </row>
    <row r="887" spans="1:14" x14ac:dyDescent="0.4">
      <c r="A887" t="s">
        <v>206</v>
      </c>
      <c r="B887" t="s">
        <v>43</v>
      </c>
      <c r="C887" t="s">
        <v>29</v>
      </c>
      <c r="D887" t="s">
        <v>69</v>
      </c>
      <c r="E887" s="1">
        <v>45410</v>
      </c>
      <c r="F887">
        <v>121</v>
      </c>
      <c r="G887">
        <v>19</v>
      </c>
      <c r="H887">
        <v>411.01</v>
      </c>
      <c r="I887">
        <v>207.58</v>
      </c>
      <c r="J887" t="s">
        <v>14</v>
      </c>
      <c r="K887">
        <f t="shared" si="52"/>
        <v>25117.18</v>
      </c>
      <c r="L887">
        <f t="shared" si="53"/>
        <v>-24615.03</v>
      </c>
      <c r="M887">
        <f t="shared" si="54"/>
        <v>6.3684210526315788</v>
      </c>
      <c r="N887">
        <f t="shared" si="55"/>
        <v>0</v>
      </c>
    </row>
    <row r="888" spans="1:14" x14ac:dyDescent="0.4">
      <c r="A888" t="s">
        <v>92</v>
      </c>
      <c r="B888" t="s">
        <v>43</v>
      </c>
      <c r="C888" t="s">
        <v>52</v>
      </c>
      <c r="D888" t="s">
        <v>26</v>
      </c>
      <c r="E888" s="1">
        <v>45617</v>
      </c>
      <c r="F888">
        <v>10</v>
      </c>
      <c r="G888">
        <v>215</v>
      </c>
      <c r="H888">
        <v>223.3</v>
      </c>
      <c r="I888">
        <v>704.07</v>
      </c>
      <c r="J888" t="s">
        <v>34</v>
      </c>
      <c r="K888">
        <f t="shared" si="52"/>
        <v>7040.7000000000007</v>
      </c>
      <c r="L888">
        <f t="shared" si="53"/>
        <v>4807.7000000000007</v>
      </c>
      <c r="M888">
        <f t="shared" si="54"/>
        <v>4.6511627906976744E-2</v>
      </c>
      <c r="N888">
        <f t="shared" si="55"/>
        <v>0</v>
      </c>
    </row>
    <row r="889" spans="1:14" x14ac:dyDescent="0.4">
      <c r="A889" t="s">
        <v>179</v>
      </c>
      <c r="B889" t="s">
        <v>39</v>
      </c>
      <c r="C889" t="s">
        <v>29</v>
      </c>
      <c r="D889" t="s">
        <v>13</v>
      </c>
      <c r="E889" s="1">
        <v>44954</v>
      </c>
      <c r="F889">
        <v>91</v>
      </c>
      <c r="G889">
        <v>134</v>
      </c>
      <c r="H889">
        <v>238.05</v>
      </c>
      <c r="I889">
        <v>286.20999999999998</v>
      </c>
      <c r="J889" t="s">
        <v>34</v>
      </c>
      <c r="K889">
        <f t="shared" si="52"/>
        <v>26045.109999999997</v>
      </c>
      <c r="L889">
        <f t="shared" si="53"/>
        <v>4382.5599999999968</v>
      </c>
      <c r="M889">
        <f t="shared" si="54"/>
        <v>0.67910447761194026</v>
      </c>
      <c r="N889">
        <f t="shared" si="55"/>
        <v>0</v>
      </c>
    </row>
    <row r="890" spans="1:14" x14ac:dyDescent="0.4">
      <c r="A890" t="s">
        <v>227</v>
      </c>
      <c r="B890" t="s">
        <v>36</v>
      </c>
      <c r="C890" t="s">
        <v>12</v>
      </c>
      <c r="D890" t="s">
        <v>132</v>
      </c>
      <c r="E890" s="1">
        <v>44601</v>
      </c>
      <c r="F890">
        <v>181</v>
      </c>
      <c r="G890">
        <v>128</v>
      </c>
      <c r="H890">
        <v>70.03</v>
      </c>
      <c r="I890">
        <v>513.57000000000005</v>
      </c>
      <c r="J890" t="s">
        <v>23</v>
      </c>
      <c r="K890">
        <f t="shared" si="52"/>
        <v>92956.170000000013</v>
      </c>
      <c r="L890">
        <f t="shared" si="53"/>
        <v>80280.74000000002</v>
      </c>
      <c r="M890">
        <f t="shared" si="54"/>
        <v>1.4140625</v>
      </c>
      <c r="N890">
        <f t="shared" si="55"/>
        <v>0</v>
      </c>
    </row>
    <row r="891" spans="1:14" x14ac:dyDescent="0.4">
      <c r="A891" t="s">
        <v>208</v>
      </c>
      <c r="B891" t="s">
        <v>58</v>
      </c>
      <c r="C891" t="s">
        <v>29</v>
      </c>
      <c r="D891" t="s">
        <v>22</v>
      </c>
      <c r="E891" s="1">
        <v>45221</v>
      </c>
      <c r="F891">
        <v>172</v>
      </c>
      <c r="G891">
        <v>293</v>
      </c>
      <c r="H891">
        <v>180.11</v>
      </c>
      <c r="I891">
        <v>454.04</v>
      </c>
      <c r="J891" t="s">
        <v>19</v>
      </c>
      <c r="K891">
        <f t="shared" si="52"/>
        <v>78094.880000000005</v>
      </c>
      <c r="L891">
        <f t="shared" si="53"/>
        <v>47115.96</v>
      </c>
      <c r="M891">
        <f t="shared" si="54"/>
        <v>0.58703071672354945</v>
      </c>
      <c r="N891">
        <f t="shared" si="55"/>
        <v>0</v>
      </c>
    </row>
    <row r="892" spans="1:14" x14ac:dyDescent="0.4">
      <c r="A892" t="s">
        <v>56</v>
      </c>
      <c r="B892" t="s">
        <v>25</v>
      </c>
      <c r="C892" t="s">
        <v>52</v>
      </c>
      <c r="D892" t="s">
        <v>66</v>
      </c>
      <c r="E892" s="1">
        <v>45542</v>
      </c>
      <c r="F892">
        <v>22</v>
      </c>
      <c r="G892">
        <v>245</v>
      </c>
      <c r="H892">
        <v>253.08</v>
      </c>
      <c r="I892">
        <v>112.59</v>
      </c>
      <c r="J892" t="s">
        <v>14</v>
      </c>
      <c r="K892">
        <f t="shared" si="52"/>
        <v>2476.98</v>
      </c>
      <c r="L892">
        <f t="shared" si="53"/>
        <v>-3090.78</v>
      </c>
      <c r="M892">
        <f t="shared" si="54"/>
        <v>8.9795918367346933E-2</v>
      </c>
      <c r="N892">
        <f t="shared" si="55"/>
        <v>0</v>
      </c>
    </row>
    <row r="893" spans="1:14" x14ac:dyDescent="0.4">
      <c r="A893" t="s">
        <v>198</v>
      </c>
      <c r="B893" t="s">
        <v>21</v>
      </c>
      <c r="C893" t="s">
        <v>52</v>
      </c>
      <c r="D893" t="s">
        <v>66</v>
      </c>
      <c r="E893" s="1">
        <v>45406</v>
      </c>
      <c r="F893">
        <v>27</v>
      </c>
      <c r="G893">
        <v>188</v>
      </c>
      <c r="H893">
        <v>102.64</v>
      </c>
      <c r="I893">
        <v>752.94</v>
      </c>
      <c r="J893" t="s">
        <v>23</v>
      </c>
      <c r="K893">
        <f t="shared" si="52"/>
        <v>20329.38</v>
      </c>
      <c r="L893">
        <f t="shared" si="53"/>
        <v>17558.100000000002</v>
      </c>
      <c r="M893">
        <f t="shared" si="54"/>
        <v>0.14361702127659576</v>
      </c>
      <c r="N893">
        <f t="shared" si="55"/>
        <v>0</v>
      </c>
    </row>
    <row r="894" spans="1:14" x14ac:dyDescent="0.4">
      <c r="A894" t="s">
        <v>175</v>
      </c>
      <c r="B894" t="s">
        <v>21</v>
      </c>
      <c r="C894" t="s">
        <v>12</v>
      </c>
      <c r="D894" t="s">
        <v>53</v>
      </c>
      <c r="E894" s="1">
        <v>44762</v>
      </c>
      <c r="F894">
        <v>110</v>
      </c>
      <c r="G894">
        <v>43</v>
      </c>
      <c r="H894">
        <v>253.97</v>
      </c>
      <c r="I894">
        <v>154.83000000000001</v>
      </c>
      <c r="J894" t="s">
        <v>23</v>
      </c>
      <c r="K894">
        <f t="shared" si="52"/>
        <v>17031.300000000003</v>
      </c>
      <c r="L894">
        <f t="shared" si="53"/>
        <v>-10905.399999999998</v>
      </c>
      <c r="M894">
        <f t="shared" si="54"/>
        <v>2.558139534883721</v>
      </c>
      <c r="N894">
        <f t="shared" si="55"/>
        <v>0</v>
      </c>
    </row>
    <row r="895" spans="1:14" x14ac:dyDescent="0.4">
      <c r="A895" t="s">
        <v>216</v>
      </c>
      <c r="B895" t="s">
        <v>25</v>
      </c>
      <c r="C895" t="s">
        <v>52</v>
      </c>
      <c r="D895" t="s">
        <v>47</v>
      </c>
      <c r="E895" s="1">
        <v>45008</v>
      </c>
      <c r="F895">
        <v>56</v>
      </c>
      <c r="G895">
        <v>85</v>
      </c>
      <c r="H895">
        <v>433.93</v>
      </c>
      <c r="I895">
        <v>581.75</v>
      </c>
      <c r="J895" t="s">
        <v>19</v>
      </c>
      <c r="K895">
        <f t="shared" si="52"/>
        <v>32578</v>
      </c>
      <c r="L895">
        <f t="shared" si="53"/>
        <v>8277.92</v>
      </c>
      <c r="M895">
        <f t="shared" si="54"/>
        <v>0.6588235294117647</v>
      </c>
      <c r="N895">
        <f t="shared" si="55"/>
        <v>0</v>
      </c>
    </row>
    <row r="896" spans="1:14" x14ac:dyDescent="0.4">
      <c r="A896" t="s">
        <v>201</v>
      </c>
      <c r="B896" t="s">
        <v>36</v>
      </c>
      <c r="C896" t="s">
        <v>52</v>
      </c>
      <c r="D896" t="s">
        <v>37</v>
      </c>
      <c r="E896" s="1">
        <v>45623</v>
      </c>
      <c r="F896">
        <v>25</v>
      </c>
      <c r="G896">
        <v>43</v>
      </c>
      <c r="H896">
        <v>311.58999999999997</v>
      </c>
      <c r="I896">
        <v>649.5</v>
      </c>
      <c r="J896" t="s">
        <v>14</v>
      </c>
      <c r="K896">
        <f t="shared" si="52"/>
        <v>16237.5</v>
      </c>
      <c r="L896">
        <f t="shared" si="53"/>
        <v>8447.75</v>
      </c>
      <c r="M896">
        <f t="shared" si="54"/>
        <v>0.58139534883720934</v>
      </c>
      <c r="N896">
        <f t="shared" si="55"/>
        <v>0</v>
      </c>
    </row>
    <row r="897" spans="1:14" x14ac:dyDescent="0.4">
      <c r="A897" t="s">
        <v>94</v>
      </c>
      <c r="B897" t="s">
        <v>21</v>
      </c>
      <c r="C897" t="s">
        <v>17</v>
      </c>
      <c r="D897" t="s">
        <v>13</v>
      </c>
      <c r="E897" s="1">
        <v>45005</v>
      </c>
      <c r="F897">
        <v>152</v>
      </c>
      <c r="G897">
        <v>144</v>
      </c>
      <c r="H897">
        <v>85.52</v>
      </c>
      <c r="I897">
        <v>656.7</v>
      </c>
      <c r="J897" t="s">
        <v>23</v>
      </c>
      <c r="K897">
        <f t="shared" si="52"/>
        <v>99818.400000000009</v>
      </c>
      <c r="L897">
        <f t="shared" si="53"/>
        <v>86819.360000000015</v>
      </c>
      <c r="M897">
        <f t="shared" si="54"/>
        <v>1.0555555555555556</v>
      </c>
      <c r="N897">
        <f t="shared" si="55"/>
        <v>0</v>
      </c>
    </row>
    <row r="898" spans="1:14" x14ac:dyDescent="0.4">
      <c r="A898" t="s">
        <v>135</v>
      </c>
      <c r="B898" t="s">
        <v>43</v>
      </c>
      <c r="C898" t="s">
        <v>17</v>
      </c>
      <c r="D898" t="s">
        <v>26</v>
      </c>
      <c r="E898" s="1">
        <v>45322</v>
      </c>
      <c r="F898">
        <v>53</v>
      </c>
      <c r="G898">
        <v>50</v>
      </c>
      <c r="H898">
        <v>136.25</v>
      </c>
      <c r="I898">
        <v>194.85</v>
      </c>
      <c r="J898" t="s">
        <v>19</v>
      </c>
      <c r="K898">
        <f t="shared" si="52"/>
        <v>10327.049999999999</v>
      </c>
      <c r="L898">
        <f t="shared" si="53"/>
        <v>3105.7999999999997</v>
      </c>
      <c r="M898">
        <f t="shared" si="54"/>
        <v>1.06</v>
      </c>
      <c r="N898">
        <f t="shared" si="55"/>
        <v>0</v>
      </c>
    </row>
    <row r="899" spans="1:14" x14ac:dyDescent="0.4">
      <c r="A899" t="s">
        <v>177</v>
      </c>
      <c r="B899" t="s">
        <v>11</v>
      </c>
      <c r="C899" t="s">
        <v>12</v>
      </c>
      <c r="D899" t="s">
        <v>26</v>
      </c>
      <c r="E899" s="1">
        <v>44788</v>
      </c>
      <c r="F899">
        <v>28</v>
      </c>
      <c r="G899">
        <v>241</v>
      </c>
      <c r="H899">
        <v>263.54000000000002</v>
      </c>
      <c r="I899">
        <v>413.3</v>
      </c>
      <c r="J899" t="s">
        <v>14</v>
      </c>
      <c r="K899">
        <f t="shared" ref="K899:K962" si="56">F899 * I899</f>
        <v>11572.4</v>
      </c>
      <c r="L899">
        <f t="shared" ref="L899:L962" si="57">(I899 - H899) * F899</f>
        <v>4193.28</v>
      </c>
      <c r="M899">
        <f t="shared" ref="M899:M962" si="58">IF(G899=0, 0, F899/G899)</f>
        <v>0.11618257261410789</v>
      </c>
      <c r="N899">
        <f t="shared" ref="N899:N962" si="59">IF(G899=0, 1, 0)</f>
        <v>0</v>
      </c>
    </row>
    <row r="900" spans="1:14" x14ac:dyDescent="0.4">
      <c r="A900" t="s">
        <v>233</v>
      </c>
      <c r="B900" t="s">
        <v>32</v>
      </c>
      <c r="C900" t="s">
        <v>29</v>
      </c>
      <c r="D900" t="s">
        <v>26</v>
      </c>
      <c r="E900" s="1">
        <v>44609</v>
      </c>
      <c r="F900">
        <v>96</v>
      </c>
      <c r="G900">
        <v>293</v>
      </c>
      <c r="H900">
        <v>212.67</v>
      </c>
      <c r="I900">
        <v>680.6</v>
      </c>
      <c r="J900" t="s">
        <v>30</v>
      </c>
      <c r="K900">
        <f t="shared" si="56"/>
        <v>65337.600000000006</v>
      </c>
      <c r="L900">
        <f t="shared" si="57"/>
        <v>44921.280000000006</v>
      </c>
      <c r="M900">
        <f t="shared" si="58"/>
        <v>0.32764505119453924</v>
      </c>
      <c r="N900">
        <f t="shared" si="59"/>
        <v>0</v>
      </c>
    </row>
    <row r="901" spans="1:14" x14ac:dyDescent="0.4">
      <c r="A901" t="s">
        <v>111</v>
      </c>
      <c r="B901" t="s">
        <v>16</v>
      </c>
      <c r="C901" t="s">
        <v>17</v>
      </c>
      <c r="D901" t="s">
        <v>132</v>
      </c>
      <c r="E901" s="1">
        <v>45603</v>
      </c>
      <c r="F901">
        <v>163</v>
      </c>
      <c r="G901">
        <v>50</v>
      </c>
      <c r="H901">
        <v>211.43</v>
      </c>
      <c r="I901">
        <v>311.88</v>
      </c>
      <c r="J901" t="s">
        <v>34</v>
      </c>
      <c r="K901">
        <f t="shared" si="56"/>
        <v>50836.44</v>
      </c>
      <c r="L901">
        <f t="shared" si="57"/>
        <v>16373.349999999999</v>
      </c>
      <c r="M901">
        <f t="shared" si="58"/>
        <v>3.26</v>
      </c>
      <c r="N901">
        <f t="shared" si="59"/>
        <v>0</v>
      </c>
    </row>
    <row r="902" spans="1:14" x14ac:dyDescent="0.4">
      <c r="A902" t="s">
        <v>168</v>
      </c>
      <c r="B902" t="s">
        <v>21</v>
      </c>
      <c r="C902" t="s">
        <v>29</v>
      </c>
      <c r="D902" t="s">
        <v>66</v>
      </c>
      <c r="E902" s="1">
        <v>45473</v>
      </c>
      <c r="F902">
        <v>13</v>
      </c>
      <c r="G902">
        <v>265</v>
      </c>
      <c r="H902">
        <v>288.17</v>
      </c>
      <c r="I902">
        <v>427.42</v>
      </c>
      <c r="J902" t="s">
        <v>19</v>
      </c>
      <c r="K902">
        <f t="shared" si="56"/>
        <v>5556.46</v>
      </c>
      <c r="L902">
        <f t="shared" si="57"/>
        <v>1810.25</v>
      </c>
      <c r="M902">
        <f t="shared" si="58"/>
        <v>4.9056603773584909E-2</v>
      </c>
      <c r="N902">
        <f t="shared" si="59"/>
        <v>0</v>
      </c>
    </row>
    <row r="903" spans="1:14" x14ac:dyDescent="0.4">
      <c r="A903" t="s">
        <v>181</v>
      </c>
      <c r="B903" t="s">
        <v>25</v>
      </c>
      <c r="C903" t="s">
        <v>52</v>
      </c>
      <c r="D903" t="s">
        <v>145</v>
      </c>
      <c r="E903" s="1">
        <v>44748</v>
      </c>
      <c r="F903">
        <v>77</v>
      </c>
      <c r="G903">
        <v>119</v>
      </c>
      <c r="H903">
        <v>312.98</v>
      </c>
      <c r="I903">
        <v>290.95999999999998</v>
      </c>
      <c r="J903" t="s">
        <v>34</v>
      </c>
      <c r="K903">
        <f t="shared" si="56"/>
        <v>22403.919999999998</v>
      </c>
      <c r="L903">
        <f t="shared" si="57"/>
        <v>-1695.5400000000029</v>
      </c>
      <c r="M903">
        <f t="shared" si="58"/>
        <v>0.6470588235294118</v>
      </c>
      <c r="N903">
        <f t="shared" si="59"/>
        <v>0</v>
      </c>
    </row>
    <row r="904" spans="1:14" x14ac:dyDescent="0.4">
      <c r="A904" t="s">
        <v>98</v>
      </c>
      <c r="B904" t="s">
        <v>11</v>
      </c>
      <c r="C904" t="s">
        <v>17</v>
      </c>
      <c r="D904" t="s">
        <v>65</v>
      </c>
      <c r="E904" s="1">
        <v>44906</v>
      </c>
      <c r="F904">
        <v>34</v>
      </c>
      <c r="G904">
        <v>199</v>
      </c>
      <c r="H904">
        <v>408.59</v>
      </c>
      <c r="I904">
        <v>424.49</v>
      </c>
      <c r="J904" t="s">
        <v>30</v>
      </c>
      <c r="K904">
        <f t="shared" si="56"/>
        <v>14432.66</v>
      </c>
      <c r="L904">
        <f t="shared" si="57"/>
        <v>540.60000000000116</v>
      </c>
      <c r="M904">
        <f t="shared" si="58"/>
        <v>0.17085427135678391</v>
      </c>
      <c r="N904">
        <f t="shared" si="59"/>
        <v>0</v>
      </c>
    </row>
    <row r="905" spans="1:14" x14ac:dyDescent="0.4">
      <c r="A905" t="s">
        <v>87</v>
      </c>
      <c r="B905" t="s">
        <v>39</v>
      </c>
      <c r="C905" t="s">
        <v>12</v>
      </c>
      <c r="D905" t="s">
        <v>13</v>
      </c>
      <c r="E905" s="1">
        <v>44785</v>
      </c>
      <c r="F905">
        <v>29</v>
      </c>
      <c r="G905">
        <v>247</v>
      </c>
      <c r="H905">
        <v>203.43</v>
      </c>
      <c r="I905">
        <v>721.49</v>
      </c>
      <c r="J905" t="s">
        <v>23</v>
      </c>
      <c r="K905">
        <f t="shared" si="56"/>
        <v>20923.21</v>
      </c>
      <c r="L905">
        <f t="shared" si="57"/>
        <v>15023.739999999998</v>
      </c>
      <c r="M905">
        <f t="shared" si="58"/>
        <v>0.11740890688259109</v>
      </c>
      <c r="N905">
        <f t="shared" si="59"/>
        <v>0</v>
      </c>
    </row>
    <row r="906" spans="1:14" x14ac:dyDescent="0.4">
      <c r="A906" t="s">
        <v>50</v>
      </c>
      <c r="B906" t="s">
        <v>58</v>
      </c>
      <c r="C906" t="s">
        <v>12</v>
      </c>
      <c r="D906" t="s">
        <v>40</v>
      </c>
      <c r="E906" s="1">
        <v>45391</v>
      </c>
      <c r="F906">
        <v>91</v>
      </c>
      <c r="G906">
        <v>69</v>
      </c>
      <c r="H906">
        <v>412.46</v>
      </c>
      <c r="I906">
        <v>418.59</v>
      </c>
      <c r="J906" t="s">
        <v>23</v>
      </c>
      <c r="K906">
        <f t="shared" si="56"/>
        <v>38091.689999999995</v>
      </c>
      <c r="L906">
        <f t="shared" si="57"/>
        <v>557.82999999999959</v>
      </c>
      <c r="M906">
        <f t="shared" si="58"/>
        <v>1.318840579710145</v>
      </c>
      <c r="N906">
        <f t="shared" si="59"/>
        <v>0</v>
      </c>
    </row>
    <row r="907" spans="1:14" x14ac:dyDescent="0.4">
      <c r="A907" t="s">
        <v>87</v>
      </c>
      <c r="B907" t="s">
        <v>25</v>
      </c>
      <c r="C907" t="s">
        <v>12</v>
      </c>
      <c r="D907" t="s">
        <v>75</v>
      </c>
      <c r="E907" s="1">
        <v>45049</v>
      </c>
      <c r="F907">
        <v>16</v>
      </c>
      <c r="G907">
        <v>56</v>
      </c>
      <c r="H907">
        <v>202.38</v>
      </c>
      <c r="I907">
        <v>489.14</v>
      </c>
      <c r="J907" t="s">
        <v>14</v>
      </c>
      <c r="K907">
        <f t="shared" si="56"/>
        <v>7826.24</v>
      </c>
      <c r="L907">
        <f t="shared" si="57"/>
        <v>4588.16</v>
      </c>
      <c r="M907">
        <f t="shared" si="58"/>
        <v>0.2857142857142857</v>
      </c>
      <c r="N907">
        <f t="shared" si="59"/>
        <v>0</v>
      </c>
    </row>
    <row r="908" spans="1:14" x14ac:dyDescent="0.4">
      <c r="A908" t="s">
        <v>172</v>
      </c>
      <c r="B908" t="s">
        <v>43</v>
      </c>
      <c r="C908" t="s">
        <v>17</v>
      </c>
      <c r="D908" t="s">
        <v>53</v>
      </c>
      <c r="E908" s="1">
        <v>45438</v>
      </c>
      <c r="F908">
        <v>194</v>
      </c>
      <c r="G908">
        <v>38</v>
      </c>
      <c r="H908">
        <v>74.94</v>
      </c>
      <c r="I908">
        <v>382.78</v>
      </c>
      <c r="J908" t="s">
        <v>19</v>
      </c>
      <c r="K908">
        <f t="shared" si="56"/>
        <v>74259.319999999992</v>
      </c>
      <c r="L908">
        <f t="shared" si="57"/>
        <v>59720.959999999992</v>
      </c>
      <c r="M908">
        <f t="shared" si="58"/>
        <v>5.1052631578947372</v>
      </c>
      <c r="N908">
        <f t="shared" si="59"/>
        <v>0</v>
      </c>
    </row>
    <row r="909" spans="1:14" x14ac:dyDescent="0.4">
      <c r="A909" t="s">
        <v>211</v>
      </c>
      <c r="B909" t="s">
        <v>58</v>
      </c>
      <c r="C909" t="s">
        <v>29</v>
      </c>
      <c r="D909" t="s">
        <v>97</v>
      </c>
      <c r="E909" s="1">
        <v>45410</v>
      </c>
      <c r="F909">
        <v>157</v>
      </c>
      <c r="G909">
        <v>288</v>
      </c>
      <c r="H909">
        <v>299.38</v>
      </c>
      <c r="I909">
        <v>422.08</v>
      </c>
      <c r="J909" t="s">
        <v>19</v>
      </c>
      <c r="K909">
        <f t="shared" si="56"/>
        <v>66266.559999999998</v>
      </c>
      <c r="L909">
        <f t="shared" si="57"/>
        <v>19263.899999999998</v>
      </c>
      <c r="M909">
        <f t="shared" si="58"/>
        <v>0.54513888888888884</v>
      </c>
      <c r="N909">
        <f t="shared" si="59"/>
        <v>0</v>
      </c>
    </row>
    <row r="910" spans="1:14" x14ac:dyDescent="0.4">
      <c r="A910" t="s">
        <v>185</v>
      </c>
      <c r="B910" t="s">
        <v>32</v>
      </c>
      <c r="C910" t="s">
        <v>52</v>
      </c>
      <c r="D910" t="s">
        <v>97</v>
      </c>
      <c r="E910" s="1">
        <v>45540</v>
      </c>
      <c r="F910">
        <v>92</v>
      </c>
      <c r="G910">
        <v>17</v>
      </c>
      <c r="H910">
        <v>314.56</v>
      </c>
      <c r="I910">
        <v>110.62</v>
      </c>
      <c r="J910" t="s">
        <v>14</v>
      </c>
      <c r="K910">
        <f t="shared" si="56"/>
        <v>10177.040000000001</v>
      </c>
      <c r="L910">
        <f t="shared" si="57"/>
        <v>-18762.48</v>
      </c>
      <c r="M910">
        <f t="shared" si="58"/>
        <v>5.4117647058823533</v>
      </c>
      <c r="N910">
        <f t="shared" si="59"/>
        <v>0</v>
      </c>
    </row>
    <row r="911" spans="1:14" x14ac:dyDescent="0.4">
      <c r="A911" t="s">
        <v>148</v>
      </c>
      <c r="B911" t="s">
        <v>32</v>
      </c>
      <c r="C911" t="s">
        <v>29</v>
      </c>
      <c r="D911" t="s">
        <v>145</v>
      </c>
      <c r="E911" s="1">
        <v>45578</v>
      </c>
      <c r="F911">
        <v>172</v>
      </c>
      <c r="G911">
        <v>219</v>
      </c>
      <c r="H911">
        <v>470.54</v>
      </c>
      <c r="I911">
        <v>298.62</v>
      </c>
      <c r="J911" t="s">
        <v>34</v>
      </c>
      <c r="K911">
        <f t="shared" si="56"/>
        <v>51362.64</v>
      </c>
      <c r="L911">
        <f t="shared" si="57"/>
        <v>-29570.240000000002</v>
      </c>
      <c r="M911">
        <f t="shared" si="58"/>
        <v>0.78538812785388123</v>
      </c>
      <c r="N911">
        <f t="shared" si="59"/>
        <v>0</v>
      </c>
    </row>
    <row r="912" spans="1:14" x14ac:dyDescent="0.4">
      <c r="A912" t="s">
        <v>185</v>
      </c>
      <c r="B912" t="s">
        <v>36</v>
      </c>
      <c r="C912" t="s">
        <v>29</v>
      </c>
      <c r="D912" t="s">
        <v>37</v>
      </c>
      <c r="E912" s="1">
        <v>44749</v>
      </c>
      <c r="F912">
        <v>78</v>
      </c>
      <c r="G912">
        <v>243</v>
      </c>
      <c r="H912">
        <v>376.73</v>
      </c>
      <c r="I912">
        <v>405.61</v>
      </c>
      <c r="J912" t="s">
        <v>23</v>
      </c>
      <c r="K912">
        <f t="shared" si="56"/>
        <v>31637.58</v>
      </c>
      <c r="L912">
        <f t="shared" si="57"/>
        <v>2252.6399999999994</v>
      </c>
      <c r="M912">
        <f t="shared" si="58"/>
        <v>0.32098765432098764</v>
      </c>
      <c r="N912">
        <f t="shared" si="59"/>
        <v>0</v>
      </c>
    </row>
    <row r="913" spans="1:14" x14ac:dyDescent="0.4">
      <c r="A913" t="s">
        <v>166</v>
      </c>
      <c r="B913" t="s">
        <v>28</v>
      </c>
      <c r="C913" t="s">
        <v>52</v>
      </c>
      <c r="D913" t="s">
        <v>13</v>
      </c>
      <c r="E913" s="1">
        <v>44831</v>
      </c>
      <c r="F913">
        <v>109</v>
      </c>
      <c r="G913">
        <v>297</v>
      </c>
      <c r="H913">
        <v>463</v>
      </c>
      <c r="I913">
        <v>543.66</v>
      </c>
      <c r="J913" t="s">
        <v>23</v>
      </c>
      <c r="K913">
        <f t="shared" si="56"/>
        <v>59258.939999999995</v>
      </c>
      <c r="L913">
        <f t="shared" si="57"/>
        <v>8791.9399999999969</v>
      </c>
      <c r="M913">
        <f t="shared" si="58"/>
        <v>0.367003367003367</v>
      </c>
      <c r="N913">
        <f t="shared" si="59"/>
        <v>0</v>
      </c>
    </row>
    <row r="914" spans="1:14" x14ac:dyDescent="0.4">
      <c r="A914" t="s">
        <v>20</v>
      </c>
      <c r="B914" t="s">
        <v>36</v>
      </c>
      <c r="C914" t="s">
        <v>52</v>
      </c>
      <c r="D914" t="s">
        <v>47</v>
      </c>
      <c r="E914" s="1">
        <v>44871</v>
      </c>
      <c r="F914">
        <v>178</v>
      </c>
      <c r="G914">
        <v>282</v>
      </c>
      <c r="H914">
        <v>458.76</v>
      </c>
      <c r="I914">
        <v>415.04</v>
      </c>
      <c r="J914" t="s">
        <v>19</v>
      </c>
      <c r="K914">
        <f t="shared" si="56"/>
        <v>73877.12000000001</v>
      </c>
      <c r="L914">
        <f t="shared" si="57"/>
        <v>-7782.1599999999944</v>
      </c>
      <c r="M914">
        <f t="shared" si="58"/>
        <v>0.63120567375886527</v>
      </c>
      <c r="N914">
        <f t="shared" si="59"/>
        <v>0</v>
      </c>
    </row>
    <row r="915" spans="1:14" x14ac:dyDescent="0.4">
      <c r="A915" t="s">
        <v>155</v>
      </c>
      <c r="B915" t="s">
        <v>11</v>
      </c>
      <c r="C915" t="s">
        <v>17</v>
      </c>
      <c r="D915" t="s">
        <v>75</v>
      </c>
      <c r="E915" s="1">
        <v>45406</v>
      </c>
      <c r="F915">
        <v>101</v>
      </c>
      <c r="G915">
        <v>73</v>
      </c>
      <c r="H915">
        <v>322.06</v>
      </c>
      <c r="I915">
        <v>336.47</v>
      </c>
      <c r="J915" t="s">
        <v>19</v>
      </c>
      <c r="K915">
        <f t="shared" si="56"/>
        <v>33983.47</v>
      </c>
      <c r="L915">
        <f t="shared" si="57"/>
        <v>1455.4100000000026</v>
      </c>
      <c r="M915">
        <f t="shared" si="58"/>
        <v>1.3835616438356164</v>
      </c>
      <c r="N915">
        <f t="shared" si="59"/>
        <v>0</v>
      </c>
    </row>
    <row r="916" spans="1:14" x14ac:dyDescent="0.4">
      <c r="A916" t="s">
        <v>188</v>
      </c>
      <c r="B916" t="s">
        <v>58</v>
      </c>
      <c r="C916" t="s">
        <v>17</v>
      </c>
      <c r="D916" t="s">
        <v>26</v>
      </c>
      <c r="E916" s="1">
        <v>45047</v>
      </c>
      <c r="F916">
        <v>105</v>
      </c>
      <c r="G916">
        <v>109</v>
      </c>
      <c r="H916">
        <v>287.49</v>
      </c>
      <c r="I916">
        <v>371.67</v>
      </c>
      <c r="J916" t="s">
        <v>14</v>
      </c>
      <c r="K916">
        <f t="shared" si="56"/>
        <v>39025.35</v>
      </c>
      <c r="L916">
        <f t="shared" si="57"/>
        <v>8838.9000000000015</v>
      </c>
      <c r="M916">
        <f t="shared" si="58"/>
        <v>0.96330275229357798</v>
      </c>
      <c r="N916">
        <f t="shared" si="59"/>
        <v>0</v>
      </c>
    </row>
    <row r="917" spans="1:14" x14ac:dyDescent="0.4">
      <c r="A917" t="s">
        <v>205</v>
      </c>
      <c r="B917" t="s">
        <v>28</v>
      </c>
      <c r="C917" t="s">
        <v>17</v>
      </c>
      <c r="D917" t="s">
        <v>33</v>
      </c>
      <c r="E917" s="1">
        <v>44681</v>
      </c>
      <c r="F917">
        <v>46</v>
      </c>
      <c r="G917">
        <v>179</v>
      </c>
      <c r="H917">
        <v>300.85000000000002</v>
      </c>
      <c r="I917">
        <v>269.61</v>
      </c>
      <c r="J917" t="s">
        <v>30</v>
      </c>
      <c r="K917">
        <f t="shared" si="56"/>
        <v>12402.060000000001</v>
      </c>
      <c r="L917">
        <f t="shared" si="57"/>
        <v>-1437.0400000000004</v>
      </c>
      <c r="M917">
        <f t="shared" si="58"/>
        <v>0.25698324022346369</v>
      </c>
      <c r="N917">
        <f t="shared" si="59"/>
        <v>0</v>
      </c>
    </row>
    <row r="918" spans="1:14" x14ac:dyDescent="0.4">
      <c r="A918" t="s">
        <v>42</v>
      </c>
      <c r="B918" t="s">
        <v>39</v>
      </c>
      <c r="C918" t="s">
        <v>17</v>
      </c>
      <c r="D918" t="s">
        <v>72</v>
      </c>
      <c r="E918" s="1">
        <v>44781</v>
      </c>
      <c r="F918">
        <v>180</v>
      </c>
      <c r="G918">
        <v>31</v>
      </c>
      <c r="H918">
        <v>490.25</v>
      </c>
      <c r="I918">
        <v>747.15</v>
      </c>
      <c r="J918" t="s">
        <v>34</v>
      </c>
      <c r="K918">
        <f t="shared" si="56"/>
        <v>134487</v>
      </c>
      <c r="L918">
        <f t="shared" si="57"/>
        <v>46241.999999999993</v>
      </c>
      <c r="M918">
        <f t="shared" si="58"/>
        <v>5.806451612903226</v>
      </c>
      <c r="N918">
        <f t="shared" si="59"/>
        <v>0</v>
      </c>
    </row>
    <row r="919" spans="1:14" x14ac:dyDescent="0.4">
      <c r="A919" t="s">
        <v>79</v>
      </c>
      <c r="B919" t="s">
        <v>43</v>
      </c>
      <c r="C919" t="s">
        <v>17</v>
      </c>
      <c r="D919" t="s">
        <v>97</v>
      </c>
      <c r="E919" s="1">
        <v>44614</v>
      </c>
      <c r="F919">
        <v>63</v>
      </c>
      <c r="G919">
        <v>233</v>
      </c>
      <c r="H919">
        <v>397.93</v>
      </c>
      <c r="I919">
        <v>465.22</v>
      </c>
      <c r="J919" t="s">
        <v>30</v>
      </c>
      <c r="K919">
        <f t="shared" si="56"/>
        <v>29308.86</v>
      </c>
      <c r="L919">
        <f t="shared" si="57"/>
        <v>4239.2700000000013</v>
      </c>
      <c r="M919">
        <f t="shared" si="58"/>
        <v>0.27038626609442062</v>
      </c>
      <c r="N919">
        <f t="shared" si="59"/>
        <v>0</v>
      </c>
    </row>
    <row r="920" spans="1:14" x14ac:dyDescent="0.4">
      <c r="A920" t="s">
        <v>174</v>
      </c>
      <c r="B920" t="s">
        <v>58</v>
      </c>
      <c r="C920" t="s">
        <v>52</v>
      </c>
      <c r="D920" t="s">
        <v>45</v>
      </c>
      <c r="E920" s="1">
        <v>45319</v>
      </c>
      <c r="F920">
        <v>165</v>
      </c>
      <c r="G920">
        <v>281</v>
      </c>
      <c r="H920">
        <v>97.82</v>
      </c>
      <c r="I920">
        <v>109.39</v>
      </c>
      <c r="J920" t="s">
        <v>30</v>
      </c>
      <c r="K920">
        <f t="shared" si="56"/>
        <v>18049.349999999999</v>
      </c>
      <c r="L920">
        <f t="shared" si="57"/>
        <v>1909.0500000000013</v>
      </c>
      <c r="M920">
        <f t="shared" si="58"/>
        <v>0.58718861209964412</v>
      </c>
      <c r="N920">
        <f t="shared" si="59"/>
        <v>0</v>
      </c>
    </row>
    <row r="921" spans="1:14" x14ac:dyDescent="0.4">
      <c r="A921" t="s">
        <v>38</v>
      </c>
      <c r="B921" t="s">
        <v>36</v>
      </c>
      <c r="C921" t="s">
        <v>29</v>
      </c>
      <c r="D921" t="s">
        <v>72</v>
      </c>
      <c r="E921" s="1">
        <v>45299</v>
      </c>
      <c r="F921">
        <v>63</v>
      </c>
      <c r="G921">
        <v>24</v>
      </c>
      <c r="H921">
        <v>400.29</v>
      </c>
      <c r="I921">
        <v>113.61</v>
      </c>
      <c r="J921" t="s">
        <v>19</v>
      </c>
      <c r="K921">
        <f t="shared" si="56"/>
        <v>7157.43</v>
      </c>
      <c r="L921">
        <f t="shared" si="57"/>
        <v>-18060.84</v>
      </c>
      <c r="M921">
        <f t="shared" si="58"/>
        <v>2.625</v>
      </c>
      <c r="N921">
        <f t="shared" si="59"/>
        <v>0</v>
      </c>
    </row>
    <row r="922" spans="1:14" x14ac:dyDescent="0.4">
      <c r="A922" t="s">
        <v>131</v>
      </c>
      <c r="B922" t="s">
        <v>16</v>
      </c>
      <c r="C922" t="s">
        <v>17</v>
      </c>
      <c r="D922" t="s">
        <v>62</v>
      </c>
      <c r="E922" s="1">
        <v>45281</v>
      </c>
      <c r="F922">
        <v>86</v>
      </c>
      <c r="G922">
        <v>278</v>
      </c>
      <c r="H922">
        <v>126.74</v>
      </c>
      <c r="I922">
        <v>781.07</v>
      </c>
      <c r="J922" t="s">
        <v>19</v>
      </c>
      <c r="K922">
        <f t="shared" si="56"/>
        <v>67172.02</v>
      </c>
      <c r="L922">
        <f t="shared" si="57"/>
        <v>56272.380000000005</v>
      </c>
      <c r="M922">
        <f t="shared" si="58"/>
        <v>0.30935251798561153</v>
      </c>
      <c r="N922">
        <f t="shared" si="59"/>
        <v>0</v>
      </c>
    </row>
    <row r="923" spans="1:14" x14ac:dyDescent="0.4">
      <c r="A923" t="s">
        <v>93</v>
      </c>
      <c r="B923" t="s">
        <v>28</v>
      </c>
      <c r="C923" t="s">
        <v>17</v>
      </c>
      <c r="D923" t="s">
        <v>26</v>
      </c>
      <c r="E923" s="1">
        <v>44967</v>
      </c>
      <c r="F923">
        <v>6</v>
      </c>
      <c r="G923">
        <v>225</v>
      </c>
      <c r="H923">
        <v>251.31</v>
      </c>
      <c r="I923">
        <v>255.02</v>
      </c>
      <c r="J923" t="s">
        <v>19</v>
      </c>
      <c r="K923">
        <f t="shared" si="56"/>
        <v>1530.1200000000001</v>
      </c>
      <c r="L923">
        <f t="shared" si="57"/>
        <v>22.260000000000048</v>
      </c>
      <c r="M923">
        <f t="shared" si="58"/>
        <v>2.6666666666666668E-2</v>
      </c>
      <c r="N923">
        <f t="shared" si="59"/>
        <v>0</v>
      </c>
    </row>
    <row r="924" spans="1:14" x14ac:dyDescent="0.4">
      <c r="A924" t="s">
        <v>76</v>
      </c>
      <c r="B924" t="s">
        <v>28</v>
      </c>
      <c r="C924" t="s">
        <v>29</v>
      </c>
      <c r="D924" t="s">
        <v>69</v>
      </c>
      <c r="E924" s="1">
        <v>45169</v>
      </c>
      <c r="F924">
        <v>21</v>
      </c>
      <c r="G924">
        <v>56</v>
      </c>
      <c r="H924">
        <v>144.71</v>
      </c>
      <c r="I924">
        <v>663.93</v>
      </c>
      <c r="J924" t="s">
        <v>30</v>
      </c>
      <c r="K924">
        <f t="shared" si="56"/>
        <v>13942.529999999999</v>
      </c>
      <c r="L924">
        <f t="shared" si="57"/>
        <v>10903.619999999999</v>
      </c>
      <c r="M924">
        <f t="shared" si="58"/>
        <v>0.375</v>
      </c>
      <c r="N924">
        <f t="shared" si="59"/>
        <v>0</v>
      </c>
    </row>
    <row r="925" spans="1:14" x14ac:dyDescent="0.4">
      <c r="A925" t="s">
        <v>205</v>
      </c>
      <c r="B925" t="s">
        <v>43</v>
      </c>
      <c r="C925" t="s">
        <v>17</v>
      </c>
      <c r="D925" t="s">
        <v>53</v>
      </c>
      <c r="E925" s="1">
        <v>45582</v>
      </c>
      <c r="F925">
        <v>80</v>
      </c>
      <c r="G925">
        <v>179</v>
      </c>
      <c r="H925">
        <v>360.31</v>
      </c>
      <c r="I925">
        <v>140.79</v>
      </c>
      <c r="J925" t="s">
        <v>34</v>
      </c>
      <c r="K925">
        <f t="shared" si="56"/>
        <v>11263.199999999999</v>
      </c>
      <c r="L925">
        <f t="shared" si="57"/>
        <v>-17561.600000000002</v>
      </c>
      <c r="M925">
        <f t="shared" si="58"/>
        <v>0.44692737430167595</v>
      </c>
      <c r="N925">
        <f t="shared" si="59"/>
        <v>0</v>
      </c>
    </row>
    <row r="926" spans="1:14" x14ac:dyDescent="0.4">
      <c r="A926" t="s">
        <v>70</v>
      </c>
      <c r="B926" t="s">
        <v>21</v>
      </c>
      <c r="C926" t="s">
        <v>29</v>
      </c>
      <c r="D926" t="s">
        <v>132</v>
      </c>
      <c r="E926" s="1">
        <v>44983</v>
      </c>
      <c r="F926">
        <v>168</v>
      </c>
      <c r="G926">
        <v>231</v>
      </c>
      <c r="H926">
        <v>444.79</v>
      </c>
      <c r="I926">
        <v>744.81</v>
      </c>
      <c r="J926" t="s">
        <v>19</v>
      </c>
      <c r="K926">
        <f t="shared" si="56"/>
        <v>125128.07999999999</v>
      </c>
      <c r="L926">
        <f t="shared" si="57"/>
        <v>50403.359999999986</v>
      </c>
      <c r="M926">
        <f t="shared" si="58"/>
        <v>0.72727272727272729</v>
      </c>
      <c r="N926">
        <f t="shared" si="59"/>
        <v>0</v>
      </c>
    </row>
    <row r="927" spans="1:14" x14ac:dyDescent="0.4">
      <c r="A927" t="s">
        <v>242</v>
      </c>
      <c r="B927" t="s">
        <v>32</v>
      </c>
      <c r="C927" t="s">
        <v>29</v>
      </c>
      <c r="D927" t="s">
        <v>33</v>
      </c>
      <c r="E927" s="1">
        <v>45273</v>
      </c>
      <c r="F927">
        <v>73</v>
      </c>
      <c r="G927">
        <v>286</v>
      </c>
      <c r="H927">
        <v>180.66</v>
      </c>
      <c r="I927">
        <v>712.09</v>
      </c>
      <c r="J927" t="s">
        <v>23</v>
      </c>
      <c r="K927">
        <f t="shared" si="56"/>
        <v>51982.57</v>
      </c>
      <c r="L927">
        <f t="shared" si="57"/>
        <v>38794.390000000007</v>
      </c>
      <c r="M927">
        <f t="shared" si="58"/>
        <v>0.25524475524475526</v>
      </c>
      <c r="N927">
        <f t="shared" si="59"/>
        <v>0</v>
      </c>
    </row>
    <row r="928" spans="1:14" x14ac:dyDescent="0.4">
      <c r="A928" t="s">
        <v>183</v>
      </c>
      <c r="B928" t="s">
        <v>32</v>
      </c>
      <c r="C928" t="s">
        <v>52</v>
      </c>
      <c r="D928" t="s">
        <v>13</v>
      </c>
      <c r="E928" s="1">
        <v>44808</v>
      </c>
      <c r="F928">
        <v>137</v>
      </c>
      <c r="G928">
        <v>63</v>
      </c>
      <c r="H928">
        <v>86.9</v>
      </c>
      <c r="I928">
        <v>499.77</v>
      </c>
      <c r="J928" t="s">
        <v>34</v>
      </c>
      <c r="K928">
        <f t="shared" si="56"/>
        <v>68468.489999999991</v>
      </c>
      <c r="L928">
        <f t="shared" si="57"/>
        <v>56563.19</v>
      </c>
      <c r="M928">
        <f t="shared" si="58"/>
        <v>2.1746031746031744</v>
      </c>
      <c r="N928">
        <f t="shared" si="59"/>
        <v>0</v>
      </c>
    </row>
    <row r="929" spans="1:14" x14ac:dyDescent="0.4">
      <c r="A929" t="s">
        <v>141</v>
      </c>
      <c r="B929" t="s">
        <v>16</v>
      </c>
      <c r="C929" t="s">
        <v>12</v>
      </c>
      <c r="D929" t="s">
        <v>62</v>
      </c>
      <c r="E929" s="1">
        <v>44633</v>
      </c>
      <c r="F929">
        <v>184</v>
      </c>
      <c r="G929">
        <v>231</v>
      </c>
      <c r="H929">
        <v>184.32</v>
      </c>
      <c r="I929">
        <v>106.3</v>
      </c>
      <c r="J929" t="s">
        <v>23</v>
      </c>
      <c r="K929">
        <f t="shared" si="56"/>
        <v>19559.2</v>
      </c>
      <c r="L929">
        <f t="shared" si="57"/>
        <v>-14355.679999999998</v>
      </c>
      <c r="M929">
        <f t="shared" si="58"/>
        <v>0.79653679653679654</v>
      </c>
      <c r="N929">
        <f t="shared" si="59"/>
        <v>0</v>
      </c>
    </row>
    <row r="930" spans="1:14" x14ac:dyDescent="0.4">
      <c r="A930" t="s">
        <v>239</v>
      </c>
      <c r="B930" t="s">
        <v>11</v>
      </c>
      <c r="C930" t="s">
        <v>52</v>
      </c>
      <c r="D930" t="s">
        <v>72</v>
      </c>
      <c r="E930" s="1">
        <v>44746</v>
      </c>
      <c r="F930">
        <v>134</v>
      </c>
      <c r="G930">
        <v>288</v>
      </c>
      <c r="H930">
        <v>352.56</v>
      </c>
      <c r="I930">
        <v>280.47000000000003</v>
      </c>
      <c r="J930" t="s">
        <v>34</v>
      </c>
      <c r="K930">
        <f t="shared" si="56"/>
        <v>37582.980000000003</v>
      </c>
      <c r="L930">
        <f t="shared" si="57"/>
        <v>-9660.0599999999959</v>
      </c>
      <c r="M930">
        <f t="shared" si="58"/>
        <v>0.46527777777777779</v>
      </c>
      <c r="N930">
        <f t="shared" si="59"/>
        <v>0</v>
      </c>
    </row>
    <row r="931" spans="1:14" x14ac:dyDescent="0.4">
      <c r="A931" t="s">
        <v>134</v>
      </c>
      <c r="B931" t="s">
        <v>11</v>
      </c>
      <c r="C931" t="s">
        <v>12</v>
      </c>
      <c r="D931" t="s">
        <v>75</v>
      </c>
      <c r="E931" s="1">
        <v>44567</v>
      </c>
      <c r="F931">
        <v>124</v>
      </c>
      <c r="G931">
        <v>212</v>
      </c>
      <c r="H931">
        <v>197.94</v>
      </c>
      <c r="I931">
        <v>384.78</v>
      </c>
      <c r="J931" t="s">
        <v>19</v>
      </c>
      <c r="K931">
        <f t="shared" si="56"/>
        <v>47712.719999999994</v>
      </c>
      <c r="L931">
        <f t="shared" si="57"/>
        <v>23168.159999999996</v>
      </c>
      <c r="M931">
        <f t="shared" si="58"/>
        <v>0.58490566037735847</v>
      </c>
      <c r="N931">
        <f t="shared" si="59"/>
        <v>0</v>
      </c>
    </row>
    <row r="932" spans="1:14" x14ac:dyDescent="0.4">
      <c r="A932" t="s">
        <v>91</v>
      </c>
      <c r="B932" t="s">
        <v>39</v>
      </c>
      <c r="C932" t="s">
        <v>12</v>
      </c>
      <c r="D932" t="s">
        <v>75</v>
      </c>
      <c r="E932" s="1">
        <v>45467</v>
      </c>
      <c r="F932">
        <v>49</v>
      </c>
      <c r="G932">
        <v>257</v>
      </c>
      <c r="H932">
        <v>175.15</v>
      </c>
      <c r="I932">
        <v>422.04</v>
      </c>
      <c r="J932" t="s">
        <v>14</v>
      </c>
      <c r="K932">
        <f t="shared" si="56"/>
        <v>20679.960000000003</v>
      </c>
      <c r="L932">
        <f t="shared" si="57"/>
        <v>12097.61</v>
      </c>
      <c r="M932">
        <f t="shared" si="58"/>
        <v>0.19066147859922178</v>
      </c>
      <c r="N932">
        <f t="shared" si="59"/>
        <v>0</v>
      </c>
    </row>
    <row r="933" spans="1:14" x14ac:dyDescent="0.4">
      <c r="A933" t="s">
        <v>207</v>
      </c>
      <c r="B933" t="s">
        <v>58</v>
      </c>
      <c r="C933" t="s">
        <v>12</v>
      </c>
      <c r="D933" t="s">
        <v>45</v>
      </c>
      <c r="E933" s="1">
        <v>44948</v>
      </c>
      <c r="F933">
        <v>51</v>
      </c>
      <c r="G933">
        <v>17</v>
      </c>
      <c r="H933">
        <v>133</v>
      </c>
      <c r="I933">
        <v>308.38</v>
      </c>
      <c r="J933" t="s">
        <v>19</v>
      </c>
      <c r="K933">
        <f t="shared" si="56"/>
        <v>15727.38</v>
      </c>
      <c r="L933">
        <f t="shared" si="57"/>
        <v>8944.3799999999992</v>
      </c>
      <c r="M933">
        <f t="shared" si="58"/>
        <v>3</v>
      </c>
      <c r="N933">
        <f t="shared" si="59"/>
        <v>0</v>
      </c>
    </row>
    <row r="934" spans="1:14" x14ac:dyDescent="0.4">
      <c r="A934" t="s">
        <v>227</v>
      </c>
      <c r="B934" t="s">
        <v>25</v>
      </c>
      <c r="C934" t="s">
        <v>17</v>
      </c>
      <c r="D934" t="s">
        <v>53</v>
      </c>
      <c r="E934" s="1">
        <v>45260</v>
      </c>
      <c r="F934">
        <v>160</v>
      </c>
      <c r="G934">
        <v>174</v>
      </c>
      <c r="H934">
        <v>273.88</v>
      </c>
      <c r="I934">
        <v>123.06</v>
      </c>
      <c r="J934" t="s">
        <v>30</v>
      </c>
      <c r="K934">
        <f t="shared" si="56"/>
        <v>19689.599999999999</v>
      </c>
      <c r="L934">
        <f t="shared" si="57"/>
        <v>-24131.199999999997</v>
      </c>
      <c r="M934">
        <f t="shared" si="58"/>
        <v>0.91954022988505746</v>
      </c>
      <c r="N934">
        <f t="shared" si="59"/>
        <v>0</v>
      </c>
    </row>
    <row r="935" spans="1:14" x14ac:dyDescent="0.4">
      <c r="A935" t="s">
        <v>237</v>
      </c>
      <c r="B935" t="s">
        <v>21</v>
      </c>
      <c r="C935" t="s">
        <v>52</v>
      </c>
      <c r="D935" t="s">
        <v>33</v>
      </c>
      <c r="E935" s="1">
        <v>45388</v>
      </c>
      <c r="F935">
        <v>0</v>
      </c>
      <c r="G935">
        <v>228</v>
      </c>
      <c r="H935">
        <v>174.18</v>
      </c>
      <c r="I935">
        <v>513.09</v>
      </c>
      <c r="J935" t="s">
        <v>30</v>
      </c>
      <c r="K935">
        <f t="shared" si="56"/>
        <v>0</v>
      </c>
      <c r="L935">
        <f t="shared" si="57"/>
        <v>0</v>
      </c>
      <c r="M935">
        <f t="shared" si="58"/>
        <v>0</v>
      </c>
      <c r="N935">
        <f t="shared" si="59"/>
        <v>0</v>
      </c>
    </row>
    <row r="936" spans="1:14" x14ac:dyDescent="0.4">
      <c r="A936" t="s">
        <v>245</v>
      </c>
      <c r="B936" t="s">
        <v>36</v>
      </c>
      <c r="C936" t="s">
        <v>12</v>
      </c>
      <c r="D936" t="s">
        <v>97</v>
      </c>
      <c r="E936" s="1">
        <v>44910</v>
      </c>
      <c r="F936">
        <v>180</v>
      </c>
      <c r="G936">
        <v>225</v>
      </c>
      <c r="H936">
        <v>378.95</v>
      </c>
      <c r="I936">
        <v>466.91</v>
      </c>
      <c r="J936" t="s">
        <v>34</v>
      </c>
      <c r="K936">
        <f t="shared" si="56"/>
        <v>84043.8</v>
      </c>
      <c r="L936">
        <f t="shared" si="57"/>
        <v>15832.800000000007</v>
      </c>
      <c r="M936">
        <f t="shared" si="58"/>
        <v>0.8</v>
      </c>
      <c r="N936">
        <f t="shared" si="59"/>
        <v>0</v>
      </c>
    </row>
    <row r="937" spans="1:14" x14ac:dyDescent="0.4">
      <c r="A937" t="s">
        <v>121</v>
      </c>
      <c r="B937" t="s">
        <v>25</v>
      </c>
      <c r="C937" t="s">
        <v>29</v>
      </c>
      <c r="D937" t="s">
        <v>41</v>
      </c>
      <c r="E937" s="1">
        <v>44869</v>
      </c>
      <c r="F937">
        <v>187</v>
      </c>
      <c r="G937">
        <v>83</v>
      </c>
      <c r="H937">
        <v>84.48</v>
      </c>
      <c r="I937">
        <v>298.10000000000002</v>
      </c>
      <c r="J937" t="s">
        <v>30</v>
      </c>
      <c r="K937">
        <f t="shared" si="56"/>
        <v>55744.700000000004</v>
      </c>
      <c r="L937">
        <f t="shared" si="57"/>
        <v>39946.94</v>
      </c>
      <c r="M937">
        <f t="shared" si="58"/>
        <v>2.2530120481927711</v>
      </c>
      <c r="N937">
        <f t="shared" si="59"/>
        <v>0</v>
      </c>
    </row>
    <row r="938" spans="1:14" x14ac:dyDescent="0.4">
      <c r="A938" t="s">
        <v>166</v>
      </c>
      <c r="B938" t="s">
        <v>25</v>
      </c>
      <c r="C938" t="s">
        <v>17</v>
      </c>
      <c r="D938" t="s">
        <v>47</v>
      </c>
      <c r="E938" s="1">
        <v>44848</v>
      </c>
      <c r="F938">
        <v>161</v>
      </c>
      <c r="G938">
        <v>290</v>
      </c>
      <c r="H938">
        <v>348.81</v>
      </c>
      <c r="I938">
        <v>126.58</v>
      </c>
      <c r="J938" t="s">
        <v>19</v>
      </c>
      <c r="K938">
        <f t="shared" si="56"/>
        <v>20379.38</v>
      </c>
      <c r="L938">
        <f t="shared" si="57"/>
        <v>-35779.030000000006</v>
      </c>
      <c r="M938">
        <f t="shared" si="58"/>
        <v>0.55517241379310345</v>
      </c>
      <c r="N938">
        <f t="shared" si="59"/>
        <v>0</v>
      </c>
    </row>
    <row r="939" spans="1:14" x14ac:dyDescent="0.4">
      <c r="A939" t="s">
        <v>84</v>
      </c>
      <c r="B939" t="s">
        <v>28</v>
      </c>
      <c r="C939" t="s">
        <v>52</v>
      </c>
      <c r="D939" t="s">
        <v>13</v>
      </c>
      <c r="E939" s="1">
        <v>45327</v>
      </c>
      <c r="F939">
        <v>3</v>
      </c>
      <c r="G939">
        <v>245</v>
      </c>
      <c r="H939">
        <v>156.9</v>
      </c>
      <c r="I939">
        <v>796.22</v>
      </c>
      <c r="J939" t="s">
        <v>23</v>
      </c>
      <c r="K939">
        <f t="shared" si="56"/>
        <v>2388.66</v>
      </c>
      <c r="L939">
        <f t="shared" si="57"/>
        <v>1917.96</v>
      </c>
      <c r="M939">
        <f t="shared" si="58"/>
        <v>1.2244897959183673E-2</v>
      </c>
      <c r="N939">
        <f t="shared" si="59"/>
        <v>0</v>
      </c>
    </row>
    <row r="940" spans="1:14" x14ac:dyDescent="0.4">
      <c r="A940" t="s">
        <v>217</v>
      </c>
      <c r="B940" t="s">
        <v>16</v>
      </c>
      <c r="C940" t="s">
        <v>12</v>
      </c>
      <c r="D940" t="s">
        <v>53</v>
      </c>
      <c r="E940" s="1">
        <v>45286</v>
      </c>
      <c r="F940">
        <v>144</v>
      </c>
      <c r="G940">
        <v>109</v>
      </c>
      <c r="H940">
        <v>270.18</v>
      </c>
      <c r="I940">
        <v>437.39</v>
      </c>
      <c r="J940" t="s">
        <v>19</v>
      </c>
      <c r="K940">
        <f t="shared" si="56"/>
        <v>62984.159999999996</v>
      </c>
      <c r="L940">
        <f t="shared" si="57"/>
        <v>24078.239999999998</v>
      </c>
      <c r="M940">
        <f t="shared" si="58"/>
        <v>1.3211009174311927</v>
      </c>
      <c r="N940">
        <f t="shared" si="59"/>
        <v>0</v>
      </c>
    </row>
    <row r="941" spans="1:14" x14ac:dyDescent="0.4">
      <c r="A941" t="s">
        <v>224</v>
      </c>
      <c r="B941" t="s">
        <v>32</v>
      </c>
      <c r="C941" t="s">
        <v>29</v>
      </c>
      <c r="D941" t="s">
        <v>37</v>
      </c>
      <c r="E941" s="1">
        <v>45323</v>
      </c>
      <c r="F941">
        <v>131</v>
      </c>
      <c r="G941">
        <v>253</v>
      </c>
      <c r="H941">
        <v>178.74</v>
      </c>
      <c r="I941">
        <v>629.20000000000005</v>
      </c>
      <c r="J941" t="s">
        <v>34</v>
      </c>
      <c r="K941">
        <f t="shared" si="56"/>
        <v>82425.200000000012</v>
      </c>
      <c r="L941">
        <f t="shared" si="57"/>
        <v>59010.26</v>
      </c>
      <c r="M941">
        <f t="shared" si="58"/>
        <v>0.51778656126482214</v>
      </c>
      <c r="N941">
        <f t="shared" si="59"/>
        <v>0</v>
      </c>
    </row>
    <row r="942" spans="1:14" x14ac:dyDescent="0.4">
      <c r="A942" t="s">
        <v>162</v>
      </c>
      <c r="B942" t="s">
        <v>39</v>
      </c>
      <c r="C942" t="s">
        <v>52</v>
      </c>
      <c r="D942" t="s">
        <v>41</v>
      </c>
      <c r="E942" s="1">
        <v>44944</v>
      </c>
      <c r="F942">
        <v>170</v>
      </c>
      <c r="G942">
        <v>87</v>
      </c>
      <c r="H942">
        <v>375.25</v>
      </c>
      <c r="I942">
        <v>416.62</v>
      </c>
      <c r="J942" t="s">
        <v>30</v>
      </c>
      <c r="K942">
        <f t="shared" si="56"/>
        <v>70825.399999999994</v>
      </c>
      <c r="L942">
        <f t="shared" si="57"/>
        <v>7032.9000000000005</v>
      </c>
      <c r="M942">
        <f t="shared" si="58"/>
        <v>1.9540229885057472</v>
      </c>
      <c r="N942">
        <f t="shared" si="59"/>
        <v>0</v>
      </c>
    </row>
    <row r="943" spans="1:14" x14ac:dyDescent="0.4">
      <c r="A943" t="s">
        <v>241</v>
      </c>
      <c r="B943" t="s">
        <v>11</v>
      </c>
      <c r="C943" t="s">
        <v>52</v>
      </c>
      <c r="D943" t="s">
        <v>22</v>
      </c>
      <c r="E943" s="1">
        <v>44949</v>
      </c>
      <c r="F943">
        <v>3</v>
      </c>
      <c r="G943">
        <v>71</v>
      </c>
      <c r="H943">
        <v>475.39</v>
      </c>
      <c r="I943">
        <v>130.22</v>
      </c>
      <c r="J943" t="s">
        <v>23</v>
      </c>
      <c r="K943">
        <f t="shared" si="56"/>
        <v>390.65999999999997</v>
      </c>
      <c r="L943">
        <f t="shared" si="57"/>
        <v>-1035.5099999999998</v>
      </c>
      <c r="M943">
        <f t="shared" si="58"/>
        <v>4.2253521126760563E-2</v>
      </c>
      <c r="N943">
        <f t="shared" si="59"/>
        <v>0</v>
      </c>
    </row>
    <row r="944" spans="1:14" x14ac:dyDescent="0.4">
      <c r="A944" t="s">
        <v>223</v>
      </c>
      <c r="B944" t="s">
        <v>16</v>
      </c>
      <c r="C944" t="s">
        <v>17</v>
      </c>
      <c r="D944" t="s">
        <v>45</v>
      </c>
      <c r="E944" s="1">
        <v>45086</v>
      </c>
      <c r="F944">
        <v>0</v>
      </c>
      <c r="G944">
        <v>29</v>
      </c>
      <c r="H944">
        <v>462.68</v>
      </c>
      <c r="I944">
        <v>316.72000000000003</v>
      </c>
      <c r="J944" t="s">
        <v>14</v>
      </c>
      <c r="K944">
        <f t="shared" si="56"/>
        <v>0</v>
      </c>
      <c r="L944">
        <f t="shared" si="57"/>
        <v>0</v>
      </c>
      <c r="M944">
        <f t="shared" si="58"/>
        <v>0</v>
      </c>
      <c r="N944">
        <f t="shared" si="59"/>
        <v>0</v>
      </c>
    </row>
    <row r="945" spans="1:14" x14ac:dyDescent="0.4">
      <c r="A945" t="s">
        <v>27</v>
      </c>
      <c r="B945" t="s">
        <v>28</v>
      </c>
      <c r="C945" t="s">
        <v>52</v>
      </c>
      <c r="D945" t="s">
        <v>33</v>
      </c>
      <c r="E945" s="1">
        <v>45200</v>
      </c>
      <c r="F945">
        <v>70</v>
      </c>
      <c r="G945">
        <v>171</v>
      </c>
      <c r="H945">
        <v>312.54000000000002</v>
      </c>
      <c r="I945">
        <v>324.08</v>
      </c>
      <c r="J945" t="s">
        <v>23</v>
      </c>
      <c r="K945">
        <f t="shared" si="56"/>
        <v>22685.599999999999</v>
      </c>
      <c r="L945">
        <f t="shared" si="57"/>
        <v>807.79999999999745</v>
      </c>
      <c r="M945">
        <f t="shared" si="58"/>
        <v>0.40935672514619881</v>
      </c>
      <c r="N945">
        <f t="shared" si="59"/>
        <v>0</v>
      </c>
    </row>
    <row r="946" spans="1:14" x14ac:dyDescent="0.4">
      <c r="A946" t="s">
        <v>126</v>
      </c>
      <c r="B946" t="s">
        <v>36</v>
      </c>
      <c r="C946" t="s">
        <v>17</v>
      </c>
      <c r="D946" t="s">
        <v>145</v>
      </c>
      <c r="E946" s="1">
        <v>45499</v>
      </c>
      <c r="F946">
        <v>177</v>
      </c>
      <c r="G946">
        <v>176</v>
      </c>
      <c r="H946">
        <v>258.17</v>
      </c>
      <c r="I946">
        <v>686.85</v>
      </c>
      <c r="J946" t="s">
        <v>23</v>
      </c>
      <c r="K946">
        <f t="shared" si="56"/>
        <v>121572.45</v>
      </c>
      <c r="L946">
        <f t="shared" si="57"/>
        <v>75876.36</v>
      </c>
      <c r="M946">
        <f t="shared" si="58"/>
        <v>1.0056818181818181</v>
      </c>
      <c r="N946">
        <f t="shared" si="59"/>
        <v>0</v>
      </c>
    </row>
    <row r="947" spans="1:14" x14ac:dyDescent="0.4">
      <c r="A947" t="s">
        <v>112</v>
      </c>
      <c r="B947" t="s">
        <v>39</v>
      </c>
      <c r="C947" t="s">
        <v>12</v>
      </c>
      <c r="D947" t="s">
        <v>97</v>
      </c>
      <c r="E947" s="1">
        <v>44837</v>
      </c>
      <c r="F947">
        <v>188</v>
      </c>
      <c r="G947">
        <v>138</v>
      </c>
      <c r="H947">
        <v>418.24</v>
      </c>
      <c r="I947">
        <v>557.96</v>
      </c>
      <c r="J947" t="s">
        <v>19</v>
      </c>
      <c r="K947">
        <f t="shared" si="56"/>
        <v>104896.48000000001</v>
      </c>
      <c r="L947">
        <f t="shared" si="57"/>
        <v>26267.360000000004</v>
      </c>
      <c r="M947">
        <f t="shared" si="58"/>
        <v>1.3623188405797102</v>
      </c>
      <c r="N947">
        <f t="shared" si="59"/>
        <v>0</v>
      </c>
    </row>
    <row r="948" spans="1:14" x14ac:dyDescent="0.4">
      <c r="A948" t="s">
        <v>205</v>
      </c>
      <c r="B948" t="s">
        <v>28</v>
      </c>
      <c r="C948" t="s">
        <v>17</v>
      </c>
      <c r="D948" t="s">
        <v>72</v>
      </c>
      <c r="E948" s="1">
        <v>45061</v>
      </c>
      <c r="F948">
        <v>34</v>
      </c>
      <c r="G948">
        <v>193</v>
      </c>
      <c r="H948">
        <v>357.5</v>
      </c>
      <c r="I948">
        <v>292.8</v>
      </c>
      <c r="J948" t="s">
        <v>14</v>
      </c>
      <c r="K948">
        <f t="shared" si="56"/>
        <v>9955.2000000000007</v>
      </c>
      <c r="L948">
        <f t="shared" si="57"/>
        <v>-2199.7999999999997</v>
      </c>
      <c r="M948">
        <f t="shared" si="58"/>
        <v>0.17616580310880828</v>
      </c>
      <c r="N948">
        <f t="shared" si="59"/>
        <v>0</v>
      </c>
    </row>
    <row r="949" spans="1:14" x14ac:dyDescent="0.4">
      <c r="A949" t="s">
        <v>100</v>
      </c>
      <c r="B949" t="s">
        <v>32</v>
      </c>
      <c r="C949" t="s">
        <v>29</v>
      </c>
      <c r="D949" t="s">
        <v>45</v>
      </c>
      <c r="E949" s="1">
        <v>45278</v>
      </c>
      <c r="F949">
        <v>7</v>
      </c>
      <c r="G949">
        <v>185</v>
      </c>
      <c r="H949">
        <v>132.6</v>
      </c>
      <c r="I949">
        <v>777.42</v>
      </c>
      <c r="J949" t="s">
        <v>34</v>
      </c>
      <c r="K949">
        <f t="shared" si="56"/>
        <v>5441.94</v>
      </c>
      <c r="L949">
        <f t="shared" si="57"/>
        <v>4513.74</v>
      </c>
      <c r="M949">
        <f t="shared" si="58"/>
        <v>3.783783783783784E-2</v>
      </c>
      <c r="N949">
        <f t="shared" si="59"/>
        <v>0</v>
      </c>
    </row>
    <row r="950" spans="1:14" x14ac:dyDescent="0.4">
      <c r="A950" t="s">
        <v>217</v>
      </c>
      <c r="B950" t="s">
        <v>32</v>
      </c>
      <c r="C950" t="s">
        <v>17</v>
      </c>
      <c r="D950" t="s">
        <v>66</v>
      </c>
      <c r="E950" s="1">
        <v>44898</v>
      </c>
      <c r="F950">
        <v>151</v>
      </c>
      <c r="G950">
        <v>217</v>
      </c>
      <c r="H950">
        <v>419.41</v>
      </c>
      <c r="I950">
        <v>325.08</v>
      </c>
      <c r="J950" t="s">
        <v>34</v>
      </c>
      <c r="K950">
        <f t="shared" si="56"/>
        <v>49087.079999999994</v>
      </c>
      <c r="L950">
        <f t="shared" si="57"/>
        <v>-14243.830000000005</v>
      </c>
      <c r="M950">
        <f t="shared" si="58"/>
        <v>0.69585253456221197</v>
      </c>
      <c r="N950">
        <f t="shared" si="59"/>
        <v>0</v>
      </c>
    </row>
    <row r="951" spans="1:14" x14ac:dyDescent="0.4">
      <c r="A951" t="s">
        <v>153</v>
      </c>
      <c r="B951" t="s">
        <v>32</v>
      </c>
      <c r="C951" t="s">
        <v>29</v>
      </c>
      <c r="D951" t="s">
        <v>132</v>
      </c>
      <c r="E951" s="1">
        <v>45493</v>
      </c>
      <c r="F951">
        <v>35</v>
      </c>
      <c r="G951">
        <v>163</v>
      </c>
      <c r="H951">
        <v>243</v>
      </c>
      <c r="I951">
        <v>798.76</v>
      </c>
      <c r="J951" t="s">
        <v>23</v>
      </c>
      <c r="K951">
        <f t="shared" si="56"/>
        <v>27956.6</v>
      </c>
      <c r="L951">
        <f t="shared" si="57"/>
        <v>19451.599999999999</v>
      </c>
      <c r="M951">
        <f t="shared" si="58"/>
        <v>0.21472392638036811</v>
      </c>
      <c r="N951">
        <f t="shared" si="59"/>
        <v>0</v>
      </c>
    </row>
    <row r="952" spans="1:14" x14ac:dyDescent="0.4">
      <c r="A952" t="s">
        <v>141</v>
      </c>
      <c r="B952" t="s">
        <v>16</v>
      </c>
      <c r="C952" t="s">
        <v>17</v>
      </c>
      <c r="D952" t="s">
        <v>69</v>
      </c>
      <c r="E952" s="1">
        <v>45042</v>
      </c>
      <c r="F952">
        <v>177</v>
      </c>
      <c r="G952">
        <v>160</v>
      </c>
      <c r="H952">
        <v>135.04</v>
      </c>
      <c r="I952">
        <v>797.31</v>
      </c>
      <c r="J952" t="s">
        <v>23</v>
      </c>
      <c r="K952">
        <f t="shared" si="56"/>
        <v>141123.87</v>
      </c>
      <c r="L952">
        <f t="shared" si="57"/>
        <v>117221.79</v>
      </c>
      <c r="M952">
        <f t="shared" si="58"/>
        <v>1.10625</v>
      </c>
      <c r="N952">
        <f t="shared" si="59"/>
        <v>0</v>
      </c>
    </row>
    <row r="953" spans="1:14" x14ac:dyDescent="0.4">
      <c r="A953" t="s">
        <v>98</v>
      </c>
      <c r="B953" t="s">
        <v>16</v>
      </c>
      <c r="C953" t="s">
        <v>52</v>
      </c>
      <c r="D953" t="s">
        <v>53</v>
      </c>
      <c r="E953" s="1">
        <v>45472</v>
      </c>
      <c r="F953">
        <v>122</v>
      </c>
      <c r="G953">
        <v>12</v>
      </c>
      <c r="H953">
        <v>176.81</v>
      </c>
      <c r="I953">
        <v>233.85</v>
      </c>
      <c r="J953" t="s">
        <v>30</v>
      </c>
      <c r="K953">
        <f t="shared" si="56"/>
        <v>28529.7</v>
      </c>
      <c r="L953">
        <f t="shared" si="57"/>
        <v>6958.8799999999992</v>
      </c>
      <c r="M953">
        <f t="shared" si="58"/>
        <v>10.166666666666666</v>
      </c>
      <c r="N953">
        <f t="shared" si="59"/>
        <v>0</v>
      </c>
    </row>
    <row r="954" spans="1:14" x14ac:dyDescent="0.4">
      <c r="A954" t="s">
        <v>169</v>
      </c>
      <c r="B954" t="s">
        <v>11</v>
      </c>
      <c r="C954" t="s">
        <v>12</v>
      </c>
      <c r="D954" t="s">
        <v>65</v>
      </c>
      <c r="E954" s="1">
        <v>45643</v>
      </c>
      <c r="F954">
        <v>42</v>
      </c>
      <c r="G954">
        <v>295</v>
      </c>
      <c r="H954">
        <v>170.39</v>
      </c>
      <c r="I954">
        <v>318.92</v>
      </c>
      <c r="J954" t="s">
        <v>14</v>
      </c>
      <c r="K954">
        <f t="shared" si="56"/>
        <v>13394.640000000001</v>
      </c>
      <c r="L954">
        <f t="shared" si="57"/>
        <v>6238.2600000000011</v>
      </c>
      <c r="M954">
        <f t="shared" si="58"/>
        <v>0.14237288135593221</v>
      </c>
      <c r="N954">
        <f t="shared" si="59"/>
        <v>0</v>
      </c>
    </row>
    <row r="955" spans="1:14" x14ac:dyDescent="0.4">
      <c r="A955" t="s">
        <v>138</v>
      </c>
      <c r="B955" t="s">
        <v>11</v>
      </c>
      <c r="C955" t="s">
        <v>29</v>
      </c>
      <c r="D955" t="s">
        <v>37</v>
      </c>
      <c r="E955" s="1">
        <v>44670</v>
      </c>
      <c r="F955">
        <v>26</v>
      </c>
      <c r="G955">
        <v>88</v>
      </c>
      <c r="H955">
        <v>283.64</v>
      </c>
      <c r="I955">
        <v>440.23</v>
      </c>
      <c r="J955" t="s">
        <v>23</v>
      </c>
      <c r="K955">
        <f t="shared" si="56"/>
        <v>11445.98</v>
      </c>
      <c r="L955">
        <f t="shared" si="57"/>
        <v>4071.3400000000011</v>
      </c>
      <c r="M955">
        <f t="shared" si="58"/>
        <v>0.29545454545454547</v>
      </c>
      <c r="N955">
        <f t="shared" si="59"/>
        <v>0</v>
      </c>
    </row>
    <row r="956" spans="1:14" x14ac:dyDescent="0.4">
      <c r="A956" t="s">
        <v>15</v>
      </c>
      <c r="B956" t="s">
        <v>36</v>
      </c>
      <c r="C956" t="s">
        <v>17</v>
      </c>
      <c r="D956" t="s">
        <v>65</v>
      </c>
      <c r="E956" s="1">
        <v>44889</v>
      </c>
      <c r="F956">
        <v>31</v>
      </c>
      <c r="G956">
        <v>41</v>
      </c>
      <c r="H956">
        <v>155.47</v>
      </c>
      <c r="I956">
        <v>564.87</v>
      </c>
      <c r="J956" t="s">
        <v>30</v>
      </c>
      <c r="K956">
        <f t="shared" si="56"/>
        <v>17510.97</v>
      </c>
      <c r="L956">
        <f t="shared" si="57"/>
        <v>12691.4</v>
      </c>
      <c r="M956">
        <f t="shared" si="58"/>
        <v>0.75609756097560976</v>
      </c>
      <c r="N956">
        <f t="shared" si="59"/>
        <v>0</v>
      </c>
    </row>
    <row r="957" spans="1:14" x14ac:dyDescent="0.4">
      <c r="A957" t="s">
        <v>224</v>
      </c>
      <c r="B957" t="s">
        <v>39</v>
      </c>
      <c r="C957" t="s">
        <v>17</v>
      </c>
      <c r="D957" t="s">
        <v>41</v>
      </c>
      <c r="E957" s="1">
        <v>44876</v>
      </c>
      <c r="F957">
        <v>77</v>
      </c>
      <c r="G957">
        <v>209</v>
      </c>
      <c r="H957">
        <v>105.6</v>
      </c>
      <c r="I957">
        <v>469.63</v>
      </c>
      <c r="J957" t="s">
        <v>14</v>
      </c>
      <c r="K957">
        <f t="shared" si="56"/>
        <v>36161.51</v>
      </c>
      <c r="L957">
        <f t="shared" si="57"/>
        <v>28030.309999999998</v>
      </c>
      <c r="M957">
        <f t="shared" si="58"/>
        <v>0.36842105263157893</v>
      </c>
      <c r="N957">
        <f t="shared" si="59"/>
        <v>0</v>
      </c>
    </row>
    <row r="958" spans="1:14" x14ac:dyDescent="0.4">
      <c r="A958" t="s">
        <v>215</v>
      </c>
      <c r="B958" t="s">
        <v>43</v>
      </c>
      <c r="C958" t="s">
        <v>17</v>
      </c>
      <c r="D958" t="s">
        <v>97</v>
      </c>
      <c r="E958" s="1">
        <v>45260</v>
      </c>
      <c r="F958">
        <v>120</v>
      </c>
      <c r="G958">
        <v>228</v>
      </c>
      <c r="H958">
        <v>105.66</v>
      </c>
      <c r="I958">
        <v>778.61</v>
      </c>
      <c r="J958" t="s">
        <v>34</v>
      </c>
      <c r="K958">
        <f t="shared" si="56"/>
        <v>93433.2</v>
      </c>
      <c r="L958">
        <f t="shared" si="57"/>
        <v>80754</v>
      </c>
      <c r="M958">
        <f t="shared" si="58"/>
        <v>0.52631578947368418</v>
      </c>
      <c r="N958">
        <f t="shared" si="59"/>
        <v>0</v>
      </c>
    </row>
    <row r="959" spans="1:14" x14ac:dyDescent="0.4">
      <c r="A959" t="s">
        <v>241</v>
      </c>
      <c r="B959" t="s">
        <v>43</v>
      </c>
      <c r="C959" t="s">
        <v>52</v>
      </c>
      <c r="D959" t="s">
        <v>22</v>
      </c>
      <c r="E959" s="1">
        <v>45342</v>
      </c>
      <c r="F959">
        <v>145</v>
      </c>
      <c r="G959">
        <v>274</v>
      </c>
      <c r="H959">
        <v>312.47000000000003</v>
      </c>
      <c r="I959">
        <v>606.79</v>
      </c>
      <c r="J959" t="s">
        <v>30</v>
      </c>
      <c r="K959">
        <f t="shared" si="56"/>
        <v>87984.549999999988</v>
      </c>
      <c r="L959">
        <f t="shared" si="57"/>
        <v>42676.399999999994</v>
      </c>
      <c r="M959">
        <f t="shared" si="58"/>
        <v>0.52919708029197077</v>
      </c>
      <c r="N959">
        <f t="shared" si="59"/>
        <v>0</v>
      </c>
    </row>
    <row r="960" spans="1:14" x14ac:dyDescent="0.4">
      <c r="A960" t="s">
        <v>89</v>
      </c>
      <c r="B960" t="s">
        <v>28</v>
      </c>
      <c r="C960" t="s">
        <v>52</v>
      </c>
      <c r="D960" t="s">
        <v>22</v>
      </c>
      <c r="E960" s="1">
        <v>44717</v>
      </c>
      <c r="F960">
        <v>155</v>
      </c>
      <c r="G960">
        <v>278</v>
      </c>
      <c r="H960">
        <v>380.64</v>
      </c>
      <c r="I960">
        <v>248.43</v>
      </c>
      <c r="J960" t="s">
        <v>14</v>
      </c>
      <c r="K960">
        <f t="shared" si="56"/>
        <v>38506.65</v>
      </c>
      <c r="L960">
        <f t="shared" si="57"/>
        <v>-20492.549999999996</v>
      </c>
      <c r="M960">
        <f t="shared" si="58"/>
        <v>0.55755395683453235</v>
      </c>
      <c r="N960">
        <f t="shared" si="59"/>
        <v>0</v>
      </c>
    </row>
    <row r="961" spans="1:14" x14ac:dyDescent="0.4">
      <c r="A961" t="s">
        <v>133</v>
      </c>
      <c r="B961" t="s">
        <v>32</v>
      </c>
      <c r="C961" t="s">
        <v>29</v>
      </c>
      <c r="D961" t="s">
        <v>47</v>
      </c>
      <c r="E961" s="1">
        <v>45448</v>
      </c>
      <c r="F961">
        <v>156</v>
      </c>
      <c r="G961">
        <v>250</v>
      </c>
      <c r="H961">
        <v>194.69</v>
      </c>
      <c r="I961">
        <v>173.57</v>
      </c>
      <c r="J961" t="s">
        <v>30</v>
      </c>
      <c r="K961">
        <f t="shared" si="56"/>
        <v>27076.92</v>
      </c>
      <c r="L961">
        <f t="shared" si="57"/>
        <v>-3294.7200000000007</v>
      </c>
      <c r="M961">
        <f t="shared" si="58"/>
        <v>0.624</v>
      </c>
      <c r="N961">
        <f t="shared" si="59"/>
        <v>0</v>
      </c>
    </row>
    <row r="962" spans="1:14" x14ac:dyDescent="0.4">
      <c r="A962" t="s">
        <v>245</v>
      </c>
      <c r="B962" t="s">
        <v>39</v>
      </c>
      <c r="C962" t="s">
        <v>29</v>
      </c>
      <c r="D962" t="s">
        <v>13</v>
      </c>
      <c r="E962" s="1">
        <v>45587</v>
      </c>
      <c r="F962">
        <v>15</v>
      </c>
      <c r="G962">
        <v>207</v>
      </c>
      <c r="H962">
        <v>65.59</v>
      </c>
      <c r="I962">
        <v>581.88</v>
      </c>
      <c r="J962" t="s">
        <v>23</v>
      </c>
      <c r="K962">
        <f t="shared" si="56"/>
        <v>8728.2000000000007</v>
      </c>
      <c r="L962">
        <f t="shared" si="57"/>
        <v>7744.3499999999995</v>
      </c>
      <c r="M962">
        <f t="shared" si="58"/>
        <v>7.2463768115942032E-2</v>
      </c>
      <c r="N962">
        <f t="shared" si="59"/>
        <v>0</v>
      </c>
    </row>
    <row r="963" spans="1:14" x14ac:dyDescent="0.4">
      <c r="A963" t="s">
        <v>61</v>
      </c>
      <c r="B963" t="s">
        <v>25</v>
      </c>
      <c r="C963" t="s">
        <v>52</v>
      </c>
      <c r="D963" t="s">
        <v>26</v>
      </c>
      <c r="E963" s="1">
        <v>45319</v>
      </c>
      <c r="F963">
        <v>98</v>
      </c>
      <c r="G963">
        <v>139</v>
      </c>
      <c r="H963">
        <v>107.25</v>
      </c>
      <c r="I963">
        <v>210.92</v>
      </c>
      <c r="J963" t="s">
        <v>19</v>
      </c>
      <c r="K963">
        <f t="shared" ref="K963:K1001" si="60">F963 * I963</f>
        <v>20670.16</v>
      </c>
      <c r="L963">
        <f t="shared" ref="L963:L1001" si="61">(I963 - H963) * F963</f>
        <v>10159.659999999998</v>
      </c>
      <c r="M963">
        <f t="shared" ref="M963:M1001" si="62">IF(G963=0, 0, F963/G963)</f>
        <v>0.70503597122302153</v>
      </c>
      <c r="N963">
        <f t="shared" ref="N963:N1001" si="63">IF(G963=0, 1, 0)</f>
        <v>0</v>
      </c>
    </row>
    <row r="964" spans="1:14" x14ac:dyDescent="0.4">
      <c r="A964" t="s">
        <v>203</v>
      </c>
      <c r="B964" t="s">
        <v>16</v>
      </c>
      <c r="C964" t="s">
        <v>29</v>
      </c>
      <c r="D964" t="s">
        <v>65</v>
      </c>
      <c r="E964" s="1">
        <v>45283</v>
      </c>
      <c r="F964">
        <v>46</v>
      </c>
      <c r="G964">
        <v>279</v>
      </c>
      <c r="H964">
        <v>461.61</v>
      </c>
      <c r="I964">
        <v>651.37</v>
      </c>
      <c r="J964" t="s">
        <v>34</v>
      </c>
      <c r="K964">
        <f t="shared" si="60"/>
        <v>29963.02</v>
      </c>
      <c r="L964">
        <f t="shared" si="61"/>
        <v>8728.9599999999991</v>
      </c>
      <c r="M964">
        <f t="shared" si="62"/>
        <v>0.16487455197132617</v>
      </c>
      <c r="N964">
        <f t="shared" si="63"/>
        <v>0</v>
      </c>
    </row>
    <row r="965" spans="1:14" x14ac:dyDescent="0.4">
      <c r="A965" t="s">
        <v>117</v>
      </c>
      <c r="B965" t="s">
        <v>58</v>
      </c>
      <c r="C965" t="s">
        <v>12</v>
      </c>
      <c r="D965" t="s">
        <v>13</v>
      </c>
      <c r="E965" s="1">
        <v>45474</v>
      </c>
      <c r="F965">
        <v>186</v>
      </c>
      <c r="G965">
        <v>33</v>
      </c>
      <c r="H965">
        <v>272.08999999999997</v>
      </c>
      <c r="I965">
        <v>317.73</v>
      </c>
      <c r="J965" t="s">
        <v>23</v>
      </c>
      <c r="K965">
        <f t="shared" si="60"/>
        <v>59097.780000000006</v>
      </c>
      <c r="L965">
        <f t="shared" si="61"/>
        <v>8489.0400000000081</v>
      </c>
      <c r="M965">
        <f t="shared" si="62"/>
        <v>5.6363636363636367</v>
      </c>
      <c r="N965">
        <f t="shared" si="63"/>
        <v>0</v>
      </c>
    </row>
    <row r="966" spans="1:14" x14ac:dyDescent="0.4">
      <c r="A966" t="s">
        <v>89</v>
      </c>
      <c r="B966" t="s">
        <v>21</v>
      </c>
      <c r="C966" t="s">
        <v>12</v>
      </c>
      <c r="D966" t="s">
        <v>45</v>
      </c>
      <c r="E966" s="1">
        <v>45432</v>
      </c>
      <c r="F966">
        <v>30</v>
      </c>
      <c r="G966">
        <v>17</v>
      </c>
      <c r="H966">
        <v>254.11</v>
      </c>
      <c r="I966">
        <v>328.83</v>
      </c>
      <c r="J966" t="s">
        <v>23</v>
      </c>
      <c r="K966">
        <f t="shared" si="60"/>
        <v>9864.9</v>
      </c>
      <c r="L966">
        <f t="shared" si="61"/>
        <v>2241.599999999999</v>
      </c>
      <c r="M966">
        <f t="shared" si="62"/>
        <v>1.7647058823529411</v>
      </c>
      <c r="N966">
        <f t="shared" si="63"/>
        <v>0</v>
      </c>
    </row>
    <row r="967" spans="1:14" x14ac:dyDescent="0.4">
      <c r="A967" t="s">
        <v>156</v>
      </c>
      <c r="B967" t="s">
        <v>36</v>
      </c>
      <c r="C967" t="s">
        <v>52</v>
      </c>
      <c r="D967" t="s">
        <v>18</v>
      </c>
      <c r="E967" s="1">
        <v>44574</v>
      </c>
      <c r="F967">
        <v>3</v>
      </c>
      <c r="G967">
        <v>56</v>
      </c>
      <c r="H967">
        <v>67.12</v>
      </c>
      <c r="I967">
        <v>107.56</v>
      </c>
      <c r="J967" t="s">
        <v>14</v>
      </c>
      <c r="K967">
        <f t="shared" si="60"/>
        <v>322.68</v>
      </c>
      <c r="L967">
        <f t="shared" si="61"/>
        <v>121.32</v>
      </c>
      <c r="M967">
        <f t="shared" si="62"/>
        <v>5.3571428571428568E-2</v>
      </c>
      <c r="N967">
        <f t="shared" si="63"/>
        <v>0</v>
      </c>
    </row>
    <row r="968" spans="1:14" x14ac:dyDescent="0.4">
      <c r="A968" t="s">
        <v>241</v>
      </c>
      <c r="B968" t="s">
        <v>32</v>
      </c>
      <c r="C968" t="s">
        <v>29</v>
      </c>
      <c r="D968" t="s">
        <v>66</v>
      </c>
      <c r="E968" s="1">
        <v>45169</v>
      </c>
      <c r="F968">
        <v>164</v>
      </c>
      <c r="G968">
        <v>111</v>
      </c>
      <c r="H968">
        <v>377.89</v>
      </c>
      <c r="I968">
        <v>590.71</v>
      </c>
      <c r="J968" t="s">
        <v>30</v>
      </c>
      <c r="K968">
        <f t="shared" si="60"/>
        <v>96876.44</v>
      </c>
      <c r="L968">
        <f t="shared" si="61"/>
        <v>34902.48000000001</v>
      </c>
      <c r="M968">
        <f t="shared" si="62"/>
        <v>1.4774774774774775</v>
      </c>
      <c r="N968">
        <f t="shared" si="63"/>
        <v>0</v>
      </c>
    </row>
    <row r="969" spans="1:14" x14ac:dyDescent="0.4">
      <c r="A969" t="s">
        <v>201</v>
      </c>
      <c r="B969" t="s">
        <v>32</v>
      </c>
      <c r="C969" t="s">
        <v>17</v>
      </c>
      <c r="D969" t="s">
        <v>47</v>
      </c>
      <c r="E969" s="1">
        <v>45059</v>
      </c>
      <c r="F969">
        <v>16</v>
      </c>
      <c r="G969">
        <v>4</v>
      </c>
      <c r="H969">
        <v>287.63</v>
      </c>
      <c r="I969">
        <v>179.29</v>
      </c>
      <c r="J969" t="s">
        <v>34</v>
      </c>
      <c r="K969">
        <f t="shared" si="60"/>
        <v>2868.64</v>
      </c>
      <c r="L969">
        <f t="shared" si="61"/>
        <v>-1733.44</v>
      </c>
      <c r="M969">
        <f t="shared" si="62"/>
        <v>4</v>
      </c>
      <c r="N969">
        <f t="shared" si="63"/>
        <v>0</v>
      </c>
    </row>
    <row r="970" spans="1:14" x14ac:dyDescent="0.4">
      <c r="A970" t="s">
        <v>190</v>
      </c>
      <c r="B970" t="s">
        <v>32</v>
      </c>
      <c r="C970" t="s">
        <v>12</v>
      </c>
      <c r="D970" t="s">
        <v>145</v>
      </c>
      <c r="E970" s="1">
        <v>44799</v>
      </c>
      <c r="F970">
        <v>38</v>
      </c>
      <c r="G970">
        <v>181</v>
      </c>
      <c r="H970">
        <v>140.94</v>
      </c>
      <c r="I970">
        <v>641.02</v>
      </c>
      <c r="J970" t="s">
        <v>23</v>
      </c>
      <c r="K970">
        <f t="shared" si="60"/>
        <v>24358.76</v>
      </c>
      <c r="L970">
        <f t="shared" si="61"/>
        <v>19003.04</v>
      </c>
      <c r="M970">
        <f t="shared" si="62"/>
        <v>0.20994475138121546</v>
      </c>
      <c r="N970">
        <f t="shared" si="63"/>
        <v>0</v>
      </c>
    </row>
    <row r="971" spans="1:14" x14ac:dyDescent="0.4">
      <c r="A971" t="s">
        <v>164</v>
      </c>
      <c r="B971" t="s">
        <v>16</v>
      </c>
      <c r="C971" t="s">
        <v>52</v>
      </c>
      <c r="D971" t="s">
        <v>37</v>
      </c>
      <c r="E971" s="1">
        <v>45342</v>
      </c>
      <c r="F971">
        <v>47</v>
      </c>
      <c r="G971">
        <v>12</v>
      </c>
      <c r="H971">
        <v>99.53</v>
      </c>
      <c r="I971">
        <v>444.31</v>
      </c>
      <c r="J971" t="s">
        <v>14</v>
      </c>
      <c r="K971">
        <f t="shared" si="60"/>
        <v>20882.57</v>
      </c>
      <c r="L971">
        <f t="shared" si="61"/>
        <v>16204.659999999998</v>
      </c>
      <c r="M971">
        <f t="shared" si="62"/>
        <v>3.9166666666666665</v>
      </c>
      <c r="N971">
        <f t="shared" si="63"/>
        <v>0</v>
      </c>
    </row>
    <row r="972" spans="1:14" x14ac:dyDescent="0.4">
      <c r="A972" t="s">
        <v>94</v>
      </c>
      <c r="B972" t="s">
        <v>16</v>
      </c>
      <c r="C972" t="s">
        <v>29</v>
      </c>
      <c r="D972" t="s">
        <v>145</v>
      </c>
      <c r="E972" s="1">
        <v>45167</v>
      </c>
      <c r="F972">
        <v>173</v>
      </c>
      <c r="G972">
        <v>284</v>
      </c>
      <c r="H972">
        <v>222.52</v>
      </c>
      <c r="I972">
        <v>649</v>
      </c>
      <c r="J972" t="s">
        <v>34</v>
      </c>
      <c r="K972">
        <f t="shared" si="60"/>
        <v>112277</v>
      </c>
      <c r="L972">
        <f t="shared" si="61"/>
        <v>73781.040000000008</v>
      </c>
      <c r="M972">
        <f t="shared" si="62"/>
        <v>0.60915492957746475</v>
      </c>
      <c r="N972">
        <f t="shared" si="63"/>
        <v>0</v>
      </c>
    </row>
    <row r="973" spans="1:14" x14ac:dyDescent="0.4">
      <c r="A973" t="s">
        <v>135</v>
      </c>
      <c r="B973" t="s">
        <v>21</v>
      </c>
      <c r="C973" t="s">
        <v>52</v>
      </c>
      <c r="D973" t="s">
        <v>26</v>
      </c>
      <c r="E973" s="1">
        <v>45222</v>
      </c>
      <c r="F973">
        <v>175</v>
      </c>
      <c r="G973">
        <v>258</v>
      </c>
      <c r="H973">
        <v>426.72</v>
      </c>
      <c r="I973">
        <v>508.75</v>
      </c>
      <c r="J973" t="s">
        <v>30</v>
      </c>
      <c r="K973">
        <f t="shared" si="60"/>
        <v>89031.25</v>
      </c>
      <c r="L973">
        <f t="shared" si="61"/>
        <v>14355.249999999995</v>
      </c>
      <c r="M973">
        <f t="shared" si="62"/>
        <v>0.67829457364341084</v>
      </c>
      <c r="N973">
        <f t="shared" si="63"/>
        <v>0</v>
      </c>
    </row>
    <row r="974" spans="1:14" x14ac:dyDescent="0.4">
      <c r="A974" t="s">
        <v>27</v>
      </c>
      <c r="B974" t="s">
        <v>25</v>
      </c>
      <c r="C974" t="s">
        <v>17</v>
      </c>
      <c r="D974" t="s">
        <v>13</v>
      </c>
      <c r="E974" s="1">
        <v>45410</v>
      </c>
      <c r="F974">
        <v>38</v>
      </c>
      <c r="G974">
        <v>89</v>
      </c>
      <c r="H974">
        <v>439.38</v>
      </c>
      <c r="I974">
        <v>157.69999999999999</v>
      </c>
      <c r="J974" t="s">
        <v>23</v>
      </c>
      <c r="K974">
        <f t="shared" si="60"/>
        <v>5992.5999999999995</v>
      </c>
      <c r="L974">
        <f t="shared" si="61"/>
        <v>-10703.84</v>
      </c>
      <c r="M974">
        <f t="shared" si="62"/>
        <v>0.42696629213483145</v>
      </c>
      <c r="N974">
        <f t="shared" si="63"/>
        <v>0</v>
      </c>
    </row>
    <row r="975" spans="1:14" x14ac:dyDescent="0.4">
      <c r="A975" t="s">
        <v>86</v>
      </c>
      <c r="B975" t="s">
        <v>39</v>
      </c>
      <c r="C975" t="s">
        <v>12</v>
      </c>
      <c r="D975" t="s">
        <v>145</v>
      </c>
      <c r="E975" s="1">
        <v>45497</v>
      </c>
      <c r="F975">
        <v>131</v>
      </c>
      <c r="G975">
        <v>103</v>
      </c>
      <c r="H975">
        <v>321.27999999999997</v>
      </c>
      <c r="I975">
        <v>635.96</v>
      </c>
      <c r="J975" t="s">
        <v>23</v>
      </c>
      <c r="K975">
        <f t="shared" si="60"/>
        <v>83310.760000000009</v>
      </c>
      <c r="L975">
        <f t="shared" si="61"/>
        <v>41223.080000000009</v>
      </c>
      <c r="M975">
        <f t="shared" si="62"/>
        <v>1.2718446601941749</v>
      </c>
      <c r="N975">
        <f t="shared" si="63"/>
        <v>0</v>
      </c>
    </row>
    <row r="976" spans="1:14" x14ac:dyDescent="0.4">
      <c r="A976" t="s">
        <v>60</v>
      </c>
      <c r="B976" t="s">
        <v>32</v>
      </c>
      <c r="C976" t="s">
        <v>52</v>
      </c>
      <c r="D976" t="s">
        <v>75</v>
      </c>
      <c r="E976" s="1">
        <v>45189</v>
      </c>
      <c r="F976">
        <v>29</v>
      </c>
      <c r="G976">
        <v>185</v>
      </c>
      <c r="H976">
        <v>377.39</v>
      </c>
      <c r="I976">
        <v>148.86000000000001</v>
      </c>
      <c r="J976" t="s">
        <v>23</v>
      </c>
      <c r="K976">
        <f t="shared" si="60"/>
        <v>4316.9400000000005</v>
      </c>
      <c r="L976">
        <f t="shared" si="61"/>
        <v>-6627.369999999999</v>
      </c>
      <c r="M976">
        <f t="shared" si="62"/>
        <v>0.15675675675675677</v>
      </c>
      <c r="N976">
        <f t="shared" si="63"/>
        <v>0</v>
      </c>
    </row>
    <row r="977" spans="1:14" x14ac:dyDescent="0.4">
      <c r="A977" t="s">
        <v>201</v>
      </c>
      <c r="B977" t="s">
        <v>43</v>
      </c>
      <c r="C977" t="s">
        <v>52</v>
      </c>
      <c r="D977" t="s">
        <v>66</v>
      </c>
      <c r="E977" s="1">
        <v>44704</v>
      </c>
      <c r="F977">
        <v>157</v>
      </c>
      <c r="G977">
        <v>249</v>
      </c>
      <c r="H977">
        <v>101.82</v>
      </c>
      <c r="I977">
        <v>435.09</v>
      </c>
      <c r="J977" t="s">
        <v>34</v>
      </c>
      <c r="K977">
        <f t="shared" si="60"/>
        <v>68309.12999999999</v>
      </c>
      <c r="L977">
        <f t="shared" si="61"/>
        <v>52323.39</v>
      </c>
      <c r="M977">
        <f t="shared" si="62"/>
        <v>0.63052208835341361</v>
      </c>
      <c r="N977">
        <f t="shared" si="63"/>
        <v>0</v>
      </c>
    </row>
    <row r="978" spans="1:14" x14ac:dyDescent="0.4">
      <c r="A978" t="s">
        <v>24</v>
      </c>
      <c r="B978" t="s">
        <v>11</v>
      </c>
      <c r="C978" t="s">
        <v>52</v>
      </c>
      <c r="D978" t="s">
        <v>132</v>
      </c>
      <c r="E978" s="1">
        <v>45275</v>
      </c>
      <c r="F978">
        <v>21</v>
      </c>
      <c r="G978">
        <v>254</v>
      </c>
      <c r="H978">
        <v>314.66000000000003</v>
      </c>
      <c r="I978">
        <v>220.64</v>
      </c>
      <c r="J978" t="s">
        <v>34</v>
      </c>
      <c r="K978">
        <f t="shared" si="60"/>
        <v>4633.4399999999996</v>
      </c>
      <c r="L978">
        <f t="shared" si="61"/>
        <v>-1974.4200000000008</v>
      </c>
      <c r="M978">
        <f t="shared" si="62"/>
        <v>8.2677165354330714E-2</v>
      </c>
      <c r="N978">
        <f t="shared" si="63"/>
        <v>0</v>
      </c>
    </row>
    <row r="979" spans="1:14" x14ac:dyDescent="0.4">
      <c r="A979" t="s">
        <v>63</v>
      </c>
      <c r="B979" t="s">
        <v>43</v>
      </c>
      <c r="C979" t="s">
        <v>17</v>
      </c>
      <c r="D979" t="s">
        <v>132</v>
      </c>
      <c r="E979" s="1">
        <v>45040</v>
      </c>
      <c r="F979">
        <v>65</v>
      </c>
      <c r="G979">
        <v>75</v>
      </c>
      <c r="H979">
        <v>350.13</v>
      </c>
      <c r="I979">
        <v>626.63</v>
      </c>
      <c r="J979" t="s">
        <v>34</v>
      </c>
      <c r="K979">
        <f t="shared" si="60"/>
        <v>40730.949999999997</v>
      </c>
      <c r="L979">
        <f t="shared" si="61"/>
        <v>17972.5</v>
      </c>
      <c r="M979">
        <f t="shared" si="62"/>
        <v>0.8666666666666667</v>
      </c>
      <c r="N979">
        <f t="shared" si="63"/>
        <v>0</v>
      </c>
    </row>
    <row r="980" spans="1:14" x14ac:dyDescent="0.4">
      <c r="A980" t="s">
        <v>202</v>
      </c>
      <c r="B980" t="s">
        <v>28</v>
      </c>
      <c r="C980" t="s">
        <v>52</v>
      </c>
      <c r="D980" t="s">
        <v>26</v>
      </c>
      <c r="E980" s="1">
        <v>45126</v>
      </c>
      <c r="F980">
        <v>107</v>
      </c>
      <c r="G980">
        <v>107</v>
      </c>
      <c r="H980">
        <v>140.32</v>
      </c>
      <c r="I980">
        <v>738.11</v>
      </c>
      <c r="J980" t="s">
        <v>34</v>
      </c>
      <c r="K980">
        <f t="shared" si="60"/>
        <v>78977.77</v>
      </c>
      <c r="L980">
        <f t="shared" si="61"/>
        <v>63963.53</v>
      </c>
      <c r="M980">
        <f t="shared" si="62"/>
        <v>1</v>
      </c>
      <c r="N980">
        <f t="shared" si="63"/>
        <v>0</v>
      </c>
    </row>
    <row r="981" spans="1:14" x14ac:dyDescent="0.4">
      <c r="A981" t="s">
        <v>133</v>
      </c>
      <c r="B981" t="s">
        <v>43</v>
      </c>
      <c r="C981" t="s">
        <v>17</v>
      </c>
      <c r="D981" t="s">
        <v>45</v>
      </c>
      <c r="E981" s="1">
        <v>45032</v>
      </c>
      <c r="F981">
        <v>11</v>
      </c>
      <c r="G981">
        <v>155</v>
      </c>
      <c r="H981">
        <v>446.07</v>
      </c>
      <c r="I981">
        <v>487.89</v>
      </c>
      <c r="J981" t="s">
        <v>14</v>
      </c>
      <c r="K981">
        <f t="shared" si="60"/>
        <v>5366.79</v>
      </c>
      <c r="L981">
        <f t="shared" si="61"/>
        <v>460.01999999999992</v>
      </c>
      <c r="M981">
        <f t="shared" si="62"/>
        <v>7.0967741935483872E-2</v>
      </c>
      <c r="N981">
        <f t="shared" si="63"/>
        <v>0</v>
      </c>
    </row>
    <row r="982" spans="1:14" x14ac:dyDescent="0.4">
      <c r="A982" t="s">
        <v>171</v>
      </c>
      <c r="B982" t="s">
        <v>28</v>
      </c>
      <c r="C982" t="s">
        <v>17</v>
      </c>
      <c r="D982" t="s">
        <v>97</v>
      </c>
      <c r="E982" s="1">
        <v>44945</v>
      </c>
      <c r="F982">
        <v>35</v>
      </c>
      <c r="G982">
        <v>81</v>
      </c>
      <c r="H982">
        <v>137.75</v>
      </c>
      <c r="I982">
        <v>469</v>
      </c>
      <c r="J982" t="s">
        <v>19</v>
      </c>
      <c r="K982">
        <f t="shared" si="60"/>
        <v>16415</v>
      </c>
      <c r="L982">
        <f t="shared" si="61"/>
        <v>11593.75</v>
      </c>
      <c r="M982">
        <f t="shared" si="62"/>
        <v>0.43209876543209874</v>
      </c>
      <c r="N982">
        <f t="shared" si="63"/>
        <v>0</v>
      </c>
    </row>
    <row r="983" spans="1:14" x14ac:dyDescent="0.4">
      <c r="A983" t="s">
        <v>159</v>
      </c>
      <c r="B983" t="s">
        <v>58</v>
      </c>
      <c r="C983" t="s">
        <v>17</v>
      </c>
      <c r="D983" t="s">
        <v>13</v>
      </c>
      <c r="E983" s="1">
        <v>45487</v>
      </c>
      <c r="F983">
        <v>17</v>
      </c>
      <c r="G983">
        <v>76</v>
      </c>
      <c r="H983">
        <v>191.06</v>
      </c>
      <c r="I983">
        <v>634.77</v>
      </c>
      <c r="J983" t="s">
        <v>14</v>
      </c>
      <c r="K983">
        <f t="shared" si="60"/>
        <v>10791.09</v>
      </c>
      <c r="L983">
        <f t="shared" si="61"/>
        <v>7543.07</v>
      </c>
      <c r="M983">
        <f t="shared" si="62"/>
        <v>0.22368421052631579</v>
      </c>
      <c r="N983">
        <f t="shared" si="63"/>
        <v>0</v>
      </c>
    </row>
    <row r="984" spans="1:14" x14ac:dyDescent="0.4">
      <c r="A984" t="s">
        <v>206</v>
      </c>
      <c r="B984" t="s">
        <v>11</v>
      </c>
      <c r="C984" t="s">
        <v>12</v>
      </c>
      <c r="D984" t="s">
        <v>145</v>
      </c>
      <c r="E984" s="1">
        <v>44978</v>
      </c>
      <c r="F984">
        <v>89</v>
      </c>
      <c r="G984">
        <v>257</v>
      </c>
      <c r="H984">
        <v>329.25</v>
      </c>
      <c r="I984">
        <v>103.56</v>
      </c>
      <c r="J984" t="s">
        <v>23</v>
      </c>
      <c r="K984">
        <f t="shared" si="60"/>
        <v>9216.84</v>
      </c>
      <c r="L984">
        <f t="shared" si="61"/>
        <v>-20086.41</v>
      </c>
      <c r="M984">
        <f t="shared" si="62"/>
        <v>0.34630350194552528</v>
      </c>
      <c r="N984">
        <f t="shared" si="63"/>
        <v>0</v>
      </c>
    </row>
    <row r="985" spans="1:14" x14ac:dyDescent="0.4">
      <c r="A985" t="s">
        <v>157</v>
      </c>
      <c r="B985" t="s">
        <v>43</v>
      </c>
      <c r="C985" t="s">
        <v>12</v>
      </c>
      <c r="D985" t="s">
        <v>66</v>
      </c>
      <c r="E985" s="1">
        <v>44869</v>
      </c>
      <c r="F985">
        <v>180</v>
      </c>
      <c r="G985">
        <v>126</v>
      </c>
      <c r="H985">
        <v>337.26</v>
      </c>
      <c r="I985">
        <v>742.43</v>
      </c>
      <c r="J985" t="s">
        <v>14</v>
      </c>
      <c r="K985">
        <f t="shared" si="60"/>
        <v>133637.4</v>
      </c>
      <c r="L985">
        <f t="shared" si="61"/>
        <v>72930.599999999991</v>
      </c>
      <c r="M985">
        <f t="shared" si="62"/>
        <v>1.4285714285714286</v>
      </c>
      <c r="N985">
        <f t="shared" si="63"/>
        <v>0</v>
      </c>
    </row>
    <row r="986" spans="1:14" x14ac:dyDescent="0.4">
      <c r="A986" t="s">
        <v>175</v>
      </c>
      <c r="B986" t="s">
        <v>58</v>
      </c>
      <c r="C986" t="s">
        <v>52</v>
      </c>
      <c r="D986" t="s">
        <v>69</v>
      </c>
      <c r="E986" s="1">
        <v>45210</v>
      </c>
      <c r="F986">
        <v>198</v>
      </c>
      <c r="G986">
        <v>281</v>
      </c>
      <c r="H986">
        <v>364.72</v>
      </c>
      <c r="I986">
        <v>238.21</v>
      </c>
      <c r="J986" t="s">
        <v>30</v>
      </c>
      <c r="K986">
        <f t="shared" si="60"/>
        <v>47165.58</v>
      </c>
      <c r="L986">
        <f t="shared" si="61"/>
        <v>-25048.980000000003</v>
      </c>
      <c r="M986">
        <f t="shared" si="62"/>
        <v>0.70462633451957291</v>
      </c>
      <c r="N986">
        <f t="shared" si="63"/>
        <v>0</v>
      </c>
    </row>
    <row r="987" spans="1:14" x14ac:dyDescent="0.4">
      <c r="A987" t="s">
        <v>109</v>
      </c>
      <c r="B987" t="s">
        <v>36</v>
      </c>
      <c r="C987" t="s">
        <v>52</v>
      </c>
      <c r="D987" t="s">
        <v>41</v>
      </c>
      <c r="E987" s="1">
        <v>45586</v>
      </c>
      <c r="F987">
        <v>0</v>
      </c>
      <c r="G987">
        <v>87</v>
      </c>
      <c r="H987">
        <v>100.41</v>
      </c>
      <c r="I987">
        <v>788.88</v>
      </c>
      <c r="J987" t="s">
        <v>34</v>
      </c>
      <c r="K987">
        <f t="shared" si="60"/>
        <v>0</v>
      </c>
      <c r="L987">
        <f t="shared" si="61"/>
        <v>0</v>
      </c>
      <c r="M987">
        <f t="shared" si="62"/>
        <v>0</v>
      </c>
      <c r="N987">
        <f t="shared" si="63"/>
        <v>0</v>
      </c>
    </row>
    <row r="988" spans="1:14" x14ac:dyDescent="0.4">
      <c r="A988" t="s">
        <v>211</v>
      </c>
      <c r="B988" t="s">
        <v>39</v>
      </c>
      <c r="C988" t="s">
        <v>12</v>
      </c>
      <c r="D988" t="s">
        <v>40</v>
      </c>
      <c r="E988" s="1">
        <v>45629</v>
      </c>
      <c r="F988">
        <v>126</v>
      </c>
      <c r="G988">
        <v>203</v>
      </c>
      <c r="H988">
        <v>432.26</v>
      </c>
      <c r="I988">
        <v>615.38</v>
      </c>
      <c r="J988" t="s">
        <v>30</v>
      </c>
      <c r="K988">
        <f t="shared" si="60"/>
        <v>77537.88</v>
      </c>
      <c r="L988">
        <f t="shared" si="61"/>
        <v>23073.119999999999</v>
      </c>
      <c r="M988">
        <f t="shared" si="62"/>
        <v>0.62068965517241381</v>
      </c>
      <c r="N988">
        <f t="shared" si="63"/>
        <v>0</v>
      </c>
    </row>
    <row r="989" spans="1:14" x14ac:dyDescent="0.4">
      <c r="A989" t="s">
        <v>178</v>
      </c>
      <c r="B989" t="s">
        <v>58</v>
      </c>
      <c r="C989" t="s">
        <v>29</v>
      </c>
      <c r="D989" t="s">
        <v>47</v>
      </c>
      <c r="E989" s="1">
        <v>45300</v>
      </c>
      <c r="F989">
        <v>185</v>
      </c>
      <c r="G989">
        <v>15</v>
      </c>
      <c r="H989">
        <v>289.77999999999997</v>
      </c>
      <c r="I989">
        <v>641.98</v>
      </c>
      <c r="J989" t="s">
        <v>30</v>
      </c>
      <c r="K989">
        <f t="shared" si="60"/>
        <v>118766.3</v>
      </c>
      <c r="L989">
        <f t="shared" si="61"/>
        <v>65157.000000000007</v>
      </c>
      <c r="M989">
        <f t="shared" si="62"/>
        <v>12.333333333333334</v>
      </c>
      <c r="N989">
        <f t="shared" si="63"/>
        <v>0</v>
      </c>
    </row>
    <row r="990" spans="1:14" x14ac:dyDescent="0.4">
      <c r="A990" t="s">
        <v>154</v>
      </c>
      <c r="B990" t="s">
        <v>39</v>
      </c>
      <c r="C990" t="s">
        <v>12</v>
      </c>
      <c r="D990" t="s">
        <v>45</v>
      </c>
      <c r="E990" s="1">
        <v>44701</v>
      </c>
      <c r="F990">
        <v>89</v>
      </c>
      <c r="G990">
        <v>150</v>
      </c>
      <c r="H990">
        <v>262.08999999999997</v>
      </c>
      <c r="I990">
        <v>559.34</v>
      </c>
      <c r="J990" t="s">
        <v>23</v>
      </c>
      <c r="K990">
        <f t="shared" si="60"/>
        <v>49781.26</v>
      </c>
      <c r="L990">
        <f t="shared" si="61"/>
        <v>26455.250000000004</v>
      </c>
      <c r="M990">
        <f t="shared" si="62"/>
        <v>0.59333333333333338</v>
      </c>
      <c r="N990">
        <f t="shared" si="63"/>
        <v>0</v>
      </c>
    </row>
    <row r="991" spans="1:14" x14ac:dyDescent="0.4">
      <c r="A991" t="s">
        <v>211</v>
      </c>
      <c r="B991" t="s">
        <v>43</v>
      </c>
      <c r="C991" t="s">
        <v>17</v>
      </c>
      <c r="D991" t="s">
        <v>66</v>
      </c>
      <c r="E991" s="1">
        <v>45535</v>
      </c>
      <c r="F991">
        <v>86</v>
      </c>
      <c r="G991">
        <v>253</v>
      </c>
      <c r="H991">
        <v>491.49</v>
      </c>
      <c r="I991">
        <v>430.16</v>
      </c>
      <c r="J991" t="s">
        <v>34</v>
      </c>
      <c r="K991">
        <f t="shared" si="60"/>
        <v>36993.760000000002</v>
      </c>
      <c r="L991">
        <f t="shared" si="61"/>
        <v>-5274.3799999999983</v>
      </c>
      <c r="M991">
        <f t="shared" si="62"/>
        <v>0.33992094861660077</v>
      </c>
      <c r="N991">
        <f t="shared" si="63"/>
        <v>0</v>
      </c>
    </row>
    <row r="992" spans="1:14" x14ac:dyDescent="0.4">
      <c r="A992" t="s">
        <v>176</v>
      </c>
      <c r="B992" t="s">
        <v>25</v>
      </c>
      <c r="C992" t="s">
        <v>12</v>
      </c>
      <c r="D992" t="s">
        <v>33</v>
      </c>
      <c r="E992" s="1">
        <v>45578</v>
      </c>
      <c r="F992">
        <v>89</v>
      </c>
      <c r="G992">
        <v>187</v>
      </c>
      <c r="H992">
        <v>383.17</v>
      </c>
      <c r="I992">
        <v>500.14</v>
      </c>
      <c r="J992" t="s">
        <v>30</v>
      </c>
      <c r="K992">
        <f t="shared" si="60"/>
        <v>44512.46</v>
      </c>
      <c r="L992">
        <f t="shared" si="61"/>
        <v>10410.329999999998</v>
      </c>
      <c r="M992">
        <f t="shared" si="62"/>
        <v>0.47593582887700536</v>
      </c>
      <c r="N992">
        <f t="shared" si="63"/>
        <v>0</v>
      </c>
    </row>
    <row r="993" spans="1:14" x14ac:dyDescent="0.4">
      <c r="A993" t="s">
        <v>232</v>
      </c>
      <c r="B993" t="s">
        <v>58</v>
      </c>
      <c r="C993" t="s">
        <v>17</v>
      </c>
      <c r="D993" t="s">
        <v>97</v>
      </c>
      <c r="E993" s="1">
        <v>45514</v>
      </c>
      <c r="F993">
        <v>133</v>
      </c>
      <c r="G993">
        <v>31</v>
      </c>
      <c r="H993">
        <v>103.1</v>
      </c>
      <c r="I993">
        <v>132.47999999999999</v>
      </c>
      <c r="J993" t="s">
        <v>23</v>
      </c>
      <c r="K993">
        <f t="shared" si="60"/>
        <v>17619.84</v>
      </c>
      <c r="L993">
        <f t="shared" si="61"/>
        <v>3907.5399999999995</v>
      </c>
      <c r="M993">
        <f t="shared" si="62"/>
        <v>4.290322580645161</v>
      </c>
      <c r="N993">
        <f t="shared" si="63"/>
        <v>0</v>
      </c>
    </row>
    <row r="994" spans="1:14" x14ac:dyDescent="0.4">
      <c r="A994" t="s">
        <v>210</v>
      </c>
      <c r="B994" t="s">
        <v>11</v>
      </c>
      <c r="C994" t="s">
        <v>52</v>
      </c>
      <c r="D994" t="s">
        <v>65</v>
      </c>
      <c r="E994" s="1">
        <v>45465</v>
      </c>
      <c r="F994">
        <v>69</v>
      </c>
      <c r="G994">
        <v>270</v>
      </c>
      <c r="H994">
        <v>390.44</v>
      </c>
      <c r="I994">
        <v>536.77</v>
      </c>
      <c r="J994" t="s">
        <v>34</v>
      </c>
      <c r="K994">
        <f t="shared" si="60"/>
        <v>37037.129999999997</v>
      </c>
      <c r="L994">
        <f t="shared" si="61"/>
        <v>10096.769999999999</v>
      </c>
      <c r="M994">
        <f t="shared" si="62"/>
        <v>0.25555555555555554</v>
      </c>
      <c r="N994">
        <f t="shared" si="63"/>
        <v>0</v>
      </c>
    </row>
    <row r="995" spans="1:14" x14ac:dyDescent="0.4">
      <c r="A995" t="s">
        <v>203</v>
      </c>
      <c r="B995" t="s">
        <v>43</v>
      </c>
      <c r="C995" t="s">
        <v>29</v>
      </c>
      <c r="D995" t="s">
        <v>72</v>
      </c>
      <c r="E995" s="1">
        <v>44633</v>
      </c>
      <c r="F995">
        <v>43</v>
      </c>
      <c r="G995">
        <v>4</v>
      </c>
      <c r="H995">
        <v>92.86</v>
      </c>
      <c r="I995">
        <v>538.27</v>
      </c>
      <c r="J995" t="s">
        <v>19</v>
      </c>
      <c r="K995">
        <f t="shared" si="60"/>
        <v>23145.61</v>
      </c>
      <c r="L995">
        <f t="shared" si="61"/>
        <v>19152.629999999997</v>
      </c>
      <c r="M995">
        <f t="shared" si="62"/>
        <v>10.75</v>
      </c>
      <c r="N995">
        <f t="shared" si="63"/>
        <v>0</v>
      </c>
    </row>
    <row r="996" spans="1:14" x14ac:dyDescent="0.4">
      <c r="A996" t="s">
        <v>108</v>
      </c>
      <c r="B996" t="s">
        <v>32</v>
      </c>
      <c r="C996" t="s">
        <v>52</v>
      </c>
      <c r="D996" t="s">
        <v>72</v>
      </c>
      <c r="E996" s="1">
        <v>44668</v>
      </c>
      <c r="F996">
        <v>199</v>
      </c>
      <c r="G996">
        <v>168</v>
      </c>
      <c r="H996">
        <v>62.36</v>
      </c>
      <c r="I996">
        <v>723.84</v>
      </c>
      <c r="J996" t="s">
        <v>23</v>
      </c>
      <c r="K996">
        <f t="shared" si="60"/>
        <v>144044.16</v>
      </c>
      <c r="L996">
        <f t="shared" si="61"/>
        <v>131634.51999999999</v>
      </c>
      <c r="M996">
        <f t="shared" si="62"/>
        <v>1.1845238095238095</v>
      </c>
      <c r="N996">
        <f t="shared" si="63"/>
        <v>0</v>
      </c>
    </row>
    <row r="997" spans="1:14" x14ac:dyDescent="0.4">
      <c r="A997" t="s">
        <v>94</v>
      </c>
      <c r="B997" t="s">
        <v>16</v>
      </c>
      <c r="C997" t="s">
        <v>17</v>
      </c>
      <c r="D997" t="s">
        <v>26</v>
      </c>
      <c r="E997" s="1">
        <v>45627</v>
      </c>
      <c r="F997">
        <v>151</v>
      </c>
      <c r="G997">
        <v>180</v>
      </c>
      <c r="H997">
        <v>231.63</v>
      </c>
      <c r="I997">
        <v>453.96</v>
      </c>
      <c r="J997" t="s">
        <v>14</v>
      </c>
      <c r="K997">
        <f t="shared" si="60"/>
        <v>68547.959999999992</v>
      </c>
      <c r="L997">
        <f t="shared" si="61"/>
        <v>33571.829999999994</v>
      </c>
      <c r="M997">
        <f t="shared" si="62"/>
        <v>0.83888888888888891</v>
      </c>
      <c r="N997">
        <f t="shared" si="63"/>
        <v>0</v>
      </c>
    </row>
    <row r="998" spans="1:14" x14ac:dyDescent="0.4">
      <c r="A998" t="s">
        <v>94</v>
      </c>
      <c r="B998" t="s">
        <v>58</v>
      </c>
      <c r="C998" t="s">
        <v>17</v>
      </c>
      <c r="D998" t="s">
        <v>18</v>
      </c>
      <c r="E998" s="1">
        <v>45444</v>
      </c>
      <c r="F998">
        <v>85</v>
      </c>
      <c r="G998">
        <v>177</v>
      </c>
      <c r="H998">
        <v>497.11</v>
      </c>
      <c r="I998">
        <v>154</v>
      </c>
      <c r="J998" t="s">
        <v>34</v>
      </c>
      <c r="K998">
        <f t="shared" si="60"/>
        <v>13090</v>
      </c>
      <c r="L998">
        <f t="shared" si="61"/>
        <v>-29164.350000000002</v>
      </c>
      <c r="M998">
        <f t="shared" si="62"/>
        <v>0.48022598870056499</v>
      </c>
      <c r="N998">
        <f t="shared" si="63"/>
        <v>0</v>
      </c>
    </row>
    <row r="999" spans="1:14" x14ac:dyDescent="0.4">
      <c r="A999" t="s">
        <v>227</v>
      </c>
      <c r="B999" t="s">
        <v>11</v>
      </c>
      <c r="C999" t="s">
        <v>17</v>
      </c>
      <c r="D999" t="s">
        <v>47</v>
      </c>
      <c r="E999" s="1">
        <v>44700</v>
      </c>
      <c r="F999">
        <v>18</v>
      </c>
      <c r="G999">
        <v>142</v>
      </c>
      <c r="H999">
        <v>128.69999999999999</v>
      </c>
      <c r="I999">
        <v>314.33999999999997</v>
      </c>
      <c r="J999" t="s">
        <v>30</v>
      </c>
      <c r="K999">
        <f t="shared" si="60"/>
        <v>5658.12</v>
      </c>
      <c r="L999">
        <f t="shared" si="61"/>
        <v>3341.5199999999995</v>
      </c>
      <c r="M999">
        <f t="shared" si="62"/>
        <v>0.12676056338028169</v>
      </c>
      <c r="N999">
        <f t="shared" si="63"/>
        <v>0</v>
      </c>
    </row>
    <row r="1000" spans="1:14" x14ac:dyDescent="0.4">
      <c r="A1000" t="s">
        <v>94</v>
      </c>
      <c r="B1000" t="s">
        <v>36</v>
      </c>
      <c r="C1000" t="s">
        <v>29</v>
      </c>
      <c r="D1000" t="s">
        <v>26</v>
      </c>
      <c r="E1000" s="1">
        <v>45176</v>
      </c>
      <c r="F1000">
        <v>100</v>
      </c>
      <c r="G1000">
        <v>247</v>
      </c>
      <c r="H1000">
        <v>352.69</v>
      </c>
      <c r="I1000">
        <v>558.94000000000005</v>
      </c>
      <c r="J1000" t="s">
        <v>30</v>
      </c>
      <c r="K1000">
        <f t="shared" si="60"/>
        <v>55894.000000000007</v>
      </c>
      <c r="L1000">
        <f t="shared" si="61"/>
        <v>20625.000000000007</v>
      </c>
      <c r="M1000">
        <f t="shared" si="62"/>
        <v>0.40485829959514169</v>
      </c>
      <c r="N1000">
        <f t="shared" si="63"/>
        <v>0</v>
      </c>
    </row>
    <row r="1001" spans="1:14" x14ac:dyDescent="0.4">
      <c r="A1001" t="s">
        <v>98</v>
      </c>
      <c r="B1001" t="s">
        <v>32</v>
      </c>
      <c r="C1001" t="s">
        <v>12</v>
      </c>
      <c r="D1001" t="s">
        <v>145</v>
      </c>
      <c r="E1001" s="1">
        <v>45424</v>
      </c>
      <c r="F1001">
        <v>145</v>
      </c>
      <c r="G1001">
        <v>126</v>
      </c>
      <c r="H1001">
        <v>128.03</v>
      </c>
      <c r="I1001">
        <v>267.48</v>
      </c>
      <c r="J1001" t="s">
        <v>14</v>
      </c>
      <c r="K1001">
        <f t="shared" si="60"/>
        <v>38784.600000000006</v>
      </c>
      <c r="L1001">
        <f t="shared" si="61"/>
        <v>20220.250000000004</v>
      </c>
      <c r="M1001">
        <f t="shared" si="62"/>
        <v>1.1507936507936507</v>
      </c>
      <c r="N1001">
        <f t="shared" si="6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A2A0-B7F1-42A4-8040-DE2478E9047B}">
  <dimension ref="A3:C7"/>
  <sheetViews>
    <sheetView workbookViewId="0">
      <selection activeCell="A3" sqref="A3:C8"/>
    </sheetView>
  </sheetViews>
  <sheetFormatPr defaultRowHeight="14.6" x14ac:dyDescent="0.4"/>
  <cols>
    <col min="1" max="1" width="12.4609375" bestFit="1" customWidth="1"/>
    <col min="2" max="2" width="11.84375" bestFit="1" customWidth="1"/>
    <col min="3" max="3" width="10.84375" bestFit="1" customWidth="1"/>
  </cols>
  <sheetData>
    <row r="3" spans="1:3" x14ac:dyDescent="0.4">
      <c r="A3" s="2" t="s">
        <v>2</v>
      </c>
      <c r="B3" t="s">
        <v>253</v>
      </c>
      <c r="C3" t="s">
        <v>252</v>
      </c>
    </row>
    <row r="4" spans="1:3" x14ac:dyDescent="0.4">
      <c r="A4" s="3" t="s">
        <v>29</v>
      </c>
      <c r="B4" s="4">
        <v>11926569.679999994</v>
      </c>
      <c r="C4" s="4">
        <v>4611747.1600000011</v>
      </c>
    </row>
    <row r="5" spans="1:3" x14ac:dyDescent="0.4">
      <c r="A5" s="3" t="s">
        <v>52</v>
      </c>
      <c r="B5" s="4">
        <v>11962088.750000004</v>
      </c>
      <c r="C5" s="4">
        <v>4451643.8299999963</v>
      </c>
    </row>
    <row r="6" spans="1:3" x14ac:dyDescent="0.4">
      <c r="A6" s="3" t="s">
        <v>12</v>
      </c>
      <c r="B6" s="4">
        <v>10066219.050000003</v>
      </c>
      <c r="C6" s="4">
        <v>4476717.1000000015</v>
      </c>
    </row>
    <row r="7" spans="1:3" x14ac:dyDescent="0.4">
      <c r="A7" s="3" t="s">
        <v>17</v>
      </c>
      <c r="B7" s="4">
        <v>12982720.789999994</v>
      </c>
      <c r="C7" s="4">
        <v>5711829.7600000007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7712-AC2D-4BD7-AE7B-DD179E819B0A}">
  <dimension ref="A3:C8"/>
  <sheetViews>
    <sheetView workbookViewId="0">
      <selection activeCell="A2" sqref="A2:C8"/>
    </sheetView>
  </sheetViews>
  <sheetFormatPr defaultRowHeight="14.6" x14ac:dyDescent="0.4"/>
  <cols>
    <col min="1" max="1" width="8.921875" bestFit="1" customWidth="1"/>
    <col min="2" max="2" width="9.15234375" bestFit="1" customWidth="1"/>
    <col min="3" max="3" width="10.84375" bestFit="1" customWidth="1"/>
  </cols>
  <sheetData>
    <row r="3" spans="1:3" x14ac:dyDescent="0.4">
      <c r="A3" s="2" t="s">
        <v>9</v>
      </c>
      <c r="B3" t="s">
        <v>255</v>
      </c>
      <c r="C3" t="s">
        <v>256</v>
      </c>
    </row>
    <row r="4" spans="1:3" x14ac:dyDescent="0.4">
      <c r="A4" s="3" t="s">
        <v>30</v>
      </c>
      <c r="B4" s="4">
        <v>18900</v>
      </c>
      <c r="C4" s="4">
        <v>8709445.6400000025</v>
      </c>
    </row>
    <row r="5" spans="1:3" x14ac:dyDescent="0.4">
      <c r="A5" s="3" t="s">
        <v>34</v>
      </c>
      <c r="B5" s="4">
        <v>24252</v>
      </c>
      <c r="C5" s="4">
        <v>11369774.899999997</v>
      </c>
    </row>
    <row r="6" spans="1:3" x14ac:dyDescent="0.4">
      <c r="A6" s="3" t="s">
        <v>14</v>
      </c>
      <c r="B6" s="4">
        <v>20148</v>
      </c>
      <c r="C6" s="4">
        <v>8582047.6400000025</v>
      </c>
    </row>
    <row r="7" spans="1:3" x14ac:dyDescent="0.4">
      <c r="A7" s="3" t="s">
        <v>19</v>
      </c>
      <c r="B7" s="4">
        <v>18996</v>
      </c>
      <c r="C7" s="4">
        <v>9050669.3100000005</v>
      </c>
    </row>
    <row r="8" spans="1:3" x14ac:dyDescent="0.4">
      <c r="A8" s="3" t="s">
        <v>23</v>
      </c>
      <c r="B8" s="4">
        <v>20129</v>
      </c>
      <c r="C8" s="4">
        <v>9225660.7799999975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CAE4-862E-4C6D-9932-43A60A7D10F8}">
  <dimension ref="A3:D13"/>
  <sheetViews>
    <sheetView workbookViewId="0">
      <selection sqref="A1:D14"/>
    </sheetView>
  </sheetViews>
  <sheetFormatPr defaultRowHeight="14.6" x14ac:dyDescent="0.4"/>
  <cols>
    <col min="1" max="1" width="19.765625" bestFit="1" customWidth="1"/>
    <col min="2" max="2" width="15" bestFit="1" customWidth="1"/>
    <col min="3" max="3" width="30" bestFit="1" customWidth="1"/>
    <col min="4" max="4" width="17.61328125" bestFit="1" customWidth="1"/>
  </cols>
  <sheetData>
    <row r="3" spans="1:4" x14ac:dyDescent="0.4">
      <c r="A3" s="2" t="s">
        <v>251</v>
      </c>
      <c r="B3" t="s">
        <v>254</v>
      </c>
      <c r="C3" t="s">
        <v>258</v>
      </c>
      <c r="D3" t="s">
        <v>257</v>
      </c>
    </row>
    <row r="4" spans="1:4" x14ac:dyDescent="0.4">
      <c r="A4" s="3" t="s">
        <v>16</v>
      </c>
      <c r="B4" s="4">
        <v>11768</v>
      </c>
      <c r="C4" s="4">
        <v>3.0905195834699764</v>
      </c>
      <c r="D4" s="4">
        <v>15572</v>
      </c>
    </row>
    <row r="5" spans="1:4" x14ac:dyDescent="0.4">
      <c r="A5" s="3" t="s">
        <v>32</v>
      </c>
      <c r="B5" s="4">
        <v>9792</v>
      </c>
      <c r="C5" s="4">
        <v>2.0252997233746117</v>
      </c>
      <c r="D5" s="4">
        <v>15637</v>
      </c>
    </row>
    <row r="6" spans="1:4" x14ac:dyDescent="0.4">
      <c r="A6" s="3" t="s">
        <v>21</v>
      </c>
      <c r="B6" s="4">
        <v>9508</v>
      </c>
      <c r="C6" s="4">
        <v>2.3513986646180478</v>
      </c>
      <c r="D6" s="4">
        <v>13053</v>
      </c>
    </row>
    <row r="7" spans="1:4" x14ac:dyDescent="0.4">
      <c r="A7" s="3" t="s">
        <v>28</v>
      </c>
      <c r="B7" s="4">
        <v>9253</v>
      </c>
      <c r="C7" s="4">
        <v>1.4259903223625796</v>
      </c>
      <c r="D7" s="4">
        <v>13789</v>
      </c>
    </row>
    <row r="8" spans="1:4" x14ac:dyDescent="0.4">
      <c r="A8" s="3" t="s">
        <v>11</v>
      </c>
      <c r="B8" s="4">
        <v>11160</v>
      </c>
      <c r="C8" s="4">
        <v>1.4780794451357644</v>
      </c>
      <c r="D8" s="4">
        <v>16114</v>
      </c>
    </row>
    <row r="9" spans="1:4" x14ac:dyDescent="0.4">
      <c r="A9" s="3" t="s">
        <v>58</v>
      </c>
      <c r="B9" s="4">
        <v>10204</v>
      </c>
      <c r="C9" s="4">
        <v>1.4128110621853813</v>
      </c>
      <c r="D9" s="4">
        <v>14839</v>
      </c>
    </row>
    <row r="10" spans="1:4" x14ac:dyDescent="0.4">
      <c r="A10" s="3" t="s">
        <v>43</v>
      </c>
      <c r="B10" s="4">
        <v>10893</v>
      </c>
      <c r="C10" s="4">
        <v>1.7244958399119055</v>
      </c>
      <c r="D10" s="4">
        <v>14113</v>
      </c>
    </row>
    <row r="11" spans="1:4" x14ac:dyDescent="0.4">
      <c r="A11" s="3" t="s">
        <v>39</v>
      </c>
      <c r="B11" s="4">
        <v>9802</v>
      </c>
      <c r="C11" s="4">
        <v>2.1565530972538869</v>
      </c>
      <c r="D11" s="4">
        <v>12841</v>
      </c>
    </row>
    <row r="12" spans="1:4" x14ac:dyDescent="0.4">
      <c r="A12" s="3" t="s">
        <v>25</v>
      </c>
      <c r="B12" s="4">
        <v>8690</v>
      </c>
      <c r="C12" s="4">
        <v>1.7246439722096891</v>
      </c>
      <c r="D12" s="4">
        <v>13475</v>
      </c>
    </row>
    <row r="13" spans="1:4" x14ac:dyDescent="0.4">
      <c r="A13" s="3" t="s">
        <v>36</v>
      </c>
      <c r="B13" s="4">
        <v>11355</v>
      </c>
      <c r="C13" s="4">
        <v>3.7546491848663299</v>
      </c>
      <c r="D13" s="4">
        <v>14253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D1EC-6A6E-4F71-BB3E-6DF0DA4E4D11}">
  <dimension ref="A3:B13"/>
  <sheetViews>
    <sheetView workbookViewId="0">
      <selection activeCell="A2" sqref="A2:B14"/>
    </sheetView>
  </sheetViews>
  <sheetFormatPr defaultRowHeight="14.6" x14ac:dyDescent="0.4"/>
  <cols>
    <col min="1" max="1" width="19.765625" bestFit="1" customWidth="1"/>
    <col min="2" max="2" width="17.84375" bestFit="1" customWidth="1"/>
    <col min="3" max="3" width="14.3828125" bestFit="1" customWidth="1"/>
  </cols>
  <sheetData>
    <row r="3" spans="1:2" x14ac:dyDescent="0.4">
      <c r="A3" s="2" t="s">
        <v>251</v>
      </c>
      <c r="B3" t="s">
        <v>259</v>
      </c>
    </row>
    <row r="4" spans="1:2" x14ac:dyDescent="0.4">
      <c r="A4" s="3" t="s">
        <v>16</v>
      </c>
      <c r="B4" s="4">
        <v>1</v>
      </c>
    </row>
    <row r="5" spans="1:2" x14ac:dyDescent="0.4">
      <c r="A5" s="3" t="s">
        <v>32</v>
      </c>
      <c r="B5" s="4">
        <v>1</v>
      </c>
    </row>
    <row r="6" spans="1:2" x14ac:dyDescent="0.4">
      <c r="A6" s="3" t="s">
        <v>21</v>
      </c>
      <c r="B6" s="4">
        <v>1</v>
      </c>
    </row>
    <row r="7" spans="1:2" x14ac:dyDescent="0.4">
      <c r="A7" s="3" t="s">
        <v>28</v>
      </c>
      <c r="B7" s="4">
        <v>1</v>
      </c>
    </row>
    <row r="8" spans="1:2" x14ac:dyDescent="0.4">
      <c r="A8" s="3" t="s">
        <v>11</v>
      </c>
      <c r="B8" s="4">
        <v>0</v>
      </c>
    </row>
    <row r="9" spans="1:2" x14ac:dyDescent="0.4">
      <c r="A9" s="3" t="s">
        <v>58</v>
      </c>
      <c r="B9" s="4">
        <v>1</v>
      </c>
    </row>
    <row r="10" spans="1:2" x14ac:dyDescent="0.4">
      <c r="A10" s="3" t="s">
        <v>43</v>
      </c>
      <c r="B10" s="4">
        <v>1</v>
      </c>
    </row>
    <row r="11" spans="1:2" x14ac:dyDescent="0.4">
      <c r="A11" s="3" t="s">
        <v>39</v>
      </c>
      <c r="B11" s="4">
        <v>1</v>
      </c>
    </row>
    <row r="12" spans="1:2" x14ac:dyDescent="0.4">
      <c r="A12" s="3" t="s">
        <v>25</v>
      </c>
      <c r="B12" s="4">
        <v>0</v>
      </c>
    </row>
    <row r="13" spans="1:2" x14ac:dyDescent="0.4">
      <c r="A13" s="3" t="s">
        <v>36</v>
      </c>
      <c r="B13" s="4">
        <v>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B9F85-6666-41C1-8CA8-4F9D81CEEE76}">
  <dimension ref="A3:B8"/>
  <sheetViews>
    <sheetView workbookViewId="0">
      <selection activeCell="A6" sqref="A6"/>
    </sheetView>
  </sheetViews>
  <sheetFormatPr defaultRowHeight="14.6" x14ac:dyDescent="0.4"/>
  <cols>
    <col min="1" max="1" width="17.3046875" bestFit="1" customWidth="1"/>
    <col min="2" max="2" width="9.61328125" bestFit="1" customWidth="1"/>
  </cols>
  <sheetData>
    <row r="3" spans="1:2" x14ac:dyDescent="0.4">
      <c r="A3" s="2" t="s">
        <v>1</v>
      </c>
      <c r="B3" t="s">
        <v>260</v>
      </c>
    </row>
    <row r="4" spans="1:2" x14ac:dyDescent="0.4">
      <c r="A4" s="3" t="s">
        <v>16</v>
      </c>
      <c r="B4" s="4">
        <v>11768</v>
      </c>
    </row>
    <row r="5" spans="1:2" x14ac:dyDescent="0.4">
      <c r="A5" s="3" t="s">
        <v>11</v>
      </c>
      <c r="B5" s="4">
        <v>11160</v>
      </c>
    </row>
    <row r="6" spans="1:2" x14ac:dyDescent="0.4">
      <c r="A6" s="3" t="s">
        <v>32</v>
      </c>
      <c r="B6" s="4">
        <v>9792</v>
      </c>
    </row>
    <row r="7" spans="1:2" x14ac:dyDescent="0.4">
      <c r="A7" s="3" t="s">
        <v>21</v>
      </c>
      <c r="B7" s="4">
        <v>9508</v>
      </c>
    </row>
    <row r="8" spans="1:2" x14ac:dyDescent="0.4">
      <c r="A8" s="3" t="s">
        <v>28</v>
      </c>
      <c r="B8" s="4">
        <v>9253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toyjoy_inventory</vt:lpstr>
      <vt:lpstr>Category-wise Sales &amp; Profit</vt:lpstr>
      <vt:lpstr>Seasonal Demand</vt:lpstr>
      <vt:lpstr>Product-wise Inventory &amp; Turnov</vt:lpstr>
      <vt:lpstr>Stockout Analysis by Product</vt:lpstr>
      <vt:lpstr>Top 5 Products by Units Sold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YADUVANSHI</dc:creator>
  <cp:lastModifiedBy>RAM PAIN RELIEF PHYSIOTHERAPY CLINIC</cp:lastModifiedBy>
  <dcterms:created xsi:type="dcterms:W3CDTF">2025-11-11T20:27:22Z</dcterms:created>
  <dcterms:modified xsi:type="dcterms:W3CDTF">2025-11-12T09:23:19Z</dcterms:modified>
</cp:coreProperties>
</file>